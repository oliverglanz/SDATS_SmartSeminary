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https://liveandrews-my.sharepoint.com/personal/glanz_andrews_edu/Documents/0000_EfficiencyWithIT/SmartContracting/Step2_input_SCHEDULES_PRESENT_year_filled/budget_FY2027/"/>
    </mc:Choice>
  </mc:AlternateContent>
  <xr:revisionPtr revIDLastSave="3" documentId="13_ncr:1_{61C83C04-744F-47CE-92B2-12C34B43CB5E}" xr6:coauthVersionLast="47" xr6:coauthVersionMax="47" xr10:uidLastSave="{FFB50A18-7576-8046-AA79-2A6F64AF6B8C}"/>
  <workbookProtection workbookAlgorithmName="SHA-512" workbookHashValue="FSl8SsDVY+97PVole2LEIs/2bnxyG3vILp/YkvchekmhPlpjiok5C94oGzlnX1UfpFRtyqJV37nr5fszn29E4w==" workbookSaltValue="sFR7G8jNpJ5ubeQs35eM9g==" workbookSpinCount="100000" lockStructure="1"/>
  <bookViews>
    <workbookView xWindow="0" yWindow="600" windowWidth="64000" windowHeight="26060" xr2:uid="{00000000-000D-0000-FFFF-FFFF00000000}"/>
  </bookViews>
  <sheets>
    <sheet name="contract-load_courses" sheetId="1" r:id="rId1"/>
    <sheet name="DropDown" sheetId="2" r:id="rId2"/>
    <sheet name="AutoFill_names" sheetId="3" r:id="rId3"/>
    <sheet name="AutoFill_classes" sheetId="4" r:id="rId4"/>
  </sheets>
  <definedNames>
    <definedName name="_xlnm._FilterDatabase" localSheetId="2" hidden="1">AutoFill_names!$A$1:$L$186</definedName>
    <definedName name="_xlnm._FilterDatabase" localSheetId="0" hidden="1">'contract-load_courses'!$A$1:$DE$272</definedName>
    <definedName name="_xlnm._FilterDatabase" localSheetId="1" hidden="1">DropDown!$A$1:$DB$370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Y160" i="1" l="1"/>
  <c r="CZ160" i="1" s="1"/>
  <c r="CT160" i="1"/>
  <c r="CV160" i="1" s="1"/>
  <c r="CO160" i="1"/>
  <c r="CJ160" i="1"/>
  <c r="CA160" i="1"/>
  <c r="BT160" i="1"/>
  <c r="BU160" i="1" s="1"/>
  <c r="BO160" i="1"/>
  <c r="BQ160" i="1" s="1"/>
  <c r="BJ160" i="1"/>
  <c r="BE160" i="1"/>
  <c r="AV160" i="1"/>
  <c r="AO160" i="1"/>
  <c r="AP160" i="1" s="1"/>
  <c r="AJ160" i="1"/>
  <c r="AL160" i="1" s="1"/>
  <c r="AE160" i="1"/>
  <c r="Z160" i="1"/>
  <c r="N160" i="1"/>
  <c r="K160" i="1"/>
  <c r="J160" i="1"/>
  <c r="E160" i="1"/>
  <c r="D160" i="1"/>
  <c r="C160" i="1"/>
  <c r="B160" i="1"/>
  <c r="CY158" i="1"/>
  <c r="CZ158" i="1" s="1"/>
  <c r="CT158" i="1"/>
  <c r="CV158" i="1" s="1"/>
  <c r="CO158" i="1"/>
  <c r="CJ158" i="1"/>
  <c r="CA158" i="1"/>
  <c r="BT158" i="1"/>
  <c r="BU158" i="1" s="1"/>
  <c r="BO158" i="1"/>
  <c r="BQ158" i="1" s="1"/>
  <c r="BJ158" i="1"/>
  <c r="BE158" i="1"/>
  <c r="AV158" i="1"/>
  <c r="AO158" i="1"/>
  <c r="AP158" i="1" s="1"/>
  <c r="AJ158" i="1"/>
  <c r="AL158" i="1" s="1"/>
  <c r="AE158" i="1"/>
  <c r="Z158" i="1"/>
  <c r="N158" i="1"/>
  <c r="K158" i="1"/>
  <c r="J158" i="1"/>
  <c r="E158" i="1"/>
  <c r="D158" i="1"/>
  <c r="C158" i="1"/>
  <c r="B158" i="1"/>
  <c r="CY177" i="1"/>
  <c r="CZ177" i="1" s="1"/>
  <c r="CT177" i="1"/>
  <c r="CV177" i="1" s="1"/>
  <c r="CO177" i="1"/>
  <c r="CJ177" i="1"/>
  <c r="CA177" i="1"/>
  <c r="BT177" i="1"/>
  <c r="BU177" i="1" s="1"/>
  <c r="BO177" i="1"/>
  <c r="BQ177" i="1" s="1"/>
  <c r="BJ177" i="1"/>
  <c r="BE177" i="1"/>
  <c r="AV177" i="1"/>
  <c r="AO177" i="1"/>
  <c r="AP177" i="1" s="1"/>
  <c r="AJ177" i="1"/>
  <c r="AL177" i="1" s="1"/>
  <c r="AE177" i="1"/>
  <c r="Z177" i="1"/>
  <c r="N177" i="1"/>
  <c r="K177" i="1"/>
  <c r="J177" i="1"/>
  <c r="E177" i="1"/>
  <c r="D177" i="1"/>
  <c r="C177" i="1"/>
  <c r="B177" i="1"/>
  <c r="CY176" i="1"/>
  <c r="CZ176" i="1" s="1"/>
  <c r="CT176" i="1"/>
  <c r="CV176" i="1" s="1"/>
  <c r="CO176" i="1"/>
  <c r="CJ176" i="1"/>
  <c r="CA176" i="1"/>
  <c r="BT176" i="1"/>
  <c r="BU176" i="1" s="1"/>
  <c r="BO176" i="1"/>
  <c r="BQ176" i="1" s="1"/>
  <c r="BJ176" i="1"/>
  <c r="BE176" i="1"/>
  <c r="AV176" i="1"/>
  <c r="AO176" i="1"/>
  <c r="AP176" i="1" s="1"/>
  <c r="AJ176" i="1"/>
  <c r="AL176" i="1" s="1"/>
  <c r="AE176" i="1"/>
  <c r="Z176" i="1"/>
  <c r="N176" i="1"/>
  <c r="K176" i="1"/>
  <c r="J176" i="1"/>
  <c r="E176" i="1"/>
  <c r="D176" i="1"/>
  <c r="C176" i="1"/>
  <c r="B176" i="1"/>
  <c r="CY175" i="1"/>
  <c r="CZ175" i="1" s="1"/>
  <c r="CT175" i="1"/>
  <c r="CV175" i="1" s="1"/>
  <c r="CO175" i="1"/>
  <c r="CJ175" i="1"/>
  <c r="CA175" i="1"/>
  <c r="BT175" i="1"/>
  <c r="BU175" i="1" s="1"/>
  <c r="BO175" i="1"/>
  <c r="BQ175" i="1" s="1"/>
  <c r="BJ175" i="1"/>
  <c r="BE175" i="1"/>
  <c r="AV175" i="1"/>
  <c r="AO175" i="1"/>
  <c r="AP175" i="1" s="1"/>
  <c r="AJ175" i="1"/>
  <c r="AL175" i="1" s="1"/>
  <c r="AE175" i="1"/>
  <c r="Z175" i="1"/>
  <c r="N175" i="1"/>
  <c r="K175" i="1"/>
  <c r="J175" i="1"/>
  <c r="E175" i="1"/>
  <c r="D175" i="1"/>
  <c r="C175" i="1"/>
  <c r="B175" i="1"/>
  <c r="CY174" i="1"/>
  <c r="CZ174" i="1" s="1"/>
  <c r="CT174" i="1"/>
  <c r="CV174" i="1" s="1"/>
  <c r="CO174" i="1"/>
  <c r="CJ174" i="1"/>
  <c r="CA174" i="1"/>
  <c r="BT174" i="1"/>
  <c r="BU174" i="1" s="1"/>
  <c r="BO174" i="1"/>
  <c r="BQ174" i="1" s="1"/>
  <c r="BJ174" i="1"/>
  <c r="BE174" i="1"/>
  <c r="AV174" i="1"/>
  <c r="AO174" i="1"/>
  <c r="AP174" i="1" s="1"/>
  <c r="AJ174" i="1"/>
  <c r="AL174" i="1" s="1"/>
  <c r="AE174" i="1"/>
  <c r="Z174" i="1"/>
  <c r="N174" i="1"/>
  <c r="K174" i="1"/>
  <c r="J174" i="1"/>
  <c r="E174" i="1"/>
  <c r="D174" i="1"/>
  <c r="C174" i="1"/>
  <c r="B174" i="1"/>
  <c r="CY173" i="1"/>
  <c r="CZ173" i="1" s="1"/>
  <c r="CT173" i="1"/>
  <c r="CV173" i="1" s="1"/>
  <c r="CO173" i="1"/>
  <c r="CJ173" i="1"/>
  <c r="CA173" i="1"/>
  <c r="BT173" i="1"/>
  <c r="BU173" i="1" s="1"/>
  <c r="BO173" i="1"/>
  <c r="BQ173" i="1" s="1"/>
  <c r="BJ173" i="1"/>
  <c r="BE173" i="1"/>
  <c r="AV173" i="1"/>
  <c r="AO173" i="1"/>
  <c r="AP173" i="1" s="1"/>
  <c r="AJ173" i="1"/>
  <c r="AL173" i="1" s="1"/>
  <c r="AE173" i="1"/>
  <c r="Z173" i="1"/>
  <c r="N173" i="1"/>
  <c r="K173" i="1"/>
  <c r="J173" i="1"/>
  <c r="E173" i="1"/>
  <c r="D173" i="1"/>
  <c r="C173" i="1"/>
  <c r="B173" i="1"/>
  <c r="CY172" i="1"/>
  <c r="CZ172" i="1" s="1"/>
  <c r="CT172" i="1"/>
  <c r="CV172" i="1" s="1"/>
  <c r="CO172" i="1"/>
  <c r="CJ172" i="1"/>
  <c r="CA172" i="1"/>
  <c r="BT172" i="1"/>
  <c r="BU172" i="1" s="1"/>
  <c r="BO172" i="1"/>
  <c r="BQ172" i="1" s="1"/>
  <c r="BJ172" i="1"/>
  <c r="BE172" i="1"/>
  <c r="AV172" i="1"/>
  <c r="AO172" i="1"/>
  <c r="AP172" i="1" s="1"/>
  <c r="AJ172" i="1"/>
  <c r="AL172" i="1" s="1"/>
  <c r="AE172" i="1"/>
  <c r="Z172" i="1"/>
  <c r="N172" i="1"/>
  <c r="K172" i="1"/>
  <c r="J172" i="1"/>
  <c r="E172" i="1"/>
  <c r="D172" i="1"/>
  <c r="C172" i="1"/>
  <c r="B172" i="1"/>
  <c r="CY171" i="1"/>
  <c r="CZ171" i="1" s="1"/>
  <c r="CT171" i="1"/>
  <c r="CV171" i="1" s="1"/>
  <c r="CO171" i="1"/>
  <c r="CJ171" i="1"/>
  <c r="CA171" i="1"/>
  <c r="BT171" i="1"/>
  <c r="BU171" i="1" s="1"/>
  <c r="BO171" i="1"/>
  <c r="BQ171" i="1" s="1"/>
  <c r="BJ171" i="1"/>
  <c r="BE171" i="1"/>
  <c r="AV171" i="1"/>
  <c r="AO171" i="1"/>
  <c r="AP171" i="1" s="1"/>
  <c r="AJ171" i="1"/>
  <c r="AL171" i="1" s="1"/>
  <c r="AE171" i="1"/>
  <c r="Z171" i="1"/>
  <c r="N171" i="1"/>
  <c r="K171" i="1"/>
  <c r="J171" i="1"/>
  <c r="E171" i="1"/>
  <c r="D171" i="1"/>
  <c r="C171" i="1"/>
  <c r="B171" i="1"/>
  <c r="CY170" i="1"/>
  <c r="CZ170" i="1" s="1"/>
  <c r="CT170" i="1"/>
  <c r="CV170" i="1" s="1"/>
  <c r="CO170" i="1"/>
  <c r="CJ170" i="1"/>
  <c r="CA170" i="1"/>
  <c r="BT170" i="1"/>
  <c r="BU170" i="1" s="1"/>
  <c r="BO170" i="1"/>
  <c r="BQ170" i="1" s="1"/>
  <c r="BJ170" i="1"/>
  <c r="BE170" i="1"/>
  <c r="AV170" i="1"/>
  <c r="AO170" i="1"/>
  <c r="AP170" i="1" s="1"/>
  <c r="AJ170" i="1"/>
  <c r="AL170" i="1" s="1"/>
  <c r="AE170" i="1"/>
  <c r="Z170" i="1"/>
  <c r="N170" i="1"/>
  <c r="K170" i="1"/>
  <c r="J170" i="1"/>
  <c r="E170" i="1"/>
  <c r="D170" i="1"/>
  <c r="C170" i="1"/>
  <c r="B170" i="1"/>
  <c r="CY169" i="1"/>
  <c r="CZ169" i="1" s="1"/>
  <c r="CT169" i="1"/>
  <c r="CV169" i="1" s="1"/>
  <c r="CO169" i="1"/>
  <c r="CJ169" i="1"/>
  <c r="CA169" i="1"/>
  <c r="BT169" i="1"/>
  <c r="BU169" i="1" s="1"/>
  <c r="BO169" i="1"/>
  <c r="BQ169" i="1" s="1"/>
  <c r="BJ169" i="1"/>
  <c r="BE169" i="1"/>
  <c r="AV169" i="1"/>
  <c r="AO169" i="1"/>
  <c r="AP169" i="1" s="1"/>
  <c r="AJ169" i="1"/>
  <c r="AL169" i="1" s="1"/>
  <c r="AE169" i="1"/>
  <c r="Z169" i="1"/>
  <c r="N169" i="1"/>
  <c r="K169" i="1"/>
  <c r="J169" i="1"/>
  <c r="E169" i="1"/>
  <c r="D169" i="1"/>
  <c r="C169" i="1"/>
  <c r="B169" i="1"/>
  <c r="CY168" i="1"/>
  <c r="CZ168" i="1" s="1"/>
  <c r="CT168" i="1"/>
  <c r="CV168" i="1" s="1"/>
  <c r="CO168" i="1"/>
  <c r="CJ168" i="1"/>
  <c r="CA168" i="1"/>
  <c r="BT168" i="1"/>
  <c r="BU168" i="1" s="1"/>
  <c r="BO168" i="1"/>
  <c r="BQ168" i="1" s="1"/>
  <c r="BJ168" i="1"/>
  <c r="BE168" i="1"/>
  <c r="AV168" i="1"/>
  <c r="AO168" i="1"/>
  <c r="AP168" i="1" s="1"/>
  <c r="AJ168" i="1"/>
  <c r="AL168" i="1" s="1"/>
  <c r="AE168" i="1"/>
  <c r="Z168" i="1"/>
  <c r="N168" i="1"/>
  <c r="K168" i="1"/>
  <c r="J168" i="1"/>
  <c r="E168" i="1"/>
  <c r="D168" i="1"/>
  <c r="C168" i="1"/>
  <c r="B168" i="1"/>
  <c r="CY167" i="1"/>
  <c r="CZ167" i="1" s="1"/>
  <c r="CT167" i="1"/>
  <c r="CV167" i="1" s="1"/>
  <c r="CO167" i="1"/>
  <c r="CJ167" i="1"/>
  <c r="CA167" i="1"/>
  <c r="BT167" i="1"/>
  <c r="BU167" i="1" s="1"/>
  <c r="BO167" i="1"/>
  <c r="BQ167" i="1" s="1"/>
  <c r="BJ167" i="1"/>
  <c r="BE167" i="1"/>
  <c r="AV167" i="1"/>
  <c r="AO167" i="1"/>
  <c r="AP167" i="1" s="1"/>
  <c r="AJ167" i="1"/>
  <c r="AL167" i="1" s="1"/>
  <c r="AE167" i="1"/>
  <c r="Z167" i="1"/>
  <c r="N167" i="1"/>
  <c r="K167" i="1"/>
  <c r="J167" i="1"/>
  <c r="E167" i="1"/>
  <c r="D167" i="1"/>
  <c r="C167" i="1"/>
  <c r="B167" i="1"/>
  <c r="CY166" i="1"/>
  <c r="CZ166" i="1" s="1"/>
  <c r="CT166" i="1"/>
  <c r="CV166" i="1" s="1"/>
  <c r="CO166" i="1"/>
  <c r="CJ166" i="1"/>
  <c r="CA166" i="1"/>
  <c r="BT166" i="1"/>
  <c r="BU166" i="1" s="1"/>
  <c r="BO166" i="1"/>
  <c r="BQ166" i="1" s="1"/>
  <c r="BJ166" i="1"/>
  <c r="BE166" i="1"/>
  <c r="AV166" i="1"/>
  <c r="AO166" i="1"/>
  <c r="AP166" i="1" s="1"/>
  <c r="AJ166" i="1"/>
  <c r="AL166" i="1" s="1"/>
  <c r="AE166" i="1"/>
  <c r="Z166" i="1"/>
  <c r="N166" i="1"/>
  <c r="K166" i="1"/>
  <c r="J166" i="1"/>
  <c r="E166" i="1"/>
  <c r="D166" i="1"/>
  <c r="C166" i="1"/>
  <c r="B166" i="1"/>
  <c r="CY165" i="1"/>
  <c r="CZ165" i="1" s="1"/>
  <c r="CT165" i="1"/>
  <c r="CV165" i="1" s="1"/>
  <c r="CO165" i="1"/>
  <c r="CJ165" i="1"/>
  <c r="CA165" i="1"/>
  <c r="BT165" i="1"/>
  <c r="BU165" i="1" s="1"/>
  <c r="BO165" i="1"/>
  <c r="BQ165" i="1" s="1"/>
  <c r="BJ165" i="1"/>
  <c r="BE165" i="1"/>
  <c r="AV165" i="1"/>
  <c r="AO165" i="1"/>
  <c r="AP165" i="1" s="1"/>
  <c r="AJ165" i="1"/>
  <c r="AL165" i="1" s="1"/>
  <c r="AE165" i="1"/>
  <c r="Z165" i="1"/>
  <c r="N165" i="1"/>
  <c r="K165" i="1"/>
  <c r="J165" i="1"/>
  <c r="E165" i="1"/>
  <c r="D165" i="1"/>
  <c r="C165" i="1"/>
  <c r="B165" i="1"/>
  <c r="CY164" i="1"/>
  <c r="CZ164" i="1" s="1"/>
  <c r="CT164" i="1"/>
  <c r="CV164" i="1" s="1"/>
  <c r="CO164" i="1"/>
  <c r="CJ164" i="1"/>
  <c r="CA164" i="1"/>
  <c r="BT164" i="1"/>
  <c r="BU164" i="1" s="1"/>
  <c r="BO164" i="1"/>
  <c r="BQ164" i="1" s="1"/>
  <c r="BJ164" i="1"/>
  <c r="BE164" i="1"/>
  <c r="AV164" i="1"/>
  <c r="AO164" i="1"/>
  <c r="AP164" i="1" s="1"/>
  <c r="AJ164" i="1"/>
  <c r="AL164" i="1" s="1"/>
  <c r="AE164" i="1"/>
  <c r="Z164" i="1"/>
  <c r="N164" i="1"/>
  <c r="K164" i="1"/>
  <c r="J164" i="1"/>
  <c r="E164" i="1"/>
  <c r="D164" i="1"/>
  <c r="C164" i="1"/>
  <c r="B164" i="1"/>
  <c r="CY163" i="1"/>
  <c r="CZ163" i="1" s="1"/>
  <c r="CT163" i="1"/>
  <c r="CV163" i="1" s="1"/>
  <c r="CO163" i="1"/>
  <c r="CJ163" i="1"/>
  <c r="CA163" i="1"/>
  <c r="BT163" i="1"/>
  <c r="BU163" i="1" s="1"/>
  <c r="BO163" i="1"/>
  <c r="BQ163" i="1" s="1"/>
  <c r="BJ163" i="1"/>
  <c r="BE163" i="1"/>
  <c r="AV163" i="1"/>
  <c r="AO163" i="1"/>
  <c r="AP163" i="1" s="1"/>
  <c r="AJ163" i="1"/>
  <c r="AL163" i="1" s="1"/>
  <c r="AE163" i="1"/>
  <c r="Z163" i="1"/>
  <c r="N163" i="1"/>
  <c r="K163" i="1"/>
  <c r="J163" i="1"/>
  <c r="E163" i="1"/>
  <c r="D163" i="1"/>
  <c r="C163" i="1"/>
  <c r="B163" i="1"/>
  <c r="CY162" i="1"/>
  <c r="CZ162" i="1" s="1"/>
  <c r="CT162" i="1"/>
  <c r="CV162" i="1" s="1"/>
  <c r="CO162" i="1"/>
  <c r="CJ162" i="1"/>
  <c r="CA162" i="1"/>
  <c r="BT162" i="1"/>
  <c r="BU162" i="1" s="1"/>
  <c r="BO162" i="1"/>
  <c r="BQ162" i="1" s="1"/>
  <c r="BJ162" i="1"/>
  <c r="BE162" i="1"/>
  <c r="AV162" i="1"/>
  <c r="AO162" i="1"/>
  <c r="AP162" i="1" s="1"/>
  <c r="AJ162" i="1"/>
  <c r="AL162" i="1" s="1"/>
  <c r="AE162" i="1"/>
  <c r="Z162" i="1"/>
  <c r="N162" i="1"/>
  <c r="K162" i="1"/>
  <c r="J162" i="1"/>
  <c r="E162" i="1"/>
  <c r="D162" i="1"/>
  <c r="C162" i="1"/>
  <c r="B162" i="1"/>
  <c r="CY161" i="1"/>
  <c r="CZ161" i="1" s="1"/>
  <c r="CT161" i="1"/>
  <c r="CV161" i="1" s="1"/>
  <c r="CO161" i="1"/>
  <c r="CJ161" i="1"/>
  <c r="CA161" i="1"/>
  <c r="BT161" i="1"/>
  <c r="BU161" i="1" s="1"/>
  <c r="BO161" i="1"/>
  <c r="BQ161" i="1" s="1"/>
  <c r="BJ161" i="1"/>
  <c r="BE161" i="1"/>
  <c r="AV161" i="1"/>
  <c r="AO161" i="1"/>
  <c r="AP161" i="1" s="1"/>
  <c r="AJ161" i="1"/>
  <c r="AL161" i="1" s="1"/>
  <c r="AE161" i="1"/>
  <c r="Z161" i="1"/>
  <c r="N161" i="1"/>
  <c r="K161" i="1"/>
  <c r="J161" i="1"/>
  <c r="E161" i="1"/>
  <c r="D161" i="1"/>
  <c r="C161" i="1"/>
  <c r="B161" i="1"/>
  <c r="CY155" i="1"/>
  <c r="CZ155" i="1" s="1"/>
  <c r="CT155" i="1"/>
  <c r="CV155" i="1" s="1"/>
  <c r="CO155" i="1"/>
  <c r="CJ155" i="1"/>
  <c r="CA155" i="1"/>
  <c r="BT155" i="1"/>
  <c r="BU155" i="1" s="1"/>
  <c r="BO155" i="1"/>
  <c r="BQ155" i="1" s="1"/>
  <c r="BJ155" i="1"/>
  <c r="BE155" i="1"/>
  <c r="AV155" i="1"/>
  <c r="AO155" i="1"/>
  <c r="AP155" i="1" s="1"/>
  <c r="AJ155" i="1"/>
  <c r="AL155" i="1" s="1"/>
  <c r="AE155" i="1"/>
  <c r="Z155" i="1"/>
  <c r="N155" i="1"/>
  <c r="K155" i="1"/>
  <c r="J155" i="1"/>
  <c r="E155" i="1"/>
  <c r="D155" i="1"/>
  <c r="C155" i="1"/>
  <c r="CY154" i="1"/>
  <c r="CZ154" i="1" s="1"/>
  <c r="CT154" i="1"/>
  <c r="CV154" i="1" s="1"/>
  <c r="CO154" i="1"/>
  <c r="CJ154" i="1"/>
  <c r="CA154" i="1"/>
  <c r="BT154" i="1"/>
  <c r="BU154" i="1" s="1"/>
  <c r="BO154" i="1"/>
  <c r="BQ154" i="1" s="1"/>
  <c r="BJ154" i="1"/>
  <c r="BE154" i="1"/>
  <c r="AV154" i="1"/>
  <c r="AO154" i="1"/>
  <c r="AP154" i="1" s="1"/>
  <c r="AJ154" i="1"/>
  <c r="AL154" i="1" s="1"/>
  <c r="AE154" i="1"/>
  <c r="Z154" i="1"/>
  <c r="N154" i="1"/>
  <c r="K154" i="1"/>
  <c r="J154" i="1"/>
  <c r="E154" i="1"/>
  <c r="D154" i="1"/>
  <c r="C154" i="1"/>
  <c r="CA27" i="1"/>
  <c r="Z52" i="1"/>
  <c r="Z53" i="1"/>
  <c r="Z56" i="1"/>
  <c r="Z54" i="1"/>
  <c r="Z55" i="1"/>
  <c r="CA272" i="1"/>
  <c r="CA271" i="1"/>
  <c r="CA270" i="1"/>
  <c r="CA269" i="1"/>
  <c r="CA268" i="1"/>
  <c r="CA267" i="1"/>
  <c r="CA266" i="1"/>
  <c r="CA265" i="1"/>
  <c r="CA264" i="1"/>
  <c r="CA263" i="1"/>
  <c r="CA262" i="1"/>
  <c r="CA261" i="1"/>
  <c r="CA260" i="1"/>
  <c r="CA259" i="1"/>
  <c r="CA258" i="1"/>
  <c r="CA257" i="1"/>
  <c r="CA256" i="1"/>
  <c r="CA255" i="1"/>
  <c r="CA254" i="1"/>
  <c r="CA253" i="1"/>
  <c r="CA252" i="1"/>
  <c r="CA251" i="1"/>
  <c r="CA250" i="1"/>
  <c r="CA249" i="1"/>
  <c r="CA248" i="1"/>
  <c r="CA247" i="1"/>
  <c r="CA246" i="1"/>
  <c r="CA245" i="1"/>
  <c r="CA244" i="1"/>
  <c r="CA243" i="1"/>
  <c r="CA242" i="1"/>
  <c r="CA241" i="1"/>
  <c r="CA240" i="1"/>
  <c r="CA239" i="1"/>
  <c r="CA238" i="1"/>
  <c r="CA237" i="1"/>
  <c r="CA236" i="1"/>
  <c r="CA235" i="1"/>
  <c r="CA234" i="1"/>
  <c r="CA233" i="1"/>
  <c r="CA232" i="1"/>
  <c r="CA231" i="1"/>
  <c r="CA230" i="1"/>
  <c r="CA229" i="1"/>
  <c r="CA228" i="1"/>
  <c r="CA227" i="1"/>
  <c r="CA226" i="1"/>
  <c r="CA225" i="1"/>
  <c r="CA224" i="1"/>
  <c r="CA223" i="1"/>
  <c r="CA222" i="1"/>
  <c r="CA221" i="1"/>
  <c r="CA220" i="1"/>
  <c r="CA219" i="1"/>
  <c r="CA218" i="1"/>
  <c r="CA217" i="1"/>
  <c r="CA216" i="1"/>
  <c r="CA215" i="1"/>
  <c r="CA214" i="1"/>
  <c r="CA213" i="1"/>
  <c r="CA212" i="1"/>
  <c r="CA211" i="1"/>
  <c r="CA210" i="1"/>
  <c r="CA209" i="1"/>
  <c r="CA208" i="1"/>
  <c r="CA207" i="1"/>
  <c r="CA206" i="1"/>
  <c r="CA205" i="1"/>
  <c r="CA204" i="1"/>
  <c r="CA203" i="1"/>
  <c r="CA202" i="1"/>
  <c r="CA201" i="1"/>
  <c r="CA200" i="1"/>
  <c r="CA199" i="1"/>
  <c r="CA198" i="1"/>
  <c r="CA197" i="1"/>
  <c r="CA196" i="1"/>
  <c r="CA195" i="1"/>
  <c r="CA194" i="1"/>
  <c r="CA193" i="1"/>
  <c r="CA192" i="1"/>
  <c r="CA191" i="1"/>
  <c r="CA190" i="1"/>
  <c r="CA189" i="1"/>
  <c r="CA188" i="1"/>
  <c r="CA187" i="1"/>
  <c r="CA186" i="1"/>
  <c r="CA185" i="1"/>
  <c r="CA184" i="1"/>
  <c r="CA183" i="1"/>
  <c r="CA182" i="1"/>
  <c r="CA181" i="1"/>
  <c r="CA180" i="1"/>
  <c r="CA179" i="1"/>
  <c r="CA178" i="1"/>
  <c r="CA159" i="1"/>
  <c r="CA157" i="1"/>
  <c r="CA156" i="1"/>
  <c r="CA153" i="1"/>
  <c r="CA150" i="1"/>
  <c r="CA149" i="1"/>
  <c r="CA148" i="1"/>
  <c r="CA147" i="1"/>
  <c r="CA146" i="1"/>
  <c r="CA145" i="1"/>
  <c r="CA144" i="1"/>
  <c r="CA143" i="1"/>
  <c r="CA142" i="1"/>
  <c r="CA140" i="1"/>
  <c r="CA139" i="1"/>
  <c r="CA138" i="1"/>
  <c r="CA137" i="1"/>
  <c r="CA136" i="1"/>
  <c r="CA135" i="1"/>
  <c r="CA134" i="1"/>
  <c r="CA133" i="1"/>
  <c r="CA132" i="1"/>
  <c r="CA130" i="1"/>
  <c r="CA129" i="1"/>
  <c r="CA128" i="1"/>
  <c r="CA127" i="1"/>
  <c r="CA126" i="1"/>
  <c r="CA125" i="1"/>
  <c r="CA124" i="1"/>
  <c r="CA123" i="1"/>
  <c r="CA122" i="1"/>
  <c r="CA120" i="1"/>
  <c r="CA119" i="1"/>
  <c r="CA118" i="1"/>
  <c r="CA117" i="1"/>
  <c r="CA116" i="1"/>
  <c r="CA115" i="1"/>
  <c r="CA114" i="1"/>
  <c r="CA113" i="1"/>
  <c r="CA112" i="1"/>
  <c r="CA110" i="1"/>
  <c r="CA109" i="1"/>
  <c r="CA108" i="1"/>
  <c r="CA107" i="1"/>
  <c r="CA106" i="1"/>
  <c r="CA105" i="1"/>
  <c r="CA104" i="1"/>
  <c r="CA103" i="1"/>
  <c r="CA102" i="1"/>
  <c r="CA100" i="1"/>
  <c r="CA99" i="1"/>
  <c r="CA98" i="1"/>
  <c r="CA97" i="1"/>
  <c r="CA96" i="1"/>
  <c r="CA95" i="1"/>
  <c r="CA94" i="1"/>
  <c r="CA93" i="1"/>
  <c r="CA92" i="1"/>
  <c r="CA90" i="1"/>
  <c r="CA89" i="1"/>
  <c r="CA88" i="1"/>
  <c r="CA87" i="1"/>
  <c r="CA86" i="1"/>
  <c r="CA85" i="1"/>
  <c r="CA84" i="1"/>
  <c r="CA83" i="1"/>
  <c r="CA82" i="1"/>
  <c r="CA80" i="1"/>
  <c r="CA79" i="1"/>
  <c r="CA78" i="1"/>
  <c r="CA77" i="1"/>
  <c r="CA76" i="1"/>
  <c r="CA75" i="1"/>
  <c r="CA74" i="1"/>
  <c r="CA73" i="1"/>
  <c r="CA72" i="1"/>
  <c r="CA70" i="1"/>
  <c r="CA69" i="1"/>
  <c r="CA68" i="1"/>
  <c r="CA67" i="1"/>
  <c r="CA66" i="1"/>
  <c r="CA65" i="1"/>
  <c r="CA64" i="1"/>
  <c r="CA63" i="1"/>
  <c r="CA62" i="1"/>
  <c r="CA60" i="1"/>
  <c r="CA59" i="1"/>
  <c r="CA58" i="1"/>
  <c r="CA57" i="1"/>
  <c r="CA56" i="1"/>
  <c r="CA55" i="1"/>
  <c r="CA54" i="1"/>
  <c r="CA53" i="1"/>
  <c r="CA52" i="1"/>
  <c r="CA50" i="1"/>
  <c r="CA49" i="1"/>
  <c r="CA48" i="1"/>
  <c r="CA47" i="1"/>
  <c r="CA46" i="1"/>
  <c r="CA45" i="1"/>
  <c r="CA44" i="1"/>
  <c r="CA43" i="1"/>
  <c r="CA42" i="1"/>
  <c r="CA40" i="1"/>
  <c r="CA39" i="1"/>
  <c r="CA38" i="1"/>
  <c r="CA37" i="1"/>
  <c r="CA36" i="1"/>
  <c r="CA35" i="1"/>
  <c r="CA34" i="1"/>
  <c r="CA33" i="1"/>
  <c r="CA31" i="1"/>
  <c r="CA30" i="1"/>
  <c r="CA29" i="1"/>
  <c r="CA28" i="1"/>
  <c r="CA26" i="1"/>
  <c r="CA25" i="1"/>
  <c r="CA24" i="1"/>
  <c r="CA23" i="1"/>
  <c r="CA21" i="1"/>
  <c r="CA20" i="1"/>
  <c r="CA19" i="1"/>
  <c r="CA18" i="1"/>
  <c r="CA17" i="1"/>
  <c r="CA16" i="1"/>
  <c r="CA15" i="1"/>
  <c r="CA14" i="1"/>
  <c r="CA13" i="1"/>
  <c r="CA11" i="1"/>
  <c r="CA10" i="1"/>
  <c r="CA9" i="1"/>
  <c r="CA8" i="1"/>
  <c r="CA7" i="1"/>
  <c r="CA6" i="1"/>
  <c r="CA5" i="1"/>
  <c r="CA4" i="1"/>
  <c r="CA3" i="1"/>
  <c r="L186" i="3"/>
  <c r="L185" i="3"/>
  <c r="L184" i="3"/>
  <c r="L183" i="3"/>
  <c r="L182" i="3"/>
  <c r="L181" i="3"/>
  <c r="L180" i="3"/>
  <c r="L179" i="3"/>
  <c r="L178" i="3"/>
  <c r="L177" i="3"/>
  <c r="L176" i="3"/>
  <c r="L175" i="3"/>
  <c r="L174" i="3"/>
  <c r="L173" i="3"/>
  <c r="L172" i="3"/>
  <c r="L171" i="3"/>
  <c r="L170" i="3"/>
  <c r="L169" i="3"/>
  <c r="L168" i="3"/>
  <c r="L167" i="3"/>
  <c r="L166" i="3"/>
  <c r="L165" i="3"/>
  <c r="L164" i="3"/>
  <c r="L163" i="3"/>
  <c r="L162" i="3"/>
  <c r="L161" i="3"/>
  <c r="L160" i="3"/>
  <c r="L159" i="3"/>
  <c r="L158" i="3"/>
  <c r="L157" i="3"/>
  <c r="L156" i="3"/>
  <c r="L155" i="3"/>
  <c r="L154" i="3"/>
  <c r="L153" i="3"/>
  <c r="L152" i="3"/>
  <c r="L151" i="3"/>
  <c r="L150" i="3"/>
  <c r="L149" i="3"/>
  <c r="L148" i="3"/>
  <c r="L147" i="3"/>
  <c r="L146" i="3"/>
  <c r="L145" i="3"/>
  <c r="L144" i="3"/>
  <c r="L143" i="3"/>
  <c r="L142" i="3"/>
  <c r="L141" i="3"/>
  <c r="L140" i="3"/>
  <c r="L139" i="3"/>
  <c r="L138" i="3"/>
  <c r="L137" i="3"/>
  <c r="L136" i="3"/>
  <c r="L135" i="3"/>
  <c r="L134" i="3"/>
  <c r="L133" i="3"/>
  <c r="L132" i="3"/>
  <c r="L131" i="3"/>
  <c r="L130" i="3"/>
  <c r="L129" i="3"/>
  <c r="L128" i="3"/>
  <c r="L127" i="3"/>
  <c r="L126" i="3"/>
  <c r="L125" i="3"/>
  <c r="L124" i="3"/>
  <c r="L123" i="3"/>
  <c r="L122" i="3"/>
  <c r="L121" i="3"/>
  <c r="L120" i="3"/>
  <c r="L119" i="3"/>
  <c r="L118" i="3"/>
  <c r="L117" i="3"/>
  <c r="L116" i="3"/>
  <c r="L115" i="3"/>
  <c r="L114" i="3"/>
  <c r="L113" i="3"/>
  <c r="L112" i="3"/>
  <c r="L111" i="3"/>
  <c r="L110" i="3"/>
  <c r="L109" i="3"/>
  <c r="L108" i="3"/>
  <c r="L107" i="3"/>
  <c r="L106" i="3"/>
  <c r="L105" i="3"/>
  <c r="L104" i="3"/>
  <c r="L103" i="3"/>
  <c r="L102" i="3"/>
  <c r="L101" i="3"/>
  <c r="L100" i="3"/>
  <c r="L99" i="3"/>
  <c r="L98" i="3"/>
  <c r="L97" i="3"/>
  <c r="L96" i="3"/>
  <c r="L95" i="3"/>
  <c r="L94" i="3"/>
  <c r="L93" i="3"/>
  <c r="L92" i="3"/>
  <c r="L91" i="3"/>
  <c r="L90" i="3"/>
  <c r="L89" i="3"/>
  <c r="L88" i="3"/>
  <c r="L87" i="3"/>
  <c r="L86" i="3"/>
  <c r="L85" i="3"/>
  <c r="L84" i="3"/>
  <c r="L83" i="3"/>
  <c r="L82" i="3"/>
  <c r="L81" i="3"/>
  <c r="L80" i="3"/>
  <c r="L79" i="3"/>
  <c r="L78" i="3"/>
  <c r="L77" i="3"/>
  <c r="L76" i="3"/>
  <c r="L75" i="3"/>
  <c r="L74" i="3"/>
  <c r="L73" i="3"/>
  <c r="L72" i="3"/>
  <c r="L71" i="3"/>
  <c r="L70" i="3"/>
  <c r="L69" i="3"/>
  <c r="L68" i="3"/>
  <c r="L67" i="3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6" i="3"/>
  <c r="L5" i="3"/>
  <c r="L4" i="3"/>
  <c r="L3" i="3"/>
  <c r="L2" i="3"/>
  <c r="CY272" i="1"/>
  <c r="CT272" i="1"/>
  <c r="CV272" i="1" s="1"/>
  <c r="CO272" i="1"/>
  <c r="CQ272" i="1" s="1"/>
  <c r="CJ272" i="1"/>
  <c r="BT272" i="1"/>
  <c r="BO272" i="1"/>
  <c r="BQ272" i="1" s="1"/>
  <c r="BJ272" i="1"/>
  <c r="BL272" i="1" s="1"/>
  <c r="BE272" i="1"/>
  <c r="AV272" i="1"/>
  <c r="AO272" i="1"/>
  <c r="AJ272" i="1"/>
  <c r="AL272" i="1" s="1"/>
  <c r="AE272" i="1"/>
  <c r="AG272" i="1" s="1"/>
  <c r="Z272" i="1"/>
  <c r="N272" i="1"/>
  <c r="K272" i="1"/>
  <c r="J272" i="1"/>
  <c r="E272" i="1"/>
  <c r="D272" i="1"/>
  <c r="C272" i="1"/>
  <c r="B272" i="1"/>
  <c r="CY271" i="1"/>
  <c r="CZ271" i="1" s="1"/>
  <c r="CT271" i="1"/>
  <c r="CV271" i="1" s="1"/>
  <c r="CO271" i="1"/>
  <c r="DB271" i="1" s="1"/>
  <c r="CJ271" i="1"/>
  <c r="BT271" i="1"/>
  <c r="BU271" i="1" s="1"/>
  <c r="BO271" i="1"/>
  <c r="BQ271" i="1" s="1"/>
  <c r="BJ271" i="1"/>
  <c r="BW271" i="1" s="1"/>
  <c r="BE271" i="1"/>
  <c r="AV271" i="1"/>
  <c r="AO271" i="1"/>
  <c r="AP271" i="1" s="1"/>
  <c r="AJ271" i="1"/>
  <c r="AL271" i="1" s="1"/>
  <c r="AE271" i="1"/>
  <c r="AR271" i="1" s="1"/>
  <c r="Z271" i="1"/>
  <c r="N271" i="1"/>
  <c r="K271" i="1"/>
  <c r="J271" i="1"/>
  <c r="E271" i="1"/>
  <c r="D271" i="1"/>
  <c r="C271" i="1"/>
  <c r="B271" i="1"/>
  <c r="CY270" i="1"/>
  <c r="CZ270" i="1" s="1"/>
  <c r="CT270" i="1"/>
  <c r="CV270" i="1" s="1"/>
  <c r="CO270" i="1"/>
  <c r="CQ270" i="1" s="1"/>
  <c r="DA270" i="1" s="1"/>
  <c r="CJ270" i="1"/>
  <c r="BT270" i="1"/>
  <c r="BU270" i="1" s="1"/>
  <c r="BO270" i="1"/>
  <c r="BQ270" i="1" s="1"/>
  <c r="BJ270" i="1"/>
  <c r="BL270" i="1" s="1"/>
  <c r="BE270" i="1"/>
  <c r="AV270" i="1"/>
  <c r="AO270" i="1"/>
  <c r="AP270" i="1" s="1"/>
  <c r="AJ270" i="1"/>
  <c r="AL270" i="1" s="1"/>
  <c r="AE270" i="1"/>
  <c r="AG270" i="1" s="1"/>
  <c r="AQ270" i="1" s="1"/>
  <c r="Z270" i="1"/>
  <c r="N270" i="1"/>
  <c r="K270" i="1"/>
  <c r="J270" i="1"/>
  <c r="E270" i="1"/>
  <c r="D270" i="1"/>
  <c r="C270" i="1"/>
  <c r="B270" i="1"/>
  <c r="CY269" i="1"/>
  <c r="CZ269" i="1" s="1"/>
  <c r="CT269" i="1"/>
  <c r="CO269" i="1"/>
  <c r="CQ269" i="1" s="1"/>
  <c r="CJ269" i="1"/>
  <c r="BT269" i="1"/>
  <c r="BU269" i="1" s="1"/>
  <c r="BO269" i="1"/>
  <c r="BJ269" i="1"/>
  <c r="BL269" i="1" s="1"/>
  <c r="BE269" i="1"/>
  <c r="AV269" i="1"/>
  <c r="AO269" i="1"/>
  <c r="AP269" i="1" s="1"/>
  <c r="AJ269" i="1"/>
  <c r="AE269" i="1"/>
  <c r="AG269" i="1" s="1"/>
  <c r="Z269" i="1"/>
  <c r="N269" i="1"/>
  <c r="K269" i="1"/>
  <c r="J269" i="1"/>
  <c r="E269" i="1"/>
  <c r="D269" i="1"/>
  <c r="C269" i="1"/>
  <c r="B269" i="1"/>
  <c r="CY268" i="1"/>
  <c r="CZ268" i="1" s="1"/>
  <c r="CT268" i="1"/>
  <c r="CV268" i="1" s="1"/>
  <c r="CO268" i="1"/>
  <c r="CJ268" i="1"/>
  <c r="BT268" i="1"/>
  <c r="BU268" i="1" s="1"/>
  <c r="BO268" i="1"/>
  <c r="BQ268" i="1" s="1"/>
  <c r="BJ268" i="1"/>
  <c r="BE268" i="1"/>
  <c r="AV268" i="1"/>
  <c r="AO268" i="1"/>
  <c r="AP268" i="1" s="1"/>
  <c r="AJ268" i="1"/>
  <c r="AL268" i="1" s="1"/>
  <c r="AE268" i="1"/>
  <c r="AR268" i="1" s="1"/>
  <c r="Z268" i="1"/>
  <c r="N268" i="1"/>
  <c r="K268" i="1"/>
  <c r="J268" i="1"/>
  <c r="E268" i="1"/>
  <c r="D268" i="1"/>
  <c r="C268" i="1"/>
  <c r="B268" i="1"/>
  <c r="CY267" i="1"/>
  <c r="CZ267" i="1" s="1"/>
  <c r="CT267" i="1"/>
  <c r="CV267" i="1" s="1"/>
  <c r="CO267" i="1"/>
  <c r="CJ267" i="1"/>
  <c r="BT267" i="1"/>
  <c r="BU267" i="1" s="1"/>
  <c r="BO267" i="1"/>
  <c r="BQ267" i="1" s="1"/>
  <c r="BJ267" i="1"/>
  <c r="BL267" i="1" s="1"/>
  <c r="BE267" i="1"/>
  <c r="AV267" i="1"/>
  <c r="AO267" i="1"/>
  <c r="AP267" i="1" s="1"/>
  <c r="AJ267" i="1"/>
  <c r="AL267" i="1" s="1"/>
  <c r="AE267" i="1"/>
  <c r="Z267" i="1"/>
  <c r="N267" i="1"/>
  <c r="K267" i="1"/>
  <c r="J267" i="1"/>
  <c r="E267" i="1"/>
  <c r="D267" i="1"/>
  <c r="C267" i="1"/>
  <c r="B267" i="1"/>
  <c r="CY266" i="1"/>
  <c r="CZ266" i="1" s="1"/>
  <c r="CT266" i="1"/>
  <c r="CV266" i="1" s="1"/>
  <c r="CO266" i="1"/>
  <c r="CJ266" i="1"/>
  <c r="BT266" i="1"/>
  <c r="BU266" i="1" s="1"/>
  <c r="BO266" i="1"/>
  <c r="BQ266" i="1" s="1"/>
  <c r="BJ266" i="1"/>
  <c r="BE266" i="1"/>
  <c r="AV266" i="1"/>
  <c r="AO266" i="1"/>
  <c r="AP266" i="1" s="1"/>
  <c r="AJ266" i="1"/>
  <c r="AL266" i="1" s="1"/>
  <c r="AE266" i="1"/>
  <c r="Z266" i="1"/>
  <c r="N266" i="1"/>
  <c r="K266" i="1"/>
  <c r="J266" i="1"/>
  <c r="E266" i="1"/>
  <c r="D266" i="1"/>
  <c r="C266" i="1"/>
  <c r="B266" i="1"/>
  <c r="CY265" i="1"/>
  <c r="CZ265" i="1" s="1"/>
  <c r="CT265" i="1"/>
  <c r="CV265" i="1" s="1"/>
  <c r="CO265" i="1"/>
  <c r="DB265" i="1" s="1"/>
  <c r="CJ265" i="1"/>
  <c r="BT265" i="1"/>
  <c r="BU265" i="1" s="1"/>
  <c r="BO265" i="1"/>
  <c r="BQ265" i="1" s="1"/>
  <c r="BJ265" i="1"/>
  <c r="BL265" i="1" s="1"/>
  <c r="BV265" i="1" s="1"/>
  <c r="BE265" i="1"/>
  <c r="AV265" i="1"/>
  <c r="AO265" i="1"/>
  <c r="AP265" i="1" s="1"/>
  <c r="AJ265" i="1"/>
  <c r="AL265" i="1" s="1"/>
  <c r="AE265" i="1"/>
  <c r="AG265" i="1" s="1"/>
  <c r="Z265" i="1"/>
  <c r="N265" i="1"/>
  <c r="K265" i="1"/>
  <c r="J265" i="1"/>
  <c r="E265" i="1"/>
  <c r="D265" i="1"/>
  <c r="C265" i="1"/>
  <c r="B265" i="1"/>
  <c r="CY264" i="1"/>
  <c r="CZ264" i="1" s="1"/>
  <c r="CT264" i="1"/>
  <c r="CV264" i="1" s="1"/>
  <c r="CO264" i="1"/>
  <c r="CJ264" i="1"/>
  <c r="BT264" i="1"/>
  <c r="BU264" i="1" s="1"/>
  <c r="BO264" i="1"/>
  <c r="BQ264" i="1" s="1"/>
  <c r="BJ264" i="1"/>
  <c r="BL264" i="1" s="1"/>
  <c r="BV264" i="1" s="1"/>
  <c r="BE264" i="1"/>
  <c r="AV264" i="1"/>
  <c r="AO264" i="1"/>
  <c r="AP264" i="1" s="1"/>
  <c r="AJ264" i="1"/>
  <c r="AL264" i="1" s="1"/>
  <c r="AE264" i="1"/>
  <c r="AG264" i="1" s="1"/>
  <c r="Z264" i="1"/>
  <c r="N264" i="1"/>
  <c r="K264" i="1"/>
  <c r="J264" i="1"/>
  <c r="E264" i="1"/>
  <c r="D264" i="1"/>
  <c r="C264" i="1"/>
  <c r="B264" i="1"/>
  <c r="CY263" i="1"/>
  <c r="CZ263" i="1" s="1"/>
  <c r="CT263" i="1"/>
  <c r="CV263" i="1" s="1"/>
  <c r="CO263" i="1"/>
  <c r="CJ263" i="1"/>
  <c r="BT263" i="1"/>
  <c r="BU263" i="1" s="1"/>
  <c r="BO263" i="1"/>
  <c r="BQ263" i="1" s="1"/>
  <c r="BJ263" i="1"/>
  <c r="BE263" i="1"/>
  <c r="AV263" i="1"/>
  <c r="AO263" i="1"/>
  <c r="AP263" i="1" s="1"/>
  <c r="AJ263" i="1"/>
  <c r="AL263" i="1" s="1"/>
  <c r="AE263" i="1"/>
  <c r="AG263" i="1" s="1"/>
  <c r="AQ263" i="1" s="1"/>
  <c r="Z263" i="1"/>
  <c r="N263" i="1"/>
  <c r="K263" i="1"/>
  <c r="J263" i="1"/>
  <c r="E263" i="1"/>
  <c r="D263" i="1"/>
  <c r="C263" i="1"/>
  <c r="B263" i="1"/>
  <c r="CY262" i="1"/>
  <c r="CZ262" i="1" s="1"/>
  <c r="CT262" i="1"/>
  <c r="CV262" i="1" s="1"/>
  <c r="CO262" i="1"/>
  <c r="CJ262" i="1"/>
  <c r="BT262" i="1"/>
  <c r="BU262" i="1" s="1"/>
  <c r="BO262" i="1"/>
  <c r="BQ262" i="1" s="1"/>
  <c r="BJ262" i="1"/>
  <c r="BL262" i="1" s="1"/>
  <c r="BE262" i="1"/>
  <c r="AV262" i="1"/>
  <c r="AO262" i="1"/>
  <c r="AP262" i="1" s="1"/>
  <c r="AJ262" i="1"/>
  <c r="AE262" i="1"/>
  <c r="AG262" i="1" s="1"/>
  <c r="Z262" i="1"/>
  <c r="N262" i="1"/>
  <c r="K262" i="1"/>
  <c r="J262" i="1"/>
  <c r="E262" i="1"/>
  <c r="D262" i="1"/>
  <c r="C262" i="1"/>
  <c r="B262" i="1"/>
  <c r="CY261" i="1"/>
  <c r="CZ261" i="1" s="1"/>
  <c r="CT261" i="1"/>
  <c r="CV261" i="1" s="1"/>
  <c r="CO261" i="1"/>
  <c r="CJ261" i="1"/>
  <c r="BT261" i="1"/>
  <c r="BU261" i="1" s="1"/>
  <c r="BO261" i="1"/>
  <c r="BQ261" i="1" s="1"/>
  <c r="BJ261" i="1"/>
  <c r="BE261" i="1"/>
  <c r="AV261" i="1"/>
  <c r="AO261" i="1"/>
  <c r="AP261" i="1" s="1"/>
  <c r="AJ261" i="1"/>
  <c r="AL261" i="1" s="1"/>
  <c r="AE261" i="1"/>
  <c r="Z261" i="1"/>
  <c r="N261" i="1"/>
  <c r="K261" i="1"/>
  <c r="J261" i="1"/>
  <c r="E261" i="1"/>
  <c r="D261" i="1"/>
  <c r="C261" i="1"/>
  <c r="B261" i="1"/>
  <c r="CY260" i="1"/>
  <c r="CZ260" i="1" s="1"/>
  <c r="CT260" i="1"/>
  <c r="CV260" i="1" s="1"/>
  <c r="CO260" i="1"/>
  <c r="CJ260" i="1"/>
  <c r="BT260" i="1"/>
  <c r="BU260" i="1" s="1"/>
  <c r="BO260" i="1"/>
  <c r="BQ260" i="1" s="1"/>
  <c r="BJ260" i="1"/>
  <c r="BE260" i="1"/>
  <c r="AV260" i="1"/>
  <c r="AO260" i="1"/>
  <c r="AP260" i="1" s="1"/>
  <c r="AJ260" i="1"/>
  <c r="AL260" i="1" s="1"/>
  <c r="AE260" i="1"/>
  <c r="AG260" i="1" s="1"/>
  <c r="AQ260" i="1" s="1"/>
  <c r="Z260" i="1"/>
  <c r="N260" i="1"/>
  <c r="K260" i="1"/>
  <c r="J260" i="1"/>
  <c r="E260" i="1"/>
  <c r="D260" i="1"/>
  <c r="C260" i="1"/>
  <c r="B260" i="1"/>
  <c r="CY259" i="1"/>
  <c r="CZ259" i="1" s="1"/>
  <c r="CT259" i="1"/>
  <c r="CV259" i="1" s="1"/>
  <c r="CO259" i="1"/>
  <c r="CJ259" i="1"/>
  <c r="BT259" i="1"/>
  <c r="BU259" i="1" s="1"/>
  <c r="BO259" i="1"/>
  <c r="BQ259" i="1" s="1"/>
  <c r="BJ259" i="1"/>
  <c r="BL259" i="1" s="1"/>
  <c r="BE259" i="1"/>
  <c r="AV259" i="1"/>
  <c r="AO259" i="1"/>
  <c r="AP259" i="1" s="1"/>
  <c r="AJ259" i="1"/>
  <c r="AL259" i="1" s="1"/>
  <c r="AE259" i="1"/>
  <c r="Z259" i="1"/>
  <c r="N259" i="1"/>
  <c r="K259" i="1"/>
  <c r="J259" i="1"/>
  <c r="E259" i="1"/>
  <c r="D259" i="1"/>
  <c r="C259" i="1"/>
  <c r="B259" i="1"/>
  <c r="CY258" i="1"/>
  <c r="CZ258" i="1" s="1"/>
  <c r="CT258" i="1"/>
  <c r="CV258" i="1" s="1"/>
  <c r="CO258" i="1"/>
  <c r="DB258" i="1" s="1"/>
  <c r="CJ258" i="1"/>
  <c r="BT258" i="1"/>
  <c r="BU258" i="1" s="1"/>
  <c r="BO258" i="1"/>
  <c r="BQ258" i="1" s="1"/>
  <c r="BJ258" i="1"/>
  <c r="BE258" i="1"/>
  <c r="AV258" i="1"/>
  <c r="AO258" i="1"/>
  <c r="AP258" i="1" s="1"/>
  <c r="AJ258" i="1"/>
  <c r="AL258" i="1" s="1"/>
  <c r="AE258" i="1"/>
  <c r="AR258" i="1" s="1"/>
  <c r="Z258" i="1"/>
  <c r="N258" i="1"/>
  <c r="K258" i="1"/>
  <c r="J258" i="1"/>
  <c r="E258" i="1"/>
  <c r="D258" i="1"/>
  <c r="C258" i="1"/>
  <c r="B258" i="1"/>
  <c r="CY257" i="1"/>
  <c r="CZ257" i="1" s="1"/>
  <c r="CT257" i="1"/>
  <c r="CO257" i="1"/>
  <c r="CQ257" i="1" s="1"/>
  <c r="CJ257" i="1"/>
  <c r="BT257" i="1"/>
  <c r="BU257" i="1" s="1"/>
  <c r="BO257" i="1"/>
  <c r="BQ257" i="1" s="1"/>
  <c r="BJ257" i="1"/>
  <c r="BL257" i="1" s="1"/>
  <c r="BE257" i="1"/>
  <c r="AV257" i="1"/>
  <c r="AO257" i="1"/>
  <c r="AP257" i="1" s="1"/>
  <c r="AJ257" i="1"/>
  <c r="AL257" i="1" s="1"/>
  <c r="AE257" i="1"/>
  <c r="AG257" i="1" s="1"/>
  <c r="Z257" i="1"/>
  <c r="N257" i="1"/>
  <c r="K257" i="1"/>
  <c r="J257" i="1"/>
  <c r="E257" i="1"/>
  <c r="D257" i="1"/>
  <c r="C257" i="1"/>
  <c r="B257" i="1"/>
  <c r="CY256" i="1"/>
  <c r="CZ256" i="1" s="1"/>
  <c r="CT256" i="1"/>
  <c r="CV256" i="1" s="1"/>
  <c r="CO256" i="1"/>
  <c r="CJ256" i="1"/>
  <c r="BT256" i="1"/>
  <c r="BU256" i="1" s="1"/>
  <c r="BO256" i="1"/>
  <c r="BQ256" i="1" s="1"/>
  <c r="BJ256" i="1"/>
  <c r="BE256" i="1"/>
  <c r="AV256" i="1"/>
  <c r="AO256" i="1"/>
  <c r="AP256" i="1" s="1"/>
  <c r="AJ256" i="1"/>
  <c r="AL256" i="1" s="1"/>
  <c r="AE256" i="1"/>
  <c r="Z256" i="1"/>
  <c r="N256" i="1"/>
  <c r="K256" i="1"/>
  <c r="J256" i="1"/>
  <c r="E256" i="1"/>
  <c r="D256" i="1"/>
  <c r="C256" i="1"/>
  <c r="B256" i="1"/>
  <c r="CY255" i="1"/>
  <c r="CZ255" i="1" s="1"/>
  <c r="CT255" i="1"/>
  <c r="CV255" i="1" s="1"/>
  <c r="CO255" i="1"/>
  <c r="CQ255" i="1" s="1"/>
  <c r="CJ255" i="1"/>
  <c r="BT255" i="1"/>
  <c r="BU255" i="1" s="1"/>
  <c r="BO255" i="1"/>
  <c r="BQ255" i="1" s="1"/>
  <c r="BJ255" i="1"/>
  <c r="BE255" i="1"/>
  <c r="AV255" i="1"/>
  <c r="AO255" i="1"/>
  <c r="AP255" i="1" s="1"/>
  <c r="AJ255" i="1"/>
  <c r="AL255" i="1" s="1"/>
  <c r="AE255" i="1"/>
  <c r="AR255" i="1" s="1"/>
  <c r="Z255" i="1"/>
  <c r="N255" i="1"/>
  <c r="K255" i="1"/>
  <c r="J255" i="1"/>
  <c r="E255" i="1"/>
  <c r="D255" i="1"/>
  <c r="C255" i="1"/>
  <c r="B255" i="1"/>
  <c r="CY254" i="1"/>
  <c r="CZ254" i="1" s="1"/>
  <c r="CT254" i="1"/>
  <c r="CV254" i="1" s="1"/>
  <c r="CO254" i="1"/>
  <c r="CQ254" i="1" s="1"/>
  <c r="DA254" i="1" s="1"/>
  <c r="CJ254" i="1"/>
  <c r="BT254" i="1"/>
  <c r="BU254" i="1" s="1"/>
  <c r="BO254" i="1"/>
  <c r="BQ254" i="1" s="1"/>
  <c r="BJ254" i="1"/>
  <c r="BL254" i="1" s="1"/>
  <c r="BV254" i="1" s="1"/>
  <c r="BE254" i="1"/>
  <c r="AV254" i="1"/>
  <c r="AO254" i="1"/>
  <c r="AP254" i="1" s="1"/>
  <c r="AJ254" i="1"/>
  <c r="AL254" i="1" s="1"/>
  <c r="AE254" i="1"/>
  <c r="Z254" i="1"/>
  <c r="N254" i="1"/>
  <c r="K254" i="1"/>
  <c r="J254" i="1"/>
  <c r="E254" i="1"/>
  <c r="D254" i="1"/>
  <c r="C254" i="1"/>
  <c r="B254" i="1"/>
  <c r="CY253" i="1"/>
  <c r="CZ253" i="1" s="1"/>
  <c r="CT253" i="1"/>
  <c r="CO253" i="1"/>
  <c r="CQ253" i="1" s="1"/>
  <c r="CJ253" i="1"/>
  <c r="BT253" i="1"/>
  <c r="BU253" i="1" s="1"/>
  <c r="BO253" i="1"/>
  <c r="BQ253" i="1" s="1"/>
  <c r="BJ253" i="1"/>
  <c r="BL253" i="1" s="1"/>
  <c r="BV253" i="1" s="1"/>
  <c r="BE253" i="1"/>
  <c r="AV253" i="1"/>
  <c r="AO253" i="1"/>
  <c r="AP253" i="1" s="1"/>
  <c r="AJ253" i="1"/>
  <c r="AL253" i="1" s="1"/>
  <c r="AE253" i="1"/>
  <c r="Z253" i="1"/>
  <c r="N253" i="1"/>
  <c r="K253" i="1"/>
  <c r="J253" i="1"/>
  <c r="E253" i="1"/>
  <c r="D253" i="1"/>
  <c r="C253" i="1"/>
  <c r="B253" i="1"/>
  <c r="CY252" i="1"/>
  <c r="CZ252" i="1" s="1"/>
  <c r="CT252" i="1"/>
  <c r="CV252" i="1" s="1"/>
  <c r="CO252" i="1"/>
  <c r="CQ252" i="1" s="1"/>
  <c r="CJ252" i="1"/>
  <c r="BT252" i="1"/>
  <c r="BU252" i="1" s="1"/>
  <c r="BO252" i="1"/>
  <c r="BQ252" i="1" s="1"/>
  <c r="BJ252" i="1"/>
  <c r="BL252" i="1" s="1"/>
  <c r="BE252" i="1"/>
  <c r="AV252" i="1"/>
  <c r="AO252" i="1"/>
  <c r="AP252" i="1" s="1"/>
  <c r="AJ252" i="1"/>
  <c r="AL252" i="1" s="1"/>
  <c r="AE252" i="1"/>
  <c r="Z252" i="1"/>
  <c r="N252" i="1"/>
  <c r="K252" i="1"/>
  <c r="J252" i="1"/>
  <c r="E252" i="1"/>
  <c r="D252" i="1"/>
  <c r="C252" i="1"/>
  <c r="B252" i="1"/>
  <c r="CY251" i="1"/>
  <c r="CZ251" i="1" s="1"/>
  <c r="CT251" i="1"/>
  <c r="CV251" i="1" s="1"/>
  <c r="CO251" i="1"/>
  <c r="CJ251" i="1"/>
  <c r="BT251" i="1"/>
  <c r="BU251" i="1" s="1"/>
  <c r="BO251" i="1"/>
  <c r="BQ251" i="1" s="1"/>
  <c r="BJ251" i="1"/>
  <c r="BE251" i="1"/>
  <c r="AV251" i="1"/>
  <c r="AO251" i="1"/>
  <c r="AP251" i="1" s="1"/>
  <c r="AJ251" i="1"/>
  <c r="AL251" i="1" s="1"/>
  <c r="AE251" i="1"/>
  <c r="Z251" i="1"/>
  <c r="N251" i="1"/>
  <c r="K251" i="1"/>
  <c r="J251" i="1"/>
  <c r="E251" i="1"/>
  <c r="D251" i="1"/>
  <c r="C251" i="1"/>
  <c r="B251" i="1"/>
  <c r="CY250" i="1"/>
  <c r="CZ250" i="1" s="1"/>
  <c r="CT250" i="1"/>
  <c r="CV250" i="1" s="1"/>
  <c r="CO250" i="1"/>
  <c r="CJ250" i="1"/>
  <c r="BT250" i="1"/>
  <c r="BU250" i="1" s="1"/>
  <c r="BO250" i="1"/>
  <c r="BQ250" i="1" s="1"/>
  <c r="BJ250" i="1"/>
  <c r="BE250" i="1"/>
  <c r="AV250" i="1"/>
  <c r="AO250" i="1"/>
  <c r="AP250" i="1" s="1"/>
  <c r="AJ250" i="1"/>
  <c r="AL250" i="1" s="1"/>
  <c r="AE250" i="1"/>
  <c r="Z250" i="1"/>
  <c r="N250" i="1"/>
  <c r="K250" i="1"/>
  <c r="J250" i="1"/>
  <c r="E250" i="1"/>
  <c r="D250" i="1"/>
  <c r="C250" i="1"/>
  <c r="B250" i="1"/>
  <c r="CY249" i="1"/>
  <c r="CZ249" i="1" s="1"/>
  <c r="CT249" i="1"/>
  <c r="CV249" i="1" s="1"/>
  <c r="CO249" i="1"/>
  <c r="CJ249" i="1"/>
  <c r="BT249" i="1"/>
  <c r="BU249" i="1" s="1"/>
  <c r="BO249" i="1"/>
  <c r="BQ249" i="1" s="1"/>
  <c r="BJ249" i="1"/>
  <c r="BE249" i="1"/>
  <c r="AV249" i="1"/>
  <c r="AO249" i="1"/>
  <c r="AJ249" i="1"/>
  <c r="AL249" i="1" s="1"/>
  <c r="AE249" i="1"/>
  <c r="AG249" i="1" s="1"/>
  <c r="AQ249" i="1" s="1"/>
  <c r="Z249" i="1"/>
  <c r="N249" i="1"/>
  <c r="K249" i="1"/>
  <c r="J249" i="1"/>
  <c r="E249" i="1"/>
  <c r="D249" i="1"/>
  <c r="C249" i="1"/>
  <c r="B249" i="1"/>
  <c r="CY248" i="1"/>
  <c r="CZ248" i="1" s="1"/>
  <c r="CT248" i="1"/>
  <c r="CV248" i="1" s="1"/>
  <c r="CO248" i="1"/>
  <c r="CQ248" i="1" s="1"/>
  <c r="CJ248" i="1"/>
  <c r="BT248" i="1"/>
  <c r="BU248" i="1" s="1"/>
  <c r="BO248" i="1"/>
  <c r="BQ248" i="1" s="1"/>
  <c r="BJ248" i="1"/>
  <c r="BE248" i="1"/>
  <c r="AV248" i="1"/>
  <c r="AO248" i="1"/>
  <c r="AP248" i="1" s="1"/>
  <c r="AJ248" i="1"/>
  <c r="AL248" i="1" s="1"/>
  <c r="AE248" i="1"/>
  <c r="AG248" i="1" s="1"/>
  <c r="Z248" i="1"/>
  <c r="N248" i="1"/>
  <c r="K248" i="1"/>
  <c r="J248" i="1"/>
  <c r="E248" i="1"/>
  <c r="D248" i="1"/>
  <c r="C248" i="1"/>
  <c r="B248" i="1"/>
  <c r="CY247" i="1"/>
  <c r="CZ247" i="1" s="1"/>
  <c r="CT247" i="1"/>
  <c r="CV247" i="1" s="1"/>
  <c r="CO247" i="1"/>
  <c r="CJ247" i="1"/>
  <c r="BT247" i="1"/>
  <c r="BU247" i="1" s="1"/>
  <c r="BO247" i="1"/>
  <c r="BQ247" i="1" s="1"/>
  <c r="BJ247" i="1"/>
  <c r="BL247" i="1" s="1"/>
  <c r="BE247" i="1"/>
  <c r="AV247" i="1"/>
  <c r="AO247" i="1"/>
  <c r="AP247" i="1" s="1"/>
  <c r="AJ247" i="1"/>
  <c r="AL247" i="1" s="1"/>
  <c r="AE247" i="1"/>
  <c r="Z247" i="1"/>
  <c r="N247" i="1"/>
  <c r="K247" i="1"/>
  <c r="J247" i="1"/>
  <c r="E247" i="1"/>
  <c r="D247" i="1"/>
  <c r="C247" i="1"/>
  <c r="B247" i="1"/>
  <c r="CY246" i="1"/>
  <c r="CZ246" i="1" s="1"/>
  <c r="CT246" i="1"/>
  <c r="CV246" i="1" s="1"/>
  <c r="CO246" i="1"/>
  <c r="CJ246" i="1"/>
  <c r="BT246" i="1"/>
  <c r="BU246" i="1" s="1"/>
  <c r="BO246" i="1"/>
  <c r="BQ246" i="1" s="1"/>
  <c r="BJ246" i="1"/>
  <c r="BE246" i="1"/>
  <c r="AV246" i="1"/>
  <c r="AO246" i="1"/>
  <c r="AP246" i="1" s="1"/>
  <c r="AJ246" i="1"/>
  <c r="AL246" i="1" s="1"/>
  <c r="AE246" i="1"/>
  <c r="Z246" i="1"/>
  <c r="N246" i="1"/>
  <c r="K246" i="1"/>
  <c r="J246" i="1"/>
  <c r="E246" i="1"/>
  <c r="D246" i="1"/>
  <c r="C246" i="1"/>
  <c r="B246" i="1"/>
  <c r="CY245" i="1"/>
  <c r="CZ245" i="1" s="1"/>
  <c r="CT245" i="1"/>
  <c r="CV245" i="1" s="1"/>
  <c r="CO245" i="1"/>
  <c r="CJ245" i="1"/>
  <c r="BT245" i="1"/>
  <c r="BU245" i="1" s="1"/>
  <c r="BO245" i="1"/>
  <c r="BQ245" i="1" s="1"/>
  <c r="BJ245" i="1"/>
  <c r="BL245" i="1" s="1"/>
  <c r="BV245" i="1" s="1"/>
  <c r="BE245" i="1"/>
  <c r="AV245" i="1"/>
  <c r="AO245" i="1"/>
  <c r="AP245" i="1" s="1"/>
  <c r="AJ245" i="1"/>
  <c r="AL245" i="1" s="1"/>
  <c r="AE245" i="1"/>
  <c r="Z245" i="1"/>
  <c r="N245" i="1"/>
  <c r="K245" i="1"/>
  <c r="J245" i="1"/>
  <c r="E245" i="1"/>
  <c r="D245" i="1"/>
  <c r="C245" i="1"/>
  <c r="B245" i="1"/>
  <c r="CY244" i="1"/>
  <c r="CZ244" i="1" s="1"/>
  <c r="CT244" i="1"/>
  <c r="CV244" i="1" s="1"/>
  <c r="CO244" i="1"/>
  <c r="CQ244" i="1" s="1"/>
  <c r="DA244" i="1" s="1"/>
  <c r="CJ244" i="1"/>
  <c r="BT244" i="1"/>
  <c r="BU244" i="1" s="1"/>
  <c r="BO244" i="1"/>
  <c r="BQ244" i="1" s="1"/>
  <c r="BJ244" i="1"/>
  <c r="BE244" i="1"/>
  <c r="AV244" i="1"/>
  <c r="AO244" i="1"/>
  <c r="AP244" i="1" s="1"/>
  <c r="AJ244" i="1"/>
  <c r="AL244" i="1" s="1"/>
  <c r="AE244" i="1"/>
  <c r="AG244" i="1" s="1"/>
  <c r="AQ244" i="1" s="1"/>
  <c r="Z244" i="1"/>
  <c r="N244" i="1"/>
  <c r="K244" i="1"/>
  <c r="J244" i="1"/>
  <c r="E244" i="1"/>
  <c r="D244" i="1"/>
  <c r="C244" i="1"/>
  <c r="B244" i="1"/>
  <c r="CY243" i="1"/>
  <c r="CZ243" i="1" s="1"/>
  <c r="CT243" i="1"/>
  <c r="CV243" i="1" s="1"/>
  <c r="CO243" i="1"/>
  <c r="CJ243" i="1"/>
  <c r="BT243" i="1"/>
  <c r="BU243" i="1" s="1"/>
  <c r="BO243" i="1"/>
  <c r="BQ243" i="1" s="1"/>
  <c r="BJ243" i="1"/>
  <c r="BE243" i="1"/>
  <c r="AV243" i="1"/>
  <c r="AO243" i="1"/>
  <c r="AP243" i="1" s="1"/>
  <c r="AJ243" i="1"/>
  <c r="AL243" i="1" s="1"/>
  <c r="AE243" i="1"/>
  <c r="Z243" i="1"/>
  <c r="N243" i="1"/>
  <c r="K243" i="1"/>
  <c r="J243" i="1"/>
  <c r="E243" i="1"/>
  <c r="D243" i="1"/>
  <c r="C243" i="1"/>
  <c r="B243" i="1"/>
  <c r="CY242" i="1"/>
  <c r="CZ242" i="1" s="1"/>
  <c r="CT242" i="1"/>
  <c r="CV242" i="1" s="1"/>
  <c r="CO242" i="1"/>
  <c r="CQ242" i="1" s="1"/>
  <c r="CJ242" i="1"/>
  <c r="BT242" i="1"/>
  <c r="BU242" i="1" s="1"/>
  <c r="BO242" i="1"/>
  <c r="BQ242" i="1" s="1"/>
  <c r="BJ242" i="1"/>
  <c r="BL242" i="1" s="1"/>
  <c r="BE242" i="1"/>
  <c r="AV242" i="1"/>
  <c r="AO242" i="1"/>
  <c r="AP242" i="1" s="1"/>
  <c r="AJ242" i="1"/>
  <c r="AL242" i="1" s="1"/>
  <c r="AE242" i="1"/>
  <c r="AG242" i="1" s="1"/>
  <c r="Z242" i="1"/>
  <c r="N242" i="1"/>
  <c r="K242" i="1"/>
  <c r="J242" i="1"/>
  <c r="E242" i="1"/>
  <c r="D242" i="1"/>
  <c r="C242" i="1"/>
  <c r="B242" i="1"/>
  <c r="CY241" i="1"/>
  <c r="CZ241" i="1" s="1"/>
  <c r="CT241" i="1"/>
  <c r="CV241" i="1" s="1"/>
  <c r="CO241" i="1"/>
  <c r="CQ241" i="1" s="1"/>
  <c r="CJ241" i="1"/>
  <c r="BT241" i="1"/>
  <c r="BU241" i="1" s="1"/>
  <c r="BO241" i="1"/>
  <c r="BQ241" i="1" s="1"/>
  <c r="BJ241" i="1"/>
  <c r="BE241" i="1"/>
  <c r="AV241" i="1"/>
  <c r="AO241" i="1"/>
  <c r="AP241" i="1" s="1"/>
  <c r="AJ241" i="1"/>
  <c r="AE241" i="1"/>
  <c r="AG241" i="1" s="1"/>
  <c r="Z241" i="1"/>
  <c r="N241" i="1"/>
  <c r="K241" i="1"/>
  <c r="J241" i="1"/>
  <c r="E241" i="1"/>
  <c r="D241" i="1"/>
  <c r="C241" i="1"/>
  <c r="B241" i="1"/>
  <c r="CY240" i="1"/>
  <c r="CZ240" i="1" s="1"/>
  <c r="CT240" i="1"/>
  <c r="CV240" i="1" s="1"/>
  <c r="CO240" i="1"/>
  <c r="CQ240" i="1" s="1"/>
  <c r="DA240" i="1" s="1"/>
  <c r="CJ240" i="1"/>
  <c r="BT240" i="1"/>
  <c r="BU240" i="1" s="1"/>
  <c r="BO240" i="1"/>
  <c r="BQ240" i="1" s="1"/>
  <c r="BJ240" i="1"/>
  <c r="BE240" i="1"/>
  <c r="AV240" i="1"/>
  <c r="AO240" i="1"/>
  <c r="AP240" i="1" s="1"/>
  <c r="AJ240" i="1"/>
  <c r="AL240" i="1" s="1"/>
  <c r="AE240" i="1"/>
  <c r="Z240" i="1"/>
  <c r="N240" i="1"/>
  <c r="K240" i="1"/>
  <c r="J240" i="1"/>
  <c r="E240" i="1"/>
  <c r="D240" i="1"/>
  <c r="C240" i="1"/>
  <c r="B240" i="1"/>
  <c r="CY239" i="1"/>
  <c r="CZ239" i="1" s="1"/>
  <c r="CT239" i="1"/>
  <c r="CO239" i="1"/>
  <c r="CQ239" i="1" s="1"/>
  <c r="CJ239" i="1"/>
  <c r="BT239" i="1"/>
  <c r="BU239" i="1" s="1"/>
  <c r="BO239" i="1"/>
  <c r="BQ239" i="1" s="1"/>
  <c r="BJ239" i="1"/>
  <c r="BL239" i="1" s="1"/>
  <c r="BE239" i="1"/>
  <c r="AV239" i="1"/>
  <c r="AO239" i="1"/>
  <c r="AP239" i="1" s="1"/>
  <c r="AJ239" i="1"/>
  <c r="AL239" i="1" s="1"/>
  <c r="AE239" i="1"/>
  <c r="Z239" i="1"/>
  <c r="N239" i="1"/>
  <c r="K239" i="1"/>
  <c r="J239" i="1"/>
  <c r="E239" i="1"/>
  <c r="D239" i="1"/>
  <c r="C239" i="1"/>
  <c r="B239" i="1"/>
  <c r="CY238" i="1"/>
  <c r="CZ238" i="1" s="1"/>
  <c r="CT238" i="1"/>
  <c r="CV238" i="1" s="1"/>
  <c r="CO238" i="1"/>
  <c r="CJ238" i="1"/>
  <c r="BT238" i="1"/>
  <c r="BU238" i="1" s="1"/>
  <c r="BO238" i="1"/>
  <c r="BQ238" i="1" s="1"/>
  <c r="BJ238" i="1"/>
  <c r="BE238" i="1"/>
  <c r="AV238" i="1"/>
  <c r="AO238" i="1"/>
  <c r="AP238" i="1" s="1"/>
  <c r="AJ238" i="1"/>
  <c r="AL238" i="1" s="1"/>
  <c r="AE238" i="1"/>
  <c r="Z238" i="1"/>
  <c r="N238" i="1"/>
  <c r="K238" i="1"/>
  <c r="J238" i="1"/>
  <c r="E238" i="1"/>
  <c r="D238" i="1"/>
  <c r="C238" i="1"/>
  <c r="B238" i="1"/>
  <c r="CY237" i="1"/>
  <c r="CZ237" i="1" s="1"/>
  <c r="CT237" i="1"/>
  <c r="CV237" i="1" s="1"/>
  <c r="CO237" i="1"/>
  <c r="CJ237" i="1"/>
  <c r="BT237" i="1"/>
  <c r="BU237" i="1" s="1"/>
  <c r="BO237" i="1"/>
  <c r="BQ237" i="1" s="1"/>
  <c r="BJ237" i="1"/>
  <c r="BE237" i="1"/>
  <c r="AV237" i="1"/>
  <c r="AO237" i="1"/>
  <c r="AP237" i="1" s="1"/>
  <c r="AJ237" i="1"/>
  <c r="AL237" i="1" s="1"/>
  <c r="AE237" i="1"/>
  <c r="AG237" i="1" s="1"/>
  <c r="AQ237" i="1" s="1"/>
  <c r="Z237" i="1"/>
  <c r="N237" i="1"/>
  <c r="K237" i="1"/>
  <c r="J237" i="1"/>
  <c r="E237" i="1"/>
  <c r="D237" i="1"/>
  <c r="C237" i="1"/>
  <c r="B237" i="1"/>
  <c r="CY236" i="1"/>
  <c r="CZ236" i="1" s="1"/>
  <c r="CT236" i="1"/>
  <c r="CV236" i="1" s="1"/>
  <c r="CO236" i="1"/>
  <c r="CJ236" i="1"/>
  <c r="BT236" i="1"/>
  <c r="BU236" i="1" s="1"/>
  <c r="BO236" i="1"/>
  <c r="BQ236" i="1" s="1"/>
  <c r="BJ236" i="1"/>
  <c r="BL236" i="1" s="1"/>
  <c r="BE236" i="1"/>
  <c r="AV236" i="1"/>
  <c r="AO236" i="1"/>
  <c r="AP236" i="1" s="1"/>
  <c r="AJ236" i="1"/>
  <c r="AL236" i="1" s="1"/>
  <c r="AE236" i="1"/>
  <c r="AG236" i="1" s="1"/>
  <c r="AQ236" i="1" s="1"/>
  <c r="Z236" i="1"/>
  <c r="N236" i="1"/>
  <c r="K236" i="1"/>
  <c r="J236" i="1"/>
  <c r="E236" i="1"/>
  <c r="D236" i="1"/>
  <c r="C236" i="1"/>
  <c r="B236" i="1"/>
  <c r="CY235" i="1"/>
  <c r="CZ235" i="1" s="1"/>
  <c r="CT235" i="1"/>
  <c r="CV235" i="1" s="1"/>
  <c r="CO235" i="1"/>
  <c r="CJ235" i="1"/>
  <c r="BT235" i="1"/>
  <c r="BU235" i="1" s="1"/>
  <c r="BO235" i="1"/>
  <c r="BQ235" i="1" s="1"/>
  <c r="BJ235" i="1"/>
  <c r="BE235" i="1"/>
  <c r="AV235" i="1"/>
  <c r="AO235" i="1"/>
  <c r="AP235" i="1" s="1"/>
  <c r="AJ235" i="1"/>
  <c r="AL235" i="1" s="1"/>
  <c r="AE235" i="1"/>
  <c r="Z235" i="1"/>
  <c r="N235" i="1"/>
  <c r="K235" i="1"/>
  <c r="J235" i="1"/>
  <c r="E235" i="1"/>
  <c r="D235" i="1"/>
  <c r="C235" i="1"/>
  <c r="B235" i="1"/>
  <c r="CY234" i="1"/>
  <c r="CZ234" i="1" s="1"/>
  <c r="CT234" i="1"/>
  <c r="CV234" i="1" s="1"/>
  <c r="CO234" i="1"/>
  <c r="DB234" i="1" s="1"/>
  <c r="CJ234" i="1"/>
  <c r="BT234" i="1"/>
  <c r="BU234" i="1" s="1"/>
  <c r="BO234" i="1"/>
  <c r="BQ234" i="1" s="1"/>
  <c r="BJ234" i="1"/>
  <c r="BE234" i="1"/>
  <c r="AV234" i="1"/>
  <c r="AO234" i="1"/>
  <c r="AP234" i="1" s="1"/>
  <c r="AJ234" i="1"/>
  <c r="AL234" i="1" s="1"/>
  <c r="AE234" i="1"/>
  <c r="Z234" i="1"/>
  <c r="N234" i="1"/>
  <c r="K234" i="1"/>
  <c r="J234" i="1"/>
  <c r="E234" i="1"/>
  <c r="D234" i="1"/>
  <c r="C234" i="1"/>
  <c r="B234" i="1"/>
  <c r="CY233" i="1"/>
  <c r="CZ233" i="1" s="1"/>
  <c r="CT233" i="1"/>
  <c r="CV233" i="1" s="1"/>
  <c r="CO233" i="1"/>
  <c r="CQ233" i="1" s="1"/>
  <c r="DA233" i="1" s="1"/>
  <c r="CJ233" i="1"/>
  <c r="BT233" i="1"/>
  <c r="BU233" i="1" s="1"/>
  <c r="BO233" i="1"/>
  <c r="BQ233" i="1" s="1"/>
  <c r="BJ233" i="1"/>
  <c r="BL233" i="1" s="1"/>
  <c r="BV233" i="1" s="1"/>
  <c r="BE233" i="1"/>
  <c r="AV233" i="1"/>
  <c r="AO233" i="1"/>
  <c r="AJ233" i="1"/>
  <c r="AL233" i="1" s="1"/>
  <c r="AE233" i="1"/>
  <c r="AG233" i="1" s="1"/>
  <c r="AQ233" i="1" s="1"/>
  <c r="Z233" i="1"/>
  <c r="N233" i="1"/>
  <c r="K233" i="1"/>
  <c r="J233" i="1"/>
  <c r="E233" i="1"/>
  <c r="D233" i="1"/>
  <c r="C233" i="1"/>
  <c r="B233" i="1"/>
  <c r="CY232" i="1"/>
  <c r="CZ232" i="1" s="1"/>
  <c r="CT232" i="1"/>
  <c r="CV232" i="1" s="1"/>
  <c r="CO232" i="1"/>
  <c r="DB232" i="1" s="1"/>
  <c r="CJ232" i="1"/>
  <c r="BT232" i="1"/>
  <c r="BU232" i="1" s="1"/>
  <c r="BO232" i="1"/>
  <c r="BQ232" i="1" s="1"/>
  <c r="BJ232" i="1"/>
  <c r="BL232" i="1" s="1"/>
  <c r="BV232" i="1" s="1"/>
  <c r="BE232" i="1"/>
  <c r="AV232" i="1"/>
  <c r="AO232" i="1"/>
  <c r="AP232" i="1" s="1"/>
  <c r="AJ232" i="1"/>
  <c r="AL232" i="1" s="1"/>
  <c r="AE232" i="1"/>
  <c r="Z232" i="1"/>
  <c r="N232" i="1"/>
  <c r="K232" i="1"/>
  <c r="J232" i="1"/>
  <c r="E232" i="1"/>
  <c r="D232" i="1"/>
  <c r="C232" i="1"/>
  <c r="B232" i="1"/>
  <c r="CY231" i="1"/>
  <c r="CZ231" i="1" s="1"/>
  <c r="CT231" i="1"/>
  <c r="CV231" i="1" s="1"/>
  <c r="CO231" i="1"/>
  <c r="CQ231" i="1" s="1"/>
  <c r="DA231" i="1" s="1"/>
  <c r="CJ231" i="1"/>
  <c r="BT231" i="1"/>
  <c r="BO231" i="1"/>
  <c r="BQ231" i="1" s="1"/>
  <c r="BJ231" i="1"/>
  <c r="BL231" i="1" s="1"/>
  <c r="BV231" i="1" s="1"/>
  <c r="BE231" i="1"/>
  <c r="AV231" i="1"/>
  <c r="AO231" i="1"/>
  <c r="AP231" i="1" s="1"/>
  <c r="AJ231" i="1"/>
  <c r="AL231" i="1" s="1"/>
  <c r="AE231" i="1"/>
  <c r="AG231" i="1" s="1"/>
  <c r="Z231" i="1"/>
  <c r="N231" i="1"/>
  <c r="K231" i="1"/>
  <c r="J231" i="1"/>
  <c r="E231" i="1"/>
  <c r="D231" i="1"/>
  <c r="C231" i="1"/>
  <c r="B231" i="1"/>
  <c r="CY230" i="1"/>
  <c r="CZ230" i="1" s="1"/>
  <c r="CT230" i="1"/>
  <c r="CV230" i="1" s="1"/>
  <c r="CO230" i="1"/>
  <c r="CJ230" i="1"/>
  <c r="BT230" i="1"/>
  <c r="BU230" i="1" s="1"/>
  <c r="BO230" i="1"/>
  <c r="BQ230" i="1" s="1"/>
  <c r="BJ230" i="1"/>
  <c r="BE230" i="1"/>
  <c r="AV230" i="1"/>
  <c r="AO230" i="1"/>
  <c r="AP230" i="1" s="1"/>
  <c r="AJ230" i="1"/>
  <c r="AL230" i="1" s="1"/>
  <c r="AE230" i="1"/>
  <c r="Z230" i="1"/>
  <c r="N230" i="1"/>
  <c r="K230" i="1"/>
  <c r="J230" i="1"/>
  <c r="E230" i="1"/>
  <c r="D230" i="1"/>
  <c r="C230" i="1"/>
  <c r="B230" i="1"/>
  <c r="CY229" i="1"/>
  <c r="CZ229" i="1" s="1"/>
  <c r="CT229" i="1"/>
  <c r="CV229" i="1" s="1"/>
  <c r="CO229" i="1"/>
  <c r="CJ229" i="1"/>
  <c r="BT229" i="1"/>
  <c r="BU229" i="1" s="1"/>
  <c r="BO229" i="1"/>
  <c r="BQ229" i="1" s="1"/>
  <c r="BJ229" i="1"/>
  <c r="BL229" i="1" s="1"/>
  <c r="BV229" i="1" s="1"/>
  <c r="BE229" i="1"/>
  <c r="AV229" i="1"/>
  <c r="AO229" i="1"/>
  <c r="AP229" i="1" s="1"/>
  <c r="AJ229" i="1"/>
  <c r="AL229" i="1" s="1"/>
  <c r="AE229" i="1"/>
  <c r="Z229" i="1"/>
  <c r="N229" i="1"/>
  <c r="K229" i="1"/>
  <c r="J229" i="1"/>
  <c r="E229" i="1"/>
  <c r="D229" i="1"/>
  <c r="C229" i="1"/>
  <c r="B229" i="1"/>
  <c r="CY228" i="1"/>
  <c r="CZ228" i="1" s="1"/>
  <c r="CT228" i="1"/>
  <c r="CV228" i="1" s="1"/>
  <c r="CO228" i="1"/>
  <c r="CJ228" i="1"/>
  <c r="BT228" i="1"/>
  <c r="BU228" i="1" s="1"/>
  <c r="BO228" i="1"/>
  <c r="BQ228" i="1" s="1"/>
  <c r="BJ228" i="1"/>
  <c r="BE228" i="1"/>
  <c r="AV228" i="1"/>
  <c r="AO228" i="1"/>
  <c r="AP228" i="1" s="1"/>
  <c r="AJ228" i="1"/>
  <c r="AL228" i="1" s="1"/>
  <c r="AE228" i="1"/>
  <c r="AG228" i="1" s="1"/>
  <c r="AQ228" i="1" s="1"/>
  <c r="Z228" i="1"/>
  <c r="N228" i="1"/>
  <c r="K228" i="1"/>
  <c r="J228" i="1"/>
  <c r="E228" i="1"/>
  <c r="D228" i="1"/>
  <c r="C228" i="1"/>
  <c r="B228" i="1"/>
  <c r="CY227" i="1"/>
  <c r="CZ227" i="1" s="1"/>
  <c r="CT227" i="1"/>
  <c r="CV227" i="1" s="1"/>
  <c r="CO227" i="1"/>
  <c r="CJ227" i="1"/>
  <c r="BT227" i="1"/>
  <c r="BU227" i="1" s="1"/>
  <c r="BO227" i="1"/>
  <c r="BQ227" i="1" s="1"/>
  <c r="BJ227" i="1"/>
  <c r="BE227" i="1"/>
  <c r="AV227" i="1"/>
  <c r="AO227" i="1"/>
  <c r="AP227" i="1" s="1"/>
  <c r="AJ227" i="1"/>
  <c r="AL227" i="1" s="1"/>
  <c r="AE227" i="1"/>
  <c r="Z227" i="1"/>
  <c r="N227" i="1"/>
  <c r="K227" i="1"/>
  <c r="J227" i="1"/>
  <c r="E227" i="1"/>
  <c r="D227" i="1"/>
  <c r="C227" i="1"/>
  <c r="B227" i="1"/>
  <c r="CY226" i="1"/>
  <c r="CZ226" i="1" s="1"/>
  <c r="CT226" i="1"/>
  <c r="CV226" i="1" s="1"/>
  <c r="CO226" i="1"/>
  <c r="CQ226" i="1" s="1"/>
  <c r="CJ226" i="1"/>
  <c r="BT226" i="1"/>
  <c r="BU226" i="1" s="1"/>
  <c r="BO226" i="1"/>
  <c r="BQ226" i="1" s="1"/>
  <c r="BJ226" i="1"/>
  <c r="BE226" i="1"/>
  <c r="AV226" i="1"/>
  <c r="AO226" i="1"/>
  <c r="AP226" i="1" s="1"/>
  <c r="AJ226" i="1"/>
  <c r="AL226" i="1" s="1"/>
  <c r="AE226" i="1"/>
  <c r="AG226" i="1" s="1"/>
  <c r="Z226" i="1"/>
  <c r="N226" i="1"/>
  <c r="K226" i="1"/>
  <c r="J226" i="1"/>
  <c r="E226" i="1"/>
  <c r="D226" i="1"/>
  <c r="C226" i="1"/>
  <c r="B226" i="1"/>
  <c r="CY225" i="1"/>
  <c r="CZ225" i="1" s="1"/>
  <c r="CT225" i="1"/>
  <c r="CV225" i="1" s="1"/>
  <c r="CO225" i="1"/>
  <c r="CJ225" i="1"/>
  <c r="BT225" i="1"/>
  <c r="BU225" i="1" s="1"/>
  <c r="BO225" i="1"/>
  <c r="BQ225" i="1" s="1"/>
  <c r="BJ225" i="1"/>
  <c r="BE225" i="1"/>
  <c r="AV225" i="1"/>
  <c r="AO225" i="1"/>
  <c r="AP225" i="1" s="1"/>
  <c r="AJ225" i="1"/>
  <c r="AL225" i="1" s="1"/>
  <c r="AE225" i="1"/>
  <c r="Z225" i="1"/>
  <c r="N225" i="1"/>
  <c r="K225" i="1"/>
  <c r="J225" i="1"/>
  <c r="E225" i="1"/>
  <c r="D225" i="1"/>
  <c r="C225" i="1"/>
  <c r="B225" i="1"/>
  <c r="CY224" i="1"/>
  <c r="CZ224" i="1" s="1"/>
  <c r="CT224" i="1"/>
  <c r="CV224" i="1" s="1"/>
  <c r="CO224" i="1"/>
  <c r="DB224" i="1" s="1"/>
  <c r="CJ224" i="1"/>
  <c r="BT224" i="1"/>
  <c r="BU224" i="1" s="1"/>
  <c r="BO224" i="1"/>
  <c r="BQ224" i="1" s="1"/>
  <c r="BJ224" i="1"/>
  <c r="BE224" i="1"/>
  <c r="AV224" i="1"/>
  <c r="AO224" i="1"/>
  <c r="AP224" i="1" s="1"/>
  <c r="AJ224" i="1"/>
  <c r="AL224" i="1" s="1"/>
  <c r="AE224" i="1"/>
  <c r="AG224" i="1" s="1"/>
  <c r="AQ224" i="1" s="1"/>
  <c r="Z224" i="1"/>
  <c r="N224" i="1"/>
  <c r="K224" i="1"/>
  <c r="J224" i="1"/>
  <c r="E224" i="1"/>
  <c r="D224" i="1"/>
  <c r="C224" i="1"/>
  <c r="B224" i="1"/>
  <c r="CY223" i="1"/>
  <c r="CZ223" i="1" s="1"/>
  <c r="CT223" i="1"/>
  <c r="CV223" i="1" s="1"/>
  <c r="CO223" i="1"/>
  <c r="DB223" i="1" s="1"/>
  <c r="CJ223" i="1"/>
  <c r="BT223" i="1"/>
  <c r="BU223" i="1" s="1"/>
  <c r="BO223" i="1"/>
  <c r="BQ223" i="1" s="1"/>
  <c r="BJ223" i="1"/>
  <c r="BW223" i="1" s="1"/>
  <c r="BE223" i="1"/>
  <c r="AV223" i="1"/>
  <c r="AO223" i="1"/>
  <c r="AP223" i="1" s="1"/>
  <c r="AJ223" i="1"/>
  <c r="AL223" i="1" s="1"/>
  <c r="AE223" i="1"/>
  <c r="Z223" i="1"/>
  <c r="N223" i="1"/>
  <c r="K223" i="1"/>
  <c r="J223" i="1"/>
  <c r="E223" i="1"/>
  <c r="D223" i="1"/>
  <c r="C223" i="1"/>
  <c r="B223" i="1"/>
  <c r="CY222" i="1"/>
  <c r="CZ222" i="1" s="1"/>
  <c r="CT222" i="1"/>
  <c r="CV222" i="1" s="1"/>
  <c r="CO222" i="1"/>
  <c r="CQ222" i="1" s="1"/>
  <c r="DA222" i="1" s="1"/>
  <c r="CJ222" i="1"/>
  <c r="BT222" i="1"/>
  <c r="BU222" i="1" s="1"/>
  <c r="BO222" i="1"/>
  <c r="BQ222" i="1" s="1"/>
  <c r="BJ222" i="1"/>
  <c r="BE222" i="1"/>
  <c r="AV222" i="1"/>
  <c r="AO222" i="1"/>
  <c r="AP222" i="1" s="1"/>
  <c r="AJ222" i="1"/>
  <c r="AL222" i="1" s="1"/>
  <c r="AE222" i="1"/>
  <c r="Z222" i="1"/>
  <c r="N222" i="1"/>
  <c r="K222" i="1"/>
  <c r="J222" i="1"/>
  <c r="E222" i="1"/>
  <c r="D222" i="1"/>
  <c r="C222" i="1"/>
  <c r="B222" i="1"/>
  <c r="CY221" i="1"/>
  <c r="CT221" i="1"/>
  <c r="CV221" i="1" s="1"/>
  <c r="CO221" i="1"/>
  <c r="CQ221" i="1" s="1"/>
  <c r="DA221" i="1" s="1"/>
  <c r="CJ221" i="1"/>
  <c r="BT221" i="1"/>
  <c r="BU221" i="1" s="1"/>
  <c r="BO221" i="1"/>
  <c r="BJ221" i="1"/>
  <c r="BL221" i="1" s="1"/>
  <c r="BE221" i="1"/>
  <c r="AV221" i="1"/>
  <c r="AO221" i="1"/>
  <c r="AP221" i="1" s="1"/>
  <c r="AJ221" i="1"/>
  <c r="AL221" i="1" s="1"/>
  <c r="AE221" i="1"/>
  <c r="AG221" i="1" s="1"/>
  <c r="AQ221" i="1" s="1"/>
  <c r="Z221" i="1"/>
  <c r="N221" i="1"/>
  <c r="K221" i="1"/>
  <c r="J221" i="1"/>
  <c r="E221" i="1"/>
  <c r="D221" i="1"/>
  <c r="C221" i="1"/>
  <c r="B221" i="1"/>
  <c r="CY220" i="1"/>
  <c r="CZ220" i="1" s="1"/>
  <c r="CT220" i="1"/>
  <c r="CV220" i="1" s="1"/>
  <c r="CO220" i="1"/>
  <c r="CJ220" i="1"/>
  <c r="BT220" i="1"/>
  <c r="BU220" i="1" s="1"/>
  <c r="BO220" i="1"/>
  <c r="BQ220" i="1" s="1"/>
  <c r="BJ220" i="1"/>
  <c r="BE220" i="1"/>
  <c r="AV220" i="1"/>
  <c r="AO220" i="1"/>
  <c r="AP220" i="1" s="1"/>
  <c r="AJ220" i="1"/>
  <c r="AL220" i="1" s="1"/>
  <c r="AE220" i="1"/>
  <c r="Z220" i="1"/>
  <c r="N220" i="1"/>
  <c r="K220" i="1"/>
  <c r="J220" i="1"/>
  <c r="E220" i="1"/>
  <c r="D220" i="1"/>
  <c r="C220" i="1"/>
  <c r="B220" i="1"/>
  <c r="CY219" i="1"/>
  <c r="CZ219" i="1" s="1"/>
  <c r="CT219" i="1"/>
  <c r="CV219" i="1" s="1"/>
  <c r="CO219" i="1"/>
  <c r="CJ219" i="1"/>
  <c r="BT219" i="1"/>
  <c r="BU219" i="1" s="1"/>
  <c r="BO219" i="1"/>
  <c r="BQ219" i="1" s="1"/>
  <c r="BJ219" i="1"/>
  <c r="BL219" i="1" s="1"/>
  <c r="BV219" i="1" s="1"/>
  <c r="BE219" i="1"/>
  <c r="AV219" i="1"/>
  <c r="AO219" i="1"/>
  <c r="AP219" i="1" s="1"/>
  <c r="AJ219" i="1"/>
  <c r="AL219" i="1" s="1"/>
  <c r="AE219" i="1"/>
  <c r="AG219" i="1" s="1"/>
  <c r="AQ219" i="1" s="1"/>
  <c r="Z219" i="1"/>
  <c r="N219" i="1"/>
  <c r="K219" i="1"/>
  <c r="J219" i="1"/>
  <c r="E219" i="1"/>
  <c r="D219" i="1"/>
  <c r="C219" i="1"/>
  <c r="B219" i="1"/>
  <c r="CY218" i="1"/>
  <c r="CZ218" i="1" s="1"/>
  <c r="CT218" i="1"/>
  <c r="CV218" i="1" s="1"/>
  <c r="CO218" i="1"/>
  <c r="CJ218" i="1"/>
  <c r="BT218" i="1"/>
  <c r="BU218" i="1" s="1"/>
  <c r="BO218" i="1"/>
  <c r="BQ218" i="1" s="1"/>
  <c r="BJ218" i="1"/>
  <c r="BL218" i="1" s="1"/>
  <c r="BE218" i="1"/>
  <c r="AV218" i="1"/>
  <c r="AO218" i="1"/>
  <c r="AP218" i="1" s="1"/>
  <c r="AJ218" i="1"/>
  <c r="AL218" i="1" s="1"/>
  <c r="AE218" i="1"/>
  <c r="AG218" i="1" s="1"/>
  <c r="AQ218" i="1" s="1"/>
  <c r="Z218" i="1"/>
  <c r="N218" i="1"/>
  <c r="K218" i="1"/>
  <c r="J218" i="1"/>
  <c r="E218" i="1"/>
  <c r="D218" i="1"/>
  <c r="C218" i="1"/>
  <c r="B218" i="1"/>
  <c r="CY217" i="1"/>
  <c r="CZ217" i="1" s="1"/>
  <c r="CT217" i="1"/>
  <c r="CV217" i="1" s="1"/>
  <c r="CO217" i="1"/>
  <c r="CJ217" i="1"/>
  <c r="BT217" i="1"/>
  <c r="BU217" i="1" s="1"/>
  <c r="BO217" i="1"/>
  <c r="BQ217" i="1" s="1"/>
  <c r="BJ217" i="1"/>
  <c r="BE217" i="1"/>
  <c r="AV217" i="1"/>
  <c r="AO217" i="1"/>
  <c r="AP217" i="1" s="1"/>
  <c r="AJ217" i="1"/>
  <c r="AL217" i="1" s="1"/>
  <c r="AE217" i="1"/>
  <c r="AG217" i="1" s="1"/>
  <c r="Z217" i="1"/>
  <c r="N217" i="1"/>
  <c r="K217" i="1"/>
  <c r="J217" i="1"/>
  <c r="E217" i="1"/>
  <c r="D217" i="1"/>
  <c r="C217" i="1"/>
  <c r="B217" i="1"/>
  <c r="CY216" i="1"/>
  <c r="CZ216" i="1" s="1"/>
  <c r="CT216" i="1"/>
  <c r="CV216" i="1" s="1"/>
  <c r="CO216" i="1"/>
  <c r="CQ216" i="1" s="1"/>
  <c r="CJ216" i="1"/>
  <c r="BT216" i="1"/>
  <c r="BU216" i="1" s="1"/>
  <c r="BO216" i="1"/>
  <c r="BQ216" i="1" s="1"/>
  <c r="BJ216" i="1"/>
  <c r="BE216" i="1"/>
  <c r="AV216" i="1"/>
  <c r="AO216" i="1"/>
  <c r="AP216" i="1" s="1"/>
  <c r="AJ216" i="1"/>
  <c r="AL216" i="1" s="1"/>
  <c r="AE216" i="1"/>
  <c r="Z216" i="1"/>
  <c r="N216" i="1"/>
  <c r="K216" i="1"/>
  <c r="J216" i="1"/>
  <c r="E216" i="1"/>
  <c r="D216" i="1"/>
  <c r="C216" i="1"/>
  <c r="B216" i="1"/>
  <c r="CY215" i="1"/>
  <c r="CZ215" i="1" s="1"/>
  <c r="CT215" i="1"/>
  <c r="CO215" i="1"/>
  <c r="CQ215" i="1" s="1"/>
  <c r="CJ215" i="1"/>
  <c r="BT215" i="1"/>
  <c r="BU215" i="1" s="1"/>
  <c r="BO215" i="1"/>
  <c r="BJ215" i="1"/>
  <c r="BL215" i="1" s="1"/>
  <c r="BE215" i="1"/>
  <c r="AV215" i="1"/>
  <c r="AO215" i="1"/>
  <c r="AP215" i="1" s="1"/>
  <c r="AJ215" i="1"/>
  <c r="AE215" i="1"/>
  <c r="AG215" i="1" s="1"/>
  <c r="Z215" i="1"/>
  <c r="N215" i="1"/>
  <c r="K215" i="1"/>
  <c r="J215" i="1"/>
  <c r="E215" i="1"/>
  <c r="D215" i="1"/>
  <c r="C215" i="1"/>
  <c r="B215" i="1"/>
  <c r="CY214" i="1"/>
  <c r="CZ214" i="1" s="1"/>
  <c r="CT214" i="1"/>
  <c r="CV214" i="1" s="1"/>
  <c r="CO214" i="1"/>
  <c r="CJ214" i="1"/>
  <c r="BT214" i="1"/>
  <c r="BU214" i="1" s="1"/>
  <c r="BO214" i="1"/>
  <c r="BQ214" i="1" s="1"/>
  <c r="BJ214" i="1"/>
  <c r="BE214" i="1"/>
  <c r="AV214" i="1"/>
  <c r="AO214" i="1"/>
  <c r="AP214" i="1" s="1"/>
  <c r="AJ214" i="1"/>
  <c r="AL214" i="1" s="1"/>
  <c r="AE214" i="1"/>
  <c r="Z214" i="1"/>
  <c r="N214" i="1"/>
  <c r="K214" i="1"/>
  <c r="J214" i="1"/>
  <c r="E214" i="1"/>
  <c r="D214" i="1"/>
  <c r="C214" i="1"/>
  <c r="B214" i="1"/>
  <c r="CY213" i="1"/>
  <c r="CZ213" i="1" s="1"/>
  <c r="CT213" i="1"/>
  <c r="CV213" i="1" s="1"/>
  <c r="CO213" i="1"/>
  <c r="CJ213" i="1"/>
  <c r="BT213" i="1"/>
  <c r="BU213" i="1" s="1"/>
  <c r="BO213" i="1"/>
  <c r="BQ213" i="1" s="1"/>
  <c r="BJ213" i="1"/>
  <c r="BL213" i="1" s="1"/>
  <c r="BE213" i="1"/>
  <c r="AV213" i="1"/>
  <c r="AO213" i="1"/>
  <c r="AP213" i="1" s="1"/>
  <c r="AJ213" i="1"/>
  <c r="AL213" i="1" s="1"/>
  <c r="AE213" i="1"/>
  <c r="Z213" i="1"/>
  <c r="N213" i="1"/>
  <c r="K213" i="1"/>
  <c r="J213" i="1"/>
  <c r="E213" i="1"/>
  <c r="D213" i="1"/>
  <c r="C213" i="1"/>
  <c r="B213" i="1"/>
  <c r="CY212" i="1"/>
  <c r="CZ212" i="1" s="1"/>
  <c r="CT212" i="1"/>
  <c r="CV212" i="1" s="1"/>
  <c r="CO212" i="1"/>
  <c r="CJ212" i="1"/>
  <c r="BT212" i="1"/>
  <c r="BU212" i="1" s="1"/>
  <c r="BO212" i="1"/>
  <c r="BQ212" i="1" s="1"/>
  <c r="BJ212" i="1"/>
  <c r="BE212" i="1"/>
  <c r="AV212" i="1"/>
  <c r="AO212" i="1"/>
  <c r="AP212" i="1" s="1"/>
  <c r="AJ212" i="1"/>
  <c r="AL212" i="1" s="1"/>
  <c r="AE212" i="1"/>
  <c r="Z212" i="1"/>
  <c r="N212" i="1"/>
  <c r="K212" i="1"/>
  <c r="J212" i="1"/>
  <c r="E212" i="1"/>
  <c r="D212" i="1"/>
  <c r="C212" i="1"/>
  <c r="B212" i="1"/>
  <c r="CY211" i="1"/>
  <c r="CZ211" i="1" s="1"/>
  <c r="CT211" i="1"/>
  <c r="CO211" i="1"/>
  <c r="CQ211" i="1" s="1"/>
  <c r="CJ211" i="1"/>
  <c r="BT211" i="1"/>
  <c r="BU211" i="1" s="1"/>
  <c r="BO211" i="1"/>
  <c r="BJ211" i="1"/>
  <c r="BL211" i="1" s="1"/>
  <c r="BE211" i="1"/>
  <c r="AV211" i="1"/>
  <c r="AO211" i="1"/>
  <c r="AP211" i="1" s="1"/>
  <c r="AJ211" i="1"/>
  <c r="AE211" i="1"/>
  <c r="AG211" i="1" s="1"/>
  <c r="Z211" i="1"/>
  <c r="N211" i="1"/>
  <c r="K211" i="1"/>
  <c r="J211" i="1"/>
  <c r="E211" i="1"/>
  <c r="D211" i="1"/>
  <c r="C211" i="1"/>
  <c r="B211" i="1"/>
  <c r="CY210" i="1"/>
  <c r="CZ210" i="1" s="1"/>
  <c r="CT210" i="1"/>
  <c r="CV210" i="1" s="1"/>
  <c r="CO210" i="1"/>
  <c r="CQ210" i="1" s="1"/>
  <c r="CJ210" i="1"/>
  <c r="BT210" i="1"/>
  <c r="BU210" i="1" s="1"/>
  <c r="BO210" i="1"/>
  <c r="BQ210" i="1" s="1"/>
  <c r="BJ210" i="1"/>
  <c r="BL210" i="1" s="1"/>
  <c r="BE210" i="1"/>
  <c r="AV210" i="1"/>
  <c r="AO210" i="1"/>
  <c r="AP210" i="1" s="1"/>
  <c r="AJ210" i="1"/>
  <c r="AL210" i="1" s="1"/>
  <c r="AE210" i="1"/>
  <c r="Z210" i="1"/>
  <c r="N210" i="1"/>
  <c r="K210" i="1"/>
  <c r="J210" i="1"/>
  <c r="E210" i="1"/>
  <c r="D210" i="1"/>
  <c r="C210" i="1"/>
  <c r="B210" i="1"/>
  <c r="CY209" i="1"/>
  <c r="CZ209" i="1" s="1"/>
  <c r="CT209" i="1"/>
  <c r="CV209" i="1" s="1"/>
  <c r="CO209" i="1"/>
  <c r="DB209" i="1" s="1"/>
  <c r="CJ209" i="1"/>
  <c r="BT209" i="1"/>
  <c r="BU209" i="1" s="1"/>
  <c r="BO209" i="1"/>
  <c r="BQ209" i="1" s="1"/>
  <c r="BJ209" i="1"/>
  <c r="BE209" i="1"/>
  <c r="AV209" i="1"/>
  <c r="AO209" i="1"/>
  <c r="AP209" i="1" s="1"/>
  <c r="AJ209" i="1"/>
  <c r="AL209" i="1" s="1"/>
  <c r="AE209" i="1"/>
  <c r="AG209" i="1" s="1"/>
  <c r="Z209" i="1"/>
  <c r="N209" i="1"/>
  <c r="K209" i="1"/>
  <c r="J209" i="1"/>
  <c r="E209" i="1"/>
  <c r="D209" i="1"/>
  <c r="C209" i="1"/>
  <c r="B209" i="1"/>
  <c r="CY208" i="1"/>
  <c r="CZ208" i="1" s="1"/>
  <c r="CT208" i="1"/>
  <c r="CV208" i="1" s="1"/>
  <c r="CO208" i="1"/>
  <c r="CJ208" i="1"/>
  <c r="BT208" i="1"/>
  <c r="BU208" i="1" s="1"/>
  <c r="BO208" i="1"/>
  <c r="BQ208" i="1" s="1"/>
  <c r="BJ208" i="1"/>
  <c r="BL208" i="1" s="1"/>
  <c r="BE208" i="1"/>
  <c r="AV208" i="1"/>
  <c r="AO208" i="1"/>
  <c r="AP208" i="1" s="1"/>
  <c r="AJ208" i="1"/>
  <c r="AL208" i="1" s="1"/>
  <c r="AE208" i="1"/>
  <c r="AG208" i="1" s="1"/>
  <c r="AQ208" i="1" s="1"/>
  <c r="Z208" i="1"/>
  <c r="N208" i="1"/>
  <c r="K208" i="1"/>
  <c r="J208" i="1"/>
  <c r="E208" i="1"/>
  <c r="D208" i="1"/>
  <c r="C208" i="1"/>
  <c r="B208" i="1"/>
  <c r="CY207" i="1"/>
  <c r="CZ207" i="1" s="1"/>
  <c r="CT207" i="1"/>
  <c r="CV207" i="1" s="1"/>
  <c r="CO207" i="1"/>
  <c r="CJ207" i="1"/>
  <c r="BT207" i="1"/>
  <c r="BU207" i="1" s="1"/>
  <c r="BO207" i="1"/>
  <c r="BQ207" i="1" s="1"/>
  <c r="BJ207" i="1"/>
  <c r="BE207" i="1"/>
  <c r="AV207" i="1"/>
  <c r="AO207" i="1"/>
  <c r="AP207" i="1" s="1"/>
  <c r="AJ207" i="1"/>
  <c r="AL207" i="1" s="1"/>
  <c r="AE207" i="1"/>
  <c r="Z207" i="1"/>
  <c r="N207" i="1"/>
  <c r="K207" i="1"/>
  <c r="J207" i="1"/>
  <c r="E207" i="1"/>
  <c r="D207" i="1"/>
  <c r="C207" i="1"/>
  <c r="B207" i="1"/>
  <c r="CY206" i="1"/>
  <c r="CZ206" i="1" s="1"/>
  <c r="CT206" i="1"/>
  <c r="CV206" i="1" s="1"/>
  <c r="CO206" i="1"/>
  <c r="CQ206" i="1" s="1"/>
  <c r="DA206" i="1" s="1"/>
  <c r="CJ206" i="1"/>
  <c r="BT206" i="1"/>
  <c r="BU206" i="1" s="1"/>
  <c r="BO206" i="1"/>
  <c r="BQ206" i="1" s="1"/>
  <c r="BJ206" i="1"/>
  <c r="BL206" i="1" s="1"/>
  <c r="BV206" i="1" s="1"/>
  <c r="BE206" i="1"/>
  <c r="AV206" i="1"/>
  <c r="AO206" i="1"/>
  <c r="AP206" i="1" s="1"/>
  <c r="AJ206" i="1"/>
  <c r="AL206" i="1" s="1"/>
  <c r="AE206" i="1"/>
  <c r="AR206" i="1" s="1"/>
  <c r="Z206" i="1"/>
  <c r="N206" i="1"/>
  <c r="K206" i="1"/>
  <c r="J206" i="1"/>
  <c r="E206" i="1"/>
  <c r="D206" i="1"/>
  <c r="C206" i="1"/>
  <c r="B206" i="1"/>
  <c r="CY205" i="1"/>
  <c r="CZ205" i="1" s="1"/>
  <c r="CT205" i="1"/>
  <c r="CV205" i="1" s="1"/>
  <c r="CO205" i="1"/>
  <c r="CQ205" i="1" s="1"/>
  <c r="CJ205" i="1"/>
  <c r="BT205" i="1"/>
  <c r="BU205" i="1" s="1"/>
  <c r="BO205" i="1"/>
  <c r="BQ205" i="1" s="1"/>
  <c r="BJ205" i="1"/>
  <c r="BL205" i="1" s="1"/>
  <c r="BE205" i="1"/>
  <c r="AV205" i="1"/>
  <c r="AO205" i="1"/>
  <c r="AP205" i="1" s="1"/>
  <c r="AJ205" i="1"/>
  <c r="AL205" i="1" s="1"/>
  <c r="AE205" i="1"/>
  <c r="AG205" i="1" s="1"/>
  <c r="Z205" i="1"/>
  <c r="N205" i="1"/>
  <c r="K205" i="1"/>
  <c r="J205" i="1"/>
  <c r="E205" i="1"/>
  <c r="D205" i="1"/>
  <c r="C205" i="1"/>
  <c r="B205" i="1"/>
  <c r="CY204" i="1"/>
  <c r="CZ204" i="1" s="1"/>
  <c r="CT204" i="1"/>
  <c r="CV204" i="1" s="1"/>
  <c r="CO204" i="1"/>
  <c r="CQ204" i="1" s="1"/>
  <c r="CJ204" i="1"/>
  <c r="BT204" i="1"/>
  <c r="BU204" i="1" s="1"/>
  <c r="BO204" i="1"/>
  <c r="BQ204" i="1" s="1"/>
  <c r="BJ204" i="1"/>
  <c r="BE204" i="1"/>
  <c r="AV204" i="1"/>
  <c r="AO204" i="1"/>
  <c r="AP204" i="1" s="1"/>
  <c r="AJ204" i="1"/>
  <c r="AL204" i="1" s="1"/>
  <c r="AE204" i="1"/>
  <c r="AG204" i="1" s="1"/>
  <c r="Z204" i="1"/>
  <c r="N204" i="1"/>
  <c r="K204" i="1"/>
  <c r="J204" i="1"/>
  <c r="E204" i="1"/>
  <c r="D204" i="1"/>
  <c r="C204" i="1"/>
  <c r="B204" i="1"/>
  <c r="CY203" i="1"/>
  <c r="CZ203" i="1" s="1"/>
  <c r="CT203" i="1"/>
  <c r="CV203" i="1" s="1"/>
  <c r="CO203" i="1"/>
  <c r="CJ203" i="1"/>
  <c r="BT203" i="1"/>
  <c r="BU203" i="1" s="1"/>
  <c r="BO203" i="1"/>
  <c r="BQ203" i="1" s="1"/>
  <c r="BJ203" i="1"/>
  <c r="BL203" i="1" s="1"/>
  <c r="BE203" i="1"/>
  <c r="AV203" i="1"/>
  <c r="AO203" i="1"/>
  <c r="AP203" i="1" s="1"/>
  <c r="AJ203" i="1"/>
  <c r="AL203" i="1" s="1"/>
  <c r="AE203" i="1"/>
  <c r="AG203" i="1" s="1"/>
  <c r="AQ203" i="1" s="1"/>
  <c r="Z203" i="1"/>
  <c r="N203" i="1"/>
  <c r="K203" i="1"/>
  <c r="J203" i="1"/>
  <c r="E203" i="1"/>
  <c r="D203" i="1"/>
  <c r="C203" i="1"/>
  <c r="B203" i="1"/>
  <c r="CY202" i="1"/>
  <c r="CZ202" i="1" s="1"/>
  <c r="CT202" i="1"/>
  <c r="CV202" i="1" s="1"/>
  <c r="CO202" i="1"/>
  <c r="CJ202" i="1"/>
  <c r="BT202" i="1"/>
  <c r="BU202" i="1" s="1"/>
  <c r="BO202" i="1"/>
  <c r="BQ202" i="1" s="1"/>
  <c r="BJ202" i="1"/>
  <c r="BE202" i="1"/>
  <c r="AV202" i="1"/>
  <c r="AO202" i="1"/>
  <c r="AP202" i="1" s="1"/>
  <c r="AJ202" i="1"/>
  <c r="AL202" i="1" s="1"/>
  <c r="AE202" i="1"/>
  <c r="AG202" i="1" s="1"/>
  <c r="Z202" i="1"/>
  <c r="N202" i="1"/>
  <c r="K202" i="1"/>
  <c r="J202" i="1"/>
  <c r="E202" i="1"/>
  <c r="D202" i="1"/>
  <c r="C202" i="1"/>
  <c r="B202" i="1"/>
  <c r="CY201" i="1"/>
  <c r="CZ201" i="1" s="1"/>
  <c r="CT201" i="1"/>
  <c r="CV201" i="1" s="1"/>
  <c r="CO201" i="1"/>
  <c r="CQ201" i="1" s="1"/>
  <c r="CJ201" i="1"/>
  <c r="BT201" i="1"/>
  <c r="BU201" i="1" s="1"/>
  <c r="BO201" i="1"/>
  <c r="BQ201" i="1" s="1"/>
  <c r="BJ201" i="1"/>
  <c r="BL201" i="1" s="1"/>
  <c r="BV201" i="1" s="1"/>
  <c r="BE201" i="1"/>
  <c r="AV201" i="1"/>
  <c r="AO201" i="1"/>
  <c r="AP201" i="1" s="1"/>
  <c r="AJ201" i="1"/>
  <c r="AL201" i="1" s="1"/>
  <c r="AE201" i="1"/>
  <c r="AR201" i="1" s="1"/>
  <c r="Z201" i="1"/>
  <c r="N201" i="1"/>
  <c r="K201" i="1"/>
  <c r="J201" i="1"/>
  <c r="E201" i="1"/>
  <c r="D201" i="1"/>
  <c r="C201" i="1"/>
  <c r="B201" i="1"/>
  <c r="CY200" i="1"/>
  <c r="CZ200" i="1" s="1"/>
  <c r="CT200" i="1"/>
  <c r="CV200" i="1" s="1"/>
  <c r="CO200" i="1"/>
  <c r="CQ200" i="1" s="1"/>
  <c r="CJ200" i="1"/>
  <c r="BT200" i="1"/>
  <c r="BU200" i="1" s="1"/>
  <c r="BO200" i="1"/>
  <c r="BQ200" i="1" s="1"/>
  <c r="BJ200" i="1"/>
  <c r="BL200" i="1" s="1"/>
  <c r="BE200" i="1"/>
  <c r="AV200" i="1"/>
  <c r="AO200" i="1"/>
  <c r="AP200" i="1" s="1"/>
  <c r="AJ200" i="1"/>
  <c r="AL200" i="1" s="1"/>
  <c r="AE200" i="1"/>
  <c r="AG200" i="1" s="1"/>
  <c r="Z200" i="1"/>
  <c r="N200" i="1"/>
  <c r="K200" i="1"/>
  <c r="J200" i="1"/>
  <c r="E200" i="1"/>
  <c r="D200" i="1"/>
  <c r="C200" i="1"/>
  <c r="B200" i="1"/>
  <c r="CY199" i="1"/>
  <c r="CZ199" i="1" s="1"/>
  <c r="CT199" i="1"/>
  <c r="CV199" i="1" s="1"/>
  <c r="CO199" i="1"/>
  <c r="CJ199" i="1"/>
  <c r="BT199" i="1"/>
  <c r="BU199" i="1" s="1"/>
  <c r="BO199" i="1"/>
  <c r="BQ199" i="1" s="1"/>
  <c r="BJ199" i="1"/>
  <c r="BL199" i="1" s="1"/>
  <c r="BV199" i="1" s="1"/>
  <c r="BE199" i="1"/>
  <c r="AV199" i="1"/>
  <c r="AO199" i="1"/>
  <c r="AP199" i="1" s="1"/>
  <c r="AJ199" i="1"/>
  <c r="AL199" i="1" s="1"/>
  <c r="AE199" i="1"/>
  <c r="Z199" i="1"/>
  <c r="N199" i="1"/>
  <c r="K199" i="1"/>
  <c r="J199" i="1"/>
  <c r="E199" i="1"/>
  <c r="D199" i="1"/>
  <c r="C199" i="1"/>
  <c r="B199" i="1"/>
  <c r="CY198" i="1"/>
  <c r="CZ198" i="1" s="1"/>
  <c r="CT198" i="1"/>
  <c r="CV198" i="1" s="1"/>
  <c r="CO198" i="1"/>
  <c r="CJ198" i="1"/>
  <c r="BT198" i="1"/>
  <c r="BU198" i="1" s="1"/>
  <c r="BO198" i="1"/>
  <c r="BQ198" i="1" s="1"/>
  <c r="BJ198" i="1"/>
  <c r="BE198" i="1"/>
  <c r="AV198" i="1"/>
  <c r="AO198" i="1"/>
  <c r="AP198" i="1" s="1"/>
  <c r="AJ198" i="1"/>
  <c r="AL198" i="1" s="1"/>
  <c r="AE198" i="1"/>
  <c r="Z198" i="1"/>
  <c r="N198" i="1"/>
  <c r="K198" i="1"/>
  <c r="J198" i="1"/>
  <c r="E198" i="1"/>
  <c r="D198" i="1"/>
  <c r="C198" i="1"/>
  <c r="B198" i="1"/>
  <c r="CY197" i="1"/>
  <c r="CZ197" i="1" s="1"/>
  <c r="CT197" i="1"/>
  <c r="CV197" i="1" s="1"/>
  <c r="CO197" i="1"/>
  <c r="CJ197" i="1"/>
  <c r="BT197" i="1"/>
  <c r="BU197" i="1" s="1"/>
  <c r="BO197" i="1"/>
  <c r="BQ197" i="1" s="1"/>
  <c r="BJ197" i="1"/>
  <c r="BE197" i="1"/>
  <c r="AV197" i="1"/>
  <c r="AO197" i="1"/>
  <c r="AP197" i="1" s="1"/>
  <c r="AJ197" i="1"/>
  <c r="AL197" i="1" s="1"/>
  <c r="AE197" i="1"/>
  <c r="Z197" i="1"/>
  <c r="N197" i="1"/>
  <c r="K197" i="1"/>
  <c r="J197" i="1"/>
  <c r="E197" i="1"/>
  <c r="D197" i="1"/>
  <c r="C197" i="1"/>
  <c r="B197" i="1"/>
  <c r="CY196" i="1"/>
  <c r="CZ196" i="1" s="1"/>
  <c r="CT196" i="1"/>
  <c r="CV196" i="1" s="1"/>
  <c r="CO196" i="1"/>
  <c r="CJ196" i="1"/>
  <c r="BT196" i="1"/>
  <c r="BU196" i="1" s="1"/>
  <c r="BO196" i="1"/>
  <c r="BQ196" i="1" s="1"/>
  <c r="BJ196" i="1"/>
  <c r="BE196" i="1"/>
  <c r="AV196" i="1"/>
  <c r="AO196" i="1"/>
  <c r="AP196" i="1" s="1"/>
  <c r="AJ196" i="1"/>
  <c r="AL196" i="1" s="1"/>
  <c r="AE196" i="1"/>
  <c r="AR196" i="1" s="1"/>
  <c r="Z196" i="1"/>
  <c r="N196" i="1"/>
  <c r="K196" i="1"/>
  <c r="J196" i="1"/>
  <c r="E196" i="1"/>
  <c r="D196" i="1"/>
  <c r="C196" i="1"/>
  <c r="B196" i="1"/>
  <c r="CY195" i="1"/>
  <c r="CZ195" i="1" s="1"/>
  <c r="CT195" i="1"/>
  <c r="CV195" i="1" s="1"/>
  <c r="CO195" i="1"/>
  <c r="CQ195" i="1" s="1"/>
  <c r="CJ195" i="1"/>
  <c r="BT195" i="1"/>
  <c r="BU195" i="1" s="1"/>
  <c r="BO195" i="1"/>
  <c r="BQ195" i="1" s="1"/>
  <c r="BJ195" i="1"/>
  <c r="BE195" i="1"/>
  <c r="AV195" i="1"/>
  <c r="AO195" i="1"/>
  <c r="AP195" i="1" s="1"/>
  <c r="AJ195" i="1"/>
  <c r="AL195" i="1" s="1"/>
  <c r="AE195" i="1"/>
  <c r="AG195" i="1" s="1"/>
  <c r="Z195" i="1"/>
  <c r="N195" i="1"/>
  <c r="K195" i="1"/>
  <c r="J195" i="1"/>
  <c r="E195" i="1"/>
  <c r="D195" i="1"/>
  <c r="C195" i="1"/>
  <c r="B195" i="1"/>
  <c r="CY194" i="1"/>
  <c r="CZ194" i="1" s="1"/>
  <c r="CT194" i="1"/>
  <c r="CV194" i="1" s="1"/>
  <c r="CO194" i="1"/>
  <c r="CJ194" i="1"/>
  <c r="BT194" i="1"/>
  <c r="BU194" i="1" s="1"/>
  <c r="BO194" i="1"/>
  <c r="BQ194" i="1" s="1"/>
  <c r="BJ194" i="1"/>
  <c r="BL194" i="1" s="1"/>
  <c r="BV194" i="1" s="1"/>
  <c r="BE194" i="1"/>
  <c r="AV194" i="1"/>
  <c r="AO194" i="1"/>
  <c r="AP194" i="1" s="1"/>
  <c r="AJ194" i="1"/>
  <c r="AL194" i="1" s="1"/>
  <c r="AE194" i="1"/>
  <c r="AR194" i="1" s="1"/>
  <c r="Z194" i="1"/>
  <c r="N194" i="1"/>
  <c r="K194" i="1"/>
  <c r="J194" i="1"/>
  <c r="E194" i="1"/>
  <c r="D194" i="1"/>
  <c r="C194" i="1"/>
  <c r="B194" i="1"/>
  <c r="CY193" i="1"/>
  <c r="CZ193" i="1" s="1"/>
  <c r="CT193" i="1"/>
  <c r="CV193" i="1" s="1"/>
  <c r="CO193" i="1"/>
  <c r="CJ193" i="1"/>
  <c r="BT193" i="1"/>
  <c r="BU193" i="1" s="1"/>
  <c r="BO193" i="1"/>
  <c r="BQ193" i="1" s="1"/>
  <c r="BJ193" i="1"/>
  <c r="BE193" i="1"/>
  <c r="AV193" i="1"/>
  <c r="AO193" i="1"/>
  <c r="AJ193" i="1"/>
  <c r="AL193" i="1" s="1"/>
  <c r="AE193" i="1"/>
  <c r="AG193" i="1" s="1"/>
  <c r="AQ193" i="1" s="1"/>
  <c r="Z193" i="1"/>
  <c r="N193" i="1"/>
  <c r="K193" i="1"/>
  <c r="J193" i="1"/>
  <c r="E193" i="1"/>
  <c r="D193" i="1"/>
  <c r="C193" i="1"/>
  <c r="B193" i="1"/>
  <c r="CY192" i="1"/>
  <c r="CZ192" i="1" s="1"/>
  <c r="CT192" i="1"/>
  <c r="CV192" i="1" s="1"/>
  <c r="CO192" i="1"/>
  <c r="CJ192" i="1"/>
  <c r="BT192" i="1"/>
  <c r="BU192" i="1" s="1"/>
  <c r="BO192" i="1"/>
  <c r="BQ192" i="1" s="1"/>
  <c r="BJ192" i="1"/>
  <c r="BE192" i="1"/>
  <c r="AV192" i="1"/>
  <c r="AO192" i="1"/>
  <c r="AP192" i="1" s="1"/>
  <c r="AJ192" i="1"/>
  <c r="AL192" i="1" s="1"/>
  <c r="AE192" i="1"/>
  <c r="Z192" i="1"/>
  <c r="N192" i="1"/>
  <c r="K192" i="1"/>
  <c r="J192" i="1"/>
  <c r="E192" i="1"/>
  <c r="D192" i="1"/>
  <c r="C192" i="1"/>
  <c r="B192" i="1"/>
  <c r="CY191" i="1"/>
  <c r="CZ191" i="1" s="1"/>
  <c r="CT191" i="1"/>
  <c r="CV191" i="1" s="1"/>
  <c r="CO191" i="1"/>
  <c r="DB191" i="1" s="1"/>
  <c r="CJ191" i="1"/>
  <c r="BT191" i="1"/>
  <c r="BU191" i="1" s="1"/>
  <c r="BO191" i="1"/>
  <c r="BQ191" i="1" s="1"/>
  <c r="BJ191" i="1"/>
  <c r="BE191" i="1"/>
  <c r="AV191" i="1"/>
  <c r="AO191" i="1"/>
  <c r="AP191" i="1" s="1"/>
  <c r="AJ191" i="1"/>
  <c r="AE191" i="1"/>
  <c r="AG191" i="1" s="1"/>
  <c r="Z191" i="1"/>
  <c r="N191" i="1"/>
  <c r="K191" i="1"/>
  <c r="J191" i="1"/>
  <c r="E191" i="1"/>
  <c r="D191" i="1"/>
  <c r="C191" i="1"/>
  <c r="B191" i="1"/>
  <c r="CY190" i="1"/>
  <c r="CZ190" i="1" s="1"/>
  <c r="CT190" i="1"/>
  <c r="CV190" i="1" s="1"/>
  <c r="CO190" i="1"/>
  <c r="CQ190" i="1" s="1"/>
  <c r="CJ190" i="1"/>
  <c r="BT190" i="1"/>
  <c r="BU190" i="1" s="1"/>
  <c r="BO190" i="1"/>
  <c r="BQ190" i="1" s="1"/>
  <c r="BJ190" i="1"/>
  <c r="BE190" i="1"/>
  <c r="AV190" i="1"/>
  <c r="AO190" i="1"/>
  <c r="AP190" i="1" s="1"/>
  <c r="AJ190" i="1"/>
  <c r="AL190" i="1" s="1"/>
  <c r="AE190" i="1"/>
  <c r="Z190" i="1"/>
  <c r="N190" i="1"/>
  <c r="K190" i="1"/>
  <c r="J190" i="1"/>
  <c r="E190" i="1"/>
  <c r="D190" i="1"/>
  <c r="C190" i="1"/>
  <c r="B190" i="1"/>
  <c r="CY189" i="1"/>
  <c r="CZ189" i="1" s="1"/>
  <c r="CT189" i="1"/>
  <c r="CV189" i="1" s="1"/>
  <c r="CO189" i="1"/>
  <c r="CJ189" i="1"/>
  <c r="BT189" i="1"/>
  <c r="BU189" i="1" s="1"/>
  <c r="BO189" i="1"/>
  <c r="BQ189" i="1" s="1"/>
  <c r="BJ189" i="1"/>
  <c r="BE189" i="1"/>
  <c r="AV189" i="1"/>
  <c r="AO189" i="1"/>
  <c r="AP189" i="1" s="1"/>
  <c r="AJ189" i="1"/>
  <c r="AL189" i="1" s="1"/>
  <c r="AE189" i="1"/>
  <c r="Z189" i="1"/>
  <c r="N189" i="1"/>
  <c r="K189" i="1"/>
  <c r="J189" i="1"/>
  <c r="E189" i="1"/>
  <c r="D189" i="1"/>
  <c r="C189" i="1"/>
  <c r="B189" i="1"/>
  <c r="CY188" i="1"/>
  <c r="CZ188" i="1" s="1"/>
  <c r="CT188" i="1"/>
  <c r="CV188" i="1" s="1"/>
  <c r="CO188" i="1"/>
  <c r="CJ188" i="1"/>
  <c r="BT188" i="1"/>
  <c r="BU188" i="1" s="1"/>
  <c r="BO188" i="1"/>
  <c r="BQ188" i="1" s="1"/>
  <c r="BJ188" i="1"/>
  <c r="BE188" i="1"/>
  <c r="AV188" i="1"/>
  <c r="AO188" i="1"/>
  <c r="AP188" i="1" s="1"/>
  <c r="AJ188" i="1"/>
  <c r="AL188" i="1" s="1"/>
  <c r="AE188" i="1"/>
  <c r="Z188" i="1"/>
  <c r="N188" i="1"/>
  <c r="K188" i="1"/>
  <c r="J188" i="1"/>
  <c r="E188" i="1"/>
  <c r="D188" i="1"/>
  <c r="C188" i="1"/>
  <c r="B188" i="1"/>
  <c r="CY187" i="1"/>
  <c r="CZ187" i="1" s="1"/>
  <c r="CT187" i="1"/>
  <c r="CV187" i="1" s="1"/>
  <c r="CO187" i="1"/>
  <c r="CQ187" i="1" s="1"/>
  <c r="CJ187" i="1"/>
  <c r="BT187" i="1"/>
  <c r="BU187" i="1" s="1"/>
  <c r="BO187" i="1"/>
  <c r="BQ187" i="1" s="1"/>
  <c r="BJ187" i="1"/>
  <c r="BL187" i="1" s="1"/>
  <c r="BV187" i="1" s="1"/>
  <c r="BE187" i="1"/>
  <c r="AV187" i="1"/>
  <c r="AO187" i="1"/>
  <c r="AP187" i="1" s="1"/>
  <c r="AJ187" i="1"/>
  <c r="AL187" i="1" s="1"/>
  <c r="AE187" i="1"/>
  <c r="AG187" i="1" s="1"/>
  <c r="AQ187" i="1" s="1"/>
  <c r="Z187" i="1"/>
  <c r="N187" i="1"/>
  <c r="K187" i="1"/>
  <c r="J187" i="1"/>
  <c r="E187" i="1"/>
  <c r="D187" i="1"/>
  <c r="C187" i="1"/>
  <c r="B187" i="1"/>
  <c r="CY186" i="1"/>
  <c r="CZ186" i="1" s="1"/>
  <c r="CT186" i="1"/>
  <c r="CV186" i="1" s="1"/>
  <c r="CO186" i="1"/>
  <c r="CJ186" i="1"/>
  <c r="BT186" i="1"/>
  <c r="BU186" i="1" s="1"/>
  <c r="BO186" i="1"/>
  <c r="BQ186" i="1" s="1"/>
  <c r="BJ186" i="1"/>
  <c r="BE186" i="1"/>
  <c r="AV186" i="1"/>
  <c r="AO186" i="1"/>
  <c r="AP186" i="1" s="1"/>
  <c r="AJ186" i="1"/>
  <c r="AL186" i="1" s="1"/>
  <c r="AE186" i="1"/>
  <c r="Z186" i="1"/>
  <c r="N186" i="1"/>
  <c r="K186" i="1"/>
  <c r="J186" i="1"/>
  <c r="E186" i="1"/>
  <c r="D186" i="1"/>
  <c r="C186" i="1"/>
  <c r="B186" i="1"/>
  <c r="CY185" i="1"/>
  <c r="CZ185" i="1" s="1"/>
  <c r="CT185" i="1"/>
  <c r="CV185" i="1" s="1"/>
  <c r="CO185" i="1"/>
  <c r="CJ185" i="1"/>
  <c r="BT185" i="1"/>
  <c r="BU185" i="1" s="1"/>
  <c r="BO185" i="1"/>
  <c r="BQ185" i="1" s="1"/>
  <c r="BJ185" i="1"/>
  <c r="BE185" i="1"/>
  <c r="AV185" i="1"/>
  <c r="AO185" i="1"/>
  <c r="AP185" i="1" s="1"/>
  <c r="AJ185" i="1"/>
  <c r="AL185" i="1" s="1"/>
  <c r="AE185" i="1"/>
  <c r="Z185" i="1"/>
  <c r="N185" i="1"/>
  <c r="K185" i="1"/>
  <c r="J185" i="1"/>
  <c r="E185" i="1"/>
  <c r="D185" i="1"/>
  <c r="C185" i="1"/>
  <c r="B185" i="1"/>
  <c r="CY184" i="1"/>
  <c r="CZ184" i="1" s="1"/>
  <c r="CT184" i="1"/>
  <c r="CV184" i="1" s="1"/>
  <c r="CO184" i="1"/>
  <c r="CJ184" i="1"/>
  <c r="BT184" i="1"/>
  <c r="BU184" i="1" s="1"/>
  <c r="BO184" i="1"/>
  <c r="BQ184" i="1" s="1"/>
  <c r="BJ184" i="1"/>
  <c r="BE184" i="1"/>
  <c r="AV184" i="1"/>
  <c r="AO184" i="1"/>
  <c r="AP184" i="1" s="1"/>
  <c r="AJ184" i="1"/>
  <c r="AL184" i="1" s="1"/>
  <c r="AE184" i="1"/>
  <c r="Z184" i="1"/>
  <c r="N184" i="1"/>
  <c r="K184" i="1"/>
  <c r="J184" i="1"/>
  <c r="E184" i="1"/>
  <c r="D184" i="1"/>
  <c r="C184" i="1"/>
  <c r="B184" i="1"/>
  <c r="CY183" i="1"/>
  <c r="CZ183" i="1" s="1"/>
  <c r="CT183" i="1"/>
  <c r="CV183" i="1" s="1"/>
  <c r="CO183" i="1"/>
  <c r="CJ183" i="1"/>
  <c r="BT183" i="1"/>
  <c r="BU183" i="1" s="1"/>
  <c r="BO183" i="1"/>
  <c r="BQ183" i="1" s="1"/>
  <c r="BJ183" i="1"/>
  <c r="BE183" i="1"/>
  <c r="AV183" i="1"/>
  <c r="AO183" i="1"/>
  <c r="AP183" i="1" s="1"/>
  <c r="AJ183" i="1"/>
  <c r="AL183" i="1" s="1"/>
  <c r="AE183" i="1"/>
  <c r="Z183" i="1"/>
  <c r="N183" i="1"/>
  <c r="K183" i="1"/>
  <c r="J183" i="1"/>
  <c r="E183" i="1"/>
  <c r="D183" i="1"/>
  <c r="C183" i="1"/>
  <c r="B183" i="1"/>
  <c r="CY182" i="1"/>
  <c r="CZ182" i="1" s="1"/>
  <c r="CT182" i="1"/>
  <c r="CV182" i="1" s="1"/>
  <c r="CO182" i="1"/>
  <c r="CJ182" i="1"/>
  <c r="BT182" i="1"/>
  <c r="BU182" i="1" s="1"/>
  <c r="BO182" i="1"/>
  <c r="BQ182" i="1" s="1"/>
  <c r="BJ182" i="1"/>
  <c r="BE182" i="1"/>
  <c r="AV182" i="1"/>
  <c r="AO182" i="1"/>
  <c r="AP182" i="1" s="1"/>
  <c r="AJ182" i="1"/>
  <c r="AL182" i="1" s="1"/>
  <c r="AE182" i="1"/>
  <c r="Z182" i="1"/>
  <c r="N182" i="1"/>
  <c r="K182" i="1"/>
  <c r="J182" i="1"/>
  <c r="E182" i="1"/>
  <c r="D182" i="1"/>
  <c r="C182" i="1"/>
  <c r="B182" i="1"/>
  <c r="CY181" i="1"/>
  <c r="CZ181" i="1" s="1"/>
  <c r="CT181" i="1"/>
  <c r="CV181" i="1" s="1"/>
  <c r="CO181" i="1"/>
  <c r="CJ181" i="1"/>
  <c r="BT181" i="1"/>
  <c r="BU181" i="1" s="1"/>
  <c r="BO181" i="1"/>
  <c r="BQ181" i="1" s="1"/>
  <c r="BJ181" i="1"/>
  <c r="BE181" i="1"/>
  <c r="AV181" i="1"/>
  <c r="AO181" i="1"/>
  <c r="AP181" i="1" s="1"/>
  <c r="AJ181" i="1"/>
  <c r="AL181" i="1" s="1"/>
  <c r="AE181" i="1"/>
  <c r="Z181" i="1"/>
  <c r="N181" i="1"/>
  <c r="K181" i="1"/>
  <c r="J181" i="1"/>
  <c r="E181" i="1"/>
  <c r="D181" i="1"/>
  <c r="C181" i="1"/>
  <c r="B181" i="1"/>
  <c r="CY180" i="1"/>
  <c r="CZ180" i="1" s="1"/>
  <c r="CT180" i="1"/>
  <c r="CV180" i="1" s="1"/>
  <c r="CO180" i="1"/>
  <c r="CJ180" i="1"/>
  <c r="BT180" i="1"/>
  <c r="BU180" i="1" s="1"/>
  <c r="BO180" i="1"/>
  <c r="BQ180" i="1" s="1"/>
  <c r="BJ180" i="1"/>
  <c r="BE180" i="1"/>
  <c r="AV180" i="1"/>
  <c r="AO180" i="1"/>
  <c r="AP180" i="1" s="1"/>
  <c r="AJ180" i="1"/>
  <c r="AL180" i="1" s="1"/>
  <c r="AE180" i="1"/>
  <c r="Z180" i="1"/>
  <c r="N180" i="1"/>
  <c r="K180" i="1"/>
  <c r="J180" i="1"/>
  <c r="E180" i="1"/>
  <c r="D180" i="1"/>
  <c r="C180" i="1"/>
  <c r="B180" i="1"/>
  <c r="CY179" i="1"/>
  <c r="CZ179" i="1" s="1"/>
  <c r="CT179" i="1"/>
  <c r="CV179" i="1" s="1"/>
  <c r="CO179" i="1"/>
  <c r="CJ179" i="1"/>
  <c r="BT179" i="1"/>
  <c r="BU179" i="1" s="1"/>
  <c r="BO179" i="1"/>
  <c r="BQ179" i="1" s="1"/>
  <c r="BJ179" i="1"/>
  <c r="BE179" i="1"/>
  <c r="AV179" i="1"/>
  <c r="AO179" i="1"/>
  <c r="AP179" i="1" s="1"/>
  <c r="AJ179" i="1"/>
  <c r="AL179" i="1" s="1"/>
  <c r="AE179" i="1"/>
  <c r="Z179" i="1"/>
  <c r="N179" i="1"/>
  <c r="K179" i="1"/>
  <c r="J179" i="1"/>
  <c r="E179" i="1"/>
  <c r="D179" i="1"/>
  <c r="C179" i="1"/>
  <c r="B179" i="1"/>
  <c r="CY178" i="1"/>
  <c r="CZ178" i="1" s="1"/>
  <c r="CT178" i="1"/>
  <c r="CV178" i="1" s="1"/>
  <c r="CO178" i="1"/>
  <c r="CQ178" i="1" s="1"/>
  <c r="CJ178" i="1"/>
  <c r="BT178" i="1"/>
  <c r="BU178" i="1" s="1"/>
  <c r="BO178" i="1"/>
  <c r="BQ178" i="1" s="1"/>
  <c r="BJ178" i="1"/>
  <c r="BL178" i="1" s="1"/>
  <c r="BE178" i="1"/>
  <c r="AV178" i="1"/>
  <c r="AO178" i="1"/>
  <c r="AP178" i="1" s="1"/>
  <c r="AJ178" i="1"/>
  <c r="AL178" i="1" s="1"/>
  <c r="AE178" i="1"/>
  <c r="AG178" i="1" s="1"/>
  <c r="Z178" i="1"/>
  <c r="N178" i="1"/>
  <c r="K178" i="1"/>
  <c r="J178" i="1"/>
  <c r="E178" i="1"/>
  <c r="D178" i="1"/>
  <c r="C178" i="1"/>
  <c r="B178" i="1"/>
  <c r="CY159" i="1"/>
  <c r="CZ159" i="1" s="1"/>
  <c r="CT159" i="1"/>
  <c r="CV159" i="1" s="1"/>
  <c r="CO159" i="1"/>
  <c r="CQ159" i="1" s="1"/>
  <c r="CJ159" i="1"/>
  <c r="BT159" i="1"/>
  <c r="BU159" i="1" s="1"/>
  <c r="BO159" i="1"/>
  <c r="BQ159" i="1" s="1"/>
  <c r="BJ159" i="1"/>
  <c r="BL159" i="1" s="1"/>
  <c r="BE159" i="1"/>
  <c r="AV159" i="1"/>
  <c r="AO159" i="1"/>
  <c r="AP159" i="1" s="1"/>
  <c r="AJ159" i="1"/>
  <c r="AL159" i="1" s="1"/>
  <c r="AE159" i="1"/>
  <c r="AG159" i="1" s="1"/>
  <c r="Z159" i="1"/>
  <c r="N159" i="1"/>
  <c r="K159" i="1"/>
  <c r="J159" i="1"/>
  <c r="E159" i="1"/>
  <c r="D159" i="1"/>
  <c r="C159" i="1"/>
  <c r="B159" i="1"/>
  <c r="CY157" i="1"/>
  <c r="CZ157" i="1" s="1"/>
  <c r="CT157" i="1"/>
  <c r="CV157" i="1" s="1"/>
  <c r="CO157" i="1"/>
  <c r="CQ157" i="1" s="1"/>
  <c r="CJ157" i="1"/>
  <c r="BT157" i="1"/>
  <c r="BU157" i="1" s="1"/>
  <c r="BO157" i="1"/>
  <c r="BQ157" i="1" s="1"/>
  <c r="BJ157" i="1"/>
  <c r="BL157" i="1" s="1"/>
  <c r="BE157" i="1"/>
  <c r="AV157" i="1"/>
  <c r="AO157" i="1"/>
  <c r="AP157" i="1" s="1"/>
  <c r="AJ157" i="1"/>
  <c r="AL157" i="1" s="1"/>
  <c r="AE157" i="1"/>
  <c r="AG157" i="1" s="1"/>
  <c r="Z157" i="1"/>
  <c r="N157" i="1"/>
  <c r="K157" i="1"/>
  <c r="J157" i="1"/>
  <c r="E157" i="1"/>
  <c r="D157" i="1"/>
  <c r="C157" i="1"/>
  <c r="B157" i="1"/>
  <c r="CY156" i="1"/>
  <c r="CZ156" i="1" s="1"/>
  <c r="CT156" i="1"/>
  <c r="CV156" i="1" s="1"/>
  <c r="CO156" i="1"/>
  <c r="DB156" i="1" s="1"/>
  <c r="CJ156" i="1"/>
  <c r="BT156" i="1"/>
  <c r="BU156" i="1" s="1"/>
  <c r="BO156" i="1"/>
  <c r="BQ156" i="1" s="1"/>
  <c r="BJ156" i="1"/>
  <c r="BE156" i="1"/>
  <c r="AV156" i="1"/>
  <c r="AO156" i="1"/>
  <c r="AP156" i="1" s="1"/>
  <c r="AJ156" i="1"/>
  <c r="AL156" i="1" s="1"/>
  <c r="AE156" i="1"/>
  <c r="AR156" i="1" s="1"/>
  <c r="Z156" i="1"/>
  <c r="N156" i="1"/>
  <c r="K156" i="1"/>
  <c r="J156" i="1"/>
  <c r="E156" i="1"/>
  <c r="D156" i="1"/>
  <c r="C156" i="1"/>
  <c r="CY153" i="1"/>
  <c r="CZ153" i="1" s="1"/>
  <c r="CT153" i="1"/>
  <c r="CV153" i="1" s="1"/>
  <c r="CO153" i="1"/>
  <c r="CJ153" i="1"/>
  <c r="BT153" i="1"/>
  <c r="BU153" i="1" s="1"/>
  <c r="BO153" i="1"/>
  <c r="BQ153" i="1" s="1"/>
  <c r="BJ153" i="1"/>
  <c r="BE153" i="1"/>
  <c r="AV153" i="1"/>
  <c r="AO153" i="1"/>
  <c r="AP153" i="1" s="1"/>
  <c r="AJ153" i="1"/>
  <c r="AL153" i="1" s="1"/>
  <c r="AE153" i="1"/>
  <c r="Z153" i="1"/>
  <c r="N153" i="1"/>
  <c r="K153" i="1"/>
  <c r="J153" i="1"/>
  <c r="E153" i="1"/>
  <c r="D153" i="1"/>
  <c r="C153" i="1"/>
  <c r="CH152" i="1"/>
  <c r="BC152" i="1"/>
  <c r="X152" i="1"/>
  <c r="CY150" i="1"/>
  <c r="CT150" i="1"/>
  <c r="CV150" i="1" s="1"/>
  <c r="CO150" i="1"/>
  <c r="CQ150" i="1" s="1"/>
  <c r="CJ150" i="1"/>
  <c r="BT150" i="1"/>
  <c r="BU150" i="1" s="1"/>
  <c r="BO150" i="1"/>
  <c r="BQ150" i="1" s="1"/>
  <c r="BJ150" i="1"/>
  <c r="BL150" i="1" s="1"/>
  <c r="BE150" i="1"/>
  <c r="AV150" i="1"/>
  <c r="AO150" i="1"/>
  <c r="AP150" i="1" s="1"/>
  <c r="AJ150" i="1"/>
  <c r="AL150" i="1" s="1"/>
  <c r="AE150" i="1"/>
  <c r="AG150" i="1" s="1"/>
  <c r="Z150" i="1"/>
  <c r="N150" i="1"/>
  <c r="K150" i="1"/>
  <c r="J150" i="1"/>
  <c r="E150" i="1"/>
  <c r="D150" i="1"/>
  <c r="C150" i="1"/>
  <c r="B150" i="1"/>
  <c r="CY149" i="1"/>
  <c r="CZ149" i="1" s="1"/>
  <c r="CT149" i="1"/>
  <c r="CV149" i="1" s="1"/>
  <c r="CO149" i="1"/>
  <c r="DB149" i="1" s="1"/>
  <c r="CJ149" i="1"/>
  <c r="BT149" i="1"/>
  <c r="BU149" i="1" s="1"/>
  <c r="BO149" i="1"/>
  <c r="BQ149" i="1" s="1"/>
  <c r="BJ149" i="1"/>
  <c r="BE149" i="1"/>
  <c r="AV149" i="1"/>
  <c r="AO149" i="1"/>
  <c r="AP149" i="1" s="1"/>
  <c r="AJ149" i="1"/>
  <c r="AL149" i="1" s="1"/>
  <c r="AE149" i="1"/>
  <c r="Z149" i="1"/>
  <c r="N149" i="1"/>
  <c r="K149" i="1"/>
  <c r="J149" i="1"/>
  <c r="E149" i="1"/>
  <c r="D149" i="1"/>
  <c r="C149" i="1"/>
  <c r="B149" i="1"/>
  <c r="CY148" i="1"/>
  <c r="CT148" i="1"/>
  <c r="CV148" i="1" s="1"/>
  <c r="CO148" i="1"/>
  <c r="CQ148" i="1" s="1"/>
  <c r="CJ148" i="1"/>
  <c r="BT148" i="1"/>
  <c r="BU148" i="1" s="1"/>
  <c r="BO148" i="1"/>
  <c r="BQ148" i="1" s="1"/>
  <c r="BJ148" i="1"/>
  <c r="BL148" i="1" s="1"/>
  <c r="BE148" i="1"/>
  <c r="AV148" i="1"/>
  <c r="AO148" i="1"/>
  <c r="AP148" i="1" s="1"/>
  <c r="AJ148" i="1"/>
  <c r="AL148" i="1" s="1"/>
  <c r="AE148" i="1"/>
  <c r="AG148" i="1" s="1"/>
  <c r="Z148" i="1"/>
  <c r="N148" i="1"/>
  <c r="K148" i="1"/>
  <c r="J148" i="1"/>
  <c r="E148" i="1"/>
  <c r="D148" i="1"/>
  <c r="C148" i="1"/>
  <c r="B148" i="1"/>
  <c r="CY147" i="1"/>
  <c r="CZ147" i="1" s="1"/>
  <c r="CT147" i="1"/>
  <c r="CV147" i="1" s="1"/>
  <c r="CO147" i="1"/>
  <c r="DB147" i="1" s="1"/>
  <c r="CJ147" i="1"/>
  <c r="BT147" i="1"/>
  <c r="BU147" i="1" s="1"/>
  <c r="BO147" i="1"/>
  <c r="BQ147" i="1" s="1"/>
  <c r="BJ147" i="1"/>
  <c r="BE147" i="1"/>
  <c r="AV147" i="1"/>
  <c r="AO147" i="1"/>
  <c r="AP147" i="1" s="1"/>
  <c r="AJ147" i="1"/>
  <c r="AL147" i="1" s="1"/>
  <c r="AE147" i="1"/>
  <c r="Z147" i="1"/>
  <c r="N147" i="1"/>
  <c r="K147" i="1"/>
  <c r="J147" i="1"/>
  <c r="E147" i="1"/>
  <c r="D147" i="1"/>
  <c r="C147" i="1"/>
  <c r="B147" i="1"/>
  <c r="CY146" i="1"/>
  <c r="CT146" i="1"/>
  <c r="CV146" i="1" s="1"/>
  <c r="CO146" i="1"/>
  <c r="CQ146" i="1" s="1"/>
  <c r="CJ146" i="1"/>
  <c r="BT146" i="1"/>
  <c r="BU146" i="1" s="1"/>
  <c r="BO146" i="1"/>
  <c r="BJ146" i="1"/>
  <c r="BL146" i="1" s="1"/>
  <c r="BE146" i="1"/>
  <c r="AV146" i="1"/>
  <c r="AO146" i="1"/>
  <c r="AP146" i="1" s="1"/>
  <c r="AJ146" i="1"/>
  <c r="AL146" i="1" s="1"/>
  <c r="AE146" i="1"/>
  <c r="AG146" i="1" s="1"/>
  <c r="Z146" i="1"/>
  <c r="N146" i="1"/>
  <c r="K146" i="1"/>
  <c r="J146" i="1"/>
  <c r="E146" i="1"/>
  <c r="D146" i="1"/>
  <c r="C146" i="1"/>
  <c r="B146" i="1"/>
  <c r="CY145" i="1"/>
  <c r="CZ145" i="1" s="1"/>
  <c r="CT145" i="1"/>
  <c r="CV145" i="1" s="1"/>
  <c r="CO145" i="1"/>
  <c r="DB145" i="1" s="1"/>
  <c r="CJ145" i="1"/>
  <c r="BT145" i="1"/>
  <c r="BU145" i="1" s="1"/>
  <c r="BO145" i="1"/>
  <c r="BQ145" i="1" s="1"/>
  <c r="BJ145" i="1"/>
  <c r="BE145" i="1"/>
  <c r="AV145" i="1"/>
  <c r="AO145" i="1"/>
  <c r="AP145" i="1" s="1"/>
  <c r="AJ145" i="1"/>
  <c r="AL145" i="1" s="1"/>
  <c r="AE145" i="1"/>
  <c r="Z145" i="1"/>
  <c r="N145" i="1"/>
  <c r="K145" i="1"/>
  <c r="J145" i="1"/>
  <c r="E145" i="1"/>
  <c r="D145" i="1"/>
  <c r="C145" i="1"/>
  <c r="B145" i="1"/>
  <c r="CY144" i="1"/>
  <c r="CT144" i="1"/>
  <c r="CV144" i="1" s="1"/>
  <c r="CO144" i="1"/>
  <c r="CQ144" i="1" s="1"/>
  <c r="CJ144" i="1"/>
  <c r="BT144" i="1"/>
  <c r="BU144" i="1" s="1"/>
  <c r="BO144" i="1"/>
  <c r="BQ144" i="1" s="1"/>
  <c r="BJ144" i="1"/>
  <c r="BL144" i="1" s="1"/>
  <c r="BE144" i="1"/>
  <c r="AV144" i="1"/>
  <c r="AO144" i="1"/>
  <c r="AP144" i="1" s="1"/>
  <c r="AJ144" i="1"/>
  <c r="AL144" i="1" s="1"/>
  <c r="AE144" i="1"/>
  <c r="AG144" i="1" s="1"/>
  <c r="Z144" i="1"/>
  <c r="N144" i="1"/>
  <c r="K144" i="1"/>
  <c r="J144" i="1"/>
  <c r="E144" i="1"/>
  <c r="D144" i="1"/>
  <c r="C144" i="1"/>
  <c r="B144" i="1"/>
  <c r="CY143" i="1"/>
  <c r="CZ143" i="1" s="1"/>
  <c r="CT143" i="1"/>
  <c r="CV143" i="1" s="1"/>
  <c r="CO143" i="1"/>
  <c r="DB143" i="1" s="1"/>
  <c r="CJ143" i="1"/>
  <c r="BT143" i="1"/>
  <c r="BU143" i="1" s="1"/>
  <c r="BO143" i="1"/>
  <c r="BQ143" i="1" s="1"/>
  <c r="BJ143" i="1"/>
  <c r="BE143" i="1"/>
  <c r="AV143" i="1"/>
  <c r="AO143" i="1"/>
  <c r="AP143" i="1" s="1"/>
  <c r="AJ143" i="1"/>
  <c r="AL143" i="1" s="1"/>
  <c r="AE143" i="1"/>
  <c r="Z143" i="1"/>
  <c r="N143" i="1"/>
  <c r="K143" i="1"/>
  <c r="J143" i="1"/>
  <c r="E143" i="1"/>
  <c r="D143" i="1"/>
  <c r="C143" i="1"/>
  <c r="B143" i="1"/>
  <c r="CY142" i="1"/>
  <c r="CT142" i="1"/>
  <c r="CV142" i="1" s="1"/>
  <c r="CO142" i="1"/>
  <c r="CQ142" i="1" s="1"/>
  <c r="CJ142" i="1"/>
  <c r="BT142" i="1"/>
  <c r="BU142" i="1" s="1"/>
  <c r="BO142" i="1"/>
  <c r="BQ142" i="1" s="1"/>
  <c r="BJ142" i="1"/>
  <c r="BL142" i="1" s="1"/>
  <c r="BE142" i="1"/>
  <c r="AV142" i="1"/>
  <c r="AO142" i="1"/>
  <c r="AP142" i="1" s="1"/>
  <c r="AJ142" i="1"/>
  <c r="AL142" i="1" s="1"/>
  <c r="AE142" i="1"/>
  <c r="AG142" i="1" s="1"/>
  <c r="Z142" i="1"/>
  <c r="N142" i="1"/>
  <c r="K142" i="1"/>
  <c r="J142" i="1"/>
  <c r="E142" i="1"/>
  <c r="D142" i="1"/>
  <c r="C142" i="1"/>
  <c r="B142" i="1"/>
  <c r="CH141" i="1"/>
  <c r="BC141" i="1"/>
  <c r="X141" i="1"/>
  <c r="DD141" i="1" s="1"/>
  <c r="B141" i="1" s="1"/>
  <c r="CY140" i="1"/>
  <c r="CT140" i="1"/>
  <c r="CV140" i="1" s="1"/>
  <c r="CO140" i="1"/>
  <c r="CQ140" i="1" s="1"/>
  <c r="CJ140" i="1"/>
  <c r="BT140" i="1"/>
  <c r="BU140" i="1" s="1"/>
  <c r="BO140" i="1"/>
  <c r="BQ140" i="1" s="1"/>
  <c r="BJ140" i="1"/>
  <c r="BL140" i="1" s="1"/>
  <c r="BE140" i="1"/>
  <c r="AV140" i="1"/>
  <c r="AO140" i="1"/>
  <c r="AP140" i="1" s="1"/>
  <c r="AJ140" i="1"/>
  <c r="AL140" i="1" s="1"/>
  <c r="AE140" i="1"/>
  <c r="AG140" i="1" s="1"/>
  <c r="Z140" i="1"/>
  <c r="N140" i="1"/>
  <c r="K140" i="1"/>
  <c r="J140" i="1"/>
  <c r="E140" i="1"/>
  <c r="D140" i="1"/>
  <c r="C140" i="1"/>
  <c r="B140" i="1"/>
  <c r="CY139" i="1"/>
  <c r="CZ139" i="1" s="1"/>
  <c r="CT139" i="1"/>
  <c r="CV139" i="1" s="1"/>
  <c r="CO139" i="1"/>
  <c r="CJ139" i="1"/>
  <c r="BT139" i="1"/>
  <c r="BU139" i="1" s="1"/>
  <c r="BO139" i="1"/>
  <c r="BQ139" i="1" s="1"/>
  <c r="BJ139" i="1"/>
  <c r="BE139" i="1"/>
  <c r="AV139" i="1"/>
  <c r="AO139" i="1"/>
  <c r="AP139" i="1" s="1"/>
  <c r="AJ139" i="1"/>
  <c r="AL139" i="1" s="1"/>
  <c r="AE139" i="1"/>
  <c r="Z139" i="1"/>
  <c r="N139" i="1"/>
  <c r="K139" i="1"/>
  <c r="J139" i="1"/>
  <c r="E139" i="1"/>
  <c r="D139" i="1"/>
  <c r="C139" i="1"/>
  <c r="B139" i="1"/>
  <c r="CY138" i="1"/>
  <c r="CZ138" i="1" s="1"/>
  <c r="CT138" i="1"/>
  <c r="CV138" i="1" s="1"/>
  <c r="CO138" i="1"/>
  <c r="CJ138" i="1"/>
  <c r="BT138" i="1"/>
  <c r="BU138" i="1" s="1"/>
  <c r="BO138" i="1"/>
  <c r="BQ138" i="1" s="1"/>
  <c r="BJ138" i="1"/>
  <c r="BL138" i="1" s="1"/>
  <c r="BE138" i="1"/>
  <c r="AV138" i="1"/>
  <c r="AO138" i="1"/>
  <c r="AP138" i="1" s="1"/>
  <c r="AJ138" i="1"/>
  <c r="AL138" i="1" s="1"/>
  <c r="AE138" i="1"/>
  <c r="AG138" i="1" s="1"/>
  <c r="AQ138" i="1" s="1"/>
  <c r="Z138" i="1"/>
  <c r="N138" i="1"/>
  <c r="K138" i="1"/>
  <c r="J138" i="1"/>
  <c r="E138" i="1"/>
  <c r="D138" i="1"/>
  <c r="C138" i="1"/>
  <c r="B138" i="1"/>
  <c r="CY137" i="1"/>
  <c r="CZ137" i="1" s="1"/>
  <c r="CT137" i="1"/>
  <c r="CV137" i="1" s="1"/>
  <c r="CO137" i="1"/>
  <c r="DB137" i="1" s="1"/>
  <c r="CJ137" i="1"/>
  <c r="BT137" i="1"/>
  <c r="BU137" i="1" s="1"/>
  <c r="BO137" i="1"/>
  <c r="BQ137" i="1" s="1"/>
  <c r="BJ137" i="1"/>
  <c r="BE137" i="1"/>
  <c r="AV137" i="1"/>
  <c r="AO137" i="1"/>
  <c r="AP137" i="1" s="1"/>
  <c r="AJ137" i="1"/>
  <c r="AL137" i="1" s="1"/>
  <c r="AE137" i="1"/>
  <c r="Z137" i="1"/>
  <c r="N137" i="1"/>
  <c r="K137" i="1"/>
  <c r="J137" i="1"/>
  <c r="E137" i="1"/>
  <c r="D137" i="1"/>
  <c r="C137" i="1"/>
  <c r="B137" i="1"/>
  <c r="CY136" i="1"/>
  <c r="CZ136" i="1" s="1"/>
  <c r="CT136" i="1"/>
  <c r="CV136" i="1" s="1"/>
  <c r="CO136" i="1"/>
  <c r="CQ136" i="1" s="1"/>
  <c r="CJ136" i="1"/>
  <c r="BT136" i="1"/>
  <c r="BU136" i="1" s="1"/>
  <c r="BO136" i="1"/>
  <c r="BQ136" i="1" s="1"/>
  <c r="BJ136" i="1"/>
  <c r="BL136" i="1" s="1"/>
  <c r="BE136" i="1"/>
  <c r="AV136" i="1"/>
  <c r="AO136" i="1"/>
  <c r="AP136" i="1" s="1"/>
  <c r="AJ136" i="1"/>
  <c r="AL136" i="1" s="1"/>
  <c r="AE136" i="1"/>
  <c r="AG136" i="1" s="1"/>
  <c r="Z136" i="1"/>
  <c r="N136" i="1"/>
  <c r="K136" i="1"/>
  <c r="J136" i="1"/>
  <c r="E136" i="1"/>
  <c r="D136" i="1"/>
  <c r="C136" i="1"/>
  <c r="B136" i="1"/>
  <c r="CY135" i="1"/>
  <c r="CZ135" i="1" s="1"/>
  <c r="CT135" i="1"/>
  <c r="CV135" i="1" s="1"/>
  <c r="CO135" i="1"/>
  <c r="CJ135" i="1"/>
  <c r="BT135" i="1"/>
  <c r="BU135" i="1" s="1"/>
  <c r="BO135" i="1"/>
  <c r="BQ135" i="1" s="1"/>
  <c r="BJ135" i="1"/>
  <c r="BE135" i="1"/>
  <c r="AV135" i="1"/>
  <c r="AO135" i="1"/>
  <c r="AP135" i="1" s="1"/>
  <c r="AJ135" i="1"/>
  <c r="AL135" i="1" s="1"/>
  <c r="AE135" i="1"/>
  <c r="Z135" i="1"/>
  <c r="N135" i="1"/>
  <c r="K135" i="1"/>
  <c r="J135" i="1"/>
  <c r="E135" i="1"/>
  <c r="D135" i="1"/>
  <c r="C135" i="1"/>
  <c r="B135" i="1"/>
  <c r="CY134" i="1"/>
  <c r="CZ134" i="1" s="1"/>
  <c r="CT134" i="1"/>
  <c r="CV134" i="1" s="1"/>
  <c r="CO134" i="1"/>
  <c r="CJ134" i="1"/>
  <c r="BT134" i="1"/>
  <c r="BU134" i="1" s="1"/>
  <c r="BO134" i="1"/>
  <c r="BQ134" i="1" s="1"/>
  <c r="BJ134" i="1"/>
  <c r="BL134" i="1" s="1"/>
  <c r="BE134" i="1"/>
  <c r="AV134" i="1"/>
  <c r="AO134" i="1"/>
  <c r="AP134" i="1" s="1"/>
  <c r="AJ134" i="1"/>
  <c r="AL134" i="1" s="1"/>
  <c r="AE134" i="1"/>
  <c r="AG134" i="1" s="1"/>
  <c r="AQ134" i="1" s="1"/>
  <c r="Z134" i="1"/>
  <c r="N134" i="1"/>
  <c r="K134" i="1"/>
  <c r="J134" i="1"/>
  <c r="E134" i="1"/>
  <c r="D134" i="1"/>
  <c r="C134" i="1"/>
  <c r="B134" i="1"/>
  <c r="CY133" i="1"/>
  <c r="CZ133" i="1" s="1"/>
  <c r="CT133" i="1"/>
  <c r="CV133" i="1" s="1"/>
  <c r="CO133" i="1"/>
  <c r="CJ133" i="1"/>
  <c r="BT133" i="1"/>
  <c r="BU133" i="1" s="1"/>
  <c r="BO133" i="1"/>
  <c r="BQ133" i="1" s="1"/>
  <c r="BJ133" i="1"/>
  <c r="BE133" i="1"/>
  <c r="AV133" i="1"/>
  <c r="AO133" i="1"/>
  <c r="AP133" i="1" s="1"/>
  <c r="AJ133" i="1"/>
  <c r="AL133" i="1" s="1"/>
  <c r="AE133" i="1"/>
  <c r="Z133" i="1"/>
  <c r="N133" i="1"/>
  <c r="K133" i="1"/>
  <c r="J133" i="1"/>
  <c r="E133" i="1"/>
  <c r="D133" i="1"/>
  <c r="C133" i="1"/>
  <c r="B133" i="1"/>
  <c r="CY132" i="1"/>
  <c r="CT132" i="1"/>
  <c r="CV132" i="1" s="1"/>
  <c r="CO132" i="1"/>
  <c r="CQ132" i="1" s="1"/>
  <c r="CJ132" i="1"/>
  <c r="BT132" i="1"/>
  <c r="BU132" i="1" s="1"/>
  <c r="BO132" i="1"/>
  <c r="BQ132" i="1" s="1"/>
  <c r="BJ132" i="1"/>
  <c r="BL132" i="1" s="1"/>
  <c r="BV132" i="1" s="1"/>
  <c r="BE132" i="1"/>
  <c r="AV132" i="1"/>
  <c r="AO132" i="1"/>
  <c r="AP132" i="1" s="1"/>
  <c r="AJ132" i="1"/>
  <c r="AL132" i="1" s="1"/>
  <c r="AE132" i="1"/>
  <c r="AG132" i="1" s="1"/>
  <c r="Z132" i="1"/>
  <c r="N132" i="1"/>
  <c r="K132" i="1"/>
  <c r="J132" i="1"/>
  <c r="E132" i="1"/>
  <c r="D132" i="1"/>
  <c r="C132" i="1"/>
  <c r="B132" i="1"/>
  <c r="CH131" i="1"/>
  <c r="BC131" i="1"/>
  <c r="X131" i="1"/>
  <c r="DD131" i="1" s="1"/>
  <c r="B131" i="1" s="1"/>
  <c r="CY130" i="1"/>
  <c r="CT130" i="1"/>
  <c r="CV130" i="1" s="1"/>
  <c r="CO130" i="1"/>
  <c r="CQ130" i="1" s="1"/>
  <c r="CJ130" i="1"/>
  <c r="BT130" i="1"/>
  <c r="BU130" i="1" s="1"/>
  <c r="BO130" i="1"/>
  <c r="BJ130" i="1"/>
  <c r="BL130" i="1" s="1"/>
  <c r="BE130" i="1"/>
  <c r="AV130" i="1"/>
  <c r="AO130" i="1"/>
  <c r="AP130" i="1" s="1"/>
  <c r="AJ130" i="1"/>
  <c r="AE130" i="1"/>
  <c r="AG130" i="1" s="1"/>
  <c r="Z130" i="1"/>
  <c r="N130" i="1"/>
  <c r="K130" i="1"/>
  <c r="J130" i="1"/>
  <c r="E130" i="1"/>
  <c r="D130" i="1"/>
  <c r="C130" i="1"/>
  <c r="B130" i="1"/>
  <c r="CY129" i="1"/>
  <c r="CZ129" i="1" s="1"/>
  <c r="CT129" i="1"/>
  <c r="CV129" i="1" s="1"/>
  <c r="CO129" i="1"/>
  <c r="CJ129" i="1"/>
  <c r="BT129" i="1"/>
  <c r="BU129" i="1" s="1"/>
  <c r="BO129" i="1"/>
  <c r="BQ129" i="1" s="1"/>
  <c r="BJ129" i="1"/>
  <c r="BE129" i="1"/>
  <c r="AV129" i="1"/>
  <c r="AO129" i="1"/>
  <c r="AP129" i="1" s="1"/>
  <c r="AJ129" i="1"/>
  <c r="AL129" i="1" s="1"/>
  <c r="AE129" i="1"/>
  <c r="Z129" i="1"/>
  <c r="N129" i="1"/>
  <c r="K129" i="1"/>
  <c r="J129" i="1"/>
  <c r="E129" i="1"/>
  <c r="D129" i="1"/>
  <c r="C129" i="1"/>
  <c r="B129" i="1"/>
  <c r="CY128" i="1"/>
  <c r="CZ128" i="1" s="1"/>
  <c r="CT128" i="1"/>
  <c r="CV128" i="1" s="1"/>
  <c r="CO128" i="1"/>
  <c r="CQ128" i="1" s="1"/>
  <c r="CJ128" i="1"/>
  <c r="BT128" i="1"/>
  <c r="BU128" i="1" s="1"/>
  <c r="BO128" i="1"/>
  <c r="BQ128" i="1" s="1"/>
  <c r="BJ128" i="1"/>
  <c r="BL128" i="1" s="1"/>
  <c r="BE128" i="1"/>
  <c r="AV128" i="1"/>
  <c r="AO128" i="1"/>
  <c r="AP128" i="1" s="1"/>
  <c r="AJ128" i="1"/>
  <c r="AL128" i="1" s="1"/>
  <c r="AE128" i="1"/>
  <c r="AG128" i="1" s="1"/>
  <c r="Z128" i="1"/>
  <c r="N128" i="1"/>
  <c r="K128" i="1"/>
  <c r="J128" i="1"/>
  <c r="E128" i="1"/>
  <c r="D128" i="1"/>
  <c r="C128" i="1"/>
  <c r="B128" i="1"/>
  <c r="CY127" i="1"/>
  <c r="CZ127" i="1" s="1"/>
  <c r="CT127" i="1"/>
  <c r="CV127" i="1" s="1"/>
  <c r="CO127" i="1"/>
  <c r="CJ127" i="1"/>
  <c r="BT127" i="1"/>
  <c r="BU127" i="1" s="1"/>
  <c r="BO127" i="1"/>
  <c r="BQ127" i="1" s="1"/>
  <c r="BJ127" i="1"/>
  <c r="BE127" i="1"/>
  <c r="AV127" i="1"/>
  <c r="AO127" i="1"/>
  <c r="AP127" i="1" s="1"/>
  <c r="AJ127" i="1"/>
  <c r="AL127" i="1" s="1"/>
  <c r="AE127" i="1"/>
  <c r="Z127" i="1"/>
  <c r="N127" i="1"/>
  <c r="K127" i="1"/>
  <c r="J127" i="1"/>
  <c r="E127" i="1"/>
  <c r="D127" i="1"/>
  <c r="C127" i="1"/>
  <c r="B127" i="1"/>
  <c r="CY126" i="1"/>
  <c r="CZ126" i="1" s="1"/>
  <c r="CT126" i="1"/>
  <c r="CV126" i="1" s="1"/>
  <c r="CO126" i="1"/>
  <c r="CJ126" i="1"/>
  <c r="BT126" i="1"/>
  <c r="BU126" i="1" s="1"/>
  <c r="BO126" i="1"/>
  <c r="BQ126" i="1" s="1"/>
  <c r="BJ126" i="1"/>
  <c r="BL126" i="1" s="1"/>
  <c r="BE126" i="1"/>
  <c r="AV126" i="1"/>
  <c r="AO126" i="1"/>
  <c r="AP126" i="1" s="1"/>
  <c r="AJ126" i="1"/>
  <c r="AL126" i="1" s="1"/>
  <c r="AE126" i="1"/>
  <c r="AG126" i="1" s="1"/>
  <c r="Z126" i="1"/>
  <c r="N126" i="1"/>
  <c r="K126" i="1"/>
  <c r="J126" i="1"/>
  <c r="E126" i="1"/>
  <c r="D126" i="1"/>
  <c r="C126" i="1"/>
  <c r="B126" i="1"/>
  <c r="CY125" i="1"/>
  <c r="CZ125" i="1" s="1"/>
  <c r="CT125" i="1"/>
  <c r="CV125" i="1" s="1"/>
  <c r="CO125" i="1"/>
  <c r="CJ125" i="1"/>
  <c r="BT125" i="1"/>
  <c r="BU125" i="1" s="1"/>
  <c r="BO125" i="1"/>
  <c r="BQ125" i="1" s="1"/>
  <c r="BJ125" i="1"/>
  <c r="BE125" i="1"/>
  <c r="AV125" i="1"/>
  <c r="AO125" i="1"/>
  <c r="AP125" i="1" s="1"/>
  <c r="AJ125" i="1"/>
  <c r="AL125" i="1" s="1"/>
  <c r="AE125" i="1"/>
  <c r="Z125" i="1"/>
  <c r="N125" i="1"/>
  <c r="K125" i="1"/>
  <c r="J125" i="1"/>
  <c r="E125" i="1"/>
  <c r="D125" i="1"/>
  <c r="C125" i="1"/>
  <c r="B125" i="1"/>
  <c r="CY124" i="1"/>
  <c r="CT124" i="1"/>
  <c r="CV124" i="1" s="1"/>
  <c r="CO124" i="1"/>
  <c r="CQ124" i="1" s="1"/>
  <c r="CJ124" i="1"/>
  <c r="BT124" i="1"/>
  <c r="BU124" i="1" s="1"/>
  <c r="BO124" i="1"/>
  <c r="BJ124" i="1"/>
  <c r="BL124" i="1" s="1"/>
  <c r="BE124" i="1"/>
  <c r="AV124" i="1"/>
  <c r="AO124" i="1"/>
  <c r="AP124" i="1" s="1"/>
  <c r="AJ124" i="1"/>
  <c r="AE124" i="1"/>
  <c r="AG124" i="1" s="1"/>
  <c r="Z124" i="1"/>
  <c r="N124" i="1"/>
  <c r="K124" i="1"/>
  <c r="J124" i="1"/>
  <c r="E124" i="1"/>
  <c r="D124" i="1"/>
  <c r="C124" i="1"/>
  <c r="B124" i="1"/>
  <c r="CY123" i="1"/>
  <c r="CZ123" i="1" s="1"/>
  <c r="CT123" i="1"/>
  <c r="CV123" i="1" s="1"/>
  <c r="CO123" i="1"/>
  <c r="CJ123" i="1"/>
  <c r="BT123" i="1"/>
  <c r="BU123" i="1" s="1"/>
  <c r="BO123" i="1"/>
  <c r="BQ123" i="1" s="1"/>
  <c r="BJ123" i="1"/>
  <c r="BE123" i="1"/>
  <c r="AV123" i="1"/>
  <c r="AO123" i="1"/>
  <c r="AP123" i="1" s="1"/>
  <c r="AJ123" i="1"/>
  <c r="AL123" i="1" s="1"/>
  <c r="AE123" i="1"/>
  <c r="Z123" i="1"/>
  <c r="N123" i="1"/>
  <c r="K123" i="1"/>
  <c r="J123" i="1"/>
  <c r="E123" i="1"/>
  <c r="D123" i="1"/>
  <c r="C123" i="1"/>
  <c r="B123" i="1"/>
  <c r="CY122" i="1"/>
  <c r="CT122" i="1"/>
  <c r="CV122" i="1" s="1"/>
  <c r="CO122" i="1"/>
  <c r="CQ122" i="1" s="1"/>
  <c r="CJ122" i="1"/>
  <c r="BT122" i="1"/>
  <c r="BU122" i="1" s="1"/>
  <c r="BO122" i="1"/>
  <c r="BQ122" i="1" s="1"/>
  <c r="BJ122" i="1"/>
  <c r="BL122" i="1" s="1"/>
  <c r="BE122" i="1"/>
  <c r="AV122" i="1"/>
  <c r="AO122" i="1"/>
  <c r="AP122" i="1" s="1"/>
  <c r="AJ122" i="1"/>
  <c r="AL122" i="1" s="1"/>
  <c r="AE122" i="1"/>
  <c r="AG122" i="1" s="1"/>
  <c r="Z122" i="1"/>
  <c r="N122" i="1"/>
  <c r="K122" i="1"/>
  <c r="J122" i="1"/>
  <c r="E122" i="1"/>
  <c r="D122" i="1"/>
  <c r="C122" i="1"/>
  <c r="B122" i="1"/>
  <c r="CH121" i="1"/>
  <c r="BC121" i="1"/>
  <c r="X121" i="1"/>
  <c r="CY120" i="1"/>
  <c r="CT120" i="1"/>
  <c r="CV120" i="1" s="1"/>
  <c r="CO120" i="1"/>
  <c r="CQ120" i="1" s="1"/>
  <c r="CJ120" i="1"/>
  <c r="BT120" i="1"/>
  <c r="BU120" i="1" s="1"/>
  <c r="BO120" i="1"/>
  <c r="BQ120" i="1" s="1"/>
  <c r="BJ120" i="1"/>
  <c r="BE120" i="1"/>
  <c r="AV120" i="1"/>
  <c r="AO120" i="1"/>
  <c r="AP120" i="1" s="1"/>
  <c r="AJ120" i="1"/>
  <c r="AL120" i="1" s="1"/>
  <c r="AE120" i="1"/>
  <c r="Z120" i="1"/>
  <c r="N120" i="1"/>
  <c r="K120" i="1"/>
  <c r="J120" i="1"/>
  <c r="E120" i="1"/>
  <c r="D120" i="1"/>
  <c r="C120" i="1"/>
  <c r="B120" i="1"/>
  <c r="CY119" i="1"/>
  <c r="CZ119" i="1" s="1"/>
  <c r="CT119" i="1"/>
  <c r="CV119" i="1" s="1"/>
  <c r="CO119" i="1"/>
  <c r="CJ119" i="1"/>
  <c r="BT119" i="1"/>
  <c r="BU119" i="1" s="1"/>
  <c r="BO119" i="1"/>
  <c r="BQ119" i="1" s="1"/>
  <c r="BJ119" i="1"/>
  <c r="BE119" i="1"/>
  <c r="AV119" i="1"/>
  <c r="AO119" i="1"/>
  <c r="AP119" i="1" s="1"/>
  <c r="AJ119" i="1"/>
  <c r="AE119" i="1"/>
  <c r="AG119" i="1" s="1"/>
  <c r="Z119" i="1"/>
  <c r="N119" i="1"/>
  <c r="K119" i="1"/>
  <c r="J119" i="1"/>
  <c r="E119" i="1"/>
  <c r="D119" i="1"/>
  <c r="C119" i="1"/>
  <c r="B119" i="1"/>
  <c r="CY118" i="1"/>
  <c r="CZ118" i="1" s="1"/>
  <c r="CT118" i="1"/>
  <c r="CV118" i="1" s="1"/>
  <c r="CO118" i="1"/>
  <c r="CQ118" i="1" s="1"/>
  <c r="CJ118" i="1"/>
  <c r="BT118" i="1"/>
  <c r="BU118" i="1" s="1"/>
  <c r="BO118" i="1"/>
  <c r="BQ118" i="1" s="1"/>
  <c r="BJ118" i="1"/>
  <c r="BL118" i="1" s="1"/>
  <c r="BE118" i="1"/>
  <c r="AV118" i="1"/>
  <c r="AO118" i="1"/>
  <c r="AP118" i="1" s="1"/>
  <c r="AJ118" i="1"/>
  <c r="AL118" i="1" s="1"/>
  <c r="AE118" i="1"/>
  <c r="AG118" i="1" s="1"/>
  <c r="Z118" i="1"/>
  <c r="N118" i="1"/>
  <c r="K118" i="1"/>
  <c r="J118" i="1"/>
  <c r="E118" i="1"/>
  <c r="D118" i="1"/>
  <c r="C118" i="1"/>
  <c r="B118" i="1"/>
  <c r="CY117" i="1"/>
  <c r="CZ117" i="1" s="1"/>
  <c r="CT117" i="1"/>
  <c r="CV117" i="1" s="1"/>
  <c r="CO117" i="1"/>
  <c r="CJ117" i="1"/>
  <c r="BT117" i="1"/>
  <c r="BU117" i="1" s="1"/>
  <c r="BO117" i="1"/>
  <c r="BJ117" i="1"/>
  <c r="BL117" i="1" s="1"/>
  <c r="BE117" i="1"/>
  <c r="AV117" i="1"/>
  <c r="AO117" i="1"/>
  <c r="AP117" i="1" s="1"/>
  <c r="AJ117" i="1"/>
  <c r="AL117" i="1" s="1"/>
  <c r="AE117" i="1"/>
  <c r="AG117" i="1" s="1"/>
  <c r="AQ117" i="1" s="1"/>
  <c r="Z117" i="1"/>
  <c r="N117" i="1"/>
  <c r="K117" i="1"/>
  <c r="J117" i="1"/>
  <c r="E117" i="1"/>
  <c r="D117" i="1"/>
  <c r="C117" i="1"/>
  <c r="B117" i="1"/>
  <c r="CY116" i="1"/>
  <c r="CZ116" i="1" s="1"/>
  <c r="CT116" i="1"/>
  <c r="CV116" i="1" s="1"/>
  <c r="CO116" i="1"/>
  <c r="CJ116" i="1"/>
  <c r="BT116" i="1"/>
  <c r="BU116" i="1" s="1"/>
  <c r="BO116" i="1"/>
  <c r="BJ116" i="1"/>
  <c r="BL116" i="1" s="1"/>
  <c r="BE116" i="1"/>
  <c r="AV116" i="1"/>
  <c r="AO116" i="1"/>
  <c r="AP116" i="1" s="1"/>
  <c r="AJ116" i="1"/>
  <c r="AE116" i="1"/>
  <c r="AG116" i="1" s="1"/>
  <c r="Z116" i="1"/>
  <c r="N116" i="1"/>
  <c r="K116" i="1"/>
  <c r="J116" i="1"/>
  <c r="E116" i="1"/>
  <c r="D116" i="1"/>
  <c r="C116" i="1"/>
  <c r="B116" i="1"/>
  <c r="CY115" i="1"/>
  <c r="CZ115" i="1" s="1"/>
  <c r="CT115" i="1"/>
  <c r="CV115" i="1" s="1"/>
  <c r="CO115" i="1"/>
  <c r="CQ115" i="1" s="1"/>
  <c r="CJ115" i="1"/>
  <c r="BT115" i="1"/>
  <c r="BU115" i="1" s="1"/>
  <c r="BO115" i="1"/>
  <c r="BQ115" i="1" s="1"/>
  <c r="BJ115" i="1"/>
  <c r="BL115" i="1" s="1"/>
  <c r="BV115" i="1" s="1"/>
  <c r="BE115" i="1"/>
  <c r="AV115" i="1"/>
  <c r="AO115" i="1"/>
  <c r="AP115" i="1" s="1"/>
  <c r="AJ115" i="1"/>
  <c r="AL115" i="1" s="1"/>
  <c r="AE115" i="1"/>
  <c r="AR115" i="1" s="1"/>
  <c r="Z115" i="1"/>
  <c r="N115" i="1"/>
  <c r="K115" i="1"/>
  <c r="J115" i="1"/>
  <c r="E115" i="1"/>
  <c r="D115" i="1"/>
  <c r="C115" i="1"/>
  <c r="B115" i="1"/>
  <c r="CY114" i="1"/>
  <c r="CZ114" i="1" s="1"/>
  <c r="CT114" i="1"/>
  <c r="CV114" i="1" s="1"/>
  <c r="CO114" i="1"/>
  <c r="CJ114" i="1"/>
  <c r="BT114" i="1"/>
  <c r="BU114" i="1" s="1"/>
  <c r="BO114" i="1"/>
  <c r="BQ114" i="1" s="1"/>
  <c r="BJ114" i="1"/>
  <c r="BL114" i="1" s="1"/>
  <c r="BE114" i="1"/>
  <c r="AV114" i="1"/>
  <c r="AO114" i="1"/>
  <c r="AP114" i="1" s="1"/>
  <c r="AJ114" i="1"/>
  <c r="AL114" i="1" s="1"/>
  <c r="AE114" i="1"/>
  <c r="AG114" i="1" s="1"/>
  <c r="Z114" i="1"/>
  <c r="N114" i="1"/>
  <c r="K114" i="1"/>
  <c r="J114" i="1"/>
  <c r="E114" i="1"/>
  <c r="D114" i="1"/>
  <c r="C114" i="1"/>
  <c r="B114" i="1"/>
  <c r="CY113" i="1"/>
  <c r="CZ113" i="1" s="1"/>
  <c r="CT113" i="1"/>
  <c r="CV113" i="1" s="1"/>
  <c r="CO113" i="1"/>
  <c r="CJ113" i="1"/>
  <c r="BT113" i="1"/>
  <c r="BU113" i="1" s="1"/>
  <c r="BO113" i="1"/>
  <c r="BQ113" i="1" s="1"/>
  <c r="BJ113" i="1"/>
  <c r="BE113" i="1"/>
  <c r="AV113" i="1"/>
  <c r="AO113" i="1"/>
  <c r="AP113" i="1" s="1"/>
  <c r="AJ113" i="1"/>
  <c r="AL113" i="1" s="1"/>
  <c r="AE113" i="1"/>
  <c r="AG113" i="1" s="1"/>
  <c r="AQ113" i="1" s="1"/>
  <c r="Z113" i="1"/>
  <c r="N113" i="1"/>
  <c r="K113" i="1"/>
  <c r="J113" i="1"/>
  <c r="E113" i="1"/>
  <c r="D113" i="1"/>
  <c r="C113" i="1"/>
  <c r="B113" i="1"/>
  <c r="CY112" i="1"/>
  <c r="CZ112" i="1" s="1"/>
  <c r="CT112" i="1"/>
  <c r="CV112" i="1" s="1"/>
  <c r="CO112" i="1"/>
  <c r="CQ112" i="1" s="1"/>
  <c r="DA112" i="1" s="1"/>
  <c r="CJ112" i="1"/>
  <c r="BT112" i="1"/>
  <c r="BU112" i="1" s="1"/>
  <c r="BO112" i="1"/>
  <c r="BQ112" i="1" s="1"/>
  <c r="BJ112" i="1"/>
  <c r="BE112" i="1"/>
  <c r="AV112" i="1"/>
  <c r="AO112" i="1"/>
  <c r="AP112" i="1" s="1"/>
  <c r="AJ112" i="1"/>
  <c r="AL112" i="1" s="1"/>
  <c r="AE112" i="1"/>
  <c r="Z112" i="1"/>
  <c r="N112" i="1"/>
  <c r="K112" i="1"/>
  <c r="J112" i="1"/>
  <c r="E112" i="1"/>
  <c r="D112" i="1"/>
  <c r="C112" i="1"/>
  <c r="B112" i="1"/>
  <c r="CH111" i="1"/>
  <c r="BC111" i="1"/>
  <c r="X111" i="1"/>
  <c r="CY110" i="1"/>
  <c r="CZ110" i="1" s="1"/>
  <c r="CT110" i="1"/>
  <c r="CV110" i="1" s="1"/>
  <c r="CO110" i="1"/>
  <c r="CJ110" i="1"/>
  <c r="BT110" i="1"/>
  <c r="BU110" i="1" s="1"/>
  <c r="BO110" i="1"/>
  <c r="BQ110" i="1" s="1"/>
  <c r="BJ110" i="1"/>
  <c r="BL110" i="1" s="1"/>
  <c r="BE110" i="1"/>
  <c r="AV110" i="1"/>
  <c r="AO110" i="1"/>
  <c r="AP110" i="1" s="1"/>
  <c r="AJ110" i="1"/>
  <c r="AL110" i="1" s="1"/>
  <c r="AE110" i="1"/>
  <c r="AG110" i="1" s="1"/>
  <c r="Z110" i="1"/>
  <c r="N110" i="1"/>
  <c r="K110" i="1"/>
  <c r="J110" i="1"/>
  <c r="E110" i="1"/>
  <c r="D110" i="1"/>
  <c r="C110" i="1"/>
  <c r="B110" i="1"/>
  <c r="CY109" i="1"/>
  <c r="CZ109" i="1" s="1"/>
  <c r="CT109" i="1"/>
  <c r="CV109" i="1" s="1"/>
  <c r="CO109" i="1"/>
  <c r="DB109" i="1" s="1"/>
  <c r="CJ109" i="1"/>
  <c r="BT109" i="1"/>
  <c r="BU109" i="1" s="1"/>
  <c r="BO109" i="1"/>
  <c r="BQ109" i="1" s="1"/>
  <c r="BJ109" i="1"/>
  <c r="BE109" i="1"/>
  <c r="AV109" i="1"/>
  <c r="AO109" i="1"/>
  <c r="AP109" i="1" s="1"/>
  <c r="AJ109" i="1"/>
  <c r="AL109" i="1" s="1"/>
  <c r="AE109" i="1"/>
  <c r="Z109" i="1"/>
  <c r="N109" i="1"/>
  <c r="K109" i="1"/>
  <c r="J109" i="1"/>
  <c r="E109" i="1"/>
  <c r="D109" i="1"/>
  <c r="C109" i="1"/>
  <c r="B109" i="1"/>
  <c r="CY108" i="1"/>
  <c r="CZ108" i="1" s="1"/>
  <c r="CT108" i="1"/>
  <c r="CV108" i="1" s="1"/>
  <c r="CO108" i="1"/>
  <c r="CQ108" i="1" s="1"/>
  <c r="DA108" i="1" s="1"/>
  <c r="CJ108" i="1"/>
  <c r="BT108" i="1"/>
  <c r="BU108" i="1" s="1"/>
  <c r="BO108" i="1"/>
  <c r="BJ108" i="1"/>
  <c r="BL108" i="1" s="1"/>
  <c r="BE108" i="1"/>
  <c r="AV108" i="1"/>
  <c r="AO108" i="1"/>
  <c r="AP108" i="1" s="1"/>
  <c r="AJ108" i="1"/>
  <c r="AE108" i="1"/>
  <c r="AG108" i="1" s="1"/>
  <c r="Z108" i="1"/>
  <c r="N108" i="1"/>
  <c r="K108" i="1"/>
  <c r="J108" i="1"/>
  <c r="E108" i="1"/>
  <c r="D108" i="1"/>
  <c r="C108" i="1"/>
  <c r="B108" i="1"/>
  <c r="CY107" i="1"/>
  <c r="CZ107" i="1" s="1"/>
  <c r="CT107" i="1"/>
  <c r="CV107" i="1" s="1"/>
  <c r="CO107" i="1"/>
  <c r="CJ107" i="1"/>
  <c r="BT107" i="1"/>
  <c r="BU107" i="1" s="1"/>
  <c r="BO107" i="1"/>
  <c r="BQ107" i="1" s="1"/>
  <c r="BJ107" i="1"/>
  <c r="BE107" i="1"/>
  <c r="AV107" i="1"/>
  <c r="AO107" i="1"/>
  <c r="AP107" i="1" s="1"/>
  <c r="AJ107" i="1"/>
  <c r="AL107" i="1" s="1"/>
  <c r="AE107" i="1"/>
  <c r="Z107" i="1"/>
  <c r="N107" i="1"/>
  <c r="K107" i="1"/>
  <c r="J107" i="1"/>
  <c r="E107" i="1"/>
  <c r="D107" i="1"/>
  <c r="C107" i="1"/>
  <c r="B107" i="1"/>
  <c r="CY106" i="1"/>
  <c r="CZ106" i="1" s="1"/>
  <c r="CT106" i="1"/>
  <c r="CV106" i="1" s="1"/>
  <c r="CO106" i="1"/>
  <c r="CQ106" i="1" s="1"/>
  <c r="CJ106" i="1"/>
  <c r="BT106" i="1"/>
  <c r="BU106" i="1" s="1"/>
  <c r="BO106" i="1"/>
  <c r="BJ106" i="1"/>
  <c r="BL106" i="1" s="1"/>
  <c r="BE106" i="1"/>
  <c r="AV106" i="1"/>
  <c r="AO106" i="1"/>
  <c r="AP106" i="1" s="1"/>
  <c r="AJ106" i="1"/>
  <c r="AE106" i="1"/>
  <c r="AG106" i="1" s="1"/>
  <c r="Z106" i="1"/>
  <c r="N106" i="1"/>
  <c r="K106" i="1"/>
  <c r="J106" i="1"/>
  <c r="E106" i="1"/>
  <c r="D106" i="1"/>
  <c r="C106" i="1"/>
  <c r="B106" i="1"/>
  <c r="CY105" i="1"/>
  <c r="CZ105" i="1" s="1"/>
  <c r="CT105" i="1"/>
  <c r="CV105" i="1" s="1"/>
  <c r="CO105" i="1"/>
  <c r="CJ105" i="1"/>
  <c r="BT105" i="1"/>
  <c r="BU105" i="1" s="1"/>
  <c r="BO105" i="1"/>
  <c r="BQ105" i="1" s="1"/>
  <c r="BJ105" i="1"/>
  <c r="BE105" i="1"/>
  <c r="AV105" i="1"/>
  <c r="AO105" i="1"/>
  <c r="AP105" i="1" s="1"/>
  <c r="AJ105" i="1"/>
  <c r="AL105" i="1" s="1"/>
  <c r="AE105" i="1"/>
  <c r="Z105" i="1"/>
  <c r="N105" i="1"/>
  <c r="K105" i="1"/>
  <c r="J105" i="1"/>
  <c r="E105" i="1"/>
  <c r="D105" i="1"/>
  <c r="C105" i="1"/>
  <c r="B105" i="1"/>
  <c r="CY104" i="1"/>
  <c r="CZ104" i="1" s="1"/>
  <c r="CT104" i="1"/>
  <c r="CV104" i="1" s="1"/>
  <c r="CO104" i="1"/>
  <c r="CQ104" i="1" s="1"/>
  <c r="CJ104" i="1"/>
  <c r="BT104" i="1"/>
  <c r="BU104" i="1" s="1"/>
  <c r="BO104" i="1"/>
  <c r="BJ104" i="1"/>
  <c r="BL104" i="1" s="1"/>
  <c r="BE104" i="1"/>
  <c r="AV104" i="1"/>
  <c r="AO104" i="1"/>
  <c r="AP104" i="1" s="1"/>
  <c r="AJ104" i="1"/>
  <c r="AE104" i="1"/>
  <c r="AG104" i="1" s="1"/>
  <c r="Z104" i="1"/>
  <c r="N104" i="1"/>
  <c r="K104" i="1"/>
  <c r="J104" i="1"/>
  <c r="E104" i="1"/>
  <c r="D104" i="1"/>
  <c r="C104" i="1"/>
  <c r="B104" i="1"/>
  <c r="CY103" i="1"/>
  <c r="CZ103" i="1" s="1"/>
  <c r="CT103" i="1"/>
  <c r="CV103" i="1" s="1"/>
  <c r="CO103" i="1"/>
  <c r="CJ103" i="1"/>
  <c r="BT103" i="1"/>
  <c r="BU103" i="1" s="1"/>
  <c r="BO103" i="1"/>
  <c r="BQ103" i="1" s="1"/>
  <c r="BJ103" i="1"/>
  <c r="BE103" i="1"/>
  <c r="AV103" i="1"/>
  <c r="AO103" i="1"/>
  <c r="AP103" i="1" s="1"/>
  <c r="AJ103" i="1"/>
  <c r="AL103" i="1" s="1"/>
  <c r="AE103" i="1"/>
  <c r="Z103" i="1"/>
  <c r="N103" i="1"/>
  <c r="K103" i="1"/>
  <c r="J103" i="1"/>
  <c r="E103" i="1"/>
  <c r="D103" i="1"/>
  <c r="C103" i="1"/>
  <c r="B103" i="1"/>
  <c r="CY102" i="1"/>
  <c r="CZ102" i="1" s="1"/>
  <c r="CT102" i="1"/>
  <c r="CV102" i="1" s="1"/>
  <c r="CO102" i="1"/>
  <c r="CQ102" i="1" s="1"/>
  <c r="CJ102" i="1"/>
  <c r="BT102" i="1"/>
  <c r="BU102" i="1" s="1"/>
  <c r="BO102" i="1"/>
  <c r="BQ102" i="1" s="1"/>
  <c r="BJ102" i="1"/>
  <c r="BL102" i="1" s="1"/>
  <c r="BE102" i="1"/>
  <c r="AV102" i="1"/>
  <c r="AO102" i="1"/>
  <c r="AP102" i="1" s="1"/>
  <c r="AJ102" i="1"/>
  <c r="AL102" i="1" s="1"/>
  <c r="AE102" i="1"/>
  <c r="AG102" i="1" s="1"/>
  <c r="Z102" i="1"/>
  <c r="N102" i="1"/>
  <c r="K102" i="1"/>
  <c r="J102" i="1"/>
  <c r="E102" i="1"/>
  <c r="D102" i="1"/>
  <c r="C102" i="1"/>
  <c r="B102" i="1"/>
  <c r="CH101" i="1"/>
  <c r="BC101" i="1"/>
  <c r="X101" i="1"/>
  <c r="CY100" i="1"/>
  <c r="CZ100" i="1" s="1"/>
  <c r="CT100" i="1"/>
  <c r="CV100" i="1" s="1"/>
  <c r="CO100" i="1"/>
  <c r="CQ100" i="1" s="1"/>
  <c r="CJ100" i="1"/>
  <c r="BT100" i="1"/>
  <c r="BU100" i="1" s="1"/>
  <c r="BO100" i="1"/>
  <c r="BQ100" i="1" s="1"/>
  <c r="BJ100" i="1"/>
  <c r="BL100" i="1" s="1"/>
  <c r="BE100" i="1"/>
  <c r="AV100" i="1"/>
  <c r="AO100" i="1"/>
  <c r="AP100" i="1" s="1"/>
  <c r="AJ100" i="1"/>
  <c r="AL100" i="1" s="1"/>
  <c r="AE100" i="1"/>
  <c r="Z100" i="1"/>
  <c r="N100" i="1"/>
  <c r="K100" i="1"/>
  <c r="J100" i="1"/>
  <c r="E100" i="1"/>
  <c r="D100" i="1"/>
  <c r="C100" i="1"/>
  <c r="B100" i="1"/>
  <c r="CY99" i="1"/>
  <c r="CZ99" i="1" s="1"/>
  <c r="CT99" i="1"/>
  <c r="CV99" i="1" s="1"/>
  <c r="CO99" i="1"/>
  <c r="CJ99" i="1"/>
  <c r="BT99" i="1"/>
  <c r="BU99" i="1" s="1"/>
  <c r="BO99" i="1"/>
  <c r="BQ99" i="1" s="1"/>
  <c r="BJ99" i="1"/>
  <c r="BE99" i="1"/>
  <c r="AV99" i="1"/>
  <c r="AO99" i="1"/>
  <c r="AP99" i="1" s="1"/>
  <c r="AJ99" i="1"/>
  <c r="AL99" i="1" s="1"/>
  <c r="AE99" i="1"/>
  <c r="Z99" i="1"/>
  <c r="N99" i="1"/>
  <c r="K99" i="1"/>
  <c r="J99" i="1"/>
  <c r="E99" i="1"/>
  <c r="D99" i="1"/>
  <c r="C99" i="1"/>
  <c r="B99" i="1"/>
  <c r="CY98" i="1"/>
  <c r="CZ98" i="1" s="1"/>
  <c r="CT98" i="1"/>
  <c r="CV98" i="1" s="1"/>
  <c r="CO98" i="1"/>
  <c r="CQ98" i="1" s="1"/>
  <c r="CJ98" i="1"/>
  <c r="BT98" i="1"/>
  <c r="BU98" i="1" s="1"/>
  <c r="BO98" i="1"/>
  <c r="BJ98" i="1"/>
  <c r="BL98" i="1" s="1"/>
  <c r="BE98" i="1"/>
  <c r="AV98" i="1"/>
  <c r="AO98" i="1"/>
  <c r="AP98" i="1" s="1"/>
  <c r="AJ98" i="1"/>
  <c r="AE98" i="1"/>
  <c r="AG98" i="1" s="1"/>
  <c r="Z98" i="1"/>
  <c r="N98" i="1"/>
  <c r="K98" i="1"/>
  <c r="J98" i="1"/>
  <c r="E98" i="1"/>
  <c r="D98" i="1"/>
  <c r="C98" i="1"/>
  <c r="B98" i="1"/>
  <c r="CY97" i="1"/>
  <c r="CZ97" i="1" s="1"/>
  <c r="CT97" i="1"/>
  <c r="CV97" i="1" s="1"/>
  <c r="CO97" i="1"/>
  <c r="CJ97" i="1"/>
  <c r="BT97" i="1"/>
  <c r="BU97" i="1" s="1"/>
  <c r="BO97" i="1"/>
  <c r="BQ97" i="1" s="1"/>
  <c r="BJ97" i="1"/>
  <c r="BE97" i="1"/>
  <c r="AV97" i="1"/>
  <c r="AO97" i="1"/>
  <c r="AP97" i="1" s="1"/>
  <c r="AJ97" i="1"/>
  <c r="AL97" i="1" s="1"/>
  <c r="AE97" i="1"/>
  <c r="Z97" i="1"/>
  <c r="N97" i="1"/>
  <c r="K97" i="1"/>
  <c r="J97" i="1"/>
  <c r="E97" i="1"/>
  <c r="D97" i="1"/>
  <c r="C97" i="1"/>
  <c r="B97" i="1"/>
  <c r="CY96" i="1"/>
  <c r="CZ96" i="1" s="1"/>
  <c r="CT96" i="1"/>
  <c r="CV96" i="1" s="1"/>
  <c r="CO96" i="1"/>
  <c r="CQ96" i="1" s="1"/>
  <c r="CJ96" i="1"/>
  <c r="BT96" i="1"/>
  <c r="BU96" i="1" s="1"/>
  <c r="BO96" i="1"/>
  <c r="BJ96" i="1"/>
  <c r="BL96" i="1" s="1"/>
  <c r="BE96" i="1"/>
  <c r="AV96" i="1"/>
  <c r="AO96" i="1"/>
  <c r="AP96" i="1" s="1"/>
  <c r="AJ96" i="1"/>
  <c r="AE96" i="1"/>
  <c r="AG96" i="1" s="1"/>
  <c r="Z96" i="1"/>
  <c r="N96" i="1"/>
  <c r="K96" i="1"/>
  <c r="J96" i="1"/>
  <c r="E96" i="1"/>
  <c r="D96" i="1"/>
  <c r="C96" i="1"/>
  <c r="B96" i="1"/>
  <c r="CY95" i="1"/>
  <c r="CZ95" i="1" s="1"/>
  <c r="CT95" i="1"/>
  <c r="CV95" i="1" s="1"/>
  <c r="CO95" i="1"/>
  <c r="CJ95" i="1"/>
  <c r="BT95" i="1"/>
  <c r="BU95" i="1" s="1"/>
  <c r="BO95" i="1"/>
  <c r="BQ95" i="1" s="1"/>
  <c r="BJ95" i="1"/>
  <c r="BE95" i="1"/>
  <c r="AV95" i="1"/>
  <c r="AO95" i="1"/>
  <c r="AP95" i="1" s="1"/>
  <c r="AJ95" i="1"/>
  <c r="AL95" i="1" s="1"/>
  <c r="AE95" i="1"/>
  <c r="Z95" i="1"/>
  <c r="N95" i="1"/>
  <c r="K95" i="1"/>
  <c r="J95" i="1"/>
  <c r="E95" i="1"/>
  <c r="D95" i="1"/>
  <c r="C95" i="1"/>
  <c r="B95" i="1"/>
  <c r="CY94" i="1"/>
  <c r="CZ94" i="1" s="1"/>
  <c r="CT94" i="1"/>
  <c r="CV94" i="1" s="1"/>
  <c r="CO94" i="1"/>
  <c r="CQ94" i="1" s="1"/>
  <c r="CJ94" i="1"/>
  <c r="BT94" i="1"/>
  <c r="BU94" i="1" s="1"/>
  <c r="BO94" i="1"/>
  <c r="BJ94" i="1"/>
  <c r="BL94" i="1" s="1"/>
  <c r="BE94" i="1"/>
  <c r="AV94" i="1"/>
  <c r="AO94" i="1"/>
  <c r="AP94" i="1" s="1"/>
  <c r="AJ94" i="1"/>
  <c r="AE94" i="1"/>
  <c r="AG94" i="1" s="1"/>
  <c r="Z94" i="1"/>
  <c r="N94" i="1"/>
  <c r="K94" i="1"/>
  <c r="J94" i="1"/>
  <c r="E94" i="1"/>
  <c r="D94" i="1"/>
  <c r="C94" i="1"/>
  <c r="B94" i="1"/>
  <c r="CY93" i="1"/>
  <c r="CZ93" i="1" s="1"/>
  <c r="CT93" i="1"/>
  <c r="CV93" i="1" s="1"/>
  <c r="CO93" i="1"/>
  <c r="CJ93" i="1"/>
  <c r="BT93" i="1"/>
  <c r="BU93" i="1" s="1"/>
  <c r="BO93" i="1"/>
  <c r="BQ93" i="1" s="1"/>
  <c r="BJ93" i="1"/>
  <c r="BE93" i="1"/>
  <c r="AV93" i="1"/>
  <c r="AO93" i="1"/>
  <c r="AP93" i="1" s="1"/>
  <c r="AJ93" i="1"/>
  <c r="AL93" i="1" s="1"/>
  <c r="AE93" i="1"/>
  <c r="Z93" i="1"/>
  <c r="N93" i="1"/>
  <c r="K93" i="1"/>
  <c r="J93" i="1"/>
  <c r="E93" i="1"/>
  <c r="D93" i="1"/>
  <c r="C93" i="1"/>
  <c r="B93" i="1"/>
  <c r="CY92" i="1"/>
  <c r="CZ92" i="1" s="1"/>
  <c r="CT92" i="1"/>
  <c r="CV92" i="1" s="1"/>
  <c r="CO92" i="1"/>
  <c r="CQ92" i="1" s="1"/>
  <c r="CJ92" i="1"/>
  <c r="BT92" i="1"/>
  <c r="BU92" i="1" s="1"/>
  <c r="BO92" i="1"/>
  <c r="BQ92" i="1" s="1"/>
  <c r="BJ92" i="1"/>
  <c r="BL92" i="1" s="1"/>
  <c r="BE92" i="1"/>
  <c r="AV92" i="1"/>
  <c r="AO92" i="1"/>
  <c r="AP92" i="1" s="1"/>
  <c r="AJ92" i="1"/>
  <c r="AL92" i="1" s="1"/>
  <c r="AE92" i="1"/>
  <c r="AG92" i="1" s="1"/>
  <c r="Z92" i="1"/>
  <c r="N92" i="1"/>
  <c r="K92" i="1"/>
  <c r="J92" i="1"/>
  <c r="E92" i="1"/>
  <c r="D92" i="1"/>
  <c r="C92" i="1"/>
  <c r="B92" i="1"/>
  <c r="CH91" i="1"/>
  <c r="BC91" i="1"/>
  <c r="X91" i="1"/>
  <c r="CY90" i="1"/>
  <c r="CZ90" i="1" s="1"/>
  <c r="CT90" i="1"/>
  <c r="CV90" i="1" s="1"/>
  <c r="CO90" i="1"/>
  <c r="CQ90" i="1" s="1"/>
  <c r="CJ90" i="1"/>
  <c r="BT90" i="1"/>
  <c r="BU90" i="1" s="1"/>
  <c r="BO90" i="1"/>
  <c r="BQ90" i="1" s="1"/>
  <c r="BJ90" i="1"/>
  <c r="BL90" i="1" s="1"/>
  <c r="BE90" i="1"/>
  <c r="AV90" i="1"/>
  <c r="AO90" i="1"/>
  <c r="AP90" i="1" s="1"/>
  <c r="AJ90" i="1"/>
  <c r="AE90" i="1"/>
  <c r="AG90" i="1" s="1"/>
  <c r="Z90" i="1"/>
  <c r="N90" i="1"/>
  <c r="K90" i="1"/>
  <c r="J90" i="1"/>
  <c r="E90" i="1"/>
  <c r="D90" i="1"/>
  <c r="C90" i="1"/>
  <c r="B90" i="1"/>
  <c r="CY89" i="1"/>
  <c r="CZ89" i="1" s="1"/>
  <c r="CT89" i="1"/>
  <c r="CV89" i="1" s="1"/>
  <c r="CO89" i="1"/>
  <c r="CJ89" i="1"/>
  <c r="BT89" i="1"/>
  <c r="BU89" i="1" s="1"/>
  <c r="BO89" i="1"/>
  <c r="BQ89" i="1" s="1"/>
  <c r="BJ89" i="1"/>
  <c r="BE89" i="1"/>
  <c r="AV89" i="1"/>
  <c r="AO89" i="1"/>
  <c r="AP89" i="1" s="1"/>
  <c r="AJ89" i="1"/>
  <c r="AL89" i="1" s="1"/>
  <c r="AE89" i="1"/>
  <c r="Z89" i="1"/>
  <c r="N89" i="1"/>
  <c r="K89" i="1"/>
  <c r="J89" i="1"/>
  <c r="E89" i="1"/>
  <c r="D89" i="1"/>
  <c r="C89" i="1"/>
  <c r="B89" i="1"/>
  <c r="CY88" i="1"/>
  <c r="CZ88" i="1" s="1"/>
  <c r="CT88" i="1"/>
  <c r="CV88" i="1" s="1"/>
  <c r="CO88" i="1"/>
  <c r="CQ88" i="1" s="1"/>
  <c r="CJ88" i="1"/>
  <c r="BT88" i="1"/>
  <c r="BU88" i="1" s="1"/>
  <c r="BO88" i="1"/>
  <c r="BJ88" i="1"/>
  <c r="BL88" i="1" s="1"/>
  <c r="BE88" i="1"/>
  <c r="AV88" i="1"/>
  <c r="AO88" i="1"/>
  <c r="AP88" i="1" s="1"/>
  <c r="AJ88" i="1"/>
  <c r="AE88" i="1"/>
  <c r="AG88" i="1" s="1"/>
  <c r="Z88" i="1"/>
  <c r="N88" i="1"/>
  <c r="K88" i="1"/>
  <c r="J88" i="1"/>
  <c r="E88" i="1"/>
  <c r="D88" i="1"/>
  <c r="C88" i="1"/>
  <c r="B88" i="1"/>
  <c r="CY87" i="1"/>
  <c r="CZ87" i="1" s="1"/>
  <c r="CT87" i="1"/>
  <c r="CV87" i="1" s="1"/>
  <c r="CO87" i="1"/>
  <c r="CJ87" i="1"/>
  <c r="BT87" i="1"/>
  <c r="BU87" i="1" s="1"/>
  <c r="BO87" i="1"/>
  <c r="BJ87" i="1"/>
  <c r="BL87" i="1" s="1"/>
  <c r="BE87" i="1"/>
  <c r="AV87" i="1"/>
  <c r="AO87" i="1"/>
  <c r="AP87" i="1" s="1"/>
  <c r="AJ87" i="1"/>
  <c r="AL87" i="1" s="1"/>
  <c r="AE87" i="1"/>
  <c r="Z87" i="1"/>
  <c r="N87" i="1"/>
  <c r="K87" i="1"/>
  <c r="J87" i="1"/>
  <c r="E87" i="1"/>
  <c r="D87" i="1"/>
  <c r="C87" i="1"/>
  <c r="B87" i="1"/>
  <c r="CY86" i="1"/>
  <c r="CZ86" i="1" s="1"/>
  <c r="CT86" i="1"/>
  <c r="CV86" i="1" s="1"/>
  <c r="CO86" i="1"/>
  <c r="CQ86" i="1" s="1"/>
  <c r="CJ86" i="1"/>
  <c r="BT86" i="1"/>
  <c r="BU86" i="1" s="1"/>
  <c r="BO86" i="1"/>
  <c r="BQ86" i="1" s="1"/>
  <c r="BJ86" i="1"/>
  <c r="BE86" i="1"/>
  <c r="AV86" i="1"/>
  <c r="AO86" i="1"/>
  <c r="AP86" i="1" s="1"/>
  <c r="AJ86" i="1"/>
  <c r="AL86" i="1" s="1"/>
  <c r="AE86" i="1"/>
  <c r="AG86" i="1" s="1"/>
  <c r="Z86" i="1"/>
  <c r="N86" i="1"/>
  <c r="K86" i="1"/>
  <c r="J86" i="1"/>
  <c r="E86" i="1"/>
  <c r="D86" i="1"/>
  <c r="C86" i="1"/>
  <c r="B86" i="1"/>
  <c r="CY85" i="1"/>
  <c r="CZ85" i="1" s="1"/>
  <c r="CT85" i="1"/>
  <c r="CV85" i="1" s="1"/>
  <c r="CO85" i="1"/>
  <c r="CQ85" i="1" s="1"/>
  <c r="CJ85" i="1"/>
  <c r="BT85" i="1"/>
  <c r="BU85" i="1" s="1"/>
  <c r="BO85" i="1"/>
  <c r="BQ85" i="1" s="1"/>
  <c r="BJ85" i="1"/>
  <c r="BL85" i="1" s="1"/>
  <c r="BV85" i="1" s="1"/>
  <c r="BE85" i="1"/>
  <c r="AV85" i="1"/>
  <c r="AO85" i="1"/>
  <c r="AP85" i="1" s="1"/>
  <c r="AJ85" i="1"/>
  <c r="AL85" i="1" s="1"/>
  <c r="AE85" i="1"/>
  <c r="Z85" i="1"/>
  <c r="N85" i="1"/>
  <c r="K85" i="1"/>
  <c r="J85" i="1"/>
  <c r="E85" i="1"/>
  <c r="D85" i="1"/>
  <c r="C85" i="1"/>
  <c r="B85" i="1"/>
  <c r="CY84" i="1"/>
  <c r="CZ84" i="1" s="1"/>
  <c r="CT84" i="1"/>
  <c r="CV84" i="1" s="1"/>
  <c r="CO84" i="1"/>
  <c r="CQ84" i="1" s="1"/>
  <c r="CJ84" i="1"/>
  <c r="BT84" i="1"/>
  <c r="BU84" i="1" s="1"/>
  <c r="BO84" i="1"/>
  <c r="BJ84" i="1"/>
  <c r="BL84" i="1" s="1"/>
  <c r="BE84" i="1"/>
  <c r="AV84" i="1"/>
  <c r="AO84" i="1"/>
  <c r="AP84" i="1" s="1"/>
  <c r="AJ84" i="1"/>
  <c r="AL84" i="1" s="1"/>
  <c r="AE84" i="1"/>
  <c r="Z84" i="1"/>
  <c r="N84" i="1"/>
  <c r="K84" i="1"/>
  <c r="J84" i="1"/>
  <c r="E84" i="1"/>
  <c r="D84" i="1"/>
  <c r="C84" i="1"/>
  <c r="B84" i="1"/>
  <c r="CY83" i="1"/>
  <c r="CZ83" i="1" s="1"/>
  <c r="CT83" i="1"/>
  <c r="CV83" i="1" s="1"/>
  <c r="CO83" i="1"/>
  <c r="CQ83" i="1" s="1"/>
  <c r="CJ83" i="1"/>
  <c r="BT83" i="1"/>
  <c r="BU83" i="1" s="1"/>
  <c r="BO83" i="1"/>
  <c r="BQ83" i="1" s="1"/>
  <c r="BJ83" i="1"/>
  <c r="BE83" i="1"/>
  <c r="AV83" i="1"/>
  <c r="AO83" i="1"/>
  <c r="AP83" i="1" s="1"/>
  <c r="AJ83" i="1"/>
  <c r="AL83" i="1" s="1"/>
  <c r="AE83" i="1"/>
  <c r="Z83" i="1"/>
  <c r="N83" i="1"/>
  <c r="K83" i="1"/>
  <c r="J83" i="1"/>
  <c r="E83" i="1"/>
  <c r="D83" i="1"/>
  <c r="C83" i="1"/>
  <c r="B83" i="1"/>
  <c r="CY82" i="1"/>
  <c r="CZ82" i="1" s="1"/>
  <c r="CT82" i="1"/>
  <c r="CV82" i="1" s="1"/>
  <c r="CO82" i="1"/>
  <c r="CQ82" i="1" s="1"/>
  <c r="CJ82" i="1"/>
  <c r="BT82" i="1"/>
  <c r="BU82" i="1" s="1"/>
  <c r="BO82" i="1"/>
  <c r="BQ82" i="1" s="1"/>
  <c r="BJ82" i="1"/>
  <c r="BE82" i="1"/>
  <c r="AV82" i="1"/>
  <c r="AO82" i="1"/>
  <c r="AP82" i="1" s="1"/>
  <c r="AJ82" i="1"/>
  <c r="AE82" i="1"/>
  <c r="AG82" i="1" s="1"/>
  <c r="Z82" i="1"/>
  <c r="N82" i="1"/>
  <c r="K82" i="1"/>
  <c r="J82" i="1"/>
  <c r="E82" i="1"/>
  <c r="D82" i="1"/>
  <c r="C82" i="1"/>
  <c r="B82" i="1"/>
  <c r="CH81" i="1"/>
  <c r="BC81" i="1"/>
  <c r="X81" i="1"/>
  <c r="CY80" i="1"/>
  <c r="CZ80" i="1" s="1"/>
  <c r="CT80" i="1"/>
  <c r="CO80" i="1"/>
  <c r="CQ80" i="1" s="1"/>
  <c r="CJ80" i="1"/>
  <c r="BT80" i="1"/>
  <c r="BU80" i="1" s="1"/>
  <c r="BO80" i="1"/>
  <c r="BJ80" i="1"/>
  <c r="BL80" i="1" s="1"/>
  <c r="BE80" i="1"/>
  <c r="AV80" i="1"/>
  <c r="AO80" i="1"/>
  <c r="AP80" i="1" s="1"/>
  <c r="AJ80" i="1"/>
  <c r="AL80" i="1" s="1"/>
  <c r="AE80" i="1"/>
  <c r="Z80" i="1"/>
  <c r="N80" i="1"/>
  <c r="K80" i="1"/>
  <c r="J80" i="1"/>
  <c r="E80" i="1"/>
  <c r="D80" i="1"/>
  <c r="C80" i="1"/>
  <c r="B80" i="1"/>
  <c r="CY79" i="1"/>
  <c r="CZ79" i="1" s="1"/>
  <c r="CT79" i="1"/>
  <c r="CV79" i="1" s="1"/>
  <c r="CO79" i="1"/>
  <c r="CQ79" i="1" s="1"/>
  <c r="CJ79" i="1"/>
  <c r="BT79" i="1"/>
  <c r="BU79" i="1" s="1"/>
  <c r="BO79" i="1"/>
  <c r="BQ79" i="1" s="1"/>
  <c r="BJ79" i="1"/>
  <c r="BE79" i="1"/>
  <c r="AV79" i="1"/>
  <c r="AO79" i="1"/>
  <c r="AP79" i="1" s="1"/>
  <c r="AJ79" i="1"/>
  <c r="AL79" i="1" s="1"/>
  <c r="AE79" i="1"/>
  <c r="Z79" i="1"/>
  <c r="N79" i="1"/>
  <c r="K79" i="1"/>
  <c r="J79" i="1"/>
  <c r="E79" i="1"/>
  <c r="D79" i="1"/>
  <c r="C79" i="1"/>
  <c r="B79" i="1"/>
  <c r="CY78" i="1"/>
  <c r="CZ78" i="1" s="1"/>
  <c r="CT78" i="1"/>
  <c r="CV78" i="1" s="1"/>
  <c r="CO78" i="1"/>
  <c r="CQ78" i="1" s="1"/>
  <c r="CJ78" i="1"/>
  <c r="BT78" i="1"/>
  <c r="BU78" i="1" s="1"/>
  <c r="BO78" i="1"/>
  <c r="BQ78" i="1" s="1"/>
  <c r="BJ78" i="1"/>
  <c r="BL78" i="1" s="1"/>
  <c r="BE78" i="1"/>
  <c r="AV78" i="1"/>
  <c r="AO78" i="1"/>
  <c r="AP78" i="1" s="1"/>
  <c r="AJ78" i="1"/>
  <c r="AE78" i="1"/>
  <c r="AG78" i="1" s="1"/>
  <c r="Z78" i="1"/>
  <c r="N78" i="1"/>
  <c r="K78" i="1"/>
  <c r="J78" i="1"/>
  <c r="E78" i="1"/>
  <c r="D78" i="1"/>
  <c r="C78" i="1"/>
  <c r="B78" i="1"/>
  <c r="CY77" i="1"/>
  <c r="CZ77" i="1" s="1"/>
  <c r="CT77" i="1"/>
  <c r="CV77" i="1" s="1"/>
  <c r="CO77" i="1"/>
  <c r="CQ77" i="1" s="1"/>
  <c r="CJ77" i="1"/>
  <c r="BT77" i="1"/>
  <c r="BU77" i="1" s="1"/>
  <c r="BO77" i="1"/>
  <c r="BQ77" i="1" s="1"/>
  <c r="BJ77" i="1"/>
  <c r="BE77" i="1"/>
  <c r="AV77" i="1"/>
  <c r="AO77" i="1"/>
  <c r="AP77" i="1" s="1"/>
  <c r="AJ77" i="1"/>
  <c r="AL77" i="1" s="1"/>
  <c r="AE77" i="1"/>
  <c r="Z77" i="1"/>
  <c r="N77" i="1"/>
  <c r="K77" i="1"/>
  <c r="J77" i="1"/>
  <c r="E77" i="1"/>
  <c r="D77" i="1"/>
  <c r="C77" i="1"/>
  <c r="B77" i="1"/>
  <c r="CY76" i="1"/>
  <c r="CZ76" i="1" s="1"/>
  <c r="CT76" i="1"/>
  <c r="CO76" i="1"/>
  <c r="CQ76" i="1" s="1"/>
  <c r="CJ76" i="1"/>
  <c r="BT76" i="1"/>
  <c r="BU76" i="1" s="1"/>
  <c r="BO76" i="1"/>
  <c r="BQ76" i="1" s="1"/>
  <c r="BJ76" i="1"/>
  <c r="BL76" i="1" s="1"/>
  <c r="BE76" i="1"/>
  <c r="AV76" i="1"/>
  <c r="AO76" i="1"/>
  <c r="AP76" i="1" s="1"/>
  <c r="AJ76" i="1"/>
  <c r="AL76" i="1" s="1"/>
  <c r="AE76" i="1"/>
  <c r="AG76" i="1" s="1"/>
  <c r="Z76" i="1"/>
  <c r="N76" i="1"/>
  <c r="K76" i="1"/>
  <c r="J76" i="1"/>
  <c r="E76" i="1"/>
  <c r="D76" i="1"/>
  <c r="C76" i="1"/>
  <c r="B76" i="1"/>
  <c r="CY75" i="1"/>
  <c r="CZ75" i="1" s="1"/>
  <c r="CT75" i="1"/>
  <c r="CV75" i="1" s="1"/>
  <c r="CO75" i="1"/>
  <c r="CQ75" i="1" s="1"/>
  <c r="CJ75" i="1"/>
  <c r="BT75" i="1"/>
  <c r="BU75" i="1" s="1"/>
  <c r="BO75" i="1"/>
  <c r="BQ75" i="1" s="1"/>
  <c r="BJ75" i="1"/>
  <c r="BE75" i="1"/>
  <c r="AV75" i="1"/>
  <c r="AO75" i="1"/>
  <c r="AP75" i="1" s="1"/>
  <c r="AJ75" i="1"/>
  <c r="AL75" i="1" s="1"/>
  <c r="AE75" i="1"/>
  <c r="Z75" i="1"/>
  <c r="N75" i="1"/>
  <c r="K75" i="1"/>
  <c r="J75" i="1"/>
  <c r="E75" i="1"/>
  <c r="D75" i="1"/>
  <c r="C75" i="1"/>
  <c r="B75" i="1"/>
  <c r="CY74" i="1"/>
  <c r="CZ74" i="1" s="1"/>
  <c r="CT74" i="1"/>
  <c r="CO74" i="1"/>
  <c r="CQ74" i="1" s="1"/>
  <c r="CJ74" i="1"/>
  <c r="BT74" i="1"/>
  <c r="BU74" i="1" s="1"/>
  <c r="BO74" i="1"/>
  <c r="BQ74" i="1" s="1"/>
  <c r="BJ74" i="1"/>
  <c r="BE74" i="1"/>
  <c r="AV74" i="1"/>
  <c r="AO74" i="1"/>
  <c r="AP74" i="1" s="1"/>
  <c r="AJ74" i="1"/>
  <c r="AL74" i="1" s="1"/>
  <c r="AE74" i="1"/>
  <c r="AG74" i="1" s="1"/>
  <c r="Z74" i="1"/>
  <c r="N74" i="1"/>
  <c r="K74" i="1"/>
  <c r="J74" i="1"/>
  <c r="E74" i="1"/>
  <c r="D74" i="1"/>
  <c r="C74" i="1"/>
  <c r="B74" i="1"/>
  <c r="CY73" i="1"/>
  <c r="CZ73" i="1" s="1"/>
  <c r="CT73" i="1"/>
  <c r="CV73" i="1" s="1"/>
  <c r="CO73" i="1"/>
  <c r="CQ73" i="1" s="1"/>
  <c r="CJ73" i="1"/>
  <c r="BT73" i="1"/>
  <c r="BU73" i="1" s="1"/>
  <c r="BO73" i="1"/>
  <c r="BQ73" i="1" s="1"/>
  <c r="BJ73" i="1"/>
  <c r="BE73" i="1"/>
  <c r="AV73" i="1"/>
  <c r="AO73" i="1"/>
  <c r="AP73" i="1" s="1"/>
  <c r="AJ73" i="1"/>
  <c r="AL73" i="1" s="1"/>
  <c r="AE73" i="1"/>
  <c r="AG73" i="1" s="1"/>
  <c r="Z73" i="1"/>
  <c r="N73" i="1"/>
  <c r="K73" i="1"/>
  <c r="J73" i="1"/>
  <c r="E73" i="1"/>
  <c r="D73" i="1"/>
  <c r="C73" i="1"/>
  <c r="B73" i="1"/>
  <c r="CY72" i="1"/>
  <c r="CZ72" i="1" s="1"/>
  <c r="CT72" i="1"/>
  <c r="CV72" i="1" s="1"/>
  <c r="CO72" i="1"/>
  <c r="CJ72" i="1"/>
  <c r="BT72" i="1"/>
  <c r="BU72" i="1" s="1"/>
  <c r="BO72" i="1"/>
  <c r="BQ72" i="1" s="1"/>
  <c r="BJ72" i="1"/>
  <c r="BE72" i="1"/>
  <c r="AV72" i="1"/>
  <c r="AO72" i="1"/>
  <c r="AP72" i="1" s="1"/>
  <c r="AJ72" i="1"/>
  <c r="AL72" i="1" s="1"/>
  <c r="AE72" i="1"/>
  <c r="AR72" i="1" s="1"/>
  <c r="Z72" i="1"/>
  <c r="N72" i="1"/>
  <c r="K72" i="1"/>
  <c r="J72" i="1"/>
  <c r="E72" i="1"/>
  <c r="D72" i="1"/>
  <c r="C72" i="1"/>
  <c r="B72" i="1"/>
  <c r="CH71" i="1"/>
  <c r="BC71" i="1"/>
  <c r="X71" i="1"/>
  <c r="CY70" i="1"/>
  <c r="CZ70" i="1" s="1"/>
  <c r="CT70" i="1"/>
  <c r="CV70" i="1" s="1"/>
  <c r="CO70" i="1"/>
  <c r="DB70" i="1" s="1"/>
  <c r="CJ70" i="1"/>
  <c r="BT70" i="1"/>
  <c r="BU70" i="1" s="1"/>
  <c r="BO70" i="1"/>
  <c r="BQ70" i="1" s="1"/>
  <c r="BJ70" i="1"/>
  <c r="BE70" i="1"/>
  <c r="AV70" i="1"/>
  <c r="AO70" i="1"/>
  <c r="AP70" i="1" s="1"/>
  <c r="AJ70" i="1"/>
  <c r="AL70" i="1" s="1"/>
  <c r="AE70" i="1"/>
  <c r="AG70" i="1" s="1"/>
  <c r="Z70" i="1"/>
  <c r="N70" i="1"/>
  <c r="K70" i="1"/>
  <c r="J70" i="1"/>
  <c r="E70" i="1"/>
  <c r="D70" i="1"/>
  <c r="C70" i="1"/>
  <c r="B70" i="1"/>
  <c r="CY69" i="1"/>
  <c r="CZ69" i="1" s="1"/>
  <c r="CT69" i="1"/>
  <c r="CV69" i="1" s="1"/>
  <c r="CO69" i="1"/>
  <c r="CQ69" i="1" s="1"/>
  <c r="CJ69" i="1"/>
  <c r="BT69" i="1"/>
  <c r="BU69" i="1" s="1"/>
  <c r="BO69" i="1"/>
  <c r="BQ69" i="1" s="1"/>
  <c r="BJ69" i="1"/>
  <c r="BL69" i="1" s="1"/>
  <c r="BV69" i="1" s="1"/>
  <c r="BE69" i="1"/>
  <c r="AV69" i="1"/>
  <c r="AO69" i="1"/>
  <c r="AP69" i="1" s="1"/>
  <c r="AJ69" i="1"/>
  <c r="AL69" i="1" s="1"/>
  <c r="AE69" i="1"/>
  <c r="AG69" i="1" s="1"/>
  <c r="AQ69" i="1" s="1"/>
  <c r="Z69" i="1"/>
  <c r="N69" i="1"/>
  <c r="K69" i="1"/>
  <c r="J69" i="1"/>
  <c r="E69" i="1"/>
  <c r="D69" i="1"/>
  <c r="C69" i="1"/>
  <c r="B69" i="1"/>
  <c r="CY68" i="1"/>
  <c r="CZ68" i="1" s="1"/>
  <c r="CT68" i="1"/>
  <c r="CV68" i="1" s="1"/>
  <c r="CO68" i="1"/>
  <c r="CQ68" i="1" s="1"/>
  <c r="CJ68" i="1"/>
  <c r="BT68" i="1"/>
  <c r="BU68" i="1" s="1"/>
  <c r="BO68" i="1"/>
  <c r="BQ68" i="1" s="1"/>
  <c r="BJ68" i="1"/>
  <c r="BL68" i="1" s="1"/>
  <c r="BV68" i="1" s="1"/>
  <c r="BE68" i="1"/>
  <c r="AV68" i="1"/>
  <c r="AO68" i="1"/>
  <c r="AP68" i="1" s="1"/>
  <c r="AJ68" i="1"/>
  <c r="AL68" i="1" s="1"/>
  <c r="AE68" i="1"/>
  <c r="Z68" i="1"/>
  <c r="N68" i="1"/>
  <c r="K68" i="1"/>
  <c r="J68" i="1"/>
  <c r="E68" i="1"/>
  <c r="D68" i="1"/>
  <c r="C68" i="1"/>
  <c r="B68" i="1"/>
  <c r="CY67" i="1"/>
  <c r="CZ67" i="1" s="1"/>
  <c r="CT67" i="1"/>
  <c r="CV67" i="1" s="1"/>
  <c r="CO67" i="1"/>
  <c r="CQ67" i="1" s="1"/>
  <c r="CJ67" i="1"/>
  <c r="BT67" i="1"/>
  <c r="BU67" i="1" s="1"/>
  <c r="BO67" i="1"/>
  <c r="BQ67" i="1" s="1"/>
  <c r="BJ67" i="1"/>
  <c r="BE67" i="1"/>
  <c r="AV67" i="1"/>
  <c r="AO67" i="1"/>
  <c r="AP67" i="1" s="1"/>
  <c r="AJ67" i="1"/>
  <c r="AL67" i="1" s="1"/>
  <c r="AE67" i="1"/>
  <c r="Z67" i="1"/>
  <c r="N67" i="1"/>
  <c r="K67" i="1"/>
  <c r="J67" i="1"/>
  <c r="E67" i="1"/>
  <c r="D67" i="1"/>
  <c r="C67" i="1"/>
  <c r="B67" i="1"/>
  <c r="CY66" i="1"/>
  <c r="CZ66" i="1" s="1"/>
  <c r="CT66" i="1"/>
  <c r="CV66" i="1" s="1"/>
  <c r="CO66" i="1"/>
  <c r="CJ66" i="1"/>
  <c r="BT66" i="1"/>
  <c r="BU66" i="1" s="1"/>
  <c r="BO66" i="1"/>
  <c r="BQ66" i="1" s="1"/>
  <c r="BJ66" i="1"/>
  <c r="BL66" i="1" s="1"/>
  <c r="BE66" i="1"/>
  <c r="AV66" i="1"/>
  <c r="AO66" i="1"/>
  <c r="AP66" i="1" s="1"/>
  <c r="AJ66" i="1"/>
  <c r="AL66" i="1" s="1"/>
  <c r="AE66" i="1"/>
  <c r="Z66" i="1"/>
  <c r="N66" i="1"/>
  <c r="K66" i="1"/>
  <c r="J66" i="1"/>
  <c r="E66" i="1"/>
  <c r="D66" i="1"/>
  <c r="C66" i="1"/>
  <c r="B66" i="1"/>
  <c r="CY65" i="1"/>
  <c r="CZ65" i="1" s="1"/>
  <c r="CT65" i="1"/>
  <c r="CV65" i="1" s="1"/>
  <c r="CO65" i="1"/>
  <c r="CQ65" i="1" s="1"/>
  <c r="CJ65" i="1"/>
  <c r="BT65" i="1"/>
  <c r="BU65" i="1" s="1"/>
  <c r="BO65" i="1"/>
  <c r="BQ65" i="1" s="1"/>
  <c r="BJ65" i="1"/>
  <c r="BE65" i="1"/>
  <c r="AV65" i="1"/>
  <c r="AO65" i="1"/>
  <c r="AP65" i="1" s="1"/>
  <c r="AJ65" i="1"/>
  <c r="AL65" i="1" s="1"/>
  <c r="AE65" i="1"/>
  <c r="Z65" i="1"/>
  <c r="N65" i="1"/>
  <c r="K65" i="1"/>
  <c r="J65" i="1"/>
  <c r="E65" i="1"/>
  <c r="D65" i="1"/>
  <c r="C65" i="1"/>
  <c r="B65" i="1"/>
  <c r="CY64" i="1"/>
  <c r="CZ64" i="1" s="1"/>
  <c r="CT64" i="1"/>
  <c r="CO64" i="1"/>
  <c r="CQ64" i="1" s="1"/>
  <c r="CJ64" i="1"/>
  <c r="BT64" i="1"/>
  <c r="BU64" i="1" s="1"/>
  <c r="BO64" i="1"/>
  <c r="BQ64" i="1" s="1"/>
  <c r="BJ64" i="1"/>
  <c r="BL64" i="1" s="1"/>
  <c r="BE64" i="1"/>
  <c r="AV64" i="1"/>
  <c r="AO64" i="1"/>
  <c r="AP64" i="1" s="1"/>
  <c r="AJ64" i="1"/>
  <c r="AL64" i="1" s="1"/>
  <c r="AE64" i="1"/>
  <c r="Z64" i="1"/>
  <c r="N64" i="1"/>
  <c r="K64" i="1"/>
  <c r="J64" i="1"/>
  <c r="E64" i="1"/>
  <c r="D64" i="1"/>
  <c r="C64" i="1"/>
  <c r="B64" i="1"/>
  <c r="CY63" i="1"/>
  <c r="CZ63" i="1" s="1"/>
  <c r="CT63" i="1"/>
  <c r="CV63" i="1" s="1"/>
  <c r="CO63" i="1"/>
  <c r="CQ63" i="1" s="1"/>
  <c r="CJ63" i="1"/>
  <c r="BT63" i="1"/>
  <c r="BU63" i="1" s="1"/>
  <c r="BO63" i="1"/>
  <c r="BQ63" i="1" s="1"/>
  <c r="BJ63" i="1"/>
  <c r="BL63" i="1" s="1"/>
  <c r="BV63" i="1" s="1"/>
  <c r="BE63" i="1"/>
  <c r="AV63" i="1"/>
  <c r="AO63" i="1"/>
  <c r="AP63" i="1" s="1"/>
  <c r="AJ63" i="1"/>
  <c r="AL63" i="1" s="1"/>
  <c r="AE63" i="1"/>
  <c r="AG63" i="1" s="1"/>
  <c r="AQ63" i="1" s="1"/>
  <c r="Z63" i="1"/>
  <c r="N63" i="1"/>
  <c r="K63" i="1"/>
  <c r="J63" i="1"/>
  <c r="E63" i="1"/>
  <c r="D63" i="1"/>
  <c r="C63" i="1"/>
  <c r="B63" i="1"/>
  <c r="CY62" i="1"/>
  <c r="CZ62" i="1" s="1"/>
  <c r="CT62" i="1"/>
  <c r="CV62" i="1" s="1"/>
  <c r="CO62" i="1"/>
  <c r="CQ62" i="1" s="1"/>
  <c r="CJ62" i="1"/>
  <c r="BT62" i="1"/>
  <c r="BU62" i="1" s="1"/>
  <c r="BO62" i="1"/>
  <c r="BQ62" i="1" s="1"/>
  <c r="BJ62" i="1"/>
  <c r="BE62" i="1"/>
  <c r="AV62" i="1"/>
  <c r="AO62" i="1"/>
  <c r="AP62" i="1" s="1"/>
  <c r="AJ62" i="1"/>
  <c r="AL62" i="1" s="1"/>
  <c r="AE62" i="1"/>
  <c r="Z62" i="1"/>
  <c r="N62" i="1"/>
  <c r="K62" i="1"/>
  <c r="J62" i="1"/>
  <c r="E62" i="1"/>
  <c r="D62" i="1"/>
  <c r="C62" i="1"/>
  <c r="B62" i="1"/>
  <c r="CH61" i="1"/>
  <c r="BC61" i="1"/>
  <c r="X61" i="1"/>
  <c r="CY60" i="1"/>
  <c r="CZ60" i="1" s="1"/>
  <c r="CT60" i="1"/>
  <c r="CV60" i="1" s="1"/>
  <c r="CO60" i="1"/>
  <c r="CJ60" i="1"/>
  <c r="BT60" i="1"/>
  <c r="BU60" i="1" s="1"/>
  <c r="BO60" i="1"/>
  <c r="BQ60" i="1" s="1"/>
  <c r="BJ60" i="1"/>
  <c r="BW60" i="1" s="1"/>
  <c r="BE60" i="1"/>
  <c r="AV60" i="1"/>
  <c r="AO60" i="1"/>
  <c r="AP60" i="1" s="1"/>
  <c r="AJ60" i="1"/>
  <c r="AE60" i="1"/>
  <c r="AG60" i="1" s="1"/>
  <c r="Z60" i="1"/>
  <c r="N60" i="1"/>
  <c r="K60" i="1"/>
  <c r="J60" i="1"/>
  <c r="E60" i="1"/>
  <c r="D60" i="1"/>
  <c r="C60" i="1"/>
  <c r="B60" i="1"/>
  <c r="CY59" i="1"/>
  <c r="CZ59" i="1" s="1"/>
  <c r="CT59" i="1"/>
  <c r="CV59" i="1" s="1"/>
  <c r="CO59" i="1"/>
  <c r="CJ59" i="1"/>
  <c r="BT59" i="1"/>
  <c r="BU59" i="1" s="1"/>
  <c r="BO59" i="1"/>
  <c r="BJ59" i="1"/>
  <c r="BL59" i="1" s="1"/>
  <c r="BE59" i="1"/>
  <c r="AV59" i="1"/>
  <c r="AO59" i="1"/>
  <c r="AP59" i="1" s="1"/>
  <c r="AJ59" i="1"/>
  <c r="AE59" i="1"/>
  <c r="AG59" i="1" s="1"/>
  <c r="Z59" i="1"/>
  <c r="N59" i="1"/>
  <c r="K59" i="1"/>
  <c r="J59" i="1"/>
  <c r="E59" i="1"/>
  <c r="D59" i="1"/>
  <c r="C59" i="1"/>
  <c r="B59" i="1"/>
  <c r="CY58" i="1"/>
  <c r="CZ58" i="1" s="1"/>
  <c r="CT58" i="1"/>
  <c r="CV58" i="1" s="1"/>
  <c r="CO58" i="1"/>
  <c r="CQ58" i="1" s="1"/>
  <c r="CJ58" i="1"/>
  <c r="BT58" i="1"/>
  <c r="BU58" i="1" s="1"/>
  <c r="BO58" i="1"/>
  <c r="BQ58" i="1" s="1"/>
  <c r="BJ58" i="1"/>
  <c r="BE58" i="1"/>
  <c r="AV58" i="1"/>
  <c r="AO58" i="1"/>
  <c r="AP58" i="1" s="1"/>
  <c r="AJ58" i="1"/>
  <c r="AL58" i="1" s="1"/>
  <c r="AE58" i="1"/>
  <c r="AG58" i="1" s="1"/>
  <c r="AQ58" i="1" s="1"/>
  <c r="Z58" i="1"/>
  <c r="N58" i="1"/>
  <c r="K58" i="1"/>
  <c r="J58" i="1"/>
  <c r="E58" i="1"/>
  <c r="D58" i="1"/>
  <c r="C58" i="1"/>
  <c r="B58" i="1"/>
  <c r="CY57" i="1"/>
  <c r="CZ57" i="1" s="1"/>
  <c r="CT57" i="1"/>
  <c r="CV57" i="1" s="1"/>
  <c r="CO57" i="1"/>
  <c r="CQ57" i="1" s="1"/>
  <c r="CJ57" i="1"/>
  <c r="BT57" i="1"/>
  <c r="BU57" i="1" s="1"/>
  <c r="BO57" i="1"/>
  <c r="BQ57" i="1" s="1"/>
  <c r="BJ57" i="1"/>
  <c r="BL57" i="1" s="1"/>
  <c r="BV57" i="1" s="1"/>
  <c r="BE57" i="1"/>
  <c r="AV57" i="1"/>
  <c r="AO57" i="1"/>
  <c r="AP57" i="1" s="1"/>
  <c r="AJ57" i="1"/>
  <c r="AL57" i="1" s="1"/>
  <c r="AE57" i="1"/>
  <c r="AG57" i="1" s="1"/>
  <c r="Z57" i="1"/>
  <c r="N57" i="1"/>
  <c r="K57" i="1"/>
  <c r="J57" i="1"/>
  <c r="E57" i="1"/>
  <c r="D57" i="1"/>
  <c r="C57" i="1"/>
  <c r="B57" i="1"/>
  <c r="CY56" i="1"/>
  <c r="CZ56" i="1" s="1"/>
  <c r="CT56" i="1"/>
  <c r="CV56" i="1" s="1"/>
  <c r="CO56" i="1"/>
  <c r="CJ56" i="1"/>
  <c r="BT56" i="1"/>
  <c r="BU56" i="1" s="1"/>
  <c r="BO56" i="1"/>
  <c r="BQ56" i="1" s="1"/>
  <c r="BJ56" i="1"/>
  <c r="BE56" i="1"/>
  <c r="AV56" i="1"/>
  <c r="AO56" i="1"/>
  <c r="AP56" i="1" s="1"/>
  <c r="AJ56" i="1"/>
  <c r="AL56" i="1" s="1"/>
  <c r="AE56" i="1"/>
  <c r="AR56" i="1" s="1"/>
  <c r="N56" i="1"/>
  <c r="K56" i="1"/>
  <c r="J56" i="1"/>
  <c r="E56" i="1"/>
  <c r="D56" i="1"/>
  <c r="C56" i="1"/>
  <c r="B56" i="1"/>
  <c r="CY55" i="1"/>
  <c r="CZ55" i="1" s="1"/>
  <c r="CT55" i="1"/>
  <c r="CV55" i="1" s="1"/>
  <c r="CO55" i="1"/>
  <c r="CQ55" i="1" s="1"/>
  <c r="CJ55" i="1"/>
  <c r="BT55" i="1"/>
  <c r="BU55" i="1" s="1"/>
  <c r="BO55" i="1"/>
  <c r="BQ55" i="1" s="1"/>
  <c r="BJ55" i="1"/>
  <c r="BE55" i="1"/>
  <c r="AV55" i="1"/>
  <c r="AO55" i="1"/>
  <c r="AP55" i="1" s="1"/>
  <c r="AJ55" i="1"/>
  <c r="AL55" i="1" s="1"/>
  <c r="AE55" i="1"/>
  <c r="N55" i="1"/>
  <c r="K55" i="1"/>
  <c r="J55" i="1"/>
  <c r="E55" i="1"/>
  <c r="D55" i="1"/>
  <c r="C55" i="1"/>
  <c r="B55" i="1"/>
  <c r="CY54" i="1"/>
  <c r="CZ54" i="1" s="1"/>
  <c r="CT54" i="1"/>
  <c r="CV54" i="1" s="1"/>
  <c r="CO54" i="1"/>
  <c r="CJ54" i="1"/>
  <c r="BT54" i="1"/>
  <c r="BU54" i="1" s="1"/>
  <c r="BO54" i="1"/>
  <c r="BQ54" i="1" s="1"/>
  <c r="BJ54" i="1"/>
  <c r="BL54" i="1" s="1"/>
  <c r="BE54" i="1"/>
  <c r="AV54" i="1"/>
  <c r="AO54" i="1"/>
  <c r="AP54" i="1" s="1"/>
  <c r="AJ54" i="1"/>
  <c r="AL54" i="1" s="1"/>
  <c r="AE54" i="1"/>
  <c r="AG54" i="1" s="1"/>
  <c r="AQ54" i="1" s="1"/>
  <c r="N54" i="1"/>
  <c r="K54" i="1"/>
  <c r="J54" i="1"/>
  <c r="E54" i="1"/>
  <c r="D54" i="1"/>
  <c r="C54" i="1"/>
  <c r="B54" i="1"/>
  <c r="CY53" i="1"/>
  <c r="CZ53" i="1" s="1"/>
  <c r="CT53" i="1"/>
  <c r="CV53" i="1" s="1"/>
  <c r="CO53" i="1"/>
  <c r="CQ53" i="1" s="1"/>
  <c r="CJ53" i="1"/>
  <c r="BT53" i="1"/>
  <c r="BU53" i="1" s="1"/>
  <c r="BO53" i="1"/>
  <c r="BQ53" i="1" s="1"/>
  <c r="BJ53" i="1"/>
  <c r="BL53" i="1" s="1"/>
  <c r="BV53" i="1" s="1"/>
  <c r="BE53" i="1"/>
  <c r="AV53" i="1"/>
  <c r="AO53" i="1"/>
  <c r="AP53" i="1" s="1"/>
  <c r="AJ53" i="1"/>
  <c r="AL53" i="1" s="1"/>
  <c r="AE53" i="1"/>
  <c r="AG53" i="1" s="1"/>
  <c r="AQ53" i="1" s="1"/>
  <c r="N53" i="1"/>
  <c r="K53" i="1"/>
  <c r="J53" i="1"/>
  <c r="E53" i="1"/>
  <c r="D53" i="1"/>
  <c r="C53" i="1"/>
  <c r="B53" i="1"/>
  <c r="CY52" i="1"/>
  <c r="CZ52" i="1" s="1"/>
  <c r="CT52" i="1"/>
  <c r="CV52" i="1" s="1"/>
  <c r="CO52" i="1"/>
  <c r="CJ52" i="1"/>
  <c r="BT52" i="1"/>
  <c r="BU52" i="1" s="1"/>
  <c r="BO52" i="1"/>
  <c r="BQ52" i="1" s="1"/>
  <c r="BJ52" i="1"/>
  <c r="BE52" i="1"/>
  <c r="AV52" i="1"/>
  <c r="AO52" i="1"/>
  <c r="AP52" i="1" s="1"/>
  <c r="AJ52" i="1"/>
  <c r="AL52" i="1" s="1"/>
  <c r="AE52" i="1"/>
  <c r="AR52" i="1" s="1"/>
  <c r="N52" i="1"/>
  <c r="K52" i="1"/>
  <c r="J52" i="1"/>
  <c r="E52" i="1"/>
  <c r="D52" i="1"/>
  <c r="C52" i="1"/>
  <c r="B52" i="1"/>
  <c r="CH51" i="1"/>
  <c r="BC51" i="1"/>
  <c r="X51" i="1"/>
  <c r="CY50" i="1"/>
  <c r="CZ50" i="1" s="1"/>
  <c r="CT50" i="1"/>
  <c r="CO50" i="1"/>
  <c r="CQ50" i="1" s="1"/>
  <c r="CJ50" i="1"/>
  <c r="BT50" i="1"/>
  <c r="BU50" i="1" s="1"/>
  <c r="BO50" i="1"/>
  <c r="BQ50" i="1" s="1"/>
  <c r="BJ50" i="1"/>
  <c r="BW50" i="1" s="1"/>
  <c r="BE50" i="1"/>
  <c r="AV50" i="1"/>
  <c r="AO50" i="1"/>
  <c r="AP50" i="1" s="1"/>
  <c r="AJ50" i="1"/>
  <c r="AL50" i="1" s="1"/>
  <c r="AE50" i="1"/>
  <c r="AR50" i="1" s="1"/>
  <c r="Z50" i="1"/>
  <c r="N50" i="1"/>
  <c r="K50" i="1"/>
  <c r="J50" i="1"/>
  <c r="E50" i="1"/>
  <c r="D50" i="1"/>
  <c r="C50" i="1"/>
  <c r="B50" i="1"/>
  <c r="CY49" i="1"/>
  <c r="CZ49" i="1" s="1"/>
  <c r="CT49" i="1"/>
  <c r="CV49" i="1" s="1"/>
  <c r="CO49" i="1"/>
  <c r="CQ49" i="1" s="1"/>
  <c r="CJ49" i="1"/>
  <c r="BT49" i="1"/>
  <c r="BU49" i="1" s="1"/>
  <c r="BO49" i="1"/>
  <c r="BQ49" i="1" s="1"/>
  <c r="BJ49" i="1"/>
  <c r="BE49" i="1"/>
  <c r="AV49" i="1"/>
  <c r="AO49" i="1"/>
  <c r="AP49" i="1" s="1"/>
  <c r="AJ49" i="1"/>
  <c r="AL49" i="1" s="1"/>
  <c r="AE49" i="1"/>
  <c r="Z49" i="1"/>
  <c r="N49" i="1"/>
  <c r="K49" i="1"/>
  <c r="J49" i="1"/>
  <c r="E49" i="1"/>
  <c r="D49" i="1"/>
  <c r="C49" i="1"/>
  <c r="B49" i="1"/>
  <c r="CY48" i="1"/>
  <c r="CZ48" i="1" s="1"/>
  <c r="CT48" i="1"/>
  <c r="CO48" i="1"/>
  <c r="CQ48" i="1" s="1"/>
  <c r="CJ48" i="1"/>
  <c r="BT48" i="1"/>
  <c r="BU48" i="1" s="1"/>
  <c r="BO48" i="1"/>
  <c r="BQ48" i="1" s="1"/>
  <c r="BJ48" i="1"/>
  <c r="BE48" i="1"/>
  <c r="AV48" i="1"/>
  <c r="AO48" i="1"/>
  <c r="AP48" i="1" s="1"/>
  <c r="AJ48" i="1"/>
  <c r="AL48" i="1" s="1"/>
  <c r="AE48" i="1"/>
  <c r="Z48" i="1"/>
  <c r="N48" i="1"/>
  <c r="K48" i="1"/>
  <c r="J48" i="1"/>
  <c r="E48" i="1"/>
  <c r="D48" i="1"/>
  <c r="C48" i="1"/>
  <c r="B48" i="1"/>
  <c r="CY47" i="1"/>
  <c r="CZ47" i="1" s="1"/>
  <c r="CT47" i="1"/>
  <c r="CO47" i="1"/>
  <c r="CQ47" i="1" s="1"/>
  <c r="CJ47" i="1"/>
  <c r="BT47" i="1"/>
  <c r="BU47" i="1" s="1"/>
  <c r="BO47" i="1"/>
  <c r="BQ47" i="1" s="1"/>
  <c r="BJ47" i="1"/>
  <c r="BE47" i="1"/>
  <c r="AV47" i="1"/>
  <c r="AO47" i="1"/>
  <c r="AP47" i="1" s="1"/>
  <c r="AJ47" i="1"/>
  <c r="AL47" i="1" s="1"/>
  <c r="AE47" i="1"/>
  <c r="Z47" i="1"/>
  <c r="N47" i="1"/>
  <c r="K47" i="1"/>
  <c r="J47" i="1"/>
  <c r="E47" i="1"/>
  <c r="D47" i="1"/>
  <c r="C47" i="1"/>
  <c r="B47" i="1"/>
  <c r="CY46" i="1"/>
  <c r="CZ46" i="1" s="1"/>
  <c r="CT46" i="1"/>
  <c r="CV46" i="1" s="1"/>
  <c r="CO46" i="1"/>
  <c r="CJ46" i="1"/>
  <c r="BT46" i="1"/>
  <c r="BU46" i="1" s="1"/>
  <c r="BO46" i="1"/>
  <c r="BQ46" i="1" s="1"/>
  <c r="BJ46" i="1"/>
  <c r="BL46" i="1" s="1"/>
  <c r="BE46" i="1"/>
  <c r="AV46" i="1"/>
  <c r="AO46" i="1"/>
  <c r="AP46" i="1" s="1"/>
  <c r="AJ46" i="1"/>
  <c r="AL46" i="1" s="1"/>
  <c r="AE46" i="1"/>
  <c r="AG46" i="1" s="1"/>
  <c r="Z46" i="1"/>
  <c r="N46" i="1"/>
  <c r="K46" i="1"/>
  <c r="J46" i="1"/>
  <c r="E46" i="1"/>
  <c r="D46" i="1"/>
  <c r="C46" i="1"/>
  <c r="B46" i="1"/>
  <c r="CY45" i="1"/>
  <c r="CZ45" i="1" s="1"/>
  <c r="CT45" i="1"/>
  <c r="CO45" i="1"/>
  <c r="CQ45" i="1" s="1"/>
  <c r="CJ45" i="1"/>
  <c r="BT45" i="1"/>
  <c r="BU45" i="1" s="1"/>
  <c r="BO45" i="1"/>
  <c r="BQ45" i="1" s="1"/>
  <c r="BJ45" i="1"/>
  <c r="BE45" i="1"/>
  <c r="AV45" i="1"/>
  <c r="AO45" i="1"/>
  <c r="AP45" i="1" s="1"/>
  <c r="AJ45" i="1"/>
  <c r="AL45" i="1" s="1"/>
  <c r="AE45" i="1"/>
  <c r="Z45" i="1"/>
  <c r="N45" i="1"/>
  <c r="K45" i="1"/>
  <c r="J45" i="1"/>
  <c r="E45" i="1"/>
  <c r="D45" i="1"/>
  <c r="C45" i="1"/>
  <c r="B45" i="1"/>
  <c r="CY44" i="1"/>
  <c r="CZ44" i="1" s="1"/>
  <c r="CT44" i="1"/>
  <c r="CV44" i="1" s="1"/>
  <c r="CO44" i="1"/>
  <c r="CJ44" i="1"/>
  <c r="BT44" i="1"/>
  <c r="BU44" i="1" s="1"/>
  <c r="BO44" i="1"/>
  <c r="BQ44" i="1" s="1"/>
  <c r="BJ44" i="1"/>
  <c r="BL44" i="1" s="1"/>
  <c r="BE44" i="1"/>
  <c r="AV44" i="1"/>
  <c r="AO44" i="1"/>
  <c r="AP44" i="1" s="1"/>
  <c r="AJ44" i="1"/>
  <c r="AL44" i="1" s="1"/>
  <c r="AE44" i="1"/>
  <c r="AG44" i="1" s="1"/>
  <c r="Z44" i="1"/>
  <c r="N44" i="1"/>
  <c r="K44" i="1"/>
  <c r="J44" i="1"/>
  <c r="E44" i="1"/>
  <c r="D44" i="1"/>
  <c r="C44" i="1"/>
  <c r="B44" i="1"/>
  <c r="CY43" i="1"/>
  <c r="CZ43" i="1" s="1"/>
  <c r="CT43" i="1"/>
  <c r="CO43" i="1"/>
  <c r="CQ43" i="1" s="1"/>
  <c r="CJ43" i="1"/>
  <c r="BT43" i="1"/>
  <c r="BU43" i="1" s="1"/>
  <c r="BO43" i="1"/>
  <c r="BQ43" i="1" s="1"/>
  <c r="BJ43" i="1"/>
  <c r="BE43" i="1"/>
  <c r="AV43" i="1"/>
  <c r="AO43" i="1"/>
  <c r="AP43" i="1" s="1"/>
  <c r="AJ43" i="1"/>
  <c r="AL43" i="1" s="1"/>
  <c r="AE43" i="1"/>
  <c r="Z43" i="1"/>
  <c r="N43" i="1"/>
  <c r="K43" i="1"/>
  <c r="J43" i="1"/>
  <c r="E43" i="1"/>
  <c r="D43" i="1"/>
  <c r="C43" i="1"/>
  <c r="B43" i="1"/>
  <c r="CY42" i="1"/>
  <c r="CZ42" i="1" s="1"/>
  <c r="CT42" i="1"/>
  <c r="CV42" i="1" s="1"/>
  <c r="CO42" i="1"/>
  <c r="CJ42" i="1"/>
  <c r="BT42" i="1"/>
  <c r="BU42" i="1" s="1"/>
  <c r="BO42" i="1"/>
  <c r="BQ42" i="1" s="1"/>
  <c r="BJ42" i="1"/>
  <c r="BL42" i="1" s="1"/>
  <c r="BE42" i="1"/>
  <c r="AV42" i="1"/>
  <c r="AO42" i="1"/>
  <c r="AP42" i="1" s="1"/>
  <c r="AJ42" i="1"/>
  <c r="AL42" i="1" s="1"/>
  <c r="AE42" i="1"/>
  <c r="AG42" i="1" s="1"/>
  <c r="Z42" i="1"/>
  <c r="N42" i="1"/>
  <c r="K42" i="1"/>
  <c r="J42" i="1"/>
  <c r="E42" i="1"/>
  <c r="D42" i="1"/>
  <c r="C42" i="1"/>
  <c r="B42" i="1"/>
  <c r="CH41" i="1"/>
  <c r="BC41" i="1"/>
  <c r="X41" i="1"/>
  <c r="CY40" i="1"/>
  <c r="CZ40" i="1" s="1"/>
  <c r="CT40" i="1"/>
  <c r="CV40" i="1" s="1"/>
  <c r="CO40" i="1"/>
  <c r="CJ40" i="1"/>
  <c r="BT40" i="1"/>
  <c r="BU40" i="1" s="1"/>
  <c r="BO40" i="1"/>
  <c r="BQ40" i="1" s="1"/>
  <c r="BJ40" i="1"/>
  <c r="BL40" i="1" s="1"/>
  <c r="BE40" i="1"/>
  <c r="AV40" i="1"/>
  <c r="AO40" i="1"/>
  <c r="AP40" i="1" s="1"/>
  <c r="AJ40" i="1"/>
  <c r="AL40" i="1" s="1"/>
  <c r="AE40" i="1"/>
  <c r="AG40" i="1" s="1"/>
  <c r="Z40" i="1"/>
  <c r="N40" i="1"/>
  <c r="K40" i="1"/>
  <c r="J40" i="1"/>
  <c r="E40" i="1"/>
  <c r="D40" i="1"/>
  <c r="C40" i="1"/>
  <c r="B40" i="1"/>
  <c r="CY39" i="1"/>
  <c r="CZ39" i="1" s="1"/>
  <c r="CT39" i="1"/>
  <c r="CO39" i="1"/>
  <c r="CQ39" i="1" s="1"/>
  <c r="CJ39" i="1"/>
  <c r="BT39" i="1"/>
  <c r="BU39" i="1" s="1"/>
  <c r="BO39" i="1"/>
  <c r="BQ39" i="1" s="1"/>
  <c r="BJ39" i="1"/>
  <c r="BE39" i="1"/>
  <c r="AV39" i="1"/>
  <c r="AO39" i="1"/>
  <c r="AP39" i="1" s="1"/>
  <c r="AJ39" i="1"/>
  <c r="AL39" i="1" s="1"/>
  <c r="AE39" i="1"/>
  <c r="Z39" i="1"/>
  <c r="N39" i="1"/>
  <c r="K39" i="1"/>
  <c r="J39" i="1"/>
  <c r="E39" i="1"/>
  <c r="D39" i="1"/>
  <c r="C39" i="1"/>
  <c r="B39" i="1"/>
  <c r="CY38" i="1"/>
  <c r="CZ38" i="1" s="1"/>
  <c r="CT38" i="1"/>
  <c r="CV38" i="1" s="1"/>
  <c r="CO38" i="1"/>
  <c r="CJ38" i="1"/>
  <c r="BT38" i="1"/>
  <c r="BU38" i="1" s="1"/>
  <c r="BO38" i="1"/>
  <c r="BQ38" i="1" s="1"/>
  <c r="BJ38" i="1"/>
  <c r="BL38" i="1" s="1"/>
  <c r="BE38" i="1"/>
  <c r="AV38" i="1"/>
  <c r="AO38" i="1"/>
  <c r="AP38" i="1" s="1"/>
  <c r="AJ38" i="1"/>
  <c r="AL38" i="1" s="1"/>
  <c r="AE38" i="1"/>
  <c r="AG38" i="1" s="1"/>
  <c r="Z38" i="1"/>
  <c r="N38" i="1"/>
  <c r="K38" i="1"/>
  <c r="J38" i="1"/>
  <c r="E38" i="1"/>
  <c r="D38" i="1"/>
  <c r="C38" i="1"/>
  <c r="B38" i="1"/>
  <c r="CY37" i="1"/>
  <c r="CZ37" i="1" s="1"/>
  <c r="CT37" i="1"/>
  <c r="CO37" i="1"/>
  <c r="CQ37" i="1" s="1"/>
  <c r="CJ37" i="1"/>
  <c r="BT37" i="1"/>
  <c r="BU37" i="1" s="1"/>
  <c r="BO37" i="1"/>
  <c r="BQ37" i="1" s="1"/>
  <c r="BJ37" i="1"/>
  <c r="BE37" i="1"/>
  <c r="AV37" i="1"/>
  <c r="AO37" i="1"/>
  <c r="AP37" i="1" s="1"/>
  <c r="AJ37" i="1"/>
  <c r="AL37" i="1" s="1"/>
  <c r="AE37" i="1"/>
  <c r="Z37" i="1"/>
  <c r="N37" i="1"/>
  <c r="K37" i="1"/>
  <c r="J37" i="1"/>
  <c r="E37" i="1"/>
  <c r="D37" i="1"/>
  <c r="C37" i="1"/>
  <c r="B37" i="1"/>
  <c r="CY36" i="1"/>
  <c r="CZ36" i="1" s="1"/>
  <c r="CT36" i="1"/>
  <c r="CV36" i="1" s="1"/>
  <c r="CO36" i="1"/>
  <c r="CJ36" i="1"/>
  <c r="BT36" i="1"/>
  <c r="BU36" i="1" s="1"/>
  <c r="BO36" i="1"/>
  <c r="BQ36" i="1" s="1"/>
  <c r="BJ36" i="1"/>
  <c r="BE36" i="1"/>
  <c r="AV36" i="1"/>
  <c r="AO36" i="1"/>
  <c r="AP36" i="1" s="1"/>
  <c r="AJ36" i="1"/>
  <c r="AL36" i="1" s="1"/>
  <c r="AE36" i="1"/>
  <c r="Z36" i="1"/>
  <c r="N36" i="1"/>
  <c r="K36" i="1"/>
  <c r="J36" i="1"/>
  <c r="E36" i="1"/>
  <c r="D36" i="1"/>
  <c r="C36" i="1"/>
  <c r="B36" i="1"/>
  <c r="CY35" i="1"/>
  <c r="CZ35" i="1" s="1"/>
  <c r="CT35" i="1"/>
  <c r="CV35" i="1" s="1"/>
  <c r="CO35" i="1"/>
  <c r="CJ35" i="1"/>
  <c r="BT35" i="1"/>
  <c r="BU35" i="1" s="1"/>
  <c r="BO35" i="1"/>
  <c r="BQ35" i="1" s="1"/>
  <c r="BJ35" i="1"/>
  <c r="BE35" i="1"/>
  <c r="AV35" i="1"/>
  <c r="AO35" i="1"/>
  <c r="AP35" i="1" s="1"/>
  <c r="AJ35" i="1"/>
  <c r="AL35" i="1" s="1"/>
  <c r="AE35" i="1"/>
  <c r="Z35" i="1"/>
  <c r="N35" i="1"/>
  <c r="K35" i="1"/>
  <c r="J35" i="1"/>
  <c r="E35" i="1"/>
  <c r="D35" i="1"/>
  <c r="C35" i="1"/>
  <c r="B35" i="1"/>
  <c r="CY34" i="1"/>
  <c r="CZ34" i="1" s="1"/>
  <c r="CT34" i="1"/>
  <c r="CV34" i="1" s="1"/>
  <c r="CO34" i="1"/>
  <c r="CJ34" i="1"/>
  <c r="BT34" i="1"/>
  <c r="BU34" i="1" s="1"/>
  <c r="BO34" i="1"/>
  <c r="BQ34" i="1" s="1"/>
  <c r="BJ34" i="1"/>
  <c r="BE34" i="1"/>
  <c r="AV34" i="1"/>
  <c r="AO34" i="1"/>
  <c r="AP34" i="1" s="1"/>
  <c r="AJ34" i="1"/>
  <c r="AL34" i="1" s="1"/>
  <c r="AE34" i="1"/>
  <c r="Z34" i="1"/>
  <c r="N34" i="1"/>
  <c r="K34" i="1"/>
  <c r="J34" i="1"/>
  <c r="E34" i="1"/>
  <c r="D34" i="1"/>
  <c r="C34" i="1"/>
  <c r="B34" i="1"/>
  <c r="CY33" i="1"/>
  <c r="CZ33" i="1" s="1"/>
  <c r="CT33" i="1"/>
  <c r="CV33" i="1" s="1"/>
  <c r="CO33" i="1"/>
  <c r="CQ33" i="1" s="1"/>
  <c r="CJ33" i="1"/>
  <c r="BT33" i="1"/>
  <c r="BU33" i="1" s="1"/>
  <c r="BO33" i="1"/>
  <c r="BQ33" i="1" s="1"/>
  <c r="BJ33" i="1"/>
  <c r="BE33" i="1"/>
  <c r="AV33" i="1"/>
  <c r="AO33" i="1"/>
  <c r="AP33" i="1" s="1"/>
  <c r="AJ33" i="1"/>
  <c r="AL33" i="1" s="1"/>
  <c r="AE33" i="1"/>
  <c r="Z33" i="1"/>
  <c r="N33" i="1"/>
  <c r="K33" i="1"/>
  <c r="J33" i="1"/>
  <c r="E33" i="1"/>
  <c r="D33" i="1"/>
  <c r="C33" i="1"/>
  <c r="B33" i="1"/>
  <c r="CH32" i="1"/>
  <c r="BC32" i="1"/>
  <c r="X32" i="1"/>
  <c r="CY31" i="1"/>
  <c r="CZ31" i="1" s="1"/>
  <c r="CT31" i="1"/>
  <c r="CV31" i="1" s="1"/>
  <c r="CO31" i="1"/>
  <c r="CQ31" i="1" s="1"/>
  <c r="DA31" i="1" s="1"/>
  <c r="CJ31" i="1"/>
  <c r="BT31" i="1"/>
  <c r="BU31" i="1" s="1"/>
  <c r="BO31" i="1"/>
  <c r="BQ31" i="1" s="1"/>
  <c r="BJ31" i="1"/>
  <c r="BE31" i="1"/>
  <c r="AV31" i="1"/>
  <c r="AO31" i="1"/>
  <c r="AP31" i="1" s="1"/>
  <c r="AJ31" i="1"/>
  <c r="AL31" i="1" s="1"/>
  <c r="AE31" i="1"/>
  <c r="Z31" i="1"/>
  <c r="N31" i="1"/>
  <c r="K31" i="1"/>
  <c r="J31" i="1"/>
  <c r="E31" i="1"/>
  <c r="D31" i="1"/>
  <c r="C31" i="1"/>
  <c r="B31" i="1"/>
  <c r="CY30" i="1"/>
  <c r="CZ30" i="1" s="1"/>
  <c r="CT30" i="1"/>
  <c r="CV30" i="1" s="1"/>
  <c r="CO30" i="1"/>
  <c r="CJ30" i="1"/>
  <c r="BT30" i="1"/>
  <c r="BU30" i="1" s="1"/>
  <c r="BO30" i="1"/>
  <c r="BQ30" i="1" s="1"/>
  <c r="BJ30" i="1"/>
  <c r="BL30" i="1" s="1"/>
  <c r="BV30" i="1" s="1"/>
  <c r="BE30" i="1"/>
  <c r="AV30" i="1"/>
  <c r="AO30" i="1"/>
  <c r="AP30" i="1" s="1"/>
  <c r="AJ30" i="1"/>
  <c r="AL30" i="1" s="1"/>
  <c r="AE30" i="1"/>
  <c r="AG30" i="1" s="1"/>
  <c r="Z30" i="1"/>
  <c r="N30" i="1"/>
  <c r="K30" i="1"/>
  <c r="J30" i="1"/>
  <c r="E30" i="1"/>
  <c r="D30" i="1"/>
  <c r="C30" i="1"/>
  <c r="B30" i="1"/>
  <c r="CY29" i="1"/>
  <c r="CZ29" i="1" s="1"/>
  <c r="CT29" i="1"/>
  <c r="CV29" i="1" s="1"/>
  <c r="CO29" i="1"/>
  <c r="CJ29" i="1"/>
  <c r="BT29" i="1"/>
  <c r="BU29" i="1" s="1"/>
  <c r="BO29" i="1"/>
  <c r="BQ29" i="1" s="1"/>
  <c r="BJ29" i="1"/>
  <c r="BE29" i="1"/>
  <c r="AV29" i="1"/>
  <c r="AO29" i="1"/>
  <c r="AP29" i="1" s="1"/>
  <c r="AJ29" i="1"/>
  <c r="AL29" i="1" s="1"/>
  <c r="AE29" i="1"/>
  <c r="Z29" i="1"/>
  <c r="N29" i="1"/>
  <c r="K29" i="1"/>
  <c r="J29" i="1"/>
  <c r="E29" i="1"/>
  <c r="D29" i="1"/>
  <c r="C29" i="1"/>
  <c r="B29" i="1"/>
  <c r="CY28" i="1"/>
  <c r="CZ28" i="1" s="1"/>
  <c r="CT28" i="1"/>
  <c r="CV28" i="1" s="1"/>
  <c r="CO28" i="1"/>
  <c r="DB28" i="1" s="1"/>
  <c r="CJ28" i="1"/>
  <c r="BT28" i="1"/>
  <c r="BU28" i="1" s="1"/>
  <c r="BO28" i="1"/>
  <c r="BQ28" i="1" s="1"/>
  <c r="BJ28" i="1"/>
  <c r="BE28" i="1"/>
  <c r="AV28" i="1"/>
  <c r="AO28" i="1"/>
  <c r="AP28" i="1" s="1"/>
  <c r="AJ28" i="1"/>
  <c r="AL28" i="1" s="1"/>
  <c r="AE28" i="1"/>
  <c r="AG28" i="1" s="1"/>
  <c r="Z28" i="1"/>
  <c r="N28" i="1"/>
  <c r="K28" i="1"/>
  <c r="J28" i="1"/>
  <c r="E28" i="1"/>
  <c r="D28" i="1"/>
  <c r="C28" i="1"/>
  <c r="B28" i="1"/>
  <c r="CY27" i="1"/>
  <c r="CZ27" i="1" s="1"/>
  <c r="CT27" i="1"/>
  <c r="CV27" i="1" s="1"/>
  <c r="CO27" i="1"/>
  <c r="CQ27" i="1" s="1"/>
  <c r="CJ27" i="1"/>
  <c r="BT27" i="1"/>
  <c r="BU27" i="1" s="1"/>
  <c r="BO27" i="1"/>
  <c r="BQ27" i="1" s="1"/>
  <c r="BJ27" i="1"/>
  <c r="BE27" i="1"/>
  <c r="AV27" i="1"/>
  <c r="AO27" i="1"/>
  <c r="AP27" i="1" s="1"/>
  <c r="AJ27" i="1"/>
  <c r="AL27" i="1" s="1"/>
  <c r="AE27" i="1"/>
  <c r="Z27" i="1"/>
  <c r="N27" i="1"/>
  <c r="K27" i="1"/>
  <c r="J27" i="1"/>
  <c r="E27" i="1"/>
  <c r="D27" i="1"/>
  <c r="C27" i="1"/>
  <c r="B27" i="1"/>
  <c r="CY26" i="1"/>
  <c r="CZ26" i="1" s="1"/>
  <c r="CT26" i="1"/>
  <c r="CV26" i="1" s="1"/>
  <c r="CO26" i="1"/>
  <c r="CQ26" i="1" s="1"/>
  <c r="CJ26" i="1"/>
  <c r="BT26" i="1"/>
  <c r="BU26" i="1" s="1"/>
  <c r="BO26" i="1"/>
  <c r="BQ26" i="1" s="1"/>
  <c r="BJ26" i="1"/>
  <c r="BW26" i="1" s="1"/>
  <c r="BE26" i="1"/>
  <c r="AV26" i="1"/>
  <c r="AO26" i="1"/>
  <c r="AP26" i="1" s="1"/>
  <c r="AJ26" i="1"/>
  <c r="AL26" i="1" s="1"/>
  <c r="AE26" i="1"/>
  <c r="AR26" i="1" s="1"/>
  <c r="Z26" i="1"/>
  <c r="N26" i="1"/>
  <c r="K26" i="1"/>
  <c r="J26" i="1"/>
  <c r="E26" i="1"/>
  <c r="D26" i="1"/>
  <c r="C26" i="1"/>
  <c r="B26" i="1"/>
  <c r="CY25" i="1"/>
  <c r="CZ25" i="1" s="1"/>
  <c r="CT25" i="1"/>
  <c r="CV25" i="1" s="1"/>
  <c r="CO25" i="1"/>
  <c r="CQ25" i="1" s="1"/>
  <c r="DA25" i="1" s="1"/>
  <c r="CJ25" i="1"/>
  <c r="BT25" i="1"/>
  <c r="BU25" i="1" s="1"/>
  <c r="BO25" i="1"/>
  <c r="BQ25" i="1" s="1"/>
  <c r="BJ25" i="1"/>
  <c r="BE25" i="1"/>
  <c r="AV25" i="1"/>
  <c r="AO25" i="1"/>
  <c r="AP25" i="1" s="1"/>
  <c r="AJ25" i="1"/>
  <c r="AL25" i="1" s="1"/>
  <c r="AE25" i="1"/>
  <c r="Z25" i="1"/>
  <c r="N25" i="1"/>
  <c r="K25" i="1"/>
  <c r="J25" i="1"/>
  <c r="E25" i="1"/>
  <c r="D25" i="1"/>
  <c r="C25" i="1"/>
  <c r="B25" i="1"/>
  <c r="CY24" i="1"/>
  <c r="CZ24" i="1" s="1"/>
  <c r="CT24" i="1"/>
  <c r="CV24" i="1" s="1"/>
  <c r="CO24" i="1"/>
  <c r="CJ24" i="1"/>
  <c r="BT24" i="1"/>
  <c r="BU24" i="1" s="1"/>
  <c r="BO24" i="1"/>
  <c r="BQ24" i="1" s="1"/>
  <c r="BJ24" i="1"/>
  <c r="BE24" i="1"/>
  <c r="AV24" i="1"/>
  <c r="AO24" i="1"/>
  <c r="AP24" i="1" s="1"/>
  <c r="AJ24" i="1"/>
  <c r="AL24" i="1" s="1"/>
  <c r="AE24" i="1"/>
  <c r="AG24" i="1" s="1"/>
  <c r="AQ24" i="1" s="1"/>
  <c r="Z24" i="1"/>
  <c r="N24" i="1"/>
  <c r="K24" i="1"/>
  <c r="J24" i="1"/>
  <c r="E24" i="1"/>
  <c r="D24" i="1"/>
  <c r="C24" i="1"/>
  <c r="B24" i="1"/>
  <c r="CY23" i="1"/>
  <c r="CZ23" i="1" s="1"/>
  <c r="CT23" i="1"/>
  <c r="CV23" i="1" s="1"/>
  <c r="CO23" i="1"/>
  <c r="CJ23" i="1"/>
  <c r="BT23" i="1"/>
  <c r="BO23" i="1"/>
  <c r="BQ23" i="1" s="1"/>
  <c r="BJ23" i="1"/>
  <c r="BL23" i="1" s="1"/>
  <c r="BV23" i="1" s="1"/>
  <c r="BE23" i="1"/>
  <c r="AV23" i="1"/>
  <c r="AO23" i="1"/>
  <c r="AJ23" i="1"/>
  <c r="AL23" i="1" s="1"/>
  <c r="AE23" i="1"/>
  <c r="AG23" i="1" s="1"/>
  <c r="Z23" i="1"/>
  <c r="N23" i="1"/>
  <c r="K23" i="1"/>
  <c r="J23" i="1"/>
  <c r="E23" i="1"/>
  <c r="D23" i="1"/>
  <c r="C23" i="1"/>
  <c r="B23" i="1"/>
  <c r="CH22" i="1"/>
  <c r="BC22" i="1"/>
  <c r="X22" i="1"/>
  <c r="CY21" i="1"/>
  <c r="CZ21" i="1" s="1"/>
  <c r="CT21" i="1"/>
  <c r="CV21" i="1" s="1"/>
  <c r="CO21" i="1"/>
  <c r="CJ21" i="1"/>
  <c r="BT21" i="1"/>
  <c r="BU21" i="1" s="1"/>
  <c r="BO21" i="1"/>
  <c r="BJ21" i="1"/>
  <c r="BL21" i="1" s="1"/>
  <c r="BE21" i="1"/>
  <c r="AV21" i="1"/>
  <c r="AO21" i="1"/>
  <c r="AP21" i="1" s="1"/>
  <c r="AJ21" i="1"/>
  <c r="AE21" i="1"/>
  <c r="AG21" i="1" s="1"/>
  <c r="Z21" i="1"/>
  <c r="N21" i="1"/>
  <c r="K21" i="1"/>
  <c r="J21" i="1"/>
  <c r="E21" i="1"/>
  <c r="D21" i="1"/>
  <c r="C21" i="1"/>
  <c r="B21" i="1"/>
  <c r="CY20" i="1"/>
  <c r="CZ20" i="1" s="1"/>
  <c r="CT20" i="1"/>
  <c r="CV20" i="1" s="1"/>
  <c r="CO20" i="1"/>
  <c r="CQ20" i="1" s="1"/>
  <c r="CJ20" i="1"/>
  <c r="BT20" i="1"/>
  <c r="BU20" i="1" s="1"/>
  <c r="BO20" i="1"/>
  <c r="BQ20" i="1" s="1"/>
  <c r="BJ20" i="1"/>
  <c r="BL20" i="1" s="1"/>
  <c r="BE20" i="1"/>
  <c r="AV20" i="1"/>
  <c r="AO20" i="1"/>
  <c r="AP20" i="1" s="1"/>
  <c r="AJ20" i="1"/>
  <c r="AL20" i="1" s="1"/>
  <c r="AE20" i="1"/>
  <c r="AG20" i="1" s="1"/>
  <c r="Z20" i="1"/>
  <c r="N20" i="1"/>
  <c r="K20" i="1"/>
  <c r="J20" i="1"/>
  <c r="E20" i="1"/>
  <c r="D20" i="1"/>
  <c r="C20" i="1"/>
  <c r="B20" i="1"/>
  <c r="CY19" i="1"/>
  <c r="CZ19" i="1" s="1"/>
  <c r="CT19" i="1"/>
  <c r="CV19" i="1" s="1"/>
  <c r="CO19" i="1"/>
  <c r="CQ19" i="1" s="1"/>
  <c r="CJ19" i="1"/>
  <c r="BT19" i="1"/>
  <c r="BU19" i="1" s="1"/>
  <c r="BO19" i="1"/>
  <c r="BQ19" i="1" s="1"/>
  <c r="BJ19" i="1"/>
  <c r="BL19" i="1" s="1"/>
  <c r="BV19" i="1" s="1"/>
  <c r="BE19" i="1"/>
  <c r="AV19" i="1"/>
  <c r="AO19" i="1"/>
  <c r="AP19" i="1" s="1"/>
  <c r="AJ19" i="1"/>
  <c r="AL19" i="1" s="1"/>
  <c r="AE19" i="1"/>
  <c r="AG19" i="1" s="1"/>
  <c r="Z19" i="1"/>
  <c r="N19" i="1"/>
  <c r="K19" i="1"/>
  <c r="J19" i="1"/>
  <c r="E19" i="1"/>
  <c r="D19" i="1"/>
  <c r="C19" i="1"/>
  <c r="B19" i="1"/>
  <c r="CY18" i="1"/>
  <c r="CZ18" i="1" s="1"/>
  <c r="CT18" i="1"/>
  <c r="CV18" i="1" s="1"/>
  <c r="CO18" i="1"/>
  <c r="CQ18" i="1" s="1"/>
  <c r="CJ18" i="1"/>
  <c r="BT18" i="1"/>
  <c r="BU18" i="1" s="1"/>
  <c r="BO18" i="1"/>
  <c r="BQ18" i="1" s="1"/>
  <c r="BJ18" i="1"/>
  <c r="BE18" i="1"/>
  <c r="AV18" i="1"/>
  <c r="AO18" i="1"/>
  <c r="AP18" i="1" s="1"/>
  <c r="AJ18" i="1"/>
  <c r="AL18" i="1" s="1"/>
  <c r="AE18" i="1"/>
  <c r="AR18" i="1" s="1"/>
  <c r="Z18" i="1"/>
  <c r="N18" i="1"/>
  <c r="K18" i="1"/>
  <c r="J18" i="1"/>
  <c r="E18" i="1"/>
  <c r="D18" i="1"/>
  <c r="C18" i="1"/>
  <c r="B18" i="1"/>
  <c r="CY17" i="1"/>
  <c r="CZ17" i="1" s="1"/>
  <c r="CT17" i="1"/>
  <c r="CV17" i="1" s="1"/>
  <c r="CO17" i="1"/>
  <c r="CQ17" i="1" s="1"/>
  <c r="CJ17" i="1"/>
  <c r="BT17" i="1"/>
  <c r="BO17" i="1"/>
  <c r="BQ17" i="1" s="1"/>
  <c r="BJ17" i="1"/>
  <c r="BL17" i="1" s="1"/>
  <c r="BE17" i="1"/>
  <c r="AV17" i="1"/>
  <c r="AO17" i="1"/>
  <c r="AJ17" i="1"/>
  <c r="AL17" i="1" s="1"/>
  <c r="AE17" i="1"/>
  <c r="AG17" i="1" s="1"/>
  <c r="Z17" i="1"/>
  <c r="N17" i="1"/>
  <c r="K17" i="1"/>
  <c r="J17" i="1"/>
  <c r="E17" i="1"/>
  <c r="D17" i="1"/>
  <c r="C17" i="1"/>
  <c r="B17" i="1"/>
  <c r="CY16" i="1"/>
  <c r="CZ16" i="1" s="1"/>
  <c r="CT16" i="1"/>
  <c r="CV16" i="1" s="1"/>
  <c r="CO16" i="1"/>
  <c r="CJ16" i="1"/>
  <c r="BT16" i="1"/>
  <c r="BU16" i="1" s="1"/>
  <c r="BO16" i="1"/>
  <c r="BQ16" i="1" s="1"/>
  <c r="BJ16" i="1"/>
  <c r="BE16" i="1"/>
  <c r="AV16" i="1"/>
  <c r="AO16" i="1"/>
  <c r="AP16" i="1" s="1"/>
  <c r="AJ16" i="1"/>
  <c r="AL16" i="1" s="1"/>
  <c r="AE16" i="1"/>
  <c r="Z16" i="1"/>
  <c r="N16" i="1"/>
  <c r="K16" i="1"/>
  <c r="J16" i="1"/>
  <c r="E16" i="1"/>
  <c r="D16" i="1"/>
  <c r="C16" i="1"/>
  <c r="B16" i="1"/>
  <c r="CY15" i="1"/>
  <c r="CZ15" i="1" s="1"/>
  <c r="CT15" i="1"/>
  <c r="CV15" i="1" s="1"/>
  <c r="CO15" i="1"/>
  <c r="CQ15" i="1" s="1"/>
  <c r="CJ15" i="1"/>
  <c r="BT15" i="1"/>
  <c r="BU15" i="1" s="1"/>
  <c r="BO15" i="1"/>
  <c r="BJ15" i="1"/>
  <c r="BL15" i="1" s="1"/>
  <c r="BE15" i="1"/>
  <c r="AV15" i="1"/>
  <c r="AO15" i="1"/>
  <c r="AP15" i="1" s="1"/>
  <c r="AJ15" i="1"/>
  <c r="AE15" i="1"/>
  <c r="AG15" i="1" s="1"/>
  <c r="Z15" i="1"/>
  <c r="N15" i="1"/>
  <c r="K15" i="1"/>
  <c r="J15" i="1"/>
  <c r="E15" i="1"/>
  <c r="D15" i="1"/>
  <c r="C15" i="1"/>
  <c r="B15" i="1"/>
  <c r="CY14" i="1"/>
  <c r="CT14" i="1"/>
  <c r="CV14" i="1" s="1"/>
  <c r="CO14" i="1"/>
  <c r="CQ14" i="1" s="1"/>
  <c r="CJ14" i="1"/>
  <c r="BT14" i="1"/>
  <c r="BU14" i="1" s="1"/>
  <c r="BO14" i="1"/>
  <c r="BQ14" i="1" s="1"/>
  <c r="BJ14" i="1"/>
  <c r="BL14" i="1" s="1"/>
  <c r="BV14" i="1" s="1"/>
  <c r="BE14" i="1"/>
  <c r="AV14" i="1"/>
  <c r="AO14" i="1"/>
  <c r="AP14" i="1" s="1"/>
  <c r="AJ14" i="1"/>
  <c r="AE14" i="1"/>
  <c r="AG14" i="1" s="1"/>
  <c r="Z14" i="1"/>
  <c r="N14" i="1"/>
  <c r="K14" i="1"/>
  <c r="J14" i="1"/>
  <c r="E14" i="1"/>
  <c r="D14" i="1"/>
  <c r="C14" i="1"/>
  <c r="B14" i="1"/>
  <c r="CY13" i="1"/>
  <c r="CZ13" i="1" s="1"/>
  <c r="CT13" i="1"/>
  <c r="CV13" i="1" s="1"/>
  <c r="CO13" i="1"/>
  <c r="CJ13" i="1"/>
  <c r="BT13" i="1"/>
  <c r="BU13" i="1" s="1"/>
  <c r="BO13" i="1"/>
  <c r="BQ13" i="1" s="1"/>
  <c r="BJ13" i="1"/>
  <c r="BL13" i="1" s="1"/>
  <c r="BE13" i="1"/>
  <c r="AV13" i="1"/>
  <c r="AO13" i="1"/>
  <c r="AP13" i="1" s="1"/>
  <c r="AJ13" i="1"/>
  <c r="AL13" i="1" s="1"/>
  <c r="AE13" i="1"/>
  <c r="AG13" i="1" s="1"/>
  <c r="Z13" i="1"/>
  <c r="N13" i="1"/>
  <c r="K13" i="1"/>
  <c r="J13" i="1"/>
  <c r="E13" i="1"/>
  <c r="D13" i="1"/>
  <c r="C13" i="1"/>
  <c r="B13" i="1"/>
  <c r="CH12" i="1"/>
  <c r="BC12" i="1"/>
  <c r="X12" i="1"/>
  <c r="CY11" i="1"/>
  <c r="CZ11" i="1" s="1"/>
  <c r="CT11" i="1"/>
  <c r="CV11" i="1" s="1"/>
  <c r="CO11" i="1"/>
  <c r="CJ11" i="1"/>
  <c r="BT11" i="1"/>
  <c r="BU11" i="1" s="1"/>
  <c r="BO11" i="1"/>
  <c r="BQ11" i="1" s="1"/>
  <c r="BJ11" i="1"/>
  <c r="BL11" i="1" s="1"/>
  <c r="BV11" i="1" s="1"/>
  <c r="BE11" i="1"/>
  <c r="AV11" i="1"/>
  <c r="AO11" i="1"/>
  <c r="AJ11" i="1"/>
  <c r="AL11" i="1" s="1"/>
  <c r="AE11" i="1"/>
  <c r="AG11" i="1" s="1"/>
  <c r="Z11" i="1"/>
  <c r="N11" i="1"/>
  <c r="K11" i="1"/>
  <c r="J11" i="1"/>
  <c r="E11" i="1"/>
  <c r="D11" i="1"/>
  <c r="C11" i="1"/>
  <c r="B11" i="1"/>
  <c r="CY10" i="1"/>
  <c r="CZ10" i="1" s="1"/>
  <c r="CT10" i="1"/>
  <c r="CV10" i="1" s="1"/>
  <c r="CO10" i="1"/>
  <c r="DB10" i="1" s="1"/>
  <c r="CJ10" i="1"/>
  <c r="BT10" i="1"/>
  <c r="BU10" i="1" s="1"/>
  <c r="BO10" i="1"/>
  <c r="BQ10" i="1" s="1"/>
  <c r="BJ10" i="1"/>
  <c r="BW10" i="1" s="1"/>
  <c r="BE10" i="1"/>
  <c r="AV10" i="1"/>
  <c r="AO10" i="1"/>
  <c r="AP10" i="1" s="1"/>
  <c r="AJ10" i="1"/>
  <c r="AL10" i="1" s="1"/>
  <c r="AE10" i="1"/>
  <c r="Z10" i="1"/>
  <c r="N10" i="1"/>
  <c r="K10" i="1"/>
  <c r="J10" i="1"/>
  <c r="E10" i="1"/>
  <c r="D10" i="1"/>
  <c r="C10" i="1"/>
  <c r="B10" i="1"/>
  <c r="CY9" i="1"/>
  <c r="CZ9" i="1" s="1"/>
  <c r="CT9" i="1"/>
  <c r="CV9" i="1" s="1"/>
  <c r="CO9" i="1"/>
  <c r="CQ9" i="1" s="1"/>
  <c r="CJ9" i="1"/>
  <c r="BT9" i="1"/>
  <c r="BU9" i="1" s="1"/>
  <c r="BO9" i="1"/>
  <c r="BQ9" i="1" s="1"/>
  <c r="BJ9" i="1"/>
  <c r="BE9" i="1"/>
  <c r="AV9" i="1"/>
  <c r="AO9" i="1"/>
  <c r="AP9" i="1" s="1"/>
  <c r="AJ9" i="1"/>
  <c r="AL9" i="1" s="1"/>
  <c r="AE9" i="1"/>
  <c r="Z9" i="1"/>
  <c r="N9" i="1"/>
  <c r="K9" i="1"/>
  <c r="J9" i="1"/>
  <c r="E9" i="1"/>
  <c r="D9" i="1"/>
  <c r="C9" i="1"/>
  <c r="B9" i="1"/>
  <c r="CY8" i="1"/>
  <c r="CZ8" i="1" s="1"/>
  <c r="CT8" i="1"/>
  <c r="CV8" i="1" s="1"/>
  <c r="CO8" i="1"/>
  <c r="CJ8" i="1"/>
  <c r="BT8" i="1"/>
  <c r="BU8" i="1" s="1"/>
  <c r="BO8" i="1"/>
  <c r="BQ8" i="1" s="1"/>
  <c r="BJ8" i="1"/>
  <c r="BL8" i="1" s="1"/>
  <c r="BE8" i="1"/>
  <c r="AV8" i="1"/>
  <c r="AO8" i="1"/>
  <c r="AP8" i="1" s="1"/>
  <c r="AJ8" i="1"/>
  <c r="AL8" i="1" s="1"/>
  <c r="AE8" i="1"/>
  <c r="AG8" i="1" s="1"/>
  <c r="AQ8" i="1" s="1"/>
  <c r="Z8" i="1"/>
  <c r="N8" i="1"/>
  <c r="K8" i="1"/>
  <c r="J8" i="1"/>
  <c r="E8" i="1"/>
  <c r="D8" i="1"/>
  <c r="C8" i="1"/>
  <c r="B8" i="1"/>
  <c r="CY7" i="1"/>
  <c r="CZ7" i="1" s="1"/>
  <c r="CT7" i="1"/>
  <c r="CV7" i="1" s="1"/>
  <c r="CO7" i="1"/>
  <c r="CQ7" i="1" s="1"/>
  <c r="CJ7" i="1"/>
  <c r="BT7" i="1"/>
  <c r="BU7" i="1" s="1"/>
  <c r="BO7" i="1"/>
  <c r="BQ7" i="1" s="1"/>
  <c r="BJ7" i="1"/>
  <c r="BE7" i="1"/>
  <c r="AV7" i="1"/>
  <c r="AO7" i="1"/>
  <c r="AP7" i="1" s="1"/>
  <c r="AJ7" i="1"/>
  <c r="AL7" i="1" s="1"/>
  <c r="AE7" i="1"/>
  <c r="Z7" i="1"/>
  <c r="N7" i="1"/>
  <c r="K7" i="1"/>
  <c r="J7" i="1"/>
  <c r="E7" i="1"/>
  <c r="D7" i="1"/>
  <c r="C7" i="1"/>
  <c r="B7" i="1"/>
  <c r="CY6" i="1"/>
  <c r="CZ6" i="1" s="1"/>
  <c r="CT6" i="1"/>
  <c r="CO6" i="1"/>
  <c r="CQ6" i="1" s="1"/>
  <c r="CJ6" i="1"/>
  <c r="BT6" i="1"/>
  <c r="BU6" i="1" s="1"/>
  <c r="BO6" i="1"/>
  <c r="BQ6" i="1" s="1"/>
  <c r="BJ6" i="1"/>
  <c r="BW6" i="1" s="1"/>
  <c r="BE6" i="1"/>
  <c r="AV6" i="1"/>
  <c r="AO6" i="1"/>
  <c r="AP6" i="1" s="1"/>
  <c r="AJ6" i="1"/>
  <c r="AL6" i="1" s="1"/>
  <c r="AE6" i="1"/>
  <c r="Z6" i="1"/>
  <c r="N6" i="1"/>
  <c r="K6" i="1"/>
  <c r="J6" i="1"/>
  <c r="E6" i="1"/>
  <c r="D6" i="1"/>
  <c r="C6" i="1"/>
  <c r="B6" i="1"/>
  <c r="CY5" i="1"/>
  <c r="CT5" i="1"/>
  <c r="CV5" i="1" s="1"/>
  <c r="CO5" i="1"/>
  <c r="CQ5" i="1" s="1"/>
  <c r="CJ5" i="1"/>
  <c r="BT5" i="1"/>
  <c r="BU5" i="1" s="1"/>
  <c r="BO5" i="1"/>
  <c r="BQ5" i="1" s="1"/>
  <c r="BJ5" i="1"/>
  <c r="BL5" i="1" s="1"/>
  <c r="BE5" i="1"/>
  <c r="AV5" i="1"/>
  <c r="AO5" i="1"/>
  <c r="AP5" i="1" s="1"/>
  <c r="AJ5" i="1"/>
  <c r="AE5" i="1"/>
  <c r="AG5" i="1" s="1"/>
  <c r="Z5" i="1"/>
  <c r="N5" i="1"/>
  <c r="K5" i="1"/>
  <c r="J5" i="1"/>
  <c r="E5" i="1"/>
  <c r="D5" i="1"/>
  <c r="C5" i="1"/>
  <c r="B5" i="1"/>
  <c r="CY4" i="1"/>
  <c r="CZ4" i="1" s="1"/>
  <c r="CT4" i="1"/>
  <c r="CV4" i="1" s="1"/>
  <c r="CO4" i="1"/>
  <c r="DB4" i="1" s="1"/>
  <c r="CJ4" i="1"/>
  <c r="BT4" i="1"/>
  <c r="BU4" i="1" s="1"/>
  <c r="BO4" i="1"/>
  <c r="BQ4" i="1" s="1"/>
  <c r="BJ4" i="1"/>
  <c r="BE4" i="1"/>
  <c r="AV4" i="1"/>
  <c r="AO4" i="1"/>
  <c r="AP4" i="1" s="1"/>
  <c r="AJ4" i="1"/>
  <c r="AL4" i="1" s="1"/>
  <c r="AE4" i="1"/>
  <c r="AG4" i="1" s="1"/>
  <c r="AQ4" i="1" s="1"/>
  <c r="Z4" i="1"/>
  <c r="N4" i="1"/>
  <c r="K4" i="1"/>
  <c r="J4" i="1"/>
  <c r="E4" i="1"/>
  <c r="D4" i="1"/>
  <c r="C4" i="1"/>
  <c r="B4" i="1"/>
  <c r="CY3" i="1"/>
  <c r="CZ3" i="1" s="1"/>
  <c r="CT3" i="1"/>
  <c r="CV3" i="1" s="1"/>
  <c r="CO3" i="1"/>
  <c r="CQ3" i="1" s="1"/>
  <c r="CJ3" i="1"/>
  <c r="BT3" i="1"/>
  <c r="BU3" i="1" s="1"/>
  <c r="BO3" i="1"/>
  <c r="BQ3" i="1" s="1"/>
  <c r="BJ3" i="1"/>
  <c r="BL3" i="1" s="1"/>
  <c r="BE3" i="1"/>
  <c r="AV3" i="1"/>
  <c r="AO3" i="1"/>
  <c r="AP3" i="1" s="1"/>
  <c r="AJ3" i="1"/>
  <c r="AL3" i="1" s="1"/>
  <c r="AE3" i="1"/>
  <c r="AG3" i="1" s="1"/>
  <c r="Z3" i="1"/>
  <c r="N3" i="1"/>
  <c r="K3" i="1"/>
  <c r="J3" i="1"/>
  <c r="E3" i="1"/>
  <c r="D3" i="1"/>
  <c r="C3" i="1"/>
  <c r="B3" i="1"/>
  <c r="CH2" i="1"/>
  <c r="BC2" i="1"/>
  <c r="X2" i="1"/>
  <c r="DB160" i="1" l="1"/>
  <c r="CQ160" i="1"/>
  <c r="DA160" i="1" s="1"/>
  <c r="BW160" i="1"/>
  <c r="BL160" i="1"/>
  <c r="BV160" i="1" s="1"/>
  <c r="AR160" i="1"/>
  <c r="AG160" i="1"/>
  <c r="AQ160" i="1" s="1"/>
  <c r="DB158" i="1"/>
  <c r="CQ158" i="1"/>
  <c r="DA158" i="1" s="1"/>
  <c r="BW158" i="1"/>
  <c r="BL158" i="1"/>
  <c r="BV158" i="1" s="1"/>
  <c r="AR158" i="1"/>
  <c r="AG158" i="1"/>
  <c r="AQ158" i="1" s="1"/>
  <c r="BW193" i="1"/>
  <c r="DB177" i="1"/>
  <c r="CQ177" i="1"/>
  <c r="DA177" i="1" s="1"/>
  <c r="BW177" i="1"/>
  <c r="BL177" i="1"/>
  <c r="BV177" i="1" s="1"/>
  <c r="AR177" i="1"/>
  <c r="AG177" i="1"/>
  <c r="AQ177" i="1" s="1"/>
  <c r="CQ176" i="1"/>
  <c r="DA176" i="1" s="1"/>
  <c r="DB176" i="1"/>
  <c r="BW176" i="1"/>
  <c r="BL176" i="1"/>
  <c r="BV176" i="1" s="1"/>
  <c r="AG176" i="1"/>
  <c r="AQ176" i="1" s="1"/>
  <c r="AR176" i="1"/>
  <c r="DB175" i="1"/>
  <c r="CQ175" i="1"/>
  <c r="DA175" i="1" s="1"/>
  <c r="BW175" i="1"/>
  <c r="BL175" i="1"/>
  <c r="BV175" i="1" s="1"/>
  <c r="AG175" i="1"/>
  <c r="AQ175" i="1" s="1"/>
  <c r="AR175" i="1"/>
  <c r="DB174" i="1"/>
  <c r="CQ174" i="1"/>
  <c r="DA174" i="1" s="1"/>
  <c r="BL174" i="1"/>
  <c r="BV174" i="1" s="1"/>
  <c r="BW174" i="1"/>
  <c r="AR174" i="1"/>
  <c r="AG174" i="1"/>
  <c r="AQ174" i="1" s="1"/>
  <c r="DB173" i="1"/>
  <c r="CQ173" i="1"/>
  <c r="DA173" i="1" s="1"/>
  <c r="BL173" i="1"/>
  <c r="BV173" i="1" s="1"/>
  <c r="BW173" i="1"/>
  <c r="AG173" i="1"/>
  <c r="AQ173" i="1" s="1"/>
  <c r="AR173" i="1"/>
  <c r="DB172" i="1"/>
  <c r="CQ172" i="1"/>
  <c r="DA172" i="1" s="1"/>
  <c r="BW172" i="1"/>
  <c r="BL172" i="1"/>
  <c r="BV172" i="1" s="1"/>
  <c r="AR172" i="1"/>
  <c r="AG172" i="1"/>
  <c r="AQ172" i="1" s="1"/>
  <c r="DB171" i="1"/>
  <c r="CQ171" i="1"/>
  <c r="DA171" i="1" s="1"/>
  <c r="BW171" i="1"/>
  <c r="BL171" i="1"/>
  <c r="BV171" i="1" s="1"/>
  <c r="AR171" i="1"/>
  <c r="AG171" i="1"/>
  <c r="AQ171" i="1" s="1"/>
  <c r="DB170" i="1"/>
  <c r="CQ170" i="1"/>
  <c r="DA170" i="1" s="1"/>
  <c r="BW170" i="1"/>
  <c r="BL170" i="1"/>
  <c r="BV170" i="1" s="1"/>
  <c r="AR170" i="1"/>
  <c r="AG170" i="1"/>
  <c r="AQ170" i="1" s="1"/>
  <c r="DB169" i="1"/>
  <c r="CQ169" i="1"/>
  <c r="DA169" i="1" s="1"/>
  <c r="BL169" i="1"/>
  <c r="BV169" i="1" s="1"/>
  <c r="BW169" i="1"/>
  <c r="AR169" i="1"/>
  <c r="AG169" i="1"/>
  <c r="AQ169" i="1" s="1"/>
  <c r="DB168" i="1"/>
  <c r="CQ168" i="1"/>
  <c r="DA168" i="1" s="1"/>
  <c r="BW168" i="1"/>
  <c r="BL168" i="1"/>
  <c r="BV168" i="1" s="1"/>
  <c r="AR168" i="1"/>
  <c r="AG168" i="1"/>
  <c r="AQ168" i="1" s="1"/>
  <c r="CQ167" i="1"/>
  <c r="DA167" i="1" s="1"/>
  <c r="DB167" i="1"/>
  <c r="BL167" i="1"/>
  <c r="BV167" i="1" s="1"/>
  <c r="BW167" i="1"/>
  <c r="AR167" i="1"/>
  <c r="AG167" i="1"/>
  <c r="AQ167" i="1" s="1"/>
  <c r="CQ166" i="1"/>
  <c r="DA166" i="1" s="1"/>
  <c r="DB166" i="1"/>
  <c r="BW166" i="1"/>
  <c r="BL166" i="1"/>
  <c r="BV166" i="1" s="1"/>
  <c r="AR166" i="1"/>
  <c r="AG166" i="1"/>
  <c r="AQ166" i="1" s="1"/>
  <c r="CQ165" i="1"/>
  <c r="DA165" i="1" s="1"/>
  <c r="DB165" i="1"/>
  <c r="BL165" i="1"/>
  <c r="BV165" i="1" s="1"/>
  <c r="BW165" i="1"/>
  <c r="AR165" i="1"/>
  <c r="AG165" i="1"/>
  <c r="AQ165" i="1" s="1"/>
  <c r="DB164" i="1"/>
  <c r="CQ164" i="1"/>
  <c r="DA164" i="1" s="1"/>
  <c r="BL164" i="1"/>
  <c r="BV164" i="1" s="1"/>
  <c r="BW164" i="1"/>
  <c r="AG164" i="1"/>
  <c r="AQ164" i="1" s="1"/>
  <c r="AR164" i="1"/>
  <c r="DB163" i="1"/>
  <c r="CQ163" i="1"/>
  <c r="DA163" i="1" s="1"/>
  <c r="BW163" i="1"/>
  <c r="BL163" i="1"/>
  <c r="BV163" i="1" s="1"/>
  <c r="AG163" i="1"/>
  <c r="AQ163" i="1" s="1"/>
  <c r="AR163" i="1"/>
  <c r="DB162" i="1"/>
  <c r="CQ162" i="1"/>
  <c r="DA162" i="1" s="1"/>
  <c r="BW162" i="1"/>
  <c r="BL162" i="1"/>
  <c r="BV162" i="1" s="1"/>
  <c r="AR162" i="1"/>
  <c r="AG162" i="1"/>
  <c r="AQ162" i="1" s="1"/>
  <c r="DB161" i="1"/>
  <c r="CQ161" i="1"/>
  <c r="DA161" i="1" s="1"/>
  <c r="BW161" i="1"/>
  <c r="BL161" i="1"/>
  <c r="BV161" i="1" s="1"/>
  <c r="AR161" i="1"/>
  <c r="AG161" i="1"/>
  <c r="AQ161" i="1" s="1"/>
  <c r="DB155" i="1"/>
  <c r="CQ155" i="1"/>
  <c r="DA155" i="1" s="1"/>
  <c r="BW155" i="1"/>
  <c r="BL155" i="1"/>
  <c r="BV155" i="1" s="1"/>
  <c r="AR155" i="1"/>
  <c r="AG155" i="1"/>
  <c r="AQ155" i="1" s="1"/>
  <c r="DB154" i="1"/>
  <c r="CQ154" i="1"/>
  <c r="DA154" i="1" s="1"/>
  <c r="BW154" i="1"/>
  <c r="BL154" i="1"/>
  <c r="BV154" i="1" s="1"/>
  <c r="AR154" i="1"/>
  <c r="AG154" i="1"/>
  <c r="AQ154" i="1" s="1"/>
  <c r="DA255" i="1"/>
  <c r="BV252" i="1"/>
  <c r="BV213" i="1"/>
  <c r="DA187" i="1"/>
  <c r="BV267" i="1"/>
  <c r="DA204" i="1"/>
  <c r="DA100" i="1"/>
  <c r="DA84" i="1"/>
  <c r="DB76" i="1"/>
  <c r="DA58" i="1"/>
  <c r="DD152" i="1"/>
  <c r="B152" i="1" s="1"/>
  <c r="DD22" i="1"/>
  <c r="B22" i="1" s="1"/>
  <c r="DD121" i="1"/>
  <c r="B121" i="1" s="1"/>
  <c r="DD101" i="1"/>
  <c r="B101" i="1" s="1"/>
  <c r="DD91" i="1"/>
  <c r="B91" i="1" s="1"/>
  <c r="DD81" i="1"/>
  <c r="B81" i="1" s="1"/>
  <c r="DD71" i="1"/>
  <c r="B71" i="1" s="1"/>
  <c r="BV64" i="1"/>
  <c r="DD51" i="1"/>
  <c r="B51" i="1" s="1"/>
  <c r="DD41" i="1"/>
  <c r="B41" i="1" s="1"/>
  <c r="DD32" i="1"/>
  <c r="B32" i="1" s="1"/>
  <c r="DD12" i="1"/>
  <c r="B12" i="1" s="1"/>
  <c r="DD2" i="1"/>
  <c r="B2" i="1" s="1"/>
  <c r="DA272" i="1"/>
  <c r="AQ226" i="1"/>
  <c r="BV205" i="1"/>
  <c r="BV203" i="1"/>
  <c r="DA201" i="1"/>
  <c r="BV200" i="1"/>
  <c r="DA106" i="1"/>
  <c r="AQ70" i="1"/>
  <c r="DA67" i="1"/>
  <c r="AQ46" i="1"/>
  <c r="DA26" i="1"/>
  <c r="AQ23" i="1"/>
  <c r="DA20" i="1"/>
  <c r="AQ19" i="1"/>
  <c r="AQ272" i="1"/>
  <c r="AQ265" i="1"/>
  <c r="AR262" i="1"/>
  <c r="AQ257" i="1"/>
  <c r="DA242" i="1"/>
  <c r="BV218" i="1"/>
  <c r="DA65" i="1"/>
  <c r="DA49" i="1"/>
  <c r="AQ38" i="1"/>
  <c r="AQ17" i="1"/>
  <c r="DA226" i="1"/>
  <c r="AQ178" i="1"/>
  <c r="BV92" i="1"/>
  <c r="DA63" i="1"/>
  <c r="BV54" i="1"/>
  <c r="DB48" i="1"/>
  <c r="DA27" i="1"/>
  <c r="AQ20" i="1"/>
  <c r="DA18" i="1"/>
  <c r="BV8" i="1"/>
  <c r="DA3" i="1"/>
  <c r="BV3" i="1"/>
  <c r="DA159" i="1"/>
  <c r="BV159" i="1"/>
  <c r="AQ159" i="1"/>
  <c r="DA157" i="1"/>
  <c r="BV157" i="1"/>
  <c r="AQ157" i="1"/>
  <c r="DA150" i="1"/>
  <c r="DA148" i="1"/>
  <c r="DA146" i="1"/>
  <c r="DA144" i="1"/>
  <c r="DA142" i="1"/>
  <c r="DA140" i="1"/>
  <c r="DA136" i="1"/>
  <c r="BV134" i="1"/>
  <c r="AQ128" i="1"/>
  <c r="DA122" i="1"/>
  <c r="BV122" i="1"/>
  <c r="AQ122" i="1"/>
  <c r="DA120" i="1"/>
  <c r="DA118" i="1"/>
  <c r="AQ110" i="1"/>
  <c r="DA83" i="1"/>
  <c r="DA69" i="1"/>
  <c r="BV66" i="1"/>
  <c r="DA57" i="1"/>
  <c r="DB50" i="1"/>
  <c r="AQ42" i="1"/>
  <c r="DA7" i="1"/>
  <c r="BW196" i="1"/>
  <c r="BL196" i="1"/>
  <c r="BV196" i="1" s="1"/>
  <c r="AR272" i="1"/>
  <c r="BW269" i="1"/>
  <c r="BV262" i="1"/>
  <c r="BV259" i="1"/>
  <c r="DB257" i="1"/>
  <c r="BV257" i="1"/>
  <c r="AQ195" i="1"/>
  <c r="AR193" i="1"/>
  <c r="AR191" i="1"/>
  <c r="DA190" i="1"/>
  <c r="AR187" i="1"/>
  <c r="AR150" i="1"/>
  <c r="BW148" i="1"/>
  <c r="AR148" i="1"/>
  <c r="DB146" i="1"/>
  <c r="BW96" i="1"/>
  <c r="BW94" i="1"/>
  <c r="AR92" i="1"/>
  <c r="BW90" i="1"/>
  <c r="AR88" i="1"/>
  <c r="BW87" i="1"/>
  <c r="AR86" i="1"/>
  <c r="BW85" i="1"/>
  <c r="BW84" i="1"/>
  <c r="DB80" i="1"/>
  <c r="AQ74" i="1"/>
  <c r="AQ73" i="1"/>
  <c r="AR69" i="1"/>
  <c r="DB67" i="1"/>
  <c r="AR63" i="1"/>
  <c r="BW59" i="1"/>
  <c r="DA53" i="1"/>
  <c r="BW53" i="1"/>
  <c r="AR44" i="1"/>
  <c r="AR42" i="1"/>
  <c r="BW40" i="1"/>
  <c r="DB39" i="1"/>
  <c r="AR38" i="1"/>
  <c r="AQ28" i="1"/>
  <c r="BW23" i="1"/>
  <c r="AR23" i="1"/>
  <c r="BW21" i="1"/>
  <c r="AR21" i="1"/>
  <c r="DA17" i="1"/>
  <c r="BW17" i="1"/>
  <c r="AR17" i="1"/>
  <c r="BW15" i="1"/>
  <c r="AR15" i="1"/>
  <c r="DB14" i="1"/>
  <c r="AR14" i="1"/>
  <c r="BV13" i="1"/>
  <c r="AQ13" i="1"/>
  <c r="AR11" i="1"/>
  <c r="DA9" i="1"/>
  <c r="DB6" i="1"/>
  <c r="DB5" i="1"/>
  <c r="BV5" i="1"/>
  <c r="AR5" i="1"/>
  <c r="BW3" i="1"/>
  <c r="AR3" i="1"/>
  <c r="DB272" i="1"/>
  <c r="AQ264" i="1"/>
  <c r="BW242" i="1"/>
  <c r="DA241" i="1"/>
  <c r="BW227" i="1"/>
  <c r="DB217" i="1"/>
  <c r="AQ217" i="1"/>
  <c r="DA216" i="1"/>
  <c r="DA210" i="1"/>
  <c r="BV210" i="1"/>
  <c r="BV208" i="1"/>
  <c r="DA205" i="1"/>
  <c r="AQ205" i="1"/>
  <c r="AQ202" i="1"/>
  <c r="DA200" i="1"/>
  <c r="AQ200" i="1"/>
  <c r="DA195" i="1"/>
  <c r="BW272" i="1"/>
  <c r="BV272" i="1"/>
  <c r="DB269" i="1"/>
  <c r="DB244" i="1"/>
  <c r="AQ231" i="1"/>
  <c r="DB222" i="1"/>
  <c r="DB187" i="1"/>
  <c r="BW187" i="1"/>
  <c r="DA178" i="1"/>
  <c r="DB150" i="1"/>
  <c r="BW150" i="1"/>
  <c r="DB148" i="1"/>
  <c r="AR98" i="1"/>
  <c r="AR96" i="1"/>
  <c r="AR94" i="1"/>
  <c r="BW92" i="1"/>
  <c r="BW88" i="1"/>
  <c r="BW80" i="1"/>
  <c r="BV76" i="1"/>
  <c r="DB74" i="1"/>
  <c r="BW63" i="1"/>
  <c r="DD61" i="1"/>
  <c r="B61" i="1" s="1"/>
  <c r="DA55" i="1"/>
  <c r="DB47" i="1"/>
  <c r="BW42" i="1"/>
  <c r="AR146" i="1"/>
  <c r="DB144" i="1"/>
  <c r="BW144" i="1"/>
  <c r="AR144" i="1"/>
  <c r="BW142" i="1"/>
  <c r="AR142" i="1"/>
  <c r="BW140" i="1"/>
  <c r="AR140" i="1"/>
  <c r="BW138" i="1"/>
  <c r="AR138" i="1"/>
  <c r="BW136" i="1"/>
  <c r="AR136" i="1"/>
  <c r="BW134" i="1"/>
  <c r="AR134" i="1"/>
  <c r="DB132" i="1"/>
  <c r="BW132" i="1"/>
  <c r="DB130" i="1"/>
  <c r="BW130" i="1"/>
  <c r="AR130" i="1"/>
  <c r="DB128" i="1"/>
  <c r="AQ126" i="1"/>
  <c r="DB124" i="1"/>
  <c r="BW124" i="1"/>
  <c r="AR124" i="1"/>
  <c r="DB122" i="1"/>
  <c r="DB120" i="1"/>
  <c r="AR119" i="1"/>
  <c r="DB118" i="1"/>
  <c r="BV118" i="1"/>
  <c r="BW117" i="1"/>
  <c r="AR117" i="1"/>
  <c r="BW116" i="1"/>
  <c r="AR116" i="1"/>
  <c r="BV114" i="1"/>
  <c r="AQ114" i="1"/>
  <c r="DB112" i="1"/>
  <c r="BV110" i="1"/>
  <c r="BW108" i="1"/>
  <c r="AR108" i="1"/>
  <c r="BW104" i="1"/>
  <c r="AR104" i="1"/>
  <c r="BW98" i="1"/>
  <c r="AR90" i="1"/>
  <c r="AR82" i="1"/>
  <c r="AR78" i="1"/>
  <c r="BW69" i="1"/>
  <c r="DB64" i="1"/>
  <c r="DB63" i="1"/>
  <c r="AR60" i="1"/>
  <c r="AR59" i="1"/>
  <c r="AR53" i="1"/>
  <c r="BW46" i="1"/>
  <c r="AR46" i="1"/>
  <c r="BW44" i="1"/>
  <c r="DB43" i="1"/>
  <c r="AR40" i="1"/>
  <c r="BW38" i="1"/>
  <c r="DB268" i="1"/>
  <c r="CQ268" i="1"/>
  <c r="DA268" i="1" s="1"/>
  <c r="BW268" i="1"/>
  <c r="BL268" i="1"/>
  <c r="BV268" i="1" s="1"/>
  <c r="CQ267" i="1"/>
  <c r="DA267" i="1" s="1"/>
  <c r="DB267" i="1"/>
  <c r="AG267" i="1"/>
  <c r="AQ267" i="1" s="1"/>
  <c r="AR267" i="1"/>
  <c r="CQ264" i="1"/>
  <c r="DA264" i="1" s="1"/>
  <c r="DB264" i="1"/>
  <c r="CQ262" i="1"/>
  <c r="DA262" i="1" s="1"/>
  <c r="DB262" i="1"/>
  <c r="CQ259" i="1"/>
  <c r="DA259" i="1" s="1"/>
  <c r="DB259" i="1"/>
  <c r="AR259" i="1"/>
  <c r="AG259" i="1"/>
  <c r="AQ259" i="1" s="1"/>
  <c r="BW258" i="1"/>
  <c r="BL258" i="1"/>
  <c r="BV258" i="1" s="1"/>
  <c r="AR254" i="1"/>
  <c r="AG254" i="1"/>
  <c r="AQ254" i="1" s="1"/>
  <c r="DB249" i="1"/>
  <c r="CQ249" i="1"/>
  <c r="DA249" i="1" s="1"/>
  <c r="BW248" i="1"/>
  <c r="BL248" i="1"/>
  <c r="BV248" i="1" s="1"/>
  <c r="BL244" i="1"/>
  <c r="BV244" i="1" s="1"/>
  <c r="BW244" i="1"/>
  <c r="CQ243" i="1"/>
  <c r="DA243" i="1" s="1"/>
  <c r="DB243" i="1"/>
  <c r="BW243" i="1"/>
  <c r="BL243" i="1"/>
  <c r="BV243" i="1" s="1"/>
  <c r="AG243" i="1"/>
  <c r="AQ243" i="1" s="1"/>
  <c r="AR243" i="1"/>
  <c r="BL241" i="1"/>
  <c r="BV241" i="1" s="1"/>
  <c r="BW241" i="1"/>
  <c r="BW240" i="1"/>
  <c r="BL240" i="1"/>
  <c r="BV240" i="1" s="1"/>
  <c r="DB238" i="1"/>
  <c r="CQ238" i="1"/>
  <c r="DA238" i="1" s="1"/>
  <c r="BW238" i="1"/>
  <c r="BL238" i="1"/>
  <c r="BV238" i="1" s="1"/>
  <c r="AG238" i="1"/>
  <c r="AQ238" i="1" s="1"/>
  <c r="AR238" i="1"/>
  <c r="DB237" i="1"/>
  <c r="CQ237" i="1"/>
  <c r="DA237" i="1" s="1"/>
  <c r="BW237" i="1"/>
  <c r="BL237" i="1"/>
  <c r="BV237" i="1" s="1"/>
  <c r="CQ236" i="1"/>
  <c r="DA236" i="1" s="1"/>
  <c r="DB236" i="1"/>
  <c r="BL228" i="1"/>
  <c r="BV228" i="1" s="1"/>
  <c r="BW228" i="1"/>
  <c r="BL226" i="1"/>
  <c r="BV226" i="1" s="1"/>
  <c r="BW226" i="1"/>
  <c r="AG223" i="1"/>
  <c r="AQ223" i="1" s="1"/>
  <c r="AR223" i="1"/>
  <c r="AR222" i="1"/>
  <c r="AG222" i="1"/>
  <c r="AQ222" i="1" s="1"/>
  <c r="DB218" i="1"/>
  <c r="CQ218" i="1"/>
  <c r="DA218" i="1" s="1"/>
  <c r="BL217" i="1"/>
  <c r="BV217" i="1" s="1"/>
  <c r="BW217" i="1"/>
  <c r="BL216" i="1"/>
  <c r="BV216" i="1" s="1"/>
  <c r="BW216" i="1"/>
  <c r="AR216" i="1"/>
  <c r="AG216" i="1"/>
  <c r="AQ216" i="1" s="1"/>
  <c r="DB214" i="1"/>
  <c r="CQ214" i="1"/>
  <c r="DA214" i="1" s="1"/>
  <c r="BW214" i="1"/>
  <c r="BL214" i="1"/>
  <c r="BV214" i="1" s="1"/>
  <c r="AR214" i="1"/>
  <c r="AG214" i="1"/>
  <c r="AQ214" i="1" s="1"/>
  <c r="CQ213" i="1"/>
  <c r="DA213" i="1" s="1"/>
  <c r="DB213" i="1"/>
  <c r="AG213" i="1"/>
  <c r="AQ213" i="1" s="1"/>
  <c r="AR213" i="1"/>
  <c r="AG210" i="1"/>
  <c r="AQ210" i="1" s="1"/>
  <c r="AR210" i="1"/>
  <c r="CQ208" i="1"/>
  <c r="DA208" i="1" s="1"/>
  <c r="DB208" i="1"/>
  <c r="BW204" i="1"/>
  <c r="BL204" i="1"/>
  <c r="BV204" i="1" s="1"/>
  <c r="CQ203" i="1"/>
  <c r="DA203" i="1" s="1"/>
  <c r="DB203" i="1"/>
  <c r="BW202" i="1"/>
  <c r="BL202" i="1"/>
  <c r="BV202" i="1" s="1"/>
  <c r="DB198" i="1"/>
  <c r="CQ198" i="1"/>
  <c r="DA198" i="1" s="1"/>
  <c r="BL198" i="1"/>
  <c r="BV198" i="1" s="1"/>
  <c r="BW198" i="1"/>
  <c r="AR198" i="1"/>
  <c r="AG198" i="1"/>
  <c r="AQ198" i="1" s="1"/>
  <c r="DB197" i="1"/>
  <c r="CQ197" i="1"/>
  <c r="DA197" i="1" s="1"/>
  <c r="BW197" i="1"/>
  <c r="BL197" i="1"/>
  <c r="BV197" i="1" s="1"/>
  <c r="AG197" i="1"/>
  <c r="AQ197" i="1" s="1"/>
  <c r="AR197" i="1"/>
  <c r="CQ196" i="1"/>
  <c r="DA196" i="1" s="1"/>
  <c r="DB196" i="1"/>
  <c r="BL195" i="1"/>
  <c r="BV195" i="1" s="1"/>
  <c r="BW195" i="1"/>
  <c r="DB193" i="1"/>
  <c r="CQ193" i="1"/>
  <c r="DA193" i="1" s="1"/>
  <c r="DB192" i="1"/>
  <c r="CQ192" i="1"/>
  <c r="DA192" i="1" s="1"/>
  <c r="BW192" i="1"/>
  <c r="BL192" i="1"/>
  <c r="BV192" i="1" s="1"/>
  <c r="AR192" i="1"/>
  <c r="AG192" i="1"/>
  <c r="AQ192" i="1" s="1"/>
  <c r="BW191" i="1"/>
  <c r="BL191" i="1"/>
  <c r="BV191" i="1" s="1"/>
  <c r="BL190" i="1"/>
  <c r="BV190" i="1" s="1"/>
  <c r="BW190" i="1"/>
  <c r="AR190" i="1"/>
  <c r="AG190" i="1"/>
  <c r="AQ190" i="1" s="1"/>
  <c r="DB189" i="1"/>
  <c r="CQ189" i="1"/>
  <c r="DA189" i="1" s="1"/>
  <c r="BW189" i="1"/>
  <c r="BL189" i="1"/>
  <c r="BV189" i="1" s="1"/>
  <c r="AG189" i="1"/>
  <c r="AQ189" i="1" s="1"/>
  <c r="AR189" i="1"/>
  <c r="DB188" i="1"/>
  <c r="CQ188" i="1"/>
  <c r="DA188" i="1" s="1"/>
  <c r="BL188" i="1"/>
  <c r="BV188" i="1" s="1"/>
  <c r="BW188" i="1"/>
  <c r="AR188" i="1"/>
  <c r="AG188" i="1"/>
  <c r="AQ188" i="1" s="1"/>
  <c r="DB186" i="1"/>
  <c r="CQ186" i="1"/>
  <c r="DA186" i="1" s="1"/>
  <c r="BW186" i="1"/>
  <c r="BL186" i="1"/>
  <c r="BV186" i="1" s="1"/>
  <c r="AG186" i="1"/>
  <c r="AQ186" i="1" s="1"/>
  <c r="AR186" i="1"/>
  <c r="CQ185" i="1"/>
  <c r="DA185" i="1" s="1"/>
  <c r="DB185" i="1"/>
  <c r="BW185" i="1"/>
  <c r="BL185" i="1"/>
  <c r="BV185" i="1" s="1"/>
  <c r="AG185" i="1"/>
  <c r="AQ185" i="1" s="1"/>
  <c r="AR185" i="1"/>
  <c r="CQ184" i="1"/>
  <c r="DA184" i="1" s="1"/>
  <c r="DB184" i="1"/>
  <c r="BW184" i="1"/>
  <c r="BL184" i="1"/>
  <c r="BV184" i="1" s="1"/>
  <c r="AR184" i="1"/>
  <c r="AG184" i="1"/>
  <c r="AQ184" i="1" s="1"/>
  <c r="CQ183" i="1"/>
  <c r="DA183" i="1" s="1"/>
  <c r="DB183" i="1"/>
  <c r="BL183" i="1"/>
  <c r="BV183" i="1" s="1"/>
  <c r="BW183" i="1"/>
  <c r="AG183" i="1"/>
  <c r="AQ183" i="1" s="1"/>
  <c r="AR183" i="1"/>
  <c r="DB182" i="1"/>
  <c r="CQ182" i="1"/>
  <c r="DA182" i="1" s="1"/>
  <c r="BW182" i="1"/>
  <c r="BL182" i="1"/>
  <c r="BV182" i="1" s="1"/>
  <c r="AR182" i="1"/>
  <c r="AG182" i="1"/>
  <c r="AQ182" i="1" s="1"/>
  <c r="CQ181" i="1"/>
  <c r="DA181" i="1" s="1"/>
  <c r="DB181" i="1"/>
  <c r="BW181" i="1"/>
  <c r="BL181" i="1"/>
  <c r="BV181" i="1" s="1"/>
  <c r="AR181" i="1"/>
  <c r="AG181" i="1"/>
  <c r="AQ181" i="1" s="1"/>
  <c r="CQ180" i="1"/>
  <c r="DA180" i="1" s="1"/>
  <c r="DB180" i="1"/>
  <c r="BL180" i="1"/>
  <c r="BV180" i="1" s="1"/>
  <c r="BW180" i="1"/>
  <c r="AG180" i="1"/>
  <c r="AQ180" i="1" s="1"/>
  <c r="AR180" i="1"/>
  <c r="DB179" i="1"/>
  <c r="CQ179" i="1"/>
  <c r="DA179" i="1" s="1"/>
  <c r="BL179" i="1"/>
  <c r="BV179" i="1" s="1"/>
  <c r="BW179" i="1"/>
  <c r="AG179" i="1"/>
  <c r="AQ179" i="1" s="1"/>
  <c r="AR179" i="1"/>
  <c r="DB153" i="1"/>
  <c r="CQ153" i="1"/>
  <c r="DA153" i="1" s="1"/>
  <c r="BW153" i="1"/>
  <c r="BL153" i="1"/>
  <c r="BV153" i="1" s="1"/>
  <c r="AR153" i="1"/>
  <c r="AG153" i="1"/>
  <c r="AQ153" i="1" s="1"/>
  <c r="BW149" i="1"/>
  <c r="BL149" i="1"/>
  <c r="BV149" i="1" s="1"/>
  <c r="AR149" i="1"/>
  <c r="AG149" i="1"/>
  <c r="AQ149" i="1" s="1"/>
  <c r="BW147" i="1"/>
  <c r="BL147" i="1"/>
  <c r="BV147" i="1" s="1"/>
  <c r="AR147" i="1"/>
  <c r="AG147" i="1"/>
  <c r="AQ147" i="1" s="1"/>
  <c r="BW146" i="1"/>
  <c r="BQ146" i="1"/>
  <c r="BV146" i="1" s="1"/>
  <c r="BW145" i="1"/>
  <c r="BL145" i="1"/>
  <c r="BV145" i="1" s="1"/>
  <c r="AG145" i="1"/>
  <c r="AQ145" i="1" s="1"/>
  <c r="AR145" i="1"/>
  <c r="BL143" i="1"/>
  <c r="BV143" i="1" s="1"/>
  <c r="BW143" i="1"/>
  <c r="AR143" i="1"/>
  <c r="AG143" i="1"/>
  <c r="AQ143" i="1" s="1"/>
  <c r="BL139" i="1"/>
  <c r="BV139" i="1" s="1"/>
  <c r="BW139" i="1"/>
  <c r="AR139" i="1"/>
  <c r="AG139" i="1"/>
  <c r="AQ139" i="1" s="1"/>
  <c r="CQ138" i="1"/>
  <c r="DA138" i="1" s="1"/>
  <c r="DB138" i="1"/>
  <c r="BW137" i="1"/>
  <c r="BL137" i="1"/>
  <c r="BV137" i="1" s="1"/>
  <c r="AR137" i="1"/>
  <c r="AG137" i="1"/>
  <c r="AQ137" i="1" s="1"/>
  <c r="BL135" i="1"/>
  <c r="BV135" i="1" s="1"/>
  <c r="BW135" i="1"/>
  <c r="AR135" i="1"/>
  <c r="AG135" i="1"/>
  <c r="AQ135" i="1" s="1"/>
  <c r="CQ134" i="1"/>
  <c r="DA134" i="1" s="1"/>
  <c r="DB134" i="1"/>
  <c r="BW133" i="1"/>
  <c r="BL133" i="1"/>
  <c r="BV133" i="1" s="1"/>
  <c r="AG133" i="1"/>
  <c r="AQ133" i="1" s="1"/>
  <c r="AR133" i="1"/>
  <c r="BW129" i="1"/>
  <c r="BL129" i="1"/>
  <c r="BV129" i="1" s="1"/>
  <c r="AR129" i="1"/>
  <c r="AG129" i="1"/>
  <c r="AQ129" i="1" s="1"/>
  <c r="BL127" i="1"/>
  <c r="BV127" i="1" s="1"/>
  <c r="BW127" i="1"/>
  <c r="AG127" i="1"/>
  <c r="AQ127" i="1" s="1"/>
  <c r="AR127" i="1"/>
  <c r="DB126" i="1"/>
  <c r="CQ126" i="1"/>
  <c r="DA126" i="1" s="1"/>
  <c r="BL125" i="1"/>
  <c r="BV125" i="1" s="1"/>
  <c r="BW125" i="1"/>
  <c r="AR125" i="1"/>
  <c r="AG125" i="1"/>
  <c r="AQ125" i="1" s="1"/>
  <c r="BW123" i="1"/>
  <c r="BL123" i="1"/>
  <c r="BV123" i="1" s="1"/>
  <c r="AR123" i="1"/>
  <c r="AG123" i="1"/>
  <c r="AQ123" i="1" s="1"/>
  <c r="BL120" i="1"/>
  <c r="BV120" i="1" s="1"/>
  <c r="BW120" i="1"/>
  <c r="AG120" i="1"/>
  <c r="AQ120" i="1" s="1"/>
  <c r="AR120" i="1"/>
  <c r="BW119" i="1"/>
  <c r="BL119" i="1"/>
  <c r="BV119" i="1" s="1"/>
  <c r="CQ116" i="1"/>
  <c r="DA116" i="1" s="1"/>
  <c r="DB116" i="1"/>
  <c r="CQ114" i="1"/>
  <c r="DA114" i="1" s="1"/>
  <c r="DB114" i="1"/>
  <c r="BW113" i="1"/>
  <c r="BL113" i="1"/>
  <c r="BV113" i="1" s="1"/>
  <c r="BL112" i="1"/>
  <c r="BV112" i="1" s="1"/>
  <c r="BW112" i="1"/>
  <c r="AG112" i="1"/>
  <c r="AQ112" i="1" s="1"/>
  <c r="AR112" i="1"/>
  <c r="CQ110" i="1"/>
  <c r="DA110" i="1" s="1"/>
  <c r="DB110" i="1"/>
  <c r="BL109" i="1"/>
  <c r="BV109" i="1" s="1"/>
  <c r="BW109" i="1"/>
  <c r="AG109" i="1"/>
  <c r="AQ109" i="1" s="1"/>
  <c r="AR109" i="1"/>
  <c r="CQ107" i="1"/>
  <c r="DA107" i="1" s="1"/>
  <c r="DB107" i="1"/>
  <c r="BL107" i="1"/>
  <c r="BV107" i="1" s="1"/>
  <c r="BW107" i="1"/>
  <c r="AR107" i="1"/>
  <c r="AG107" i="1"/>
  <c r="AQ107" i="1" s="1"/>
  <c r="CQ105" i="1"/>
  <c r="DA105" i="1" s="1"/>
  <c r="DB105" i="1"/>
  <c r="BW105" i="1"/>
  <c r="BL105" i="1"/>
  <c r="BV105" i="1" s="1"/>
  <c r="AG105" i="1"/>
  <c r="AQ105" i="1" s="1"/>
  <c r="AR105" i="1"/>
  <c r="CQ103" i="1"/>
  <c r="DA103" i="1" s="1"/>
  <c r="DB103" i="1"/>
  <c r="BL103" i="1"/>
  <c r="BV103" i="1" s="1"/>
  <c r="BW103" i="1"/>
  <c r="AG103" i="1"/>
  <c r="AQ103" i="1" s="1"/>
  <c r="AR103" i="1"/>
  <c r="AR100" i="1"/>
  <c r="AG100" i="1"/>
  <c r="AQ100" i="1" s="1"/>
  <c r="CQ99" i="1"/>
  <c r="DA99" i="1" s="1"/>
  <c r="DB99" i="1"/>
  <c r="BL99" i="1"/>
  <c r="BV99" i="1" s="1"/>
  <c r="BW99" i="1"/>
  <c r="AG99" i="1"/>
  <c r="AQ99" i="1" s="1"/>
  <c r="AR99" i="1"/>
  <c r="CQ97" i="1"/>
  <c r="DA97" i="1" s="1"/>
  <c r="DB97" i="1"/>
  <c r="BL97" i="1"/>
  <c r="BV97" i="1" s="1"/>
  <c r="BW97" i="1"/>
  <c r="AG97" i="1"/>
  <c r="AQ97" i="1" s="1"/>
  <c r="AR97" i="1"/>
  <c r="CQ95" i="1"/>
  <c r="DA95" i="1" s="1"/>
  <c r="DB95" i="1"/>
  <c r="BW95" i="1"/>
  <c r="BL95" i="1"/>
  <c r="BV95" i="1" s="1"/>
  <c r="AR95" i="1"/>
  <c r="AG95" i="1"/>
  <c r="AQ95" i="1" s="1"/>
  <c r="CQ93" i="1"/>
  <c r="DA93" i="1" s="1"/>
  <c r="DB93" i="1"/>
  <c r="BW93" i="1"/>
  <c r="BL93" i="1"/>
  <c r="BV93" i="1" s="1"/>
  <c r="AR93" i="1"/>
  <c r="AG93" i="1"/>
  <c r="AQ93" i="1" s="1"/>
  <c r="CQ89" i="1"/>
  <c r="DA89" i="1" s="1"/>
  <c r="DB89" i="1"/>
  <c r="BL89" i="1"/>
  <c r="BV89" i="1" s="1"/>
  <c r="BW89" i="1"/>
  <c r="AG89" i="1"/>
  <c r="AQ89" i="1" s="1"/>
  <c r="AR89" i="1"/>
  <c r="CQ87" i="1"/>
  <c r="DA87" i="1" s="1"/>
  <c r="DB87" i="1"/>
  <c r="AR87" i="1"/>
  <c r="AG87" i="1"/>
  <c r="AQ87" i="1" s="1"/>
  <c r="BL86" i="1"/>
  <c r="BV86" i="1" s="1"/>
  <c r="BW86" i="1"/>
  <c r="AG85" i="1"/>
  <c r="AQ85" i="1" s="1"/>
  <c r="AR85" i="1"/>
  <c r="AR84" i="1"/>
  <c r="AG84" i="1"/>
  <c r="AQ84" i="1" s="1"/>
  <c r="BL83" i="1"/>
  <c r="BV83" i="1" s="1"/>
  <c r="BW83" i="1"/>
  <c r="AG83" i="1"/>
  <c r="AQ83" i="1" s="1"/>
  <c r="AR83" i="1"/>
  <c r="BW82" i="1"/>
  <c r="BL82" i="1"/>
  <c r="BV82" i="1" s="1"/>
  <c r="AR80" i="1"/>
  <c r="AG80" i="1"/>
  <c r="AQ80" i="1" s="1"/>
  <c r="BL79" i="1"/>
  <c r="BV79" i="1" s="1"/>
  <c r="BW79" i="1"/>
  <c r="AG79" i="1"/>
  <c r="AQ79" i="1" s="1"/>
  <c r="AR79" i="1"/>
  <c r="BL77" i="1"/>
  <c r="BV77" i="1" s="1"/>
  <c r="BW77" i="1"/>
  <c r="AG77" i="1"/>
  <c r="AQ77" i="1" s="1"/>
  <c r="AR77" i="1"/>
  <c r="BL75" i="1"/>
  <c r="BV75" i="1" s="1"/>
  <c r="BW75" i="1"/>
  <c r="AR75" i="1"/>
  <c r="AG75" i="1"/>
  <c r="AQ75" i="1" s="1"/>
  <c r="BL74" i="1"/>
  <c r="BV74" i="1" s="1"/>
  <c r="BW74" i="1"/>
  <c r="BL73" i="1"/>
  <c r="BV73" i="1" s="1"/>
  <c r="BW73" i="1"/>
  <c r="CQ72" i="1"/>
  <c r="DA72" i="1" s="1"/>
  <c r="DB72" i="1"/>
  <c r="BW72" i="1"/>
  <c r="BL72" i="1"/>
  <c r="BV72" i="1" s="1"/>
  <c r="BL70" i="1"/>
  <c r="BV70" i="1" s="1"/>
  <c r="BW70" i="1"/>
  <c r="AG68" i="1"/>
  <c r="AQ68" i="1" s="1"/>
  <c r="AR68" i="1"/>
  <c r="BL67" i="1"/>
  <c r="BV67" i="1" s="1"/>
  <c r="BW67" i="1"/>
  <c r="AR67" i="1"/>
  <c r="AG67" i="1"/>
  <c r="AQ67" i="1" s="1"/>
  <c r="CQ66" i="1"/>
  <c r="DA66" i="1" s="1"/>
  <c r="DB66" i="1"/>
  <c r="AR66" i="1"/>
  <c r="AG66" i="1"/>
  <c r="AQ66" i="1" s="1"/>
  <c r="BL65" i="1"/>
  <c r="BV65" i="1" s="1"/>
  <c r="BW65" i="1"/>
  <c r="AG65" i="1"/>
  <c r="AQ65" i="1" s="1"/>
  <c r="AR65" i="1"/>
  <c r="AG64" i="1"/>
  <c r="AQ64" i="1" s="1"/>
  <c r="AR64" i="1"/>
  <c r="BL62" i="1"/>
  <c r="BV62" i="1" s="1"/>
  <c r="BW62" i="1"/>
  <c r="AR62" i="1"/>
  <c r="AG62" i="1"/>
  <c r="AQ62" i="1" s="1"/>
  <c r="DB60" i="1"/>
  <c r="CQ60" i="1"/>
  <c r="DA60" i="1" s="1"/>
  <c r="CQ59" i="1"/>
  <c r="DA59" i="1" s="1"/>
  <c r="DB59" i="1"/>
  <c r="BL58" i="1"/>
  <c r="BV58" i="1" s="1"/>
  <c r="BW58" i="1"/>
  <c r="DB56" i="1"/>
  <c r="CQ56" i="1"/>
  <c r="DA56" i="1" s="1"/>
  <c r="BW56" i="1"/>
  <c r="BL56" i="1"/>
  <c r="BV56" i="1" s="1"/>
  <c r="BW55" i="1"/>
  <c r="BL55" i="1"/>
  <c r="BV55" i="1" s="1"/>
  <c r="AG55" i="1"/>
  <c r="AQ55" i="1" s="1"/>
  <c r="AR55" i="1"/>
  <c r="DB54" i="1"/>
  <c r="CQ54" i="1"/>
  <c r="DA54" i="1" s="1"/>
  <c r="DB52" i="1"/>
  <c r="CQ52" i="1"/>
  <c r="DA52" i="1" s="1"/>
  <c r="BW52" i="1"/>
  <c r="BL52" i="1"/>
  <c r="BV52" i="1" s="1"/>
  <c r="BW49" i="1"/>
  <c r="BL49" i="1"/>
  <c r="BV49" i="1" s="1"/>
  <c r="AG49" i="1"/>
  <c r="AQ49" i="1" s="1"/>
  <c r="AR49" i="1"/>
  <c r="BL48" i="1"/>
  <c r="BV48" i="1" s="1"/>
  <c r="BW48" i="1"/>
  <c r="AR48" i="1"/>
  <c r="AG48" i="1"/>
  <c r="AQ48" i="1" s="1"/>
  <c r="BW36" i="1"/>
  <c r="BL36" i="1"/>
  <c r="BV36" i="1" s="1"/>
  <c r="AG36" i="1"/>
  <c r="AQ36" i="1" s="1"/>
  <c r="AR36" i="1"/>
  <c r="DB35" i="1"/>
  <c r="CQ35" i="1"/>
  <c r="DA35" i="1" s="1"/>
  <c r="BL34" i="1"/>
  <c r="BV34" i="1" s="1"/>
  <c r="BW34" i="1"/>
  <c r="AG34" i="1"/>
  <c r="AQ34" i="1" s="1"/>
  <c r="AR34" i="1"/>
  <c r="BW31" i="1"/>
  <c r="BL31" i="1"/>
  <c r="BV31" i="1" s="1"/>
  <c r="AG31" i="1"/>
  <c r="AQ31" i="1" s="1"/>
  <c r="AR31" i="1"/>
  <c r="CQ30" i="1"/>
  <c r="DA30" i="1" s="1"/>
  <c r="DB30" i="1"/>
  <c r="CQ29" i="1"/>
  <c r="DA29" i="1" s="1"/>
  <c r="DB29" i="1"/>
  <c r="BL29" i="1"/>
  <c r="BV29" i="1" s="1"/>
  <c r="BW29" i="1"/>
  <c r="BW27" i="1"/>
  <c r="BL27" i="1"/>
  <c r="BV27" i="1" s="1"/>
  <c r="AG27" i="1"/>
  <c r="AQ27" i="1" s="1"/>
  <c r="AR27" i="1"/>
  <c r="BW25" i="1"/>
  <c r="BL25" i="1"/>
  <c r="BV25" i="1" s="1"/>
  <c r="AG25" i="1"/>
  <c r="AQ25" i="1" s="1"/>
  <c r="AR25" i="1"/>
  <c r="CQ24" i="1"/>
  <c r="DA24" i="1" s="1"/>
  <c r="DB24" i="1"/>
  <c r="CQ23" i="1"/>
  <c r="DA23" i="1" s="1"/>
  <c r="DB23" i="1"/>
  <c r="CQ21" i="1"/>
  <c r="DA21" i="1" s="1"/>
  <c r="DB21" i="1"/>
  <c r="BL18" i="1"/>
  <c r="BV18" i="1" s="1"/>
  <c r="BW18" i="1"/>
  <c r="DB16" i="1"/>
  <c r="CQ16" i="1"/>
  <c r="DA16" i="1" s="1"/>
  <c r="BW16" i="1"/>
  <c r="BL16" i="1"/>
  <c r="BV16" i="1" s="1"/>
  <c r="AR16" i="1"/>
  <c r="AG16" i="1"/>
  <c r="AQ16" i="1" s="1"/>
  <c r="CQ13" i="1"/>
  <c r="DA13" i="1" s="1"/>
  <c r="DB13" i="1"/>
  <c r="CQ11" i="1"/>
  <c r="DA11" i="1" s="1"/>
  <c r="DB11" i="1"/>
  <c r="AG10" i="1"/>
  <c r="AQ10" i="1" s="1"/>
  <c r="AR10" i="1"/>
  <c r="BL9" i="1"/>
  <c r="BV9" i="1" s="1"/>
  <c r="BW9" i="1"/>
  <c r="AR9" i="1"/>
  <c r="AG9" i="1"/>
  <c r="AQ9" i="1" s="1"/>
  <c r="CQ8" i="1"/>
  <c r="DA8" i="1" s="1"/>
  <c r="DB8" i="1"/>
  <c r="BL7" i="1"/>
  <c r="BV7" i="1" s="1"/>
  <c r="BW7" i="1"/>
  <c r="AR7" i="1"/>
  <c r="AG7" i="1"/>
  <c r="AQ7" i="1" s="1"/>
  <c r="AR6" i="1"/>
  <c r="AG6" i="1"/>
  <c r="AQ6" i="1" s="1"/>
  <c r="BL4" i="1"/>
  <c r="BV4" i="1" s="1"/>
  <c r="BW4" i="1"/>
  <c r="AQ44" i="1"/>
  <c r="DA252" i="1"/>
  <c r="BV247" i="1"/>
  <c r="BV242" i="1"/>
  <c r="AQ136" i="1"/>
  <c r="DA130" i="1"/>
  <c r="AQ118" i="1"/>
  <c r="BV46" i="1"/>
  <c r="BV38" i="1"/>
  <c r="DA33" i="1"/>
  <c r="BV17" i="1"/>
  <c r="AQ209" i="1"/>
  <c r="AQ204" i="1"/>
  <c r="DA132" i="1"/>
  <c r="AQ132" i="1"/>
  <c r="DA128" i="1"/>
  <c r="BV126" i="1"/>
  <c r="DA124" i="1"/>
  <c r="BV44" i="1"/>
  <c r="BV40" i="1"/>
  <c r="AQ40" i="1"/>
  <c r="AQ3" i="1"/>
  <c r="BV150" i="1"/>
  <c r="AQ150" i="1"/>
  <c r="BV148" i="1"/>
  <c r="AQ148" i="1"/>
  <c r="AQ146" i="1"/>
  <c r="BV144" i="1"/>
  <c r="AQ144" i="1"/>
  <c r="BV142" i="1"/>
  <c r="AQ142" i="1"/>
  <c r="BV140" i="1"/>
  <c r="AQ140" i="1"/>
  <c r="BV138" i="1"/>
  <c r="BV136" i="1"/>
  <c r="AQ76" i="1"/>
  <c r="BV42" i="1"/>
  <c r="AR29" i="1"/>
  <c r="AG29" i="1"/>
  <c r="AQ29" i="1" s="1"/>
  <c r="BW156" i="1"/>
  <c r="DA15" i="1"/>
  <c r="BV20" i="1"/>
  <c r="DA5" i="1"/>
  <c r="AQ11" i="1"/>
  <c r="DA19" i="1"/>
  <c r="AQ30" i="1"/>
  <c r="AR19" i="1"/>
  <c r="BW19" i="1"/>
  <c r="DB20" i="1"/>
  <c r="AR24" i="1"/>
  <c r="BW39" i="1"/>
  <c r="BL39" i="1"/>
  <c r="BV39" i="1" s="1"/>
  <c r="BW33" i="1"/>
  <c r="BL33" i="1"/>
  <c r="BV33" i="1" s="1"/>
  <c r="CQ36" i="1"/>
  <c r="DA36" i="1" s="1"/>
  <c r="DB36" i="1"/>
  <c r="BW43" i="1"/>
  <c r="BL43" i="1"/>
  <c r="BV43" i="1" s="1"/>
  <c r="CZ5" i="1"/>
  <c r="CZ14" i="1"/>
  <c r="AR4" i="1"/>
  <c r="BL6" i="1"/>
  <c r="BV6" i="1" s="1"/>
  <c r="CV6" i="1"/>
  <c r="DA6" i="1" s="1"/>
  <c r="CQ10" i="1"/>
  <c r="DA10" i="1" s="1"/>
  <c r="AR13" i="1"/>
  <c r="BW13" i="1"/>
  <c r="AL14" i="1"/>
  <c r="AQ14" i="1" s="1"/>
  <c r="AP17" i="1"/>
  <c r="BU17" i="1"/>
  <c r="DB17" i="1"/>
  <c r="AG18" i="1"/>
  <c r="AQ18" i="1" s="1"/>
  <c r="BW20" i="1"/>
  <c r="AL21" i="1"/>
  <c r="AQ21" i="1" s="1"/>
  <c r="BQ21" i="1"/>
  <c r="BV21" i="1" s="1"/>
  <c r="AP23" i="1"/>
  <c r="BU23" i="1"/>
  <c r="BL26" i="1"/>
  <c r="BV26" i="1" s="1"/>
  <c r="CQ28" i="1"/>
  <c r="DA28" i="1" s="1"/>
  <c r="DB31" i="1"/>
  <c r="CQ38" i="1"/>
  <c r="DA38" i="1" s="1"/>
  <c r="DB38" i="1"/>
  <c r="BW45" i="1"/>
  <c r="BL45" i="1"/>
  <c r="BV45" i="1" s="1"/>
  <c r="AL5" i="1"/>
  <c r="AQ5" i="1" s="1"/>
  <c r="AR37" i="1"/>
  <c r="AG37" i="1"/>
  <c r="AQ37" i="1" s="1"/>
  <c r="CQ40" i="1"/>
  <c r="DA40" i="1" s="1"/>
  <c r="DB40" i="1"/>
  <c r="CQ42" i="1"/>
  <c r="DA42" i="1" s="1"/>
  <c r="DB42" i="1"/>
  <c r="BW47" i="1"/>
  <c r="BL47" i="1"/>
  <c r="BV47" i="1" s="1"/>
  <c r="CQ4" i="1"/>
  <c r="DA4" i="1" s="1"/>
  <c r="AR8" i="1"/>
  <c r="BL10" i="1"/>
  <c r="BV10" i="1" s="1"/>
  <c r="BW14" i="1"/>
  <c r="AL15" i="1"/>
  <c r="AQ15" i="1" s="1"/>
  <c r="BQ15" i="1"/>
  <c r="BV15" i="1" s="1"/>
  <c r="DB18" i="1"/>
  <c r="DB25" i="1"/>
  <c r="AG26" i="1"/>
  <c r="AQ26" i="1" s="1"/>
  <c r="DB26" i="1"/>
  <c r="BW28" i="1"/>
  <c r="AR39" i="1"/>
  <c r="AG39" i="1"/>
  <c r="AQ39" i="1" s="1"/>
  <c r="CQ44" i="1"/>
  <c r="DA44" i="1" s="1"/>
  <c r="DB44" i="1"/>
  <c r="AP11" i="1"/>
  <c r="BW8" i="1"/>
  <c r="BW11" i="1"/>
  <c r="AR20" i="1"/>
  <c r="BW5" i="1"/>
  <c r="DB9" i="1"/>
  <c r="BL28" i="1"/>
  <c r="BV28" i="1" s="1"/>
  <c r="AR33" i="1"/>
  <c r="AG33" i="1"/>
  <c r="AQ33" i="1" s="1"/>
  <c r="BW35" i="1"/>
  <c r="BL35" i="1"/>
  <c r="BV35" i="1" s="1"/>
  <c r="AR43" i="1"/>
  <c r="AG43" i="1"/>
  <c r="AQ43" i="1" s="1"/>
  <c r="CQ46" i="1"/>
  <c r="DA46" i="1" s="1"/>
  <c r="DB46" i="1"/>
  <c r="DB15" i="1"/>
  <c r="AR28" i="1"/>
  <c r="DB33" i="1"/>
  <c r="DB37" i="1"/>
  <c r="AR45" i="1"/>
  <c r="AG45" i="1"/>
  <c r="AQ45" i="1" s="1"/>
  <c r="AQ57" i="1"/>
  <c r="DA62" i="1"/>
  <c r="DA68" i="1"/>
  <c r="DB27" i="1"/>
  <c r="BW30" i="1"/>
  <c r="CQ34" i="1"/>
  <c r="DA34" i="1" s="1"/>
  <c r="DB34" i="1"/>
  <c r="AR47" i="1"/>
  <c r="AG47" i="1"/>
  <c r="AQ47" i="1" s="1"/>
  <c r="DB3" i="1"/>
  <c r="DA14" i="1"/>
  <c r="DB19" i="1"/>
  <c r="BW24" i="1"/>
  <c r="DB7" i="1"/>
  <c r="BL24" i="1"/>
  <c r="BV24" i="1" s="1"/>
  <c r="AR30" i="1"/>
  <c r="AR35" i="1"/>
  <c r="AG35" i="1"/>
  <c r="AQ35" i="1" s="1"/>
  <c r="BW37" i="1"/>
  <c r="BL37" i="1"/>
  <c r="BV37" i="1" s="1"/>
  <c r="DB45" i="1"/>
  <c r="AG52" i="1"/>
  <c r="AQ52" i="1" s="1"/>
  <c r="BW54" i="1"/>
  <c r="AR57" i="1"/>
  <c r="BW57" i="1"/>
  <c r="DB58" i="1"/>
  <c r="AR70" i="1"/>
  <c r="AR73" i="1"/>
  <c r="AL78" i="1"/>
  <c r="AQ78" i="1" s="1"/>
  <c r="BW78" i="1"/>
  <c r="AL82" i="1"/>
  <c r="AQ82" i="1" s="1"/>
  <c r="BQ87" i="1"/>
  <c r="BV87" i="1" s="1"/>
  <c r="AL94" i="1"/>
  <c r="AQ94" i="1" s="1"/>
  <c r="DA94" i="1"/>
  <c r="AL98" i="1"/>
  <c r="AQ98" i="1" s="1"/>
  <c r="DA98" i="1"/>
  <c r="BV100" i="1"/>
  <c r="AR54" i="1"/>
  <c r="BW64" i="1"/>
  <c r="DB68" i="1"/>
  <c r="DA73" i="1"/>
  <c r="AR74" i="1"/>
  <c r="BW76" i="1"/>
  <c r="AL88" i="1"/>
  <c r="AQ88" i="1" s="1"/>
  <c r="DA88" i="1"/>
  <c r="BV90" i="1"/>
  <c r="AR102" i="1"/>
  <c r="BL50" i="1"/>
  <c r="BV50" i="1" s="1"/>
  <c r="CV50" i="1"/>
  <c r="DA50" i="1" s="1"/>
  <c r="DB55" i="1"/>
  <c r="AG56" i="1"/>
  <c r="AQ56" i="1" s="1"/>
  <c r="AL59" i="1"/>
  <c r="AQ59" i="1" s="1"/>
  <c r="BQ59" i="1"/>
  <c r="BV59" i="1" s="1"/>
  <c r="CQ70" i="1"/>
  <c r="DA70" i="1" s="1"/>
  <c r="AG72" i="1"/>
  <c r="AQ72" i="1" s="1"/>
  <c r="AR76" i="1"/>
  <c r="DA78" i="1"/>
  <c r="DA79" i="1"/>
  <c r="CV80" i="1"/>
  <c r="DA80" i="1" s="1"/>
  <c r="DA82" i="1"/>
  <c r="DB85" i="1"/>
  <c r="AQ86" i="1"/>
  <c r="BQ96" i="1"/>
  <c r="BV96" i="1" s="1"/>
  <c r="AQ102" i="1"/>
  <c r="CV37" i="1"/>
  <c r="DA37" i="1" s="1"/>
  <c r="CV39" i="1"/>
  <c r="DA39" i="1" s="1"/>
  <c r="CV43" i="1"/>
  <c r="DA43" i="1" s="1"/>
  <c r="CV45" i="1"/>
  <c r="DA45" i="1" s="1"/>
  <c r="CV47" i="1"/>
  <c r="DA47" i="1" s="1"/>
  <c r="DB49" i="1"/>
  <c r="AG50" i="1"/>
  <c r="AQ50" i="1" s="1"/>
  <c r="AR58" i="1"/>
  <c r="BL60" i="1"/>
  <c r="BV60" i="1" s="1"/>
  <c r="DB62" i="1"/>
  <c r="DB65" i="1"/>
  <c r="BW68" i="1"/>
  <c r="DA75" i="1"/>
  <c r="DB78" i="1"/>
  <c r="DB82" i="1"/>
  <c r="AQ92" i="1"/>
  <c r="AR106" i="1"/>
  <c r="AL106" i="1"/>
  <c r="AQ106" i="1" s="1"/>
  <c r="CV74" i="1"/>
  <c r="DA74" i="1" s="1"/>
  <c r="DA77" i="1"/>
  <c r="DA102" i="1"/>
  <c r="DB69" i="1"/>
  <c r="CV76" i="1"/>
  <c r="DA76" i="1" s="1"/>
  <c r="DB83" i="1"/>
  <c r="BQ84" i="1"/>
  <c r="BV84" i="1" s="1"/>
  <c r="DA92" i="1"/>
  <c r="AL96" i="1"/>
  <c r="AQ96" i="1" s="1"/>
  <c r="DA96" i="1"/>
  <c r="CV48" i="1"/>
  <c r="DA48" i="1" s="1"/>
  <c r="DB53" i="1"/>
  <c r="AL60" i="1"/>
  <c r="AQ60" i="1" s="1"/>
  <c r="CV64" i="1"/>
  <c r="DA64" i="1" s="1"/>
  <c r="DB73" i="1"/>
  <c r="BV78" i="1"/>
  <c r="DB79" i="1"/>
  <c r="BQ80" i="1"/>
  <c r="BV80" i="1" s="1"/>
  <c r="DA86" i="1"/>
  <c r="AL90" i="1"/>
  <c r="AQ90" i="1" s="1"/>
  <c r="DA90" i="1"/>
  <c r="BQ104" i="1"/>
  <c r="BV104" i="1" s="1"/>
  <c r="BW66" i="1"/>
  <c r="DB75" i="1"/>
  <c r="BQ94" i="1"/>
  <c r="BV94" i="1" s="1"/>
  <c r="BQ98" i="1"/>
  <c r="BV98" i="1" s="1"/>
  <c r="DB57" i="1"/>
  <c r="DB77" i="1"/>
  <c r="DA85" i="1"/>
  <c r="BQ88" i="1"/>
  <c r="BV88" i="1" s="1"/>
  <c r="BW102" i="1"/>
  <c r="BW100" i="1"/>
  <c r="BV102" i="1"/>
  <c r="AL104" i="1"/>
  <c r="AQ104" i="1" s="1"/>
  <c r="DA104" i="1"/>
  <c r="BW106" i="1"/>
  <c r="BQ106" i="1"/>
  <c r="BV106" i="1" s="1"/>
  <c r="BV128" i="1"/>
  <c r="DB129" i="1"/>
  <c r="CQ129" i="1"/>
  <c r="DA129" i="1" s="1"/>
  <c r="AG115" i="1"/>
  <c r="AQ115" i="1" s="1"/>
  <c r="AL116" i="1"/>
  <c r="AQ116" i="1" s="1"/>
  <c r="BQ116" i="1"/>
  <c r="BV116" i="1" s="1"/>
  <c r="BQ117" i="1"/>
  <c r="AL119" i="1"/>
  <c r="CZ124" i="1"/>
  <c r="CZ130" i="1"/>
  <c r="DB133" i="1"/>
  <c r="CQ133" i="1"/>
  <c r="DA133" i="1" s="1"/>
  <c r="DB140" i="1"/>
  <c r="CZ140" i="1"/>
  <c r="AL108" i="1"/>
  <c r="AQ108" i="1" s="1"/>
  <c r="BQ108" i="1"/>
  <c r="BV108" i="1" s="1"/>
  <c r="BW118" i="1"/>
  <c r="DB123" i="1"/>
  <c r="CQ123" i="1"/>
  <c r="DA123" i="1" s="1"/>
  <c r="BQ124" i="1"/>
  <c r="BV124" i="1" s="1"/>
  <c r="BQ130" i="1"/>
  <c r="BV130" i="1" s="1"/>
  <c r="BW110" i="1"/>
  <c r="AR113" i="1"/>
  <c r="DB113" i="1"/>
  <c r="AR114" i="1"/>
  <c r="BW114" i="1"/>
  <c r="BW115" i="1"/>
  <c r="AR118" i="1"/>
  <c r="DB119" i="1"/>
  <c r="CQ119" i="1"/>
  <c r="DA119" i="1" s="1"/>
  <c r="CQ109" i="1"/>
  <c r="DA109" i="1" s="1"/>
  <c r="AR110" i="1"/>
  <c r="DD111" i="1"/>
  <c r="B111" i="1" s="1"/>
  <c r="CQ113" i="1"/>
  <c r="DA113" i="1" s="1"/>
  <c r="CZ120" i="1"/>
  <c r="DB127" i="1"/>
  <c r="CQ127" i="1"/>
  <c r="DA127" i="1" s="1"/>
  <c r="AL130" i="1"/>
  <c r="AQ130" i="1" s="1"/>
  <c r="CZ132" i="1"/>
  <c r="DB139" i="1"/>
  <c r="DB84" i="1"/>
  <c r="DB86" i="1"/>
  <c r="DB88" i="1"/>
  <c r="DB90" i="1"/>
  <c r="DB92" i="1"/>
  <c r="DB94" i="1"/>
  <c r="DB96" i="1"/>
  <c r="DB98" i="1"/>
  <c r="DB100" i="1"/>
  <c r="DB102" i="1"/>
  <c r="DB104" i="1"/>
  <c r="DB106" i="1"/>
  <c r="DB108" i="1"/>
  <c r="DB115" i="1"/>
  <c r="DB117" i="1"/>
  <c r="CQ117" i="1"/>
  <c r="DA117" i="1" s="1"/>
  <c r="CZ122" i="1"/>
  <c r="AL124" i="1"/>
  <c r="AQ124" i="1" s="1"/>
  <c r="DA115" i="1"/>
  <c r="BW122" i="1"/>
  <c r="AR132" i="1"/>
  <c r="DB135" i="1"/>
  <c r="DB136" i="1"/>
  <c r="DB125" i="1"/>
  <c r="CQ125" i="1"/>
  <c r="DA125" i="1" s="1"/>
  <c r="BV117" i="1"/>
  <c r="AQ119" i="1"/>
  <c r="AR122" i="1"/>
  <c r="DB142" i="1"/>
  <c r="CZ142" i="1"/>
  <c r="CZ144" i="1"/>
  <c r="CZ146" i="1"/>
  <c r="CZ148" i="1"/>
  <c r="CZ150" i="1"/>
  <c r="CQ135" i="1"/>
  <c r="DA135" i="1" s="1"/>
  <c r="CQ137" i="1"/>
  <c r="DA137" i="1" s="1"/>
  <c r="CQ139" i="1"/>
  <c r="DA139" i="1" s="1"/>
  <c r="CQ143" i="1"/>
  <c r="DA143" i="1" s="1"/>
  <c r="CQ145" i="1"/>
  <c r="DA145" i="1" s="1"/>
  <c r="CQ147" i="1"/>
  <c r="DA147" i="1" s="1"/>
  <c r="CQ149" i="1"/>
  <c r="DA149" i="1" s="1"/>
  <c r="AR159" i="1"/>
  <c r="BW159" i="1"/>
  <c r="DB159" i="1"/>
  <c r="AR126" i="1"/>
  <c r="BW126" i="1"/>
  <c r="AR128" i="1"/>
  <c r="BW128" i="1"/>
  <c r="AG156" i="1"/>
  <c r="AQ156" i="1" s="1"/>
  <c r="BL156" i="1"/>
  <c r="BV156" i="1" s="1"/>
  <c r="CQ156" i="1"/>
  <c r="DA156" i="1" s="1"/>
  <c r="AR157" i="1"/>
  <c r="BW157" i="1"/>
  <c r="DB157" i="1"/>
  <c r="BV178" i="1"/>
  <c r="DB200" i="1"/>
  <c r="AG201" i="1"/>
  <c r="AQ201" i="1" s="1"/>
  <c r="DB201" i="1"/>
  <c r="BL207" i="1"/>
  <c r="BV207" i="1" s="1"/>
  <c r="BW207" i="1"/>
  <c r="AG212" i="1"/>
  <c r="AQ212" i="1" s="1"/>
  <c r="AR212" i="1"/>
  <c r="DB199" i="1"/>
  <c r="BW200" i="1"/>
  <c r="CV215" i="1"/>
  <c r="DA215" i="1" s="1"/>
  <c r="DB215" i="1"/>
  <c r="BW222" i="1"/>
  <c r="BL222" i="1"/>
  <c r="BV222" i="1" s="1"/>
  <c r="CQ228" i="1"/>
  <c r="DA228" i="1" s="1"/>
  <c r="DB228" i="1"/>
  <c r="CQ191" i="1"/>
  <c r="DA191" i="1" s="1"/>
  <c r="BL193" i="1"/>
  <c r="BV193" i="1" s="1"/>
  <c r="DB195" i="1"/>
  <c r="AG196" i="1"/>
  <c r="AQ196" i="1" s="1"/>
  <c r="BW199" i="1"/>
  <c r="CQ199" i="1"/>
  <c r="DA199" i="1" s="1"/>
  <c r="AR200" i="1"/>
  <c r="BW201" i="1"/>
  <c r="AR204" i="1"/>
  <c r="BW206" i="1"/>
  <c r="AG207" i="1"/>
  <c r="AQ207" i="1" s="1"/>
  <c r="AR207" i="1"/>
  <c r="BW211" i="1"/>
  <c r="BQ211" i="1"/>
  <c r="BV211" i="1" s="1"/>
  <c r="BU231" i="1"/>
  <c r="BW231" i="1"/>
  <c r="AR233" i="1"/>
  <c r="AP233" i="1"/>
  <c r="AR178" i="1"/>
  <c r="BW178" i="1"/>
  <c r="DB178" i="1"/>
  <c r="DB194" i="1"/>
  <c r="AR199" i="1"/>
  <c r="BW208" i="1"/>
  <c r="DB190" i="1"/>
  <c r="BW194" i="1"/>
  <c r="CQ194" i="1"/>
  <c r="DA194" i="1" s="1"/>
  <c r="AR195" i="1"/>
  <c r="AG199" i="1"/>
  <c r="AQ199" i="1" s="1"/>
  <c r="CQ209" i="1"/>
  <c r="DA209" i="1" s="1"/>
  <c r="DB210" i="1"/>
  <c r="CQ212" i="1"/>
  <c r="DA212" i="1" s="1"/>
  <c r="DB212" i="1"/>
  <c r="BW203" i="1"/>
  <c r="AR211" i="1"/>
  <c r="AL211" i="1"/>
  <c r="AQ211" i="1" s="1"/>
  <c r="BQ215" i="1"/>
  <c r="BV215" i="1" s="1"/>
  <c r="BW215" i="1"/>
  <c r="CZ221" i="1"/>
  <c r="DB221" i="1"/>
  <c r="AL191" i="1"/>
  <c r="AQ191" i="1" s="1"/>
  <c r="AP193" i="1"/>
  <c r="AG194" i="1"/>
  <c r="AQ194" i="1" s="1"/>
  <c r="DB205" i="1"/>
  <c r="AG206" i="1"/>
  <c r="AQ206" i="1" s="1"/>
  <c r="AR208" i="1"/>
  <c r="BW209" i="1"/>
  <c r="BW213" i="1"/>
  <c r="DB202" i="1"/>
  <c r="AR203" i="1"/>
  <c r="BW205" i="1"/>
  <c r="BL209" i="1"/>
  <c r="BV209" i="1" s="1"/>
  <c r="BW210" i="1"/>
  <c r="BL212" i="1"/>
  <c r="BV212" i="1" s="1"/>
  <c r="BW212" i="1"/>
  <c r="DB227" i="1"/>
  <c r="CQ227" i="1"/>
  <c r="DA227" i="1" s="1"/>
  <c r="CQ202" i="1"/>
  <c r="DA202" i="1" s="1"/>
  <c r="DB204" i="1"/>
  <c r="AR205" i="1"/>
  <c r="CQ207" i="1"/>
  <c r="DA207" i="1" s="1"/>
  <c r="DB207" i="1"/>
  <c r="AR202" i="1"/>
  <c r="DB206" i="1"/>
  <c r="AR209" i="1"/>
  <c r="DB211" i="1"/>
  <c r="CV211" i="1"/>
  <c r="DA211" i="1" s="1"/>
  <c r="AL215" i="1"/>
  <c r="AQ215" i="1" s="1"/>
  <c r="AR215" i="1"/>
  <c r="BW221" i="1"/>
  <c r="BQ221" i="1"/>
  <c r="BV221" i="1" s="1"/>
  <c r="DB245" i="1"/>
  <c r="CQ245" i="1"/>
  <c r="DA245" i="1" s="1"/>
  <c r="AR217" i="1"/>
  <c r="AR219" i="1"/>
  <c r="AG220" i="1"/>
  <c r="AQ220" i="1" s="1"/>
  <c r="AR220" i="1"/>
  <c r="AR226" i="1"/>
  <c r="BW229" i="1"/>
  <c r="AG230" i="1"/>
  <c r="AQ230" i="1" s="1"/>
  <c r="AR230" i="1"/>
  <c r="BW233" i="1"/>
  <c r="CQ235" i="1"/>
  <c r="DA235" i="1" s="1"/>
  <c r="DB235" i="1"/>
  <c r="BV236" i="1"/>
  <c r="AL241" i="1"/>
  <c r="AQ241" i="1" s="1"/>
  <c r="AR241" i="1"/>
  <c r="DA248" i="1"/>
  <c r="CV239" i="1"/>
  <c r="DA239" i="1" s="1"/>
  <c r="DB239" i="1"/>
  <c r="AR242" i="1"/>
  <c r="AR246" i="1"/>
  <c r="AG246" i="1"/>
  <c r="AQ246" i="1" s="1"/>
  <c r="AR251" i="1"/>
  <c r="AG251" i="1"/>
  <c r="AQ251" i="1" s="1"/>
  <c r="BW218" i="1"/>
  <c r="CQ223" i="1"/>
  <c r="DA223" i="1" s="1"/>
  <c r="CQ225" i="1"/>
  <c r="DA225" i="1" s="1"/>
  <c r="DB225" i="1"/>
  <c r="BL227" i="1"/>
  <c r="BV227" i="1" s="1"/>
  <c r="CQ234" i="1"/>
  <c r="DA234" i="1" s="1"/>
  <c r="BL235" i="1"/>
  <c r="BV235" i="1" s="1"/>
  <c r="BW235" i="1"/>
  <c r="BV239" i="1"/>
  <c r="CQ247" i="1"/>
  <c r="DA247" i="1" s="1"/>
  <c r="DB247" i="1"/>
  <c r="CQ217" i="1"/>
  <c r="DA217" i="1" s="1"/>
  <c r="AR218" i="1"/>
  <c r="BL223" i="1"/>
  <c r="BV223" i="1" s="1"/>
  <c r="CQ224" i="1"/>
  <c r="DA224" i="1" s="1"/>
  <c r="AR227" i="1"/>
  <c r="AR229" i="1"/>
  <c r="BW236" i="1"/>
  <c r="AR240" i="1"/>
  <c r="AG240" i="1"/>
  <c r="AQ240" i="1" s="1"/>
  <c r="DB248" i="1"/>
  <c r="BW250" i="1"/>
  <c r="BL250" i="1"/>
  <c r="BV250" i="1" s="1"/>
  <c r="AG253" i="1"/>
  <c r="AQ253" i="1" s="1"/>
  <c r="AR253" i="1"/>
  <c r="BW224" i="1"/>
  <c r="BL225" i="1"/>
  <c r="BV225" i="1" s="1"/>
  <c r="BW225" i="1"/>
  <c r="DB226" i="1"/>
  <c r="AG227" i="1"/>
  <c r="AQ227" i="1" s="1"/>
  <c r="AG229" i="1"/>
  <c r="AQ229" i="1" s="1"/>
  <c r="AR231" i="1"/>
  <c r="CQ232" i="1"/>
  <c r="DA232" i="1" s="1"/>
  <c r="BW234" i="1"/>
  <c r="AG235" i="1"/>
  <c r="AQ235" i="1" s="1"/>
  <c r="AR235" i="1"/>
  <c r="AR239" i="1"/>
  <c r="DB216" i="1"/>
  <c r="AR221" i="1"/>
  <c r="BL224" i="1"/>
  <c r="BV224" i="1" s="1"/>
  <c r="BW232" i="1"/>
  <c r="BL234" i="1"/>
  <c r="BV234" i="1" s="1"/>
  <c r="AG239" i="1"/>
  <c r="AQ239" i="1" s="1"/>
  <c r="DB246" i="1"/>
  <c r="CQ246" i="1"/>
  <c r="DA246" i="1" s="1"/>
  <c r="AQ248" i="1"/>
  <c r="AP249" i="1"/>
  <c r="AR249" i="1"/>
  <c r="DB219" i="1"/>
  <c r="CQ220" i="1"/>
  <c r="DA220" i="1" s="1"/>
  <c r="DB220" i="1"/>
  <c r="AR224" i="1"/>
  <c r="AG225" i="1"/>
  <c r="AQ225" i="1" s="1"/>
  <c r="AR225" i="1"/>
  <c r="CQ230" i="1"/>
  <c r="DA230" i="1" s="1"/>
  <c r="DB230" i="1"/>
  <c r="BW239" i="1"/>
  <c r="DB240" i="1"/>
  <c r="DB242" i="1"/>
  <c r="AR245" i="1"/>
  <c r="AG245" i="1"/>
  <c r="AQ245" i="1" s="1"/>
  <c r="CQ219" i="1"/>
  <c r="DA219" i="1" s="1"/>
  <c r="DB229" i="1"/>
  <c r="AR232" i="1"/>
  <c r="AR234" i="1"/>
  <c r="AR236" i="1"/>
  <c r="AR250" i="1"/>
  <c r="AG250" i="1"/>
  <c r="AQ250" i="1" s="1"/>
  <c r="CV253" i="1"/>
  <c r="DA253" i="1" s="1"/>
  <c r="DB253" i="1"/>
  <c r="BW219" i="1"/>
  <c r="BL220" i="1"/>
  <c r="BV220" i="1" s="1"/>
  <c r="BW220" i="1"/>
  <c r="AR228" i="1"/>
  <c r="CQ229" i="1"/>
  <c r="DA229" i="1" s="1"/>
  <c r="BL230" i="1"/>
  <c r="BV230" i="1" s="1"/>
  <c r="BW230" i="1"/>
  <c r="DB231" i="1"/>
  <c r="AG232" i="1"/>
  <c r="AQ232" i="1" s="1"/>
  <c r="DB233" i="1"/>
  <c r="AG234" i="1"/>
  <c r="AQ234" i="1" s="1"/>
  <c r="AR237" i="1"/>
  <c r="DB241" i="1"/>
  <c r="AQ242" i="1"/>
  <c r="AG247" i="1"/>
  <c r="AQ247" i="1" s="1"/>
  <c r="AR247" i="1"/>
  <c r="AR248" i="1"/>
  <c r="BW249" i="1"/>
  <c r="BL249" i="1"/>
  <c r="BV249" i="1" s="1"/>
  <c r="AG252" i="1"/>
  <c r="AQ252" i="1" s="1"/>
  <c r="AR252" i="1"/>
  <c r="BW252" i="1"/>
  <c r="DB266" i="1"/>
  <c r="CQ266" i="1"/>
  <c r="DA266" i="1" s="1"/>
  <c r="BW255" i="1"/>
  <c r="BW256" i="1"/>
  <c r="BL256" i="1"/>
  <c r="BV256" i="1" s="1"/>
  <c r="CV257" i="1"/>
  <c r="DA257" i="1" s="1"/>
  <c r="BW259" i="1"/>
  <c r="AL262" i="1"/>
  <c r="AQ262" i="1" s="1"/>
  <c r="AG268" i="1"/>
  <c r="AQ268" i="1" s="1"/>
  <c r="BW253" i="1"/>
  <c r="BL255" i="1"/>
  <c r="BV255" i="1" s="1"/>
  <c r="CQ258" i="1"/>
  <c r="DA258" i="1" s="1"/>
  <c r="BW262" i="1"/>
  <c r="BW264" i="1"/>
  <c r="BV270" i="1"/>
  <c r="DB250" i="1"/>
  <c r="DB251" i="1"/>
  <c r="CQ251" i="1"/>
  <c r="DA251" i="1" s="1"/>
  <c r="AR256" i="1"/>
  <c r="AG256" i="1"/>
  <c r="AQ256" i="1" s="1"/>
  <c r="BW266" i="1"/>
  <c r="BL266" i="1"/>
  <c r="BV266" i="1" s="1"/>
  <c r="AR244" i="1"/>
  <c r="BW247" i="1"/>
  <c r="CQ250" i="1"/>
  <c r="DA250" i="1" s="1"/>
  <c r="DB254" i="1"/>
  <c r="AG255" i="1"/>
  <c r="AQ255" i="1" s="1"/>
  <c r="AG258" i="1"/>
  <c r="AQ258" i="1" s="1"/>
  <c r="AR264" i="1"/>
  <c r="CQ265" i="1"/>
  <c r="DA265" i="1" s="1"/>
  <c r="BW267" i="1"/>
  <c r="BW251" i="1"/>
  <c r="BL251" i="1"/>
  <c r="BV251" i="1" s="1"/>
  <c r="BW254" i="1"/>
  <c r="DB260" i="1"/>
  <c r="DB261" i="1"/>
  <c r="CQ261" i="1"/>
  <c r="DA261" i="1" s="1"/>
  <c r="DB263" i="1"/>
  <c r="AR269" i="1"/>
  <c r="BW257" i="1"/>
  <c r="CQ260" i="1"/>
  <c r="DA260" i="1" s="1"/>
  <c r="CQ263" i="1"/>
  <c r="DA263" i="1" s="1"/>
  <c r="BW265" i="1"/>
  <c r="AR266" i="1"/>
  <c r="AG266" i="1"/>
  <c r="AQ266" i="1" s="1"/>
  <c r="BW260" i="1"/>
  <c r="BW261" i="1"/>
  <c r="BL261" i="1"/>
  <c r="BV261" i="1" s="1"/>
  <c r="BW263" i="1"/>
  <c r="DB252" i="1"/>
  <c r="AR257" i="1"/>
  <c r="BL260" i="1"/>
  <c r="BV260" i="1" s="1"/>
  <c r="BL263" i="1"/>
  <c r="BV263" i="1" s="1"/>
  <c r="BW245" i="1"/>
  <c r="BW246" i="1"/>
  <c r="BL246" i="1"/>
  <c r="BV246" i="1" s="1"/>
  <c r="DB255" i="1"/>
  <c r="DB256" i="1"/>
  <c r="CQ256" i="1"/>
  <c r="DA256" i="1" s="1"/>
  <c r="AR260" i="1"/>
  <c r="AR261" i="1"/>
  <c r="AG261" i="1"/>
  <c r="AQ261" i="1" s="1"/>
  <c r="AR263" i="1"/>
  <c r="AR265" i="1"/>
  <c r="AL269" i="1"/>
  <c r="AQ269" i="1" s="1"/>
  <c r="BQ269" i="1"/>
  <c r="BV269" i="1" s="1"/>
  <c r="CV269" i="1"/>
  <c r="DA269" i="1" s="1"/>
  <c r="AR270" i="1"/>
  <c r="BW270" i="1"/>
  <c r="DB270" i="1"/>
  <c r="AG271" i="1"/>
  <c r="AQ271" i="1" s="1"/>
  <c r="BL271" i="1"/>
  <c r="BV271" i="1" s="1"/>
  <c r="CQ271" i="1"/>
  <c r="DA271" i="1" s="1"/>
  <c r="AP272" i="1"/>
  <c r="BU272" i="1"/>
  <c r="CZ272" i="1"/>
</calcChain>
</file>

<file path=xl/sharedStrings.xml><?xml version="1.0" encoding="utf-8"?>
<sst xmlns="http://schemas.openxmlformats.org/spreadsheetml/2006/main" count="4465" uniqueCount="1311">
  <si>
    <t>Faculty Name</t>
  </si>
  <si>
    <t>ID#</t>
  </si>
  <si>
    <t>email</t>
  </si>
  <si>
    <t>telephone</t>
  </si>
  <si>
    <t>status</t>
  </si>
  <si>
    <t>account to be charged</t>
  </si>
  <si>
    <t>Reason for Contract</t>
  </si>
  <si>
    <t>remote employee</t>
  </si>
  <si>
    <t>international</t>
  </si>
  <si>
    <t>Dept contact name</t>
  </si>
  <si>
    <t>Dept contact ID#</t>
  </si>
  <si>
    <t>Summer 2026 Course</t>
  </si>
  <si>
    <t>Course Section</t>
  </si>
  <si>
    <t>Catalog Title</t>
  </si>
  <si>
    <t>CRN</t>
  </si>
  <si>
    <t>Term 1</t>
  </si>
  <si>
    <t>Term 2</t>
  </si>
  <si>
    <t>Term 3</t>
  </si>
  <si>
    <t>Mode</t>
  </si>
  <si>
    <t>Program</t>
  </si>
  <si>
    <t>Location</t>
  </si>
  <si>
    <t>load/contract</t>
  </si>
  <si>
    <t>dept budget</t>
  </si>
  <si>
    <t>Cr.</t>
  </si>
  <si>
    <t>rate per credit</t>
  </si>
  <si>
    <t>total contract amount</t>
  </si>
  <si>
    <t>Begin Date</t>
  </si>
  <si>
    <t>End Date</t>
  </si>
  <si>
    <t>pre-work period start</t>
  </si>
  <si>
    <t>pre-work period end</t>
  </si>
  <si>
    <t>pre-work # of weeks</t>
  </si>
  <si>
    <t>pre-work hours/week</t>
  </si>
  <si>
    <t>pre-work hours/period</t>
  </si>
  <si>
    <t>intensive period start</t>
  </si>
  <si>
    <t>intensive period end</t>
  </si>
  <si>
    <t>intensive # of weeks</t>
  </si>
  <si>
    <t>intensive hours/week</t>
  </si>
  <si>
    <t>intensive hours/period</t>
  </si>
  <si>
    <t>post-work period start</t>
  </si>
  <si>
    <t>post-work period end</t>
  </si>
  <si>
    <t>post-work # of weeks</t>
  </si>
  <si>
    <t>post-work hours/week</t>
  </si>
  <si>
    <t>post-work hours/period</t>
  </si>
  <si>
    <t>sum of weeks (for check)</t>
  </si>
  <si>
    <t>total contract hours</t>
  </si>
  <si>
    <t>Fall 2026 Course</t>
  </si>
  <si>
    <t>Spring 2027 Course</t>
  </si>
  <si>
    <t>Total Cr.</t>
  </si>
  <si>
    <t>order</t>
  </si>
  <si>
    <t>Glanz, Oliver</t>
  </si>
  <si>
    <t>OTST: 11-1300-9120-70</t>
  </si>
  <si>
    <t>Teacher loads are full</t>
  </si>
  <si>
    <t>no</t>
  </si>
  <si>
    <t>OTST551</t>
  </si>
  <si>
    <t>001</t>
  </si>
  <si>
    <t>x</t>
  </si>
  <si>
    <t>In-Person</t>
  </si>
  <si>
    <t>MDIV</t>
  </si>
  <si>
    <t>Main Campus - MC</t>
  </si>
  <si>
    <t>load</t>
  </si>
  <si>
    <t>yes</t>
  </si>
  <si>
    <t>Contract Teachers</t>
  </si>
  <si>
    <t>Totals: Contract Teachers</t>
  </si>
  <si>
    <t>contract</t>
  </si>
  <si>
    <t>Davidson, Richard M.</t>
  </si>
  <si>
    <t>GSEM530</t>
  </si>
  <si>
    <t>Hernandez, Abner F.</t>
  </si>
  <si>
    <t>PhD student</t>
  </si>
  <si>
    <t>CHIS: 11-1100-9120-70</t>
  </si>
  <si>
    <t>ANEA510</t>
  </si>
  <si>
    <t>0</t>
  </si>
  <si>
    <t>Kaiser, Angelika</t>
  </si>
  <si>
    <t>faculty</t>
  </si>
  <si>
    <t>PATH: 11-1150-9120-70</t>
  </si>
  <si>
    <t>Teacher overload</t>
  </si>
  <si>
    <t>ANEA604</t>
  </si>
  <si>
    <t>SYNC</t>
  </si>
  <si>
    <t>MDIV-FL</t>
  </si>
  <si>
    <t>Atlantic Union - AtlU</t>
  </si>
  <si>
    <t>Burt, Merlin D.</t>
  </si>
  <si>
    <t>PhD</t>
  </si>
  <si>
    <t>MSSN: 11-1200-9120-70</t>
  </si>
  <si>
    <t>Subject-matter expert</t>
  </si>
  <si>
    <t>ANEA615</t>
  </si>
  <si>
    <t>002</t>
  </si>
  <si>
    <t>ASYNC</t>
  </si>
  <si>
    <t>MAPM-HISP</t>
  </si>
  <si>
    <t>Columbia Union - CU</t>
  </si>
  <si>
    <t>Burton, Kevin M.</t>
  </si>
  <si>
    <t>_DIS: 11-1200-9120-70-120011</t>
  </si>
  <si>
    <t>ANEA624</t>
  </si>
  <si>
    <t>003</t>
  </si>
  <si>
    <t>TOUR</t>
  </si>
  <si>
    <t>MAPM-ENGL</t>
  </si>
  <si>
    <t>Southern Union - SU</t>
  </si>
  <si>
    <t>Chow, Christie Chui-Shan</t>
  </si>
  <si>
    <t>NTST: 11-1250-9120-70</t>
  </si>
  <si>
    <t>ANEA630</t>
  </si>
  <si>
    <t>004</t>
  </si>
  <si>
    <t>MAR-NAD</t>
  </si>
  <si>
    <t>Mid-America Union - MAU</t>
  </si>
  <si>
    <t>Kaiser, Denis</t>
  </si>
  <si>
    <t>ANEA690</t>
  </si>
  <si>
    <t>005</t>
  </si>
  <si>
    <t>MAR-INT</t>
  </si>
  <si>
    <t>Southwestern Union - SWU</t>
  </si>
  <si>
    <t>Figueroa, Victor F.</t>
  </si>
  <si>
    <t>DSLE: 11-1320-9120-70</t>
  </si>
  <si>
    <t>ANEA805</t>
  </si>
  <si>
    <t>006</t>
  </si>
  <si>
    <t>SOLC</t>
  </si>
  <si>
    <t>Pacific Union - PU</t>
  </si>
  <si>
    <t>Gane, Roy E.</t>
  </si>
  <si>
    <t>THST: 11-1350-9120-70</t>
  </si>
  <si>
    <t>ANEA810</t>
  </si>
  <si>
    <t>007</t>
  </si>
  <si>
    <t>North Pacific Union - NPU</t>
  </si>
  <si>
    <t>Reeve, John W.</t>
  </si>
  <si>
    <t>DMIN: 11-1170-9120-70-1170*</t>
  </si>
  <si>
    <t>ANEA830</t>
  </si>
  <si>
    <t>009</t>
  </si>
  <si>
    <t>DIS</t>
  </si>
  <si>
    <t>Lake Union- LU</t>
  </si>
  <si>
    <t>Park, Jungkyu</t>
  </si>
  <si>
    <t>ANEA890</t>
  </si>
  <si>
    <t>031</t>
  </si>
  <si>
    <t>DMIN</t>
  </si>
  <si>
    <t>Canadian Union - CNU</t>
  </si>
  <si>
    <t>Miller, Nicholas P.</t>
  </si>
  <si>
    <t>ANEA895</t>
  </si>
  <si>
    <t>033</t>
  </si>
  <si>
    <t>EGW-Cert</t>
  </si>
  <si>
    <t>Poland/Baltic States - PolBal</t>
  </si>
  <si>
    <t>Pagan, Samuel</t>
  </si>
  <si>
    <t>ANEA940</t>
  </si>
  <si>
    <t>038</t>
  </si>
  <si>
    <t>MAYYM</t>
  </si>
  <si>
    <t>Ukraine - Ukr</t>
  </si>
  <si>
    <t>O'Reggio, Trevor E.</t>
  </si>
  <si>
    <t>CHIS504</t>
  </si>
  <si>
    <t>040</t>
  </si>
  <si>
    <t>PHD/THD</t>
  </si>
  <si>
    <t>Russia - Zao</t>
  </si>
  <si>
    <t>Valenzuela, Alfonso</t>
  </si>
  <si>
    <t>CHIS505</t>
  </si>
  <si>
    <t>041</t>
  </si>
  <si>
    <t>PHD-RelEd</t>
  </si>
  <si>
    <t>Hong Kong - HK</t>
  </si>
  <si>
    <t>Williams, David A.</t>
  </si>
  <si>
    <t>CHIS506</t>
  </si>
  <si>
    <t>042</t>
  </si>
  <si>
    <t>POSTDOC</t>
  </si>
  <si>
    <t>Taiwan - Tai</t>
  </si>
  <si>
    <t>Schmidt, Eduard E.</t>
  </si>
  <si>
    <t>CHIS507</t>
  </si>
  <si>
    <t>044</t>
  </si>
  <si>
    <t>Thailand - Thai</t>
  </si>
  <si>
    <t>Galeniece, Anna</t>
  </si>
  <si>
    <t>CHIS567</t>
  </si>
  <si>
    <t>049</t>
  </si>
  <si>
    <t>Costa Rica</t>
  </si>
  <si>
    <t>Hucks, Willie E.</t>
  </si>
  <si>
    <t>CHIS570</t>
  </si>
  <si>
    <t>055</t>
  </si>
  <si>
    <t>Adventist University of Africa - AUA</t>
  </si>
  <si>
    <t>Williams, Hyveth M.</t>
  </si>
  <si>
    <t>CHIS571</t>
  </si>
  <si>
    <t>062</t>
  </si>
  <si>
    <t>Philipines - AIIAS</t>
  </si>
  <si>
    <t>Kidder, S Joseph</t>
  </si>
  <si>
    <t>CHIS574</t>
  </si>
  <si>
    <t>065</t>
  </si>
  <si>
    <t>Liang, Onn</t>
  </si>
  <si>
    <t>CHIS600</t>
  </si>
  <si>
    <t>069</t>
  </si>
  <si>
    <t>McLean, Errol N.</t>
  </si>
  <si>
    <t>CHIS612</t>
  </si>
  <si>
    <t>079</t>
  </si>
  <si>
    <t>Patterson, Stanley E.</t>
  </si>
  <si>
    <t>CHIS614</t>
  </si>
  <si>
    <t>091</t>
  </si>
  <si>
    <t>Norton, Ricardo</t>
  </si>
  <si>
    <t>CHIS624</t>
  </si>
  <si>
    <t>092</t>
  </si>
  <si>
    <t>Gaton, Roy G.</t>
  </si>
  <si>
    <t>CHIS628</t>
  </si>
  <si>
    <t>093</t>
  </si>
  <si>
    <t>Sanou, Boubakar</t>
  </si>
  <si>
    <t>CHIS629</t>
  </si>
  <si>
    <t>095</t>
  </si>
  <si>
    <t>Bell, Ora M.</t>
  </si>
  <si>
    <t>CHIS645</t>
  </si>
  <si>
    <t>101</t>
  </si>
  <si>
    <t>Thordarson, Throstur B.</t>
  </si>
  <si>
    <t>CHIS638</t>
  </si>
  <si>
    <t>102</t>
  </si>
  <si>
    <t>Wagener Smith, Anthony</t>
  </si>
  <si>
    <t>CHIS650</t>
  </si>
  <si>
    <t>103</t>
  </si>
  <si>
    <t>CHIS659</t>
  </si>
  <si>
    <t>104</t>
  </si>
  <si>
    <t>Allen, Shirley M.</t>
  </si>
  <si>
    <t>CHIS660</t>
  </si>
  <si>
    <t>105</t>
  </si>
  <si>
    <t>Consuegra, Claudio J.</t>
  </si>
  <si>
    <t>CHIS665</t>
  </si>
  <si>
    <t>106</t>
  </si>
  <si>
    <t>Davis, Desiree E.</t>
  </si>
  <si>
    <t>CHIS672</t>
  </si>
  <si>
    <t>107</t>
  </si>
  <si>
    <t>Duany, Efrain</t>
  </si>
  <si>
    <t>CHIS673</t>
  </si>
  <si>
    <t>108</t>
  </si>
  <si>
    <t>Fraser, Jasmine J.</t>
  </si>
  <si>
    <t>CHIS674</t>
  </si>
  <si>
    <t>109</t>
  </si>
  <si>
    <t>Hamilton, Lloyd M.</t>
  </si>
  <si>
    <t>CHIS680</t>
  </si>
  <si>
    <t>110</t>
  </si>
  <si>
    <t>CHIS682</t>
  </si>
  <si>
    <t>111</t>
  </si>
  <si>
    <t>Matthews, John V.</t>
  </si>
  <si>
    <t>CHIS683</t>
  </si>
  <si>
    <t>112</t>
  </si>
  <si>
    <t>Mayer, Jorge R.</t>
  </si>
  <si>
    <t>CHIS685</t>
  </si>
  <si>
    <t>113</t>
  </si>
  <si>
    <t>Hall, Kenley D.</t>
  </si>
  <si>
    <t>CHIS689</t>
  </si>
  <si>
    <t>114</t>
  </si>
  <si>
    <t>CHIS690</t>
  </si>
  <si>
    <t>116</t>
  </si>
  <si>
    <t>Goncalves, Kleber D.</t>
  </si>
  <si>
    <t>CHIS695</t>
  </si>
  <si>
    <t>118</t>
  </si>
  <si>
    <t>Machado, Carlos A.</t>
  </si>
  <si>
    <t>CHIS880</t>
  </si>
  <si>
    <t>127</t>
  </si>
  <si>
    <t>Ortiz, Luis F.</t>
  </si>
  <si>
    <t>CHIS885</t>
  </si>
  <si>
    <t>128</t>
  </si>
  <si>
    <t>Reddy, Ashley C.</t>
  </si>
  <si>
    <t>CHIS890</t>
  </si>
  <si>
    <t>129</t>
  </si>
  <si>
    <t>Reinert, Katia G.</t>
  </si>
  <si>
    <t>CHIS891</t>
  </si>
  <si>
    <t>130</t>
  </si>
  <si>
    <t>CHIS892</t>
  </si>
  <si>
    <t>131</t>
  </si>
  <si>
    <t>CHIS895</t>
  </si>
  <si>
    <t>132</t>
  </si>
  <si>
    <t>Paquini, Rogelio</t>
  </si>
  <si>
    <t>CHIS940</t>
  </si>
  <si>
    <t>133</t>
  </si>
  <si>
    <t>Sedlacek, David</t>
  </si>
  <si>
    <t>CHIS944</t>
  </si>
  <si>
    <t>138</t>
  </si>
  <si>
    <t>Stevenson, Stanley R.</t>
  </si>
  <si>
    <t>CHIS974</t>
  </si>
  <si>
    <t>140</t>
  </si>
  <si>
    <t>Ward, Scott R.</t>
  </si>
  <si>
    <t>CHMN505</t>
  </si>
  <si>
    <t>201</t>
  </si>
  <si>
    <t>CHMN507</t>
  </si>
  <si>
    <t>227</t>
  </si>
  <si>
    <t>Freed, Kristina M.</t>
  </si>
  <si>
    <t>CHMN516</t>
  </si>
  <si>
    <t>990</t>
  </si>
  <si>
    <t>CHMN517</t>
  </si>
  <si>
    <t>993</t>
  </si>
  <si>
    <t>Walshe, Allan R.</t>
  </si>
  <si>
    <t>CHMN523</t>
  </si>
  <si>
    <t>994</t>
  </si>
  <si>
    <t>Yeagley, Stephen T.</t>
  </si>
  <si>
    <t>CHMN526</t>
  </si>
  <si>
    <t>995</t>
  </si>
  <si>
    <t>CHMN536</t>
  </si>
  <si>
    <t>996</t>
  </si>
  <si>
    <t>CHMN539</t>
  </si>
  <si>
    <t>997</t>
  </si>
  <si>
    <t>CHMN541</t>
  </si>
  <si>
    <t>998</t>
  </si>
  <si>
    <t>CHMN543</t>
  </si>
  <si>
    <t>999</t>
  </si>
  <si>
    <t>CHMN546</t>
  </si>
  <si>
    <t>CHMN549</t>
  </si>
  <si>
    <t>CHMN556</t>
  </si>
  <si>
    <t>Badenas, Roberto D.</t>
  </si>
  <si>
    <t>CHMN557</t>
  </si>
  <si>
    <t>Kwon, Timothy B.</t>
  </si>
  <si>
    <t>CHMN560</t>
  </si>
  <si>
    <t>Johnston, Robert M.</t>
  </si>
  <si>
    <t>CHMN562</t>
  </si>
  <si>
    <t>Camarena, Carlos C.</t>
  </si>
  <si>
    <t>CHMN602</t>
  </si>
  <si>
    <t>Choi, Phuichun R.</t>
  </si>
  <si>
    <t>CHMN606</t>
  </si>
  <si>
    <t>Vine, Cedric E.</t>
  </si>
  <si>
    <t>CHMN641</t>
  </si>
  <si>
    <t>Cortez, Felix H.</t>
  </si>
  <si>
    <t>CHMN643</t>
  </si>
  <si>
    <t>CHMN654</t>
  </si>
  <si>
    <t>Ferreira, Jonatas L.</t>
  </si>
  <si>
    <t>CHMN660</t>
  </si>
  <si>
    <t>CHMN690</t>
  </si>
  <si>
    <t>Kondrat, Stanislav</t>
  </si>
  <si>
    <t>CHMN712</t>
  </si>
  <si>
    <t>Mot, Laurentiu F.</t>
  </si>
  <si>
    <t>CHMN779</t>
  </si>
  <si>
    <t>Phillip, Mario N.</t>
  </si>
  <si>
    <t>CHMN890</t>
  </si>
  <si>
    <t>Munoz, Jose Y.</t>
  </si>
  <si>
    <t>DSLE503</t>
  </si>
  <si>
    <t>Muran, Alexej</t>
  </si>
  <si>
    <t>DSLE534</t>
  </si>
  <si>
    <t>Nogueira, Lincoln</t>
  </si>
  <si>
    <t>DSLE541</t>
  </si>
  <si>
    <t>Nunes, Leonardo G.</t>
  </si>
  <si>
    <t>DSLE564</t>
  </si>
  <si>
    <t>Papaioannou, Kim G.</t>
  </si>
  <si>
    <t>DSLE605</t>
  </si>
  <si>
    <t>Stefanovic, Ranko</t>
  </si>
  <si>
    <t>DSLE606</t>
  </si>
  <si>
    <t>Ray, Paul J.</t>
  </si>
  <si>
    <t>DSLE607</t>
  </si>
  <si>
    <t>Reeve, Teresa L.</t>
  </si>
  <si>
    <t>DSLE608</t>
  </si>
  <si>
    <t>Shepherd, Thomas R.</t>
  </si>
  <si>
    <t>DSLE610</t>
  </si>
  <si>
    <t>Rivas Santini, Abelardo J.</t>
  </si>
  <si>
    <t>DSLE615</t>
  </si>
  <si>
    <t>Baez Garcia, Enrique</t>
  </si>
  <si>
    <t>DSLE616</t>
  </si>
  <si>
    <t>Bates, Robert D.</t>
  </si>
  <si>
    <t>DSLE620</t>
  </si>
  <si>
    <t>Gane, Constance E.</t>
  </si>
  <si>
    <t>DSLE626</t>
  </si>
  <si>
    <t>Gordan, Daniel M.</t>
  </si>
  <si>
    <t>DSLE635</t>
  </si>
  <si>
    <t>DSLE636</t>
  </si>
  <si>
    <t>Doukhan, Jacques B.</t>
  </si>
  <si>
    <t>DSLE651</t>
  </si>
  <si>
    <t>Galenieks, Eriks</t>
  </si>
  <si>
    <t>DSLE652</t>
  </si>
  <si>
    <t>DSLE655</t>
  </si>
  <si>
    <t>DSLE656</t>
  </si>
  <si>
    <t>Hudon, Jeffrey P.</t>
  </si>
  <si>
    <t>DSLE657</t>
  </si>
  <si>
    <t>DSLE658</t>
  </si>
  <si>
    <t>Ngo, Kim Chai</t>
  </si>
  <si>
    <t>DSLE659</t>
  </si>
  <si>
    <t>Ionescu, Laurentiu Gabriel</t>
  </si>
  <si>
    <t>DSLE660</t>
  </si>
  <si>
    <t>McGuire-Moushon, Joni A.</t>
  </si>
  <si>
    <t>DSLE661</t>
  </si>
  <si>
    <t>Moskala, Jiri</t>
  </si>
  <si>
    <t>DSLE664</t>
  </si>
  <si>
    <t>Petrishchev, Anton</t>
  </si>
  <si>
    <t>DSLE669</t>
  </si>
  <si>
    <t>Gregor, Paul Z.</t>
  </si>
  <si>
    <t>DSLE675</t>
  </si>
  <si>
    <t>Ponyatovsky, Felix</t>
  </si>
  <si>
    <t>DSLE676</t>
  </si>
  <si>
    <t>DSLE677</t>
  </si>
  <si>
    <t>Skinner, Jerome L.</t>
  </si>
  <si>
    <t>DSLE678</t>
  </si>
  <si>
    <t>Broy, Trisha E.</t>
  </si>
  <si>
    <t>DSLE679</t>
  </si>
  <si>
    <t>Younker, Randall W.</t>
  </si>
  <si>
    <t>DSLE680</t>
  </si>
  <si>
    <t>Guerrero Romero, Abraham I.</t>
  </si>
  <si>
    <t>DSLE681</t>
  </si>
  <si>
    <t>Boston II, John T.</t>
  </si>
  <si>
    <t>DSLE690</t>
  </si>
  <si>
    <t>Ceballos, Mario E.</t>
  </si>
  <si>
    <t>DSLE699</t>
  </si>
  <si>
    <t>Braun, Erlo</t>
  </si>
  <si>
    <t>DSLE705</t>
  </si>
  <si>
    <t>DSLE709</t>
  </si>
  <si>
    <t>Kissinger, Evelyn G.</t>
  </si>
  <si>
    <t>DSLE748</t>
  </si>
  <si>
    <t>DSLE749</t>
  </si>
  <si>
    <t>DSLE830</t>
  </si>
  <si>
    <t>DSLE850</t>
  </si>
  <si>
    <t>Grys, John W.</t>
  </si>
  <si>
    <t>DSLE870</t>
  </si>
  <si>
    <t>Ledesma, Janet</t>
  </si>
  <si>
    <t>DSLE878</t>
  </si>
  <si>
    <t>Ramirez, Johnny</t>
  </si>
  <si>
    <t>DSLE880</t>
  </si>
  <si>
    <t>DSLE885</t>
  </si>
  <si>
    <t>DSLE887</t>
  </si>
  <si>
    <t>DSLE890</t>
  </si>
  <si>
    <t>Kwon, Sung K.</t>
  </si>
  <si>
    <t>DSLE930</t>
  </si>
  <si>
    <t>Madding, Timothy E.</t>
  </si>
  <si>
    <t>DSLE950</t>
  </si>
  <si>
    <t>Mata Cerdas, Jorge A.</t>
  </si>
  <si>
    <t>DSLE994</t>
  </si>
  <si>
    <t>DSLE995</t>
  </si>
  <si>
    <t>Morales, Xavier</t>
  </si>
  <si>
    <t>DSRE503</t>
  </si>
  <si>
    <t>DSRE534</t>
  </si>
  <si>
    <t>DSRE541</t>
  </si>
  <si>
    <t>Oudri, Gerardo</t>
  </si>
  <si>
    <t>DSRE605</t>
  </si>
  <si>
    <t>Anderson, Paul S.</t>
  </si>
  <si>
    <t>DSRE606</t>
  </si>
  <si>
    <t>Park, James H.</t>
  </si>
  <si>
    <t>DSRE616</t>
  </si>
  <si>
    <t>DSRE620</t>
  </si>
  <si>
    <t>Penno, David K.</t>
  </si>
  <si>
    <t>DSRE626</t>
  </si>
  <si>
    <t>DSRE660</t>
  </si>
  <si>
    <t>DSRE680</t>
  </si>
  <si>
    <t>DSRE690</t>
  </si>
  <si>
    <t>Saravia, Yohalmo A.</t>
  </si>
  <si>
    <t>DSRE709</t>
  </si>
  <si>
    <t>Sorajjakool, Siroj</t>
  </si>
  <si>
    <t>DSRE749</t>
  </si>
  <si>
    <t>DSRE850</t>
  </si>
  <si>
    <t>Case, Steve W.</t>
  </si>
  <si>
    <t>DSRE870</t>
  </si>
  <si>
    <t>Taiwo, Moses O.</t>
  </si>
  <si>
    <t>DSRE878</t>
  </si>
  <si>
    <t>DSRE880</t>
  </si>
  <si>
    <t>Trecartin, Shannon M.</t>
  </si>
  <si>
    <t>DSRE950</t>
  </si>
  <si>
    <t>DSRE994</t>
  </si>
  <si>
    <t>Tsui, Terry M.</t>
  </si>
  <si>
    <t>GSEM501</t>
  </si>
  <si>
    <t>GSEM505</t>
  </si>
  <si>
    <t>GSEM520</t>
  </si>
  <si>
    <t>Wood, H Stanley</t>
  </si>
  <si>
    <t>GSEM588</t>
  </si>
  <si>
    <t>Alexe, Cristina A.</t>
  </si>
  <si>
    <t>GSEM620</t>
  </si>
  <si>
    <t>Bentancur, Ricardo</t>
  </si>
  <si>
    <t>GSEM648</t>
  </si>
  <si>
    <t>Canale, Fernando</t>
  </si>
  <si>
    <t>GSEM670</t>
  </si>
  <si>
    <t>Dei, Daniel</t>
  </si>
  <si>
    <t>GSEM678</t>
  </si>
  <si>
    <t>Drew, Arlyn S.</t>
  </si>
  <si>
    <t>GSEM680</t>
  </si>
  <si>
    <t>Duran Royo, Noemi</t>
  </si>
  <si>
    <t>GSEM685</t>
  </si>
  <si>
    <t>Zaitsev, Eugene V.</t>
  </si>
  <si>
    <t>GSEM688</t>
  </si>
  <si>
    <t>Fortin, Denis</t>
  </si>
  <si>
    <t>GSEM695</t>
  </si>
  <si>
    <t>Irizarry De La Cruz, Iriann M.</t>
  </si>
  <si>
    <t>GSEM697</t>
  </si>
  <si>
    <t>Davidson, JoAnn</t>
  </si>
  <si>
    <t>GSEM706</t>
  </si>
  <si>
    <t>Jeroncic, Ante</t>
  </si>
  <si>
    <t>GSEM785</t>
  </si>
  <si>
    <t>Moon, Jerry A.</t>
  </si>
  <si>
    <t>GSEM788</t>
  </si>
  <si>
    <t>Peckham, John C.</t>
  </si>
  <si>
    <t>GSEM790</t>
  </si>
  <si>
    <t>Hanna, Martin F.</t>
  </si>
  <si>
    <t>GSEM793</t>
  </si>
  <si>
    <t>GSEM796</t>
  </si>
  <si>
    <t>GSEM797</t>
  </si>
  <si>
    <t>GSEM810</t>
  </si>
  <si>
    <t>GSEM844</t>
  </si>
  <si>
    <t>Sciarabba, Davide</t>
  </si>
  <si>
    <t>GSEM854</t>
  </si>
  <si>
    <t>Bauer, Bruce L.</t>
  </si>
  <si>
    <t>GSEM860</t>
  </si>
  <si>
    <t>Cincala, Petr</t>
  </si>
  <si>
    <t>GSEM880</t>
  </si>
  <si>
    <t>Doss, Cheryl D.</t>
  </si>
  <si>
    <t>GSEM885</t>
  </si>
  <si>
    <t>Duffis Gordon, Daniel M.</t>
  </si>
  <si>
    <t>GSEM888</t>
  </si>
  <si>
    <t>Dybdahl, Paul B.</t>
  </si>
  <si>
    <t>GSEM898</t>
  </si>
  <si>
    <t>Krause, Gary D.</t>
  </si>
  <si>
    <t>GSEM915</t>
  </si>
  <si>
    <t>GSEM990</t>
  </si>
  <si>
    <t>Kuhn, Wagner</t>
  </si>
  <si>
    <t>GSEM995</t>
  </si>
  <si>
    <t>MSSN505</t>
  </si>
  <si>
    <t>Joo, Minho</t>
  </si>
  <si>
    <t>MSSN546</t>
  </si>
  <si>
    <t>Phillips, Gabriela F.</t>
  </si>
  <si>
    <t>MSSN561</t>
  </si>
  <si>
    <t>MSSN618</t>
  </si>
  <si>
    <t>Namoradze, Sergo</t>
  </si>
  <si>
    <t>MSSN630</t>
  </si>
  <si>
    <t>Tompkins, Andrew J.</t>
  </si>
  <si>
    <t>MSSN635</t>
  </si>
  <si>
    <t>Guirguis, Youssry L.</t>
  </si>
  <si>
    <t>MSSN676</t>
  </si>
  <si>
    <t>Olariu, Daniel</t>
  </si>
  <si>
    <t>MSSN685</t>
  </si>
  <si>
    <t>MSSN690</t>
  </si>
  <si>
    <t>MSSN695</t>
  </si>
  <si>
    <t>MSSN805</t>
  </si>
  <si>
    <t>MSSN806</t>
  </si>
  <si>
    <t>MSSN810</t>
  </si>
  <si>
    <t>MSSN820</t>
  </si>
  <si>
    <t>MSSN827</t>
  </si>
  <si>
    <t>MSSN829</t>
  </si>
  <si>
    <t>MSSN834</t>
  </si>
  <si>
    <t>MSSN835</t>
  </si>
  <si>
    <t>MSSN837</t>
  </si>
  <si>
    <t>MSSN838</t>
  </si>
  <si>
    <t>MSSN840</t>
  </si>
  <si>
    <t>MSSN854</t>
  </si>
  <si>
    <t>MSSN870</t>
  </si>
  <si>
    <t>MSSN880</t>
  </si>
  <si>
    <t>MSSN885</t>
  </si>
  <si>
    <t>MSSN888</t>
  </si>
  <si>
    <t>MSSN890</t>
  </si>
  <si>
    <t>MSSN897</t>
  </si>
  <si>
    <t>MSSN899</t>
  </si>
  <si>
    <t>NTST515</t>
  </si>
  <si>
    <t>NTST520</t>
  </si>
  <si>
    <t>NTST530</t>
  </si>
  <si>
    <t>NTST535</t>
  </si>
  <si>
    <t>NTST536</t>
  </si>
  <si>
    <t>NTST537</t>
  </si>
  <si>
    <t>NTST538</t>
  </si>
  <si>
    <t>NTST539</t>
  </si>
  <si>
    <t>NTST551</t>
  </si>
  <si>
    <t>NTST552</t>
  </si>
  <si>
    <t>NTST567</t>
  </si>
  <si>
    <t>NTST606</t>
  </si>
  <si>
    <t>NTST608</t>
  </si>
  <si>
    <t>NTST615</t>
  </si>
  <si>
    <t>NTST628</t>
  </si>
  <si>
    <t>NTST634</t>
  </si>
  <si>
    <t>NTST635</t>
  </si>
  <si>
    <t>NTST645</t>
  </si>
  <si>
    <t>NTST647</t>
  </si>
  <si>
    <t>NTST648</t>
  </si>
  <si>
    <t>NTST650</t>
  </si>
  <si>
    <t>NTST655</t>
  </si>
  <si>
    <t>NTST658</t>
  </si>
  <si>
    <t>NTST668</t>
  </si>
  <si>
    <t>NTST680</t>
  </si>
  <si>
    <t>NTST684</t>
  </si>
  <si>
    <t>NTST690</t>
  </si>
  <si>
    <t>NTST695</t>
  </si>
  <si>
    <t>NTST808</t>
  </si>
  <si>
    <t>NTST885</t>
  </si>
  <si>
    <t>NTST890</t>
  </si>
  <si>
    <t>NTST897</t>
  </si>
  <si>
    <t>OTST500</t>
  </si>
  <si>
    <t>OTST510</t>
  </si>
  <si>
    <t>OTST520</t>
  </si>
  <si>
    <t>OTST546</t>
  </si>
  <si>
    <t>OTST552</t>
  </si>
  <si>
    <t>OTST556</t>
  </si>
  <si>
    <t>OTST565</t>
  </si>
  <si>
    <t>OTST566</t>
  </si>
  <si>
    <t>OTST610</t>
  </si>
  <si>
    <t>OTST612</t>
  </si>
  <si>
    <t>OTST615</t>
  </si>
  <si>
    <t>OTST619</t>
  </si>
  <si>
    <t>OTST620</t>
  </si>
  <si>
    <t>OTST625</t>
  </si>
  <si>
    <t>OTST627</t>
  </si>
  <si>
    <t>OTST628</t>
  </si>
  <si>
    <t>OTST639</t>
  </si>
  <si>
    <t>OTST654</t>
  </si>
  <si>
    <t>OTST658</t>
  </si>
  <si>
    <t>OTST660</t>
  </si>
  <si>
    <t>OTST664</t>
  </si>
  <si>
    <t>OTST666</t>
  </si>
  <si>
    <t>OTST668</t>
  </si>
  <si>
    <t>OTST674</t>
  </si>
  <si>
    <t>OTST675</t>
  </si>
  <si>
    <t>OTST680</t>
  </si>
  <si>
    <t>OTST685</t>
  </si>
  <si>
    <t>OTST686</t>
  </si>
  <si>
    <t>OTST690</t>
  </si>
  <si>
    <t>OTST810</t>
  </si>
  <si>
    <t>OTST854</t>
  </si>
  <si>
    <t>OTST885</t>
  </si>
  <si>
    <t>OTST890</t>
  </si>
  <si>
    <t>OTST895</t>
  </si>
  <si>
    <t>OTST940</t>
  </si>
  <si>
    <t>OTST945</t>
  </si>
  <si>
    <t>PATH505</t>
  </si>
  <si>
    <t>PATH507</t>
  </si>
  <si>
    <t>PATH514</t>
  </si>
  <si>
    <t>PATH516</t>
  </si>
  <si>
    <t>PATH517</t>
  </si>
  <si>
    <t>PATH523</t>
  </si>
  <si>
    <t>PATH525</t>
  </si>
  <si>
    <t>PATH526</t>
  </si>
  <si>
    <t>PATH536</t>
  </si>
  <si>
    <t>PATH538</t>
  </si>
  <si>
    <t>PATH539</t>
  </si>
  <si>
    <t>PATH541</t>
  </si>
  <si>
    <t>PATH543</t>
  </si>
  <si>
    <t>PATH549</t>
  </si>
  <si>
    <t>PATH552</t>
  </si>
  <si>
    <t>PATH553</t>
  </si>
  <si>
    <t>PATH555</t>
  </si>
  <si>
    <t>PATH556</t>
  </si>
  <si>
    <t>PATH557</t>
  </si>
  <si>
    <t>PATH560</t>
  </si>
  <si>
    <t>PATH562</t>
  </si>
  <si>
    <t>PATH567</t>
  </si>
  <si>
    <t>PATH588</t>
  </si>
  <si>
    <t>PATH601</t>
  </si>
  <si>
    <t>PATH602</t>
  </si>
  <si>
    <t>PATH603</t>
  </si>
  <si>
    <t>PATH604</t>
  </si>
  <si>
    <t>PATH606</t>
  </si>
  <si>
    <t>PATH609</t>
  </si>
  <si>
    <t>PATH613</t>
  </si>
  <si>
    <t>PATH627</t>
  </si>
  <si>
    <t>PATH632</t>
  </si>
  <si>
    <t>PATH634</t>
  </si>
  <si>
    <t>PATH637</t>
  </si>
  <si>
    <t>PATH641</t>
  </si>
  <si>
    <t>PATH643</t>
  </si>
  <si>
    <t>PATH656</t>
  </si>
  <si>
    <t>PATH660</t>
  </si>
  <si>
    <t>PATH661</t>
  </si>
  <si>
    <t>PATH690</t>
  </si>
  <si>
    <t>PATH709</t>
  </si>
  <si>
    <t>PATH712</t>
  </si>
  <si>
    <t>PATH739</t>
  </si>
  <si>
    <t>PATH742</t>
  </si>
  <si>
    <t>PATH753</t>
  </si>
  <si>
    <t>PATH760</t>
  </si>
  <si>
    <t>PATH761</t>
  </si>
  <si>
    <t>PATH762</t>
  </si>
  <si>
    <t>PATH773</t>
  </si>
  <si>
    <t>PATH776</t>
  </si>
  <si>
    <t>PATH779</t>
  </si>
  <si>
    <t>PATH782</t>
  </si>
  <si>
    <t>PATH783</t>
  </si>
  <si>
    <t>PATH786</t>
  </si>
  <si>
    <t>PATH787</t>
  </si>
  <si>
    <t>PATH890</t>
  </si>
  <si>
    <t>THST510</t>
  </si>
  <si>
    <t>THST521</t>
  </si>
  <si>
    <t>THST522</t>
  </si>
  <si>
    <t>THST540</t>
  </si>
  <si>
    <t>THST605</t>
  </si>
  <si>
    <t>THST608</t>
  </si>
  <si>
    <t>THST611</t>
  </si>
  <si>
    <t>THST615</t>
  </si>
  <si>
    <t>THST616</t>
  </si>
  <si>
    <t>THST619</t>
  </si>
  <si>
    <t>THST623</t>
  </si>
  <si>
    <t>THST624</t>
  </si>
  <si>
    <t>THST626</t>
  </si>
  <si>
    <t>THST627</t>
  </si>
  <si>
    <t>THST628</t>
  </si>
  <si>
    <t>THST629</t>
  </si>
  <si>
    <t>THST633</t>
  </si>
  <si>
    <t>THST634</t>
  </si>
  <si>
    <t>THST635</t>
  </si>
  <si>
    <t>THST637</t>
  </si>
  <si>
    <t>THST639</t>
  </si>
  <si>
    <t>THST640</t>
  </si>
  <si>
    <t>THST644</t>
  </si>
  <si>
    <t>THST647</t>
  </si>
  <si>
    <t>THST649</t>
  </si>
  <si>
    <t>THST656</t>
  </si>
  <si>
    <t>THST676</t>
  </si>
  <si>
    <t>THST678</t>
  </si>
  <si>
    <t>THST690</t>
  </si>
  <si>
    <t>THST809</t>
  </si>
  <si>
    <t>THST814</t>
  </si>
  <si>
    <t>THST885</t>
  </si>
  <si>
    <t>THST890</t>
  </si>
  <si>
    <t>THST895</t>
  </si>
  <si>
    <t>THST896</t>
  </si>
  <si>
    <t>THST897</t>
  </si>
  <si>
    <t>THST940</t>
  </si>
  <si>
    <t>THST964</t>
  </si>
  <si>
    <t>SABBATICAL</t>
  </si>
  <si>
    <t>dept</t>
  </si>
  <si>
    <t>CHIS</t>
  </si>
  <si>
    <t>000049061</t>
  </si>
  <si>
    <t>burt@andrews.edu</t>
  </si>
  <si>
    <t>000148286</t>
  </si>
  <si>
    <t>burtonk@andrews.edu</t>
  </si>
  <si>
    <t>000232177</t>
  </si>
  <si>
    <t>christiechu@andrews.edu</t>
  </si>
  <si>
    <t>000055527</t>
  </si>
  <si>
    <t>figuerov@andrews.edu</t>
  </si>
  <si>
    <t>000149024</t>
  </si>
  <si>
    <t>abnerh@andrews.edu</t>
  </si>
  <si>
    <t>000143159</t>
  </si>
  <si>
    <t>angelika@andrews.edu</t>
  </si>
  <si>
    <t>000134382</t>
  </si>
  <si>
    <t>denis@andrews.edu</t>
  </si>
  <si>
    <t>000050696</t>
  </si>
  <si>
    <t>nicholas@andrews.edu</t>
  </si>
  <si>
    <t>000035762</t>
  </si>
  <si>
    <t>toreggio@andrews.edu</t>
  </si>
  <si>
    <t>000067278</t>
  </si>
  <si>
    <t>pagan@andrews.edu</t>
  </si>
  <si>
    <t>000122429</t>
  </si>
  <si>
    <t>jungkyu@andrews.edu</t>
  </si>
  <si>
    <t>000049018</t>
  </si>
  <si>
    <t>jreeve@andrews.edu</t>
  </si>
  <si>
    <t>000033969</t>
  </si>
  <si>
    <t>vale@andrews.edu</t>
  </si>
  <si>
    <t>000124996</t>
  </si>
  <si>
    <t>wdavid@andrews.edu</t>
  </si>
  <si>
    <t>CHMN</t>
  </si>
  <si>
    <t>000015518</t>
  </si>
  <si>
    <t>sjbell@andrews.edu</t>
  </si>
  <si>
    <t>000078997</t>
  </si>
  <si>
    <t>galeniec@andrews.edu</t>
  </si>
  <si>
    <t>000048477</t>
  </si>
  <si>
    <t>royg@andrews.edu</t>
  </si>
  <si>
    <t>000048969</t>
  </si>
  <si>
    <t>hucks@andrews.edu</t>
  </si>
  <si>
    <t>000039170</t>
  </si>
  <si>
    <t>kiddersj@andrews.edu</t>
  </si>
  <si>
    <t>000035691</t>
  </si>
  <si>
    <t>lianga@andrews.edu</t>
  </si>
  <si>
    <t>000049564</t>
  </si>
  <si>
    <t>mcleane@andrews.edu</t>
  </si>
  <si>
    <t>000033967</t>
  </si>
  <si>
    <t>ricardo@andrews.edu</t>
  </si>
  <si>
    <t>000030103</t>
  </si>
  <si>
    <t>patterss@andrews.edu</t>
  </si>
  <si>
    <t>000098144</t>
  </si>
  <si>
    <t>sanou@andrews.edu</t>
  </si>
  <si>
    <t>000041813</t>
  </si>
  <si>
    <t>eschmidt@andrews.edu</t>
  </si>
  <si>
    <t>000028045</t>
  </si>
  <si>
    <t>throstur@andrews.edu</t>
  </si>
  <si>
    <t>000118859</t>
  </si>
  <si>
    <t>wagenersmith@andrews.edu</t>
  </si>
  <si>
    <t>000049271</t>
  </si>
  <si>
    <t>hyveth@andrews.edu</t>
  </si>
  <si>
    <t>DSPL</t>
  </si>
  <si>
    <t>000062024</t>
  </si>
  <si>
    <t>ashirley@andrews.edu</t>
  </si>
  <si>
    <t>000041530</t>
  </si>
  <si>
    <t>consuegr@andrews.edu</t>
  </si>
  <si>
    <t>000111875</t>
  </si>
  <si>
    <t>desireed@andrews.edu</t>
  </si>
  <si>
    <t>000117365</t>
  </si>
  <si>
    <t>duany@andrews.edu</t>
  </si>
  <si>
    <t>000129106</t>
  </si>
  <si>
    <t>fraserj@andrews.edu</t>
  </si>
  <si>
    <t>000067653</t>
  </si>
  <si>
    <t>tyrrell@andrews.edu</t>
  </si>
  <si>
    <t>000078571</t>
  </si>
  <si>
    <t>kleber@andrews.edu</t>
  </si>
  <si>
    <t>000069431</t>
  </si>
  <si>
    <t>kenley@andrews.edu</t>
  </si>
  <si>
    <t>000062449</t>
  </si>
  <si>
    <t>hamiltol@andrews.edu</t>
  </si>
  <si>
    <t>000117818</t>
  </si>
  <si>
    <t>machado@andrews.edu</t>
  </si>
  <si>
    <t>000021462</t>
  </si>
  <si>
    <t>johnmatt@andrews.edu</t>
  </si>
  <si>
    <t>000049082</t>
  </si>
  <si>
    <t>jorgem@andrews.edu</t>
  </si>
  <si>
    <t>000069315</t>
  </si>
  <si>
    <t>ortizl@andrews.edu</t>
  </si>
  <si>
    <t>000105171</t>
  </si>
  <si>
    <t>rpaquini@andrews.edu</t>
  </si>
  <si>
    <t>000159825</t>
  </si>
  <si>
    <t>reddy@andrews.edu</t>
  </si>
  <si>
    <t>000195832</t>
  </si>
  <si>
    <t>reinert@andrews.edu</t>
  </si>
  <si>
    <t>000142355</t>
  </si>
  <si>
    <t>sedlacek@andrews.edu</t>
  </si>
  <si>
    <t>000011889</t>
  </si>
  <si>
    <t>stevensons@andrews.edu</t>
  </si>
  <si>
    <t>000136308</t>
  </si>
  <si>
    <t>walshe@andrews.edu</t>
  </si>
  <si>
    <t>000077973</t>
  </si>
  <si>
    <t>sward@andrews.edu</t>
  </si>
  <si>
    <t>000041250</t>
  </si>
  <si>
    <t>yeagley@andrews.edu</t>
  </si>
  <si>
    <t>DSRE</t>
  </si>
  <si>
    <t>NTST</t>
  </si>
  <si>
    <t>000035367</t>
  </si>
  <si>
    <t>badenasr@andrews.edu</t>
  </si>
  <si>
    <t>000036675</t>
  </si>
  <si>
    <t>ccarlos@andrews.edu</t>
  </si>
  <si>
    <t>000036676</t>
  </si>
  <si>
    <t>choir@andrews.edu</t>
  </si>
  <si>
    <t>000110700</t>
  </si>
  <si>
    <t>fcortez@andrews.edu</t>
  </si>
  <si>
    <t>000159708</t>
  </si>
  <si>
    <t>jonatas@andrews.edu</t>
  </si>
  <si>
    <t>000003908</t>
  </si>
  <si>
    <t>bobjohn@andrews.edu</t>
  </si>
  <si>
    <t>000119532</t>
  </si>
  <si>
    <t>kondrat@andrews.edu</t>
  </si>
  <si>
    <t>000146533</t>
  </si>
  <si>
    <t>beett@andrews.edu</t>
  </si>
  <si>
    <t>000115113</t>
  </si>
  <si>
    <t>laurentiu@andrews.edu</t>
  </si>
  <si>
    <t>000073761</t>
  </si>
  <si>
    <t>munozj@andrews.edu</t>
  </si>
  <si>
    <t>000118655</t>
  </si>
  <si>
    <t>muran@andrews.edu</t>
  </si>
  <si>
    <t>000086036</t>
  </si>
  <si>
    <t>nogueirl@andrews.edu</t>
  </si>
  <si>
    <t>000138706</t>
  </si>
  <si>
    <t>nunesl@andrews.edu</t>
  </si>
  <si>
    <t>000050429</t>
  </si>
  <si>
    <t>papaioannou@andrews.edu</t>
  </si>
  <si>
    <t>000108446</t>
  </si>
  <si>
    <t>mariop@andrews.edu</t>
  </si>
  <si>
    <t>000029934</t>
  </si>
  <si>
    <t>rayp@andrews.edu</t>
  </si>
  <si>
    <t>000050236</t>
  </si>
  <si>
    <t>tlreeve@andrews.edu</t>
  </si>
  <si>
    <t>000033676</t>
  </si>
  <si>
    <t>trs@andrews.edu</t>
  </si>
  <si>
    <t>000057767</t>
  </si>
  <si>
    <t>ranko@andrews.edu</t>
  </si>
  <si>
    <t>000093509</t>
  </si>
  <si>
    <t>cvine@andrews.edu</t>
  </si>
  <si>
    <t>OTST</t>
  </si>
  <si>
    <t>000118530</t>
  </si>
  <si>
    <t>baezgarc@andrews.edu</t>
  </si>
  <si>
    <t>000095796</t>
  </si>
  <si>
    <t>bates@andrews.edu</t>
  </si>
  <si>
    <t>000088405</t>
  </si>
  <si>
    <t>trisha@andrews.edu</t>
  </si>
  <si>
    <t>000012107</t>
  </si>
  <si>
    <t>davidson@andrews.edu</t>
  </si>
  <si>
    <t>000027289</t>
  </si>
  <si>
    <t>doukhanj@andrews.edu</t>
  </si>
  <si>
    <t>000077101</t>
  </si>
  <si>
    <t>egalen@andrews.edu</t>
  </si>
  <si>
    <t>000074605</t>
  </si>
  <si>
    <t>cgane@andrews.edu</t>
  </si>
  <si>
    <t>000008963</t>
  </si>
  <si>
    <t>gane@andrews.edu</t>
  </si>
  <si>
    <t>000162826</t>
  </si>
  <si>
    <t>glanz@andrews.edu</t>
  </si>
  <si>
    <t>269-815-8838</t>
  </si>
  <si>
    <t>000155573</t>
  </si>
  <si>
    <t>danielgordan@andrews.edu</t>
  </si>
  <si>
    <t>000052867</t>
  </si>
  <si>
    <t>pgregor@andrews.edu</t>
  </si>
  <si>
    <t>000133678</t>
  </si>
  <si>
    <t>hudon@andrews.edu</t>
  </si>
  <si>
    <t>000190055</t>
  </si>
  <si>
    <t>laurentiuga@andrews.edu</t>
  </si>
  <si>
    <t>000118224</t>
  </si>
  <si>
    <t>mcguirej@andrews.edu</t>
  </si>
  <si>
    <t>000036790</t>
  </si>
  <si>
    <t>moskala@andrews.edu</t>
  </si>
  <si>
    <t>000212413</t>
  </si>
  <si>
    <t>kimchai@andrews.edu</t>
  </si>
  <si>
    <t>olariu@andrews.edu</t>
  </si>
  <si>
    <t>000116224</t>
  </si>
  <si>
    <t>petrisch@andrews.edu</t>
  </si>
  <si>
    <t>000116220</t>
  </si>
  <si>
    <t>ponyatov@andrews.edu</t>
  </si>
  <si>
    <t>000133197</t>
  </si>
  <si>
    <t>abelardo@andrews.edu</t>
  </si>
  <si>
    <t>000117063</t>
  </si>
  <si>
    <t>skinnerj@andrews.edu</t>
  </si>
  <si>
    <t>000042559</t>
  </si>
  <si>
    <t>younker@andrews.edu</t>
  </si>
  <si>
    <t>PATH</t>
  </si>
  <si>
    <t>000048877</t>
  </si>
  <si>
    <t>panderson@andrews.edu</t>
  </si>
  <si>
    <t>000164883</t>
  </si>
  <si>
    <t>bostonj@andrews.edu</t>
  </si>
  <si>
    <t>000137172</t>
  </si>
  <si>
    <t>erlo@andrews.edu</t>
  </si>
  <si>
    <t>000040389</t>
  </si>
  <si>
    <t>steve@andrews.edu</t>
  </si>
  <si>
    <t>000039066</t>
  </si>
  <si>
    <t>ceballom@andrews.edu</t>
  </si>
  <si>
    <t>000038918</t>
  </si>
  <si>
    <t>jgrys@andrews.edu</t>
  </si>
  <si>
    <t>000134376</t>
  </si>
  <si>
    <t>abrahamg@andrews.edu</t>
  </si>
  <si>
    <t>000031535</t>
  </si>
  <si>
    <t>evelynk@andrews.edu</t>
  </si>
  <si>
    <t>000073236</t>
  </si>
  <si>
    <t>kwons@andrews.edu</t>
  </si>
  <si>
    <t>000043873</t>
  </si>
  <si>
    <t>jledesma@andrews.edu</t>
  </si>
  <si>
    <t>000069917</t>
  </si>
  <si>
    <t>madding@andrews.edu</t>
  </si>
  <si>
    <t>000133509</t>
  </si>
  <si>
    <t>mata@andrews.edu</t>
  </si>
  <si>
    <t>000139876</t>
  </si>
  <si>
    <t>moralesx@andrews.edu</t>
  </si>
  <si>
    <t>000077975</t>
  </si>
  <si>
    <t>oudri@andrews.edu</t>
  </si>
  <si>
    <t>000041630</t>
  </si>
  <si>
    <t>parkja@andrews.edu</t>
  </si>
  <si>
    <t>000041639</t>
  </si>
  <si>
    <t>penno@andrews.edu</t>
  </si>
  <si>
    <t>000030856</t>
  </si>
  <si>
    <t>johnnyr@andrews.edu</t>
  </si>
  <si>
    <t>000046397</t>
  </si>
  <si>
    <t>saravia@andrews.edu</t>
  </si>
  <si>
    <t>000050631</t>
  </si>
  <si>
    <t>siroj@andrews.edu</t>
  </si>
  <si>
    <t>000051532</t>
  </si>
  <si>
    <t>taiwo@andrews.edu</t>
  </si>
  <si>
    <t>000133204</t>
  </si>
  <si>
    <t>trecarts@andrews.edu</t>
  </si>
  <si>
    <t>000120498</t>
  </si>
  <si>
    <t>tsui@andrews.edu</t>
  </si>
  <si>
    <t>000241606</t>
  </si>
  <si>
    <t>woodh@andrews.edu</t>
  </si>
  <si>
    <t>THCP</t>
  </si>
  <si>
    <t>000134154</t>
  </si>
  <si>
    <t>alexe@andrews.edu</t>
  </si>
  <si>
    <t>000193021</t>
  </si>
  <si>
    <t>bentancur@andrews.edu</t>
  </si>
  <si>
    <t>000033285</t>
  </si>
  <si>
    <t>canale@andrews.edu</t>
  </si>
  <si>
    <t>000012454</t>
  </si>
  <si>
    <t>jad@andrews.edu</t>
  </si>
  <si>
    <t>000214349</t>
  </si>
  <si>
    <t>dei@andrews.edu</t>
  </si>
  <si>
    <t>000043384</t>
  </si>
  <si>
    <t>drewa@andrews.edu</t>
  </si>
  <si>
    <t>000210558</t>
  </si>
  <si>
    <t>duranroyo@andrews.edu</t>
  </si>
  <si>
    <t>000043638</t>
  </si>
  <si>
    <t>fortind@andrews.edu</t>
  </si>
  <si>
    <t>000057080</t>
  </si>
  <si>
    <t>mhanna@andrews.edu</t>
  </si>
  <si>
    <t>000140394</t>
  </si>
  <si>
    <t>irizarry@andrews.edu</t>
  </si>
  <si>
    <t>000066942</t>
  </si>
  <si>
    <t>jeroncic@andrews.edu</t>
  </si>
  <si>
    <t>000018492</t>
  </si>
  <si>
    <t>jmoon@andrews.edu</t>
  </si>
  <si>
    <t>000116996</t>
  </si>
  <si>
    <t>jpeckham@andrews.edu</t>
  </si>
  <si>
    <t>000138600</t>
  </si>
  <si>
    <t>sciarabb@andrews.edu</t>
  </si>
  <si>
    <t>000065636</t>
  </si>
  <si>
    <t>eugenez@andrews.edu</t>
  </si>
  <si>
    <t>WMIS</t>
  </si>
  <si>
    <t>000003023</t>
  </si>
  <si>
    <t>bbauer@andrews.edu</t>
  </si>
  <si>
    <t>000074406</t>
  </si>
  <si>
    <t>cincala@andrews.edu</t>
  </si>
  <si>
    <t>000011280</t>
  </si>
  <si>
    <t>dossc@andrews.edu</t>
  </si>
  <si>
    <t>000159832</t>
  </si>
  <si>
    <t>duffisgordo@andrews.edu</t>
  </si>
  <si>
    <t>000069738</t>
  </si>
  <si>
    <t>dybdahlp@andrews.edu</t>
  </si>
  <si>
    <t>000229579</t>
  </si>
  <si>
    <t>youssry@andrews.edu</t>
  </si>
  <si>
    <t>000238878</t>
  </si>
  <si>
    <t>minhoj@andrews.edu</t>
  </si>
  <si>
    <t>000231151</t>
  </si>
  <si>
    <t>gkrause@andrews.edu</t>
  </si>
  <si>
    <t>000067555</t>
  </si>
  <si>
    <t>kuhn@andrews.edu</t>
  </si>
  <si>
    <t>000112386</t>
  </si>
  <si>
    <t>sergo@andrews.edu</t>
  </si>
  <si>
    <t>000144385</t>
  </si>
  <si>
    <t>profetadep@andrews.edu</t>
  </si>
  <si>
    <t>000122109</t>
  </si>
  <si>
    <t>tompkina@andrews.edu</t>
  </si>
  <si>
    <t>Summer</t>
  </si>
  <si>
    <t>Archaeology and the Bible</t>
  </si>
  <si>
    <t>Hist of the Ancient Near East</t>
  </si>
  <si>
    <t>Sem Arch &amp; Hist of Antiquity</t>
  </si>
  <si>
    <t>Bib. Lands &amp; Exploration</t>
  </si>
  <si>
    <t>Archaeological Field Work</t>
  </si>
  <si>
    <t>Independent Study</t>
  </si>
  <si>
    <t>Historical Geog Anc Near East</t>
  </si>
  <si>
    <t>Near Eastern Archaeology</t>
  </si>
  <si>
    <t>Adv Arch Field Work</t>
  </si>
  <si>
    <t>Directed Rdg in Hist&amp;Arch St</t>
  </si>
  <si>
    <t>Ind St:</t>
  </si>
  <si>
    <t>Sem Adv Arch&amp;Hist of Antiquity</t>
  </si>
  <si>
    <t>Survey of Church History</t>
  </si>
  <si>
    <t>Church History to 1500</t>
  </si>
  <si>
    <t>Church History 1500 to Present</t>
  </si>
  <si>
    <t>Hispanic-Amer Church History</t>
  </si>
  <si>
    <t>History of the SDA Church</t>
  </si>
  <si>
    <t>Life &amp; Writings of E. G. White</t>
  </si>
  <si>
    <t>Hist of SDA Theology</t>
  </si>
  <si>
    <t>The Early Church to AD 604</t>
  </si>
  <si>
    <t>Intro to Ecclesiastical Latin</t>
  </si>
  <si>
    <t>Rdgs in Ecclesiastical Latin</t>
  </si>
  <si>
    <t>Issues in Ellen G White Stdies</t>
  </si>
  <si>
    <t>Historcl Resrch&amp;Historiography</t>
  </si>
  <si>
    <t>Hist of Christian Spirituality</t>
  </si>
  <si>
    <t>Hist of GC, Cov, Law&amp;Sabbath</t>
  </si>
  <si>
    <t>Engl Reformatn &amp; Rise Puritnsm</t>
  </si>
  <si>
    <t>Sem Hst Select Christn Doct</t>
  </si>
  <si>
    <t>Hist of Relg in America</t>
  </si>
  <si>
    <t>Tch Adv Hist &amp; Life/Write EGW</t>
  </si>
  <si>
    <t>Development of SDA Lifestyle</t>
  </si>
  <si>
    <t>Development SDA Theology</t>
  </si>
  <si>
    <t>Hist of Sabbath &amp; Sunday</t>
  </si>
  <si>
    <t>Seminar in Church History</t>
  </si>
  <si>
    <t>The Pastor, Church &amp; Civil Law</t>
  </si>
  <si>
    <t>Studies in Church History</t>
  </si>
  <si>
    <t>History of Worship and Liturgy</t>
  </si>
  <si>
    <t>Topics in Church History:</t>
  </si>
  <si>
    <t>Topics in</t>
  </si>
  <si>
    <t>Directed Rdg in Church History</t>
  </si>
  <si>
    <t>Directed Rdg Adventist Studies</t>
  </si>
  <si>
    <t>Seminar in Church History:</t>
  </si>
  <si>
    <t>Seminar in Adventist Studies:</t>
  </si>
  <si>
    <t>Sem Development SDA Doctrines</t>
  </si>
  <si>
    <t>Biblical Preaching</t>
  </si>
  <si>
    <t>Intro to Chaplaincy Min</t>
  </si>
  <si>
    <t>Death &amp; Grief Contemp Society</t>
  </si>
  <si>
    <t>Topics in Ministry</t>
  </si>
  <si>
    <t>Worship:Word &amp; Music</t>
  </si>
  <si>
    <t>Conflict Management</t>
  </si>
  <si>
    <t>Personal Evangelistic Ministry</t>
  </si>
  <si>
    <t>Church Grwth&amp; Equipping Pastor</t>
  </si>
  <si>
    <t>Church Growth</t>
  </si>
  <si>
    <t>Christn Lead in a Chnging Wrld</t>
  </si>
  <si>
    <t>Marriage and Family</t>
  </si>
  <si>
    <t>Phil &amp; Ethics in Chaplaincy</t>
  </si>
  <si>
    <t>Prof Development Practicum</t>
  </si>
  <si>
    <t>Practicum Clin Pastoral Educ</t>
  </si>
  <si>
    <t>Adv Ministerial Development</t>
  </si>
  <si>
    <t>Field Evangelism</t>
  </si>
  <si>
    <t>Hist of Christian Worship Mus</t>
  </si>
  <si>
    <t>Mssn-Shaped Church Planting</t>
  </si>
  <si>
    <t>Practicum Military Chaplaincy</t>
  </si>
  <si>
    <t>Trauma&amp;Adv Crisis Intervention</t>
  </si>
  <si>
    <t>Hist &amp; Theo Adventist Worshp</t>
  </si>
  <si>
    <t>Field Practicum</t>
  </si>
  <si>
    <t>Ind Stdy:</t>
  </si>
  <si>
    <t>Transformational Leadership</t>
  </si>
  <si>
    <t>Leading Growth</t>
  </si>
  <si>
    <t>Directed Rdgs in Church Min</t>
  </si>
  <si>
    <t>Marriage, Fam&amp;Interprsnl Reltn</t>
  </si>
  <si>
    <t>Ministry to Youth&amp;Yng Adlt</t>
  </si>
  <si>
    <t>Fndtns of Biblicl Spirituality</t>
  </si>
  <si>
    <t>Discipling Young Adults</t>
  </si>
  <si>
    <t>Foundations in DSLE</t>
  </si>
  <si>
    <t>Philosphcl Foundtns for Prof</t>
  </si>
  <si>
    <t>Intergenerational Ministry</t>
  </si>
  <si>
    <t>Yth&amp;Yng Adlt in Contmp Culture</t>
  </si>
  <si>
    <t>Teaching for Discipleship</t>
  </si>
  <si>
    <t>Collaboratv Min:Schl,Chrch,Com</t>
  </si>
  <si>
    <t>CollabMin: Part in Disc&amp;Mssn</t>
  </si>
  <si>
    <t>Scholarly and Professional Dev</t>
  </si>
  <si>
    <t>Discipling At-Risk Youth</t>
  </si>
  <si>
    <t>Christian Persp on Prof Ethics</t>
  </si>
  <si>
    <t>Discipling Youth</t>
  </si>
  <si>
    <t>Foundtns of Biblical Counsel</t>
  </si>
  <si>
    <t>Personal &amp; Fam Finance</t>
  </si>
  <si>
    <t>Families in Society</t>
  </si>
  <si>
    <t>Counseling Youth &amp; Young Adult</t>
  </si>
  <si>
    <t>Social Policy</t>
  </si>
  <si>
    <t>Internal Dynamics of Families</t>
  </si>
  <si>
    <t>Human Sexuality</t>
  </si>
  <si>
    <t>Field Practicum: MAYYAM</t>
  </si>
  <si>
    <t>Wholistic Health &amp; Aging</t>
  </si>
  <si>
    <t>Advanced Campus Ministry</t>
  </si>
  <si>
    <t>Reaching the Secular Mind</t>
  </si>
  <si>
    <t>Ministry to Children</t>
  </si>
  <si>
    <t>Top:</t>
  </si>
  <si>
    <t>Ministry to Older Adults</t>
  </si>
  <si>
    <t>Spiritual Nurture of Children</t>
  </si>
  <si>
    <t>Parenting Educ &amp; Guidance</t>
  </si>
  <si>
    <t>Field Practicum:</t>
  </si>
  <si>
    <t>Field Practicum: Academic</t>
  </si>
  <si>
    <t>Thesis</t>
  </si>
  <si>
    <t>Theo&amp;Hist Perspectve Discplshp</t>
  </si>
  <si>
    <t>Cnstrcts of Corp Min Discpl</t>
  </si>
  <si>
    <t>Family Dynamics and Sexuality</t>
  </si>
  <si>
    <t>Family as Center for Dscplshp</t>
  </si>
  <si>
    <t>Adv Fostering Spiritual Growth</t>
  </si>
  <si>
    <t>Theologicl Found Christian Tch</t>
  </si>
  <si>
    <t>Adv Studies:</t>
  </si>
  <si>
    <t>Adv Scholarly &amp; Prof Dev</t>
  </si>
  <si>
    <t>PhD (DSLE) Prog Cont</t>
  </si>
  <si>
    <t>Applied Research</t>
  </si>
  <si>
    <t>Directed Reading:</t>
  </si>
  <si>
    <t>Seminar:</t>
  </si>
  <si>
    <t>Synth in Discipleship Life Ed</t>
  </si>
  <si>
    <t>Dissertation:Literature Review</t>
  </si>
  <si>
    <t>Doctoral Dissertation</t>
  </si>
  <si>
    <t>Foundations in Religious Educ</t>
  </si>
  <si>
    <t>Ministry to At-Risk Youth</t>
  </si>
  <si>
    <t>Field Practicum:MAYYAM</t>
  </si>
  <si>
    <t>Field Practicum:________</t>
  </si>
  <si>
    <t>PhD (Rel Education) Prog Cont</t>
  </si>
  <si>
    <t>Synthesis in Relg Education</t>
  </si>
  <si>
    <t>New Student Orientation</t>
  </si>
  <si>
    <t>Colloquium:</t>
  </si>
  <si>
    <t>Methods in Biblical &amp; Theo Res</t>
  </si>
  <si>
    <t>Doctrine of the Sanctuary</t>
  </si>
  <si>
    <t>In-Ministry Continuation</t>
  </si>
  <si>
    <t>Research Methods</t>
  </si>
  <si>
    <t>Workshop</t>
  </si>
  <si>
    <t>Guided Study Tour Bible Lands</t>
  </si>
  <si>
    <t>Church History Study Tour</t>
  </si>
  <si>
    <t>Masters Comprehensive Exam</t>
  </si>
  <si>
    <t>Gen Sem Top:</t>
  </si>
  <si>
    <t>Master's Degree Contin</t>
  </si>
  <si>
    <t>Research Project</t>
  </si>
  <si>
    <t>Thesis for MA Degree</t>
  </si>
  <si>
    <t>Spiritual&amp;Theo Found Ministry</t>
  </si>
  <si>
    <t>DMin Professional Portfolio</t>
  </si>
  <si>
    <t>DMin Prof Dissertation Cont</t>
  </si>
  <si>
    <t>DMin Prof Dissertation Sem</t>
  </si>
  <si>
    <t>DMin Research Methods Sem</t>
  </si>
  <si>
    <t>DMin Prof Dissertation</t>
  </si>
  <si>
    <t>PhD-ThD Colloquium</t>
  </si>
  <si>
    <t>PhD-ThD Diss Prop Prep</t>
  </si>
  <si>
    <t>PhD-ThD Diss Proposal Sem</t>
  </si>
  <si>
    <t>Teaching Religion in College</t>
  </si>
  <si>
    <t>Prep for Comprehensive Exams</t>
  </si>
  <si>
    <t>PhD-ThD Comp Exams</t>
  </si>
  <si>
    <t>Doctoral Degr Continuation</t>
  </si>
  <si>
    <t>Postdoctoral Research Project</t>
  </si>
  <si>
    <t>Bib &amp; Theo Hermeneutics</t>
  </si>
  <si>
    <t>Postdoctoral Seminar</t>
  </si>
  <si>
    <t>PhD-ThD Dissertation</t>
  </si>
  <si>
    <t>Christn Respns to Human Needs</t>
  </si>
  <si>
    <t>Mission in Cultrl&amp;Rlgs Contxt</t>
  </si>
  <si>
    <t>Christian Witness&amp;Wrld Relgns</t>
  </si>
  <si>
    <t>Mission to the Cities</t>
  </si>
  <si>
    <t>Cross-Cultural Ldshp Developmt</t>
  </si>
  <si>
    <t>Contemporary Iss in Mission</t>
  </si>
  <si>
    <t>Hist of Christian Mission</t>
  </si>
  <si>
    <t>Strategies World Mission</t>
  </si>
  <si>
    <t>Topics:</t>
  </si>
  <si>
    <t>Current Issues in Mission</t>
  </si>
  <si>
    <t>Bib Theo&amp;Spiritl Found Mssn</t>
  </si>
  <si>
    <t>Sem:</t>
  </si>
  <si>
    <t>The Church &amp; Social Issues</t>
  </si>
  <si>
    <t>Sem History of Mission</t>
  </si>
  <si>
    <t>Sem in Other Religions</t>
  </si>
  <si>
    <t>Mission Strategy &amp; Leadership</t>
  </si>
  <si>
    <t>Urban Context Mission/Ministry</t>
  </si>
  <si>
    <t>History of Mission</t>
  </si>
  <si>
    <t>Mission &amp; the Social Sciences</t>
  </si>
  <si>
    <t>Research Methods in Miss&amp;Min</t>
  </si>
  <si>
    <t>Research Design in Mission</t>
  </si>
  <si>
    <t>Disciplshp&amp;Worldvw Transfrmatn</t>
  </si>
  <si>
    <t>Mission Education &amp; Training</t>
  </si>
  <si>
    <t>Topics in:</t>
  </si>
  <si>
    <t>DIS Dissertation Continuation</t>
  </si>
  <si>
    <t>Directed Rdgs Mission Studies</t>
  </si>
  <si>
    <t>DIS Dissertation</t>
  </si>
  <si>
    <t>New Testament Backgrounds</t>
  </si>
  <si>
    <t>Intro to the New Testament</t>
  </si>
  <si>
    <t>Intro to Revelation</t>
  </si>
  <si>
    <t>Studies in Pauline Writings</t>
  </si>
  <si>
    <t>Studies in the Gospels</t>
  </si>
  <si>
    <t>Rdngs in Acts&amp;General Epistles</t>
  </si>
  <si>
    <t>Studies in Hebrews</t>
  </si>
  <si>
    <t>Readings in Revelation</t>
  </si>
  <si>
    <t>Beginning Greek</t>
  </si>
  <si>
    <t>Intermediate Greek</t>
  </si>
  <si>
    <t>Theo of the English NT:</t>
  </si>
  <si>
    <t>NT Textl Criticism&amp;Canon Form</t>
  </si>
  <si>
    <t>Adv Greek Grammar &amp; Syntax</t>
  </si>
  <si>
    <t>New Testament Archaeology</t>
  </si>
  <si>
    <t>The Holy Spirit in the NT</t>
  </si>
  <si>
    <t>Theology of Pauline Epistles</t>
  </si>
  <si>
    <t>Intertestamental Literature</t>
  </si>
  <si>
    <t>Hebrews</t>
  </si>
  <si>
    <t>Eschatology</t>
  </si>
  <si>
    <t>Revelation</t>
  </si>
  <si>
    <t>Gr Con, Cov, Law &amp; Sabbath</t>
  </si>
  <si>
    <t>Adv Studies Gospels:</t>
  </si>
  <si>
    <t>Adv Studies Pauline Wrtg:</t>
  </si>
  <si>
    <t>New Testament Ethics</t>
  </si>
  <si>
    <t>Greco-Roman World</t>
  </si>
  <si>
    <t>Judaism &amp; the New Testament</t>
  </si>
  <si>
    <t>Top in NT Backgrounds</t>
  </si>
  <si>
    <t>Directed Rdg in New Testament</t>
  </si>
  <si>
    <t>Ind. Study:</t>
  </si>
  <si>
    <t>Survey of the Old Testament</t>
  </si>
  <si>
    <t>Intro to Old Testmnt Theology</t>
  </si>
  <si>
    <t>Studies in Daniel (Engl)</t>
  </si>
  <si>
    <t>Biblical Hebrew I</t>
  </si>
  <si>
    <t>Biblical Hebrew II</t>
  </si>
  <si>
    <t>Studies in Prophets (Engl)</t>
  </si>
  <si>
    <t>Survey of the Pentateuch</t>
  </si>
  <si>
    <t>Stud in the Pentateuch (Engl)</t>
  </si>
  <si>
    <t>Gr Cntrvrsy, Cov, Law, Sabbath</t>
  </si>
  <si>
    <t>Ancient Near Eastern Lang</t>
  </si>
  <si>
    <t>Theology of the Old Testament</t>
  </si>
  <si>
    <t>Sem in Old Testament Theology</t>
  </si>
  <si>
    <t>Biblical Hebrew III</t>
  </si>
  <si>
    <t>Jewish Life &amp; Thought</t>
  </si>
  <si>
    <t>Meth OT Exegesis (Hebw)</t>
  </si>
  <si>
    <t>Studies in OT Exegesis</t>
  </si>
  <si>
    <t>Biblical Aramaic</t>
  </si>
  <si>
    <t>Sem Ancient Near Est Lang:</t>
  </si>
  <si>
    <t>Readings in the Septuagint</t>
  </si>
  <si>
    <t>Pentateuch (Hebrew)</t>
  </si>
  <si>
    <t>Historical Books (Hebrew)</t>
  </si>
  <si>
    <t>Psalms/Wisdom Lit (Hebrew)</t>
  </si>
  <si>
    <t>Daniel</t>
  </si>
  <si>
    <t>Minor Prophets</t>
  </si>
  <si>
    <t>Sem OT Exegesis</t>
  </si>
  <si>
    <t>Principles of Hermeneutics</t>
  </si>
  <si>
    <t>Major Prophets:</t>
  </si>
  <si>
    <t>Directed Rdg in Old Testmt</t>
  </si>
  <si>
    <t>Independent Study:</t>
  </si>
  <si>
    <t>Sem Adv OT Exegesis</t>
  </si>
  <si>
    <t>Sem in Biblical Theology</t>
  </si>
  <si>
    <t>Public Evangelism (Hispanic)</t>
  </si>
  <si>
    <t>Hisp/Amer Culture &amp; Challenges</t>
  </si>
  <si>
    <t>Bilingual Ministry</t>
  </si>
  <si>
    <t>Church Grwth&amp; Equipping Leader</t>
  </si>
  <si>
    <t>Foundatns of Pastoral Ministry</t>
  </si>
  <si>
    <t>Pastoral Counseling</t>
  </si>
  <si>
    <t>Pract Clinl Past Educ:</t>
  </si>
  <si>
    <t>Health&amp;Lifestyle Transformatn</t>
  </si>
  <si>
    <t>Seminary Chorus</t>
  </si>
  <si>
    <t>Preach. Biblical Prophecies</t>
  </si>
  <si>
    <t>Evangelistic Preaching</t>
  </si>
  <si>
    <t>Mobilizing for Evang Min</t>
  </si>
  <si>
    <t>Media Ministry</t>
  </si>
  <si>
    <t>Coaching for Mission</t>
  </si>
  <si>
    <t>Black Preaching</t>
  </si>
  <si>
    <t>Contextualized Preaching:</t>
  </si>
  <si>
    <t>Field Evang. Preach. &amp; Pract.</t>
  </si>
  <si>
    <t>Seminar in Preaching</t>
  </si>
  <si>
    <t>Evang Small Groups</t>
  </si>
  <si>
    <t>Mental Health &amp; Min:_________</t>
  </si>
  <si>
    <t>The Changing Church</t>
  </si>
  <si>
    <t>Adv Clin Pastoral Eductn</t>
  </si>
  <si>
    <t>Church Multiplication</t>
  </si>
  <si>
    <t>Building Syst &amp; Leading Mvmts</t>
  </si>
  <si>
    <t>Adv Ldshp Competencies</t>
  </si>
  <si>
    <t>Wholistic Healthcare Ministry</t>
  </si>
  <si>
    <t>Challenge 2nd&amp;3rd Generations</t>
  </si>
  <si>
    <t>Health Care Leadership</t>
  </si>
  <si>
    <t>Urban Church Leadership&amp;Mgmt</t>
  </si>
  <si>
    <t>Gender and Leadership</t>
  </si>
  <si>
    <t>Hear&amp;Respond God Thrgh Life</t>
  </si>
  <si>
    <t>Clinical Issues in Care&amp;Counsl</t>
  </si>
  <si>
    <t>Theory&amp;Rsrch in Chaplaincy</t>
  </si>
  <si>
    <t>Understanding Christian World</t>
  </si>
  <si>
    <t>Christian Theology I</t>
  </si>
  <si>
    <t>Christian Theology II</t>
  </si>
  <si>
    <t>Doctrine of Salvation</t>
  </si>
  <si>
    <t>Principles of Christian Ethics</t>
  </si>
  <si>
    <t>Grt Controversy, Cov, Law, Sab</t>
  </si>
  <si>
    <t>Rev, Insp &amp; Hermeneutics</t>
  </si>
  <si>
    <t>Doctrine of the Church</t>
  </si>
  <si>
    <t>Doctrine of God</t>
  </si>
  <si>
    <t>Principles&amp;Methods of Theology</t>
  </si>
  <si>
    <t>Contemp Adventst Theolgcl Iss</t>
  </si>
  <si>
    <t>Protestant Theologicl Heritage</t>
  </si>
  <si>
    <t>Modern Christian Theology</t>
  </si>
  <si>
    <t>Roman Catholic Life &amp; Thought</t>
  </si>
  <si>
    <t>Contemporary Theology</t>
  </si>
  <si>
    <t>History&amp;Theology of Ecumenism</t>
  </si>
  <si>
    <t>Ethics and the Good Life</t>
  </si>
  <si>
    <t>Christian Social Ethics</t>
  </si>
  <si>
    <t>Issues in Origins</t>
  </si>
  <si>
    <t>Biblical Eschatology</t>
  </si>
  <si>
    <t>Doctrine of the Holy Spirit</t>
  </si>
  <si>
    <t>Theological Ethics</t>
  </si>
  <si>
    <t>Human Nature &amp; Destiny</t>
  </si>
  <si>
    <t>Sem in Theological Issues:</t>
  </si>
  <si>
    <t>Sem in Historical Theology:</t>
  </si>
  <si>
    <t>History of Philosophy</t>
  </si>
  <si>
    <t>Science &amp; Religion</t>
  </si>
  <si>
    <t>Theology of E. G. White</t>
  </si>
  <si>
    <t>Sem in Phil, Theo &amp; Ethics:</t>
  </si>
  <si>
    <t>DirRdg Syst Theo:</t>
  </si>
  <si>
    <t>Directed Rdg Historical Theo</t>
  </si>
  <si>
    <t>Directed Rdg Christian Ethics</t>
  </si>
  <si>
    <t>Sem in Systematic Theology:</t>
  </si>
  <si>
    <r>
      <t xml:space="preserve">Totals: Example Professor
</t>
    </r>
    <r>
      <rPr>
        <sz val="12"/>
        <color theme="1"/>
        <rFont val="Arial"/>
        <family val="2"/>
      </rPr>
      <t>notes:</t>
    </r>
  </si>
  <si>
    <r>
      <t xml:space="preserve">Totals: Alain Coralie
</t>
    </r>
    <r>
      <rPr>
        <sz val="12"/>
        <color theme="1"/>
        <rFont val="Arial"/>
        <family val="2"/>
      </rPr>
      <t>notes:</t>
    </r>
  </si>
  <si>
    <r>
      <t xml:space="preserve">Totals: Natasha Richards
</t>
    </r>
    <r>
      <rPr>
        <sz val="12"/>
        <color theme="1"/>
        <rFont val="Arial"/>
        <family val="2"/>
      </rPr>
      <t>notes: team teaching for CPE; Caplaincy center; 25% load reduction</t>
    </r>
  </si>
  <si>
    <r>
      <t xml:space="preserve">Totals: Roy Gaton
</t>
    </r>
    <r>
      <rPr>
        <sz val="12"/>
        <color theme="1"/>
        <rFont val="Arial"/>
        <family val="2"/>
      </rPr>
      <t>notes: Pastoral Care; 25% load reduction</t>
    </r>
  </si>
  <si>
    <r>
      <t xml:space="preserve">Totals: Kenley Hall
</t>
    </r>
    <r>
      <rPr>
        <sz val="12"/>
        <color theme="1"/>
        <rFont val="Arial"/>
        <family val="2"/>
      </rPr>
      <t>notes: preach. Coor.; director homiletics</t>
    </r>
  </si>
  <si>
    <r>
      <t xml:space="preserve">Totals: Joseph Kidder
</t>
    </r>
    <r>
      <rPr>
        <sz val="12"/>
        <color theme="1"/>
        <rFont val="Arial"/>
        <family val="2"/>
      </rPr>
      <t>notes:</t>
    </r>
  </si>
  <si>
    <r>
      <t xml:space="preserve">Totals: Ricardo Norton
</t>
    </r>
    <r>
      <rPr>
        <sz val="12"/>
        <color theme="1"/>
        <rFont val="Arial"/>
        <family val="2"/>
      </rPr>
      <t>notes: director, hispanic institute; 25% load reduction</t>
    </r>
  </si>
  <si>
    <r>
      <t xml:space="preserve">Totals: Saff (Hyveth's position)
</t>
    </r>
    <r>
      <rPr>
        <sz val="12"/>
        <color theme="1"/>
        <rFont val="Arial"/>
        <family val="2"/>
      </rPr>
      <t>notes: director, Dmin, 25% load reduction</t>
    </r>
  </si>
  <si>
    <r>
      <t xml:space="preserve">Totals: David Williams
</t>
    </r>
    <r>
      <rPr>
        <sz val="12"/>
        <color theme="1"/>
        <rFont val="Arial"/>
        <family val="2"/>
      </rPr>
      <t>notes: worship coordinator; 25% load reduction</t>
    </r>
  </si>
  <si>
    <r>
      <t xml:space="preserve">Totals: Errol McLean
</t>
    </r>
    <r>
      <rPr>
        <sz val="12"/>
        <color theme="1"/>
        <rFont val="Arial"/>
        <family val="2"/>
      </rPr>
      <t>notes:</t>
    </r>
  </si>
  <si>
    <r>
      <t xml:space="preserve">Totals: Tim Madding
</t>
    </r>
    <r>
      <rPr>
        <sz val="12"/>
        <color theme="1"/>
        <rFont val="Arial"/>
        <family val="2"/>
      </rPr>
      <t>notes:</t>
    </r>
  </si>
  <si>
    <r>
      <t xml:space="preserve">Totals: Michael Lewis
</t>
    </r>
    <r>
      <rPr>
        <sz val="12"/>
        <color theme="1"/>
        <rFont val="Arial"/>
        <family val="2"/>
      </rPr>
      <t>notes:</t>
    </r>
  </si>
  <si>
    <r>
      <t xml:space="preserve">Totals: Eli Rojas
</t>
    </r>
    <r>
      <rPr>
        <sz val="12"/>
        <color theme="1"/>
        <rFont val="Arial"/>
        <family val="2"/>
      </rPr>
      <t>notes:</t>
    </r>
  </si>
  <si>
    <r>
      <t xml:space="preserve">Totals: Heather Crews
</t>
    </r>
    <r>
      <rPr>
        <sz val="12"/>
        <color theme="1"/>
        <rFont val="Arial"/>
        <family val="2"/>
      </rPr>
      <t>notes:</t>
    </r>
  </si>
  <si>
    <t>PATH554</t>
  </si>
  <si>
    <t>CPE</t>
  </si>
  <si>
    <t>PATH633</t>
  </si>
  <si>
    <t>Richards, Natasha</t>
  </si>
  <si>
    <t>Moral, Manuel</t>
  </si>
  <si>
    <t>Jones, Cliff</t>
  </si>
  <si>
    <t>Coralie, Alain</t>
  </si>
  <si>
    <t>Cuba</t>
  </si>
  <si>
    <t>Staff PATH</t>
  </si>
  <si>
    <t>Lewis, Michael</t>
  </si>
  <si>
    <t>Rojas, Eli</t>
  </si>
  <si>
    <t>Crews, Heather</t>
  </si>
  <si>
    <t>Off Campus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</si>
</sst>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#,##0"/>
    <numFmt numFmtId="165" formatCode="m/d/yy;@"/>
    <numFmt numFmtId="166" formatCode="mm/dd/yy;@"/>
    <numFmt numFmtId="167" formatCode="0.0"/>
  </numFmts>
  <fonts count="26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name val="Aptos Narrow"/>
    </font>
    <font>
      <b/>
      <sz val="12"/>
      <color theme="1"/>
      <name val="Arial"/>
      <family val="2"/>
    </font>
    <font>
      <b/>
      <sz val="12"/>
      <name val="Arial"/>
      <family val="2"/>
    </font>
    <font>
      <sz val="12"/>
      <color theme="1"/>
      <name val="Arial"/>
      <family val="2"/>
    </font>
    <font>
      <u/>
      <sz val="12"/>
      <color theme="10"/>
      <name val="Arial"/>
      <family val="2"/>
    </font>
    <font>
      <sz val="12"/>
      <name val="Arial"/>
      <family val="2"/>
    </font>
    <font>
      <sz val="12"/>
      <color rgb="FFFF0000"/>
      <name val="Arial"/>
      <family val="2"/>
    </font>
    <font>
      <i/>
      <sz val="12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i/>
      <sz val="10"/>
      <color theme="1"/>
      <name val="Arial"/>
      <family val="2"/>
    </font>
    <font>
      <sz val="12"/>
      <color theme="1"/>
      <name val="Aptos Narrow"/>
    </font>
    <font>
      <sz val="12"/>
      <color rgb="FF000000"/>
      <name val="Aptos Narrow"/>
    </font>
    <font>
      <sz val="10"/>
      <color rgb="FF000000"/>
      <name val="Arial"/>
      <family val="2"/>
    </font>
    <font>
      <sz val="12"/>
      <color theme="1"/>
      <name val="Aptos Narrow (Body)"/>
    </font>
    <font>
      <b/>
      <sz val="10"/>
      <color theme="1"/>
      <name val="Arial"/>
      <family val="2"/>
    </font>
    <font>
      <b/>
      <sz val="10"/>
      <color rgb="FFFF0000"/>
      <name val="Arial"/>
      <family val="2"/>
    </font>
    <font>
      <b/>
      <sz val="12"/>
      <color rgb="FFFF0000"/>
      <name val="Arial"/>
      <family val="2"/>
    </font>
    <font>
      <sz val="12"/>
      <color rgb="FF000000"/>
      <name val="Aptos Narrow"/>
      <scheme val="minor"/>
    </font>
    <font>
      <sz val="8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5" tint="0.79998168889431442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10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9.9978637043366805E-2"/>
        <bgColor indexed="10"/>
      </patternFill>
    </fill>
    <fill>
      <patternFill patternType="solid">
        <fgColor rgb="FFF6B26B"/>
        <bgColor indexed="64"/>
      </patternFill>
    </fill>
    <fill>
      <patternFill patternType="solid">
        <fgColor rgb="FF93C47D"/>
        <bgColor indexed="64"/>
      </patternFill>
    </fill>
    <fill>
      <patternFill patternType="solid">
        <fgColor rgb="FFA4C2F4"/>
        <bgColor indexed="64"/>
      </patternFill>
    </fill>
    <fill>
      <patternFill patternType="solid">
        <fgColor theme="8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" fillId="2" borderId="0"/>
    <xf numFmtId="0" fontId="2" fillId="0" borderId="0"/>
    <xf numFmtId="0" fontId="3" fillId="0" borderId="0"/>
  </cellStyleXfs>
  <cellXfs count="161">
    <xf numFmtId="0" fontId="0" fillId="0" borderId="0" xfId="0"/>
    <xf numFmtId="0" fontId="4" fillId="3" borderId="1" xfId="0" applyFont="1" applyFill="1" applyBorder="1" applyAlignment="1" applyProtection="1">
      <alignment horizont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3" fillId="0" borderId="0" xfId="3"/>
    <xf numFmtId="0" fontId="13" fillId="5" borderId="1" xfId="0" applyFont="1" applyFill="1" applyBorder="1" applyAlignment="1" applyProtection="1">
      <alignment horizontal="left"/>
      <protection locked="0"/>
    </xf>
    <xf numFmtId="0" fontId="14" fillId="5" borderId="1" xfId="0" applyFont="1" applyFill="1" applyBorder="1" applyAlignment="1" applyProtection="1">
      <alignment horizontal="left"/>
      <protection locked="0"/>
    </xf>
    <xf numFmtId="0" fontId="15" fillId="5" borderId="1" xfId="0" applyFont="1" applyFill="1" applyBorder="1" applyAlignment="1" applyProtection="1">
      <alignment horizontal="left"/>
      <protection locked="0"/>
    </xf>
    <xf numFmtId="0" fontId="13" fillId="0" borderId="1" xfId="0" applyFont="1" applyBorder="1" applyAlignment="1" applyProtection="1">
      <alignment horizontal="left"/>
      <protection locked="0"/>
    </xf>
    <xf numFmtId="0" fontId="14" fillId="0" borderId="1" xfId="0" applyFont="1" applyBorder="1" applyAlignment="1" applyProtection="1">
      <alignment horizontal="left"/>
      <protection locked="0"/>
    </xf>
    <xf numFmtId="49" fontId="13" fillId="5" borderId="1" xfId="2" applyNumberFormat="1" applyFont="1" applyFill="1" applyBorder="1" applyAlignment="1" applyProtection="1">
      <alignment horizontal="left"/>
      <protection locked="0"/>
    </xf>
    <xf numFmtId="49" fontId="16" fillId="5" borderId="1" xfId="2" applyNumberFormat="1" applyFont="1" applyFill="1" applyBorder="1" applyAlignment="1" applyProtection="1">
      <alignment horizontal="left"/>
      <protection locked="0"/>
    </xf>
    <xf numFmtId="49" fontId="13" fillId="0" borderId="1" xfId="2" applyNumberFormat="1" applyFont="1" applyBorder="1" applyAlignment="1" applyProtection="1">
      <alignment horizontal="left"/>
      <protection locked="0"/>
    </xf>
    <xf numFmtId="49" fontId="14" fillId="0" borderId="1" xfId="0" applyNumberFormat="1" applyFont="1" applyBorder="1" applyAlignment="1" applyProtection="1">
      <alignment horizontal="left"/>
      <protection locked="0"/>
    </xf>
    <xf numFmtId="49" fontId="13" fillId="0" borderId="1" xfId="0" applyNumberFormat="1" applyFont="1" applyBorder="1" applyAlignment="1" applyProtection="1">
      <alignment horizontal="left"/>
      <protection locked="0"/>
    </xf>
    <xf numFmtId="49" fontId="14" fillId="5" borderId="1" xfId="0" applyNumberFormat="1" applyFont="1" applyFill="1" applyBorder="1" applyAlignment="1" applyProtection="1">
      <alignment horizontal="left"/>
      <protection locked="0"/>
    </xf>
    <xf numFmtId="49" fontId="15" fillId="5" borderId="1" xfId="0" applyNumberFormat="1" applyFont="1" applyFill="1" applyBorder="1" applyAlignment="1" applyProtection="1">
      <alignment horizontal="left"/>
      <protection locked="0"/>
    </xf>
    <xf numFmtId="49" fontId="13" fillId="5" borderId="1" xfId="0" applyNumberFormat="1" applyFont="1" applyFill="1" applyBorder="1" applyAlignment="1" applyProtection="1">
      <alignment horizontal="left"/>
      <protection locked="0"/>
    </xf>
    <xf numFmtId="0" fontId="17" fillId="0" borderId="0" xfId="0" applyFont="1"/>
    <xf numFmtId="0" fontId="18" fillId="0" borderId="0" xfId="0" applyFont="1"/>
    <xf numFmtId="49" fontId="19" fillId="0" borderId="4" xfId="0" applyNumberFormat="1" applyFont="1" applyBorder="1" applyAlignment="1" applyProtection="1">
      <alignment horizontal="left"/>
      <protection locked="0"/>
    </xf>
    <xf numFmtId="49" fontId="14" fillId="0" borderId="5" xfId="0" applyNumberFormat="1" applyFont="1" applyBorder="1" applyAlignment="1" applyProtection="1">
      <alignment horizontal="left"/>
      <protection locked="0"/>
    </xf>
    <xf numFmtId="49" fontId="14" fillId="0" borderId="3" xfId="0" applyNumberFormat="1" applyFont="1" applyBorder="1" applyAlignment="1" applyProtection="1">
      <alignment horizontal="left"/>
      <protection locked="0"/>
    </xf>
    <xf numFmtId="0" fontId="13" fillId="5" borderId="1" xfId="0" applyFont="1" applyFill="1" applyBorder="1" applyAlignment="1">
      <alignment horizontal="left"/>
    </xf>
    <xf numFmtId="0" fontId="13" fillId="8" borderId="1" xfId="0" applyFont="1" applyFill="1" applyBorder="1" applyAlignment="1" applyProtection="1">
      <alignment horizontal="left"/>
      <protection locked="0"/>
    </xf>
    <xf numFmtId="0" fontId="6" fillId="3" borderId="1" xfId="0" applyFont="1" applyFill="1" applyBorder="1" applyAlignment="1" applyProtection="1">
      <alignment horizontal="left"/>
      <protection locked="0"/>
    </xf>
    <xf numFmtId="1" fontId="6" fillId="6" borderId="1" xfId="0" applyNumberFormat="1" applyFont="1" applyFill="1" applyBorder="1" applyAlignment="1" applyProtection="1">
      <alignment horizontal="left"/>
      <protection locked="0"/>
    </xf>
    <xf numFmtId="0" fontId="8" fillId="0" borderId="1" xfId="0" applyFont="1" applyBorder="1" applyAlignment="1">
      <alignment horizontal="left"/>
    </xf>
    <xf numFmtId="164" fontId="13" fillId="5" borderId="1" xfId="0" applyNumberFormat="1" applyFont="1" applyFill="1" applyBorder="1" applyAlignment="1" applyProtection="1">
      <alignment horizontal="left"/>
      <protection locked="0"/>
    </xf>
    <xf numFmtId="165" fontId="19" fillId="0" borderId="4" xfId="0" applyNumberFormat="1" applyFont="1" applyBorder="1" applyAlignment="1" applyProtection="1">
      <alignment horizontal="left"/>
      <protection locked="0"/>
    </xf>
    <xf numFmtId="164" fontId="14" fillId="5" borderId="1" xfId="0" applyNumberFormat="1" applyFont="1" applyFill="1" applyBorder="1" applyAlignment="1" applyProtection="1">
      <alignment horizontal="left"/>
      <protection locked="0"/>
    </xf>
    <xf numFmtId="0" fontId="19" fillId="0" borderId="4" xfId="0" applyFont="1" applyBorder="1" applyAlignment="1" applyProtection="1">
      <alignment horizontal="left"/>
      <protection locked="0"/>
    </xf>
    <xf numFmtId="164" fontId="19" fillId="0" borderId="4" xfId="0" applyNumberFormat="1" applyFont="1" applyBorder="1" applyAlignment="1" applyProtection="1">
      <alignment horizontal="left"/>
      <protection locked="0"/>
    </xf>
    <xf numFmtId="165" fontId="14" fillId="0" borderId="5" xfId="0" applyNumberFormat="1" applyFont="1" applyBorder="1" applyAlignment="1" applyProtection="1">
      <alignment horizontal="left"/>
      <protection locked="0"/>
    </xf>
    <xf numFmtId="0" fontId="19" fillId="0" borderId="5" xfId="0" applyFont="1" applyBorder="1" applyAlignment="1" applyProtection="1">
      <alignment horizontal="left"/>
      <protection locked="0"/>
    </xf>
    <xf numFmtId="164" fontId="19" fillId="0" borderId="5" xfId="0" applyNumberFormat="1" applyFont="1" applyBorder="1" applyAlignment="1" applyProtection="1">
      <alignment horizontal="left"/>
      <protection locked="0"/>
    </xf>
    <xf numFmtId="164" fontId="14" fillId="0" borderId="5" xfId="0" applyNumberFormat="1" applyFont="1" applyBorder="1" applyAlignment="1" applyProtection="1">
      <alignment horizontal="left"/>
      <protection locked="0"/>
    </xf>
    <xf numFmtId="165" fontId="14" fillId="7" borderId="5" xfId="0" applyNumberFormat="1" applyFont="1" applyFill="1" applyBorder="1" applyAlignment="1" applyProtection="1">
      <alignment horizontal="left"/>
      <protection locked="0"/>
    </xf>
    <xf numFmtId="164" fontId="13" fillId="0" borderId="1" xfId="0" applyNumberFormat="1" applyFont="1" applyBorder="1" applyAlignment="1" applyProtection="1">
      <alignment horizontal="left"/>
      <protection locked="0"/>
    </xf>
    <xf numFmtId="165" fontId="13" fillId="0" borderId="1" xfId="0" applyNumberFormat="1" applyFont="1" applyBorder="1" applyAlignment="1" applyProtection="1">
      <alignment horizontal="left"/>
      <protection locked="0"/>
    </xf>
    <xf numFmtId="0" fontId="13" fillId="0" borderId="1" xfId="0" applyFont="1" applyBorder="1" applyAlignment="1">
      <alignment horizontal="left"/>
    </xf>
    <xf numFmtId="165" fontId="14" fillId="0" borderId="1" xfId="0" applyNumberFormat="1" applyFont="1" applyBorder="1" applyAlignment="1" applyProtection="1">
      <alignment horizontal="left"/>
      <protection locked="0"/>
    </xf>
    <xf numFmtId="164" fontId="14" fillId="0" borderId="1" xfId="0" applyNumberFormat="1" applyFont="1" applyBorder="1" applyAlignment="1" applyProtection="1">
      <alignment horizontal="left"/>
      <protection locked="0"/>
    </xf>
    <xf numFmtId="165" fontId="14" fillId="5" borderId="1" xfId="0" applyNumberFormat="1" applyFont="1" applyFill="1" applyBorder="1" applyAlignment="1" applyProtection="1">
      <alignment horizontal="left"/>
      <protection locked="0"/>
    </xf>
    <xf numFmtId="0" fontId="8" fillId="0" borderId="1" xfId="0" applyFont="1" applyBorder="1" applyAlignment="1" applyProtection="1">
      <alignment horizontal="left"/>
      <protection locked="0"/>
    </xf>
    <xf numFmtId="49" fontId="8" fillId="0" borderId="1" xfId="2" applyNumberFormat="1" applyFont="1" applyBorder="1" applyAlignment="1" applyProtection="1">
      <alignment horizontal="left"/>
      <protection locked="0"/>
    </xf>
    <xf numFmtId="0" fontId="14" fillId="4" borderId="1" xfId="1" applyFont="1" applyFill="1" applyBorder="1" applyAlignment="1" applyProtection="1">
      <alignment horizontal="left"/>
      <protection locked="0"/>
    </xf>
    <xf numFmtId="0" fontId="14" fillId="5" borderId="1" xfId="1" applyFont="1" applyFill="1" applyBorder="1" applyAlignment="1" applyProtection="1">
      <alignment horizontal="left"/>
      <protection locked="0"/>
    </xf>
    <xf numFmtId="49" fontId="14" fillId="5" borderId="1" xfId="1" applyNumberFormat="1" applyFont="1" applyFill="1" applyBorder="1" applyAlignment="1" applyProtection="1">
      <alignment horizontal="left"/>
      <protection locked="0"/>
    </xf>
    <xf numFmtId="49" fontId="14" fillId="4" borderId="1" xfId="1" applyNumberFormat="1" applyFont="1" applyFill="1" applyBorder="1" applyAlignment="1" applyProtection="1">
      <alignment horizontal="left"/>
      <protection locked="0"/>
    </xf>
    <xf numFmtId="49" fontId="14" fillId="0" borderId="1" xfId="1" applyNumberFormat="1" applyFont="1" applyFill="1" applyBorder="1" applyAlignment="1" applyProtection="1">
      <alignment horizontal="left"/>
      <protection locked="0"/>
    </xf>
    <xf numFmtId="49" fontId="8" fillId="0" borderId="1" xfId="0" applyNumberFormat="1" applyFont="1" applyBorder="1" applyAlignment="1" applyProtection="1">
      <alignment horizontal="left"/>
      <protection locked="0"/>
    </xf>
    <xf numFmtId="49" fontId="14" fillId="0" borderId="4" xfId="0" applyNumberFormat="1" applyFont="1" applyBorder="1" applyAlignment="1" applyProtection="1">
      <alignment horizontal="left"/>
      <protection locked="0"/>
    </xf>
    <xf numFmtId="49" fontId="5" fillId="0" borderId="0" xfId="0" applyNumberFormat="1" applyFont="1"/>
    <xf numFmtId="0" fontId="5" fillId="0" borderId="0" xfId="0" applyFont="1"/>
    <xf numFmtId="0" fontId="20" fillId="0" borderId="0" xfId="0" applyFont="1"/>
    <xf numFmtId="1" fontId="17" fillId="0" borderId="0" xfId="0" applyNumberFormat="1" applyFont="1"/>
    <xf numFmtId="164" fontId="17" fillId="0" borderId="0" xfId="0" applyNumberFormat="1" applyFont="1"/>
    <xf numFmtId="49" fontId="17" fillId="0" borderId="0" xfId="0" applyNumberFormat="1" applyFont="1"/>
    <xf numFmtId="0" fontId="14" fillId="8" borderId="1" xfId="0" applyFont="1" applyFill="1" applyBorder="1" applyAlignment="1">
      <alignment horizontal="left"/>
    </xf>
    <xf numFmtId="0" fontId="14" fillId="8" borderId="4" xfId="0" applyFont="1" applyFill="1" applyBorder="1" applyAlignment="1">
      <alignment horizontal="left"/>
    </xf>
    <xf numFmtId="164" fontId="13" fillId="8" borderId="1" xfId="0" applyNumberFormat="1" applyFont="1" applyFill="1" applyBorder="1" applyAlignment="1">
      <alignment horizontal="left"/>
    </xf>
    <xf numFmtId="0" fontId="14" fillId="9" borderId="1" xfId="1" applyFont="1" applyFill="1" applyBorder="1" applyAlignment="1">
      <alignment horizontal="left"/>
    </xf>
    <xf numFmtId="0" fontId="6" fillId="10" borderId="1" xfId="0" applyFont="1" applyFill="1" applyBorder="1" applyAlignment="1" applyProtection="1">
      <alignment horizontal="left"/>
      <protection locked="0"/>
    </xf>
    <xf numFmtId="0" fontId="6" fillId="10" borderId="1" xfId="0" applyFont="1" applyFill="1" applyBorder="1" applyAlignment="1">
      <alignment horizontal="left"/>
    </xf>
    <xf numFmtId="49" fontId="6" fillId="10" borderId="1" xfId="0" applyNumberFormat="1" applyFont="1" applyFill="1" applyBorder="1" applyAlignment="1" applyProtection="1">
      <alignment horizontal="left"/>
      <protection locked="0"/>
    </xf>
    <xf numFmtId="0" fontId="7" fillId="10" borderId="1" xfId="0" applyFont="1" applyFill="1" applyBorder="1" applyAlignment="1" applyProtection="1">
      <alignment horizontal="left"/>
      <protection locked="0"/>
    </xf>
    <xf numFmtId="1" fontId="7" fillId="10" borderId="1" xfId="0" applyNumberFormat="1" applyFont="1" applyFill="1" applyBorder="1" applyAlignment="1" applyProtection="1">
      <alignment horizontal="left"/>
      <protection locked="0"/>
    </xf>
    <xf numFmtId="164" fontId="7" fillId="10" borderId="1" xfId="0" applyNumberFormat="1" applyFont="1" applyFill="1" applyBorder="1" applyAlignment="1" applyProtection="1">
      <alignment horizontal="left"/>
      <protection locked="0"/>
    </xf>
    <xf numFmtId="164" fontId="7" fillId="10" borderId="1" xfId="0" applyNumberFormat="1" applyFont="1" applyFill="1" applyBorder="1" applyAlignment="1">
      <alignment horizontal="left"/>
    </xf>
    <xf numFmtId="166" fontId="6" fillId="10" borderId="1" xfId="0" applyNumberFormat="1" applyFont="1" applyFill="1" applyBorder="1" applyAlignment="1" applyProtection="1">
      <alignment horizontal="left"/>
      <protection locked="0"/>
    </xf>
    <xf numFmtId="49" fontId="6" fillId="10" borderId="1" xfId="0" applyNumberFormat="1" applyFont="1" applyFill="1" applyBorder="1" applyAlignment="1">
      <alignment horizontal="left"/>
    </xf>
    <xf numFmtId="1" fontId="6" fillId="10" borderId="1" xfId="0" applyNumberFormat="1" applyFont="1" applyFill="1" applyBorder="1" applyAlignment="1">
      <alignment horizontal="left"/>
    </xf>
    <xf numFmtId="1" fontId="6" fillId="10" borderId="1" xfId="0" applyNumberFormat="1" applyFont="1" applyFill="1" applyBorder="1" applyAlignment="1" applyProtection="1">
      <alignment horizontal="left"/>
      <protection locked="0"/>
    </xf>
    <xf numFmtId="49" fontId="6" fillId="11" borderId="1" xfId="0" applyNumberFormat="1" applyFont="1" applyFill="1" applyBorder="1" applyAlignment="1" applyProtection="1">
      <alignment horizontal="left"/>
      <protection locked="0"/>
    </xf>
    <xf numFmtId="0" fontId="6" fillId="11" borderId="1" xfId="0" applyFont="1" applyFill="1" applyBorder="1" applyAlignment="1">
      <alignment horizontal="left"/>
    </xf>
    <xf numFmtId="1" fontId="7" fillId="11" borderId="1" xfId="0" applyNumberFormat="1" applyFont="1" applyFill="1" applyBorder="1" applyAlignment="1" applyProtection="1">
      <alignment horizontal="left"/>
      <protection locked="0"/>
    </xf>
    <xf numFmtId="164" fontId="6" fillId="11" borderId="1" xfId="0" applyNumberFormat="1" applyFont="1" applyFill="1" applyBorder="1" applyAlignment="1" applyProtection="1">
      <alignment horizontal="left"/>
      <protection locked="0"/>
    </xf>
    <xf numFmtId="164" fontId="6" fillId="11" borderId="1" xfId="0" applyNumberFormat="1" applyFont="1" applyFill="1" applyBorder="1" applyAlignment="1">
      <alignment horizontal="left"/>
    </xf>
    <xf numFmtId="165" fontId="6" fillId="11" borderId="1" xfId="0" applyNumberFormat="1" applyFont="1" applyFill="1" applyBorder="1" applyAlignment="1" applyProtection="1">
      <alignment horizontal="left"/>
      <protection locked="0"/>
    </xf>
    <xf numFmtId="49" fontId="6" fillId="11" borderId="1" xfId="0" applyNumberFormat="1" applyFont="1" applyFill="1" applyBorder="1" applyAlignment="1">
      <alignment horizontal="left"/>
    </xf>
    <xf numFmtId="1" fontId="6" fillId="11" borderId="1" xfId="0" applyNumberFormat="1" applyFont="1" applyFill="1" applyBorder="1" applyAlignment="1">
      <alignment horizontal="left"/>
    </xf>
    <xf numFmtId="49" fontId="6" fillId="12" borderId="1" xfId="0" applyNumberFormat="1" applyFont="1" applyFill="1" applyBorder="1" applyAlignment="1" applyProtection="1">
      <alignment horizontal="left"/>
      <protection locked="0"/>
    </xf>
    <xf numFmtId="0" fontId="6" fillId="12" borderId="1" xfId="0" applyFont="1" applyFill="1" applyBorder="1" applyAlignment="1" applyProtection="1">
      <alignment horizontal="left"/>
      <protection locked="0"/>
    </xf>
    <xf numFmtId="0" fontId="7" fillId="12" borderId="1" xfId="0" applyFont="1" applyFill="1" applyBorder="1" applyAlignment="1" applyProtection="1">
      <alignment horizontal="left"/>
      <protection locked="0"/>
    </xf>
    <xf numFmtId="164" fontId="7" fillId="12" borderId="1" xfId="0" applyNumberFormat="1" applyFont="1" applyFill="1" applyBorder="1" applyAlignment="1" applyProtection="1">
      <alignment horizontal="left"/>
      <protection locked="0"/>
    </xf>
    <xf numFmtId="1" fontId="7" fillId="12" borderId="1" xfId="0" applyNumberFormat="1" applyFont="1" applyFill="1" applyBorder="1" applyAlignment="1" applyProtection="1">
      <alignment horizontal="left"/>
      <protection locked="0"/>
    </xf>
    <xf numFmtId="164" fontId="7" fillId="12" borderId="1" xfId="0" applyNumberFormat="1" applyFont="1" applyFill="1" applyBorder="1" applyAlignment="1">
      <alignment horizontal="left"/>
    </xf>
    <xf numFmtId="165" fontId="7" fillId="12" borderId="1" xfId="0" applyNumberFormat="1" applyFont="1" applyFill="1" applyBorder="1" applyAlignment="1" applyProtection="1">
      <alignment horizontal="left"/>
      <protection locked="0"/>
    </xf>
    <xf numFmtId="0" fontId="7" fillId="12" borderId="1" xfId="0" applyFont="1" applyFill="1" applyBorder="1" applyAlignment="1">
      <alignment horizontal="left"/>
    </xf>
    <xf numFmtId="49" fontId="7" fillId="12" borderId="1" xfId="0" applyNumberFormat="1" applyFont="1" applyFill="1" applyBorder="1" applyAlignment="1" applyProtection="1">
      <alignment horizontal="left"/>
      <protection locked="0"/>
    </xf>
    <xf numFmtId="1" fontId="6" fillId="12" borderId="1" xfId="0" applyNumberFormat="1" applyFont="1" applyFill="1" applyBorder="1" applyAlignment="1">
      <alignment horizontal="left"/>
    </xf>
    <xf numFmtId="0" fontId="13" fillId="13" borderId="1" xfId="3" applyFont="1" applyFill="1" applyBorder="1" applyAlignment="1">
      <alignment horizontal="left"/>
    </xf>
    <xf numFmtId="0" fontId="6" fillId="13" borderId="1" xfId="0" applyFont="1" applyFill="1" applyBorder="1" applyAlignment="1" applyProtection="1">
      <alignment horizontal="left"/>
      <protection locked="0"/>
    </xf>
    <xf numFmtId="1" fontId="22" fillId="13" borderId="1" xfId="0" applyNumberFormat="1" applyFont="1" applyFill="1" applyBorder="1" applyAlignment="1">
      <alignment horizontal="right"/>
    </xf>
    <xf numFmtId="0" fontId="9" fillId="13" borderId="1" xfId="3" applyFont="1" applyFill="1" applyBorder="1" applyAlignment="1" applyProtection="1">
      <alignment horizontal="left"/>
      <protection locked="0"/>
    </xf>
    <xf numFmtId="0" fontId="6" fillId="13" borderId="1" xfId="0" applyFont="1" applyFill="1" applyBorder="1" applyAlignment="1">
      <alignment horizontal="left"/>
    </xf>
    <xf numFmtId="49" fontId="8" fillId="13" borderId="1" xfId="2" applyNumberFormat="1" applyFont="1" applyFill="1" applyBorder="1" applyAlignment="1" applyProtection="1">
      <alignment horizontal="left"/>
      <protection locked="0"/>
    </xf>
    <xf numFmtId="0" fontId="7" fillId="13" borderId="1" xfId="0" applyFont="1" applyFill="1" applyBorder="1" applyAlignment="1" applyProtection="1">
      <alignment horizontal="left"/>
      <protection locked="0"/>
    </xf>
    <xf numFmtId="164" fontId="7" fillId="13" borderId="1" xfId="0" applyNumberFormat="1" applyFont="1" applyFill="1" applyBorder="1" applyAlignment="1" applyProtection="1">
      <alignment horizontal="left"/>
      <protection locked="0"/>
    </xf>
    <xf numFmtId="164" fontId="7" fillId="13" borderId="1" xfId="0" applyNumberFormat="1" applyFont="1" applyFill="1" applyBorder="1" applyAlignment="1">
      <alignment horizontal="left"/>
    </xf>
    <xf numFmtId="166" fontId="10" fillId="13" borderId="1" xfId="2" applyNumberFormat="1" applyFont="1" applyFill="1" applyBorder="1" applyAlignment="1" applyProtection="1">
      <alignment horizontal="left"/>
      <protection locked="0"/>
    </xf>
    <xf numFmtId="49" fontId="10" fillId="13" borderId="1" xfId="2" applyNumberFormat="1" applyFont="1" applyFill="1" applyBorder="1" applyAlignment="1">
      <alignment horizontal="left"/>
    </xf>
    <xf numFmtId="49" fontId="10" fillId="13" borderId="1" xfId="2" applyNumberFormat="1" applyFont="1" applyFill="1" applyBorder="1" applyAlignment="1" applyProtection="1">
      <alignment horizontal="left"/>
      <protection locked="0"/>
    </xf>
    <xf numFmtId="1" fontId="10" fillId="13" borderId="1" xfId="2" applyNumberFormat="1" applyFont="1" applyFill="1" applyBorder="1" applyAlignment="1">
      <alignment horizontal="left"/>
    </xf>
    <xf numFmtId="1" fontId="10" fillId="13" borderId="1" xfId="2" applyNumberFormat="1" applyFont="1" applyFill="1" applyBorder="1" applyAlignment="1" applyProtection="1">
      <alignment horizontal="left"/>
      <protection locked="0"/>
    </xf>
    <xf numFmtId="49" fontId="6" fillId="13" borderId="1" xfId="0" applyNumberFormat="1" applyFont="1" applyFill="1" applyBorder="1" applyAlignment="1" applyProtection="1">
      <alignment horizontal="left"/>
      <protection locked="0"/>
    </xf>
    <xf numFmtId="164" fontId="6" fillId="13" borderId="1" xfId="0" applyNumberFormat="1" applyFont="1" applyFill="1" applyBorder="1" applyAlignment="1" applyProtection="1">
      <alignment horizontal="left"/>
      <protection locked="0"/>
    </xf>
    <xf numFmtId="164" fontId="6" fillId="13" borderId="1" xfId="0" applyNumberFormat="1" applyFont="1" applyFill="1" applyBorder="1" applyAlignment="1">
      <alignment horizontal="left"/>
    </xf>
    <xf numFmtId="165" fontId="6" fillId="13" borderId="1" xfId="0" applyNumberFormat="1" applyFont="1" applyFill="1" applyBorder="1" applyAlignment="1" applyProtection="1">
      <alignment horizontal="left"/>
      <protection locked="0"/>
    </xf>
    <xf numFmtId="49" fontId="6" fillId="13" borderId="1" xfId="0" applyNumberFormat="1" applyFont="1" applyFill="1" applyBorder="1" applyAlignment="1">
      <alignment horizontal="left"/>
    </xf>
    <xf numFmtId="165" fontId="7" fillId="13" borderId="1" xfId="0" applyNumberFormat="1" applyFont="1" applyFill="1" applyBorder="1" applyAlignment="1" applyProtection="1">
      <alignment horizontal="left"/>
      <protection locked="0"/>
    </xf>
    <xf numFmtId="0" fontId="7" fillId="13" borderId="1" xfId="0" applyFont="1" applyFill="1" applyBorder="1" applyAlignment="1">
      <alignment horizontal="left"/>
    </xf>
    <xf numFmtId="49" fontId="7" fillId="13" borderId="1" xfId="0" applyNumberFormat="1" applyFont="1" applyFill="1" applyBorder="1" applyAlignment="1" applyProtection="1">
      <alignment horizontal="left"/>
      <protection locked="0"/>
    </xf>
    <xf numFmtId="0" fontId="8" fillId="13" borderId="1" xfId="0" applyFont="1" applyFill="1" applyBorder="1" applyAlignment="1">
      <alignment horizontal="left"/>
    </xf>
    <xf numFmtId="0" fontId="8" fillId="13" borderId="1" xfId="0" applyFont="1" applyFill="1" applyBorder="1" applyAlignment="1" applyProtection="1">
      <alignment horizontal="left"/>
      <protection locked="0"/>
    </xf>
    <xf numFmtId="0" fontId="10" fillId="13" borderId="1" xfId="0" applyFont="1" applyFill="1" applyBorder="1" applyAlignment="1" applyProtection="1">
      <alignment horizontal="left"/>
      <protection locked="0"/>
    </xf>
    <xf numFmtId="0" fontId="10" fillId="13" borderId="1" xfId="0" applyFont="1" applyFill="1" applyBorder="1" applyAlignment="1">
      <alignment horizontal="left"/>
    </xf>
    <xf numFmtId="164" fontId="10" fillId="13" borderId="1" xfId="0" applyNumberFormat="1" applyFont="1" applyFill="1" applyBorder="1" applyAlignment="1" applyProtection="1">
      <alignment horizontal="left"/>
      <protection locked="0"/>
    </xf>
    <xf numFmtId="164" fontId="10" fillId="13" borderId="1" xfId="0" applyNumberFormat="1" applyFont="1" applyFill="1" applyBorder="1" applyAlignment="1">
      <alignment horizontal="left"/>
    </xf>
    <xf numFmtId="49" fontId="11" fillId="13" borderId="1" xfId="0" applyNumberFormat="1" applyFont="1" applyFill="1" applyBorder="1" applyAlignment="1" applyProtection="1">
      <alignment horizontal="left"/>
      <protection locked="0"/>
    </xf>
    <xf numFmtId="0" fontId="11" fillId="13" borderId="1" xfId="0" applyFont="1" applyFill="1" applyBorder="1" applyAlignment="1">
      <alignment horizontal="left"/>
    </xf>
    <xf numFmtId="164" fontId="8" fillId="13" borderId="1" xfId="0" applyNumberFormat="1" applyFont="1" applyFill="1" applyBorder="1" applyAlignment="1" applyProtection="1">
      <alignment horizontal="left"/>
      <protection locked="0"/>
    </xf>
    <xf numFmtId="164" fontId="8" fillId="13" borderId="1" xfId="0" applyNumberFormat="1" applyFont="1" applyFill="1" applyBorder="1" applyAlignment="1">
      <alignment horizontal="left"/>
    </xf>
    <xf numFmtId="165" fontId="8" fillId="13" borderId="1" xfId="0" applyNumberFormat="1" applyFont="1" applyFill="1" applyBorder="1" applyAlignment="1" applyProtection="1">
      <alignment horizontal="left"/>
      <protection locked="0"/>
    </xf>
    <xf numFmtId="49" fontId="8" fillId="13" borderId="1" xfId="0" applyNumberFormat="1" applyFont="1" applyFill="1" applyBorder="1" applyAlignment="1">
      <alignment horizontal="left"/>
    </xf>
    <xf numFmtId="49" fontId="8" fillId="13" borderId="1" xfId="0" applyNumberFormat="1" applyFont="1" applyFill="1" applyBorder="1" applyAlignment="1" applyProtection="1">
      <alignment horizontal="left"/>
      <protection locked="0"/>
    </xf>
    <xf numFmtId="0" fontId="12" fillId="13" borderId="1" xfId="0" applyFont="1" applyFill="1" applyBorder="1" applyAlignment="1" applyProtection="1">
      <alignment horizontal="left"/>
      <protection locked="0"/>
    </xf>
    <xf numFmtId="0" fontId="12" fillId="13" borderId="1" xfId="0" applyFont="1" applyFill="1" applyBorder="1" applyAlignment="1">
      <alignment horizontal="left"/>
    </xf>
    <xf numFmtId="49" fontId="12" fillId="13" borderId="1" xfId="0" applyNumberFormat="1" applyFont="1" applyFill="1" applyBorder="1" applyAlignment="1" applyProtection="1">
      <alignment horizontal="left"/>
      <protection locked="0"/>
    </xf>
    <xf numFmtId="164" fontId="12" fillId="13" borderId="1" xfId="0" applyNumberFormat="1" applyFont="1" applyFill="1" applyBorder="1" applyAlignment="1" applyProtection="1">
      <alignment horizontal="left"/>
      <protection locked="0"/>
    </xf>
    <xf numFmtId="164" fontId="12" fillId="13" borderId="1" xfId="0" applyNumberFormat="1" applyFont="1" applyFill="1" applyBorder="1" applyAlignment="1">
      <alignment horizontal="left"/>
    </xf>
    <xf numFmtId="165" fontId="12" fillId="13" borderId="1" xfId="0" applyNumberFormat="1" applyFont="1" applyFill="1" applyBorder="1" applyAlignment="1" applyProtection="1">
      <alignment horizontal="left"/>
      <protection locked="0"/>
    </xf>
    <xf numFmtId="49" fontId="12" fillId="13" borderId="1" xfId="0" applyNumberFormat="1" applyFont="1" applyFill="1" applyBorder="1" applyAlignment="1">
      <alignment horizontal="left"/>
    </xf>
    <xf numFmtId="49" fontId="6" fillId="13" borderId="1" xfId="2" applyNumberFormat="1" applyFont="1" applyFill="1" applyBorder="1" applyAlignment="1" applyProtection="1">
      <alignment horizontal="left"/>
      <protection locked="0"/>
    </xf>
    <xf numFmtId="166" fontId="6" fillId="13" borderId="1" xfId="2" applyNumberFormat="1" applyFont="1" applyFill="1" applyBorder="1" applyAlignment="1" applyProtection="1">
      <alignment horizontal="left"/>
      <protection locked="0"/>
    </xf>
    <xf numFmtId="49" fontId="6" fillId="13" borderId="1" xfId="2" applyNumberFormat="1" applyFont="1" applyFill="1" applyBorder="1" applyAlignment="1">
      <alignment horizontal="left"/>
    </xf>
    <xf numFmtId="1" fontId="6" fillId="13" borderId="1" xfId="2" applyNumberFormat="1" applyFont="1" applyFill="1" applyBorder="1" applyAlignment="1">
      <alignment horizontal="left"/>
    </xf>
    <xf numFmtId="1" fontId="6" fillId="13" borderId="1" xfId="2" applyNumberFormat="1" applyFont="1" applyFill="1" applyBorder="1" applyAlignment="1" applyProtection="1">
      <alignment horizontal="left"/>
      <protection locked="0"/>
    </xf>
    <xf numFmtId="0" fontId="21" fillId="13" borderId="1" xfId="3" applyFont="1" applyFill="1" applyBorder="1" applyAlignment="1">
      <alignment horizontal="left"/>
    </xf>
    <xf numFmtId="0" fontId="24" fillId="0" borderId="0" xfId="0" applyFont="1"/>
    <xf numFmtId="164" fontId="24" fillId="0" borderId="0" xfId="0" applyNumberFormat="1" applyFont="1"/>
    <xf numFmtId="1" fontId="24" fillId="0" borderId="0" xfId="0" applyNumberFormat="1" applyFont="1"/>
    <xf numFmtId="167" fontId="7" fillId="10" borderId="1" xfId="0" applyNumberFormat="1" applyFont="1" applyFill="1" applyBorder="1" applyAlignment="1" applyProtection="1">
      <alignment horizontal="left"/>
      <protection locked="0"/>
    </xf>
    <xf numFmtId="167" fontId="23" fillId="13" borderId="1" xfId="0" applyNumberFormat="1" applyFont="1" applyFill="1" applyBorder="1" applyAlignment="1">
      <alignment horizontal="left"/>
    </xf>
    <xf numFmtId="167" fontId="13" fillId="5" borderId="1" xfId="0" applyNumberFormat="1" applyFont="1" applyFill="1" applyBorder="1" applyAlignment="1" applyProtection="1">
      <alignment horizontal="left"/>
      <protection locked="0"/>
    </xf>
    <xf numFmtId="167" fontId="14" fillId="5" borderId="1" xfId="0" applyNumberFormat="1" applyFont="1" applyFill="1" applyBorder="1" applyAlignment="1" applyProtection="1">
      <alignment horizontal="left"/>
      <protection locked="0"/>
    </xf>
    <xf numFmtId="167" fontId="13" fillId="0" borderId="1" xfId="0" applyNumberFormat="1" applyFont="1" applyBorder="1" applyAlignment="1" applyProtection="1">
      <alignment horizontal="left"/>
      <protection locked="0"/>
    </xf>
    <xf numFmtId="167" fontId="0" fillId="0" borderId="0" xfId="0" applyNumberFormat="1"/>
    <xf numFmtId="167" fontId="7" fillId="11" borderId="1" xfId="0" applyNumberFormat="1" applyFont="1" applyFill="1" applyBorder="1" applyAlignment="1" applyProtection="1">
      <alignment horizontal="left"/>
      <protection locked="0"/>
    </xf>
    <xf numFmtId="167" fontId="7" fillId="12" borderId="1" xfId="0" applyNumberFormat="1" applyFont="1" applyFill="1" applyBorder="1" applyAlignment="1" applyProtection="1">
      <alignment horizontal="left"/>
      <protection locked="0"/>
    </xf>
    <xf numFmtId="167" fontId="6" fillId="6" borderId="1" xfId="0" applyNumberFormat="1" applyFont="1" applyFill="1" applyBorder="1" applyAlignment="1" applyProtection="1">
      <alignment horizontal="left"/>
      <protection locked="0"/>
    </xf>
    <xf numFmtId="167" fontId="14" fillId="0" borderId="1" xfId="0" applyNumberFormat="1" applyFont="1" applyBorder="1" applyAlignment="1" applyProtection="1">
      <alignment horizontal="left"/>
      <protection locked="0"/>
    </xf>
    <xf numFmtId="167" fontId="8" fillId="0" borderId="1" xfId="0" applyNumberFormat="1" applyFont="1" applyBorder="1" applyAlignment="1">
      <alignment horizontal="left"/>
    </xf>
    <xf numFmtId="0" fontId="6" fillId="13" borderId="1" xfId="0" applyFont="1" applyFill="1" applyBorder="1" applyAlignment="1" applyProtection="1">
      <alignment horizontal="left" wrapText="1"/>
      <protection locked="0"/>
    </xf>
    <xf numFmtId="0" fontId="14" fillId="0" borderId="1" xfId="1" applyFont="1" applyFill="1" applyBorder="1" applyAlignment="1">
      <alignment horizontal="left"/>
    </xf>
    <xf numFmtId="167" fontId="13" fillId="3" borderId="1" xfId="0" applyNumberFormat="1" applyFont="1" applyFill="1" applyBorder="1" applyAlignment="1" applyProtection="1">
      <alignment horizontal="left"/>
      <protection locked="0"/>
    </xf>
    <xf numFmtId="0" fontId="14" fillId="3" borderId="1" xfId="0" applyFont="1" applyFill="1" applyBorder="1" applyAlignment="1" applyProtection="1">
      <alignment horizontal="left"/>
      <protection locked="0"/>
    </xf>
    <xf numFmtId="49" fontId="13" fillId="3" borderId="1" xfId="0" applyNumberFormat="1" applyFont="1" applyFill="1" applyBorder="1" applyAlignment="1" applyProtection="1">
      <alignment horizontal="left"/>
      <protection locked="0"/>
    </xf>
    <xf numFmtId="0" fontId="13" fillId="3" borderId="1" xfId="0" applyFont="1" applyFill="1" applyBorder="1" applyAlignment="1">
      <alignment horizontal="left"/>
    </xf>
    <xf numFmtId="49" fontId="14" fillId="3" borderId="5" xfId="0" applyNumberFormat="1" applyFont="1" applyFill="1" applyBorder="1" applyAlignment="1" applyProtection="1">
      <alignment horizontal="left"/>
      <protection locked="0"/>
    </xf>
    <xf numFmtId="49" fontId="14" fillId="3" borderId="1" xfId="0" applyNumberFormat="1" applyFont="1" applyFill="1" applyBorder="1" applyAlignment="1" applyProtection="1">
      <alignment horizontal="left"/>
      <protection locked="0"/>
    </xf>
  </cellXfs>
  <cellStyles count="4">
    <cellStyle name="20% - Accent2" xfId="1" builtinId="34"/>
    <cellStyle name="Hyperlink" xfId="3" builtinId="8"/>
    <cellStyle name="Normal" xfId="0" builtinId="0"/>
    <cellStyle name="Normal 2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olariu@andrews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applyStyles="1" summaryRight="0"/>
  </sheetPr>
  <dimension ref="A1:FT272"/>
  <sheetViews>
    <sheetView tabSelected="1" zoomScale="91" zoomScaleNormal="100" workbookViewId="0">
      <pane xSplit="1" ySplit="2" topLeftCell="BL106" activePane="bottomRight" state="frozen"/>
      <selection pane="topRight" activeCell="B1" sqref="B1"/>
      <selection pane="bottomLeft" activeCell="A3" sqref="A3"/>
      <selection pane="bottomRight" activeCell="BY152" sqref="BY152"/>
    </sheetView>
  </sheetViews>
  <sheetFormatPr baseColWidth="10" defaultColWidth="8.83203125" defaultRowHeight="16" outlineLevelCol="1"/>
  <cols>
    <col min="1" max="1" width="28.5" style="26" bestFit="1" customWidth="1"/>
    <col min="2" max="2" width="13.5" style="26" customWidth="1" outlineLevel="1"/>
    <col min="3" max="3" width="17.1640625" style="26" customWidth="1" outlineLevel="1"/>
    <col min="4" max="4" width="13" style="26" customWidth="1" outlineLevel="1"/>
    <col min="5" max="5" width="9.6640625" style="26" customWidth="1" outlineLevel="1"/>
    <col min="6" max="6" width="25.1640625" style="26" customWidth="1" outlineLevel="1"/>
    <col min="7" max="7" width="23.1640625" style="26" customWidth="1" outlineLevel="1"/>
    <col min="8" max="8" width="20.5" style="26" customWidth="1" outlineLevel="1"/>
    <col min="9" max="9" width="15.5" style="26" customWidth="1" outlineLevel="1"/>
    <col min="10" max="10" width="21.83203125" style="26" customWidth="1" outlineLevel="1"/>
    <col min="11" max="11" width="19.6640625" style="26" customWidth="1" outlineLevel="1"/>
    <col min="12" max="12" width="24.83203125" style="43" bestFit="1" customWidth="1"/>
    <col min="13" max="13" width="18.33203125" style="43" bestFit="1" customWidth="1"/>
    <col min="14" max="14" width="15.5" style="26" bestFit="1" customWidth="1"/>
    <col min="15" max="15" width="15.5" style="26" customWidth="1"/>
    <col min="16" max="18" width="10.33203125" style="44" customWidth="1" outlineLevel="1"/>
    <col min="19" max="19" width="8.83203125" style="44" bestFit="1" customWidth="1" outlineLevel="1"/>
    <col min="20" max="20" width="12" style="44" bestFit="1" customWidth="1" outlineLevel="1"/>
    <col min="21" max="21" width="15.6640625" style="44" bestFit="1" customWidth="1" outlineLevel="1"/>
    <col min="22" max="22" width="16.1640625" style="44" bestFit="1" customWidth="1" outlineLevel="1"/>
    <col min="23" max="23" width="14.83203125" style="44" bestFit="1" customWidth="1" outlineLevel="1"/>
    <col min="24" max="24" width="6.5" style="147" bestFit="1" customWidth="1"/>
    <col min="25" max="25" width="17.1640625" bestFit="1" customWidth="1" outlineLevel="1"/>
    <col min="26" max="26" width="24.33203125" bestFit="1" customWidth="1" outlineLevel="1"/>
    <col min="27" max="27" width="14.1640625" bestFit="1" customWidth="1" outlineLevel="1"/>
    <col min="28" max="28" width="12.33203125" bestFit="1" customWidth="1" outlineLevel="1"/>
    <col min="29" max="29" width="24" bestFit="1" customWidth="1" outlineLevel="1"/>
    <col min="30" max="30" width="22.83203125" bestFit="1" customWidth="1" outlineLevel="1"/>
    <col min="31" max="31" width="23" bestFit="1" customWidth="1" outlineLevel="1"/>
    <col min="32" max="32" width="24" bestFit="1" customWidth="1" outlineLevel="1"/>
    <col min="33" max="33" width="25" bestFit="1" customWidth="1" outlineLevel="1"/>
    <col min="34" max="34" width="24.1640625" bestFit="1" customWidth="1" outlineLevel="1"/>
    <col min="35" max="35" width="23" bestFit="1" customWidth="1" outlineLevel="1"/>
    <col min="36" max="36" width="23.1640625" bestFit="1" customWidth="1" outlineLevel="1"/>
    <col min="37" max="37" width="24.1640625" bestFit="1" customWidth="1" outlineLevel="1"/>
    <col min="38" max="38" width="25.1640625" bestFit="1" customWidth="1" outlineLevel="1"/>
    <col min="39" max="39" width="25" bestFit="1" customWidth="1" outlineLevel="1"/>
    <col min="40" max="40" width="24" bestFit="1" customWidth="1" outlineLevel="1"/>
    <col min="41" max="41" width="24.1640625" bestFit="1" customWidth="1" outlineLevel="1"/>
    <col min="42" max="42" width="25" bestFit="1" customWidth="1" outlineLevel="1"/>
    <col min="43" max="43" width="26" bestFit="1" customWidth="1" outlineLevel="1"/>
    <col min="44" max="44" width="28" bestFit="1" customWidth="1" outlineLevel="1"/>
    <col min="45" max="45" width="22.5" bestFit="1" customWidth="1" outlineLevel="1"/>
    <col min="46" max="46" width="19.83203125" style="50" bestFit="1" customWidth="1"/>
    <col min="47" max="47" width="18.33203125" style="50" bestFit="1" customWidth="1"/>
    <col min="48" max="48" width="15.5" style="26" bestFit="1" customWidth="1"/>
    <col min="49" max="49" width="15.5" style="26" customWidth="1"/>
    <col min="50" max="50" width="8.83203125" style="50" bestFit="1" customWidth="1" outlineLevel="1"/>
    <col min="51" max="51" width="12" style="50" bestFit="1" customWidth="1" outlineLevel="1"/>
    <col min="52" max="52" width="11.83203125" style="50" bestFit="1" customWidth="1" outlineLevel="1"/>
    <col min="53" max="53" width="16.1640625" style="50" bestFit="1" customWidth="1" outlineLevel="1"/>
    <col min="54" max="54" width="14.83203125" style="50" bestFit="1" customWidth="1" outlineLevel="1"/>
    <col min="55" max="55" width="6.5" style="147" bestFit="1" customWidth="1"/>
    <col min="56" max="56" width="17.1640625" bestFit="1" customWidth="1" outlineLevel="1"/>
    <col min="57" max="57" width="24.33203125" bestFit="1" customWidth="1" outlineLevel="1"/>
    <col min="58" max="58" width="14.1640625" bestFit="1" customWidth="1" outlineLevel="1"/>
    <col min="59" max="59" width="12.33203125" bestFit="1" customWidth="1" outlineLevel="1"/>
    <col min="60" max="60" width="24" bestFit="1" customWidth="1" outlineLevel="1"/>
    <col min="61" max="61" width="22.83203125" bestFit="1" customWidth="1" outlineLevel="1"/>
    <col min="62" max="62" width="23" bestFit="1" customWidth="1" outlineLevel="1"/>
    <col min="63" max="63" width="24" bestFit="1" customWidth="1" outlineLevel="1"/>
    <col min="64" max="64" width="25" bestFit="1" customWidth="1" outlineLevel="1"/>
    <col min="65" max="65" width="24.1640625" bestFit="1" customWidth="1" outlineLevel="1"/>
    <col min="66" max="66" width="23" bestFit="1" customWidth="1" outlineLevel="1"/>
    <col min="67" max="67" width="23.1640625" bestFit="1" customWidth="1" outlineLevel="1"/>
    <col min="68" max="68" width="24.1640625" bestFit="1" customWidth="1" outlineLevel="1"/>
    <col min="69" max="69" width="25.1640625" bestFit="1" customWidth="1" outlineLevel="1"/>
    <col min="70" max="70" width="25" bestFit="1" customWidth="1" outlineLevel="1"/>
    <col min="71" max="71" width="24" bestFit="1" customWidth="1" outlineLevel="1"/>
    <col min="72" max="72" width="24.1640625" bestFit="1" customWidth="1" outlineLevel="1"/>
    <col min="73" max="73" width="25" bestFit="1" customWidth="1" outlineLevel="1"/>
    <col min="74" max="74" width="26" bestFit="1" customWidth="1" outlineLevel="1"/>
    <col min="75" max="75" width="28" bestFit="1" customWidth="1" outlineLevel="1"/>
    <col min="76" max="76" width="22.5" bestFit="1" customWidth="1" outlineLevel="1"/>
    <col min="77" max="77" width="22.6640625" style="50" bestFit="1" customWidth="1"/>
    <col min="78" max="78" width="18.33203125" style="50" bestFit="1" customWidth="1"/>
    <col min="79" max="79" width="15.5" style="43" bestFit="1" customWidth="1"/>
    <col min="80" max="80" width="15.5" style="43" customWidth="1"/>
    <col min="81" max="81" width="8.83203125" style="50" customWidth="1" outlineLevel="1"/>
    <col min="82" max="82" width="12" style="50" bestFit="1" customWidth="1" outlineLevel="1"/>
    <col min="83" max="83" width="11.83203125" style="50" bestFit="1" customWidth="1" outlineLevel="1"/>
    <col min="84" max="84" width="16.1640625" style="50" bestFit="1" customWidth="1" outlineLevel="1"/>
    <col min="85" max="85" width="14.83203125" style="50" bestFit="1" customWidth="1" outlineLevel="1"/>
    <col min="86" max="86" width="6.5" style="147" bestFit="1" customWidth="1"/>
    <col min="87" max="87" width="17.1640625" bestFit="1" customWidth="1" outlineLevel="1"/>
    <col min="88" max="88" width="24.33203125" bestFit="1" customWidth="1" outlineLevel="1"/>
    <col min="89" max="89" width="14.1640625" bestFit="1" customWidth="1" outlineLevel="1"/>
    <col min="90" max="90" width="12.33203125" bestFit="1" customWidth="1" outlineLevel="1"/>
    <col min="91" max="91" width="24" bestFit="1" customWidth="1" outlineLevel="1"/>
    <col min="92" max="92" width="22.83203125" bestFit="1" customWidth="1" outlineLevel="1"/>
    <col min="93" max="93" width="23" bestFit="1" customWidth="1" outlineLevel="1"/>
    <col min="94" max="94" width="24" bestFit="1" customWidth="1" outlineLevel="1"/>
    <col min="95" max="95" width="25" bestFit="1" customWidth="1" outlineLevel="1"/>
    <col min="96" max="96" width="24.1640625" bestFit="1" customWidth="1" outlineLevel="1"/>
    <col min="97" max="97" width="23" bestFit="1" customWidth="1" outlineLevel="1"/>
    <col min="98" max="98" width="23.1640625" bestFit="1" customWidth="1" outlineLevel="1"/>
    <col min="99" max="99" width="24.1640625" bestFit="1" customWidth="1" outlineLevel="1"/>
    <col min="100" max="100" width="25.1640625" bestFit="1" customWidth="1" outlineLevel="1"/>
    <col min="101" max="101" width="25" bestFit="1" customWidth="1" outlineLevel="1"/>
    <col min="102" max="102" width="24" bestFit="1" customWidth="1" outlineLevel="1"/>
    <col min="103" max="103" width="24.1640625" bestFit="1" customWidth="1" outlineLevel="1"/>
    <col min="104" max="104" width="25" bestFit="1" customWidth="1" outlineLevel="1"/>
    <col min="105" max="105" width="26" bestFit="1" customWidth="1" outlineLevel="1"/>
    <col min="106" max="106" width="28" bestFit="1" customWidth="1" outlineLevel="1"/>
    <col min="107" max="107" width="22.5" bestFit="1" customWidth="1" outlineLevel="1"/>
    <col min="108" max="108" width="11.6640625" style="152" bestFit="1" customWidth="1"/>
    <col min="109" max="109" width="8" style="91" bestFit="1" customWidth="1"/>
    <col min="110" max="138" width="8.83203125" style="26" customWidth="1"/>
    <col min="139" max="16384" width="8.83203125" style="26"/>
  </cols>
  <sheetData>
    <row r="1" spans="1:176">
      <c r="A1" s="24" t="s">
        <v>0</v>
      </c>
      <c r="B1" s="24" t="s">
        <v>1</v>
      </c>
      <c r="C1" s="24" t="s">
        <v>2</v>
      </c>
      <c r="D1" s="24" t="s">
        <v>3</v>
      </c>
      <c r="E1" s="24" t="s">
        <v>4</v>
      </c>
      <c r="F1" s="24" t="s">
        <v>5</v>
      </c>
      <c r="G1" s="24" t="s">
        <v>6</v>
      </c>
      <c r="H1" s="24" t="s">
        <v>7</v>
      </c>
      <c r="I1" s="24" t="s">
        <v>8</v>
      </c>
      <c r="J1" s="24" t="s">
        <v>9</v>
      </c>
      <c r="K1" s="24" t="s">
        <v>10</v>
      </c>
      <c r="L1" s="62" t="s">
        <v>11</v>
      </c>
      <c r="M1" s="62" t="s">
        <v>12</v>
      </c>
      <c r="N1" s="63" t="s">
        <v>13</v>
      </c>
      <c r="O1" s="63" t="s">
        <v>14</v>
      </c>
      <c r="P1" s="64" t="s">
        <v>15</v>
      </c>
      <c r="Q1" s="64" t="s">
        <v>16</v>
      </c>
      <c r="R1" s="64" t="s">
        <v>17</v>
      </c>
      <c r="S1" s="62" t="s">
        <v>18</v>
      </c>
      <c r="T1" s="62" t="s">
        <v>19</v>
      </c>
      <c r="U1" s="62" t="s">
        <v>20</v>
      </c>
      <c r="V1" s="65" t="s">
        <v>21</v>
      </c>
      <c r="W1" s="65" t="s">
        <v>22</v>
      </c>
      <c r="X1" s="142" t="s">
        <v>23</v>
      </c>
      <c r="Y1" s="67" t="s">
        <v>24</v>
      </c>
      <c r="Z1" s="68" t="s">
        <v>25</v>
      </c>
      <c r="AA1" s="69" t="s">
        <v>26</v>
      </c>
      <c r="AB1" s="69" t="s">
        <v>27</v>
      </c>
      <c r="AC1" s="69" t="s">
        <v>28</v>
      </c>
      <c r="AD1" s="69" t="s">
        <v>29</v>
      </c>
      <c r="AE1" s="70" t="s">
        <v>30</v>
      </c>
      <c r="AF1" s="64" t="s">
        <v>31</v>
      </c>
      <c r="AG1" s="70" t="s">
        <v>32</v>
      </c>
      <c r="AH1" s="69" t="s">
        <v>33</v>
      </c>
      <c r="AI1" s="69" t="s">
        <v>34</v>
      </c>
      <c r="AJ1" s="70" t="s">
        <v>35</v>
      </c>
      <c r="AK1" s="64" t="s">
        <v>36</v>
      </c>
      <c r="AL1" s="70" t="s">
        <v>37</v>
      </c>
      <c r="AM1" s="69" t="s">
        <v>38</v>
      </c>
      <c r="AN1" s="69" t="s">
        <v>39</v>
      </c>
      <c r="AO1" s="71" t="s">
        <v>40</v>
      </c>
      <c r="AP1" s="71" t="s">
        <v>41</v>
      </c>
      <c r="AQ1" s="71" t="s">
        <v>42</v>
      </c>
      <c r="AR1" s="71" t="s">
        <v>43</v>
      </c>
      <c r="AS1" s="72" t="s">
        <v>44</v>
      </c>
      <c r="AT1" s="73" t="s">
        <v>45</v>
      </c>
      <c r="AU1" s="73" t="s">
        <v>12</v>
      </c>
      <c r="AV1" s="74" t="s">
        <v>13</v>
      </c>
      <c r="AW1" s="74" t="s">
        <v>14</v>
      </c>
      <c r="AX1" s="73" t="s">
        <v>18</v>
      </c>
      <c r="AY1" s="73" t="s">
        <v>19</v>
      </c>
      <c r="AZ1" s="73" t="s">
        <v>20</v>
      </c>
      <c r="BA1" s="73" t="s">
        <v>21</v>
      </c>
      <c r="BB1" s="73" t="s">
        <v>22</v>
      </c>
      <c r="BC1" s="148" t="s">
        <v>23</v>
      </c>
      <c r="BD1" s="76" t="s">
        <v>24</v>
      </c>
      <c r="BE1" s="77" t="s">
        <v>25</v>
      </c>
      <c r="BF1" s="78" t="s">
        <v>26</v>
      </c>
      <c r="BG1" s="78" t="s">
        <v>27</v>
      </c>
      <c r="BH1" s="78" t="s">
        <v>28</v>
      </c>
      <c r="BI1" s="78" t="s">
        <v>29</v>
      </c>
      <c r="BJ1" s="79" t="s">
        <v>30</v>
      </c>
      <c r="BK1" s="73" t="s">
        <v>31</v>
      </c>
      <c r="BL1" s="79" t="s">
        <v>32</v>
      </c>
      <c r="BM1" s="78" t="s">
        <v>33</v>
      </c>
      <c r="BN1" s="78" t="s">
        <v>34</v>
      </c>
      <c r="BO1" s="79" t="s">
        <v>35</v>
      </c>
      <c r="BP1" s="73" t="s">
        <v>36</v>
      </c>
      <c r="BQ1" s="79" t="s">
        <v>37</v>
      </c>
      <c r="BR1" s="78" t="s">
        <v>38</v>
      </c>
      <c r="BS1" s="78" t="s">
        <v>39</v>
      </c>
      <c r="BT1" s="79" t="s">
        <v>40</v>
      </c>
      <c r="BU1" s="79" t="s">
        <v>41</v>
      </c>
      <c r="BV1" s="79" t="s">
        <v>42</v>
      </c>
      <c r="BW1" s="80" t="s">
        <v>43</v>
      </c>
      <c r="BX1" s="73" t="s">
        <v>44</v>
      </c>
      <c r="BY1" s="81" t="s">
        <v>46</v>
      </c>
      <c r="BZ1" s="81" t="s">
        <v>12</v>
      </c>
      <c r="CA1" s="82" t="s">
        <v>13</v>
      </c>
      <c r="CB1" s="82" t="s">
        <v>14</v>
      </c>
      <c r="CC1" s="81" t="s">
        <v>18</v>
      </c>
      <c r="CD1" s="81" t="s">
        <v>19</v>
      </c>
      <c r="CE1" s="81" t="s">
        <v>20</v>
      </c>
      <c r="CF1" s="83" t="s">
        <v>21</v>
      </c>
      <c r="CG1" s="84" t="s">
        <v>22</v>
      </c>
      <c r="CH1" s="149" t="s">
        <v>23</v>
      </c>
      <c r="CI1" s="84" t="s">
        <v>24</v>
      </c>
      <c r="CJ1" s="86" t="s">
        <v>25</v>
      </c>
      <c r="CK1" s="87" t="s">
        <v>26</v>
      </c>
      <c r="CL1" s="87" t="s">
        <v>27</v>
      </c>
      <c r="CM1" s="87" t="s">
        <v>28</v>
      </c>
      <c r="CN1" s="87" t="s">
        <v>29</v>
      </c>
      <c r="CO1" s="88" t="s">
        <v>30</v>
      </c>
      <c r="CP1" s="89" t="s">
        <v>31</v>
      </c>
      <c r="CQ1" s="88" t="s">
        <v>32</v>
      </c>
      <c r="CR1" s="87" t="s">
        <v>33</v>
      </c>
      <c r="CS1" s="87" t="s">
        <v>34</v>
      </c>
      <c r="CT1" s="88" t="s">
        <v>35</v>
      </c>
      <c r="CU1" s="89" t="s">
        <v>36</v>
      </c>
      <c r="CV1" s="88" t="s">
        <v>37</v>
      </c>
      <c r="CW1" s="87" t="s">
        <v>38</v>
      </c>
      <c r="CX1" s="87" t="s">
        <v>39</v>
      </c>
      <c r="CY1" s="88" t="s">
        <v>40</v>
      </c>
      <c r="CZ1" s="88" t="s">
        <v>41</v>
      </c>
      <c r="DA1" s="88" t="s">
        <v>42</v>
      </c>
      <c r="DB1" s="90" t="s">
        <v>43</v>
      </c>
      <c r="DC1" s="89" t="s">
        <v>44</v>
      </c>
      <c r="DD1" s="150" t="s">
        <v>47</v>
      </c>
      <c r="DE1" s="138" t="s">
        <v>48</v>
      </c>
    </row>
    <row r="2" spans="1:176" s="113" customFormat="1" ht="34">
      <c r="A2" s="153" t="s">
        <v>1285</v>
      </c>
      <c r="B2" s="93" t="str">
        <f>"Total Credits: " &amp; IFERROR(IF(DD2=0,"",DD2),"")</f>
        <v>Total Credits: 16</v>
      </c>
      <c r="C2" s="94"/>
      <c r="D2" s="92"/>
      <c r="E2" s="92"/>
      <c r="F2" s="92"/>
      <c r="G2" s="92"/>
      <c r="H2" s="92"/>
      <c r="I2" s="92"/>
      <c r="J2" s="92"/>
      <c r="K2" s="92"/>
      <c r="L2" s="92"/>
      <c r="M2" s="92"/>
      <c r="N2" s="95"/>
      <c r="O2" s="95"/>
      <c r="P2" s="96"/>
      <c r="Q2" s="96"/>
      <c r="R2" s="96"/>
      <c r="S2" s="92"/>
      <c r="T2" s="92"/>
      <c r="U2" s="92"/>
      <c r="V2" s="97"/>
      <c r="W2" s="97"/>
      <c r="X2" s="143">
        <f>IF(SUM(X3:X11)=0, "", SUM(X3:X11))</f>
        <v>7</v>
      </c>
      <c r="Y2" s="98"/>
      <c r="Z2" s="99"/>
      <c r="AA2" s="100"/>
      <c r="AB2" s="100"/>
      <c r="AC2" s="100"/>
      <c r="AD2" s="100"/>
      <c r="AE2" s="101"/>
      <c r="AF2" s="102"/>
      <c r="AG2" s="101"/>
      <c r="AH2" s="100"/>
      <c r="AI2" s="100"/>
      <c r="AJ2" s="101"/>
      <c r="AK2" s="102"/>
      <c r="AL2" s="101"/>
      <c r="AM2" s="100"/>
      <c r="AN2" s="100"/>
      <c r="AO2" s="103"/>
      <c r="AP2" s="103"/>
      <c r="AQ2" s="103"/>
      <c r="AR2" s="103"/>
      <c r="AS2" s="104"/>
      <c r="AT2" s="105"/>
      <c r="AU2" s="105"/>
      <c r="AV2" s="95"/>
      <c r="AW2" s="95"/>
      <c r="AX2" s="105"/>
      <c r="AY2" s="105"/>
      <c r="AZ2" s="105"/>
      <c r="BA2" s="105"/>
      <c r="BB2" s="105"/>
      <c r="BC2" s="143">
        <f>IF(SUM(BC3:BC11)=0, "", SUM(BC3:BC11))</f>
        <v>7</v>
      </c>
      <c r="BD2" s="106"/>
      <c r="BE2" s="107"/>
      <c r="BF2" s="108"/>
      <c r="BG2" s="108"/>
      <c r="BH2" s="108"/>
      <c r="BI2" s="108"/>
      <c r="BJ2" s="109"/>
      <c r="BK2" s="105"/>
      <c r="BL2" s="109"/>
      <c r="BM2" s="108"/>
      <c r="BN2" s="108"/>
      <c r="BO2" s="109"/>
      <c r="BP2" s="105"/>
      <c r="BQ2" s="109"/>
      <c r="BR2" s="108"/>
      <c r="BS2" s="108"/>
      <c r="BT2" s="109"/>
      <c r="BU2" s="109"/>
      <c r="BV2" s="109"/>
      <c r="BW2" s="103"/>
      <c r="BX2" s="105"/>
      <c r="BY2" s="105"/>
      <c r="BZ2" s="105"/>
      <c r="CA2" s="95"/>
      <c r="CB2" s="95"/>
      <c r="CC2" s="105"/>
      <c r="CD2" s="105"/>
      <c r="CE2" s="105"/>
      <c r="CF2" s="97"/>
      <c r="CG2" s="98"/>
      <c r="CH2" s="143">
        <f>IF(SUM(CH3:CH11)=0, "", SUM(CH3:CH11))</f>
        <v>2</v>
      </c>
      <c r="CI2" s="98"/>
      <c r="CJ2" s="99"/>
      <c r="CK2" s="110"/>
      <c r="CL2" s="110"/>
      <c r="CM2" s="110"/>
      <c r="CN2" s="110"/>
      <c r="CO2" s="111"/>
      <c r="CP2" s="112"/>
      <c r="CQ2" s="111"/>
      <c r="CR2" s="110"/>
      <c r="CS2" s="110"/>
      <c r="CT2" s="111"/>
      <c r="CU2" s="112"/>
      <c r="CV2" s="111"/>
      <c r="CW2" s="110"/>
      <c r="CX2" s="110"/>
      <c r="CY2" s="111"/>
      <c r="CZ2" s="111"/>
      <c r="DA2" s="111"/>
      <c r="DB2" s="103"/>
      <c r="DC2" s="112"/>
      <c r="DD2" s="143">
        <f>IF(SUM(L2:DC2)=0, "", SUM(L2:DC2))</f>
        <v>16</v>
      </c>
      <c r="DE2" s="91">
        <v>0</v>
      </c>
      <c r="DF2" s="26"/>
      <c r="DG2" s="26"/>
      <c r="DH2" s="26"/>
      <c r="DI2" s="26"/>
      <c r="DJ2" s="26"/>
      <c r="DK2" s="26"/>
      <c r="DL2" s="26"/>
      <c r="DM2" s="26"/>
      <c r="DN2" s="26"/>
      <c r="DO2" s="26"/>
      <c r="DP2" s="26"/>
      <c r="DQ2" s="26"/>
      <c r="DR2" s="26"/>
      <c r="DS2" s="26"/>
      <c r="DT2" s="26"/>
      <c r="DU2" s="26"/>
      <c r="DV2" s="26"/>
      <c r="DW2" s="26"/>
      <c r="DX2" s="26"/>
      <c r="DY2" s="26"/>
      <c r="DZ2" s="26"/>
      <c r="EA2" s="26"/>
      <c r="EB2" s="26"/>
      <c r="EC2" s="26"/>
      <c r="ED2" s="26"/>
      <c r="EE2" s="26"/>
      <c r="EF2" s="26"/>
      <c r="EG2" s="26"/>
      <c r="EH2" s="26"/>
      <c r="EI2" s="26"/>
      <c r="EJ2" s="26"/>
      <c r="EK2" s="26"/>
      <c r="EL2" s="26"/>
      <c r="EM2" s="26"/>
      <c r="EN2" s="26"/>
      <c r="EO2" s="26"/>
      <c r="EP2" s="26"/>
      <c r="EQ2" s="26"/>
      <c r="ER2" s="26"/>
      <c r="ES2" s="26"/>
      <c r="ET2" s="26"/>
      <c r="EU2" s="26"/>
      <c r="EV2" s="26"/>
      <c r="EW2" s="26"/>
      <c r="EX2" s="26"/>
      <c r="EY2" s="26"/>
      <c r="EZ2" s="26"/>
      <c r="FA2" s="26"/>
      <c r="FB2" s="26"/>
      <c r="FC2" s="26"/>
      <c r="FD2" s="26"/>
      <c r="FE2" s="26"/>
      <c r="FF2" s="26"/>
      <c r="FG2" s="26"/>
      <c r="FH2" s="26"/>
      <c r="FI2" s="26"/>
      <c r="FJ2" s="26"/>
      <c r="FK2" s="26"/>
      <c r="FL2" s="26"/>
      <c r="FM2" s="26"/>
      <c r="FN2" s="26"/>
      <c r="FO2" s="26"/>
      <c r="FP2" s="26"/>
      <c r="FQ2" s="26"/>
      <c r="FR2" s="26"/>
      <c r="FS2" s="26"/>
      <c r="FT2" s="26"/>
    </row>
    <row r="3" spans="1:176" s="22" customFormat="1" ht="13">
      <c r="A3" s="7" t="s">
        <v>1304</v>
      </c>
      <c r="B3" s="23" t="str">
        <f>IF(_xlfn.XLOOKUP(A3, AutoFill_names!B:B, AutoFill_names!C:C,"")=0,"",_xlfn.XLOOKUP(A3, AutoFill_names!B:B, AutoFill_names!C:C,""))</f>
        <v/>
      </c>
      <c r="C3" s="23" t="str">
        <f>IF(_xlfn.XLOOKUP(A3, AutoFill_names!B:B, AutoFill_names!D:D,"")=0,"",_xlfn.XLOOKUP(A3, AutoFill_names!B:B, AutoFill_names!D:D,""))</f>
        <v/>
      </c>
      <c r="D3" s="23" t="str">
        <f>IF(_xlfn.XLOOKUP(A3, AutoFill_names!B:B, AutoFill_names!E:E,"")=0,"",_xlfn.XLOOKUP(A3, AutoFill_names!B:B, AutoFill_names!E:E,""))</f>
        <v/>
      </c>
      <c r="E3" s="23" t="str">
        <f>IF(_xlfn.XLOOKUP(A3, AutoFill_names!B:B, AutoFill_names!F:F,"")=0,"",_xlfn.XLOOKUP(A3, AutoFill_names!B:B, AutoFill_names!F:F,""))</f>
        <v/>
      </c>
      <c r="F3" s="4"/>
      <c r="G3" s="4"/>
      <c r="H3" s="4"/>
      <c r="I3" s="4"/>
      <c r="J3" s="23" t="str">
        <f>IF(_xlfn.XLOOKUP(A3, AutoFill_names!B:B, AutoFill_names!K:K,"")=0,"",_xlfn.XLOOKUP(A3, AutoFill_names!B:B, AutoFill_names!K:K,""))</f>
        <v/>
      </c>
      <c r="K3" s="23" t="str">
        <f>IF(_xlfn.XLOOKUP(A3, AutoFill_names!B:B, AutoFill_names!L:L,"")=0,"",_xlfn.XLOOKUP(A3, AutoFill_names!B:B, AutoFill_names!L:L,""))</f>
        <v/>
      </c>
      <c r="L3" s="45" t="s">
        <v>599</v>
      </c>
      <c r="M3" s="45"/>
      <c r="N3" s="61" t="str">
        <f>IF(_xlfn.XLOOKUP(L3, AutoFill_classes!A:A, AutoFill_classes!B:B,"")=0,"",_xlfn.XLOOKUP(L3, AutoFill_classes!A:A, AutoFill_classes!B:B,""))</f>
        <v>Christn Lead in a Chnging Wrld</v>
      </c>
      <c r="O3" s="154"/>
      <c r="P3" s="9"/>
      <c r="Q3" s="9"/>
      <c r="R3" s="9"/>
      <c r="S3" s="4" t="s">
        <v>56</v>
      </c>
      <c r="T3" s="4" t="s">
        <v>57</v>
      </c>
      <c r="U3" s="4" t="s">
        <v>58</v>
      </c>
      <c r="V3" s="4" t="s">
        <v>59</v>
      </c>
      <c r="W3" s="4" t="s">
        <v>60</v>
      </c>
      <c r="X3" s="144">
        <v>2</v>
      </c>
      <c r="Y3" s="27"/>
      <c r="Z3" s="60" t="str">
        <f t="shared" ref="Z3:Z11" si="0">IF(X3*Y3=0,"",X3*Y3)</f>
        <v/>
      </c>
      <c r="AA3" s="28"/>
      <c r="AB3" s="28"/>
      <c r="AC3" s="28"/>
      <c r="AD3" s="28"/>
      <c r="AE3" s="58" t="str">
        <f t="shared" ref="AE3:AE11" si="1">IF(ROUNDUP((AD3-AC3)/7,0)=0,"",ROUNDUP((AD3-AC3)/7,0))</f>
        <v/>
      </c>
      <c r="AF3" s="19"/>
      <c r="AG3" s="58" t="str">
        <f t="shared" ref="AG3:AG11" si="2">IFERROR(IF(AE3*AF3=0,"",AE3*AF3), "")</f>
        <v/>
      </c>
      <c r="AH3" s="28"/>
      <c r="AI3" s="28"/>
      <c r="AJ3" s="58" t="str">
        <f t="shared" ref="AJ3:AJ11" si="3">IF(ROUNDUP((AI3-AH3)/7,0)=0,"",ROUNDUP((AI3-AH3)/7,0))</f>
        <v/>
      </c>
      <c r="AK3" s="19"/>
      <c r="AL3" s="58" t="str">
        <f t="shared" ref="AL3:AL11" si="4">IFERROR(IF(AJ3*AK3=0,"",AJ3*AK3), "")</f>
        <v/>
      </c>
      <c r="AM3" s="28"/>
      <c r="AN3" s="28"/>
      <c r="AO3" s="58" t="str">
        <f t="shared" ref="AO3:AO11" si="5">IF(ROUNDUP((AN3-AM3)/7,0)=0,"",ROUNDUP((AN3-AM3)/7,0))</f>
        <v/>
      </c>
      <c r="AP3" s="58" t="str">
        <f t="shared" ref="AP3:AP11" si="6">IFERROR(IF((AS3-(AF3+AK3))/AO3=0,"",ROUNDUP((AS3-(AF3+AK3))/AO3,0)), "")</f>
        <v/>
      </c>
      <c r="AQ3" s="58" t="str">
        <f t="shared" ref="AQ3:AQ11" si="7">IFERROR(IF((AS3-(AG3+AL3))=0, "", (AS3-(AG3+AL3))), "")</f>
        <v/>
      </c>
      <c r="AR3" s="59" t="str">
        <f t="shared" ref="AR3:AR11" si="8">IFERROR(IF((AE3+AJ3+AO3)=0, "", (AE3+AJ3+AO3)), "")</f>
        <v/>
      </c>
      <c r="AS3" s="19"/>
      <c r="AT3" s="47" t="s">
        <v>599</v>
      </c>
      <c r="AU3" s="47"/>
      <c r="AV3" s="61" t="str">
        <f>IF(_xlfn.XLOOKUP(AT3, AutoFill_classes!$A:$A, AutoFill_classes!$B:$B,"")=0,"",_xlfn.XLOOKUP(AT3, AutoFill_classes!$A:$A, AutoFill_classes!$B:$B,""))</f>
        <v>Christn Lead in a Chnging Wrld</v>
      </c>
      <c r="AW3" s="154"/>
      <c r="AX3" s="14" t="s">
        <v>56</v>
      </c>
      <c r="AY3" s="14" t="s">
        <v>57</v>
      </c>
      <c r="AZ3" s="14" t="s">
        <v>58</v>
      </c>
      <c r="BA3" s="16" t="s">
        <v>59</v>
      </c>
      <c r="BB3" s="16" t="s">
        <v>60</v>
      </c>
      <c r="BC3" s="144">
        <v>2</v>
      </c>
      <c r="BD3" s="29"/>
      <c r="BE3" s="60" t="str">
        <f t="shared" ref="BE3:BE11" si="9">IF(BC3*BD3=0,"",BC3*BD3)</f>
        <v/>
      </c>
      <c r="BF3" s="28"/>
      <c r="BG3" s="28"/>
      <c r="BH3" s="28"/>
      <c r="BI3" s="28"/>
      <c r="BJ3" s="58" t="str">
        <f t="shared" ref="BJ3:BJ11" si="10">IF(ROUNDUP((BI3-BH3)/7,0)=0,"",ROUNDUP((BI3-BH3)/7,0))</f>
        <v/>
      </c>
      <c r="BK3" s="19"/>
      <c r="BL3" s="58" t="str">
        <f t="shared" ref="BL3:BL11" si="11">IFERROR(IF(BJ3*BK3=0,"",BJ3*BK3), "")</f>
        <v/>
      </c>
      <c r="BM3" s="28"/>
      <c r="BN3" s="28"/>
      <c r="BO3" s="58" t="str">
        <f t="shared" ref="BO3:BO11" si="12">IF(ROUNDUP((BN3-BM3)/7,0)=0,"",ROUNDUP((BN3-BM3)/7,0))</f>
        <v/>
      </c>
      <c r="BP3" s="19"/>
      <c r="BQ3" s="58" t="str">
        <f t="shared" ref="BQ3:BQ11" si="13">IFERROR(IF(BO3*BP3=0,"",BO3*BP3), "")</f>
        <v/>
      </c>
      <c r="BR3" s="28"/>
      <c r="BS3" s="28"/>
      <c r="BT3" s="58" t="str">
        <f t="shared" ref="BT3:BT11" si="14">IF(ROUNDUP((BS3-BR3)/7,0)=0,"",ROUNDUP((BS3-BR3)/7,0))</f>
        <v/>
      </c>
      <c r="BU3" s="58" t="str">
        <f t="shared" ref="BU3:BU11" si="15">IFERROR(IF((BX3-(BK3+BP3))/BT3=0,"",ROUNDUP((BX3-(BK3+BP3))/BT3,0)), "")</f>
        <v/>
      </c>
      <c r="BV3" s="58" t="str">
        <f t="shared" ref="BV3:BV11" si="16">IFERROR(IF((BX3-(BL3+BQ3))=0, "", (BX3-(BL3+BQ3))), "")</f>
        <v/>
      </c>
      <c r="BW3" s="59" t="str">
        <f t="shared" ref="BW3:BW11" si="17">IFERROR(IF((BJ3+BO3+BT3)=0, "", (BJ3+BO3+BT3)), "")</f>
        <v/>
      </c>
      <c r="BX3" s="14"/>
      <c r="BY3" s="12" t="s">
        <v>599</v>
      </c>
      <c r="BZ3" s="51"/>
      <c r="CA3" s="61" t="str">
        <f>IF(_xlfn.XLOOKUP(BY3, AutoFill_classes!$A:$A, AutoFill_classes!$B:$B,"")=0,"",_xlfn.XLOOKUP(BY3, AutoFill_classes!$A:$A, AutoFill_classes!$B:$B,""))</f>
        <v>Christn Lead in a Chnging Wrld</v>
      </c>
      <c r="CB3" s="154"/>
      <c r="CC3" s="19" t="s">
        <v>85</v>
      </c>
      <c r="CD3" s="19" t="s">
        <v>57</v>
      </c>
      <c r="CE3" s="19" t="s">
        <v>58</v>
      </c>
      <c r="CF3" s="30" t="s">
        <v>59</v>
      </c>
      <c r="CG3" s="31" t="s">
        <v>60</v>
      </c>
      <c r="CH3" s="144">
        <v>2</v>
      </c>
      <c r="CI3" s="31"/>
      <c r="CJ3" s="60" t="str">
        <f t="shared" ref="CJ3:CJ11" si="18">IF(CH3*CI3=0,"",CH3*CI3)</f>
        <v/>
      </c>
      <c r="CK3" s="28"/>
      <c r="CL3" s="28"/>
      <c r="CM3" s="28"/>
      <c r="CN3" s="28"/>
      <c r="CO3" s="58" t="str">
        <f t="shared" ref="CO3:CO11" si="19">IF(ROUNDUP((CN3-CM3)/7,0)=0,"",ROUNDUP((CN3-CM3)/7,0))</f>
        <v/>
      </c>
      <c r="CP3" s="19"/>
      <c r="CQ3" s="58" t="str">
        <f t="shared" ref="CQ3:CQ11" si="20">IFERROR(IF(CO3*CP3=0,"",CO3*CP3), "")</f>
        <v/>
      </c>
      <c r="CR3" s="28"/>
      <c r="CS3" s="28"/>
      <c r="CT3" s="58" t="str">
        <f t="shared" ref="CT3:CT11" si="21">IF(ROUNDUP((CS3-CR3)/7,0)=0,"",ROUNDUP((CS3-CR3)/7,0))</f>
        <v/>
      </c>
      <c r="CU3" s="19"/>
      <c r="CV3" s="58" t="str">
        <f t="shared" ref="CV3:CV11" si="22">IFERROR(IF(CT3*CU3=0,"",CT3*CU3), "")</f>
        <v/>
      </c>
      <c r="CW3" s="28"/>
      <c r="CX3" s="28"/>
      <c r="CY3" s="58" t="str">
        <f t="shared" ref="CY3:CY11" si="23">IF(ROUNDUP((CX3-CW3)/7,0)=0,"",ROUNDUP((CX3-CW3)/7,0))</f>
        <v/>
      </c>
      <c r="CZ3" s="58" t="str">
        <f t="shared" ref="CZ3:CZ11" si="24">IFERROR(IF((DC3-(CP3+CU3))/CY3=0,"",ROUNDUP((DC3-(CP3+CU3))/CY3,0)), "")</f>
        <v/>
      </c>
      <c r="DA3" s="58" t="str">
        <f t="shared" ref="DA3:DA11" si="25">IFERROR(IF((DC3-(CQ3+CV3))=0, "", (DC3-(CQ3+CV3))), "")</f>
        <v/>
      </c>
      <c r="DB3" s="59" t="str">
        <f t="shared" ref="DB3:DB11" si="26">IFERROR(IF((CO3+CT3+CY3)=0, "", (CO3+CT3+CY3)), "")</f>
        <v/>
      </c>
      <c r="DC3" s="19"/>
      <c r="DD3" s="144"/>
      <c r="DE3" s="91">
        <v>1</v>
      </c>
      <c r="DF3" s="39"/>
      <c r="DG3" s="39"/>
      <c r="DH3" s="39"/>
      <c r="DI3" s="39"/>
      <c r="DJ3" s="39"/>
      <c r="DK3" s="39"/>
      <c r="DL3" s="39"/>
      <c r="DM3" s="39"/>
      <c r="DN3" s="39"/>
      <c r="DO3" s="39"/>
      <c r="DP3" s="39"/>
      <c r="DQ3" s="39"/>
      <c r="DR3" s="39"/>
      <c r="DS3" s="39"/>
      <c r="DT3" s="39"/>
      <c r="DU3" s="39"/>
      <c r="DV3" s="39"/>
      <c r="DW3" s="39"/>
      <c r="DX3" s="39"/>
      <c r="DY3" s="39"/>
      <c r="DZ3" s="39"/>
      <c r="EA3" s="39"/>
      <c r="EB3" s="39"/>
      <c r="EC3" s="39"/>
      <c r="ED3" s="39"/>
      <c r="EE3" s="39"/>
      <c r="EF3" s="39"/>
      <c r="EG3" s="39"/>
      <c r="EH3" s="39"/>
      <c r="EI3" s="39"/>
      <c r="EJ3" s="39"/>
      <c r="EK3" s="39"/>
      <c r="EL3" s="39"/>
      <c r="EM3" s="39"/>
      <c r="EN3" s="39"/>
      <c r="EO3" s="39"/>
      <c r="EP3" s="39"/>
      <c r="EQ3" s="39"/>
      <c r="ER3" s="39"/>
      <c r="ES3" s="39"/>
      <c r="ET3" s="39"/>
      <c r="EU3" s="39"/>
      <c r="EV3" s="39"/>
      <c r="EW3" s="39"/>
      <c r="EX3" s="39"/>
      <c r="EY3" s="39"/>
      <c r="EZ3" s="39"/>
      <c r="FA3" s="39"/>
      <c r="FB3" s="39"/>
      <c r="FC3" s="39"/>
      <c r="FD3" s="39"/>
      <c r="FE3" s="39"/>
      <c r="FF3" s="39"/>
      <c r="FG3" s="39"/>
      <c r="FH3" s="39"/>
      <c r="FI3" s="39"/>
      <c r="FJ3" s="39"/>
      <c r="FK3" s="39"/>
      <c r="FL3" s="39"/>
      <c r="FM3" s="39"/>
      <c r="FN3" s="39"/>
      <c r="FO3" s="39"/>
      <c r="FP3" s="39"/>
      <c r="FQ3" s="39"/>
      <c r="FR3" s="39"/>
      <c r="FS3" s="39"/>
      <c r="FT3" s="39"/>
    </row>
    <row r="4" spans="1:176" s="22" customFormat="1" ht="13">
      <c r="A4" s="7" t="s">
        <v>1304</v>
      </c>
      <c r="B4" s="23" t="str">
        <f>IF(_xlfn.XLOOKUP(A4, AutoFill_names!B:B, AutoFill_names!C:C,"")=0,"",_xlfn.XLOOKUP(A4, AutoFill_names!B:B, AutoFill_names!C:C,""))</f>
        <v/>
      </c>
      <c r="C4" s="23" t="str">
        <f>IF(_xlfn.XLOOKUP(A4, AutoFill_names!B:B, AutoFill_names!D:D,"")=0,"",_xlfn.XLOOKUP(A4, AutoFill_names!B:B, AutoFill_names!D:D,""))</f>
        <v/>
      </c>
      <c r="D4" s="23" t="str">
        <f>IF(_xlfn.XLOOKUP(A4, AutoFill_names!B:B, AutoFill_names!E:E,"")=0,"",_xlfn.XLOOKUP(A4, AutoFill_names!B:B, AutoFill_names!E:E,""))</f>
        <v/>
      </c>
      <c r="E4" s="23" t="str">
        <f>IF(_xlfn.XLOOKUP(A4, AutoFill_names!B:B, AutoFill_names!F:F,"")=0,"",_xlfn.XLOOKUP(A4, AutoFill_names!B:B, AutoFill_names!F:F,""))</f>
        <v/>
      </c>
      <c r="F4" s="4"/>
      <c r="G4" s="4"/>
      <c r="H4" s="4"/>
      <c r="I4" s="4"/>
      <c r="J4" s="23" t="str">
        <f>IF(_xlfn.XLOOKUP(A4, AutoFill_names!B:B, AutoFill_names!K:K,"")=0,"",_xlfn.XLOOKUP(A4, AutoFill_names!B:B, AutoFill_names!K:K,""))</f>
        <v/>
      </c>
      <c r="K4" s="23" t="str">
        <f>IF(_xlfn.XLOOKUP(A4, AutoFill_names!B:B, AutoFill_names!L:L,"")=0,"",_xlfn.XLOOKUP(A4, AutoFill_names!B:B, AutoFill_names!L:L,""))</f>
        <v/>
      </c>
      <c r="L4" s="45" t="s">
        <v>599</v>
      </c>
      <c r="M4" s="45"/>
      <c r="N4" s="61" t="str">
        <f>IF(_xlfn.XLOOKUP(L4, AutoFill_classes!A:A, AutoFill_classes!B:B,"")=0,"",_xlfn.XLOOKUP(L4, AutoFill_classes!A:A, AutoFill_classes!B:B,""))</f>
        <v>Christn Lead in a Chnging Wrld</v>
      </c>
      <c r="O4" s="154"/>
      <c r="P4" s="9"/>
      <c r="Q4" s="9"/>
      <c r="R4" s="9"/>
      <c r="S4" s="4" t="s">
        <v>85</v>
      </c>
      <c r="T4" s="4" t="s">
        <v>57</v>
      </c>
      <c r="U4" s="4" t="s">
        <v>58</v>
      </c>
      <c r="V4" s="4" t="s">
        <v>59</v>
      </c>
      <c r="W4" s="4" t="s">
        <v>60</v>
      </c>
      <c r="X4" s="144">
        <v>2</v>
      </c>
      <c r="Y4" s="27"/>
      <c r="Z4" s="60" t="str">
        <f t="shared" si="0"/>
        <v/>
      </c>
      <c r="AA4" s="32"/>
      <c r="AB4" s="32"/>
      <c r="AC4" s="32"/>
      <c r="AD4" s="32"/>
      <c r="AE4" s="58" t="str">
        <f t="shared" si="1"/>
        <v/>
      </c>
      <c r="AF4" s="20"/>
      <c r="AG4" s="58" t="str">
        <f t="shared" si="2"/>
        <v/>
      </c>
      <c r="AH4" s="32"/>
      <c r="AI4" s="32"/>
      <c r="AJ4" s="58" t="str">
        <f t="shared" si="3"/>
        <v/>
      </c>
      <c r="AK4" s="20"/>
      <c r="AL4" s="58" t="str">
        <f t="shared" si="4"/>
        <v/>
      </c>
      <c r="AM4" s="32"/>
      <c r="AN4" s="32"/>
      <c r="AO4" s="58" t="str">
        <f t="shared" si="5"/>
        <v/>
      </c>
      <c r="AP4" s="58" t="str">
        <f t="shared" si="6"/>
        <v/>
      </c>
      <c r="AQ4" s="58" t="str">
        <f t="shared" si="7"/>
        <v/>
      </c>
      <c r="AR4" s="59" t="str">
        <f t="shared" si="8"/>
        <v/>
      </c>
      <c r="AS4" s="20"/>
      <c r="AT4" s="47" t="s">
        <v>599</v>
      </c>
      <c r="AU4" s="47" t="s">
        <v>281</v>
      </c>
      <c r="AV4" s="61" t="str">
        <f>IF(_xlfn.XLOOKUP(AT4, AutoFill_classes!$A:$A, AutoFill_classes!$B:$B,"")=0,"",_xlfn.XLOOKUP(AT4, AutoFill_classes!$A:$A, AutoFill_classes!$B:$B,""))</f>
        <v>Christn Lead in a Chnging Wrld</v>
      </c>
      <c r="AW4" s="154"/>
      <c r="AX4" s="14" t="s">
        <v>76</v>
      </c>
      <c r="AY4" s="14" t="s">
        <v>57</v>
      </c>
      <c r="AZ4" s="14" t="s">
        <v>58</v>
      </c>
      <c r="BA4" s="16" t="s">
        <v>59</v>
      </c>
      <c r="BB4" s="16" t="s">
        <v>60</v>
      </c>
      <c r="BC4" s="144">
        <v>0</v>
      </c>
      <c r="BD4" s="29"/>
      <c r="BE4" s="60" t="str">
        <f t="shared" si="9"/>
        <v/>
      </c>
      <c r="BF4" s="32"/>
      <c r="BG4" s="32"/>
      <c r="BH4" s="32"/>
      <c r="BI4" s="32"/>
      <c r="BJ4" s="58" t="str">
        <f t="shared" si="10"/>
        <v/>
      </c>
      <c r="BK4" s="20"/>
      <c r="BL4" s="58" t="str">
        <f t="shared" si="11"/>
        <v/>
      </c>
      <c r="BM4" s="32"/>
      <c r="BN4" s="32"/>
      <c r="BO4" s="58" t="str">
        <f t="shared" si="12"/>
        <v/>
      </c>
      <c r="BP4" s="20"/>
      <c r="BQ4" s="58" t="str">
        <f t="shared" si="13"/>
        <v/>
      </c>
      <c r="BR4" s="32"/>
      <c r="BS4" s="32"/>
      <c r="BT4" s="58" t="str">
        <f t="shared" si="14"/>
        <v/>
      </c>
      <c r="BU4" s="58" t="str">
        <f t="shared" si="15"/>
        <v/>
      </c>
      <c r="BV4" s="58" t="str">
        <f t="shared" si="16"/>
        <v/>
      </c>
      <c r="BW4" s="59" t="str">
        <f t="shared" si="17"/>
        <v/>
      </c>
      <c r="BX4" s="14"/>
      <c r="BY4" s="21"/>
      <c r="BZ4" s="20"/>
      <c r="CA4" s="61" t="str">
        <f>IF(_xlfn.XLOOKUP(BY4, AutoFill_classes!$A:$A, AutoFill_classes!$B:$B,"")=0,"",_xlfn.XLOOKUP(BY4, AutoFill_classes!$A:$A, AutoFill_classes!$B:$B,""))</f>
        <v/>
      </c>
      <c r="CB4" s="154"/>
      <c r="CC4" s="20"/>
      <c r="CD4" s="20"/>
      <c r="CE4" s="20"/>
      <c r="CF4" s="33"/>
      <c r="CG4" s="34"/>
      <c r="CH4" s="144"/>
      <c r="CI4" s="35"/>
      <c r="CJ4" s="60" t="str">
        <f t="shared" si="18"/>
        <v/>
      </c>
      <c r="CK4" s="32"/>
      <c r="CL4" s="32"/>
      <c r="CM4" s="32"/>
      <c r="CN4" s="32"/>
      <c r="CO4" s="58" t="str">
        <f t="shared" si="19"/>
        <v/>
      </c>
      <c r="CP4" s="20"/>
      <c r="CQ4" s="58" t="str">
        <f t="shared" si="20"/>
        <v/>
      </c>
      <c r="CR4" s="32"/>
      <c r="CS4" s="32"/>
      <c r="CT4" s="58" t="str">
        <f t="shared" si="21"/>
        <v/>
      </c>
      <c r="CU4" s="20"/>
      <c r="CV4" s="58" t="str">
        <f t="shared" si="22"/>
        <v/>
      </c>
      <c r="CW4" s="32"/>
      <c r="CX4" s="32"/>
      <c r="CY4" s="58" t="str">
        <f t="shared" si="23"/>
        <v/>
      </c>
      <c r="CZ4" s="58" t="str">
        <f t="shared" si="24"/>
        <v/>
      </c>
      <c r="DA4" s="58" t="str">
        <f t="shared" si="25"/>
        <v/>
      </c>
      <c r="DB4" s="59" t="str">
        <f t="shared" si="26"/>
        <v/>
      </c>
      <c r="DC4" s="20"/>
      <c r="DD4" s="144"/>
      <c r="DE4" s="91">
        <v>2</v>
      </c>
      <c r="DF4" s="39"/>
      <c r="DG4" s="39"/>
      <c r="DH4" s="39"/>
      <c r="DI4" s="39"/>
      <c r="DJ4" s="39"/>
      <c r="DK4" s="39"/>
      <c r="DL4" s="39"/>
      <c r="DM4" s="39"/>
      <c r="DN4" s="39"/>
      <c r="DO4" s="39"/>
      <c r="DP4" s="39"/>
      <c r="DQ4" s="39"/>
      <c r="DR4" s="39"/>
      <c r="DS4" s="39"/>
      <c r="DT4" s="39"/>
      <c r="DU4" s="39"/>
      <c r="DV4" s="39"/>
      <c r="DW4" s="39"/>
      <c r="DX4" s="39"/>
      <c r="DY4" s="39"/>
      <c r="DZ4" s="39"/>
      <c r="EA4" s="39"/>
      <c r="EB4" s="39"/>
      <c r="EC4" s="39"/>
      <c r="ED4" s="39"/>
      <c r="EE4" s="39"/>
      <c r="EF4" s="39"/>
      <c r="EG4" s="39"/>
      <c r="EH4" s="39"/>
      <c r="EI4" s="39"/>
      <c r="EJ4" s="39"/>
      <c r="EK4" s="39"/>
      <c r="EL4" s="39"/>
      <c r="EM4" s="39"/>
      <c r="EN4" s="39"/>
      <c r="EO4" s="39"/>
      <c r="EP4" s="39"/>
      <c r="EQ4" s="39"/>
      <c r="ER4" s="39"/>
      <c r="ES4" s="39"/>
      <c r="ET4" s="39"/>
      <c r="EU4" s="39"/>
      <c r="EV4" s="39"/>
      <c r="EW4" s="39"/>
      <c r="EX4" s="39"/>
      <c r="EY4" s="39"/>
      <c r="EZ4" s="39"/>
      <c r="FA4" s="39"/>
      <c r="FB4" s="39"/>
      <c r="FC4" s="39"/>
      <c r="FD4" s="39"/>
      <c r="FE4" s="39"/>
      <c r="FF4" s="39"/>
      <c r="FG4" s="39"/>
      <c r="FH4" s="39"/>
      <c r="FI4" s="39"/>
      <c r="FJ4" s="39"/>
      <c r="FK4" s="39"/>
      <c r="FL4" s="39"/>
      <c r="FM4" s="39"/>
      <c r="FN4" s="39"/>
      <c r="FO4" s="39"/>
      <c r="FP4" s="39"/>
      <c r="FQ4" s="39"/>
      <c r="FR4" s="39"/>
      <c r="FS4" s="39"/>
      <c r="FT4" s="39"/>
    </row>
    <row r="5" spans="1:176" s="22" customFormat="1" ht="13">
      <c r="A5" s="7" t="s">
        <v>1304</v>
      </c>
      <c r="B5" s="23" t="str">
        <f>IF(_xlfn.XLOOKUP(A5, AutoFill_names!B:B, AutoFill_names!C:C,"")=0,"",_xlfn.XLOOKUP(A5, AutoFill_names!B:B, AutoFill_names!C:C,""))</f>
        <v/>
      </c>
      <c r="C5" s="23" t="str">
        <f>IF(_xlfn.XLOOKUP(A5, AutoFill_names!B:B, AutoFill_names!D:D,"")=0,"",_xlfn.XLOOKUP(A5, AutoFill_names!B:B, AutoFill_names!D:D,""))</f>
        <v/>
      </c>
      <c r="D5" s="23" t="str">
        <f>IF(_xlfn.XLOOKUP(A5, AutoFill_names!B:B, AutoFill_names!E:E,"")=0,"",_xlfn.XLOOKUP(A5, AutoFill_names!B:B, AutoFill_names!E:E,""))</f>
        <v/>
      </c>
      <c r="E5" s="23" t="str">
        <f>IF(_xlfn.XLOOKUP(A5, AutoFill_names!B:B, AutoFill_names!F:F,"")=0,"",_xlfn.XLOOKUP(A5, AutoFill_names!B:B, AutoFill_names!F:F,""))</f>
        <v/>
      </c>
      <c r="F5" s="4"/>
      <c r="G5" s="4"/>
      <c r="H5" s="4"/>
      <c r="I5" s="4"/>
      <c r="J5" s="23" t="str">
        <f>IF(_xlfn.XLOOKUP(A5, AutoFill_names!B:B, AutoFill_names!K:K,"")=0,"",_xlfn.XLOOKUP(A5, AutoFill_names!B:B, AutoFill_names!K:K,""))</f>
        <v/>
      </c>
      <c r="K5" s="23" t="str">
        <f>IF(_xlfn.XLOOKUP(A5, AutoFill_names!B:B, AutoFill_names!L:L,"")=0,"",_xlfn.XLOOKUP(A5, AutoFill_names!B:B, AutoFill_names!L:L,""))</f>
        <v/>
      </c>
      <c r="L5" s="45" t="s">
        <v>599</v>
      </c>
      <c r="M5" s="45"/>
      <c r="N5" s="61" t="str">
        <f>IF(_xlfn.XLOOKUP(L5, AutoFill_classes!A:A, AutoFill_classes!B:B,"")=0,"",_xlfn.XLOOKUP(L5, AutoFill_classes!A:A, AutoFill_classes!B:B,""))</f>
        <v>Christn Lead in a Chnging Wrld</v>
      </c>
      <c r="O5" s="154"/>
      <c r="P5" s="9"/>
      <c r="Q5" s="9"/>
      <c r="R5" s="9"/>
      <c r="S5" s="4" t="s">
        <v>56</v>
      </c>
      <c r="T5" s="4" t="s">
        <v>93</v>
      </c>
      <c r="U5" s="4" t="s">
        <v>122</v>
      </c>
      <c r="V5" s="4" t="s">
        <v>59</v>
      </c>
      <c r="W5" s="4" t="s">
        <v>60</v>
      </c>
      <c r="X5" s="144">
        <v>3</v>
      </c>
      <c r="Y5" s="27"/>
      <c r="Z5" s="60" t="str">
        <f t="shared" si="0"/>
        <v/>
      </c>
      <c r="AA5" s="32"/>
      <c r="AB5" s="32"/>
      <c r="AC5" s="36"/>
      <c r="AD5" s="36"/>
      <c r="AE5" s="58" t="str">
        <f t="shared" si="1"/>
        <v/>
      </c>
      <c r="AF5" s="20"/>
      <c r="AG5" s="58" t="str">
        <f t="shared" si="2"/>
        <v/>
      </c>
      <c r="AH5" s="36"/>
      <c r="AI5" s="36"/>
      <c r="AJ5" s="58" t="str">
        <f t="shared" si="3"/>
        <v/>
      </c>
      <c r="AK5" s="20"/>
      <c r="AL5" s="58" t="str">
        <f t="shared" si="4"/>
        <v/>
      </c>
      <c r="AM5" s="36"/>
      <c r="AN5" s="36"/>
      <c r="AO5" s="58" t="str">
        <f t="shared" si="5"/>
        <v/>
      </c>
      <c r="AP5" s="58" t="str">
        <f t="shared" si="6"/>
        <v/>
      </c>
      <c r="AQ5" s="58" t="str">
        <f t="shared" si="7"/>
        <v/>
      </c>
      <c r="AR5" s="59" t="str">
        <f t="shared" si="8"/>
        <v/>
      </c>
      <c r="AS5" s="20"/>
      <c r="AT5" s="47" t="s">
        <v>599</v>
      </c>
      <c r="AU5" s="47"/>
      <c r="AV5" s="61" t="str">
        <f>IF(_xlfn.XLOOKUP(AT5, AutoFill_classes!$A:$A, AutoFill_classes!$B:$B,"")=0,"",_xlfn.XLOOKUP(AT5, AutoFill_classes!$A:$A, AutoFill_classes!$B:$B,""))</f>
        <v>Christn Lead in a Chnging Wrld</v>
      </c>
      <c r="AW5" s="154"/>
      <c r="AX5" s="14" t="s">
        <v>56</v>
      </c>
      <c r="AY5" s="14" t="s">
        <v>93</v>
      </c>
      <c r="AZ5" s="14" t="s">
        <v>87</v>
      </c>
      <c r="BA5" s="16" t="s">
        <v>59</v>
      </c>
      <c r="BB5" s="16" t="s">
        <v>60</v>
      </c>
      <c r="BC5" s="144">
        <v>3</v>
      </c>
      <c r="BD5" s="29"/>
      <c r="BE5" s="60" t="str">
        <f t="shared" si="9"/>
        <v/>
      </c>
      <c r="BF5" s="32"/>
      <c r="BG5" s="32"/>
      <c r="BH5" s="36"/>
      <c r="BI5" s="36"/>
      <c r="BJ5" s="58" t="str">
        <f t="shared" si="10"/>
        <v/>
      </c>
      <c r="BK5" s="20"/>
      <c r="BL5" s="58" t="str">
        <f t="shared" si="11"/>
        <v/>
      </c>
      <c r="BM5" s="36"/>
      <c r="BN5" s="36"/>
      <c r="BO5" s="58" t="str">
        <f t="shared" si="12"/>
        <v/>
      </c>
      <c r="BP5" s="20"/>
      <c r="BQ5" s="58" t="str">
        <f t="shared" si="13"/>
        <v/>
      </c>
      <c r="BR5" s="36"/>
      <c r="BS5" s="36"/>
      <c r="BT5" s="58" t="str">
        <f t="shared" si="14"/>
        <v/>
      </c>
      <c r="BU5" s="58" t="str">
        <f t="shared" si="15"/>
        <v/>
      </c>
      <c r="BV5" s="58" t="str">
        <f t="shared" si="16"/>
        <v/>
      </c>
      <c r="BW5" s="59" t="str">
        <f t="shared" si="17"/>
        <v/>
      </c>
      <c r="BX5" s="14"/>
      <c r="BY5" s="21"/>
      <c r="BZ5" s="20"/>
      <c r="CA5" s="61" t="str">
        <f>IF(_xlfn.XLOOKUP(BY5, AutoFill_classes!$A:$A, AutoFill_classes!$B:$B,"")=0,"",_xlfn.XLOOKUP(BY5, AutoFill_classes!$A:$A, AutoFill_classes!$B:$B,""))</f>
        <v/>
      </c>
      <c r="CB5" s="154"/>
      <c r="CC5" s="20"/>
      <c r="CD5" s="20"/>
      <c r="CE5" s="20"/>
      <c r="CF5" s="33"/>
      <c r="CG5" s="34"/>
      <c r="CH5" s="144"/>
      <c r="CI5" s="35"/>
      <c r="CJ5" s="60" t="str">
        <f t="shared" si="18"/>
        <v/>
      </c>
      <c r="CK5" s="32"/>
      <c r="CL5" s="32"/>
      <c r="CM5" s="36"/>
      <c r="CN5" s="36"/>
      <c r="CO5" s="58" t="str">
        <f t="shared" si="19"/>
        <v/>
      </c>
      <c r="CP5" s="20"/>
      <c r="CQ5" s="58" t="str">
        <f t="shared" si="20"/>
        <v/>
      </c>
      <c r="CR5" s="36"/>
      <c r="CS5" s="36"/>
      <c r="CT5" s="58" t="str">
        <f t="shared" si="21"/>
        <v/>
      </c>
      <c r="CU5" s="20"/>
      <c r="CV5" s="58" t="str">
        <f t="shared" si="22"/>
        <v/>
      </c>
      <c r="CW5" s="36"/>
      <c r="CX5" s="36"/>
      <c r="CY5" s="58" t="str">
        <f t="shared" si="23"/>
        <v/>
      </c>
      <c r="CZ5" s="58" t="str">
        <f t="shared" si="24"/>
        <v/>
      </c>
      <c r="DA5" s="58" t="str">
        <f t="shared" si="25"/>
        <v/>
      </c>
      <c r="DB5" s="59" t="str">
        <f t="shared" si="26"/>
        <v/>
      </c>
      <c r="DC5" s="20"/>
      <c r="DD5" s="144"/>
      <c r="DE5" s="91">
        <v>3</v>
      </c>
      <c r="DF5" s="39"/>
      <c r="DG5" s="39"/>
      <c r="DH5" s="39"/>
      <c r="DI5" s="39"/>
      <c r="DJ5" s="39"/>
      <c r="DK5" s="39"/>
      <c r="DL5" s="39"/>
      <c r="DM5" s="39"/>
      <c r="DN5" s="39"/>
      <c r="DO5" s="39"/>
      <c r="DP5" s="39"/>
      <c r="DQ5" s="39"/>
      <c r="DR5" s="39"/>
      <c r="DS5" s="39"/>
      <c r="DT5" s="39"/>
      <c r="DU5" s="39"/>
      <c r="DV5" s="39"/>
      <c r="DW5" s="39"/>
      <c r="DX5" s="39"/>
      <c r="DY5" s="39"/>
      <c r="DZ5" s="39"/>
      <c r="EA5" s="39"/>
      <c r="EB5" s="39"/>
      <c r="EC5" s="39"/>
      <c r="ED5" s="39"/>
      <c r="EE5" s="39"/>
      <c r="EF5" s="39"/>
      <c r="EG5" s="39"/>
      <c r="EH5" s="39"/>
      <c r="EI5" s="39"/>
      <c r="EJ5" s="39"/>
      <c r="EK5" s="39"/>
      <c r="EL5" s="39"/>
      <c r="EM5" s="39"/>
      <c r="EN5" s="39"/>
      <c r="EO5" s="39"/>
      <c r="EP5" s="39"/>
      <c r="EQ5" s="39"/>
      <c r="ER5" s="39"/>
      <c r="ES5" s="39"/>
      <c r="ET5" s="39"/>
      <c r="EU5" s="39"/>
      <c r="EV5" s="39"/>
      <c r="EW5" s="39"/>
      <c r="EX5" s="39"/>
      <c r="EY5" s="39"/>
      <c r="EZ5" s="39"/>
      <c r="FA5" s="39"/>
      <c r="FB5" s="39"/>
      <c r="FC5" s="39"/>
      <c r="FD5" s="39"/>
      <c r="FE5" s="39"/>
      <c r="FF5" s="39"/>
      <c r="FG5" s="39"/>
      <c r="FH5" s="39"/>
      <c r="FI5" s="39"/>
      <c r="FJ5" s="39"/>
      <c r="FK5" s="39"/>
      <c r="FL5" s="39"/>
      <c r="FM5" s="39"/>
      <c r="FN5" s="39"/>
      <c r="FO5" s="39"/>
      <c r="FP5" s="39"/>
      <c r="FQ5" s="39"/>
      <c r="FR5" s="39"/>
      <c r="FS5" s="39"/>
      <c r="FT5" s="39"/>
    </row>
    <row r="6" spans="1:176" s="22" customFormat="1" ht="13">
      <c r="A6" s="7" t="s">
        <v>1304</v>
      </c>
      <c r="B6" s="23" t="str">
        <f>IF(_xlfn.XLOOKUP(A6, AutoFill_names!B:B, AutoFill_names!C:C,"")=0,"",_xlfn.XLOOKUP(A6, AutoFill_names!B:B, AutoFill_names!C:C,""))</f>
        <v/>
      </c>
      <c r="C6" s="23" t="str">
        <f>IF(_xlfn.XLOOKUP(A6, AutoFill_names!B:B, AutoFill_names!D:D,"")=0,"",_xlfn.XLOOKUP(A6, AutoFill_names!B:B, AutoFill_names!D:D,""))</f>
        <v/>
      </c>
      <c r="D6" s="23" t="str">
        <f>IF(_xlfn.XLOOKUP(A6, AutoFill_names!B:B, AutoFill_names!E:E,"")=0,"",_xlfn.XLOOKUP(A6, AutoFill_names!B:B, AutoFill_names!E:E,""))</f>
        <v/>
      </c>
      <c r="E6" s="23" t="str">
        <f>IF(_xlfn.XLOOKUP(A6, AutoFill_names!B:B, AutoFill_names!F:F,"")=0,"",_xlfn.XLOOKUP(A6, AutoFill_names!B:B, AutoFill_names!F:F,""))</f>
        <v/>
      </c>
      <c r="F6" s="4"/>
      <c r="G6" s="4"/>
      <c r="H6" s="4"/>
      <c r="I6" s="4"/>
      <c r="J6" s="23" t="str">
        <f>IF(_xlfn.XLOOKUP(A6, AutoFill_names!B:B, AutoFill_names!K:K,"")=0,"",_xlfn.XLOOKUP(A6, AutoFill_names!B:B, AutoFill_names!K:K,""))</f>
        <v/>
      </c>
      <c r="K6" s="23" t="str">
        <f>IF(_xlfn.XLOOKUP(A6, AutoFill_names!B:B, AutoFill_names!L:L,"")=0,"",_xlfn.XLOOKUP(A6, AutoFill_names!B:B, AutoFill_names!L:L,""))</f>
        <v/>
      </c>
      <c r="L6" s="45"/>
      <c r="M6" s="45"/>
      <c r="N6" s="61" t="str">
        <f>IF(_xlfn.XLOOKUP(L6, AutoFill_classes!A:A, AutoFill_classes!B:B,"")=0,"",_xlfn.XLOOKUP(L6, AutoFill_classes!A:A, AutoFill_classes!B:B,""))</f>
        <v/>
      </c>
      <c r="O6" s="154"/>
      <c r="P6" s="9"/>
      <c r="Q6" s="9"/>
      <c r="R6" s="9"/>
      <c r="S6" s="4"/>
      <c r="T6" s="4"/>
      <c r="U6" s="4"/>
      <c r="V6" s="4"/>
      <c r="W6" s="4"/>
      <c r="X6" s="144"/>
      <c r="Y6" s="27"/>
      <c r="Z6" s="60" t="str">
        <f t="shared" si="0"/>
        <v/>
      </c>
      <c r="AA6" s="32"/>
      <c r="AB6" s="32"/>
      <c r="AC6" s="32"/>
      <c r="AD6" s="32"/>
      <c r="AE6" s="58" t="str">
        <f t="shared" si="1"/>
        <v/>
      </c>
      <c r="AF6" s="20"/>
      <c r="AG6" s="58" t="str">
        <f t="shared" si="2"/>
        <v/>
      </c>
      <c r="AH6" s="32"/>
      <c r="AI6" s="32"/>
      <c r="AJ6" s="58" t="str">
        <f t="shared" si="3"/>
        <v/>
      </c>
      <c r="AK6" s="20"/>
      <c r="AL6" s="58" t="str">
        <f t="shared" si="4"/>
        <v/>
      </c>
      <c r="AM6" s="32"/>
      <c r="AN6" s="32"/>
      <c r="AO6" s="58" t="str">
        <f t="shared" si="5"/>
        <v/>
      </c>
      <c r="AP6" s="58" t="str">
        <f t="shared" si="6"/>
        <v/>
      </c>
      <c r="AQ6" s="58" t="str">
        <f t="shared" si="7"/>
        <v/>
      </c>
      <c r="AR6" s="59" t="str">
        <f t="shared" si="8"/>
        <v/>
      </c>
      <c r="AS6" s="20"/>
      <c r="AT6" s="47" t="s">
        <v>594</v>
      </c>
      <c r="AU6" s="47"/>
      <c r="AV6" s="61" t="str">
        <f>IF(_xlfn.XLOOKUP(AT6, AutoFill_classes!$A:$A, AutoFill_classes!$B:$B,"")=0,"",_xlfn.XLOOKUP(AT6, AutoFill_classes!$A:$A, AutoFill_classes!$B:$B,""))</f>
        <v>Conflict Management</v>
      </c>
      <c r="AW6" s="154"/>
      <c r="AX6" s="14" t="s">
        <v>85</v>
      </c>
      <c r="AY6" s="14" t="s">
        <v>57</v>
      </c>
      <c r="AZ6" s="14" t="s">
        <v>58</v>
      </c>
      <c r="BA6" s="16" t="s">
        <v>59</v>
      </c>
      <c r="BB6" s="16" t="s">
        <v>60</v>
      </c>
      <c r="BC6" s="144">
        <v>2</v>
      </c>
      <c r="BD6" s="29"/>
      <c r="BE6" s="60" t="str">
        <f t="shared" si="9"/>
        <v/>
      </c>
      <c r="BF6" s="32"/>
      <c r="BG6" s="32"/>
      <c r="BH6" s="32"/>
      <c r="BI6" s="32"/>
      <c r="BJ6" s="58" t="str">
        <f t="shared" si="10"/>
        <v/>
      </c>
      <c r="BK6" s="20"/>
      <c r="BL6" s="58" t="str">
        <f t="shared" si="11"/>
        <v/>
      </c>
      <c r="BM6" s="32"/>
      <c r="BN6" s="32"/>
      <c r="BO6" s="58" t="str">
        <f t="shared" si="12"/>
        <v/>
      </c>
      <c r="BP6" s="20"/>
      <c r="BQ6" s="58" t="str">
        <f t="shared" si="13"/>
        <v/>
      </c>
      <c r="BR6" s="32"/>
      <c r="BS6" s="32"/>
      <c r="BT6" s="58" t="str">
        <f t="shared" si="14"/>
        <v/>
      </c>
      <c r="BU6" s="58" t="str">
        <f t="shared" si="15"/>
        <v/>
      </c>
      <c r="BV6" s="58" t="str">
        <f t="shared" si="16"/>
        <v/>
      </c>
      <c r="BW6" s="59" t="str">
        <f t="shared" si="17"/>
        <v/>
      </c>
      <c r="BX6" s="14"/>
      <c r="BY6" s="21"/>
      <c r="BZ6" s="20"/>
      <c r="CA6" s="61" t="str">
        <f>IF(_xlfn.XLOOKUP(BY6, AutoFill_classes!$A:$A, AutoFill_classes!$B:$B,"")=0,"",_xlfn.XLOOKUP(BY6, AutoFill_classes!$A:$A, AutoFill_classes!$B:$B,""))</f>
        <v/>
      </c>
      <c r="CB6" s="154"/>
      <c r="CC6" s="20"/>
      <c r="CD6" s="20"/>
      <c r="CE6" s="20"/>
      <c r="CF6" s="33"/>
      <c r="CG6" s="34"/>
      <c r="CH6" s="144"/>
      <c r="CI6" s="35"/>
      <c r="CJ6" s="60" t="str">
        <f t="shared" si="18"/>
        <v/>
      </c>
      <c r="CK6" s="32"/>
      <c r="CL6" s="32"/>
      <c r="CM6" s="32"/>
      <c r="CN6" s="32"/>
      <c r="CO6" s="58" t="str">
        <f t="shared" si="19"/>
        <v/>
      </c>
      <c r="CP6" s="20"/>
      <c r="CQ6" s="58" t="str">
        <f t="shared" si="20"/>
        <v/>
      </c>
      <c r="CR6" s="32"/>
      <c r="CS6" s="32"/>
      <c r="CT6" s="58" t="str">
        <f t="shared" si="21"/>
        <v/>
      </c>
      <c r="CU6" s="20"/>
      <c r="CV6" s="58" t="str">
        <f t="shared" si="22"/>
        <v/>
      </c>
      <c r="CW6" s="32"/>
      <c r="CX6" s="32"/>
      <c r="CY6" s="58" t="str">
        <f t="shared" si="23"/>
        <v/>
      </c>
      <c r="CZ6" s="58" t="str">
        <f t="shared" si="24"/>
        <v/>
      </c>
      <c r="DA6" s="58" t="str">
        <f t="shared" si="25"/>
        <v/>
      </c>
      <c r="DB6" s="59" t="str">
        <f t="shared" si="26"/>
        <v/>
      </c>
      <c r="DC6" s="20"/>
      <c r="DD6" s="144"/>
      <c r="DE6" s="91">
        <v>4</v>
      </c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  <c r="EY6" s="39"/>
      <c r="EZ6" s="39"/>
      <c r="FA6" s="39"/>
      <c r="FB6" s="39"/>
      <c r="FC6" s="39"/>
      <c r="FD6" s="39"/>
      <c r="FE6" s="39"/>
      <c r="FF6" s="39"/>
      <c r="FG6" s="39"/>
      <c r="FH6" s="39"/>
      <c r="FI6" s="39"/>
      <c r="FJ6" s="39"/>
      <c r="FK6" s="39"/>
      <c r="FL6" s="39"/>
      <c r="FM6" s="39"/>
      <c r="FN6" s="39"/>
      <c r="FO6" s="39"/>
      <c r="FP6" s="39"/>
      <c r="FQ6" s="39"/>
      <c r="FR6" s="39"/>
      <c r="FS6" s="39"/>
      <c r="FT6" s="39"/>
    </row>
    <row r="7" spans="1:176" s="22" customFormat="1" ht="13">
      <c r="A7" s="7"/>
      <c r="B7" s="23" t="str">
        <f>IF(_xlfn.XLOOKUP(A7, AutoFill_names!B:B, AutoFill_names!C:C,"")=0,"",_xlfn.XLOOKUP(A7, AutoFill_names!B:B, AutoFill_names!C:C,""))</f>
        <v/>
      </c>
      <c r="C7" s="23" t="str">
        <f>IF(_xlfn.XLOOKUP(A7, AutoFill_names!B:B, AutoFill_names!D:D,"")=0,"",_xlfn.XLOOKUP(A7, AutoFill_names!B:B, AutoFill_names!D:D,""))</f>
        <v/>
      </c>
      <c r="D7" s="23" t="str">
        <f>IF(_xlfn.XLOOKUP(A7, AutoFill_names!B:B, AutoFill_names!E:E,"")=0,"",_xlfn.XLOOKUP(A7, AutoFill_names!B:B, AutoFill_names!E:E,""))</f>
        <v/>
      </c>
      <c r="E7" s="23" t="str">
        <f>IF(_xlfn.XLOOKUP(A7, AutoFill_names!B:B, AutoFill_names!F:F,"")=0,"",_xlfn.XLOOKUP(A7, AutoFill_names!B:B, AutoFill_names!F:F,""))</f>
        <v/>
      </c>
      <c r="F7" s="4"/>
      <c r="G7" s="4"/>
      <c r="H7" s="4"/>
      <c r="I7" s="4"/>
      <c r="J7" s="23" t="str">
        <f>IF(_xlfn.XLOOKUP(A7, AutoFill_names!B:B, AutoFill_names!K:K,"")=0,"",_xlfn.XLOOKUP(A7, AutoFill_names!B:B, AutoFill_names!K:K,""))</f>
        <v/>
      </c>
      <c r="K7" s="23" t="str">
        <f>IF(_xlfn.XLOOKUP(A7, AutoFill_names!B:B, AutoFill_names!L:L,"")=0,"",_xlfn.XLOOKUP(A7, AutoFill_names!B:B, AutoFill_names!L:L,""))</f>
        <v/>
      </c>
      <c r="L7" s="45"/>
      <c r="M7" s="45"/>
      <c r="N7" s="61" t="str">
        <f>IF(_xlfn.XLOOKUP(L7, AutoFill_classes!A:A, AutoFill_classes!B:B,"")=0,"",_xlfn.XLOOKUP(L7, AutoFill_classes!A:A, AutoFill_classes!B:B,""))</f>
        <v/>
      </c>
      <c r="O7" s="154"/>
      <c r="P7" s="9"/>
      <c r="Q7" s="9"/>
      <c r="R7" s="9"/>
      <c r="S7" s="4"/>
      <c r="T7" s="4"/>
      <c r="U7" s="4"/>
      <c r="V7" s="4"/>
      <c r="W7" s="4"/>
      <c r="X7" s="144"/>
      <c r="Y7" s="27"/>
      <c r="Z7" s="60" t="str">
        <f t="shared" si="0"/>
        <v/>
      </c>
      <c r="AA7" s="32"/>
      <c r="AB7" s="32"/>
      <c r="AC7" s="32"/>
      <c r="AD7" s="32"/>
      <c r="AE7" s="58" t="str">
        <f t="shared" si="1"/>
        <v/>
      </c>
      <c r="AF7" s="20"/>
      <c r="AG7" s="58" t="str">
        <f t="shared" si="2"/>
        <v/>
      </c>
      <c r="AH7" s="32"/>
      <c r="AI7" s="32"/>
      <c r="AJ7" s="58" t="str">
        <f t="shared" si="3"/>
        <v/>
      </c>
      <c r="AK7" s="20"/>
      <c r="AL7" s="58" t="str">
        <f t="shared" si="4"/>
        <v/>
      </c>
      <c r="AM7" s="32"/>
      <c r="AN7" s="32"/>
      <c r="AO7" s="58" t="str">
        <f t="shared" si="5"/>
        <v/>
      </c>
      <c r="AP7" s="58" t="str">
        <f t="shared" si="6"/>
        <v/>
      </c>
      <c r="AQ7" s="58" t="str">
        <f t="shared" si="7"/>
        <v/>
      </c>
      <c r="AR7" s="59" t="str">
        <f t="shared" si="8"/>
        <v/>
      </c>
      <c r="AS7" s="20"/>
      <c r="AT7" s="47"/>
      <c r="AU7" s="47"/>
      <c r="AV7" s="61" t="str">
        <f>IF(_xlfn.XLOOKUP(AT7, AutoFill_classes!$A:$A, AutoFill_classes!$B:$B,"")=0,"",_xlfn.XLOOKUP(AT7, AutoFill_classes!$A:$A, AutoFill_classes!$B:$B,""))</f>
        <v/>
      </c>
      <c r="AW7" s="154"/>
      <c r="AX7" s="14"/>
      <c r="AY7" s="14"/>
      <c r="AZ7" s="14"/>
      <c r="BA7" s="16"/>
      <c r="BB7" s="16"/>
      <c r="BC7" s="144"/>
      <c r="BD7" s="29"/>
      <c r="BE7" s="60" t="str">
        <f t="shared" si="9"/>
        <v/>
      </c>
      <c r="BF7" s="32"/>
      <c r="BG7" s="32"/>
      <c r="BH7" s="32"/>
      <c r="BI7" s="32"/>
      <c r="BJ7" s="58" t="str">
        <f t="shared" si="10"/>
        <v/>
      </c>
      <c r="BK7" s="20"/>
      <c r="BL7" s="58" t="str">
        <f t="shared" si="11"/>
        <v/>
      </c>
      <c r="BM7" s="32"/>
      <c r="BN7" s="32"/>
      <c r="BO7" s="58" t="str">
        <f t="shared" si="12"/>
        <v/>
      </c>
      <c r="BP7" s="20"/>
      <c r="BQ7" s="58" t="str">
        <f t="shared" si="13"/>
        <v/>
      </c>
      <c r="BR7" s="32"/>
      <c r="BS7" s="32"/>
      <c r="BT7" s="58" t="str">
        <f t="shared" si="14"/>
        <v/>
      </c>
      <c r="BU7" s="58" t="str">
        <f t="shared" si="15"/>
        <v/>
      </c>
      <c r="BV7" s="58" t="str">
        <f t="shared" si="16"/>
        <v/>
      </c>
      <c r="BW7" s="59" t="str">
        <f t="shared" si="17"/>
        <v/>
      </c>
      <c r="BX7" s="14"/>
      <c r="BY7" s="21"/>
      <c r="BZ7" s="20"/>
      <c r="CA7" s="61" t="str">
        <f>IF(_xlfn.XLOOKUP(BY7, AutoFill_classes!$A:$A, AutoFill_classes!$B:$B,"")=0,"",_xlfn.XLOOKUP(BY7, AutoFill_classes!$A:$A, AutoFill_classes!$B:$B,""))</f>
        <v/>
      </c>
      <c r="CB7" s="154"/>
      <c r="CC7" s="20"/>
      <c r="CD7" s="20"/>
      <c r="CE7" s="20"/>
      <c r="CF7" s="33"/>
      <c r="CG7" s="34"/>
      <c r="CH7" s="144"/>
      <c r="CI7" s="35"/>
      <c r="CJ7" s="60" t="str">
        <f t="shared" si="18"/>
        <v/>
      </c>
      <c r="CK7" s="32"/>
      <c r="CL7" s="32"/>
      <c r="CM7" s="32"/>
      <c r="CN7" s="32"/>
      <c r="CO7" s="58" t="str">
        <f t="shared" si="19"/>
        <v/>
      </c>
      <c r="CP7" s="20"/>
      <c r="CQ7" s="58" t="str">
        <f t="shared" si="20"/>
        <v/>
      </c>
      <c r="CR7" s="32"/>
      <c r="CS7" s="32"/>
      <c r="CT7" s="58" t="str">
        <f t="shared" si="21"/>
        <v/>
      </c>
      <c r="CU7" s="20"/>
      <c r="CV7" s="58" t="str">
        <f t="shared" si="22"/>
        <v/>
      </c>
      <c r="CW7" s="32"/>
      <c r="CX7" s="32"/>
      <c r="CY7" s="58" t="str">
        <f t="shared" si="23"/>
        <v/>
      </c>
      <c r="CZ7" s="58" t="str">
        <f t="shared" si="24"/>
        <v/>
      </c>
      <c r="DA7" s="58" t="str">
        <f t="shared" si="25"/>
        <v/>
      </c>
      <c r="DB7" s="59" t="str">
        <f t="shared" si="26"/>
        <v/>
      </c>
      <c r="DC7" s="20"/>
      <c r="DD7" s="144"/>
      <c r="DE7" s="91">
        <v>5</v>
      </c>
      <c r="DF7" s="39"/>
      <c r="DG7" s="39"/>
      <c r="DH7" s="39"/>
      <c r="DI7" s="39"/>
      <c r="DJ7" s="39"/>
      <c r="DK7" s="39"/>
      <c r="DL7" s="39"/>
      <c r="DM7" s="39"/>
      <c r="DN7" s="39"/>
      <c r="DO7" s="39"/>
      <c r="DP7" s="39"/>
      <c r="DQ7" s="39"/>
      <c r="DR7" s="39"/>
      <c r="DS7" s="39"/>
      <c r="DT7" s="39"/>
      <c r="DU7" s="39"/>
      <c r="DV7" s="39"/>
      <c r="DW7" s="39"/>
      <c r="DX7" s="39"/>
      <c r="DY7" s="39"/>
      <c r="DZ7" s="39"/>
      <c r="EA7" s="39"/>
      <c r="EB7" s="39"/>
      <c r="EC7" s="39"/>
      <c r="ED7" s="39"/>
      <c r="EE7" s="39"/>
      <c r="EF7" s="39"/>
      <c r="EG7" s="39"/>
      <c r="EH7" s="39"/>
      <c r="EI7" s="39"/>
      <c r="EJ7" s="39"/>
      <c r="EK7" s="39"/>
      <c r="EL7" s="39"/>
      <c r="EM7" s="39"/>
      <c r="EN7" s="39"/>
      <c r="EO7" s="39"/>
      <c r="EP7" s="39"/>
      <c r="EQ7" s="39"/>
      <c r="ER7" s="39"/>
      <c r="ES7" s="39"/>
      <c r="ET7" s="39"/>
      <c r="EU7" s="39"/>
      <c r="EV7" s="39"/>
      <c r="EW7" s="39"/>
      <c r="EX7" s="39"/>
      <c r="EY7" s="39"/>
      <c r="EZ7" s="39"/>
      <c r="FA7" s="39"/>
      <c r="FB7" s="39"/>
      <c r="FC7" s="39"/>
      <c r="FD7" s="39"/>
      <c r="FE7" s="39"/>
      <c r="FF7" s="39"/>
      <c r="FG7" s="39"/>
      <c r="FH7" s="39"/>
      <c r="FI7" s="39"/>
      <c r="FJ7" s="39"/>
      <c r="FK7" s="39"/>
      <c r="FL7" s="39"/>
      <c r="FM7" s="39"/>
      <c r="FN7" s="39"/>
      <c r="FO7" s="39"/>
      <c r="FP7" s="39"/>
      <c r="FQ7" s="39"/>
      <c r="FR7" s="39"/>
      <c r="FS7" s="39"/>
      <c r="FT7" s="39"/>
    </row>
    <row r="8" spans="1:176" s="22" customFormat="1" ht="13">
      <c r="A8" s="7"/>
      <c r="B8" s="23" t="str">
        <f>IF(_xlfn.XLOOKUP(A8, AutoFill_names!B:B, AutoFill_names!C:C,"")=0,"",_xlfn.XLOOKUP(A8, AutoFill_names!B:B, AutoFill_names!C:C,""))</f>
        <v/>
      </c>
      <c r="C8" s="23" t="str">
        <f>IF(_xlfn.XLOOKUP(A8, AutoFill_names!B:B, AutoFill_names!D:D,"")=0,"",_xlfn.XLOOKUP(A8, AutoFill_names!B:B, AutoFill_names!D:D,""))</f>
        <v/>
      </c>
      <c r="D8" s="23" t="str">
        <f>IF(_xlfn.XLOOKUP(A8, AutoFill_names!B:B, AutoFill_names!E:E,"")=0,"",_xlfn.XLOOKUP(A8, AutoFill_names!B:B, AutoFill_names!E:E,""))</f>
        <v/>
      </c>
      <c r="E8" s="23" t="str">
        <f>IF(_xlfn.XLOOKUP(A8, AutoFill_names!B:B, AutoFill_names!F:F,"")=0,"",_xlfn.XLOOKUP(A8, AutoFill_names!B:B, AutoFill_names!F:F,""))</f>
        <v/>
      </c>
      <c r="F8" s="4"/>
      <c r="G8" s="4"/>
      <c r="H8" s="4"/>
      <c r="I8" s="4"/>
      <c r="J8" s="23" t="str">
        <f>IF(_xlfn.XLOOKUP(A8, AutoFill_names!B:B, AutoFill_names!K:K,"")=0,"",_xlfn.XLOOKUP(A8, AutoFill_names!B:B, AutoFill_names!K:K,""))</f>
        <v/>
      </c>
      <c r="K8" s="23" t="str">
        <f>IF(_xlfn.XLOOKUP(A8, AutoFill_names!B:B, AutoFill_names!L:L,"")=0,"",_xlfn.XLOOKUP(A8, AutoFill_names!B:B, AutoFill_names!L:L,""))</f>
        <v/>
      </c>
      <c r="L8" s="45"/>
      <c r="M8" s="45"/>
      <c r="N8" s="61" t="str">
        <f>IF(_xlfn.XLOOKUP(L8, AutoFill_classes!A:A, AutoFill_classes!B:B,"")=0,"",_xlfn.XLOOKUP(L8, AutoFill_classes!A:A, AutoFill_classes!B:B,""))</f>
        <v/>
      </c>
      <c r="O8" s="154"/>
      <c r="P8" s="9"/>
      <c r="Q8" s="9"/>
      <c r="R8" s="9"/>
      <c r="S8" s="4"/>
      <c r="T8" s="4"/>
      <c r="U8" s="4"/>
      <c r="V8" s="4"/>
      <c r="W8" s="4"/>
      <c r="X8" s="144"/>
      <c r="Y8" s="27"/>
      <c r="Z8" s="60" t="str">
        <f t="shared" si="0"/>
        <v/>
      </c>
      <c r="AA8" s="32"/>
      <c r="AB8" s="32"/>
      <c r="AC8" s="32"/>
      <c r="AD8" s="32"/>
      <c r="AE8" s="58" t="str">
        <f t="shared" si="1"/>
        <v/>
      </c>
      <c r="AF8" s="20"/>
      <c r="AG8" s="58" t="str">
        <f t="shared" si="2"/>
        <v/>
      </c>
      <c r="AH8" s="32"/>
      <c r="AI8" s="32"/>
      <c r="AJ8" s="58" t="str">
        <f t="shared" si="3"/>
        <v/>
      </c>
      <c r="AK8" s="20"/>
      <c r="AL8" s="58" t="str">
        <f t="shared" si="4"/>
        <v/>
      </c>
      <c r="AM8" s="32"/>
      <c r="AN8" s="32"/>
      <c r="AO8" s="58" t="str">
        <f t="shared" si="5"/>
        <v/>
      </c>
      <c r="AP8" s="58" t="str">
        <f t="shared" si="6"/>
        <v/>
      </c>
      <c r="AQ8" s="58" t="str">
        <f t="shared" si="7"/>
        <v/>
      </c>
      <c r="AR8" s="59" t="str">
        <f t="shared" si="8"/>
        <v/>
      </c>
      <c r="AS8" s="20"/>
      <c r="AT8" s="47"/>
      <c r="AU8" s="47"/>
      <c r="AV8" s="61" t="str">
        <f>IF(_xlfn.XLOOKUP(AT8, AutoFill_classes!$A:$A, AutoFill_classes!$B:$B,"")=0,"",_xlfn.XLOOKUP(AT8, AutoFill_classes!$A:$A, AutoFill_classes!$B:$B,""))</f>
        <v/>
      </c>
      <c r="AW8" s="154"/>
      <c r="AX8" s="14"/>
      <c r="AY8" s="14"/>
      <c r="AZ8" s="14"/>
      <c r="BA8" s="16"/>
      <c r="BB8" s="16"/>
      <c r="BC8" s="144"/>
      <c r="BD8" s="29"/>
      <c r="BE8" s="60" t="str">
        <f t="shared" si="9"/>
        <v/>
      </c>
      <c r="BF8" s="32"/>
      <c r="BG8" s="32"/>
      <c r="BH8" s="32"/>
      <c r="BI8" s="32"/>
      <c r="BJ8" s="58" t="str">
        <f t="shared" si="10"/>
        <v/>
      </c>
      <c r="BK8" s="20"/>
      <c r="BL8" s="58" t="str">
        <f t="shared" si="11"/>
        <v/>
      </c>
      <c r="BM8" s="32"/>
      <c r="BN8" s="32"/>
      <c r="BO8" s="58" t="str">
        <f t="shared" si="12"/>
        <v/>
      </c>
      <c r="BP8" s="20"/>
      <c r="BQ8" s="58" t="str">
        <f t="shared" si="13"/>
        <v/>
      </c>
      <c r="BR8" s="32"/>
      <c r="BS8" s="32"/>
      <c r="BT8" s="58" t="str">
        <f t="shared" si="14"/>
        <v/>
      </c>
      <c r="BU8" s="58" t="str">
        <f t="shared" si="15"/>
        <v/>
      </c>
      <c r="BV8" s="58" t="str">
        <f t="shared" si="16"/>
        <v/>
      </c>
      <c r="BW8" s="59" t="str">
        <f t="shared" si="17"/>
        <v/>
      </c>
      <c r="BX8" s="14"/>
      <c r="BY8" s="21"/>
      <c r="BZ8" s="20"/>
      <c r="CA8" s="61" t="str">
        <f>IF(_xlfn.XLOOKUP(BY8, AutoFill_classes!$A:$A, AutoFill_classes!$B:$B,"")=0,"",_xlfn.XLOOKUP(BY8, AutoFill_classes!$A:$A, AutoFill_classes!$B:$B,""))</f>
        <v/>
      </c>
      <c r="CB8" s="154"/>
      <c r="CC8" s="20"/>
      <c r="CD8" s="20"/>
      <c r="CE8" s="20"/>
      <c r="CF8" s="33"/>
      <c r="CG8" s="34"/>
      <c r="CH8" s="144"/>
      <c r="CI8" s="35"/>
      <c r="CJ8" s="60" t="str">
        <f t="shared" si="18"/>
        <v/>
      </c>
      <c r="CK8" s="32"/>
      <c r="CL8" s="32"/>
      <c r="CM8" s="32"/>
      <c r="CN8" s="32"/>
      <c r="CO8" s="58" t="str">
        <f t="shared" si="19"/>
        <v/>
      </c>
      <c r="CP8" s="20"/>
      <c r="CQ8" s="58" t="str">
        <f t="shared" si="20"/>
        <v/>
      </c>
      <c r="CR8" s="32"/>
      <c r="CS8" s="32"/>
      <c r="CT8" s="58" t="str">
        <f t="shared" si="21"/>
        <v/>
      </c>
      <c r="CU8" s="20"/>
      <c r="CV8" s="58" t="str">
        <f t="shared" si="22"/>
        <v/>
      </c>
      <c r="CW8" s="32"/>
      <c r="CX8" s="32"/>
      <c r="CY8" s="58" t="str">
        <f t="shared" si="23"/>
        <v/>
      </c>
      <c r="CZ8" s="58" t="str">
        <f t="shared" si="24"/>
        <v/>
      </c>
      <c r="DA8" s="58" t="str">
        <f t="shared" si="25"/>
        <v/>
      </c>
      <c r="DB8" s="59" t="str">
        <f t="shared" si="26"/>
        <v/>
      </c>
      <c r="DC8" s="20"/>
      <c r="DD8" s="144"/>
      <c r="DE8" s="91">
        <v>6</v>
      </c>
      <c r="DF8" s="39"/>
      <c r="DG8" s="39"/>
      <c r="DH8" s="39"/>
      <c r="DI8" s="39"/>
      <c r="DJ8" s="39"/>
      <c r="DK8" s="39"/>
      <c r="DL8" s="39"/>
      <c r="DM8" s="39"/>
      <c r="DN8" s="39"/>
      <c r="DO8" s="39"/>
      <c r="DP8" s="39"/>
      <c r="DQ8" s="39"/>
      <c r="DR8" s="39"/>
      <c r="DS8" s="39"/>
      <c r="DT8" s="39"/>
      <c r="DU8" s="39"/>
      <c r="DV8" s="39"/>
      <c r="DW8" s="39"/>
      <c r="DX8" s="39"/>
      <c r="DY8" s="39"/>
      <c r="DZ8" s="39"/>
      <c r="EA8" s="39"/>
      <c r="EB8" s="39"/>
      <c r="EC8" s="39"/>
      <c r="ED8" s="39"/>
      <c r="EE8" s="39"/>
      <c r="EF8" s="39"/>
      <c r="EG8" s="39"/>
      <c r="EH8" s="39"/>
      <c r="EI8" s="39"/>
      <c r="EJ8" s="39"/>
      <c r="EK8" s="39"/>
      <c r="EL8" s="39"/>
      <c r="EM8" s="39"/>
      <c r="EN8" s="39"/>
      <c r="EO8" s="39"/>
      <c r="EP8" s="39"/>
      <c r="EQ8" s="39"/>
      <c r="ER8" s="39"/>
      <c r="ES8" s="39"/>
      <c r="ET8" s="39"/>
      <c r="EU8" s="39"/>
      <c r="EV8" s="39"/>
      <c r="EW8" s="39"/>
      <c r="EX8" s="39"/>
      <c r="EY8" s="39"/>
      <c r="EZ8" s="39"/>
      <c r="FA8" s="39"/>
      <c r="FB8" s="39"/>
      <c r="FC8" s="39"/>
      <c r="FD8" s="39"/>
      <c r="FE8" s="39"/>
      <c r="FF8" s="39"/>
      <c r="FG8" s="39"/>
      <c r="FH8" s="39"/>
      <c r="FI8" s="39"/>
      <c r="FJ8" s="39"/>
      <c r="FK8" s="39"/>
      <c r="FL8" s="39"/>
      <c r="FM8" s="39"/>
      <c r="FN8" s="39"/>
      <c r="FO8" s="39"/>
      <c r="FP8" s="39"/>
      <c r="FQ8" s="39"/>
      <c r="FR8" s="39"/>
      <c r="FS8" s="39"/>
      <c r="FT8" s="39"/>
    </row>
    <row r="9" spans="1:176" s="22" customFormat="1" ht="13">
      <c r="A9" s="7"/>
      <c r="B9" s="23" t="str">
        <f>IF(_xlfn.XLOOKUP(A9, AutoFill_names!B:B, AutoFill_names!C:C,"")=0,"",_xlfn.XLOOKUP(A9, AutoFill_names!B:B, AutoFill_names!C:C,""))</f>
        <v/>
      </c>
      <c r="C9" s="23" t="str">
        <f>IF(_xlfn.XLOOKUP(A9, AutoFill_names!B:B, AutoFill_names!D:D,"")=0,"",_xlfn.XLOOKUP(A9, AutoFill_names!B:B, AutoFill_names!D:D,""))</f>
        <v/>
      </c>
      <c r="D9" s="23" t="str">
        <f>IF(_xlfn.XLOOKUP(A9, AutoFill_names!B:B, AutoFill_names!E:E,"")=0,"",_xlfn.XLOOKUP(A9, AutoFill_names!B:B, AutoFill_names!E:E,""))</f>
        <v/>
      </c>
      <c r="E9" s="23" t="str">
        <f>IF(_xlfn.XLOOKUP(A9, AutoFill_names!B:B, AutoFill_names!F:F,"")=0,"",_xlfn.XLOOKUP(A9, AutoFill_names!B:B, AutoFill_names!F:F,""))</f>
        <v/>
      </c>
      <c r="F9" s="4"/>
      <c r="G9" s="4"/>
      <c r="H9" s="4"/>
      <c r="I9" s="4"/>
      <c r="J9" s="23" t="str">
        <f>IF(_xlfn.XLOOKUP(A9, AutoFill_names!B:B, AutoFill_names!K:K,"")=0,"",_xlfn.XLOOKUP(A9, AutoFill_names!B:B, AutoFill_names!K:K,""))</f>
        <v/>
      </c>
      <c r="K9" s="23" t="str">
        <f>IF(_xlfn.XLOOKUP(A9, AutoFill_names!B:B, AutoFill_names!L:L,"")=0,"",_xlfn.XLOOKUP(A9, AutoFill_names!B:B, AutoFill_names!L:L,""))</f>
        <v/>
      </c>
      <c r="L9" s="45"/>
      <c r="M9" s="45"/>
      <c r="N9" s="61" t="str">
        <f>IF(_xlfn.XLOOKUP(L9, AutoFill_classes!A:A, AutoFill_classes!B:B,"")=0,"",_xlfn.XLOOKUP(L9, AutoFill_classes!A:A, AutoFill_classes!B:B,""))</f>
        <v/>
      </c>
      <c r="O9" s="154"/>
      <c r="P9" s="9"/>
      <c r="Q9" s="9"/>
      <c r="R9" s="9"/>
      <c r="S9" s="5"/>
      <c r="T9" s="5"/>
      <c r="U9" s="5"/>
      <c r="V9" s="4"/>
      <c r="W9" s="4"/>
      <c r="X9" s="145"/>
      <c r="Y9" s="29"/>
      <c r="Z9" s="60" t="str">
        <f t="shared" si="0"/>
        <v/>
      </c>
      <c r="AA9" s="32"/>
      <c r="AB9" s="32"/>
      <c r="AC9" s="32"/>
      <c r="AD9" s="32"/>
      <c r="AE9" s="58" t="str">
        <f t="shared" si="1"/>
        <v/>
      </c>
      <c r="AF9" s="20"/>
      <c r="AG9" s="58" t="str">
        <f t="shared" si="2"/>
        <v/>
      </c>
      <c r="AH9" s="32"/>
      <c r="AI9" s="32"/>
      <c r="AJ9" s="58" t="str">
        <f t="shared" si="3"/>
        <v/>
      </c>
      <c r="AK9" s="20"/>
      <c r="AL9" s="58" t="str">
        <f t="shared" si="4"/>
        <v/>
      </c>
      <c r="AM9" s="32"/>
      <c r="AN9" s="32"/>
      <c r="AO9" s="58" t="str">
        <f t="shared" si="5"/>
        <v/>
      </c>
      <c r="AP9" s="58" t="str">
        <f t="shared" si="6"/>
        <v/>
      </c>
      <c r="AQ9" s="58" t="str">
        <f t="shared" si="7"/>
        <v/>
      </c>
      <c r="AR9" s="59" t="str">
        <f t="shared" si="8"/>
        <v/>
      </c>
      <c r="AS9" s="20"/>
      <c r="AT9" s="14"/>
      <c r="AU9" s="14"/>
      <c r="AV9" s="61" t="str">
        <f>IF(_xlfn.XLOOKUP(AT9, AutoFill_classes!$A:$A, AutoFill_classes!$B:$B,"")=0,"",_xlfn.XLOOKUP(AT9, AutoFill_classes!$A:$A, AutoFill_classes!$B:$B,""))</f>
        <v/>
      </c>
      <c r="AW9" s="154"/>
      <c r="AX9" s="14"/>
      <c r="AY9" s="15"/>
      <c r="AZ9" s="14"/>
      <c r="BA9" s="16"/>
      <c r="BB9" s="16"/>
      <c r="BC9" s="145"/>
      <c r="BD9" s="29"/>
      <c r="BE9" s="60" t="str">
        <f t="shared" si="9"/>
        <v/>
      </c>
      <c r="BF9" s="32"/>
      <c r="BG9" s="32"/>
      <c r="BH9" s="32"/>
      <c r="BI9" s="32"/>
      <c r="BJ9" s="58" t="str">
        <f t="shared" si="10"/>
        <v/>
      </c>
      <c r="BK9" s="20"/>
      <c r="BL9" s="58" t="str">
        <f t="shared" si="11"/>
        <v/>
      </c>
      <c r="BM9" s="32"/>
      <c r="BN9" s="32"/>
      <c r="BO9" s="58" t="str">
        <f t="shared" si="12"/>
        <v/>
      </c>
      <c r="BP9" s="20"/>
      <c r="BQ9" s="58" t="str">
        <f t="shared" si="13"/>
        <v/>
      </c>
      <c r="BR9" s="32"/>
      <c r="BS9" s="32"/>
      <c r="BT9" s="58" t="str">
        <f t="shared" si="14"/>
        <v/>
      </c>
      <c r="BU9" s="58" t="str">
        <f t="shared" si="15"/>
        <v/>
      </c>
      <c r="BV9" s="58" t="str">
        <f t="shared" si="16"/>
        <v/>
      </c>
      <c r="BW9" s="59" t="str">
        <f t="shared" si="17"/>
        <v/>
      </c>
      <c r="BX9" s="14"/>
      <c r="BY9" s="21"/>
      <c r="BZ9" s="20"/>
      <c r="CA9" s="61" t="str">
        <f>IF(_xlfn.XLOOKUP(BY9, AutoFill_classes!$A:$A, AutoFill_classes!$B:$B,"")=0,"",_xlfn.XLOOKUP(BY9, AutoFill_classes!$A:$A, AutoFill_classes!$B:$B,""))</f>
        <v/>
      </c>
      <c r="CB9" s="154"/>
      <c r="CC9" s="20"/>
      <c r="CD9" s="20"/>
      <c r="CE9" s="20"/>
      <c r="CF9" s="33"/>
      <c r="CG9" s="34"/>
      <c r="CH9" s="145"/>
      <c r="CI9" s="35"/>
      <c r="CJ9" s="60" t="str">
        <f t="shared" si="18"/>
        <v/>
      </c>
      <c r="CK9" s="32"/>
      <c r="CL9" s="32"/>
      <c r="CM9" s="32"/>
      <c r="CN9" s="32"/>
      <c r="CO9" s="58" t="str">
        <f t="shared" si="19"/>
        <v/>
      </c>
      <c r="CP9" s="20"/>
      <c r="CQ9" s="58" t="str">
        <f t="shared" si="20"/>
        <v/>
      </c>
      <c r="CR9" s="32"/>
      <c r="CS9" s="32"/>
      <c r="CT9" s="58" t="str">
        <f t="shared" si="21"/>
        <v/>
      </c>
      <c r="CU9" s="20"/>
      <c r="CV9" s="58" t="str">
        <f t="shared" si="22"/>
        <v/>
      </c>
      <c r="CW9" s="32"/>
      <c r="CX9" s="32"/>
      <c r="CY9" s="58" t="str">
        <f t="shared" si="23"/>
        <v/>
      </c>
      <c r="CZ9" s="58" t="str">
        <f t="shared" si="24"/>
        <v/>
      </c>
      <c r="DA9" s="58" t="str">
        <f t="shared" si="25"/>
        <v/>
      </c>
      <c r="DB9" s="59" t="str">
        <f t="shared" si="26"/>
        <v/>
      </c>
      <c r="DC9" s="20"/>
      <c r="DD9" s="144"/>
      <c r="DE9" s="91">
        <v>7</v>
      </c>
      <c r="DF9" s="39"/>
      <c r="DG9" s="39"/>
      <c r="DH9" s="39"/>
      <c r="DI9" s="39"/>
      <c r="DJ9" s="39"/>
      <c r="DK9" s="39"/>
      <c r="DL9" s="39"/>
      <c r="DM9" s="39"/>
      <c r="DN9" s="39"/>
      <c r="DO9" s="39"/>
      <c r="DP9" s="39"/>
      <c r="DQ9" s="39"/>
      <c r="DR9" s="39"/>
      <c r="DS9" s="39"/>
      <c r="DT9" s="39"/>
      <c r="DU9" s="39"/>
      <c r="DV9" s="39"/>
      <c r="DW9" s="39"/>
      <c r="DX9" s="39"/>
      <c r="DY9" s="39"/>
      <c r="DZ9" s="39"/>
      <c r="EA9" s="39"/>
      <c r="EB9" s="39"/>
      <c r="EC9" s="39"/>
      <c r="ED9" s="39"/>
      <c r="EE9" s="39"/>
      <c r="EF9" s="39"/>
      <c r="EG9" s="39"/>
      <c r="EH9" s="39"/>
      <c r="EI9" s="39"/>
      <c r="EJ9" s="39"/>
      <c r="EK9" s="39"/>
      <c r="EL9" s="39"/>
      <c r="EM9" s="39"/>
      <c r="EN9" s="39"/>
      <c r="EO9" s="39"/>
      <c r="EP9" s="39"/>
      <c r="EQ9" s="39"/>
      <c r="ER9" s="39"/>
      <c r="ES9" s="39"/>
      <c r="ET9" s="39"/>
      <c r="EU9" s="39"/>
      <c r="EV9" s="39"/>
      <c r="EW9" s="39"/>
      <c r="EX9" s="39"/>
      <c r="EY9" s="39"/>
      <c r="EZ9" s="39"/>
      <c r="FA9" s="39"/>
      <c r="FB9" s="39"/>
      <c r="FC9" s="39"/>
      <c r="FD9" s="39"/>
      <c r="FE9" s="39"/>
      <c r="FF9" s="39"/>
      <c r="FG9" s="39"/>
      <c r="FH9" s="39"/>
      <c r="FI9" s="39"/>
      <c r="FJ9" s="39"/>
      <c r="FK9" s="39"/>
      <c r="FL9" s="39"/>
      <c r="FM9" s="39"/>
      <c r="FN9" s="39"/>
      <c r="FO9" s="39"/>
      <c r="FP9" s="39"/>
      <c r="FQ9" s="39"/>
      <c r="FR9" s="39"/>
      <c r="FS9" s="39"/>
      <c r="FT9" s="39"/>
    </row>
    <row r="10" spans="1:176" s="22" customFormat="1" ht="13">
      <c r="A10" s="7"/>
      <c r="B10" s="23" t="str">
        <f>IF(_xlfn.XLOOKUP(A10, AutoFill_names!B:B, AutoFill_names!C:C,"")=0,"",_xlfn.XLOOKUP(A10, AutoFill_names!B:B, AutoFill_names!C:C,""))</f>
        <v/>
      </c>
      <c r="C10" s="23" t="str">
        <f>IF(_xlfn.XLOOKUP(A10, AutoFill_names!B:B, AutoFill_names!D:D,"")=0,"",_xlfn.XLOOKUP(A10, AutoFill_names!B:B, AutoFill_names!D:D,""))</f>
        <v/>
      </c>
      <c r="D10" s="23" t="str">
        <f>IF(_xlfn.XLOOKUP(A10, AutoFill_names!B:B, AutoFill_names!E:E,"")=0,"",_xlfn.XLOOKUP(A10, AutoFill_names!B:B, AutoFill_names!E:E,""))</f>
        <v/>
      </c>
      <c r="E10" s="23" t="str">
        <f>IF(_xlfn.XLOOKUP(A10, AutoFill_names!B:B, AutoFill_names!F:F,"")=0,"",_xlfn.XLOOKUP(A10, AutoFill_names!B:B, AutoFill_names!F:F,""))</f>
        <v/>
      </c>
      <c r="F10" s="4"/>
      <c r="G10" s="4"/>
      <c r="H10" s="4"/>
      <c r="I10" s="4"/>
      <c r="J10" s="23" t="str">
        <f>IF(_xlfn.XLOOKUP(A10, AutoFill_names!B:B, AutoFill_names!K:K,"")=0,"",_xlfn.XLOOKUP(A10, AutoFill_names!B:B, AutoFill_names!K:K,""))</f>
        <v/>
      </c>
      <c r="K10" s="23" t="str">
        <f>IF(_xlfn.XLOOKUP(A10, AutoFill_names!B:B, AutoFill_names!L:L,"")=0,"",_xlfn.XLOOKUP(A10, AutoFill_names!B:B, AutoFill_names!L:L,""))</f>
        <v/>
      </c>
      <c r="L10" s="45"/>
      <c r="M10" s="45"/>
      <c r="N10" s="61" t="str">
        <f>IF(_xlfn.XLOOKUP(L10, AutoFill_classes!A:A, AutoFill_classes!B:B,"")=0,"",_xlfn.XLOOKUP(L10, AutoFill_classes!A:A, AutoFill_classes!B:B,""))</f>
        <v/>
      </c>
      <c r="O10" s="154"/>
      <c r="P10" s="9"/>
      <c r="Q10" s="9"/>
      <c r="R10" s="9"/>
      <c r="S10" s="4"/>
      <c r="T10" s="4"/>
      <c r="U10" s="4"/>
      <c r="V10" s="4"/>
      <c r="W10" s="4"/>
      <c r="X10" s="145"/>
      <c r="Y10" s="29"/>
      <c r="Z10" s="60" t="str">
        <f t="shared" si="0"/>
        <v/>
      </c>
      <c r="AA10" s="32"/>
      <c r="AB10" s="32"/>
      <c r="AC10" s="32"/>
      <c r="AD10" s="32"/>
      <c r="AE10" s="58" t="str">
        <f t="shared" si="1"/>
        <v/>
      </c>
      <c r="AF10" s="20"/>
      <c r="AG10" s="58" t="str">
        <f t="shared" si="2"/>
        <v/>
      </c>
      <c r="AH10" s="32"/>
      <c r="AI10" s="32"/>
      <c r="AJ10" s="58" t="str">
        <f t="shared" si="3"/>
        <v/>
      </c>
      <c r="AK10" s="20"/>
      <c r="AL10" s="58" t="str">
        <f t="shared" si="4"/>
        <v/>
      </c>
      <c r="AM10" s="32"/>
      <c r="AN10" s="32"/>
      <c r="AO10" s="58" t="str">
        <f t="shared" si="5"/>
        <v/>
      </c>
      <c r="AP10" s="58" t="str">
        <f t="shared" si="6"/>
        <v/>
      </c>
      <c r="AQ10" s="58" t="str">
        <f t="shared" si="7"/>
        <v/>
      </c>
      <c r="AR10" s="59" t="str">
        <f t="shared" si="8"/>
        <v/>
      </c>
      <c r="AS10" s="20"/>
      <c r="AT10" s="48"/>
      <c r="AU10" s="48"/>
      <c r="AV10" s="61" t="str">
        <f>IF(_xlfn.XLOOKUP(AT10, AutoFill_classes!$A:$A, AutoFill_classes!$B:$B,"")=0,"",_xlfn.XLOOKUP(AT10, AutoFill_classes!$A:$A, AutoFill_classes!$B:$B,""))</f>
        <v/>
      </c>
      <c r="AW10" s="154"/>
      <c r="AX10" s="14"/>
      <c r="AY10" s="15"/>
      <c r="AZ10" s="14"/>
      <c r="BA10" s="16"/>
      <c r="BB10" s="16"/>
      <c r="BC10" s="145"/>
      <c r="BD10" s="29"/>
      <c r="BE10" s="60" t="str">
        <f t="shared" si="9"/>
        <v/>
      </c>
      <c r="BF10" s="32"/>
      <c r="BG10" s="32"/>
      <c r="BH10" s="32"/>
      <c r="BI10" s="32"/>
      <c r="BJ10" s="58" t="str">
        <f t="shared" si="10"/>
        <v/>
      </c>
      <c r="BK10" s="20"/>
      <c r="BL10" s="58" t="str">
        <f t="shared" si="11"/>
        <v/>
      </c>
      <c r="BM10" s="32"/>
      <c r="BN10" s="32"/>
      <c r="BO10" s="58" t="str">
        <f t="shared" si="12"/>
        <v/>
      </c>
      <c r="BP10" s="20"/>
      <c r="BQ10" s="58" t="str">
        <f t="shared" si="13"/>
        <v/>
      </c>
      <c r="BR10" s="32"/>
      <c r="BS10" s="32"/>
      <c r="BT10" s="58" t="str">
        <f t="shared" si="14"/>
        <v/>
      </c>
      <c r="BU10" s="58" t="str">
        <f t="shared" si="15"/>
        <v/>
      </c>
      <c r="BV10" s="58" t="str">
        <f t="shared" si="16"/>
        <v/>
      </c>
      <c r="BW10" s="59" t="str">
        <f t="shared" si="17"/>
        <v/>
      </c>
      <c r="BX10" s="14"/>
      <c r="BY10" s="21"/>
      <c r="BZ10" s="20"/>
      <c r="CA10" s="61" t="str">
        <f>IF(_xlfn.XLOOKUP(BY10, AutoFill_classes!$A:$A, AutoFill_classes!$B:$B,"")=0,"",_xlfn.XLOOKUP(BY10, AutoFill_classes!$A:$A, AutoFill_classes!$B:$B,""))</f>
        <v/>
      </c>
      <c r="CB10" s="154"/>
      <c r="CC10" s="20"/>
      <c r="CD10" s="20"/>
      <c r="CE10" s="20"/>
      <c r="CF10" s="33"/>
      <c r="CG10" s="34"/>
      <c r="CH10" s="145"/>
      <c r="CI10" s="35"/>
      <c r="CJ10" s="60" t="str">
        <f t="shared" si="18"/>
        <v/>
      </c>
      <c r="CK10" s="32"/>
      <c r="CL10" s="32"/>
      <c r="CM10" s="32"/>
      <c r="CN10" s="32"/>
      <c r="CO10" s="58" t="str">
        <f t="shared" si="19"/>
        <v/>
      </c>
      <c r="CP10" s="20"/>
      <c r="CQ10" s="58" t="str">
        <f t="shared" si="20"/>
        <v/>
      </c>
      <c r="CR10" s="32"/>
      <c r="CS10" s="32"/>
      <c r="CT10" s="58" t="str">
        <f t="shared" si="21"/>
        <v/>
      </c>
      <c r="CU10" s="20"/>
      <c r="CV10" s="58" t="str">
        <f t="shared" si="22"/>
        <v/>
      </c>
      <c r="CW10" s="32"/>
      <c r="CX10" s="32"/>
      <c r="CY10" s="58" t="str">
        <f t="shared" si="23"/>
        <v/>
      </c>
      <c r="CZ10" s="58" t="str">
        <f t="shared" si="24"/>
        <v/>
      </c>
      <c r="DA10" s="58" t="str">
        <f t="shared" si="25"/>
        <v/>
      </c>
      <c r="DB10" s="59" t="str">
        <f t="shared" si="26"/>
        <v/>
      </c>
      <c r="DC10" s="20"/>
      <c r="DD10" s="144"/>
      <c r="DE10" s="91">
        <v>8</v>
      </c>
      <c r="DF10" s="39"/>
      <c r="DG10" s="39"/>
      <c r="DH10" s="39"/>
      <c r="DI10" s="39"/>
      <c r="DJ10" s="39"/>
      <c r="DK10" s="39"/>
      <c r="DL10" s="39"/>
      <c r="DM10" s="39"/>
      <c r="DN10" s="39"/>
      <c r="DO10" s="39"/>
      <c r="DP10" s="39"/>
      <c r="DQ10" s="39"/>
      <c r="DR10" s="39"/>
      <c r="DS10" s="39"/>
      <c r="DT10" s="39"/>
      <c r="DU10" s="39"/>
      <c r="DV10" s="39"/>
      <c r="DW10" s="39"/>
      <c r="DX10" s="39"/>
      <c r="DY10" s="39"/>
      <c r="DZ10" s="39"/>
      <c r="EA10" s="39"/>
      <c r="EB10" s="39"/>
      <c r="EC10" s="39"/>
      <c r="ED10" s="39"/>
      <c r="EE10" s="39"/>
      <c r="EF10" s="39"/>
      <c r="EG10" s="39"/>
      <c r="EH10" s="39"/>
      <c r="EI10" s="39"/>
      <c r="EJ10" s="39"/>
      <c r="EK10" s="39"/>
      <c r="EL10" s="39"/>
      <c r="EM10" s="39"/>
      <c r="EN10" s="39"/>
      <c r="EO10" s="39"/>
      <c r="EP10" s="39"/>
      <c r="EQ10" s="39"/>
      <c r="ER10" s="39"/>
      <c r="ES10" s="39"/>
      <c r="ET10" s="39"/>
      <c r="EU10" s="39"/>
      <c r="EV10" s="39"/>
      <c r="EW10" s="39"/>
      <c r="EX10" s="39"/>
      <c r="EY10" s="39"/>
      <c r="EZ10" s="39"/>
      <c r="FA10" s="39"/>
      <c r="FB10" s="39"/>
      <c r="FC10" s="39"/>
      <c r="FD10" s="39"/>
      <c r="FE10" s="39"/>
      <c r="FF10" s="39"/>
      <c r="FG10" s="39"/>
      <c r="FH10" s="39"/>
      <c r="FI10" s="39"/>
      <c r="FJ10" s="39"/>
      <c r="FK10" s="39"/>
      <c r="FL10" s="39"/>
      <c r="FM10" s="39"/>
      <c r="FN10" s="39"/>
      <c r="FO10" s="39"/>
      <c r="FP10" s="39"/>
      <c r="FQ10" s="39"/>
      <c r="FR10" s="39"/>
      <c r="FS10" s="39"/>
      <c r="FT10" s="39"/>
    </row>
    <row r="11" spans="1:176" s="22" customFormat="1" ht="13">
      <c r="A11" s="7"/>
      <c r="B11" s="23" t="str">
        <f>IF(_xlfn.XLOOKUP(A11, AutoFill_names!B:B, AutoFill_names!C:C,"")=0,"",_xlfn.XLOOKUP(A11, AutoFill_names!B:B, AutoFill_names!C:C,""))</f>
        <v/>
      </c>
      <c r="C11" s="23" t="str">
        <f>IF(_xlfn.XLOOKUP(A11, AutoFill_names!B:B, AutoFill_names!D:D,"")=0,"",_xlfn.XLOOKUP(A11, AutoFill_names!B:B, AutoFill_names!D:D,""))</f>
        <v/>
      </c>
      <c r="D11" s="23" t="str">
        <f>IF(_xlfn.XLOOKUP(A11, AutoFill_names!B:B, AutoFill_names!E:E,"")=0,"",_xlfn.XLOOKUP(A11, AutoFill_names!B:B, AutoFill_names!E:E,""))</f>
        <v/>
      </c>
      <c r="E11" s="23" t="str">
        <f>IF(_xlfn.XLOOKUP(A11, AutoFill_names!B:B, AutoFill_names!F:F,"")=0,"",_xlfn.XLOOKUP(A11, AutoFill_names!B:B, AutoFill_names!F:F,""))</f>
        <v/>
      </c>
      <c r="F11" s="4"/>
      <c r="G11" s="4"/>
      <c r="H11" s="4"/>
      <c r="I11" s="4"/>
      <c r="J11" s="23" t="str">
        <f>IF(_xlfn.XLOOKUP(A11, AutoFill_names!B:B, AutoFill_names!K:K,"")=0,"",_xlfn.XLOOKUP(A11, AutoFill_names!B:B, AutoFill_names!K:K,""))</f>
        <v/>
      </c>
      <c r="K11" s="23" t="str">
        <f>IF(_xlfn.XLOOKUP(A11, AutoFill_names!B:B, AutoFill_names!L:L,"")=0,"",_xlfn.XLOOKUP(A11, AutoFill_names!B:B, AutoFill_names!L:L,""))</f>
        <v/>
      </c>
      <c r="L11" s="45"/>
      <c r="M11" s="45"/>
      <c r="N11" s="61" t="str">
        <f>IF(_xlfn.XLOOKUP(L11, AutoFill_classes!A:A, AutoFill_classes!B:B,"")=0,"",_xlfn.XLOOKUP(L11, AutoFill_classes!A:A, AutoFill_classes!B:B,""))</f>
        <v/>
      </c>
      <c r="O11" s="154"/>
      <c r="P11" s="9"/>
      <c r="Q11" s="9"/>
      <c r="R11" s="9"/>
      <c r="S11" s="4"/>
      <c r="T11" s="4"/>
      <c r="U11" s="4"/>
      <c r="V11" s="4"/>
      <c r="W11" s="4"/>
      <c r="X11" s="145"/>
      <c r="Y11" s="29"/>
      <c r="Z11" s="60" t="str">
        <f t="shared" si="0"/>
        <v/>
      </c>
      <c r="AA11" s="32"/>
      <c r="AB11" s="32"/>
      <c r="AC11" s="32"/>
      <c r="AD11" s="32"/>
      <c r="AE11" s="58" t="str">
        <f t="shared" si="1"/>
        <v/>
      </c>
      <c r="AF11" s="20"/>
      <c r="AG11" s="58" t="str">
        <f t="shared" si="2"/>
        <v/>
      </c>
      <c r="AH11" s="32"/>
      <c r="AI11" s="32"/>
      <c r="AJ11" s="58" t="str">
        <f t="shared" si="3"/>
        <v/>
      </c>
      <c r="AK11" s="20"/>
      <c r="AL11" s="58" t="str">
        <f t="shared" si="4"/>
        <v/>
      </c>
      <c r="AM11" s="32"/>
      <c r="AN11" s="32"/>
      <c r="AO11" s="58" t="str">
        <f t="shared" si="5"/>
        <v/>
      </c>
      <c r="AP11" s="58" t="str">
        <f t="shared" si="6"/>
        <v/>
      </c>
      <c r="AQ11" s="58" t="str">
        <f t="shared" si="7"/>
        <v/>
      </c>
      <c r="AR11" s="59" t="str">
        <f t="shared" si="8"/>
        <v/>
      </c>
      <c r="AS11" s="20"/>
      <c r="AT11" s="48"/>
      <c r="AU11" s="48"/>
      <c r="AV11" s="61" t="str">
        <f>IF(_xlfn.XLOOKUP(AT11, AutoFill_classes!$A:$A, AutoFill_classes!$B:$B,"")=0,"",_xlfn.XLOOKUP(AT11, AutoFill_classes!$A:$A, AutoFill_classes!$B:$B,""))</f>
        <v/>
      </c>
      <c r="AW11" s="154"/>
      <c r="AX11" s="14"/>
      <c r="AY11" s="15"/>
      <c r="AZ11" s="14"/>
      <c r="BA11" s="16"/>
      <c r="BB11" s="16"/>
      <c r="BC11" s="145"/>
      <c r="BD11" s="29"/>
      <c r="BE11" s="60" t="str">
        <f t="shared" si="9"/>
        <v/>
      </c>
      <c r="BF11" s="32"/>
      <c r="BG11" s="32"/>
      <c r="BH11" s="32"/>
      <c r="BI11" s="32"/>
      <c r="BJ11" s="58" t="str">
        <f t="shared" si="10"/>
        <v/>
      </c>
      <c r="BK11" s="20"/>
      <c r="BL11" s="58" t="str">
        <f t="shared" si="11"/>
        <v/>
      </c>
      <c r="BM11" s="32"/>
      <c r="BN11" s="32"/>
      <c r="BO11" s="58" t="str">
        <f t="shared" si="12"/>
        <v/>
      </c>
      <c r="BP11" s="20"/>
      <c r="BQ11" s="58" t="str">
        <f t="shared" si="13"/>
        <v/>
      </c>
      <c r="BR11" s="32"/>
      <c r="BS11" s="32"/>
      <c r="BT11" s="58" t="str">
        <f t="shared" si="14"/>
        <v/>
      </c>
      <c r="BU11" s="58" t="str">
        <f t="shared" si="15"/>
        <v/>
      </c>
      <c r="BV11" s="58" t="str">
        <f t="shared" si="16"/>
        <v/>
      </c>
      <c r="BW11" s="59" t="str">
        <f t="shared" si="17"/>
        <v/>
      </c>
      <c r="BX11" s="14"/>
      <c r="BY11" s="21"/>
      <c r="BZ11" s="20"/>
      <c r="CA11" s="61" t="str">
        <f>IF(_xlfn.XLOOKUP(BY11, AutoFill_classes!$A:$A, AutoFill_classes!$B:$B,"")=0,"",_xlfn.XLOOKUP(BY11, AutoFill_classes!$A:$A, AutoFill_classes!$B:$B,""))</f>
        <v/>
      </c>
      <c r="CB11" s="154"/>
      <c r="CC11" s="20"/>
      <c r="CD11" s="20"/>
      <c r="CE11" s="20"/>
      <c r="CF11" s="33"/>
      <c r="CG11" s="34"/>
      <c r="CH11" s="145"/>
      <c r="CI11" s="35"/>
      <c r="CJ11" s="60" t="str">
        <f t="shared" si="18"/>
        <v/>
      </c>
      <c r="CK11" s="32"/>
      <c r="CL11" s="32"/>
      <c r="CM11" s="32"/>
      <c r="CN11" s="32"/>
      <c r="CO11" s="58" t="str">
        <f t="shared" si="19"/>
        <v/>
      </c>
      <c r="CP11" s="20"/>
      <c r="CQ11" s="58" t="str">
        <f t="shared" si="20"/>
        <v/>
      </c>
      <c r="CR11" s="32"/>
      <c r="CS11" s="32"/>
      <c r="CT11" s="58" t="str">
        <f t="shared" si="21"/>
        <v/>
      </c>
      <c r="CU11" s="20"/>
      <c r="CV11" s="58" t="str">
        <f t="shared" si="22"/>
        <v/>
      </c>
      <c r="CW11" s="32"/>
      <c r="CX11" s="32"/>
      <c r="CY11" s="58" t="str">
        <f t="shared" si="23"/>
        <v/>
      </c>
      <c r="CZ11" s="58" t="str">
        <f t="shared" si="24"/>
        <v/>
      </c>
      <c r="DA11" s="58" t="str">
        <f t="shared" si="25"/>
        <v/>
      </c>
      <c r="DB11" s="59" t="str">
        <f t="shared" si="26"/>
        <v/>
      </c>
      <c r="DC11" s="20"/>
      <c r="DD11" s="144"/>
      <c r="DE11" s="91">
        <v>9</v>
      </c>
      <c r="DF11" s="39"/>
      <c r="DG11" s="39"/>
      <c r="DH11" s="39"/>
      <c r="DI11" s="39"/>
      <c r="DJ11" s="39"/>
      <c r="DK11" s="39"/>
      <c r="DL11" s="39"/>
      <c r="DM11" s="39"/>
      <c r="DN11" s="39"/>
      <c r="DO11" s="39"/>
      <c r="DP11" s="39"/>
      <c r="DQ11" s="39"/>
      <c r="DR11" s="39"/>
      <c r="DS11" s="39"/>
      <c r="DT11" s="39"/>
      <c r="DU11" s="39"/>
      <c r="DV11" s="39"/>
      <c r="DW11" s="39"/>
      <c r="DX11" s="39"/>
      <c r="DY11" s="39"/>
      <c r="DZ11" s="39"/>
      <c r="EA11" s="39"/>
      <c r="EB11" s="39"/>
      <c r="EC11" s="39"/>
      <c r="ED11" s="39"/>
      <c r="EE11" s="39"/>
      <c r="EF11" s="39"/>
      <c r="EG11" s="39"/>
      <c r="EH11" s="39"/>
      <c r="EI11" s="39"/>
      <c r="EJ11" s="39"/>
      <c r="EK11" s="39"/>
      <c r="EL11" s="39"/>
      <c r="EM11" s="39"/>
      <c r="EN11" s="39"/>
      <c r="EO11" s="39"/>
      <c r="EP11" s="39"/>
      <c r="EQ11" s="39"/>
      <c r="ER11" s="39"/>
      <c r="ES11" s="39"/>
      <c r="ET11" s="39"/>
      <c r="EU11" s="39"/>
      <c r="EV11" s="39"/>
      <c r="EW11" s="39"/>
      <c r="EX11" s="39"/>
      <c r="EY11" s="39"/>
      <c r="EZ11" s="39"/>
      <c r="FA11" s="39"/>
      <c r="FB11" s="39"/>
      <c r="FC11" s="39"/>
      <c r="FD11" s="39"/>
      <c r="FE11" s="39"/>
      <c r="FF11" s="39"/>
      <c r="FG11" s="39"/>
      <c r="FH11" s="39"/>
      <c r="FI11" s="39"/>
      <c r="FJ11" s="39"/>
      <c r="FK11" s="39"/>
      <c r="FL11" s="39"/>
      <c r="FM11" s="39"/>
      <c r="FN11" s="39"/>
      <c r="FO11" s="39"/>
      <c r="FP11" s="39"/>
      <c r="FQ11" s="39"/>
      <c r="FR11" s="39"/>
      <c r="FS11" s="39"/>
      <c r="FT11" s="39"/>
    </row>
    <row r="12" spans="1:176" s="113" customFormat="1" ht="68">
      <c r="A12" s="153" t="s">
        <v>1286</v>
      </c>
      <c r="B12" s="93" t="str">
        <f>"Total Credits: " &amp; IFERROR(IF(DD12=0,"",DD12),"")</f>
        <v>Total Credits: 18</v>
      </c>
      <c r="C12" s="114"/>
      <c r="D12" s="114"/>
      <c r="E12" s="114"/>
      <c r="F12" s="114"/>
      <c r="G12" s="114"/>
      <c r="H12" s="114"/>
      <c r="I12" s="114"/>
      <c r="J12" s="114"/>
      <c r="K12" s="114"/>
      <c r="L12" s="115"/>
      <c r="M12" s="115"/>
      <c r="N12" s="116"/>
      <c r="O12" s="116"/>
      <c r="P12" s="96"/>
      <c r="Q12" s="96"/>
      <c r="R12" s="96"/>
      <c r="S12" s="115"/>
      <c r="T12" s="115"/>
      <c r="U12" s="115"/>
      <c r="V12" s="97"/>
      <c r="W12" s="97"/>
      <c r="X12" s="143">
        <f>IF(SUM(X13:X21)=0,"", SUM(X13:X21))</f>
        <v>6</v>
      </c>
      <c r="Y12" s="117"/>
      <c r="Z12" s="118"/>
      <c r="AA12" s="100"/>
      <c r="AB12" s="100"/>
      <c r="AC12" s="100"/>
      <c r="AD12" s="100"/>
      <c r="AE12" s="101"/>
      <c r="AF12" s="102"/>
      <c r="AG12" s="101"/>
      <c r="AH12" s="100"/>
      <c r="AI12" s="100"/>
      <c r="AJ12" s="101"/>
      <c r="AK12" s="102"/>
      <c r="AL12" s="101"/>
      <c r="AM12" s="100"/>
      <c r="AN12" s="100"/>
      <c r="AO12" s="103"/>
      <c r="AP12" s="103"/>
      <c r="AQ12" s="103"/>
      <c r="AR12" s="103"/>
      <c r="AS12" s="104"/>
      <c r="AT12" s="119"/>
      <c r="AU12" s="119"/>
      <c r="AV12" s="120"/>
      <c r="AW12" s="116"/>
      <c r="AX12" s="119"/>
      <c r="AY12" s="119"/>
      <c r="AZ12" s="119"/>
      <c r="BA12" s="112"/>
      <c r="BB12" s="112"/>
      <c r="BC12" s="143">
        <f>IF(SUM(BC13:BC21)=0, "", SUM(BC13:BC21))</f>
        <v>6</v>
      </c>
      <c r="BD12" s="121"/>
      <c r="BE12" s="122"/>
      <c r="BF12" s="123"/>
      <c r="BG12" s="123"/>
      <c r="BH12" s="123"/>
      <c r="BI12" s="123"/>
      <c r="BJ12" s="124"/>
      <c r="BK12" s="125"/>
      <c r="BL12" s="124"/>
      <c r="BM12" s="123"/>
      <c r="BN12" s="123"/>
      <c r="BO12" s="124"/>
      <c r="BP12" s="125"/>
      <c r="BQ12" s="124"/>
      <c r="BR12" s="123"/>
      <c r="BS12" s="123"/>
      <c r="BT12" s="124"/>
      <c r="BU12" s="124"/>
      <c r="BV12" s="124"/>
      <c r="BW12" s="103"/>
      <c r="BX12" s="125"/>
      <c r="BY12" s="119"/>
      <c r="BZ12" s="119"/>
      <c r="CA12" s="120"/>
      <c r="CB12" s="116"/>
      <c r="CC12" s="119"/>
      <c r="CD12" s="119"/>
      <c r="CE12" s="119"/>
      <c r="CF12" s="97"/>
      <c r="CG12" s="98"/>
      <c r="CH12" s="143">
        <f>IF(SUM(CH13:CH21)=0, "", SUM(CH13:CH21))</f>
        <v>6</v>
      </c>
      <c r="CI12" s="121"/>
      <c r="CJ12" s="122"/>
      <c r="CK12" s="123"/>
      <c r="CL12" s="123"/>
      <c r="CM12" s="123"/>
      <c r="CN12" s="123"/>
      <c r="CP12" s="125"/>
      <c r="CR12" s="123"/>
      <c r="CS12" s="123"/>
      <c r="CU12" s="125"/>
      <c r="CW12" s="123"/>
      <c r="CX12" s="123"/>
      <c r="DB12" s="103"/>
      <c r="DC12" s="125"/>
      <c r="DD12" s="143">
        <f>IF(SUM(L12:DC12)=0, "", SUM(L12:DC12))</f>
        <v>18</v>
      </c>
      <c r="DE12" s="91">
        <v>10</v>
      </c>
      <c r="DF12" s="26"/>
      <c r="DG12" s="26"/>
      <c r="DH12" s="26"/>
      <c r="DI12" s="26"/>
      <c r="DJ12" s="26"/>
      <c r="DK12" s="26"/>
      <c r="DL12" s="26"/>
      <c r="DM12" s="26"/>
      <c r="DN12" s="26"/>
      <c r="DO12" s="26"/>
      <c r="DP12" s="26"/>
      <c r="DQ12" s="26"/>
      <c r="DR12" s="26"/>
      <c r="DS12" s="26"/>
      <c r="DT12" s="26"/>
      <c r="DU12" s="26"/>
      <c r="DV12" s="26"/>
      <c r="DW12" s="26"/>
      <c r="DX12" s="26"/>
      <c r="DY12" s="26"/>
      <c r="DZ12" s="26"/>
      <c r="EA12" s="26"/>
      <c r="EB12" s="26"/>
      <c r="EC12" s="26"/>
      <c r="ED12" s="26"/>
      <c r="EE12" s="26"/>
      <c r="EF12" s="26"/>
      <c r="EG12" s="26"/>
      <c r="EH12" s="26"/>
      <c r="EI12" s="26"/>
      <c r="EJ12" s="26"/>
      <c r="EK12" s="26"/>
      <c r="EL12" s="26"/>
      <c r="EM12" s="26"/>
      <c r="EN12" s="26"/>
      <c r="EO12" s="26"/>
      <c r="EP12" s="26"/>
      <c r="EQ12" s="26"/>
      <c r="ER12" s="26"/>
      <c r="ES12" s="26"/>
      <c r="ET12" s="26"/>
      <c r="EU12" s="26"/>
      <c r="EV12" s="26"/>
      <c r="EW12" s="26"/>
      <c r="EX12" s="26"/>
      <c r="EY12" s="26"/>
      <c r="EZ12" s="26"/>
      <c r="FA12" s="26"/>
      <c r="FB12" s="26"/>
      <c r="FC12" s="26"/>
      <c r="FD12" s="26"/>
      <c r="FE12" s="26"/>
      <c r="FF12" s="26"/>
      <c r="FG12" s="26"/>
      <c r="FH12" s="26"/>
      <c r="FI12" s="26"/>
      <c r="FJ12" s="26"/>
      <c r="FK12" s="26"/>
      <c r="FL12" s="26"/>
      <c r="FM12" s="26"/>
      <c r="FN12" s="26"/>
      <c r="FO12" s="26"/>
      <c r="FP12" s="26"/>
      <c r="FQ12" s="26"/>
      <c r="FR12" s="26"/>
      <c r="FS12" s="26"/>
      <c r="FT12" s="26"/>
    </row>
    <row r="13" spans="1:176" s="22" customFormat="1" ht="13">
      <c r="A13" s="7" t="s">
        <v>1301</v>
      </c>
      <c r="B13" s="23" t="str">
        <f>IF(_xlfn.XLOOKUP(A13, AutoFill_names!B:B, AutoFill_names!C:C,"")=0,"",_xlfn.XLOOKUP(A13, AutoFill_names!B:B, AutoFill_names!C:C,""))</f>
        <v/>
      </c>
      <c r="C13" s="23" t="str">
        <f>IF(_xlfn.XLOOKUP(A13, AutoFill_names!B:B, AutoFill_names!D:D,"")=0,"",_xlfn.XLOOKUP(A13, AutoFill_names!B:B, AutoFill_names!D:D,""))</f>
        <v/>
      </c>
      <c r="D13" s="23" t="str">
        <f>IF(_xlfn.XLOOKUP(A13, AutoFill_names!B:B, AutoFill_names!E:E,"")=0,"",_xlfn.XLOOKUP(A13, AutoFill_names!B:B, AutoFill_names!E:E,""))</f>
        <v/>
      </c>
      <c r="E13" s="23" t="str">
        <f>IF(_xlfn.XLOOKUP(A13, AutoFill_names!B:B, AutoFill_names!F:F,"")=0,"",_xlfn.XLOOKUP(A13, AutoFill_names!B:B, AutoFill_names!F:F,""))</f>
        <v/>
      </c>
      <c r="F13" s="4"/>
      <c r="G13" s="4"/>
      <c r="H13" s="4"/>
      <c r="I13" s="4"/>
      <c r="J13" s="23" t="str">
        <f>IF(_xlfn.XLOOKUP(A13, AutoFill_names!B:B, AutoFill_names!K:K,"")=0,"",_xlfn.XLOOKUP(A13, AutoFill_names!B:B, AutoFill_names!K:K,""))</f>
        <v/>
      </c>
      <c r="K13" s="23" t="str">
        <f>IF(_xlfn.XLOOKUP(A13, AutoFill_names!B:B, AutoFill_names!L:L,"")=0,"",_xlfn.XLOOKUP(A13, AutoFill_names!B:B, AutoFill_names!L:L,""))</f>
        <v/>
      </c>
      <c r="L13" s="45" t="s">
        <v>1298</v>
      </c>
      <c r="M13" s="45"/>
      <c r="N13" s="61" t="str">
        <f>IF(_xlfn.XLOOKUP(L13, AutoFill_classes!A:A, AutoFill_classes!B:B,"")=0,"",_xlfn.XLOOKUP(L13, AutoFill_classes!A:A, AutoFill_classes!B:B,""))</f>
        <v/>
      </c>
      <c r="O13" s="154"/>
      <c r="P13" s="9" t="s">
        <v>55</v>
      </c>
      <c r="Q13" s="9"/>
      <c r="R13" s="9"/>
      <c r="S13" s="5" t="s">
        <v>56</v>
      </c>
      <c r="T13" s="5" t="s">
        <v>57</v>
      </c>
      <c r="U13" s="5" t="s">
        <v>58</v>
      </c>
      <c r="V13" s="4" t="s">
        <v>59</v>
      </c>
      <c r="W13" s="4" t="s">
        <v>60</v>
      </c>
      <c r="X13" s="144">
        <v>3</v>
      </c>
      <c r="Y13" s="27"/>
      <c r="Z13" s="60" t="str">
        <f t="shared" ref="Z13:Z21" si="27">IF(X13*Y13=0,"",X13*Y13)</f>
        <v/>
      </c>
      <c r="AA13" s="28"/>
      <c r="AB13" s="28"/>
      <c r="AC13" s="28"/>
      <c r="AD13" s="28"/>
      <c r="AE13" s="58" t="str">
        <f t="shared" ref="AE13:AE21" si="28">IF(ROUNDUP((AD13-AC13)/7,0)=0,"",ROUNDUP((AD13-AC13)/7,0))</f>
        <v/>
      </c>
      <c r="AF13" s="19"/>
      <c r="AG13" s="58" t="str">
        <f t="shared" ref="AG13:AG21" si="29">IFERROR(IF(AE13*AF13=0,"",AE13*AF13), "")</f>
        <v/>
      </c>
      <c r="AH13" s="28"/>
      <c r="AI13" s="28"/>
      <c r="AJ13" s="58" t="str">
        <f t="shared" ref="AJ13:AJ21" si="30">IF(ROUNDUP((AI13-AH13)/7,0)=0,"",ROUNDUP((AI13-AH13)/7,0))</f>
        <v/>
      </c>
      <c r="AK13" s="19"/>
      <c r="AL13" s="58" t="str">
        <f t="shared" ref="AL13:AL21" si="31">IFERROR(IF(AJ13*AK13=0,"",AJ13*AK13), "")</f>
        <v/>
      </c>
      <c r="AM13" s="28"/>
      <c r="AN13" s="28"/>
      <c r="AO13" s="58" t="str">
        <f t="shared" ref="AO13:AO21" si="32">IF(ROUNDUP((AN13-AM13)/7,0)=0,"",ROUNDUP((AN13-AM13)/7,0))</f>
        <v/>
      </c>
      <c r="AP13" s="58" t="str">
        <f t="shared" ref="AP13:AP21" si="33">IFERROR(IF((AS13-(AF13+AK13))/AO13=0,"",ROUNDUP((AS13-(AF13+AK13))/AO13,0)), "")</f>
        <v/>
      </c>
      <c r="AQ13" s="58" t="str">
        <f t="shared" ref="AQ13:AQ21" si="34">IFERROR(IF((AS13-(AG13+AL13))=0, "", (AS13-(AG13+AL13))), "")</f>
        <v/>
      </c>
      <c r="AR13" s="59" t="str">
        <f t="shared" ref="AR13:AR21" si="35">IFERROR(IF((AE13+AJ13+AO13)=0, "", (AE13+AJ13+AO13)), "")</f>
        <v/>
      </c>
      <c r="AS13" s="19"/>
      <c r="AT13" s="48" t="s">
        <v>1298</v>
      </c>
      <c r="AU13" s="48" t="s">
        <v>1299</v>
      </c>
      <c r="AV13" s="61" t="str">
        <f>IF(_xlfn.XLOOKUP(AT13, AutoFill_classes!$A:$A, AutoFill_classes!$B:$B,"")=0,"",_xlfn.XLOOKUP(AT13, AutoFill_classes!$A:$A, AutoFill_classes!$B:$B,""))</f>
        <v/>
      </c>
      <c r="AW13" s="154"/>
      <c r="AX13" s="16" t="s">
        <v>56</v>
      </c>
      <c r="AY13" s="16" t="s">
        <v>57</v>
      </c>
      <c r="AZ13" s="16" t="s">
        <v>58</v>
      </c>
      <c r="BA13" s="16" t="s">
        <v>59</v>
      </c>
      <c r="BB13" s="16" t="s">
        <v>60</v>
      </c>
      <c r="BC13" s="144">
        <v>6</v>
      </c>
      <c r="BD13" s="27"/>
      <c r="BE13" s="60" t="str">
        <f t="shared" ref="BE13:BE21" si="36">IF(BC13*BD13=0,"",BC13*BD13)</f>
        <v/>
      </c>
      <c r="BF13" s="28"/>
      <c r="BG13" s="28"/>
      <c r="BH13" s="28"/>
      <c r="BI13" s="28"/>
      <c r="BJ13" s="58" t="str">
        <f t="shared" ref="BJ13:BJ21" si="37">IF(ROUNDUP((BI13-BH13)/7,0)=0,"",ROUNDUP((BI13-BH13)/7,0))</f>
        <v/>
      </c>
      <c r="BK13" s="19"/>
      <c r="BL13" s="58" t="str">
        <f t="shared" ref="BL13:BL21" si="38">IFERROR(IF(BJ13*BK13=0,"",BJ13*BK13), "")</f>
        <v/>
      </c>
      <c r="BM13" s="28"/>
      <c r="BN13" s="28"/>
      <c r="BO13" s="58" t="str">
        <f t="shared" ref="BO13:BO21" si="39">IF(ROUNDUP((BN13-BM13)/7,0)=0,"",ROUNDUP((BN13-BM13)/7,0))</f>
        <v/>
      </c>
      <c r="BP13" s="19"/>
      <c r="BQ13" s="58" t="str">
        <f t="shared" ref="BQ13:BQ21" si="40">IFERROR(IF(BO13*BP13=0,"",BO13*BP13), "")</f>
        <v/>
      </c>
      <c r="BR13" s="28"/>
      <c r="BS13" s="28"/>
      <c r="BT13" s="58" t="str">
        <f t="shared" ref="BT13:BT21" si="41">IF(ROUNDUP((BS13-BR13)/7,0)=0,"",ROUNDUP((BS13-BR13)/7,0))</f>
        <v/>
      </c>
      <c r="BU13" s="58" t="str">
        <f t="shared" ref="BU13:BU21" si="42">IFERROR(IF((BX13-(BK13+BP13))/BT13=0,"",ROUNDUP((BX13-(BK13+BP13))/BT13,0)), "")</f>
        <v/>
      </c>
      <c r="BV13" s="58" t="str">
        <f t="shared" ref="BV13:BV21" si="43">IFERROR(IF((BX13-(BL13+BQ13))=0, "", (BX13-(BL13+BQ13))), "")</f>
        <v/>
      </c>
      <c r="BW13" s="59" t="str">
        <f t="shared" ref="BW13:BW21" si="44">IFERROR(IF((BJ13+BO13+BT13)=0, "", (BJ13+BO13+BT13)), "")</f>
        <v/>
      </c>
      <c r="BX13" s="16"/>
      <c r="BY13" s="12" t="s">
        <v>1298</v>
      </c>
      <c r="BZ13" s="51" t="s">
        <v>1299</v>
      </c>
      <c r="CA13" s="61" t="str">
        <f>IF(_xlfn.XLOOKUP(BY13, AutoFill_classes!$A:$A, AutoFill_classes!$B:$B,"")=0,"",_xlfn.XLOOKUP(BY13, AutoFill_classes!$A:$A, AutoFill_classes!$B:$B,""))</f>
        <v/>
      </c>
      <c r="CB13" s="154"/>
      <c r="CC13" s="19" t="s">
        <v>56</v>
      </c>
      <c r="CD13" s="19" t="s">
        <v>57</v>
      </c>
      <c r="CE13" s="19" t="s">
        <v>58</v>
      </c>
      <c r="CF13" s="30" t="s">
        <v>59</v>
      </c>
      <c r="CG13" s="31" t="s">
        <v>60</v>
      </c>
      <c r="CH13" s="144">
        <v>6</v>
      </c>
      <c r="CI13" s="31"/>
      <c r="CJ13" s="60" t="str">
        <f t="shared" ref="CJ13:CJ21" si="45">IF(CH13*CI13=0,"",CH13*CI13)</f>
        <v/>
      </c>
      <c r="CK13" s="28"/>
      <c r="CL13" s="28"/>
      <c r="CM13" s="28"/>
      <c r="CN13" s="28"/>
      <c r="CO13" s="58" t="str">
        <f t="shared" ref="CO13:CO21" si="46">IF(ROUNDUP((CN13-CM13)/7,0)=0,"",ROUNDUP((CN13-CM13)/7,0))</f>
        <v/>
      </c>
      <c r="CP13" s="19"/>
      <c r="CQ13" s="58" t="str">
        <f t="shared" ref="CQ13:CQ21" si="47">IFERROR(IF(CO13*CP13=0,"",CO13*CP13), "")</f>
        <v/>
      </c>
      <c r="CR13" s="28"/>
      <c r="CS13" s="28"/>
      <c r="CT13" s="58" t="str">
        <f t="shared" ref="CT13:CT21" si="48">IF(ROUNDUP((CS13-CR13)/7,0)=0,"",ROUNDUP((CS13-CR13)/7,0))</f>
        <v/>
      </c>
      <c r="CU13" s="19"/>
      <c r="CV13" s="58" t="str">
        <f t="shared" ref="CV13:CV21" si="49">IFERROR(IF(CT13*CU13=0,"",CT13*CU13), "")</f>
        <v/>
      </c>
      <c r="CW13" s="28"/>
      <c r="CX13" s="28"/>
      <c r="CY13" s="58" t="str">
        <f t="shared" ref="CY13:CY21" si="50">IF(ROUNDUP((CX13-CW13)/7,0)=0,"",ROUNDUP((CX13-CW13)/7,0))</f>
        <v/>
      </c>
      <c r="CZ13" s="58" t="str">
        <f t="shared" ref="CZ13:CZ21" si="51">IFERROR(IF((DC13-(CP13+CU13))/CY13=0,"",ROUNDUP((DC13-(CP13+CU13))/CY13,0)), "")</f>
        <v/>
      </c>
      <c r="DA13" s="58" t="str">
        <f t="shared" ref="DA13:DA21" si="52">IFERROR(IF((DC13-(CQ13+CV13))=0, "", (DC13-(CQ13+CV13))), "")</f>
        <v/>
      </c>
      <c r="DB13" s="59" t="str">
        <f t="shared" ref="DB13:DB21" si="53">IFERROR(IF((CO13+CT13+CY13)=0, "", (CO13+CT13+CY13)), "")</f>
        <v/>
      </c>
      <c r="DC13" s="19"/>
      <c r="DD13" s="145"/>
      <c r="DE13" s="91">
        <v>11</v>
      </c>
      <c r="DF13" s="39"/>
      <c r="DG13" s="39"/>
      <c r="DH13" s="39"/>
      <c r="DI13" s="39"/>
      <c r="DJ13" s="39"/>
      <c r="DK13" s="39"/>
      <c r="DL13" s="39"/>
      <c r="DM13" s="39"/>
      <c r="DN13" s="39"/>
      <c r="DO13" s="39"/>
      <c r="DP13" s="39"/>
      <c r="DQ13" s="39"/>
      <c r="DR13" s="39"/>
      <c r="DS13" s="39"/>
      <c r="DT13" s="39"/>
      <c r="DU13" s="39"/>
      <c r="DV13" s="39"/>
      <c r="DW13" s="39"/>
      <c r="DX13" s="39"/>
      <c r="DY13" s="39"/>
      <c r="DZ13" s="39"/>
      <c r="EA13" s="39"/>
      <c r="EB13" s="39"/>
      <c r="EC13" s="39"/>
      <c r="ED13" s="39"/>
      <c r="EE13" s="39"/>
      <c r="EF13" s="39"/>
      <c r="EG13" s="39"/>
      <c r="EH13" s="39"/>
      <c r="EI13" s="39"/>
      <c r="EJ13" s="39"/>
      <c r="EK13" s="39"/>
      <c r="EL13" s="39"/>
      <c r="EM13" s="39"/>
      <c r="EN13" s="39"/>
      <c r="EO13" s="39"/>
      <c r="EP13" s="39"/>
      <c r="EQ13" s="39"/>
      <c r="ER13" s="39"/>
      <c r="ES13" s="39"/>
      <c r="ET13" s="39"/>
      <c r="EU13" s="39"/>
      <c r="EV13" s="39"/>
      <c r="EW13" s="39"/>
      <c r="EX13" s="39"/>
      <c r="EY13" s="39"/>
      <c r="EZ13" s="39"/>
      <c r="FA13" s="39"/>
      <c r="FB13" s="39"/>
      <c r="FC13" s="39"/>
      <c r="FD13" s="39"/>
      <c r="FE13" s="39"/>
      <c r="FF13" s="39"/>
      <c r="FG13" s="39"/>
      <c r="FH13" s="39"/>
      <c r="FI13" s="39"/>
      <c r="FJ13" s="39"/>
      <c r="FK13" s="39"/>
      <c r="FL13" s="39"/>
      <c r="FM13" s="39"/>
      <c r="FN13" s="39"/>
      <c r="FO13" s="39"/>
      <c r="FP13" s="39"/>
      <c r="FQ13" s="39"/>
      <c r="FR13" s="39"/>
      <c r="FS13" s="39"/>
      <c r="FT13" s="39"/>
    </row>
    <row r="14" spans="1:176" s="22" customFormat="1" ht="13">
      <c r="A14" s="7" t="s">
        <v>1301</v>
      </c>
      <c r="B14" s="23" t="str">
        <f>IF(_xlfn.XLOOKUP(A14, AutoFill_names!B:B, AutoFill_names!C:C,"")=0,"",_xlfn.XLOOKUP(A14, AutoFill_names!B:B, AutoFill_names!C:C,""))</f>
        <v/>
      </c>
      <c r="C14" s="23" t="str">
        <f>IF(_xlfn.XLOOKUP(A14, AutoFill_names!B:B, AutoFill_names!D:D,"")=0,"",_xlfn.XLOOKUP(A14, AutoFill_names!B:B, AutoFill_names!D:D,""))</f>
        <v/>
      </c>
      <c r="D14" s="23" t="str">
        <f>IF(_xlfn.XLOOKUP(A14, AutoFill_names!B:B, AutoFill_names!E:E,"")=0,"",_xlfn.XLOOKUP(A14, AutoFill_names!B:B, AutoFill_names!E:E,""))</f>
        <v/>
      </c>
      <c r="E14" s="23" t="str">
        <f>IF(_xlfn.XLOOKUP(A14, AutoFill_names!B:B, AutoFill_names!F:F,"")=0,"",_xlfn.XLOOKUP(A14, AutoFill_names!B:B, AutoFill_names!F:F,""))</f>
        <v/>
      </c>
      <c r="F14" s="4"/>
      <c r="G14" s="4"/>
      <c r="H14" s="4"/>
      <c r="I14" s="4"/>
      <c r="J14" s="23" t="str">
        <f>IF(_xlfn.XLOOKUP(A14, AutoFill_names!B:B, AutoFill_names!K:K,"")=0,"",_xlfn.XLOOKUP(A14, AutoFill_names!B:B, AutoFill_names!K:K,""))</f>
        <v/>
      </c>
      <c r="K14" s="23" t="str">
        <f>IF(_xlfn.XLOOKUP(A14, AutoFill_names!B:B, AutoFill_names!L:L,"")=0,"",_xlfn.XLOOKUP(A14, AutoFill_names!B:B, AutoFill_names!L:L,""))</f>
        <v/>
      </c>
      <c r="L14" s="45" t="s">
        <v>1298</v>
      </c>
      <c r="M14" s="45" t="s">
        <v>72</v>
      </c>
      <c r="N14" s="61" t="str">
        <f>IF(_xlfn.XLOOKUP(L14, AutoFill_classes!A:A, AutoFill_classes!B:B,"")=0,"",_xlfn.XLOOKUP(L14, AutoFill_classes!A:A, AutoFill_classes!B:B,""))</f>
        <v/>
      </c>
      <c r="O14" s="154"/>
      <c r="P14" s="9"/>
      <c r="Q14" s="9" t="s">
        <v>55</v>
      </c>
      <c r="R14" s="9"/>
      <c r="S14" s="5" t="s">
        <v>56</v>
      </c>
      <c r="T14" s="5" t="s">
        <v>104</v>
      </c>
      <c r="U14" s="5" t="s">
        <v>58</v>
      </c>
      <c r="V14" s="4" t="s">
        <v>59</v>
      </c>
      <c r="W14" s="4" t="s">
        <v>60</v>
      </c>
      <c r="X14" s="144">
        <v>3</v>
      </c>
      <c r="Y14" s="27"/>
      <c r="Z14" s="60" t="str">
        <f t="shared" si="27"/>
        <v/>
      </c>
      <c r="AA14" s="32"/>
      <c r="AB14" s="32"/>
      <c r="AC14" s="32"/>
      <c r="AD14" s="32"/>
      <c r="AE14" s="58" t="str">
        <f t="shared" si="28"/>
        <v/>
      </c>
      <c r="AF14" s="20"/>
      <c r="AG14" s="58" t="str">
        <f t="shared" si="29"/>
        <v/>
      </c>
      <c r="AH14" s="32"/>
      <c r="AI14" s="32"/>
      <c r="AJ14" s="58" t="str">
        <f t="shared" si="30"/>
        <v/>
      </c>
      <c r="AK14" s="20"/>
      <c r="AL14" s="58" t="str">
        <f t="shared" si="31"/>
        <v/>
      </c>
      <c r="AM14" s="32"/>
      <c r="AN14" s="32"/>
      <c r="AO14" s="58" t="str">
        <f t="shared" si="32"/>
        <v/>
      </c>
      <c r="AP14" s="58" t="str">
        <f t="shared" si="33"/>
        <v/>
      </c>
      <c r="AQ14" s="58" t="str">
        <f t="shared" si="34"/>
        <v/>
      </c>
      <c r="AR14" s="59" t="str">
        <f t="shared" si="35"/>
        <v/>
      </c>
      <c r="AS14" s="20"/>
      <c r="AT14" s="48"/>
      <c r="AU14" s="48"/>
      <c r="AV14" s="61" t="str">
        <f>IF(_xlfn.XLOOKUP(AT14, AutoFill_classes!$A:$A, AutoFill_classes!$B:$B,"")=0,"",_xlfn.XLOOKUP(AT14, AutoFill_classes!$A:$A, AutoFill_classes!$B:$B,""))</f>
        <v/>
      </c>
      <c r="AW14" s="154"/>
      <c r="AX14" s="16"/>
      <c r="AY14" s="16"/>
      <c r="AZ14" s="16"/>
      <c r="BA14" s="16"/>
      <c r="BB14" s="16"/>
      <c r="BC14" s="144"/>
      <c r="BD14" s="27"/>
      <c r="BE14" s="60" t="str">
        <f t="shared" si="36"/>
        <v/>
      </c>
      <c r="BF14" s="32"/>
      <c r="BG14" s="32"/>
      <c r="BH14" s="32"/>
      <c r="BI14" s="32"/>
      <c r="BJ14" s="58" t="str">
        <f t="shared" si="37"/>
        <v/>
      </c>
      <c r="BK14" s="20"/>
      <c r="BL14" s="58" t="str">
        <f t="shared" si="38"/>
        <v/>
      </c>
      <c r="BM14" s="32"/>
      <c r="BN14" s="32"/>
      <c r="BO14" s="58" t="str">
        <f t="shared" si="39"/>
        <v/>
      </c>
      <c r="BP14" s="20"/>
      <c r="BQ14" s="58" t="str">
        <f t="shared" si="40"/>
        <v/>
      </c>
      <c r="BR14" s="32"/>
      <c r="BS14" s="32"/>
      <c r="BT14" s="58" t="str">
        <f t="shared" si="41"/>
        <v/>
      </c>
      <c r="BU14" s="58" t="str">
        <f t="shared" si="42"/>
        <v/>
      </c>
      <c r="BV14" s="58" t="str">
        <f t="shared" si="43"/>
        <v/>
      </c>
      <c r="BW14" s="59" t="str">
        <f t="shared" si="44"/>
        <v/>
      </c>
      <c r="BX14" s="16"/>
      <c r="BY14" s="21"/>
      <c r="BZ14" s="20"/>
      <c r="CA14" s="61" t="str">
        <f>IF(_xlfn.XLOOKUP(BY14, AutoFill_classes!$A:$A, AutoFill_classes!$B:$B,"")=0,"",_xlfn.XLOOKUP(BY14, AutoFill_classes!$A:$A, AutoFill_classes!$B:$B,""))</f>
        <v/>
      </c>
      <c r="CB14" s="154"/>
      <c r="CC14" s="20"/>
      <c r="CD14" s="20"/>
      <c r="CE14" s="20"/>
      <c r="CF14" s="33"/>
      <c r="CG14" s="34"/>
      <c r="CH14" s="144"/>
      <c r="CI14" s="35"/>
      <c r="CJ14" s="60" t="str">
        <f t="shared" si="45"/>
        <v/>
      </c>
      <c r="CK14" s="32"/>
      <c r="CL14" s="32"/>
      <c r="CM14" s="32"/>
      <c r="CN14" s="32"/>
      <c r="CO14" s="58" t="str">
        <f t="shared" si="46"/>
        <v/>
      </c>
      <c r="CP14" s="20"/>
      <c r="CQ14" s="58" t="str">
        <f t="shared" si="47"/>
        <v/>
      </c>
      <c r="CR14" s="32"/>
      <c r="CS14" s="32"/>
      <c r="CT14" s="58" t="str">
        <f t="shared" si="48"/>
        <v/>
      </c>
      <c r="CU14" s="20"/>
      <c r="CV14" s="58" t="str">
        <f t="shared" si="49"/>
        <v/>
      </c>
      <c r="CW14" s="32"/>
      <c r="CX14" s="32"/>
      <c r="CY14" s="58" t="str">
        <f t="shared" si="50"/>
        <v/>
      </c>
      <c r="CZ14" s="58" t="str">
        <f t="shared" si="51"/>
        <v/>
      </c>
      <c r="DA14" s="58" t="str">
        <f t="shared" si="52"/>
        <v/>
      </c>
      <c r="DB14" s="59" t="str">
        <f t="shared" si="53"/>
        <v/>
      </c>
      <c r="DC14" s="20"/>
      <c r="DD14" s="145"/>
      <c r="DE14" s="91">
        <v>12</v>
      </c>
      <c r="DF14" s="39"/>
      <c r="DG14" s="39"/>
      <c r="DH14" s="39"/>
      <c r="DI14" s="39"/>
      <c r="DJ14" s="39"/>
      <c r="DK14" s="39"/>
      <c r="DL14" s="39"/>
      <c r="DM14" s="39"/>
      <c r="DN14" s="39"/>
      <c r="DO14" s="39"/>
      <c r="DP14" s="39"/>
      <c r="DQ14" s="39"/>
      <c r="DR14" s="39"/>
      <c r="DS14" s="39"/>
      <c r="DT14" s="39"/>
      <c r="DU14" s="39"/>
      <c r="DV14" s="39"/>
      <c r="DW14" s="39"/>
      <c r="DX14" s="39"/>
      <c r="DY14" s="39"/>
      <c r="DZ14" s="39"/>
      <c r="EA14" s="39"/>
      <c r="EB14" s="39"/>
      <c r="EC14" s="39"/>
      <c r="ED14" s="39"/>
      <c r="EE14" s="39"/>
      <c r="EF14" s="39"/>
      <c r="EG14" s="39"/>
      <c r="EH14" s="39"/>
      <c r="EI14" s="39"/>
      <c r="EJ14" s="39"/>
      <c r="EK14" s="39"/>
      <c r="EL14" s="39"/>
      <c r="EM14" s="39"/>
      <c r="EN14" s="39"/>
      <c r="EO14" s="39"/>
      <c r="EP14" s="39"/>
      <c r="EQ14" s="39"/>
      <c r="ER14" s="39"/>
      <c r="ES14" s="39"/>
      <c r="ET14" s="39"/>
      <c r="EU14" s="39"/>
      <c r="EV14" s="39"/>
      <c r="EW14" s="39"/>
      <c r="EX14" s="39"/>
      <c r="EY14" s="39"/>
      <c r="EZ14" s="39"/>
      <c r="FA14" s="39"/>
      <c r="FB14" s="39"/>
      <c r="FC14" s="39"/>
      <c r="FD14" s="39"/>
      <c r="FE14" s="39"/>
      <c r="FF14" s="39"/>
      <c r="FG14" s="39"/>
      <c r="FH14" s="39"/>
      <c r="FI14" s="39"/>
      <c r="FJ14" s="39"/>
      <c r="FK14" s="39"/>
      <c r="FL14" s="39"/>
      <c r="FM14" s="39"/>
      <c r="FN14" s="39"/>
      <c r="FO14" s="39"/>
      <c r="FP14" s="39"/>
      <c r="FQ14" s="39"/>
      <c r="FR14" s="39"/>
      <c r="FS14" s="39"/>
      <c r="FT14" s="39"/>
    </row>
    <row r="15" spans="1:176" s="22" customFormat="1" ht="13">
      <c r="A15" s="7"/>
      <c r="B15" s="23" t="str">
        <f>IF(_xlfn.XLOOKUP(A15, AutoFill_names!B:B, AutoFill_names!C:C,"")=0,"",_xlfn.XLOOKUP(A15, AutoFill_names!B:B, AutoFill_names!C:C,""))</f>
        <v/>
      </c>
      <c r="C15" s="23" t="str">
        <f>IF(_xlfn.XLOOKUP(A15, AutoFill_names!B:B, AutoFill_names!D:D,"")=0,"",_xlfn.XLOOKUP(A15, AutoFill_names!B:B, AutoFill_names!D:D,""))</f>
        <v/>
      </c>
      <c r="D15" s="23" t="str">
        <f>IF(_xlfn.XLOOKUP(A15, AutoFill_names!B:B, AutoFill_names!E:E,"")=0,"",_xlfn.XLOOKUP(A15, AutoFill_names!B:B, AutoFill_names!E:E,""))</f>
        <v/>
      </c>
      <c r="E15" s="23" t="str">
        <f>IF(_xlfn.XLOOKUP(A15, AutoFill_names!B:B, AutoFill_names!F:F,"")=0,"",_xlfn.XLOOKUP(A15, AutoFill_names!B:B, AutoFill_names!F:F,""))</f>
        <v/>
      </c>
      <c r="F15" s="4"/>
      <c r="G15" s="4"/>
      <c r="H15" s="4"/>
      <c r="I15" s="4"/>
      <c r="J15" s="23" t="str">
        <f>IF(_xlfn.XLOOKUP(A15, AutoFill_names!B:B, AutoFill_names!K:K,"")=0,"",_xlfn.XLOOKUP(A15, AutoFill_names!B:B, AutoFill_names!K:K,""))</f>
        <v/>
      </c>
      <c r="K15" s="23" t="str">
        <f>IF(_xlfn.XLOOKUP(A15, AutoFill_names!B:B, AutoFill_names!L:L,"")=0,"",_xlfn.XLOOKUP(A15, AutoFill_names!B:B, AutoFill_names!L:L,""))</f>
        <v/>
      </c>
      <c r="L15" s="45"/>
      <c r="M15" s="45"/>
      <c r="N15" s="61" t="str">
        <f>IF(_xlfn.XLOOKUP(L15, AutoFill_classes!A:A, AutoFill_classes!B:B,"")=0,"",_xlfn.XLOOKUP(L15, AutoFill_classes!A:A, AutoFill_classes!B:B,""))</f>
        <v/>
      </c>
      <c r="O15" s="154"/>
      <c r="P15" s="9"/>
      <c r="Q15" s="9"/>
      <c r="R15" s="9"/>
      <c r="S15" s="5"/>
      <c r="T15" s="5"/>
      <c r="U15" s="5"/>
      <c r="V15" s="4"/>
      <c r="W15" s="4"/>
      <c r="X15" s="144"/>
      <c r="Y15" s="27"/>
      <c r="Z15" s="60" t="str">
        <f t="shared" si="27"/>
        <v/>
      </c>
      <c r="AA15" s="32"/>
      <c r="AB15" s="32"/>
      <c r="AC15" s="36"/>
      <c r="AD15" s="36"/>
      <c r="AE15" s="58" t="str">
        <f t="shared" si="28"/>
        <v/>
      </c>
      <c r="AF15" s="20"/>
      <c r="AG15" s="58" t="str">
        <f t="shared" si="29"/>
        <v/>
      </c>
      <c r="AH15" s="36"/>
      <c r="AI15" s="36"/>
      <c r="AJ15" s="58" t="str">
        <f t="shared" si="30"/>
        <v/>
      </c>
      <c r="AK15" s="20"/>
      <c r="AL15" s="58" t="str">
        <f t="shared" si="31"/>
        <v/>
      </c>
      <c r="AM15" s="36"/>
      <c r="AN15" s="36"/>
      <c r="AO15" s="58" t="str">
        <f t="shared" si="32"/>
        <v/>
      </c>
      <c r="AP15" s="58" t="str">
        <f t="shared" si="33"/>
        <v/>
      </c>
      <c r="AQ15" s="58" t="str">
        <f t="shared" si="34"/>
        <v/>
      </c>
      <c r="AR15" s="59" t="str">
        <f t="shared" si="35"/>
        <v/>
      </c>
      <c r="AS15" s="20"/>
      <c r="AT15" s="48"/>
      <c r="AU15" s="48"/>
      <c r="AV15" s="61" t="str">
        <f>IF(_xlfn.XLOOKUP(AT15, AutoFill_classes!$A:$A, AutoFill_classes!$B:$B,"")=0,"",_xlfn.XLOOKUP(AT15, AutoFill_classes!$A:$A, AutoFill_classes!$B:$B,""))</f>
        <v/>
      </c>
      <c r="AW15" s="154"/>
      <c r="AX15" s="16"/>
      <c r="AY15" s="16"/>
      <c r="AZ15" s="16"/>
      <c r="BA15" s="16"/>
      <c r="BB15" s="16"/>
      <c r="BC15" s="144"/>
      <c r="BD15" s="27"/>
      <c r="BE15" s="60" t="str">
        <f t="shared" si="36"/>
        <v/>
      </c>
      <c r="BF15" s="32"/>
      <c r="BG15" s="32"/>
      <c r="BH15" s="36"/>
      <c r="BI15" s="36"/>
      <c r="BJ15" s="58" t="str">
        <f t="shared" si="37"/>
        <v/>
      </c>
      <c r="BK15" s="20"/>
      <c r="BL15" s="58" t="str">
        <f t="shared" si="38"/>
        <v/>
      </c>
      <c r="BM15" s="36"/>
      <c r="BN15" s="36"/>
      <c r="BO15" s="58" t="str">
        <f t="shared" si="39"/>
        <v/>
      </c>
      <c r="BP15" s="20"/>
      <c r="BQ15" s="58" t="str">
        <f t="shared" si="40"/>
        <v/>
      </c>
      <c r="BR15" s="36"/>
      <c r="BS15" s="36"/>
      <c r="BT15" s="58" t="str">
        <f t="shared" si="41"/>
        <v/>
      </c>
      <c r="BU15" s="58" t="str">
        <f t="shared" si="42"/>
        <v/>
      </c>
      <c r="BV15" s="58" t="str">
        <f t="shared" si="43"/>
        <v/>
      </c>
      <c r="BW15" s="59" t="str">
        <f t="shared" si="44"/>
        <v/>
      </c>
      <c r="BX15" s="16"/>
      <c r="BY15" s="21"/>
      <c r="BZ15" s="20"/>
      <c r="CA15" s="61" t="str">
        <f>IF(_xlfn.XLOOKUP(BY15, AutoFill_classes!$A:$A, AutoFill_classes!$B:$B,"")=0,"",_xlfn.XLOOKUP(BY15, AutoFill_classes!$A:$A, AutoFill_classes!$B:$B,""))</f>
        <v/>
      </c>
      <c r="CB15" s="154"/>
      <c r="CC15" s="20"/>
      <c r="CD15" s="20"/>
      <c r="CE15" s="20"/>
      <c r="CF15" s="33"/>
      <c r="CG15" s="34"/>
      <c r="CH15" s="144"/>
      <c r="CI15" s="35"/>
      <c r="CJ15" s="60" t="str">
        <f t="shared" si="45"/>
        <v/>
      </c>
      <c r="CK15" s="32"/>
      <c r="CL15" s="32"/>
      <c r="CM15" s="36"/>
      <c r="CN15" s="36"/>
      <c r="CO15" s="58" t="str">
        <f t="shared" si="46"/>
        <v/>
      </c>
      <c r="CP15" s="20"/>
      <c r="CQ15" s="58" t="str">
        <f t="shared" si="47"/>
        <v/>
      </c>
      <c r="CR15" s="36"/>
      <c r="CS15" s="36"/>
      <c r="CT15" s="58" t="str">
        <f t="shared" si="48"/>
        <v/>
      </c>
      <c r="CU15" s="20"/>
      <c r="CV15" s="58" t="str">
        <f t="shared" si="49"/>
        <v/>
      </c>
      <c r="CW15" s="36"/>
      <c r="CX15" s="36"/>
      <c r="CY15" s="58" t="str">
        <f t="shared" si="50"/>
        <v/>
      </c>
      <c r="CZ15" s="58" t="str">
        <f t="shared" si="51"/>
        <v/>
      </c>
      <c r="DA15" s="58" t="str">
        <f t="shared" si="52"/>
        <v/>
      </c>
      <c r="DB15" s="59" t="str">
        <f t="shared" si="53"/>
        <v/>
      </c>
      <c r="DC15" s="20"/>
      <c r="DD15" s="145"/>
      <c r="DE15" s="91">
        <v>13</v>
      </c>
      <c r="DF15" s="39"/>
      <c r="DG15" s="39"/>
      <c r="DH15" s="39"/>
      <c r="DI15" s="39"/>
      <c r="DJ15" s="39"/>
      <c r="DK15" s="39"/>
      <c r="DL15" s="39"/>
      <c r="DM15" s="39"/>
      <c r="DN15" s="39"/>
      <c r="DO15" s="39"/>
      <c r="DP15" s="39"/>
      <c r="DQ15" s="39"/>
      <c r="DR15" s="39"/>
      <c r="DS15" s="39"/>
      <c r="DT15" s="39"/>
      <c r="DU15" s="39"/>
      <c r="DV15" s="39"/>
      <c r="DW15" s="39"/>
      <c r="DX15" s="39"/>
      <c r="DY15" s="39"/>
      <c r="DZ15" s="39"/>
      <c r="EA15" s="39"/>
      <c r="EB15" s="39"/>
      <c r="EC15" s="39"/>
      <c r="ED15" s="39"/>
      <c r="EE15" s="39"/>
      <c r="EF15" s="39"/>
      <c r="EG15" s="39"/>
      <c r="EH15" s="39"/>
      <c r="EI15" s="39"/>
      <c r="EJ15" s="39"/>
      <c r="EK15" s="39"/>
      <c r="EL15" s="39"/>
      <c r="EM15" s="39"/>
      <c r="EN15" s="39"/>
      <c r="EO15" s="39"/>
      <c r="EP15" s="39"/>
      <c r="EQ15" s="39"/>
      <c r="ER15" s="39"/>
      <c r="ES15" s="39"/>
      <c r="ET15" s="39"/>
      <c r="EU15" s="39"/>
      <c r="EV15" s="39"/>
      <c r="EW15" s="39"/>
      <c r="EX15" s="39"/>
      <c r="EY15" s="39"/>
      <c r="EZ15" s="39"/>
      <c r="FA15" s="39"/>
      <c r="FB15" s="39"/>
      <c r="FC15" s="39"/>
      <c r="FD15" s="39"/>
      <c r="FE15" s="39"/>
      <c r="FF15" s="39"/>
      <c r="FG15" s="39"/>
      <c r="FH15" s="39"/>
      <c r="FI15" s="39"/>
      <c r="FJ15" s="39"/>
      <c r="FK15" s="39"/>
      <c r="FL15" s="39"/>
      <c r="FM15" s="39"/>
      <c r="FN15" s="39"/>
      <c r="FO15" s="39"/>
      <c r="FP15" s="39"/>
      <c r="FQ15" s="39"/>
      <c r="FR15" s="39"/>
      <c r="FS15" s="39"/>
      <c r="FT15" s="39"/>
    </row>
    <row r="16" spans="1:176" s="22" customFormat="1" ht="13">
      <c r="A16" s="7"/>
      <c r="B16" s="23" t="str">
        <f>IF(_xlfn.XLOOKUP(A16, AutoFill_names!B:B, AutoFill_names!C:C,"")=0,"",_xlfn.XLOOKUP(A16, AutoFill_names!B:B, AutoFill_names!C:C,""))</f>
        <v/>
      </c>
      <c r="C16" s="23" t="str">
        <f>IF(_xlfn.XLOOKUP(A16, AutoFill_names!B:B, AutoFill_names!D:D,"")=0,"",_xlfn.XLOOKUP(A16, AutoFill_names!B:B, AutoFill_names!D:D,""))</f>
        <v/>
      </c>
      <c r="D16" s="23" t="str">
        <f>IF(_xlfn.XLOOKUP(A16, AutoFill_names!B:B, AutoFill_names!E:E,"")=0,"",_xlfn.XLOOKUP(A16, AutoFill_names!B:B, AutoFill_names!E:E,""))</f>
        <v/>
      </c>
      <c r="E16" s="23" t="str">
        <f>IF(_xlfn.XLOOKUP(A16, AutoFill_names!B:B, AutoFill_names!F:F,"")=0,"",_xlfn.XLOOKUP(A16, AutoFill_names!B:B, AutoFill_names!F:F,""))</f>
        <v/>
      </c>
      <c r="F16" s="4"/>
      <c r="G16" s="4"/>
      <c r="H16" s="4"/>
      <c r="I16" s="4"/>
      <c r="J16" s="23" t="str">
        <f>IF(_xlfn.XLOOKUP(A16, AutoFill_names!B:B, AutoFill_names!K:K,"")=0,"",_xlfn.XLOOKUP(A16, AutoFill_names!B:B, AutoFill_names!K:K,""))</f>
        <v/>
      </c>
      <c r="K16" s="23" t="str">
        <f>IF(_xlfn.XLOOKUP(A16, AutoFill_names!B:B, AutoFill_names!L:L,"")=0,"",_xlfn.XLOOKUP(A16, AutoFill_names!B:B, AutoFill_names!L:L,""))</f>
        <v/>
      </c>
      <c r="L16" s="45"/>
      <c r="M16" s="45"/>
      <c r="N16" s="61" t="str">
        <f>IF(_xlfn.XLOOKUP(L16, AutoFill_classes!A:A, AutoFill_classes!B:B,"")=0,"",_xlfn.XLOOKUP(L16, AutoFill_classes!A:A, AutoFill_classes!B:B,""))</f>
        <v/>
      </c>
      <c r="O16" s="154"/>
      <c r="P16" s="9"/>
      <c r="Q16" s="9"/>
      <c r="R16" s="9"/>
      <c r="S16" s="5"/>
      <c r="T16" s="5"/>
      <c r="U16" s="5"/>
      <c r="V16" s="4"/>
      <c r="W16" s="4"/>
      <c r="X16" s="144"/>
      <c r="Y16" s="27"/>
      <c r="Z16" s="60" t="str">
        <f t="shared" si="27"/>
        <v/>
      </c>
      <c r="AA16" s="32"/>
      <c r="AB16" s="32"/>
      <c r="AC16" s="32"/>
      <c r="AD16" s="32"/>
      <c r="AE16" s="58" t="str">
        <f t="shared" si="28"/>
        <v/>
      </c>
      <c r="AF16" s="20"/>
      <c r="AG16" s="58" t="str">
        <f t="shared" si="29"/>
        <v/>
      </c>
      <c r="AH16" s="32"/>
      <c r="AI16" s="32"/>
      <c r="AJ16" s="58" t="str">
        <f t="shared" si="30"/>
        <v/>
      </c>
      <c r="AK16" s="20"/>
      <c r="AL16" s="58" t="str">
        <f t="shared" si="31"/>
        <v/>
      </c>
      <c r="AM16" s="32"/>
      <c r="AN16" s="32"/>
      <c r="AO16" s="58" t="str">
        <f t="shared" si="32"/>
        <v/>
      </c>
      <c r="AP16" s="58" t="str">
        <f t="shared" si="33"/>
        <v/>
      </c>
      <c r="AQ16" s="58" t="str">
        <f t="shared" si="34"/>
        <v/>
      </c>
      <c r="AR16" s="59" t="str">
        <f t="shared" si="35"/>
        <v/>
      </c>
      <c r="AS16" s="20"/>
      <c r="AT16" s="48"/>
      <c r="AU16" s="48"/>
      <c r="AV16" s="61" t="str">
        <f>IF(_xlfn.XLOOKUP(AT16, AutoFill_classes!$A:$A, AutoFill_classes!$B:$B,"")=0,"",_xlfn.XLOOKUP(AT16, AutoFill_classes!$A:$A, AutoFill_classes!$B:$B,""))</f>
        <v/>
      </c>
      <c r="AW16" s="154"/>
      <c r="AX16" s="16"/>
      <c r="AY16" s="16"/>
      <c r="AZ16" s="16"/>
      <c r="BA16" s="16"/>
      <c r="BB16" s="16"/>
      <c r="BC16" s="144"/>
      <c r="BD16" s="27"/>
      <c r="BE16" s="60" t="str">
        <f t="shared" si="36"/>
        <v/>
      </c>
      <c r="BF16" s="32"/>
      <c r="BG16" s="32"/>
      <c r="BH16" s="32"/>
      <c r="BI16" s="32"/>
      <c r="BJ16" s="58" t="str">
        <f t="shared" si="37"/>
        <v/>
      </c>
      <c r="BK16" s="20"/>
      <c r="BL16" s="58" t="str">
        <f t="shared" si="38"/>
        <v/>
      </c>
      <c r="BM16" s="32"/>
      <c r="BN16" s="32"/>
      <c r="BO16" s="58" t="str">
        <f t="shared" si="39"/>
        <v/>
      </c>
      <c r="BP16" s="20"/>
      <c r="BQ16" s="58" t="str">
        <f t="shared" si="40"/>
        <v/>
      </c>
      <c r="BR16" s="32"/>
      <c r="BS16" s="32"/>
      <c r="BT16" s="58" t="str">
        <f t="shared" si="41"/>
        <v/>
      </c>
      <c r="BU16" s="58" t="str">
        <f t="shared" si="42"/>
        <v/>
      </c>
      <c r="BV16" s="58" t="str">
        <f t="shared" si="43"/>
        <v/>
      </c>
      <c r="BW16" s="59" t="str">
        <f t="shared" si="44"/>
        <v/>
      </c>
      <c r="BX16" s="16"/>
      <c r="BY16" s="21"/>
      <c r="BZ16" s="20"/>
      <c r="CA16" s="61" t="str">
        <f>IF(_xlfn.XLOOKUP(BY16, AutoFill_classes!$A:$A, AutoFill_classes!$B:$B,"")=0,"",_xlfn.XLOOKUP(BY16, AutoFill_classes!$A:$A, AutoFill_classes!$B:$B,""))</f>
        <v/>
      </c>
      <c r="CB16" s="154"/>
      <c r="CC16" s="20"/>
      <c r="CD16" s="20"/>
      <c r="CE16" s="20"/>
      <c r="CF16" s="33"/>
      <c r="CG16" s="34"/>
      <c r="CH16" s="144"/>
      <c r="CI16" s="35"/>
      <c r="CJ16" s="60" t="str">
        <f t="shared" si="45"/>
        <v/>
      </c>
      <c r="CK16" s="32"/>
      <c r="CL16" s="32"/>
      <c r="CM16" s="32"/>
      <c r="CN16" s="32"/>
      <c r="CO16" s="58" t="str">
        <f t="shared" si="46"/>
        <v/>
      </c>
      <c r="CP16" s="20"/>
      <c r="CQ16" s="58" t="str">
        <f t="shared" si="47"/>
        <v/>
      </c>
      <c r="CR16" s="32"/>
      <c r="CS16" s="32"/>
      <c r="CT16" s="58" t="str">
        <f t="shared" si="48"/>
        <v/>
      </c>
      <c r="CU16" s="20"/>
      <c r="CV16" s="58" t="str">
        <f t="shared" si="49"/>
        <v/>
      </c>
      <c r="CW16" s="32"/>
      <c r="CX16" s="32"/>
      <c r="CY16" s="58" t="str">
        <f t="shared" si="50"/>
        <v/>
      </c>
      <c r="CZ16" s="58" t="str">
        <f t="shared" si="51"/>
        <v/>
      </c>
      <c r="DA16" s="58" t="str">
        <f t="shared" si="52"/>
        <v/>
      </c>
      <c r="DB16" s="59" t="str">
        <f t="shared" si="53"/>
        <v/>
      </c>
      <c r="DC16" s="20"/>
      <c r="DD16" s="145"/>
      <c r="DE16" s="91">
        <v>14</v>
      </c>
      <c r="DF16" s="39"/>
      <c r="DG16" s="39"/>
      <c r="DH16" s="39"/>
      <c r="DI16" s="39"/>
      <c r="DJ16" s="39"/>
      <c r="DK16" s="39"/>
      <c r="DL16" s="39"/>
      <c r="DM16" s="39"/>
      <c r="DN16" s="39"/>
      <c r="DO16" s="39"/>
      <c r="DP16" s="39"/>
      <c r="DQ16" s="39"/>
      <c r="DR16" s="39"/>
      <c r="DS16" s="39"/>
      <c r="DT16" s="39"/>
      <c r="DU16" s="39"/>
      <c r="DV16" s="39"/>
      <c r="DW16" s="39"/>
      <c r="DX16" s="39"/>
      <c r="DY16" s="39"/>
      <c r="DZ16" s="39"/>
      <c r="EA16" s="39"/>
      <c r="EB16" s="39"/>
      <c r="EC16" s="39"/>
      <c r="ED16" s="39"/>
      <c r="EE16" s="39"/>
      <c r="EF16" s="39"/>
      <c r="EG16" s="39"/>
      <c r="EH16" s="39"/>
      <c r="EI16" s="39"/>
      <c r="EJ16" s="39"/>
      <c r="EK16" s="39"/>
      <c r="EL16" s="39"/>
      <c r="EM16" s="39"/>
      <c r="EN16" s="39"/>
      <c r="EO16" s="39"/>
      <c r="EP16" s="39"/>
      <c r="EQ16" s="39"/>
      <c r="ER16" s="39"/>
      <c r="ES16" s="39"/>
      <c r="ET16" s="39"/>
      <c r="EU16" s="39"/>
      <c r="EV16" s="39"/>
      <c r="EW16" s="39"/>
      <c r="EX16" s="39"/>
      <c r="EY16" s="39"/>
      <c r="EZ16" s="39"/>
      <c r="FA16" s="39"/>
      <c r="FB16" s="39"/>
      <c r="FC16" s="39"/>
      <c r="FD16" s="39"/>
      <c r="FE16" s="39"/>
      <c r="FF16" s="39"/>
      <c r="FG16" s="39"/>
      <c r="FH16" s="39"/>
      <c r="FI16" s="39"/>
      <c r="FJ16" s="39"/>
      <c r="FK16" s="39"/>
      <c r="FL16" s="39"/>
      <c r="FM16" s="39"/>
      <c r="FN16" s="39"/>
      <c r="FO16" s="39"/>
      <c r="FP16" s="39"/>
      <c r="FQ16" s="39"/>
      <c r="FR16" s="39"/>
      <c r="FS16" s="39"/>
      <c r="FT16" s="39"/>
    </row>
    <row r="17" spans="1:176" s="22" customFormat="1" ht="13">
      <c r="A17" s="7"/>
      <c r="B17" s="23" t="str">
        <f>IF(_xlfn.XLOOKUP(A17, AutoFill_names!B:B, AutoFill_names!C:C,"")=0,"",_xlfn.XLOOKUP(A17, AutoFill_names!B:B, AutoFill_names!C:C,""))</f>
        <v/>
      </c>
      <c r="C17" s="23" t="str">
        <f>IF(_xlfn.XLOOKUP(A17, AutoFill_names!B:B, AutoFill_names!D:D,"")=0,"",_xlfn.XLOOKUP(A17, AutoFill_names!B:B, AutoFill_names!D:D,""))</f>
        <v/>
      </c>
      <c r="D17" s="23" t="str">
        <f>IF(_xlfn.XLOOKUP(A17, AutoFill_names!B:B, AutoFill_names!E:E,"")=0,"",_xlfn.XLOOKUP(A17, AutoFill_names!B:B, AutoFill_names!E:E,""))</f>
        <v/>
      </c>
      <c r="E17" s="23" t="str">
        <f>IF(_xlfn.XLOOKUP(A17, AutoFill_names!B:B, AutoFill_names!F:F,"")=0,"",_xlfn.XLOOKUP(A17, AutoFill_names!B:B, AutoFill_names!F:F,""))</f>
        <v/>
      </c>
      <c r="F17" s="4"/>
      <c r="G17" s="4"/>
      <c r="H17" s="4"/>
      <c r="I17" s="4"/>
      <c r="J17" s="23" t="str">
        <f>IF(_xlfn.XLOOKUP(A17, AutoFill_names!B:B, AutoFill_names!K:K,"")=0,"",_xlfn.XLOOKUP(A17, AutoFill_names!B:B, AutoFill_names!K:K,""))</f>
        <v/>
      </c>
      <c r="K17" s="23" t="str">
        <f>IF(_xlfn.XLOOKUP(A17, AutoFill_names!B:B, AutoFill_names!L:L,"")=0,"",_xlfn.XLOOKUP(A17, AutoFill_names!B:B, AutoFill_names!L:L,""))</f>
        <v/>
      </c>
      <c r="L17" s="45"/>
      <c r="M17" s="45"/>
      <c r="N17" s="61" t="str">
        <f>IF(_xlfn.XLOOKUP(L17, AutoFill_classes!A:A, AutoFill_classes!B:B,"")=0,"",_xlfn.XLOOKUP(L17, AutoFill_classes!A:A, AutoFill_classes!B:B,""))</f>
        <v/>
      </c>
      <c r="O17" s="154"/>
      <c r="P17" s="9"/>
      <c r="Q17" s="9"/>
      <c r="R17" s="9"/>
      <c r="S17" s="5"/>
      <c r="T17" s="5"/>
      <c r="U17" s="5"/>
      <c r="V17" s="4"/>
      <c r="W17" s="4"/>
      <c r="X17" s="144"/>
      <c r="Y17" s="27"/>
      <c r="Z17" s="60" t="str">
        <f t="shared" si="27"/>
        <v/>
      </c>
      <c r="AA17" s="32"/>
      <c r="AB17" s="32"/>
      <c r="AC17" s="32"/>
      <c r="AD17" s="32"/>
      <c r="AE17" s="58" t="str">
        <f t="shared" si="28"/>
        <v/>
      </c>
      <c r="AF17" s="20"/>
      <c r="AG17" s="58" t="str">
        <f t="shared" si="29"/>
        <v/>
      </c>
      <c r="AH17" s="32"/>
      <c r="AI17" s="32"/>
      <c r="AJ17" s="58" t="str">
        <f t="shared" si="30"/>
        <v/>
      </c>
      <c r="AK17" s="20"/>
      <c r="AL17" s="58" t="str">
        <f t="shared" si="31"/>
        <v/>
      </c>
      <c r="AM17" s="32"/>
      <c r="AN17" s="32"/>
      <c r="AO17" s="58" t="str">
        <f t="shared" si="32"/>
        <v/>
      </c>
      <c r="AP17" s="58" t="str">
        <f t="shared" si="33"/>
        <v/>
      </c>
      <c r="AQ17" s="58" t="str">
        <f t="shared" si="34"/>
        <v/>
      </c>
      <c r="AR17" s="59" t="str">
        <f t="shared" si="35"/>
        <v/>
      </c>
      <c r="AS17" s="20"/>
      <c r="AT17" s="48"/>
      <c r="AU17" s="48"/>
      <c r="AV17" s="61" t="str">
        <f>IF(_xlfn.XLOOKUP(AT17, AutoFill_classes!$A:$A, AutoFill_classes!$B:$B,"")=0,"",_xlfn.XLOOKUP(AT17, AutoFill_classes!$A:$A, AutoFill_classes!$B:$B,""))</f>
        <v/>
      </c>
      <c r="AW17" s="154"/>
      <c r="AX17" s="16"/>
      <c r="AY17" s="16"/>
      <c r="AZ17" s="16"/>
      <c r="BA17" s="16"/>
      <c r="BB17" s="16"/>
      <c r="BC17" s="144"/>
      <c r="BD17" s="27"/>
      <c r="BE17" s="60" t="str">
        <f t="shared" si="36"/>
        <v/>
      </c>
      <c r="BF17" s="32"/>
      <c r="BG17" s="32"/>
      <c r="BH17" s="32"/>
      <c r="BI17" s="32"/>
      <c r="BJ17" s="58" t="str">
        <f t="shared" si="37"/>
        <v/>
      </c>
      <c r="BK17" s="20"/>
      <c r="BL17" s="58" t="str">
        <f t="shared" si="38"/>
        <v/>
      </c>
      <c r="BM17" s="32"/>
      <c r="BN17" s="32"/>
      <c r="BO17" s="58" t="str">
        <f t="shared" si="39"/>
        <v/>
      </c>
      <c r="BP17" s="20"/>
      <c r="BQ17" s="58" t="str">
        <f t="shared" si="40"/>
        <v/>
      </c>
      <c r="BR17" s="32"/>
      <c r="BS17" s="32"/>
      <c r="BT17" s="58" t="str">
        <f t="shared" si="41"/>
        <v/>
      </c>
      <c r="BU17" s="58" t="str">
        <f t="shared" si="42"/>
        <v/>
      </c>
      <c r="BV17" s="58" t="str">
        <f t="shared" si="43"/>
        <v/>
      </c>
      <c r="BW17" s="59" t="str">
        <f t="shared" si="44"/>
        <v/>
      </c>
      <c r="BX17" s="16"/>
      <c r="BY17" s="21"/>
      <c r="BZ17" s="20"/>
      <c r="CA17" s="61" t="str">
        <f>IF(_xlfn.XLOOKUP(BY17, AutoFill_classes!$A:$A, AutoFill_classes!$B:$B,"")=0,"",_xlfn.XLOOKUP(BY17, AutoFill_classes!$A:$A, AutoFill_classes!$B:$B,""))</f>
        <v/>
      </c>
      <c r="CB17" s="154"/>
      <c r="CC17" s="20"/>
      <c r="CD17" s="20"/>
      <c r="CE17" s="20"/>
      <c r="CF17" s="33"/>
      <c r="CG17" s="34"/>
      <c r="CH17" s="144"/>
      <c r="CI17" s="35"/>
      <c r="CJ17" s="60" t="str">
        <f t="shared" si="45"/>
        <v/>
      </c>
      <c r="CK17" s="32"/>
      <c r="CL17" s="32"/>
      <c r="CM17" s="32"/>
      <c r="CN17" s="32"/>
      <c r="CO17" s="58" t="str">
        <f t="shared" si="46"/>
        <v/>
      </c>
      <c r="CP17" s="20"/>
      <c r="CQ17" s="58" t="str">
        <f t="shared" si="47"/>
        <v/>
      </c>
      <c r="CR17" s="32"/>
      <c r="CS17" s="32"/>
      <c r="CT17" s="58" t="str">
        <f t="shared" si="48"/>
        <v/>
      </c>
      <c r="CU17" s="20"/>
      <c r="CV17" s="58" t="str">
        <f t="shared" si="49"/>
        <v/>
      </c>
      <c r="CW17" s="32"/>
      <c r="CX17" s="32"/>
      <c r="CY17" s="58" t="str">
        <f t="shared" si="50"/>
        <v/>
      </c>
      <c r="CZ17" s="58" t="str">
        <f t="shared" si="51"/>
        <v/>
      </c>
      <c r="DA17" s="58" t="str">
        <f t="shared" si="52"/>
        <v/>
      </c>
      <c r="DB17" s="59" t="str">
        <f t="shared" si="53"/>
        <v/>
      </c>
      <c r="DC17" s="20"/>
      <c r="DD17" s="145"/>
      <c r="DE17" s="91">
        <v>15</v>
      </c>
      <c r="DF17" s="39"/>
      <c r="DG17" s="39"/>
      <c r="DH17" s="39"/>
      <c r="DI17" s="39"/>
      <c r="DJ17" s="39"/>
      <c r="DK17" s="39"/>
      <c r="DL17" s="39"/>
      <c r="DM17" s="39"/>
      <c r="DN17" s="39"/>
      <c r="DO17" s="39"/>
      <c r="DP17" s="39"/>
      <c r="DQ17" s="39"/>
      <c r="DR17" s="39"/>
      <c r="DS17" s="39"/>
      <c r="DT17" s="39"/>
      <c r="DU17" s="39"/>
      <c r="DV17" s="39"/>
      <c r="DW17" s="39"/>
      <c r="DX17" s="39"/>
      <c r="DY17" s="39"/>
      <c r="DZ17" s="39"/>
      <c r="EA17" s="39"/>
      <c r="EB17" s="39"/>
      <c r="EC17" s="39"/>
      <c r="ED17" s="39"/>
      <c r="EE17" s="39"/>
      <c r="EF17" s="39"/>
      <c r="EG17" s="39"/>
      <c r="EH17" s="39"/>
      <c r="EI17" s="39"/>
      <c r="EJ17" s="39"/>
      <c r="EK17" s="39"/>
      <c r="EL17" s="39"/>
      <c r="EM17" s="39"/>
      <c r="EN17" s="39"/>
      <c r="EO17" s="39"/>
      <c r="EP17" s="39"/>
      <c r="EQ17" s="39"/>
      <c r="ER17" s="39"/>
      <c r="ES17" s="39"/>
      <c r="ET17" s="39"/>
      <c r="EU17" s="39"/>
      <c r="EV17" s="39"/>
      <c r="EW17" s="39"/>
      <c r="EX17" s="39"/>
      <c r="EY17" s="39"/>
      <c r="EZ17" s="39"/>
      <c r="FA17" s="39"/>
      <c r="FB17" s="39"/>
      <c r="FC17" s="39"/>
      <c r="FD17" s="39"/>
      <c r="FE17" s="39"/>
      <c r="FF17" s="39"/>
      <c r="FG17" s="39"/>
      <c r="FH17" s="39"/>
      <c r="FI17" s="39"/>
      <c r="FJ17" s="39"/>
      <c r="FK17" s="39"/>
      <c r="FL17" s="39"/>
      <c r="FM17" s="39"/>
      <c r="FN17" s="39"/>
      <c r="FO17" s="39"/>
      <c r="FP17" s="39"/>
      <c r="FQ17" s="39"/>
      <c r="FR17" s="39"/>
      <c r="FS17" s="39"/>
      <c r="FT17" s="39"/>
    </row>
    <row r="18" spans="1:176" s="22" customFormat="1" ht="13">
      <c r="A18" s="7"/>
      <c r="B18" s="23" t="str">
        <f>IF(_xlfn.XLOOKUP(A18, AutoFill_names!B:B, AutoFill_names!C:C,"")=0,"",_xlfn.XLOOKUP(A18, AutoFill_names!B:B, AutoFill_names!C:C,""))</f>
        <v/>
      </c>
      <c r="C18" s="23" t="str">
        <f>IF(_xlfn.XLOOKUP(A18, AutoFill_names!B:B, AutoFill_names!D:D,"")=0,"",_xlfn.XLOOKUP(A18, AutoFill_names!B:B, AutoFill_names!D:D,""))</f>
        <v/>
      </c>
      <c r="D18" s="23" t="str">
        <f>IF(_xlfn.XLOOKUP(A18, AutoFill_names!B:B, AutoFill_names!E:E,"")=0,"",_xlfn.XLOOKUP(A18, AutoFill_names!B:B, AutoFill_names!E:E,""))</f>
        <v/>
      </c>
      <c r="E18" s="23" t="str">
        <f>IF(_xlfn.XLOOKUP(A18, AutoFill_names!B:B, AutoFill_names!F:F,"")=0,"",_xlfn.XLOOKUP(A18, AutoFill_names!B:B, AutoFill_names!F:F,""))</f>
        <v/>
      </c>
      <c r="F18" s="4"/>
      <c r="G18" s="4"/>
      <c r="H18" s="4"/>
      <c r="I18" s="4"/>
      <c r="J18" s="23" t="str">
        <f>IF(_xlfn.XLOOKUP(A18, AutoFill_names!B:B, AutoFill_names!K:K,"")=0,"",_xlfn.XLOOKUP(A18, AutoFill_names!B:B, AutoFill_names!K:K,""))</f>
        <v/>
      </c>
      <c r="K18" s="23" t="str">
        <f>IF(_xlfn.XLOOKUP(A18, AutoFill_names!B:B, AutoFill_names!L:L,"")=0,"",_xlfn.XLOOKUP(A18, AutoFill_names!B:B, AutoFill_names!L:L,""))</f>
        <v/>
      </c>
      <c r="L18" s="45"/>
      <c r="M18" s="45"/>
      <c r="N18" s="61" t="str">
        <f>IF(_xlfn.XLOOKUP(L18, AutoFill_classes!A:A, AutoFill_classes!B:B,"")=0,"",_xlfn.XLOOKUP(L18, AutoFill_classes!A:A, AutoFill_classes!B:B,""))</f>
        <v/>
      </c>
      <c r="O18" s="154"/>
      <c r="P18" s="9"/>
      <c r="Q18" s="9"/>
      <c r="R18" s="9"/>
      <c r="S18" s="5"/>
      <c r="T18" s="5"/>
      <c r="U18" s="5"/>
      <c r="V18" s="4"/>
      <c r="W18" s="4"/>
      <c r="X18" s="144"/>
      <c r="Y18" s="27"/>
      <c r="Z18" s="60" t="str">
        <f t="shared" si="27"/>
        <v/>
      </c>
      <c r="AA18" s="32"/>
      <c r="AB18" s="32"/>
      <c r="AC18" s="32"/>
      <c r="AD18" s="32"/>
      <c r="AE18" s="58" t="str">
        <f t="shared" si="28"/>
        <v/>
      </c>
      <c r="AF18" s="20"/>
      <c r="AG18" s="58" t="str">
        <f t="shared" si="29"/>
        <v/>
      </c>
      <c r="AH18" s="32"/>
      <c r="AI18" s="32"/>
      <c r="AJ18" s="58" t="str">
        <f t="shared" si="30"/>
        <v/>
      </c>
      <c r="AK18" s="20"/>
      <c r="AL18" s="58" t="str">
        <f t="shared" si="31"/>
        <v/>
      </c>
      <c r="AM18" s="32"/>
      <c r="AN18" s="32"/>
      <c r="AO18" s="58" t="str">
        <f t="shared" si="32"/>
        <v/>
      </c>
      <c r="AP18" s="58" t="str">
        <f t="shared" si="33"/>
        <v/>
      </c>
      <c r="AQ18" s="58" t="str">
        <f t="shared" si="34"/>
        <v/>
      </c>
      <c r="AR18" s="59" t="str">
        <f t="shared" si="35"/>
        <v/>
      </c>
      <c r="AS18" s="20"/>
      <c r="AT18" s="48"/>
      <c r="AU18" s="48"/>
      <c r="AV18" s="61" t="str">
        <f>IF(_xlfn.XLOOKUP(AT18, AutoFill_classes!$A:$A, AutoFill_classes!$B:$B,"")=0,"",_xlfn.XLOOKUP(AT18, AutoFill_classes!$A:$A, AutoFill_classes!$B:$B,""))</f>
        <v/>
      </c>
      <c r="AW18" s="154"/>
      <c r="AX18" s="16"/>
      <c r="AY18" s="16"/>
      <c r="AZ18" s="16"/>
      <c r="BA18" s="16"/>
      <c r="BB18" s="16"/>
      <c r="BC18" s="144"/>
      <c r="BD18" s="27"/>
      <c r="BE18" s="60" t="str">
        <f t="shared" si="36"/>
        <v/>
      </c>
      <c r="BF18" s="32"/>
      <c r="BG18" s="32"/>
      <c r="BH18" s="32"/>
      <c r="BI18" s="32"/>
      <c r="BJ18" s="58" t="str">
        <f t="shared" si="37"/>
        <v/>
      </c>
      <c r="BK18" s="20"/>
      <c r="BL18" s="58" t="str">
        <f t="shared" si="38"/>
        <v/>
      </c>
      <c r="BM18" s="32"/>
      <c r="BN18" s="32"/>
      <c r="BO18" s="58" t="str">
        <f t="shared" si="39"/>
        <v/>
      </c>
      <c r="BP18" s="20"/>
      <c r="BQ18" s="58" t="str">
        <f t="shared" si="40"/>
        <v/>
      </c>
      <c r="BR18" s="32"/>
      <c r="BS18" s="32"/>
      <c r="BT18" s="58" t="str">
        <f t="shared" si="41"/>
        <v/>
      </c>
      <c r="BU18" s="58" t="str">
        <f t="shared" si="42"/>
        <v/>
      </c>
      <c r="BV18" s="58" t="str">
        <f t="shared" si="43"/>
        <v/>
      </c>
      <c r="BW18" s="59" t="str">
        <f t="shared" si="44"/>
        <v/>
      </c>
      <c r="BX18" s="16"/>
      <c r="BY18" s="21"/>
      <c r="BZ18" s="20"/>
      <c r="CA18" s="61" t="str">
        <f>IF(_xlfn.XLOOKUP(BY18, AutoFill_classes!$A:$A, AutoFill_classes!$B:$B,"")=0,"",_xlfn.XLOOKUP(BY18, AutoFill_classes!$A:$A, AutoFill_classes!$B:$B,""))</f>
        <v/>
      </c>
      <c r="CB18" s="154"/>
      <c r="CC18" s="20"/>
      <c r="CD18" s="20"/>
      <c r="CE18" s="20"/>
      <c r="CF18" s="33"/>
      <c r="CG18" s="34"/>
      <c r="CH18" s="144"/>
      <c r="CI18" s="35"/>
      <c r="CJ18" s="60" t="str">
        <f t="shared" si="45"/>
        <v/>
      </c>
      <c r="CK18" s="32"/>
      <c r="CL18" s="32"/>
      <c r="CM18" s="32"/>
      <c r="CN18" s="32"/>
      <c r="CO18" s="58" t="str">
        <f t="shared" si="46"/>
        <v/>
      </c>
      <c r="CP18" s="20"/>
      <c r="CQ18" s="58" t="str">
        <f t="shared" si="47"/>
        <v/>
      </c>
      <c r="CR18" s="32"/>
      <c r="CS18" s="32"/>
      <c r="CT18" s="58" t="str">
        <f t="shared" si="48"/>
        <v/>
      </c>
      <c r="CU18" s="20"/>
      <c r="CV18" s="58" t="str">
        <f t="shared" si="49"/>
        <v/>
      </c>
      <c r="CW18" s="32"/>
      <c r="CX18" s="32"/>
      <c r="CY18" s="58" t="str">
        <f t="shared" si="50"/>
        <v/>
      </c>
      <c r="CZ18" s="58" t="str">
        <f t="shared" si="51"/>
        <v/>
      </c>
      <c r="DA18" s="58" t="str">
        <f t="shared" si="52"/>
        <v/>
      </c>
      <c r="DB18" s="59" t="str">
        <f t="shared" si="53"/>
        <v/>
      </c>
      <c r="DC18" s="20"/>
      <c r="DD18" s="145"/>
      <c r="DE18" s="91">
        <v>16</v>
      </c>
      <c r="DF18" s="39"/>
      <c r="DG18" s="39"/>
      <c r="DH18" s="39"/>
      <c r="DI18" s="39"/>
      <c r="DJ18" s="39"/>
      <c r="DK18" s="39"/>
      <c r="DL18" s="39"/>
      <c r="DM18" s="39"/>
      <c r="DN18" s="39"/>
      <c r="DO18" s="39"/>
      <c r="DP18" s="39"/>
      <c r="DQ18" s="39"/>
      <c r="DR18" s="39"/>
      <c r="DS18" s="39"/>
      <c r="DT18" s="39"/>
      <c r="DU18" s="39"/>
      <c r="DV18" s="39"/>
      <c r="DW18" s="39"/>
      <c r="DX18" s="39"/>
      <c r="DY18" s="39"/>
      <c r="DZ18" s="39"/>
      <c r="EA18" s="39"/>
      <c r="EB18" s="39"/>
      <c r="EC18" s="39"/>
      <c r="ED18" s="39"/>
      <c r="EE18" s="39"/>
      <c r="EF18" s="39"/>
      <c r="EG18" s="39"/>
      <c r="EH18" s="39"/>
      <c r="EI18" s="39"/>
      <c r="EJ18" s="39"/>
      <c r="EK18" s="39"/>
      <c r="EL18" s="39"/>
      <c r="EM18" s="39"/>
      <c r="EN18" s="39"/>
      <c r="EO18" s="39"/>
      <c r="EP18" s="39"/>
      <c r="EQ18" s="39"/>
      <c r="ER18" s="39"/>
      <c r="ES18" s="39"/>
      <c r="ET18" s="39"/>
      <c r="EU18" s="39"/>
      <c r="EV18" s="39"/>
      <c r="EW18" s="39"/>
      <c r="EX18" s="39"/>
      <c r="EY18" s="39"/>
      <c r="EZ18" s="39"/>
      <c r="FA18" s="39"/>
      <c r="FB18" s="39"/>
      <c r="FC18" s="39"/>
      <c r="FD18" s="39"/>
      <c r="FE18" s="39"/>
      <c r="FF18" s="39"/>
      <c r="FG18" s="39"/>
      <c r="FH18" s="39"/>
      <c r="FI18" s="39"/>
      <c r="FJ18" s="39"/>
      <c r="FK18" s="39"/>
      <c r="FL18" s="39"/>
      <c r="FM18" s="39"/>
      <c r="FN18" s="39"/>
      <c r="FO18" s="39"/>
      <c r="FP18" s="39"/>
      <c r="FQ18" s="39"/>
      <c r="FR18" s="39"/>
      <c r="FS18" s="39"/>
      <c r="FT18" s="39"/>
    </row>
    <row r="19" spans="1:176" s="22" customFormat="1" ht="13">
      <c r="A19" s="7"/>
      <c r="B19" s="23" t="str">
        <f>IF(_xlfn.XLOOKUP(A19, AutoFill_names!B:B, AutoFill_names!C:C,"")=0,"",_xlfn.XLOOKUP(A19, AutoFill_names!B:B, AutoFill_names!C:C,""))</f>
        <v/>
      </c>
      <c r="C19" s="23" t="str">
        <f>IF(_xlfn.XLOOKUP(A19, AutoFill_names!B:B, AutoFill_names!D:D,"")=0,"",_xlfn.XLOOKUP(A19, AutoFill_names!B:B, AutoFill_names!D:D,""))</f>
        <v/>
      </c>
      <c r="D19" s="23" t="str">
        <f>IF(_xlfn.XLOOKUP(A19, AutoFill_names!B:B, AutoFill_names!E:E,"")=0,"",_xlfn.XLOOKUP(A19, AutoFill_names!B:B, AutoFill_names!E:E,""))</f>
        <v/>
      </c>
      <c r="E19" s="23" t="str">
        <f>IF(_xlfn.XLOOKUP(A19, AutoFill_names!B:B, AutoFill_names!F:F,"")=0,"",_xlfn.XLOOKUP(A19, AutoFill_names!B:B, AutoFill_names!F:F,""))</f>
        <v/>
      </c>
      <c r="F19" s="4"/>
      <c r="G19" s="4"/>
      <c r="H19" s="4"/>
      <c r="I19" s="4"/>
      <c r="J19" s="23" t="str">
        <f>IF(_xlfn.XLOOKUP(A19, AutoFill_names!B:B, AutoFill_names!K:K,"")=0,"",_xlfn.XLOOKUP(A19, AutoFill_names!B:B, AutoFill_names!K:K,""))</f>
        <v/>
      </c>
      <c r="K19" s="23" t="str">
        <f>IF(_xlfn.XLOOKUP(A19, AutoFill_names!B:B, AutoFill_names!L:L,"")=0,"",_xlfn.XLOOKUP(A19, AutoFill_names!B:B, AutoFill_names!L:L,""))</f>
        <v/>
      </c>
      <c r="L19" s="45"/>
      <c r="M19" s="45"/>
      <c r="N19" s="61" t="str">
        <f>IF(_xlfn.XLOOKUP(L19, AutoFill_classes!A:A, AutoFill_classes!B:B,"")=0,"",_xlfn.XLOOKUP(L19, AutoFill_classes!A:A, AutoFill_classes!B:B,""))</f>
        <v/>
      </c>
      <c r="O19" s="154"/>
      <c r="P19" s="9"/>
      <c r="Q19" s="9"/>
      <c r="R19" s="9"/>
      <c r="S19" s="5"/>
      <c r="T19" s="5"/>
      <c r="U19" s="5"/>
      <c r="V19" s="4"/>
      <c r="W19" s="4"/>
      <c r="X19" s="144"/>
      <c r="Y19" s="27"/>
      <c r="Z19" s="60" t="str">
        <f t="shared" si="27"/>
        <v/>
      </c>
      <c r="AA19" s="32"/>
      <c r="AB19" s="32"/>
      <c r="AC19" s="32"/>
      <c r="AD19" s="32"/>
      <c r="AE19" s="58" t="str">
        <f t="shared" si="28"/>
        <v/>
      </c>
      <c r="AF19" s="20"/>
      <c r="AG19" s="58" t="str">
        <f t="shared" si="29"/>
        <v/>
      </c>
      <c r="AH19" s="32"/>
      <c r="AI19" s="32"/>
      <c r="AJ19" s="58" t="str">
        <f t="shared" si="30"/>
        <v/>
      </c>
      <c r="AK19" s="20"/>
      <c r="AL19" s="58" t="str">
        <f t="shared" si="31"/>
        <v/>
      </c>
      <c r="AM19" s="32"/>
      <c r="AN19" s="32"/>
      <c r="AO19" s="58" t="str">
        <f t="shared" si="32"/>
        <v/>
      </c>
      <c r="AP19" s="58" t="str">
        <f t="shared" si="33"/>
        <v/>
      </c>
      <c r="AQ19" s="58" t="str">
        <f t="shared" si="34"/>
        <v/>
      </c>
      <c r="AR19" s="59" t="str">
        <f t="shared" si="35"/>
        <v/>
      </c>
      <c r="AS19" s="20"/>
      <c r="AT19" s="48"/>
      <c r="AU19" s="48"/>
      <c r="AV19" s="61" t="str">
        <f>IF(_xlfn.XLOOKUP(AT19, AutoFill_classes!$A:$A, AutoFill_classes!$B:$B,"")=0,"",_xlfn.XLOOKUP(AT19, AutoFill_classes!$A:$A, AutoFill_classes!$B:$B,""))</f>
        <v/>
      </c>
      <c r="AW19" s="154"/>
      <c r="AX19" s="16"/>
      <c r="AY19" s="16"/>
      <c r="AZ19" s="16"/>
      <c r="BA19" s="16"/>
      <c r="BB19" s="16"/>
      <c r="BC19" s="144"/>
      <c r="BD19" s="27"/>
      <c r="BE19" s="60" t="str">
        <f t="shared" si="36"/>
        <v/>
      </c>
      <c r="BF19" s="32"/>
      <c r="BG19" s="32"/>
      <c r="BH19" s="32"/>
      <c r="BI19" s="32"/>
      <c r="BJ19" s="58" t="str">
        <f t="shared" si="37"/>
        <v/>
      </c>
      <c r="BK19" s="20"/>
      <c r="BL19" s="58" t="str">
        <f t="shared" si="38"/>
        <v/>
      </c>
      <c r="BM19" s="32"/>
      <c r="BN19" s="32"/>
      <c r="BO19" s="58" t="str">
        <f t="shared" si="39"/>
        <v/>
      </c>
      <c r="BP19" s="20"/>
      <c r="BQ19" s="58" t="str">
        <f t="shared" si="40"/>
        <v/>
      </c>
      <c r="BR19" s="32"/>
      <c r="BS19" s="32"/>
      <c r="BT19" s="58" t="str">
        <f t="shared" si="41"/>
        <v/>
      </c>
      <c r="BU19" s="58" t="str">
        <f t="shared" si="42"/>
        <v/>
      </c>
      <c r="BV19" s="58" t="str">
        <f t="shared" si="43"/>
        <v/>
      </c>
      <c r="BW19" s="59" t="str">
        <f t="shared" si="44"/>
        <v/>
      </c>
      <c r="BX19" s="16"/>
      <c r="BY19" s="21"/>
      <c r="BZ19" s="20"/>
      <c r="CA19" s="61" t="str">
        <f>IF(_xlfn.XLOOKUP(BY19, AutoFill_classes!$A:$A, AutoFill_classes!$B:$B,"")=0,"",_xlfn.XLOOKUP(BY19, AutoFill_classes!$A:$A, AutoFill_classes!$B:$B,""))</f>
        <v/>
      </c>
      <c r="CB19" s="154"/>
      <c r="CC19" s="20"/>
      <c r="CD19" s="20"/>
      <c r="CE19" s="20"/>
      <c r="CF19" s="33"/>
      <c r="CG19" s="34"/>
      <c r="CH19" s="144"/>
      <c r="CI19" s="35"/>
      <c r="CJ19" s="60" t="str">
        <f t="shared" si="45"/>
        <v/>
      </c>
      <c r="CK19" s="32"/>
      <c r="CL19" s="32"/>
      <c r="CM19" s="32"/>
      <c r="CN19" s="32"/>
      <c r="CO19" s="58" t="str">
        <f t="shared" si="46"/>
        <v/>
      </c>
      <c r="CP19" s="20"/>
      <c r="CQ19" s="58" t="str">
        <f t="shared" si="47"/>
        <v/>
      </c>
      <c r="CR19" s="32"/>
      <c r="CS19" s="32"/>
      <c r="CT19" s="58" t="str">
        <f t="shared" si="48"/>
        <v/>
      </c>
      <c r="CU19" s="20"/>
      <c r="CV19" s="58" t="str">
        <f t="shared" si="49"/>
        <v/>
      </c>
      <c r="CW19" s="32"/>
      <c r="CX19" s="32"/>
      <c r="CY19" s="58" t="str">
        <f t="shared" si="50"/>
        <v/>
      </c>
      <c r="CZ19" s="58" t="str">
        <f t="shared" si="51"/>
        <v/>
      </c>
      <c r="DA19" s="58" t="str">
        <f t="shared" si="52"/>
        <v/>
      </c>
      <c r="DB19" s="59" t="str">
        <f t="shared" si="53"/>
        <v/>
      </c>
      <c r="DC19" s="20"/>
      <c r="DD19" s="145"/>
      <c r="DE19" s="91">
        <v>17</v>
      </c>
      <c r="DF19" s="39"/>
      <c r="DG19" s="39"/>
      <c r="DH19" s="39"/>
      <c r="DI19" s="39"/>
      <c r="DJ19" s="39"/>
      <c r="DK19" s="39"/>
      <c r="DL19" s="39"/>
      <c r="DM19" s="39"/>
      <c r="DN19" s="39"/>
      <c r="DO19" s="39"/>
      <c r="DP19" s="39"/>
      <c r="DQ19" s="39"/>
      <c r="DR19" s="39"/>
      <c r="DS19" s="39"/>
      <c r="DT19" s="39"/>
      <c r="DU19" s="39"/>
      <c r="DV19" s="39"/>
      <c r="DW19" s="39"/>
      <c r="DX19" s="39"/>
      <c r="DY19" s="39"/>
      <c r="DZ19" s="39"/>
      <c r="EA19" s="39"/>
      <c r="EB19" s="39"/>
      <c r="EC19" s="39"/>
      <c r="ED19" s="39"/>
      <c r="EE19" s="39"/>
      <c r="EF19" s="39"/>
      <c r="EG19" s="39"/>
      <c r="EH19" s="39"/>
      <c r="EI19" s="39"/>
      <c r="EJ19" s="39"/>
      <c r="EK19" s="39"/>
      <c r="EL19" s="39"/>
      <c r="EM19" s="39"/>
      <c r="EN19" s="39"/>
      <c r="EO19" s="39"/>
      <c r="EP19" s="39"/>
      <c r="EQ19" s="39"/>
      <c r="ER19" s="39"/>
      <c r="ES19" s="39"/>
      <c r="ET19" s="39"/>
      <c r="EU19" s="39"/>
      <c r="EV19" s="39"/>
      <c r="EW19" s="39"/>
      <c r="EX19" s="39"/>
      <c r="EY19" s="39"/>
      <c r="EZ19" s="39"/>
      <c r="FA19" s="39"/>
      <c r="FB19" s="39"/>
      <c r="FC19" s="39"/>
      <c r="FD19" s="39"/>
      <c r="FE19" s="39"/>
      <c r="FF19" s="39"/>
      <c r="FG19" s="39"/>
      <c r="FH19" s="39"/>
      <c r="FI19" s="39"/>
      <c r="FJ19" s="39"/>
      <c r="FK19" s="39"/>
      <c r="FL19" s="39"/>
      <c r="FM19" s="39"/>
      <c r="FN19" s="39"/>
      <c r="FO19" s="39"/>
      <c r="FP19" s="39"/>
      <c r="FQ19" s="39"/>
      <c r="FR19" s="39"/>
      <c r="FS19" s="39"/>
      <c r="FT19" s="39"/>
    </row>
    <row r="20" spans="1:176" s="22" customFormat="1" ht="13">
      <c r="A20" s="7"/>
      <c r="B20" s="23" t="str">
        <f>IF(_xlfn.XLOOKUP(A20, AutoFill_names!B:B, AutoFill_names!C:C,"")=0,"",_xlfn.XLOOKUP(A20, AutoFill_names!B:B, AutoFill_names!C:C,""))</f>
        <v/>
      </c>
      <c r="C20" s="23" t="str">
        <f>IF(_xlfn.XLOOKUP(A20, AutoFill_names!B:B, AutoFill_names!D:D,"")=0,"",_xlfn.XLOOKUP(A20, AutoFill_names!B:B, AutoFill_names!D:D,""))</f>
        <v/>
      </c>
      <c r="D20" s="23" t="str">
        <f>IF(_xlfn.XLOOKUP(A20, AutoFill_names!B:B, AutoFill_names!E:E,"")=0,"",_xlfn.XLOOKUP(A20, AutoFill_names!B:B, AutoFill_names!E:E,""))</f>
        <v/>
      </c>
      <c r="E20" s="23" t="str">
        <f>IF(_xlfn.XLOOKUP(A20, AutoFill_names!B:B, AutoFill_names!F:F,"")=0,"",_xlfn.XLOOKUP(A20, AutoFill_names!B:B, AutoFill_names!F:F,""))</f>
        <v/>
      </c>
      <c r="F20" s="4"/>
      <c r="G20" s="4"/>
      <c r="H20" s="4"/>
      <c r="I20" s="4"/>
      <c r="J20" s="23" t="str">
        <f>IF(_xlfn.XLOOKUP(A20, AutoFill_names!B:B, AutoFill_names!K:K,"")=0,"",_xlfn.XLOOKUP(A20, AutoFill_names!B:B, AutoFill_names!K:K,""))</f>
        <v/>
      </c>
      <c r="K20" s="23" t="str">
        <f>IF(_xlfn.XLOOKUP(A20, AutoFill_names!B:B, AutoFill_names!L:L,"")=0,"",_xlfn.XLOOKUP(A20, AutoFill_names!B:B, AutoFill_names!L:L,""))</f>
        <v/>
      </c>
      <c r="L20" s="45"/>
      <c r="M20" s="45"/>
      <c r="N20" s="61" t="str">
        <f>IF(_xlfn.XLOOKUP(L20, AutoFill_classes!A:A, AutoFill_classes!B:B,"")=0,"",_xlfn.XLOOKUP(L20, AutoFill_classes!A:A, AutoFill_classes!B:B,""))</f>
        <v/>
      </c>
      <c r="O20" s="154"/>
      <c r="P20" s="9"/>
      <c r="Q20" s="9"/>
      <c r="R20" s="9"/>
      <c r="S20" s="5"/>
      <c r="T20" s="5"/>
      <c r="U20" s="5"/>
      <c r="V20" s="4"/>
      <c r="W20" s="4"/>
      <c r="X20" s="144"/>
      <c r="Y20" s="27"/>
      <c r="Z20" s="60" t="str">
        <f t="shared" si="27"/>
        <v/>
      </c>
      <c r="AA20" s="32"/>
      <c r="AB20" s="32"/>
      <c r="AC20" s="32"/>
      <c r="AD20" s="32"/>
      <c r="AE20" s="58" t="str">
        <f t="shared" si="28"/>
        <v/>
      </c>
      <c r="AF20" s="20"/>
      <c r="AG20" s="58" t="str">
        <f t="shared" si="29"/>
        <v/>
      </c>
      <c r="AH20" s="32"/>
      <c r="AI20" s="32"/>
      <c r="AJ20" s="58" t="str">
        <f t="shared" si="30"/>
        <v/>
      </c>
      <c r="AK20" s="20"/>
      <c r="AL20" s="58" t="str">
        <f t="shared" si="31"/>
        <v/>
      </c>
      <c r="AM20" s="32"/>
      <c r="AN20" s="32"/>
      <c r="AO20" s="58" t="str">
        <f t="shared" si="32"/>
        <v/>
      </c>
      <c r="AP20" s="58" t="str">
        <f t="shared" si="33"/>
        <v/>
      </c>
      <c r="AQ20" s="58" t="str">
        <f t="shared" si="34"/>
        <v/>
      </c>
      <c r="AR20" s="59" t="str">
        <f t="shared" si="35"/>
        <v/>
      </c>
      <c r="AS20" s="20"/>
      <c r="AT20" s="16"/>
      <c r="AU20" s="16"/>
      <c r="AV20" s="61" t="str">
        <f>IF(_xlfn.XLOOKUP(AT20, AutoFill_classes!$A:$A, AutoFill_classes!$B:$B,"")=0,"",_xlfn.XLOOKUP(AT20, AutoFill_classes!$A:$A, AutoFill_classes!$B:$B,""))</f>
        <v/>
      </c>
      <c r="AW20" s="154"/>
      <c r="AX20" s="16"/>
      <c r="AY20" s="16"/>
      <c r="AZ20" s="16"/>
      <c r="BA20" s="16"/>
      <c r="BB20" s="16"/>
      <c r="BC20" s="144"/>
      <c r="BD20" s="27"/>
      <c r="BE20" s="60" t="str">
        <f t="shared" si="36"/>
        <v/>
      </c>
      <c r="BF20" s="32"/>
      <c r="BG20" s="32"/>
      <c r="BH20" s="32"/>
      <c r="BI20" s="32"/>
      <c r="BJ20" s="58" t="str">
        <f t="shared" si="37"/>
        <v/>
      </c>
      <c r="BK20" s="20"/>
      <c r="BL20" s="58" t="str">
        <f t="shared" si="38"/>
        <v/>
      </c>
      <c r="BM20" s="32"/>
      <c r="BN20" s="32"/>
      <c r="BO20" s="58" t="str">
        <f t="shared" si="39"/>
        <v/>
      </c>
      <c r="BP20" s="20"/>
      <c r="BQ20" s="58" t="str">
        <f t="shared" si="40"/>
        <v/>
      </c>
      <c r="BR20" s="32"/>
      <c r="BS20" s="32"/>
      <c r="BT20" s="58" t="str">
        <f t="shared" si="41"/>
        <v/>
      </c>
      <c r="BU20" s="58" t="str">
        <f t="shared" si="42"/>
        <v/>
      </c>
      <c r="BV20" s="58" t="str">
        <f t="shared" si="43"/>
        <v/>
      </c>
      <c r="BW20" s="59" t="str">
        <f t="shared" si="44"/>
        <v/>
      </c>
      <c r="BX20" s="16"/>
      <c r="BY20" s="21"/>
      <c r="BZ20" s="20"/>
      <c r="CA20" s="61" t="str">
        <f>IF(_xlfn.XLOOKUP(BY20, AutoFill_classes!$A:$A, AutoFill_classes!$B:$B,"")=0,"",_xlfn.XLOOKUP(BY20, AutoFill_classes!$A:$A, AutoFill_classes!$B:$B,""))</f>
        <v/>
      </c>
      <c r="CB20" s="154"/>
      <c r="CC20" s="20"/>
      <c r="CD20" s="20"/>
      <c r="CE20" s="20"/>
      <c r="CF20" s="33"/>
      <c r="CG20" s="34"/>
      <c r="CH20" s="144"/>
      <c r="CI20" s="35"/>
      <c r="CJ20" s="60" t="str">
        <f t="shared" si="45"/>
        <v/>
      </c>
      <c r="CK20" s="32"/>
      <c r="CL20" s="32"/>
      <c r="CM20" s="32"/>
      <c r="CN20" s="32"/>
      <c r="CO20" s="58" t="str">
        <f t="shared" si="46"/>
        <v/>
      </c>
      <c r="CP20" s="20"/>
      <c r="CQ20" s="58" t="str">
        <f t="shared" si="47"/>
        <v/>
      </c>
      <c r="CR20" s="32"/>
      <c r="CS20" s="32"/>
      <c r="CT20" s="58" t="str">
        <f t="shared" si="48"/>
        <v/>
      </c>
      <c r="CU20" s="20"/>
      <c r="CV20" s="58" t="str">
        <f t="shared" si="49"/>
        <v/>
      </c>
      <c r="CW20" s="32"/>
      <c r="CX20" s="32"/>
      <c r="CY20" s="58" t="str">
        <f t="shared" si="50"/>
        <v/>
      </c>
      <c r="CZ20" s="58" t="str">
        <f t="shared" si="51"/>
        <v/>
      </c>
      <c r="DA20" s="58" t="str">
        <f t="shared" si="52"/>
        <v/>
      </c>
      <c r="DB20" s="59" t="str">
        <f t="shared" si="53"/>
        <v/>
      </c>
      <c r="DC20" s="20"/>
      <c r="DD20" s="145"/>
      <c r="DE20" s="91">
        <v>18</v>
      </c>
      <c r="DF20" s="39"/>
      <c r="DG20" s="39"/>
      <c r="DH20" s="39"/>
      <c r="DI20" s="39"/>
      <c r="DJ20" s="39"/>
      <c r="DK20" s="39"/>
      <c r="DL20" s="39"/>
      <c r="DM20" s="39"/>
      <c r="DN20" s="39"/>
      <c r="DO20" s="39"/>
      <c r="DP20" s="39"/>
      <c r="DQ20" s="39"/>
      <c r="DR20" s="39"/>
      <c r="DS20" s="39"/>
      <c r="DT20" s="39"/>
      <c r="DU20" s="39"/>
      <c r="DV20" s="39"/>
      <c r="DW20" s="39"/>
      <c r="DX20" s="39"/>
      <c r="DY20" s="39"/>
      <c r="DZ20" s="39"/>
      <c r="EA20" s="39"/>
      <c r="EB20" s="39"/>
      <c r="EC20" s="39"/>
      <c r="ED20" s="39"/>
      <c r="EE20" s="39"/>
      <c r="EF20" s="39"/>
      <c r="EG20" s="39"/>
      <c r="EH20" s="39"/>
      <c r="EI20" s="39"/>
      <c r="EJ20" s="39"/>
      <c r="EK20" s="39"/>
      <c r="EL20" s="39"/>
      <c r="EM20" s="39"/>
      <c r="EN20" s="39"/>
      <c r="EO20" s="39"/>
      <c r="EP20" s="39"/>
      <c r="EQ20" s="39"/>
      <c r="ER20" s="39"/>
      <c r="ES20" s="39"/>
      <c r="ET20" s="39"/>
      <c r="EU20" s="39"/>
      <c r="EV20" s="39"/>
      <c r="EW20" s="39"/>
      <c r="EX20" s="39"/>
      <c r="EY20" s="39"/>
      <c r="EZ20" s="39"/>
      <c r="FA20" s="39"/>
      <c r="FB20" s="39"/>
      <c r="FC20" s="39"/>
      <c r="FD20" s="39"/>
      <c r="FE20" s="39"/>
      <c r="FF20" s="39"/>
      <c r="FG20" s="39"/>
      <c r="FH20" s="39"/>
      <c r="FI20" s="39"/>
      <c r="FJ20" s="39"/>
      <c r="FK20" s="39"/>
      <c r="FL20" s="39"/>
      <c r="FM20" s="39"/>
      <c r="FN20" s="39"/>
      <c r="FO20" s="39"/>
      <c r="FP20" s="39"/>
      <c r="FQ20" s="39"/>
      <c r="FR20" s="39"/>
      <c r="FS20" s="39"/>
      <c r="FT20" s="39"/>
    </row>
    <row r="21" spans="1:176" s="22" customFormat="1" ht="13">
      <c r="A21" s="7"/>
      <c r="B21" s="23" t="str">
        <f>IF(_xlfn.XLOOKUP(A21, AutoFill_names!B:B, AutoFill_names!C:C,"")=0,"",_xlfn.XLOOKUP(A21, AutoFill_names!B:B, AutoFill_names!C:C,""))</f>
        <v/>
      </c>
      <c r="C21" s="23" t="str">
        <f>IF(_xlfn.XLOOKUP(A21, AutoFill_names!B:B, AutoFill_names!D:D,"")=0,"",_xlfn.XLOOKUP(A21, AutoFill_names!B:B, AutoFill_names!D:D,""))</f>
        <v/>
      </c>
      <c r="D21" s="23" t="str">
        <f>IF(_xlfn.XLOOKUP(A21, AutoFill_names!B:B, AutoFill_names!E:E,"")=0,"",_xlfn.XLOOKUP(A21, AutoFill_names!B:B, AutoFill_names!E:E,""))</f>
        <v/>
      </c>
      <c r="E21" s="23" t="str">
        <f>IF(_xlfn.XLOOKUP(A21, AutoFill_names!B:B, AutoFill_names!F:F,"")=0,"",_xlfn.XLOOKUP(A21, AutoFill_names!B:B, AutoFill_names!F:F,""))</f>
        <v/>
      </c>
      <c r="F21" s="4"/>
      <c r="G21" s="4"/>
      <c r="H21" s="4"/>
      <c r="I21" s="4"/>
      <c r="J21" s="23" t="str">
        <f>IF(_xlfn.XLOOKUP(A21, AutoFill_names!B:B, AutoFill_names!K:K,"")=0,"",_xlfn.XLOOKUP(A21, AutoFill_names!B:B, AutoFill_names!K:K,""))</f>
        <v/>
      </c>
      <c r="K21" s="23" t="str">
        <f>IF(_xlfn.XLOOKUP(A21, AutoFill_names!B:B, AutoFill_names!L:L,"")=0,"",_xlfn.XLOOKUP(A21, AutoFill_names!B:B, AutoFill_names!L:L,""))</f>
        <v/>
      </c>
      <c r="L21" s="5"/>
      <c r="M21" s="5"/>
      <c r="N21" s="61" t="str">
        <f>IF(_xlfn.XLOOKUP(L21, AutoFill_classes!A:A, AutoFill_classes!B:B,"")=0,"",_xlfn.XLOOKUP(L21, AutoFill_classes!A:A, AutoFill_classes!B:B,""))</f>
        <v/>
      </c>
      <c r="O21" s="154"/>
      <c r="P21" s="9"/>
      <c r="Q21" s="9"/>
      <c r="R21" s="9"/>
      <c r="S21" s="5"/>
      <c r="T21" s="5"/>
      <c r="U21" s="5"/>
      <c r="V21" s="4"/>
      <c r="W21" s="4"/>
      <c r="X21" s="144"/>
      <c r="Y21" s="27"/>
      <c r="Z21" s="60" t="str">
        <f t="shared" si="27"/>
        <v/>
      </c>
      <c r="AA21" s="32"/>
      <c r="AB21" s="32"/>
      <c r="AC21" s="32"/>
      <c r="AD21" s="32"/>
      <c r="AE21" s="58" t="str">
        <f t="shared" si="28"/>
        <v/>
      </c>
      <c r="AF21" s="20"/>
      <c r="AG21" s="58" t="str">
        <f t="shared" si="29"/>
        <v/>
      </c>
      <c r="AH21" s="32"/>
      <c r="AI21" s="32"/>
      <c r="AJ21" s="58" t="str">
        <f t="shared" si="30"/>
        <v/>
      </c>
      <c r="AK21" s="20"/>
      <c r="AL21" s="58" t="str">
        <f t="shared" si="31"/>
        <v/>
      </c>
      <c r="AM21" s="32"/>
      <c r="AN21" s="32"/>
      <c r="AO21" s="58" t="str">
        <f t="shared" si="32"/>
        <v/>
      </c>
      <c r="AP21" s="58" t="str">
        <f t="shared" si="33"/>
        <v/>
      </c>
      <c r="AQ21" s="58" t="str">
        <f t="shared" si="34"/>
        <v/>
      </c>
      <c r="AR21" s="59" t="str">
        <f t="shared" si="35"/>
        <v/>
      </c>
      <c r="AS21" s="20"/>
      <c r="AT21" s="16"/>
      <c r="AU21" s="16"/>
      <c r="AV21" s="61" t="str">
        <f>IF(_xlfn.XLOOKUP(AT21, AutoFill_classes!$A:$A, AutoFill_classes!$B:$B,"")=0,"",_xlfn.XLOOKUP(AT21, AutoFill_classes!$A:$A, AutoFill_classes!$B:$B,""))</f>
        <v/>
      </c>
      <c r="AW21" s="154"/>
      <c r="AX21" s="16"/>
      <c r="AY21" s="16"/>
      <c r="AZ21" s="16"/>
      <c r="BA21" s="16"/>
      <c r="BB21" s="16"/>
      <c r="BC21" s="144"/>
      <c r="BD21" s="27"/>
      <c r="BE21" s="60" t="str">
        <f t="shared" si="36"/>
        <v/>
      </c>
      <c r="BF21" s="32"/>
      <c r="BG21" s="32"/>
      <c r="BH21" s="32"/>
      <c r="BI21" s="32"/>
      <c r="BJ21" s="58" t="str">
        <f t="shared" si="37"/>
        <v/>
      </c>
      <c r="BK21" s="20"/>
      <c r="BL21" s="58" t="str">
        <f t="shared" si="38"/>
        <v/>
      </c>
      <c r="BM21" s="32"/>
      <c r="BN21" s="32"/>
      <c r="BO21" s="58" t="str">
        <f t="shared" si="39"/>
        <v/>
      </c>
      <c r="BP21" s="20"/>
      <c r="BQ21" s="58" t="str">
        <f t="shared" si="40"/>
        <v/>
      </c>
      <c r="BR21" s="32"/>
      <c r="BS21" s="32"/>
      <c r="BT21" s="58" t="str">
        <f t="shared" si="41"/>
        <v/>
      </c>
      <c r="BU21" s="58" t="str">
        <f t="shared" si="42"/>
        <v/>
      </c>
      <c r="BV21" s="58" t="str">
        <f t="shared" si="43"/>
        <v/>
      </c>
      <c r="BW21" s="59" t="str">
        <f t="shared" si="44"/>
        <v/>
      </c>
      <c r="BX21" s="16"/>
      <c r="BY21" s="21"/>
      <c r="BZ21" s="20"/>
      <c r="CA21" s="61" t="str">
        <f>IF(_xlfn.XLOOKUP(BY21, AutoFill_classes!$A:$A, AutoFill_classes!$B:$B,"")=0,"",_xlfn.XLOOKUP(BY21, AutoFill_classes!$A:$A, AutoFill_classes!$B:$B,""))</f>
        <v/>
      </c>
      <c r="CB21" s="154"/>
      <c r="CC21" s="20"/>
      <c r="CD21" s="20"/>
      <c r="CE21" s="20"/>
      <c r="CF21" s="33"/>
      <c r="CG21" s="34"/>
      <c r="CH21" s="144"/>
      <c r="CI21" s="35"/>
      <c r="CJ21" s="60" t="str">
        <f t="shared" si="45"/>
        <v/>
      </c>
      <c r="CK21" s="32"/>
      <c r="CL21" s="32"/>
      <c r="CM21" s="32"/>
      <c r="CN21" s="32"/>
      <c r="CO21" s="58" t="str">
        <f t="shared" si="46"/>
        <v/>
      </c>
      <c r="CP21" s="20"/>
      <c r="CQ21" s="58" t="str">
        <f t="shared" si="47"/>
        <v/>
      </c>
      <c r="CR21" s="32"/>
      <c r="CS21" s="32"/>
      <c r="CT21" s="58" t="str">
        <f t="shared" si="48"/>
        <v/>
      </c>
      <c r="CU21" s="20"/>
      <c r="CV21" s="58" t="str">
        <f t="shared" si="49"/>
        <v/>
      </c>
      <c r="CW21" s="32"/>
      <c r="CX21" s="32"/>
      <c r="CY21" s="58" t="str">
        <f t="shared" si="50"/>
        <v/>
      </c>
      <c r="CZ21" s="58" t="str">
        <f t="shared" si="51"/>
        <v/>
      </c>
      <c r="DA21" s="58" t="str">
        <f t="shared" si="52"/>
        <v/>
      </c>
      <c r="DB21" s="59" t="str">
        <f t="shared" si="53"/>
        <v/>
      </c>
      <c r="DC21" s="20"/>
      <c r="DD21" s="145"/>
      <c r="DE21" s="91">
        <v>19</v>
      </c>
      <c r="DF21" s="39"/>
      <c r="DG21" s="39"/>
      <c r="DH21" s="39"/>
      <c r="DI21" s="39"/>
      <c r="DJ21" s="39"/>
      <c r="DK21" s="39"/>
      <c r="DL21" s="39"/>
      <c r="DM21" s="39"/>
      <c r="DN21" s="39"/>
      <c r="DO21" s="39"/>
      <c r="DP21" s="39"/>
      <c r="DQ21" s="39"/>
      <c r="DR21" s="39"/>
      <c r="DS21" s="39"/>
      <c r="DT21" s="39"/>
      <c r="DU21" s="39"/>
      <c r="DV21" s="39"/>
      <c r="DW21" s="39"/>
      <c r="DX21" s="39"/>
      <c r="DY21" s="39"/>
      <c r="DZ21" s="39"/>
      <c r="EA21" s="39"/>
      <c r="EB21" s="39"/>
      <c r="EC21" s="39"/>
      <c r="ED21" s="39"/>
      <c r="EE21" s="39"/>
      <c r="EF21" s="39"/>
      <c r="EG21" s="39"/>
      <c r="EH21" s="39"/>
      <c r="EI21" s="39"/>
      <c r="EJ21" s="39"/>
      <c r="EK21" s="39"/>
      <c r="EL21" s="39"/>
      <c r="EM21" s="39"/>
      <c r="EN21" s="39"/>
      <c r="EO21" s="39"/>
      <c r="EP21" s="39"/>
      <c r="EQ21" s="39"/>
      <c r="ER21" s="39"/>
      <c r="ES21" s="39"/>
      <c r="ET21" s="39"/>
      <c r="EU21" s="39"/>
      <c r="EV21" s="39"/>
      <c r="EW21" s="39"/>
      <c r="EX21" s="39"/>
      <c r="EY21" s="39"/>
      <c r="EZ21" s="39"/>
      <c r="FA21" s="39"/>
      <c r="FB21" s="39"/>
      <c r="FC21" s="39"/>
      <c r="FD21" s="39"/>
      <c r="FE21" s="39"/>
      <c r="FF21" s="39"/>
      <c r="FG21" s="39"/>
      <c r="FH21" s="39"/>
      <c r="FI21" s="39"/>
      <c r="FJ21" s="39"/>
      <c r="FK21" s="39"/>
      <c r="FL21" s="39"/>
      <c r="FM21" s="39"/>
      <c r="FN21" s="39"/>
      <c r="FO21" s="39"/>
      <c r="FP21" s="39"/>
      <c r="FQ21" s="39"/>
      <c r="FR21" s="39"/>
      <c r="FS21" s="39"/>
      <c r="FT21" s="39"/>
    </row>
    <row r="22" spans="1:176" s="113" customFormat="1" ht="51">
      <c r="A22" s="153" t="s">
        <v>1287</v>
      </c>
      <c r="B22" s="93" t="str">
        <f>"Total Credits: " &amp; IFERROR(IF(DD22=0,"",DD22),"")</f>
        <v>Total Credits: 13</v>
      </c>
      <c r="C22" s="114"/>
      <c r="D22" s="114"/>
      <c r="E22" s="114"/>
      <c r="F22" s="114"/>
      <c r="G22" s="114"/>
      <c r="H22" s="114"/>
      <c r="I22" s="114"/>
      <c r="J22" s="114"/>
      <c r="K22" s="114"/>
      <c r="L22" s="114"/>
      <c r="M22" s="114"/>
      <c r="P22" s="96"/>
      <c r="Q22" s="96"/>
      <c r="R22" s="96"/>
      <c r="S22" s="114"/>
      <c r="T22" s="114"/>
      <c r="U22" s="114"/>
      <c r="V22" s="97"/>
      <c r="W22" s="97"/>
      <c r="X22" s="143">
        <f>IF(SUM(X23:X31)=0, "", SUM(X23:X31))</f>
        <v>3</v>
      </c>
      <c r="Y22" s="121"/>
      <c r="Z22" s="122"/>
      <c r="AA22" s="100"/>
      <c r="AB22" s="100"/>
      <c r="AC22" s="100"/>
      <c r="AD22" s="100"/>
      <c r="AE22" s="101"/>
      <c r="AF22" s="102"/>
      <c r="AG22" s="101"/>
      <c r="AH22" s="100"/>
      <c r="AI22" s="100"/>
      <c r="AJ22" s="101"/>
      <c r="AK22" s="102"/>
      <c r="AL22" s="101"/>
      <c r="AM22" s="100"/>
      <c r="AN22" s="100"/>
      <c r="AO22" s="103"/>
      <c r="AP22" s="103"/>
      <c r="AQ22" s="103"/>
      <c r="AR22" s="103"/>
      <c r="AS22" s="104"/>
      <c r="AT22" s="125"/>
      <c r="AU22" s="125"/>
      <c r="AX22" s="125"/>
      <c r="AY22" s="125"/>
      <c r="AZ22" s="125"/>
      <c r="BA22" s="112"/>
      <c r="BB22" s="112"/>
      <c r="BC22" s="143">
        <f>IF(SUM(BC23:BC31)=0, "", SUM(BC23:BC31))</f>
        <v>4</v>
      </c>
      <c r="BD22" s="121"/>
      <c r="BE22" s="122"/>
      <c r="BF22" s="123"/>
      <c r="BG22" s="123"/>
      <c r="BH22" s="123"/>
      <c r="BI22" s="123"/>
      <c r="BJ22" s="124"/>
      <c r="BK22" s="125"/>
      <c r="BL22" s="124"/>
      <c r="BM22" s="123"/>
      <c r="BN22" s="123"/>
      <c r="BO22" s="124"/>
      <c r="BP22" s="125"/>
      <c r="BQ22" s="124"/>
      <c r="BR22" s="123"/>
      <c r="BS22" s="123"/>
      <c r="BT22" s="124"/>
      <c r="BU22" s="124"/>
      <c r="BV22" s="124"/>
      <c r="BW22" s="103"/>
      <c r="BX22" s="125"/>
      <c r="BY22" s="119"/>
      <c r="BZ22" s="119"/>
      <c r="CC22" s="119"/>
      <c r="CD22" s="119"/>
      <c r="CE22" s="119"/>
      <c r="CF22" s="97"/>
      <c r="CG22" s="98"/>
      <c r="CH22" s="143">
        <f>IF(SUM(CH23:CH31)=0, "", SUM(CH23:CH31))</f>
        <v>6</v>
      </c>
      <c r="CI22" s="121"/>
      <c r="CJ22" s="122"/>
      <c r="CK22" s="123"/>
      <c r="CL22" s="123"/>
      <c r="CM22" s="123"/>
      <c r="CN22" s="123"/>
      <c r="CP22" s="125"/>
      <c r="CR22" s="123"/>
      <c r="CS22" s="123"/>
      <c r="CU22" s="125"/>
      <c r="CW22" s="123"/>
      <c r="CX22" s="123"/>
      <c r="DB22" s="103"/>
      <c r="DC22" s="125"/>
      <c r="DD22" s="143">
        <f>IF(SUM(L22:DC22)=0, "", SUM(L22:DC22))</f>
        <v>13</v>
      </c>
      <c r="DE22" s="91">
        <v>20</v>
      </c>
      <c r="DF22" s="26"/>
      <c r="DG22" s="26"/>
      <c r="DH22" s="26"/>
      <c r="DI22" s="26"/>
      <c r="DJ22" s="26"/>
      <c r="DK22" s="26"/>
      <c r="DL22" s="26"/>
      <c r="DM22" s="26"/>
      <c r="DN22" s="26"/>
      <c r="DO22" s="26"/>
      <c r="DP22" s="26"/>
      <c r="DQ22" s="26"/>
      <c r="DR22" s="26"/>
      <c r="DS22" s="26"/>
      <c r="DT22" s="26"/>
      <c r="DU22" s="26"/>
      <c r="DV22" s="26"/>
      <c r="DW22" s="26"/>
      <c r="DX22" s="26"/>
      <c r="DY22" s="26"/>
      <c r="DZ22" s="26"/>
      <c r="EA22" s="26"/>
      <c r="EB22" s="26"/>
      <c r="EC22" s="26"/>
      <c r="ED22" s="26"/>
      <c r="EE22" s="26"/>
      <c r="EF22" s="26"/>
      <c r="EG22" s="26"/>
      <c r="EH22" s="26"/>
      <c r="EI22" s="26"/>
      <c r="EJ22" s="26"/>
      <c r="EK22" s="26"/>
      <c r="EL22" s="26"/>
      <c r="EM22" s="26"/>
      <c r="EN22" s="26"/>
      <c r="EO22" s="26"/>
      <c r="EP22" s="26"/>
      <c r="EQ22" s="26"/>
      <c r="ER22" s="26"/>
      <c r="ES22" s="26"/>
      <c r="ET22" s="26"/>
      <c r="EU22" s="26"/>
      <c r="EV22" s="26"/>
      <c r="EW22" s="26"/>
      <c r="EX22" s="26"/>
      <c r="EY22" s="26"/>
      <c r="EZ22" s="26"/>
      <c r="FA22" s="26"/>
      <c r="FB22" s="26"/>
      <c r="FC22" s="26"/>
      <c r="FD22" s="26"/>
      <c r="FE22" s="26"/>
      <c r="FF22" s="26"/>
      <c r="FG22" s="26"/>
      <c r="FH22" s="26"/>
      <c r="FI22" s="26"/>
      <c r="FJ22" s="26"/>
      <c r="FK22" s="26"/>
      <c r="FL22" s="26"/>
      <c r="FM22" s="26"/>
      <c r="FN22" s="26"/>
      <c r="FO22" s="26"/>
      <c r="FP22" s="26"/>
      <c r="FQ22" s="26"/>
      <c r="FR22" s="26"/>
      <c r="FS22" s="26"/>
      <c r="FT22" s="26"/>
    </row>
    <row r="23" spans="1:176" s="22" customFormat="1" ht="13">
      <c r="A23" s="7" t="s">
        <v>184</v>
      </c>
      <c r="B23" s="23" t="str">
        <f>IF(_xlfn.XLOOKUP(A23, AutoFill_names!B:B, AutoFill_names!C:C,"")=0,"",_xlfn.XLOOKUP(A23, AutoFill_names!B:B, AutoFill_names!C:C,""))</f>
        <v>000048477</v>
      </c>
      <c r="C23" s="23" t="str">
        <f>IF(_xlfn.XLOOKUP(A23, AutoFill_names!B:B, AutoFill_names!D:D,"")=0,"",_xlfn.XLOOKUP(A23, AutoFill_names!B:B, AutoFill_names!D:D,""))</f>
        <v>royg@andrews.edu</v>
      </c>
      <c r="D23" s="23" t="str">
        <f>IF(_xlfn.XLOOKUP(A23, AutoFill_names!B:B, AutoFill_names!E:E,"")=0,"",_xlfn.XLOOKUP(A23, AutoFill_names!B:B, AutoFill_names!E:E,""))</f>
        <v/>
      </c>
      <c r="E23" s="23" t="str">
        <f>IF(_xlfn.XLOOKUP(A23, AutoFill_names!B:B, AutoFill_names!F:F,"")=0,"",_xlfn.XLOOKUP(A23, AutoFill_names!B:B, AutoFill_names!F:F,""))</f>
        <v>faculty</v>
      </c>
      <c r="F23" s="4"/>
      <c r="G23" s="4"/>
      <c r="H23" s="4"/>
      <c r="I23" s="4"/>
      <c r="J23" s="23" t="str">
        <f>IF(_xlfn.XLOOKUP(A23, AutoFill_names!B:B, AutoFill_names!K:K,"")=0,"",_xlfn.XLOOKUP(A23, AutoFill_names!B:B, AutoFill_names!K:K,""))</f>
        <v/>
      </c>
      <c r="K23" s="23" t="str">
        <f>IF(_xlfn.XLOOKUP(A23, AutoFill_names!B:B, AutoFill_names!L:L,"")=0,"",_xlfn.XLOOKUP(A23, AutoFill_names!B:B, AutoFill_names!L:L,""))</f>
        <v/>
      </c>
      <c r="L23" s="45" t="s">
        <v>600</v>
      </c>
      <c r="M23" s="45"/>
      <c r="N23" s="61" t="str">
        <f>IF(_xlfn.XLOOKUP(L23, AutoFill_classes!A:A, AutoFill_classes!B:B,"")=0,"",_xlfn.XLOOKUP(L23, AutoFill_classes!A:A, AutoFill_classes!B:B,""))</f>
        <v>Phil &amp; Ethics in Chaplaincy</v>
      </c>
      <c r="O23" s="154"/>
      <c r="P23" s="9"/>
      <c r="Q23" s="9"/>
      <c r="R23" s="9" t="s">
        <v>55</v>
      </c>
      <c r="S23" s="5" t="s">
        <v>56</v>
      </c>
      <c r="T23" s="5" t="s">
        <v>57</v>
      </c>
      <c r="U23" s="5" t="s">
        <v>58</v>
      </c>
      <c r="V23" s="4" t="s">
        <v>59</v>
      </c>
      <c r="W23" s="4" t="s">
        <v>60</v>
      </c>
      <c r="X23" s="144">
        <v>3</v>
      </c>
      <c r="Y23" s="27"/>
      <c r="Z23" s="60" t="str">
        <f t="shared" ref="Z23:Z31" si="54">IF(X23*Y23=0,"",X23*Y23)</f>
        <v/>
      </c>
      <c r="AA23" s="28"/>
      <c r="AB23" s="28"/>
      <c r="AC23" s="28"/>
      <c r="AD23" s="28"/>
      <c r="AE23" s="58" t="str">
        <f t="shared" ref="AE23:AE31" si="55">IF(ROUNDUP((AD23-AC23)/7,0)=0,"",ROUNDUP((AD23-AC23)/7,0))</f>
        <v/>
      </c>
      <c r="AF23" s="19"/>
      <c r="AG23" s="58" t="str">
        <f t="shared" ref="AG23:AG31" si="56">IFERROR(IF(AE23*AF23=0,"",AE23*AF23), "")</f>
        <v/>
      </c>
      <c r="AH23" s="28"/>
      <c r="AI23" s="28"/>
      <c r="AJ23" s="58" t="str">
        <f t="shared" ref="AJ23:AJ31" si="57">IF(ROUNDUP((AI23-AH23)/7,0)=0,"",ROUNDUP((AI23-AH23)/7,0))</f>
        <v/>
      </c>
      <c r="AK23" s="19"/>
      <c r="AL23" s="58" t="str">
        <f t="shared" ref="AL23:AL31" si="58">IFERROR(IF(AJ23*AK23=0,"",AJ23*AK23), "")</f>
        <v/>
      </c>
      <c r="AM23" s="28"/>
      <c r="AN23" s="28"/>
      <c r="AO23" s="58" t="str">
        <f t="shared" ref="AO23:AO31" si="59">IF(ROUNDUP((AN23-AM23)/7,0)=0,"",ROUNDUP((AN23-AM23)/7,0))</f>
        <v/>
      </c>
      <c r="AP23" s="58" t="str">
        <f t="shared" ref="AP23:AP31" si="60">IFERROR(IF((AS23-(AF23+AK23))/AO23=0,"",ROUNDUP((AS23-(AF23+AK23))/AO23,0)), "")</f>
        <v/>
      </c>
      <c r="AQ23" s="58" t="str">
        <f t="shared" ref="AQ23:AQ31" si="61">IFERROR(IF((AS23-(AG23+AL23))=0, "", (AS23-(AG23+AL23))), "")</f>
        <v/>
      </c>
      <c r="AR23" s="59" t="str">
        <f t="shared" ref="AR23:AR31" si="62">IFERROR(IF((AE23+AJ23+AO23)=0, "", (AE23+AJ23+AO23)), "")</f>
        <v/>
      </c>
      <c r="AS23" s="19"/>
      <c r="AT23" s="14" t="s">
        <v>603</v>
      </c>
      <c r="AU23" s="14"/>
      <c r="AV23" s="61" t="str">
        <f>IF(_xlfn.XLOOKUP(AT23, AutoFill_classes!$A:$A, AutoFill_classes!$B:$B,"")=0,"",_xlfn.XLOOKUP(AT23, AutoFill_classes!$A:$A, AutoFill_classes!$B:$B,""))</f>
        <v>Pastoral Counseling</v>
      </c>
      <c r="AW23" s="154"/>
      <c r="AX23" s="16" t="s">
        <v>56</v>
      </c>
      <c r="AY23" s="16" t="s">
        <v>57</v>
      </c>
      <c r="AZ23" s="16" t="s">
        <v>58</v>
      </c>
      <c r="BA23" s="16" t="s">
        <v>59</v>
      </c>
      <c r="BB23" s="16" t="s">
        <v>60</v>
      </c>
      <c r="BC23" s="144">
        <v>2</v>
      </c>
      <c r="BD23" s="27"/>
      <c r="BE23" s="60" t="str">
        <f t="shared" ref="BE23:BE31" si="63">IF(BC23*BD23=0,"",BC23*BD23)</f>
        <v/>
      </c>
      <c r="BF23" s="28"/>
      <c r="BG23" s="28"/>
      <c r="BH23" s="28"/>
      <c r="BI23" s="28"/>
      <c r="BJ23" s="58" t="str">
        <f t="shared" ref="BJ23:BJ31" si="64">IF(ROUNDUP((BI23-BH23)/7,0)=0,"",ROUNDUP((BI23-BH23)/7,0))</f>
        <v/>
      </c>
      <c r="BK23" s="19"/>
      <c r="BL23" s="58" t="str">
        <f t="shared" ref="BL23:BL31" si="65">IFERROR(IF(BJ23*BK23=0,"",BJ23*BK23), "")</f>
        <v/>
      </c>
      <c r="BM23" s="28"/>
      <c r="BN23" s="28"/>
      <c r="BO23" s="58" t="str">
        <f t="shared" ref="BO23:BO31" si="66">IF(ROUNDUP((BN23-BM23)/7,0)=0,"",ROUNDUP((BN23-BM23)/7,0))</f>
        <v/>
      </c>
      <c r="BP23" s="19"/>
      <c r="BQ23" s="58" t="str">
        <f t="shared" ref="BQ23:BQ31" si="67">IFERROR(IF(BO23*BP23=0,"",BO23*BP23), "")</f>
        <v/>
      </c>
      <c r="BR23" s="28"/>
      <c r="BS23" s="28"/>
      <c r="BT23" s="58" t="str">
        <f t="shared" ref="BT23:BT31" si="68">IF(ROUNDUP((BS23-BR23)/7,0)=0,"",ROUNDUP((BS23-BR23)/7,0))</f>
        <v/>
      </c>
      <c r="BU23" s="58" t="str">
        <f t="shared" ref="BU23:BU31" si="69">IFERROR(IF((BX23-(BK23+BP23))/BT23=0,"",ROUNDUP((BX23-(BK23+BP23))/BT23,0)), "")</f>
        <v/>
      </c>
      <c r="BV23" s="58" t="str">
        <f t="shared" ref="BV23:BV31" si="70">IFERROR(IF((BX23-(BL23+BQ23))=0, "", (BX23-(BL23+BQ23))), "")</f>
        <v/>
      </c>
      <c r="BW23" s="59" t="str">
        <f t="shared" ref="BW23:BW31" si="71">IFERROR(IF((BJ23+BO23+BT23)=0, "", (BJ23+BO23+BT23)), "")</f>
        <v/>
      </c>
      <c r="BX23" s="16"/>
      <c r="BY23" s="12" t="s">
        <v>603</v>
      </c>
      <c r="BZ23" s="51" t="s">
        <v>54</v>
      </c>
      <c r="CA23" s="61" t="str">
        <f>IF(_xlfn.XLOOKUP(BY23, AutoFill_classes!$A:$A, AutoFill_classes!$B:$B,"")=0,"",_xlfn.XLOOKUP(BY23, AutoFill_classes!$A:$A, AutoFill_classes!$B:$B,""))</f>
        <v>Pastoral Counseling</v>
      </c>
      <c r="CB23" s="154"/>
      <c r="CC23" s="19" t="s">
        <v>56</v>
      </c>
      <c r="CD23" s="19" t="s">
        <v>57</v>
      </c>
      <c r="CE23" s="19" t="s">
        <v>58</v>
      </c>
      <c r="CF23" s="30" t="s">
        <v>59</v>
      </c>
      <c r="CG23" s="31" t="s">
        <v>60</v>
      </c>
      <c r="CH23" s="144">
        <v>2</v>
      </c>
      <c r="CI23" s="31"/>
      <c r="CJ23" s="60" t="str">
        <f t="shared" ref="CJ23:CJ31" si="72">IF(CH23*CI23=0,"",CH23*CI23)</f>
        <v/>
      </c>
      <c r="CK23" s="28"/>
      <c r="CL23" s="28"/>
      <c r="CM23" s="28"/>
      <c r="CN23" s="28"/>
      <c r="CO23" s="58" t="str">
        <f t="shared" ref="CO23:CO31" si="73">IF(ROUNDUP((CN23-CM23)/7,0)=0,"",ROUNDUP((CN23-CM23)/7,0))</f>
        <v/>
      </c>
      <c r="CP23" s="19"/>
      <c r="CQ23" s="58" t="str">
        <f t="shared" ref="CQ23:CQ31" si="74">IFERROR(IF(CO23*CP23=0,"",CO23*CP23), "")</f>
        <v/>
      </c>
      <c r="CR23" s="28"/>
      <c r="CS23" s="28"/>
      <c r="CT23" s="58" t="str">
        <f t="shared" ref="CT23:CT31" si="75">IF(ROUNDUP((CS23-CR23)/7,0)=0,"",ROUNDUP((CS23-CR23)/7,0))</f>
        <v/>
      </c>
      <c r="CU23" s="19"/>
      <c r="CV23" s="58" t="str">
        <f t="shared" ref="CV23:CV31" si="76">IFERROR(IF(CT23*CU23=0,"",CT23*CU23), "")</f>
        <v/>
      </c>
      <c r="CW23" s="28"/>
      <c r="CX23" s="28"/>
      <c r="CY23" s="58" t="str">
        <f t="shared" ref="CY23:CY31" si="77">IF(ROUNDUP((CX23-CW23)/7,0)=0,"",ROUNDUP((CX23-CW23)/7,0))</f>
        <v/>
      </c>
      <c r="CZ23" s="58" t="str">
        <f t="shared" ref="CZ23:CZ31" si="78">IFERROR(IF((DC23-(CP23+CU23))/CY23=0,"",ROUNDUP((DC23-(CP23+CU23))/CY23,0)), "")</f>
        <v/>
      </c>
      <c r="DA23" s="58" t="str">
        <f t="shared" ref="DA23:DA31" si="79">IFERROR(IF((DC23-(CQ23+CV23))=0, "", (DC23-(CQ23+CV23))), "")</f>
        <v/>
      </c>
      <c r="DB23" s="59" t="str">
        <f t="shared" ref="DB23:DB31" si="80">IFERROR(IF((CO23+CT23+CY23)=0, "", (CO23+CT23+CY23)), "")</f>
        <v/>
      </c>
      <c r="DC23" s="19"/>
      <c r="DD23" s="145"/>
      <c r="DE23" s="91">
        <v>21</v>
      </c>
      <c r="DF23" s="39"/>
      <c r="DG23" s="39"/>
      <c r="DH23" s="39"/>
      <c r="DI23" s="39"/>
      <c r="DJ23" s="39"/>
      <c r="DK23" s="39"/>
      <c r="DL23" s="39"/>
      <c r="DM23" s="39"/>
      <c r="DN23" s="39"/>
      <c r="DO23" s="39"/>
      <c r="DP23" s="39"/>
      <c r="DQ23" s="39"/>
      <c r="DR23" s="39"/>
      <c r="DS23" s="39"/>
      <c r="DT23" s="39"/>
      <c r="DU23" s="39"/>
      <c r="DV23" s="39"/>
      <c r="DW23" s="39"/>
      <c r="DX23" s="39"/>
      <c r="DY23" s="39"/>
      <c r="DZ23" s="39"/>
      <c r="EA23" s="39"/>
      <c r="EB23" s="39"/>
      <c r="EC23" s="39"/>
      <c r="ED23" s="39"/>
      <c r="EE23" s="39"/>
      <c r="EF23" s="39"/>
      <c r="EG23" s="39"/>
      <c r="EH23" s="39"/>
      <c r="EI23" s="39"/>
      <c r="EJ23" s="39"/>
      <c r="EK23" s="39"/>
      <c r="EL23" s="39"/>
      <c r="EM23" s="39"/>
      <c r="EN23" s="39"/>
      <c r="EO23" s="39"/>
      <c r="EP23" s="39"/>
      <c r="EQ23" s="39"/>
      <c r="ER23" s="39"/>
      <c r="ES23" s="39"/>
      <c r="ET23" s="39"/>
      <c r="EU23" s="39"/>
      <c r="EV23" s="39"/>
      <c r="EW23" s="39"/>
      <c r="EX23" s="39"/>
      <c r="EY23" s="39"/>
      <c r="EZ23" s="39"/>
      <c r="FA23" s="39"/>
      <c r="FB23" s="39"/>
      <c r="FC23" s="39"/>
      <c r="FD23" s="39"/>
      <c r="FE23" s="39"/>
      <c r="FF23" s="39"/>
      <c r="FG23" s="39"/>
      <c r="FH23" s="39"/>
      <c r="FI23" s="39"/>
      <c r="FJ23" s="39"/>
      <c r="FK23" s="39"/>
      <c r="FL23" s="39"/>
      <c r="FM23" s="39"/>
      <c r="FN23" s="39"/>
      <c r="FO23" s="39"/>
      <c r="FP23" s="39"/>
      <c r="FQ23" s="39"/>
      <c r="FR23" s="39"/>
      <c r="FS23" s="39"/>
      <c r="FT23" s="39"/>
    </row>
    <row r="24" spans="1:176" s="22" customFormat="1" ht="13">
      <c r="A24" s="7" t="s">
        <v>184</v>
      </c>
      <c r="B24" s="23" t="str">
        <f>IF(_xlfn.XLOOKUP(A24, AutoFill_names!B:B, AutoFill_names!C:C,"")=0,"",_xlfn.XLOOKUP(A24, AutoFill_names!B:B, AutoFill_names!C:C,""))</f>
        <v>000048477</v>
      </c>
      <c r="C24" s="23" t="str">
        <f>IF(_xlfn.XLOOKUP(A24, AutoFill_names!B:B, AutoFill_names!D:D,"")=0,"",_xlfn.XLOOKUP(A24, AutoFill_names!B:B, AutoFill_names!D:D,""))</f>
        <v>royg@andrews.edu</v>
      </c>
      <c r="D24" s="23" t="str">
        <f>IF(_xlfn.XLOOKUP(A24, AutoFill_names!B:B, AutoFill_names!E:E,"")=0,"",_xlfn.XLOOKUP(A24, AutoFill_names!B:B, AutoFill_names!E:E,""))</f>
        <v/>
      </c>
      <c r="E24" s="23" t="str">
        <f>IF(_xlfn.XLOOKUP(A24, AutoFill_names!B:B, AutoFill_names!F:F,"")=0,"",_xlfn.XLOOKUP(A24, AutoFill_names!B:B, AutoFill_names!F:F,""))</f>
        <v>faculty</v>
      </c>
      <c r="F24" s="4"/>
      <c r="G24" s="4"/>
      <c r="H24" s="4"/>
      <c r="I24" s="4"/>
      <c r="J24" s="23" t="str">
        <f>IF(_xlfn.XLOOKUP(A24, AutoFill_names!B:B, AutoFill_names!K:K,"")=0,"",_xlfn.XLOOKUP(A24, AutoFill_names!B:B, AutoFill_names!K:K,""))</f>
        <v/>
      </c>
      <c r="K24" s="23" t="str">
        <f>IF(_xlfn.XLOOKUP(A24, AutoFill_names!B:B, AutoFill_names!L:L,"")=0,"",_xlfn.XLOOKUP(A24, AutoFill_names!B:B, AutoFill_names!L:L,""))</f>
        <v/>
      </c>
      <c r="L24" s="45" t="s">
        <v>600</v>
      </c>
      <c r="M24" s="45" t="s">
        <v>281</v>
      </c>
      <c r="N24" s="61" t="str">
        <f>IF(_xlfn.XLOOKUP(L24, AutoFill_classes!A:A, AutoFill_classes!B:B,"")=0,"",_xlfn.XLOOKUP(L24, AutoFill_classes!A:A, AutoFill_classes!B:B,""))</f>
        <v>Phil &amp; Ethics in Chaplaincy</v>
      </c>
      <c r="O24" s="154"/>
      <c r="P24" s="9"/>
      <c r="Q24" s="9"/>
      <c r="R24" s="9" t="s">
        <v>55</v>
      </c>
      <c r="S24" s="4" t="s">
        <v>76</v>
      </c>
      <c r="T24" s="4" t="s">
        <v>57</v>
      </c>
      <c r="U24" s="4" t="s">
        <v>58</v>
      </c>
      <c r="V24" s="4" t="s">
        <v>59</v>
      </c>
      <c r="W24" s="4" t="s">
        <v>60</v>
      </c>
      <c r="X24" s="144">
        <v>0</v>
      </c>
      <c r="Y24" s="27"/>
      <c r="Z24" s="60" t="str">
        <f t="shared" si="54"/>
        <v/>
      </c>
      <c r="AA24" s="32"/>
      <c r="AB24" s="32"/>
      <c r="AC24" s="32"/>
      <c r="AD24" s="32"/>
      <c r="AE24" s="58" t="str">
        <f t="shared" si="55"/>
        <v/>
      </c>
      <c r="AF24" s="20"/>
      <c r="AG24" s="58" t="str">
        <f t="shared" si="56"/>
        <v/>
      </c>
      <c r="AH24" s="32"/>
      <c r="AI24" s="32"/>
      <c r="AJ24" s="58" t="str">
        <f t="shared" si="57"/>
        <v/>
      </c>
      <c r="AK24" s="20"/>
      <c r="AL24" s="58" t="str">
        <f t="shared" si="58"/>
        <v/>
      </c>
      <c r="AM24" s="32"/>
      <c r="AN24" s="32"/>
      <c r="AO24" s="58" t="str">
        <f t="shared" si="59"/>
        <v/>
      </c>
      <c r="AP24" s="58" t="str">
        <f t="shared" si="60"/>
        <v/>
      </c>
      <c r="AQ24" s="58" t="str">
        <f t="shared" si="61"/>
        <v/>
      </c>
      <c r="AR24" s="59" t="str">
        <f t="shared" si="62"/>
        <v/>
      </c>
      <c r="AS24" s="20"/>
      <c r="AT24" s="16" t="s">
        <v>603</v>
      </c>
      <c r="AU24" s="16" t="s">
        <v>281</v>
      </c>
      <c r="AV24" s="61" t="str">
        <f>IF(_xlfn.XLOOKUP(AT24, AutoFill_classes!$A:$A, AutoFill_classes!$B:$B,"")=0,"",_xlfn.XLOOKUP(AT24, AutoFill_classes!$A:$A, AutoFill_classes!$B:$B,""))</f>
        <v>Pastoral Counseling</v>
      </c>
      <c r="AW24" s="154"/>
      <c r="AX24" s="16" t="s">
        <v>76</v>
      </c>
      <c r="AY24" s="16" t="s">
        <v>57</v>
      </c>
      <c r="AZ24" s="16" t="s">
        <v>58</v>
      </c>
      <c r="BA24" s="16" t="s">
        <v>59</v>
      </c>
      <c r="BB24" s="16" t="s">
        <v>60</v>
      </c>
      <c r="BC24" s="144">
        <v>2</v>
      </c>
      <c r="BD24" s="27"/>
      <c r="BE24" s="60" t="str">
        <f t="shared" si="63"/>
        <v/>
      </c>
      <c r="BF24" s="32"/>
      <c r="BG24" s="32"/>
      <c r="BH24" s="32"/>
      <c r="BI24" s="32"/>
      <c r="BJ24" s="58" t="str">
        <f t="shared" si="64"/>
        <v/>
      </c>
      <c r="BK24" s="20"/>
      <c r="BL24" s="58" t="str">
        <f t="shared" si="65"/>
        <v/>
      </c>
      <c r="BM24" s="32"/>
      <c r="BN24" s="32"/>
      <c r="BO24" s="58" t="str">
        <f t="shared" si="66"/>
        <v/>
      </c>
      <c r="BP24" s="20"/>
      <c r="BQ24" s="58" t="str">
        <f t="shared" si="67"/>
        <v/>
      </c>
      <c r="BR24" s="32"/>
      <c r="BS24" s="32"/>
      <c r="BT24" s="58" t="str">
        <f t="shared" si="68"/>
        <v/>
      </c>
      <c r="BU24" s="58" t="str">
        <f t="shared" si="69"/>
        <v/>
      </c>
      <c r="BV24" s="58" t="str">
        <f t="shared" si="70"/>
        <v/>
      </c>
      <c r="BW24" s="59" t="str">
        <f t="shared" si="71"/>
        <v/>
      </c>
      <c r="BX24" s="16"/>
      <c r="BY24" s="21" t="s">
        <v>603</v>
      </c>
      <c r="BZ24" s="20" t="s">
        <v>281</v>
      </c>
      <c r="CA24" s="61" t="str">
        <f>IF(_xlfn.XLOOKUP(BY24, AutoFill_classes!$A:$A, AutoFill_classes!$B:$B,"")=0,"",_xlfn.XLOOKUP(BY24, AutoFill_classes!$A:$A, AutoFill_classes!$B:$B,""))</f>
        <v>Pastoral Counseling</v>
      </c>
      <c r="CB24" s="154"/>
      <c r="CC24" s="20" t="s">
        <v>76</v>
      </c>
      <c r="CD24" s="20" t="s">
        <v>57</v>
      </c>
      <c r="CE24" s="20" t="s">
        <v>58</v>
      </c>
      <c r="CF24" s="33" t="s">
        <v>59</v>
      </c>
      <c r="CG24" s="34" t="s">
        <v>60</v>
      </c>
      <c r="CH24" s="144">
        <v>0</v>
      </c>
      <c r="CI24" s="35"/>
      <c r="CJ24" s="60" t="str">
        <f t="shared" si="72"/>
        <v/>
      </c>
      <c r="CK24" s="32"/>
      <c r="CL24" s="32"/>
      <c r="CM24" s="32"/>
      <c r="CN24" s="32"/>
      <c r="CO24" s="58" t="str">
        <f t="shared" si="73"/>
        <v/>
      </c>
      <c r="CP24" s="20"/>
      <c r="CQ24" s="58" t="str">
        <f t="shared" si="74"/>
        <v/>
      </c>
      <c r="CR24" s="32"/>
      <c r="CS24" s="32"/>
      <c r="CT24" s="58" t="str">
        <f t="shared" si="75"/>
        <v/>
      </c>
      <c r="CU24" s="20"/>
      <c r="CV24" s="58" t="str">
        <f t="shared" si="76"/>
        <v/>
      </c>
      <c r="CW24" s="32"/>
      <c r="CX24" s="32"/>
      <c r="CY24" s="58" t="str">
        <f t="shared" si="77"/>
        <v/>
      </c>
      <c r="CZ24" s="58" t="str">
        <f t="shared" si="78"/>
        <v/>
      </c>
      <c r="DA24" s="58" t="str">
        <f t="shared" si="79"/>
        <v/>
      </c>
      <c r="DB24" s="59" t="str">
        <f t="shared" si="80"/>
        <v/>
      </c>
      <c r="DC24" s="20"/>
      <c r="DD24" s="144"/>
      <c r="DE24" s="91">
        <v>22</v>
      </c>
      <c r="DF24" s="39"/>
      <c r="DG24" s="39"/>
      <c r="DH24" s="39"/>
      <c r="DI24" s="39"/>
      <c r="DJ24" s="39"/>
      <c r="DK24" s="39"/>
      <c r="DL24" s="39"/>
      <c r="DM24" s="39"/>
      <c r="DN24" s="39"/>
      <c r="DO24" s="39"/>
      <c r="DP24" s="39"/>
      <c r="DQ24" s="39"/>
      <c r="DR24" s="39"/>
      <c r="DS24" s="39"/>
      <c r="DT24" s="39"/>
      <c r="DU24" s="39"/>
      <c r="DV24" s="39"/>
      <c r="DW24" s="39"/>
      <c r="DX24" s="39"/>
      <c r="DY24" s="39"/>
      <c r="DZ24" s="39"/>
      <c r="EA24" s="39"/>
      <c r="EB24" s="39"/>
      <c r="EC24" s="39"/>
      <c r="ED24" s="39"/>
      <c r="EE24" s="39"/>
      <c r="EF24" s="39"/>
      <c r="EG24" s="39"/>
      <c r="EH24" s="39"/>
      <c r="EI24" s="39"/>
      <c r="EJ24" s="39"/>
      <c r="EK24" s="39"/>
      <c r="EL24" s="39"/>
      <c r="EM24" s="39"/>
      <c r="EN24" s="39"/>
      <c r="EO24" s="39"/>
      <c r="EP24" s="39"/>
      <c r="EQ24" s="39"/>
      <c r="ER24" s="39"/>
      <c r="ES24" s="39"/>
      <c r="ET24" s="39"/>
      <c r="EU24" s="39"/>
      <c r="EV24" s="39"/>
      <c r="EW24" s="39"/>
      <c r="EX24" s="39"/>
      <c r="EY24" s="39"/>
      <c r="EZ24" s="39"/>
      <c r="FA24" s="39"/>
      <c r="FB24" s="39"/>
      <c r="FC24" s="39"/>
      <c r="FD24" s="39"/>
      <c r="FE24" s="39"/>
      <c r="FF24" s="39"/>
      <c r="FG24" s="39"/>
      <c r="FH24" s="39"/>
      <c r="FI24" s="39"/>
      <c r="FJ24" s="39"/>
      <c r="FK24" s="39"/>
      <c r="FL24" s="39"/>
      <c r="FM24" s="39"/>
      <c r="FN24" s="39"/>
      <c r="FO24" s="39"/>
      <c r="FP24" s="39"/>
      <c r="FQ24" s="39"/>
      <c r="FR24" s="39"/>
      <c r="FS24" s="39"/>
      <c r="FT24" s="39"/>
    </row>
    <row r="25" spans="1:176" s="22" customFormat="1" ht="13">
      <c r="A25" s="7" t="s">
        <v>184</v>
      </c>
      <c r="B25" s="23" t="str">
        <f>IF(_xlfn.XLOOKUP(A25, AutoFill_names!B:B, AutoFill_names!C:C,"")=0,"",_xlfn.XLOOKUP(A25, AutoFill_names!B:B, AutoFill_names!C:C,""))</f>
        <v>000048477</v>
      </c>
      <c r="C25" s="23" t="str">
        <f>IF(_xlfn.XLOOKUP(A25, AutoFill_names!B:B, AutoFill_names!D:D,"")=0,"",_xlfn.XLOOKUP(A25, AutoFill_names!B:B, AutoFill_names!D:D,""))</f>
        <v>royg@andrews.edu</v>
      </c>
      <c r="D25" s="23" t="str">
        <f>IF(_xlfn.XLOOKUP(A25, AutoFill_names!B:B, AutoFill_names!E:E,"")=0,"",_xlfn.XLOOKUP(A25, AutoFill_names!B:B, AutoFill_names!E:E,""))</f>
        <v/>
      </c>
      <c r="E25" s="23" t="str">
        <f>IF(_xlfn.XLOOKUP(A25, AutoFill_names!B:B, AutoFill_names!F:F,"")=0,"",_xlfn.XLOOKUP(A25, AutoFill_names!B:B, AutoFill_names!F:F,""))</f>
        <v>faculty</v>
      </c>
      <c r="F25" s="4"/>
      <c r="G25" s="4"/>
      <c r="H25" s="4"/>
      <c r="I25" s="4"/>
      <c r="J25" s="23" t="str">
        <f>IF(_xlfn.XLOOKUP(A25, AutoFill_names!B:B, AutoFill_names!K:K,"")=0,"",_xlfn.XLOOKUP(A25, AutoFill_names!B:B, AutoFill_names!K:K,""))</f>
        <v/>
      </c>
      <c r="K25" s="23" t="str">
        <f>IF(_xlfn.XLOOKUP(A25, AutoFill_names!B:B, AutoFill_names!L:L,"")=0,"",_xlfn.XLOOKUP(A25, AutoFill_names!B:B, AutoFill_names!L:L,""))</f>
        <v/>
      </c>
      <c r="L25" s="45"/>
      <c r="M25" s="45"/>
      <c r="N25" s="61" t="str">
        <f>IF(_xlfn.XLOOKUP(L25, AutoFill_classes!A:A, AutoFill_classes!B:B,"")=0,"",_xlfn.XLOOKUP(L25, AutoFill_classes!A:A, AutoFill_classes!B:B,""))</f>
        <v/>
      </c>
      <c r="O25" s="154"/>
      <c r="P25" s="9"/>
      <c r="Q25" s="9"/>
      <c r="R25" s="9"/>
      <c r="S25" s="4"/>
      <c r="T25" s="4"/>
      <c r="U25" s="4"/>
      <c r="V25" s="4"/>
      <c r="W25" s="4"/>
      <c r="X25" s="144"/>
      <c r="Y25" s="27"/>
      <c r="Z25" s="60" t="str">
        <f t="shared" si="54"/>
        <v/>
      </c>
      <c r="AA25" s="32"/>
      <c r="AB25" s="32"/>
      <c r="AC25" s="36"/>
      <c r="AD25" s="36"/>
      <c r="AE25" s="58" t="str">
        <f t="shared" si="55"/>
        <v/>
      </c>
      <c r="AF25" s="20"/>
      <c r="AG25" s="58" t="str">
        <f t="shared" si="56"/>
        <v/>
      </c>
      <c r="AH25" s="36"/>
      <c r="AI25" s="36"/>
      <c r="AJ25" s="58" t="str">
        <f t="shared" si="57"/>
        <v/>
      </c>
      <c r="AK25" s="20"/>
      <c r="AL25" s="58" t="str">
        <f t="shared" si="58"/>
        <v/>
      </c>
      <c r="AM25" s="36"/>
      <c r="AN25" s="36"/>
      <c r="AO25" s="58" t="str">
        <f t="shared" si="59"/>
        <v/>
      </c>
      <c r="AP25" s="58" t="str">
        <f t="shared" si="60"/>
        <v/>
      </c>
      <c r="AQ25" s="58" t="str">
        <f t="shared" si="61"/>
        <v/>
      </c>
      <c r="AR25" s="59" t="str">
        <f t="shared" si="62"/>
        <v/>
      </c>
      <c r="AS25" s="20"/>
      <c r="AT25" s="16" t="s">
        <v>603</v>
      </c>
      <c r="AU25" s="16" t="s">
        <v>283</v>
      </c>
      <c r="AV25" s="61" t="str">
        <f>IF(_xlfn.XLOOKUP(AT25, AutoFill_classes!$A:$A, AutoFill_classes!$B:$B,"")=0,"",_xlfn.XLOOKUP(AT25, AutoFill_classes!$A:$A, AutoFill_classes!$B:$B,""))</f>
        <v>Pastoral Counseling</v>
      </c>
      <c r="AW25" s="154"/>
      <c r="AX25" s="16" t="s">
        <v>85</v>
      </c>
      <c r="AY25" s="16" t="s">
        <v>57</v>
      </c>
      <c r="AZ25" s="16" t="s">
        <v>58</v>
      </c>
      <c r="BA25" s="16" t="s">
        <v>59</v>
      </c>
      <c r="BB25" s="16" t="s">
        <v>60</v>
      </c>
      <c r="BC25" s="144">
        <v>0</v>
      </c>
      <c r="BD25" s="27"/>
      <c r="BE25" s="60" t="str">
        <f t="shared" si="63"/>
        <v/>
      </c>
      <c r="BF25" s="32"/>
      <c r="BG25" s="32"/>
      <c r="BH25" s="36"/>
      <c r="BI25" s="36"/>
      <c r="BJ25" s="58" t="str">
        <f t="shared" si="64"/>
        <v/>
      </c>
      <c r="BK25" s="20"/>
      <c r="BL25" s="58" t="str">
        <f t="shared" si="65"/>
        <v/>
      </c>
      <c r="BM25" s="36"/>
      <c r="BN25" s="36"/>
      <c r="BO25" s="58" t="str">
        <f t="shared" si="66"/>
        <v/>
      </c>
      <c r="BP25" s="20"/>
      <c r="BQ25" s="58" t="str">
        <f t="shared" si="67"/>
        <v/>
      </c>
      <c r="BR25" s="36"/>
      <c r="BS25" s="36"/>
      <c r="BT25" s="58" t="str">
        <f t="shared" si="68"/>
        <v/>
      </c>
      <c r="BU25" s="58" t="str">
        <f t="shared" si="69"/>
        <v/>
      </c>
      <c r="BV25" s="58" t="str">
        <f t="shared" si="70"/>
        <v/>
      </c>
      <c r="BW25" s="59" t="str">
        <f t="shared" si="71"/>
        <v/>
      </c>
      <c r="BX25" s="16"/>
      <c r="BY25" s="21" t="s">
        <v>588</v>
      </c>
      <c r="BZ25" s="20"/>
      <c r="CA25" s="61" t="str">
        <f>IF(_xlfn.XLOOKUP(BY25, AutoFill_classes!$A:$A, AutoFill_classes!$B:$B,"")=0,"",_xlfn.XLOOKUP(BY25, AutoFill_classes!$A:$A, AutoFill_classes!$B:$B,""))</f>
        <v>Intro to Chaplaincy Min</v>
      </c>
      <c r="CB25" s="154"/>
      <c r="CC25" s="20" t="s">
        <v>56</v>
      </c>
      <c r="CD25" s="20" t="s">
        <v>57</v>
      </c>
      <c r="CE25" s="20" t="s">
        <v>58</v>
      </c>
      <c r="CF25" s="33" t="s">
        <v>59</v>
      </c>
      <c r="CG25" s="34" t="s">
        <v>60</v>
      </c>
      <c r="CH25" s="144">
        <v>2</v>
      </c>
      <c r="CI25" s="35"/>
      <c r="CJ25" s="60" t="str">
        <f>IF(CH25*CI25=0,"",CH25*CI25)</f>
        <v/>
      </c>
      <c r="CK25" s="32"/>
      <c r="CL25" s="32"/>
      <c r="CM25" s="36"/>
      <c r="CN25" s="36"/>
      <c r="CO25" s="58" t="str">
        <f t="shared" si="73"/>
        <v/>
      </c>
      <c r="CP25" s="20"/>
      <c r="CQ25" s="58" t="str">
        <f t="shared" si="74"/>
        <v/>
      </c>
      <c r="CR25" s="36"/>
      <c r="CS25" s="36"/>
      <c r="CT25" s="58" t="str">
        <f t="shared" si="75"/>
        <v/>
      </c>
      <c r="CU25" s="20"/>
      <c r="CV25" s="58" t="str">
        <f t="shared" si="76"/>
        <v/>
      </c>
      <c r="CW25" s="36"/>
      <c r="CX25" s="36"/>
      <c r="CY25" s="58" t="str">
        <f t="shared" si="77"/>
        <v/>
      </c>
      <c r="CZ25" s="58" t="str">
        <f t="shared" si="78"/>
        <v/>
      </c>
      <c r="DA25" s="58" t="str">
        <f t="shared" si="79"/>
        <v/>
      </c>
      <c r="DB25" s="59" t="str">
        <f t="shared" si="80"/>
        <v/>
      </c>
      <c r="DC25" s="20"/>
      <c r="DD25" s="144"/>
      <c r="DE25" s="91">
        <v>23</v>
      </c>
      <c r="DF25" s="39"/>
      <c r="DG25" s="39"/>
      <c r="DH25" s="39"/>
      <c r="DI25" s="39"/>
      <c r="DJ25" s="39"/>
      <c r="DK25" s="39"/>
      <c r="DL25" s="39"/>
      <c r="DM25" s="39"/>
      <c r="DN25" s="39"/>
      <c r="DO25" s="39"/>
      <c r="DP25" s="39"/>
      <c r="DQ25" s="39"/>
      <c r="DR25" s="39"/>
      <c r="DS25" s="39"/>
      <c r="DT25" s="39"/>
      <c r="DU25" s="39"/>
      <c r="DV25" s="39"/>
      <c r="DW25" s="39"/>
      <c r="DX25" s="39"/>
      <c r="DY25" s="39"/>
      <c r="DZ25" s="39"/>
      <c r="EA25" s="39"/>
      <c r="EB25" s="39"/>
      <c r="EC25" s="39"/>
      <c r="ED25" s="39"/>
      <c r="EE25" s="39"/>
      <c r="EF25" s="39"/>
      <c r="EG25" s="39"/>
      <c r="EH25" s="39"/>
      <c r="EI25" s="39"/>
      <c r="EJ25" s="39"/>
      <c r="EK25" s="39"/>
      <c r="EL25" s="39"/>
      <c r="EM25" s="39"/>
      <c r="EN25" s="39"/>
      <c r="EO25" s="39"/>
      <c r="EP25" s="39"/>
      <c r="EQ25" s="39"/>
      <c r="ER25" s="39"/>
      <c r="ES25" s="39"/>
      <c r="ET25" s="39"/>
      <c r="EU25" s="39"/>
      <c r="EV25" s="39"/>
      <c r="EW25" s="39"/>
      <c r="EX25" s="39"/>
      <c r="EY25" s="39"/>
      <c r="EZ25" s="39"/>
      <c r="FA25" s="39"/>
      <c r="FB25" s="39"/>
      <c r="FC25" s="39"/>
      <c r="FD25" s="39"/>
      <c r="FE25" s="39"/>
      <c r="FF25" s="39"/>
      <c r="FG25" s="39"/>
      <c r="FH25" s="39"/>
      <c r="FI25" s="39"/>
      <c r="FJ25" s="39"/>
      <c r="FK25" s="39"/>
      <c r="FL25" s="39"/>
      <c r="FM25" s="39"/>
      <c r="FN25" s="39"/>
      <c r="FO25" s="39"/>
      <c r="FP25" s="39"/>
      <c r="FQ25" s="39"/>
      <c r="FR25" s="39"/>
      <c r="FS25" s="39"/>
      <c r="FT25" s="39"/>
    </row>
    <row r="26" spans="1:176" s="22" customFormat="1" ht="13">
      <c r="A26" s="7" t="s">
        <v>184</v>
      </c>
      <c r="B26" s="23" t="str">
        <f>IF(_xlfn.XLOOKUP(A26, AutoFill_names!B:B, AutoFill_names!C:C,"")=0,"",_xlfn.XLOOKUP(A26, AutoFill_names!B:B, AutoFill_names!C:C,""))</f>
        <v>000048477</v>
      </c>
      <c r="C26" s="23" t="str">
        <f>IF(_xlfn.XLOOKUP(A26, AutoFill_names!B:B, AutoFill_names!D:D,"")=0,"",_xlfn.XLOOKUP(A26, AutoFill_names!B:B, AutoFill_names!D:D,""))</f>
        <v>royg@andrews.edu</v>
      </c>
      <c r="D26" s="23" t="str">
        <f>IF(_xlfn.XLOOKUP(A26, AutoFill_names!B:B, AutoFill_names!E:E,"")=0,"",_xlfn.XLOOKUP(A26, AutoFill_names!B:B, AutoFill_names!E:E,""))</f>
        <v/>
      </c>
      <c r="E26" s="23" t="str">
        <f>IF(_xlfn.XLOOKUP(A26, AutoFill_names!B:B, AutoFill_names!F:F,"")=0,"",_xlfn.XLOOKUP(A26, AutoFill_names!B:B, AutoFill_names!F:F,""))</f>
        <v>faculty</v>
      </c>
      <c r="F26" s="4"/>
      <c r="G26" s="4"/>
      <c r="H26" s="4"/>
      <c r="I26" s="4"/>
      <c r="J26" s="23" t="str">
        <f>IF(_xlfn.XLOOKUP(A26, AutoFill_names!B:B, AutoFill_names!K:K,"")=0,"",_xlfn.XLOOKUP(A26, AutoFill_names!B:B, AutoFill_names!K:K,""))</f>
        <v/>
      </c>
      <c r="K26" s="23" t="str">
        <f>IF(_xlfn.XLOOKUP(A26, AutoFill_names!B:B, AutoFill_names!L:L,"")=0,"",_xlfn.XLOOKUP(A26, AutoFill_names!B:B, AutoFill_names!L:L,""))</f>
        <v/>
      </c>
      <c r="L26" s="45"/>
      <c r="M26" s="45"/>
      <c r="N26" s="61" t="str">
        <f>IF(_xlfn.XLOOKUP(L26, AutoFill_classes!A:A, AutoFill_classes!B:B,"")=0,"",_xlfn.XLOOKUP(L26, AutoFill_classes!A:A, AutoFill_classes!B:B,""))</f>
        <v/>
      </c>
      <c r="O26" s="154"/>
      <c r="P26" s="9"/>
      <c r="Q26" s="9"/>
      <c r="R26" s="9"/>
      <c r="S26" s="4"/>
      <c r="T26" s="4"/>
      <c r="U26" s="4"/>
      <c r="V26" s="4"/>
      <c r="W26" s="4"/>
      <c r="X26" s="144"/>
      <c r="Y26" s="27"/>
      <c r="Z26" s="60" t="str">
        <f t="shared" si="54"/>
        <v/>
      </c>
      <c r="AA26" s="32"/>
      <c r="AB26" s="32"/>
      <c r="AC26" s="32"/>
      <c r="AD26" s="32"/>
      <c r="AE26" s="58" t="str">
        <f t="shared" si="55"/>
        <v/>
      </c>
      <c r="AF26" s="20"/>
      <c r="AG26" s="58" t="str">
        <f t="shared" si="56"/>
        <v/>
      </c>
      <c r="AH26" s="32"/>
      <c r="AI26" s="32"/>
      <c r="AJ26" s="58" t="str">
        <f t="shared" si="57"/>
        <v/>
      </c>
      <c r="AK26" s="20"/>
      <c r="AL26" s="58" t="str">
        <f t="shared" si="58"/>
        <v/>
      </c>
      <c r="AM26" s="32"/>
      <c r="AN26" s="32"/>
      <c r="AO26" s="58" t="str">
        <f t="shared" si="59"/>
        <v/>
      </c>
      <c r="AP26" s="58" t="str">
        <f t="shared" si="60"/>
        <v/>
      </c>
      <c r="AQ26" s="58" t="str">
        <f t="shared" si="61"/>
        <v/>
      </c>
      <c r="AR26" s="59" t="str">
        <f t="shared" si="62"/>
        <v/>
      </c>
      <c r="AS26" s="20"/>
      <c r="AT26" s="16"/>
      <c r="AU26" s="16"/>
      <c r="AV26" s="61" t="str">
        <f>IF(_xlfn.XLOOKUP(AT26, AutoFill_classes!$A:$A, AutoFill_classes!$B:$B,"")=0,"",_xlfn.XLOOKUP(AT26, AutoFill_classes!$A:$A, AutoFill_classes!$B:$B,""))</f>
        <v/>
      </c>
      <c r="AW26" s="154"/>
      <c r="AX26" s="16"/>
      <c r="AY26" s="16"/>
      <c r="AZ26" s="16"/>
      <c r="BA26" s="16"/>
      <c r="BB26" s="16"/>
      <c r="BC26" s="144"/>
      <c r="BD26" s="27"/>
      <c r="BE26" s="60" t="str">
        <f t="shared" si="63"/>
        <v/>
      </c>
      <c r="BF26" s="32"/>
      <c r="BG26" s="32"/>
      <c r="BH26" s="32"/>
      <c r="BI26" s="32"/>
      <c r="BJ26" s="58" t="str">
        <f t="shared" si="64"/>
        <v/>
      </c>
      <c r="BK26" s="20"/>
      <c r="BL26" s="58" t="str">
        <f t="shared" si="65"/>
        <v/>
      </c>
      <c r="BM26" s="32"/>
      <c r="BN26" s="32"/>
      <c r="BO26" s="58" t="str">
        <f t="shared" si="66"/>
        <v/>
      </c>
      <c r="BP26" s="20"/>
      <c r="BQ26" s="58" t="str">
        <f t="shared" si="67"/>
        <v/>
      </c>
      <c r="BR26" s="32"/>
      <c r="BS26" s="32"/>
      <c r="BT26" s="58" t="str">
        <f t="shared" si="68"/>
        <v/>
      </c>
      <c r="BU26" s="58" t="str">
        <f t="shared" si="69"/>
        <v/>
      </c>
      <c r="BV26" s="58" t="str">
        <f t="shared" si="70"/>
        <v/>
      </c>
      <c r="BW26" s="59" t="str">
        <f t="shared" si="71"/>
        <v/>
      </c>
      <c r="BX26" s="16"/>
      <c r="BY26" s="21" t="s">
        <v>588</v>
      </c>
      <c r="BZ26" s="20" t="s">
        <v>281</v>
      </c>
      <c r="CA26" s="61" t="str">
        <f>IF(_xlfn.XLOOKUP(BY26, AutoFill_classes!$A:$A, AutoFill_classes!$B:$B,"")=0,"",_xlfn.XLOOKUP(BY26, AutoFill_classes!$A:$A, AutoFill_classes!$B:$B,""))</f>
        <v>Intro to Chaplaincy Min</v>
      </c>
      <c r="CB26" s="154"/>
      <c r="CC26" s="20" t="s">
        <v>76</v>
      </c>
      <c r="CD26" s="20" t="s">
        <v>57</v>
      </c>
      <c r="CE26" s="20" t="s">
        <v>58</v>
      </c>
      <c r="CF26" s="33" t="s">
        <v>59</v>
      </c>
      <c r="CG26" s="34" t="s">
        <v>60</v>
      </c>
      <c r="CH26" s="144">
        <v>0</v>
      </c>
      <c r="CI26" s="35"/>
      <c r="CJ26" s="60" t="str">
        <f t="shared" si="72"/>
        <v/>
      </c>
      <c r="CK26" s="32"/>
      <c r="CL26" s="32"/>
      <c r="CM26" s="32"/>
      <c r="CN26" s="32"/>
      <c r="CO26" s="58" t="str">
        <f t="shared" si="73"/>
        <v/>
      </c>
      <c r="CP26" s="20"/>
      <c r="CQ26" s="58" t="str">
        <f t="shared" si="74"/>
        <v/>
      </c>
      <c r="CR26" s="32"/>
      <c r="CS26" s="32"/>
      <c r="CT26" s="58" t="str">
        <f t="shared" si="75"/>
        <v/>
      </c>
      <c r="CU26" s="20"/>
      <c r="CV26" s="58" t="str">
        <f t="shared" si="76"/>
        <v/>
      </c>
      <c r="CW26" s="32"/>
      <c r="CX26" s="32"/>
      <c r="CY26" s="58" t="str">
        <f t="shared" si="77"/>
        <v/>
      </c>
      <c r="CZ26" s="58" t="str">
        <f t="shared" si="78"/>
        <v/>
      </c>
      <c r="DA26" s="58" t="str">
        <f t="shared" si="79"/>
        <v/>
      </c>
      <c r="DB26" s="59" t="str">
        <f t="shared" si="80"/>
        <v/>
      </c>
      <c r="DC26" s="20"/>
      <c r="DD26" s="144"/>
      <c r="DE26" s="91">
        <v>24</v>
      </c>
      <c r="DF26" s="39"/>
      <c r="DG26" s="39"/>
      <c r="DH26" s="39"/>
      <c r="DI26" s="39"/>
      <c r="DJ26" s="39"/>
      <c r="DK26" s="39"/>
      <c r="DL26" s="39"/>
      <c r="DM26" s="39"/>
      <c r="DN26" s="39"/>
      <c r="DO26" s="39"/>
      <c r="DP26" s="39"/>
      <c r="DQ26" s="39"/>
      <c r="DR26" s="39"/>
      <c r="DS26" s="39"/>
      <c r="DT26" s="39"/>
      <c r="DU26" s="39"/>
      <c r="DV26" s="39"/>
      <c r="DW26" s="39"/>
      <c r="DX26" s="39"/>
      <c r="DY26" s="39"/>
      <c r="DZ26" s="39"/>
      <c r="EA26" s="39"/>
      <c r="EB26" s="39"/>
      <c r="EC26" s="39"/>
      <c r="ED26" s="39"/>
      <c r="EE26" s="39"/>
      <c r="EF26" s="39"/>
      <c r="EG26" s="39"/>
      <c r="EH26" s="39"/>
      <c r="EI26" s="39"/>
      <c r="EJ26" s="39"/>
      <c r="EK26" s="39"/>
      <c r="EL26" s="39"/>
      <c r="EM26" s="39"/>
      <c r="EN26" s="39"/>
      <c r="EO26" s="39"/>
      <c r="EP26" s="39"/>
      <c r="EQ26" s="39"/>
      <c r="ER26" s="39"/>
      <c r="ES26" s="39"/>
      <c r="ET26" s="39"/>
      <c r="EU26" s="39"/>
      <c r="EV26" s="39"/>
      <c r="EW26" s="39"/>
      <c r="EX26" s="39"/>
      <c r="EY26" s="39"/>
      <c r="EZ26" s="39"/>
      <c r="FA26" s="39"/>
      <c r="FB26" s="39"/>
      <c r="FC26" s="39"/>
      <c r="FD26" s="39"/>
      <c r="FE26" s="39"/>
      <c r="FF26" s="39"/>
      <c r="FG26" s="39"/>
      <c r="FH26" s="39"/>
      <c r="FI26" s="39"/>
      <c r="FJ26" s="39"/>
      <c r="FK26" s="39"/>
      <c r="FL26" s="39"/>
      <c r="FM26" s="39"/>
      <c r="FN26" s="39"/>
      <c r="FO26" s="39"/>
      <c r="FP26" s="39"/>
      <c r="FQ26" s="39"/>
      <c r="FR26" s="39"/>
      <c r="FS26" s="39"/>
      <c r="FT26" s="39"/>
    </row>
    <row r="27" spans="1:176" s="22" customFormat="1" ht="13">
      <c r="A27" s="7" t="s">
        <v>184</v>
      </c>
      <c r="B27" s="23" t="str">
        <f>IF(_xlfn.XLOOKUP(A27, AutoFill_names!B:B, AutoFill_names!C:C,"")=0,"",_xlfn.XLOOKUP(A27, AutoFill_names!B:B, AutoFill_names!C:C,""))</f>
        <v>000048477</v>
      </c>
      <c r="C27" s="23" t="str">
        <f>IF(_xlfn.XLOOKUP(A27, AutoFill_names!B:B, AutoFill_names!D:D,"")=0,"",_xlfn.XLOOKUP(A27, AutoFill_names!B:B, AutoFill_names!D:D,""))</f>
        <v>royg@andrews.edu</v>
      </c>
      <c r="D27" s="23" t="str">
        <f>IF(_xlfn.XLOOKUP(A27, AutoFill_names!B:B, AutoFill_names!E:E,"")=0,"",_xlfn.XLOOKUP(A27, AutoFill_names!B:B, AutoFill_names!E:E,""))</f>
        <v/>
      </c>
      <c r="E27" s="23" t="str">
        <f>IF(_xlfn.XLOOKUP(A27, AutoFill_names!B:B, AutoFill_names!F:F,"")=0,"",_xlfn.XLOOKUP(A27, AutoFill_names!B:B, AutoFill_names!F:F,""))</f>
        <v>faculty</v>
      </c>
      <c r="F27" s="4"/>
      <c r="G27" s="4"/>
      <c r="H27" s="4"/>
      <c r="I27" s="4"/>
      <c r="J27" s="23" t="str">
        <f>IF(_xlfn.XLOOKUP(A27, AutoFill_names!B:B, AutoFill_names!K:K,"")=0,"",_xlfn.XLOOKUP(A27, AutoFill_names!B:B, AutoFill_names!K:K,""))</f>
        <v/>
      </c>
      <c r="K27" s="23" t="str">
        <f>IF(_xlfn.XLOOKUP(A27, AutoFill_names!B:B, AutoFill_names!L:L,"")=0,"",_xlfn.XLOOKUP(A27, AutoFill_names!B:B, AutoFill_names!L:L,""))</f>
        <v/>
      </c>
      <c r="L27" s="45"/>
      <c r="M27" s="45"/>
      <c r="N27" s="61" t="str">
        <f>IF(_xlfn.XLOOKUP(L27, AutoFill_classes!A:A, AutoFill_classes!B:B,"")=0,"",_xlfn.XLOOKUP(L27, AutoFill_classes!A:A, AutoFill_classes!B:B,""))</f>
        <v/>
      </c>
      <c r="O27" s="154"/>
      <c r="P27" s="9"/>
      <c r="Q27" s="9"/>
      <c r="R27" s="9"/>
      <c r="S27" s="4"/>
      <c r="T27" s="4"/>
      <c r="U27" s="4"/>
      <c r="V27" s="4"/>
      <c r="W27" s="4"/>
      <c r="X27" s="144"/>
      <c r="Y27" s="27"/>
      <c r="Z27" s="60" t="str">
        <f t="shared" si="54"/>
        <v/>
      </c>
      <c r="AA27" s="32"/>
      <c r="AB27" s="32"/>
      <c r="AC27" s="32"/>
      <c r="AD27" s="32"/>
      <c r="AE27" s="58" t="str">
        <f t="shared" si="55"/>
        <v/>
      </c>
      <c r="AF27" s="20"/>
      <c r="AG27" s="58" t="str">
        <f t="shared" si="56"/>
        <v/>
      </c>
      <c r="AH27" s="32"/>
      <c r="AI27" s="32"/>
      <c r="AJ27" s="58" t="str">
        <f t="shared" si="57"/>
        <v/>
      </c>
      <c r="AK27" s="20"/>
      <c r="AL27" s="58" t="str">
        <f t="shared" si="58"/>
        <v/>
      </c>
      <c r="AM27" s="32"/>
      <c r="AN27" s="32"/>
      <c r="AO27" s="58" t="str">
        <f t="shared" si="59"/>
        <v/>
      </c>
      <c r="AP27" s="58" t="str">
        <f t="shared" si="60"/>
        <v/>
      </c>
      <c r="AQ27" s="58" t="str">
        <f t="shared" si="61"/>
        <v/>
      </c>
      <c r="AR27" s="59" t="str">
        <f t="shared" si="62"/>
        <v/>
      </c>
      <c r="AS27" s="20"/>
      <c r="AT27" s="16"/>
      <c r="AU27" s="16"/>
      <c r="AV27" s="61" t="str">
        <f>IF(_xlfn.XLOOKUP(AT27, AutoFill_classes!$A:$A, AutoFill_classes!$B:$B,"")=0,"",_xlfn.XLOOKUP(AT27, AutoFill_classes!$A:$A, AutoFill_classes!$B:$B,""))</f>
        <v/>
      </c>
      <c r="AW27" s="154"/>
      <c r="AX27" s="16"/>
      <c r="AY27" s="16"/>
      <c r="AZ27" s="16"/>
      <c r="BA27" s="16"/>
      <c r="BB27" s="16"/>
      <c r="BC27" s="144"/>
      <c r="BD27" s="27"/>
      <c r="BE27" s="60" t="str">
        <f t="shared" si="63"/>
        <v/>
      </c>
      <c r="BF27" s="32"/>
      <c r="BG27" s="32"/>
      <c r="BH27" s="32"/>
      <c r="BI27" s="32"/>
      <c r="BJ27" s="58" t="str">
        <f t="shared" si="64"/>
        <v/>
      </c>
      <c r="BK27" s="20"/>
      <c r="BL27" s="58" t="str">
        <f t="shared" si="65"/>
        <v/>
      </c>
      <c r="BM27" s="32"/>
      <c r="BN27" s="32"/>
      <c r="BO27" s="58" t="str">
        <f t="shared" si="66"/>
        <v/>
      </c>
      <c r="BP27" s="20"/>
      <c r="BQ27" s="58" t="str">
        <f t="shared" si="67"/>
        <v/>
      </c>
      <c r="BR27" s="32"/>
      <c r="BS27" s="32"/>
      <c r="BT27" s="58" t="str">
        <f t="shared" si="68"/>
        <v/>
      </c>
      <c r="BU27" s="58" t="str">
        <f t="shared" si="69"/>
        <v/>
      </c>
      <c r="BV27" s="58" t="str">
        <f t="shared" si="70"/>
        <v/>
      </c>
      <c r="BW27" s="59" t="str">
        <f t="shared" si="71"/>
        <v/>
      </c>
      <c r="BX27" s="16"/>
      <c r="BY27" s="21" t="s">
        <v>590</v>
      </c>
      <c r="BZ27" s="20"/>
      <c r="CA27" s="61" t="str">
        <f>IF(_xlfn.XLOOKUP(BY27, AutoFill_classes!$A:$A, AutoFill_classes!$B:$B,"")=0,"",_xlfn.XLOOKUP(BY27, AutoFill_classes!$A:$A, AutoFill_classes!$B:$B,""))</f>
        <v>Death &amp; Grief Contemp Society</v>
      </c>
      <c r="CB27" s="154"/>
      <c r="CC27" s="20" t="s">
        <v>56</v>
      </c>
      <c r="CD27" s="20" t="s">
        <v>57</v>
      </c>
      <c r="CE27" s="20" t="s">
        <v>58</v>
      </c>
      <c r="CF27" s="33" t="s">
        <v>59</v>
      </c>
      <c r="CG27" s="34" t="s">
        <v>60</v>
      </c>
      <c r="CH27" s="144">
        <v>2</v>
      </c>
      <c r="CI27" s="35"/>
      <c r="CJ27" s="60" t="str">
        <f>IF(CH27*CI27=0,"",CH27*CI27)</f>
        <v/>
      </c>
      <c r="CK27" s="32"/>
      <c r="CL27" s="32"/>
      <c r="CM27" s="32"/>
      <c r="CN27" s="32"/>
      <c r="CO27" s="58" t="str">
        <f t="shared" si="73"/>
        <v/>
      </c>
      <c r="CP27" s="20"/>
      <c r="CQ27" s="58" t="str">
        <f t="shared" si="74"/>
        <v/>
      </c>
      <c r="CR27" s="32"/>
      <c r="CS27" s="32"/>
      <c r="CT27" s="58" t="str">
        <f t="shared" si="75"/>
        <v/>
      </c>
      <c r="CU27" s="20"/>
      <c r="CV27" s="58" t="str">
        <f t="shared" si="76"/>
        <v/>
      </c>
      <c r="CW27" s="32"/>
      <c r="CX27" s="32"/>
      <c r="CY27" s="58" t="str">
        <f t="shared" si="77"/>
        <v/>
      </c>
      <c r="CZ27" s="58" t="str">
        <f t="shared" si="78"/>
        <v/>
      </c>
      <c r="DA27" s="58" t="str">
        <f t="shared" si="79"/>
        <v/>
      </c>
      <c r="DB27" s="59" t="str">
        <f t="shared" si="80"/>
        <v/>
      </c>
      <c r="DC27" s="20"/>
      <c r="DD27" s="144"/>
      <c r="DE27" s="91">
        <v>25</v>
      </c>
      <c r="DF27" s="39"/>
      <c r="DG27" s="39"/>
      <c r="DH27" s="39"/>
      <c r="DI27" s="39"/>
      <c r="DJ27" s="39"/>
      <c r="DK27" s="39"/>
      <c r="DL27" s="39"/>
      <c r="DM27" s="39"/>
      <c r="DN27" s="39"/>
      <c r="DO27" s="39"/>
      <c r="DP27" s="39"/>
      <c r="DQ27" s="39"/>
      <c r="DR27" s="39"/>
      <c r="DS27" s="39"/>
      <c r="DT27" s="39"/>
      <c r="DU27" s="39"/>
      <c r="DV27" s="39"/>
      <c r="DW27" s="39"/>
      <c r="DX27" s="39"/>
      <c r="DY27" s="39"/>
      <c r="DZ27" s="39"/>
      <c r="EA27" s="39"/>
      <c r="EB27" s="39"/>
      <c r="EC27" s="39"/>
      <c r="ED27" s="39"/>
      <c r="EE27" s="39"/>
      <c r="EF27" s="39"/>
      <c r="EG27" s="39"/>
      <c r="EH27" s="39"/>
      <c r="EI27" s="39"/>
      <c r="EJ27" s="39"/>
      <c r="EK27" s="39"/>
      <c r="EL27" s="39"/>
      <c r="EM27" s="39"/>
      <c r="EN27" s="39"/>
      <c r="EO27" s="39"/>
      <c r="EP27" s="39"/>
      <c r="EQ27" s="39"/>
      <c r="ER27" s="39"/>
      <c r="ES27" s="39"/>
      <c r="ET27" s="39"/>
      <c r="EU27" s="39"/>
      <c r="EV27" s="39"/>
      <c r="EW27" s="39"/>
      <c r="EX27" s="39"/>
      <c r="EY27" s="39"/>
      <c r="EZ27" s="39"/>
      <c r="FA27" s="39"/>
      <c r="FB27" s="39"/>
      <c r="FC27" s="39"/>
      <c r="FD27" s="39"/>
      <c r="FE27" s="39"/>
      <c r="FF27" s="39"/>
      <c r="FG27" s="39"/>
      <c r="FH27" s="39"/>
      <c r="FI27" s="39"/>
      <c r="FJ27" s="39"/>
      <c r="FK27" s="39"/>
      <c r="FL27" s="39"/>
      <c r="FM27" s="39"/>
      <c r="FN27" s="39"/>
      <c r="FO27" s="39"/>
      <c r="FP27" s="39"/>
      <c r="FQ27" s="39"/>
      <c r="FR27" s="39"/>
      <c r="FS27" s="39"/>
      <c r="FT27" s="39"/>
    </row>
    <row r="28" spans="1:176" s="22" customFormat="1" ht="13">
      <c r="A28" s="7" t="s">
        <v>184</v>
      </c>
      <c r="B28" s="23" t="str">
        <f>IF(_xlfn.XLOOKUP(A28, AutoFill_names!B:B, AutoFill_names!C:C,"")=0,"",_xlfn.XLOOKUP(A28, AutoFill_names!B:B, AutoFill_names!C:C,""))</f>
        <v>000048477</v>
      </c>
      <c r="C28" s="23" t="str">
        <f>IF(_xlfn.XLOOKUP(A28, AutoFill_names!B:B, AutoFill_names!D:D,"")=0,"",_xlfn.XLOOKUP(A28, AutoFill_names!B:B, AutoFill_names!D:D,""))</f>
        <v>royg@andrews.edu</v>
      </c>
      <c r="D28" s="23" t="str">
        <f>IF(_xlfn.XLOOKUP(A28, AutoFill_names!B:B, AutoFill_names!E:E,"")=0,"",_xlfn.XLOOKUP(A28, AutoFill_names!B:B, AutoFill_names!E:E,""))</f>
        <v/>
      </c>
      <c r="E28" s="23" t="str">
        <f>IF(_xlfn.XLOOKUP(A28, AutoFill_names!B:B, AutoFill_names!F:F,"")=0,"",_xlfn.XLOOKUP(A28, AutoFill_names!B:B, AutoFill_names!F:F,""))</f>
        <v>faculty</v>
      </c>
      <c r="F28" s="4"/>
      <c r="G28" s="4"/>
      <c r="H28" s="4"/>
      <c r="I28" s="4"/>
      <c r="J28" s="23" t="str">
        <f>IF(_xlfn.XLOOKUP(A28, AutoFill_names!B:B, AutoFill_names!K:K,"")=0,"",_xlfn.XLOOKUP(A28, AutoFill_names!B:B, AutoFill_names!K:K,""))</f>
        <v/>
      </c>
      <c r="K28" s="23" t="str">
        <f>IF(_xlfn.XLOOKUP(A28, AutoFill_names!B:B, AutoFill_names!L:L,"")=0,"",_xlfn.XLOOKUP(A28, AutoFill_names!B:B, AutoFill_names!L:L,""))</f>
        <v/>
      </c>
      <c r="L28" s="45"/>
      <c r="M28" s="45"/>
      <c r="N28" s="61" t="str">
        <f>IF(_xlfn.XLOOKUP(L28, AutoFill_classes!A:A, AutoFill_classes!B:B,"")=0,"",_xlfn.XLOOKUP(L28, AutoFill_classes!A:A, AutoFill_classes!B:B,""))</f>
        <v/>
      </c>
      <c r="O28" s="154"/>
      <c r="P28" s="9"/>
      <c r="Q28" s="9"/>
      <c r="R28" s="9"/>
      <c r="S28" s="4"/>
      <c r="T28" s="4"/>
      <c r="U28" s="4"/>
      <c r="V28" s="4"/>
      <c r="W28" s="4"/>
      <c r="X28" s="144"/>
      <c r="Y28" s="27"/>
      <c r="Z28" s="60" t="str">
        <f t="shared" si="54"/>
        <v/>
      </c>
      <c r="AA28" s="32"/>
      <c r="AB28" s="32"/>
      <c r="AC28" s="32"/>
      <c r="AD28" s="32"/>
      <c r="AE28" s="58" t="str">
        <f t="shared" si="55"/>
        <v/>
      </c>
      <c r="AF28" s="20"/>
      <c r="AG28" s="58" t="str">
        <f t="shared" si="56"/>
        <v/>
      </c>
      <c r="AH28" s="32"/>
      <c r="AI28" s="32"/>
      <c r="AJ28" s="58" t="str">
        <f t="shared" si="57"/>
        <v/>
      </c>
      <c r="AK28" s="20"/>
      <c r="AL28" s="58" t="str">
        <f t="shared" si="58"/>
        <v/>
      </c>
      <c r="AM28" s="32"/>
      <c r="AN28" s="32"/>
      <c r="AO28" s="58" t="str">
        <f t="shared" si="59"/>
        <v/>
      </c>
      <c r="AP28" s="58" t="str">
        <f t="shared" si="60"/>
        <v/>
      </c>
      <c r="AQ28" s="58" t="str">
        <f t="shared" si="61"/>
        <v/>
      </c>
      <c r="AR28" s="59" t="str">
        <f t="shared" si="62"/>
        <v/>
      </c>
      <c r="AS28" s="20"/>
      <c r="AT28" s="16"/>
      <c r="AU28" s="16"/>
      <c r="AV28" s="61" t="str">
        <f>IF(_xlfn.XLOOKUP(AT28, AutoFill_classes!$A:$A, AutoFill_classes!$B:$B,"")=0,"",_xlfn.XLOOKUP(AT28, AutoFill_classes!$A:$A, AutoFill_classes!$B:$B,""))</f>
        <v/>
      </c>
      <c r="AW28" s="154"/>
      <c r="AX28" s="16"/>
      <c r="AY28" s="16"/>
      <c r="AZ28" s="16"/>
      <c r="BA28" s="16"/>
      <c r="BB28" s="16"/>
      <c r="BC28" s="144"/>
      <c r="BD28" s="27"/>
      <c r="BE28" s="60" t="str">
        <f t="shared" si="63"/>
        <v/>
      </c>
      <c r="BF28" s="32"/>
      <c r="BG28" s="32"/>
      <c r="BH28" s="32"/>
      <c r="BI28" s="32"/>
      <c r="BJ28" s="58" t="str">
        <f t="shared" si="64"/>
        <v/>
      </c>
      <c r="BK28" s="20"/>
      <c r="BL28" s="58" t="str">
        <f t="shared" si="65"/>
        <v/>
      </c>
      <c r="BM28" s="32"/>
      <c r="BN28" s="32"/>
      <c r="BO28" s="58" t="str">
        <f t="shared" si="66"/>
        <v/>
      </c>
      <c r="BP28" s="20"/>
      <c r="BQ28" s="58" t="str">
        <f t="shared" si="67"/>
        <v/>
      </c>
      <c r="BR28" s="32"/>
      <c r="BS28" s="32"/>
      <c r="BT28" s="58" t="str">
        <f t="shared" si="68"/>
        <v/>
      </c>
      <c r="BU28" s="58" t="str">
        <f t="shared" si="69"/>
        <v/>
      </c>
      <c r="BV28" s="58" t="str">
        <f t="shared" si="70"/>
        <v/>
      </c>
      <c r="BW28" s="59" t="str">
        <f t="shared" si="71"/>
        <v/>
      </c>
      <c r="BX28" s="16"/>
      <c r="BY28" s="21" t="s">
        <v>590</v>
      </c>
      <c r="BZ28" s="20" t="s">
        <v>281</v>
      </c>
      <c r="CA28" s="61" t="str">
        <f>IF(_xlfn.XLOOKUP(BY28, AutoFill_classes!$A:$A, AutoFill_classes!$B:$B,"")=0,"",_xlfn.XLOOKUP(BY28, AutoFill_classes!$A:$A, AutoFill_classes!$B:$B,""))</f>
        <v>Death &amp; Grief Contemp Society</v>
      </c>
      <c r="CB28" s="154"/>
      <c r="CC28" s="20" t="s">
        <v>76</v>
      </c>
      <c r="CD28" s="20" t="s">
        <v>57</v>
      </c>
      <c r="CE28" s="20" t="s">
        <v>58</v>
      </c>
      <c r="CF28" s="33" t="s">
        <v>59</v>
      </c>
      <c r="CG28" s="34" t="s">
        <v>60</v>
      </c>
      <c r="CH28" s="144">
        <v>0</v>
      </c>
      <c r="CI28" s="35"/>
      <c r="CJ28" s="60" t="str">
        <f t="shared" si="72"/>
        <v/>
      </c>
      <c r="CK28" s="32"/>
      <c r="CL28" s="32"/>
      <c r="CM28" s="32"/>
      <c r="CN28" s="32"/>
      <c r="CO28" s="58" t="str">
        <f t="shared" si="73"/>
        <v/>
      </c>
      <c r="CP28" s="20"/>
      <c r="CQ28" s="58" t="str">
        <f t="shared" si="74"/>
        <v/>
      </c>
      <c r="CR28" s="32"/>
      <c r="CS28" s="32"/>
      <c r="CT28" s="58" t="str">
        <f t="shared" si="75"/>
        <v/>
      </c>
      <c r="CU28" s="20"/>
      <c r="CV28" s="58" t="str">
        <f t="shared" si="76"/>
        <v/>
      </c>
      <c r="CW28" s="32"/>
      <c r="CX28" s="32"/>
      <c r="CY28" s="58" t="str">
        <f t="shared" si="77"/>
        <v/>
      </c>
      <c r="CZ28" s="58" t="str">
        <f t="shared" si="78"/>
        <v/>
      </c>
      <c r="DA28" s="58" t="str">
        <f t="shared" si="79"/>
        <v/>
      </c>
      <c r="DB28" s="59" t="str">
        <f t="shared" si="80"/>
        <v/>
      </c>
      <c r="DC28" s="20"/>
      <c r="DD28" s="144"/>
      <c r="DE28" s="91">
        <v>26</v>
      </c>
      <c r="DF28" s="39"/>
      <c r="DG28" s="39"/>
      <c r="DH28" s="39"/>
      <c r="DI28" s="39"/>
      <c r="DJ28" s="39"/>
      <c r="DK28" s="39"/>
      <c r="DL28" s="39"/>
      <c r="DM28" s="39"/>
      <c r="DN28" s="39"/>
      <c r="DO28" s="39"/>
      <c r="DP28" s="39"/>
      <c r="DQ28" s="39"/>
      <c r="DR28" s="39"/>
      <c r="DS28" s="39"/>
      <c r="DT28" s="39"/>
      <c r="DU28" s="39"/>
      <c r="DV28" s="39"/>
      <c r="DW28" s="39"/>
      <c r="DX28" s="39"/>
      <c r="DY28" s="39"/>
      <c r="DZ28" s="39"/>
      <c r="EA28" s="39"/>
      <c r="EB28" s="39"/>
      <c r="EC28" s="39"/>
      <c r="ED28" s="39"/>
      <c r="EE28" s="39"/>
      <c r="EF28" s="39"/>
      <c r="EG28" s="39"/>
      <c r="EH28" s="39"/>
      <c r="EI28" s="39"/>
      <c r="EJ28" s="39"/>
      <c r="EK28" s="39"/>
      <c r="EL28" s="39"/>
      <c r="EM28" s="39"/>
      <c r="EN28" s="39"/>
      <c r="EO28" s="39"/>
      <c r="EP28" s="39"/>
      <c r="EQ28" s="39"/>
      <c r="ER28" s="39"/>
      <c r="ES28" s="39"/>
      <c r="ET28" s="39"/>
      <c r="EU28" s="39"/>
      <c r="EV28" s="39"/>
      <c r="EW28" s="39"/>
      <c r="EX28" s="39"/>
      <c r="EY28" s="39"/>
      <c r="EZ28" s="39"/>
      <c r="FA28" s="39"/>
      <c r="FB28" s="39"/>
      <c r="FC28" s="39"/>
      <c r="FD28" s="39"/>
      <c r="FE28" s="39"/>
      <c r="FF28" s="39"/>
      <c r="FG28" s="39"/>
      <c r="FH28" s="39"/>
      <c r="FI28" s="39"/>
      <c r="FJ28" s="39"/>
      <c r="FK28" s="39"/>
      <c r="FL28" s="39"/>
      <c r="FM28" s="39"/>
      <c r="FN28" s="39"/>
      <c r="FO28" s="39"/>
      <c r="FP28" s="39"/>
      <c r="FQ28" s="39"/>
      <c r="FR28" s="39"/>
      <c r="FS28" s="39"/>
      <c r="FT28" s="39"/>
    </row>
    <row r="29" spans="1:176" s="22" customFormat="1" ht="13">
      <c r="A29" s="7"/>
      <c r="B29" s="23" t="str">
        <f>IF(_xlfn.XLOOKUP(A29, AutoFill_names!B:B, AutoFill_names!C:C,"")=0,"",_xlfn.XLOOKUP(A29, AutoFill_names!B:B, AutoFill_names!C:C,""))</f>
        <v/>
      </c>
      <c r="C29" s="23" t="str">
        <f>IF(_xlfn.XLOOKUP(A29, AutoFill_names!B:B, AutoFill_names!D:D,"")=0,"",_xlfn.XLOOKUP(A29, AutoFill_names!B:B, AutoFill_names!D:D,""))</f>
        <v/>
      </c>
      <c r="D29" s="23" t="str">
        <f>IF(_xlfn.XLOOKUP(A29, AutoFill_names!B:B, AutoFill_names!E:E,"")=0,"",_xlfn.XLOOKUP(A29, AutoFill_names!B:B, AutoFill_names!E:E,""))</f>
        <v/>
      </c>
      <c r="E29" s="23" t="str">
        <f>IF(_xlfn.XLOOKUP(A29, AutoFill_names!B:B, AutoFill_names!F:F,"")=0,"",_xlfn.XLOOKUP(A29, AutoFill_names!B:B, AutoFill_names!F:F,""))</f>
        <v/>
      </c>
      <c r="F29" s="4"/>
      <c r="G29" s="4"/>
      <c r="H29" s="4"/>
      <c r="I29" s="4"/>
      <c r="J29" s="23" t="str">
        <f>IF(_xlfn.XLOOKUP(A29, AutoFill_names!B:B, AutoFill_names!K:K,"")=0,"",_xlfn.XLOOKUP(A29, AutoFill_names!B:B, AutoFill_names!K:K,""))</f>
        <v/>
      </c>
      <c r="K29" s="23" t="str">
        <f>IF(_xlfn.XLOOKUP(A29, AutoFill_names!B:B, AutoFill_names!L:L,"")=0,"",_xlfn.XLOOKUP(A29, AutoFill_names!B:B, AutoFill_names!L:L,""))</f>
        <v/>
      </c>
      <c r="L29" s="45"/>
      <c r="M29" s="45"/>
      <c r="N29" s="61" t="str">
        <f>IF(_xlfn.XLOOKUP(L29, AutoFill_classes!A:A, AutoFill_classes!B:B,"")=0,"",_xlfn.XLOOKUP(L29, AutoFill_classes!A:A, AutoFill_classes!B:B,""))</f>
        <v/>
      </c>
      <c r="O29" s="154"/>
      <c r="P29" s="9"/>
      <c r="Q29" s="9"/>
      <c r="R29" s="9"/>
      <c r="S29" s="4"/>
      <c r="T29" s="4"/>
      <c r="U29" s="4"/>
      <c r="V29" s="4"/>
      <c r="W29" s="4"/>
      <c r="X29" s="144"/>
      <c r="Y29" s="27"/>
      <c r="Z29" s="60" t="str">
        <f t="shared" si="54"/>
        <v/>
      </c>
      <c r="AA29" s="32"/>
      <c r="AB29" s="32"/>
      <c r="AC29" s="32"/>
      <c r="AD29" s="32"/>
      <c r="AE29" s="58" t="str">
        <f t="shared" si="55"/>
        <v/>
      </c>
      <c r="AF29" s="20"/>
      <c r="AG29" s="58" t="str">
        <f t="shared" si="56"/>
        <v/>
      </c>
      <c r="AH29" s="32"/>
      <c r="AI29" s="32"/>
      <c r="AJ29" s="58" t="str">
        <f t="shared" si="57"/>
        <v/>
      </c>
      <c r="AK29" s="20"/>
      <c r="AL29" s="58" t="str">
        <f t="shared" si="58"/>
        <v/>
      </c>
      <c r="AM29" s="32"/>
      <c r="AN29" s="32"/>
      <c r="AO29" s="58" t="str">
        <f t="shared" si="59"/>
        <v/>
      </c>
      <c r="AP29" s="58" t="str">
        <f t="shared" si="60"/>
        <v/>
      </c>
      <c r="AQ29" s="58" t="str">
        <f t="shared" si="61"/>
        <v/>
      </c>
      <c r="AR29" s="59" t="str">
        <f t="shared" si="62"/>
        <v/>
      </c>
      <c r="AS29" s="20"/>
      <c r="AT29" s="16"/>
      <c r="AU29" s="16"/>
      <c r="AV29" s="61" t="str">
        <f>IF(_xlfn.XLOOKUP(AT29, AutoFill_classes!$A:$A, AutoFill_classes!$B:$B,"")=0,"",_xlfn.XLOOKUP(AT29, AutoFill_classes!$A:$A, AutoFill_classes!$B:$B,""))</f>
        <v/>
      </c>
      <c r="AW29" s="154"/>
      <c r="AX29" s="16"/>
      <c r="AY29" s="16"/>
      <c r="AZ29" s="16"/>
      <c r="BA29" s="16"/>
      <c r="BB29" s="16"/>
      <c r="BC29" s="144"/>
      <c r="BD29" s="27"/>
      <c r="BE29" s="60" t="str">
        <f t="shared" si="63"/>
        <v/>
      </c>
      <c r="BF29" s="32"/>
      <c r="BG29" s="32"/>
      <c r="BH29" s="32"/>
      <c r="BI29" s="32"/>
      <c r="BJ29" s="58" t="str">
        <f t="shared" si="64"/>
        <v/>
      </c>
      <c r="BK29" s="20"/>
      <c r="BL29" s="58" t="str">
        <f t="shared" si="65"/>
        <v/>
      </c>
      <c r="BM29" s="32"/>
      <c r="BN29" s="32"/>
      <c r="BO29" s="58" t="str">
        <f t="shared" si="66"/>
        <v/>
      </c>
      <c r="BP29" s="20"/>
      <c r="BQ29" s="58" t="str">
        <f t="shared" si="67"/>
        <v/>
      </c>
      <c r="BR29" s="32"/>
      <c r="BS29" s="32"/>
      <c r="BT29" s="58" t="str">
        <f t="shared" si="68"/>
        <v/>
      </c>
      <c r="BU29" s="58" t="str">
        <f t="shared" si="69"/>
        <v/>
      </c>
      <c r="BV29" s="58" t="str">
        <f t="shared" si="70"/>
        <v/>
      </c>
      <c r="BW29" s="59" t="str">
        <f t="shared" si="71"/>
        <v/>
      </c>
      <c r="BX29" s="16"/>
      <c r="BY29" s="21"/>
      <c r="BZ29" s="20"/>
      <c r="CA29" s="61" t="str">
        <f>IF(_xlfn.XLOOKUP(BY29, AutoFill_classes!$A:$A, AutoFill_classes!$B:$B,"")=0,"",_xlfn.XLOOKUP(BY29, AutoFill_classes!$A:$A, AutoFill_classes!$B:$B,""))</f>
        <v/>
      </c>
      <c r="CB29" s="154"/>
      <c r="CC29" s="20"/>
      <c r="CD29" s="20"/>
      <c r="CE29" s="20"/>
      <c r="CF29" s="33"/>
      <c r="CG29" s="34"/>
      <c r="CH29" s="144"/>
      <c r="CI29" s="35"/>
      <c r="CJ29" s="60" t="str">
        <f t="shared" si="72"/>
        <v/>
      </c>
      <c r="CK29" s="32"/>
      <c r="CL29" s="32"/>
      <c r="CM29" s="32"/>
      <c r="CN29" s="32"/>
      <c r="CO29" s="58" t="str">
        <f t="shared" si="73"/>
        <v/>
      </c>
      <c r="CP29" s="20"/>
      <c r="CQ29" s="58" t="str">
        <f t="shared" si="74"/>
        <v/>
      </c>
      <c r="CR29" s="32"/>
      <c r="CS29" s="32"/>
      <c r="CT29" s="58" t="str">
        <f t="shared" si="75"/>
        <v/>
      </c>
      <c r="CU29" s="20"/>
      <c r="CV29" s="58" t="str">
        <f t="shared" si="76"/>
        <v/>
      </c>
      <c r="CW29" s="32"/>
      <c r="CX29" s="32"/>
      <c r="CY29" s="58" t="str">
        <f t="shared" si="77"/>
        <v/>
      </c>
      <c r="CZ29" s="58" t="str">
        <f t="shared" si="78"/>
        <v/>
      </c>
      <c r="DA29" s="58" t="str">
        <f t="shared" si="79"/>
        <v/>
      </c>
      <c r="DB29" s="59" t="str">
        <f t="shared" si="80"/>
        <v/>
      </c>
      <c r="DC29" s="20"/>
      <c r="DD29" s="144"/>
      <c r="DE29" s="91">
        <v>27</v>
      </c>
      <c r="DF29" s="39"/>
      <c r="DG29" s="39"/>
      <c r="DH29" s="39"/>
      <c r="DI29" s="39"/>
      <c r="DJ29" s="39"/>
      <c r="DK29" s="39"/>
      <c r="DL29" s="39"/>
      <c r="DM29" s="39"/>
      <c r="DN29" s="39"/>
      <c r="DO29" s="39"/>
      <c r="DP29" s="39"/>
      <c r="DQ29" s="39"/>
      <c r="DR29" s="39"/>
      <c r="DS29" s="39"/>
      <c r="DT29" s="39"/>
      <c r="DU29" s="39"/>
      <c r="DV29" s="39"/>
      <c r="DW29" s="39"/>
      <c r="DX29" s="39"/>
      <c r="DY29" s="39"/>
      <c r="DZ29" s="39"/>
      <c r="EA29" s="39"/>
      <c r="EB29" s="39"/>
      <c r="EC29" s="39"/>
      <c r="ED29" s="39"/>
      <c r="EE29" s="39"/>
      <c r="EF29" s="39"/>
      <c r="EG29" s="39"/>
      <c r="EH29" s="39"/>
      <c r="EI29" s="39"/>
      <c r="EJ29" s="39"/>
      <c r="EK29" s="39"/>
      <c r="EL29" s="39"/>
      <c r="EM29" s="39"/>
      <c r="EN29" s="39"/>
      <c r="EO29" s="39"/>
      <c r="EP29" s="39"/>
      <c r="EQ29" s="39"/>
      <c r="ER29" s="39"/>
      <c r="ES29" s="39"/>
      <c r="ET29" s="39"/>
      <c r="EU29" s="39"/>
      <c r="EV29" s="39"/>
      <c r="EW29" s="39"/>
      <c r="EX29" s="39"/>
      <c r="EY29" s="39"/>
      <c r="EZ29" s="39"/>
      <c r="FA29" s="39"/>
      <c r="FB29" s="39"/>
      <c r="FC29" s="39"/>
      <c r="FD29" s="39"/>
      <c r="FE29" s="39"/>
      <c r="FF29" s="39"/>
      <c r="FG29" s="39"/>
      <c r="FH29" s="39"/>
      <c r="FI29" s="39"/>
      <c r="FJ29" s="39"/>
      <c r="FK29" s="39"/>
      <c r="FL29" s="39"/>
      <c r="FM29" s="39"/>
      <c r="FN29" s="39"/>
      <c r="FO29" s="39"/>
      <c r="FP29" s="39"/>
      <c r="FQ29" s="39"/>
      <c r="FR29" s="39"/>
      <c r="FS29" s="39"/>
      <c r="FT29" s="39"/>
    </row>
    <row r="30" spans="1:176" s="22" customFormat="1" ht="13">
      <c r="A30" s="7"/>
      <c r="B30" s="23" t="str">
        <f>IF(_xlfn.XLOOKUP(A30, AutoFill_names!B:B, AutoFill_names!C:C,"")=0,"",_xlfn.XLOOKUP(A30, AutoFill_names!B:B, AutoFill_names!C:C,""))</f>
        <v/>
      </c>
      <c r="C30" s="23" t="str">
        <f>IF(_xlfn.XLOOKUP(A30, AutoFill_names!B:B, AutoFill_names!D:D,"")=0,"",_xlfn.XLOOKUP(A30, AutoFill_names!B:B, AutoFill_names!D:D,""))</f>
        <v/>
      </c>
      <c r="D30" s="23" t="str">
        <f>IF(_xlfn.XLOOKUP(A30, AutoFill_names!B:B, AutoFill_names!E:E,"")=0,"",_xlfn.XLOOKUP(A30, AutoFill_names!B:B, AutoFill_names!E:E,""))</f>
        <v/>
      </c>
      <c r="E30" s="23" t="str">
        <f>IF(_xlfn.XLOOKUP(A30, AutoFill_names!B:B, AutoFill_names!F:F,"")=0,"",_xlfn.XLOOKUP(A30, AutoFill_names!B:B, AutoFill_names!F:F,""))</f>
        <v/>
      </c>
      <c r="F30" s="4"/>
      <c r="G30" s="4"/>
      <c r="H30" s="4"/>
      <c r="I30" s="4"/>
      <c r="J30" s="23" t="str">
        <f>IF(_xlfn.XLOOKUP(A30, AutoFill_names!B:B, AutoFill_names!K:K,"")=0,"",_xlfn.XLOOKUP(A30, AutoFill_names!B:B, AutoFill_names!K:K,""))</f>
        <v/>
      </c>
      <c r="K30" s="23" t="str">
        <f>IF(_xlfn.XLOOKUP(A30, AutoFill_names!B:B, AutoFill_names!L:L,"")=0,"",_xlfn.XLOOKUP(A30, AutoFill_names!B:B, AutoFill_names!L:L,""))</f>
        <v/>
      </c>
      <c r="L30" s="45"/>
      <c r="M30" s="45"/>
      <c r="N30" s="61" t="str">
        <f>IF(_xlfn.XLOOKUP(L30, AutoFill_classes!A:A, AutoFill_classes!B:B,"")=0,"",_xlfn.XLOOKUP(L30, AutoFill_classes!A:A, AutoFill_classes!B:B,""))</f>
        <v/>
      </c>
      <c r="O30" s="154"/>
      <c r="P30" s="9"/>
      <c r="Q30" s="9"/>
      <c r="R30" s="9"/>
      <c r="S30" s="4"/>
      <c r="T30" s="4"/>
      <c r="U30" s="4"/>
      <c r="V30" s="4"/>
      <c r="W30" s="4"/>
      <c r="X30" s="144"/>
      <c r="Y30" s="27"/>
      <c r="Z30" s="60" t="str">
        <f t="shared" si="54"/>
        <v/>
      </c>
      <c r="AA30" s="32"/>
      <c r="AB30" s="32"/>
      <c r="AC30" s="32"/>
      <c r="AD30" s="32"/>
      <c r="AE30" s="58" t="str">
        <f t="shared" si="55"/>
        <v/>
      </c>
      <c r="AF30" s="20"/>
      <c r="AG30" s="58" t="str">
        <f t="shared" si="56"/>
        <v/>
      </c>
      <c r="AH30" s="32"/>
      <c r="AI30" s="32"/>
      <c r="AJ30" s="58" t="str">
        <f t="shared" si="57"/>
        <v/>
      </c>
      <c r="AK30" s="20"/>
      <c r="AL30" s="58" t="str">
        <f t="shared" si="58"/>
        <v/>
      </c>
      <c r="AM30" s="32"/>
      <c r="AN30" s="32"/>
      <c r="AO30" s="58" t="str">
        <f t="shared" si="59"/>
        <v/>
      </c>
      <c r="AP30" s="58" t="str">
        <f t="shared" si="60"/>
        <v/>
      </c>
      <c r="AQ30" s="58" t="str">
        <f t="shared" si="61"/>
        <v/>
      </c>
      <c r="AR30" s="59" t="str">
        <f t="shared" si="62"/>
        <v/>
      </c>
      <c r="AS30" s="20"/>
      <c r="AT30" s="16"/>
      <c r="AU30" s="16"/>
      <c r="AV30" s="61" t="str">
        <f>IF(_xlfn.XLOOKUP(AT30, AutoFill_classes!$A:$A, AutoFill_classes!$B:$B,"")=0,"",_xlfn.XLOOKUP(AT30, AutoFill_classes!$A:$A, AutoFill_classes!$B:$B,""))</f>
        <v/>
      </c>
      <c r="AW30" s="154"/>
      <c r="AX30" s="16"/>
      <c r="AY30" s="16"/>
      <c r="AZ30" s="16"/>
      <c r="BA30" s="16"/>
      <c r="BB30" s="16"/>
      <c r="BC30" s="144"/>
      <c r="BD30" s="27"/>
      <c r="BE30" s="60" t="str">
        <f t="shared" si="63"/>
        <v/>
      </c>
      <c r="BF30" s="32"/>
      <c r="BG30" s="32"/>
      <c r="BH30" s="32"/>
      <c r="BI30" s="32"/>
      <c r="BJ30" s="58" t="str">
        <f t="shared" si="64"/>
        <v/>
      </c>
      <c r="BK30" s="20"/>
      <c r="BL30" s="58" t="str">
        <f t="shared" si="65"/>
        <v/>
      </c>
      <c r="BM30" s="32"/>
      <c r="BN30" s="32"/>
      <c r="BO30" s="58" t="str">
        <f t="shared" si="66"/>
        <v/>
      </c>
      <c r="BP30" s="20"/>
      <c r="BQ30" s="58" t="str">
        <f t="shared" si="67"/>
        <v/>
      </c>
      <c r="BR30" s="32"/>
      <c r="BS30" s="32"/>
      <c r="BT30" s="58" t="str">
        <f t="shared" si="68"/>
        <v/>
      </c>
      <c r="BU30" s="58" t="str">
        <f t="shared" si="69"/>
        <v/>
      </c>
      <c r="BV30" s="58" t="str">
        <f t="shared" si="70"/>
        <v/>
      </c>
      <c r="BW30" s="59" t="str">
        <f t="shared" si="71"/>
        <v/>
      </c>
      <c r="BX30" s="16"/>
      <c r="BY30" s="21"/>
      <c r="BZ30" s="20"/>
      <c r="CA30" s="61" t="str">
        <f>IF(_xlfn.XLOOKUP(BY30, AutoFill_classes!$A:$A, AutoFill_classes!$B:$B,"")=0,"",_xlfn.XLOOKUP(BY30, AutoFill_classes!$A:$A, AutoFill_classes!$B:$B,""))</f>
        <v/>
      </c>
      <c r="CB30" s="154"/>
      <c r="CC30" s="20"/>
      <c r="CD30" s="20"/>
      <c r="CE30" s="20"/>
      <c r="CF30" s="33"/>
      <c r="CG30" s="34"/>
      <c r="CH30" s="144"/>
      <c r="CI30" s="35"/>
      <c r="CJ30" s="60" t="str">
        <f t="shared" si="72"/>
        <v/>
      </c>
      <c r="CK30" s="32"/>
      <c r="CL30" s="32"/>
      <c r="CM30" s="32"/>
      <c r="CN30" s="32"/>
      <c r="CO30" s="58" t="str">
        <f t="shared" si="73"/>
        <v/>
      </c>
      <c r="CP30" s="20"/>
      <c r="CQ30" s="58" t="str">
        <f t="shared" si="74"/>
        <v/>
      </c>
      <c r="CR30" s="32"/>
      <c r="CS30" s="32"/>
      <c r="CT30" s="58" t="str">
        <f t="shared" si="75"/>
        <v/>
      </c>
      <c r="CU30" s="20"/>
      <c r="CV30" s="58" t="str">
        <f t="shared" si="76"/>
        <v/>
      </c>
      <c r="CW30" s="32"/>
      <c r="CX30" s="32"/>
      <c r="CY30" s="58" t="str">
        <f t="shared" si="77"/>
        <v/>
      </c>
      <c r="CZ30" s="58" t="str">
        <f t="shared" si="78"/>
        <v/>
      </c>
      <c r="DA30" s="58" t="str">
        <f t="shared" si="79"/>
        <v/>
      </c>
      <c r="DB30" s="59" t="str">
        <f t="shared" si="80"/>
        <v/>
      </c>
      <c r="DC30" s="20"/>
      <c r="DD30" s="144"/>
      <c r="DE30" s="91">
        <v>28</v>
      </c>
      <c r="DF30" s="39"/>
      <c r="DG30" s="39"/>
      <c r="DH30" s="39"/>
      <c r="DI30" s="39"/>
      <c r="DJ30" s="39"/>
      <c r="DK30" s="39"/>
      <c r="DL30" s="39"/>
      <c r="DM30" s="39"/>
      <c r="DN30" s="39"/>
      <c r="DO30" s="39"/>
      <c r="DP30" s="39"/>
      <c r="DQ30" s="39"/>
      <c r="DR30" s="39"/>
      <c r="DS30" s="39"/>
      <c r="DT30" s="39"/>
      <c r="DU30" s="39"/>
      <c r="DV30" s="39"/>
      <c r="DW30" s="39"/>
      <c r="DX30" s="39"/>
      <c r="DY30" s="39"/>
      <c r="DZ30" s="39"/>
      <c r="EA30" s="39"/>
      <c r="EB30" s="39"/>
      <c r="EC30" s="39"/>
      <c r="ED30" s="39"/>
      <c r="EE30" s="39"/>
      <c r="EF30" s="39"/>
      <c r="EG30" s="39"/>
      <c r="EH30" s="39"/>
      <c r="EI30" s="39"/>
      <c r="EJ30" s="39"/>
      <c r="EK30" s="39"/>
      <c r="EL30" s="39"/>
      <c r="EM30" s="39"/>
      <c r="EN30" s="39"/>
      <c r="EO30" s="39"/>
      <c r="EP30" s="39"/>
      <c r="EQ30" s="39"/>
      <c r="ER30" s="39"/>
      <c r="ES30" s="39"/>
      <c r="ET30" s="39"/>
      <c r="EU30" s="39"/>
      <c r="EV30" s="39"/>
      <c r="EW30" s="39"/>
      <c r="EX30" s="39"/>
      <c r="EY30" s="39"/>
      <c r="EZ30" s="39"/>
      <c r="FA30" s="39"/>
      <c r="FB30" s="39"/>
      <c r="FC30" s="39"/>
      <c r="FD30" s="39"/>
      <c r="FE30" s="39"/>
      <c r="FF30" s="39"/>
      <c r="FG30" s="39"/>
      <c r="FH30" s="39"/>
      <c r="FI30" s="39"/>
      <c r="FJ30" s="39"/>
      <c r="FK30" s="39"/>
      <c r="FL30" s="39"/>
      <c r="FM30" s="39"/>
      <c r="FN30" s="39"/>
      <c r="FO30" s="39"/>
      <c r="FP30" s="39"/>
      <c r="FQ30" s="39"/>
      <c r="FR30" s="39"/>
      <c r="FS30" s="39"/>
      <c r="FT30" s="39"/>
    </row>
    <row r="31" spans="1:176" s="22" customFormat="1" ht="13">
      <c r="A31" s="7"/>
      <c r="B31" s="23" t="str">
        <f>IF(_xlfn.XLOOKUP(A31, AutoFill_names!B:B, AutoFill_names!C:C,"")=0,"",_xlfn.XLOOKUP(A31, AutoFill_names!B:B, AutoFill_names!C:C,""))</f>
        <v/>
      </c>
      <c r="C31" s="23" t="str">
        <f>IF(_xlfn.XLOOKUP(A31, AutoFill_names!B:B, AutoFill_names!D:D,"")=0,"",_xlfn.XLOOKUP(A31, AutoFill_names!B:B, AutoFill_names!D:D,""))</f>
        <v/>
      </c>
      <c r="D31" s="23" t="str">
        <f>IF(_xlfn.XLOOKUP(A31, AutoFill_names!B:B, AutoFill_names!E:E,"")=0,"",_xlfn.XLOOKUP(A31, AutoFill_names!B:B, AutoFill_names!E:E,""))</f>
        <v/>
      </c>
      <c r="E31" s="23" t="str">
        <f>IF(_xlfn.XLOOKUP(A31, AutoFill_names!B:B, AutoFill_names!F:F,"")=0,"",_xlfn.XLOOKUP(A31, AutoFill_names!B:B, AutoFill_names!F:F,""))</f>
        <v/>
      </c>
      <c r="F31" s="4"/>
      <c r="G31" s="4"/>
      <c r="H31" s="4"/>
      <c r="I31" s="4"/>
      <c r="J31" s="23" t="str">
        <f>IF(_xlfn.XLOOKUP(A31, AutoFill_names!B:B, AutoFill_names!K:K,"")=0,"",_xlfn.XLOOKUP(A31, AutoFill_names!B:B, AutoFill_names!K:K,""))</f>
        <v/>
      </c>
      <c r="K31" s="23" t="str">
        <f>IF(_xlfn.XLOOKUP(A31, AutoFill_names!B:B, AutoFill_names!L:L,"")=0,"",_xlfn.XLOOKUP(A31, AutoFill_names!B:B, AutoFill_names!L:L,""))</f>
        <v/>
      </c>
      <c r="L31" s="45"/>
      <c r="M31" s="45"/>
      <c r="N31" s="61" t="str">
        <f>IF(_xlfn.XLOOKUP(L31, AutoFill_classes!A:A, AutoFill_classes!B:B,"")=0,"",_xlfn.XLOOKUP(L31, AutoFill_classes!A:A, AutoFill_classes!B:B,""))</f>
        <v/>
      </c>
      <c r="O31" s="154"/>
      <c r="P31" s="9"/>
      <c r="Q31" s="9"/>
      <c r="R31" s="9"/>
      <c r="S31" s="4"/>
      <c r="T31" s="4"/>
      <c r="U31" s="4"/>
      <c r="V31" s="4"/>
      <c r="W31" s="4"/>
      <c r="X31" s="144"/>
      <c r="Y31" s="27"/>
      <c r="Z31" s="60" t="str">
        <f t="shared" si="54"/>
        <v/>
      </c>
      <c r="AA31" s="32"/>
      <c r="AB31" s="32"/>
      <c r="AC31" s="32"/>
      <c r="AD31" s="32"/>
      <c r="AE31" s="58" t="str">
        <f t="shared" si="55"/>
        <v/>
      </c>
      <c r="AF31" s="20"/>
      <c r="AG31" s="58" t="str">
        <f t="shared" si="56"/>
        <v/>
      </c>
      <c r="AH31" s="32"/>
      <c r="AI31" s="32"/>
      <c r="AJ31" s="58" t="str">
        <f t="shared" si="57"/>
        <v/>
      </c>
      <c r="AK31" s="20"/>
      <c r="AL31" s="58" t="str">
        <f t="shared" si="58"/>
        <v/>
      </c>
      <c r="AM31" s="32"/>
      <c r="AN31" s="32"/>
      <c r="AO31" s="58" t="str">
        <f t="shared" si="59"/>
        <v/>
      </c>
      <c r="AP31" s="58" t="str">
        <f t="shared" si="60"/>
        <v/>
      </c>
      <c r="AQ31" s="58" t="str">
        <f t="shared" si="61"/>
        <v/>
      </c>
      <c r="AR31" s="59" t="str">
        <f t="shared" si="62"/>
        <v/>
      </c>
      <c r="AS31" s="20"/>
      <c r="AT31" s="16"/>
      <c r="AU31" s="16"/>
      <c r="AV31" s="61" t="str">
        <f>IF(_xlfn.XLOOKUP(AT31, AutoFill_classes!$A:$A, AutoFill_classes!$B:$B,"")=0,"",_xlfn.XLOOKUP(AT31, AutoFill_classes!$A:$A, AutoFill_classes!$B:$B,""))</f>
        <v/>
      </c>
      <c r="AW31" s="154"/>
      <c r="AX31" s="16"/>
      <c r="AY31" s="16"/>
      <c r="AZ31" s="16"/>
      <c r="BA31" s="16"/>
      <c r="BB31" s="16"/>
      <c r="BC31" s="144"/>
      <c r="BD31" s="27"/>
      <c r="BE31" s="60" t="str">
        <f t="shared" si="63"/>
        <v/>
      </c>
      <c r="BF31" s="32"/>
      <c r="BG31" s="32"/>
      <c r="BH31" s="32"/>
      <c r="BI31" s="32"/>
      <c r="BJ31" s="58" t="str">
        <f t="shared" si="64"/>
        <v/>
      </c>
      <c r="BK31" s="20"/>
      <c r="BL31" s="58" t="str">
        <f t="shared" si="65"/>
        <v/>
      </c>
      <c r="BM31" s="32"/>
      <c r="BN31" s="32"/>
      <c r="BO31" s="58" t="str">
        <f t="shared" si="66"/>
        <v/>
      </c>
      <c r="BP31" s="20"/>
      <c r="BQ31" s="58" t="str">
        <f t="shared" si="67"/>
        <v/>
      </c>
      <c r="BR31" s="32"/>
      <c r="BS31" s="32"/>
      <c r="BT31" s="58" t="str">
        <f t="shared" si="68"/>
        <v/>
      </c>
      <c r="BU31" s="58" t="str">
        <f t="shared" si="69"/>
        <v/>
      </c>
      <c r="BV31" s="58" t="str">
        <f t="shared" si="70"/>
        <v/>
      </c>
      <c r="BW31" s="59" t="str">
        <f t="shared" si="71"/>
        <v/>
      </c>
      <c r="BX31" s="16"/>
      <c r="BY31" s="21"/>
      <c r="BZ31" s="20"/>
      <c r="CA31" s="61" t="str">
        <f>IF(_xlfn.XLOOKUP(BY31, AutoFill_classes!$A:$A, AutoFill_classes!$B:$B,"")=0,"",_xlfn.XLOOKUP(BY31, AutoFill_classes!$A:$A, AutoFill_classes!$B:$B,""))</f>
        <v/>
      </c>
      <c r="CB31" s="154"/>
      <c r="CC31" s="20"/>
      <c r="CD31" s="20"/>
      <c r="CE31" s="20"/>
      <c r="CF31" s="33"/>
      <c r="CG31" s="34"/>
      <c r="CH31" s="144"/>
      <c r="CI31" s="35"/>
      <c r="CJ31" s="60" t="str">
        <f t="shared" si="72"/>
        <v/>
      </c>
      <c r="CK31" s="32"/>
      <c r="CL31" s="32"/>
      <c r="CM31" s="32"/>
      <c r="CN31" s="32"/>
      <c r="CO31" s="58" t="str">
        <f t="shared" si="73"/>
        <v/>
      </c>
      <c r="CP31" s="20"/>
      <c r="CQ31" s="58" t="str">
        <f t="shared" si="74"/>
        <v/>
      </c>
      <c r="CR31" s="32"/>
      <c r="CS31" s="32"/>
      <c r="CT31" s="58" t="str">
        <f t="shared" si="75"/>
        <v/>
      </c>
      <c r="CU31" s="20"/>
      <c r="CV31" s="58" t="str">
        <f t="shared" si="76"/>
        <v/>
      </c>
      <c r="CW31" s="32"/>
      <c r="CX31" s="32"/>
      <c r="CY31" s="58" t="str">
        <f t="shared" si="77"/>
        <v/>
      </c>
      <c r="CZ31" s="58" t="str">
        <f t="shared" si="78"/>
        <v/>
      </c>
      <c r="DA31" s="58" t="str">
        <f t="shared" si="79"/>
        <v/>
      </c>
      <c r="DB31" s="59" t="str">
        <f t="shared" si="80"/>
        <v/>
      </c>
      <c r="DC31" s="20"/>
      <c r="DD31" s="144"/>
      <c r="DE31" s="91">
        <v>29</v>
      </c>
      <c r="DF31" s="39"/>
      <c r="DG31" s="39"/>
      <c r="DH31" s="39"/>
      <c r="DI31" s="39"/>
      <c r="DJ31" s="39"/>
      <c r="DK31" s="39"/>
      <c r="DL31" s="39"/>
      <c r="DM31" s="39"/>
      <c r="DN31" s="39"/>
      <c r="DO31" s="39"/>
      <c r="DP31" s="39"/>
      <c r="DQ31" s="39"/>
      <c r="DR31" s="39"/>
      <c r="DS31" s="39"/>
      <c r="DT31" s="39"/>
      <c r="DU31" s="39"/>
      <c r="DV31" s="39"/>
      <c r="DW31" s="39"/>
      <c r="DX31" s="39"/>
      <c r="DY31" s="39"/>
      <c r="DZ31" s="39"/>
      <c r="EA31" s="39"/>
      <c r="EB31" s="39"/>
      <c r="EC31" s="39"/>
      <c r="ED31" s="39"/>
      <c r="EE31" s="39"/>
      <c r="EF31" s="39"/>
      <c r="EG31" s="39"/>
      <c r="EH31" s="39"/>
      <c r="EI31" s="39"/>
      <c r="EJ31" s="39"/>
      <c r="EK31" s="39"/>
      <c r="EL31" s="39"/>
      <c r="EM31" s="39"/>
      <c r="EN31" s="39"/>
      <c r="EO31" s="39"/>
      <c r="EP31" s="39"/>
      <c r="EQ31" s="39"/>
      <c r="ER31" s="39"/>
      <c r="ES31" s="39"/>
      <c r="ET31" s="39"/>
      <c r="EU31" s="39"/>
      <c r="EV31" s="39"/>
      <c r="EW31" s="39"/>
      <c r="EX31" s="39"/>
      <c r="EY31" s="39"/>
      <c r="EZ31" s="39"/>
      <c r="FA31" s="39"/>
      <c r="FB31" s="39"/>
      <c r="FC31" s="39"/>
      <c r="FD31" s="39"/>
      <c r="FE31" s="39"/>
      <c r="FF31" s="39"/>
      <c r="FG31" s="39"/>
      <c r="FH31" s="39"/>
      <c r="FI31" s="39"/>
      <c r="FJ31" s="39"/>
      <c r="FK31" s="39"/>
      <c r="FL31" s="39"/>
      <c r="FM31" s="39"/>
      <c r="FN31" s="39"/>
      <c r="FO31" s="39"/>
      <c r="FP31" s="39"/>
      <c r="FQ31" s="39"/>
      <c r="FR31" s="39"/>
      <c r="FS31" s="39"/>
      <c r="FT31" s="39"/>
    </row>
    <row r="32" spans="1:176" s="113" customFormat="1" ht="51">
      <c r="A32" s="153" t="s">
        <v>1288</v>
      </c>
      <c r="B32" s="93" t="str">
        <f>"Total Credits: " &amp; IFERROR(IF(DD32=0,"",DD32),"")</f>
        <v>Total Credits: 13</v>
      </c>
      <c r="C32" s="114"/>
      <c r="D32" s="114"/>
      <c r="E32" s="114"/>
      <c r="F32" s="114"/>
      <c r="G32" s="114"/>
      <c r="H32" s="114"/>
      <c r="I32" s="114"/>
      <c r="J32" s="114"/>
      <c r="K32" s="114"/>
      <c r="L32" s="114"/>
      <c r="M32" s="114"/>
      <c r="P32" s="96"/>
      <c r="Q32" s="96"/>
      <c r="R32" s="96"/>
      <c r="S32" s="114"/>
      <c r="T32" s="114"/>
      <c r="U32" s="114"/>
      <c r="V32" s="97"/>
      <c r="W32" s="97"/>
      <c r="X32" s="143" t="str">
        <f>IF(SUM(X33:X40)=0, "", SUM(X33:X40))</f>
        <v/>
      </c>
      <c r="Y32" s="121"/>
      <c r="Z32" s="122"/>
      <c r="AA32" s="100"/>
      <c r="AB32" s="100"/>
      <c r="AC32" s="100"/>
      <c r="AD32" s="100"/>
      <c r="AE32" s="101"/>
      <c r="AF32" s="102"/>
      <c r="AG32" s="101"/>
      <c r="AH32" s="100"/>
      <c r="AI32" s="100"/>
      <c r="AJ32" s="101"/>
      <c r="AK32" s="102"/>
      <c r="AL32" s="101"/>
      <c r="AM32" s="100"/>
      <c r="AN32" s="100"/>
      <c r="AO32" s="103"/>
      <c r="AP32" s="103"/>
      <c r="AQ32" s="103"/>
      <c r="AR32" s="103"/>
      <c r="AS32" s="104"/>
      <c r="AT32" s="125"/>
      <c r="AU32" s="125"/>
      <c r="AX32" s="125"/>
      <c r="AY32" s="125"/>
      <c r="AZ32" s="125"/>
      <c r="BA32" s="112"/>
      <c r="BB32" s="112"/>
      <c r="BC32" s="143">
        <f>IF(SUM(BC33:BC40)=0, "", SUM(BC33:BC40))</f>
        <v>6</v>
      </c>
      <c r="BD32" s="121"/>
      <c r="BE32" s="122"/>
      <c r="BF32" s="123"/>
      <c r="BG32" s="123"/>
      <c r="BH32" s="123"/>
      <c r="BI32" s="123"/>
      <c r="BJ32" s="124"/>
      <c r="BK32" s="125"/>
      <c r="BL32" s="124"/>
      <c r="BM32" s="123"/>
      <c r="BN32" s="123"/>
      <c r="BO32" s="124"/>
      <c r="BP32" s="125"/>
      <c r="BQ32" s="124"/>
      <c r="BR32" s="123"/>
      <c r="BS32" s="123"/>
      <c r="BT32" s="124"/>
      <c r="BU32" s="124"/>
      <c r="BV32" s="124"/>
      <c r="BW32" s="103"/>
      <c r="BX32" s="125"/>
      <c r="BY32" s="125"/>
      <c r="BZ32" s="125"/>
      <c r="CC32" s="125"/>
      <c r="CD32" s="125"/>
      <c r="CE32" s="125"/>
      <c r="CF32" s="97"/>
      <c r="CG32" s="98"/>
      <c r="CH32" s="143">
        <f>IF(SUM(CH33:CH40)=0, "", SUM(CH33:CH40))</f>
        <v>7</v>
      </c>
      <c r="CI32" s="121"/>
      <c r="CJ32" s="122"/>
      <c r="CK32" s="123"/>
      <c r="CL32" s="123"/>
      <c r="CM32" s="123"/>
      <c r="CN32" s="123"/>
      <c r="CP32" s="125"/>
      <c r="CR32" s="123"/>
      <c r="CS32" s="123"/>
      <c r="CU32" s="125"/>
      <c r="CW32" s="123"/>
      <c r="CX32" s="123"/>
      <c r="DB32" s="103"/>
      <c r="DC32" s="125"/>
      <c r="DD32" s="143">
        <f>IF(SUM(L32:DC32)=0, "", SUM(L32:DC32))</f>
        <v>13</v>
      </c>
      <c r="DE32" s="91">
        <v>30</v>
      </c>
      <c r="DF32" s="26"/>
      <c r="DG32" s="26"/>
      <c r="DH32" s="26"/>
      <c r="DI32" s="26"/>
      <c r="DJ32" s="26"/>
      <c r="DK32" s="26"/>
      <c r="DL32" s="26"/>
      <c r="DM32" s="26"/>
      <c r="DN32" s="26"/>
      <c r="DO32" s="26"/>
      <c r="DP32" s="26"/>
      <c r="DQ32" s="26"/>
      <c r="DR32" s="26"/>
      <c r="DS32" s="26"/>
      <c r="DT32" s="26"/>
      <c r="DU32" s="26"/>
      <c r="DV32" s="26"/>
      <c r="DW32" s="26"/>
      <c r="DX32" s="26"/>
      <c r="DY32" s="26"/>
      <c r="DZ32" s="26"/>
      <c r="EA32" s="26"/>
      <c r="EB32" s="26"/>
      <c r="EC32" s="26"/>
      <c r="ED32" s="26"/>
      <c r="EE32" s="26"/>
      <c r="EF32" s="26"/>
      <c r="EG32" s="26"/>
      <c r="EH32" s="26"/>
      <c r="EI32" s="26"/>
      <c r="EJ32" s="26"/>
      <c r="EK32" s="26"/>
      <c r="EL32" s="26"/>
      <c r="EM32" s="26"/>
      <c r="EN32" s="26"/>
      <c r="EO32" s="26"/>
      <c r="EP32" s="26"/>
      <c r="EQ32" s="26"/>
      <c r="ER32" s="26"/>
      <c r="ES32" s="26"/>
      <c r="ET32" s="26"/>
      <c r="EU32" s="26"/>
      <c r="EV32" s="26"/>
      <c r="EW32" s="26"/>
      <c r="EX32" s="26"/>
      <c r="EY32" s="26"/>
      <c r="EZ32" s="26"/>
      <c r="FA32" s="26"/>
      <c r="FB32" s="26"/>
      <c r="FC32" s="26"/>
      <c r="FD32" s="26"/>
      <c r="FE32" s="26"/>
      <c r="FF32" s="26"/>
      <c r="FG32" s="26"/>
      <c r="FH32" s="26"/>
      <c r="FI32" s="26"/>
      <c r="FJ32" s="26"/>
      <c r="FK32" s="26"/>
      <c r="FL32" s="26"/>
      <c r="FM32" s="26"/>
      <c r="FN32" s="26"/>
      <c r="FO32" s="26"/>
      <c r="FP32" s="26"/>
      <c r="FQ32" s="26"/>
      <c r="FR32" s="26"/>
      <c r="FS32" s="26"/>
      <c r="FT32" s="26"/>
    </row>
    <row r="33" spans="1:176" s="22" customFormat="1" ht="13">
      <c r="A33" s="7" t="s">
        <v>227</v>
      </c>
      <c r="B33" s="23" t="str">
        <f>IF(_xlfn.XLOOKUP(A33, AutoFill_names!B:B, AutoFill_names!C:C,"")=0,"",_xlfn.XLOOKUP(A33, AutoFill_names!B:B, AutoFill_names!C:C,""))</f>
        <v>000069431</v>
      </c>
      <c r="C33" s="23" t="str">
        <f>IF(_xlfn.XLOOKUP(A33, AutoFill_names!B:B, AutoFill_names!D:D,"")=0,"",_xlfn.XLOOKUP(A33, AutoFill_names!B:B, AutoFill_names!D:D,""))</f>
        <v>kenley@andrews.edu</v>
      </c>
      <c r="D33" s="23" t="str">
        <f>IF(_xlfn.XLOOKUP(A33, AutoFill_names!B:B, AutoFill_names!E:E,"")=0,"",_xlfn.XLOOKUP(A33, AutoFill_names!B:B, AutoFill_names!E:E,""))</f>
        <v/>
      </c>
      <c r="E33" s="23" t="str">
        <f>IF(_xlfn.XLOOKUP(A33, AutoFill_names!B:B, AutoFill_names!F:F,"")=0,"",_xlfn.XLOOKUP(A33, AutoFill_names!B:B, AutoFill_names!F:F,""))</f>
        <v/>
      </c>
      <c r="F33" s="4"/>
      <c r="G33" s="4"/>
      <c r="H33" s="4"/>
      <c r="I33" s="4"/>
      <c r="J33" s="23" t="str">
        <f>IF(_xlfn.XLOOKUP(A33, AutoFill_names!B:B, AutoFill_names!K:K,"")=0,"",_xlfn.XLOOKUP(A33, AutoFill_names!B:B, AutoFill_names!K:K,""))</f>
        <v/>
      </c>
      <c r="K33" s="23" t="str">
        <f>IF(_xlfn.XLOOKUP(A33, AutoFill_names!B:B, AutoFill_names!L:L,"")=0,"",_xlfn.XLOOKUP(A33, AutoFill_names!B:B, AutoFill_names!L:L,""))</f>
        <v/>
      </c>
      <c r="L33" s="45"/>
      <c r="M33" s="45"/>
      <c r="N33" s="61" t="str">
        <f>IF(_xlfn.XLOOKUP(L33, AutoFill_classes!A:A, AutoFill_classes!B:B,"")=0,"",_xlfn.XLOOKUP(L33, AutoFill_classes!A:A, AutoFill_classes!B:B,""))</f>
        <v/>
      </c>
      <c r="O33" s="154"/>
      <c r="P33" s="9"/>
      <c r="Q33" s="9"/>
      <c r="R33" s="9"/>
      <c r="S33" s="5"/>
      <c r="T33" s="5"/>
      <c r="U33" s="5"/>
      <c r="V33" s="4"/>
      <c r="W33" s="4"/>
      <c r="X33" s="145"/>
      <c r="Y33" s="29"/>
      <c r="Z33" s="60" t="str">
        <f t="shared" ref="Z33:Z40" si="81">IF(X33*Y33=0,"",X33*Y33)</f>
        <v/>
      </c>
      <c r="AA33" s="32"/>
      <c r="AB33" s="32"/>
      <c r="AC33" s="32"/>
      <c r="AD33" s="32"/>
      <c r="AE33" s="58" t="str">
        <f t="shared" ref="AE33:AE40" si="82">IF(ROUNDUP((AD33-AC33)/7,0)=0,"",ROUNDUP((AD33-AC33)/7,0))</f>
        <v/>
      </c>
      <c r="AF33" s="20"/>
      <c r="AG33" s="58" t="str">
        <f t="shared" ref="AG33:AG40" si="83">IFERROR(IF(AE33*AF33=0,"",AE33*AF33), "")</f>
        <v/>
      </c>
      <c r="AH33" s="32"/>
      <c r="AI33" s="32"/>
      <c r="AJ33" s="58" t="str">
        <f t="shared" ref="AJ33:AJ40" si="84">IF(ROUNDUP((AI33-AH33)/7,0)=0,"",ROUNDUP((AI33-AH33)/7,0))</f>
        <v/>
      </c>
      <c r="AK33" s="20"/>
      <c r="AL33" s="58" t="str">
        <f t="shared" ref="AL33:AL40" si="85">IFERROR(IF(AJ33*AK33=0,"",AJ33*AK33), "")</f>
        <v/>
      </c>
      <c r="AM33" s="32"/>
      <c r="AN33" s="32"/>
      <c r="AO33" s="58" t="str">
        <f t="shared" ref="AO33:AO40" si="86">IF(ROUNDUP((AN33-AM33)/7,0)=0,"",ROUNDUP((AN33-AM33)/7,0))</f>
        <v/>
      </c>
      <c r="AP33" s="58" t="str">
        <f t="shared" ref="AP33:AP40" si="87">IFERROR(IF((AS33-(AF33+AK33))/AO33=0,"",ROUNDUP((AS33-(AF33+AK33))/AO33,0)), "")</f>
        <v/>
      </c>
      <c r="AQ33" s="58" t="str">
        <f t="shared" ref="AQ33:AQ40" si="88">IFERROR(IF((AS33-(AG33+AL33))=0, "", (AS33-(AG33+AL33))), "")</f>
        <v/>
      </c>
      <c r="AR33" s="59" t="str">
        <f t="shared" ref="AR33:AR40" si="89">IFERROR(IF((AE33+AJ33+AO33)=0, "", (AE33+AJ33+AO33)), "")</f>
        <v/>
      </c>
      <c r="AS33" s="20"/>
      <c r="AT33" s="48" t="s">
        <v>618</v>
      </c>
      <c r="AU33" s="48"/>
      <c r="AV33" s="61" t="str">
        <f>IF(_xlfn.XLOOKUP(AT33, AutoFill_classes!$A:$A, AutoFill_classes!$B:$B,"")=0,"",_xlfn.XLOOKUP(AT33, AutoFill_classes!$A:$A, AutoFill_classes!$B:$B,""))</f>
        <v>Contextualized Preaching:</v>
      </c>
      <c r="AW33" s="154"/>
      <c r="AX33" s="14" t="s">
        <v>56</v>
      </c>
      <c r="AY33" s="14" t="s">
        <v>57</v>
      </c>
      <c r="AZ33" s="14" t="s">
        <v>58</v>
      </c>
      <c r="BA33" s="16" t="s">
        <v>59</v>
      </c>
      <c r="BB33" s="16" t="s">
        <v>60</v>
      </c>
      <c r="BC33" s="145">
        <v>2</v>
      </c>
      <c r="BD33" s="27"/>
      <c r="BE33" s="60" t="str">
        <f t="shared" ref="BE33:BE40" si="90">IF(BC33*BD33=0,"",BC33*BD33)</f>
        <v/>
      </c>
      <c r="BF33" s="32"/>
      <c r="BG33" s="32"/>
      <c r="BH33" s="32"/>
      <c r="BI33" s="32"/>
      <c r="BJ33" s="58" t="str">
        <f t="shared" ref="BJ33:BJ40" si="91">IF(ROUNDUP((BI33-BH33)/7,0)=0,"",ROUNDUP((BI33-BH33)/7,0))</f>
        <v/>
      </c>
      <c r="BK33" s="20"/>
      <c r="BL33" s="58" t="str">
        <f t="shared" ref="BL33:BL40" si="92">IFERROR(IF(BJ33*BK33=0,"",BJ33*BK33), "")</f>
        <v/>
      </c>
      <c r="BM33" s="32"/>
      <c r="BN33" s="32"/>
      <c r="BO33" s="58" t="str">
        <f t="shared" ref="BO33:BO40" si="93">IF(ROUNDUP((BN33-BM33)/7,0)=0,"",ROUNDUP((BN33-BM33)/7,0))</f>
        <v/>
      </c>
      <c r="BP33" s="20"/>
      <c r="BQ33" s="58" t="str">
        <f t="shared" ref="BQ33:BQ40" si="94">IFERROR(IF(BO33*BP33=0,"",BO33*BP33), "")</f>
        <v/>
      </c>
      <c r="BR33" s="32"/>
      <c r="BS33" s="32"/>
      <c r="BT33" s="58" t="str">
        <f t="shared" ref="BT33:BT40" si="95">IF(ROUNDUP((BS33-BR33)/7,0)=0,"",ROUNDUP((BS33-BR33)/7,0))</f>
        <v/>
      </c>
      <c r="BU33" s="58" t="str">
        <f t="shared" ref="BU33:BU40" si="96">IFERROR(IF((BX33-(BK33+BP33))/BT33=0,"",ROUNDUP((BX33-(BK33+BP33))/BT33,0)), "")</f>
        <v/>
      </c>
      <c r="BV33" s="58" t="str">
        <f t="shared" ref="BV33:BV40" si="97">IFERROR(IF((BX33-(BL33+BQ33))=0, "", (BX33-(BL33+BQ33))), "")</f>
        <v/>
      </c>
      <c r="BW33" s="59" t="str">
        <f t="shared" ref="BW33:BW40" si="98">IFERROR(IF((BJ33+BO33+BT33)=0, "", (BJ33+BO33+BT33)), "")</f>
        <v/>
      </c>
      <c r="BX33" s="16"/>
      <c r="BY33" s="21" t="s">
        <v>615</v>
      </c>
      <c r="BZ33" s="20"/>
      <c r="CA33" s="61" t="str">
        <f>IF(_xlfn.XLOOKUP(BY33, AutoFill_classes!$A:$A, AutoFill_classes!$B:$B,"")=0,"",_xlfn.XLOOKUP(BY33, AutoFill_classes!$A:$A, AutoFill_classes!$B:$B,""))</f>
        <v>Media Ministry</v>
      </c>
      <c r="CB33" s="154"/>
      <c r="CC33" s="20" t="s">
        <v>56</v>
      </c>
      <c r="CD33" s="20" t="s">
        <v>57</v>
      </c>
      <c r="CE33" s="20" t="s">
        <v>58</v>
      </c>
      <c r="CF33" s="33" t="s">
        <v>59</v>
      </c>
      <c r="CG33" s="34" t="s">
        <v>60</v>
      </c>
      <c r="CH33" s="145">
        <v>1</v>
      </c>
      <c r="CI33" s="35"/>
      <c r="CJ33" s="60" t="str">
        <f t="shared" ref="CJ33:CJ40" si="99">IF(CH33*CI33=0,"",CH33*CI33)</f>
        <v/>
      </c>
      <c r="CK33" s="32"/>
      <c r="CL33" s="32"/>
      <c r="CM33" s="32"/>
      <c r="CN33" s="32"/>
      <c r="CO33" s="58" t="str">
        <f t="shared" ref="CO33:CO40" si="100">IF(ROUNDUP((CN33-CM33)/7,0)=0,"",ROUNDUP((CN33-CM33)/7,0))</f>
        <v/>
      </c>
      <c r="CP33" s="20"/>
      <c r="CQ33" s="58" t="str">
        <f t="shared" ref="CQ33:CQ40" si="101">IFERROR(IF(CO33*CP33=0,"",CO33*CP33), "")</f>
        <v/>
      </c>
      <c r="CR33" s="32"/>
      <c r="CS33" s="32"/>
      <c r="CT33" s="58" t="str">
        <f t="shared" ref="CT33:CT40" si="102">IF(ROUNDUP((CS33-CR33)/7,0)=0,"",ROUNDUP((CS33-CR33)/7,0))</f>
        <v/>
      </c>
      <c r="CU33" s="20"/>
      <c r="CV33" s="58" t="str">
        <f t="shared" ref="CV33:CV40" si="103">IFERROR(IF(CT33*CU33=0,"",CT33*CU33), "")</f>
        <v/>
      </c>
      <c r="CW33" s="32"/>
      <c r="CX33" s="32"/>
      <c r="CY33" s="58" t="str">
        <f t="shared" ref="CY33:CY40" si="104">IF(ROUNDUP((CX33-CW33)/7,0)=0,"",ROUNDUP((CX33-CW33)/7,0))</f>
        <v/>
      </c>
      <c r="CZ33" s="58" t="str">
        <f t="shared" ref="CZ33:CZ40" si="105">IFERROR(IF((DC33-(CP33+CU33))/CY33=0,"",ROUNDUP((DC33-(CP33+CU33))/CY33,0)), "")</f>
        <v/>
      </c>
      <c r="DA33" s="58" t="str">
        <f t="shared" ref="DA33:DA40" si="106">IFERROR(IF((DC33-(CQ33+CV33))=0, "", (DC33-(CQ33+CV33))), "")</f>
        <v/>
      </c>
      <c r="DB33" s="59" t="str">
        <f t="shared" ref="DB33:DB40" si="107">IFERROR(IF((CO33+CT33+CY33)=0, "", (CO33+CT33+CY33)), "")</f>
        <v/>
      </c>
      <c r="DC33" s="20"/>
      <c r="DD33" s="144"/>
      <c r="DE33" s="91">
        <v>32</v>
      </c>
      <c r="DF33" s="39"/>
      <c r="DG33" s="39"/>
      <c r="DH33" s="39"/>
      <c r="DI33" s="39"/>
      <c r="DJ33" s="39"/>
      <c r="DK33" s="39"/>
      <c r="DL33" s="39"/>
      <c r="DM33" s="39"/>
      <c r="DN33" s="39"/>
      <c r="DO33" s="39"/>
      <c r="DP33" s="39"/>
      <c r="DQ33" s="39"/>
      <c r="DR33" s="39"/>
      <c r="DS33" s="39"/>
      <c r="DT33" s="39"/>
      <c r="DU33" s="39"/>
      <c r="DV33" s="39"/>
      <c r="DW33" s="39"/>
      <c r="DX33" s="39"/>
      <c r="DY33" s="39"/>
      <c r="DZ33" s="39"/>
      <c r="EA33" s="39"/>
      <c r="EB33" s="39"/>
      <c r="EC33" s="39"/>
      <c r="ED33" s="39"/>
      <c r="EE33" s="39"/>
      <c r="EF33" s="39"/>
      <c r="EG33" s="39"/>
      <c r="EH33" s="39"/>
      <c r="EI33" s="39"/>
      <c r="EJ33" s="39"/>
      <c r="EK33" s="39"/>
      <c r="EL33" s="39"/>
      <c r="EM33" s="39"/>
      <c r="EN33" s="39"/>
      <c r="EO33" s="39"/>
      <c r="EP33" s="39"/>
      <c r="EQ33" s="39"/>
      <c r="ER33" s="39"/>
      <c r="ES33" s="39"/>
      <c r="ET33" s="39"/>
      <c r="EU33" s="39"/>
      <c r="EV33" s="39"/>
      <c r="EW33" s="39"/>
      <c r="EX33" s="39"/>
      <c r="EY33" s="39"/>
      <c r="EZ33" s="39"/>
      <c r="FA33" s="39"/>
      <c r="FB33" s="39"/>
      <c r="FC33" s="39"/>
      <c r="FD33" s="39"/>
      <c r="FE33" s="39"/>
      <c r="FF33" s="39"/>
      <c r="FG33" s="39"/>
      <c r="FH33" s="39"/>
      <c r="FI33" s="39"/>
      <c r="FJ33" s="39"/>
      <c r="FK33" s="39"/>
      <c r="FL33" s="39"/>
      <c r="FM33" s="39"/>
      <c r="FN33" s="39"/>
      <c r="FO33" s="39"/>
      <c r="FP33" s="39"/>
      <c r="FQ33" s="39"/>
      <c r="FR33" s="39"/>
      <c r="FS33" s="39"/>
      <c r="FT33" s="39"/>
    </row>
    <row r="34" spans="1:176" s="22" customFormat="1" ht="13">
      <c r="A34" s="7" t="s">
        <v>227</v>
      </c>
      <c r="B34" s="23" t="str">
        <f>IF(_xlfn.XLOOKUP(A34, AutoFill_names!B:B, AutoFill_names!C:C,"")=0,"",_xlfn.XLOOKUP(A34, AutoFill_names!B:B, AutoFill_names!C:C,""))</f>
        <v>000069431</v>
      </c>
      <c r="C34" s="23" t="str">
        <f>IF(_xlfn.XLOOKUP(A34, AutoFill_names!B:B, AutoFill_names!D:D,"")=0,"",_xlfn.XLOOKUP(A34, AutoFill_names!B:B, AutoFill_names!D:D,""))</f>
        <v>kenley@andrews.edu</v>
      </c>
      <c r="D34" s="23" t="str">
        <f>IF(_xlfn.XLOOKUP(A34, AutoFill_names!B:B, AutoFill_names!E:E,"")=0,"",_xlfn.XLOOKUP(A34, AutoFill_names!B:B, AutoFill_names!E:E,""))</f>
        <v/>
      </c>
      <c r="E34" s="23" t="str">
        <f>IF(_xlfn.XLOOKUP(A34, AutoFill_names!B:B, AutoFill_names!F:F,"")=0,"",_xlfn.XLOOKUP(A34, AutoFill_names!B:B, AutoFill_names!F:F,""))</f>
        <v/>
      </c>
      <c r="F34" s="4"/>
      <c r="G34" s="4"/>
      <c r="H34" s="4"/>
      <c r="I34" s="4"/>
      <c r="J34" s="23" t="str">
        <f>IF(_xlfn.XLOOKUP(A34, AutoFill_names!B:B, AutoFill_names!K:K,"")=0,"",_xlfn.XLOOKUP(A34, AutoFill_names!B:B, AutoFill_names!K:K,""))</f>
        <v/>
      </c>
      <c r="K34" s="23" t="str">
        <f>IF(_xlfn.XLOOKUP(A34, AutoFill_names!B:B, AutoFill_names!L:L,"")=0,"",_xlfn.XLOOKUP(A34, AutoFill_names!B:B, AutoFill_names!L:L,""))</f>
        <v/>
      </c>
      <c r="L34" s="5"/>
      <c r="M34" s="5"/>
      <c r="N34" s="61" t="str">
        <f>IF(_xlfn.XLOOKUP(L34, AutoFill_classes!A:A, AutoFill_classes!B:B,"")=0,"",_xlfn.XLOOKUP(L34, AutoFill_classes!A:A, AutoFill_classes!B:B,""))</f>
        <v/>
      </c>
      <c r="O34" s="154"/>
      <c r="P34" s="9"/>
      <c r="Q34" s="9"/>
      <c r="R34" s="9"/>
      <c r="S34" s="5"/>
      <c r="T34" s="5"/>
      <c r="U34" s="5"/>
      <c r="V34" s="4"/>
      <c r="W34" s="4"/>
      <c r="X34" s="145"/>
      <c r="Y34" s="29"/>
      <c r="Z34" s="60" t="str">
        <f t="shared" si="81"/>
        <v/>
      </c>
      <c r="AA34" s="32"/>
      <c r="AB34" s="32"/>
      <c r="AC34" s="36"/>
      <c r="AD34" s="36"/>
      <c r="AE34" s="58" t="str">
        <f t="shared" si="82"/>
        <v/>
      </c>
      <c r="AF34" s="20"/>
      <c r="AG34" s="58" t="str">
        <f t="shared" si="83"/>
        <v/>
      </c>
      <c r="AH34" s="36"/>
      <c r="AI34" s="36"/>
      <c r="AJ34" s="58" t="str">
        <f t="shared" si="84"/>
        <v/>
      </c>
      <c r="AK34" s="20"/>
      <c r="AL34" s="58" t="str">
        <f t="shared" si="85"/>
        <v/>
      </c>
      <c r="AM34" s="36"/>
      <c r="AN34" s="36"/>
      <c r="AO34" s="58" t="str">
        <f t="shared" si="86"/>
        <v/>
      </c>
      <c r="AP34" s="58" t="str">
        <f t="shared" si="87"/>
        <v/>
      </c>
      <c r="AQ34" s="58" t="str">
        <f t="shared" si="88"/>
        <v/>
      </c>
      <c r="AR34" s="59" t="str">
        <f t="shared" si="89"/>
        <v/>
      </c>
      <c r="AS34" s="20"/>
      <c r="AT34" s="48" t="s">
        <v>618</v>
      </c>
      <c r="AU34" s="48" t="s">
        <v>281</v>
      </c>
      <c r="AV34" s="61" t="str">
        <f>IF(_xlfn.XLOOKUP(AT34, AutoFill_classes!$A:$A, AutoFill_classes!$B:$B,"")=0,"",_xlfn.XLOOKUP(AT34, AutoFill_classes!$A:$A, AutoFill_classes!$B:$B,""))</f>
        <v>Contextualized Preaching:</v>
      </c>
      <c r="AW34" s="154"/>
      <c r="AX34" s="14" t="s">
        <v>76</v>
      </c>
      <c r="AY34" s="14" t="s">
        <v>57</v>
      </c>
      <c r="AZ34" s="14" t="s">
        <v>58</v>
      </c>
      <c r="BA34" s="16" t="s">
        <v>59</v>
      </c>
      <c r="BB34" s="16" t="s">
        <v>60</v>
      </c>
      <c r="BC34" s="145">
        <v>0</v>
      </c>
      <c r="BD34" s="27"/>
      <c r="BE34" s="60" t="str">
        <f t="shared" si="90"/>
        <v/>
      </c>
      <c r="BF34" s="32"/>
      <c r="BG34" s="32"/>
      <c r="BH34" s="36"/>
      <c r="BI34" s="36"/>
      <c r="BJ34" s="58" t="str">
        <f t="shared" si="91"/>
        <v/>
      </c>
      <c r="BK34" s="20"/>
      <c r="BL34" s="58" t="str">
        <f t="shared" si="92"/>
        <v/>
      </c>
      <c r="BM34" s="36"/>
      <c r="BN34" s="36"/>
      <c r="BO34" s="58" t="str">
        <f t="shared" si="93"/>
        <v/>
      </c>
      <c r="BP34" s="20"/>
      <c r="BQ34" s="58" t="str">
        <f t="shared" si="94"/>
        <v/>
      </c>
      <c r="BR34" s="36"/>
      <c r="BS34" s="36"/>
      <c r="BT34" s="58" t="str">
        <f t="shared" si="95"/>
        <v/>
      </c>
      <c r="BU34" s="58" t="str">
        <f t="shared" si="96"/>
        <v/>
      </c>
      <c r="BV34" s="58" t="str">
        <f t="shared" si="97"/>
        <v/>
      </c>
      <c r="BW34" s="59" t="str">
        <f t="shared" si="98"/>
        <v/>
      </c>
      <c r="BX34" s="16"/>
      <c r="BY34" s="21" t="s">
        <v>615</v>
      </c>
      <c r="BZ34" s="20" t="s">
        <v>281</v>
      </c>
      <c r="CA34" s="61" t="str">
        <f>IF(_xlfn.XLOOKUP(BY34, AutoFill_classes!$A:$A, AutoFill_classes!$B:$B,"")=0,"",_xlfn.XLOOKUP(BY34, AutoFill_classes!$A:$A, AutoFill_classes!$B:$B,""))</f>
        <v>Media Ministry</v>
      </c>
      <c r="CB34" s="154"/>
      <c r="CC34" s="20" t="s">
        <v>76</v>
      </c>
      <c r="CD34" s="20" t="s">
        <v>57</v>
      </c>
      <c r="CE34" s="20" t="s">
        <v>58</v>
      </c>
      <c r="CF34" s="33" t="s">
        <v>59</v>
      </c>
      <c r="CG34" s="34" t="s">
        <v>60</v>
      </c>
      <c r="CH34" s="145">
        <v>0</v>
      </c>
      <c r="CI34" s="35"/>
      <c r="CJ34" s="60" t="str">
        <f t="shared" si="99"/>
        <v/>
      </c>
      <c r="CK34" s="32"/>
      <c r="CL34" s="32"/>
      <c r="CM34" s="36"/>
      <c r="CN34" s="36"/>
      <c r="CO34" s="58" t="str">
        <f t="shared" si="100"/>
        <v/>
      </c>
      <c r="CP34" s="20"/>
      <c r="CQ34" s="58" t="str">
        <f t="shared" si="101"/>
        <v/>
      </c>
      <c r="CR34" s="36"/>
      <c r="CS34" s="36"/>
      <c r="CT34" s="58" t="str">
        <f t="shared" si="102"/>
        <v/>
      </c>
      <c r="CU34" s="20"/>
      <c r="CV34" s="58" t="str">
        <f t="shared" si="103"/>
        <v/>
      </c>
      <c r="CW34" s="36"/>
      <c r="CX34" s="36"/>
      <c r="CY34" s="58" t="str">
        <f t="shared" si="104"/>
        <v/>
      </c>
      <c r="CZ34" s="58" t="str">
        <f t="shared" si="105"/>
        <v/>
      </c>
      <c r="DA34" s="58" t="str">
        <f t="shared" si="106"/>
        <v/>
      </c>
      <c r="DB34" s="59" t="str">
        <f t="shared" si="107"/>
        <v/>
      </c>
      <c r="DC34" s="20"/>
      <c r="DD34" s="144"/>
      <c r="DE34" s="91">
        <v>33</v>
      </c>
      <c r="DF34" s="39"/>
      <c r="DG34" s="39"/>
      <c r="DH34" s="39"/>
      <c r="DI34" s="39"/>
      <c r="DJ34" s="39"/>
      <c r="DK34" s="39"/>
      <c r="DL34" s="39"/>
      <c r="DM34" s="39"/>
      <c r="DN34" s="39"/>
      <c r="DO34" s="39"/>
      <c r="DP34" s="39"/>
      <c r="DQ34" s="39"/>
      <c r="DR34" s="39"/>
      <c r="DS34" s="39"/>
      <c r="DT34" s="39"/>
      <c r="DU34" s="39"/>
      <c r="DV34" s="39"/>
      <c r="DW34" s="39"/>
      <c r="DX34" s="39"/>
      <c r="DY34" s="39"/>
      <c r="DZ34" s="39"/>
      <c r="EA34" s="39"/>
      <c r="EB34" s="39"/>
      <c r="EC34" s="39"/>
      <c r="ED34" s="39"/>
      <c r="EE34" s="39"/>
      <c r="EF34" s="39"/>
      <c r="EG34" s="39"/>
      <c r="EH34" s="39"/>
      <c r="EI34" s="39"/>
      <c r="EJ34" s="39"/>
      <c r="EK34" s="39"/>
      <c r="EL34" s="39"/>
      <c r="EM34" s="39"/>
      <c r="EN34" s="39"/>
      <c r="EO34" s="39"/>
      <c r="EP34" s="39"/>
      <c r="EQ34" s="39"/>
      <c r="ER34" s="39"/>
      <c r="ES34" s="39"/>
      <c r="ET34" s="39"/>
      <c r="EU34" s="39"/>
      <c r="EV34" s="39"/>
      <c r="EW34" s="39"/>
      <c r="EX34" s="39"/>
      <c r="EY34" s="39"/>
      <c r="EZ34" s="39"/>
      <c r="FA34" s="39"/>
      <c r="FB34" s="39"/>
      <c r="FC34" s="39"/>
      <c r="FD34" s="39"/>
      <c r="FE34" s="39"/>
      <c r="FF34" s="39"/>
      <c r="FG34" s="39"/>
      <c r="FH34" s="39"/>
      <c r="FI34" s="39"/>
      <c r="FJ34" s="39"/>
      <c r="FK34" s="39"/>
      <c r="FL34" s="39"/>
      <c r="FM34" s="39"/>
      <c r="FN34" s="39"/>
      <c r="FO34" s="39"/>
      <c r="FP34" s="39"/>
      <c r="FQ34" s="39"/>
      <c r="FR34" s="39"/>
      <c r="FS34" s="39"/>
      <c r="FT34" s="39"/>
    </row>
    <row r="35" spans="1:176" s="22" customFormat="1" ht="13">
      <c r="A35" s="7" t="s">
        <v>227</v>
      </c>
      <c r="B35" s="23" t="str">
        <f>IF(_xlfn.XLOOKUP(A35, AutoFill_names!B:B, AutoFill_names!C:C,"")=0,"",_xlfn.XLOOKUP(A35, AutoFill_names!B:B, AutoFill_names!C:C,""))</f>
        <v>000069431</v>
      </c>
      <c r="C35" s="23" t="str">
        <f>IF(_xlfn.XLOOKUP(A35, AutoFill_names!B:B, AutoFill_names!D:D,"")=0,"",_xlfn.XLOOKUP(A35, AutoFill_names!B:B, AutoFill_names!D:D,""))</f>
        <v>kenley@andrews.edu</v>
      </c>
      <c r="D35" s="23" t="str">
        <f>IF(_xlfn.XLOOKUP(A35, AutoFill_names!B:B, AutoFill_names!E:E,"")=0,"",_xlfn.XLOOKUP(A35, AutoFill_names!B:B, AutoFill_names!E:E,""))</f>
        <v/>
      </c>
      <c r="E35" s="23" t="str">
        <f>IF(_xlfn.XLOOKUP(A35, AutoFill_names!B:B, AutoFill_names!F:F,"")=0,"",_xlfn.XLOOKUP(A35, AutoFill_names!B:B, AutoFill_names!F:F,""))</f>
        <v/>
      </c>
      <c r="F35" s="4"/>
      <c r="G35" s="4"/>
      <c r="H35" s="4"/>
      <c r="I35" s="4"/>
      <c r="J35" s="23" t="str">
        <f>IF(_xlfn.XLOOKUP(A35, AutoFill_names!B:B, AutoFill_names!K:K,"")=0,"",_xlfn.XLOOKUP(A35, AutoFill_names!B:B, AutoFill_names!K:K,""))</f>
        <v/>
      </c>
      <c r="K35" s="23" t="str">
        <f>IF(_xlfn.XLOOKUP(A35, AutoFill_names!B:B, AutoFill_names!L:L,"")=0,"",_xlfn.XLOOKUP(A35, AutoFill_names!B:B, AutoFill_names!L:L,""))</f>
        <v/>
      </c>
      <c r="L35" s="5"/>
      <c r="M35" s="5"/>
      <c r="N35" s="61" t="str">
        <f>IF(_xlfn.XLOOKUP(L35, AutoFill_classes!A:A, AutoFill_classes!B:B,"")=0,"",_xlfn.XLOOKUP(L35, AutoFill_classes!A:A, AutoFill_classes!B:B,""))</f>
        <v/>
      </c>
      <c r="O35" s="154"/>
      <c r="P35" s="9"/>
      <c r="Q35" s="9"/>
      <c r="R35" s="9"/>
      <c r="S35" s="5"/>
      <c r="T35" s="5"/>
      <c r="U35" s="5"/>
      <c r="V35" s="4"/>
      <c r="W35" s="4"/>
      <c r="X35" s="145"/>
      <c r="Y35" s="29"/>
      <c r="Z35" s="60" t="str">
        <f t="shared" si="81"/>
        <v/>
      </c>
      <c r="AA35" s="32"/>
      <c r="AB35" s="32"/>
      <c r="AC35" s="32"/>
      <c r="AD35" s="32"/>
      <c r="AE35" s="58" t="str">
        <f t="shared" si="82"/>
        <v/>
      </c>
      <c r="AF35" s="20"/>
      <c r="AG35" s="58" t="str">
        <f t="shared" si="83"/>
        <v/>
      </c>
      <c r="AH35" s="32"/>
      <c r="AI35" s="32"/>
      <c r="AJ35" s="58" t="str">
        <f t="shared" si="84"/>
        <v/>
      </c>
      <c r="AK35" s="20"/>
      <c r="AL35" s="58" t="str">
        <f t="shared" si="85"/>
        <v/>
      </c>
      <c r="AM35" s="32"/>
      <c r="AN35" s="32"/>
      <c r="AO35" s="58" t="str">
        <f t="shared" si="86"/>
        <v/>
      </c>
      <c r="AP35" s="58" t="str">
        <f t="shared" si="87"/>
        <v/>
      </c>
      <c r="AQ35" s="58" t="str">
        <f t="shared" si="88"/>
        <v/>
      </c>
      <c r="AR35" s="59" t="str">
        <f t="shared" si="89"/>
        <v/>
      </c>
      <c r="AS35" s="20"/>
      <c r="AT35" s="48" t="s">
        <v>618</v>
      </c>
      <c r="AU35" s="48"/>
      <c r="AV35" s="61" t="str">
        <f>IF(_xlfn.XLOOKUP(AT35, AutoFill_classes!$A:$A, AutoFill_classes!$B:$B,"")=0,"",_xlfn.XLOOKUP(AT35, AutoFill_classes!$A:$A, AutoFill_classes!$B:$B,""))</f>
        <v>Contextualized Preaching:</v>
      </c>
      <c r="AW35" s="154"/>
      <c r="AX35" s="14" t="s">
        <v>56</v>
      </c>
      <c r="AY35" s="14" t="s">
        <v>57</v>
      </c>
      <c r="AZ35" s="14" t="s">
        <v>58</v>
      </c>
      <c r="BA35" s="16" t="s">
        <v>59</v>
      </c>
      <c r="BB35" s="16" t="s">
        <v>60</v>
      </c>
      <c r="BC35" s="145">
        <v>2</v>
      </c>
      <c r="BD35" s="27"/>
      <c r="BE35" s="60" t="str">
        <f t="shared" si="90"/>
        <v/>
      </c>
      <c r="BF35" s="32"/>
      <c r="BG35" s="32"/>
      <c r="BH35" s="32"/>
      <c r="BI35" s="32"/>
      <c r="BJ35" s="58" t="str">
        <f t="shared" si="91"/>
        <v/>
      </c>
      <c r="BK35" s="20"/>
      <c r="BL35" s="58" t="str">
        <f t="shared" si="92"/>
        <v/>
      </c>
      <c r="BM35" s="32"/>
      <c r="BN35" s="32"/>
      <c r="BO35" s="58" t="str">
        <f t="shared" si="93"/>
        <v/>
      </c>
      <c r="BP35" s="20"/>
      <c r="BQ35" s="58" t="str">
        <f t="shared" si="94"/>
        <v/>
      </c>
      <c r="BR35" s="32"/>
      <c r="BS35" s="32"/>
      <c r="BT35" s="58" t="str">
        <f t="shared" si="95"/>
        <v/>
      </c>
      <c r="BU35" s="58" t="str">
        <f t="shared" si="96"/>
        <v/>
      </c>
      <c r="BV35" s="58" t="str">
        <f t="shared" si="97"/>
        <v/>
      </c>
      <c r="BW35" s="59" t="str">
        <f t="shared" si="98"/>
        <v/>
      </c>
      <c r="BX35" s="16"/>
      <c r="BY35" s="21" t="s">
        <v>618</v>
      </c>
      <c r="BZ35" s="20"/>
      <c r="CA35" s="61" t="str">
        <f>IF(_xlfn.XLOOKUP(BY35, AutoFill_classes!$A:$A, AutoFill_classes!$B:$B,"")=0,"",_xlfn.XLOOKUP(BY35, AutoFill_classes!$A:$A, AutoFill_classes!$B:$B,""))</f>
        <v>Contextualized Preaching:</v>
      </c>
      <c r="CB35" s="154"/>
      <c r="CC35" s="20" t="s">
        <v>56</v>
      </c>
      <c r="CD35" s="20" t="s">
        <v>57</v>
      </c>
      <c r="CE35" s="20" t="s">
        <v>58</v>
      </c>
      <c r="CF35" s="33" t="s">
        <v>59</v>
      </c>
      <c r="CG35" s="34" t="s">
        <v>60</v>
      </c>
      <c r="CH35" s="145">
        <v>2</v>
      </c>
      <c r="CI35" s="35"/>
      <c r="CJ35" s="60" t="str">
        <f t="shared" si="99"/>
        <v/>
      </c>
      <c r="CK35" s="32"/>
      <c r="CL35" s="32"/>
      <c r="CM35" s="32"/>
      <c r="CN35" s="32"/>
      <c r="CO35" s="58" t="str">
        <f t="shared" si="100"/>
        <v/>
      </c>
      <c r="CP35" s="20"/>
      <c r="CQ35" s="58" t="str">
        <f t="shared" si="101"/>
        <v/>
      </c>
      <c r="CR35" s="32"/>
      <c r="CS35" s="32"/>
      <c r="CT35" s="58" t="str">
        <f t="shared" si="102"/>
        <v/>
      </c>
      <c r="CU35" s="20"/>
      <c r="CV35" s="58" t="str">
        <f t="shared" si="103"/>
        <v/>
      </c>
      <c r="CW35" s="32"/>
      <c r="CX35" s="32"/>
      <c r="CY35" s="58" t="str">
        <f t="shared" si="104"/>
        <v/>
      </c>
      <c r="CZ35" s="58" t="str">
        <f t="shared" si="105"/>
        <v/>
      </c>
      <c r="DA35" s="58" t="str">
        <f t="shared" si="106"/>
        <v/>
      </c>
      <c r="DB35" s="59" t="str">
        <f t="shared" si="107"/>
        <v/>
      </c>
      <c r="DC35" s="20"/>
      <c r="DD35" s="144"/>
      <c r="DE35" s="91">
        <v>34</v>
      </c>
      <c r="DF35" s="39"/>
      <c r="DG35" s="39"/>
      <c r="DH35" s="39"/>
      <c r="DI35" s="39"/>
      <c r="DJ35" s="39"/>
      <c r="DK35" s="39"/>
      <c r="DL35" s="39"/>
      <c r="DM35" s="39"/>
      <c r="DN35" s="39"/>
      <c r="DO35" s="39"/>
      <c r="DP35" s="39"/>
      <c r="DQ35" s="39"/>
      <c r="DR35" s="39"/>
      <c r="DS35" s="39"/>
      <c r="DT35" s="39"/>
      <c r="DU35" s="39"/>
      <c r="DV35" s="39"/>
      <c r="DW35" s="39"/>
      <c r="DX35" s="39"/>
      <c r="DY35" s="39"/>
      <c r="DZ35" s="39"/>
      <c r="EA35" s="39"/>
      <c r="EB35" s="39"/>
      <c r="EC35" s="39"/>
      <c r="ED35" s="39"/>
      <c r="EE35" s="39"/>
      <c r="EF35" s="39"/>
      <c r="EG35" s="39"/>
      <c r="EH35" s="39"/>
      <c r="EI35" s="39"/>
      <c r="EJ35" s="39"/>
      <c r="EK35" s="39"/>
      <c r="EL35" s="39"/>
      <c r="EM35" s="39"/>
      <c r="EN35" s="39"/>
      <c r="EO35" s="39"/>
      <c r="EP35" s="39"/>
      <c r="EQ35" s="39"/>
      <c r="ER35" s="39"/>
      <c r="ES35" s="39"/>
      <c r="ET35" s="39"/>
      <c r="EU35" s="39"/>
      <c r="EV35" s="39"/>
      <c r="EW35" s="39"/>
      <c r="EX35" s="39"/>
      <c r="EY35" s="39"/>
      <c r="EZ35" s="39"/>
      <c r="FA35" s="39"/>
      <c r="FB35" s="39"/>
      <c r="FC35" s="39"/>
      <c r="FD35" s="39"/>
      <c r="FE35" s="39"/>
      <c r="FF35" s="39"/>
      <c r="FG35" s="39"/>
      <c r="FH35" s="39"/>
      <c r="FI35" s="39"/>
      <c r="FJ35" s="39"/>
      <c r="FK35" s="39"/>
      <c r="FL35" s="39"/>
      <c r="FM35" s="39"/>
      <c r="FN35" s="39"/>
      <c r="FO35" s="39"/>
      <c r="FP35" s="39"/>
      <c r="FQ35" s="39"/>
      <c r="FR35" s="39"/>
      <c r="FS35" s="39"/>
      <c r="FT35" s="39"/>
    </row>
    <row r="36" spans="1:176" s="22" customFormat="1" ht="13">
      <c r="A36" s="7" t="s">
        <v>227</v>
      </c>
      <c r="B36" s="23" t="str">
        <f>IF(_xlfn.XLOOKUP(A36, AutoFill_names!B:B, AutoFill_names!C:C,"")=0,"",_xlfn.XLOOKUP(A36, AutoFill_names!B:B, AutoFill_names!C:C,""))</f>
        <v>000069431</v>
      </c>
      <c r="C36" s="23" t="str">
        <f>IF(_xlfn.XLOOKUP(A36, AutoFill_names!B:B, AutoFill_names!D:D,"")=0,"",_xlfn.XLOOKUP(A36, AutoFill_names!B:B, AutoFill_names!D:D,""))</f>
        <v>kenley@andrews.edu</v>
      </c>
      <c r="D36" s="23" t="str">
        <f>IF(_xlfn.XLOOKUP(A36, AutoFill_names!B:B, AutoFill_names!E:E,"")=0,"",_xlfn.XLOOKUP(A36, AutoFill_names!B:B, AutoFill_names!E:E,""))</f>
        <v/>
      </c>
      <c r="E36" s="23" t="str">
        <f>IF(_xlfn.XLOOKUP(A36, AutoFill_names!B:B, AutoFill_names!F:F,"")=0,"",_xlfn.XLOOKUP(A36, AutoFill_names!B:B, AutoFill_names!F:F,""))</f>
        <v/>
      </c>
      <c r="F36" s="4"/>
      <c r="G36" s="4"/>
      <c r="H36" s="4"/>
      <c r="I36" s="4"/>
      <c r="J36" s="23" t="str">
        <f>IF(_xlfn.XLOOKUP(A36, AutoFill_names!B:B, AutoFill_names!K:K,"")=0,"",_xlfn.XLOOKUP(A36, AutoFill_names!B:B, AutoFill_names!K:K,""))</f>
        <v/>
      </c>
      <c r="K36" s="23" t="str">
        <f>IF(_xlfn.XLOOKUP(A36, AutoFill_names!B:B, AutoFill_names!L:L,"")=0,"",_xlfn.XLOOKUP(A36, AutoFill_names!B:B, AutoFill_names!L:L,""))</f>
        <v/>
      </c>
      <c r="L36" s="5"/>
      <c r="M36" s="5"/>
      <c r="N36" s="61" t="str">
        <f>IF(_xlfn.XLOOKUP(L36, AutoFill_classes!A:A, AutoFill_classes!B:B,"")=0,"",_xlfn.XLOOKUP(L36, AutoFill_classes!A:A, AutoFill_classes!B:B,""))</f>
        <v/>
      </c>
      <c r="O36" s="154"/>
      <c r="P36" s="9"/>
      <c r="Q36" s="9"/>
      <c r="R36" s="9"/>
      <c r="S36" s="5"/>
      <c r="T36" s="5"/>
      <c r="U36" s="5"/>
      <c r="V36" s="4"/>
      <c r="W36" s="4"/>
      <c r="X36" s="145"/>
      <c r="Y36" s="29"/>
      <c r="Z36" s="60" t="str">
        <f t="shared" si="81"/>
        <v/>
      </c>
      <c r="AA36" s="32"/>
      <c r="AB36" s="32"/>
      <c r="AC36" s="32"/>
      <c r="AD36" s="32"/>
      <c r="AE36" s="58" t="str">
        <f t="shared" si="82"/>
        <v/>
      </c>
      <c r="AF36" s="20"/>
      <c r="AG36" s="58" t="str">
        <f t="shared" si="83"/>
        <v/>
      </c>
      <c r="AH36" s="32"/>
      <c r="AI36" s="32"/>
      <c r="AJ36" s="58" t="str">
        <f t="shared" si="84"/>
        <v/>
      </c>
      <c r="AK36" s="20"/>
      <c r="AL36" s="58" t="str">
        <f t="shared" si="85"/>
        <v/>
      </c>
      <c r="AM36" s="32"/>
      <c r="AN36" s="32"/>
      <c r="AO36" s="58" t="str">
        <f t="shared" si="86"/>
        <v/>
      </c>
      <c r="AP36" s="58" t="str">
        <f t="shared" si="87"/>
        <v/>
      </c>
      <c r="AQ36" s="58" t="str">
        <f t="shared" si="88"/>
        <v/>
      </c>
      <c r="AR36" s="59" t="str">
        <f t="shared" si="89"/>
        <v/>
      </c>
      <c r="AS36" s="20"/>
      <c r="AT36" s="48" t="s">
        <v>618</v>
      </c>
      <c r="AU36" s="48" t="s">
        <v>281</v>
      </c>
      <c r="AV36" s="61" t="str">
        <f>IF(_xlfn.XLOOKUP(AT36, AutoFill_classes!$A:$A, AutoFill_classes!$B:$B,"")=0,"",_xlfn.XLOOKUP(AT36, AutoFill_classes!$A:$A, AutoFill_classes!$B:$B,""))</f>
        <v>Contextualized Preaching:</v>
      </c>
      <c r="AW36" s="154"/>
      <c r="AX36" s="14" t="s">
        <v>76</v>
      </c>
      <c r="AY36" s="14" t="s">
        <v>57</v>
      </c>
      <c r="AZ36" s="14" t="s">
        <v>58</v>
      </c>
      <c r="BA36" s="16" t="s">
        <v>59</v>
      </c>
      <c r="BB36" s="16" t="s">
        <v>60</v>
      </c>
      <c r="BC36" s="145">
        <v>0</v>
      </c>
      <c r="BD36" s="27"/>
      <c r="BE36" s="60" t="str">
        <f t="shared" si="90"/>
        <v/>
      </c>
      <c r="BF36" s="32"/>
      <c r="BG36" s="32"/>
      <c r="BH36" s="32"/>
      <c r="BI36" s="32"/>
      <c r="BJ36" s="58" t="str">
        <f t="shared" si="91"/>
        <v/>
      </c>
      <c r="BK36" s="20"/>
      <c r="BL36" s="58" t="str">
        <f t="shared" si="92"/>
        <v/>
      </c>
      <c r="BM36" s="32"/>
      <c r="BN36" s="32"/>
      <c r="BO36" s="58" t="str">
        <f t="shared" si="93"/>
        <v/>
      </c>
      <c r="BP36" s="20"/>
      <c r="BQ36" s="58" t="str">
        <f t="shared" si="94"/>
        <v/>
      </c>
      <c r="BR36" s="32"/>
      <c r="BS36" s="32"/>
      <c r="BT36" s="58" t="str">
        <f t="shared" si="95"/>
        <v/>
      </c>
      <c r="BU36" s="58" t="str">
        <f t="shared" si="96"/>
        <v/>
      </c>
      <c r="BV36" s="58" t="str">
        <f t="shared" si="97"/>
        <v/>
      </c>
      <c r="BW36" s="59" t="str">
        <f t="shared" si="98"/>
        <v/>
      </c>
      <c r="BX36" s="16"/>
      <c r="BY36" s="21" t="s">
        <v>618</v>
      </c>
      <c r="BZ36" s="20"/>
      <c r="CA36" s="61" t="str">
        <f>IF(_xlfn.XLOOKUP(BY36, AutoFill_classes!$A:$A, AutoFill_classes!$B:$B,"")=0,"",_xlfn.XLOOKUP(BY36, AutoFill_classes!$A:$A, AutoFill_classes!$B:$B,""))</f>
        <v>Contextualized Preaching:</v>
      </c>
      <c r="CB36" s="154"/>
      <c r="CC36" s="20" t="s">
        <v>56</v>
      </c>
      <c r="CD36" s="20" t="s">
        <v>57</v>
      </c>
      <c r="CE36" s="20" t="s">
        <v>58</v>
      </c>
      <c r="CF36" s="33" t="s">
        <v>59</v>
      </c>
      <c r="CG36" s="34" t="s">
        <v>60</v>
      </c>
      <c r="CH36" s="145">
        <v>2</v>
      </c>
      <c r="CI36" s="35"/>
      <c r="CJ36" s="60" t="str">
        <f t="shared" si="99"/>
        <v/>
      </c>
      <c r="CK36" s="32"/>
      <c r="CL36" s="32"/>
      <c r="CM36" s="32"/>
      <c r="CN36" s="32"/>
      <c r="CO36" s="58" t="str">
        <f t="shared" si="100"/>
        <v/>
      </c>
      <c r="CP36" s="20"/>
      <c r="CQ36" s="58" t="str">
        <f t="shared" si="101"/>
        <v/>
      </c>
      <c r="CR36" s="32"/>
      <c r="CS36" s="32"/>
      <c r="CT36" s="58" t="str">
        <f t="shared" si="102"/>
        <v/>
      </c>
      <c r="CU36" s="20"/>
      <c r="CV36" s="58" t="str">
        <f t="shared" si="103"/>
        <v/>
      </c>
      <c r="CW36" s="32"/>
      <c r="CX36" s="32"/>
      <c r="CY36" s="58" t="str">
        <f t="shared" si="104"/>
        <v/>
      </c>
      <c r="CZ36" s="58" t="str">
        <f t="shared" si="105"/>
        <v/>
      </c>
      <c r="DA36" s="58" t="str">
        <f t="shared" si="106"/>
        <v/>
      </c>
      <c r="DB36" s="59" t="str">
        <f t="shared" si="107"/>
        <v/>
      </c>
      <c r="DC36" s="20"/>
      <c r="DD36" s="144"/>
      <c r="DE36" s="91">
        <v>35</v>
      </c>
      <c r="DF36" s="39"/>
      <c r="DG36" s="39"/>
      <c r="DH36" s="39"/>
      <c r="DI36" s="39"/>
      <c r="DJ36" s="39"/>
      <c r="DK36" s="39"/>
      <c r="DL36" s="39"/>
      <c r="DM36" s="39"/>
      <c r="DN36" s="39"/>
      <c r="DO36" s="39"/>
      <c r="DP36" s="39"/>
      <c r="DQ36" s="39"/>
      <c r="DR36" s="39"/>
      <c r="DS36" s="39"/>
      <c r="DT36" s="39"/>
      <c r="DU36" s="39"/>
      <c r="DV36" s="39"/>
      <c r="DW36" s="39"/>
      <c r="DX36" s="39"/>
      <c r="DY36" s="39"/>
      <c r="DZ36" s="39"/>
      <c r="EA36" s="39"/>
      <c r="EB36" s="39"/>
      <c r="EC36" s="39"/>
      <c r="ED36" s="39"/>
      <c r="EE36" s="39"/>
      <c r="EF36" s="39"/>
      <c r="EG36" s="39"/>
      <c r="EH36" s="39"/>
      <c r="EI36" s="39"/>
      <c r="EJ36" s="39"/>
      <c r="EK36" s="39"/>
      <c r="EL36" s="39"/>
      <c r="EM36" s="39"/>
      <c r="EN36" s="39"/>
      <c r="EO36" s="39"/>
      <c r="EP36" s="39"/>
      <c r="EQ36" s="39"/>
      <c r="ER36" s="39"/>
      <c r="ES36" s="39"/>
      <c r="ET36" s="39"/>
      <c r="EU36" s="39"/>
      <c r="EV36" s="39"/>
      <c r="EW36" s="39"/>
      <c r="EX36" s="39"/>
      <c r="EY36" s="39"/>
      <c r="EZ36" s="39"/>
      <c r="FA36" s="39"/>
      <c r="FB36" s="39"/>
      <c r="FC36" s="39"/>
      <c r="FD36" s="39"/>
      <c r="FE36" s="39"/>
      <c r="FF36" s="39"/>
      <c r="FG36" s="39"/>
      <c r="FH36" s="39"/>
      <c r="FI36" s="39"/>
      <c r="FJ36" s="39"/>
      <c r="FK36" s="39"/>
      <c r="FL36" s="39"/>
      <c r="FM36" s="39"/>
      <c r="FN36" s="39"/>
      <c r="FO36" s="39"/>
      <c r="FP36" s="39"/>
      <c r="FQ36" s="39"/>
      <c r="FR36" s="39"/>
      <c r="FS36" s="39"/>
      <c r="FT36" s="39"/>
    </row>
    <row r="37" spans="1:176" s="22" customFormat="1" ht="13">
      <c r="A37" s="7" t="s">
        <v>227</v>
      </c>
      <c r="B37" s="23" t="str">
        <f>IF(_xlfn.XLOOKUP(A37, AutoFill_names!B:B, AutoFill_names!C:C,"")=0,"",_xlfn.XLOOKUP(A37, AutoFill_names!B:B, AutoFill_names!C:C,""))</f>
        <v>000069431</v>
      </c>
      <c r="C37" s="23" t="str">
        <f>IF(_xlfn.XLOOKUP(A37, AutoFill_names!B:B, AutoFill_names!D:D,"")=0,"",_xlfn.XLOOKUP(A37, AutoFill_names!B:B, AutoFill_names!D:D,""))</f>
        <v>kenley@andrews.edu</v>
      </c>
      <c r="D37" s="23" t="str">
        <f>IF(_xlfn.XLOOKUP(A37, AutoFill_names!B:B, AutoFill_names!E:E,"")=0,"",_xlfn.XLOOKUP(A37, AutoFill_names!B:B, AutoFill_names!E:E,""))</f>
        <v/>
      </c>
      <c r="E37" s="23" t="str">
        <f>IF(_xlfn.XLOOKUP(A37, AutoFill_names!B:B, AutoFill_names!F:F,"")=0,"",_xlfn.XLOOKUP(A37, AutoFill_names!B:B, AutoFill_names!F:F,""))</f>
        <v/>
      </c>
      <c r="F37" s="4"/>
      <c r="G37" s="4"/>
      <c r="H37" s="4"/>
      <c r="I37" s="4"/>
      <c r="J37" s="23" t="str">
        <f>IF(_xlfn.XLOOKUP(A37, AutoFill_names!B:B, AutoFill_names!K:K,"")=0,"",_xlfn.XLOOKUP(A37, AutoFill_names!B:B, AutoFill_names!K:K,""))</f>
        <v/>
      </c>
      <c r="K37" s="23" t="str">
        <f>IF(_xlfn.XLOOKUP(A37, AutoFill_names!B:B, AutoFill_names!L:L,"")=0,"",_xlfn.XLOOKUP(A37, AutoFill_names!B:B, AutoFill_names!L:L,""))</f>
        <v/>
      </c>
      <c r="L37" s="5"/>
      <c r="M37" s="5"/>
      <c r="N37" s="61" t="str">
        <f>IF(_xlfn.XLOOKUP(L37, AutoFill_classes!A:A, AutoFill_classes!B:B,"")=0,"",_xlfn.XLOOKUP(L37, AutoFill_classes!A:A, AutoFill_classes!B:B,""))</f>
        <v/>
      </c>
      <c r="O37" s="154"/>
      <c r="P37" s="9"/>
      <c r="Q37" s="9"/>
      <c r="R37" s="9"/>
      <c r="S37" s="5"/>
      <c r="T37" s="5"/>
      <c r="U37" s="5"/>
      <c r="V37" s="4"/>
      <c r="W37" s="4"/>
      <c r="X37" s="145"/>
      <c r="Y37" s="29"/>
      <c r="Z37" s="60" t="str">
        <f t="shared" si="81"/>
        <v/>
      </c>
      <c r="AA37" s="32"/>
      <c r="AB37" s="32"/>
      <c r="AC37" s="32"/>
      <c r="AD37" s="32"/>
      <c r="AE37" s="58" t="str">
        <f t="shared" si="82"/>
        <v/>
      </c>
      <c r="AF37" s="20"/>
      <c r="AG37" s="58" t="str">
        <f t="shared" si="83"/>
        <v/>
      </c>
      <c r="AH37" s="32"/>
      <c r="AI37" s="32"/>
      <c r="AJ37" s="58" t="str">
        <f t="shared" si="84"/>
        <v/>
      </c>
      <c r="AK37" s="20"/>
      <c r="AL37" s="58" t="str">
        <f t="shared" si="85"/>
        <v/>
      </c>
      <c r="AM37" s="32"/>
      <c r="AN37" s="32"/>
      <c r="AO37" s="58" t="str">
        <f t="shared" si="86"/>
        <v/>
      </c>
      <c r="AP37" s="58" t="str">
        <f t="shared" si="87"/>
        <v/>
      </c>
      <c r="AQ37" s="58" t="str">
        <f t="shared" si="88"/>
        <v/>
      </c>
      <c r="AR37" s="59" t="str">
        <f t="shared" si="89"/>
        <v/>
      </c>
      <c r="AS37" s="20"/>
      <c r="AT37" s="48" t="s">
        <v>618</v>
      </c>
      <c r="AU37" s="48" t="s">
        <v>283</v>
      </c>
      <c r="AV37" s="61" t="str">
        <f>IF(_xlfn.XLOOKUP(AT37, AutoFill_classes!$A:$A, AutoFill_classes!$B:$B,"")=0,"",_xlfn.XLOOKUP(AT37, AutoFill_classes!$A:$A, AutoFill_classes!$B:$B,""))</f>
        <v>Contextualized Preaching:</v>
      </c>
      <c r="AW37" s="154"/>
      <c r="AX37" s="14" t="s">
        <v>85</v>
      </c>
      <c r="AY37" s="14" t="s">
        <v>57</v>
      </c>
      <c r="AZ37" s="14" t="s">
        <v>58</v>
      </c>
      <c r="BA37" s="16" t="s">
        <v>59</v>
      </c>
      <c r="BB37" s="16" t="s">
        <v>60</v>
      </c>
      <c r="BC37" s="145">
        <v>0</v>
      </c>
      <c r="BD37" s="27"/>
      <c r="BE37" s="60" t="str">
        <f t="shared" si="90"/>
        <v/>
      </c>
      <c r="BF37" s="32"/>
      <c r="BG37" s="32"/>
      <c r="BH37" s="32"/>
      <c r="BI37" s="32"/>
      <c r="BJ37" s="58" t="str">
        <f t="shared" si="91"/>
        <v/>
      </c>
      <c r="BK37" s="20"/>
      <c r="BL37" s="58" t="str">
        <f t="shared" si="92"/>
        <v/>
      </c>
      <c r="BM37" s="32"/>
      <c r="BN37" s="32"/>
      <c r="BO37" s="58" t="str">
        <f t="shared" si="93"/>
        <v/>
      </c>
      <c r="BP37" s="20"/>
      <c r="BQ37" s="58" t="str">
        <f t="shared" si="94"/>
        <v/>
      </c>
      <c r="BR37" s="32"/>
      <c r="BS37" s="32"/>
      <c r="BT37" s="58" t="str">
        <f t="shared" si="95"/>
        <v/>
      </c>
      <c r="BU37" s="58" t="str">
        <f t="shared" si="96"/>
        <v/>
      </c>
      <c r="BV37" s="58" t="str">
        <f t="shared" si="97"/>
        <v/>
      </c>
      <c r="BW37" s="59" t="str">
        <f t="shared" si="98"/>
        <v/>
      </c>
      <c r="BX37" s="16"/>
      <c r="BY37" s="21" t="s">
        <v>618</v>
      </c>
      <c r="BZ37" s="20" t="s">
        <v>281</v>
      </c>
      <c r="CA37" s="61" t="str">
        <f>IF(_xlfn.XLOOKUP(BY37, AutoFill_classes!$A:$A, AutoFill_classes!$B:$B,"")=0,"",_xlfn.XLOOKUP(BY37, AutoFill_classes!$A:$A, AutoFill_classes!$B:$B,""))</f>
        <v>Contextualized Preaching:</v>
      </c>
      <c r="CB37" s="154"/>
      <c r="CC37" s="20" t="s">
        <v>76</v>
      </c>
      <c r="CD37" s="20" t="s">
        <v>57</v>
      </c>
      <c r="CE37" s="20" t="s">
        <v>58</v>
      </c>
      <c r="CF37" s="33" t="s">
        <v>59</v>
      </c>
      <c r="CG37" s="34" t="s">
        <v>60</v>
      </c>
      <c r="CH37" s="145">
        <v>0</v>
      </c>
      <c r="CI37" s="35"/>
      <c r="CJ37" s="60" t="str">
        <f t="shared" si="99"/>
        <v/>
      </c>
      <c r="CK37" s="32"/>
      <c r="CL37" s="32"/>
      <c r="CM37" s="32"/>
      <c r="CN37" s="32"/>
      <c r="CO37" s="58" t="str">
        <f t="shared" si="100"/>
        <v/>
      </c>
      <c r="CP37" s="20"/>
      <c r="CQ37" s="58" t="str">
        <f t="shared" si="101"/>
        <v/>
      </c>
      <c r="CR37" s="32"/>
      <c r="CS37" s="32"/>
      <c r="CT37" s="58" t="str">
        <f t="shared" si="102"/>
        <v/>
      </c>
      <c r="CU37" s="20"/>
      <c r="CV37" s="58" t="str">
        <f t="shared" si="103"/>
        <v/>
      </c>
      <c r="CW37" s="32"/>
      <c r="CX37" s="32"/>
      <c r="CY37" s="58" t="str">
        <f t="shared" si="104"/>
        <v/>
      </c>
      <c r="CZ37" s="58" t="str">
        <f t="shared" si="105"/>
        <v/>
      </c>
      <c r="DA37" s="58" t="str">
        <f t="shared" si="106"/>
        <v/>
      </c>
      <c r="DB37" s="59" t="str">
        <f t="shared" si="107"/>
        <v/>
      </c>
      <c r="DC37" s="20"/>
      <c r="DD37" s="144"/>
      <c r="DE37" s="91">
        <v>36</v>
      </c>
      <c r="DF37" s="39"/>
      <c r="DG37" s="39"/>
      <c r="DH37" s="39"/>
      <c r="DI37" s="39"/>
      <c r="DJ37" s="39"/>
      <c r="DK37" s="39"/>
      <c r="DL37" s="39"/>
      <c r="DM37" s="39"/>
      <c r="DN37" s="39"/>
      <c r="DO37" s="39"/>
      <c r="DP37" s="39"/>
      <c r="DQ37" s="39"/>
      <c r="DR37" s="39"/>
      <c r="DS37" s="39"/>
      <c r="DT37" s="39"/>
      <c r="DU37" s="39"/>
      <c r="DV37" s="39"/>
      <c r="DW37" s="39"/>
      <c r="DX37" s="39"/>
      <c r="DY37" s="39"/>
      <c r="DZ37" s="39"/>
      <c r="EA37" s="39"/>
      <c r="EB37" s="39"/>
      <c r="EC37" s="39"/>
      <c r="ED37" s="39"/>
      <c r="EE37" s="39"/>
      <c r="EF37" s="39"/>
      <c r="EG37" s="39"/>
      <c r="EH37" s="39"/>
      <c r="EI37" s="39"/>
      <c r="EJ37" s="39"/>
      <c r="EK37" s="39"/>
      <c r="EL37" s="39"/>
      <c r="EM37" s="39"/>
      <c r="EN37" s="39"/>
      <c r="EO37" s="39"/>
      <c r="EP37" s="39"/>
      <c r="EQ37" s="39"/>
      <c r="ER37" s="39"/>
      <c r="ES37" s="39"/>
      <c r="ET37" s="39"/>
      <c r="EU37" s="39"/>
      <c r="EV37" s="39"/>
      <c r="EW37" s="39"/>
      <c r="EX37" s="39"/>
      <c r="EY37" s="39"/>
      <c r="EZ37" s="39"/>
      <c r="FA37" s="39"/>
      <c r="FB37" s="39"/>
      <c r="FC37" s="39"/>
      <c r="FD37" s="39"/>
      <c r="FE37" s="39"/>
      <c r="FF37" s="39"/>
      <c r="FG37" s="39"/>
      <c r="FH37" s="39"/>
      <c r="FI37" s="39"/>
      <c r="FJ37" s="39"/>
      <c r="FK37" s="39"/>
      <c r="FL37" s="39"/>
      <c r="FM37" s="39"/>
      <c r="FN37" s="39"/>
      <c r="FO37" s="39"/>
      <c r="FP37" s="39"/>
      <c r="FQ37" s="39"/>
      <c r="FR37" s="39"/>
      <c r="FS37" s="39"/>
      <c r="FT37" s="39"/>
    </row>
    <row r="38" spans="1:176" s="22" customFormat="1" ht="13">
      <c r="A38" s="7" t="s">
        <v>227</v>
      </c>
      <c r="B38" s="23" t="str">
        <f>IF(_xlfn.XLOOKUP(A38, AutoFill_names!B:B, AutoFill_names!C:C,"")=0,"",_xlfn.XLOOKUP(A38, AutoFill_names!B:B, AutoFill_names!C:C,""))</f>
        <v>000069431</v>
      </c>
      <c r="C38" s="23" t="str">
        <f>IF(_xlfn.XLOOKUP(A38, AutoFill_names!B:B, AutoFill_names!D:D,"")=0,"",_xlfn.XLOOKUP(A38, AutoFill_names!B:B, AutoFill_names!D:D,""))</f>
        <v>kenley@andrews.edu</v>
      </c>
      <c r="D38" s="23" t="str">
        <f>IF(_xlfn.XLOOKUP(A38, AutoFill_names!B:B, AutoFill_names!E:E,"")=0,"",_xlfn.XLOOKUP(A38, AutoFill_names!B:B, AutoFill_names!E:E,""))</f>
        <v/>
      </c>
      <c r="E38" s="23" t="str">
        <f>IF(_xlfn.XLOOKUP(A38, AutoFill_names!B:B, AutoFill_names!F:F,"")=0,"",_xlfn.XLOOKUP(A38, AutoFill_names!B:B, AutoFill_names!F:F,""))</f>
        <v/>
      </c>
      <c r="F38" s="4"/>
      <c r="G38" s="4"/>
      <c r="H38" s="4"/>
      <c r="I38" s="4"/>
      <c r="J38" s="23" t="str">
        <f>IF(_xlfn.XLOOKUP(A38, AutoFill_names!B:B, AutoFill_names!K:K,"")=0,"",_xlfn.XLOOKUP(A38, AutoFill_names!B:B, AutoFill_names!K:K,""))</f>
        <v/>
      </c>
      <c r="K38" s="23" t="str">
        <f>IF(_xlfn.XLOOKUP(A38, AutoFill_names!B:B, AutoFill_names!L:L,"")=0,"",_xlfn.XLOOKUP(A38, AutoFill_names!B:B, AutoFill_names!L:L,""))</f>
        <v/>
      </c>
      <c r="L38" s="5"/>
      <c r="M38" s="5"/>
      <c r="N38" s="61" t="str">
        <f>IF(_xlfn.XLOOKUP(L38, AutoFill_classes!A:A, AutoFill_classes!B:B,"")=0,"",_xlfn.XLOOKUP(L38, AutoFill_classes!A:A, AutoFill_classes!B:B,""))</f>
        <v/>
      </c>
      <c r="O38" s="154"/>
      <c r="P38" s="9"/>
      <c r="Q38" s="9"/>
      <c r="R38" s="9"/>
      <c r="S38" s="5"/>
      <c r="T38" s="5"/>
      <c r="U38" s="5"/>
      <c r="V38" s="4"/>
      <c r="W38" s="4"/>
      <c r="X38" s="145"/>
      <c r="Y38" s="29"/>
      <c r="Z38" s="60" t="str">
        <f t="shared" si="81"/>
        <v/>
      </c>
      <c r="AA38" s="32"/>
      <c r="AB38" s="32"/>
      <c r="AC38" s="32"/>
      <c r="AD38" s="32"/>
      <c r="AE38" s="58" t="str">
        <f t="shared" si="82"/>
        <v/>
      </c>
      <c r="AF38" s="20"/>
      <c r="AG38" s="58" t="str">
        <f t="shared" si="83"/>
        <v/>
      </c>
      <c r="AH38" s="32"/>
      <c r="AI38" s="32"/>
      <c r="AJ38" s="58" t="str">
        <f t="shared" si="84"/>
        <v/>
      </c>
      <c r="AK38" s="20"/>
      <c r="AL38" s="58" t="str">
        <f t="shared" si="85"/>
        <v/>
      </c>
      <c r="AM38" s="32"/>
      <c r="AN38" s="32"/>
      <c r="AO38" s="58" t="str">
        <f t="shared" si="86"/>
        <v/>
      </c>
      <c r="AP38" s="58" t="str">
        <f t="shared" si="87"/>
        <v/>
      </c>
      <c r="AQ38" s="58" t="str">
        <f t="shared" si="88"/>
        <v/>
      </c>
      <c r="AR38" s="59" t="str">
        <f t="shared" si="89"/>
        <v/>
      </c>
      <c r="AS38" s="20"/>
      <c r="AT38" s="48" t="s">
        <v>1300</v>
      </c>
      <c r="AU38" s="48"/>
      <c r="AV38" s="61" t="str">
        <f>IF(_xlfn.XLOOKUP(AT38, AutoFill_classes!$A:$A, AutoFill_classes!$B:$B,"")=0,"",_xlfn.XLOOKUP(AT38, AutoFill_classes!$A:$A, AutoFill_classes!$B:$B,""))</f>
        <v/>
      </c>
      <c r="AW38" s="154"/>
      <c r="AX38" s="14" t="s">
        <v>56</v>
      </c>
      <c r="AY38" s="14" t="s">
        <v>57</v>
      </c>
      <c r="AZ38" s="14" t="s">
        <v>58</v>
      </c>
      <c r="BA38" s="16" t="s">
        <v>59</v>
      </c>
      <c r="BB38" s="16" t="s">
        <v>60</v>
      </c>
      <c r="BC38" s="145">
        <v>2</v>
      </c>
      <c r="BD38" s="29"/>
      <c r="BE38" s="60" t="str">
        <f t="shared" si="90"/>
        <v/>
      </c>
      <c r="BF38" s="32"/>
      <c r="BG38" s="32"/>
      <c r="BH38" s="32"/>
      <c r="BI38" s="32"/>
      <c r="BJ38" s="58" t="str">
        <f t="shared" si="91"/>
        <v/>
      </c>
      <c r="BK38" s="20"/>
      <c r="BL38" s="58" t="str">
        <f t="shared" si="92"/>
        <v/>
      </c>
      <c r="BM38" s="32"/>
      <c r="BN38" s="32"/>
      <c r="BO38" s="58" t="str">
        <f t="shared" si="93"/>
        <v/>
      </c>
      <c r="BP38" s="20"/>
      <c r="BQ38" s="58" t="str">
        <f t="shared" si="94"/>
        <v/>
      </c>
      <c r="BR38" s="32"/>
      <c r="BS38" s="32"/>
      <c r="BT38" s="58" t="str">
        <f t="shared" si="95"/>
        <v/>
      </c>
      <c r="BU38" s="58" t="str">
        <f t="shared" si="96"/>
        <v/>
      </c>
      <c r="BV38" s="58" t="str">
        <f t="shared" si="97"/>
        <v/>
      </c>
      <c r="BW38" s="59" t="str">
        <f t="shared" si="98"/>
        <v/>
      </c>
      <c r="BX38" s="14"/>
      <c r="BY38" s="21" t="s">
        <v>618</v>
      </c>
      <c r="BZ38" s="20" t="s">
        <v>283</v>
      </c>
      <c r="CA38" s="61" t="str">
        <f>IF(_xlfn.XLOOKUP(BY38, AutoFill_classes!$A:$A, AutoFill_classes!$B:$B,"")=0,"",_xlfn.XLOOKUP(BY38, AutoFill_classes!$A:$A, AutoFill_classes!$B:$B,""))</f>
        <v>Contextualized Preaching:</v>
      </c>
      <c r="CB38" s="154"/>
      <c r="CC38" s="20" t="s">
        <v>85</v>
      </c>
      <c r="CD38" s="20" t="s">
        <v>57</v>
      </c>
      <c r="CE38" s="20" t="s">
        <v>58</v>
      </c>
      <c r="CF38" s="33" t="s">
        <v>59</v>
      </c>
      <c r="CG38" s="34" t="s">
        <v>60</v>
      </c>
      <c r="CH38" s="145">
        <v>0</v>
      </c>
      <c r="CI38" s="35"/>
      <c r="CJ38" s="60" t="str">
        <f t="shared" si="99"/>
        <v/>
      </c>
      <c r="CK38" s="32"/>
      <c r="CL38" s="32"/>
      <c r="CM38" s="32"/>
      <c r="CN38" s="32"/>
      <c r="CO38" s="58" t="str">
        <f t="shared" si="100"/>
        <v/>
      </c>
      <c r="CP38" s="20"/>
      <c r="CQ38" s="58" t="str">
        <f t="shared" si="101"/>
        <v/>
      </c>
      <c r="CR38" s="32"/>
      <c r="CS38" s="32"/>
      <c r="CT38" s="58" t="str">
        <f t="shared" si="102"/>
        <v/>
      </c>
      <c r="CU38" s="20"/>
      <c r="CV38" s="58" t="str">
        <f t="shared" si="103"/>
        <v/>
      </c>
      <c r="CW38" s="32"/>
      <c r="CX38" s="32"/>
      <c r="CY38" s="58" t="str">
        <f t="shared" si="104"/>
        <v/>
      </c>
      <c r="CZ38" s="58" t="str">
        <f t="shared" si="105"/>
        <v/>
      </c>
      <c r="DA38" s="58" t="str">
        <f t="shared" si="106"/>
        <v/>
      </c>
      <c r="DB38" s="59" t="str">
        <f t="shared" si="107"/>
        <v/>
      </c>
      <c r="DC38" s="20"/>
      <c r="DD38" s="144"/>
      <c r="DE38" s="91">
        <v>37</v>
      </c>
      <c r="DF38" s="39"/>
      <c r="DG38" s="39"/>
      <c r="DH38" s="39"/>
      <c r="DI38" s="39"/>
      <c r="DJ38" s="39"/>
      <c r="DK38" s="39"/>
      <c r="DL38" s="39"/>
      <c r="DM38" s="39"/>
      <c r="DN38" s="39"/>
      <c r="DO38" s="39"/>
      <c r="DP38" s="39"/>
      <c r="DQ38" s="39"/>
      <c r="DR38" s="39"/>
      <c r="DS38" s="39"/>
      <c r="DT38" s="39"/>
      <c r="DU38" s="39"/>
      <c r="DV38" s="39"/>
      <c r="DW38" s="39"/>
      <c r="DX38" s="39"/>
      <c r="DY38" s="39"/>
      <c r="DZ38" s="39"/>
      <c r="EA38" s="39"/>
      <c r="EB38" s="39"/>
      <c r="EC38" s="39"/>
      <c r="ED38" s="39"/>
      <c r="EE38" s="39"/>
      <c r="EF38" s="39"/>
      <c r="EG38" s="39"/>
      <c r="EH38" s="39"/>
      <c r="EI38" s="39"/>
      <c r="EJ38" s="39"/>
      <c r="EK38" s="39"/>
      <c r="EL38" s="39"/>
      <c r="EM38" s="39"/>
      <c r="EN38" s="39"/>
      <c r="EO38" s="39"/>
      <c r="EP38" s="39"/>
      <c r="EQ38" s="39"/>
      <c r="ER38" s="39"/>
      <c r="ES38" s="39"/>
      <c r="ET38" s="39"/>
      <c r="EU38" s="39"/>
      <c r="EV38" s="39"/>
      <c r="EW38" s="39"/>
      <c r="EX38" s="39"/>
      <c r="EY38" s="39"/>
      <c r="EZ38" s="39"/>
      <c r="FA38" s="39"/>
      <c r="FB38" s="39"/>
      <c r="FC38" s="39"/>
      <c r="FD38" s="39"/>
      <c r="FE38" s="39"/>
      <c r="FF38" s="39"/>
      <c r="FG38" s="39"/>
      <c r="FH38" s="39"/>
      <c r="FI38" s="39"/>
      <c r="FJ38" s="39"/>
      <c r="FK38" s="39"/>
      <c r="FL38" s="39"/>
      <c r="FM38" s="39"/>
      <c r="FN38" s="39"/>
      <c r="FO38" s="39"/>
      <c r="FP38" s="39"/>
      <c r="FQ38" s="39"/>
      <c r="FR38" s="39"/>
      <c r="FS38" s="39"/>
      <c r="FT38" s="39"/>
    </row>
    <row r="39" spans="1:176" s="22" customFormat="1" ht="13">
      <c r="A39" s="7" t="s">
        <v>227</v>
      </c>
      <c r="B39" s="23" t="str">
        <f>IF(_xlfn.XLOOKUP(A39, AutoFill_names!B:B, AutoFill_names!C:C,"")=0,"",_xlfn.XLOOKUP(A39, AutoFill_names!B:B, AutoFill_names!C:C,""))</f>
        <v>000069431</v>
      </c>
      <c r="C39" s="23" t="str">
        <f>IF(_xlfn.XLOOKUP(A39, AutoFill_names!B:B, AutoFill_names!D:D,"")=0,"",_xlfn.XLOOKUP(A39, AutoFill_names!B:B, AutoFill_names!D:D,""))</f>
        <v>kenley@andrews.edu</v>
      </c>
      <c r="D39" s="23" t="str">
        <f>IF(_xlfn.XLOOKUP(A39, AutoFill_names!B:B, AutoFill_names!E:E,"")=0,"",_xlfn.XLOOKUP(A39, AutoFill_names!B:B, AutoFill_names!E:E,""))</f>
        <v/>
      </c>
      <c r="E39" s="23" t="str">
        <f>IF(_xlfn.XLOOKUP(A39, AutoFill_names!B:B, AutoFill_names!F:F,"")=0,"",_xlfn.XLOOKUP(A39, AutoFill_names!B:B, AutoFill_names!F:F,""))</f>
        <v/>
      </c>
      <c r="F39" s="4"/>
      <c r="G39" s="4"/>
      <c r="H39" s="4"/>
      <c r="I39" s="4"/>
      <c r="J39" s="23" t="str">
        <f>IF(_xlfn.XLOOKUP(A39, AutoFill_names!B:B, AutoFill_names!K:K,"")=0,"",_xlfn.XLOOKUP(A39, AutoFill_names!B:B, AutoFill_names!K:K,""))</f>
        <v/>
      </c>
      <c r="K39" s="23" t="str">
        <f>IF(_xlfn.XLOOKUP(A39, AutoFill_names!B:B, AutoFill_names!L:L,"")=0,"",_xlfn.XLOOKUP(A39, AutoFill_names!B:B, AutoFill_names!L:L,""))</f>
        <v/>
      </c>
      <c r="L39" s="5"/>
      <c r="M39" s="5"/>
      <c r="N39" s="61" t="str">
        <f>IF(_xlfn.XLOOKUP(L39, AutoFill_classes!A:A, AutoFill_classes!B:B,"")=0,"",_xlfn.XLOOKUP(L39, AutoFill_classes!A:A, AutoFill_classes!B:B,""))</f>
        <v/>
      </c>
      <c r="O39" s="154"/>
      <c r="P39" s="9"/>
      <c r="Q39" s="9"/>
      <c r="R39" s="9"/>
      <c r="S39" s="5"/>
      <c r="T39" s="5"/>
      <c r="U39" s="5"/>
      <c r="V39" s="4"/>
      <c r="W39" s="4"/>
      <c r="X39" s="145"/>
      <c r="Y39" s="29"/>
      <c r="Z39" s="60" t="str">
        <f t="shared" si="81"/>
        <v/>
      </c>
      <c r="AA39" s="32"/>
      <c r="AB39" s="32"/>
      <c r="AC39" s="32"/>
      <c r="AD39" s="32"/>
      <c r="AE39" s="58" t="str">
        <f t="shared" si="82"/>
        <v/>
      </c>
      <c r="AF39" s="20"/>
      <c r="AG39" s="58" t="str">
        <f t="shared" si="83"/>
        <v/>
      </c>
      <c r="AH39" s="32"/>
      <c r="AI39" s="32"/>
      <c r="AJ39" s="58" t="str">
        <f t="shared" si="84"/>
        <v/>
      </c>
      <c r="AK39" s="20"/>
      <c r="AL39" s="58" t="str">
        <f t="shared" si="85"/>
        <v/>
      </c>
      <c r="AM39" s="32"/>
      <c r="AN39" s="32"/>
      <c r="AO39" s="58" t="str">
        <f t="shared" si="86"/>
        <v/>
      </c>
      <c r="AP39" s="58" t="str">
        <f t="shared" si="87"/>
        <v/>
      </c>
      <c r="AQ39" s="58" t="str">
        <f t="shared" si="88"/>
        <v/>
      </c>
      <c r="AR39" s="59" t="str">
        <f t="shared" si="89"/>
        <v/>
      </c>
      <c r="AS39" s="20"/>
      <c r="AT39" s="48"/>
      <c r="AU39" s="48"/>
      <c r="AV39" s="61" t="str">
        <f>IF(_xlfn.XLOOKUP(AT39, AutoFill_classes!$A:$A, AutoFill_classes!$B:$B,"")=0,"",_xlfn.XLOOKUP(AT39, AutoFill_classes!$A:$A, AutoFill_classes!$B:$B,""))</f>
        <v/>
      </c>
      <c r="AW39" s="154"/>
      <c r="AX39" s="14"/>
      <c r="AY39" s="14"/>
      <c r="AZ39" s="14"/>
      <c r="BA39" s="16"/>
      <c r="BB39" s="16"/>
      <c r="BC39" s="145"/>
      <c r="BD39" s="29"/>
      <c r="BE39" s="60" t="str">
        <f t="shared" si="90"/>
        <v/>
      </c>
      <c r="BF39" s="32"/>
      <c r="BG39" s="32"/>
      <c r="BH39" s="32"/>
      <c r="BI39" s="32"/>
      <c r="BJ39" s="58" t="str">
        <f t="shared" si="91"/>
        <v/>
      </c>
      <c r="BK39" s="20"/>
      <c r="BL39" s="58" t="str">
        <f t="shared" si="92"/>
        <v/>
      </c>
      <c r="BM39" s="32"/>
      <c r="BN39" s="32"/>
      <c r="BO39" s="58" t="str">
        <f t="shared" si="93"/>
        <v/>
      </c>
      <c r="BP39" s="20"/>
      <c r="BQ39" s="58" t="str">
        <f t="shared" si="94"/>
        <v/>
      </c>
      <c r="BR39" s="32"/>
      <c r="BS39" s="32"/>
      <c r="BT39" s="58" t="str">
        <f t="shared" si="95"/>
        <v/>
      </c>
      <c r="BU39" s="58" t="str">
        <f t="shared" si="96"/>
        <v/>
      </c>
      <c r="BV39" s="58" t="str">
        <f t="shared" si="97"/>
        <v/>
      </c>
      <c r="BW39" s="59" t="str">
        <f t="shared" si="98"/>
        <v/>
      </c>
      <c r="BX39" s="14"/>
      <c r="BY39" s="21" t="s">
        <v>587</v>
      </c>
      <c r="BZ39" s="20"/>
      <c r="CA39" s="61" t="str">
        <f>IF(_xlfn.XLOOKUP(BY39, AutoFill_classes!$A:$A, AutoFill_classes!$B:$B,"")=0,"",_xlfn.XLOOKUP(BY39, AutoFill_classes!$A:$A, AutoFill_classes!$B:$B,""))</f>
        <v>Biblical Preaching</v>
      </c>
      <c r="CB39" s="154"/>
      <c r="CC39" s="20" t="s">
        <v>56</v>
      </c>
      <c r="CD39" s="20" t="s">
        <v>57</v>
      </c>
      <c r="CE39" s="20" t="s">
        <v>58</v>
      </c>
      <c r="CF39" s="33" t="s">
        <v>59</v>
      </c>
      <c r="CG39" s="34" t="s">
        <v>60</v>
      </c>
      <c r="CH39" s="145">
        <v>2</v>
      </c>
      <c r="CI39" s="35"/>
      <c r="CJ39" s="60" t="str">
        <f t="shared" si="99"/>
        <v/>
      </c>
      <c r="CK39" s="32"/>
      <c r="CL39" s="32"/>
      <c r="CM39" s="32"/>
      <c r="CN39" s="32"/>
      <c r="CO39" s="58" t="str">
        <f t="shared" si="100"/>
        <v/>
      </c>
      <c r="CP39" s="20"/>
      <c r="CQ39" s="58" t="str">
        <f t="shared" si="101"/>
        <v/>
      </c>
      <c r="CR39" s="32"/>
      <c r="CS39" s="32"/>
      <c r="CT39" s="58" t="str">
        <f t="shared" si="102"/>
        <v/>
      </c>
      <c r="CU39" s="20"/>
      <c r="CV39" s="58" t="str">
        <f t="shared" si="103"/>
        <v/>
      </c>
      <c r="CW39" s="32"/>
      <c r="CX39" s="32"/>
      <c r="CY39" s="58" t="str">
        <f t="shared" si="104"/>
        <v/>
      </c>
      <c r="CZ39" s="58" t="str">
        <f t="shared" si="105"/>
        <v/>
      </c>
      <c r="DA39" s="58" t="str">
        <f t="shared" si="106"/>
        <v/>
      </c>
      <c r="DB39" s="59" t="str">
        <f t="shared" si="107"/>
        <v/>
      </c>
      <c r="DC39" s="20"/>
      <c r="DD39" s="144"/>
      <c r="DE39" s="91">
        <v>38</v>
      </c>
      <c r="DF39" s="39"/>
      <c r="DG39" s="39"/>
      <c r="DH39" s="39"/>
      <c r="DI39" s="39"/>
      <c r="DJ39" s="39"/>
      <c r="DK39" s="39"/>
      <c r="DL39" s="39"/>
      <c r="DM39" s="39"/>
      <c r="DN39" s="39"/>
      <c r="DO39" s="39"/>
      <c r="DP39" s="39"/>
      <c r="DQ39" s="39"/>
      <c r="DR39" s="39"/>
      <c r="DS39" s="39"/>
      <c r="DT39" s="39"/>
      <c r="DU39" s="39"/>
      <c r="DV39" s="39"/>
      <c r="DW39" s="39"/>
      <c r="DX39" s="39"/>
      <c r="DY39" s="39"/>
      <c r="DZ39" s="39"/>
      <c r="EA39" s="39"/>
      <c r="EB39" s="39"/>
      <c r="EC39" s="39"/>
      <c r="ED39" s="39"/>
      <c r="EE39" s="39"/>
      <c r="EF39" s="39"/>
      <c r="EG39" s="39"/>
      <c r="EH39" s="39"/>
      <c r="EI39" s="39"/>
      <c r="EJ39" s="39"/>
      <c r="EK39" s="39"/>
      <c r="EL39" s="39"/>
      <c r="EM39" s="39"/>
      <c r="EN39" s="39"/>
      <c r="EO39" s="39"/>
      <c r="EP39" s="39"/>
      <c r="EQ39" s="39"/>
      <c r="ER39" s="39"/>
      <c r="ES39" s="39"/>
      <c r="ET39" s="39"/>
      <c r="EU39" s="39"/>
      <c r="EV39" s="39"/>
      <c r="EW39" s="39"/>
      <c r="EX39" s="39"/>
      <c r="EY39" s="39"/>
      <c r="EZ39" s="39"/>
      <c r="FA39" s="39"/>
      <c r="FB39" s="39"/>
      <c r="FC39" s="39"/>
      <c r="FD39" s="39"/>
      <c r="FE39" s="39"/>
      <c r="FF39" s="39"/>
      <c r="FG39" s="39"/>
      <c r="FH39" s="39"/>
      <c r="FI39" s="39"/>
      <c r="FJ39" s="39"/>
      <c r="FK39" s="39"/>
      <c r="FL39" s="39"/>
      <c r="FM39" s="39"/>
      <c r="FN39" s="39"/>
      <c r="FO39" s="39"/>
      <c r="FP39" s="39"/>
      <c r="FQ39" s="39"/>
      <c r="FR39" s="39"/>
      <c r="FS39" s="39"/>
      <c r="FT39" s="39"/>
    </row>
    <row r="40" spans="1:176" s="22" customFormat="1" ht="13">
      <c r="A40" s="7" t="s">
        <v>227</v>
      </c>
      <c r="B40" s="23" t="str">
        <f>IF(_xlfn.XLOOKUP(A40, AutoFill_names!B:B, AutoFill_names!C:C,"")=0,"",_xlfn.XLOOKUP(A40, AutoFill_names!B:B, AutoFill_names!C:C,""))</f>
        <v>000069431</v>
      </c>
      <c r="C40" s="23" t="str">
        <f>IF(_xlfn.XLOOKUP(A40, AutoFill_names!B:B, AutoFill_names!D:D,"")=0,"",_xlfn.XLOOKUP(A40, AutoFill_names!B:B, AutoFill_names!D:D,""))</f>
        <v>kenley@andrews.edu</v>
      </c>
      <c r="D40" s="23" t="str">
        <f>IF(_xlfn.XLOOKUP(A40, AutoFill_names!B:B, AutoFill_names!E:E,"")=0,"",_xlfn.XLOOKUP(A40, AutoFill_names!B:B, AutoFill_names!E:E,""))</f>
        <v/>
      </c>
      <c r="E40" s="23" t="str">
        <f>IF(_xlfn.XLOOKUP(A40, AutoFill_names!B:B, AutoFill_names!F:F,"")=0,"",_xlfn.XLOOKUP(A40, AutoFill_names!B:B, AutoFill_names!F:F,""))</f>
        <v/>
      </c>
      <c r="F40" s="4"/>
      <c r="G40" s="4"/>
      <c r="H40" s="4"/>
      <c r="I40" s="4"/>
      <c r="J40" s="23" t="str">
        <f>IF(_xlfn.XLOOKUP(A40, AutoFill_names!B:B, AutoFill_names!K:K,"")=0,"",_xlfn.XLOOKUP(A40, AutoFill_names!B:B, AutoFill_names!K:K,""))</f>
        <v/>
      </c>
      <c r="K40" s="23" t="str">
        <f>IF(_xlfn.XLOOKUP(A40, AutoFill_names!B:B, AutoFill_names!L:L,"")=0,"",_xlfn.XLOOKUP(A40, AutoFill_names!B:B, AutoFill_names!L:L,""))</f>
        <v/>
      </c>
      <c r="L40" s="4"/>
      <c r="M40" s="4"/>
      <c r="N40" s="61" t="str">
        <f>IF(_xlfn.XLOOKUP(L40, AutoFill_classes!A:A, AutoFill_classes!B:B,"")=0,"",_xlfn.XLOOKUP(L40, AutoFill_classes!A:A, AutoFill_classes!B:B,""))</f>
        <v/>
      </c>
      <c r="O40" s="154"/>
      <c r="P40" s="9"/>
      <c r="Q40" s="9"/>
      <c r="R40" s="9"/>
      <c r="S40" s="4"/>
      <c r="T40" s="4"/>
      <c r="U40" s="4"/>
      <c r="V40" s="4"/>
      <c r="W40" s="4"/>
      <c r="X40" s="144"/>
      <c r="Y40" s="27"/>
      <c r="Z40" s="60" t="str">
        <f t="shared" si="81"/>
        <v/>
      </c>
      <c r="AA40" s="32"/>
      <c r="AB40" s="32"/>
      <c r="AC40" s="32"/>
      <c r="AD40" s="32"/>
      <c r="AE40" s="58" t="str">
        <f t="shared" si="82"/>
        <v/>
      </c>
      <c r="AF40" s="20"/>
      <c r="AG40" s="58" t="str">
        <f t="shared" si="83"/>
        <v/>
      </c>
      <c r="AH40" s="32"/>
      <c r="AI40" s="32"/>
      <c r="AJ40" s="58" t="str">
        <f t="shared" si="84"/>
        <v/>
      </c>
      <c r="AK40" s="20"/>
      <c r="AL40" s="58" t="str">
        <f t="shared" si="85"/>
        <v/>
      </c>
      <c r="AM40" s="32"/>
      <c r="AN40" s="32"/>
      <c r="AO40" s="58" t="str">
        <f t="shared" si="86"/>
        <v/>
      </c>
      <c r="AP40" s="58" t="str">
        <f t="shared" si="87"/>
        <v/>
      </c>
      <c r="AQ40" s="58" t="str">
        <f t="shared" si="88"/>
        <v/>
      </c>
      <c r="AR40" s="59" t="str">
        <f t="shared" si="89"/>
        <v/>
      </c>
      <c r="AS40" s="20"/>
      <c r="AT40" s="14"/>
      <c r="AU40" s="14"/>
      <c r="AV40" s="61" t="str">
        <f>IF(_xlfn.XLOOKUP(AT40, AutoFill_classes!$A:$A, AutoFill_classes!$B:$B,"")=0,"",_xlfn.XLOOKUP(AT40, AutoFill_classes!$A:$A, AutoFill_classes!$B:$B,""))</f>
        <v/>
      </c>
      <c r="AW40" s="154"/>
      <c r="AX40" s="14"/>
      <c r="AY40" s="14"/>
      <c r="AZ40" s="14"/>
      <c r="BA40" s="16"/>
      <c r="BB40" s="16"/>
      <c r="BC40" s="144"/>
      <c r="BD40" s="27"/>
      <c r="BE40" s="60" t="str">
        <f t="shared" si="90"/>
        <v/>
      </c>
      <c r="BF40" s="32"/>
      <c r="BG40" s="32"/>
      <c r="BH40" s="32"/>
      <c r="BI40" s="32"/>
      <c r="BJ40" s="58" t="str">
        <f t="shared" si="91"/>
        <v/>
      </c>
      <c r="BK40" s="20"/>
      <c r="BL40" s="58" t="str">
        <f t="shared" si="92"/>
        <v/>
      </c>
      <c r="BM40" s="32"/>
      <c r="BN40" s="32"/>
      <c r="BO40" s="58" t="str">
        <f t="shared" si="93"/>
        <v/>
      </c>
      <c r="BP40" s="20"/>
      <c r="BQ40" s="58" t="str">
        <f t="shared" si="94"/>
        <v/>
      </c>
      <c r="BR40" s="32"/>
      <c r="BS40" s="32"/>
      <c r="BT40" s="58" t="str">
        <f t="shared" si="95"/>
        <v/>
      </c>
      <c r="BU40" s="58" t="str">
        <f t="shared" si="96"/>
        <v/>
      </c>
      <c r="BV40" s="58" t="str">
        <f t="shared" si="97"/>
        <v/>
      </c>
      <c r="BW40" s="59" t="str">
        <f t="shared" si="98"/>
        <v/>
      </c>
      <c r="BX40" s="16"/>
      <c r="BY40" s="21" t="s">
        <v>587</v>
      </c>
      <c r="BZ40" s="20" t="s">
        <v>281</v>
      </c>
      <c r="CA40" s="61" t="str">
        <f>IF(_xlfn.XLOOKUP(BY40, AutoFill_classes!$A:$A, AutoFill_classes!$B:$B,"")=0,"",_xlfn.XLOOKUP(BY40, AutoFill_classes!$A:$A, AutoFill_classes!$B:$B,""))</f>
        <v>Biblical Preaching</v>
      </c>
      <c r="CB40" s="154"/>
      <c r="CC40" s="20" t="s">
        <v>76</v>
      </c>
      <c r="CD40" s="20" t="s">
        <v>57</v>
      </c>
      <c r="CE40" s="20" t="s">
        <v>58</v>
      </c>
      <c r="CF40" s="33" t="s">
        <v>59</v>
      </c>
      <c r="CG40" s="34" t="s">
        <v>60</v>
      </c>
      <c r="CH40" s="144">
        <v>0</v>
      </c>
      <c r="CI40" s="35"/>
      <c r="CJ40" s="60" t="str">
        <f t="shared" si="99"/>
        <v/>
      </c>
      <c r="CK40" s="32"/>
      <c r="CL40" s="32"/>
      <c r="CM40" s="32"/>
      <c r="CN40" s="32"/>
      <c r="CO40" s="58" t="str">
        <f t="shared" si="100"/>
        <v/>
      </c>
      <c r="CP40" s="20"/>
      <c r="CQ40" s="58" t="str">
        <f t="shared" si="101"/>
        <v/>
      </c>
      <c r="CR40" s="32"/>
      <c r="CS40" s="32"/>
      <c r="CT40" s="58" t="str">
        <f t="shared" si="102"/>
        <v/>
      </c>
      <c r="CU40" s="20"/>
      <c r="CV40" s="58" t="str">
        <f t="shared" si="103"/>
        <v/>
      </c>
      <c r="CW40" s="32"/>
      <c r="CX40" s="32"/>
      <c r="CY40" s="58" t="str">
        <f t="shared" si="104"/>
        <v/>
      </c>
      <c r="CZ40" s="58" t="str">
        <f t="shared" si="105"/>
        <v/>
      </c>
      <c r="DA40" s="58" t="str">
        <f t="shared" si="106"/>
        <v/>
      </c>
      <c r="DB40" s="59" t="str">
        <f t="shared" si="107"/>
        <v/>
      </c>
      <c r="DC40" s="20"/>
      <c r="DD40" s="145"/>
      <c r="DE40" s="91">
        <v>39</v>
      </c>
      <c r="DF40" s="39"/>
      <c r="DG40" s="39"/>
      <c r="DH40" s="39"/>
      <c r="DI40" s="39"/>
      <c r="DJ40" s="39"/>
      <c r="DK40" s="39"/>
      <c r="DL40" s="39"/>
      <c r="DM40" s="39"/>
      <c r="DN40" s="39"/>
      <c r="DO40" s="39"/>
      <c r="DP40" s="39"/>
      <c r="DQ40" s="39"/>
      <c r="DR40" s="39"/>
      <c r="DS40" s="39"/>
      <c r="DT40" s="39"/>
      <c r="DU40" s="39"/>
      <c r="DV40" s="39"/>
      <c r="DW40" s="39"/>
      <c r="DX40" s="39"/>
      <c r="DY40" s="39"/>
      <c r="DZ40" s="39"/>
      <c r="EA40" s="39"/>
      <c r="EB40" s="39"/>
      <c r="EC40" s="39"/>
      <c r="ED40" s="39"/>
      <c r="EE40" s="39"/>
      <c r="EF40" s="39"/>
      <c r="EG40" s="39"/>
      <c r="EH40" s="39"/>
      <c r="EI40" s="39"/>
      <c r="EJ40" s="39"/>
      <c r="EK40" s="39"/>
      <c r="EL40" s="39"/>
      <c r="EM40" s="39"/>
      <c r="EN40" s="39"/>
      <c r="EO40" s="39"/>
      <c r="EP40" s="39"/>
      <c r="EQ40" s="39"/>
      <c r="ER40" s="39"/>
      <c r="ES40" s="39"/>
      <c r="ET40" s="39"/>
      <c r="EU40" s="39"/>
      <c r="EV40" s="39"/>
      <c r="EW40" s="39"/>
      <c r="EX40" s="39"/>
      <c r="EY40" s="39"/>
      <c r="EZ40" s="39"/>
      <c r="FA40" s="39"/>
      <c r="FB40" s="39"/>
      <c r="FC40" s="39"/>
      <c r="FD40" s="39"/>
      <c r="FE40" s="39"/>
      <c r="FF40" s="39"/>
      <c r="FG40" s="39"/>
      <c r="FH40" s="39"/>
      <c r="FI40" s="39"/>
      <c r="FJ40" s="39"/>
      <c r="FK40" s="39"/>
      <c r="FL40" s="39"/>
      <c r="FM40" s="39"/>
      <c r="FN40" s="39"/>
      <c r="FO40" s="39"/>
      <c r="FP40" s="39"/>
      <c r="FQ40" s="39"/>
      <c r="FR40" s="39"/>
      <c r="FS40" s="39"/>
      <c r="FT40" s="39"/>
    </row>
    <row r="41" spans="1:176" s="113" customFormat="1" ht="34">
      <c r="A41" s="153" t="s">
        <v>1289</v>
      </c>
      <c r="B41" s="93" t="str">
        <f>"Total Credits: " &amp; IFERROR(IF(DD41=0,"",DD41),"")</f>
        <v>Total Credits: 4</v>
      </c>
      <c r="C41" s="114"/>
      <c r="D41" s="114"/>
      <c r="E41" s="114"/>
      <c r="F41" s="114"/>
      <c r="G41" s="114"/>
      <c r="H41" s="114"/>
      <c r="I41" s="114"/>
      <c r="J41" s="114"/>
      <c r="K41" s="114"/>
      <c r="L41" s="114"/>
      <c r="M41" s="114"/>
      <c r="P41" s="96"/>
      <c r="Q41" s="96"/>
      <c r="R41" s="96"/>
      <c r="S41" s="114"/>
      <c r="T41" s="114"/>
      <c r="U41" s="114"/>
      <c r="V41" s="97"/>
      <c r="W41" s="97"/>
      <c r="X41" s="143" t="str">
        <f>IF(SUM(X42:X50)=0, "", SUM(X42:X50))</f>
        <v/>
      </c>
      <c r="Y41" s="121"/>
      <c r="Z41" s="122"/>
      <c r="AA41" s="100"/>
      <c r="AB41" s="100"/>
      <c r="AC41" s="100"/>
      <c r="AD41" s="100"/>
      <c r="AE41" s="101"/>
      <c r="AF41" s="102"/>
      <c r="AG41" s="101"/>
      <c r="AH41" s="100"/>
      <c r="AI41" s="100"/>
      <c r="AJ41" s="101"/>
      <c r="AK41" s="102"/>
      <c r="AL41" s="101"/>
      <c r="AM41" s="100"/>
      <c r="AN41" s="100"/>
      <c r="AO41" s="103"/>
      <c r="AP41" s="103"/>
      <c r="AQ41" s="103"/>
      <c r="AR41" s="103"/>
      <c r="AS41" s="104"/>
      <c r="AT41" s="125"/>
      <c r="AU41" s="125"/>
      <c r="AX41" s="125"/>
      <c r="AY41" s="125"/>
      <c r="AZ41" s="125"/>
      <c r="BA41" s="112"/>
      <c r="BB41" s="112"/>
      <c r="BC41" s="143">
        <f>IF(SUM(BC42:BC50)=0, "", SUM(BC42:BC50))</f>
        <v>2</v>
      </c>
      <c r="BD41" s="121"/>
      <c r="BE41" s="122"/>
      <c r="BF41" s="123"/>
      <c r="BG41" s="123"/>
      <c r="BH41" s="123"/>
      <c r="BI41" s="123"/>
      <c r="BJ41" s="124"/>
      <c r="BK41" s="125"/>
      <c r="BL41" s="124"/>
      <c r="BM41" s="123"/>
      <c r="BN41" s="123"/>
      <c r="BO41" s="124"/>
      <c r="BP41" s="125"/>
      <c r="BQ41" s="124"/>
      <c r="BR41" s="123"/>
      <c r="BS41" s="123"/>
      <c r="BT41" s="124"/>
      <c r="BU41" s="124"/>
      <c r="BV41" s="124"/>
      <c r="BW41" s="103"/>
      <c r="BX41" s="125"/>
      <c r="BY41" s="119"/>
      <c r="BZ41" s="119"/>
      <c r="CC41" s="119"/>
      <c r="CD41" s="119"/>
      <c r="CE41" s="119"/>
      <c r="CF41" s="97"/>
      <c r="CG41" s="98"/>
      <c r="CH41" s="143">
        <f>IF(SUM(CH42:CH50)=0, "", SUM(CH42:CH50))</f>
        <v>2</v>
      </c>
      <c r="CI41" s="121"/>
      <c r="CJ41" s="122"/>
      <c r="CK41" s="123"/>
      <c r="CL41" s="123"/>
      <c r="CM41" s="123"/>
      <c r="CN41" s="123"/>
      <c r="CP41" s="125"/>
      <c r="CR41" s="123"/>
      <c r="CS41" s="123"/>
      <c r="CU41" s="125"/>
      <c r="CW41" s="123"/>
      <c r="CX41" s="123"/>
      <c r="DB41" s="103"/>
      <c r="DC41" s="125"/>
      <c r="DD41" s="143">
        <f>IF(SUM(L41:DC41)=0, "", SUM(L41:DC41))</f>
        <v>4</v>
      </c>
      <c r="DE41" s="91">
        <v>40</v>
      </c>
      <c r="DF41" s="26"/>
      <c r="DG41" s="26"/>
      <c r="DH41" s="26"/>
      <c r="DI41" s="26"/>
      <c r="DJ41" s="26"/>
      <c r="DK41" s="26"/>
      <c r="DL41" s="26"/>
      <c r="DM41" s="26"/>
      <c r="DN41" s="26"/>
      <c r="DO41" s="26"/>
      <c r="DP41" s="26"/>
      <c r="DQ41" s="26"/>
      <c r="DR41" s="26"/>
      <c r="DS41" s="26"/>
      <c r="DT41" s="26"/>
      <c r="DU41" s="26"/>
      <c r="DV41" s="26"/>
      <c r="DW41" s="26"/>
      <c r="DX41" s="26"/>
      <c r="DY41" s="26"/>
      <c r="DZ41" s="26"/>
      <c r="EA41" s="26"/>
      <c r="EB41" s="26"/>
      <c r="EC41" s="26"/>
      <c r="ED41" s="26"/>
      <c r="EE41" s="26"/>
      <c r="EF41" s="26"/>
      <c r="EG41" s="26"/>
      <c r="EH41" s="26"/>
      <c r="EI41" s="26"/>
      <c r="EJ41" s="26"/>
      <c r="EK41" s="26"/>
      <c r="EL41" s="26"/>
      <c r="EM41" s="26"/>
      <c r="EN41" s="26"/>
      <c r="EO41" s="26"/>
      <c r="EP41" s="26"/>
      <c r="EQ41" s="26"/>
      <c r="ER41" s="26"/>
      <c r="ES41" s="26"/>
      <c r="ET41" s="26"/>
      <c r="EU41" s="26"/>
      <c r="EV41" s="26"/>
      <c r="EW41" s="26"/>
      <c r="EX41" s="26"/>
      <c r="EY41" s="26"/>
      <c r="EZ41" s="26"/>
      <c r="FA41" s="26"/>
      <c r="FB41" s="26"/>
      <c r="FC41" s="26"/>
      <c r="FD41" s="26"/>
      <c r="FE41" s="26"/>
      <c r="FF41" s="26"/>
      <c r="FG41" s="26"/>
      <c r="FH41" s="26"/>
      <c r="FI41" s="26"/>
      <c r="FJ41" s="26"/>
      <c r="FK41" s="26"/>
      <c r="FL41" s="26"/>
      <c r="FM41" s="26"/>
      <c r="FN41" s="26"/>
      <c r="FO41" s="26"/>
      <c r="FP41" s="26"/>
      <c r="FQ41" s="26"/>
      <c r="FR41" s="26"/>
      <c r="FS41" s="26"/>
      <c r="FT41" s="26"/>
    </row>
    <row r="42" spans="1:176" s="22" customFormat="1" ht="13">
      <c r="A42" s="7" t="s">
        <v>169</v>
      </c>
      <c r="B42" s="23" t="str">
        <f>IF(_xlfn.XLOOKUP(A42, AutoFill_names!B:B, AutoFill_names!C:C,"")=0,"",_xlfn.XLOOKUP(A42, AutoFill_names!B:B, AutoFill_names!C:C,""))</f>
        <v>000039170</v>
      </c>
      <c r="C42" s="23" t="str">
        <f>IF(_xlfn.XLOOKUP(A42, AutoFill_names!B:B, AutoFill_names!D:D,"")=0,"",_xlfn.XLOOKUP(A42, AutoFill_names!B:B, AutoFill_names!D:D,""))</f>
        <v>kiddersj@andrews.edu</v>
      </c>
      <c r="D42" s="23" t="str">
        <f>IF(_xlfn.XLOOKUP(A42, AutoFill_names!B:B, AutoFill_names!E:E,"")=0,"",_xlfn.XLOOKUP(A42, AutoFill_names!B:B, AutoFill_names!E:E,""))</f>
        <v/>
      </c>
      <c r="E42" s="23" t="str">
        <f>IF(_xlfn.XLOOKUP(A42, AutoFill_names!B:B, AutoFill_names!F:F,"")=0,"",_xlfn.XLOOKUP(A42, AutoFill_names!B:B, AutoFill_names!F:F,""))</f>
        <v/>
      </c>
      <c r="F42" s="4"/>
      <c r="G42" s="4"/>
      <c r="H42" s="4"/>
      <c r="I42" s="4"/>
      <c r="J42" s="23" t="str">
        <f>IF(_xlfn.XLOOKUP(A42, AutoFill_names!B:B, AutoFill_names!K:K,"")=0,"",_xlfn.XLOOKUP(A42, AutoFill_names!B:B, AutoFill_names!K:K,""))</f>
        <v/>
      </c>
      <c r="K42" s="23" t="str">
        <f>IF(_xlfn.XLOOKUP(A42, AutoFill_names!B:B, AutoFill_names!L:L,"")=0,"",_xlfn.XLOOKUP(A42, AutoFill_names!B:B, AutoFill_names!L:L,""))</f>
        <v/>
      </c>
      <c r="L42" s="45" t="s">
        <v>316</v>
      </c>
      <c r="M42" s="45"/>
      <c r="N42" s="61" t="str">
        <f>IF(_xlfn.XLOOKUP(L42, AutoFill_classes!A:A, AutoFill_classes!B:B,"")=0,"",_xlfn.XLOOKUP(L42, AutoFill_classes!A:A, AutoFill_classes!B:B,""))</f>
        <v>Fndtns of Biblicl Spirituality</v>
      </c>
      <c r="O42" s="154"/>
      <c r="P42" s="9"/>
      <c r="Q42" s="9"/>
      <c r="R42" s="9"/>
      <c r="S42" s="5" t="s">
        <v>56</v>
      </c>
      <c r="T42" s="5" t="s">
        <v>93</v>
      </c>
      <c r="U42" s="5" t="s">
        <v>122</v>
      </c>
      <c r="V42" s="4" t="s">
        <v>59</v>
      </c>
      <c r="W42" s="4" t="s">
        <v>60</v>
      </c>
      <c r="X42" s="144"/>
      <c r="Y42" s="27"/>
      <c r="Z42" s="60" t="str">
        <f t="shared" ref="Z42:Z50" si="108">IF(X42*Y42=0,"",X42*Y42)</f>
        <v/>
      </c>
      <c r="AA42" s="28"/>
      <c r="AB42" s="28"/>
      <c r="AC42" s="28"/>
      <c r="AD42" s="28"/>
      <c r="AE42" s="58" t="str">
        <f t="shared" ref="AE42:AE50" si="109">IF(ROUNDUP((AD42-AC42)/7,0)=0,"",ROUNDUP((AD42-AC42)/7,0))</f>
        <v/>
      </c>
      <c r="AF42" s="19"/>
      <c r="AG42" s="58" t="str">
        <f t="shared" ref="AG42:AG50" si="110">IFERROR(IF(AE42*AF42=0,"",AE42*AF42), "")</f>
        <v/>
      </c>
      <c r="AH42" s="28"/>
      <c r="AI42" s="28"/>
      <c r="AJ42" s="58" t="str">
        <f t="shared" ref="AJ42:AJ50" si="111">IF(ROUNDUP((AI42-AH42)/7,0)=0,"",ROUNDUP((AI42-AH42)/7,0))</f>
        <v/>
      </c>
      <c r="AK42" s="19"/>
      <c r="AL42" s="58" t="str">
        <f t="shared" ref="AL42:AL50" si="112">IFERROR(IF(AJ42*AK42=0,"",AJ42*AK42), "")</f>
        <v/>
      </c>
      <c r="AM42" s="28"/>
      <c r="AN42" s="28"/>
      <c r="AO42" s="58" t="str">
        <f t="shared" ref="AO42:AO50" si="113">IF(ROUNDUP((AN42-AM42)/7,0)=0,"",ROUNDUP((AN42-AM42)/7,0))</f>
        <v/>
      </c>
      <c r="AP42" s="58" t="str">
        <f t="shared" ref="AP42:AP50" si="114">IFERROR(IF((AS42-(AF42+AK42))/AO42=0,"",ROUNDUP((AS42-(AF42+AK42))/AO42,0)), "")</f>
        <v/>
      </c>
      <c r="AQ42" s="58" t="str">
        <f t="shared" ref="AQ42:AQ50" si="115">IFERROR(IF((AS42-(AG42+AL42))=0, "", (AS42-(AG42+AL42))), "")</f>
        <v/>
      </c>
      <c r="AR42" s="59" t="str">
        <f t="shared" ref="AR42:AR50" si="116">IFERROR(IF((AE42+AJ42+AO42)=0, "", (AE42+AJ42+AO42)), "")</f>
        <v/>
      </c>
      <c r="AS42" s="19"/>
      <c r="AT42" s="47" t="s">
        <v>601</v>
      </c>
      <c r="AU42" s="47"/>
      <c r="AV42" s="61" t="str">
        <f>IF(_xlfn.XLOOKUP(AT42, AutoFill_classes!$A:$A, AutoFill_classes!$B:$B,"")=0,"",_xlfn.XLOOKUP(AT42, AutoFill_classes!$A:$A, AutoFill_classes!$B:$B,""))</f>
        <v>Foundatns of Pastoral Ministry</v>
      </c>
      <c r="AW42" s="154"/>
      <c r="AX42" s="16" t="s">
        <v>56</v>
      </c>
      <c r="AY42" s="16" t="s">
        <v>57</v>
      </c>
      <c r="AZ42" s="16" t="s">
        <v>58</v>
      </c>
      <c r="BA42" s="16" t="s">
        <v>59</v>
      </c>
      <c r="BB42" s="16" t="s">
        <v>60</v>
      </c>
      <c r="BC42" s="144">
        <v>2</v>
      </c>
      <c r="BD42" s="27"/>
      <c r="BE42" s="60" t="str">
        <f t="shared" ref="BE42:BE50" si="117">IF(BC42*BD42=0,"",BC42*BD42)</f>
        <v/>
      </c>
      <c r="BF42" s="28"/>
      <c r="BG42" s="28"/>
      <c r="BH42" s="28"/>
      <c r="BI42" s="28"/>
      <c r="BJ42" s="58" t="str">
        <f t="shared" ref="BJ42:BJ50" si="118">IF(ROUNDUP((BI42-BH42)/7,0)=0,"",ROUNDUP((BI42-BH42)/7,0))</f>
        <v/>
      </c>
      <c r="BK42" s="19"/>
      <c r="BL42" s="58" t="str">
        <f t="shared" ref="BL42:BL50" si="119">IFERROR(IF(BJ42*BK42=0,"",BJ42*BK42), "")</f>
        <v/>
      </c>
      <c r="BM42" s="28"/>
      <c r="BN42" s="28"/>
      <c r="BO42" s="58" t="str">
        <f t="shared" ref="BO42:BO50" si="120">IF(ROUNDUP((BN42-BM42)/7,0)=0,"",ROUNDUP((BN42-BM42)/7,0))</f>
        <v/>
      </c>
      <c r="BP42" s="19"/>
      <c r="BQ42" s="58" t="str">
        <f t="shared" ref="BQ42:BQ50" si="121">IFERROR(IF(BO42*BP42=0,"",BO42*BP42), "")</f>
        <v/>
      </c>
      <c r="BR42" s="28"/>
      <c r="BS42" s="28"/>
      <c r="BT42" s="58" t="str">
        <f t="shared" ref="BT42:BT50" si="122">IF(ROUNDUP((BS42-BR42)/7,0)=0,"",ROUNDUP((BS42-BR42)/7,0))</f>
        <v/>
      </c>
      <c r="BU42" s="58" t="str">
        <f t="shared" ref="BU42:BU50" si="123">IFERROR(IF((BX42-(BK42+BP42))/BT42=0,"",ROUNDUP((BX42-(BK42+BP42))/BT42,0)), "")</f>
        <v/>
      </c>
      <c r="BV42" s="58" t="str">
        <f t="shared" ref="BV42:BV50" si="124">IFERROR(IF((BX42-(BL42+BQ42))=0, "", (BX42-(BL42+BQ42))), "")</f>
        <v/>
      </c>
      <c r="BW42" s="59" t="str">
        <f t="shared" ref="BW42:BW50" si="125">IFERROR(IF((BJ42+BO42+BT42)=0, "", (BJ42+BO42+BT42)), "")</f>
        <v/>
      </c>
      <c r="BX42" s="16"/>
      <c r="BY42" s="12" t="s">
        <v>601</v>
      </c>
      <c r="BZ42" s="51"/>
      <c r="CA42" s="61" t="str">
        <f>IF(_xlfn.XLOOKUP(BY42, AutoFill_classes!$A:$A, AutoFill_classes!$B:$B,"")=0,"",_xlfn.XLOOKUP(BY42, AutoFill_classes!$A:$A, AutoFill_classes!$B:$B,""))</f>
        <v>Foundatns of Pastoral Ministry</v>
      </c>
      <c r="CB42" s="154"/>
      <c r="CC42" s="19" t="s">
        <v>56</v>
      </c>
      <c r="CD42" s="19" t="s">
        <v>57</v>
      </c>
      <c r="CE42" s="19" t="s">
        <v>58</v>
      </c>
      <c r="CF42" s="30" t="s">
        <v>59</v>
      </c>
      <c r="CG42" s="31" t="s">
        <v>60</v>
      </c>
      <c r="CH42" s="144">
        <v>2</v>
      </c>
      <c r="CI42" s="31"/>
      <c r="CJ42" s="60" t="str">
        <f t="shared" ref="CJ42:CJ50" si="126">IF(CH42*CI42=0,"",CH42*CI42)</f>
        <v/>
      </c>
      <c r="CK42" s="28"/>
      <c r="CL42" s="28"/>
      <c r="CM42" s="28"/>
      <c r="CN42" s="28"/>
      <c r="CO42" s="58" t="str">
        <f t="shared" ref="CO42:CO50" si="127">IF(ROUNDUP((CN42-CM42)/7,0)=0,"",ROUNDUP((CN42-CM42)/7,0))</f>
        <v/>
      </c>
      <c r="CP42" s="19"/>
      <c r="CQ42" s="58" t="str">
        <f t="shared" ref="CQ42:CQ50" si="128">IFERROR(IF(CO42*CP42=0,"",CO42*CP42), "")</f>
        <v/>
      </c>
      <c r="CR42" s="28"/>
      <c r="CS42" s="28"/>
      <c r="CT42" s="58" t="str">
        <f t="shared" ref="CT42:CT50" si="129">IF(ROUNDUP((CS42-CR42)/7,0)=0,"",ROUNDUP((CS42-CR42)/7,0))</f>
        <v/>
      </c>
      <c r="CU42" s="19"/>
      <c r="CV42" s="58" t="str">
        <f t="shared" ref="CV42:CV50" si="130">IFERROR(IF(CT42*CU42=0,"",CT42*CU42), "")</f>
        <v/>
      </c>
      <c r="CW42" s="28"/>
      <c r="CX42" s="28"/>
      <c r="CY42" s="58" t="str">
        <f t="shared" ref="CY42:CY50" si="131">IF(ROUNDUP((CX42-CW42)/7,0)=0,"",ROUNDUP((CX42-CW42)/7,0))</f>
        <v/>
      </c>
      <c r="CZ42" s="58" t="str">
        <f t="shared" ref="CZ42:CZ50" si="132">IFERROR(IF((DC42-(CP42+CU42))/CY42=0,"",ROUNDUP((DC42-(CP42+CU42))/CY42,0)), "")</f>
        <v/>
      </c>
      <c r="DA42" s="58" t="str">
        <f t="shared" ref="DA42:DA50" si="133">IFERROR(IF((DC42-(CQ42+CV42))=0, "", (DC42-(CQ42+CV42))), "")</f>
        <v/>
      </c>
      <c r="DB42" s="59" t="str">
        <f t="shared" ref="DB42:DB50" si="134">IFERROR(IF((CO42+CT42+CY42)=0, "", (CO42+CT42+CY42)), "")</f>
        <v/>
      </c>
      <c r="DC42" s="19"/>
      <c r="DD42" s="145"/>
      <c r="DE42" s="91">
        <v>41</v>
      </c>
      <c r="DF42" s="39"/>
      <c r="DG42" s="39"/>
      <c r="DH42" s="39"/>
      <c r="DI42" s="39"/>
      <c r="DJ42" s="39"/>
      <c r="DK42" s="39"/>
      <c r="DL42" s="39"/>
      <c r="DM42" s="39"/>
      <c r="DN42" s="39"/>
      <c r="DO42" s="39"/>
      <c r="DP42" s="39"/>
      <c r="DQ42" s="39"/>
      <c r="DR42" s="39"/>
      <c r="DS42" s="39"/>
      <c r="DT42" s="39"/>
      <c r="DU42" s="39"/>
      <c r="DV42" s="39"/>
      <c r="DW42" s="39"/>
      <c r="DX42" s="39"/>
      <c r="DY42" s="39"/>
      <c r="DZ42" s="39"/>
      <c r="EA42" s="39"/>
      <c r="EB42" s="39"/>
      <c r="EC42" s="39"/>
      <c r="ED42" s="39"/>
      <c r="EE42" s="39"/>
      <c r="EF42" s="39"/>
      <c r="EG42" s="39"/>
      <c r="EH42" s="39"/>
      <c r="EI42" s="39"/>
      <c r="EJ42" s="39"/>
      <c r="EK42" s="39"/>
      <c r="EL42" s="39"/>
      <c r="EM42" s="39"/>
      <c r="EN42" s="39"/>
      <c r="EO42" s="39"/>
      <c r="EP42" s="39"/>
      <c r="EQ42" s="39"/>
      <c r="ER42" s="39"/>
      <c r="ES42" s="39"/>
      <c r="ET42" s="39"/>
      <c r="EU42" s="39"/>
      <c r="EV42" s="39"/>
      <c r="EW42" s="39"/>
      <c r="EX42" s="39"/>
      <c r="EY42" s="39"/>
      <c r="EZ42" s="39"/>
      <c r="FA42" s="39"/>
      <c r="FB42" s="39"/>
      <c r="FC42" s="39"/>
      <c r="FD42" s="39"/>
      <c r="FE42" s="39"/>
      <c r="FF42" s="39"/>
      <c r="FG42" s="39"/>
      <c r="FH42" s="39"/>
      <c r="FI42" s="39"/>
      <c r="FJ42" s="39"/>
      <c r="FK42" s="39"/>
      <c r="FL42" s="39"/>
      <c r="FM42" s="39"/>
      <c r="FN42" s="39"/>
      <c r="FO42" s="39"/>
      <c r="FP42" s="39"/>
      <c r="FQ42" s="39"/>
      <c r="FR42" s="39"/>
      <c r="FS42" s="39"/>
      <c r="FT42" s="39"/>
    </row>
    <row r="43" spans="1:176" s="22" customFormat="1" ht="13">
      <c r="A43" s="7" t="s">
        <v>169</v>
      </c>
      <c r="B43" s="23" t="str">
        <f>IF(_xlfn.XLOOKUP(A43, AutoFill_names!B:B, AutoFill_names!C:C,"")=0,"",_xlfn.XLOOKUP(A43, AutoFill_names!B:B, AutoFill_names!C:C,""))</f>
        <v>000039170</v>
      </c>
      <c r="C43" s="23" t="str">
        <f>IF(_xlfn.XLOOKUP(A43, AutoFill_names!B:B, AutoFill_names!D:D,"")=0,"",_xlfn.XLOOKUP(A43, AutoFill_names!B:B, AutoFill_names!D:D,""))</f>
        <v>kiddersj@andrews.edu</v>
      </c>
      <c r="D43" s="23" t="str">
        <f>IF(_xlfn.XLOOKUP(A43, AutoFill_names!B:B, AutoFill_names!E:E,"")=0,"",_xlfn.XLOOKUP(A43, AutoFill_names!B:B, AutoFill_names!E:E,""))</f>
        <v/>
      </c>
      <c r="E43" s="23" t="str">
        <f>IF(_xlfn.XLOOKUP(A43, AutoFill_names!B:B, AutoFill_names!F:F,"")=0,"",_xlfn.XLOOKUP(A43, AutoFill_names!B:B, AutoFill_names!F:F,""))</f>
        <v/>
      </c>
      <c r="F43" s="4"/>
      <c r="G43" s="4"/>
      <c r="H43" s="4"/>
      <c r="I43" s="4"/>
      <c r="J43" s="23" t="str">
        <f>IF(_xlfn.XLOOKUP(A43, AutoFill_names!B:B, AutoFill_names!K:K,"")=0,"",_xlfn.XLOOKUP(A43, AutoFill_names!B:B, AutoFill_names!K:K,""))</f>
        <v/>
      </c>
      <c r="K43" s="23" t="str">
        <f>IF(_xlfn.XLOOKUP(A43, AutoFill_names!B:B, AutoFill_names!L:L,"")=0,"",_xlfn.XLOOKUP(A43, AutoFill_names!B:B, AutoFill_names!L:L,""))</f>
        <v/>
      </c>
      <c r="L43" s="45"/>
      <c r="M43" s="45"/>
      <c r="N43" s="61" t="str">
        <f>IF(_xlfn.XLOOKUP(L43, AutoFill_classes!A:A, AutoFill_classes!B:B,"")=0,"",_xlfn.XLOOKUP(L43, AutoFill_classes!A:A, AutoFill_classes!B:B,""))</f>
        <v/>
      </c>
      <c r="O43" s="154"/>
      <c r="P43" s="9"/>
      <c r="Q43" s="9"/>
      <c r="R43" s="9"/>
      <c r="S43" s="5"/>
      <c r="T43" s="5"/>
      <c r="U43" s="5"/>
      <c r="V43" s="4"/>
      <c r="W43" s="4"/>
      <c r="X43" s="144"/>
      <c r="Y43" s="27"/>
      <c r="Z43" s="60" t="str">
        <f t="shared" si="108"/>
        <v/>
      </c>
      <c r="AA43" s="32"/>
      <c r="AB43" s="32"/>
      <c r="AC43" s="32"/>
      <c r="AD43" s="32"/>
      <c r="AE43" s="58" t="str">
        <f t="shared" si="109"/>
        <v/>
      </c>
      <c r="AF43" s="20"/>
      <c r="AG43" s="58" t="str">
        <f t="shared" si="110"/>
        <v/>
      </c>
      <c r="AH43" s="32"/>
      <c r="AI43" s="32"/>
      <c r="AJ43" s="58" t="str">
        <f t="shared" si="111"/>
        <v/>
      </c>
      <c r="AK43" s="20"/>
      <c r="AL43" s="58" t="str">
        <f t="shared" si="112"/>
        <v/>
      </c>
      <c r="AM43" s="32"/>
      <c r="AN43" s="32"/>
      <c r="AO43" s="58" t="str">
        <f t="shared" si="113"/>
        <v/>
      </c>
      <c r="AP43" s="58" t="str">
        <f t="shared" si="114"/>
        <v/>
      </c>
      <c r="AQ43" s="58" t="str">
        <f t="shared" si="115"/>
        <v/>
      </c>
      <c r="AR43" s="59" t="str">
        <f t="shared" si="116"/>
        <v/>
      </c>
      <c r="AS43" s="20"/>
      <c r="AT43" s="47" t="s">
        <v>601</v>
      </c>
      <c r="AU43" s="47" t="s">
        <v>281</v>
      </c>
      <c r="AV43" s="61" t="str">
        <f>IF(_xlfn.XLOOKUP(AT43, AutoFill_classes!$A:$A, AutoFill_classes!$B:$B,"")=0,"",_xlfn.XLOOKUP(AT43, AutoFill_classes!$A:$A, AutoFill_classes!$B:$B,""))</f>
        <v>Foundatns of Pastoral Ministry</v>
      </c>
      <c r="AW43" s="154"/>
      <c r="AX43" s="16" t="s">
        <v>76</v>
      </c>
      <c r="AY43" s="16" t="s">
        <v>57</v>
      </c>
      <c r="AZ43" s="16" t="s">
        <v>58</v>
      </c>
      <c r="BA43" s="16" t="s">
        <v>59</v>
      </c>
      <c r="BB43" s="16" t="s">
        <v>60</v>
      </c>
      <c r="BC43" s="144">
        <v>0</v>
      </c>
      <c r="BD43" s="27"/>
      <c r="BE43" s="60" t="str">
        <f t="shared" si="117"/>
        <v/>
      </c>
      <c r="BF43" s="32"/>
      <c r="BG43" s="32"/>
      <c r="BH43" s="32"/>
      <c r="BI43" s="32"/>
      <c r="BJ43" s="58" t="str">
        <f t="shared" si="118"/>
        <v/>
      </c>
      <c r="BK43" s="20"/>
      <c r="BL43" s="58" t="str">
        <f t="shared" si="119"/>
        <v/>
      </c>
      <c r="BM43" s="32"/>
      <c r="BN43" s="32"/>
      <c r="BO43" s="58" t="str">
        <f t="shared" si="120"/>
        <v/>
      </c>
      <c r="BP43" s="20"/>
      <c r="BQ43" s="58" t="str">
        <f t="shared" si="121"/>
        <v/>
      </c>
      <c r="BR43" s="32"/>
      <c r="BS43" s="32"/>
      <c r="BT43" s="58" t="str">
        <f t="shared" si="122"/>
        <v/>
      </c>
      <c r="BU43" s="58" t="str">
        <f t="shared" si="123"/>
        <v/>
      </c>
      <c r="BV43" s="58" t="str">
        <f t="shared" si="124"/>
        <v/>
      </c>
      <c r="BW43" s="59" t="str">
        <f t="shared" si="125"/>
        <v/>
      </c>
      <c r="BX43" s="16"/>
      <c r="BY43" s="21" t="s">
        <v>601</v>
      </c>
      <c r="BZ43" s="20" t="s">
        <v>281</v>
      </c>
      <c r="CA43" s="61" t="str">
        <f>IF(_xlfn.XLOOKUP(BY43, AutoFill_classes!$A:$A, AutoFill_classes!$B:$B,"")=0,"",_xlfn.XLOOKUP(BY43, AutoFill_classes!$A:$A, AutoFill_classes!$B:$B,""))</f>
        <v>Foundatns of Pastoral Ministry</v>
      </c>
      <c r="CB43" s="154"/>
      <c r="CC43" s="20" t="s">
        <v>76</v>
      </c>
      <c r="CD43" s="20" t="s">
        <v>57</v>
      </c>
      <c r="CE43" s="20" t="s">
        <v>58</v>
      </c>
      <c r="CF43" s="33" t="s">
        <v>59</v>
      </c>
      <c r="CG43" s="34" t="s">
        <v>60</v>
      </c>
      <c r="CH43" s="144">
        <v>0</v>
      </c>
      <c r="CI43" s="35"/>
      <c r="CJ43" s="60" t="str">
        <f t="shared" si="126"/>
        <v/>
      </c>
      <c r="CK43" s="32"/>
      <c r="CL43" s="32"/>
      <c r="CM43" s="32"/>
      <c r="CN43" s="32"/>
      <c r="CO43" s="58" t="str">
        <f t="shared" si="127"/>
        <v/>
      </c>
      <c r="CP43" s="20"/>
      <c r="CQ43" s="58" t="str">
        <f t="shared" si="128"/>
        <v/>
      </c>
      <c r="CR43" s="32"/>
      <c r="CS43" s="32"/>
      <c r="CT43" s="58" t="str">
        <f t="shared" si="129"/>
        <v/>
      </c>
      <c r="CU43" s="20"/>
      <c r="CV43" s="58" t="str">
        <f t="shared" si="130"/>
        <v/>
      </c>
      <c r="CW43" s="32"/>
      <c r="CX43" s="32"/>
      <c r="CY43" s="58" t="str">
        <f t="shared" si="131"/>
        <v/>
      </c>
      <c r="CZ43" s="58" t="str">
        <f t="shared" si="132"/>
        <v/>
      </c>
      <c r="DA43" s="58" t="str">
        <f t="shared" si="133"/>
        <v/>
      </c>
      <c r="DB43" s="59" t="str">
        <f t="shared" si="134"/>
        <v/>
      </c>
      <c r="DC43" s="20"/>
      <c r="DD43" s="145"/>
      <c r="DE43" s="91">
        <v>42</v>
      </c>
      <c r="DF43" s="39"/>
      <c r="DG43" s="39"/>
      <c r="DH43" s="39"/>
      <c r="DI43" s="39"/>
      <c r="DJ43" s="39"/>
      <c r="DK43" s="39"/>
      <c r="DL43" s="39"/>
      <c r="DM43" s="39"/>
      <c r="DN43" s="39"/>
      <c r="DO43" s="39"/>
      <c r="DP43" s="39"/>
      <c r="DQ43" s="39"/>
      <c r="DR43" s="39"/>
      <c r="DS43" s="39"/>
      <c r="DT43" s="39"/>
      <c r="DU43" s="39"/>
      <c r="DV43" s="39"/>
      <c r="DW43" s="39"/>
      <c r="DX43" s="39"/>
      <c r="DY43" s="39"/>
      <c r="DZ43" s="39"/>
      <c r="EA43" s="39"/>
      <c r="EB43" s="39"/>
      <c r="EC43" s="39"/>
      <c r="ED43" s="39"/>
      <c r="EE43" s="39"/>
      <c r="EF43" s="39"/>
      <c r="EG43" s="39"/>
      <c r="EH43" s="39"/>
      <c r="EI43" s="39"/>
      <c r="EJ43" s="39"/>
      <c r="EK43" s="39"/>
      <c r="EL43" s="39"/>
      <c r="EM43" s="39"/>
      <c r="EN43" s="39"/>
      <c r="EO43" s="39"/>
      <c r="EP43" s="39"/>
      <c r="EQ43" s="39"/>
      <c r="ER43" s="39"/>
      <c r="ES43" s="39"/>
      <c r="ET43" s="39"/>
      <c r="EU43" s="39"/>
      <c r="EV43" s="39"/>
      <c r="EW43" s="39"/>
      <c r="EX43" s="39"/>
      <c r="EY43" s="39"/>
      <c r="EZ43" s="39"/>
      <c r="FA43" s="39"/>
      <c r="FB43" s="39"/>
      <c r="FC43" s="39"/>
      <c r="FD43" s="39"/>
      <c r="FE43" s="39"/>
      <c r="FF43" s="39"/>
      <c r="FG43" s="39"/>
      <c r="FH43" s="39"/>
      <c r="FI43" s="39"/>
      <c r="FJ43" s="39"/>
      <c r="FK43" s="39"/>
      <c r="FL43" s="39"/>
      <c r="FM43" s="39"/>
      <c r="FN43" s="39"/>
      <c r="FO43" s="39"/>
      <c r="FP43" s="39"/>
      <c r="FQ43" s="39"/>
      <c r="FR43" s="39"/>
      <c r="FS43" s="39"/>
      <c r="FT43" s="39"/>
    </row>
    <row r="44" spans="1:176" s="22" customFormat="1" ht="13">
      <c r="A44" s="7" t="s">
        <v>169</v>
      </c>
      <c r="B44" s="23" t="str">
        <f>IF(_xlfn.XLOOKUP(A44, AutoFill_names!B:B, AutoFill_names!C:C,"")=0,"",_xlfn.XLOOKUP(A44, AutoFill_names!B:B, AutoFill_names!C:C,""))</f>
        <v>000039170</v>
      </c>
      <c r="C44" s="23" t="str">
        <f>IF(_xlfn.XLOOKUP(A44, AutoFill_names!B:B, AutoFill_names!D:D,"")=0,"",_xlfn.XLOOKUP(A44, AutoFill_names!B:B, AutoFill_names!D:D,""))</f>
        <v>kiddersj@andrews.edu</v>
      </c>
      <c r="D44" s="23" t="str">
        <f>IF(_xlfn.XLOOKUP(A44, AutoFill_names!B:B, AutoFill_names!E:E,"")=0,"",_xlfn.XLOOKUP(A44, AutoFill_names!B:B, AutoFill_names!E:E,""))</f>
        <v/>
      </c>
      <c r="E44" s="23" t="str">
        <f>IF(_xlfn.XLOOKUP(A44, AutoFill_names!B:B, AutoFill_names!F:F,"")=0,"",_xlfn.XLOOKUP(A44, AutoFill_names!B:B, AutoFill_names!F:F,""))</f>
        <v/>
      </c>
      <c r="F44" s="4"/>
      <c r="G44" s="4"/>
      <c r="H44" s="4"/>
      <c r="I44" s="4"/>
      <c r="J44" s="23" t="str">
        <f>IF(_xlfn.XLOOKUP(A44, AutoFill_names!B:B, AutoFill_names!K:K,"")=0,"",_xlfn.XLOOKUP(A44, AutoFill_names!B:B, AutoFill_names!K:K,""))</f>
        <v/>
      </c>
      <c r="K44" s="23" t="str">
        <f>IF(_xlfn.XLOOKUP(A44, AutoFill_names!B:B, AutoFill_names!L:L,"")=0,"",_xlfn.XLOOKUP(A44, AutoFill_names!B:B, AutoFill_names!L:L,""))</f>
        <v/>
      </c>
      <c r="L44" s="45"/>
      <c r="M44" s="45"/>
      <c r="N44" s="61" t="str">
        <f>IF(_xlfn.XLOOKUP(L44, AutoFill_classes!A:A, AutoFill_classes!B:B,"")=0,"",_xlfn.XLOOKUP(L44, AutoFill_classes!A:A, AutoFill_classes!B:B,""))</f>
        <v/>
      </c>
      <c r="O44" s="154"/>
      <c r="P44" s="9"/>
      <c r="Q44" s="9"/>
      <c r="R44" s="9"/>
      <c r="S44" s="5"/>
      <c r="T44" s="5"/>
      <c r="U44" s="5"/>
      <c r="V44" s="4"/>
      <c r="W44" s="4"/>
      <c r="X44" s="144"/>
      <c r="Y44" s="27"/>
      <c r="Z44" s="60" t="str">
        <f t="shared" si="108"/>
        <v/>
      </c>
      <c r="AA44" s="32"/>
      <c r="AB44" s="32"/>
      <c r="AC44" s="36"/>
      <c r="AD44" s="36"/>
      <c r="AE44" s="58" t="str">
        <f t="shared" si="109"/>
        <v/>
      </c>
      <c r="AF44" s="20"/>
      <c r="AG44" s="58" t="str">
        <f t="shared" si="110"/>
        <v/>
      </c>
      <c r="AH44" s="36"/>
      <c r="AI44" s="36"/>
      <c r="AJ44" s="58" t="str">
        <f t="shared" si="111"/>
        <v/>
      </c>
      <c r="AK44" s="20"/>
      <c r="AL44" s="58" t="str">
        <f t="shared" si="112"/>
        <v/>
      </c>
      <c r="AM44" s="36"/>
      <c r="AN44" s="36"/>
      <c r="AO44" s="58" t="str">
        <f t="shared" si="113"/>
        <v/>
      </c>
      <c r="AP44" s="58" t="str">
        <f t="shared" si="114"/>
        <v/>
      </c>
      <c r="AQ44" s="58" t="str">
        <f t="shared" si="115"/>
        <v/>
      </c>
      <c r="AR44" s="59" t="str">
        <f t="shared" si="116"/>
        <v/>
      </c>
      <c r="AS44" s="20"/>
      <c r="AT44" s="47" t="s">
        <v>601</v>
      </c>
      <c r="AU44" s="47" t="s">
        <v>283</v>
      </c>
      <c r="AV44" s="61" t="str">
        <f>IF(_xlfn.XLOOKUP(AT44, AutoFill_classes!$A:$A, AutoFill_classes!$B:$B,"")=0,"",_xlfn.XLOOKUP(AT44, AutoFill_classes!$A:$A, AutoFill_classes!$B:$B,""))</f>
        <v>Foundatns of Pastoral Ministry</v>
      </c>
      <c r="AW44" s="154"/>
      <c r="AX44" s="16" t="s">
        <v>85</v>
      </c>
      <c r="AY44" s="16" t="s">
        <v>57</v>
      </c>
      <c r="AZ44" s="16" t="s">
        <v>58</v>
      </c>
      <c r="BA44" s="16" t="s">
        <v>59</v>
      </c>
      <c r="BB44" s="16" t="s">
        <v>60</v>
      </c>
      <c r="BC44" s="144">
        <v>0</v>
      </c>
      <c r="BD44" s="27"/>
      <c r="BE44" s="60" t="str">
        <f t="shared" si="117"/>
        <v/>
      </c>
      <c r="BF44" s="32"/>
      <c r="BG44" s="32"/>
      <c r="BH44" s="36"/>
      <c r="BI44" s="36"/>
      <c r="BJ44" s="58" t="str">
        <f t="shared" si="118"/>
        <v/>
      </c>
      <c r="BK44" s="20"/>
      <c r="BL44" s="58" t="str">
        <f t="shared" si="119"/>
        <v/>
      </c>
      <c r="BM44" s="36"/>
      <c r="BN44" s="36"/>
      <c r="BO44" s="58" t="str">
        <f t="shared" si="120"/>
        <v/>
      </c>
      <c r="BP44" s="20"/>
      <c r="BQ44" s="58" t="str">
        <f t="shared" si="121"/>
        <v/>
      </c>
      <c r="BR44" s="36"/>
      <c r="BS44" s="36"/>
      <c r="BT44" s="58" t="str">
        <f t="shared" si="122"/>
        <v/>
      </c>
      <c r="BU44" s="58" t="str">
        <f t="shared" si="123"/>
        <v/>
      </c>
      <c r="BV44" s="58" t="str">
        <f t="shared" si="124"/>
        <v/>
      </c>
      <c r="BW44" s="59" t="str">
        <f t="shared" si="125"/>
        <v/>
      </c>
      <c r="BX44" s="16"/>
      <c r="BY44" s="21" t="s">
        <v>601</v>
      </c>
      <c r="BZ44" s="20" t="s">
        <v>283</v>
      </c>
      <c r="CA44" s="61" t="str">
        <f>IF(_xlfn.XLOOKUP(BY44, AutoFill_classes!$A:$A, AutoFill_classes!$B:$B,"")=0,"",_xlfn.XLOOKUP(BY44, AutoFill_classes!$A:$A, AutoFill_classes!$B:$B,""))</f>
        <v>Foundatns of Pastoral Ministry</v>
      </c>
      <c r="CB44" s="154"/>
      <c r="CC44" s="20" t="s">
        <v>85</v>
      </c>
      <c r="CD44" s="20" t="s">
        <v>57</v>
      </c>
      <c r="CE44" s="20" t="s">
        <v>58</v>
      </c>
      <c r="CF44" s="33" t="s">
        <v>59</v>
      </c>
      <c r="CG44" s="34" t="s">
        <v>60</v>
      </c>
      <c r="CH44" s="144">
        <v>0</v>
      </c>
      <c r="CI44" s="35"/>
      <c r="CJ44" s="60" t="str">
        <f t="shared" si="126"/>
        <v/>
      </c>
      <c r="CK44" s="32"/>
      <c r="CL44" s="32"/>
      <c r="CM44" s="36"/>
      <c r="CN44" s="36"/>
      <c r="CO44" s="58" t="str">
        <f t="shared" si="127"/>
        <v/>
      </c>
      <c r="CP44" s="20"/>
      <c r="CQ44" s="58" t="str">
        <f t="shared" si="128"/>
        <v/>
      </c>
      <c r="CR44" s="36"/>
      <c r="CS44" s="36"/>
      <c r="CT44" s="58" t="str">
        <f t="shared" si="129"/>
        <v/>
      </c>
      <c r="CU44" s="20"/>
      <c r="CV44" s="58" t="str">
        <f t="shared" si="130"/>
        <v/>
      </c>
      <c r="CW44" s="36"/>
      <c r="CX44" s="36"/>
      <c r="CY44" s="58" t="str">
        <f t="shared" si="131"/>
        <v/>
      </c>
      <c r="CZ44" s="58" t="str">
        <f t="shared" si="132"/>
        <v/>
      </c>
      <c r="DA44" s="58" t="str">
        <f t="shared" si="133"/>
        <v/>
      </c>
      <c r="DB44" s="59" t="str">
        <f t="shared" si="134"/>
        <v/>
      </c>
      <c r="DC44" s="20"/>
      <c r="DD44" s="145"/>
      <c r="DE44" s="91">
        <v>43</v>
      </c>
      <c r="DF44" s="39"/>
      <c r="DG44" s="39"/>
      <c r="DH44" s="39"/>
      <c r="DI44" s="39"/>
      <c r="DJ44" s="39"/>
      <c r="DK44" s="39"/>
      <c r="DL44" s="39"/>
      <c r="DM44" s="39"/>
      <c r="DN44" s="39"/>
      <c r="DO44" s="39"/>
      <c r="DP44" s="39"/>
      <c r="DQ44" s="39"/>
      <c r="DR44" s="39"/>
      <c r="DS44" s="39"/>
      <c r="DT44" s="39"/>
      <c r="DU44" s="39"/>
      <c r="DV44" s="39"/>
      <c r="DW44" s="39"/>
      <c r="DX44" s="39"/>
      <c r="DY44" s="39"/>
      <c r="DZ44" s="39"/>
      <c r="EA44" s="39"/>
      <c r="EB44" s="39"/>
      <c r="EC44" s="39"/>
      <c r="ED44" s="39"/>
      <c r="EE44" s="39"/>
      <c r="EF44" s="39"/>
      <c r="EG44" s="39"/>
      <c r="EH44" s="39"/>
      <c r="EI44" s="39"/>
      <c r="EJ44" s="39"/>
      <c r="EK44" s="39"/>
      <c r="EL44" s="39"/>
      <c r="EM44" s="39"/>
      <c r="EN44" s="39"/>
      <c r="EO44" s="39"/>
      <c r="EP44" s="39"/>
      <c r="EQ44" s="39"/>
      <c r="ER44" s="39"/>
      <c r="ES44" s="39"/>
      <c r="ET44" s="39"/>
      <c r="EU44" s="39"/>
      <c r="EV44" s="39"/>
      <c r="EW44" s="39"/>
      <c r="EX44" s="39"/>
      <c r="EY44" s="39"/>
      <c r="EZ44" s="39"/>
      <c r="FA44" s="39"/>
      <c r="FB44" s="39"/>
      <c r="FC44" s="39"/>
      <c r="FD44" s="39"/>
      <c r="FE44" s="39"/>
      <c r="FF44" s="39"/>
      <c r="FG44" s="39"/>
      <c r="FH44" s="39"/>
      <c r="FI44" s="39"/>
      <c r="FJ44" s="39"/>
      <c r="FK44" s="39"/>
      <c r="FL44" s="39"/>
      <c r="FM44" s="39"/>
      <c r="FN44" s="39"/>
      <c r="FO44" s="39"/>
      <c r="FP44" s="39"/>
      <c r="FQ44" s="39"/>
      <c r="FR44" s="39"/>
      <c r="FS44" s="39"/>
      <c r="FT44" s="39"/>
    </row>
    <row r="45" spans="1:176" s="22" customFormat="1" ht="13">
      <c r="A45" s="7"/>
      <c r="B45" s="23" t="str">
        <f>IF(_xlfn.XLOOKUP(A45, AutoFill_names!B:B, AutoFill_names!C:C,"")=0,"",_xlfn.XLOOKUP(A45, AutoFill_names!B:B, AutoFill_names!C:C,""))</f>
        <v/>
      </c>
      <c r="C45" s="23" t="str">
        <f>IF(_xlfn.XLOOKUP(A45, AutoFill_names!B:B, AutoFill_names!D:D,"")=0,"",_xlfn.XLOOKUP(A45, AutoFill_names!B:B, AutoFill_names!D:D,""))</f>
        <v/>
      </c>
      <c r="D45" s="23" t="str">
        <f>IF(_xlfn.XLOOKUP(A45, AutoFill_names!B:B, AutoFill_names!E:E,"")=0,"",_xlfn.XLOOKUP(A45, AutoFill_names!B:B, AutoFill_names!E:E,""))</f>
        <v/>
      </c>
      <c r="E45" s="23" t="str">
        <f>IF(_xlfn.XLOOKUP(A45, AutoFill_names!B:B, AutoFill_names!F:F,"")=0,"",_xlfn.XLOOKUP(A45, AutoFill_names!B:B, AutoFill_names!F:F,""))</f>
        <v/>
      </c>
      <c r="F45" s="4"/>
      <c r="G45" s="4"/>
      <c r="H45" s="4"/>
      <c r="I45" s="4"/>
      <c r="J45" s="23" t="str">
        <f>IF(_xlfn.XLOOKUP(A45, AutoFill_names!B:B, AutoFill_names!K:K,"")=0,"",_xlfn.XLOOKUP(A45, AutoFill_names!B:B, AutoFill_names!K:K,""))</f>
        <v/>
      </c>
      <c r="K45" s="23" t="str">
        <f>IF(_xlfn.XLOOKUP(A45, AutoFill_names!B:B, AutoFill_names!L:L,"")=0,"",_xlfn.XLOOKUP(A45, AutoFill_names!B:B, AutoFill_names!L:L,""))</f>
        <v/>
      </c>
      <c r="L45" s="45"/>
      <c r="M45" s="45"/>
      <c r="N45" s="61" t="str">
        <f>IF(_xlfn.XLOOKUP(L45, AutoFill_classes!A:A, AutoFill_classes!B:B,"")=0,"",_xlfn.XLOOKUP(L45, AutoFill_classes!A:A, AutoFill_classes!B:B,""))</f>
        <v/>
      </c>
      <c r="O45" s="154"/>
      <c r="P45" s="9"/>
      <c r="Q45" s="9"/>
      <c r="R45" s="9"/>
      <c r="S45" s="5"/>
      <c r="T45" s="5"/>
      <c r="U45" s="5"/>
      <c r="V45" s="4"/>
      <c r="W45" s="4"/>
      <c r="X45" s="144"/>
      <c r="Y45" s="27"/>
      <c r="Z45" s="60" t="str">
        <f t="shared" si="108"/>
        <v/>
      </c>
      <c r="AA45" s="32"/>
      <c r="AB45" s="32"/>
      <c r="AC45" s="32"/>
      <c r="AD45" s="32"/>
      <c r="AE45" s="58" t="str">
        <f t="shared" si="109"/>
        <v/>
      </c>
      <c r="AF45" s="20"/>
      <c r="AG45" s="58" t="str">
        <f t="shared" si="110"/>
        <v/>
      </c>
      <c r="AH45" s="32"/>
      <c r="AI45" s="32"/>
      <c r="AJ45" s="58" t="str">
        <f t="shared" si="111"/>
        <v/>
      </c>
      <c r="AK45" s="20"/>
      <c r="AL45" s="58" t="str">
        <f t="shared" si="112"/>
        <v/>
      </c>
      <c r="AM45" s="32"/>
      <c r="AN45" s="32"/>
      <c r="AO45" s="58" t="str">
        <f t="shared" si="113"/>
        <v/>
      </c>
      <c r="AP45" s="58" t="str">
        <f t="shared" si="114"/>
        <v/>
      </c>
      <c r="AQ45" s="58" t="str">
        <f t="shared" si="115"/>
        <v/>
      </c>
      <c r="AR45" s="59" t="str">
        <f t="shared" si="116"/>
        <v/>
      </c>
      <c r="AS45" s="20"/>
      <c r="AT45" s="47"/>
      <c r="AU45" s="47"/>
      <c r="AV45" s="61" t="str">
        <f>IF(_xlfn.XLOOKUP(AT45, AutoFill_classes!$A:$A, AutoFill_classes!$B:$B,"")=0,"",_xlfn.XLOOKUP(AT45, AutoFill_classes!$A:$A, AutoFill_classes!$B:$B,""))</f>
        <v/>
      </c>
      <c r="AW45" s="154"/>
      <c r="AX45" s="16"/>
      <c r="AY45" s="16"/>
      <c r="AZ45" s="16"/>
      <c r="BA45" s="16"/>
      <c r="BB45" s="16"/>
      <c r="BC45" s="144"/>
      <c r="BD45" s="27"/>
      <c r="BE45" s="60" t="str">
        <f t="shared" si="117"/>
        <v/>
      </c>
      <c r="BF45" s="32"/>
      <c r="BG45" s="32"/>
      <c r="BH45" s="32"/>
      <c r="BI45" s="32"/>
      <c r="BJ45" s="58" t="str">
        <f t="shared" si="118"/>
        <v/>
      </c>
      <c r="BK45" s="20"/>
      <c r="BL45" s="58" t="str">
        <f t="shared" si="119"/>
        <v/>
      </c>
      <c r="BM45" s="32"/>
      <c r="BN45" s="32"/>
      <c r="BO45" s="58" t="str">
        <f t="shared" si="120"/>
        <v/>
      </c>
      <c r="BP45" s="20"/>
      <c r="BQ45" s="58" t="str">
        <f t="shared" si="121"/>
        <v/>
      </c>
      <c r="BR45" s="32"/>
      <c r="BS45" s="32"/>
      <c r="BT45" s="58" t="str">
        <f t="shared" si="122"/>
        <v/>
      </c>
      <c r="BU45" s="58" t="str">
        <f t="shared" si="123"/>
        <v/>
      </c>
      <c r="BV45" s="58" t="str">
        <f t="shared" si="124"/>
        <v/>
      </c>
      <c r="BW45" s="59" t="str">
        <f t="shared" si="125"/>
        <v/>
      </c>
      <c r="BX45" s="16"/>
      <c r="BY45" s="21"/>
      <c r="BZ45" s="20"/>
      <c r="CA45" s="61" t="str">
        <f>IF(_xlfn.XLOOKUP(BY45, AutoFill_classes!$A:$A, AutoFill_classes!$B:$B,"")=0,"",_xlfn.XLOOKUP(BY45, AutoFill_classes!$A:$A, AutoFill_classes!$B:$B,""))</f>
        <v/>
      </c>
      <c r="CB45" s="154"/>
      <c r="CC45" s="20"/>
      <c r="CD45" s="20"/>
      <c r="CE45" s="20"/>
      <c r="CF45" s="33"/>
      <c r="CG45" s="34"/>
      <c r="CH45" s="144"/>
      <c r="CI45" s="35"/>
      <c r="CJ45" s="60" t="str">
        <f t="shared" si="126"/>
        <v/>
      </c>
      <c r="CK45" s="32"/>
      <c r="CL45" s="32"/>
      <c r="CM45" s="32"/>
      <c r="CN45" s="32"/>
      <c r="CO45" s="58" t="str">
        <f t="shared" si="127"/>
        <v/>
      </c>
      <c r="CP45" s="20"/>
      <c r="CQ45" s="58" t="str">
        <f t="shared" si="128"/>
        <v/>
      </c>
      <c r="CR45" s="32"/>
      <c r="CS45" s="32"/>
      <c r="CT45" s="58" t="str">
        <f t="shared" si="129"/>
        <v/>
      </c>
      <c r="CU45" s="20"/>
      <c r="CV45" s="58" t="str">
        <f t="shared" si="130"/>
        <v/>
      </c>
      <c r="CW45" s="32"/>
      <c r="CX45" s="32"/>
      <c r="CY45" s="58" t="str">
        <f t="shared" si="131"/>
        <v/>
      </c>
      <c r="CZ45" s="58" t="str">
        <f t="shared" si="132"/>
        <v/>
      </c>
      <c r="DA45" s="58" t="str">
        <f t="shared" si="133"/>
        <v/>
      </c>
      <c r="DB45" s="59" t="str">
        <f t="shared" si="134"/>
        <v/>
      </c>
      <c r="DC45" s="20"/>
      <c r="DD45" s="145"/>
      <c r="DE45" s="91">
        <v>44</v>
      </c>
      <c r="DF45" s="39"/>
      <c r="DG45" s="39"/>
      <c r="DH45" s="39"/>
      <c r="DI45" s="39"/>
      <c r="DJ45" s="39"/>
      <c r="DK45" s="39"/>
      <c r="DL45" s="39"/>
      <c r="DM45" s="39"/>
      <c r="DN45" s="39"/>
      <c r="DO45" s="39"/>
      <c r="DP45" s="39"/>
      <c r="DQ45" s="39"/>
      <c r="DR45" s="39"/>
      <c r="DS45" s="39"/>
      <c r="DT45" s="39"/>
      <c r="DU45" s="39"/>
      <c r="DV45" s="39"/>
      <c r="DW45" s="39"/>
      <c r="DX45" s="39"/>
      <c r="DY45" s="39"/>
      <c r="DZ45" s="39"/>
      <c r="EA45" s="39"/>
      <c r="EB45" s="39"/>
      <c r="EC45" s="39"/>
      <c r="ED45" s="39"/>
      <c r="EE45" s="39"/>
      <c r="EF45" s="39"/>
      <c r="EG45" s="39"/>
      <c r="EH45" s="39"/>
      <c r="EI45" s="39"/>
      <c r="EJ45" s="39"/>
      <c r="EK45" s="39"/>
      <c r="EL45" s="39"/>
      <c r="EM45" s="39"/>
      <c r="EN45" s="39"/>
      <c r="EO45" s="39"/>
      <c r="EP45" s="39"/>
      <c r="EQ45" s="39"/>
      <c r="ER45" s="39"/>
      <c r="ES45" s="39"/>
      <c r="ET45" s="39"/>
      <c r="EU45" s="39"/>
      <c r="EV45" s="39"/>
      <c r="EW45" s="39"/>
      <c r="EX45" s="39"/>
      <c r="EY45" s="39"/>
      <c r="EZ45" s="39"/>
      <c r="FA45" s="39"/>
      <c r="FB45" s="39"/>
      <c r="FC45" s="39"/>
      <c r="FD45" s="39"/>
      <c r="FE45" s="39"/>
      <c r="FF45" s="39"/>
      <c r="FG45" s="39"/>
      <c r="FH45" s="39"/>
      <c r="FI45" s="39"/>
      <c r="FJ45" s="39"/>
      <c r="FK45" s="39"/>
      <c r="FL45" s="39"/>
      <c r="FM45" s="39"/>
      <c r="FN45" s="39"/>
      <c r="FO45" s="39"/>
      <c r="FP45" s="39"/>
      <c r="FQ45" s="39"/>
      <c r="FR45" s="39"/>
      <c r="FS45" s="39"/>
      <c r="FT45" s="39"/>
    </row>
    <row r="46" spans="1:176" s="22" customFormat="1" ht="13">
      <c r="A46" s="7"/>
      <c r="B46" s="23" t="str">
        <f>IF(_xlfn.XLOOKUP(A46, AutoFill_names!B:B, AutoFill_names!C:C,"")=0,"",_xlfn.XLOOKUP(A46, AutoFill_names!B:B, AutoFill_names!C:C,""))</f>
        <v/>
      </c>
      <c r="C46" s="23" t="str">
        <f>IF(_xlfn.XLOOKUP(A46, AutoFill_names!B:B, AutoFill_names!D:D,"")=0,"",_xlfn.XLOOKUP(A46, AutoFill_names!B:B, AutoFill_names!D:D,""))</f>
        <v/>
      </c>
      <c r="D46" s="23" t="str">
        <f>IF(_xlfn.XLOOKUP(A46, AutoFill_names!B:B, AutoFill_names!E:E,"")=0,"",_xlfn.XLOOKUP(A46, AutoFill_names!B:B, AutoFill_names!E:E,""))</f>
        <v/>
      </c>
      <c r="E46" s="23" t="str">
        <f>IF(_xlfn.XLOOKUP(A46, AutoFill_names!B:B, AutoFill_names!F:F,"")=0,"",_xlfn.XLOOKUP(A46, AutoFill_names!B:B, AutoFill_names!F:F,""))</f>
        <v/>
      </c>
      <c r="F46" s="4"/>
      <c r="G46" s="4"/>
      <c r="H46" s="4"/>
      <c r="I46" s="4"/>
      <c r="J46" s="23" t="str">
        <f>IF(_xlfn.XLOOKUP(A46, AutoFill_names!B:B, AutoFill_names!K:K,"")=0,"",_xlfn.XLOOKUP(A46, AutoFill_names!B:B, AutoFill_names!K:K,""))</f>
        <v/>
      </c>
      <c r="K46" s="23" t="str">
        <f>IF(_xlfn.XLOOKUP(A46, AutoFill_names!B:B, AutoFill_names!L:L,"")=0,"",_xlfn.XLOOKUP(A46, AutoFill_names!B:B, AutoFill_names!L:L,""))</f>
        <v/>
      </c>
      <c r="L46" s="45"/>
      <c r="M46" s="45"/>
      <c r="N46" s="61" t="str">
        <f>IF(_xlfn.XLOOKUP(L46, AutoFill_classes!A:A, AutoFill_classes!B:B,"")=0,"",_xlfn.XLOOKUP(L46, AutoFill_classes!A:A, AutoFill_classes!B:B,""))</f>
        <v/>
      </c>
      <c r="O46" s="154"/>
      <c r="P46" s="9"/>
      <c r="Q46" s="9"/>
      <c r="R46" s="9"/>
      <c r="S46" s="5"/>
      <c r="T46" s="5"/>
      <c r="U46" s="5"/>
      <c r="V46" s="4"/>
      <c r="W46" s="4"/>
      <c r="X46" s="144"/>
      <c r="Y46" s="27"/>
      <c r="Z46" s="60" t="str">
        <f t="shared" si="108"/>
        <v/>
      </c>
      <c r="AA46" s="32"/>
      <c r="AB46" s="32"/>
      <c r="AC46" s="32"/>
      <c r="AD46" s="32"/>
      <c r="AE46" s="58" t="str">
        <f t="shared" si="109"/>
        <v/>
      </c>
      <c r="AF46" s="20"/>
      <c r="AG46" s="58" t="str">
        <f t="shared" si="110"/>
        <v/>
      </c>
      <c r="AH46" s="32"/>
      <c r="AI46" s="32"/>
      <c r="AJ46" s="58" t="str">
        <f t="shared" si="111"/>
        <v/>
      </c>
      <c r="AK46" s="20"/>
      <c r="AL46" s="58" t="str">
        <f t="shared" si="112"/>
        <v/>
      </c>
      <c r="AM46" s="32"/>
      <c r="AN46" s="32"/>
      <c r="AO46" s="58" t="str">
        <f t="shared" si="113"/>
        <v/>
      </c>
      <c r="AP46" s="58" t="str">
        <f t="shared" si="114"/>
        <v/>
      </c>
      <c r="AQ46" s="58" t="str">
        <f t="shared" si="115"/>
        <v/>
      </c>
      <c r="AR46" s="59" t="str">
        <f t="shared" si="116"/>
        <v/>
      </c>
      <c r="AS46" s="20"/>
      <c r="AT46" s="47"/>
      <c r="AU46" s="47"/>
      <c r="AV46" s="61" t="str">
        <f>IF(_xlfn.XLOOKUP(AT46, AutoFill_classes!$A:$A, AutoFill_classes!$B:$B,"")=0,"",_xlfn.XLOOKUP(AT46, AutoFill_classes!$A:$A, AutoFill_classes!$B:$B,""))</f>
        <v/>
      </c>
      <c r="AW46" s="154"/>
      <c r="AX46" s="16"/>
      <c r="AY46" s="16"/>
      <c r="AZ46" s="16"/>
      <c r="BA46" s="16"/>
      <c r="BB46" s="16"/>
      <c r="BC46" s="144"/>
      <c r="BD46" s="27"/>
      <c r="BE46" s="60" t="str">
        <f t="shared" si="117"/>
        <v/>
      </c>
      <c r="BF46" s="32"/>
      <c r="BG46" s="32"/>
      <c r="BH46" s="32"/>
      <c r="BI46" s="32"/>
      <c r="BJ46" s="58" t="str">
        <f t="shared" si="118"/>
        <v/>
      </c>
      <c r="BK46" s="20"/>
      <c r="BL46" s="58" t="str">
        <f t="shared" si="119"/>
        <v/>
      </c>
      <c r="BM46" s="32"/>
      <c r="BN46" s="32"/>
      <c r="BO46" s="58" t="str">
        <f t="shared" si="120"/>
        <v/>
      </c>
      <c r="BP46" s="20"/>
      <c r="BQ46" s="58" t="str">
        <f t="shared" si="121"/>
        <v/>
      </c>
      <c r="BR46" s="32"/>
      <c r="BS46" s="32"/>
      <c r="BT46" s="58" t="str">
        <f t="shared" si="122"/>
        <v/>
      </c>
      <c r="BU46" s="58" t="str">
        <f t="shared" si="123"/>
        <v/>
      </c>
      <c r="BV46" s="58" t="str">
        <f t="shared" si="124"/>
        <v/>
      </c>
      <c r="BW46" s="59" t="str">
        <f t="shared" si="125"/>
        <v/>
      </c>
      <c r="BX46" s="16"/>
      <c r="BY46" s="21"/>
      <c r="BZ46" s="20"/>
      <c r="CA46" s="61" t="str">
        <f>IF(_xlfn.XLOOKUP(BY46, AutoFill_classes!$A:$A, AutoFill_classes!$B:$B,"")=0,"",_xlfn.XLOOKUP(BY46, AutoFill_classes!$A:$A, AutoFill_classes!$B:$B,""))</f>
        <v/>
      </c>
      <c r="CB46" s="154"/>
      <c r="CC46" s="20"/>
      <c r="CD46" s="20"/>
      <c r="CE46" s="20"/>
      <c r="CF46" s="33"/>
      <c r="CG46" s="34"/>
      <c r="CH46" s="144"/>
      <c r="CI46" s="35"/>
      <c r="CJ46" s="60" t="str">
        <f t="shared" si="126"/>
        <v/>
      </c>
      <c r="CK46" s="32"/>
      <c r="CL46" s="32"/>
      <c r="CM46" s="32"/>
      <c r="CN46" s="32"/>
      <c r="CO46" s="58" t="str">
        <f t="shared" si="127"/>
        <v/>
      </c>
      <c r="CP46" s="20"/>
      <c r="CQ46" s="58" t="str">
        <f t="shared" si="128"/>
        <v/>
      </c>
      <c r="CR46" s="32"/>
      <c r="CS46" s="32"/>
      <c r="CT46" s="58" t="str">
        <f t="shared" si="129"/>
        <v/>
      </c>
      <c r="CU46" s="20"/>
      <c r="CV46" s="58" t="str">
        <f t="shared" si="130"/>
        <v/>
      </c>
      <c r="CW46" s="32"/>
      <c r="CX46" s="32"/>
      <c r="CY46" s="58" t="str">
        <f t="shared" si="131"/>
        <v/>
      </c>
      <c r="CZ46" s="58" t="str">
        <f t="shared" si="132"/>
        <v/>
      </c>
      <c r="DA46" s="58" t="str">
        <f t="shared" si="133"/>
        <v/>
      </c>
      <c r="DB46" s="59" t="str">
        <f t="shared" si="134"/>
        <v/>
      </c>
      <c r="DC46" s="20"/>
      <c r="DD46" s="145"/>
      <c r="DE46" s="91">
        <v>45</v>
      </c>
      <c r="DF46" s="39"/>
      <c r="DG46" s="39"/>
      <c r="DH46" s="39"/>
      <c r="DI46" s="39"/>
      <c r="DJ46" s="39"/>
      <c r="DK46" s="39"/>
      <c r="DL46" s="39"/>
      <c r="DM46" s="39"/>
      <c r="DN46" s="39"/>
      <c r="DO46" s="39"/>
      <c r="DP46" s="39"/>
      <c r="DQ46" s="39"/>
      <c r="DR46" s="39"/>
      <c r="DS46" s="39"/>
      <c r="DT46" s="39"/>
      <c r="DU46" s="39"/>
      <c r="DV46" s="39"/>
      <c r="DW46" s="39"/>
      <c r="DX46" s="39"/>
      <c r="DY46" s="39"/>
      <c r="DZ46" s="39"/>
      <c r="EA46" s="39"/>
      <c r="EB46" s="39"/>
      <c r="EC46" s="39"/>
      <c r="ED46" s="39"/>
      <c r="EE46" s="39"/>
      <c r="EF46" s="39"/>
      <c r="EG46" s="39"/>
      <c r="EH46" s="39"/>
      <c r="EI46" s="39"/>
      <c r="EJ46" s="39"/>
      <c r="EK46" s="39"/>
      <c r="EL46" s="39"/>
      <c r="EM46" s="39"/>
      <c r="EN46" s="39"/>
      <c r="EO46" s="39"/>
      <c r="EP46" s="39"/>
      <c r="EQ46" s="39"/>
      <c r="ER46" s="39"/>
      <c r="ES46" s="39"/>
      <c r="ET46" s="39"/>
      <c r="EU46" s="39"/>
      <c r="EV46" s="39"/>
      <c r="EW46" s="39"/>
      <c r="EX46" s="39"/>
      <c r="EY46" s="39"/>
      <c r="EZ46" s="39"/>
      <c r="FA46" s="39"/>
      <c r="FB46" s="39"/>
      <c r="FC46" s="39"/>
      <c r="FD46" s="39"/>
      <c r="FE46" s="39"/>
      <c r="FF46" s="39"/>
      <c r="FG46" s="39"/>
      <c r="FH46" s="39"/>
      <c r="FI46" s="39"/>
      <c r="FJ46" s="39"/>
      <c r="FK46" s="39"/>
      <c r="FL46" s="39"/>
      <c r="FM46" s="39"/>
      <c r="FN46" s="39"/>
      <c r="FO46" s="39"/>
      <c r="FP46" s="39"/>
      <c r="FQ46" s="39"/>
      <c r="FR46" s="39"/>
      <c r="FS46" s="39"/>
      <c r="FT46" s="39"/>
    </row>
    <row r="47" spans="1:176" s="22" customFormat="1" ht="13">
      <c r="A47" s="7"/>
      <c r="B47" s="23" t="str">
        <f>IF(_xlfn.XLOOKUP(A47, AutoFill_names!B:B, AutoFill_names!C:C,"")=0,"",_xlfn.XLOOKUP(A47, AutoFill_names!B:B, AutoFill_names!C:C,""))</f>
        <v/>
      </c>
      <c r="C47" s="23" t="str">
        <f>IF(_xlfn.XLOOKUP(A47, AutoFill_names!B:B, AutoFill_names!D:D,"")=0,"",_xlfn.XLOOKUP(A47, AutoFill_names!B:B, AutoFill_names!D:D,""))</f>
        <v/>
      </c>
      <c r="D47" s="23" t="str">
        <f>IF(_xlfn.XLOOKUP(A47, AutoFill_names!B:B, AutoFill_names!E:E,"")=0,"",_xlfn.XLOOKUP(A47, AutoFill_names!B:B, AutoFill_names!E:E,""))</f>
        <v/>
      </c>
      <c r="E47" s="23" t="str">
        <f>IF(_xlfn.XLOOKUP(A47, AutoFill_names!B:B, AutoFill_names!F:F,"")=0,"",_xlfn.XLOOKUP(A47, AutoFill_names!B:B, AutoFill_names!F:F,""))</f>
        <v/>
      </c>
      <c r="F47" s="4"/>
      <c r="G47" s="4"/>
      <c r="H47" s="4"/>
      <c r="I47" s="4"/>
      <c r="J47" s="23" t="str">
        <f>IF(_xlfn.XLOOKUP(A47, AutoFill_names!B:B, AutoFill_names!K:K,"")=0,"",_xlfn.XLOOKUP(A47, AutoFill_names!B:B, AutoFill_names!K:K,""))</f>
        <v/>
      </c>
      <c r="K47" s="23" t="str">
        <f>IF(_xlfn.XLOOKUP(A47, AutoFill_names!B:B, AutoFill_names!L:L,"")=0,"",_xlfn.XLOOKUP(A47, AutoFill_names!B:B, AutoFill_names!L:L,""))</f>
        <v/>
      </c>
      <c r="L47" s="45"/>
      <c r="M47" s="45"/>
      <c r="N47" s="61" t="str">
        <f>IF(_xlfn.XLOOKUP(L47, AutoFill_classes!A:A, AutoFill_classes!B:B,"")=0,"",_xlfn.XLOOKUP(L47, AutoFill_classes!A:A, AutoFill_classes!B:B,""))</f>
        <v/>
      </c>
      <c r="O47" s="154"/>
      <c r="P47" s="9"/>
      <c r="Q47" s="9"/>
      <c r="R47" s="9"/>
      <c r="S47" s="5"/>
      <c r="T47" s="5"/>
      <c r="U47" s="5"/>
      <c r="V47" s="4"/>
      <c r="W47" s="4"/>
      <c r="X47" s="144"/>
      <c r="Y47" s="27"/>
      <c r="Z47" s="60" t="str">
        <f t="shared" si="108"/>
        <v/>
      </c>
      <c r="AA47" s="32"/>
      <c r="AB47" s="32"/>
      <c r="AC47" s="32"/>
      <c r="AD47" s="32"/>
      <c r="AE47" s="58" t="str">
        <f t="shared" si="109"/>
        <v/>
      </c>
      <c r="AF47" s="20"/>
      <c r="AG47" s="58" t="str">
        <f t="shared" si="110"/>
        <v/>
      </c>
      <c r="AH47" s="32"/>
      <c r="AI47" s="32"/>
      <c r="AJ47" s="58" t="str">
        <f t="shared" si="111"/>
        <v/>
      </c>
      <c r="AK47" s="20"/>
      <c r="AL47" s="58" t="str">
        <f t="shared" si="112"/>
        <v/>
      </c>
      <c r="AM47" s="32"/>
      <c r="AN47" s="32"/>
      <c r="AO47" s="58" t="str">
        <f t="shared" si="113"/>
        <v/>
      </c>
      <c r="AP47" s="58" t="str">
        <f t="shared" si="114"/>
        <v/>
      </c>
      <c r="AQ47" s="58" t="str">
        <f t="shared" si="115"/>
        <v/>
      </c>
      <c r="AR47" s="59" t="str">
        <f t="shared" si="116"/>
        <v/>
      </c>
      <c r="AS47" s="20"/>
      <c r="AT47" s="47"/>
      <c r="AU47" s="47"/>
      <c r="AV47" s="61" t="str">
        <f>IF(_xlfn.XLOOKUP(AT47, AutoFill_classes!$A:$A, AutoFill_classes!$B:$B,"")=0,"",_xlfn.XLOOKUP(AT47, AutoFill_classes!$A:$A, AutoFill_classes!$B:$B,""))</f>
        <v/>
      </c>
      <c r="AW47" s="154"/>
      <c r="AX47" s="16"/>
      <c r="AY47" s="16"/>
      <c r="AZ47" s="16"/>
      <c r="BA47" s="16"/>
      <c r="BB47" s="16"/>
      <c r="BC47" s="144"/>
      <c r="BD47" s="27"/>
      <c r="BE47" s="60" t="str">
        <f t="shared" si="117"/>
        <v/>
      </c>
      <c r="BF47" s="32"/>
      <c r="BG47" s="32"/>
      <c r="BH47" s="32"/>
      <c r="BI47" s="32"/>
      <c r="BJ47" s="58" t="str">
        <f t="shared" si="118"/>
        <v/>
      </c>
      <c r="BK47" s="20"/>
      <c r="BL47" s="58" t="str">
        <f t="shared" si="119"/>
        <v/>
      </c>
      <c r="BM47" s="32"/>
      <c r="BN47" s="32"/>
      <c r="BO47" s="58" t="str">
        <f t="shared" si="120"/>
        <v/>
      </c>
      <c r="BP47" s="20"/>
      <c r="BQ47" s="58" t="str">
        <f t="shared" si="121"/>
        <v/>
      </c>
      <c r="BR47" s="32"/>
      <c r="BS47" s="32"/>
      <c r="BT47" s="58" t="str">
        <f t="shared" si="122"/>
        <v/>
      </c>
      <c r="BU47" s="58" t="str">
        <f t="shared" si="123"/>
        <v/>
      </c>
      <c r="BV47" s="58" t="str">
        <f t="shared" si="124"/>
        <v/>
      </c>
      <c r="BW47" s="59" t="str">
        <f t="shared" si="125"/>
        <v/>
      </c>
      <c r="BX47" s="16"/>
      <c r="BY47" s="21"/>
      <c r="BZ47" s="20"/>
      <c r="CA47" s="61" t="str">
        <f>IF(_xlfn.XLOOKUP(BY47, AutoFill_classes!$A:$A, AutoFill_classes!$B:$B,"")=0,"",_xlfn.XLOOKUP(BY47, AutoFill_classes!$A:$A, AutoFill_classes!$B:$B,""))</f>
        <v/>
      </c>
      <c r="CB47" s="154"/>
      <c r="CC47" s="20"/>
      <c r="CD47" s="20"/>
      <c r="CE47" s="20"/>
      <c r="CF47" s="33"/>
      <c r="CG47" s="34"/>
      <c r="CH47" s="144"/>
      <c r="CI47" s="35"/>
      <c r="CJ47" s="60" t="str">
        <f t="shared" si="126"/>
        <v/>
      </c>
      <c r="CK47" s="32"/>
      <c r="CL47" s="32"/>
      <c r="CM47" s="32"/>
      <c r="CN47" s="32"/>
      <c r="CO47" s="58" t="str">
        <f t="shared" si="127"/>
        <v/>
      </c>
      <c r="CP47" s="20"/>
      <c r="CQ47" s="58" t="str">
        <f t="shared" si="128"/>
        <v/>
      </c>
      <c r="CR47" s="32"/>
      <c r="CS47" s="32"/>
      <c r="CT47" s="58" t="str">
        <f t="shared" si="129"/>
        <v/>
      </c>
      <c r="CU47" s="20"/>
      <c r="CV47" s="58" t="str">
        <f t="shared" si="130"/>
        <v/>
      </c>
      <c r="CW47" s="32"/>
      <c r="CX47" s="32"/>
      <c r="CY47" s="58" t="str">
        <f t="shared" si="131"/>
        <v/>
      </c>
      <c r="CZ47" s="58" t="str">
        <f t="shared" si="132"/>
        <v/>
      </c>
      <c r="DA47" s="58" t="str">
        <f t="shared" si="133"/>
        <v/>
      </c>
      <c r="DB47" s="59" t="str">
        <f t="shared" si="134"/>
        <v/>
      </c>
      <c r="DC47" s="20"/>
      <c r="DD47" s="145"/>
      <c r="DE47" s="91">
        <v>46</v>
      </c>
      <c r="DF47" s="39"/>
      <c r="DG47" s="39"/>
      <c r="DH47" s="39"/>
      <c r="DI47" s="39"/>
      <c r="DJ47" s="39"/>
      <c r="DK47" s="39"/>
      <c r="DL47" s="39"/>
      <c r="DM47" s="39"/>
      <c r="DN47" s="39"/>
      <c r="DO47" s="39"/>
      <c r="DP47" s="39"/>
      <c r="DQ47" s="39"/>
      <c r="DR47" s="39"/>
      <c r="DS47" s="39"/>
      <c r="DT47" s="39"/>
      <c r="DU47" s="39"/>
      <c r="DV47" s="39"/>
      <c r="DW47" s="39"/>
      <c r="DX47" s="39"/>
      <c r="DY47" s="39"/>
      <c r="DZ47" s="39"/>
      <c r="EA47" s="39"/>
      <c r="EB47" s="39"/>
      <c r="EC47" s="39"/>
      <c r="ED47" s="39"/>
      <c r="EE47" s="39"/>
      <c r="EF47" s="39"/>
      <c r="EG47" s="39"/>
      <c r="EH47" s="39"/>
      <c r="EI47" s="39"/>
      <c r="EJ47" s="39"/>
      <c r="EK47" s="39"/>
      <c r="EL47" s="39"/>
      <c r="EM47" s="39"/>
      <c r="EN47" s="39"/>
      <c r="EO47" s="39"/>
      <c r="EP47" s="39"/>
      <c r="EQ47" s="39"/>
      <c r="ER47" s="39"/>
      <c r="ES47" s="39"/>
      <c r="ET47" s="39"/>
      <c r="EU47" s="39"/>
      <c r="EV47" s="39"/>
      <c r="EW47" s="39"/>
      <c r="EX47" s="39"/>
      <c r="EY47" s="39"/>
      <c r="EZ47" s="39"/>
      <c r="FA47" s="39"/>
      <c r="FB47" s="39"/>
      <c r="FC47" s="39"/>
      <c r="FD47" s="39"/>
      <c r="FE47" s="39"/>
      <c r="FF47" s="39"/>
      <c r="FG47" s="39"/>
      <c r="FH47" s="39"/>
      <c r="FI47" s="39"/>
      <c r="FJ47" s="39"/>
      <c r="FK47" s="39"/>
      <c r="FL47" s="39"/>
      <c r="FM47" s="39"/>
      <c r="FN47" s="39"/>
      <c r="FO47" s="39"/>
      <c r="FP47" s="39"/>
      <c r="FQ47" s="39"/>
      <c r="FR47" s="39"/>
      <c r="FS47" s="39"/>
      <c r="FT47" s="39"/>
    </row>
    <row r="48" spans="1:176" s="22" customFormat="1" ht="13">
      <c r="A48" s="7"/>
      <c r="B48" s="23" t="str">
        <f>IF(_xlfn.XLOOKUP(A48, AutoFill_names!B:B, AutoFill_names!C:C,"")=0,"",_xlfn.XLOOKUP(A48, AutoFill_names!B:B, AutoFill_names!C:C,""))</f>
        <v/>
      </c>
      <c r="C48" s="23" t="str">
        <f>IF(_xlfn.XLOOKUP(A48, AutoFill_names!B:B, AutoFill_names!D:D,"")=0,"",_xlfn.XLOOKUP(A48, AutoFill_names!B:B, AutoFill_names!D:D,""))</f>
        <v/>
      </c>
      <c r="D48" s="23" t="str">
        <f>IF(_xlfn.XLOOKUP(A48, AutoFill_names!B:B, AutoFill_names!E:E,"")=0,"",_xlfn.XLOOKUP(A48, AutoFill_names!B:B, AutoFill_names!E:E,""))</f>
        <v/>
      </c>
      <c r="E48" s="23" t="str">
        <f>IF(_xlfn.XLOOKUP(A48, AutoFill_names!B:B, AutoFill_names!F:F,"")=0,"",_xlfn.XLOOKUP(A48, AutoFill_names!B:B, AutoFill_names!F:F,""))</f>
        <v/>
      </c>
      <c r="F48" s="4"/>
      <c r="G48" s="4"/>
      <c r="H48" s="4"/>
      <c r="I48" s="4"/>
      <c r="J48" s="23" t="str">
        <f>IF(_xlfn.XLOOKUP(A48, AutoFill_names!B:B, AutoFill_names!K:K,"")=0,"",_xlfn.XLOOKUP(A48, AutoFill_names!B:B, AutoFill_names!K:K,""))</f>
        <v/>
      </c>
      <c r="K48" s="23" t="str">
        <f>IF(_xlfn.XLOOKUP(A48, AutoFill_names!B:B, AutoFill_names!L:L,"")=0,"",_xlfn.XLOOKUP(A48, AutoFill_names!B:B, AutoFill_names!L:L,""))</f>
        <v/>
      </c>
      <c r="L48" s="5"/>
      <c r="M48" s="5"/>
      <c r="N48" s="61" t="str">
        <f>IF(_xlfn.XLOOKUP(L48, AutoFill_classes!A:A, AutoFill_classes!B:B,"")=0,"",_xlfn.XLOOKUP(L48, AutoFill_classes!A:A, AutoFill_classes!B:B,""))</f>
        <v/>
      </c>
      <c r="O48" s="154"/>
      <c r="P48" s="9"/>
      <c r="Q48" s="9"/>
      <c r="R48" s="9"/>
      <c r="S48" s="5"/>
      <c r="T48" s="5"/>
      <c r="U48" s="5"/>
      <c r="V48" s="4"/>
      <c r="W48" s="4"/>
      <c r="X48" s="145"/>
      <c r="Y48" s="29"/>
      <c r="Z48" s="60" t="str">
        <f t="shared" si="108"/>
        <v/>
      </c>
      <c r="AA48" s="32"/>
      <c r="AB48" s="32"/>
      <c r="AC48" s="32"/>
      <c r="AD48" s="32"/>
      <c r="AE48" s="58" t="str">
        <f t="shared" si="109"/>
        <v/>
      </c>
      <c r="AF48" s="20"/>
      <c r="AG48" s="58" t="str">
        <f t="shared" si="110"/>
        <v/>
      </c>
      <c r="AH48" s="32"/>
      <c r="AI48" s="32"/>
      <c r="AJ48" s="58" t="str">
        <f t="shared" si="111"/>
        <v/>
      </c>
      <c r="AK48" s="20"/>
      <c r="AL48" s="58" t="str">
        <f t="shared" si="112"/>
        <v/>
      </c>
      <c r="AM48" s="32"/>
      <c r="AN48" s="32"/>
      <c r="AO48" s="58" t="str">
        <f t="shared" si="113"/>
        <v/>
      </c>
      <c r="AP48" s="58" t="str">
        <f t="shared" si="114"/>
        <v/>
      </c>
      <c r="AQ48" s="58" t="str">
        <f t="shared" si="115"/>
        <v/>
      </c>
      <c r="AR48" s="59" t="str">
        <f t="shared" si="116"/>
        <v/>
      </c>
      <c r="AS48" s="20"/>
      <c r="AT48" s="48"/>
      <c r="AU48" s="48"/>
      <c r="AV48" s="61" t="str">
        <f>IF(_xlfn.XLOOKUP(AT48, AutoFill_classes!$A:$A, AutoFill_classes!$B:$B,"")=0,"",_xlfn.XLOOKUP(AT48, AutoFill_classes!$A:$A, AutoFill_classes!$B:$B,""))</f>
        <v/>
      </c>
      <c r="AW48" s="154"/>
      <c r="AX48" s="16"/>
      <c r="AY48" s="16"/>
      <c r="AZ48" s="16"/>
      <c r="BA48" s="16"/>
      <c r="BB48" s="16"/>
      <c r="BC48" s="145"/>
      <c r="BD48" s="27"/>
      <c r="BE48" s="60" t="str">
        <f t="shared" si="117"/>
        <v/>
      </c>
      <c r="BF48" s="32"/>
      <c r="BG48" s="32"/>
      <c r="BH48" s="32"/>
      <c r="BI48" s="32"/>
      <c r="BJ48" s="58" t="str">
        <f t="shared" si="118"/>
        <v/>
      </c>
      <c r="BK48" s="20"/>
      <c r="BL48" s="58" t="str">
        <f t="shared" si="119"/>
        <v/>
      </c>
      <c r="BM48" s="32"/>
      <c r="BN48" s="32"/>
      <c r="BO48" s="58" t="str">
        <f t="shared" si="120"/>
        <v/>
      </c>
      <c r="BP48" s="20"/>
      <c r="BQ48" s="58" t="str">
        <f t="shared" si="121"/>
        <v/>
      </c>
      <c r="BR48" s="32"/>
      <c r="BS48" s="32"/>
      <c r="BT48" s="58" t="str">
        <f t="shared" si="122"/>
        <v/>
      </c>
      <c r="BU48" s="58" t="str">
        <f t="shared" si="123"/>
        <v/>
      </c>
      <c r="BV48" s="58" t="str">
        <f t="shared" si="124"/>
        <v/>
      </c>
      <c r="BW48" s="59" t="str">
        <f t="shared" si="125"/>
        <v/>
      </c>
      <c r="BX48" s="16"/>
      <c r="BY48" s="21"/>
      <c r="BZ48" s="20"/>
      <c r="CA48" s="61" t="str">
        <f>IF(_xlfn.XLOOKUP(BY48, AutoFill_classes!$A:$A, AutoFill_classes!$B:$B,"")=0,"",_xlfn.XLOOKUP(BY48, AutoFill_classes!$A:$A, AutoFill_classes!$B:$B,""))</f>
        <v/>
      </c>
      <c r="CB48" s="154"/>
      <c r="CC48" s="20"/>
      <c r="CD48" s="20"/>
      <c r="CE48" s="20"/>
      <c r="CF48" s="33"/>
      <c r="CG48" s="34"/>
      <c r="CH48" s="145"/>
      <c r="CI48" s="35"/>
      <c r="CJ48" s="60" t="str">
        <f t="shared" si="126"/>
        <v/>
      </c>
      <c r="CK48" s="32"/>
      <c r="CL48" s="32"/>
      <c r="CM48" s="32"/>
      <c r="CN48" s="32"/>
      <c r="CO48" s="58" t="str">
        <f t="shared" si="127"/>
        <v/>
      </c>
      <c r="CP48" s="20"/>
      <c r="CQ48" s="58" t="str">
        <f t="shared" si="128"/>
        <v/>
      </c>
      <c r="CR48" s="32"/>
      <c r="CS48" s="32"/>
      <c r="CT48" s="58" t="str">
        <f t="shared" si="129"/>
        <v/>
      </c>
      <c r="CU48" s="20"/>
      <c r="CV48" s="58" t="str">
        <f t="shared" si="130"/>
        <v/>
      </c>
      <c r="CW48" s="32"/>
      <c r="CX48" s="32"/>
      <c r="CY48" s="58" t="str">
        <f t="shared" si="131"/>
        <v/>
      </c>
      <c r="CZ48" s="58" t="str">
        <f t="shared" si="132"/>
        <v/>
      </c>
      <c r="DA48" s="58" t="str">
        <f t="shared" si="133"/>
        <v/>
      </c>
      <c r="DB48" s="59" t="str">
        <f t="shared" si="134"/>
        <v/>
      </c>
      <c r="DC48" s="20"/>
      <c r="DD48" s="144"/>
      <c r="DE48" s="91">
        <v>47</v>
      </c>
      <c r="DF48" s="39"/>
      <c r="DG48" s="39"/>
      <c r="DH48" s="39"/>
      <c r="DI48" s="39"/>
      <c r="DJ48" s="39"/>
      <c r="DK48" s="39"/>
      <c r="DL48" s="39"/>
      <c r="DM48" s="39"/>
      <c r="DN48" s="39"/>
      <c r="DO48" s="39"/>
      <c r="DP48" s="39"/>
      <c r="DQ48" s="39"/>
      <c r="DR48" s="39"/>
      <c r="DS48" s="39"/>
      <c r="DT48" s="39"/>
      <c r="DU48" s="39"/>
      <c r="DV48" s="39"/>
      <c r="DW48" s="39"/>
      <c r="DX48" s="39"/>
      <c r="DY48" s="39"/>
      <c r="DZ48" s="39"/>
      <c r="EA48" s="39"/>
      <c r="EB48" s="39"/>
      <c r="EC48" s="39"/>
      <c r="ED48" s="39"/>
      <c r="EE48" s="39"/>
      <c r="EF48" s="39"/>
      <c r="EG48" s="39"/>
      <c r="EH48" s="39"/>
      <c r="EI48" s="39"/>
      <c r="EJ48" s="39"/>
      <c r="EK48" s="39"/>
      <c r="EL48" s="39"/>
      <c r="EM48" s="39"/>
      <c r="EN48" s="39"/>
      <c r="EO48" s="39"/>
      <c r="EP48" s="39"/>
      <c r="EQ48" s="39"/>
      <c r="ER48" s="39"/>
      <c r="ES48" s="39"/>
      <c r="ET48" s="39"/>
      <c r="EU48" s="39"/>
      <c r="EV48" s="39"/>
      <c r="EW48" s="39"/>
      <c r="EX48" s="39"/>
      <c r="EY48" s="39"/>
      <c r="EZ48" s="39"/>
      <c r="FA48" s="39"/>
      <c r="FB48" s="39"/>
      <c r="FC48" s="39"/>
      <c r="FD48" s="39"/>
      <c r="FE48" s="39"/>
      <c r="FF48" s="39"/>
      <c r="FG48" s="39"/>
      <c r="FH48" s="39"/>
      <c r="FI48" s="39"/>
      <c r="FJ48" s="39"/>
      <c r="FK48" s="39"/>
      <c r="FL48" s="39"/>
      <c r="FM48" s="39"/>
      <c r="FN48" s="39"/>
      <c r="FO48" s="39"/>
      <c r="FP48" s="39"/>
      <c r="FQ48" s="39"/>
      <c r="FR48" s="39"/>
      <c r="FS48" s="39"/>
      <c r="FT48" s="39"/>
    </row>
    <row r="49" spans="1:176" s="22" customFormat="1" ht="13">
      <c r="A49" s="7"/>
      <c r="B49" s="23" t="str">
        <f>IF(_xlfn.XLOOKUP(A49, AutoFill_names!B:B, AutoFill_names!C:C,"")=0,"",_xlfn.XLOOKUP(A49, AutoFill_names!B:B, AutoFill_names!C:C,""))</f>
        <v/>
      </c>
      <c r="C49" s="23" t="str">
        <f>IF(_xlfn.XLOOKUP(A49, AutoFill_names!B:B, AutoFill_names!D:D,"")=0,"",_xlfn.XLOOKUP(A49, AutoFill_names!B:B, AutoFill_names!D:D,""))</f>
        <v/>
      </c>
      <c r="D49" s="23" t="str">
        <f>IF(_xlfn.XLOOKUP(A49, AutoFill_names!B:B, AutoFill_names!E:E,"")=0,"",_xlfn.XLOOKUP(A49, AutoFill_names!B:B, AutoFill_names!E:E,""))</f>
        <v/>
      </c>
      <c r="E49" s="23" t="str">
        <f>IF(_xlfn.XLOOKUP(A49, AutoFill_names!B:B, AutoFill_names!F:F,"")=0,"",_xlfn.XLOOKUP(A49, AutoFill_names!B:B, AutoFill_names!F:F,""))</f>
        <v/>
      </c>
      <c r="F49" s="4"/>
      <c r="G49" s="4"/>
      <c r="H49" s="4"/>
      <c r="I49" s="4"/>
      <c r="J49" s="23" t="str">
        <f>IF(_xlfn.XLOOKUP(A49, AutoFill_names!B:B, AutoFill_names!K:K,"")=0,"",_xlfn.XLOOKUP(A49, AutoFill_names!B:B, AutoFill_names!K:K,""))</f>
        <v/>
      </c>
      <c r="K49" s="23" t="str">
        <f>IF(_xlfn.XLOOKUP(A49, AutoFill_names!B:B, AutoFill_names!L:L,"")=0,"",_xlfn.XLOOKUP(A49, AutoFill_names!B:B, AutoFill_names!L:L,""))</f>
        <v/>
      </c>
      <c r="L49" s="5"/>
      <c r="M49" s="5"/>
      <c r="N49" s="61" t="str">
        <f>IF(_xlfn.XLOOKUP(L49, AutoFill_classes!A:A, AutoFill_classes!B:B,"")=0,"",_xlfn.XLOOKUP(L49, AutoFill_classes!A:A, AutoFill_classes!B:B,""))</f>
        <v/>
      </c>
      <c r="O49" s="154"/>
      <c r="P49" s="10"/>
      <c r="Q49" s="10"/>
      <c r="R49" s="10"/>
      <c r="S49" s="5"/>
      <c r="T49" s="5"/>
      <c r="U49" s="5"/>
      <c r="V49" s="4"/>
      <c r="W49" s="4"/>
      <c r="X49" s="145"/>
      <c r="Y49" s="29"/>
      <c r="Z49" s="60" t="str">
        <f t="shared" si="108"/>
        <v/>
      </c>
      <c r="AA49" s="32"/>
      <c r="AB49" s="32"/>
      <c r="AC49" s="32"/>
      <c r="AD49" s="32"/>
      <c r="AE49" s="58" t="str">
        <f t="shared" si="109"/>
        <v/>
      </c>
      <c r="AF49" s="20"/>
      <c r="AG49" s="58" t="str">
        <f t="shared" si="110"/>
        <v/>
      </c>
      <c r="AH49" s="32"/>
      <c r="AI49" s="32"/>
      <c r="AJ49" s="58" t="str">
        <f t="shared" si="111"/>
        <v/>
      </c>
      <c r="AK49" s="20"/>
      <c r="AL49" s="58" t="str">
        <f t="shared" si="112"/>
        <v/>
      </c>
      <c r="AM49" s="32"/>
      <c r="AN49" s="32"/>
      <c r="AO49" s="58" t="str">
        <f t="shared" si="113"/>
        <v/>
      </c>
      <c r="AP49" s="58" t="str">
        <f t="shared" si="114"/>
        <v/>
      </c>
      <c r="AQ49" s="58" t="str">
        <f t="shared" si="115"/>
        <v/>
      </c>
      <c r="AR49" s="59" t="str">
        <f t="shared" si="116"/>
        <v/>
      </c>
      <c r="AS49" s="20"/>
      <c r="AT49" s="47"/>
      <c r="AU49" s="47"/>
      <c r="AV49" s="61" t="str">
        <f>IF(_xlfn.XLOOKUP(AT49, AutoFill_classes!$A:$A, AutoFill_classes!$B:$B,"")=0,"",_xlfn.XLOOKUP(AT49, AutoFill_classes!$A:$A, AutoFill_classes!$B:$B,""))</f>
        <v/>
      </c>
      <c r="AW49" s="154"/>
      <c r="AX49" s="16"/>
      <c r="AY49" s="16"/>
      <c r="AZ49" s="16"/>
      <c r="BA49" s="16"/>
      <c r="BB49" s="16"/>
      <c r="BC49" s="145"/>
      <c r="BD49" s="27"/>
      <c r="BE49" s="60" t="str">
        <f t="shared" si="117"/>
        <v/>
      </c>
      <c r="BF49" s="32"/>
      <c r="BG49" s="32"/>
      <c r="BH49" s="32"/>
      <c r="BI49" s="32"/>
      <c r="BJ49" s="58" t="str">
        <f t="shared" si="118"/>
        <v/>
      </c>
      <c r="BK49" s="20"/>
      <c r="BL49" s="58" t="str">
        <f t="shared" si="119"/>
        <v/>
      </c>
      <c r="BM49" s="32"/>
      <c r="BN49" s="32"/>
      <c r="BO49" s="58" t="str">
        <f t="shared" si="120"/>
        <v/>
      </c>
      <c r="BP49" s="20"/>
      <c r="BQ49" s="58" t="str">
        <f t="shared" si="121"/>
        <v/>
      </c>
      <c r="BR49" s="32"/>
      <c r="BS49" s="32"/>
      <c r="BT49" s="58" t="str">
        <f t="shared" si="122"/>
        <v/>
      </c>
      <c r="BU49" s="58" t="str">
        <f t="shared" si="123"/>
        <v/>
      </c>
      <c r="BV49" s="58" t="str">
        <f t="shared" si="124"/>
        <v/>
      </c>
      <c r="BW49" s="59" t="str">
        <f t="shared" si="125"/>
        <v/>
      </c>
      <c r="BX49" s="16"/>
      <c r="BY49" s="21"/>
      <c r="BZ49" s="20"/>
      <c r="CA49" s="61" t="str">
        <f>IF(_xlfn.XLOOKUP(BY49, AutoFill_classes!$A:$A, AutoFill_classes!$B:$B,"")=0,"",_xlfn.XLOOKUP(BY49, AutoFill_classes!$A:$A, AutoFill_classes!$B:$B,""))</f>
        <v/>
      </c>
      <c r="CB49" s="154"/>
      <c r="CC49" s="20"/>
      <c r="CD49" s="20"/>
      <c r="CE49" s="20"/>
      <c r="CF49" s="33"/>
      <c r="CG49" s="34"/>
      <c r="CH49" s="145"/>
      <c r="CI49" s="35"/>
      <c r="CJ49" s="60" t="str">
        <f t="shared" si="126"/>
        <v/>
      </c>
      <c r="CK49" s="32"/>
      <c r="CL49" s="32"/>
      <c r="CM49" s="32"/>
      <c r="CN49" s="32"/>
      <c r="CO49" s="58" t="str">
        <f t="shared" si="127"/>
        <v/>
      </c>
      <c r="CP49" s="20"/>
      <c r="CQ49" s="58" t="str">
        <f t="shared" si="128"/>
        <v/>
      </c>
      <c r="CR49" s="32"/>
      <c r="CS49" s="32"/>
      <c r="CT49" s="58" t="str">
        <f t="shared" si="129"/>
        <v/>
      </c>
      <c r="CU49" s="20"/>
      <c r="CV49" s="58" t="str">
        <f t="shared" si="130"/>
        <v/>
      </c>
      <c r="CW49" s="32"/>
      <c r="CX49" s="32"/>
      <c r="CY49" s="58" t="str">
        <f t="shared" si="131"/>
        <v/>
      </c>
      <c r="CZ49" s="58" t="str">
        <f t="shared" si="132"/>
        <v/>
      </c>
      <c r="DA49" s="58" t="str">
        <f t="shared" si="133"/>
        <v/>
      </c>
      <c r="DB49" s="59" t="str">
        <f t="shared" si="134"/>
        <v/>
      </c>
      <c r="DC49" s="20"/>
      <c r="DD49" s="144"/>
      <c r="DE49" s="91">
        <v>48</v>
      </c>
      <c r="DF49" s="39"/>
      <c r="DG49" s="39"/>
      <c r="DH49" s="39"/>
      <c r="DI49" s="39"/>
      <c r="DJ49" s="39"/>
      <c r="DK49" s="39"/>
      <c r="DL49" s="39"/>
      <c r="DM49" s="39"/>
      <c r="DN49" s="39"/>
      <c r="DO49" s="39"/>
      <c r="DP49" s="39"/>
      <c r="DQ49" s="39"/>
      <c r="DR49" s="39"/>
      <c r="DS49" s="39"/>
      <c r="DT49" s="39"/>
      <c r="DU49" s="39"/>
      <c r="DV49" s="39"/>
      <c r="DW49" s="39"/>
      <c r="DX49" s="39"/>
      <c r="DY49" s="39"/>
      <c r="DZ49" s="39"/>
      <c r="EA49" s="39"/>
      <c r="EB49" s="39"/>
      <c r="EC49" s="39"/>
      <c r="ED49" s="39"/>
      <c r="EE49" s="39"/>
      <c r="EF49" s="39"/>
      <c r="EG49" s="39"/>
      <c r="EH49" s="39"/>
      <c r="EI49" s="39"/>
      <c r="EJ49" s="39"/>
      <c r="EK49" s="39"/>
      <c r="EL49" s="39"/>
      <c r="EM49" s="39"/>
      <c r="EN49" s="39"/>
      <c r="EO49" s="39"/>
      <c r="EP49" s="39"/>
      <c r="EQ49" s="39"/>
      <c r="ER49" s="39"/>
      <c r="ES49" s="39"/>
      <c r="ET49" s="39"/>
      <c r="EU49" s="39"/>
      <c r="EV49" s="39"/>
      <c r="EW49" s="39"/>
      <c r="EX49" s="39"/>
      <c r="EY49" s="39"/>
      <c r="EZ49" s="39"/>
      <c r="FA49" s="39"/>
      <c r="FB49" s="39"/>
      <c r="FC49" s="39"/>
      <c r="FD49" s="39"/>
      <c r="FE49" s="39"/>
      <c r="FF49" s="39"/>
      <c r="FG49" s="39"/>
      <c r="FH49" s="39"/>
      <c r="FI49" s="39"/>
      <c r="FJ49" s="39"/>
      <c r="FK49" s="39"/>
      <c r="FL49" s="39"/>
      <c r="FM49" s="39"/>
      <c r="FN49" s="39"/>
      <c r="FO49" s="39"/>
      <c r="FP49" s="39"/>
      <c r="FQ49" s="39"/>
      <c r="FR49" s="39"/>
      <c r="FS49" s="39"/>
      <c r="FT49" s="39"/>
    </row>
    <row r="50" spans="1:176" s="22" customFormat="1" ht="13">
      <c r="A50" s="7"/>
      <c r="B50" s="23" t="str">
        <f>IF(_xlfn.XLOOKUP(A50, AutoFill_names!B:B, AutoFill_names!C:C,"")=0,"",_xlfn.XLOOKUP(A50, AutoFill_names!B:B, AutoFill_names!C:C,""))</f>
        <v/>
      </c>
      <c r="C50" s="23" t="str">
        <f>IF(_xlfn.XLOOKUP(A50, AutoFill_names!B:B, AutoFill_names!D:D,"")=0,"",_xlfn.XLOOKUP(A50, AutoFill_names!B:B, AutoFill_names!D:D,""))</f>
        <v/>
      </c>
      <c r="D50" s="23" t="str">
        <f>IF(_xlfn.XLOOKUP(A50, AutoFill_names!B:B, AutoFill_names!E:E,"")=0,"",_xlfn.XLOOKUP(A50, AutoFill_names!B:B, AutoFill_names!E:E,""))</f>
        <v/>
      </c>
      <c r="E50" s="23" t="str">
        <f>IF(_xlfn.XLOOKUP(A50, AutoFill_names!B:B, AutoFill_names!F:F,"")=0,"",_xlfn.XLOOKUP(A50, AutoFill_names!B:B, AutoFill_names!F:F,""))</f>
        <v/>
      </c>
      <c r="F50" s="4"/>
      <c r="G50" s="4"/>
      <c r="H50" s="4"/>
      <c r="I50" s="4"/>
      <c r="J50" s="23" t="str">
        <f>IF(_xlfn.XLOOKUP(A50, AutoFill_names!B:B, AutoFill_names!K:K,"")=0,"",_xlfn.XLOOKUP(A50, AutoFill_names!B:B, AutoFill_names!K:K,""))</f>
        <v/>
      </c>
      <c r="K50" s="23" t="str">
        <f>IF(_xlfn.XLOOKUP(A50, AutoFill_names!B:B, AutoFill_names!L:L,"")=0,"",_xlfn.XLOOKUP(A50, AutoFill_names!B:B, AutoFill_names!L:L,""))</f>
        <v/>
      </c>
      <c r="L50" s="4"/>
      <c r="M50" s="4"/>
      <c r="N50" s="61" t="str">
        <f>IF(_xlfn.XLOOKUP(L50, AutoFill_classes!A:A, AutoFill_classes!B:B,"")=0,"",_xlfn.XLOOKUP(L50, AutoFill_classes!A:A, AutoFill_classes!B:B,""))</f>
        <v/>
      </c>
      <c r="O50" s="154"/>
      <c r="P50" s="9"/>
      <c r="Q50" s="9"/>
      <c r="R50" s="9"/>
      <c r="S50" s="4"/>
      <c r="T50" s="4"/>
      <c r="U50" s="4"/>
      <c r="V50" s="4"/>
      <c r="W50" s="4"/>
      <c r="X50" s="144"/>
      <c r="Y50" s="27"/>
      <c r="Z50" s="60" t="str">
        <f t="shared" si="108"/>
        <v/>
      </c>
      <c r="AA50" s="32"/>
      <c r="AB50" s="32"/>
      <c r="AC50" s="32"/>
      <c r="AD50" s="32"/>
      <c r="AE50" s="58" t="str">
        <f t="shared" si="109"/>
        <v/>
      </c>
      <c r="AF50" s="20"/>
      <c r="AG50" s="58" t="str">
        <f t="shared" si="110"/>
        <v/>
      </c>
      <c r="AH50" s="32"/>
      <c r="AI50" s="32"/>
      <c r="AJ50" s="58" t="str">
        <f t="shared" si="111"/>
        <v/>
      </c>
      <c r="AK50" s="20"/>
      <c r="AL50" s="58" t="str">
        <f t="shared" si="112"/>
        <v/>
      </c>
      <c r="AM50" s="32"/>
      <c r="AN50" s="32"/>
      <c r="AO50" s="58" t="str">
        <f t="shared" si="113"/>
        <v/>
      </c>
      <c r="AP50" s="58" t="str">
        <f t="shared" si="114"/>
        <v/>
      </c>
      <c r="AQ50" s="58" t="str">
        <f t="shared" si="115"/>
        <v/>
      </c>
      <c r="AR50" s="59" t="str">
        <f t="shared" si="116"/>
        <v/>
      </c>
      <c r="AS50" s="20"/>
      <c r="AT50" s="14"/>
      <c r="AU50" s="14"/>
      <c r="AV50" s="61" t="str">
        <f>IF(_xlfn.XLOOKUP(AT50, AutoFill_classes!$A:$A, AutoFill_classes!$B:$B,"")=0,"",_xlfn.XLOOKUP(AT50, AutoFill_classes!$A:$A, AutoFill_classes!$B:$B,""))</f>
        <v/>
      </c>
      <c r="AW50" s="154"/>
      <c r="AX50" s="14"/>
      <c r="AY50" s="14"/>
      <c r="AZ50" s="14"/>
      <c r="BA50" s="16"/>
      <c r="BB50" s="16"/>
      <c r="BC50" s="144"/>
      <c r="BD50" s="27"/>
      <c r="BE50" s="60" t="str">
        <f t="shared" si="117"/>
        <v/>
      </c>
      <c r="BF50" s="32"/>
      <c r="BG50" s="32"/>
      <c r="BH50" s="32"/>
      <c r="BI50" s="32"/>
      <c r="BJ50" s="58" t="str">
        <f t="shared" si="118"/>
        <v/>
      </c>
      <c r="BK50" s="20"/>
      <c r="BL50" s="58" t="str">
        <f t="shared" si="119"/>
        <v/>
      </c>
      <c r="BM50" s="32"/>
      <c r="BN50" s="32"/>
      <c r="BO50" s="58" t="str">
        <f t="shared" si="120"/>
        <v/>
      </c>
      <c r="BP50" s="20"/>
      <c r="BQ50" s="58" t="str">
        <f t="shared" si="121"/>
        <v/>
      </c>
      <c r="BR50" s="32"/>
      <c r="BS50" s="32"/>
      <c r="BT50" s="58" t="str">
        <f t="shared" si="122"/>
        <v/>
      </c>
      <c r="BU50" s="58" t="str">
        <f t="shared" si="123"/>
        <v/>
      </c>
      <c r="BV50" s="58" t="str">
        <f t="shared" si="124"/>
        <v/>
      </c>
      <c r="BW50" s="59" t="str">
        <f t="shared" si="125"/>
        <v/>
      </c>
      <c r="BX50" s="16"/>
      <c r="BY50" s="21"/>
      <c r="BZ50" s="20"/>
      <c r="CA50" s="61" t="str">
        <f>IF(_xlfn.XLOOKUP(BY50, AutoFill_classes!$A:$A, AutoFill_classes!$B:$B,"")=0,"",_xlfn.XLOOKUP(BY50, AutoFill_classes!$A:$A, AutoFill_classes!$B:$B,""))</f>
        <v/>
      </c>
      <c r="CB50" s="154"/>
      <c r="CC50" s="20"/>
      <c r="CD50" s="20"/>
      <c r="CE50" s="20"/>
      <c r="CF50" s="33"/>
      <c r="CG50" s="34"/>
      <c r="CH50" s="144"/>
      <c r="CI50" s="35"/>
      <c r="CJ50" s="60" t="str">
        <f t="shared" si="126"/>
        <v/>
      </c>
      <c r="CK50" s="32"/>
      <c r="CL50" s="32"/>
      <c r="CM50" s="32"/>
      <c r="CN50" s="32"/>
      <c r="CO50" s="58" t="str">
        <f t="shared" si="127"/>
        <v/>
      </c>
      <c r="CP50" s="20"/>
      <c r="CQ50" s="58" t="str">
        <f t="shared" si="128"/>
        <v/>
      </c>
      <c r="CR50" s="32"/>
      <c r="CS50" s="32"/>
      <c r="CT50" s="58" t="str">
        <f t="shared" si="129"/>
        <v/>
      </c>
      <c r="CU50" s="20"/>
      <c r="CV50" s="58" t="str">
        <f t="shared" si="130"/>
        <v/>
      </c>
      <c r="CW50" s="32"/>
      <c r="CX50" s="32"/>
      <c r="CY50" s="58" t="str">
        <f t="shared" si="131"/>
        <v/>
      </c>
      <c r="CZ50" s="58" t="str">
        <f t="shared" si="132"/>
        <v/>
      </c>
      <c r="DA50" s="58" t="str">
        <f t="shared" si="133"/>
        <v/>
      </c>
      <c r="DB50" s="59" t="str">
        <f t="shared" si="134"/>
        <v/>
      </c>
      <c r="DC50" s="20"/>
      <c r="DD50" s="145"/>
      <c r="DE50" s="91">
        <v>49</v>
      </c>
      <c r="DF50" s="39"/>
      <c r="DG50" s="39"/>
      <c r="DH50" s="39"/>
      <c r="DI50" s="39"/>
      <c r="DJ50" s="39"/>
      <c r="DK50" s="39"/>
      <c r="DL50" s="39"/>
      <c r="DM50" s="39"/>
      <c r="DN50" s="39"/>
      <c r="DO50" s="39"/>
      <c r="DP50" s="39"/>
      <c r="DQ50" s="39"/>
      <c r="DR50" s="39"/>
      <c r="DS50" s="39"/>
      <c r="DT50" s="39"/>
      <c r="DU50" s="39"/>
      <c r="DV50" s="39"/>
      <c r="DW50" s="39"/>
      <c r="DX50" s="39"/>
      <c r="DY50" s="39"/>
      <c r="DZ50" s="39"/>
      <c r="EA50" s="39"/>
      <c r="EB50" s="39"/>
      <c r="EC50" s="39"/>
      <c r="ED50" s="39"/>
      <c r="EE50" s="39"/>
      <c r="EF50" s="39"/>
      <c r="EG50" s="39"/>
      <c r="EH50" s="39"/>
      <c r="EI50" s="39"/>
      <c r="EJ50" s="39"/>
      <c r="EK50" s="39"/>
      <c r="EL50" s="39"/>
      <c r="EM50" s="39"/>
      <c r="EN50" s="39"/>
      <c r="EO50" s="39"/>
      <c r="EP50" s="39"/>
      <c r="EQ50" s="39"/>
      <c r="ER50" s="39"/>
      <c r="ES50" s="39"/>
      <c r="ET50" s="39"/>
      <c r="EU50" s="39"/>
      <c r="EV50" s="39"/>
      <c r="EW50" s="39"/>
      <c r="EX50" s="39"/>
      <c r="EY50" s="39"/>
      <c r="EZ50" s="39"/>
      <c r="FA50" s="39"/>
      <c r="FB50" s="39"/>
      <c r="FC50" s="39"/>
      <c r="FD50" s="39"/>
      <c r="FE50" s="39"/>
      <c r="FF50" s="39"/>
      <c r="FG50" s="39"/>
      <c r="FH50" s="39"/>
      <c r="FI50" s="39"/>
      <c r="FJ50" s="39"/>
      <c r="FK50" s="39"/>
      <c r="FL50" s="39"/>
      <c r="FM50" s="39"/>
      <c r="FN50" s="39"/>
      <c r="FO50" s="39"/>
      <c r="FP50" s="39"/>
      <c r="FQ50" s="39"/>
      <c r="FR50" s="39"/>
      <c r="FS50" s="39"/>
      <c r="FT50" s="39"/>
    </row>
    <row r="51" spans="1:176" s="113" customFormat="1" ht="51">
      <c r="A51" s="153" t="s">
        <v>1290</v>
      </c>
      <c r="B51" s="93" t="str">
        <f>"Total Credits: " &amp; IFERROR(IF(DD51=0,"",DD51),"")</f>
        <v>Total Credits: 12</v>
      </c>
      <c r="C51" s="114"/>
      <c r="D51" s="114"/>
      <c r="E51" s="114"/>
      <c r="F51" s="114"/>
      <c r="G51" s="114"/>
      <c r="H51" s="114"/>
      <c r="I51" s="114"/>
      <c r="J51" s="114"/>
      <c r="K51" s="114"/>
      <c r="L51" s="126"/>
      <c r="M51" s="126"/>
      <c r="N51" s="127"/>
      <c r="O51" s="127"/>
      <c r="P51" s="96"/>
      <c r="Q51" s="96"/>
      <c r="R51" s="96"/>
      <c r="S51" s="126"/>
      <c r="T51" s="126"/>
      <c r="U51" s="126"/>
      <c r="V51" s="97"/>
      <c r="W51" s="97"/>
      <c r="X51" s="143">
        <f>IF(SUM(X52:X60)=0, "", SUM(X52:X60))</f>
        <v>6</v>
      </c>
      <c r="Y51" s="121"/>
      <c r="Z51" s="122"/>
      <c r="AA51" s="100"/>
      <c r="AB51" s="100"/>
      <c r="AC51" s="100"/>
      <c r="AD51" s="100"/>
      <c r="AE51" s="101"/>
      <c r="AF51" s="102"/>
      <c r="AG51" s="101"/>
      <c r="AH51" s="100"/>
      <c r="AI51" s="100"/>
      <c r="AJ51" s="101"/>
      <c r="AK51" s="102"/>
      <c r="AL51" s="101"/>
      <c r="AM51" s="100"/>
      <c r="AN51" s="100"/>
      <c r="AO51" s="103"/>
      <c r="AP51" s="103"/>
      <c r="AQ51" s="103"/>
      <c r="AR51" s="103"/>
      <c r="AS51" s="104"/>
      <c r="AT51" s="128"/>
      <c r="AU51" s="128"/>
      <c r="AV51" s="127"/>
      <c r="AW51" s="127"/>
      <c r="AX51" s="128"/>
      <c r="AY51" s="128"/>
      <c r="AZ51" s="128"/>
      <c r="BA51" s="112"/>
      <c r="BB51" s="112"/>
      <c r="BC51" s="143">
        <f>IF(SUM(BC52:BC60)=0, "", SUM(BC52:BC60))</f>
        <v>3</v>
      </c>
      <c r="BD51" s="129"/>
      <c r="BE51" s="130"/>
      <c r="BF51" s="131"/>
      <c r="BG51" s="131"/>
      <c r="BH51" s="131"/>
      <c r="BI51" s="131"/>
      <c r="BJ51" s="132"/>
      <c r="BK51" s="128"/>
      <c r="BL51" s="132"/>
      <c r="BM51" s="131"/>
      <c r="BN51" s="131"/>
      <c r="BO51" s="132"/>
      <c r="BP51" s="128"/>
      <c r="BQ51" s="132"/>
      <c r="BR51" s="131"/>
      <c r="BS51" s="131"/>
      <c r="BT51" s="132"/>
      <c r="BU51" s="132"/>
      <c r="BV51" s="132"/>
      <c r="BW51" s="103"/>
      <c r="BX51" s="128"/>
      <c r="BY51" s="128"/>
      <c r="BZ51" s="128"/>
      <c r="CA51" s="127"/>
      <c r="CB51" s="127"/>
      <c r="CC51" s="128"/>
      <c r="CD51" s="128"/>
      <c r="CE51" s="128"/>
      <c r="CF51" s="97"/>
      <c r="CG51" s="98"/>
      <c r="CH51" s="143">
        <f>IF(SUM(CH52:CH60)=0, "", SUM(CH52:CH60))</f>
        <v>3</v>
      </c>
      <c r="CI51" s="121"/>
      <c r="CJ51" s="122"/>
      <c r="CK51" s="123"/>
      <c r="CL51" s="123"/>
      <c r="CM51" s="123"/>
      <c r="CN51" s="123"/>
      <c r="CP51" s="125"/>
      <c r="CR51" s="123"/>
      <c r="CS51" s="123"/>
      <c r="CU51" s="125"/>
      <c r="CW51" s="123"/>
      <c r="CX51" s="123"/>
      <c r="DB51" s="103"/>
      <c r="DC51" s="125"/>
      <c r="DD51" s="143">
        <f>IF(SUM(L51:DC51)=0, "", SUM(L51:DC51))</f>
        <v>12</v>
      </c>
      <c r="DE51" s="91">
        <v>50</v>
      </c>
      <c r="DF51" s="26"/>
      <c r="DG51" s="26"/>
      <c r="DH51" s="26"/>
      <c r="DI51" s="26"/>
      <c r="DJ51" s="26"/>
      <c r="DK51" s="26"/>
      <c r="DL51" s="26"/>
      <c r="DM51" s="26"/>
      <c r="DN51" s="26"/>
      <c r="DO51" s="26"/>
      <c r="DP51" s="26"/>
      <c r="DQ51" s="26"/>
      <c r="DR51" s="26"/>
      <c r="DS51" s="26"/>
      <c r="DT51" s="26"/>
      <c r="DU51" s="26"/>
      <c r="DV51" s="26"/>
      <c r="DW51" s="26"/>
      <c r="DX51" s="26"/>
      <c r="DY51" s="26"/>
      <c r="DZ51" s="26"/>
      <c r="EA51" s="26"/>
      <c r="EB51" s="26"/>
      <c r="EC51" s="26"/>
      <c r="ED51" s="26"/>
      <c r="EE51" s="26"/>
      <c r="EF51" s="26"/>
      <c r="EG51" s="26"/>
      <c r="EH51" s="26"/>
      <c r="EI51" s="26"/>
      <c r="EJ51" s="26"/>
      <c r="EK51" s="26"/>
      <c r="EL51" s="26"/>
      <c r="EM51" s="26"/>
      <c r="EN51" s="26"/>
      <c r="EO51" s="26"/>
      <c r="EP51" s="26"/>
      <c r="EQ51" s="26"/>
      <c r="ER51" s="26"/>
      <c r="ES51" s="26"/>
      <c r="ET51" s="26"/>
      <c r="EU51" s="26"/>
      <c r="EV51" s="26"/>
      <c r="EW51" s="26"/>
      <c r="EX51" s="26"/>
      <c r="EY51" s="26"/>
      <c r="EZ51" s="26"/>
      <c r="FA51" s="26"/>
      <c r="FB51" s="26"/>
      <c r="FC51" s="26"/>
      <c r="FD51" s="26"/>
      <c r="FE51" s="26"/>
      <c r="FF51" s="26"/>
      <c r="FG51" s="26"/>
      <c r="FH51" s="26"/>
      <c r="FI51" s="26"/>
      <c r="FJ51" s="26"/>
      <c r="FK51" s="26"/>
      <c r="FL51" s="26"/>
      <c r="FM51" s="26"/>
      <c r="FN51" s="26"/>
      <c r="FO51" s="26"/>
      <c r="FP51" s="26"/>
      <c r="FQ51" s="26"/>
      <c r="FR51" s="26"/>
      <c r="FS51" s="26"/>
      <c r="FT51" s="26"/>
    </row>
    <row r="52" spans="1:176" s="22" customFormat="1" ht="13">
      <c r="A52" s="7" t="s">
        <v>181</v>
      </c>
      <c r="B52" s="23" t="str">
        <f>IF(_xlfn.XLOOKUP(A52, AutoFill_names!B:B, AutoFill_names!C:C,"")=0,"",_xlfn.XLOOKUP(A52, AutoFill_names!B:B, AutoFill_names!C:C,""))</f>
        <v>000033967</v>
      </c>
      <c r="C52" s="23" t="str">
        <f>IF(_xlfn.XLOOKUP(A52, AutoFill_names!B:B, AutoFill_names!D:D,"")=0,"",_xlfn.XLOOKUP(A52, AutoFill_names!B:B, AutoFill_names!D:D,""))</f>
        <v>ricardo@andrews.edu</v>
      </c>
      <c r="D52" s="23" t="str">
        <f>IF(_xlfn.XLOOKUP(A52, AutoFill_names!B:B, AutoFill_names!E:E,"")=0,"",_xlfn.XLOOKUP(A52, AutoFill_names!B:B, AutoFill_names!E:E,""))</f>
        <v/>
      </c>
      <c r="E52" s="23" t="str">
        <f>IF(_xlfn.XLOOKUP(A52, AutoFill_names!B:B, AutoFill_names!F:F,"")=0,"",_xlfn.XLOOKUP(A52, AutoFill_names!B:B, AutoFill_names!F:F,""))</f>
        <v/>
      </c>
      <c r="F52" s="4"/>
      <c r="G52" s="4"/>
      <c r="H52" s="4"/>
      <c r="I52" s="4"/>
      <c r="J52" s="23" t="str">
        <f>IF(_xlfn.XLOOKUP(A52, AutoFill_names!B:B, AutoFill_names!K:K,"")=0,"",_xlfn.XLOOKUP(A52, AutoFill_names!B:B, AutoFill_names!K:K,""))</f>
        <v/>
      </c>
      <c r="K52" s="23" t="str">
        <f>IF(_xlfn.XLOOKUP(A52, AutoFill_names!B:B, AutoFill_names!L:L,"")=0,"",_xlfn.XLOOKUP(A52, AutoFill_names!B:B, AutoFill_names!L:L,""))</f>
        <v/>
      </c>
      <c r="L52" s="46" t="s">
        <v>620</v>
      </c>
      <c r="M52" s="46"/>
      <c r="N52" s="61" t="str">
        <f>IF(_xlfn.XLOOKUP(L52, AutoFill_classes!A:A, AutoFill_classes!B:B,"")=0,"",_xlfn.XLOOKUP(L52, AutoFill_classes!A:A, AutoFill_classes!B:B,""))</f>
        <v>Seminar in Preaching</v>
      </c>
      <c r="O52" s="154"/>
      <c r="P52" s="9"/>
      <c r="Q52" s="9"/>
      <c r="R52" s="9"/>
      <c r="S52" s="5" t="s">
        <v>56</v>
      </c>
      <c r="T52" s="5" t="s">
        <v>86</v>
      </c>
      <c r="U52" s="5" t="s">
        <v>87</v>
      </c>
      <c r="V52" s="4" t="s">
        <v>59</v>
      </c>
      <c r="W52" s="4" t="s">
        <v>60</v>
      </c>
      <c r="X52" s="144">
        <v>3</v>
      </c>
      <c r="Y52" s="27"/>
      <c r="Z52" s="60" t="str">
        <f>IF(X52*Y52=0,"",X52*Y52)</f>
        <v/>
      </c>
      <c r="AA52" s="28"/>
      <c r="AB52" s="28"/>
      <c r="AC52" s="28"/>
      <c r="AD52" s="28"/>
      <c r="AE52" s="58" t="str">
        <f t="shared" ref="AE52:AE60" si="135">IF(ROUNDUP((AD52-AC52)/7,0)=0,"",ROUNDUP((AD52-AC52)/7,0))</f>
        <v/>
      </c>
      <c r="AF52" s="19"/>
      <c r="AG52" s="58" t="str">
        <f t="shared" ref="AG52:AG60" si="136">IFERROR(IF(AE52*AF52=0,"",AE52*AF52), "")</f>
        <v/>
      </c>
      <c r="AH52" s="28"/>
      <c r="AI52" s="28"/>
      <c r="AJ52" s="58" t="str">
        <f t="shared" ref="AJ52:AJ60" si="137">IF(ROUNDUP((AI52-AH52)/7,0)=0,"",ROUNDUP((AI52-AH52)/7,0))</f>
        <v/>
      </c>
      <c r="AK52" s="19"/>
      <c r="AL52" s="58" t="str">
        <f t="shared" ref="AL52:AL60" si="138">IFERROR(IF(AJ52*AK52=0,"",AJ52*AK52), "")</f>
        <v/>
      </c>
      <c r="AM52" s="28"/>
      <c r="AN52" s="28"/>
      <c r="AO52" s="58" t="str">
        <f t="shared" ref="AO52:AO60" si="139">IF(ROUNDUP((AN52-AM52)/7,0)=0,"",ROUNDUP((AN52-AM52)/7,0))</f>
        <v/>
      </c>
      <c r="AP52" s="58" t="str">
        <f t="shared" ref="AP52:AP60" si="140">IFERROR(IF((AS52-(AF52+AK52))/AO52=0,"",ROUNDUP((AS52-(AF52+AK52))/AO52,0)), "")</f>
        <v/>
      </c>
      <c r="AQ52" s="58" t="str">
        <f t="shared" ref="AQ52:AQ60" si="141">IFERROR(IF((AS52-(AG52+AL52))=0, "", (AS52-(AG52+AL52))), "")</f>
        <v/>
      </c>
      <c r="AR52" s="59" t="str">
        <f t="shared" ref="AR52:AR60" si="142">IFERROR(IF((AE52+AJ52+AO52)=0, "", (AE52+AJ52+AO52)), "")</f>
        <v/>
      </c>
      <c r="AS52" s="19"/>
      <c r="AT52" s="14" t="s">
        <v>593</v>
      </c>
      <c r="AU52" s="14"/>
      <c r="AV52" s="61" t="str">
        <f>IF(_xlfn.XLOOKUP(AT52, AutoFill_classes!$A:$A, AutoFill_classes!$B:$B,"")=0,"",_xlfn.XLOOKUP(AT52, AutoFill_classes!$A:$A, AutoFill_classes!$B:$B,""))</f>
        <v>Hisp/Amer Culture &amp; Challenges</v>
      </c>
      <c r="AW52" s="154"/>
      <c r="AX52" s="16"/>
      <c r="AY52" s="16" t="s">
        <v>86</v>
      </c>
      <c r="AZ52" s="16" t="s">
        <v>111</v>
      </c>
      <c r="BA52" s="16" t="s">
        <v>59</v>
      </c>
      <c r="BB52" s="16" t="s">
        <v>60</v>
      </c>
      <c r="BC52" s="144">
        <v>3</v>
      </c>
      <c r="BD52" s="27"/>
      <c r="BE52" s="60" t="str">
        <f t="shared" ref="BE52:BE60" si="143">IF(BC52*BD52=0,"",BC52*BD52)</f>
        <v/>
      </c>
      <c r="BF52" s="28"/>
      <c r="BG52" s="28"/>
      <c r="BH52" s="28"/>
      <c r="BI52" s="28"/>
      <c r="BJ52" s="58" t="str">
        <f t="shared" ref="BJ52:BJ60" si="144">IF(ROUNDUP((BI52-BH52)/7,0)=0,"",ROUNDUP((BI52-BH52)/7,0))</f>
        <v/>
      </c>
      <c r="BK52" s="19"/>
      <c r="BL52" s="58" t="str">
        <f t="shared" ref="BL52:BL60" si="145">IFERROR(IF(BJ52*BK52=0,"",BJ52*BK52), "")</f>
        <v/>
      </c>
      <c r="BM52" s="28"/>
      <c r="BN52" s="28"/>
      <c r="BO52" s="58" t="str">
        <f t="shared" ref="BO52:BO60" si="146">IF(ROUNDUP((BN52-BM52)/7,0)=0,"",ROUNDUP((BN52-BM52)/7,0))</f>
        <v/>
      </c>
      <c r="BP52" s="19"/>
      <c r="BQ52" s="58" t="str">
        <f t="shared" ref="BQ52:BQ60" si="147">IFERROR(IF(BO52*BP52=0,"",BO52*BP52), "")</f>
        <v/>
      </c>
      <c r="BR52" s="28"/>
      <c r="BS52" s="28"/>
      <c r="BT52" s="58" t="str">
        <f t="shared" ref="BT52:BT60" si="148">IF(ROUNDUP((BS52-BR52)/7,0)=0,"",ROUNDUP((BS52-BR52)/7,0))</f>
        <v/>
      </c>
      <c r="BU52" s="58" t="str">
        <f t="shared" ref="BU52:BU60" si="149">IFERROR(IF((BX52-(BK52+BP52))/BT52=0,"",ROUNDUP((BX52-(BK52+BP52))/BT52,0)), "")</f>
        <v/>
      </c>
      <c r="BV52" s="58" t="str">
        <f t="shared" ref="BV52:BV60" si="150">IFERROR(IF((BX52-(BL52+BQ52))=0, "", (BX52-(BL52+BQ52))), "")</f>
        <v/>
      </c>
      <c r="BW52" s="59" t="str">
        <f t="shared" ref="BW52:BW60" si="151">IFERROR(IF((BJ52+BO52+BT52)=0, "", (BJ52+BO52+BT52)), "")</f>
        <v/>
      </c>
      <c r="BX52" s="16"/>
      <c r="BY52" s="12" t="s">
        <v>599</v>
      </c>
      <c r="BZ52" s="51"/>
      <c r="CA52" s="61" t="str">
        <f>IF(_xlfn.XLOOKUP(BY52, AutoFill_classes!$A:$A, AutoFill_classes!$B:$B,"")=0,"",_xlfn.XLOOKUP(BY52, AutoFill_classes!$A:$A, AutoFill_classes!$B:$B,""))</f>
        <v>Christn Lead in a Chnging Wrld</v>
      </c>
      <c r="CB52" s="154"/>
      <c r="CC52" s="19" t="s">
        <v>56</v>
      </c>
      <c r="CD52" s="19" t="s">
        <v>86</v>
      </c>
      <c r="CE52" s="19" t="s">
        <v>94</v>
      </c>
      <c r="CF52" s="30" t="s">
        <v>59</v>
      </c>
      <c r="CG52" s="31" t="s">
        <v>60</v>
      </c>
      <c r="CH52" s="144">
        <v>3</v>
      </c>
      <c r="CI52" s="31"/>
      <c r="CJ52" s="60" t="str">
        <f t="shared" ref="CJ52:CJ60" si="152">IF(CH52*CI52=0,"",CH52*CI52)</f>
        <v/>
      </c>
      <c r="CK52" s="28"/>
      <c r="CL52" s="28"/>
      <c r="CM52" s="28"/>
      <c r="CN52" s="28"/>
      <c r="CO52" s="58" t="str">
        <f t="shared" ref="CO52:CO60" si="153">IF(ROUNDUP((CN52-CM52)/7,0)=0,"",ROUNDUP((CN52-CM52)/7,0))</f>
        <v/>
      </c>
      <c r="CP52" s="19"/>
      <c r="CQ52" s="58" t="str">
        <f t="shared" ref="CQ52:CQ60" si="154">IFERROR(IF(CO52*CP52=0,"",CO52*CP52), "")</f>
        <v/>
      </c>
      <c r="CR52" s="28"/>
      <c r="CS52" s="28"/>
      <c r="CT52" s="58" t="str">
        <f t="shared" ref="CT52:CT60" si="155">IF(ROUNDUP((CS52-CR52)/7,0)=0,"",ROUNDUP((CS52-CR52)/7,0))</f>
        <v/>
      </c>
      <c r="CU52" s="19"/>
      <c r="CV52" s="58" t="str">
        <f t="shared" ref="CV52:CV60" si="156">IFERROR(IF(CT52*CU52=0,"",CT52*CU52), "")</f>
        <v/>
      </c>
      <c r="CW52" s="28"/>
      <c r="CX52" s="28"/>
      <c r="CY52" s="58" t="str">
        <f t="shared" ref="CY52:CY60" si="157">IF(ROUNDUP((CX52-CW52)/7,0)=0,"",ROUNDUP((CX52-CW52)/7,0))</f>
        <v/>
      </c>
      <c r="CZ52" s="58" t="str">
        <f t="shared" ref="CZ52:CZ60" si="158">IFERROR(IF((DC52-(CP52+CU52))/CY52=0,"",ROUNDUP((DC52-(CP52+CU52))/CY52,0)), "")</f>
        <v/>
      </c>
      <c r="DA52" s="58" t="str">
        <f t="shared" ref="DA52:DA60" si="159">IFERROR(IF((DC52-(CQ52+CV52))=0, "", (DC52-(CQ52+CV52))), "")</f>
        <v/>
      </c>
      <c r="DB52" s="59" t="str">
        <f t="shared" ref="DB52:DB60" si="160">IFERROR(IF((CO52+CT52+CY52)=0, "", (CO52+CT52+CY52)), "")</f>
        <v/>
      </c>
      <c r="DC52" s="19"/>
      <c r="DD52" s="145"/>
      <c r="DE52" s="91">
        <v>51</v>
      </c>
      <c r="DF52" s="39"/>
      <c r="DG52" s="39"/>
      <c r="DH52" s="39"/>
      <c r="DI52" s="39"/>
      <c r="DJ52" s="39"/>
      <c r="DK52" s="39"/>
      <c r="DL52" s="39"/>
      <c r="DM52" s="39"/>
      <c r="DN52" s="39"/>
      <c r="DO52" s="39"/>
      <c r="DP52" s="39"/>
      <c r="DQ52" s="39"/>
      <c r="DR52" s="39"/>
      <c r="DS52" s="39"/>
      <c r="DT52" s="39"/>
      <c r="DU52" s="39"/>
      <c r="DV52" s="39"/>
      <c r="DW52" s="39"/>
      <c r="DX52" s="39"/>
      <c r="DY52" s="39"/>
      <c r="DZ52" s="39"/>
      <c r="EA52" s="39"/>
      <c r="EB52" s="39"/>
      <c r="EC52" s="39"/>
      <c r="ED52" s="39"/>
      <c r="EE52" s="39"/>
      <c r="EF52" s="39"/>
      <c r="EG52" s="39"/>
      <c r="EH52" s="39"/>
      <c r="EI52" s="39"/>
      <c r="EJ52" s="39"/>
      <c r="EK52" s="39"/>
      <c r="EL52" s="39"/>
      <c r="EM52" s="39"/>
      <c r="EN52" s="39"/>
      <c r="EO52" s="39"/>
      <c r="EP52" s="39"/>
      <c r="EQ52" s="39"/>
      <c r="ER52" s="39"/>
      <c r="ES52" s="39"/>
      <c r="ET52" s="39"/>
      <c r="EU52" s="39"/>
      <c r="EV52" s="39"/>
      <c r="EW52" s="39"/>
      <c r="EX52" s="39"/>
      <c r="EY52" s="39"/>
      <c r="EZ52" s="39"/>
      <c r="FA52" s="39"/>
      <c r="FB52" s="39"/>
      <c r="FC52" s="39"/>
      <c r="FD52" s="39"/>
      <c r="FE52" s="39"/>
      <c r="FF52" s="39"/>
      <c r="FG52" s="39"/>
      <c r="FH52" s="39"/>
      <c r="FI52" s="39"/>
      <c r="FJ52" s="39"/>
      <c r="FK52" s="39"/>
      <c r="FL52" s="39"/>
      <c r="FM52" s="39"/>
      <c r="FN52" s="39"/>
      <c r="FO52" s="39"/>
      <c r="FP52" s="39"/>
      <c r="FQ52" s="39"/>
      <c r="FR52" s="39"/>
      <c r="FS52" s="39"/>
      <c r="FT52" s="39"/>
    </row>
    <row r="53" spans="1:176" s="22" customFormat="1" ht="13">
      <c r="A53" s="7" t="s">
        <v>181</v>
      </c>
      <c r="B53" s="23" t="str">
        <f>IF(_xlfn.XLOOKUP(A53, AutoFill_names!B:B, AutoFill_names!C:C,"")=0,"",_xlfn.XLOOKUP(A53, AutoFill_names!B:B, AutoFill_names!C:C,""))</f>
        <v>000033967</v>
      </c>
      <c r="C53" s="23" t="str">
        <f>IF(_xlfn.XLOOKUP(A53, AutoFill_names!B:B, AutoFill_names!D:D,"")=0,"",_xlfn.XLOOKUP(A53, AutoFill_names!B:B, AutoFill_names!D:D,""))</f>
        <v>ricardo@andrews.edu</v>
      </c>
      <c r="D53" s="23" t="str">
        <f>IF(_xlfn.XLOOKUP(A53, AutoFill_names!B:B, AutoFill_names!E:E,"")=0,"",_xlfn.XLOOKUP(A53, AutoFill_names!B:B, AutoFill_names!E:E,""))</f>
        <v/>
      </c>
      <c r="E53" s="23" t="str">
        <f>IF(_xlfn.XLOOKUP(A53, AutoFill_names!B:B, AutoFill_names!F:F,"")=0,"",_xlfn.XLOOKUP(A53, AutoFill_names!B:B, AutoFill_names!F:F,""))</f>
        <v/>
      </c>
      <c r="F53" s="4"/>
      <c r="G53" s="4"/>
      <c r="H53" s="4"/>
      <c r="I53" s="4"/>
      <c r="J53" s="23" t="str">
        <f>IF(_xlfn.XLOOKUP(A53, AutoFill_names!B:B, AutoFill_names!K:K,"")=0,"",_xlfn.XLOOKUP(A53, AutoFill_names!B:B, AutoFill_names!K:K,""))</f>
        <v/>
      </c>
      <c r="K53" s="23" t="str">
        <f>IF(_xlfn.XLOOKUP(A53, AutoFill_names!B:B, AutoFill_names!L:L,"")=0,"",_xlfn.XLOOKUP(A53, AutoFill_names!B:B, AutoFill_names!L:L,""))</f>
        <v/>
      </c>
      <c r="L53" s="46" t="s">
        <v>591</v>
      </c>
      <c r="M53" s="46"/>
      <c r="N53" s="61" t="str">
        <f>IF(_xlfn.XLOOKUP(L53, AutoFill_classes!A:A, AutoFill_classes!B:B,"")=0,"",_xlfn.XLOOKUP(L53, AutoFill_classes!A:A, AutoFill_classes!B:B,""))</f>
        <v>Topics in Ministry</v>
      </c>
      <c r="O53" s="154"/>
      <c r="P53" s="9"/>
      <c r="Q53" s="9"/>
      <c r="R53" s="9"/>
      <c r="S53" s="5" t="s">
        <v>56</v>
      </c>
      <c r="T53" s="5" t="s">
        <v>86</v>
      </c>
      <c r="U53" s="5" t="s">
        <v>94</v>
      </c>
      <c r="V53" s="4" t="s">
        <v>59</v>
      </c>
      <c r="W53" s="4" t="s">
        <v>60</v>
      </c>
      <c r="X53" s="144">
        <v>3</v>
      </c>
      <c r="Y53" s="27"/>
      <c r="Z53" s="60" t="str">
        <f>IF(X53*Y53=0,"",X53*Y53)</f>
        <v/>
      </c>
      <c r="AA53" s="32"/>
      <c r="AB53" s="32"/>
      <c r="AC53" s="32"/>
      <c r="AD53" s="32"/>
      <c r="AE53" s="58" t="str">
        <f t="shared" si="135"/>
        <v/>
      </c>
      <c r="AF53" s="20"/>
      <c r="AG53" s="58" t="str">
        <f t="shared" si="136"/>
        <v/>
      </c>
      <c r="AH53" s="32"/>
      <c r="AI53" s="32"/>
      <c r="AJ53" s="58" t="str">
        <f t="shared" si="137"/>
        <v/>
      </c>
      <c r="AK53" s="20"/>
      <c r="AL53" s="58" t="str">
        <f t="shared" si="138"/>
        <v/>
      </c>
      <c r="AM53" s="32"/>
      <c r="AN53" s="32"/>
      <c r="AO53" s="58" t="str">
        <f t="shared" si="139"/>
        <v/>
      </c>
      <c r="AP53" s="58" t="str">
        <f t="shared" si="140"/>
        <v/>
      </c>
      <c r="AQ53" s="58" t="str">
        <f t="shared" si="141"/>
        <v/>
      </c>
      <c r="AR53" s="59" t="str">
        <f t="shared" si="142"/>
        <v/>
      </c>
      <c r="AS53" s="20"/>
      <c r="AT53" s="14"/>
      <c r="AU53" s="14"/>
      <c r="AV53" s="61" t="str">
        <f>IF(_xlfn.XLOOKUP(AT53, AutoFill_classes!$A:$A, AutoFill_classes!$B:$B,"")=0,"",_xlfn.XLOOKUP(AT53, AutoFill_classes!$A:$A, AutoFill_classes!$B:$B,""))</f>
        <v/>
      </c>
      <c r="AW53" s="154"/>
      <c r="AX53" s="16"/>
      <c r="AY53" s="16"/>
      <c r="AZ53" s="16"/>
      <c r="BA53" s="16"/>
      <c r="BB53" s="16"/>
      <c r="BC53" s="144"/>
      <c r="BD53" s="27"/>
      <c r="BE53" s="60" t="str">
        <f t="shared" si="143"/>
        <v/>
      </c>
      <c r="BF53" s="32"/>
      <c r="BG53" s="32"/>
      <c r="BH53" s="32"/>
      <c r="BI53" s="32"/>
      <c r="BJ53" s="58" t="str">
        <f t="shared" si="144"/>
        <v/>
      </c>
      <c r="BK53" s="20"/>
      <c r="BL53" s="58" t="str">
        <f t="shared" si="145"/>
        <v/>
      </c>
      <c r="BM53" s="32"/>
      <c r="BN53" s="32"/>
      <c r="BO53" s="58" t="str">
        <f t="shared" si="146"/>
        <v/>
      </c>
      <c r="BP53" s="20"/>
      <c r="BQ53" s="58" t="str">
        <f t="shared" si="147"/>
        <v/>
      </c>
      <c r="BR53" s="32"/>
      <c r="BS53" s="32"/>
      <c r="BT53" s="58" t="str">
        <f t="shared" si="148"/>
        <v/>
      </c>
      <c r="BU53" s="58" t="str">
        <f t="shared" si="149"/>
        <v/>
      </c>
      <c r="BV53" s="58" t="str">
        <f t="shared" si="150"/>
        <v/>
      </c>
      <c r="BW53" s="59" t="str">
        <f t="shared" si="151"/>
        <v/>
      </c>
      <c r="BX53" s="16"/>
      <c r="BY53" s="21"/>
      <c r="BZ53" s="20"/>
      <c r="CA53" s="61" t="str">
        <f>IF(_xlfn.XLOOKUP(BY53, AutoFill_classes!$A:$A, AutoFill_classes!$B:$B,"")=0,"",_xlfn.XLOOKUP(BY53, AutoFill_classes!$A:$A, AutoFill_classes!$B:$B,""))</f>
        <v/>
      </c>
      <c r="CB53" s="154"/>
      <c r="CC53" s="20"/>
      <c r="CD53" s="20"/>
      <c r="CE53" s="20"/>
      <c r="CF53" s="33"/>
      <c r="CG53" s="34"/>
      <c r="CH53" s="144"/>
      <c r="CI53" s="35"/>
      <c r="CJ53" s="60" t="str">
        <f t="shared" si="152"/>
        <v/>
      </c>
      <c r="CK53" s="32"/>
      <c r="CL53" s="32"/>
      <c r="CM53" s="32"/>
      <c r="CN53" s="32"/>
      <c r="CO53" s="58" t="str">
        <f t="shared" si="153"/>
        <v/>
      </c>
      <c r="CP53" s="20"/>
      <c r="CQ53" s="58" t="str">
        <f t="shared" si="154"/>
        <v/>
      </c>
      <c r="CR53" s="32"/>
      <c r="CS53" s="32"/>
      <c r="CT53" s="58" t="str">
        <f t="shared" si="155"/>
        <v/>
      </c>
      <c r="CU53" s="20"/>
      <c r="CV53" s="58" t="str">
        <f t="shared" si="156"/>
        <v/>
      </c>
      <c r="CW53" s="32"/>
      <c r="CX53" s="32"/>
      <c r="CY53" s="58" t="str">
        <f t="shared" si="157"/>
        <v/>
      </c>
      <c r="CZ53" s="58" t="str">
        <f t="shared" si="158"/>
        <v/>
      </c>
      <c r="DA53" s="58" t="str">
        <f t="shared" si="159"/>
        <v/>
      </c>
      <c r="DB53" s="59" t="str">
        <f t="shared" si="160"/>
        <v/>
      </c>
      <c r="DC53" s="20"/>
      <c r="DD53" s="145"/>
      <c r="DE53" s="91">
        <v>52</v>
      </c>
      <c r="DF53" s="39"/>
      <c r="DG53" s="39"/>
      <c r="DH53" s="39"/>
      <c r="DI53" s="39"/>
      <c r="DJ53" s="39"/>
      <c r="DK53" s="39"/>
      <c r="DL53" s="39"/>
      <c r="DM53" s="39"/>
      <c r="DN53" s="39"/>
      <c r="DO53" s="39"/>
      <c r="DP53" s="39"/>
      <c r="DQ53" s="39"/>
      <c r="DR53" s="39"/>
      <c r="DS53" s="39"/>
      <c r="DT53" s="39"/>
      <c r="DU53" s="39"/>
      <c r="DV53" s="39"/>
      <c r="DW53" s="39"/>
      <c r="DX53" s="39"/>
      <c r="DY53" s="39"/>
      <c r="DZ53" s="39"/>
      <c r="EA53" s="39"/>
      <c r="EB53" s="39"/>
      <c r="EC53" s="39"/>
      <c r="ED53" s="39"/>
      <c r="EE53" s="39"/>
      <c r="EF53" s="39"/>
      <c r="EG53" s="39"/>
      <c r="EH53" s="39"/>
      <c r="EI53" s="39"/>
      <c r="EJ53" s="39"/>
      <c r="EK53" s="39"/>
      <c r="EL53" s="39"/>
      <c r="EM53" s="39"/>
      <c r="EN53" s="39"/>
      <c r="EO53" s="39"/>
      <c r="EP53" s="39"/>
      <c r="EQ53" s="39"/>
      <c r="ER53" s="39"/>
      <c r="ES53" s="39"/>
      <c r="ET53" s="39"/>
      <c r="EU53" s="39"/>
      <c r="EV53" s="39"/>
      <c r="EW53" s="39"/>
      <c r="EX53" s="39"/>
      <c r="EY53" s="39"/>
      <c r="EZ53" s="39"/>
      <c r="FA53" s="39"/>
      <c r="FB53" s="39"/>
      <c r="FC53" s="39"/>
      <c r="FD53" s="39"/>
      <c r="FE53" s="39"/>
      <c r="FF53" s="39"/>
      <c r="FG53" s="39"/>
      <c r="FH53" s="39"/>
      <c r="FI53" s="39"/>
      <c r="FJ53" s="39"/>
      <c r="FK53" s="39"/>
      <c r="FL53" s="39"/>
      <c r="FM53" s="39"/>
      <c r="FN53" s="39"/>
      <c r="FO53" s="39"/>
      <c r="FP53" s="39"/>
      <c r="FQ53" s="39"/>
      <c r="FR53" s="39"/>
      <c r="FS53" s="39"/>
      <c r="FT53" s="39"/>
    </row>
    <row r="54" spans="1:176" s="22" customFormat="1" ht="13">
      <c r="A54" s="7"/>
      <c r="B54" s="23" t="str">
        <f>IF(_xlfn.XLOOKUP(A54, AutoFill_names!B:B, AutoFill_names!C:C,"")=0,"",_xlfn.XLOOKUP(A54, AutoFill_names!B:B, AutoFill_names!C:C,""))</f>
        <v/>
      </c>
      <c r="C54" s="23" t="str">
        <f>IF(_xlfn.XLOOKUP(A54, AutoFill_names!B:B, AutoFill_names!D:D,"")=0,"",_xlfn.XLOOKUP(A54, AutoFill_names!B:B, AutoFill_names!D:D,""))</f>
        <v/>
      </c>
      <c r="D54" s="23" t="str">
        <f>IF(_xlfn.XLOOKUP(A54, AutoFill_names!B:B, AutoFill_names!E:E,"")=0,"",_xlfn.XLOOKUP(A54, AutoFill_names!B:B, AutoFill_names!E:E,""))</f>
        <v/>
      </c>
      <c r="E54" s="23" t="str">
        <f>IF(_xlfn.XLOOKUP(A54, AutoFill_names!B:B, AutoFill_names!F:F,"")=0,"",_xlfn.XLOOKUP(A54, AutoFill_names!B:B, AutoFill_names!F:F,""))</f>
        <v/>
      </c>
      <c r="F54" s="4"/>
      <c r="G54" s="4"/>
      <c r="H54" s="4"/>
      <c r="I54" s="4"/>
      <c r="J54" s="23" t="str">
        <f>IF(_xlfn.XLOOKUP(A54, AutoFill_names!B:B, AutoFill_names!K:K,"")=0,"",_xlfn.XLOOKUP(A54, AutoFill_names!B:B, AutoFill_names!K:K,""))</f>
        <v/>
      </c>
      <c r="K54" s="23" t="str">
        <f>IF(_xlfn.XLOOKUP(A54, AutoFill_names!B:B, AutoFill_names!L:L,"")=0,"",_xlfn.XLOOKUP(A54, AutoFill_names!B:B, AutoFill_names!L:L,""))</f>
        <v/>
      </c>
      <c r="L54" s="46"/>
      <c r="M54" s="46"/>
      <c r="N54" s="61" t="str">
        <f>IF(_xlfn.XLOOKUP(L54, AutoFill_classes!A:A, AutoFill_classes!B:B,"")=0,"",_xlfn.XLOOKUP(L54, AutoFill_classes!A:A, AutoFill_classes!B:B,""))</f>
        <v/>
      </c>
      <c r="O54" s="154"/>
      <c r="P54" s="9"/>
      <c r="Q54" s="9"/>
      <c r="R54" s="9"/>
      <c r="S54" s="5"/>
      <c r="T54" s="5"/>
      <c r="U54" s="5"/>
      <c r="V54" s="4"/>
      <c r="W54" s="4"/>
      <c r="X54" s="144"/>
      <c r="Y54" s="27"/>
      <c r="Z54" s="60" t="str">
        <f t="shared" ref="Z54:Z60" si="161">IF(X54*Y54=0,"",X54*Y54)</f>
        <v/>
      </c>
      <c r="AA54" s="32"/>
      <c r="AB54" s="32"/>
      <c r="AC54" s="36"/>
      <c r="AD54" s="36"/>
      <c r="AE54" s="58" t="str">
        <f t="shared" si="135"/>
        <v/>
      </c>
      <c r="AF54" s="20"/>
      <c r="AG54" s="58" t="str">
        <f t="shared" si="136"/>
        <v/>
      </c>
      <c r="AH54" s="36"/>
      <c r="AI54" s="36"/>
      <c r="AJ54" s="58" t="str">
        <f t="shared" si="137"/>
        <v/>
      </c>
      <c r="AK54" s="20"/>
      <c r="AL54" s="58" t="str">
        <f t="shared" si="138"/>
        <v/>
      </c>
      <c r="AM54" s="36"/>
      <c r="AN54" s="36"/>
      <c r="AO54" s="58" t="str">
        <f t="shared" si="139"/>
        <v/>
      </c>
      <c r="AP54" s="58" t="str">
        <f t="shared" si="140"/>
        <v/>
      </c>
      <c r="AQ54" s="58" t="str">
        <f t="shared" si="141"/>
        <v/>
      </c>
      <c r="AR54" s="59" t="str">
        <f t="shared" si="142"/>
        <v/>
      </c>
      <c r="AS54" s="20"/>
      <c r="AT54" s="14"/>
      <c r="AU54" s="14"/>
      <c r="AV54" s="61" t="str">
        <f>IF(_xlfn.XLOOKUP(AT54, AutoFill_classes!$A:$A, AutoFill_classes!$B:$B,"")=0,"",_xlfn.XLOOKUP(AT54, AutoFill_classes!$A:$A, AutoFill_classes!$B:$B,""))</f>
        <v/>
      </c>
      <c r="AW54" s="154"/>
      <c r="AX54" s="16"/>
      <c r="AY54" s="16"/>
      <c r="AZ54" s="16"/>
      <c r="BA54" s="16"/>
      <c r="BB54" s="16"/>
      <c r="BC54" s="144"/>
      <c r="BD54" s="27"/>
      <c r="BE54" s="60" t="str">
        <f t="shared" si="143"/>
        <v/>
      </c>
      <c r="BF54" s="32"/>
      <c r="BG54" s="32"/>
      <c r="BH54" s="36"/>
      <c r="BI54" s="36"/>
      <c r="BJ54" s="58" t="str">
        <f t="shared" si="144"/>
        <v/>
      </c>
      <c r="BK54" s="20"/>
      <c r="BL54" s="58" t="str">
        <f t="shared" si="145"/>
        <v/>
      </c>
      <c r="BM54" s="36"/>
      <c r="BN54" s="36"/>
      <c r="BO54" s="58" t="str">
        <f t="shared" si="146"/>
        <v/>
      </c>
      <c r="BP54" s="20"/>
      <c r="BQ54" s="58" t="str">
        <f t="shared" si="147"/>
        <v/>
      </c>
      <c r="BR54" s="36"/>
      <c r="BS54" s="36"/>
      <c r="BT54" s="58" t="str">
        <f t="shared" si="148"/>
        <v/>
      </c>
      <c r="BU54" s="58" t="str">
        <f t="shared" si="149"/>
        <v/>
      </c>
      <c r="BV54" s="58" t="str">
        <f t="shared" si="150"/>
        <v/>
      </c>
      <c r="BW54" s="59" t="str">
        <f t="shared" si="151"/>
        <v/>
      </c>
      <c r="BX54" s="16"/>
      <c r="BY54" s="21"/>
      <c r="BZ54" s="20"/>
      <c r="CA54" s="61" t="str">
        <f>IF(_xlfn.XLOOKUP(BY54, AutoFill_classes!$A:$A, AutoFill_classes!$B:$B,"")=0,"",_xlfn.XLOOKUP(BY54, AutoFill_classes!$A:$A, AutoFill_classes!$B:$B,""))</f>
        <v/>
      </c>
      <c r="CB54" s="154"/>
      <c r="CC54" s="20"/>
      <c r="CD54" s="20"/>
      <c r="CE54" s="20"/>
      <c r="CF54" s="33"/>
      <c r="CG54" s="34"/>
      <c r="CH54" s="144"/>
      <c r="CI54" s="35"/>
      <c r="CJ54" s="60" t="str">
        <f t="shared" si="152"/>
        <v/>
      </c>
      <c r="CK54" s="32"/>
      <c r="CL54" s="32"/>
      <c r="CM54" s="36"/>
      <c r="CN54" s="36"/>
      <c r="CO54" s="58" t="str">
        <f t="shared" si="153"/>
        <v/>
      </c>
      <c r="CP54" s="20"/>
      <c r="CQ54" s="58" t="str">
        <f t="shared" si="154"/>
        <v/>
      </c>
      <c r="CR54" s="36"/>
      <c r="CS54" s="36"/>
      <c r="CT54" s="58" t="str">
        <f t="shared" si="155"/>
        <v/>
      </c>
      <c r="CU54" s="20"/>
      <c r="CV54" s="58" t="str">
        <f t="shared" si="156"/>
        <v/>
      </c>
      <c r="CW54" s="36"/>
      <c r="CX54" s="36"/>
      <c r="CY54" s="58" t="str">
        <f t="shared" si="157"/>
        <v/>
      </c>
      <c r="CZ54" s="58" t="str">
        <f t="shared" si="158"/>
        <v/>
      </c>
      <c r="DA54" s="58" t="str">
        <f t="shared" si="159"/>
        <v/>
      </c>
      <c r="DB54" s="59" t="str">
        <f t="shared" si="160"/>
        <v/>
      </c>
      <c r="DC54" s="20"/>
      <c r="DD54" s="145"/>
      <c r="DE54" s="91">
        <v>53</v>
      </c>
      <c r="DF54" s="39"/>
      <c r="DG54" s="39"/>
      <c r="DH54" s="39"/>
      <c r="DI54" s="39"/>
      <c r="DJ54" s="39"/>
      <c r="DK54" s="39"/>
      <c r="DL54" s="39"/>
      <c r="DM54" s="39"/>
      <c r="DN54" s="39"/>
      <c r="DO54" s="39"/>
      <c r="DP54" s="39"/>
      <c r="DQ54" s="39"/>
      <c r="DR54" s="39"/>
      <c r="DS54" s="39"/>
      <c r="DT54" s="39"/>
      <c r="DU54" s="39"/>
      <c r="DV54" s="39"/>
      <c r="DW54" s="39"/>
      <c r="DX54" s="39"/>
      <c r="DY54" s="39"/>
      <c r="DZ54" s="39"/>
      <c r="EA54" s="39"/>
      <c r="EB54" s="39"/>
      <c r="EC54" s="39"/>
      <c r="ED54" s="39"/>
      <c r="EE54" s="39"/>
      <c r="EF54" s="39"/>
      <c r="EG54" s="39"/>
      <c r="EH54" s="39"/>
      <c r="EI54" s="39"/>
      <c r="EJ54" s="39"/>
      <c r="EK54" s="39"/>
      <c r="EL54" s="39"/>
      <c r="EM54" s="39"/>
      <c r="EN54" s="39"/>
      <c r="EO54" s="39"/>
      <c r="EP54" s="39"/>
      <c r="EQ54" s="39"/>
      <c r="ER54" s="39"/>
      <c r="ES54" s="39"/>
      <c r="ET54" s="39"/>
      <c r="EU54" s="39"/>
      <c r="EV54" s="39"/>
      <c r="EW54" s="39"/>
      <c r="EX54" s="39"/>
      <c r="EY54" s="39"/>
      <c r="EZ54" s="39"/>
      <c r="FA54" s="39"/>
      <c r="FB54" s="39"/>
      <c r="FC54" s="39"/>
      <c r="FD54" s="39"/>
      <c r="FE54" s="39"/>
      <c r="FF54" s="39"/>
      <c r="FG54" s="39"/>
      <c r="FH54" s="39"/>
      <c r="FI54" s="39"/>
      <c r="FJ54" s="39"/>
      <c r="FK54" s="39"/>
      <c r="FL54" s="39"/>
      <c r="FM54" s="39"/>
      <c r="FN54" s="39"/>
      <c r="FO54" s="39"/>
      <c r="FP54" s="39"/>
      <c r="FQ54" s="39"/>
      <c r="FR54" s="39"/>
      <c r="FS54" s="39"/>
      <c r="FT54" s="39"/>
    </row>
    <row r="55" spans="1:176" s="22" customFormat="1" ht="13">
      <c r="A55" s="7"/>
      <c r="B55" s="23" t="str">
        <f>IF(_xlfn.XLOOKUP(A55, AutoFill_names!B:B, AutoFill_names!C:C,"")=0,"",_xlfn.XLOOKUP(A55, AutoFill_names!B:B, AutoFill_names!C:C,""))</f>
        <v/>
      </c>
      <c r="C55" s="23" t="str">
        <f>IF(_xlfn.XLOOKUP(A55, AutoFill_names!B:B, AutoFill_names!D:D,"")=0,"",_xlfn.XLOOKUP(A55, AutoFill_names!B:B, AutoFill_names!D:D,""))</f>
        <v/>
      </c>
      <c r="D55" s="23" t="str">
        <f>IF(_xlfn.XLOOKUP(A55, AutoFill_names!B:B, AutoFill_names!E:E,"")=0,"",_xlfn.XLOOKUP(A55, AutoFill_names!B:B, AutoFill_names!E:E,""))</f>
        <v/>
      </c>
      <c r="E55" s="23" t="str">
        <f>IF(_xlfn.XLOOKUP(A55, AutoFill_names!B:B, AutoFill_names!F:F,"")=0,"",_xlfn.XLOOKUP(A55, AutoFill_names!B:B, AutoFill_names!F:F,""))</f>
        <v/>
      </c>
      <c r="F55" s="4"/>
      <c r="G55" s="4"/>
      <c r="H55" s="4"/>
      <c r="I55" s="4"/>
      <c r="J55" s="23" t="str">
        <f>IF(_xlfn.XLOOKUP(A55, AutoFill_names!B:B, AutoFill_names!K:K,"")=0,"",_xlfn.XLOOKUP(A55, AutoFill_names!B:B, AutoFill_names!K:K,""))</f>
        <v/>
      </c>
      <c r="K55" s="23" t="str">
        <f>IF(_xlfn.XLOOKUP(A55, AutoFill_names!B:B, AutoFill_names!L:L,"")=0,"",_xlfn.XLOOKUP(A55, AutoFill_names!B:B, AutoFill_names!L:L,""))</f>
        <v/>
      </c>
      <c r="L55" s="46"/>
      <c r="M55" s="46"/>
      <c r="N55" s="61" t="str">
        <f>IF(_xlfn.XLOOKUP(L55, AutoFill_classes!A:A, AutoFill_classes!B:B,"")=0,"",_xlfn.XLOOKUP(L55, AutoFill_classes!A:A, AutoFill_classes!B:B,""))</f>
        <v/>
      </c>
      <c r="O55" s="154"/>
      <c r="P55" s="9"/>
      <c r="Q55" s="9"/>
      <c r="R55" s="9"/>
      <c r="S55" s="5"/>
      <c r="T55" s="5"/>
      <c r="U55" s="5"/>
      <c r="V55" s="4"/>
      <c r="W55" s="4"/>
      <c r="X55" s="144"/>
      <c r="Y55" s="27"/>
      <c r="Z55" s="60" t="str">
        <f t="shared" si="161"/>
        <v/>
      </c>
      <c r="AA55" s="32"/>
      <c r="AB55" s="32"/>
      <c r="AC55" s="32"/>
      <c r="AD55" s="32"/>
      <c r="AE55" s="58" t="str">
        <f t="shared" si="135"/>
        <v/>
      </c>
      <c r="AF55" s="20"/>
      <c r="AG55" s="58" t="str">
        <f t="shared" si="136"/>
        <v/>
      </c>
      <c r="AH55" s="32"/>
      <c r="AI55" s="32"/>
      <c r="AJ55" s="58" t="str">
        <f t="shared" si="137"/>
        <v/>
      </c>
      <c r="AK55" s="20"/>
      <c r="AL55" s="58" t="str">
        <f t="shared" si="138"/>
        <v/>
      </c>
      <c r="AM55" s="32"/>
      <c r="AN55" s="32"/>
      <c r="AO55" s="58" t="str">
        <f t="shared" si="139"/>
        <v/>
      </c>
      <c r="AP55" s="58" t="str">
        <f t="shared" si="140"/>
        <v/>
      </c>
      <c r="AQ55" s="58" t="str">
        <f t="shared" si="141"/>
        <v/>
      </c>
      <c r="AR55" s="59" t="str">
        <f t="shared" si="142"/>
        <v/>
      </c>
      <c r="AS55" s="20"/>
      <c r="AT55" s="14"/>
      <c r="AU55" s="14"/>
      <c r="AV55" s="61" t="str">
        <f>IF(_xlfn.XLOOKUP(AT55, AutoFill_classes!$A:$A, AutoFill_classes!$B:$B,"")=0,"",_xlfn.XLOOKUP(AT55, AutoFill_classes!$A:$A, AutoFill_classes!$B:$B,""))</f>
        <v/>
      </c>
      <c r="AW55" s="154"/>
      <c r="AX55" s="16"/>
      <c r="AY55" s="16"/>
      <c r="AZ55" s="16"/>
      <c r="BA55" s="16"/>
      <c r="BB55" s="16"/>
      <c r="BC55" s="144"/>
      <c r="BD55" s="27"/>
      <c r="BE55" s="60" t="str">
        <f t="shared" si="143"/>
        <v/>
      </c>
      <c r="BF55" s="32"/>
      <c r="BG55" s="32"/>
      <c r="BH55" s="32"/>
      <c r="BI55" s="32"/>
      <c r="BJ55" s="58" t="str">
        <f t="shared" si="144"/>
        <v/>
      </c>
      <c r="BK55" s="20"/>
      <c r="BL55" s="58" t="str">
        <f t="shared" si="145"/>
        <v/>
      </c>
      <c r="BM55" s="32"/>
      <c r="BN55" s="32"/>
      <c r="BO55" s="58" t="str">
        <f t="shared" si="146"/>
        <v/>
      </c>
      <c r="BP55" s="20"/>
      <c r="BQ55" s="58" t="str">
        <f t="shared" si="147"/>
        <v/>
      </c>
      <c r="BR55" s="32"/>
      <c r="BS55" s="32"/>
      <c r="BT55" s="58" t="str">
        <f t="shared" si="148"/>
        <v/>
      </c>
      <c r="BU55" s="58" t="str">
        <f t="shared" si="149"/>
        <v/>
      </c>
      <c r="BV55" s="58" t="str">
        <f t="shared" si="150"/>
        <v/>
      </c>
      <c r="BW55" s="59" t="str">
        <f t="shared" si="151"/>
        <v/>
      </c>
      <c r="BX55" s="16"/>
      <c r="BY55" s="21"/>
      <c r="BZ55" s="20"/>
      <c r="CA55" s="61" t="str">
        <f>IF(_xlfn.XLOOKUP(BY55, AutoFill_classes!$A:$A, AutoFill_classes!$B:$B,"")=0,"",_xlfn.XLOOKUP(BY55, AutoFill_classes!$A:$A, AutoFill_classes!$B:$B,""))</f>
        <v/>
      </c>
      <c r="CB55" s="154"/>
      <c r="CC55" s="20"/>
      <c r="CD55" s="20"/>
      <c r="CE55" s="20"/>
      <c r="CF55" s="33"/>
      <c r="CG55" s="34"/>
      <c r="CH55" s="144"/>
      <c r="CI55" s="35"/>
      <c r="CJ55" s="60" t="str">
        <f t="shared" si="152"/>
        <v/>
      </c>
      <c r="CK55" s="32"/>
      <c r="CL55" s="32"/>
      <c r="CM55" s="32"/>
      <c r="CN55" s="32"/>
      <c r="CO55" s="58" t="str">
        <f t="shared" si="153"/>
        <v/>
      </c>
      <c r="CP55" s="20"/>
      <c r="CQ55" s="58" t="str">
        <f t="shared" si="154"/>
        <v/>
      </c>
      <c r="CR55" s="32"/>
      <c r="CS55" s="32"/>
      <c r="CT55" s="58" t="str">
        <f t="shared" si="155"/>
        <v/>
      </c>
      <c r="CU55" s="20"/>
      <c r="CV55" s="58" t="str">
        <f t="shared" si="156"/>
        <v/>
      </c>
      <c r="CW55" s="32"/>
      <c r="CX55" s="32"/>
      <c r="CY55" s="58" t="str">
        <f t="shared" si="157"/>
        <v/>
      </c>
      <c r="CZ55" s="58" t="str">
        <f t="shared" si="158"/>
        <v/>
      </c>
      <c r="DA55" s="58" t="str">
        <f t="shared" si="159"/>
        <v/>
      </c>
      <c r="DB55" s="59" t="str">
        <f t="shared" si="160"/>
        <v/>
      </c>
      <c r="DC55" s="20"/>
      <c r="DD55" s="145"/>
      <c r="DE55" s="91">
        <v>54</v>
      </c>
      <c r="DF55" s="39"/>
      <c r="DG55" s="39"/>
      <c r="DH55" s="39"/>
      <c r="DI55" s="39"/>
      <c r="DJ55" s="39"/>
      <c r="DK55" s="39"/>
      <c r="DL55" s="39"/>
      <c r="DM55" s="39"/>
      <c r="DN55" s="39"/>
      <c r="DO55" s="39"/>
      <c r="DP55" s="39"/>
      <c r="DQ55" s="39"/>
      <c r="DR55" s="39"/>
      <c r="DS55" s="39"/>
      <c r="DT55" s="39"/>
      <c r="DU55" s="39"/>
      <c r="DV55" s="39"/>
      <c r="DW55" s="39"/>
      <c r="DX55" s="39"/>
      <c r="DY55" s="39"/>
      <c r="DZ55" s="39"/>
      <c r="EA55" s="39"/>
      <c r="EB55" s="39"/>
      <c r="EC55" s="39"/>
      <c r="ED55" s="39"/>
      <c r="EE55" s="39"/>
      <c r="EF55" s="39"/>
      <c r="EG55" s="39"/>
      <c r="EH55" s="39"/>
      <c r="EI55" s="39"/>
      <c r="EJ55" s="39"/>
      <c r="EK55" s="39"/>
      <c r="EL55" s="39"/>
      <c r="EM55" s="39"/>
      <c r="EN55" s="39"/>
      <c r="EO55" s="39"/>
      <c r="EP55" s="39"/>
      <c r="EQ55" s="39"/>
      <c r="ER55" s="39"/>
      <c r="ES55" s="39"/>
      <c r="ET55" s="39"/>
      <c r="EU55" s="39"/>
      <c r="EV55" s="39"/>
      <c r="EW55" s="39"/>
      <c r="EX55" s="39"/>
      <c r="EY55" s="39"/>
      <c r="EZ55" s="39"/>
      <c r="FA55" s="39"/>
      <c r="FB55" s="39"/>
      <c r="FC55" s="39"/>
      <c r="FD55" s="39"/>
      <c r="FE55" s="39"/>
      <c r="FF55" s="39"/>
      <c r="FG55" s="39"/>
      <c r="FH55" s="39"/>
      <c r="FI55" s="39"/>
      <c r="FJ55" s="39"/>
      <c r="FK55" s="39"/>
      <c r="FL55" s="39"/>
      <c r="FM55" s="39"/>
      <c r="FN55" s="39"/>
      <c r="FO55" s="39"/>
      <c r="FP55" s="39"/>
      <c r="FQ55" s="39"/>
      <c r="FR55" s="39"/>
      <c r="FS55" s="39"/>
      <c r="FT55" s="39"/>
    </row>
    <row r="56" spans="1:176" s="22" customFormat="1" ht="13">
      <c r="A56" s="7"/>
      <c r="B56" s="23" t="str">
        <f>IF(_xlfn.XLOOKUP(A56, AutoFill_names!B:B, AutoFill_names!C:C,"")=0,"",_xlfn.XLOOKUP(A56, AutoFill_names!B:B, AutoFill_names!C:C,""))</f>
        <v/>
      </c>
      <c r="C56" s="23" t="str">
        <f>IF(_xlfn.XLOOKUP(A56, AutoFill_names!B:B, AutoFill_names!D:D,"")=0,"",_xlfn.XLOOKUP(A56, AutoFill_names!B:B, AutoFill_names!D:D,""))</f>
        <v/>
      </c>
      <c r="D56" s="23" t="str">
        <f>IF(_xlfn.XLOOKUP(A56, AutoFill_names!B:B, AutoFill_names!E:E,"")=0,"",_xlfn.XLOOKUP(A56, AutoFill_names!B:B, AutoFill_names!E:E,""))</f>
        <v/>
      </c>
      <c r="E56" s="23" t="str">
        <f>IF(_xlfn.XLOOKUP(A56, AutoFill_names!B:B, AutoFill_names!F:F,"")=0,"",_xlfn.XLOOKUP(A56, AutoFill_names!B:B, AutoFill_names!F:F,""))</f>
        <v/>
      </c>
      <c r="F56" s="4"/>
      <c r="G56" s="4"/>
      <c r="H56" s="4"/>
      <c r="I56" s="4"/>
      <c r="J56" s="23" t="str">
        <f>IF(_xlfn.XLOOKUP(A56, AutoFill_names!B:B, AutoFill_names!K:K,"")=0,"",_xlfn.XLOOKUP(A56, AutoFill_names!B:B, AutoFill_names!K:K,""))</f>
        <v/>
      </c>
      <c r="K56" s="23" t="str">
        <f>IF(_xlfn.XLOOKUP(A56, AutoFill_names!B:B, AutoFill_names!L:L,"")=0,"",_xlfn.XLOOKUP(A56, AutoFill_names!B:B, AutoFill_names!L:L,""))</f>
        <v/>
      </c>
      <c r="L56" s="46"/>
      <c r="M56" s="46"/>
      <c r="N56" s="61" t="str">
        <f>IF(_xlfn.XLOOKUP(L56, AutoFill_classes!A:A, AutoFill_classes!B:B,"")=0,"",_xlfn.XLOOKUP(L56, AutoFill_classes!A:A, AutoFill_classes!B:B,""))</f>
        <v/>
      </c>
      <c r="O56" s="154"/>
      <c r="P56" s="9"/>
      <c r="Q56" s="9"/>
      <c r="R56" s="9"/>
      <c r="S56" s="5"/>
      <c r="T56" s="5"/>
      <c r="U56" s="5"/>
      <c r="V56" s="4"/>
      <c r="W56" s="4"/>
      <c r="X56" s="144"/>
      <c r="Y56" s="27"/>
      <c r="Z56" s="60" t="str">
        <f t="shared" si="161"/>
        <v/>
      </c>
      <c r="AA56" s="32"/>
      <c r="AB56" s="32"/>
      <c r="AC56" s="32"/>
      <c r="AD56" s="32"/>
      <c r="AE56" s="58" t="str">
        <f t="shared" si="135"/>
        <v/>
      </c>
      <c r="AF56" s="20"/>
      <c r="AG56" s="58" t="str">
        <f t="shared" si="136"/>
        <v/>
      </c>
      <c r="AH56" s="32"/>
      <c r="AI56" s="32"/>
      <c r="AJ56" s="58" t="str">
        <f t="shared" si="137"/>
        <v/>
      </c>
      <c r="AK56" s="20"/>
      <c r="AL56" s="58" t="str">
        <f t="shared" si="138"/>
        <v/>
      </c>
      <c r="AM56" s="32"/>
      <c r="AN56" s="32"/>
      <c r="AO56" s="58" t="str">
        <f t="shared" si="139"/>
        <v/>
      </c>
      <c r="AP56" s="58" t="str">
        <f t="shared" si="140"/>
        <v/>
      </c>
      <c r="AQ56" s="58" t="str">
        <f t="shared" si="141"/>
        <v/>
      </c>
      <c r="AR56" s="59" t="str">
        <f t="shared" si="142"/>
        <v/>
      </c>
      <c r="AS56" s="20"/>
      <c r="AT56" s="14"/>
      <c r="AU56" s="14"/>
      <c r="AV56" s="61" t="str">
        <f>IF(_xlfn.XLOOKUP(AT56, AutoFill_classes!$A:$A, AutoFill_classes!$B:$B,"")=0,"",_xlfn.XLOOKUP(AT56, AutoFill_classes!$A:$A, AutoFill_classes!$B:$B,""))</f>
        <v/>
      </c>
      <c r="AW56" s="154"/>
      <c r="AX56" s="16"/>
      <c r="AY56" s="16"/>
      <c r="AZ56" s="16"/>
      <c r="BA56" s="16"/>
      <c r="BB56" s="16"/>
      <c r="BC56" s="144"/>
      <c r="BD56" s="27"/>
      <c r="BE56" s="60" t="str">
        <f t="shared" si="143"/>
        <v/>
      </c>
      <c r="BF56" s="32"/>
      <c r="BG56" s="32"/>
      <c r="BH56" s="32"/>
      <c r="BI56" s="32"/>
      <c r="BJ56" s="58" t="str">
        <f t="shared" si="144"/>
        <v/>
      </c>
      <c r="BK56" s="20"/>
      <c r="BL56" s="58" t="str">
        <f t="shared" si="145"/>
        <v/>
      </c>
      <c r="BM56" s="32"/>
      <c r="BN56" s="32"/>
      <c r="BO56" s="58" t="str">
        <f t="shared" si="146"/>
        <v/>
      </c>
      <c r="BP56" s="20"/>
      <c r="BQ56" s="58" t="str">
        <f t="shared" si="147"/>
        <v/>
      </c>
      <c r="BR56" s="32"/>
      <c r="BS56" s="32"/>
      <c r="BT56" s="58" t="str">
        <f t="shared" si="148"/>
        <v/>
      </c>
      <c r="BU56" s="58" t="str">
        <f t="shared" si="149"/>
        <v/>
      </c>
      <c r="BV56" s="58" t="str">
        <f t="shared" si="150"/>
        <v/>
      </c>
      <c r="BW56" s="59" t="str">
        <f t="shared" si="151"/>
        <v/>
      </c>
      <c r="BX56" s="16"/>
      <c r="BY56" s="21"/>
      <c r="BZ56" s="20"/>
      <c r="CA56" s="61" t="str">
        <f>IF(_xlfn.XLOOKUP(BY56, AutoFill_classes!$A:$A, AutoFill_classes!$B:$B,"")=0,"",_xlfn.XLOOKUP(BY56, AutoFill_classes!$A:$A, AutoFill_classes!$B:$B,""))</f>
        <v/>
      </c>
      <c r="CB56" s="154"/>
      <c r="CC56" s="20"/>
      <c r="CD56" s="20"/>
      <c r="CE56" s="20"/>
      <c r="CF56" s="33"/>
      <c r="CG56" s="34"/>
      <c r="CH56" s="144"/>
      <c r="CI56" s="35"/>
      <c r="CJ56" s="60" t="str">
        <f t="shared" si="152"/>
        <v/>
      </c>
      <c r="CK56" s="32"/>
      <c r="CL56" s="32"/>
      <c r="CM56" s="32"/>
      <c r="CN56" s="32"/>
      <c r="CO56" s="58" t="str">
        <f t="shared" si="153"/>
        <v/>
      </c>
      <c r="CP56" s="20"/>
      <c r="CQ56" s="58" t="str">
        <f t="shared" si="154"/>
        <v/>
      </c>
      <c r="CR56" s="32"/>
      <c r="CS56" s="32"/>
      <c r="CT56" s="58" t="str">
        <f t="shared" si="155"/>
        <v/>
      </c>
      <c r="CU56" s="20"/>
      <c r="CV56" s="58" t="str">
        <f t="shared" si="156"/>
        <v/>
      </c>
      <c r="CW56" s="32"/>
      <c r="CX56" s="32"/>
      <c r="CY56" s="58" t="str">
        <f t="shared" si="157"/>
        <v/>
      </c>
      <c r="CZ56" s="58" t="str">
        <f t="shared" si="158"/>
        <v/>
      </c>
      <c r="DA56" s="58" t="str">
        <f t="shared" si="159"/>
        <v/>
      </c>
      <c r="DB56" s="59" t="str">
        <f t="shared" si="160"/>
        <v/>
      </c>
      <c r="DC56" s="20"/>
      <c r="DD56" s="145"/>
      <c r="DE56" s="91">
        <v>55</v>
      </c>
      <c r="DF56" s="39"/>
      <c r="DG56" s="39"/>
      <c r="DH56" s="39"/>
      <c r="DI56" s="39"/>
      <c r="DJ56" s="39"/>
      <c r="DK56" s="39"/>
      <c r="DL56" s="39"/>
      <c r="DM56" s="39"/>
      <c r="DN56" s="39"/>
      <c r="DO56" s="39"/>
      <c r="DP56" s="39"/>
      <c r="DQ56" s="39"/>
      <c r="DR56" s="39"/>
      <c r="DS56" s="39"/>
      <c r="DT56" s="39"/>
      <c r="DU56" s="39"/>
      <c r="DV56" s="39"/>
      <c r="DW56" s="39"/>
      <c r="DX56" s="39"/>
      <c r="DY56" s="39"/>
      <c r="DZ56" s="39"/>
      <c r="EA56" s="39"/>
      <c r="EB56" s="39"/>
      <c r="EC56" s="39"/>
      <c r="ED56" s="39"/>
      <c r="EE56" s="39"/>
      <c r="EF56" s="39"/>
      <c r="EG56" s="39"/>
      <c r="EH56" s="39"/>
      <c r="EI56" s="39"/>
      <c r="EJ56" s="39"/>
      <c r="EK56" s="39"/>
      <c r="EL56" s="39"/>
      <c r="EM56" s="39"/>
      <c r="EN56" s="39"/>
      <c r="EO56" s="39"/>
      <c r="EP56" s="39"/>
      <c r="EQ56" s="39"/>
      <c r="ER56" s="39"/>
      <c r="ES56" s="39"/>
      <c r="ET56" s="39"/>
      <c r="EU56" s="39"/>
      <c r="EV56" s="39"/>
      <c r="EW56" s="39"/>
      <c r="EX56" s="39"/>
      <c r="EY56" s="39"/>
      <c r="EZ56" s="39"/>
      <c r="FA56" s="39"/>
      <c r="FB56" s="39"/>
      <c r="FC56" s="39"/>
      <c r="FD56" s="39"/>
      <c r="FE56" s="39"/>
      <c r="FF56" s="39"/>
      <c r="FG56" s="39"/>
      <c r="FH56" s="39"/>
      <c r="FI56" s="39"/>
      <c r="FJ56" s="39"/>
      <c r="FK56" s="39"/>
      <c r="FL56" s="39"/>
      <c r="FM56" s="39"/>
      <c r="FN56" s="39"/>
      <c r="FO56" s="39"/>
      <c r="FP56" s="39"/>
      <c r="FQ56" s="39"/>
      <c r="FR56" s="39"/>
      <c r="FS56" s="39"/>
      <c r="FT56" s="39"/>
    </row>
    <row r="57" spans="1:176" s="22" customFormat="1" ht="13">
      <c r="A57" s="7"/>
      <c r="B57" s="23" t="str">
        <f>IF(_xlfn.XLOOKUP(A57, AutoFill_names!B:B, AutoFill_names!C:C,"")=0,"",_xlfn.XLOOKUP(A57, AutoFill_names!B:B, AutoFill_names!C:C,""))</f>
        <v/>
      </c>
      <c r="C57" s="23" t="str">
        <f>IF(_xlfn.XLOOKUP(A57, AutoFill_names!B:B, AutoFill_names!D:D,"")=0,"",_xlfn.XLOOKUP(A57, AutoFill_names!B:B, AutoFill_names!D:D,""))</f>
        <v/>
      </c>
      <c r="D57" s="23" t="str">
        <f>IF(_xlfn.XLOOKUP(A57, AutoFill_names!B:B, AutoFill_names!E:E,"")=0,"",_xlfn.XLOOKUP(A57, AutoFill_names!B:B, AutoFill_names!E:E,""))</f>
        <v/>
      </c>
      <c r="E57" s="23" t="str">
        <f>IF(_xlfn.XLOOKUP(A57, AutoFill_names!B:B, AutoFill_names!F:F,"")=0,"",_xlfn.XLOOKUP(A57, AutoFill_names!B:B, AutoFill_names!F:F,""))</f>
        <v/>
      </c>
      <c r="F57" s="4"/>
      <c r="G57" s="4"/>
      <c r="H57" s="4"/>
      <c r="I57" s="4"/>
      <c r="J57" s="23" t="str">
        <f>IF(_xlfn.XLOOKUP(A57, AutoFill_names!B:B, AutoFill_names!K:K,"")=0,"",_xlfn.XLOOKUP(A57, AutoFill_names!B:B, AutoFill_names!K:K,""))</f>
        <v/>
      </c>
      <c r="K57" s="23" t="str">
        <f>IF(_xlfn.XLOOKUP(A57, AutoFill_names!B:B, AutoFill_names!L:L,"")=0,"",_xlfn.XLOOKUP(A57, AutoFill_names!B:B, AutoFill_names!L:L,""))</f>
        <v/>
      </c>
      <c r="L57" s="46"/>
      <c r="M57" s="46"/>
      <c r="N57" s="61" t="str">
        <f>IF(_xlfn.XLOOKUP(L57, AutoFill_classes!A:A, AutoFill_classes!B:B,"")=0,"",_xlfn.XLOOKUP(L57, AutoFill_classes!A:A, AutoFill_classes!B:B,""))</f>
        <v/>
      </c>
      <c r="O57" s="154"/>
      <c r="P57" s="9"/>
      <c r="Q57" s="9"/>
      <c r="R57" s="9"/>
      <c r="S57" s="4"/>
      <c r="T57" s="4"/>
      <c r="U57" s="4"/>
      <c r="V57" s="4"/>
      <c r="W57" s="4"/>
      <c r="X57" s="145"/>
      <c r="Y57" s="29"/>
      <c r="Z57" s="60" t="str">
        <f t="shared" si="161"/>
        <v/>
      </c>
      <c r="AA57" s="32"/>
      <c r="AB57" s="32"/>
      <c r="AC57" s="32"/>
      <c r="AD57" s="32"/>
      <c r="AE57" s="58" t="str">
        <f t="shared" si="135"/>
        <v/>
      </c>
      <c r="AF57" s="20"/>
      <c r="AG57" s="58" t="str">
        <f t="shared" si="136"/>
        <v/>
      </c>
      <c r="AH57" s="32"/>
      <c r="AI57" s="32"/>
      <c r="AJ57" s="58" t="str">
        <f t="shared" si="137"/>
        <v/>
      </c>
      <c r="AK57" s="20"/>
      <c r="AL57" s="58" t="str">
        <f t="shared" si="138"/>
        <v/>
      </c>
      <c r="AM57" s="32"/>
      <c r="AN57" s="32"/>
      <c r="AO57" s="58" t="str">
        <f t="shared" si="139"/>
        <v/>
      </c>
      <c r="AP57" s="58" t="str">
        <f t="shared" si="140"/>
        <v/>
      </c>
      <c r="AQ57" s="58" t="str">
        <f t="shared" si="141"/>
        <v/>
      </c>
      <c r="AR57" s="59" t="str">
        <f t="shared" si="142"/>
        <v/>
      </c>
      <c r="AS57" s="20"/>
      <c r="AT57" s="16"/>
      <c r="AU57" s="16"/>
      <c r="AV57" s="61" t="str">
        <f>IF(_xlfn.XLOOKUP(AT57, AutoFill_classes!$A:$A, AutoFill_classes!$B:$B,"")=0,"",_xlfn.XLOOKUP(AT57, AutoFill_classes!$A:$A, AutoFill_classes!$B:$B,""))</f>
        <v/>
      </c>
      <c r="AW57" s="154"/>
      <c r="AX57" s="16"/>
      <c r="AY57" s="16"/>
      <c r="AZ57" s="16"/>
      <c r="BA57" s="16"/>
      <c r="BB57" s="16"/>
      <c r="BC57" s="145"/>
      <c r="BD57" s="29"/>
      <c r="BE57" s="60" t="str">
        <f t="shared" si="143"/>
        <v/>
      </c>
      <c r="BF57" s="32"/>
      <c r="BG57" s="32"/>
      <c r="BH57" s="32"/>
      <c r="BI57" s="32"/>
      <c r="BJ57" s="58" t="str">
        <f t="shared" si="144"/>
        <v/>
      </c>
      <c r="BK57" s="20"/>
      <c r="BL57" s="58" t="str">
        <f t="shared" si="145"/>
        <v/>
      </c>
      <c r="BM57" s="32"/>
      <c r="BN57" s="32"/>
      <c r="BO57" s="58" t="str">
        <f t="shared" si="146"/>
        <v/>
      </c>
      <c r="BP57" s="20"/>
      <c r="BQ57" s="58" t="str">
        <f t="shared" si="147"/>
        <v/>
      </c>
      <c r="BR57" s="32"/>
      <c r="BS57" s="32"/>
      <c r="BT57" s="58" t="str">
        <f t="shared" si="148"/>
        <v/>
      </c>
      <c r="BU57" s="58" t="str">
        <f t="shared" si="149"/>
        <v/>
      </c>
      <c r="BV57" s="58" t="str">
        <f t="shared" si="150"/>
        <v/>
      </c>
      <c r="BW57" s="59" t="str">
        <f t="shared" si="151"/>
        <v/>
      </c>
      <c r="BX57" s="14"/>
      <c r="BY57" s="21"/>
      <c r="BZ57" s="20"/>
      <c r="CA57" s="61" t="str">
        <f>IF(_xlfn.XLOOKUP(BY57, AutoFill_classes!$A:$A, AutoFill_classes!$B:$B,"")=0,"",_xlfn.XLOOKUP(BY57, AutoFill_classes!$A:$A, AutoFill_classes!$B:$B,""))</f>
        <v/>
      </c>
      <c r="CB57" s="154"/>
      <c r="CC57" s="20"/>
      <c r="CD57" s="20"/>
      <c r="CE57" s="20"/>
      <c r="CF57" s="33"/>
      <c r="CG57" s="34"/>
      <c r="CH57" s="145"/>
      <c r="CI57" s="35"/>
      <c r="CJ57" s="60" t="str">
        <f t="shared" si="152"/>
        <v/>
      </c>
      <c r="CK57" s="32"/>
      <c r="CL57" s="32"/>
      <c r="CM57" s="32"/>
      <c r="CN57" s="32"/>
      <c r="CO57" s="58" t="str">
        <f t="shared" si="153"/>
        <v/>
      </c>
      <c r="CP57" s="20"/>
      <c r="CQ57" s="58" t="str">
        <f t="shared" si="154"/>
        <v/>
      </c>
      <c r="CR57" s="32"/>
      <c r="CS57" s="32"/>
      <c r="CT57" s="58" t="str">
        <f t="shared" si="155"/>
        <v/>
      </c>
      <c r="CU57" s="20"/>
      <c r="CV57" s="58" t="str">
        <f t="shared" si="156"/>
        <v/>
      </c>
      <c r="CW57" s="32"/>
      <c r="CX57" s="32"/>
      <c r="CY57" s="58" t="str">
        <f t="shared" si="157"/>
        <v/>
      </c>
      <c r="CZ57" s="58" t="str">
        <f t="shared" si="158"/>
        <v/>
      </c>
      <c r="DA57" s="58" t="str">
        <f t="shared" si="159"/>
        <v/>
      </c>
      <c r="DB57" s="59" t="str">
        <f t="shared" si="160"/>
        <v/>
      </c>
      <c r="DC57" s="20"/>
      <c r="DD57" s="144"/>
      <c r="DE57" s="91">
        <v>56</v>
      </c>
      <c r="DF57" s="39"/>
      <c r="DG57" s="39"/>
      <c r="DH57" s="39"/>
      <c r="DI57" s="39"/>
      <c r="DJ57" s="39"/>
      <c r="DK57" s="39"/>
      <c r="DL57" s="39"/>
      <c r="DM57" s="39"/>
      <c r="DN57" s="39"/>
      <c r="DO57" s="39"/>
      <c r="DP57" s="39"/>
      <c r="DQ57" s="39"/>
      <c r="DR57" s="39"/>
      <c r="DS57" s="39"/>
      <c r="DT57" s="39"/>
      <c r="DU57" s="39"/>
      <c r="DV57" s="39"/>
      <c r="DW57" s="39"/>
      <c r="DX57" s="39"/>
      <c r="DY57" s="39"/>
      <c r="DZ57" s="39"/>
      <c r="EA57" s="39"/>
      <c r="EB57" s="39"/>
      <c r="EC57" s="39"/>
      <c r="ED57" s="39"/>
      <c r="EE57" s="39"/>
      <c r="EF57" s="39"/>
      <c r="EG57" s="39"/>
      <c r="EH57" s="39"/>
      <c r="EI57" s="39"/>
      <c r="EJ57" s="39"/>
      <c r="EK57" s="39"/>
      <c r="EL57" s="39"/>
      <c r="EM57" s="39"/>
      <c r="EN57" s="39"/>
      <c r="EO57" s="39"/>
      <c r="EP57" s="39"/>
      <c r="EQ57" s="39"/>
      <c r="ER57" s="39"/>
      <c r="ES57" s="39"/>
      <c r="ET57" s="39"/>
      <c r="EU57" s="39"/>
      <c r="EV57" s="39"/>
      <c r="EW57" s="39"/>
      <c r="EX57" s="39"/>
      <c r="EY57" s="39"/>
      <c r="EZ57" s="39"/>
      <c r="FA57" s="39"/>
      <c r="FB57" s="39"/>
      <c r="FC57" s="39"/>
      <c r="FD57" s="39"/>
      <c r="FE57" s="39"/>
      <c r="FF57" s="39"/>
      <c r="FG57" s="39"/>
      <c r="FH57" s="39"/>
      <c r="FI57" s="39"/>
      <c r="FJ57" s="39"/>
      <c r="FK57" s="39"/>
      <c r="FL57" s="39"/>
      <c r="FM57" s="39"/>
      <c r="FN57" s="39"/>
      <c r="FO57" s="39"/>
      <c r="FP57" s="39"/>
      <c r="FQ57" s="39"/>
      <c r="FR57" s="39"/>
      <c r="FS57" s="39"/>
      <c r="FT57" s="39"/>
    </row>
    <row r="58" spans="1:176" s="22" customFormat="1" ht="13">
      <c r="A58" s="7"/>
      <c r="B58" s="23" t="str">
        <f>IF(_xlfn.XLOOKUP(A58, AutoFill_names!B:B, AutoFill_names!C:C,"")=0,"",_xlfn.XLOOKUP(A58, AutoFill_names!B:B, AutoFill_names!C:C,""))</f>
        <v/>
      </c>
      <c r="C58" s="23" t="str">
        <f>IF(_xlfn.XLOOKUP(A58, AutoFill_names!B:B, AutoFill_names!D:D,"")=0,"",_xlfn.XLOOKUP(A58, AutoFill_names!B:B, AutoFill_names!D:D,""))</f>
        <v/>
      </c>
      <c r="D58" s="23" t="str">
        <f>IF(_xlfn.XLOOKUP(A58, AutoFill_names!B:B, AutoFill_names!E:E,"")=0,"",_xlfn.XLOOKUP(A58, AutoFill_names!B:B, AutoFill_names!E:E,""))</f>
        <v/>
      </c>
      <c r="E58" s="23" t="str">
        <f>IF(_xlfn.XLOOKUP(A58, AutoFill_names!B:B, AutoFill_names!F:F,"")=0,"",_xlfn.XLOOKUP(A58, AutoFill_names!B:B, AutoFill_names!F:F,""))</f>
        <v/>
      </c>
      <c r="F58" s="4"/>
      <c r="G58" s="4"/>
      <c r="H58" s="4"/>
      <c r="I58" s="4"/>
      <c r="J58" s="23" t="str">
        <f>IF(_xlfn.XLOOKUP(A58, AutoFill_names!B:B, AutoFill_names!K:K,"")=0,"",_xlfn.XLOOKUP(A58, AutoFill_names!B:B, AutoFill_names!K:K,""))</f>
        <v/>
      </c>
      <c r="K58" s="23" t="str">
        <f>IF(_xlfn.XLOOKUP(A58, AutoFill_names!B:B, AutoFill_names!L:L,"")=0,"",_xlfn.XLOOKUP(A58, AutoFill_names!B:B, AutoFill_names!L:L,""))</f>
        <v/>
      </c>
      <c r="L58" s="45"/>
      <c r="M58" s="45"/>
      <c r="N58" s="61" t="str">
        <f>IF(_xlfn.XLOOKUP(L58, AutoFill_classes!A:A, AutoFill_classes!B:B,"")=0,"",_xlfn.XLOOKUP(L58, AutoFill_classes!A:A, AutoFill_classes!B:B,""))</f>
        <v/>
      </c>
      <c r="O58" s="154"/>
      <c r="P58" s="9"/>
      <c r="Q58" s="9"/>
      <c r="R58" s="9"/>
      <c r="S58" s="4"/>
      <c r="T58" s="4"/>
      <c r="U58" s="4"/>
      <c r="V58" s="4"/>
      <c r="W58" s="4"/>
      <c r="X58" s="145"/>
      <c r="Y58" s="29"/>
      <c r="Z58" s="60" t="str">
        <f t="shared" si="161"/>
        <v/>
      </c>
      <c r="AA58" s="32"/>
      <c r="AB58" s="32"/>
      <c r="AC58" s="32"/>
      <c r="AD58" s="32"/>
      <c r="AE58" s="58" t="str">
        <f t="shared" si="135"/>
        <v/>
      </c>
      <c r="AF58" s="20"/>
      <c r="AG58" s="58" t="str">
        <f t="shared" si="136"/>
        <v/>
      </c>
      <c r="AH58" s="32"/>
      <c r="AI58" s="32"/>
      <c r="AJ58" s="58" t="str">
        <f t="shared" si="137"/>
        <v/>
      </c>
      <c r="AK58" s="20"/>
      <c r="AL58" s="58" t="str">
        <f t="shared" si="138"/>
        <v/>
      </c>
      <c r="AM58" s="32"/>
      <c r="AN58" s="32"/>
      <c r="AO58" s="58" t="str">
        <f t="shared" si="139"/>
        <v/>
      </c>
      <c r="AP58" s="58" t="str">
        <f t="shared" si="140"/>
        <v/>
      </c>
      <c r="AQ58" s="58" t="str">
        <f t="shared" si="141"/>
        <v/>
      </c>
      <c r="AR58" s="59" t="str">
        <f t="shared" si="142"/>
        <v/>
      </c>
      <c r="AS58" s="20"/>
      <c r="AT58" s="16"/>
      <c r="AU58" s="16"/>
      <c r="AV58" s="61" t="str">
        <f>IF(_xlfn.XLOOKUP(AT58, AutoFill_classes!$A:$A, AutoFill_classes!$B:$B,"")=0,"",_xlfn.XLOOKUP(AT58, AutoFill_classes!$A:$A, AutoFill_classes!$B:$B,""))</f>
        <v/>
      </c>
      <c r="AW58" s="154"/>
      <c r="AX58" s="16"/>
      <c r="AY58" s="16"/>
      <c r="AZ58" s="16"/>
      <c r="BA58" s="16"/>
      <c r="BB58" s="16"/>
      <c r="BC58" s="145"/>
      <c r="BD58" s="29"/>
      <c r="BE58" s="60" t="str">
        <f t="shared" si="143"/>
        <v/>
      </c>
      <c r="BF58" s="32"/>
      <c r="BG58" s="32"/>
      <c r="BH58" s="32"/>
      <c r="BI58" s="32"/>
      <c r="BJ58" s="58" t="str">
        <f t="shared" si="144"/>
        <v/>
      </c>
      <c r="BK58" s="20"/>
      <c r="BL58" s="58" t="str">
        <f t="shared" si="145"/>
        <v/>
      </c>
      <c r="BM58" s="32"/>
      <c r="BN58" s="32"/>
      <c r="BO58" s="58" t="str">
        <f t="shared" si="146"/>
        <v/>
      </c>
      <c r="BP58" s="20"/>
      <c r="BQ58" s="58" t="str">
        <f t="shared" si="147"/>
        <v/>
      </c>
      <c r="BR58" s="32"/>
      <c r="BS58" s="32"/>
      <c r="BT58" s="58" t="str">
        <f t="shared" si="148"/>
        <v/>
      </c>
      <c r="BU58" s="58" t="str">
        <f t="shared" si="149"/>
        <v/>
      </c>
      <c r="BV58" s="58" t="str">
        <f t="shared" si="150"/>
        <v/>
      </c>
      <c r="BW58" s="59" t="str">
        <f t="shared" si="151"/>
        <v/>
      </c>
      <c r="BX58" s="14"/>
      <c r="BY58" s="21"/>
      <c r="BZ58" s="20"/>
      <c r="CA58" s="61" t="str">
        <f>IF(_xlfn.XLOOKUP(BY58, AutoFill_classes!$A:$A, AutoFill_classes!$B:$B,"")=0,"",_xlfn.XLOOKUP(BY58, AutoFill_classes!$A:$A, AutoFill_classes!$B:$B,""))</f>
        <v/>
      </c>
      <c r="CB58" s="154"/>
      <c r="CC58" s="20"/>
      <c r="CD58" s="20"/>
      <c r="CE58" s="20"/>
      <c r="CF58" s="33"/>
      <c r="CG58" s="34"/>
      <c r="CH58" s="145"/>
      <c r="CI58" s="35"/>
      <c r="CJ58" s="60" t="str">
        <f t="shared" si="152"/>
        <v/>
      </c>
      <c r="CK58" s="32"/>
      <c r="CL58" s="32"/>
      <c r="CM58" s="32"/>
      <c r="CN58" s="32"/>
      <c r="CO58" s="58" t="str">
        <f t="shared" si="153"/>
        <v/>
      </c>
      <c r="CP58" s="20"/>
      <c r="CQ58" s="58" t="str">
        <f t="shared" si="154"/>
        <v/>
      </c>
      <c r="CR58" s="32"/>
      <c r="CS58" s="32"/>
      <c r="CT58" s="58" t="str">
        <f t="shared" si="155"/>
        <v/>
      </c>
      <c r="CU58" s="20"/>
      <c r="CV58" s="58" t="str">
        <f t="shared" si="156"/>
        <v/>
      </c>
      <c r="CW58" s="32"/>
      <c r="CX58" s="32"/>
      <c r="CY58" s="58" t="str">
        <f t="shared" si="157"/>
        <v/>
      </c>
      <c r="CZ58" s="58" t="str">
        <f t="shared" si="158"/>
        <v/>
      </c>
      <c r="DA58" s="58" t="str">
        <f t="shared" si="159"/>
        <v/>
      </c>
      <c r="DB58" s="59" t="str">
        <f t="shared" si="160"/>
        <v/>
      </c>
      <c r="DC58" s="20"/>
      <c r="DD58" s="144"/>
      <c r="DE58" s="91">
        <v>57</v>
      </c>
      <c r="DF58" s="39"/>
      <c r="DG58" s="39"/>
      <c r="DH58" s="39"/>
      <c r="DI58" s="39"/>
      <c r="DJ58" s="39"/>
      <c r="DK58" s="39"/>
      <c r="DL58" s="39"/>
      <c r="DM58" s="39"/>
      <c r="DN58" s="39"/>
      <c r="DO58" s="39"/>
      <c r="DP58" s="39"/>
      <c r="DQ58" s="39"/>
      <c r="DR58" s="39"/>
      <c r="DS58" s="39"/>
      <c r="DT58" s="39"/>
      <c r="DU58" s="39"/>
      <c r="DV58" s="39"/>
      <c r="DW58" s="39"/>
      <c r="DX58" s="39"/>
      <c r="DY58" s="39"/>
      <c r="DZ58" s="39"/>
      <c r="EA58" s="39"/>
      <c r="EB58" s="39"/>
      <c r="EC58" s="39"/>
      <c r="ED58" s="39"/>
      <c r="EE58" s="39"/>
      <c r="EF58" s="39"/>
      <c r="EG58" s="39"/>
      <c r="EH58" s="39"/>
      <c r="EI58" s="39"/>
      <c r="EJ58" s="39"/>
      <c r="EK58" s="39"/>
      <c r="EL58" s="39"/>
      <c r="EM58" s="39"/>
      <c r="EN58" s="39"/>
      <c r="EO58" s="39"/>
      <c r="EP58" s="39"/>
      <c r="EQ58" s="39"/>
      <c r="ER58" s="39"/>
      <c r="ES58" s="39"/>
      <c r="ET58" s="39"/>
      <c r="EU58" s="39"/>
      <c r="EV58" s="39"/>
      <c r="EW58" s="39"/>
      <c r="EX58" s="39"/>
      <c r="EY58" s="39"/>
      <c r="EZ58" s="39"/>
      <c r="FA58" s="39"/>
      <c r="FB58" s="39"/>
      <c r="FC58" s="39"/>
      <c r="FD58" s="39"/>
      <c r="FE58" s="39"/>
      <c r="FF58" s="39"/>
      <c r="FG58" s="39"/>
      <c r="FH58" s="39"/>
      <c r="FI58" s="39"/>
      <c r="FJ58" s="39"/>
      <c r="FK58" s="39"/>
      <c r="FL58" s="39"/>
      <c r="FM58" s="39"/>
      <c r="FN58" s="39"/>
      <c r="FO58" s="39"/>
      <c r="FP58" s="39"/>
      <c r="FQ58" s="39"/>
      <c r="FR58" s="39"/>
      <c r="FS58" s="39"/>
      <c r="FT58" s="39"/>
    </row>
    <row r="59" spans="1:176" s="22" customFormat="1" ht="13">
      <c r="A59" s="7"/>
      <c r="B59" s="23" t="str">
        <f>IF(_xlfn.XLOOKUP(A59, AutoFill_names!B:B, AutoFill_names!C:C,"")=0,"",_xlfn.XLOOKUP(A59, AutoFill_names!B:B, AutoFill_names!C:C,""))</f>
        <v/>
      </c>
      <c r="C59" s="23" t="str">
        <f>IF(_xlfn.XLOOKUP(A59, AutoFill_names!B:B, AutoFill_names!D:D,"")=0,"",_xlfn.XLOOKUP(A59, AutoFill_names!B:B, AutoFill_names!D:D,""))</f>
        <v/>
      </c>
      <c r="D59" s="23" t="str">
        <f>IF(_xlfn.XLOOKUP(A59, AutoFill_names!B:B, AutoFill_names!E:E,"")=0,"",_xlfn.XLOOKUP(A59, AutoFill_names!B:B, AutoFill_names!E:E,""))</f>
        <v/>
      </c>
      <c r="E59" s="23" t="str">
        <f>IF(_xlfn.XLOOKUP(A59, AutoFill_names!B:B, AutoFill_names!F:F,"")=0,"",_xlfn.XLOOKUP(A59, AutoFill_names!B:B, AutoFill_names!F:F,""))</f>
        <v/>
      </c>
      <c r="F59" s="4"/>
      <c r="G59" s="4"/>
      <c r="H59" s="4"/>
      <c r="I59" s="4"/>
      <c r="J59" s="23" t="str">
        <f>IF(_xlfn.XLOOKUP(A59, AutoFill_names!B:B, AutoFill_names!K:K,"")=0,"",_xlfn.XLOOKUP(A59, AutoFill_names!B:B, AutoFill_names!K:K,""))</f>
        <v/>
      </c>
      <c r="K59" s="23" t="str">
        <f>IF(_xlfn.XLOOKUP(A59, AutoFill_names!B:B, AutoFill_names!L:L,"")=0,"",_xlfn.XLOOKUP(A59, AutoFill_names!B:B, AutoFill_names!L:L,""))</f>
        <v/>
      </c>
      <c r="L59" s="5"/>
      <c r="M59" s="5"/>
      <c r="N59" s="61" t="str">
        <f>IF(_xlfn.XLOOKUP(L59, AutoFill_classes!A:A, AutoFill_classes!B:B,"")=0,"",_xlfn.XLOOKUP(L59, AutoFill_classes!A:A, AutoFill_classes!B:B,""))</f>
        <v/>
      </c>
      <c r="O59" s="154"/>
      <c r="P59" s="9"/>
      <c r="Q59" s="9"/>
      <c r="R59" s="9"/>
      <c r="S59" s="5"/>
      <c r="T59" s="4"/>
      <c r="U59" s="5"/>
      <c r="V59" s="4"/>
      <c r="W59" s="4"/>
      <c r="X59" s="145"/>
      <c r="Y59" s="29"/>
      <c r="Z59" s="60" t="str">
        <f t="shared" si="161"/>
        <v/>
      </c>
      <c r="AA59" s="32"/>
      <c r="AB59" s="32"/>
      <c r="AC59" s="32"/>
      <c r="AD59" s="32"/>
      <c r="AE59" s="58" t="str">
        <f t="shared" si="135"/>
        <v/>
      </c>
      <c r="AF59" s="20"/>
      <c r="AG59" s="58" t="str">
        <f t="shared" si="136"/>
        <v/>
      </c>
      <c r="AH59" s="32"/>
      <c r="AI59" s="32"/>
      <c r="AJ59" s="58" t="str">
        <f t="shared" si="137"/>
        <v/>
      </c>
      <c r="AK59" s="20"/>
      <c r="AL59" s="58" t="str">
        <f t="shared" si="138"/>
        <v/>
      </c>
      <c r="AM59" s="32"/>
      <c r="AN59" s="32"/>
      <c r="AO59" s="58" t="str">
        <f t="shared" si="139"/>
        <v/>
      </c>
      <c r="AP59" s="58" t="str">
        <f t="shared" si="140"/>
        <v/>
      </c>
      <c r="AQ59" s="58" t="str">
        <f t="shared" si="141"/>
        <v/>
      </c>
      <c r="AR59" s="59" t="str">
        <f t="shared" si="142"/>
        <v/>
      </c>
      <c r="AS59" s="20"/>
      <c r="AT59" s="16"/>
      <c r="AU59" s="16"/>
      <c r="AV59" s="61" t="str">
        <f>IF(_xlfn.XLOOKUP(AT59, AutoFill_classes!$A:$A, AutoFill_classes!$B:$B,"")=0,"",_xlfn.XLOOKUP(AT59, AutoFill_classes!$A:$A, AutoFill_classes!$B:$B,""))</f>
        <v/>
      </c>
      <c r="AW59" s="154"/>
      <c r="AX59" s="14"/>
      <c r="AY59" s="14"/>
      <c r="AZ59" s="14"/>
      <c r="BA59" s="16"/>
      <c r="BB59" s="16"/>
      <c r="BC59" s="145"/>
      <c r="BD59" s="29"/>
      <c r="BE59" s="60" t="str">
        <f t="shared" si="143"/>
        <v/>
      </c>
      <c r="BF59" s="32"/>
      <c r="BG59" s="32"/>
      <c r="BH59" s="32"/>
      <c r="BI59" s="32"/>
      <c r="BJ59" s="58" t="str">
        <f t="shared" si="144"/>
        <v/>
      </c>
      <c r="BK59" s="20"/>
      <c r="BL59" s="58" t="str">
        <f t="shared" si="145"/>
        <v/>
      </c>
      <c r="BM59" s="32"/>
      <c r="BN59" s="32"/>
      <c r="BO59" s="58" t="str">
        <f t="shared" si="146"/>
        <v/>
      </c>
      <c r="BP59" s="20"/>
      <c r="BQ59" s="58" t="str">
        <f t="shared" si="147"/>
        <v/>
      </c>
      <c r="BR59" s="32"/>
      <c r="BS59" s="32"/>
      <c r="BT59" s="58" t="str">
        <f t="shared" si="148"/>
        <v/>
      </c>
      <c r="BU59" s="58" t="str">
        <f t="shared" si="149"/>
        <v/>
      </c>
      <c r="BV59" s="58" t="str">
        <f t="shared" si="150"/>
        <v/>
      </c>
      <c r="BW59" s="59" t="str">
        <f t="shared" si="151"/>
        <v/>
      </c>
      <c r="BX59" s="14"/>
      <c r="BY59" s="21"/>
      <c r="BZ59" s="20"/>
      <c r="CA59" s="61" t="str">
        <f>IF(_xlfn.XLOOKUP(BY59, AutoFill_classes!$A:$A, AutoFill_classes!$B:$B,"")=0,"",_xlfn.XLOOKUP(BY59, AutoFill_classes!$A:$A, AutoFill_classes!$B:$B,""))</f>
        <v/>
      </c>
      <c r="CB59" s="154"/>
      <c r="CC59" s="20"/>
      <c r="CD59" s="20"/>
      <c r="CE59" s="20"/>
      <c r="CF59" s="33"/>
      <c r="CG59" s="34"/>
      <c r="CH59" s="145"/>
      <c r="CI59" s="35"/>
      <c r="CJ59" s="60" t="str">
        <f t="shared" si="152"/>
        <v/>
      </c>
      <c r="CK59" s="32"/>
      <c r="CL59" s="32"/>
      <c r="CM59" s="32"/>
      <c r="CN59" s="32"/>
      <c r="CO59" s="58" t="str">
        <f t="shared" si="153"/>
        <v/>
      </c>
      <c r="CP59" s="20"/>
      <c r="CQ59" s="58" t="str">
        <f t="shared" si="154"/>
        <v/>
      </c>
      <c r="CR59" s="32"/>
      <c r="CS59" s="32"/>
      <c r="CT59" s="58" t="str">
        <f t="shared" si="155"/>
        <v/>
      </c>
      <c r="CU59" s="20"/>
      <c r="CV59" s="58" t="str">
        <f t="shared" si="156"/>
        <v/>
      </c>
      <c r="CW59" s="32"/>
      <c r="CX59" s="32"/>
      <c r="CY59" s="58" t="str">
        <f t="shared" si="157"/>
        <v/>
      </c>
      <c r="CZ59" s="58" t="str">
        <f t="shared" si="158"/>
        <v/>
      </c>
      <c r="DA59" s="58" t="str">
        <f t="shared" si="159"/>
        <v/>
      </c>
      <c r="DB59" s="59" t="str">
        <f t="shared" si="160"/>
        <v/>
      </c>
      <c r="DC59" s="20"/>
      <c r="DD59" s="144"/>
      <c r="DE59" s="91">
        <v>58</v>
      </c>
      <c r="DF59" s="39"/>
      <c r="DG59" s="39"/>
      <c r="DH59" s="39"/>
      <c r="DI59" s="39"/>
      <c r="DJ59" s="39"/>
      <c r="DK59" s="39"/>
      <c r="DL59" s="39"/>
      <c r="DM59" s="39"/>
      <c r="DN59" s="39"/>
      <c r="DO59" s="39"/>
      <c r="DP59" s="39"/>
      <c r="DQ59" s="39"/>
      <c r="DR59" s="39"/>
      <c r="DS59" s="39"/>
      <c r="DT59" s="39"/>
      <c r="DU59" s="39"/>
      <c r="DV59" s="39"/>
      <c r="DW59" s="39"/>
      <c r="DX59" s="39"/>
      <c r="DY59" s="39"/>
      <c r="DZ59" s="39"/>
      <c r="EA59" s="39"/>
      <c r="EB59" s="39"/>
      <c r="EC59" s="39"/>
      <c r="ED59" s="39"/>
      <c r="EE59" s="39"/>
      <c r="EF59" s="39"/>
      <c r="EG59" s="39"/>
      <c r="EH59" s="39"/>
      <c r="EI59" s="39"/>
      <c r="EJ59" s="39"/>
      <c r="EK59" s="39"/>
      <c r="EL59" s="39"/>
      <c r="EM59" s="39"/>
      <c r="EN59" s="39"/>
      <c r="EO59" s="39"/>
      <c r="EP59" s="39"/>
      <c r="EQ59" s="39"/>
      <c r="ER59" s="39"/>
      <c r="ES59" s="39"/>
      <c r="ET59" s="39"/>
      <c r="EU59" s="39"/>
      <c r="EV59" s="39"/>
      <c r="EW59" s="39"/>
      <c r="EX59" s="39"/>
      <c r="EY59" s="39"/>
      <c r="EZ59" s="39"/>
      <c r="FA59" s="39"/>
      <c r="FB59" s="39"/>
      <c r="FC59" s="39"/>
      <c r="FD59" s="39"/>
      <c r="FE59" s="39"/>
      <c r="FF59" s="39"/>
      <c r="FG59" s="39"/>
      <c r="FH59" s="39"/>
      <c r="FI59" s="39"/>
      <c r="FJ59" s="39"/>
      <c r="FK59" s="39"/>
      <c r="FL59" s="39"/>
      <c r="FM59" s="39"/>
      <c r="FN59" s="39"/>
      <c r="FO59" s="39"/>
      <c r="FP59" s="39"/>
      <c r="FQ59" s="39"/>
      <c r="FR59" s="39"/>
      <c r="FS59" s="39"/>
      <c r="FT59" s="39"/>
    </row>
    <row r="60" spans="1:176" s="22" customFormat="1" ht="13">
      <c r="A60" s="7"/>
      <c r="B60" s="23" t="str">
        <f>IF(_xlfn.XLOOKUP(A60, AutoFill_names!B:B, AutoFill_names!C:C,"")=0,"",_xlfn.XLOOKUP(A60, AutoFill_names!B:B, AutoFill_names!C:C,""))</f>
        <v/>
      </c>
      <c r="C60" s="23" t="str">
        <f>IF(_xlfn.XLOOKUP(A60, AutoFill_names!B:B, AutoFill_names!D:D,"")=0,"",_xlfn.XLOOKUP(A60, AutoFill_names!B:B, AutoFill_names!D:D,""))</f>
        <v/>
      </c>
      <c r="D60" s="23" t="str">
        <f>IF(_xlfn.XLOOKUP(A60, AutoFill_names!B:B, AutoFill_names!E:E,"")=0,"",_xlfn.XLOOKUP(A60, AutoFill_names!B:B, AutoFill_names!E:E,""))</f>
        <v/>
      </c>
      <c r="E60" s="23" t="str">
        <f>IF(_xlfn.XLOOKUP(A60, AutoFill_names!B:B, AutoFill_names!F:F,"")=0,"",_xlfn.XLOOKUP(A60, AutoFill_names!B:B, AutoFill_names!F:F,""))</f>
        <v/>
      </c>
      <c r="F60" s="4"/>
      <c r="G60" s="4"/>
      <c r="H60" s="4"/>
      <c r="I60" s="4"/>
      <c r="J60" s="23" t="str">
        <f>IF(_xlfn.XLOOKUP(A60, AutoFill_names!B:B, AutoFill_names!K:K,"")=0,"",_xlfn.XLOOKUP(A60, AutoFill_names!B:B, AutoFill_names!K:K,""))</f>
        <v/>
      </c>
      <c r="K60" s="23" t="str">
        <f>IF(_xlfn.XLOOKUP(A60, AutoFill_names!B:B, AutoFill_names!L:L,"")=0,"",_xlfn.XLOOKUP(A60, AutoFill_names!B:B, AutoFill_names!L:L,""))</f>
        <v/>
      </c>
      <c r="L60" s="5"/>
      <c r="M60" s="5"/>
      <c r="N60" s="61" t="str">
        <f>IF(_xlfn.XLOOKUP(L60, AutoFill_classes!A:A, AutoFill_classes!B:B,"")=0,"",_xlfn.XLOOKUP(L60, AutoFill_classes!A:A, AutoFill_classes!B:B,""))</f>
        <v/>
      </c>
      <c r="O60" s="154"/>
      <c r="P60" s="9"/>
      <c r="Q60" s="9"/>
      <c r="R60" s="9"/>
      <c r="S60" s="5"/>
      <c r="T60" s="5"/>
      <c r="U60" s="5"/>
      <c r="V60" s="4"/>
      <c r="W60" s="4"/>
      <c r="X60" s="145"/>
      <c r="Y60" s="29"/>
      <c r="Z60" s="60" t="str">
        <f t="shared" si="161"/>
        <v/>
      </c>
      <c r="AA60" s="32"/>
      <c r="AB60" s="32"/>
      <c r="AC60" s="32"/>
      <c r="AD60" s="32"/>
      <c r="AE60" s="58" t="str">
        <f t="shared" si="135"/>
        <v/>
      </c>
      <c r="AF60" s="20"/>
      <c r="AG60" s="58" t="str">
        <f t="shared" si="136"/>
        <v/>
      </c>
      <c r="AH60" s="32"/>
      <c r="AI60" s="32"/>
      <c r="AJ60" s="58" t="str">
        <f t="shared" si="137"/>
        <v/>
      </c>
      <c r="AK60" s="20"/>
      <c r="AL60" s="58" t="str">
        <f t="shared" si="138"/>
        <v/>
      </c>
      <c r="AM60" s="32"/>
      <c r="AN60" s="32"/>
      <c r="AO60" s="58" t="str">
        <f t="shared" si="139"/>
        <v/>
      </c>
      <c r="AP60" s="58" t="str">
        <f t="shared" si="140"/>
        <v/>
      </c>
      <c r="AQ60" s="58" t="str">
        <f t="shared" si="141"/>
        <v/>
      </c>
      <c r="AR60" s="59" t="str">
        <f t="shared" si="142"/>
        <v/>
      </c>
      <c r="AS60" s="20"/>
      <c r="AT60" s="14"/>
      <c r="AU60" s="14"/>
      <c r="AV60" s="61" t="str">
        <f>IF(_xlfn.XLOOKUP(AT60, AutoFill_classes!$A:$A, AutoFill_classes!$B:$B,"")=0,"",_xlfn.XLOOKUP(AT60, AutoFill_classes!$A:$A, AutoFill_classes!$B:$B,""))</f>
        <v/>
      </c>
      <c r="AW60" s="154"/>
      <c r="AX60" s="14"/>
      <c r="AY60" s="14"/>
      <c r="AZ60" s="14"/>
      <c r="BA60" s="16"/>
      <c r="BB60" s="16"/>
      <c r="BC60" s="145"/>
      <c r="BD60" s="29"/>
      <c r="BE60" s="60" t="str">
        <f t="shared" si="143"/>
        <v/>
      </c>
      <c r="BF60" s="32"/>
      <c r="BG60" s="32"/>
      <c r="BH60" s="32"/>
      <c r="BI60" s="32"/>
      <c r="BJ60" s="58" t="str">
        <f t="shared" si="144"/>
        <v/>
      </c>
      <c r="BK60" s="20"/>
      <c r="BL60" s="58" t="str">
        <f t="shared" si="145"/>
        <v/>
      </c>
      <c r="BM60" s="32"/>
      <c r="BN60" s="32"/>
      <c r="BO60" s="58" t="str">
        <f t="shared" si="146"/>
        <v/>
      </c>
      <c r="BP60" s="20"/>
      <c r="BQ60" s="58" t="str">
        <f t="shared" si="147"/>
        <v/>
      </c>
      <c r="BR60" s="32"/>
      <c r="BS60" s="32"/>
      <c r="BT60" s="58" t="str">
        <f t="shared" si="148"/>
        <v/>
      </c>
      <c r="BU60" s="58" t="str">
        <f t="shared" si="149"/>
        <v/>
      </c>
      <c r="BV60" s="58" t="str">
        <f t="shared" si="150"/>
        <v/>
      </c>
      <c r="BW60" s="59" t="str">
        <f t="shared" si="151"/>
        <v/>
      </c>
      <c r="BX60" s="14"/>
      <c r="BY60" s="21"/>
      <c r="BZ60" s="20"/>
      <c r="CA60" s="61" t="str">
        <f>IF(_xlfn.XLOOKUP(BY60, AutoFill_classes!$A:$A, AutoFill_classes!$B:$B,"")=0,"",_xlfn.XLOOKUP(BY60, AutoFill_classes!$A:$A, AutoFill_classes!$B:$B,""))</f>
        <v/>
      </c>
      <c r="CB60" s="154"/>
      <c r="CC60" s="20"/>
      <c r="CD60" s="20"/>
      <c r="CE60" s="20"/>
      <c r="CF60" s="33"/>
      <c r="CG60" s="34"/>
      <c r="CH60" s="145"/>
      <c r="CI60" s="35"/>
      <c r="CJ60" s="60" t="str">
        <f t="shared" si="152"/>
        <v/>
      </c>
      <c r="CK60" s="32"/>
      <c r="CL60" s="32"/>
      <c r="CM60" s="32"/>
      <c r="CN60" s="32"/>
      <c r="CO60" s="58" t="str">
        <f t="shared" si="153"/>
        <v/>
      </c>
      <c r="CP60" s="20"/>
      <c r="CQ60" s="58" t="str">
        <f t="shared" si="154"/>
        <v/>
      </c>
      <c r="CR60" s="32"/>
      <c r="CS60" s="32"/>
      <c r="CT60" s="58" t="str">
        <f t="shared" si="155"/>
        <v/>
      </c>
      <c r="CU60" s="20"/>
      <c r="CV60" s="58" t="str">
        <f t="shared" si="156"/>
        <v/>
      </c>
      <c r="CW60" s="32"/>
      <c r="CX60" s="32"/>
      <c r="CY60" s="58" t="str">
        <f t="shared" si="157"/>
        <v/>
      </c>
      <c r="CZ60" s="58" t="str">
        <f t="shared" si="158"/>
        <v/>
      </c>
      <c r="DA60" s="58" t="str">
        <f t="shared" si="159"/>
        <v/>
      </c>
      <c r="DB60" s="59" t="str">
        <f t="shared" si="160"/>
        <v/>
      </c>
      <c r="DC60" s="20"/>
      <c r="DD60" s="144"/>
      <c r="DE60" s="91">
        <v>59</v>
      </c>
      <c r="DF60" s="39"/>
      <c r="DG60" s="39"/>
      <c r="DH60" s="39"/>
      <c r="DI60" s="39"/>
      <c r="DJ60" s="39"/>
      <c r="DK60" s="39"/>
      <c r="DL60" s="39"/>
      <c r="DM60" s="39"/>
      <c r="DN60" s="39"/>
      <c r="DO60" s="39"/>
      <c r="DP60" s="39"/>
      <c r="DQ60" s="39"/>
      <c r="DR60" s="39"/>
      <c r="DS60" s="39"/>
      <c r="DT60" s="39"/>
      <c r="DU60" s="39"/>
      <c r="DV60" s="39"/>
      <c r="DW60" s="39"/>
      <c r="DX60" s="39"/>
      <c r="DY60" s="39"/>
      <c r="DZ60" s="39"/>
      <c r="EA60" s="39"/>
      <c r="EB60" s="39"/>
      <c r="EC60" s="39"/>
      <c r="ED60" s="39"/>
      <c r="EE60" s="39"/>
      <c r="EF60" s="39"/>
      <c r="EG60" s="39"/>
      <c r="EH60" s="39"/>
      <c r="EI60" s="39"/>
      <c r="EJ60" s="39"/>
      <c r="EK60" s="39"/>
      <c r="EL60" s="39"/>
      <c r="EM60" s="39"/>
      <c r="EN60" s="39"/>
      <c r="EO60" s="39"/>
      <c r="EP60" s="39"/>
      <c r="EQ60" s="39"/>
      <c r="ER60" s="39"/>
      <c r="ES60" s="39"/>
      <c r="ET60" s="39"/>
      <c r="EU60" s="39"/>
      <c r="EV60" s="39"/>
      <c r="EW60" s="39"/>
      <c r="EX60" s="39"/>
      <c r="EY60" s="39"/>
      <c r="EZ60" s="39"/>
      <c r="FA60" s="39"/>
      <c r="FB60" s="39"/>
      <c r="FC60" s="39"/>
      <c r="FD60" s="39"/>
      <c r="FE60" s="39"/>
      <c r="FF60" s="39"/>
      <c r="FG60" s="39"/>
      <c r="FH60" s="39"/>
      <c r="FI60" s="39"/>
      <c r="FJ60" s="39"/>
      <c r="FK60" s="39"/>
      <c r="FL60" s="39"/>
      <c r="FM60" s="39"/>
      <c r="FN60" s="39"/>
      <c r="FO60" s="39"/>
      <c r="FP60" s="39"/>
      <c r="FQ60" s="39"/>
      <c r="FR60" s="39"/>
      <c r="FS60" s="39"/>
      <c r="FT60" s="39"/>
    </row>
    <row r="61" spans="1:176" s="113" customFormat="1" ht="68">
      <c r="A61" s="153" t="s">
        <v>1291</v>
      </c>
      <c r="B61" s="93" t="str">
        <f>"Total Credits: " &amp; IFERROR(IF(DD61=0,"",DD61),"")</f>
        <v>Total Credits: 10</v>
      </c>
      <c r="C61" s="114"/>
      <c r="D61" s="114"/>
      <c r="E61" s="114"/>
      <c r="F61" s="114"/>
      <c r="G61" s="114"/>
      <c r="H61" s="114"/>
      <c r="I61" s="114"/>
      <c r="J61" s="114"/>
      <c r="K61" s="114"/>
      <c r="L61" s="114"/>
      <c r="M61" s="114"/>
      <c r="P61" s="96"/>
      <c r="Q61" s="96"/>
      <c r="R61" s="96"/>
      <c r="S61" s="114"/>
      <c r="T61" s="114"/>
      <c r="U61" s="114"/>
      <c r="V61" s="97"/>
      <c r="W61" s="97"/>
      <c r="X61" s="143" t="str">
        <f>IF(SUM(X62:X70)=0, "", SUM(X62:X70))</f>
        <v/>
      </c>
      <c r="Y61" s="121"/>
      <c r="Z61" s="122"/>
      <c r="AA61" s="100"/>
      <c r="AB61" s="100"/>
      <c r="AC61" s="100"/>
      <c r="AD61" s="100"/>
      <c r="AE61" s="101"/>
      <c r="AF61" s="102"/>
      <c r="AG61" s="101"/>
      <c r="AH61" s="100"/>
      <c r="AI61" s="100"/>
      <c r="AJ61" s="101"/>
      <c r="AK61" s="102"/>
      <c r="AL61" s="101"/>
      <c r="AM61" s="100"/>
      <c r="AN61" s="100"/>
      <c r="AO61" s="103"/>
      <c r="AP61" s="103"/>
      <c r="AQ61" s="103"/>
      <c r="AR61" s="103"/>
      <c r="AS61" s="104"/>
      <c r="AT61" s="125"/>
      <c r="AU61" s="125"/>
      <c r="AX61" s="125"/>
      <c r="AY61" s="125"/>
      <c r="AZ61" s="125"/>
      <c r="BA61" s="112"/>
      <c r="BB61" s="112"/>
      <c r="BC61" s="143">
        <f>IF(SUM(BC62:BC70)=0, "", SUM(BC62:BC70))</f>
        <v>7</v>
      </c>
      <c r="BD61" s="121"/>
      <c r="BE61" s="122"/>
      <c r="BF61" s="123"/>
      <c r="BG61" s="123"/>
      <c r="BH61" s="123"/>
      <c r="BI61" s="123"/>
      <c r="BJ61" s="124"/>
      <c r="BK61" s="125"/>
      <c r="BL61" s="124"/>
      <c r="BM61" s="123"/>
      <c r="BN61" s="123"/>
      <c r="BO61" s="124"/>
      <c r="BP61" s="125"/>
      <c r="BQ61" s="124"/>
      <c r="BR61" s="123"/>
      <c r="BS61" s="123"/>
      <c r="BT61" s="124"/>
      <c r="BU61" s="124"/>
      <c r="BV61" s="124"/>
      <c r="BW61" s="103"/>
      <c r="BX61" s="125"/>
      <c r="BY61" s="125"/>
      <c r="BZ61" s="125"/>
      <c r="CC61" s="125"/>
      <c r="CD61" s="125"/>
      <c r="CE61" s="125"/>
      <c r="CF61" s="97"/>
      <c r="CG61" s="98"/>
      <c r="CH61" s="143">
        <f>IF(SUM(CH62:CH70)=0, "", SUM(CH62:CH70))</f>
        <v>3</v>
      </c>
      <c r="CI61" s="121"/>
      <c r="CJ61" s="122"/>
      <c r="CK61" s="123"/>
      <c r="CL61" s="123"/>
      <c r="CM61" s="123"/>
      <c r="CN61" s="123"/>
      <c r="CP61" s="125"/>
      <c r="CR61" s="123"/>
      <c r="CS61" s="123"/>
      <c r="CU61" s="125"/>
      <c r="CW61" s="123"/>
      <c r="CX61" s="123"/>
      <c r="DB61" s="103"/>
      <c r="DC61" s="125"/>
      <c r="DD61" s="143">
        <f>IF(SUM(L61:DC61)=0, "", SUM(L61:DC61))</f>
        <v>10</v>
      </c>
      <c r="DE61" s="91">
        <v>60</v>
      </c>
      <c r="DF61" s="26"/>
      <c r="DG61" s="26"/>
      <c r="DH61" s="26"/>
      <c r="DI61" s="26"/>
      <c r="DJ61" s="26"/>
      <c r="DK61" s="26"/>
      <c r="DL61" s="26"/>
      <c r="DM61" s="26"/>
      <c r="DN61" s="26"/>
      <c r="DO61" s="26"/>
      <c r="DP61" s="26"/>
      <c r="DQ61" s="26"/>
      <c r="DR61" s="26"/>
      <c r="DS61" s="26"/>
      <c r="DT61" s="26"/>
      <c r="DU61" s="26"/>
      <c r="DV61" s="26"/>
      <c r="DW61" s="26"/>
      <c r="DX61" s="26"/>
      <c r="DY61" s="26"/>
      <c r="DZ61" s="26"/>
      <c r="EA61" s="26"/>
      <c r="EB61" s="26"/>
      <c r="EC61" s="26"/>
      <c r="ED61" s="26"/>
      <c r="EE61" s="26"/>
      <c r="EF61" s="26"/>
      <c r="EG61" s="26"/>
      <c r="EH61" s="26"/>
      <c r="EI61" s="26"/>
      <c r="EJ61" s="26"/>
      <c r="EK61" s="26"/>
      <c r="EL61" s="26"/>
      <c r="EM61" s="26"/>
      <c r="EN61" s="26"/>
      <c r="EO61" s="26"/>
      <c r="EP61" s="26"/>
      <c r="EQ61" s="26"/>
      <c r="ER61" s="26"/>
      <c r="ES61" s="26"/>
      <c r="ET61" s="26"/>
      <c r="EU61" s="26"/>
      <c r="EV61" s="26"/>
      <c r="EW61" s="26"/>
      <c r="EX61" s="26"/>
      <c r="EY61" s="26"/>
      <c r="EZ61" s="26"/>
      <c r="FA61" s="26"/>
      <c r="FB61" s="26"/>
      <c r="FC61" s="26"/>
      <c r="FD61" s="26"/>
      <c r="FE61" s="26"/>
      <c r="FF61" s="26"/>
      <c r="FG61" s="26"/>
      <c r="FH61" s="26"/>
      <c r="FI61" s="26"/>
      <c r="FJ61" s="26"/>
      <c r="FK61" s="26"/>
      <c r="FL61" s="26"/>
      <c r="FM61" s="26"/>
      <c r="FN61" s="26"/>
      <c r="FO61" s="26"/>
      <c r="FP61" s="26"/>
      <c r="FQ61" s="26"/>
      <c r="FR61" s="26"/>
      <c r="FS61" s="26"/>
      <c r="FT61" s="26"/>
    </row>
    <row r="62" spans="1:176" s="22" customFormat="1" ht="13">
      <c r="A62" s="7" t="s">
        <v>1306</v>
      </c>
      <c r="B62" s="23" t="str">
        <f>IF(_xlfn.XLOOKUP(A62, AutoFill_names!B:B, AutoFill_names!C:C,"")=0,"",_xlfn.XLOOKUP(A62, AutoFill_names!B:B, AutoFill_names!C:C,""))</f>
        <v/>
      </c>
      <c r="C62" s="23" t="str">
        <f>IF(_xlfn.XLOOKUP(A62, AutoFill_names!B:B, AutoFill_names!D:D,"")=0,"",_xlfn.XLOOKUP(A62, AutoFill_names!B:B, AutoFill_names!D:D,""))</f>
        <v/>
      </c>
      <c r="D62" s="23" t="str">
        <f>IF(_xlfn.XLOOKUP(A62, AutoFill_names!B:B, AutoFill_names!E:E,"")=0,"",_xlfn.XLOOKUP(A62, AutoFill_names!B:B, AutoFill_names!E:E,""))</f>
        <v/>
      </c>
      <c r="E62" s="23" t="str">
        <f>IF(_xlfn.XLOOKUP(A62, AutoFill_names!B:B, AutoFill_names!F:F,"")=0,"",_xlfn.XLOOKUP(A62, AutoFill_names!B:B, AutoFill_names!F:F,""))</f>
        <v/>
      </c>
      <c r="F62" s="4"/>
      <c r="G62" s="4"/>
      <c r="H62" s="4"/>
      <c r="I62" s="4"/>
      <c r="J62" s="23" t="str">
        <f>IF(_xlfn.XLOOKUP(A62, AutoFill_names!B:B, AutoFill_names!K:K,"")=0,"",_xlfn.XLOOKUP(A62, AutoFill_names!B:B, AutoFill_names!K:K,""))</f>
        <v/>
      </c>
      <c r="K62" s="23" t="str">
        <f>IF(_xlfn.XLOOKUP(A62, AutoFill_names!B:B, AutoFill_names!L:L,"")=0,"",_xlfn.XLOOKUP(A62, AutoFill_names!B:B, AutoFill_names!L:L,""))</f>
        <v/>
      </c>
      <c r="L62" s="45"/>
      <c r="M62" s="45"/>
      <c r="N62" s="61" t="str">
        <f>IF(_xlfn.XLOOKUP(L62, AutoFill_classes!A:A, AutoFill_classes!B:B,"")=0,"",_xlfn.XLOOKUP(L62, AutoFill_classes!A:A, AutoFill_classes!B:B,""))</f>
        <v/>
      </c>
      <c r="O62" s="154"/>
      <c r="P62" s="9"/>
      <c r="Q62" s="9"/>
      <c r="R62" s="9"/>
      <c r="S62" s="5"/>
      <c r="T62" s="6"/>
      <c r="U62" s="5"/>
      <c r="V62" s="4"/>
      <c r="W62" s="4"/>
      <c r="X62" s="145"/>
      <c r="Y62" s="29"/>
      <c r="Z62" s="60" t="str">
        <f t="shared" ref="Z62:Z70" si="162">IF(X62*Y62=0,"",X62*Y62)</f>
        <v/>
      </c>
      <c r="AA62" s="28"/>
      <c r="AB62" s="28"/>
      <c r="AC62" s="28"/>
      <c r="AD62" s="28"/>
      <c r="AE62" s="58" t="str">
        <f t="shared" ref="AE62:AE70" si="163">IF(ROUNDUP((AD62-AC62)/7,0)=0,"",ROUNDUP((AD62-AC62)/7,0))</f>
        <v/>
      </c>
      <c r="AF62" s="19"/>
      <c r="AG62" s="58" t="str">
        <f t="shared" ref="AG62:AG70" si="164">IFERROR(IF(AE62*AF62=0,"",AE62*AF62), "")</f>
        <v/>
      </c>
      <c r="AH62" s="28"/>
      <c r="AI62" s="28"/>
      <c r="AJ62" s="58" t="str">
        <f t="shared" ref="AJ62:AJ70" si="165">IF(ROUNDUP((AI62-AH62)/7,0)=0,"",ROUNDUP((AI62-AH62)/7,0))</f>
        <v/>
      </c>
      <c r="AK62" s="19"/>
      <c r="AL62" s="58" t="str">
        <f t="shared" ref="AL62:AL70" si="166">IFERROR(IF(AJ62*AK62=0,"",AJ62*AK62), "")</f>
        <v/>
      </c>
      <c r="AM62" s="28"/>
      <c r="AN62" s="28"/>
      <c r="AO62" s="58" t="str">
        <f t="shared" ref="AO62:AO70" si="167">IF(ROUNDUP((AN62-AM62)/7,0)=0,"",ROUNDUP((AN62-AM62)/7,0))</f>
        <v/>
      </c>
      <c r="AP62" s="58" t="str">
        <f t="shared" ref="AP62:AP70" si="168">IFERROR(IF((AS62-(AF62+AK62))/AO62=0,"",ROUNDUP((AS62-(AF62+AK62))/AO62,0)), "")</f>
        <v/>
      </c>
      <c r="AQ62" s="58" t="str">
        <f t="shared" ref="AQ62:AQ70" si="169">IFERROR(IF((AS62-(AG62+AL62))=0, "", (AS62-(AG62+AL62))), "")</f>
        <v/>
      </c>
      <c r="AR62" s="59" t="str">
        <f t="shared" ref="AR62:AR70" si="170">IFERROR(IF((AE62+AJ62+AO62)=0, "", (AE62+AJ62+AO62)), "")</f>
        <v/>
      </c>
      <c r="AS62" s="19"/>
      <c r="AT62" s="16" t="s">
        <v>617</v>
      </c>
      <c r="AU62" s="16"/>
      <c r="AV62" s="61" t="str">
        <f>IF(_xlfn.XLOOKUP(AT62, AutoFill_classes!$A:$A, AutoFill_classes!$B:$B,"")=0,"",_xlfn.XLOOKUP(AT62, AutoFill_classes!$A:$A, AutoFill_classes!$B:$B,""))</f>
        <v>Black Preaching</v>
      </c>
      <c r="AW62" s="154"/>
      <c r="AX62" s="14" t="s">
        <v>56</v>
      </c>
      <c r="AY62" s="16" t="s">
        <v>57</v>
      </c>
      <c r="AZ62" s="14" t="s">
        <v>58</v>
      </c>
      <c r="BA62" s="16" t="s">
        <v>59</v>
      </c>
      <c r="BB62" s="16" t="s">
        <v>60</v>
      </c>
      <c r="BC62" s="145">
        <v>2</v>
      </c>
      <c r="BD62" s="27"/>
      <c r="BE62" s="60" t="str">
        <f t="shared" ref="BE62:BE70" si="171">IF(BC62*BD62=0,"",BC62*BD62)</f>
        <v/>
      </c>
      <c r="BF62" s="28"/>
      <c r="BG62" s="28"/>
      <c r="BH62" s="28"/>
      <c r="BI62" s="28"/>
      <c r="BJ62" s="58" t="str">
        <f t="shared" ref="BJ62:BJ70" si="172">IF(ROUNDUP((BI62-BH62)/7,0)=0,"",ROUNDUP((BI62-BH62)/7,0))</f>
        <v/>
      </c>
      <c r="BK62" s="19"/>
      <c r="BL62" s="58" t="str">
        <f t="shared" ref="BL62:BL70" si="173">IFERROR(IF(BJ62*BK62=0,"",BJ62*BK62), "")</f>
        <v/>
      </c>
      <c r="BM62" s="28"/>
      <c r="BN62" s="28"/>
      <c r="BO62" s="58" t="str">
        <f t="shared" ref="BO62:BO70" si="174">IF(ROUNDUP((BN62-BM62)/7,0)=0,"",ROUNDUP((BN62-BM62)/7,0))</f>
        <v/>
      </c>
      <c r="BP62" s="19"/>
      <c r="BQ62" s="58" t="str">
        <f t="shared" ref="BQ62:BQ70" si="175">IFERROR(IF(BO62*BP62=0,"",BO62*BP62), "")</f>
        <v/>
      </c>
      <c r="BR62" s="28"/>
      <c r="BS62" s="28"/>
      <c r="BT62" s="58" t="str">
        <f t="shared" ref="BT62:BT70" si="176">IF(ROUNDUP((BS62-BR62)/7,0)=0,"",ROUNDUP((BS62-BR62)/7,0))</f>
        <v/>
      </c>
      <c r="BU62" s="58" t="str">
        <f t="shared" ref="BU62:BU70" si="177">IFERROR(IF((BX62-(BK62+BP62))/BT62=0,"",ROUNDUP((BX62-(BK62+BP62))/BT62,0)), "")</f>
        <v/>
      </c>
      <c r="BV62" s="58" t="str">
        <f t="shared" ref="BV62:BV70" si="178">IFERROR(IF((BX62-(BL62+BQ62))=0, "", (BX62-(BL62+BQ62))), "")</f>
        <v/>
      </c>
      <c r="BW62" s="59" t="str">
        <f t="shared" ref="BW62:BW70" si="179">IFERROR(IF((BJ62+BO62+BT62)=0, "", (BJ62+BO62+BT62)), "")</f>
        <v/>
      </c>
      <c r="BX62" s="16"/>
      <c r="BY62" s="12" t="s">
        <v>615</v>
      </c>
      <c r="BZ62" s="51"/>
      <c r="CA62" s="61" t="str">
        <f>IF(_xlfn.XLOOKUP(BY62, AutoFill_classes!$A:$A, AutoFill_classes!$B:$B,"")=0,"",_xlfn.XLOOKUP(BY62, AutoFill_classes!$A:$A, AutoFill_classes!$B:$B,""))</f>
        <v>Media Ministry</v>
      </c>
      <c r="CB62" s="154"/>
      <c r="CC62" s="19" t="s">
        <v>56</v>
      </c>
      <c r="CD62" s="19" t="s">
        <v>57</v>
      </c>
      <c r="CE62" s="19" t="s">
        <v>58</v>
      </c>
      <c r="CF62" s="30" t="s">
        <v>59</v>
      </c>
      <c r="CG62" s="31" t="s">
        <v>60</v>
      </c>
      <c r="CH62" s="145">
        <v>1</v>
      </c>
      <c r="CI62" s="31"/>
      <c r="CJ62" s="60" t="str">
        <f t="shared" ref="CJ62:CJ70" si="180">IF(CH62*CI62=0,"",CH62*CI62)</f>
        <v/>
      </c>
      <c r="CK62" s="28"/>
      <c r="CL62" s="28"/>
      <c r="CM62" s="28"/>
      <c r="CN62" s="28"/>
      <c r="CO62" s="58" t="str">
        <f t="shared" ref="CO62:CO70" si="181">IF(ROUNDUP((CN62-CM62)/7,0)=0,"",ROUNDUP((CN62-CM62)/7,0))</f>
        <v/>
      </c>
      <c r="CP62" s="19"/>
      <c r="CQ62" s="58" t="str">
        <f t="shared" ref="CQ62:CQ70" si="182">IFERROR(IF(CO62*CP62=0,"",CO62*CP62), "")</f>
        <v/>
      </c>
      <c r="CR62" s="28"/>
      <c r="CS62" s="28"/>
      <c r="CT62" s="58" t="str">
        <f t="shared" ref="CT62:CT70" si="183">IF(ROUNDUP((CS62-CR62)/7,0)=0,"",ROUNDUP((CS62-CR62)/7,0))</f>
        <v/>
      </c>
      <c r="CU62" s="19"/>
      <c r="CV62" s="58" t="str">
        <f t="shared" ref="CV62:CV70" si="184">IFERROR(IF(CT62*CU62=0,"",CT62*CU62), "")</f>
        <v/>
      </c>
      <c r="CW62" s="28"/>
      <c r="CX62" s="28"/>
      <c r="CY62" s="58" t="str">
        <f t="shared" ref="CY62:CY70" si="185">IF(ROUNDUP((CX62-CW62)/7,0)=0,"",ROUNDUP((CX62-CW62)/7,0))</f>
        <v/>
      </c>
      <c r="CZ62" s="58" t="str">
        <f t="shared" ref="CZ62:CZ70" si="186">IFERROR(IF((DC62-(CP62+CU62))/CY62=0,"",ROUNDUP((DC62-(CP62+CU62))/CY62,0)), "")</f>
        <v/>
      </c>
      <c r="DA62" s="58" t="str">
        <f t="shared" ref="DA62:DA70" si="187">IFERROR(IF((DC62-(CQ62+CV62))=0, "", (DC62-(CQ62+CV62))), "")</f>
        <v/>
      </c>
      <c r="DB62" s="59" t="str">
        <f t="shared" ref="DB62:DB70" si="188">IFERROR(IF((CO62+CT62+CY62)=0, "", (CO62+CT62+CY62)), "")</f>
        <v/>
      </c>
      <c r="DC62" s="19"/>
      <c r="DD62" s="144"/>
      <c r="DE62" s="91">
        <v>61</v>
      </c>
      <c r="DF62" s="39"/>
      <c r="DG62" s="39"/>
      <c r="DH62" s="39"/>
      <c r="DI62" s="39"/>
      <c r="DJ62" s="39"/>
      <c r="DK62" s="39"/>
      <c r="DL62" s="39"/>
      <c r="DM62" s="39"/>
      <c r="DN62" s="39"/>
      <c r="DO62" s="39"/>
      <c r="DP62" s="39"/>
      <c r="DQ62" s="39"/>
      <c r="DR62" s="39"/>
      <c r="DS62" s="39"/>
      <c r="DT62" s="39"/>
      <c r="DU62" s="39"/>
      <c r="DV62" s="39"/>
      <c r="DW62" s="39"/>
      <c r="DX62" s="39"/>
      <c r="DY62" s="39"/>
      <c r="DZ62" s="39"/>
      <c r="EA62" s="39"/>
      <c r="EB62" s="39"/>
      <c r="EC62" s="39"/>
      <c r="ED62" s="39"/>
      <c r="EE62" s="39"/>
      <c r="EF62" s="39"/>
      <c r="EG62" s="39"/>
      <c r="EH62" s="39"/>
      <c r="EI62" s="39"/>
      <c r="EJ62" s="39"/>
      <c r="EK62" s="39"/>
      <c r="EL62" s="39"/>
      <c r="EM62" s="39"/>
      <c r="EN62" s="39"/>
      <c r="EO62" s="39"/>
      <c r="EP62" s="39"/>
      <c r="EQ62" s="39"/>
      <c r="ER62" s="39"/>
      <c r="ES62" s="39"/>
      <c r="ET62" s="39"/>
      <c r="EU62" s="39"/>
      <c r="EV62" s="39"/>
      <c r="EW62" s="39"/>
      <c r="EX62" s="39"/>
      <c r="EY62" s="39"/>
      <c r="EZ62" s="39"/>
      <c r="FA62" s="39"/>
      <c r="FB62" s="39"/>
      <c r="FC62" s="39"/>
      <c r="FD62" s="39"/>
      <c r="FE62" s="39"/>
      <c r="FF62" s="39"/>
      <c r="FG62" s="39"/>
      <c r="FH62" s="39"/>
      <c r="FI62" s="39"/>
      <c r="FJ62" s="39"/>
      <c r="FK62" s="39"/>
      <c r="FL62" s="39"/>
      <c r="FM62" s="39"/>
      <c r="FN62" s="39"/>
      <c r="FO62" s="39"/>
      <c r="FP62" s="39"/>
      <c r="FQ62" s="39"/>
      <c r="FR62" s="39"/>
      <c r="FS62" s="39"/>
      <c r="FT62" s="39"/>
    </row>
    <row r="63" spans="1:176" s="22" customFormat="1" ht="13">
      <c r="A63" s="7" t="s">
        <v>1306</v>
      </c>
      <c r="B63" s="23" t="str">
        <f>IF(_xlfn.XLOOKUP(A63, AutoFill_names!B:B, AutoFill_names!C:C,"")=0,"",_xlfn.XLOOKUP(A63, AutoFill_names!B:B, AutoFill_names!C:C,""))</f>
        <v/>
      </c>
      <c r="C63" s="23" t="str">
        <f>IF(_xlfn.XLOOKUP(A63, AutoFill_names!B:B, AutoFill_names!D:D,"")=0,"",_xlfn.XLOOKUP(A63, AutoFill_names!B:B, AutoFill_names!D:D,""))</f>
        <v/>
      </c>
      <c r="D63" s="23" t="str">
        <f>IF(_xlfn.XLOOKUP(A63, AutoFill_names!B:B, AutoFill_names!E:E,"")=0,"",_xlfn.XLOOKUP(A63, AutoFill_names!B:B, AutoFill_names!E:E,""))</f>
        <v/>
      </c>
      <c r="E63" s="23" t="str">
        <f>IF(_xlfn.XLOOKUP(A63, AutoFill_names!B:B, AutoFill_names!F:F,"")=0,"",_xlfn.XLOOKUP(A63, AutoFill_names!B:B, AutoFill_names!F:F,""))</f>
        <v/>
      </c>
      <c r="F63" s="4"/>
      <c r="G63" s="4"/>
      <c r="H63" s="4"/>
      <c r="I63" s="4"/>
      <c r="J63" s="23" t="str">
        <f>IF(_xlfn.XLOOKUP(A63, AutoFill_names!B:B, AutoFill_names!K:K,"")=0,"",_xlfn.XLOOKUP(A63, AutoFill_names!B:B, AutoFill_names!K:K,""))</f>
        <v/>
      </c>
      <c r="K63" s="23" t="str">
        <f>IF(_xlfn.XLOOKUP(A63, AutoFill_names!B:B, AutoFill_names!L:L,"")=0,"",_xlfn.XLOOKUP(A63, AutoFill_names!B:B, AutoFill_names!L:L,""))</f>
        <v/>
      </c>
      <c r="L63" s="45"/>
      <c r="M63" s="45"/>
      <c r="N63" s="61" t="str">
        <f>IF(_xlfn.XLOOKUP(L63, AutoFill_classes!A:A, AutoFill_classes!B:B,"")=0,"",_xlfn.XLOOKUP(L63, AutoFill_classes!A:A, AutoFill_classes!B:B,""))</f>
        <v/>
      </c>
      <c r="O63" s="154"/>
      <c r="P63" s="9"/>
      <c r="Q63" s="9"/>
      <c r="R63" s="9"/>
      <c r="S63" s="5"/>
      <c r="T63" s="6"/>
      <c r="U63" s="5"/>
      <c r="V63" s="4"/>
      <c r="W63" s="4"/>
      <c r="X63" s="145"/>
      <c r="Y63" s="29"/>
      <c r="Z63" s="60" t="str">
        <f t="shared" si="162"/>
        <v/>
      </c>
      <c r="AA63" s="32"/>
      <c r="AB63" s="32"/>
      <c r="AC63" s="32"/>
      <c r="AD63" s="32"/>
      <c r="AE63" s="58" t="str">
        <f t="shared" si="163"/>
        <v/>
      </c>
      <c r="AF63" s="20"/>
      <c r="AG63" s="58" t="str">
        <f t="shared" si="164"/>
        <v/>
      </c>
      <c r="AH63" s="32"/>
      <c r="AI63" s="32"/>
      <c r="AJ63" s="58" t="str">
        <f t="shared" si="165"/>
        <v/>
      </c>
      <c r="AK63" s="20"/>
      <c r="AL63" s="58" t="str">
        <f t="shared" si="166"/>
        <v/>
      </c>
      <c r="AM63" s="32"/>
      <c r="AN63" s="32"/>
      <c r="AO63" s="58" t="str">
        <f t="shared" si="167"/>
        <v/>
      </c>
      <c r="AP63" s="58" t="str">
        <f t="shared" si="168"/>
        <v/>
      </c>
      <c r="AQ63" s="58" t="str">
        <f t="shared" si="169"/>
        <v/>
      </c>
      <c r="AR63" s="59" t="str">
        <f t="shared" si="170"/>
        <v/>
      </c>
      <c r="AS63" s="20"/>
      <c r="AT63" s="16" t="s">
        <v>610</v>
      </c>
      <c r="AU63" s="16"/>
      <c r="AV63" s="61" t="str">
        <f>IF(_xlfn.XLOOKUP(AT63, AutoFill_classes!$A:$A, AutoFill_classes!$B:$B,"")=0,"",_xlfn.XLOOKUP(AT63, AutoFill_classes!$A:$A, AutoFill_classes!$B:$B,""))</f>
        <v>Preach. Biblical Prophecies</v>
      </c>
      <c r="AW63" s="154"/>
      <c r="AX63" s="14" t="s">
        <v>56</v>
      </c>
      <c r="AY63" s="16" t="s">
        <v>57</v>
      </c>
      <c r="AZ63" s="14" t="s">
        <v>58</v>
      </c>
      <c r="BA63" s="16" t="s">
        <v>59</v>
      </c>
      <c r="BB63" s="16" t="s">
        <v>60</v>
      </c>
      <c r="BC63" s="145">
        <v>2</v>
      </c>
      <c r="BD63" s="27"/>
      <c r="BE63" s="60" t="str">
        <f t="shared" si="171"/>
        <v/>
      </c>
      <c r="BF63" s="32"/>
      <c r="BG63" s="32"/>
      <c r="BH63" s="32"/>
      <c r="BI63" s="32"/>
      <c r="BJ63" s="58" t="str">
        <f t="shared" si="172"/>
        <v/>
      </c>
      <c r="BK63" s="20"/>
      <c r="BL63" s="58" t="str">
        <f t="shared" si="173"/>
        <v/>
      </c>
      <c r="BM63" s="32"/>
      <c r="BN63" s="32"/>
      <c r="BO63" s="58" t="str">
        <f t="shared" si="174"/>
        <v/>
      </c>
      <c r="BP63" s="20"/>
      <c r="BQ63" s="58" t="str">
        <f t="shared" si="175"/>
        <v/>
      </c>
      <c r="BR63" s="32"/>
      <c r="BS63" s="32"/>
      <c r="BT63" s="58" t="str">
        <f t="shared" si="176"/>
        <v/>
      </c>
      <c r="BU63" s="58" t="str">
        <f t="shared" si="177"/>
        <v/>
      </c>
      <c r="BV63" s="58" t="str">
        <f t="shared" si="178"/>
        <v/>
      </c>
      <c r="BW63" s="59" t="str">
        <f t="shared" si="179"/>
        <v/>
      </c>
      <c r="BX63" s="16"/>
      <c r="BY63" s="21" t="s">
        <v>615</v>
      </c>
      <c r="BZ63" s="20" t="s">
        <v>281</v>
      </c>
      <c r="CA63" s="61" t="str">
        <f>IF(_xlfn.XLOOKUP(BY63, AutoFill_classes!$A:$A, AutoFill_classes!$B:$B,"")=0,"",_xlfn.XLOOKUP(BY63, AutoFill_classes!$A:$A, AutoFill_classes!$B:$B,""))</f>
        <v>Media Ministry</v>
      </c>
      <c r="CB63" s="154"/>
      <c r="CC63" s="20" t="s">
        <v>76</v>
      </c>
      <c r="CD63" s="20" t="s">
        <v>57</v>
      </c>
      <c r="CE63" s="20" t="s">
        <v>58</v>
      </c>
      <c r="CF63" s="33" t="s">
        <v>59</v>
      </c>
      <c r="CG63" s="34" t="s">
        <v>60</v>
      </c>
      <c r="CH63" s="145">
        <v>0</v>
      </c>
      <c r="CI63" s="35"/>
      <c r="CJ63" s="60" t="str">
        <f t="shared" si="180"/>
        <v/>
      </c>
      <c r="CK63" s="32"/>
      <c r="CL63" s="32"/>
      <c r="CM63" s="32"/>
      <c r="CN63" s="32"/>
      <c r="CO63" s="58" t="str">
        <f t="shared" si="181"/>
        <v/>
      </c>
      <c r="CP63" s="20"/>
      <c r="CQ63" s="58" t="str">
        <f t="shared" si="182"/>
        <v/>
      </c>
      <c r="CR63" s="32"/>
      <c r="CS63" s="32"/>
      <c r="CT63" s="58" t="str">
        <f t="shared" si="183"/>
        <v/>
      </c>
      <c r="CU63" s="20"/>
      <c r="CV63" s="58" t="str">
        <f t="shared" si="184"/>
        <v/>
      </c>
      <c r="CW63" s="32"/>
      <c r="CX63" s="32"/>
      <c r="CY63" s="58" t="str">
        <f t="shared" si="185"/>
        <v/>
      </c>
      <c r="CZ63" s="58" t="str">
        <f t="shared" si="186"/>
        <v/>
      </c>
      <c r="DA63" s="58" t="str">
        <f t="shared" si="187"/>
        <v/>
      </c>
      <c r="DB63" s="59" t="str">
        <f t="shared" si="188"/>
        <v/>
      </c>
      <c r="DC63" s="20"/>
      <c r="DD63" s="144"/>
      <c r="DE63" s="91">
        <v>62</v>
      </c>
      <c r="DF63" s="39"/>
      <c r="DG63" s="39"/>
      <c r="DH63" s="39"/>
      <c r="DI63" s="39"/>
      <c r="DJ63" s="39"/>
      <c r="DK63" s="39"/>
      <c r="DL63" s="39"/>
      <c r="DM63" s="39"/>
      <c r="DN63" s="39"/>
      <c r="DO63" s="39"/>
      <c r="DP63" s="39"/>
      <c r="DQ63" s="39"/>
      <c r="DR63" s="39"/>
      <c r="DS63" s="39"/>
      <c r="DT63" s="39"/>
      <c r="DU63" s="39"/>
      <c r="DV63" s="39"/>
      <c r="DW63" s="39"/>
      <c r="DX63" s="39"/>
      <c r="DY63" s="39"/>
      <c r="DZ63" s="39"/>
      <c r="EA63" s="39"/>
      <c r="EB63" s="39"/>
      <c r="EC63" s="39"/>
      <c r="ED63" s="39"/>
      <c r="EE63" s="39"/>
      <c r="EF63" s="39"/>
      <c r="EG63" s="39"/>
      <c r="EH63" s="39"/>
      <c r="EI63" s="39"/>
      <c r="EJ63" s="39"/>
      <c r="EK63" s="39"/>
      <c r="EL63" s="39"/>
      <c r="EM63" s="39"/>
      <c r="EN63" s="39"/>
      <c r="EO63" s="39"/>
      <c r="EP63" s="39"/>
      <c r="EQ63" s="39"/>
      <c r="ER63" s="39"/>
      <c r="ES63" s="39"/>
      <c r="ET63" s="39"/>
      <c r="EU63" s="39"/>
      <c r="EV63" s="39"/>
      <c r="EW63" s="39"/>
      <c r="EX63" s="39"/>
      <c r="EY63" s="39"/>
      <c r="EZ63" s="39"/>
      <c r="FA63" s="39"/>
      <c r="FB63" s="39"/>
      <c r="FC63" s="39"/>
      <c r="FD63" s="39"/>
      <c r="FE63" s="39"/>
      <c r="FF63" s="39"/>
      <c r="FG63" s="39"/>
      <c r="FH63" s="39"/>
      <c r="FI63" s="39"/>
      <c r="FJ63" s="39"/>
      <c r="FK63" s="39"/>
      <c r="FL63" s="39"/>
      <c r="FM63" s="39"/>
      <c r="FN63" s="39"/>
      <c r="FO63" s="39"/>
      <c r="FP63" s="39"/>
      <c r="FQ63" s="39"/>
      <c r="FR63" s="39"/>
      <c r="FS63" s="39"/>
      <c r="FT63" s="39"/>
    </row>
    <row r="64" spans="1:176" s="22" customFormat="1" ht="13">
      <c r="A64" s="7" t="s">
        <v>1306</v>
      </c>
      <c r="B64" s="23" t="str">
        <f>IF(_xlfn.XLOOKUP(A64, AutoFill_names!B:B, AutoFill_names!C:C,"")=0,"",_xlfn.XLOOKUP(A64, AutoFill_names!B:B, AutoFill_names!C:C,""))</f>
        <v/>
      </c>
      <c r="C64" s="23" t="str">
        <f>IF(_xlfn.XLOOKUP(A64, AutoFill_names!B:B, AutoFill_names!D:D,"")=0,"",_xlfn.XLOOKUP(A64, AutoFill_names!B:B, AutoFill_names!D:D,""))</f>
        <v/>
      </c>
      <c r="D64" s="23" t="str">
        <f>IF(_xlfn.XLOOKUP(A64, AutoFill_names!B:B, AutoFill_names!E:E,"")=0,"",_xlfn.XLOOKUP(A64, AutoFill_names!B:B, AutoFill_names!E:E,""))</f>
        <v/>
      </c>
      <c r="E64" s="23" t="str">
        <f>IF(_xlfn.XLOOKUP(A64, AutoFill_names!B:B, AutoFill_names!F:F,"")=0,"",_xlfn.XLOOKUP(A64, AutoFill_names!B:B, AutoFill_names!F:F,""))</f>
        <v/>
      </c>
      <c r="F64" s="4"/>
      <c r="G64" s="4"/>
      <c r="H64" s="4"/>
      <c r="I64" s="4"/>
      <c r="J64" s="23" t="str">
        <f>IF(_xlfn.XLOOKUP(A64, AutoFill_names!B:B, AutoFill_names!K:K,"")=0,"",_xlfn.XLOOKUP(A64, AutoFill_names!B:B, AutoFill_names!K:K,""))</f>
        <v/>
      </c>
      <c r="K64" s="23" t="str">
        <f>IF(_xlfn.XLOOKUP(A64, AutoFill_names!B:B, AutoFill_names!L:L,"")=0,"",_xlfn.XLOOKUP(A64, AutoFill_names!B:B, AutoFill_names!L:L,""))</f>
        <v/>
      </c>
      <c r="L64" s="45"/>
      <c r="M64" s="45"/>
      <c r="N64" s="61" t="str">
        <f>IF(_xlfn.XLOOKUP(L64, AutoFill_classes!A:A, AutoFill_classes!B:B,"")=0,"",_xlfn.XLOOKUP(L64, AutoFill_classes!A:A, AutoFill_classes!B:B,""))</f>
        <v/>
      </c>
      <c r="O64" s="154"/>
      <c r="P64" s="9"/>
      <c r="Q64" s="9"/>
      <c r="R64" s="9"/>
      <c r="S64" s="5"/>
      <c r="T64" s="6"/>
      <c r="U64" s="5"/>
      <c r="V64" s="4"/>
      <c r="W64" s="4"/>
      <c r="X64" s="145"/>
      <c r="Y64" s="29"/>
      <c r="Z64" s="60" t="str">
        <f t="shared" si="162"/>
        <v/>
      </c>
      <c r="AA64" s="32"/>
      <c r="AB64" s="32"/>
      <c r="AC64" s="36"/>
      <c r="AD64" s="36"/>
      <c r="AE64" s="58" t="str">
        <f t="shared" si="163"/>
        <v/>
      </c>
      <c r="AF64" s="20"/>
      <c r="AG64" s="58" t="str">
        <f t="shared" si="164"/>
        <v/>
      </c>
      <c r="AH64" s="36"/>
      <c r="AI64" s="36"/>
      <c r="AJ64" s="58" t="str">
        <f t="shared" si="165"/>
        <v/>
      </c>
      <c r="AK64" s="20"/>
      <c r="AL64" s="58" t="str">
        <f t="shared" si="166"/>
        <v/>
      </c>
      <c r="AM64" s="36"/>
      <c r="AN64" s="36"/>
      <c r="AO64" s="58" t="str">
        <f t="shared" si="167"/>
        <v/>
      </c>
      <c r="AP64" s="58" t="str">
        <f t="shared" si="168"/>
        <v/>
      </c>
      <c r="AQ64" s="58" t="str">
        <f t="shared" si="169"/>
        <v/>
      </c>
      <c r="AR64" s="59" t="str">
        <f t="shared" si="170"/>
        <v/>
      </c>
      <c r="AS64" s="20"/>
      <c r="AT64" s="16" t="s">
        <v>620</v>
      </c>
      <c r="AU64" s="16"/>
      <c r="AV64" s="61" t="str">
        <f>IF(_xlfn.XLOOKUP(AT64, AutoFill_classes!$A:$A, AutoFill_classes!$B:$B,"")=0,"",_xlfn.XLOOKUP(AT64, AutoFill_classes!$A:$A, AutoFill_classes!$B:$B,""))</f>
        <v>Seminar in Preaching</v>
      </c>
      <c r="AW64" s="154"/>
      <c r="AX64" s="14"/>
      <c r="AY64" s="16" t="s">
        <v>93</v>
      </c>
      <c r="AZ64" s="14" t="s">
        <v>127</v>
      </c>
      <c r="BA64" s="16" t="s">
        <v>59</v>
      </c>
      <c r="BB64" s="16" t="s">
        <v>60</v>
      </c>
      <c r="BC64" s="145">
        <v>3</v>
      </c>
      <c r="BD64" s="27"/>
      <c r="BE64" s="60" t="str">
        <f t="shared" si="171"/>
        <v/>
      </c>
      <c r="BF64" s="32"/>
      <c r="BG64" s="32"/>
      <c r="BH64" s="36"/>
      <c r="BI64" s="36"/>
      <c r="BJ64" s="58" t="str">
        <f t="shared" si="172"/>
        <v/>
      </c>
      <c r="BK64" s="20"/>
      <c r="BL64" s="58" t="str">
        <f t="shared" si="173"/>
        <v/>
      </c>
      <c r="BM64" s="36"/>
      <c r="BN64" s="36"/>
      <c r="BO64" s="58" t="str">
        <f t="shared" si="174"/>
        <v/>
      </c>
      <c r="BP64" s="20"/>
      <c r="BQ64" s="58" t="str">
        <f t="shared" si="175"/>
        <v/>
      </c>
      <c r="BR64" s="36"/>
      <c r="BS64" s="36"/>
      <c r="BT64" s="58" t="str">
        <f t="shared" si="176"/>
        <v/>
      </c>
      <c r="BU64" s="58" t="str">
        <f t="shared" si="177"/>
        <v/>
      </c>
      <c r="BV64" s="58" t="str">
        <f t="shared" si="178"/>
        <v/>
      </c>
      <c r="BW64" s="59" t="str">
        <f t="shared" si="179"/>
        <v/>
      </c>
      <c r="BX64" s="16"/>
      <c r="BY64" s="21" t="s">
        <v>612</v>
      </c>
      <c r="BZ64" s="20"/>
      <c r="CA64" s="61" t="str">
        <f>IF(_xlfn.XLOOKUP(BY64, AutoFill_classes!$A:$A, AutoFill_classes!$B:$B,"")=0,"",_xlfn.XLOOKUP(BY64, AutoFill_classes!$A:$A, AutoFill_classes!$B:$B,""))</f>
        <v>Evangelistic Preaching</v>
      </c>
      <c r="CB64" s="154"/>
      <c r="CC64" s="20" t="s">
        <v>56</v>
      </c>
      <c r="CD64" s="20" t="s">
        <v>57</v>
      </c>
      <c r="CE64" s="20" t="s">
        <v>58</v>
      </c>
      <c r="CF64" s="33" t="s">
        <v>59</v>
      </c>
      <c r="CG64" s="34" t="s">
        <v>60</v>
      </c>
      <c r="CH64" s="145">
        <v>2</v>
      </c>
      <c r="CI64" s="35"/>
      <c r="CJ64" s="60" t="str">
        <f t="shared" si="180"/>
        <v/>
      </c>
      <c r="CK64" s="32"/>
      <c r="CL64" s="32"/>
      <c r="CM64" s="36"/>
      <c r="CN64" s="36"/>
      <c r="CO64" s="58" t="str">
        <f t="shared" si="181"/>
        <v/>
      </c>
      <c r="CP64" s="20"/>
      <c r="CQ64" s="58" t="str">
        <f t="shared" si="182"/>
        <v/>
      </c>
      <c r="CR64" s="36"/>
      <c r="CS64" s="36"/>
      <c r="CT64" s="58" t="str">
        <f t="shared" si="183"/>
        <v/>
      </c>
      <c r="CU64" s="20"/>
      <c r="CV64" s="58" t="str">
        <f t="shared" si="184"/>
        <v/>
      </c>
      <c r="CW64" s="36"/>
      <c r="CX64" s="36"/>
      <c r="CY64" s="58" t="str">
        <f t="shared" si="185"/>
        <v/>
      </c>
      <c r="CZ64" s="58" t="str">
        <f t="shared" si="186"/>
        <v/>
      </c>
      <c r="DA64" s="58" t="str">
        <f t="shared" si="187"/>
        <v/>
      </c>
      <c r="DB64" s="59" t="str">
        <f t="shared" si="188"/>
        <v/>
      </c>
      <c r="DC64" s="20"/>
      <c r="DD64" s="144"/>
      <c r="DE64" s="91">
        <v>63</v>
      </c>
      <c r="DF64" s="39"/>
      <c r="DG64" s="39"/>
      <c r="DH64" s="39"/>
      <c r="DI64" s="39"/>
      <c r="DJ64" s="39"/>
      <c r="DK64" s="39"/>
      <c r="DL64" s="39"/>
      <c r="DM64" s="39"/>
      <c r="DN64" s="39"/>
      <c r="DO64" s="39"/>
      <c r="DP64" s="39"/>
      <c r="DQ64" s="39"/>
      <c r="DR64" s="39"/>
      <c r="DS64" s="39"/>
      <c r="DT64" s="39"/>
      <c r="DU64" s="39"/>
      <c r="DV64" s="39"/>
      <c r="DW64" s="39"/>
      <c r="DX64" s="39"/>
      <c r="DY64" s="39"/>
      <c r="DZ64" s="39"/>
      <c r="EA64" s="39"/>
      <c r="EB64" s="39"/>
      <c r="EC64" s="39"/>
      <c r="ED64" s="39"/>
      <c r="EE64" s="39"/>
      <c r="EF64" s="39"/>
      <c r="EG64" s="39"/>
      <c r="EH64" s="39"/>
      <c r="EI64" s="39"/>
      <c r="EJ64" s="39"/>
      <c r="EK64" s="39"/>
      <c r="EL64" s="39"/>
      <c r="EM64" s="39"/>
      <c r="EN64" s="39"/>
      <c r="EO64" s="39"/>
      <c r="EP64" s="39"/>
      <c r="EQ64" s="39"/>
      <c r="ER64" s="39"/>
      <c r="ES64" s="39"/>
      <c r="ET64" s="39"/>
      <c r="EU64" s="39"/>
      <c r="EV64" s="39"/>
      <c r="EW64" s="39"/>
      <c r="EX64" s="39"/>
      <c r="EY64" s="39"/>
      <c r="EZ64" s="39"/>
      <c r="FA64" s="39"/>
      <c r="FB64" s="39"/>
      <c r="FC64" s="39"/>
      <c r="FD64" s="39"/>
      <c r="FE64" s="39"/>
      <c r="FF64" s="39"/>
      <c r="FG64" s="39"/>
      <c r="FH64" s="39"/>
      <c r="FI64" s="39"/>
      <c r="FJ64" s="39"/>
      <c r="FK64" s="39"/>
      <c r="FL64" s="39"/>
      <c r="FM64" s="39"/>
      <c r="FN64" s="39"/>
      <c r="FO64" s="39"/>
      <c r="FP64" s="39"/>
      <c r="FQ64" s="39"/>
      <c r="FR64" s="39"/>
      <c r="FS64" s="39"/>
      <c r="FT64" s="39"/>
    </row>
    <row r="65" spans="1:176" s="22" customFormat="1" ht="13">
      <c r="A65" s="7"/>
      <c r="B65" s="23" t="str">
        <f>IF(_xlfn.XLOOKUP(A65, AutoFill_names!B:B, AutoFill_names!C:C,"")=0,"",_xlfn.XLOOKUP(A65, AutoFill_names!B:B, AutoFill_names!C:C,""))</f>
        <v/>
      </c>
      <c r="C65" s="23" t="str">
        <f>IF(_xlfn.XLOOKUP(A65, AutoFill_names!B:B, AutoFill_names!D:D,"")=0,"",_xlfn.XLOOKUP(A65, AutoFill_names!B:B, AutoFill_names!D:D,""))</f>
        <v/>
      </c>
      <c r="D65" s="23" t="str">
        <f>IF(_xlfn.XLOOKUP(A65, AutoFill_names!B:B, AutoFill_names!E:E,"")=0,"",_xlfn.XLOOKUP(A65, AutoFill_names!B:B, AutoFill_names!E:E,""))</f>
        <v/>
      </c>
      <c r="E65" s="23" t="str">
        <f>IF(_xlfn.XLOOKUP(A65, AutoFill_names!B:B, AutoFill_names!F:F,"")=0,"",_xlfn.XLOOKUP(A65, AutoFill_names!B:B, AutoFill_names!F:F,""))</f>
        <v/>
      </c>
      <c r="F65" s="4"/>
      <c r="G65" s="4"/>
      <c r="H65" s="4"/>
      <c r="I65" s="4"/>
      <c r="J65" s="23" t="str">
        <f>IF(_xlfn.XLOOKUP(A65, AutoFill_names!B:B, AutoFill_names!K:K,"")=0,"",_xlfn.XLOOKUP(A65, AutoFill_names!B:B, AutoFill_names!K:K,""))</f>
        <v/>
      </c>
      <c r="K65" s="23" t="str">
        <f>IF(_xlfn.XLOOKUP(A65, AutoFill_names!B:B, AutoFill_names!L:L,"")=0,"",_xlfn.XLOOKUP(A65, AutoFill_names!B:B, AutoFill_names!L:L,""))</f>
        <v/>
      </c>
      <c r="L65" s="45"/>
      <c r="M65" s="45"/>
      <c r="N65" s="61" t="str">
        <f>IF(_xlfn.XLOOKUP(L65, AutoFill_classes!A:A, AutoFill_classes!B:B,"")=0,"",_xlfn.XLOOKUP(L65, AutoFill_classes!A:A, AutoFill_classes!B:B,""))</f>
        <v/>
      </c>
      <c r="O65" s="154"/>
      <c r="P65" s="9"/>
      <c r="Q65" s="9"/>
      <c r="R65" s="9"/>
      <c r="S65" s="5"/>
      <c r="T65" s="6"/>
      <c r="U65" s="5"/>
      <c r="V65" s="4"/>
      <c r="W65" s="4"/>
      <c r="X65" s="145"/>
      <c r="Y65" s="29"/>
      <c r="Z65" s="60" t="str">
        <f t="shared" si="162"/>
        <v/>
      </c>
      <c r="AA65" s="32"/>
      <c r="AB65" s="32"/>
      <c r="AC65" s="32"/>
      <c r="AD65" s="32"/>
      <c r="AE65" s="58" t="str">
        <f t="shared" si="163"/>
        <v/>
      </c>
      <c r="AF65" s="20"/>
      <c r="AG65" s="58" t="str">
        <f t="shared" si="164"/>
        <v/>
      </c>
      <c r="AH65" s="32"/>
      <c r="AI65" s="32"/>
      <c r="AJ65" s="58" t="str">
        <f t="shared" si="165"/>
        <v/>
      </c>
      <c r="AK65" s="20"/>
      <c r="AL65" s="58" t="str">
        <f t="shared" si="166"/>
        <v/>
      </c>
      <c r="AM65" s="32"/>
      <c r="AN65" s="32"/>
      <c r="AO65" s="58" t="str">
        <f t="shared" si="167"/>
        <v/>
      </c>
      <c r="AP65" s="58" t="str">
        <f t="shared" si="168"/>
        <v/>
      </c>
      <c r="AQ65" s="58" t="str">
        <f t="shared" si="169"/>
        <v/>
      </c>
      <c r="AR65" s="59" t="str">
        <f t="shared" si="170"/>
        <v/>
      </c>
      <c r="AS65" s="20"/>
      <c r="AT65" s="16"/>
      <c r="AU65" s="16"/>
      <c r="AV65" s="61" t="str">
        <f>IF(_xlfn.XLOOKUP(AT65, AutoFill_classes!$A:$A, AutoFill_classes!$B:$B,"")=0,"",_xlfn.XLOOKUP(AT65, AutoFill_classes!$A:$A, AutoFill_classes!$B:$B,""))</f>
        <v/>
      </c>
      <c r="AW65" s="154"/>
      <c r="AX65" s="14"/>
      <c r="AY65" s="16"/>
      <c r="AZ65" s="14"/>
      <c r="BA65" s="16"/>
      <c r="BB65" s="16"/>
      <c r="BC65" s="145"/>
      <c r="BD65" s="27"/>
      <c r="BE65" s="60" t="str">
        <f t="shared" si="171"/>
        <v/>
      </c>
      <c r="BF65" s="32"/>
      <c r="BG65" s="32"/>
      <c r="BH65" s="32"/>
      <c r="BI65" s="32"/>
      <c r="BJ65" s="58" t="str">
        <f t="shared" si="172"/>
        <v/>
      </c>
      <c r="BK65" s="20"/>
      <c r="BL65" s="58" t="str">
        <f t="shared" si="173"/>
        <v/>
      </c>
      <c r="BM65" s="32"/>
      <c r="BN65" s="32"/>
      <c r="BO65" s="58" t="str">
        <f t="shared" si="174"/>
        <v/>
      </c>
      <c r="BP65" s="20"/>
      <c r="BQ65" s="58" t="str">
        <f t="shared" si="175"/>
        <v/>
      </c>
      <c r="BR65" s="32"/>
      <c r="BS65" s="32"/>
      <c r="BT65" s="58" t="str">
        <f t="shared" si="176"/>
        <v/>
      </c>
      <c r="BU65" s="58" t="str">
        <f t="shared" si="177"/>
        <v/>
      </c>
      <c r="BV65" s="58" t="str">
        <f t="shared" si="178"/>
        <v/>
      </c>
      <c r="BW65" s="59" t="str">
        <f t="shared" si="179"/>
        <v/>
      </c>
      <c r="BX65" s="16"/>
      <c r="BY65" s="21"/>
      <c r="BZ65" s="20"/>
      <c r="CA65" s="61" t="str">
        <f>IF(_xlfn.XLOOKUP(BY65, AutoFill_classes!$A:$A, AutoFill_classes!$B:$B,"")=0,"",_xlfn.XLOOKUP(BY65, AutoFill_classes!$A:$A, AutoFill_classes!$B:$B,""))</f>
        <v/>
      </c>
      <c r="CB65" s="154"/>
      <c r="CC65" s="20"/>
      <c r="CD65" s="20"/>
      <c r="CE65" s="20"/>
      <c r="CF65" s="33"/>
      <c r="CG65" s="34"/>
      <c r="CH65" s="145"/>
      <c r="CI65" s="35"/>
      <c r="CJ65" s="60" t="str">
        <f t="shared" si="180"/>
        <v/>
      </c>
      <c r="CK65" s="32"/>
      <c r="CL65" s="32"/>
      <c r="CM65" s="32"/>
      <c r="CN65" s="32"/>
      <c r="CO65" s="58" t="str">
        <f t="shared" si="181"/>
        <v/>
      </c>
      <c r="CP65" s="20"/>
      <c r="CQ65" s="58" t="str">
        <f t="shared" si="182"/>
        <v/>
      </c>
      <c r="CR65" s="32"/>
      <c r="CS65" s="32"/>
      <c r="CT65" s="58" t="str">
        <f t="shared" si="183"/>
        <v/>
      </c>
      <c r="CU65" s="20"/>
      <c r="CV65" s="58" t="str">
        <f t="shared" si="184"/>
        <v/>
      </c>
      <c r="CW65" s="32"/>
      <c r="CX65" s="32"/>
      <c r="CY65" s="58" t="str">
        <f t="shared" si="185"/>
        <v/>
      </c>
      <c r="CZ65" s="58" t="str">
        <f t="shared" si="186"/>
        <v/>
      </c>
      <c r="DA65" s="58" t="str">
        <f t="shared" si="187"/>
        <v/>
      </c>
      <c r="DB65" s="59" t="str">
        <f t="shared" si="188"/>
        <v/>
      </c>
      <c r="DC65" s="20"/>
      <c r="DD65" s="144"/>
      <c r="DE65" s="91">
        <v>64</v>
      </c>
      <c r="DF65" s="39"/>
      <c r="DG65" s="39"/>
      <c r="DH65" s="39"/>
      <c r="DI65" s="39"/>
      <c r="DJ65" s="39"/>
      <c r="DK65" s="39"/>
      <c r="DL65" s="39"/>
      <c r="DM65" s="39"/>
      <c r="DN65" s="39"/>
      <c r="DO65" s="39"/>
      <c r="DP65" s="39"/>
      <c r="DQ65" s="39"/>
      <c r="DR65" s="39"/>
      <c r="DS65" s="39"/>
      <c r="DT65" s="39"/>
      <c r="DU65" s="39"/>
      <c r="DV65" s="39"/>
      <c r="DW65" s="39"/>
      <c r="DX65" s="39"/>
      <c r="DY65" s="39"/>
      <c r="DZ65" s="39"/>
      <c r="EA65" s="39"/>
      <c r="EB65" s="39"/>
      <c r="EC65" s="39"/>
      <c r="ED65" s="39"/>
      <c r="EE65" s="39"/>
      <c r="EF65" s="39"/>
      <c r="EG65" s="39"/>
      <c r="EH65" s="39"/>
      <c r="EI65" s="39"/>
      <c r="EJ65" s="39"/>
      <c r="EK65" s="39"/>
      <c r="EL65" s="39"/>
      <c r="EM65" s="39"/>
      <c r="EN65" s="39"/>
      <c r="EO65" s="39"/>
      <c r="EP65" s="39"/>
      <c r="EQ65" s="39"/>
      <c r="ER65" s="39"/>
      <c r="ES65" s="39"/>
      <c r="ET65" s="39"/>
      <c r="EU65" s="39"/>
      <c r="EV65" s="39"/>
      <c r="EW65" s="39"/>
      <c r="EX65" s="39"/>
      <c r="EY65" s="39"/>
      <c r="EZ65" s="39"/>
      <c r="FA65" s="39"/>
      <c r="FB65" s="39"/>
      <c r="FC65" s="39"/>
      <c r="FD65" s="39"/>
      <c r="FE65" s="39"/>
      <c r="FF65" s="39"/>
      <c r="FG65" s="39"/>
      <c r="FH65" s="39"/>
      <c r="FI65" s="39"/>
      <c r="FJ65" s="39"/>
      <c r="FK65" s="39"/>
      <c r="FL65" s="39"/>
      <c r="FM65" s="39"/>
      <c r="FN65" s="39"/>
      <c r="FO65" s="39"/>
      <c r="FP65" s="39"/>
      <c r="FQ65" s="39"/>
      <c r="FR65" s="39"/>
      <c r="FS65" s="39"/>
      <c r="FT65" s="39"/>
    </row>
    <row r="66" spans="1:176" s="22" customFormat="1" ht="13">
      <c r="A66" s="7"/>
      <c r="B66" s="23" t="str">
        <f>IF(_xlfn.XLOOKUP(A66, AutoFill_names!B:B, AutoFill_names!C:C,"")=0,"",_xlfn.XLOOKUP(A66, AutoFill_names!B:B, AutoFill_names!C:C,""))</f>
        <v/>
      </c>
      <c r="C66" s="23" t="str">
        <f>IF(_xlfn.XLOOKUP(A66, AutoFill_names!B:B, AutoFill_names!D:D,"")=0,"",_xlfn.XLOOKUP(A66, AutoFill_names!B:B, AutoFill_names!D:D,""))</f>
        <v/>
      </c>
      <c r="D66" s="23" t="str">
        <f>IF(_xlfn.XLOOKUP(A66, AutoFill_names!B:B, AutoFill_names!E:E,"")=0,"",_xlfn.XLOOKUP(A66, AutoFill_names!B:B, AutoFill_names!E:E,""))</f>
        <v/>
      </c>
      <c r="E66" s="23" t="str">
        <f>IF(_xlfn.XLOOKUP(A66, AutoFill_names!B:B, AutoFill_names!F:F,"")=0,"",_xlfn.XLOOKUP(A66, AutoFill_names!B:B, AutoFill_names!F:F,""))</f>
        <v/>
      </c>
      <c r="F66" s="4"/>
      <c r="G66" s="4"/>
      <c r="H66" s="4"/>
      <c r="I66" s="4"/>
      <c r="J66" s="23" t="str">
        <f>IF(_xlfn.XLOOKUP(A66, AutoFill_names!B:B, AutoFill_names!K:K,"")=0,"",_xlfn.XLOOKUP(A66, AutoFill_names!B:B, AutoFill_names!K:K,""))</f>
        <v/>
      </c>
      <c r="K66" s="23" t="str">
        <f>IF(_xlfn.XLOOKUP(A66, AutoFill_names!B:B, AutoFill_names!L:L,"")=0,"",_xlfn.XLOOKUP(A66, AutoFill_names!B:B, AutoFill_names!L:L,""))</f>
        <v/>
      </c>
      <c r="L66" s="45"/>
      <c r="M66" s="45"/>
      <c r="N66" s="61" t="str">
        <f>IF(_xlfn.XLOOKUP(L66, AutoFill_classes!A:A, AutoFill_classes!B:B,"")=0,"",_xlfn.XLOOKUP(L66, AutoFill_classes!A:A, AutoFill_classes!B:B,""))</f>
        <v/>
      </c>
      <c r="O66" s="154"/>
      <c r="P66" s="9"/>
      <c r="Q66" s="9"/>
      <c r="R66" s="9"/>
      <c r="S66" s="5"/>
      <c r="T66" s="6"/>
      <c r="U66" s="5"/>
      <c r="V66" s="4"/>
      <c r="W66" s="4"/>
      <c r="X66" s="145"/>
      <c r="Y66" s="29"/>
      <c r="Z66" s="60" t="str">
        <f t="shared" si="162"/>
        <v/>
      </c>
      <c r="AA66" s="32"/>
      <c r="AB66" s="32"/>
      <c r="AC66" s="32"/>
      <c r="AD66" s="32"/>
      <c r="AE66" s="58" t="str">
        <f t="shared" si="163"/>
        <v/>
      </c>
      <c r="AF66" s="20"/>
      <c r="AG66" s="58" t="str">
        <f t="shared" si="164"/>
        <v/>
      </c>
      <c r="AH66" s="32"/>
      <c r="AI66" s="32"/>
      <c r="AJ66" s="58" t="str">
        <f t="shared" si="165"/>
        <v/>
      </c>
      <c r="AK66" s="20"/>
      <c r="AL66" s="58" t="str">
        <f t="shared" si="166"/>
        <v/>
      </c>
      <c r="AM66" s="32"/>
      <c r="AN66" s="32"/>
      <c r="AO66" s="58" t="str">
        <f t="shared" si="167"/>
        <v/>
      </c>
      <c r="AP66" s="58" t="str">
        <f t="shared" si="168"/>
        <v/>
      </c>
      <c r="AQ66" s="58" t="str">
        <f t="shared" si="169"/>
        <v/>
      </c>
      <c r="AR66" s="59" t="str">
        <f t="shared" si="170"/>
        <v/>
      </c>
      <c r="AS66" s="20"/>
      <c r="AT66" s="16"/>
      <c r="AU66" s="16"/>
      <c r="AV66" s="61" t="str">
        <f>IF(_xlfn.XLOOKUP(AT66, AutoFill_classes!$A:$A, AutoFill_classes!$B:$B,"")=0,"",_xlfn.XLOOKUP(AT66, AutoFill_classes!$A:$A, AutoFill_classes!$B:$B,""))</f>
        <v/>
      </c>
      <c r="AW66" s="154"/>
      <c r="AX66" s="14"/>
      <c r="AY66" s="16"/>
      <c r="AZ66" s="14"/>
      <c r="BA66" s="16"/>
      <c r="BB66" s="16"/>
      <c r="BC66" s="145"/>
      <c r="BD66" s="27"/>
      <c r="BE66" s="60" t="str">
        <f t="shared" si="171"/>
        <v/>
      </c>
      <c r="BF66" s="32"/>
      <c r="BG66" s="32"/>
      <c r="BH66" s="32"/>
      <c r="BI66" s="32"/>
      <c r="BJ66" s="58" t="str">
        <f t="shared" si="172"/>
        <v/>
      </c>
      <c r="BK66" s="20"/>
      <c r="BL66" s="58" t="str">
        <f t="shared" si="173"/>
        <v/>
      </c>
      <c r="BM66" s="32"/>
      <c r="BN66" s="32"/>
      <c r="BO66" s="58" t="str">
        <f t="shared" si="174"/>
        <v/>
      </c>
      <c r="BP66" s="20"/>
      <c r="BQ66" s="58" t="str">
        <f t="shared" si="175"/>
        <v/>
      </c>
      <c r="BR66" s="32"/>
      <c r="BS66" s="32"/>
      <c r="BT66" s="58" t="str">
        <f t="shared" si="176"/>
        <v/>
      </c>
      <c r="BU66" s="58" t="str">
        <f t="shared" si="177"/>
        <v/>
      </c>
      <c r="BV66" s="58" t="str">
        <f t="shared" si="178"/>
        <v/>
      </c>
      <c r="BW66" s="59" t="str">
        <f t="shared" si="179"/>
        <v/>
      </c>
      <c r="BX66" s="16"/>
      <c r="BY66" s="21"/>
      <c r="BZ66" s="20"/>
      <c r="CA66" s="61" t="str">
        <f>IF(_xlfn.XLOOKUP(BY66, AutoFill_classes!$A:$A, AutoFill_classes!$B:$B,"")=0,"",_xlfn.XLOOKUP(BY66, AutoFill_classes!$A:$A, AutoFill_classes!$B:$B,""))</f>
        <v/>
      </c>
      <c r="CB66" s="154"/>
      <c r="CC66" s="20"/>
      <c r="CD66" s="20"/>
      <c r="CE66" s="20"/>
      <c r="CF66" s="33"/>
      <c r="CG66" s="34"/>
      <c r="CH66" s="145"/>
      <c r="CI66" s="35"/>
      <c r="CJ66" s="60" t="str">
        <f t="shared" si="180"/>
        <v/>
      </c>
      <c r="CK66" s="32"/>
      <c r="CL66" s="32"/>
      <c r="CM66" s="32"/>
      <c r="CN66" s="32"/>
      <c r="CO66" s="58" t="str">
        <f t="shared" si="181"/>
        <v/>
      </c>
      <c r="CP66" s="20"/>
      <c r="CQ66" s="58" t="str">
        <f t="shared" si="182"/>
        <v/>
      </c>
      <c r="CR66" s="32"/>
      <c r="CS66" s="32"/>
      <c r="CT66" s="58" t="str">
        <f t="shared" si="183"/>
        <v/>
      </c>
      <c r="CU66" s="20"/>
      <c r="CV66" s="58" t="str">
        <f t="shared" si="184"/>
        <v/>
      </c>
      <c r="CW66" s="32"/>
      <c r="CX66" s="32"/>
      <c r="CY66" s="58" t="str">
        <f t="shared" si="185"/>
        <v/>
      </c>
      <c r="CZ66" s="58" t="str">
        <f t="shared" si="186"/>
        <v/>
      </c>
      <c r="DA66" s="58" t="str">
        <f t="shared" si="187"/>
        <v/>
      </c>
      <c r="DB66" s="59" t="str">
        <f t="shared" si="188"/>
        <v/>
      </c>
      <c r="DC66" s="20"/>
      <c r="DD66" s="144"/>
      <c r="DE66" s="91">
        <v>65</v>
      </c>
      <c r="DF66" s="39"/>
      <c r="DG66" s="39"/>
      <c r="DH66" s="39"/>
      <c r="DI66" s="39"/>
      <c r="DJ66" s="39"/>
      <c r="DK66" s="39"/>
      <c r="DL66" s="39"/>
      <c r="DM66" s="39"/>
      <c r="DN66" s="39"/>
      <c r="DO66" s="39"/>
      <c r="DP66" s="39"/>
      <c r="DQ66" s="39"/>
      <c r="DR66" s="39"/>
      <c r="DS66" s="39"/>
      <c r="DT66" s="39"/>
      <c r="DU66" s="39"/>
      <c r="DV66" s="39"/>
      <c r="DW66" s="39"/>
      <c r="DX66" s="39"/>
      <c r="DY66" s="39"/>
      <c r="DZ66" s="39"/>
      <c r="EA66" s="39"/>
      <c r="EB66" s="39"/>
      <c r="EC66" s="39"/>
      <c r="ED66" s="39"/>
      <c r="EE66" s="39"/>
      <c r="EF66" s="39"/>
      <c r="EG66" s="39"/>
      <c r="EH66" s="39"/>
      <c r="EI66" s="39"/>
      <c r="EJ66" s="39"/>
      <c r="EK66" s="39"/>
      <c r="EL66" s="39"/>
      <c r="EM66" s="39"/>
      <c r="EN66" s="39"/>
      <c r="EO66" s="39"/>
      <c r="EP66" s="39"/>
      <c r="EQ66" s="39"/>
      <c r="ER66" s="39"/>
      <c r="ES66" s="39"/>
      <c r="ET66" s="39"/>
      <c r="EU66" s="39"/>
      <c r="EV66" s="39"/>
      <c r="EW66" s="39"/>
      <c r="EX66" s="39"/>
      <c r="EY66" s="39"/>
      <c r="EZ66" s="39"/>
      <c r="FA66" s="39"/>
      <c r="FB66" s="39"/>
      <c r="FC66" s="39"/>
      <c r="FD66" s="39"/>
      <c r="FE66" s="39"/>
      <c r="FF66" s="39"/>
      <c r="FG66" s="39"/>
      <c r="FH66" s="39"/>
      <c r="FI66" s="39"/>
      <c r="FJ66" s="39"/>
      <c r="FK66" s="39"/>
      <c r="FL66" s="39"/>
      <c r="FM66" s="39"/>
      <c r="FN66" s="39"/>
      <c r="FO66" s="39"/>
      <c r="FP66" s="39"/>
      <c r="FQ66" s="39"/>
      <c r="FR66" s="39"/>
      <c r="FS66" s="39"/>
      <c r="FT66" s="39"/>
    </row>
    <row r="67" spans="1:176" s="22" customFormat="1" ht="13">
      <c r="A67" s="7"/>
      <c r="B67" s="23" t="str">
        <f>IF(_xlfn.XLOOKUP(A67, AutoFill_names!B:B, AutoFill_names!C:C,"")=0,"",_xlfn.XLOOKUP(A67, AutoFill_names!B:B, AutoFill_names!C:C,""))</f>
        <v/>
      </c>
      <c r="C67" s="23" t="str">
        <f>IF(_xlfn.XLOOKUP(A67, AutoFill_names!B:B, AutoFill_names!D:D,"")=0,"",_xlfn.XLOOKUP(A67, AutoFill_names!B:B, AutoFill_names!D:D,""))</f>
        <v/>
      </c>
      <c r="D67" s="23" t="str">
        <f>IF(_xlfn.XLOOKUP(A67, AutoFill_names!B:B, AutoFill_names!E:E,"")=0,"",_xlfn.XLOOKUP(A67, AutoFill_names!B:B, AutoFill_names!E:E,""))</f>
        <v/>
      </c>
      <c r="E67" s="23" t="str">
        <f>IF(_xlfn.XLOOKUP(A67, AutoFill_names!B:B, AutoFill_names!F:F,"")=0,"",_xlfn.XLOOKUP(A67, AutoFill_names!B:B, AutoFill_names!F:F,""))</f>
        <v/>
      </c>
      <c r="F67" s="4"/>
      <c r="G67" s="4"/>
      <c r="H67" s="4"/>
      <c r="I67" s="4"/>
      <c r="J67" s="23" t="str">
        <f>IF(_xlfn.XLOOKUP(A67, AutoFill_names!B:B, AutoFill_names!K:K,"")=0,"",_xlfn.XLOOKUP(A67, AutoFill_names!B:B, AutoFill_names!K:K,""))</f>
        <v/>
      </c>
      <c r="K67" s="23" t="str">
        <f>IF(_xlfn.XLOOKUP(A67, AutoFill_names!B:B, AutoFill_names!L:L,"")=0,"",_xlfn.XLOOKUP(A67, AutoFill_names!B:B, AutoFill_names!L:L,""))</f>
        <v/>
      </c>
      <c r="L67" s="45"/>
      <c r="M67" s="45"/>
      <c r="N67" s="61" t="str">
        <f>IF(_xlfn.XLOOKUP(L67, AutoFill_classes!A:A, AutoFill_classes!B:B,"")=0,"",_xlfn.XLOOKUP(L67, AutoFill_classes!A:A, AutoFill_classes!B:B,""))</f>
        <v/>
      </c>
      <c r="O67" s="154"/>
      <c r="P67" s="9"/>
      <c r="Q67" s="9"/>
      <c r="R67" s="9"/>
      <c r="S67" s="5"/>
      <c r="T67" s="6"/>
      <c r="U67" s="5"/>
      <c r="V67" s="4"/>
      <c r="W67" s="4"/>
      <c r="X67" s="145"/>
      <c r="Y67" s="29"/>
      <c r="Z67" s="60" t="str">
        <f t="shared" si="162"/>
        <v/>
      </c>
      <c r="AA67" s="32"/>
      <c r="AB67" s="32"/>
      <c r="AC67" s="32"/>
      <c r="AD67" s="32"/>
      <c r="AE67" s="58" t="str">
        <f t="shared" si="163"/>
        <v/>
      </c>
      <c r="AF67" s="20"/>
      <c r="AG67" s="58" t="str">
        <f t="shared" si="164"/>
        <v/>
      </c>
      <c r="AH67" s="32"/>
      <c r="AI67" s="32"/>
      <c r="AJ67" s="58" t="str">
        <f t="shared" si="165"/>
        <v/>
      </c>
      <c r="AK67" s="20"/>
      <c r="AL67" s="58" t="str">
        <f t="shared" si="166"/>
        <v/>
      </c>
      <c r="AM67" s="32"/>
      <c r="AN67" s="32"/>
      <c r="AO67" s="58" t="str">
        <f t="shared" si="167"/>
        <v/>
      </c>
      <c r="AP67" s="58" t="str">
        <f t="shared" si="168"/>
        <v/>
      </c>
      <c r="AQ67" s="58" t="str">
        <f t="shared" si="169"/>
        <v/>
      </c>
      <c r="AR67" s="59" t="str">
        <f t="shared" si="170"/>
        <v/>
      </c>
      <c r="AS67" s="20"/>
      <c r="AT67" s="16"/>
      <c r="AU67" s="16"/>
      <c r="AV67" s="61" t="str">
        <f>IF(_xlfn.XLOOKUP(AT67, AutoFill_classes!$A:$A, AutoFill_classes!$B:$B,"")=0,"",_xlfn.XLOOKUP(AT67, AutoFill_classes!$A:$A, AutoFill_classes!$B:$B,""))</f>
        <v/>
      </c>
      <c r="AW67" s="154"/>
      <c r="AX67" s="14"/>
      <c r="AY67" s="16"/>
      <c r="AZ67" s="14"/>
      <c r="BA67" s="16"/>
      <c r="BB67" s="16"/>
      <c r="BC67" s="145"/>
      <c r="BD67" s="27"/>
      <c r="BE67" s="60" t="str">
        <f t="shared" si="171"/>
        <v/>
      </c>
      <c r="BF67" s="32"/>
      <c r="BG67" s="32"/>
      <c r="BH67" s="32"/>
      <c r="BI67" s="32"/>
      <c r="BJ67" s="58" t="str">
        <f t="shared" si="172"/>
        <v/>
      </c>
      <c r="BK67" s="20"/>
      <c r="BL67" s="58" t="str">
        <f t="shared" si="173"/>
        <v/>
      </c>
      <c r="BM67" s="32"/>
      <c r="BN67" s="32"/>
      <c r="BO67" s="58" t="str">
        <f t="shared" si="174"/>
        <v/>
      </c>
      <c r="BP67" s="20"/>
      <c r="BQ67" s="58" t="str">
        <f t="shared" si="175"/>
        <v/>
      </c>
      <c r="BR67" s="32"/>
      <c r="BS67" s="32"/>
      <c r="BT67" s="58" t="str">
        <f t="shared" si="176"/>
        <v/>
      </c>
      <c r="BU67" s="58" t="str">
        <f t="shared" si="177"/>
        <v/>
      </c>
      <c r="BV67" s="58" t="str">
        <f t="shared" si="178"/>
        <v/>
      </c>
      <c r="BW67" s="59" t="str">
        <f t="shared" si="179"/>
        <v/>
      </c>
      <c r="BX67" s="16"/>
      <c r="BY67" s="21"/>
      <c r="BZ67" s="20"/>
      <c r="CA67" s="61" t="str">
        <f>IF(_xlfn.XLOOKUP(BY67, AutoFill_classes!$A:$A, AutoFill_classes!$B:$B,"")=0,"",_xlfn.XLOOKUP(BY67, AutoFill_classes!$A:$A, AutoFill_classes!$B:$B,""))</f>
        <v/>
      </c>
      <c r="CB67" s="154"/>
      <c r="CC67" s="20"/>
      <c r="CD67" s="20"/>
      <c r="CE67" s="20"/>
      <c r="CF67" s="33"/>
      <c r="CG67" s="34"/>
      <c r="CH67" s="145"/>
      <c r="CI67" s="35"/>
      <c r="CJ67" s="60" t="str">
        <f t="shared" si="180"/>
        <v/>
      </c>
      <c r="CK67" s="32"/>
      <c r="CL67" s="32"/>
      <c r="CM67" s="32"/>
      <c r="CN67" s="32"/>
      <c r="CO67" s="58" t="str">
        <f t="shared" si="181"/>
        <v/>
      </c>
      <c r="CP67" s="20"/>
      <c r="CQ67" s="58" t="str">
        <f t="shared" si="182"/>
        <v/>
      </c>
      <c r="CR67" s="32"/>
      <c r="CS67" s="32"/>
      <c r="CT67" s="58" t="str">
        <f t="shared" si="183"/>
        <v/>
      </c>
      <c r="CU67" s="20"/>
      <c r="CV67" s="58" t="str">
        <f t="shared" si="184"/>
        <v/>
      </c>
      <c r="CW67" s="32"/>
      <c r="CX67" s="32"/>
      <c r="CY67" s="58" t="str">
        <f t="shared" si="185"/>
        <v/>
      </c>
      <c r="CZ67" s="58" t="str">
        <f t="shared" si="186"/>
        <v/>
      </c>
      <c r="DA67" s="58" t="str">
        <f t="shared" si="187"/>
        <v/>
      </c>
      <c r="DB67" s="59" t="str">
        <f t="shared" si="188"/>
        <v/>
      </c>
      <c r="DC67" s="20"/>
      <c r="DD67" s="144"/>
      <c r="DE67" s="91">
        <v>66</v>
      </c>
      <c r="DF67" s="39"/>
      <c r="DG67" s="39"/>
      <c r="DH67" s="39"/>
      <c r="DI67" s="39"/>
      <c r="DJ67" s="39"/>
      <c r="DK67" s="39"/>
      <c r="DL67" s="39"/>
      <c r="DM67" s="39"/>
      <c r="DN67" s="39"/>
      <c r="DO67" s="39"/>
      <c r="DP67" s="39"/>
      <c r="DQ67" s="39"/>
      <c r="DR67" s="39"/>
      <c r="DS67" s="39"/>
      <c r="DT67" s="39"/>
      <c r="DU67" s="39"/>
      <c r="DV67" s="39"/>
      <c r="DW67" s="39"/>
      <c r="DX67" s="39"/>
      <c r="DY67" s="39"/>
      <c r="DZ67" s="39"/>
      <c r="EA67" s="39"/>
      <c r="EB67" s="39"/>
      <c r="EC67" s="39"/>
      <c r="ED67" s="39"/>
      <c r="EE67" s="39"/>
      <c r="EF67" s="39"/>
      <c r="EG67" s="39"/>
      <c r="EH67" s="39"/>
      <c r="EI67" s="39"/>
      <c r="EJ67" s="39"/>
      <c r="EK67" s="39"/>
      <c r="EL67" s="39"/>
      <c r="EM67" s="39"/>
      <c r="EN67" s="39"/>
      <c r="EO67" s="39"/>
      <c r="EP67" s="39"/>
      <c r="EQ67" s="39"/>
      <c r="ER67" s="39"/>
      <c r="ES67" s="39"/>
      <c r="ET67" s="39"/>
      <c r="EU67" s="39"/>
      <c r="EV67" s="39"/>
      <c r="EW67" s="39"/>
      <c r="EX67" s="39"/>
      <c r="EY67" s="39"/>
      <c r="EZ67" s="39"/>
      <c r="FA67" s="39"/>
      <c r="FB67" s="39"/>
      <c r="FC67" s="39"/>
      <c r="FD67" s="39"/>
      <c r="FE67" s="39"/>
      <c r="FF67" s="39"/>
      <c r="FG67" s="39"/>
      <c r="FH67" s="39"/>
      <c r="FI67" s="39"/>
      <c r="FJ67" s="39"/>
      <c r="FK67" s="39"/>
      <c r="FL67" s="39"/>
      <c r="FM67" s="39"/>
      <c r="FN67" s="39"/>
      <c r="FO67" s="39"/>
      <c r="FP67" s="39"/>
      <c r="FQ67" s="39"/>
      <c r="FR67" s="39"/>
      <c r="FS67" s="39"/>
      <c r="FT67" s="39"/>
    </row>
    <row r="68" spans="1:176" s="22" customFormat="1" ht="13">
      <c r="A68" s="7"/>
      <c r="B68" s="23" t="str">
        <f>IF(_xlfn.XLOOKUP(A68, AutoFill_names!B:B, AutoFill_names!C:C,"")=0,"",_xlfn.XLOOKUP(A68, AutoFill_names!B:B, AutoFill_names!C:C,""))</f>
        <v/>
      </c>
      <c r="C68" s="23" t="str">
        <f>IF(_xlfn.XLOOKUP(A68, AutoFill_names!B:B, AutoFill_names!D:D,"")=0,"",_xlfn.XLOOKUP(A68, AutoFill_names!B:B, AutoFill_names!D:D,""))</f>
        <v/>
      </c>
      <c r="D68" s="23" t="str">
        <f>IF(_xlfn.XLOOKUP(A68, AutoFill_names!B:B, AutoFill_names!E:E,"")=0,"",_xlfn.XLOOKUP(A68, AutoFill_names!B:B, AutoFill_names!E:E,""))</f>
        <v/>
      </c>
      <c r="E68" s="23" t="str">
        <f>IF(_xlfn.XLOOKUP(A68, AutoFill_names!B:B, AutoFill_names!F:F,"")=0,"",_xlfn.XLOOKUP(A68, AutoFill_names!B:B, AutoFill_names!F:F,""))</f>
        <v/>
      </c>
      <c r="F68" s="4"/>
      <c r="G68" s="4"/>
      <c r="H68" s="4"/>
      <c r="I68" s="4"/>
      <c r="J68" s="23" t="str">
        <f>IF(_xlfn.XLOOKUP(A68, AutoFill_names!B:B, AutoFill_names!K:K,"")=0,"",_xlfn.XLOOKUP(A68, AutoFill_names!B:B, AutoFill_names!K:K,""))</f>
        <v/>
      </c>
      <c r="K68" s="23" t="str">
        <f>IF(_xlfn.XLOOKUP(A68, AutoFill_names!B:B, AutoFill_names!L:L,"")=0,"",_xlfn.XLOOKUP(A68, AutoFill_names!B:B, AutoFill_names!L:L,""))</f>
        <v/>
      </c>
      <c r="L68" s="45"/>
      <c r="M68" s="45"/>
      <c r="N68" s="61" t="str">
        <f>IF(_xlfn.XLOOKUP(L68, AutoFill_classes!A:A, AutoFill_classes!B:B,"")=0,"",_xlfn.XLOOKUP(L68, AutoFill_classes!A:A, AutoFill_classes!B:B,""))</f>
        <v/>
      </c>
      <c r="O68" s="154"/>
      <c r="P68" s="9"/>
      <c r="Q68" s="9"/>
      <c r="R68" s="9"/>
      <c r="S68" s="5"/>
      <c r="T68" s="6"/>
      <c r="U68" s="5"/>
      <c r="V68" s="4"/>
      <c r="W68" s="4"/>
      <c r="X68" s="145"/>
      <c r="Y68" s="29"/>
      <c r="Z68" s="60" t="str">
        <f t="shared" si="162"/>
        <v/>
      </c>
      <c r="AA68" s="32"/>
      <c r="AB68" s="32"/>
      <c r="AC68" s="32"/>
      <c r="AD68" s="32"/>
      <c r="AE68" s="58" t="str">
        <f t="shared" si="163"/>
        <v/>
      </c>
      <c r="AF68" s="20"/>
      <c r="AG68" s="58" t="str">
        <f t="shared" si="164"/>
        <v/>
      </c>
      <c r="AH68" s="32"/>
      <c r="AI68" s="32"/>
      <c r="AJ68" s="58" t="str">
        <f t="shared" si="165"/>
        <v/>
      </c>
      <c r="AK68" s="20"/>
      <c r="AL68" s="58" t="str">
        <f t="shared" si="166"/>
        <v/>
      </c>
      <c r="AM68" s="32"/>
      <c r="AN68" s="32"/>
      <c r="AO68" s="58" t="str">
        <f t="shared" si="167"/>
        <v/>
      </c>
      <c r="AP68" s="58" t="str">
        <f t="shared" si="168"/>
        <v/>
      </c>
      <c r="AQ68" s="58" t="str">
        <f t="shared" si="169"/>
        <v/>
      </c>
      <c r="AR68" s="59" t="str">
        <f t="shared" si="170"/>
        <v/>
      </c>
      <c r="AS68" s="20"/>
      <c r="AT68" s="16"/>
      <c r="AU68" s="16"/>
      <c r="AV68" s="61" t="str">
        <f>IF(_xlfn.XLOOKUP(AT68, AutoFill_classes!$A:$A, AutoFill_classes!$B:$B,"")=0,"",_xlfn.XLOOKUP(AT68, AutoFill_classes!$A:$A, AutoFill_classes!$B:$B,""))</f>
        <v/>
      </c>
      <c r="AW68" s="154"/>
      <c r="AX68" s="14"/>
      <c r="AY68" s="16"/>
      <c r="AZ68" s="14"/>
      <c r="BA68" s="16"/>
      <c r="BB68" s="16"/>
      <c r="BC68" s="145"/>
      <c r="BD68" s="27"/>
      <c r="BE68" s="60" t="str">
        <f t="shared" si="171"/>
        <v/>
      </c>
      <c r="BF68" s="32"/>
      <c r="BG68" s="32"/>
      <c r="BH68" s="32"/>
      <c r="BI68" s="32"/>
      <c r="BJ68" s="58" t="str">
        <f t="shared" si="172"/>
        <v/>
      </c>
      <c r="BK68" s="20"/>
      <c r="BL68" s="58" t="str">
        <f t="shared" si="173"/>
        <v/>
      </c>
      <c r="BM68" s="32"/>
      <c r="BN68" s="32"/>
      <c r="BO68" s="58" t="str">
        <f t="shared" si="174"/>
        <v/>
      </c>
      <c r="BP68" s="20"/>
      <c r="BQ68" s="58" t="str">
        <f t="shared" si="175"/>
        <v/>
      </c>
      <c r="BR68" s="32"/>
      <c r="BS68" s="32"/>
      <c r="BT68" s="58" t="str">
        <f t="shared" si="176"/>
        <v/>
      </c>
      <c r="BU68" s="58" t="str">
        <f t="shared" si="177"/>
        <v/>
      </c>
      <c r="BV68" s="58" t="str">
        <f t="shared" si="178"/>
        <v/>
      </c>
      <c r="BW68" s="59" t="str">
        <f t="shared" si="179"/>
        <v/>
      </c>
      <c r="BX68" s="16"/>
      <c r="BY68" s="21"/>
      <c r="BZ68" s="20"/>
      <c r="CA68" s="61" t="str">
        <f>IF(_xlfn.XLOOKUP(BY68, AutoFill_classes!$A:$A, AutoFill_classes!$B:$B,"")=0,"",_xlfn.XLOOKUP(BY68, AutoFill_classes!$A:$A, AutoFill_classes!$B:$B,""))</f>
        <v/>
      </c>
      <c r="CB68" s="154"/>
      <c r="CC68" s="20"/>
      <c r="CD68" s="20"/>
      <c r="CE68" s="20"/>
      <c r="CF68" s="33"/>
      <c r="CG68" s="34"/>
      <c r="CH68" s="145"/>
      <c r="CI68" s="35"/>
      <c r="CJ68" s="60" t="str">
        <f t="shared" si="180"/>
        <v/>
      </c>
      <c r="CK68" s="32"/>
      <c r="CL68" s="32"/>
      <c r="CM68" s="32"/>
      <c r="CN68" s="32"/>
      <c r="CO68" s="58" t="str">
        <f t="shared" si="181"/>
        <v/>
      </c>
      <c r="CP68" s="20"/>
      <c r="CQ68" s="58" t="str">
        <f t="shared" si="182"/>
        <v/>
      </c>
      <c r="CR68" s="32"/>
      <c r="CS68" s="32"/>
      <c r="CT68" s="58" t="str">
        <f t="shared" si="183"/>
        <v/>
      </c>
      <c r="CU68" s="20"/>
      <c r="CV68" s="58" t="str">
        <f t="shared" si="184"/>
        <v/>
      </c>
      <c r="CW68" s="32"/>
      <c r="CX68" s="32"/>
      <c r="CY68" s="58" t="str">
        <f t="shared" si="185"/>
        <v/>
      </c>
      <c r="CZ68" s="58" t="str">
        <f t="shared" si="186"/>
        <v/>
      </c>
      <c r="DA68" s="58" t="str">
        <f t="shared" si="187"/>
        <v/>
      </c>
      <c r="DB68" s="59" t="str">
        <f t="shared" si="188"/>
        <v/>
      </c>
      <c r="DC68" s="20"/>
      <c r="DD68" s="144"/>
      <c r="DE68" s="91">
        <v>67</v>
      </c>
      <c r="DF68" s="39"/>
      <c r="DG68" s="39"/>
      <c r="DH68" s="39"/>
      <c r="DI68" s="39"/>
      <c r="DJ68" s="39"/>
      <c r="DK68" s="39"/>
      <c r="DL68" s="39"/>
      <c r="DM68" s="39"/>
      <c r="DN68" s="39"/>
      <c r="DO68" s="39"/>
      <c r="DP68" s="39"/>
      <c r="DQ68" s="39"/>
      <c r="DR68" s="39"/>
      <c r="DS68" s="39"/>
      <c r="DT68" s="39"/>
      <c r="DU68" s="39"/>
      <c r="DV68" s="39"/>
      <c r="DW68" s="39"/>
      <c r="DX68" s="39"/>
      <c r="DY68" s="39"/>
      <c r="DZ68" s="39"/>
      <c r="EA68" s="39"/>
      <c r="EB68" s="39"/>
      <c r="EC68" s="39"/>
      <c r="ED68" s="39"/>
      <c r="EE68" s="39"/>
      <c r="EF68" s="39"/>
      <c r="EG68" s="39"/>
      <c r="EH68" s="39"/>
      <c r="EI68" s="39"/>
      <c r="EJ68" s="39"/>
      <c r="EK68" s="39"/>
      <c r="EL68" s="39"/>
      <c r="EM68" s="39"/>
      <c r="EN68" s="39"/>
      <c r="EO68" s="39"/>
      <c r="EP68" s="39"/>
      <c r="EQ68" s="39"/>
      <c r="ER68" s="39"/>
      <c r="ES68" s="39"/>
      <c r="ET68" s="39"/>
      <c r="EU68" s="39"/>
      <c r="EV68" s="39"/>
      <c r="EW68" s="39"/>
      <c r="EX68" s="39"/>
      <c r="EY68" s="39"/>
      <c r="EZ68" s="39"/>
      <c r="FA68" s="39"/>
      <c r="FB68" s="39"/>
      <c r="FC68" s="39"/>
      <c r="FD68" s="39"/>
      <c r="FE68" s="39"/>
      <c r="FF68" s="39"/>
      <c r="FG68" s="39"/>
      <c r="FH68" s="39"/>
      <c r="FI68" s="39"/>
      <c r="FJ68" s="39"/>
      <c r="FK68" s="39"/>
      <c r="FL68" s="39"/>
      <c r="FM68" s="39"/>
      <c r="FN68" s="39"/>
      <c r="FO68" s="39"/>
      <c r="FP68" s="39"/>
      <c r="FQ68" s="39"/>
      <c r="FR68" s="39"/>
      <c r="FS68" s="39"/>
      <c r="FT68" s="39"/>
    </row>
    <row r="69" spans="1:176" s="22" customFormat="1" ht="13">
      <c r="A69" s="7"/>
      <c r="B69" s="23" t="str">
        <f>IF(_xlfn.XLOOKUP(A69, AutoFill_names!B:B, AutoFill_names!C:C,"")=0,"",_xlfn.XLOOKUP(A69, AutoFill_names!B:B, AutoFill_names!C:C,""))</f>
        <v/>
      </c>
      <c r="C69" s="23" t="str">
        <f>IF(_xlfn.XLOOKUP(A69, AutoFill_names!B:B, AutoFill_names!D:D,"")=0,"",_xlfn.XLOOKUP(A69, AutoFill_names!B:B, AutoFill_names!D:D,""))</f>
        <v/>
      </c>
      <c r="D69" s="23" t="str">
        <f>IF(_xlfn.XLOOKUP(A69, AutoFill_names!B:B, AutoFill_names!E:E,"")=0,"",_xlfn.XLOOKUP(A69, AutoFill_names!B:B, AutoFill_names!E:E,""))</f>
        <v/>
      </c>
      <c r="E69" s="23" t="str">
        <f>IF(_xlfn.XLOOKUP(A69, AutoFill_names!B:B, AutoFill_names!F:F,"")=0,"",_xlfn.XLOOKUP(A69, AutoFill_names!B:B, AutoFill_names!F:F,""))</f>
        <v/>
      </c>
      <c r="F69" s="4"/>
      <c r="G69" s="4"/>
      <c r="H69" s="4"/>
      <c r="I69" s="4"/>
      <c r="J69" s="23" t="str">
        <f>IF(_xlfn.XLOOKUP(A69, AutoFill_names!B:B, AutoFill_names!K:K,"")=0,"",_xlfn.XLOOKUP(A69, AutoFill_names!B:B, AutoFill_names!K:K,""))</f>
        <v/>
      </c>
      <c r="K69" s="23" t="str">
        <f>IF(_xlfn.XLOOKUP(A69, AutoFill_names!B:B, AutoFill_names!L:L,"")=0,"",_xlfn.XLOOKUP(A69, AutoFill_names!B:B, AutoFill_names!L:L,""))</f>
        <v/>
      </c>
      <c r="L69" s="45"/>
      <c r="M69" s="45"/>
      <c r="N69" s="61" t="str">
        <f>IF(_xlfn.XLOOKUP(L69, AutoFill_classes!A:A, AutoFill_classes!B:B,"")=0,"",_xlfn.XLOOKUP(L69, AutoFill_classes!A:A, AutoFill_classes!B:B,""))</f>
        <v/>
      </c>
      <c r="O69" s="154"/>
      <c r="P69" s="9"/>
      <c r="Q69" s="9"/>
      <c r="R69" s="9"/>
      <c r="S69" s="5"/>
      <c r="T69" s="6"/>
      <c r="U69" s="5"/>
      <c r="V69" s="4"/>
      <c r="W69" s="4"/>
      <c r="X69" s="145"/>
      <c r="Y69" s="29"/>
      <c r="Z69" s="60" t="str">
        <f t="shared" si="162"/>
        <v/>
      </c>
      <c r="AA69" s="32"/>
      <c r="AB69" s="32"/>
      <c r="AC69" s="32"/>
      <c r="AD69" s="32"/>
      <c r="AE69" s="58" t="str">
        <f t="shared" si="163"/>
        <v/>
      </c>
      <c r="AF69" s="20"/>
      <c r="AG69" s="58" t="str">
        <f t="shared" si="164"/>
        <v/>
      </c>
      <c r="AH69" s="32"/>
      <c r="AI69" s="32"/>
      <c r="AJ69" s="58" t="str">
        <f t="shared" si="165"/>
        <v/>
      </c>
      <c r="AK69" s="20"/>
      <c r="AL69" s="58" t="str">
        <f t="shared" si="166"/>
        <v/>
      </c>
      <c r="AM69" s="32"/>
      <c r="AN69" s="32"/>
      <c r="AO69" s="58" t="str">
        <f t="shared" si="167"/>
        <v/>
      </c>
      <c r="AP69" s="58" t="str">
        <f t="shared" si="168"/>
        <v/>
      </c>
      <c r="AQ69" s="58" t="str">
        <f t="shared" si="169"/>
        <v/>
      </c>
      <c r="AR69" s="59" t="str">
        <f t="shared" si="170"/>
        <v/>
      </c>
      <c r="AS69" s="20"/>
      <c r="AT69" s="16"/>
      <c r="AU69" s="16"/>
      <c r="AV69" s="61" t="str">
        <f>IF(_xlfn.XLOOKUP(AT69, AutoFill_classes!$A:$A, AutoFill_classes!$B:$B,"")=0,"",_xlfn.XLOOKUP(AT69, AutoFill_classes!$A:$A, AutoFill_classes!$B:$B,""))</f>
        <v/>
      </c>
      <c r="AW69" s="154"/>
      <c r="AX69" s="14"/>
      <c r="AY69" s="16"/>
      <c r="AZ69" s="14"/>
      <c r="BA69" s="16"/>
      <c r="BB69" s="16"/>
      <c r="BC69" s="145"/>
      <c r="BD69" s="27"/>
      <c r="BE69" s="60" t="str">
        <f t="shared" si="171"/>
        <v/>
      </c>
      <c r="BF69" s="32"/>
      <c r="BG69" s="32"/>
      <c r="BH69" s="32"/>
      <c r="BI69" s="32"/>
      <c r="BJ69" s="58" t="str">
        <f t="shared" si="172"/>
        <v/>
      </c>
      <c r="BK69" s="20"/>
      <c r="BL69" s="58" t="str">
        <f t="shared" si="173"/>
        <v/>
      </c>
      <c r="BM69" s="32"/>
      <c r="BN69" s="32"/>
      <c r="BO69" s="58" t="str">
        <f t="shared" si="174"/>
        <v/>
      </c>
      <c r="BP69" s="20"/>
      <c r="BQ69" s="58" t="str">
        <f t="shared" si="175"/>
        <v/>
      </c>
      <c r="BR69" s="32"/>
      <c r="BS69" s="32"/>
      <c r="BT69" s="58" t="str">
        <f t="shared" si="176"/>
        <v/>
      </c>
      <c r="BU69" s="58" t="str">
        <f t="shared" si="177"/>
        <v/>
      </c>
      <c r="BV69" s="58" t="str">
        <f t="shared" si="178"/>
        <v/>
      </c>
      <c r="BW69" s="59" t="str">
        <f t="shared" si="179"/>
        <v/>
      </c>
      <c r="BX69" s="16"/>
      <c r="BY69" s="21"/>
      <c r="BZ69" s="20"/>
      <c r="CA69" s="61" t="str">
        <f>IF(_xlfn.XLOOKUP(BY69, AutoFill_classes!$A:$A, AutoFill_classes!$B:$B,"")=0,"",_xlfn.XLOOKUP(BY69, AutoFill_classes!$A:$A, AutoFill_classes!$B:$B,""))</f>
        <v/>
      </c>
      <c r="CB69" s="154"/>
      <c r="CC69" s="20"/>
      <c r="CD69" s="20"/>
      <c r="CE69" s="20"/>
      <c r="CF69" s="33"/>
      <c r="CG69" s="34"/>
      <c r="CH69" s="145"/>
      <c r="CI69" s="35"/>
      <c r="CJ69" s="60" t="str">
        <f t="shared" si="180"/>
        <v/>
      </c>
      <c r="CK69" s="32"/>
      <c r="CL69" s="32"/>
      <c r="CM69" s="32"/>
      <c r="CN69" s="32"/>
      <c r="CO69" s="58" t="str">
        <f t="shared" si="181"/>
        <v/>
      </c>
      <c r="CP69" s="20"/>
      <c r="CQ69" s="58" t="str">
        <f t="shared" si="182"/>
        <v/>
      </c>
      <c r="CR69" s="32"/>
      <c r="CS69" s="32"/>
      <c r="CT69" s="58" t="str">
        <f t="shared" si="183"/>
        <v/>
      </c>
      <c r="CU69" s="20"/>
      <c r="CV69" s="58" t="str">
        <f t="shared" si="184"/>
        <v/>
      </c>
      <c r="CW69" s="32"/>
      <c r="CX69" s="32"/>
      <c r="CY69" s="58" t="str">
        <f t="shared" si="185"/>
        <v/>
      </c>
      <c r="CZ69" s="58" t="str">
        <f t="shared" si="186"/>
        <v/>
      </c>
      <c r="DA69" s="58" t="str">
        <f t="shared" si="187"/>
        <v/>
      </c>
      <c r="DB69" s="59" t="str">
        <f t="shared" si="188"/>
        <v/>
      </c>
      <c r="DC69" s="20"/>
      <c r="DD69" s="144"/>
      <c r="DE69" s="91">
        <v>68</v>
      </c>
      <c r="DF69" s="39"/>
      <c r="DG69" s="39"/>
      <c r="DH69" s="39"/>
      <c r="DI69" s="39"/>
      <c r="DJ69" s="39"/>
      <c r="DK69" s="39"/>
      <c r="DL69" s="39"/>
      <c r="DM69" s="39"/>
      <c r="DN69" s="39"/>
      <c r="DO69" s="39"/>
      <c r="DP69" s="39"/>
      <c r="DQ69" s="39"/>
      <c r="DR69" s="39"/>
      <c r="DS69" s="39"/>
      <c r="DT69" s="39"/>
      <c r="DU69" s="39"/>
      <c r="DV69" s="39"/>
      <c r="DW69" s="39"/>
      <c r="DX69" s="39"/>
      <c r="DY69" s="39"/>
      <c r="DZ69" s="39"/>
      <c r="EA69" s="39"/>
      <c r="EB69" s="39"/>
      <c r="EC69" s="39"/>
      <c r="ED69" s="39"/>
      <c r="EE69" s="39"/>
      <c r="EF69" s="39"/>
      <c r="EG69" s="39"/>
      <c r="EH69" s="39"/>
      <c r="EI69" s="39"/>
      <c r="EJ69" s="39"/>
      <c r="EK69" s="39"/>
      <c r="EL69" s="39"/>
      <c r="EM69" s="39"/>
      <c r="EN69" s="39"/>
      <c r="EO69" s="39"/>
      <c r="EP69" s="39"/>
      <c r="EQ69" s="39"/>
      <c r="ER69" s="39"/>
      <c r="ES69" s="39"/>
      <c r="ET69" s="39"/>
      <c r="EU69" s="39"/>
      <c r="EV69" s="39"/>
      <c r="EW69" s="39"/>
      <c r="EX69" s="39"/>
      <c r="EY69" s="39"/>
      <c r="EZ69" s="39"/>
      <c r="FA69" s="39"/>
      <c r="FB69" s="39"/>
      <c r="FC69" s="39"/>
      <c r="FD69" s="39"/>
      <c r="FE69" s="39"/>
      <c r="FF69" s="39"/>
      <c r="FG69" s="39"/>
      <c r="FH69" s="39"/>
      <c r="FI69" s="39"/>
      <c r="FJ69" s="39"/>
      <c r="FK69" s="39"/>
      <c r="FL69" s="39"/>
      <c r="FM69" s="39"/>
      <c r="FN69" s="39"/>
      <c r="FO69" s="39"/>
      <c r="FP69" s="39"/>
      <c r="FQ69" s="39"/>
      <c r="FR69" s="39"/>
      <c r="FS69" s="39"/>
      <c r="FT69" s="39"/>
    </row>
    <row r="70" spans="1:176" s="22" customFormat="1" ht="13">
      <c r="A70" s="7"/>
      <c r="B70" s="23" t="str">
        <f>IF(_xlfn.XLOOKUP(A70, AutoFill_names!B:B, AutoFill_names!C:C,"")=0,"",_xlfn.XLOOKUP(A70, AutoFill_names!B:B, AutoFill_names!C:C,""))</f>
        <v/>
      </c>
      <c r="C70" s="23" t="str">
        <f>IF(_xlfn.XLOOKUP(A70, AutoFill_names!B:B, AutoFill_names!D:D,"")=0,"",_xlfn.XLOOKUP(A70, AutoFill_names!B:B, AutoFill_names!D:D,""))</f>
        <v/>
      </c>
      <c r="D70" s="23" t="str">
        <f>IF(_xlfn.XLOOKUP(A70, AutoFill_names!B:B, AutoFill_names!E:E,"")=0,"",_xlfn.XLOOKUP(A70, AutoFill_names!B:B, AutoFill_names!E:E,""))</f>
        <v/>
      </c>
      <c r="E70" s="23" t="str">
        <f>IF(_xlfn.XLOOKUP(A70, AutoFill_names!B:B, AutoFill_names!F:F,"")=0,"",_xlfn.XLOOKUP(A70, AutoFill_names!B:B, AutoFill_names!F:F,""))</f>
        <v/>
      </c>
      <c r="F70" s="4"/>
      <c r="G70" s="4"/>
      <c r="H70" s="4"/>
      <c r="I70" s="4"/>
      <c r="J70" s="23" t="str">
        <f>IF(_xlfn.XLOOKUP(A70, AutoFill_names!B:B, AutoFill_names!K:K,"")=0,"",_xlfn.XLOOKUP(A70, AutoFill_names!B:B, AutoFill_names!K:K,""))</f>
        <v/>
      </c>
      <c r="K70" s="23" t="str">
        <f>IF(_xlfn.XLOOKUP(A70, AutoFill_names!B:B, AutoFill_names!L:L,"")=0,"",_xlfn.XLOOKUP(A70, AutoFill_names!B:B, AutoFill_names!L:L,""))</f>
        <v/>
      </c>
      <c r="L70" s="4"/>
      <c r="M70" s="4"/>
      <c r="N70" s="61" t="str">
        <f>IF(_xlfn.XLOOKUP(L70, AutoFill_classes!A:A, AutoFill_classes!B:B,"")=0,"",_xlfn.XLOOKUP(L70, AutoFill_classes!A:A, AutoFill_classes!B:B,""))</f>
        <v/>
      </c>
      <c r="O70" s="154"/>
      <c r="P70" s="9"/>
      <c r="Q70" s="9"/>
      <c r="R70" s="9"/>
      <c r="S70" s="4"/>
      <c r="T70" s="4"/>
      <c r="U70" s="4"/>
      <c r="V70" s="4"/>
      <c r="W70" s="4"/>
      <c r="X70" s="144"/>
      <c r="Y70" s="27"/>
      <c r="Z70" s="60" t="str">
        <f t="shared" si="162"/>
        <v/>
      </c>
      <c r="AA70" s="32"/>
      <c r="AB70" s="32"/>
      <c r="AC70" s="32"/>
      <c r="AD70" s="32"/>
      <c r="AE70" s="58" t="str">
        <f t="shared" si="163"/>
        <v/>
      </c>
      <c r="AF70" s="20"/>
      <c r="AG70" s="58" t="str">
        <f t="shared" si="164"/>
        <v/>
      </c>
      <c r="AH70" s="32"/>
      <c r="AI70" s="32"/>
      <c r="AJ70" s="58" t="str">
        <f t="shared" si="165"/>
        <v/>
      </c>
      <c r="AK70" s="20"/>
      <c r="AL70" s="58" t="str">
        <f t="shared" si="166"/>
        <v/>
      </c>
      <c r="AM70" s="32"/>
      <c r="AN70" s="32"/>
      <c r="AO70" s="58" t="str">
        <f t="shared" si="167"/>
        <v/>
      </c>
      <c r="AP70" s="58" t="str">
        <f t="shared" si="168"/>
        <v/>
      </c>
      <c r="AQ70" s="58" t="str">
        <f t="shared" si="169"/>
        <v/>
      </c>
      <c r="AR70" s="59" t="str">
        <f t="shared" si="170"/>
        <v/>
      </c>
      <c r="AS70" s="20"/>
      <c r="AT70" s="14"/>
      <c r="AU70" s="14"/>
      <c r="AV70" s="61" t="str">
        <f>IF(_xlfn.XLOOKUP(AT70, AutoFill_classes!$A:$A, AutoFill_classes!$B:$B,"")=0,"",_xlfn.XLOOKUP(AT70, AutoFill_classes!$A:$A, AutoFill_classes!$B:$B,""))</f>
        <v/>
      </c>
      <c r="AW70" s="154"/>
      <c r="AX70" s="14"/>
      <c r="AY70" s="14"/>
      <c r="AZ70" s="14"/>
      <c r="BA70" s="16"/>
      <c r="BB70" s="16"/>
      <c r="BC70" s="144"/>
      <c r="BD70" s="27"/>
      <c r="BE70" s="60" t="str">
        <f t="shared" si="171"/>
        <v/>
      </c>
      <c r="BF70" s="32"/>
      <c r="BG70" s="32"/>
      <c r="BH70" s="32"/>
      <c r="BI70" s="32"/>
      <c r="BJ70" s="58" t="str">
        <f t="shared" si="172"/>
        <v/>
      </c>
      <c r="BK70" s="20"/>
      <c r="BL70" s="58" t="str">
        <f t="shared" si="173"/>
        <v/>
      </c>
      <c r="BM70" s="32"/>
      <c r="BN70" s="32"/>
      <c r="BO70" s="58" t="str">
        <f t="shared" si="174"/>
        <v/>
      </c>
      <c r="BP70" s="20"/>
      <c r="BQ70" s="58" t="str">
        <f t="shared" si="175"/>
        <v/>
      </c>
      <c r="BR70" s="32"/>
      <c r="BS70" s="32"/>
      <c r="BT70" s="58" t="str">
        <f t="shared" si="176"/>
        <v/>
      </c>
      <c r="BU70" s="58" t="str">
        <f t="shared" si="177"/>
        <v/>
      </c>
      <c r="BV70" s="58" t="str">
        <f t="shared" si="178"/>
        <v/>
      </c>
      <c r="BW70" s="59" t="str">
        <f t="shared" si="179"/>
        <v/>
      </c>
      <c r="BX70" s="16"/>
      <c r="BY70" s="21"/>
      <c r="BZ70" s="20"/>
      <c r="CA70" s="61" t="str">
        <f>IF(_xlfn.XLOOKUP(BY70, AutoFill_classes!$A:$A, AutoFill_classes!$B:$B,"")=0,"",_xlfn.XLOOKUP(BY70, AutoFill_classes!$A:$A, AutoFill_classes!$B:$B,""))</f>
        <v/>
      </c>
      <c r="CB70" s="154"/>
      <c r="CC70" s="20"/>
      <c r="CD70" s="20"/>
      <c r="CE70" s="20"/>
      <c r="CF70" s="33"/>
      <c r="CG70" s="34"/>
      <c r="CH70" s="144"/>
      <c r="CI70" s="35"/>
      <c r="CJ70" s="60" t="str">
        <f t="shared" si="180"/>
        <v/>
      </c>
      <c r="CK70" s="32"/>
      <c r="CL70" s="32"/>
      <c r="CM70" s="32"/>
      <c r="CN70" s="32"/>
      <c r="CO70" s="58" t="str">
        <f t="shared" si="181"/>
        <v/>
      </c>
      <c r="CP70" s="20"/>
      <c r="CQ70" s="58" t="str">
        <f t="shared" si="182"/>
        <v/>
      </c>
      <c r="CR70" s="32"/>
      <c r="CS70" s="32"/>
      <c r="CT70" s="58" t="str">
        <f t="shared" si="183"/>
        <v/>
      </c>
      <c r="CU70" s="20"/>
      <c r="CV70" s="58" t="str">
        <f t="shared" si="184"/>
        <v/>
      </c>
      <c r="CW70" s="32"/>
      <c r="CX70" s="32"/>
      <c r="CY70" s="58" t="str">
        <f t="shared" si="185"/>
        <v/>
      </c>
      <c r="CZ70" s="58" t="str">
        <f t="shared" si="186"/>
        <v/>
      </c>
      <c r="DA70" s="58" t="str">
        <f t="shared" si="187"/>
        <v/>
      </c>
      <c r="DB70" s="59" t="str">
        <f t="shared" si="188"/>
        <v/>
      </c>
      <c r="DC70" s="20"/>
      <c r="DD70" s="145"/>
      <c r="DE70" s="91">
        <v>69</v>
      </c>
      <c r="DF70" s="39"/>
      <c r="DG70" s="39"/>
      <c r="DH70" s="39"/>
      <c r="DI70" s="39"/>
      <c r="DJ70" s="39"/>
      <c r="DK70" s="39"/>
      <c r="DL70" s="39"/>
      <c r="DM70" s="39"/>
      <c r="DN70" s="39"/>
      <c r="DO70" s="39"/>
      <c r="DP70" s="39"/>
      <c r="DQ70" s="39"/>
      <c r="DR70" s="39"/>
      <c r="DS70" s="39"/>
      <c r="DT70" s="39"/>
      <c r="DU70" s="39"/>
      <c r="DV70" s="39"/>
      <c r="DW70" s="39"/>
      <c r="DX70" s="39"/>
      <c r="DY70" s="39"/>
      <c r="DZ70" s="39"/>
      <c r="EA70" s="39"/>
      <c r="EB70" s="39"/>
      <c r="EC70" s="39"/>
      <c r="ED70" s="39"/>
      <c r="EE70" s="39"/>
      <c r="EF70" s="39"/>
      <c r="EG70" s="39"/>
      <c r="EH70" s="39"/>
      <c r="EI70" s="39"/>
      <c r="EJ70" s="39"/>
      <c r="EK70" s="39"/>
      <c r="EL70" s="39"/>
      <c r="EM70" s="39"/>
      <c r="EN70" s="39"/>
      <c r="EO70" s="39"/>
      <c r="EP70" s="39"/>
      <c r="EQ70" s="39"/>
      <c r="ER70" s="39"/>
      <c r="ES70" s="39"/>
      <c r="ET70" s="39"/>
      <c r="EU70" s="39"/>
      <c r="EV70" s="39"/>
      <c r="EW70" s="39"/>
      <c r="EX70" s="39"/>
      <c r="EY70" s="39"/>
      <c r="EZ70" s="39"/>
      <c r="FA70" s="39"/>
      <c r="FB70" s="39"/>
      <c r="FC70" s="39"/>
      <c r="FD70" s="39"/>
      <c r="FE70" s="39"/>
      <c r="FF70" s="39"/>
      <c r="FG70" s="39"/>
      <c r="FH70" s="39"/>
      <c r="FI70" s="39"/>
      <c r="FJ70" s="39"/>
      <c r="FK70" s="39"/>
      <c r="FL70" s="39"/>
      <c r="FM70" s="39"/>
      <c r="FN70" s="39"/>
      <c r="FO70" s="39"/>
      <c r="FP70" s="39"/>
      <c r="FQ70" s="39"/>
      <c r="FR70" s="39"/>
      <c r="FS70" s="39"/>
      <c r="FT70" s="39"/>
    </row>
    <row r="71" spans="1:176" s="113" customFormat="1" ht="51">
      <c r="A71" s="153" t="s">
        <v>1292</v>
      </c>
      <c r="B71" s="93" t="str">
        <f>"Total Credits: " &amp; IFERROR(IF(DD71=0,"",DD71),"")</f>
        <v>Total Credits: 11</v>
      </c>
      <c r="C71" s="94"/>
      <c r="D71" s="92"/>
      <c r="E71" s="92"/>
      <c r="F71" s="92"/>
      <c r="G71" s="92"/>
      <c r="H71" s="92"/>
      <c r="I71" s="92"/>
      <c r="J71" s="92"/>
      <c r="K71" s="92"/>
      <c r="L71" s="92"/>
      <c r="M71" s="92"/>
      <c r="N71" s="95"/>
      <c r="O71" s="95"/>
      <c r="P71" s="96"/>
      <c r="Q71" s="96"/>
      <c r="R71" s="96"/>
      <c r="S71" s="92"/>
      <c r="T71" s="92"/>
      <c r="U71" s="92"/>
      <c r="V71" s="97"/>
      <c r="W71" s="97"/>
      <c r="X71" s="143">
        <f>IF(SUM(X72:X80)=0, "", SUM(X72:X80))</f>
        <v>5</v>
      </c>
      <c r="Y71" s="98"/>
      <c r="Z71" s="99"/>
      <c r="AA71" s="100"/>
      <c r="AB71" s="100"/>
      <c r="AC71" s="100"/>
      <c r="AD71" s="100"/>
      <c r="AE71" s="101"/>
      <c r="AF71" s="102"/>
      <c r="AG71" s="101"/>
      <c r="AH71" s="100"/>
      <c r="AI71" s="100"/>
      <c r="AJ71" s="101"/>
      <c r="AK71" s="102"/>
      <c r="AL71" s="101"/>
      <c r="AM71" s="100"/>
      <c r="AN71" s="100"/>
      <c r="AO71" s="103"/>
      <c r="AP71" s="103"/>
      <c r="AQ71" s="103"/>
      <c r="AR71" s="103"/>
      <c r="AS71" s="104"/>
      <c r="AT71" s="105"/>
      <c r="AU71" s="105"/>
      <c r="AV71" s="95"/>
      <c r="AW71" s="95"/>
      <c r="AX71" s="105"/>
      <c r="AY71" s="105"/>
      <c r="AZ71" s="105"/>
      <c r="BA71" s="105"/>
      <c r="BB71" s="105"/>
      <c r="BC71" s="143">
        <f>IF(SUM(BC72:BC80)=0, "", SUM(BC72:BC80))</f>
        <v>3</v>
      </c>
      <c r="BD71" s="106"/>
      <c r="BE71" s="107"/>
      <c r="BF71" s="108"/>
      <c r="BG71" s="108"/>
      <c r="BH71" s="108"/>
      <c r="BI71" s="108"/>
      <c r="BJ71" s="109"/>
      <c r="BK71" s="105"/>
      <c r="BL71" s="109"/>
      <c r="BM71" s="108"/>
      <c r="BN71" s="108"/>
      <c r="BO71" s="109"/>
      <c r="BP71" s="105"/>
      <c r="BQ71" s="109"/>
      <c r="BR71" s="108"/>
      <c r="BS71" s="108"/>
      <c r="BT71" s="109"/>
      <c r="BU71" s="109"/>
      <c r="BV71" s="109"/>
      <c r="BW71" s="103"/>
      <c r="BX71" s="105"/>
      <c r="BY71" s="105"/>
      <c r="BZ71" s="105"/>
      <c r="CA71" s="95"/>
      <c r="CB71" s="95"/>
      <c r="CC71" s="105"/>
      <c r="CD71" s="105"/>
      <c r="CE71" s="105"/>
      <c r="CF71" s="97"/>
      <c r="CG71" s="98"/>
      <c r="CH71" s="143">
        <f>IF(SUM(CH72:CH80)=0, "", SUM(CH72:CH80))</f>
        <v>3</v>
      </c>
      <c r="CI71" s="98"/>
      <c r="CJ71" s="99"/>
      <c r="CK71" s="110"/>
      <c r="CL71" s="110"/>
      <c r="CM71" s="110"/>
      <c r="CN71" s="110"/>
      <c r="CO71" s="111"/>
      <c r="CP71" s="112"/>
      <c r="CQ71" s="111"/>
      <c r="CR71" s="110"/>
      <c r="CS71" s="110"/>
      <c r="CT71" s="111"/>
      <c r="CU71" s="112"/>
      <c r="CV71" s="111"/>
      <c r="CW71" s="110"/>
      <c r="CX71" s="110"/>
      <c r="CY71" s="111"/>
      <c r="CZ71" s="111"/>
      <c r="DA71" s="111"/>
      <c r="DB71" s="103"/>
      <c r="DC71" s="112"/>
      <c r="DD71" s="143">
        <f>IF(SUM(L71:DC71)=0, "", SUM(L71:DC71))</f>
        <v>11</v>
      </c>
      <c r="DE71" s="91">
        <v>70</v>
      </c>
      <c r="DF71" s="26"/>
      <c r="DG71" s="26"/>
      <c r="DH71" s="26"/>
      <c r="DI71" s="26"/>
      <c r="DJ71" s="26"/>
      <c r="DK71" s="26"/>
      <c r="DL71" s="26"/>
      <c r="DM71" s="26"/>
      <c r="DN71" s="26"/>
      <c r="DO71" s="26"/>
      <c r="DP71" s="26"/>
      <c r="DQ71" s="26"/>
      <c r="DR71" s="26"/>
      <c r="DS71" s="26"/>
      <c r="DT71" s="26"/>
      <c r="DU71" s="26"/>
      <c r="DV71" s="26"/>
      <c r="DW71" s="26"/>
      <c r="DX71" s="26"/>
      <c r="DY71" s="26"/>
      <c r="DZ71" s="26"/>
      <c r="EA71" s="26"/>
      <c r="EB71" s="26"/>
      <c r="EC71" s="26"/>
      <c r="ED71" s="26"/>
      <c r="EE71" s="26"/>
      <c r="EF71" s="26"/>
      <c r="EG71" s="26"/>
      <c r="EH71" s="26"/>
      <c r="EI71" s="26"/>
      <c r="EJ71" s="26"/>
      <c r="EK71" s="26"/>
      <c r="EL71" s="26"/>
      <c r="EM71" s="26"/>
      <c r="EN71" s="26"/>
      <c r="EO71" s="26"/>
      <c r="EP71" s="26"/>
      <c r="EQ71" s="26"/>
      <c r="ER71" s="26"/>
      <c r="ES71" s="26"/>
      <c r="ET71" s="26"/>
      <c r="EU71" s="26"/>
      <c r="EV71" s="26"/>
      <c r="EW71" s="26"/>
      <c r="EX71" s="26"/>
      <c r="EY71" s="26"/>
      <c r="EZ71" s="26"/>
      <c r="FA71" s="26"/>
      <c r="FB71" s="26"/>
      <c r="FC71" s="26"/>
      <c r="FD71" s="26"/>
      <c r="FE71" s="26"/>
      <c r="FF71" s="26"/>
      <c r="FG71" s="26"/>
      <c r="FH71" s="26"/>
      <c r="FI71" s="26"/>
      <c r="FJ71" s="26"/>
      <c r="FK71" s="26"/>
      <c r="FL71" s="26"/>
      <c r="FM71" s="26"/>
      <c r="FN71" s="26"/>
      <c r="FO71" s="26"/>
      <c r="FP71" s="26"/>
      <c r="FQ71" s="26"/>
      <c r="FR71" s="26"/>
      <c r="FS71" s="26"/>
      <c r="FT71" s="26"/>
    </row>
    <row r="72" spans="1:176" s="22" customFormat="1" ht="13">
      <c r="A72" s="7" t="s">
        <v>148</v>
      </c>
      <c r="B72" s="23" t="str">
        <f>IF(_xlfn.XLOOKUP(A72, AutoFill_names!B:B, AutoFill_names!C:C,"")=0,"",_xlfn.XLOOKUP(A72, AutoFill_names!B:B, AutoFill_names!C:C,""))</f>
        <v>000124996</v>
      </c>
      <c r="C72" s="23" t="str">
        <f>IF(_xlfn.XLOOKUP(A72, AutoFill_names!B:B, AutoFill_names!D:D,"")=0,"",_xlfn.XLOOKUP(A72, AutoFill_names!B:B, AutoFill_names!D:D,""))</f>
        <v>wdavid@andrews.edu</v>
      </c>
      <c r="D72" s="23" t="str">
        <f>IF(_xlfn.XLOOKUP(A72, AutoFill_names!B:B, AutoFill_names!E:E,"")=0,"",_xlfn.XLOOKUP(A72, AutoFill_names!B:B, AutoFill_names!E:E,""))</f>
        <v/>
      </c>
      <c r="E72" s="23" t="str">
        <f>IF(_xlfn.XLOOKUP(A72, AutoFill_names!B:B, AutoFill_names!F:F,"")=0,"",_xlfn.XLOOKUP(A72, AutoFill_names!B:B, AutoFill_names!F:F,""))</f>
        <v/>
      </c>
      <c r="F72" s="4"/>
      <c r="G72" s="4"/>
      <c r="H72" s="4"/>
      <c r="I72" s="4"/>
      <c r="J72" s="23" t="str">
        <f>IF(_xlfn.XLOOKUP(A72, AutoFill_names!B:B, AutoFill_names!K:K,"")=0,"",_xlfn.XLOOKUP(A72, AutoFill_names!B:B, AutoFill_names!K:K,""))</f>
        <v>O'Reggio, Trevor E.</v>
      </c>
      <c r="K72" s="23" t="str">
        <f>IF(_xlfn.XLOOKUP(A72, AutoFill_names!B:B, AutoFill_names!L:L,"")=0,"",_xlfn.XLOOKUP(A72, AutoFill_names!B:B, AutoFill_names!L:L,""))</f>
        <v>000035762</v>
      </c>
      <c r="L72" s="45" t="s">
        <v>592</v>
      </c>
      <c r="M72" s="45"/>
      <c r="N72" s="61" t="str">
        <f>IF(_xlfn.XLOOKUP(L72, AutoFill_classes!A:A, AutoFill_classes!B:B,"")=0,"",_xlfn.XLOOKUP(L72, AutoFill_classes!A:A, AutoFill_classes!B:B,""))</f>
        <v>Worship:Word &amp; Music</v>
      </c>
      <c r="O72" s="154"/>
      <c r="P72" s="9"/>
      <c r="Q72" s="9"/>
      <c r="R72" s="9"/>
      <c r="S72" s="4" t="s">
        <v>85</v>
      </c>
      <c r="T72" s="4" t="s">
        <v>57</v>
      </c>
      <c r="U72" s="4" t="s">
        <v>58</v>
      </c>
      <c r="V72" s="4" t="s">
        <v>59</v>
      </c>
      <c r="W72" s="4" t="s">
        <v>60</v>
      </c>
      <c r="X72" s="144">
        <v>2</v>
      </c>
      <c r="Y72" s="27"/>
      <c r="Z72" s="60" t="str">
        <f t="shared" ref="Z72:Z80" si="189">IF(X72*Y72=0,"",X72*Y72)</f>
        <v/>
      </c>
      <c r="AA72" s="28"/>
      <c r="AB72" s="28"/>
      <c r="AC72" s="28"/>
      <c r="AD72" s="28"/>
      <c r="AE72" s="58" t="str">
        <f t="shared" ref="AE72:AE80" si="190">IF(ROUNDUP((AD72-AC72)/7,0)=0,"",ROUNDUP((AD72-AC72)/7,0))</f>
        <v/>
      </c>
      <c r="AF72" s="19"/>
      <c r="AG72" s="58" t="str">
        <f t="shared" ref="AG72:AG80" si="191">IFERROR(IF(AE72*AF72=0,"",AE72*AF72), "")</f>
        <v/>
      </c>
      <c r="AH72" s="28"/>
      <c r="AI72" s="28"/>
      <c r="AJ72" s="58" t="str">
        <f t="shared" ref="AJ72:AJ80" si="192">IF(ROUNDUP((AI72-AH72)/7,0)=0,"",ROUNDUP((AI72-AH72)/7,0))</f>
        <v/>
      </c>
      <c r="AK72" s="19"/>
      <c r="AL72" s="58" t="str">
        <f t="shared" ref="AL72:AL80" si="193">IFERROR(IF(AJ72*AK72=0,"",AJ72*AK72), "")</f>
        <v/>
      </c>
      <c r="AM72" s="28"/>
      <c r="AN72" s="28"/>
      <c r="AO72" s="58" t="str">
        <f t="shared" ref="AO72:AO80" si="194">IF(ROUNDUP((AN72-AM72)/7,0)=0,"",ROUNDUP((AN72-AM72)/7,0))</f>
        <v/>
      </c>
      <c r="AP72" s="58" t="str">
        <f t="shared" ref="AP72:AP80" si="195">IFERROR(IF((AS72-(AF72+AK72))/AO72=0,"",ROUNDUP((AS72-(AF72+AK72))/AO72,0)), "")</f>
        <v/>
      </c>
      <c r="AQ72" s="58" t="str">
        <f t="shared" ref="AQ72:AQ80" si="196">IFERROR(IF((AS72-(AG72+AL72))=0, "", (AS72-(AG72+AL72))), "")</f>
        <v/>
      </c>
      <c r="AR72" s="59" t="str">
        <f t="shared" ref="AR72:AR80" si="197">IFERROR(IF((AE72+AJ72+AO72)=0, "", (AE72+AJ72+AO72)), "")</f>
        <v/>
      </c>
      <c r="AS72" s="19"/>
      <c r="AT72" s="47" t="s">
        <v>592</v>
      </c>
      <c r="AU72" s="47"/>
      <c r="AV72" s="61" t="str">
        <f>IF(_xlfn.XLOOKUP(AT72, AutoFill_classes!$A:$A, AutoFill_classes!$B:$B,"")=0,"",_xlfn.XLOOKUP(AT72, AutoFill_classes!$A:$A, AutoFill_classes!$B:$B,""))</f>
        <v>Worship:Word &amp; Music</v>
      </c>
      <c r="AW72" s="154"/>
      <c r="AX72" s="14" t="s">
        <v>56</v>
      </c>
      <c r="AY72" s="14" t="s">
        <v>57</v>
      </c>
      <c r="AZ72" s="14" t="s">
        <v>58</v>
      </c>
      <c r="BA72" s="16" t="s">
        <v>59</v>
      </c>
      <c r="BB72" s="16" t="s">
        <v>60</v>
      </c>
      <c r="BC72" s="144">
        <v>2</v>
      </c>
      <c r="BD72" s="29"/>
      <c r="BE72" s="60" t="str">
        <f t="shared" ref="BE72:BE80" si="198">IF(BC72*BD72=0,"",BC72*BD72)</f>
        <v/>
      </c>
      <c r="BF72" s="28"/>
      <c r="BG72" s="28"/>
      <c r="BH72" s="28"/>
      <c r="BI72" s="28"/>
      <c r="BJ72" s="58" t="str">
        <f t="shared" ref="BJ72:BJ80" si="199">IF(ROUNDUP((BI72-BH72)/7,0)=0,"",ROUNDUP((BI72-BH72)/7,0))</f>
        <v/>
      </c>
      <c r="BK72" s="19"/>
      <c r="BL72" s="58" t="str">
        <f t="shared" ref="BL72:BL80" si="200">IFERROR(IF(BJ72*BK72=0,"",BJ72*BK72), "")</f>
        <v/>
      </c>
      <c r="BM72" s="28"/>
      <c r="BN72" s="28"/>
      <c r="BO72" s="58" t="str">
        <f t="shared" ref="BO72:BO80" si="201">IF(ROUNDUP((BN72-BM72)/7,0)=0,"",ROUNDUP((BN72-BM72)/7,0))</f>
        <v/>
      </c>
      <c r="BP72" s="19"/>
      <c r="BQ72" s="58" t="str">
        <f t="shared" ref="BQ72:BQ80" si="202">IFERROR(IF(BO72*BP72=0,"",BO72*BP72), "")</f>
        <v/>
      </c>
      <c r="BR72" s="28"/>
      <c r="BS72" s="28"/>
      <c r="BT72" s="58" t="str">
        <f t="shared" ref="BT72:BT80" si="203">IF(ROUNDUP((BS72-BR72)/7,0)=0,"",ROUNDUP((BS72-BR72)/7,0))</f>
        <v/>
      </c>
      <c r="BU72" s="58" t="str">
        <f t="shared" ref="BU72:BU80" si="204">IFERROR(IF((BX72-(BK72+BP72))/BT72=0,"",ROUNDUP((BX72-(BK72+BP72))/BT72,0)), "")</f>
        <v/>
      </c>
      <c r="BV72" s="58" t="str">
        <f t="shared" ref="BV72:BV80" si="205">IFERROR(IF((BX72-(BL72+BQ72))=0, "", (BX72-(BL72+BQ72))), "")</f>
        <v/>
      </c>
      <c r="BW72" s="59" t="str">
        <f t="shared" ref="BW72:BW80" si="206">IFERROR(IF((BJ72+BO72+BT72)=0, "", (BJ72+BO72+BT72)), "")</f>
        <v/>
      </c>
      <c r="BX72" s="14"/>
      <c r="BY72" s="12" t="s">
        <v>592</v>
      </c>
      <c r="BZ72" s="51"/>
      <c r="CA72" s="61" t="str">
        <f>IF(_xlfn.XLOOKUP(BY72, AutoFill_classes!$A:$A, AutoFill_classes!$B:$B,"")=0,"",_xlfn.XLOOKUP(BY72, AutoFill_classes!$A:$A, AutoFill_classes!$B:$B,""))</f>
        <v>Worship:Word &amp; Music</v>
      </c>
      <c r="CB72" s="154"/>
      <c r="CC72" s="19" t="s">
        <v>56</v>
      </c>
      <c r="CD72" s="19" t="s">
        <v>57</v>
      </c>
      <c r="CE72" s="19" t="s">
        <v>58</v>
      </c>
      <c r="CF72" s="30" t="s">
        <v>59</v>
      </c>
      <c r="CG72" s="31" t="s">
        <v>60</v>
      </c>
      <c r="CH72" s="144">
        <v>2</v>
      </c>
      <c r="CI72" s="31"/>
      <c r="CJ72" s="60" t="str">
        <f t="shared" ref="CJ72:CJ80" si="207">IF(CH72*CI72=0,"",CH72*CI72)</f>
        <v/>
      </c>
      <c r="CK72" s="28"/>
      <c r="CL72" s="28"/>
      <c r="CM72" s="28"/>
      <c r="CN72" s="28"/>
      <c r="CO72" s="58" t="str">
        <f t="shared" ref="CO72:CO80" si="208">IF(ROUNDUP((CN72-CM72)/7,0)=0,"",ROUNDUP((CN72-CM72)/7,0))</f>
        <v/>
      </c>
      <c r="CP72" s="19"/>
      <c r="CQ72" s="58" t="str">
        <f t="shared" ref="CQ72:CQ80" si="209">IFERROR(IF(CO72*CP72=0,"",CO72*CP72), "")</f>
        <v/>
      </c>
      <c r="CR72" s="28"/>
      <c r="CS72" s="28"/>
      <c r="CT72" s="58" t="str">
        <f t="shared" ref="CT72:CT80" si="210">IF(ROUNDUP((CS72-CR72)/7,0)=0,"",ROUNDUP((CS72-CR72)/7,0))</f>
        <v/>
      </c>
      <c r="CU72" s="19"/>
      <c r="CV72" s="58" t="str">
        <f t="shared" ref="CV72:CV80" si="211">IFERROR(IF(CT72*CU72=0,"",CT72*CU72), "")</f>
        <v/>
      </c>
      <c r="CW72" s="28"/>
      <c r="CX72" s="28"/>
      <c r="CY72" s="58" t="str">
        <f t="shared" ref="CY72:CY80" si="212">IF(ROUNDUP((CX72-CW72)/7,0)=0,"",ROUNDUP((CX72-CW72)/7,0))</f>
        <v/>
      </c>
      <c r="CZ72" s="58" t="str">
        <f t="shared" ref="CZ72:CZ80" si="213">IFERROR(IF((DC72-(CP72+CU72))/CY72=0,"",ROUNDUP((DC72-(CP72+CU72))/CY72,0)), "")</f>
        <v/>
      </c>
      <c r="DA72" s="58" t="str">
        <f t="shared" ref="DA72:DA80" si="214">IFERROR(IF((DC72-(CQ72+CV72))=0, "", (DC72-(CQ72+CV72))), "")</f>
        <v/>
      </c>
      <c r="DB72" s="59" t="str">
        <f t="shared" ref="DB72:DB80" si="215">IFERROR(IF((CO72+CT72+CY72)=0, "", (CO72+CT72+CY72)), "")</f>
        <v/>
      </c>
      <c r="DC72" s="19"/>
      <c r="DD72" s="144"/>
      <c r="DE72" s="91">
        <v>71</v>
      </c>
      <c r="DF72" s="39"/>
      <c r="DG72" s="39"/>
      <c r="DH72" s="39"/>
      <c r="DI72" s="39"/>
      <c r="DJ72" s="39"/>
      <c r="DK72" s="39"/>
      <c r="DL72" s="39"/>
      <c r="DM72" s="39"/>
      <c r="DN72" s="39"/>
      <c r="DO72" s="39"/>
      <c r="DP72" s="39"/>
      <c r="DQ72" s="39"/>
      <c r="DR72" s="39"/>
      <c r="DS72" s="39"/>
      <c r="DT72" s="39"/>
      <c r="DU72" s="39"/>
      <c r="DV72" s="39"/>
      <c r="DW72" s="39"/>
      <c r="DX72" s="39"/>
      <c r="DY72" s="39"/>
      <c r="DZ72" s="39"/>
      <c r="EA72" s="39"/>
      <c r="EB72" s="39"/>
      <c r="EC72" s="39"/>
      <c r="ED72" s="39"/>
      <c r="EE72" s="39"/>
      <c r="EF72" s="39"/>
      <c r="EG72" s="39"/>
      <c r="EH72" s="39"/>
      <c r="EI72" s="39"/>
      <c r="EJ72" s="39"/>
      <c r="EK72" s="39"/>
      <c r="EL72" s="39"/>
      <c r="EM72" s="39"/>
      <c r="EN72" s="39"/>
      <c r="EO72" s="39"/>
      <c r="EP72" s="39"/>
      <c r="EQ72" s="39"/>
      <c r="ER72" s="39"/>
      <c r="ES72" s="39"/>
      <c r="ET72" s="39"/>
      <c r="EU72" s="39"/>
      <c r="EV72" s="39"/>
      <c r="EW72" s="39"/>
      <c r="EX72" s="39"/>
      <c r="EY72" s="39"/>
      <c r="EZ72" s="39"/>
      <c r="FA72" s="39"/>
      <c r="FB72" s="39"/>
      <c r="FC72" s="39"/>
      <c r="FD72" s="39"/>
      <c r="FE72" s="39"/>
      <c r="FF72" s="39"/>
      <c r="FG72" s="39"/>
      <c r="FH72" s="39"/>
      <c r="FI72" s="39"/>
      <c r="FJ72" s="39"/>
      <c r="FK72" s="39"/>
      <c r="FL72" s="39"/>
      <c r="FM72" s="39"/>
      <c r="FN72" s="39"/>
      <c r="FO72" s="39"/>
      <c r="FP72" s="39"/>
      <c r="FQ72" s="39"/>
      <c r="FR72" s="39"/>
      <c r="FS72" s="39"/>
      <c r="FT72" s="39"/>
    </row>
    <row r="73" spans="1:176" s="22" customFormat="1" ht="13">
      <c r="A73" s="7" t="s">
        <v>148</v>
      </c>
      <c r="B73" s="23" t="str">
        <f>IF(_xlfn.XLOOKUP(A73, AutoFill_names!B:B, AutoFill_names!C:C,"")=0,"",_xlfn.XLOOKUP(A73, AutoFill_names!B:B, AutoFill_names!C:C,""))</f>
        <v>000124996</v>
      </c>
      <c r="C73" s="23" t="str">
        <f>IF(_xlfn.XLOOKUP(A73, AutoFill_names!B:B, AutoFill_names!D:D,"")=0,"",_xlfn.XLOOKUP(A73, AutoFill_names!B:B, AutoFill_names!D:D,""))</f>
        <v>wdavid@andrews.edu</v>
      </c>
      <c r="D73" s="23" t="str">
        <f>IF(_xlfn.XLOOKUP(A73, AutoFill_names!B:B, AutoFill_names!E:E,"")=0,"",_xlfn.XLOOKUP(A73, AutoFill_names!B:B, AutoFill_names!E:E,""))</f>
        <v/>
      </c>
      <c r="E73" s="23" t="str">
        <f>IF(_xlfn.XLOOKUP(A73, AutoFill_names!B:B, AutoFill_names!F:F,"")=0,"",_xlfn.XLOOKUP(A73, AutoFill_names!B:B, AutoFill_names!F:F,""))</f>
        <v/>
      </c>
      <c r="F73" s="4"/>
      <c r="G73" s="4"/>
      <c r="H73" s="4"/>
      <c r="I73" s="4"/>
      <c r="J73" s="23" t="str">
        <f>IF(_xlfn.XLOOKUP(A73, AutoFill_names!B:B, AutoFill_names!K:K,"")=0,"",_xlfn.XLOOKUP(A73, AutoFill_names!B:B, AutoFill_names!K:K,""))</f>
        <v>O'Reggio, Trevor E.</v>
      </c>
      <c r="K73" s="23" t="str">
        <f>IF(_xlfn.XLOOKUP(A73, AutoFill_names!B:B, AutoFill_names!L:L,"")=0,"",_xlfn.XLOOKUP(A73, AutoFill_names!B:B, AutoFill_names!L:L,""))</f>
        <v>000035762</v>
      </c>
      <c r="L73" s="45" t="s">
        <v>592</v>
      </c>
      <c r="M73" s="45"/>
      <c r="N73" s="61" t="str">
        <f>IF(_xlfn.XLOOKUP(L73, AutoFill_classes!A:A, AutoFill_classes!B:B,"")=0,"",_xlfn.XLOOKUP(L73, AutoFill_classes!A:A, AutoFill_classes!B:B,""))</f>
        <v>Worship:Word &amp; Music</v>
      </c>
      <c r="O73" s="154"/>
      <c r="P73" s="9"/>
      <c r="Q73" s="9"/>
      <c r="R73" s="9"/>
      <c r="S73" s="4" t="s">
        <v>56</v>
      </c>
      <c r="T73" s="4" t="s">
        <v>93</v>
      </c>
      <c r="U73" s="4" t="s">
        <v>122</v>
      </c>
      <c r="V73" s="4" t="s">
        <v>59</v>
      </c>
      <c r="W73" s="4" t="s">
        <v>60</v>
      </c>
      <c r="X73" s="144">
        <v>3</v>
      </c>
      <c r="Y73" s="27"/>
      <c r="Z73" s="60" t="str">
        <f t="shared" si="189"/>
        <v/>
      </c>
      <c r="AA73" s="32"/>
      <c r="AB73" s="32"/>
      <c r="AC73" s="32"/>
      <c r="AD73" s="32"/>
      <c r="AE73" s="58" t="str">
        <f t="shared" si="190"/>
        <v/>
      </c>
      <c r="AF73" s="20"/>
      <c r="AG73" s="58" t="str">
        <f t="shared" si="191"/>
        <v/>
      </c>
      <c r="AH73" s="32"/>
      <c r="AI73" s="32"/>
      <c r="AJ73" s="58" t="str">
        <f t="shared" si="192"/>
        <v/>
      </c>
      <c r="AK73" s="20"/>
      <c r="AL73" s="58" t="str">
        <f t="shared" si="193"/>
        <v/>
      </c>
      <c r="AM73" s="32"/>
      <c r="AN73" s="32"/>
      <c r="AO73" s="58" t="str">
        <f t="shared" si="194"/>
        <v/>
      </c>
      <c r="AP73" s="58" t="str">
        <f t="shared" si="195"/>
        <v/>
      </c>
      <c r="AQ73" s="58" t="str">
        <f t="shared" si="196"/>
        <v/>
      </c>
      <c r="AR73" s="59" t="str">
        <f t="shared" si="197"/>
        <v/>
      </c>
      <c r="AS73" s="20"/>
      <c r="AT73" s="47" t="s">
        <v>592</v>
      </c>
      <c r="AU73" s="47" t="s">
        <v>281</v>
      </c>
      <c r="AV73" s="61" t="str">
        <f>IF(_xlfn.XLOOKUP(AT73, AutoFill_classes!$A:$A, AutoFill_classes!$B:$B,"")=0,"",_xlfn.XLOOKUP(AT73, AutoFill_classes!$A:$A, AutoFill_classes!$B:$B,""))</f>
        <v>Worship:Word &amp; Music</v>
      </c>
      <c r="AW73" s="154"/>
      <c r="AX73" s="14" t="s">
        <v>76</v>
      </c>
      <c r="AY73" s="14" t="s">
        <v>57</v>
      </c>
      <c r="AZ73" s="14" t="s">
        <v>58</v>
      </c>
      <c r="BA73" s="16" t="s">
        <v>59</v>
      </c>
      <c r="BB73" s="16" t="s">
        <v>60</v>
      </c>
      <c r="BC73" s="144">
        <v>0</v>
      </c>
      <c r="BD73" s="29"/>
      <c r="BE73" s="60" t="str">
        <f t="shared" si="198"/>
        <v/>
      </c>
      <c r="BF73" s="32"/>
      <c r="BG73" s="32"/>
      <c r="BH73" s="32"/>
      <c r="BI73" s="32"/>
      <c r="BJ73" s="58" t="str">
        <f t="shared" si="199"/>
        <v/>
      </c>
      <c r="BK73" s="20"/>
      <c r="BL73" s="58" t="str">
        <f t="shared" si="200"/>
        <v/>
      </c>
      <c r="BM73" s="32"/>
      <c r="BN73" s="32"/>
      <c r="BO73" s="58" t="str">
        <f t="shared" si="201"/>
        <v/>
      </c>
      <c r="BP73" s="20"/>
      <c r="BQ73" s="58" t="str">
        <f t="shared" si="202"/>
        <v/>
      </c>
      <c r="BR73" s="32"/>
      <c r="BS73" s="32"/>
      <c r="BT73" s="58" t="str">
        <f t="shared" si="203"/>
        <v/>
      </c>
      <c r="BU73" s="58" t="str">
        <f t="shared" si="204"/>
        <v/>
      </c>
      <c r="BV73" s="58" t="str">
        <f t="shared" si="205"/>
        <v/>
      </c>
      <c r="BW73" s="59" t="str">
        <f t="shared" si="206"/>
        <v/>
      </c>
      <c r="BX73" s="14"/>
      <c r="BY73" s="21" t="s">
        <v>609</v>
      </c>
      <c r="BZ73" s="20"/>
      <c r="CA73" s="61" t="str">
        <f>IF(_xlfn.XLOOKUP(BY73, AutoFill_classes!$A:$A, AutoFill_classes!$B:$B,"")=0,"",_xlfn.XLOOKUP(BY73, AutoFill_classes!$A:$A, AutoFill_classes!$B:$B,""))</f>
        <v>Seminary Chorus</v>
      </c>
      <c r="CB73" s="154"/>
      <c r="CC73" s="20" t="s">
        <v>56</v>
      </c>
      <c r="CD73" s="20" t="s">
        <v>57</v>
      </c>
      <c r="CE73" s="20" t="s">
        <v>58</v>
      </c>
      <c r="CF73" s="33" t="s">
        <v>59</v>
      </c>
      <c r="CG73" s="34" t="s">
        <v>60</v>
      </c>
      <c r="CH73" s="144">
        <v>1</v>
      </c>
      <c r="CI73" s="35"/>
      <c r="CJ73" s="60" t="str">
        <f t="shared" si="207"/>
        <v/>
      </c>
      <c r="CK73" s="32"/>
      <c r="CL73" s="32"/>
      <c r="CM73" s="32"/>
      <c r="CN73" s="32"/>
      <c r="CO73" s="58" t="str">
        <f t="shared" si="208"/>
        <v/>
      </c>
      <c r="CP73" s="20"/>
      <c r="CQ73" s="58" t="str">
        <f t="shared" si="209"/>
        <v/>
      </c>
      <c r="CR73" s="32"/>
      <c r="CS73" s="32"/>
      <c r="CT73" s="58" t="str">
        <f t="shared" si="210"/>
        <v/>
      </c>
      <c r="CU73" s="20"/>
      <c r="CV73" s="58" t="str">
        <f t="shared" si="211"/>
        <v/>
      </c>
      <c r="CW73" s="32"/>
      <c r="CX73" s="32"/>
      <c r="CY73" s="58" t="str">
        <f t="shared" si="212"/>
        <v/>
      </c>
      <c r="CZ73" s="58" t="str">
        <f t="shared" si="213"/>
        <v/>
      </c>
      <c r="DA73" s="58" t="str">
        <f t="shared" si="214"/>
        <v/>
      </c>
      <c r="DB73" s="59" t="str">
        <f t="shared" si="215"/>
        <v/>
      </c>
      <c r="DC73" s="20"/>
      <c r="DD73" s="144"/>
      <c r="DE73" s="91">
        <v>72</v>
      </c>
      <c r="DF73" s="39"/>
      <c r="DG73" s="39"/>
      <c r="DH73" s="39"/>
      <c r="DI73" s="39"/>
      <c r="DJ73" s="39"/>
      <c r="DK73" s="39"/>
      <c r="DL73" s="39"/>
      <c r="DM73" s="39"/>
      <c r="DN73" s="39"/>
      <c r="DO73" s="39"/>
      <c r="DP73" s="39"/>
      <c r="DQ73" s="39"/>
      <c r="DR73" s="39"/>
      <c r="DS73" s="39"/>
      <c r="DT73" s="39"/>
      <c r="DU73" s="39"/>
      <c r="DV73" s="39"/>
      <c r="DW73" s="39"/>
      <c r="DX73" s="39"/>
      <c r="DY73" s="39"/>
      <c r="DZ73" s="39"/>
      <c r="EA73" s="39"/>
      <c r="EB73" s="39"/>
      <c r="EC73" s="39"/>
      <c r="ED73" s="39"/>
      <c r="EE73" s="39"/>
      <c r="EF73" s="39"/>
      <c r="EG73" s="39"/>
      <c r="EH73" s="39"/>
      <c r="EI73" s="39"/>
      <c r="EJ73" s="39"/>
      <c r="EK73" s="39"/>
      <c r="EL73" s="39"/>
      <c r="EM73" s="39"/>
      <c r="EN73" s="39"/>
      <c r="EO73" s="39"/>
      <c r="EP73" s="39"/>
      <c r="EQ73" s="39"/>
      <c r="ER73" s="39"/>
      <c r="ES73" s="39"/>
      <c r="ET73" s="39"/>
      <c r="EU73" s="39"/>
      <c r="EV73" s="39"/>
      <c r="EW73" s="39"/>
      <c r="EX73" s="39"/>
      <c r="EY73" s="39"/>
      <c r="EZ73" s="39"/>
      <c r="FA73" s="39"/>
      <c r="FB73" s="39"/>
      <c r="FC73" s="39"/>
      <c r="FD73" s="39"/>
      <c r="FE73" s="39"/>
      <c r="FF73" s="39"/>
      <c r="FG73" s="39"/>
      <c r="FH73" s="39"/>
      <c r="FI73" s="39"/>
      <c r="FJ73" s="39"/>
      <c r="FK73" s="39"/>
      <c r="FL73" s="39"/>
      <c r="FM73" s="39"/>
      <c r="FN73" s="39"/>
      <c r="FO73" s="39"/>
      <c r="FP73" s="39"/>
      <c r="FQ73" s="39"/>
      <c r="FR73" s="39"/>
      <c r="FS73" s="39"/>
      <c r="FT73" s="39"/>
    </row>
    <row r="74" spans="1:176" s="22" customFormat="1" ht="13">
      <c r="A74" s="7" t="s">
        <v>148</v>
      </c>
      <c r="B74" s="23" t="str">
        <f>IF(_xlfn.XLOOKUP(A74, AutoFill_names!B:B, AutoFill_names!C:C,"")=0,"",_xlfn.XLOOKUP(A74, AutoFill_names!B:B, AutoFill_names!C:C,""))</f>
        <v>000124996</v>
      </c>
      <c r="C74" s="23" t="str">
        <f>IF(_xlfn.XLOOKUP(A74, AutoFill_names!B:B, AutoFill_names!D:D,"")=0,"",_xlfn.XLOOKUP(A74, AutoFill_names!B:B, AutoFill_names!D:D,""))</f>
        <v>wdavid@andrews.edu</v>
      </c>
      <c r="D74" s="23" t="str">
        <f>IF(_xlfn.XLOOKUP(A74, AutoFill_names!B:B, AutoFill_names!E:E,"")=0,"",_xlfn.XLOOKUP(A74, AutoFill_names!B:B, AutoFill_names!E:E,""))</f>
        <v/>
      </c>
      <c r="E74" s="23" t="str">
        <f>IF(_xlfn.XLOOKUP(A74, AutoFill_names!B:B, AutoFill_names!F:F,"")=0,"",_xlfn.XLOOKUP(A74, AutoFill_names!B:B, AutoFill_names!F:F,""))</f>
        <v/>
      </c>
      <c r="F74" s="4"/>
      <c r="G74" s="4"/>
      <c r="H74" s="4"/>
      <c r="I74" s="4"/>
      <c r="J74" s="23" t="str">
        <f>IF(_xlfn.XLOOKUP(A74, AutoFill_names!B:B, AutoFill_names!K:K,"")=0,"",_xlfn.XLOOKUP(A74, AutoFill_names!B:B, AutoFill_names!K:K,""))</f>
        <v>O'Reggio, Trevor E.</v>
      </c>
      <c r="K74" s="23" t="str">
        <f>IF(_xlfn.XLOOKUP(A74, AutoFill_names!B:B, AutoFill_names!L:L,"")=0,"",_xlfn.XLOOKUP(A74, AutoFill_names!B:B, AutoFill_names!L:L,""))</f>
        <v>000035762</v>
      </c>
      <c r="L74" s="45"/>
      <c r="M74" s="45"/>
      <c r="N74" s="61" t="str">
        <f>IF(_xlfn.XLOOKUP(L74, AutoFill_classes!A:A, AutoFill_classes!B:B,"")=0,"",_xlfn.XLOOKUP(L74, AutoFill_classes!A:A, AutoFill_classes!B:B,""))</f>
        <v/>
      </c>
      <c r="O74" s="154"/>
      <c r="P74" s="9"/>
      <c r="Q74" s="9"/>
      <c r="R74" s="9"/>
      <c r="S74" s="4"/>
      <c r="T74" s="4"/>
      <c r="U74" s="4"/>
      <c r="V74" s="4"/>
      <c r="W74" s="4"/>
      <c r="X74" s="144"/>
      <c r="Y74" s="27"/>
      <c r="Z74" s="60" t="str">
        <f t="shared" si="189"/>
        <v/>
      </c>
      <c r="AA74" s="32"/>
      <c r="AB74" s="32"/>
      <c r="AC74" s="36"/>
      <c r="AD74" s="36"/>
      <c r="AE74" s="58" t="str">
        <f t="shared" si="190"/>
        <v/>
      </c>
      <c r="AF74" s="20"/>
      <c r="AG74" s="58" t="str">
        <f t="shared" si="191"/>
        <v/>
      </c>
      <c r="AH74" s="36"/>
      <c r="AI74" s="36"/>
      <c r="AJ74" s="58" t="str">
        <f t="shared" si="192"/>
        <v/>
      </c>
      <c r="AK74" s="20"/>
      <c r="AL74" s="58" t="str">
        <f t="shared" si="193"/>
        <v/>
      </c>
      <c r="AM74" s="36"/>
      <c r="AN74" s="36"/>
      <c r="AO74" s="58" t="str">
        <f t="shared" si="194"/>
        <v/>
      </c>
      <c r="AP74" s="58" t="str">
        <f t="shared" si="195"/>
        <v/>
      </c>
      <c r="AQ74" s="58" t="str">
        <f t="shared" si="196"/>
        <v/>
      </c>
      <c r="AR74" s="59" t="str">
        <f t="shared" si="197"/>
        <v/>
      </c>
      <c r="AS74" s="20"/>
      <c r="AT74" s="47" t="s">
        <v>609</v>
      </c>
      <c r="AU74" s="47"/>
      <c r="AV74" s="61" t="str">
        <f>IF(_xlfn.XLOOKUP(AT74, AutoFill_classes!$A:$A, AutoFill_classes!$B:$B,"")=0,"",_xlfn.XLOOKUP(AT74, AutoFill_classes!$A:$A, AutoFill_classes!$B:$B,""))</f>
        <v>Seminary Chorus</v>
      </c>
      <c r="AW74" s="154"/>
      <c r="AX74" s="14" t="s">
        <v>56</v>
      </c>
      <c r="AY74" s="14" t="s">
        <v>57</v>
      </c>
      <c r="AZ74" s="14" t="s">
        <v>58</v>
      </c>
      <c r="BA74" s="16" t="s">
        <v>59</v>
      </c>
      <c r="BB74" s="16" t="s">
        <v>60</v>
      </c>
      <c r="BC74" s="144">
        <v>1</v>
      </c>
      <c r="BD74" s="29"/>
      <c r="BE74" s="60" t="str">
        <f t="shared" si="198"/>
        <v/>
      </c>
      <c r="BF74" s="32"/>
      <c r="BG74" s="32"/>
      <c r="BH74" s="36"/>
      <c r="BI74" s="36"/>
      <c r="BJ74" s="58" t="str">
        <f t="shared" si="199"/>
        <v/>
      </c>
      <c r="BK74" s="20"/>
      <c r="BL74" s="58" t="str">
        <f t="shared" si="200"/>
        <v/>
      </c>
      <c r="BM74" s="36"/>
      <c r="BN74" s="36"/>
      <c r="BO74" s="58" t="str">
        <f t="shared" si="201"/>
        <v/>
      </c>
      <c r="BP74" s="20"/>
      <c r="BQ74" s="58" t="str">
        <f t="shared" si="202"/>
        <v/>
      </c>
      <c r="BR74" s="36"/>
      <c r="BS74" s="36"/>
      <c r="BT74" s="58" t="str">
        <f t="shared" si="203"/>
        <v/>
      </c>
      <c r="BU74" s="58" t="str">
        <f t="shared" si="204"/>
        <v/>
      </c>
      <c r="BV74" s="58" t="str">
        <f t="shared" si="205"/>
        <v/>
      </c>
      <c r="BW74" s="59" t="str">
        <f t="shared" si="206"/>
        <v/>
      </c>
      <c r="BX74" s="14"/>
      <c r="BY74" s="21"/>
      <c r="BZ74" s="20"/>
      <c r="CA74" s="61" t="str">
        <f>IF(_xlfn.XLOOKUP(BY74, AutoFill_classes!$A:$A, AutoFill_classes!$B:$B,"")=0,"",_xlfn.XLOOKUP(BY74, AutoFill_classes!$A:$A, AutoFill_classes!$B:$B,""))</f>
        <v/>
      </c>
      <c r="CB74" s="154"/>
      <c r="CC74" s="20"/>
      <c r="CD74" s="20"/>
      <c r="CE74" s="20"/>
      <c r="CF74" s="33"/>
      <c r="CG74" s="34"/>
      <c r="CH74" s="144"/>
      <c r="CI74" s="35"/>
      <c r="CJ74" s="60" t="str">
        <f t="shared" si="207"/>
        <v/>
      </c>
      <c r="CK74" s="32"/>
      <c r="CL74" s="32"/>
      <c r="CM74" s="36"/>
      <c r="CN74" s="36"/>
      <c r="CO74" s="58" t="str">
        <f t="shared" si="208"/>
        <v/>
      </c>
      <c r="CP74" s="20"/>
      <c r="CQ74" s="58" t="str">
        <f t="shared" si="209"/>
        <v/>
      </c>
      <c r="CR74" s="36"/>
      <c r="CS74" s="36"/>
      <c r="CT74" s="58" t="str">
        <f t="shared" si="210"/>
        <v/>
      </c>
      <c r="CU74" s="20"/>
      <c r="CV74" s="58" t="str">
        <f t="shared" si="211"/>
        <v/>
      </c>
      <c r="CW74" s="36"/>
      <c r="CX74" s="36"/>
      <c r="CY74" s="58" t="str">
        <f t="shared" si="212"/>
        <v/>
      </c>
      <c r="CZ74" s="58" t="str">
        <f t="shared" si="213"/>
        <v/>
      </c>
      <c r="DA74" s="58" t="str">
        <f t="shared" si="214"/>
        <v/>
      </c>
      <c r="DB74" s="59" t="str">
        <f t="shared" si="215"/>
        <v/>
      </c>
      <c r="DC74" s="20"/>
      <c r="DD74" s="144"/>
      <c r="DE74" s="91">
        <v>73</v>
      </c>
      <c r="DF74" s="39"/>
      <c r="DG74" s="39"/>
      <c r="DH74" s="39"/>
      <c r="DI74" s="39"/>
      <c r="DJ74" s="39"/>
      <c r="DK74" s="39"/>
      <c r="DL74" s="39"/>
      <c r="DM74" s="39"/>
      <c r="DN74" s="39"/>
      <c r="DO74" s="39"/>
      <c r="DP74" s="39"/>
      <c r="DQ74" s="39"/>
      <c r="DR74" s="39"/>
      <c r="DS74" s="39"/>
      <c r="DT74" s="39"/>
      <c r="DU74" s="39"/>
      <c r="DV74" s="39"/>
      <c r="DW74" s="39"/>
      <c r="DX74" s="39"/>
      <c r="DY74" s="39"/>
      <c r="DZ74" s="39"/>
      <c r="EA74" s="39"/>
      <c r="EB74" s="39"/>
      <c r="EC74" s="39"/>
      <c r="ED74" s="39"/>
      <c r="EE74" s="39"/>
      <c r="EF74" s="39"/>
      <c r="EG74" s="39"/>
      <c r="EH74" s="39"/>
      <c r="EI74" s="39"/>
      <c r="EJ74" s="39"/>
      <c r="EK74" s="39"/>
      <c r="EL74" s="39"/>
      <c r="EM74" s="39"/>
      <c r="EN74" s="39"/>
      <c r="EO74" s="39"/>
      <c r="EP74" s="39"/>
      <c r="EQ74" s="39"/>
      <c r="ER74" s="39"/>
      <c r="ES74" s="39"/>
      <c r="ET74" s="39"/>
      <c r="EU74" s="39"/>
      <c r="EV74" s="39"/>
      <c r="EW74" s="39"/>
      <c r="EX74" s="39"/>
      <c r="EY74" s="39"/>
      <c r="EZ74" s="39"/>
      <c r="FA74" s="39"/>
      <c r="FB74" s="39"/>
      <c r="FC74" s="39"/>
      <c r="FD74" s="39"/>
      <c r="FE74" s="39"/>
      <c r="FF74" s="39"/>
      <c r="FG74" s="39"/>
      <c r="FH74" s="39"/>
      <c r="FI74" s="39"/>
      <c r="FJ74" s="39"/>
      <c r="FK74" s="39"/>
      <c r="FL74" s="39"/>
      <c r="FM74" s="39"/>
      <c r="FN74" s="39"/>
      <c r="FO74" s="39"/>
      <c r="FP74" s="39"/>
      <c r="FQ74" s="39"/>
      <c r="FR74" s="39"/>
      <c r="FS74" s="39"/>
      <c r="FT74" s="39"/>
    </row>
    <row r="75" spans="1:176" s="22" customFormat="1" ht="13">
      <c r="A75" s="7"/>
      <c r="B75" s="23" t="str">
        <f>IF(_xlfn.XLOOKUP(A75, AutoFill_names!B:B, AutoFill_names!C:C,"")=0,"",_xlfn.XLOOKUP(A75, AutoFill_names!B:B, AutoFill_names!C:C,""))</f>
        <v/>
      </c>
      <c r="C75" s="23" t="str">
        <f>IF(_xlfn.XLOOKUP(A75, AutoFill_names!B:B, AutoFill_names!D:D,"")=0,"",_xlfn.XLOOKUP(A75, AutoFill_names!B:B, AutoFill_names!D:D,""))</f>
        <v/>
      </c>
      <c r="D75" s="23" t="str">
        <f>IF(_xlfn.XLOOKUP(A75, AutoFill_names!B:B, AutoFill_names!E:E,"")=0,"",_xlfn.XLOOKUP(A75, AutoFill_names!B:B, AutoFill_names!E:E,""))</f>
        <v/>
      </c>
      <c r="E75" s="23" t="str">
        <f>IF(_xlfn.XLOOKUP(A75, AutoFill_names!B:B, AutoFill_names!F:F,"")=0,"",_xlfn.XLOOKUP(A75, AutoFill_names!B:B, AutoFill_names!F:F,""))</f>
        <v/>
      </c>
      <c r="F75" s="4"/>
      <c r="G75" s="4"/>
      <c r="H75" s="4"/>
      <c r="I75" s="4"/>
      <c r="J75" s="23" t="str">
        <f>IF(_xlfn.XLOOKUP(A75, AutoFill_names!B:B, AutoFill_names!K:K,"")=0,"",_xlfn.XLOOKUP(A75, AutoFill_names!B:B, AutoFill_names!K:K,""))</f>
        <v/>
      </c>
      <c r="K75" s="23" t="str">
        <f>IF(_xlfn.XLOOKUP(A75, AutoFill_names!B:B, AutoFill_names!L:L,"")=0,"",_xlfn.XLOOKUP(A75, AutoFill_names!B:B, AutoFill_names!L:L,""))</f>
        <v/>
      </c>
      <c r="L75" s="45"/>
      <c r="M75" s="45"/>
      <c r="N75" s="61" t="str">
        <f>IF(_xlfn.XLOOKUP(L75, AutoFill_classes!A:A, AutoFill_classes!B:B,"")=0,"",_xlfn.XLOOKUP(L75, AutoFill_classes!A:A, AutoFill_classes!B:B,""))</f>
        <v/>
      </c>
      <c r="O75" s="154"/>
      <c r="P75" s="9"/>
      <c r="Q75" s="9"/>
      <c r="R75" s="9"/>
      <c r="S75" s="4"/>
      <c r="T75" s="4"/>
      <c r="U75" s="4"/>
      <c r="V75" s="4"/>
      <c r="W75" s="4"/>
      <c r="X75" s="144"/>
      <c r="Y75" s="27"/>
      <c r="Z75" s="60" t="str">
        <f t="shared" si="189"/>
        <v/>
      </c>
      <c r="AA75" s="32"/>
      <c r="AB75" s="32"/>
      <c r="AC75" s="32"/>
      <c r="AD75" s="32"/>
      <c r="AE75" s="58" t="str">
        <f t="shared" si="190"/>
        <v/>
      </c>
      <c r="AF75" s="20"/>
      <c r="AG75" s="58" t="str">
        <f t="shared" si="191"/>
        <v/>
      </c>
      <c r="AH75" s="32"/>
      <c r="AI75" s="32"/>
      <c r="AJ75" s="58" t="str">
        <f t="shared" si="192"/>
        <v/>
      </c>
      <c r="AK75" s="20"/>
      <c r="AL75" s="58" t="str">
        <f t="shared" si="193"/>
        <v/>
      </c>
      <c r="AM75" s="32"/>
      <c r="AN75" s="32"/>
      <c r="AO75" s="58" t="str">
        <f t="shared" si="194"/>
        <v/>
      </c>
      <c r="AP75" s="58" t="str">
        <f t="shared" si="195"/>
        <v/>
      </c>
      <c r="AQ75" s="58" t="str">
        <f t="shared" si="196"/>
        <v/>
      </c>
      <c r="AR75" s="59" t="str">
        <f t="shared" si="197"/>
        <v/>
      </c>
      <c r="AS75" s="20"/>
      <c r="AT75" s="47"/>
      <c r="AU75" s="47"/>
      <c r="AV75" s="61" t="str">
        <f>IF(_xlfn.XLOOKUP(AT75, AutoFill_classes!$A:$A, AutoFill_classes!$B:$B,"")=0,"",_xlfn.XLOOKUP(AT75, AutoFill_classes!$A:$A, AutoFill_classes!$B:$B,""))</f>
        <v/>
      </c>
      <c r="AW75" s="154"/>
      <c r="AX75" s="14"/>
      <c r="AY75" s="14"/>
      <c r="AZ75" s="14"/>
      <c r="BA75" s="16"/>
      <c r="BB75" s="16"/>
      <c r="BC75" s="144"/>
      <c r="BD75" s="29"/>
      <c r="BE75" s="60" t="str">
        <f t="shared" si="198"/>
        <v/>
      </c>
      <c r="BF75" s="32"/>
      <c r="BG75" s="32"/>
      <c r="BH75" s="32"/>
      <c r="BI75" s="32"/>
      <c r="BJ75" s="58" t="str">
        <f t="shared" si="199"/>
        <v/>
      </c>
      <c r="BK75" s="20"/>
      <c r="BL75" s="58" t="str">
        <f t="shared" si="200"/>
        <v/>
      </c>
      <c r="BM75" s="32"/>
      <c r="BN75" s="32"/>
      <c r="BO75" s="58" t="str">
        <f t="shared" si="201"/>
        <v/>
      </c>
      <c r="BP75" s="20"/>
      <c r="BQ75" s="58" t="str">
        <f t="shared" si="202"/>
        <v/>
      </c>
      <c r="BR75" s="32"/>
      <c r="BS75" s="32"/>
      <c r="BT75" s="58" t="str">
        <f t="shared" si="203"/>
        <v/>
      </c>
      <c r="BU75" s="58" t="str">
        <f t="shared" si="204"/>
        <v/>
      </c>
      <c r="BV75" s="58" t="str">
        <f t="shared" si="205"/>
        <v/>
      </c>
      <c r="BW75" s="59" t="str">
        <f t="shared" si="206"/>
        <v/>
      </c>
      <c r="BX75" s="14"/>
      <c r="BY75" s="21"/>
      <c r="BZ75" s="20"/>
      <c r="CA75" s="61" t="str">
        <f>IF(_xlfn.XLOOKUP(BY75, AutoFill_classes!$A:$A, AutoFill_classes!$B:$B,"")=0,"",_xlfn.XLOOKUP(BY75, AutoFill_classes!$A:$A, AutoFill_classes!$B:$B,""))</f>
        <v/>
      </c>
      <c r="CB75" s="154"/>
      <c r="CC75" s="20"/>
      <c r="CD75" s="20"/>
      <c r="CE75" s="20"/>
      <c r="CF75" s="33"/>
      <c r="CG75" s="34"/>
      <c r="CH75" s="144"/>
      <c r="CI75" s="35"/>
      <c r="CJ75" s="60" t="str">
        <f t="shared" si="207"/>
        <v/>
      </c>
      <c r="CK75" s="32"/>
      <c r="CL75" s="32"/>
      <c r="CM75" s="32"/>
      <c r="CN75" s="32"/>
      <c r="CO75" s="58" t="str">
        <f t="shared" si="208"/>
        <v/>
      </c>
      <c r="CP75" s="20"/>
      <c r="CQ75" s="58" t="str">
        <f t="shared" si="209"/>
        <v/>
      </c>
      <c r="CR75" s="32"/>
      <c r="CS75" s="32"/>
      <c r="CT75" s="58" t="str">
        <f t="shared" si="210"/>
        <v/>
      </c>
      <c r="CU75" s="20"/>
      <c r="CV75" s="58" t="str">
        <f t="shared" si="211"/>
        <v/>
      </c>
      <c r="CW75" s="32"/>
      <c r="CX75" s="32"/>
      <c r="CY75" s="58" t="str">
        <f t="shared" si="212"/>
        <v/>
      </c>
      <c r="CZ75" s="58" t="str">
        <f t="shared" si="213"/>
        <v/>
      </c>
      <c r="DA75" s="58" t="str">
        <f t="shared" si="214"/>
        <v/>
      </c>
      <c r="DB75" s="59" t="str">
        <f t="shared" si="215"/>
        <v/>
      </c>
      <c r="DC75" s="20"/>
      <c r="DD75" s="144"/>
      <c r="DE75" s="91">
        <v>74</v>
      </c>
      <c r="DF75" s="39"/>
      <c r="DG75" s="39"/>
      <c r="DH75" s="39"/>
      <c r="DI75" s="39"/>
      <c r="DJ75" s="39"/>
      <c r="DK75" s="39"/>
      <c r="DL75" s="39"/>
      <c r="DM75" s="39"/>
      <c r="DN75" s="39"/>
      <c r="DO75" s="39"/>
      <c r="DP75" s="39"/>
      <c r="DQ75" s="39"/>
      <c r="DR75" s="39"/>
      <c r="DS75" s="39"/>
      <c r="DT75" s="39"/>
      <c r="DU75" s="39"/>
      <c r="DV75" s="39"/>
      <c r="DW75" s="39"/>
      <c r="DX75" s="39"/>
      <c r="DY75" s="39"/>
      <c r="DZ75" s="39"/>
      <c r="EA75" s="39"/>
      <c r="EB75" s="39"/>
      <c r="EC75" s="39"/>
      <c r="ED75" s="39"/>
      <c r="EE75" s="39"/>
      <c r="EF75" s="39"/>
      <c r="EG75" s="39"/>
      <c r="EH75" s="39"/>
      <c r="EI75" s="39"/>
      <c r="EJ75" s="39"/>
      <c r="EK75" s="39"/>
      <c r="EL75" s="39"/>
      <c r="EM75" s="39"/>
      <c r="EN75" s="39"/>
      <c r="EO75" s="39"/>
      <c r="EP75" s="39"/>
      <c r="EQ75" s="39"/>
      <c r="ER75" s="39"/>
      <c r="ES75" s="39"/>
      <c r="ET75" s="39"/>
      <c r="EU75" s="39"/>
      <c r="EV75" s="39"/>
      <c r="EW75" s="39"/>
      <c r="EX75" s="39"/>
      <c r="EY75" s="39"/>
      <c r="EZ75" s="39"/>
      <c r="FA75" s="39"/>
      <c r="FB75" s="39"/>
      <c r="FC75" s="39"/>
      <c r="FD75" s="39"/>
      <c r="FE75" s="39"/>
      <c r="FF75" s="39"/>
      <c r="FG75" s="39"/>
      <c r="FH75" s="39"/>
      <c r="FI75" s="39"/>
      <c r="FJ75" s="39"/>
      <c r="FK75" s="39"/>
      <c r="FL75" s="39"/>
      <c r="FM75" s="39"/>
      <c r="FN75" s="39"/>
      <c r="FO75" s="39"/>
      <c r="FP75" s="39"/>
      <c r="FQ75" s="39"/>
      <c r="FR75" s="39"/>
      <c r="FS75" s="39"/>
      <c r="FT75" s="39"/>
    </row>
    <row r="76" spans="1:176" s="22" customFormat="1" ht="13">
      <c r="A76" s="7"/>
      <c r="B76" s="23" t="str">
        <f>IF(_xlfn.XLOOKUP(A76, AutoFill_names!B:B, AutoFill_names!C:C,"")=0,"",_xlfn.XLOOKUP(A76, AutoFill_names!B:B, AutoFill_names!C:C,""))</f>
        <v/>
      </c>
      <c r="C76" s="23" t="str">
        <f>IF(_xlfn.XLOOKUP(A76, AutoFill_names!B:B, AutoFill_names!D:D,"")=0,"",_xlfn.XLOOKUP(A76, AutoFill_names!B:B, AutoFill_names!D:D,""))</f>
        <v/>
      </c>
      <c r="D76" s="23" t="str">
        <f>IF(_xlfn.XLOOKUP(A76, AutoFill_names!B:B, AutoFill_names!E:E,"")=0,"",_xlfn.XLOOKUP(A76, AutoFill_names!B:B, AutoFill_names!E:E,""))</f>
        <v/>
      </c>
      <c r="E76" s="23" t="str">
        <f>IF(_xlfn.XLOOKUP(A76, AutoFill_names!B:B, AutoFill_names!F:F,"")=0,"",_xlfn.XLOOKUP(A76, AutoFill_names!B:B, AutoFill_names!F:F,""))</f>
        <v/>
      </c>
      <c r="F76" s="4"/>
      <c r="G76" s="4"/>
      <c r="H76" s="4"/>
      <c r="I76" s="4"/>
      <c r="J76" s="23" t="str">
        <f>IF(_xlfn.XLOOKUP(A76, AutoFill_names!B:B, AutoFill_names!K:K,"")=0,"",_xlfn.XLOOKUP(A76, AutoFill_names!B:B, AutoFill_names!K:K,""))</f>
        <v/>
      </c>
      <c r="K76" s="23" t="str">
        <f>IF(_xlfn.XLOOKUP(A76, AutoFill_names!B:B, AutoFill_names!L:L,"")=0,"",_xlfn.XLOOKUP(A76, AutoFill_names!B:B, AutoFill_names!L:L,""))</f>
        <v/>
      </c>
      <c r="L76" s="45"/>
      <c r="M76" s="45"/>
      <c r="N76" s="61" t="str">
        <f>IF(_xlfn.XLOOKUP(L76, AutoFill_classes!A:A, AutoFill_classes!B:B,"")=0,"",_xlfn.XLOOKUP(L76, AutoFill_classes!A:A, AutoFill_classes!B:B,""))</f>
        <v/>
      </c>
      <c r="O76" s="154"/>
      <c r="P76" s="9"/>
      <c r="Q76" s="9"/>
      <c r="R76" s="9"/>
      <c r="S76" s="4"/>
      <c r="T76" s="4"/>
      <c r="U76" s="4"/>
      <c r="V76" s="4"/>
      <c r="W76" s="4"/>
      <c r="X76" s="144"/>
      <c r="Y76" s="27"/>
      <c r="Z76" s="60" t="str">
        <f t="shared" si="189"/>
        <v/>
      </c>
      <c r="AA76" s="32"/>
      <c r="AB76" s="32"/>
      <c r="AC76" s="32"/>
      <c r="AD76" s="32"/>
      <c r="AE76" s="58" t="str">
        <f t="shared" si="190"/>
        <v/>
      </c>
      <c r="AF76" s="20"/>
      <c r="AG76" s="58" t="str">
        <f t="shared" si="191"/>
        <v/>
      </c>
      <c r="AH76" s="32"/>
      <c r="AI76" s="32"/>
      <c r="AJ76" s="58" t="str">
        <f t="shared" si="192"/>
        <v/>
      </c>
      <c r="AK76" s="20"/>
      <c r="AL76" s="58" t="str">
        <f t="shared" si="193"/>
        <v/>
      </c>
      <c r="AM76" s="32"/>
      <c r="AN76" s="32"/>
      <c r="AO76" s="58" t="str">
        <f t="shared" si="194"/>
        <v/>
      </c>
      <c r="AP76" s="58" t="str">
        <f t="shared" si="195"/>
        <v/>
      </c>
      <c r="AQ76" s="58" t="str">
        <f t="shared" si="196"/>
        <v/>
      </c>
      <c r="AR76" s="59" t="str">
        <f t="shared" si="197"/>
        <v/>
      </c>
      <c r="AS76" s="20"/>
      <c r="AT76" s="47"/>
      <c r="AU76" s="47"/>
      <c r="AV76" s="61" t="str">
        <f>IF(_xlfn.XLOOKUP(AT76, AutoFill_classes!$A:$A, AutoFill_classes!$B:$B,"")=0,"",_xlfn.XLOOKUP(AT76, AutoFill_classes!$A:$A, AutoFill_classes!$B:$B,""))</f>
        <v/>
      </c>
      <c r="AW76" s="154"/>
      <c r="AX76" s="14"/>
      <c r="AY76" s="14"/>
      <c r="AZ76" s="14"/>
      <c r="BA76" s="16"/>
      <c r="BB76" s="16"/>
      <c r="BC76" s="144"/>
      <c r="BD76" s="29"/>
      <c r="BE76" s="60" t="str">
        <f t="shared" si="198"/>
        <v/>
      </c>
      <c r="BF76" s="32"/>
      <c r="BG76" s="32"/>
      <c r="BH76" s="32"/>
      <c r="BI76" s="32"/>
      <c r="BJ76" s="58" t="str">
        <f t="shared" si="199"/>
        <v/>
      </c>
      <c r="BK76" s="20"/>
      <c r="BL76" s="58" t="str">
        <f t="shared" si="200"/>
        <v/>
      </c>
      <c r="BM76" s="32"/>
      <c r="BN76" s="32"/>
      <c r="BO76" s="58" t="str">
        <f t="shared" si="201"/>
        <v/>
      </c>
      <c r="BP76" s="20"/>
      <c r="BQ76" s="58" t="str">
        <f t="shared" si="202"/>
        <v/>
      </c>
      <c r="BR76" s="32"/>
      <c r="BS76" s="32"/>
      <c r="BT76" s="58" t="str">
        <f t="shared" si="203"/>
        <v/>
      </c>
      <c r="BU76" s="58" t="str">
        <f t="shared" si="204"/>
        <v/>
      </c>
      <c r="BV76" s="58" t="str">
        <f t="shared" si="205"/>
        <v/>
      </c>
      <c r="BW76" s="59" t="str">
        <f t="shared" si="206"/>
        <v/>
      </c>
      <c r="BX76" s="14"/>
      <c r="BY76" s="21"/>
      <c r="BZ76" s="20"/>
      <c r="CA76" s="61" t="str">
        <f>IF(_xlfn.XLOOKUP(BY76, AutoFill_classes!$A:$A, AutoFill_classes!$B:$B,"")=0,"",_xlfn.XLOOKUP(BY76, AutoFill_classes!$A:$A, AutoFill_classes!$B:$B,""))</f>
        <v/>
      </c>
      <c r="CB76" s="154"/>
      <c r="CC76" s="20"/>
      <c r="CD76" s="20"/>
      <c r="CE76" s="20"/>
      <c r="CF76" s="33"/>
      <c r="CG76" s="34"/>
      <c r="CH76" s="144"/>
      <c r="CI76" s="35"/>
      <c r="CJ76" s="60" t="str">
        <f t="shared" si="207"/>
        <v/>
      </c>
      <c r="CK76" s="32"/>
      <c r="CL76" s="32"/>
      <c r="CM76" s="32"/>
      <c r="CN76" s="32"/>
      <c r="CO76" s="58" t="str">
        <f t="shared" si="208"/>
        <v/>
      </c>
      <c r="CP76" s="20"/>
      <c r="CQ76" s="58" t="str">
        <f t="shared" si="209"/>
        <v/>
      </c>
      <c r="CR76" s="32"/>
      <c r="CS76" s="32"/>
      <c r="CT76" s="58" t="str">
        <f t="shared" si="210"/>
        <v/>
      </c>
      <c r="CU76" s="20"/>
      <c r="CV76" s="58" t="str">
        <f t="shared" si="211"/>
        <v/>
      </c>
      <c r="CW76" s="32"/>
      <c r="CX76" s="32"/>
      <c r="CY76" s="58" t="str">
        <f t="shared" si="212"/>
        <v/>
      </c>
      <c r="CZ76" s="58" t="str">
        <f t="shared" si="213"/>
        <v/>
      </c>
      <c r="DA76" s="58" t="str">
        <f t="shared" si="214"/>
        <v/>
      </c>
      <c r="DB76" s="59" t="str">
        <f t="shared" si="215"/>
        <v/>
      </c>
      <c r="DC76" s="20"/>
      <c r="DD76" s="144"/>
      <c r="DE76" s="91">
        <v>75</v>
      </c>
      <c r="DF76" s="39"/>
      <c r="DG76" s="39"/>
      <c r="DH76" s="39"/>
      <c r="DI76" s="39"/>
      <c r="DJ76" s="39"/>
      <c r="DK76" s="39"/>
      <c r="DL76" s="39"/>
      <c r="DM76" s="39"/>
      <c r="DN76" s="39"/>
      <c r="DO76" s="39"/>
      <c r="DP76" s="39"/>
      <c r="DQ76" s="39"/>
      <c r="DR76" s="39"/>
      <c r="DS76" s="39"/>
      <c r="DT76" s="39"/>
      <c r="DU76" s="39"/>
      <c r="DV76" s="39"/>
      <c r="DW76" s="39"/>
      <c r="DX76" s="39"/>
      <c r="DY76" s="39"/>
      <c r="DZ76" s="39"/>
      <c r="EA76" s="39"/>
      <c r="EB76" s="39"/>
      <c r="EC76" s="39"/>
      <c r="ED76" s="39"/>
      <c r="EE76" s="39"/>
      <c r="EF76" s="39"/>
      <c r="EG76" s="39"/>
      <c r="EH76" s="39"/>
      <c r="EI76" s="39"/>
      <c r="EJ76" s="39"/>
      <c r="EK76" s="39"/>
      <c r="EL76" s="39"/>
      <c r="EM76" s="39"/>
      <c r="EN76" s="39"/>
      <c r="EO76" s="39"/>
      <c r="EP76" s="39"/>
      <c r="EQ76" s="39"/>
      <c r="ER76" s="39"/>
      <c r="ES76" s="39"/>
      <c r="ET76" s="39"/>
      <c r="EU76" s="39"/>
      <c r="EV76" s="39"/>
      <c r="EW76" s="39"/>
      <c r="EX76" s="39"/>
      <c r="EY76" s="39"/>
      <c r="EZ76" s="39"/>
      <c r="FA76" s="39"/>
      <c r="FB76" s="39"/>
      <c r="FC76" s="39"/>
      <c r="FD76" s="39"/>
      <c r="FE76" s="39"/>
      <c r="FF76" s="39"/>
      <c r="FG76" s="39"/>
      <c r="FH76" s="39"/>
      <c r="FI76" s="39"/>
      <c r="FJ76" s="39"/>
      <c r="FK76" s="39"/>
      <c r="FL76" s="39"/>
      <c r="FM76" s="39"/>
      <c r="FN76" s="39"/>
      <c r="FO76" s="39"/>
      <c r="FP76" s="39"/>
      <c r="FQ76" s="39"/>
      <c r="FR76" s="39"/>
      <c r="FS76" s="39"/>
      <c r="FT76" s="39"/>
    </row>
    <row r="77" spans="1:176" s="22" customFormat="1" ht="13">
      <c r="A77" s="7"/>
      <c r="B77" s="23" t="str">
        <f>IF(_xlfn.XLOOKUP(A77, AutoFill_names!B:B, AutoFill_names!C:C,"")=0,"",_xlfn.XLOOKUP(A77, AutoFill_names!B:B, AutoFill_names!C:C,""))</f>
        <v/>
      </c>
      <c r="C77" s="23" t="str">
        <f>IF(_xlfn.XLOOKUP(A77, AutoFill_names!B:B, AutoFill_names!D:D,"")=0,"",_xlfn.XLOOKUP(A77, AutoFill_names!B:B, AutoFill_names!D:D,""))</f>
        <v/>
      </c>
      <c r="D77" s="23" t="str">
        <f>IF(_xlfn.XLOOKUP(A77, AutoFill_names!B:B, AutoFill_names!E:E,"")=0,"",_xlfn.XLOOKUP(A77, AutoFill_names!B:B, AutoFill_names!E:E,""))</f>
        <v/>
      </c>
      <c r="E77" s="23" t="str">
        <f>IF(_xlfn.XLOOKUP(A77, AutoFill_names!B:B, AutoFill_names!F:F,"")=0,"",_xlfn.XLOOKUP(A77, AutoFill_names!B:B, AutoFill_names!F:F,""))</f>
        <v/>
      </c>
      <c r="F77" s="4"/>
      <c r="G77" s="4"/>
      <c r="H77" s="4"/>
      <c r="I77" s="4"/>
      <c r="J77" s="23" t="str">
        <f>IF(_xlfn.XLOOKUP(A77, AutoFill_names!B:B, AutoFill_names!K:K,"")=0,"",_xlfn.XLOOKUP(A77, AutoFill_names!B:B, AutoFill_names!K:K,""))</f>
        <v/>
      </c>
      <c r="K77" s="23" t="str">
        <f>IF(_xlfn.XLOOKUP(A77, AutoFill_names!B:B, AutoFill_names!L:L,"")=0,"",_xlfn.XLOOKUP(A77, AutoFill_names!B:B, AutoFill_names!L:L,""))</f>
        <v/>
      </c>
      <c r="L77" s="45"/>
      <c r="M77" s="45"/>
      <c r="N77" s="61" t="str">
        <f>IF(_xlfn.XLOOKUP(L77, AutoFill_classes!A:A, AutoFill_classes!B:B,"")=0,"",_xlfn.XLOOKUP(L77, AutoFill_classes!A:A, AutoFill_classes!B:B,""))</f>
        <v/>
      </c>
      <c r="O77" s="154"/>
      <c r="P77" s="9"/>
      <c r="Q77" s="9"/>
      <c r="R77" s="9"/>
      <c r="S77" s="4"/>
      <c r="T77" s="4"/>
      <c r="U77" s="4"/>
      <c r="V77" s="4"/>
      <c r="W77" s="4"/>
      <c r="X77" s="144"/>
      <c r="Y77" s="27"/>
      <c r="Z77" s="60" t="str">
        <f t="shared" si="189"/>
        <v/>
      </c>
      <c r="AA77" s="32"/>
      <c r="AB77" s="32"/>
      <c r="AC77" s="32"/>
      <c r="AD77" s="32"/>
      <c r="AE77" s="58" t="str">
        <f t="shared" si="190"/>
        <v/>
      </c>
      <c r="AF77" s="20"/>
      <c r="AG77" s="58" t="str">
        <f t="shared" si="191"/>
        <v/>
      </c>
      <c r="AH77" s="32"/>
      <c r="AI77" s="32"/>
      <c r="AJ77" s="58" t="str">
        <f t="shared" si="192"/>
        <v/>
      </c>
      <c r="AK77" s="20"/>
      <c r="AL77" s="58" t="str">
        <f t="shared" si="193"/>
        <v/>
      </c>
      <c r="AM77" s="32"/>
      <c r="AN77" s="32"/>
      <c r="AO77" s="58" t="str">
        <f t="shared" si="194"/>
        <v/>
      </c>
      <c r="AP77" s="58" t="str">
        <f t="shared" si="195"/>
        <v/>
      </c>
      <c r="AQ77" s="58" t="str">
        <f t="shared" si="196"/>
        <v/>
      </c>
      <c r="AR77" s="59" t="str">
        <f t="shared" si="197"/>
        <v/>
      </c>
      <c r="AS77" s="20"/>
      <c r="AT77" s="47"/>
      <c r="AU77" s="47"/>
      <c r="AV77" s="61" t="str">
        <f>IF(_xlfn.XLOOKUP(AT77, AutoFill_classes!$A:$A, AutoFill_classes!$B:$B,"")=0,"",_xlfn.XLOOKUP(AT77, AutoFill_classes!$A:$A, AutoFill_classes!$B:$B,""))</f>
        <v/>
      </c>
      <c r="AW77" s="154"/>
      <c r="AX77" s="14"/>
      <c r="AY77" s="14"/>
      <c r="AZ77" s="14"/>
      <c r="BA77" s="16"/>
      <c r="BB77" s="16"/>
      <c r="BC77" s="144"/>
      <c r="BD77" s="29"/>
      <c r="BE77" s="60" t="str">
        <f t="shared" si="198"/>
        <v/>
      </c>
      <c r="BF77" s="32"/>
      <c r="BG77" s="32"/>
      <c r="BH77" s="32"/>
      <c r="BI77" s="32"/>
      <c r="BJ77" s="58" t="str">
        <f t="shared" si="199"/>
        <v/>
      </c>
      <c r="BK77" s="20"/>
      <c r="BL77" s="58" t="str">
        <f t="shared" si="200"/>
        <v/>
      </c>
      <c r="BM77" s="32"/>
      <c r="BN77" s="32"/>
      <c r="BO77" s="58" t="str">
        <f t="shared" si="201"/>
        <v/>
      </c>
      <c r="BP77" s="20"/>
      <c r="BQ77" s="58" t="str">
        <f t="shared" si="202"/>
        <v/>
      </c>
      <c r="BR77" s="32"/>
      <c r="BS77" s="32"/>
      <c r="BT77" s="58" t="str">
        <f t="shared" si="203"/>
        <v/>
      </c>
      <c r="BU77" s="58" t="str">
        <f t="shared" si="204"/>
        <v/>
      </c>
      <c r="BV77" s="58" t="str">
        <f t="shared" si="205"/>
        <v/>
      </c>
      <c r="BW77" s="59" t="str">
        <f t="shared" si="206"/>
        <v/>
      </c>
      <c r="BX77" s="14"/>
      <c r="BY77" s="21"/>
      <c r="BZ77" s="20"/>
      <c r="CA77" s="61" t="str">
        <f>IF(_xlfn.XLOOKUP(BY77, AutoFill_classes!$A:$A, AutoFill_classes!$B:$B,"")=0,"",_xlfn.XLOOKUP(BY77, AutoFill_classes!$A:$A, AutoFill_classes!$B:$B,""))</f>
        <v/>
      </c>
      <c r="CB77" s="154"/>
      <c r="CC77" s="20"/>
      <c r="CD77" s="20"/>
      <c r="CE77" s="20"/>
      <c r="CF77" s="33"/>
      <c r="CG77" s="34"/>
      <c r="CH77" s="144"/>
      <c r="CI77" s="35"/>
      <c r="CJ77" s="60" t="str">
        <f t="shared" si="207"/>
        <v/>
      </c>
      <c r="CK77" s="32"/>
      <c r="CL77" s="32"/>
      <c r="CM77" s="32"/>
      <c r="CN77" s="32"/>
      <c r="CO77" s="58" t="str">
        <f t="shared" si="208"/>
        <v/>
      </c>
      <c r="CP77" s="20"/>
      <c r="CQ77" s="58" t="str">
        <f t="shared" si="209"/>
        <v/>
      </c>
      <c r="CR77" s="32"/>
      <c r="CS77" s="32"/>
      <c r="CT77" s="58" t="str">
        <f t="shared" si="210"/>
        <v/>
      </c>
      <c r="CU77" s="20"/>
      <c r="CV77" s="58" t="str">
        <f t="shared" si="211"/>
        <v/>
      </c>
      <c r="CW77" s="32"/>
      <c r="CX77" s="32"/>
      <c r="CY77" s="58" t="str">
        <f t="shared" si="212"/>
        <v/>
      </c>
      <c r="CZ77" s="58" t="str">
        <f t="shared" si="213"/>
        <v/>
      </c>
      <c r="DA77" s="58" t="str">
        <f t="shared" si="214"/>
        <v/>
      </c>
      <c r="DB77" s="59" t="str">
        <f t="shared" si="215"/>
        <v/>
      </c>
      <c r="DC77" s="20"/>
      <c r="DD77" s="144"/>
      <c r="DE77" s="91">
        <v>76</v>
      </c>
      <c r="DF77" s="39"/>
      <c r="DG77" s="39"/>
      <c r="DH77" s="39"/>
      <c r="DI77" s="39"/>
      <c r="DJ77" s="39"/>
      <c r="DK77" s="39"/>
      <c r="DL77" s="39"/>
      <c r="DM77" s="39"/>
      <c r="DN77" s="39"/>
      <c r="DO77" s="39"/>
      <c r="DP77" s="39"/>
      <c r="DQ77" s="39"/>
      <c r="DR77" s="39"/>
      <c r="DS77" s="39"/>
      <c r="DT77" s="39"/>
      <c r="DU77" s="39"/>
      <c r="DV77" s="39"/>
      <c r="DW77" s="39"/>
      <c r="DX77" s="39"/>
      <c r="DY77" s="39"/>
      <c r="DZ77" s="39"/>
      <c r="EA77" s="39"/>
      <c r="EB77" s="39"/>
      <c r="EC77" s="39"/>
      <c r="ED77" s="39"/>
      <c r="EE77" s="39"/>
      <c r="EF77" s="39"/>
      <c r="EG77" s="39"/>
      <c r="EH77" s="39"/>
      <c r="EI77" s="39"/>
      <c r="EJ77" s="39"/>
      <c r="EK77" s="39"/>
      <c r="EL77" s="39"/>
      <c r="EM77" s="39"/>
      <c r="EN77" s="39"/>
      <c r="EO77" s="39"/>
      <c r="EP77" s="39"/>
      <c r="EQ77" s="39"/>
      <c r="ER77" s="39"/>
      <c r="ES77" s="39"/>
      <c r="ET77" s="39"/>
      <c r="EU77" s="39"/>
      <c r="EV77" s="39"/>
      <c r="EW77" s="39"/>
      <c r="EX77" s="39"/>
      <c r="EY77" s="39"/>
      <c r="EZ77" s="39"/>
      <c r="FA77" s="39"/>
      <c r="FB77" s="39"/>
      <c r="FC77" s="39"/>
      <c r="FD77" s="39"/>
      <c r="FE77" s="39"/>
      <c r="FF77" s="39"/>
      <c r="FG77" s="39"/>
      <c r="FH77" s="39"/>
      <c r="FI77" s="39"/>
      <c r="FJ77" s="39"/>
      <c r="FK77" s="39"/>
      <c r="FL77" s="39"/>
      <c r="FM77" s="39"/>
      <c r="FN77" s="39"/>
      <c r="FO77" s="39"/>
      <c r="FP77" s="39"/>
      <c r="FQ77" s="39"/>
      <c r="FR77" s="39"/>
      <c r="FS77" s="39"/>
      <c r="FT77" s="39"/>
    </row>
    <row r="78" spans="1:176" s="22" customFormat="1" ht="13">
      <c r="A78" s="7"/>
      <c r="B78" s="23" t="str">
        <f>IF(_xlfn.XLOOKUP(A78, AutoFill_names!B:B, AutoFill_names!C:C,"")=0,"",_xlfn.XLOOKUP(A78, AutoFill_names!B:B, AutoFill_names!C:C,""))</f>
        <v/>
      </c>
      <c r="C78" s="23" t="str">
        <f>IF(_xlfn.XLOOKUP(A78, AutoFill_names!B:B, AutoFill_names!D:D,"")=0,"",_xlfn.XLOOKUP(A78, AutoFill_names!B:B, AutoFill_names!D:D,""))</f>
        <v/>
      </c>
      <c r="D78" s="23" t="str">
        <f>IF(_xlfn.XLOOKUP(A78, AutoFill_names!B:B, AutoFill_names!E:E,"")=0,"",_xlfn.XLOOKUP(A78, AutoFill_names!B:B, AutoFill_names!E:E,""))</f>
        <v/>
      </c>
      <c r="E78" s="23" t="str">
        <f>IF(_xlfn.XLOOKUP(A78, AutoFill_names!B:B, AutoFill_names!F:F,"")=0,"",_xlfn.XLOOKUP(A78, AutoFill_names!B:B, AutoFill_names!F:F,""))</f>
        <v/>
      </c>
      <c r="F78" s="4"/>
      <c r="G78" s="4"/>
      <c r="H78" s="4"/>
      <c r="I78" s="4"/>
      <c r="J78" s="23" t="str">
        <f>IF(_xlfn.XLOOKUP(A78, AutoFill_names!B:B, AutoFill_names!K:K,"")=0,"",_xlfn.XLOOKUP(A78, AutoFill_names!B:B, AutoFill_names!K:K,""))</f>
        <v/>
      </c>
      <c r="K78" s="23" t="str">
        <f>IF(_xlfn.XLOOKUP(A78, AutoFill_names!B:B, AutoFill_names!L:L,"")=0,"",_xlfn.XLOOKUP(A78, AutoFill_names!B:B, AutoFill_names!L:L,""))</f>
        <v/>
      </c>
      <c r="L78" s="45"/>
      <c r="M78" s="45"/>
      <c r="N78" s="61" t="str">
        <f>IF(_xlfn.XLOOKUP(L78, AutoFill_classes!A:A, AutoFill_classes!B:B,"")=0,"",_xlfn.XLOOKUP(L78, AutoFill_classes!A:A, AutoFill_classes!B:B,""))</f>
        <v/>
      </c>
      <c r="O78" s="154"/>
      <c r="P78" s="9"/>
      <c r="Q78" s="9"/>
      <c r="R78" s="9"/>
      <c r="S78" s="5"/>
      <c r="T78" s="5"/>
      <c r="U78" s="5"/>
      <c r="V78" s="4"/>
      <c r="W78" s="4"/>
      <c r="X78" s="145"/>
      <c r="Y78" s="29"/>
      <c r="Z78" s="60" t="str">
        <f t="shared" si="189"/>
        <v/>
      </c>
      <c r="AA78" s="32"/>
      <c r="AB78" s="32"/>
      <c r="AC78" s="32"/>
      <c r="AD78" s="32"/>
      <c r="AE78" s="58" t="str">
        <f t="shared" si="190"/>
        <v/>
      </c>
      <c r="AF78" s="20"/>
      <c r="AG78" s="58" t="str">
        <f t="shared" si="191"/>
        <v/>
      </c>
      <c r="AH78" s="32"/>
      <c r="AI78" s="32"/>
      <c r="AJ78" s="58" t="str">
        <f t="shared" si="192"/>
        <v/>
      </c>
      <c r="AK78" s="20"/>
      <c r="AL78" s="58" t="str">
        <f t="shared" si="193"/>
        <v/>
      </c>
      <c r="AM78" s="32"/>
      <c r="AN78" s="32"/>
      <c r="AO78" s="58" t="str">
        <f t="shared" si="194"/>
        <v/>
      </c>
      <c r="AP78" s="58" t="str">
        <f t="shared" si="195"/>
        <v/>
      </c>
      <c r="AQ78" s="58" t="str">
        <f t="shared" si="196"/>
        <v/>
      </c>
      <c r="AR78" s="59" t="str">
        <f t="shared" si="197"/>
        <v/>
      </c>
      <c r="AS78" s="20"/>
      <c r="AT78" s="14"/>
      <c r="AU78" s="14"/>
      <c r="AV78" s="61" t="str">
        <f>IF(_xlfn.XLOOKUP(AT78, AutoFill_classes!$A:$A, AutoFill_classes!$B:$B,"")=0,"",_xlfn.XLOOKUP(AT78, AutoFill_classes!$A:$A, AutoFill_classes!$B:$B,""))</f>
        <v/>
      </c>
      <c r="AW78" s="154"/>
      <c r="AX78" s="14"/>
      <c r="AY78" s="15"/>
      <c r="AZ78" s="14"/>
      <c r="BA78" s="16"/>
      <c r="BB78" s="16"/>
      <c r="BC78" s="145"/>
      <c r="BD78" s="29"/>
      <c r="BE78" s="60" t="str">
        <f t="shared" si="198"/>
        <v/>
      </c>
      <c r="BF78" s="32"/>
      <c r="BG78" s="32"/>
      <c r="BH78" s="32"/>
      <c r="BI78" s="32"/>
      <c r="BJ78" s="58" t="str">
        <f t="shared" si="199"/>
        <v/>
      </c>
      <c r="BK78" s="20"/>
      <c r="BL78" s="58" t="str">
        <f t="shared" si="200"/>
        <v/>
      </c>
      <c r="BM78" s="32"/>
      <c r="BN78" s="32"/>
      <c r="BO78" s="58" t="str">
        <f t="shared" si="201"/>
        <v/>
      </c>
      <c r="BP78" s="20"/>
      <c r="BQ78" s="58" t="str">
        <f t="shared" si="202"/>
        <v/>
      </c>
      <c r="BR78" s="32"/>
      <c r="BS78" s="32"/>
      <c r="BT78" s="58" t="str">
        <f t="shared" si="203"/>
        <v/>
      </c>
      <c r="BU78" s="58" t="str">
        <f t="shared" si="204"/>
        <v/>
      </c>
      <c r="BV78" s="58" t="str">
        <f t="shared" si="205"/>
        <v/>
      </c>
      <c r="BW78" s="59" t="str">
        <f t="shared" si="206"/>
        <v/>
      </c>
      <c r="BX78" s="14"/>
      <c r="BY78" s="21"/>
      <c r="BZ78" s="20"/>
      <c r="CA78" s="61" t="str">
        <f>IF(_xlfn.XLOOKUP(BY78, AutoFill_classes!$A:$A, AutoFill_classes!$B:$B,"")=0,"",_xlfn.XLOOKUP(BY78, AutoFill_classes!$A:$A, AutoFill_classes!$B:$B,""))</f>
        <v/>
      </c>
      <c r="CB78" s="154"/>
      <c r="CC78" s="20"/>
      <c r="CD78" s="20"/>
      <c r="CE78" s="20"/>
      <c r="CF78" s="33"/>
      <c r="CG78" s="34"/>
      <c r="CH78" s="145"/>
      <c r="CI78" s="35"/>
      <c r="CJ78" s="60" t="str">
        <f t="shared" si="207"/>
        <v/>
      </c>
      <c r="CK78" s="32"/>
      <c r="CL78" s="32"/>
      <c r="CM78" s="32"/>
      <c r="CN78" s="32"/>
      <c r="CO78" s="58" t="str">
        <f t="shared" si="208"/>
        <v/>
      </c>
      <c r="CP78" s="20"/>
      <c r="CQ78" s="58" t="str">
        <f t="shared" si="209"/>
        <v/>
      </c>
      <c r="CR78" s="32"/>
      <c r="CS78" s="32"/>
      <c r="CT78" s="58" t="str">
        <f t="shared" si="210"/>
        <v/>
      </c>
      <c r="CU78" s="20"/>
      <c r="CV78" s="58" t="str">
        <f t="shared" si="211"/>
        <v/>
      </c>
      <c r="CW78" s="32"/>
      <c r="CX78" s="32"/>
      <c r="CY78" s="58" t="str">
        <f t="shared" si="212"/>
        <v/>
      </c>
      <c r="CZ78" s="58" t="str">
        <f t="shared" si="213"/>
        <v/>
      </c>
      <c r="DA78" s="58" t="str">
        <f t="shared" si="214"/>
        <v/>
      </c>
      <c r="DB78" s="59" t="str">
        <f t="shared" si="215"/>
        <v/>
      </c>
      <c r="DC78" s="20"/>
      <c r="DD78" s="144"/>
      <c r="DE78" s="91">
        <v>77</v>
      </c>
      <c r="DF78" s="39"/>
      <c r="DG78" s="39"/>
      <c r="DH78" s="39"/>
      <c r="DI78" s="39"/>
      <c r="DJ78" s="39"/>
      <c r="DK78" s="39"/>
      <c r="DL78" s="39"/>
      <c r="DM78" s="39"/>
      <c r="DN78" s="39"/>
      <c r="DO78" s="39"/>
      <c r="DP78" s="39"/>
      <c r="DQ78" s="39"/>
      <c r="DR78" s="39"/>
      <c r="DS78" s="39"/>
      <c r="DT78" s="39"/>
      <c r="DU78" s="39"/>
      <c r="DV78" s="39"/>
      <c r="DW78" s="39"/>
      <c r="DX78" s="39"/>
      <c r="DY78" s="39"/>
      <c r="DZ78" s="39"/>
      <c r="EA78" s="39"/>
      <c r="EB78" s="39"/>
      <c r="EC78" s="39"/>
      <c r="ED78" s="39"/>
      <c r="EE78" s="39"/>
      <c r="EF78" s="39"/>
      <c r="EG78" s="39"/>
      <c r="EH78" s="39"/>
      <c r="EI78" s="39"/>
      <c r="EJ78" s="39"/>
      <c r="EK78" s="39"/>
      <c r="EL78" s="39"/>
      <c r="EM78" s="39"/>
      <c r="EN78" s="39"/>
      <c r="EO78" s="39"/>
      <c r="EP78" s="39"/>
      <c r="EQ78" s="39"/>
      <c r="ER78" s="39"/>
      <c r="ES78" s="39"/>
      <c r="ET78" s="39"/>
      <c r="EU78" s="39"/>
      <c r="EV78" s="39"/>
      <c r="EW78" s="39"/>
      <c r="EX78" s="39"/>
      <c r="EY78" s="39"/>
      <c r="EZ78" s="39"/>
      <c r="FA78" s="39"/>
      <c r="FB78" s="39"/>
      <c r="FC78" s="39"/>
      <c r="FD78" s="39"/>
      <c r="FE78" s="39"/>
      <c r="FF78" s="39"/>
      <c r="FG78" s="39"/>
      <c r="FH78" s="39"/>
      <c r="FI78" s="39"/>
      <c r="FJ78" s="39"/>
      <c r="FK78" s="39"/>
      <c r="FL78" s="39"/>
      <c r="FM78" s="39"/>
      <c r="FN78" s="39"/>
      <c r="FO78" s="39"/>
      <c r="FP78" s="39"/>
      <c r="FQ78" s="39"/>
      <c r="FR78" s="39"/>
      <c r="FS78" s="39"/>
      <c r="FT78" s="39"/>
    </row>
    <row r="79" spans="1:176" s="22" customFormat="1" ht="13">
      <c r="A79" s="7"/>
      <c r="B79" s="23" t="str">
        <f>IF(_xlfn.XLOOKUP(A79, AutoFill_names!B:B, AutoFill_names!C:C,"")=0,"",_xlfn.XLOOKUP(A79, AutoFill_names!B:B, AutoFill_names!C:C,""))</f>
        <v/>
      </c>
      <c r="C79" s="23" t="str">
        <f>IF(_xlfn.XLOOKUP(A79, AutoFill_names!B:B, AutoFill_names!D:D,"")=0,"",_xlfn.XLOOKUP(A79, AutoFill_names!B:B, AutoFill_names!D:D,""))</f>
        <v/>
      </c>
      <c r="D79" s="23" t="str">
        <f>IF(_xlfn.XLOOKUP(A79, AutoFill_names!B:B, AutoFill_names!E:E,"")=0,"",_xlfn.XLOOKUP(A79, AutoFill_names!B:B, AutoFill_names!E:E,""))</f>
        <v/>
      </c>
      <c r="E79" s="23" t="str">
        <f>IF(_xlfn.XLOOKUP(A79, AutoFill_names!B:B, AutoFill_names!F:F,"")=0,"",_xlfn.XLOOKUP(A79, AutoFill_names!B:B, AutoFill_names!F:F,""))</f>
        <v/>
      </c>
      <c r="F79" s="4"/>
      <c r="G79" s="4"/>
      <c r="H79" s="4"/>
      <c r="I79" s="4"/>
      <c r="J79" s="23" t="str">
        <f>IF(_xlfn.XLOOKUP(A79, AutoFill_names!B:B, AutoFill_names!K:K,"")=0,"",_xlfn.XLOOKUP(A79, AutoFill_names!B:B, AutoFill_names!K:K,""))</f>
        <v/>
      </c>
      <c r="K79" s="23" t="str">
        <f>IF(_xlfn.XLOOKUP(A79, AutoFill_names!B:B, AutoFill_names!L:L,"")=0,"",_xlfn.XLOOKUP(A79, AutoFill_names!B:B, AutoFill_names!L:L,""))</f>
        <v/>
      </c>
      <c r="L79" s="45"/>
      <c r="M79" s="45"/>
      <c r="N79" s="61" t="str">
        <f>IF(_xlfn.XLOOKUP(L79, AutoFill_classes!A:A, AutoFill_classes!B:B,"")=0,"",_xlfn.XLOOKUP(L79, AutoFill_classes!A:A, AutoFill_classes!B:B,""))</f>
        <v/>
      </c>
      <c r="O79" s="154"/>
      <c r="P79" s="9"/>
      <c r="Q79" s="9"/>
      <c r="R79" s="9"/>
      <c r="S79" s="4"/>
      <c r="T79" s="4"/>
      <c r="U79" s="4"/>
      <c r="V79" s="4"/>
      <c r="W79" s="4"/>
      <c r="X79" s="145"/>
      <c r="Y79" s="29"/>
      <c r="Z79" s="60" t="str">
        <f t="shared" si="189"/>
        <v/>
      </c>
      <c r="AA79" s="32"/>
      <c r="AB79" s="32"/>
      <c r="AC79" s="32"/>
      <c r="AD79" s="32"/>
      <c r="AE79" s="58" t="str">
        <f t="shared" si="190"/>
        <v/>
      </c>
      <c r="AF79" s="20"/>
      <c r="AG79" s="58" t="str">
        <f t="shared" si="191"/>
        <v/>
      </c>
      <c r="AH79" s="32"/>
      <c r="AI79" s="32"/>
      <c r="AJ79" s="58" t="str">
        <f t="shared" si="192"/>
        <v/>
      </c>
      <c r="AK79" s="20"/>
      <c r="AL79" s="58" t="str">
        <f t="shared" si="193"/>
        <v/>
      </c>
      <c r="AM79" s="32"/>
      <c r="AN79" s="32"/>
      <c r="AO79" s="58" t="str">
        <f t="shared" si="194"/>
        <v/>
      </c>
      <c r="AP79" s="58" t="str">
        <f t="shared" si="195"/>
        <v/>
      </c>
      <c r="AQ79" s="58" t="str">
        <f t="shared" si="196"/>
        <v/>
      </c>
      <c r="AR79" s="59" t="str">
        <f t="shared" si="197"/>
        <v/>
      </c>
      <c r="AS79" s="20"/>
      <c r="AT79" s="48"/>
      <c r="AU79" s="48"/>
      <c r="AV79" s="61" t="str">
        <f>IF(_xlfn.XLOOKUP(AT79, AutoFill_classes!$A:$A, AutoFill_classes!$B:$B,"")=0,"",_xlfn.XLOOKUP(AT79, AutoFill_classes!$A:$A, AutoFill_classes!$B:$B,""))</f>
        <v/>
      </c>
      <c r="AW79" s="154"/>
      <c r="AX79" s="14"/>
      <c r="AY79" s="15"/>
      <c r="AZ79" s="14"/>
      <c r="BA79" s="16"/>
      <c r="BB79" s="16"/>
      <c r="BC79" s="145"/>
      <c r="BD79" s="29"/>
      <c r="BE79" s="60" t="str">
        <f t="shared" si="198"/>
        <v/>
      </c>
      <c r="BF79" s="32"/>
      <c r="BG79" s="32"/>
      <c r="BH79" s="32"/>
      <c r="BI79" s="32"/>
      <c r="BJ79" s="58" t="str">
        <f t="shared" si="199"/>
        <v/>
      </c>
      <c r="BK79" s="20"/>
      <c r="BL79" s="58" t="str">
        <f t="shared" si="200"/>
        <v/>
      </c>
      <c r="BM79" s="32"/>
      <c r="BN79" s="32"/>
      <c r="BO79" s="58" t="str">
        <f t="shared" si="201"/>
        <v/>
      </c>
      <c r="BP79" s="20"/>
      <c r="BQ79" s="58" t="str">
        <f t="shared" si="202"/>
        <v/>
      </c>
      <c r="BR79" s="32"/>
      <c r="BS79" s="32"/>
      <c r="BT79" s="58" t="str">
        <f t="shared" si="203"/>
        <v/>
      </c>
      <c r="BU79" s="58" t="str">
        <f t="shared" si="204"/>
        <v/>
      </c>
      <c r="BV79" s="58" t="str">
        <f t="shared" si="205"/>
        <v/>
      </c>
      <c r="BW79" s="59" t="str">
        <f t="shared" si="206"/>
        <v/>
      </c>
      <c r="BX79" s="14"/>
      <c r="BY79" s="21"/>
      <c r="BZ79" s="20"/>
      <c r="CA79" s="61" t="str">
        <f>IF(_xlfn.XLOOKUP(BY79, AutoFill_classes!$A:$A, AutoFill_classes!$B:$B,"")=0,"",_xlfn.XLOOKUP(BY79, AutoFill_classes!$A:$A, AutoFill_classes!$B:$B,""))</f>
        <v/>
      </c>
      <c r="CB79" s="154"/>
      <c r="CC79" s="20"/>
      <c r="CD79" s="20"/>
      <c r="CE79" s="20"/>
      <c r="CF79" s="33"/>
      <c r="CG79" s="34"/>
      <c r="CH79" s="145"/>
      <c r="CI79" s="35"/>
      <c r="CJ79" s="60" t="str">
        <f t="shared" si="207"/>
        <v/>
      </c>
      <c r="CK79" s="32"/>
      <c r="CL79" s="32"/>
      <c r="CM79" s="32"/>
      <c r="CN79" s="32"/>
      <c r="CO79" s="58" t="str">
        <f t="shared" si="208"/>
        <v/>
      </c>
      <c r="CP79" s="20"/>
      <c r="CQ79" s="58" t="str">
        <f t="shared" si="209"/>
        <v/>
      </c>
      <c r="CR79" s="32"/>
      <c r="CS79" s="32"/>
      <c r="CT79" s="58" t="str">
        <f t="shared" si="210"/>
        <v/>
      </c>
      <c r="CU79" s="20"/>
      <c r="CV79" s="58" t="str">
        <f t="shared" si="211"/>
        <v/>
      </c>
      <c r="CW79" s="32"/>
      <c r="CX79" s="32"/>
      <c r="CY79" s="58" t="str">
        <f t="shared" si="212"/>
        <v/>
      </c>
      <c r="CZ79" s="58" t="str">
        <f t="shared" si="213"/>
        <v/>
      </c>
      <c r="DA79" s="58" t="str">
        <f t="shared" si="214"/>
        <v/>
      </c>
      <c r="DB79" s="59" t="str">
        <f t="shared" si="215"/>
        <v/>
      </c>
      <c r="DC79" s="20"/>
      <c r="DD79" s="144"/>
      <c r="DE79" s="91">
        <v>78</v>
      </c>
      <c r="DF79" s="39"/>
      <c r="DG79" s="39"/>
      <c r="DH79" s="39"/>
      <c r="DI79" s="39"/>
      <c r="DJ79" s="39"/>
      <c r="DK79" s="39"/>
      <c r="DL79" s="39"/>
      <c r="DM79" s="39"/>
      <c r="DN79" s="39"/>
      <c r="DO79" s="39"/>
      <c r="DP79" s="39"/>
      <c r="DQ79" s="39"/>
      <c r="DR79" s="39"/>
      <c r="DS79" s="39"/>
      <c r="DT79" s="39"/>
      <c r="DU79" s="39"/>
      <c r="DV79" s="39"/>
      <c r="DW79" s="39"/>
      <c r="DX79" s="39"/>
      <c r="DY79" s="39"/>
      <c r="DZ79" s="39"/>
      <c r="EA79" s="39"/>
      <c r="EB79" s="39"/>
      <c r="EC79" s="39"/>
      <c r="ED79" s="39"/>
      <c r="EE79" s="39"/>
      <c r="EF79" s="39"/>
      <c r="EG79" s="39"/>
      <c r="EH79" s="39"/>
      <c r="EI79" s="39"/>
      <c r="EJ79" s="39"/>
      <c r="EK79" s="39"/>
      <c r="EL79" s="39"/>
      <c r="EM79" s="39"/>
      <c r="EN79" s="39"/>
      <c r="EO79" s="39"/>
      <c r="EP79" s="39"/>
      <c r="EQ79" s="39"/>
      <c r="ER79" s="39"/>
      <c r="ES79" s="39"/>
      <c r="ET79" s="39"/>
      <c r="EU79" s="39"/>
      <c r="EV79" s="39"/>
      <c r="EW79" s="39"/>
      <c r="EX79" s="39"/>
      <c r="EY79" s="39"/>
      <c r="EZ79" s="39"/>
      <c r="FA79" s="39"/>
      <c r="FB79" s="39"/>
      <c r="FC79" s="39"/>
      <c r="FD79" s="39"/>
      <c r="FE79" s="39"/>
      <c r="FF79" s="39"/>
      <c r="FG79" s="39"/>
      <c r="FH79" s="39"/>
      <c r="FI79" s="39"/>
      <c r="FJ79" s="39"/>
      <c r="FK79" s="39"/>
      <c r="FL79" s="39"/>
      <c r="FM79" s="39"/>
      <c r="FN79" s="39"/>
      <c r="FO79" s="39"/>
      <c r="FP79" s="39"/>
      <c r="FQ79" s="39"/>
      <c r="FR79" s="39"/>
      <c r="FS79" s="39"/>
      <c r="FT79" s="39"/>
    </row>
    <row r="80" spans="1:176" s="22" customFormat="1" ht="13">
      <c r="A80" s="7"/>
      <c r="B80" s="23" t="str">
        <f>IF(_xlfn.XLOOKUP(A80, AutoFill_names!B:B, AutoFill_names!C:C,"")=0,"",_xlfn.XLOOKUP(A80, AutoFill_names!B:B, AutoFill_names!C:C,""))</f>
        <v/>
      </c>
      <c r="C80" s="23" t="str">
        <f>IF(_xlfn.XLOOKUP(A80, AutoFill_names!B:B, AutoFill_names!D:D,"")=0,"",_xlfn.XLOOKUP(A80, AutoFill_names!B:B, AutoFill_names!D:D,""))</f>
        <v/>
      </c>
      <c r="D80" s="23" t="str">
        <f>IF(_xlfn.XLOOKUP(A80, AutoFill_names!B:B, AutoFill_names!E:E,"")=0,"",_xlfn.XLOOKUP(A80, AutoFill_names!B:B, AutoFill_names!E:E,""))</f>
        <v/>
      </c>
      <c r="E80" s="23" t="str">
        <f>IF(_xlfn.XLOOKUP(A80, AutoFill_names!B:B, AutoFill_names!F:F,"")=0,"",_xlfn.XLOOKUP(A80, AutoFill_names!B:B, AutoFill_names!F:F,""))</f>
        <v/>
      </c>
      <c r="F80" s="4"/>
      <c r="G80" s="4"/>
      <c r="H80" s="4"/>
      <c r="I80" s="4"/>
      <c r="J80" s="23" t="str">
        <f>IF(_xlfn.XLOOKUP(A80, AutoFill_names!B:B, AutoFill_names!K:K,"")=0,"",_xlfn.XLOOKUP(A80, AutoFill_names!B:B, AutoFill_names!K:K,""))</f>
        <v/>
      </c>
      <c r="K80" s="23" t="str">
        <f>IF(_xlfn.XLOOKUP(A80, AutoFill_names!B:B, AutoFill_names!L:L,"")=0,"",_xlfn.XLOOKUP(A80, AutoFill_names!B:B, AutoFill_names!L:L,""))</f>
        <v/>
      </c>
      <c r="L80" s="45"/>
      <c r="M80" s="45"/>
      <c r="N80" s="61" t="str">
        <f>IF(_xlfn.XLOOKUP(L80, AutoFill_classes!A:A, AutoFill_classes!B:B,"")=0,"",_xlfn.XLOOKUP(L80, AutoFill_classes!A:A, AutoFill_classes!B:B,""))</f>
        <v/>
      </c>
      <c r="O80" s="154"/>
      <c r="P80" s="9"/>
      <c r="Q80" s="9"/>
      <c r="R80" s="9"/>
      <c r="S80" s="4"/>
      <c r="T80" s="4"/>
      <c r="U80" s="4"/>
      <c r="V80" s="4"/>
      <c r="W80" s="4"/>
      <c r="X80" s="145"/>
      <c r="Y80" s="29"/>
      <c r="Z80" s="60" t="str">
        <f t="shared" si="189"/>
        <v/>
      </c>
      <c r="AA80" s="32"/>
      <c r="AB80" s="32"/>
      <c r="AC80" s="32"/>
      <c r="AD80" s="32"/>
      <c r="AE80" s="58" t="str">
        <f t="shared" si="190"/>
        <v/>
      </c>
      <c r="AF80" s="20"/>
      <c r="AG80" s="58" t="str">
        <f t="shared" si="191"/>
        <v/>
      </c>
      <c r="AH80" s="32"/>
      <c r="AI80" s="32"/>
      <c r="AJ80" s="58" t="str">
        <f t="shared" si="192"/>
        <v/>
      </c>
      <c r="AK80" s="20"/>
      <c r="AL80" s="58" t="str">
        <f t="shared" si="193"/>
        <v/>
      </c>
      <c r="AM80" s="32"/>
      <c r="AN80" s="32"/>
      <c r="AO80" s="58" t="str">
        <f t="shared" si="194"/>
        <v/>
      </c>
      <c r="AP80" s="58" t="str">
        <f t="shared" si="195"/>
        <v/>
      </c>
      <c r="AQ80" s="58" t="str">
        <f t="shared" si="196"/>
        <v/>
      </c>
      <c r="AR80" s="59" t="str">
        <f t="shared" si="197"/>
        <v/>
      </c>
      <c r="AS80" s="20"/>
      <c r="AT80" s="48"/>
      <c r="AU80" s="48"/>
      <c r="AV80" s="61" t="str">
        <f>IF(_xlfn.XLOOKUP(AT80, AutoFill_classes!$A:$A, AutoFill_classes!$B:$B,"")=0,"",_xlfn.XLOOKUP(AT80, AutoFill_classes!$A:$A, AutoFill_classes!$B:$B,""))</f>
        <v/>
      </c>
      <c r="AW80" s="154"/>
      <c r="AX80" s="14"/>
      <c r="AY80" s="15"/>
      <c r="AZ80" s="14"/>
      <c r="BA80" s="16"/>
      <c r="BB80" s="16"/>
      <c r="BC80" s="145"/>
      <c r="BD80" s="29"/>
      <c r="BE80" s="60" t="str">
        <f t="shared" si="198"/>
        <v/>
      </c>
      <c r="BF80" s="32"/>
      <c r="BG80" s="32"/>
      <c r="BH80" s="32"/>
      <c r="BI80" s="32"/>
      <c r="BJ80" s="58" t="str">
        <f t="shared" si="199"/>
        <v/>
      </c>
      <c r="BK80" s="20"/>
      <c r="BL80" s="58" t="str">
        <f t="shared" si="200"/>
        <v/>
      </c>
      <c r="BM80" s="32"/>
      <c r="BN80" s="32"/>
      <c r="BO80" s="58" t="str">
        <f t="shared" si="201"/>
        <v/>
      </c>
      <c r="BP80" s="20"/>
      <c r="BQ80" s="58" t="str">
        <f t="shared" si="202"/>
        <v/>
      </c>
      <c r="BR80" s="32"/>
      <c r="BS80" s="32"/>
      <c r="BT80" s="58" t="str">
        <f t="shared" si="203"/>
        <v/>
      </c>
      <c r="BU80" s="58" t="str">
        <f t="shared" si="204"/>
        <v/>
      </c>
      <c r="BV80" s="58" t="str">
        <f t="shared" si="205"/>
        <v/>
      </c>
      <c r="BW80" s="59" t="str">
        <f t="shared" si="206"/>
        <v/>
      </c>
      <c r="BX80" s="14"/>
      <c r="BY80" s="21"/>
      <c r="BZ80" s="20"/>
      <c r="CA80" s="61" t="str">
        <f>IF(_xlfn.XLOOKUP(BY80, AutoFill_classes!$A:$A, AutoFill_classes!$B:$B,"")=0,"",_xlfn.XLOOKUP(BY80, AutoFill_classes!$A:$A, AutoFill_classes!$B:$B,""))</f>
        <v/>
      </c>
      <c r="CB80" s="154"/>
      <c r="CC80" s="20"/>
      <c r="CD80" s="20"/>
      <c r="CE80" s="20"/>
      <c r="CF80" s="33"/>
      <c r="CG80" s="34"/>
      <c r="CH80" s="145"/>
      <c r="CI80" s="35"/>
      <c r="CJ80" s="60" t="str">
        <f t="shared" si="207"/>
        <v/>
      </c>
      <c r="CK80" s="32"/>
      <c r="CL80" s="32"/>
      <c r="CM80" s="32"/>
      <c r="CN80" s="32"/>
      <c r="CO80" s="58" t="str">
        <f t="shared" si="208"/>
        <v/>
      </c>
      <c r="CP80" s="20"/>
      <c r="CQ80" s="58" t="str">
        <f t="shared" si="209"/>
        <v/>
      </c>
      <c r="CR80" s="32"/>
      <c r="CS80" s="32"/>
      <c r="CT80" s="58" t="str">
        <f t="shared" si="210"/>
        <v/>
      </c>
      <c r="CU80" s="20"/>
      <c r="CV80" s="58" t="str">
        <f t="shared" si="211"/>
        <v/>
      </c>
      <c r="CW80" s="32"/>
      <c r="CX80" s="32"/>
      <c r="CY80" s="58" t="str">
        <f t="shared" si="212"/>
        <v/>
      </c>
      <c r="CZ80" s="58" t="str">
        <f t="shared" si="213"/>
        <v/>
      </c>
      <c r="DA80" s="58" t="str">
        <f t="shared" si="214"/>
        <v/>
      </c>
      <c r="DB80" s="59" t="str">
        <f t="shared" si="215"/>
        <v/>
      </c>
      <c r="DC80" s="20"/>
      <c r="DD80" s="144"/>
      <c r="DE80" s="91">
        <v>79</v>
      </c>
      <c r="DF80" s="39"/>
      <c r="DG80" s="39"/>
      <c r="DH80" s="39"/>
      <c r="DI80" s="39"/>
      <c r="DJ80" s="39"/>
      <c r="DK80" s="39"/>
      <c r="DL80" s="39"/>
      <c r="DM80" s="39"/>
      <c r="DN80" s="39"/>
      <c r="DO80" s="39"/>
      <c r="DP80" s="39"/>
      <c r="DQ80" s="39"/>
      <c r="DR80" s="39"/>
      <c r="DS80" s="39"/>
      <c r="DT80" s="39"/>
      <c r="DU80" s="39"/>
      <c r="DV80" s="39"/>
      <c r="DW80" s="39"/>
      <c r="DX80" s="39"/>
      <c r="DY80" s="39"/>
      <c r="DZ80" s="39"/>
      <c r="EA80" s="39"/>
      <c r="EB80" s="39"/>
      <c r="EC80" s="39"/>
      <c r="ED80" s="39"/>
      <c r="EE80" s="39"/>
      <c r="EF80" s="39"/>
      <c r="EG80" s="39"/>
      <c r="EH80" s="39"/>
      <c r="EI80" s="39"/>
      <c r="EJ80" s="39"/>
      <c r="EK80" s="39"/>
      <c r="EL80" s="39"/>
      <c r="EM80" s="39"/>
      <c r="EN80" s="39"/>
      <c r="EO80" s="39"/>
      <c r="EP80" s="39"/>
      <c r="EQ80" s="39"/>
      <c r="ER80" s="39"/>
      <c r="ES80" s="39"/>
      <c r="ET80" s="39"/>
      <c r="EU80" s="39"/>
      <c r="EV80" s="39"/>
      <c r="EW80" s="39"/>
      <c r="EX80" s="39"/>
      <c r="EY80" s="39"/>
      <c r="EZ80" s="39"/>
      <c r="FA80" s="39"/>
      <c r="FB80" s="39"/>
      <c r="FC80" s="39"/>
      <c r="FD80" s="39"/>
      <c r="FE80" s="39"/>
      <c r="FF80" s="39"/>
      <c r="FG80" s="39"/>
      <c r="FH80" s="39"/>
      <c r="FI80" s="39"/>
      <c r="FJ80" s="39"/>
      <c r="FK80" s="39"/>
      <c r="FL80" s="39"/>
      <c r="FM80" s="39"/>
      <c r="FN80" s="39"/>
      <c r="FO80" s="39"/>
      <c r="FP80" s="39"/>
      <c r="FQ80" s="39"/>
      <c r="FR80" s="39"/>
      <c r="FS80" s="39"/>
      <c r="FT80" s="39"/>
    </row>
    <row r="81" spans="1:176" s="113" customFormat="1" ht="34">
      <c r="A81" s="153" t="s">
        <v>1293</v>
      </c>
      <c r="B81" s="93" t="str">
        <f>"Total Credits: " &amp; IFERROR(IF(DD81=0,"",DD81),"")</f>
        <v>Total Credits: 13</v>
      </c>
      <c r="C81" s="114"/>
      <c r="D81" s="114"/>
      <c r="E81" s="114"/>
      <c r="F81" s="114"/>
      <c r="G81" s="114"/>
      <c r="H81" s="114"/>
      <c r="I81" s="114"/>
      <c r="J81" s="114"/>
      <c r="K81" s="114"/>
      <c r="L81" s="115"/>
      <c r="M81" s="115"/>
      <c r="N81" s="116"/>
      <c r="O81" s="116"/>
      <c r="P81" s="96"/>
      <c r="Q81" s="96"/>
      <c r="R81" s="96"/>
      <c r="S81" s="115"/>
      <c r="T81" s="115"/>
      <c r="U81" s="115"/>
      <c r="V81" s="97"/>
      <c r="W81" s="97"/>
      <c r="X81" s="143">
        <f>IF(SUM(X82:X90)=0, "", SUM(X82:X90))</f>
        <v>2</v>
      </c>
      <c r="Y81" s="117"/>
      <c r="Z81" s="118"/>
      <c r="AA81" s="100"/>
      <c r="AB81" s="100"/>
      <c r="AC81" s="100"/>
      <c r="AD81" s="100"/>
      <c r="AE81" s="101"/>
      <c r="AF81" s="102"/>
      <c r="AG81" s="101"/>
      <c r="AH81" s="100"/>
      <c r="AI81" s="100"/>
      <c r="AJ81" s="101"/>
      <c r="AK81" s="102"/>
      <c r="AL81" s="101"/>
      <c r="AM81" s="100"/>
      <c r="AN81" s="100"/>
      <c r="AO81" s="103"/>
      <c r="AP81" s="103"/>
      <c r="AQ81" s="103"/>
      <c r="AR81" s="103"/>
      <c r="AS81" s="104"/>
      <c r="AT81" s="119"/>
      <c r="AU81" s="119"/>
      <c r="AV81" s="120"/>
      <c r="AW81" s="116"/>
      <c r="AX81" s="119"/>
      <c r="AY81" s="119"/>
      <c r="AZ81" s="119"/>
      <c r="BA81" s="112"/>
      <c r="BB81" s="112"/>
      <c r="BC81" s="143">
        <f>IF(SUM(BC82:BC90)=0, "", SUM(BC82:BC90))</f>
        <v>5</v>
      </c>
      <c r="BD81" s="121"/>
      <c r="BE81" s="122"/>
      <c r="BF81" s="123"/>
      <c r="BG81" s="123"/>
      <c r="BH81" s="123"/>
      <c r="BI81" s="123"/>
      <c r="BJ81" s="124"/>
      <c r="BK81" s="125"/>
      <c r="BL81" s="124"/>
      <c r="BM81" s="123"/>
      <c r="BN81" s="123"/>
      <c r="BO81" s="124"/>
      <c r="BP81" s="125"/>
      <c r="BQ81" s="124"/>
      <c r="BR81" s="123"/>
      <c r="BS81" s="123"/>
      <c r="BT81" s="124"/>
      <c r="BU81" s="124"/>
      <c r="BV81" s="124"/>
      <c r="BW81" s="103"/>
      <c r="BX81" s="125"/>
      <c r="BY81" s="119"/>
      <c r="BZ81" s="119"/>
      <c r="CA81" s="120"/>
      <c r="CB81" s="116"/>
      <c r="CC81" s="119"/>
      <c r="CD81" s="119"/>
      <c r="CE81" s="119"/>
      <c r="CF81" s="97"/>
      <c r="CG81" s="98"/>
      <c r="CH81" s="143">
        <f>IF(SUM(CH82:CH90)=0, "", SUM(CH82:CH90))</f>
        <v>6</v>
      </c>
      <c r="CI81" s="121"/>
      <c r="CJ81" s="122"/>
      <c r="CK81" s="123"/>
      <c r="CL81" s="123"/>
      <c r="CM81" s="123"/>
      <c r="CN81" s="123"/>
      <c r="CP81" s="125"/>
      <c r="CR81" s="123"/>
      <c r="CS81" s="123"/>
      <c r="CU81" s="125"/>
      <c r="CW81" s="123"/>
      <c r="CX81" s="123"/>
      <c r="DB81" s="103"/>
      <c r="DC81" s="125"/>
      <c r="DD81" s="143">
        <f>IF(SUM(L81:DC81)=0, "", SUM(L81:DC81))</f>
        <v>13</v>
      </c>
      <c r="DE81" s="91">
        <v>80</v>
      </c>
      <c r="DF81" s="26"/>
      <c r="DG81" s="26"/>
      <c r="DH81" s="26"/>
      <c r="DI81" s="26"/>
      <c r="DJ81" s="26"/>
      <c r="DK81" s="26"/>
      <c r="DL81" s="26"/>
      <c r="DM81" s="26"/>
      <c r="DN81" s="26"/>
      <c r="DO81" s="26"/>
      <c r="DP81" s="26"/>
      <c r="DQ81" s="26"/>
      <c r="DR81" s="26"/>
      <c r="DS81" s="26"/>
      <c r="DT81" s="26"/>
      <c r="DU81" s="26"/>
      <c r="DV81" s="26"/>
      <c r="DW81" s="26"/>
      <c r="DX81" s="26"/>
      <c r="DY81" s="26"/>
      <c r="DZ81" s="26"/>
      <c r="EA81" s="26"/>
      <c r="EB81" s="26"/>
      <c r="EC81" s="26"/>
      <c r="ED81" s="26"/>
      <c r="EE81" s="26"/>
      <c r="EF81" s="26"/>
      <c r="EG81" s="26"/>
      <c r="EH81" s="26"/>
      <c r="EI81" s="26"/>
      <c r="EJ81" s="26"/>
      <c r="EK81" s="26"/>
      <c r="EL81" s="26"/>
      <c r="EM81" s="26"/>
      <c r="EN81" s="26"/>
      <c r="EO81" s="26"/>
      <c r="EP81" s="26"/>
      <c r="EQ81" s="26"/>
      <c r="ER81" s="26"/>
      <c r="ES81" s="26"/>
      <c r="ET81" s="26"/>
      <c r="EU81" s="26"/>
      <c r="EV81" s="26"/>
      <c r="EW81" s="26"/>
      <c r="EX81" s="26"/>
      <c r="EY81" s="26"/>
      <c r="EZ81" s="26"/>
      <c r="FA81" s="26"/>
      <c r="FB81" s="26"/>
      <c r="FC81" s="26"/>
      <c r="FD81" s="26"/>
      <c r="FE81" s="26"/>
      <c r="FF81" s="26"/>
      <c r="FG81" s="26"/>
      <c r="FH81" s="26"/>
      <c r="FI81" s="26"/>
      <c r="FJ81" s="26"/>
      <c r="FK81" s="26"/>
      <c r="FL81" s="26"/>
      <c r="FM81" s="26"/>
      <c r="FN81" s="26"/>
      <c r="FO81" s="26"/>
      <c r="FP81" s="26"/>
      <c r="FQ81" s="26"/>
      <c r="FR81" s="26"/>
      <c r="FS81" s="26"/>
      <c r="FT81" s="26"/>
    </row>
    <row r="82" spans="1:176" s="22" customFormat="1" ht="13">
      <c r="A82" s="7" t="s">
        <v>175</v>
      </c>
      <c r="B82" s="23" t="str">
        <f>IF(_xlfn.XLOOKUP(A82, AutoFill_names!B:B, AutoFill_names!C:C,"")=0,"",_xlfn.XLOOKUP(A82, AutoFill_names!B:B, AutoFill_names!C:C,""))</f>
        <v>000049564</v>
      </c>
      <c r="C82" s="23" t="str">
        <f>IF(_xlfn.XLOOKUP(A82, AutoFill_names!B:B, AutoFill_names!D:D,"")=0,"",_xlfn.XLOOKUP(A82, AutoFill_names!B:B, AutoFill_names!D:D,""))</f>
        <v>mcleane@andrews.edu</v>
      </c>
      <c r="D82" s="23" t="str">
        <f>IF(_xlfn.XLOOKUP(A82, AutoFill_names!B:B, AutoFill_names!E:E,"")=0,"",_xlfn.XLOOKUP(A82, AutoFill_names!B:B, AutoFill_names!E:E,""))</f>
        <v/>
      </c>
      <c r="E82" s="23" t="str">
        <f>IF(_xlfn.XLOOKUP(A82, AutoFill_names!B:B, AutoFill_names!F:F,"")=0,"",_xlfn.XLOOKUP(A82, AutoFill_names!B:B, AutoFill_names!F:F,""))</f>
        <v/>
      </c>
      <c r="F82" s="4"/>
      <c r="G82" s="4"/>
      <c r="H82" s="4"/>
      <c r="I82" s="4"/>
      <c r="J82" s="23" t="str">
        <f>IF(_xlfn.XLOOKUP(A82, AutoFill_names!B:B, AutoFill_names!K:K,"")=0,"",_xlfn.XLOOKUP(A82, AutoFill_names!B:B, AutoFill_names!K:K,""))</f>
        <v/>
      </c>
      <c r="K82" s="23" t="str">
        <f>IF(_xlfn.XLOOKUP(A82, AutoFill_names!B:B, AutoFill_names!L:L,"")=0,"",_xlfn.XLOOKUP(A82, AutoFill_names!B:B, AutoFill_names!L:L,""))</f>
        <v/>
      </c>
      <c r="L82" s="45" t="s">
        <v>595</v>
      </c>
      <c r="M82" s="45"/>
      <c r="N82" s="61" t="str">
        <f>IF(_xlfn.XLOOKUP(L82, AutoFill_classes!A:A, AutoFill_classes!B:B,"")=0,"",_xlfn.XLOOKUP(L82, AutoFill_classes!A:A, AutoFill_classes!B:B,""))</f>
        <v>Personal Evangelistic Ministry</v>
      </c>
      <c r="O82" s="154"/>
      <c r="P82" s="9"/>
      <c r="Q82" s="9" t="s">
        <v>55</v>
      </c>
      <c r="R82" s="9"/>
      <c r="S82" s="5" t="s">
        <v>56</v>
      </c>
      <c r="T82" s="5" t="s">
        <v>57</v>
      </c>
      <c r="U82" s="5" t="s">
        <v>58</v>
      </c>
      <c r="V82" s="4" t="s">
        <v>59</v>
      </c>
      <c r="W82" s="4" t="s">
        <v>60</v>
      </c>
      <c r="X82" s="144">
        <v>2</v>
      </c>
      <c r="Y82" s="27"/>
      <c r="Z82" s="60" t="str">
        <f t="shared" ref="Z82:Z90" si="216">IF(X82*Y82=0,"",X82*Y82)</f>
        <v/>
      </c>
      <c r="AA82" s="28"/>
      <c r="AB82" s="28"/>
      <c r="AC82" s="28"/>
      <c r="AD82" s="28"/>
      <c r="AE82" s="58" t="str">
        <f t="shared" ref="AE82:AE90" si="217">IF(ROUNDUP((AD82-AC82)/7,0)=0,"",ROUNDUP((AD82-AC82)/7,0))</f>
        <v/>
      </c>
      <c r="AF82" s="19"/>
      <c r="AG82" s="58" t="str">
        <f t="shared" ref="AG82:AG90" si="218">IFERROR(IF(AE82*AF82=0,"",AE82*AF82), "")</f>
        <v/>
      </c>
      <c r="AH82" s="28"/>
      <c r="AI82" s="28"/>
      <c r="AJ82" s="58" t="str">
        <f t="shared" ref="AJ82:AJ90" si="219">IF(ROUNDUP((AI82-AH82)/7,0)=0,"",ROUNDUP((AI82-AH82)/7,0))</f>
        <v/>
      </c>
      <c r="AK82" s="19"/>
      <c r="AL82" s="58" t="str">
        <f t="shared" ref="AL82:AL90" si="220">IFERROR(IF(AJ82*AK82=0,"",AJ82*AK82), "")</f>
        <v/>
      </c>
      <c r="AM82" s="28"/>
      <c r="AN82" s="28"/>
      <c r="AO82" s="58" t="str">
        <f t="shared" ref="AO82:AO90" si="221">IF(ROUNDUP((AN82-AM82)/7,0)=0,"",ROUNDUP((AN82-AM82)/7,0))</f>
        <v/>
      </c>
      <c r="AP82" s="58" t="str">
        <f t="shared" ref="AP82:AP90" si="222">IFERROR(IF((AS82-(AF82+AK82))/AO82=0,"",ROUNDUP((AS82-(AF82+AK82))/AO82,0)), "")</f>
        <v/>
      </c>
      <c r="AQ82" s="58" t="str">
        <f t="shared" ref="AQ82:AQ90" si="223">IFERROR(IF((AS82-(AG82+AL82))=0, "", (AS82-(AG82+AL82))), "")</f>
        <v/>
      </c>
      <c r="AR82" s="59" t="str">
        <f t="shared" ref="AR82:AR90" si="224">IFERROR(IF((AE82+AJ82+AO82)=0, "", (AE82+AJ82+AO82)), "")</f>
        <v/>
      </c>
      <c r="AS82" s="19"/>
      <c r="AT82" s="48" t="s">
        <v>597</v>
      </c>
      <c r="AU82" s="48"/>
      <c r="AV82" s="61" t="str">
        <f>IF(_xlfn.XLOOKUP(AT82, AutoFill_classes!$A:$A, AutoFill_classes!$B:$B,"")=0,"",_xlfn.XLOOKUP(AT82, AutoFill_classes!$A:$A, AutoFill_classes!$B:$B,""))</f>
        <v>Church Grwth&amp; Equipping Leader</v>
      </c>
      <c r="AW82" s="154"/>
      <c r="AX82" s="16" t="s">
        <v>85</v>
      </c>
      <c r="AY82" s="16" t="s">
        <v>57</v>
      </c>
      <c r="AZ82" s="16" t="s">
        <v>58</v>
      </c>
      <c r="BA82" s="16" t="s">
        <v>59</v>
      </c>
      <c r="BB82" s="16" t="s">
        <v>60</v>
      </c>
      <c r="BC82" s="144">
        <v>3</v>
      </c>
      <c r="BD82" s="27"/>
      <c r="BE82" s="60" t="str">
        <f t="shared" ref="BE82:BE90" si="225">IF(BC82*BD82=0,"",BC82*BD82)</f>
        <v/>
      </c>
      <c r="BF82" s="28"/>
      <c r="BG82" s="28"/>
      <c r="BH82" s="28"/>
      <c r="BI82" s="28"/>
      <c r="BJ82" s="58" t="str">
        <f t="shared" ref="BJ82:BJ90" si="226">IF(ROUNDUP((BI82-BH82)/7,0)=0,"",ROUNDUP((BI82-BH82)/7,0))</f>
        <v/>
      </c>
      <c r="BK82" s="19"/>
      <c r="BL82" s="58" t="str">
        <f t="shared" ref="BL82:BL90" si="227">IFERROR(IF(BJ82*BK82=0,"",BJ82*BK82), "")</f>
        <v/>
      </c>
      <c r="BM82" s="28"/>
      <c r="BN82" s="28"/>
      <c r="BO82" s="58" t="str">
        <f t="shared" ref="BO82:BO90" si="228">IF(ROUNDUP((BN82-BM82)/7,0)=0,"",ROUNDUP((BN82-BM82)/7,0))</f>
        <v/>
      </c>
      <c r="BP82" s="19"/>
      <c r="BQ82" s="58" t="str">
        <f t="shared" ref="BQ82:BQ90" si="229">IFERROR(IF(BO82*BP82=0,"",BO82*BP82), "")</f>
        <v/>
      </c>
      <c r="BR82" s="28"/>
      <c r="BS82" s="28"/>
      <c r="BT82" s="58" t="str">
        <f t="shared" ref="BT82:BT90" si="230">IF(ROUNDUP((BS82-BR82)/7,0)=0,"",ROUNDUP((BS82-BR82)/7,0))</f>
        <v/>
      </c>
      <c r="BU82" s="58" t="str">
        <f t="shared" ref="BU82:BU90" si="231">IFERROR(IF((BX82-(BK82+BP82))/BT82=0,"",ROUNDUP((BX82-(BK82+BP82))/BT82,0)), "")</f>
        <v/>
      </c>
      <c r="BV82" s="58" t="str">
        <f t="shared" ref="BV82:BV90" si="232">IFERROR(IF((BX82-(BL82+BQ82))=0, "", (BX82-(BL82+BQ82))), "")</f>
        <v/>
      </c>
      <c r="BW82" s="59" t="str">
        <f t="shared" ref="BW82:BW90" si="233">IFERROR(IF((BJ82+BO82+BT82)=0, "", (BJ82+BO82+BT82)), "")</f>
        <v/>
      </c>
      <c r="BX82" s="16"/>
      <c r="BY82" s="12" t="s">
        <v>597</v>
      </c>
      <c r="BZ82" s="51"/>
      <c r="CA82" s="61" t="str">
        <f>IF(_xlfn.XLOOKUP(BY82, AutoFill_classes!$A:$A, AutoFill_classes!$B:$B,"")=0,"",_xlfn.XLOOKUP(BY82, AutoFill_classes!$A:$A, AutoFill_classes!$B:$B,""))</f>
        <v>Church Grwth&amp; Equipping Leader</v>
      </c>
      <c r="CB82" s="154"/>
      <c r="CC82" s="19" t="s">
        <v>56</v>
      </c>
      <c r="CD82" s="19" t="s">
        <v>57</v>
      </c>
      <c r="CE82" s="19" t="s">
        <v>58</v>
      </c>
      <c r="CF82" s="30" t="s">
        <v>59</v>
      </c>
      <c r="CG82" s="31" t="s">
        <v>60</v>
      </c>
      <c r="CH82" s="144">
        <v>3</v>
      </c>
      <c r="CI82" s="31"/>
      <c r="CJ82" s="60" t="str">
        <f t="shared" ref="CJ82:CJ90" si="234">IF(CH82*CI82=0,"",CH82*CI82)</f>
        <v/>
      </c>
      <c r="CK82" s="28"/>
      <c r="CL82" s="28"/>
      <c r="CM82" s="28"/>
      <c r="CN82" s="28"/>
      <c r="CO82" s="58" t="str">
        <f t="shared" ref="CO82:CO90" si="235">IF(ROUNDUP((CN82-CM82)/7,0)=0,"",ROUNDUP((CN82-CM82)/7,0))</f>
        <v/>
      </c>
      <c r="CP82" s="19"/>
      <c r="CQ82" s="58" t="str">
        <f t="shared" ref="CQ82:CQ90" si="236">IFERROR(IF(CO82*CP82=0,"",CO82*CP82), "")</f>
        <v/>
      </c>
      <c r="CR82" s="28"/>
      <c r="CS82" s="28"/>
      <c r="CT82" s="58" t="str">
        <f t="shared" ref="CT82:CT90" si="237">IF(ROUNDUP((CS82-CR82)/7,0)=0,"",ROUNDUP((CS82-CR82)/7,0))</f>
        <v/>
      </c>
      <c r="CU82" s="19"/>
      <c r="CV82" s="58" t="str">
        <f t="shared" ref="CV82:CV90" si="238">IFERROR(IF(CT82*CU82=0,"",CT82*CU82), "")</f>
        <v/>
      </c>
      <c r="CW82" s="28"/>
      <c r="CX82" s="28"/>
      <c r="CY82" s="58" t="str">
        <f t="shared" ref="CY82:CY90" si="239">IF(ROUNDUP((CX82-CW82)/7,0)=0,"",ROUNDUP((CX82-CW82)/7,0))</f>
        <v/>
      </c>
      <c r="CZ82" s="58" t="str">
        <f t="shared" ref="CZ82:CZ90" si="240">IFERROR(IF((DC82-(CP82+CU82))/CY82=0,"",ROUNDUP((DC82-(CP82+CU82))/CY82,0)), "")</f>
        <v/>
      </c>
      <c r="DA82" s="58" t="str">
        <f t="shared" ref="DA82:DA90" si="241">IFERROR(IF((DC82-(CQ82+CV82))=0, "", (DC82-(CQ82+CV82))), "")</f>
        <v/>
      </c>
      <c r="DB82" s="59" t="str">
        <f t="shared" ref="DB82:DB90" si="242">IFERROR(IF((CO82+CT82+CY82)=0, "", (CO82+CT82+CY82)), "")</f>
        <v/>
      </c>
      <c r="DC82" s="19"/>
      <c r="DD82" s="145"/>
      <c r="DE82" s="91">
        <v>81</v>
      </c>
      <c r="DF82" s="39"/>
      <c r="DG82" s="39"/>
      <c r="DH82" s="39"/>
      <c r="DI82" s="39"/>
      <c r="DJ82" s="39"/>
      <c r="DK82" s="39"/>
      <c r="DL82" s="39"/>
      <c r="DM82" s="39"/>
      <c r="DN82" s="39"/>
      <c r="DO82" s="39"/>
      <c r="DP82" s="39"/>
      <c r="DQ82" s="39"/>
      <c r="DR82" s="39"/>
      <c r="DS82" s="39"/>
      <c r="DT82" s="39"/>
      <c r="DU82" s="39"/>
      <c r="DV82" s="39"/>
      <c r="DW82" s="39"/>
      <c r="DX82" s="39"/>
      <c r="DY82" s="39"/>
      <c r="DZ82" s="39"/>
      <c r="EA82" s="39"/>
      <c r="EB82" s="39"/>
      <c r="EC82" s="39"/>
      <c r="ED82" s="39"/>
      <c r="EE82" s="39"/>
      <c r="EF82" s="39"/>
      <c r="EG82" s="39"/>
      <c r="EH82" s="39"/>
      <c r="EI82" s="39"/>
      <c r="EJ82" s="39"/>
      <c r="EK82" s="39"/>
      <c r="EL82" s="39"/>
      <c r="EM82" s="39"/>
      <c r="EN82" s="39"/>
      <c r="EO82" s="39"/>
      <c r="EP82" s="39"/>
      <c r="EQ82" s="39"/>
      <c r="ER82" s="39"/>
      <c r="ES82" s="39"/>
      <c r="ET82" s="39"/>
      <c r="EU82" s="39"/>
      <c r="EV82" s="39"/>
      <c r="EW82" s="39"/>
      <c r="EX82" s="39"/>
      <c r="EY82" s="39"/>
      <c r="EZ82" s="39"/>
      <c r="FA82" s="39"/>
      <c r="FB82" s="39"/>
      <c r="FC82" s="39"/>
      <c r="FD82" s="39"/>
      <c r="FE82" s="39"/>
      <c r="FF82" s="39"/>
      <c r="FG82" s="39"/>
      <c r="FH82" s="39"/>
      <c r="FI82" s="39"/>
      <c r="FJ82" s="39"/>
      <c r="FK82" s="39"/>
      <c r="FL82" s="39"/>
      <c r="FM82" s="39"/>
      <c r="FN82" s="39"/>
      <c r="FO82" s="39"/>
      <c r="FP82" s="39"/>
      <c r="FQ82" s="39"/>
      <c r="FR82" s="39"/>
      <c r="FS82" s="39"/>
      <c r="FT82" s="39"/>
    </row>
    <row r="83" spans="1:176" s="22" customFormat="1" ht="13">
      <c r="A83" s="7" t="s">
        <v>175</v>
      </c>
      <c r="B83" s="23" t="str">
        <f>IF(_xlfn.XLOOKUP(A83, AutoFill_names!B:B, AutoFill_names!C:C,"")=0,"",_xlfn.XLOOKUP(A83, AutoFill_names!B:B, AutoFill_names!C:C,""))</f>
        <v>000049564</v>
      </c>
      <c r="C83" s="23" t="str">
        <f>IF(_xlfn.XLOOKUP(A83, AutoFill_names!B:B, AutoFill_names!D:D,"")=0,"",_xlfn.XLOOKUP(A83, AutoFill_names!B:B, AutoFill_names!D:D,""))</f>
        <v>mcleane@andrews.edu</v>
      </c>
      <c r="D83" s="23" t="str">
        <f>IF(_xlfn.XLOOKUP(A83, AutoFill_names!B:B, AutoFill_names!E:E,"")=0,"",_xlfn.XLOOKUP(A83, AutoFill_names!B:B, AutoFill_names!E:E,""))</f>
        <v/>
      </c>
      <c r="E83" s="23" t="str">
        <f>IF(_xlfn.XLOOKUP(A83, AutoFill_names!B:B, AutoFill_names!F:F,"")=0,"",_xlfn.XLOOKUP(A83, AutoFill_names!B:B, AutoFill_names!F:F,""))</f>
        <v/>
      </c>
      <c r="F83" s="4"/>
      <c r="G83" s="4"/>
      <c r="H83" s="4"/>
      <c r="I83" s="4"/>
      <c r="J83" s="23" t="str">
        <f>IF(_xlfn.XLOOKUP(A83, AutoFill_names!B:B, AutoFill_names!K:K,"")=0,"",_xlfn.XLOOKUP(A83, AutoFill_names!B:B, AutoFill_names!K:K,""))</f>
        <v/>
      </c>
      <c r="K83" s="23" t="str">
        <f>IF(_xlfn.XLOOKUP(A83, AutoFill_names!B:B, AutoFill_names!L:L,"")=0,"",_xlfn.XLOOKUP(A83, AutoFill_names!B:B, AutoFill_names!L:L,""))</f>
        <v/>
      </c>
      <c r="L83" s="45" t="s">
        <v>595</v>
      </c>
      <c r="M83" s="45" t="s">
        <v>281</v>
      </c>
      <c r="N83" s="61" t="str">
        <f>IF(_xlfn.XLOOKUP(L83, AutoFill_classes!A:A, AutoFill_classes!B:B,"")=0,"",_xlfn.XLOOKUP(L83, AutoFill_classes!A:A, AutoFill_classes!B:B,""))</f>
        <v>Personal Evangelistic Ministry</v>
      </c>
      <c r="O83" s="154"/>
      <c r="P83" s="9"/>
      <c r="Q83" s="9" t="s">
        <v>55</v>
      </c>
      <c r="R83" s="9"/>
      <c r="S83" s="5" t="s">
        <v>76</v>
      </c>
      <c r="T83" s="5" t="s">
        <v>57</v>
      </c>
      <c r="U83" s="5" t="s">
        <v>58</v>
      </c>
      <c r="V83" s="4" t="s">
        <v>59</v>
      </c>
      <c r="W83" s="4" t="s">
        <v>60</v>
      </c>
      <c r="X83" s="144">
        <v>0</v>
      </c>
      <c r="Y83" s="27"/>
      <c r="Z83" s="60" t="str">
        <f t="shared" si="216"/>
        <v/>
      </c>
      <c r="AA83" s="32"/>
      <c r="AB83" s="32"/>
      <c r="AC83" s="32"/>
      <c r="AD83" s="32"/>
      <c r="AE83" s="58" t="str">
        <f t="shared" si="217"/>
        <v/>
      </c>
      <c r="AF83" s="20"/>
      <c r="AG83" s="58" t="str">
        <f t="shared" si="218"/>
        <v/>
      </c>
      <c r="AH83" s="32"/>
      <c r="AI83" s="32"/>
      <c r="AJ83" s="58" t="str">
        <f t="shared" si="219"/>
        <v/>
      </c>
      <c r="AK83" s="20"/>
      <c r="AL83" s="58" t="str">
        <f t="shared" si="220"/>
        <v/>
      </c>
      <c r="AM83" s="32"/>
      <c r="AN83" s="32"/>
      <c r="AO83" s="58" t="str">
        <f t="shared" si="221"/>
        <v/>
      </c>
      <c r="AP83" s="58" t="str">
        <f t="shared" si="222"/>
        <v/>
      </c>
      <c r="AQ83" s="58" t="str">
        <f t="shared" si="223"/>
        <v/>
      </c>
      <c r="AR83" s="59" t="str">
        <f t="shared" si="224"/>
        <v/>
      </c>
      <c r="AS83" s="20"/>
      <c r="AT83" s="48" t="s">
        <v>595</v>
      </c>
      <c r="AU83" s="48"/>
      <c r="AV83" s="61" t="str">
        <f>IF(_xlfn.XLOOKUP(AT83, AutoFill_classes!$A:$A, AutoFill_classes!$B:$B,"")=0,"",_xlfn.XLOOKUP(AT83, AutoFill_classes!$A:$A, AutoFill_classes!$B:$B,""))</f>
        <v>Personal Evangelistic Ministry</v>
      </c>
      <c r="AW83" s="154"/>
      <c r="AX83" s="16" t="s">
        <v>85</v>
      </c>
      <c r="AY83" s="16" t="s">
        <v>57</v>
      </c>
      <c r="AZ83" s="16" t="s">
        <v>58</v>
      </c>
      <c r="BA83" s="16" t="s">
        <v>59</v>
      </c>
      <c r="BB83" s="16" t="s">
        <v>60</v>
      </c>
      <c r="BC83" s="144">
        <v>2</v>
      </c>
      <c r="BD83" s="27"/>
      <c r="BE83" s="60" t="str">
        <f t="shared" si="225"/>
        <v/>
      </c>
      <c r="BF83" s="32"/>
      <c r="BG83" s="32"/>
      <c r="BH83" s="32"/>
      <c r="BI83" s="32"/>
      <c r="BJ83" s="58" t="str">
        <f t="shared" si="226"/>
        <v/>
      </c>
      <c r="BK83" s="20"/>
      <c r="BL83" s="58" t="str">
        <f t="shared" si="227"/>
        <v/>
      </c>
      <c r="BM83" s="32"/>
      <c r="BN83" s="32"/>
      <c r="BO83" s="58" t="str">
        <f t="shared" si="228"/>
        <v/>
      </c>
      <c r="BP83" s="20"/>
      <c r="BQ83" s="58" t="str">
        <f t="shared" si="229"/>
        <v/>
      </c>
      <c r="BR83" s="32"/>
      <c r="BS83" s="32"/>
      <c r="BT83" s="58" t="str">
        <f t="shared" si="230"/>
        <v/>
      </c>
      <c r="BU83" s="58" t="str">
        <f t="shared" si="231"/>
        <v/>
      </c>
      <c r="BV83" s="58" t="str">
        <f t="shared" si="232"/>
        <v/>
      </c>
      <c r="BW83" s="59" t="str">
        <f t="shared" si="233"/>
        <v/>
      </c>
      <c r="BX83" s="16"/>
      <c r="BY83" s="21" t="s">
        <v>597</v>
      </c>
      <c r="BZ83" s="20"/>
      <c r="CA83" s="61" t="str">
        <f>IF(_xlfn.XLOOKUP(BY83, AutoFill_classes!$A:$A, AutoFill_classes!$B:$B,"")=0,"",_xlfn.XLOOKUP(BY83, AutoFill_classes!$A:$A, AutoFill_classes!$B:$B,""))</f>
        <v>Church Grwth&amp; Equipping Leader</v>
      </c>
      <c r="CB83" s="154"/>
      <c r="CC83" s="20" t="s">
        <v>56</v>
      </c>
      <c r="CD83" s="20" t="s">
        <v>93</v>
      </c>
      <c r="CE83" s="20" t="s">
        <v>105</v>
      </c>
      <c r="CF83" s="33" t="s">
        <v>59</v>
      </c>
      <c r="CG83" s="34" t="s">
        <v>60</v>
      </c>
      <c r="CH83" s="144">
        <v>3</v>
      </c>
      <c r="CI83" s="35"/>
      <c r="CJ83" s="60" t="str">
        <f t="shared" si="234"/>
        <v/>
      </c>
      <c r="CK83" s="32"/>
      <c r="CL83" s="32"/>
      <c r="CM83" s="32"/>
      <c r="CN83" s="32"/>
      <c r="CO83" s="58" t="str">
        <f t="shared" si="235"/>
        <v/>
      </c>
      <c r="CP83" s="20"/>
      <c r="CQ83" s="58" t="str">
        <f t="shared" si="236"/>
        <v/>
      </c>
      <c r="CR83" s="32"/>
      <c r="CS83" s="32"/>
      <c r="CT83" s="58" t="str">
        <f t="shared" si="237"/>
        <v/>
      </c>
      <c r="CU83" s="20"/>
      <c r="CV83" s="58" t="str">
        <f t="shared" si="238"/>
        <v/>
      </c>
      <c r="CW83" s="32"/>
      <c r="CX83" s="32"/>
      <c r="CY83" s="58" t="str">
        <f t="shared" si="239"/>
        <v/>
      </c>
      <c r="CZ83" s="58" t="str">
        <f t="shared" si="240"/>
        <v/>
      </c>
      <c r="DA83" s="58" t="str">
        <f t="shared" si="241"/>
        <v/>
      </c>
      <c r="DB83" s="59" t="str">
        <f t="shared" si="242"/>
        <v/>
      </c>
      <c r="DC83" s="20"/>
      <c r="DD83" s="145"/>
      <c r="DE83" s="91">
        <v>82</v>
      </c>
      <c r="DF83" s="39"/>
      <c r="DG83" s="39"/>
      <c r="DH83" s="39"/>
      <c r="DI83" s="39"/>
      <c r="DJ83" s="39"/>
      <c r="DK83" s="39"/>
      <c r="DL83" s="39"/>
      <c r="DM83" s="39"/>
      <c r="DN83" s="39"/>
      <c r="DO83" s="39"/>
      <c r="DP83" s="39"/>
      <c r="DQ83" s="39"/>
      <c r="DR83" s="39"/>
      <c r="DS83" s="39"/>
      <c r="DT83" s="39"/>
      <c r="DU83" s="39"/>
      <c r="DV83" s="39"/>
      <c r="DW83" s="39"/>
      <c r="DX83" s="39"/>
      <c r="DY83" s="39"/>
      <c r="DZ83" s="39"/>
      <c r="EA83" s="39"/>
      <c r="EB83" s="39"/>
      <c r="EC83" s="39"/>
      <c r="ED83" s="39"/>
      <c r="EE83" s="39"/>
      <c r="EF83" s="39"/>
      <c r="EG83" s="39"/>
      <c r="EH83" s="39"/>
      <c r="EI83" s="39"/>
      <c r="EJ83" s="39"/>
      <c r="EK83" s="39"/>
      <c r="EL83" s="39"/>
      <c r="EM83" s="39"/>
      <c r="EN83" s="39"/>
      <c r="EO83" s="39"/>
      <c r="EP83" s="39"/>
      <c r="EQ83" s="39"/>
      <c r="ER83" s="39"/>
      <c r="ES83" s="39"/>
      <c r="ET83" s="39"/>
      <c r="EU83" s="39"/>
      <c r="EV83" s="39"/>
      <c r="EW83" s="39"/>
      <c r="EX83" s="39"/>
      <c r="EY83" s="39"/>
      <c r="EZ83" s="39"/>
      <c r="FA83" s="39"/>
      <c r="FB83" s="39"/>
      <c r="FC83" s="39"/>
      <c r="FD83" s="39"/>
      <c r="FE83" s="39"/>
      <c r="FF83" s="39"/>
      <c r="FG83" s="39"/>
      <c r="FH83" s="39"/>
      <c r="FI83" s="39"/>
      <c r="FJ83" s="39"/>
      <c r="FK83" s="39"/>
      <c r="FL83" s="39"/>
      <c r="FM83" s="39"/>
      <c r="FN83" s="39"/>
      <c r="FO83" s="39"/>
      <c r="FP83" s="39"/>
      <c r="FQ83" s="39"/>
      <c r="FR83" s="39"/>
      <c r="FS83" s="39"/>
      <c r="FT83" s="39"/>
    </row>
    <row r="84" spans="1:176" s="22" customFormat="1" ht="13">
      <c r="A84" s="7"/>
      <c r="B84" s="23" t="str">
        <f>IF(_xlfn.XLOOKUP(A84, AutoFill_names!B:B, AutoFill_names!C:C,"")=0,"",_xlfn.XLOOKUP(A84, AutoFill_names!B:B, AutoFill_names!C:C,""))</f>
        <v/>
      </c>
      <c r="C84" s="23" t="str">
        <f>IF(_xlfn.XLOOKUP(A84, AutoFill_names!B:B, AutoFill_names!D:D,"")=0,"",_xlfn.XLOOKUP(A84, AutoFill_names!B:B, AutoFill_names!D:D,""))</f>
        <v/>
      </c>
      <c r="D84" s="23" t="str">
        <f>IF(_xlfn.XLOOKUP(A84, AutoFill_names!B:B, AutoFill_names!E:E,"")=0,"",_xlfn.XLOOKUP(A84, AutoFill_names!B:B, AutoFill_names!E:E,""))</f>
        <v/>
      </c>
      <c r="E84" s="23" t="str">
        <f>IF(_xlfn.XLOOKUP(A84, AutoFill_names!B:B, AutoFill_names!F:F,"")=0,"",_xlfn.XLOOKUP(A84, AutoFill_names!B:B, AutoFill_names!F:F,""))</f>
        <v/>
      </c>
      <c r="F84" s="4"/>
      <c r="G84" s="4"/>
      <c r="H84" s="4"/>
      <c r="I84" s="4"/>
      <c r="J84" s="23" t="str">
        <f>IF(_xlfn.XLOOKUP(A84, AutoFill_names!B:B, AutoFill_names!K:K,"")=0,"",_xlfn.XLOOKUP(A84, AutoFill_names!B:B, AutoFill_names!K:K,""))</f>
        <v/>
      </c>
      <c r="K84" s="23" t="str">
        <f>IF(_xlfn.XLOOKUP(A84, AutoFill_names!B:B, AutoFill_names!L:L,"")=0,"",_xlfn.XLOOKUP(A84, AutoFill_names!B:B, AutoFill_names!L:L,""))</f>
        <v/>
      </c>
      <c r="L84" s="45"/>
      <c r="M84" s="45"/>
      <c r="N84" s="61" t="str">
        <f>IF(_xlfn.XLOOKUP(L84, AutoFill_classes!A:A, AutoFill_classes!B:B,"")=0,"",_xlfn.XLOOKUP(L84, AutoFill_classes!A:A, AutoFill_classes!B:B,""))</f>
        <v/>
      </c>
      <c r="O84" s="154"/>
      <c r="P84" s="9"/>
      <c r="Q84" s="9"/>
      <c r="R84" s="9"/>
      <c r="S84" s="5"/>
      <c r="T84" s="5"/>
      <c r="U84" s="5"/>
      <c r="V84" s="4"/>
      <c r="W84" s="4"/>
      <c r="X84" s="144"/>
      <c r="Y84" s="27"/>
      <c r="Z84" s="60" t="str">
        <f t="shared" si="216"/>
        <v/>
      </c>
      <c r="AA84" s="32"/>
      <c r="AB84" s="32"/>
      <c r="AC84" s="36"/>
      <c r="AD84" s="36"/>
      <c r="AE84" s="58" t="str">
        <f t="shared" si="217"/>
        <v/>
      </c>
      <c r="AF84" s="20"/>
      <c r="AG84" s="58" t="str">
        <f t="shared" si="218"/>
        <v/>
      </c>
      <c r="AH84" s="36"/>
      <c r="AI84" s="36"/>
      <c r="AJ84" s="58" t="str">
        <f t="shared" si="219"/>
        <v/>
      </c>
      <c r="AK84" s="20"/>
      <c r="AL84" s="58" t="str">
        <f t="shared" si="220"/>
        <v/>
      </c>
      <c r="AM84" s="36"/>
      <c r="AN84" s="36"/>
      <c r="AO84" s="58" t="str">
        <f t="shared" si="221"/>
        <v/>
      </c>
      <c r="AP84" s="58" t="str">
        <f t="shared" si="222"/>
        <v/>
      </c>
      <c r="AQ84" s="58" t="str">
        <f t="shared" si="223"/>
        <v/>
      </c>
      <c r="AR84" s="59" t="str">
        <f t="shared" si="224"/>
        <v/>
      </c>
      <c r="AS84" s="20"/>
      <c r="AT84" s="48"/>
      <c r="AU84" s="48"/>
      <c r="AV84" s="61" t="str">
        <f>IF(_xlfn.XLOOKUP(AT84, AutoFill_classes!$A:$A, AutoFill_classes!$B:$B,"")=0,"",_xlfn.XLOOKUP(AT84, AutoFill_classes!$A:$A, AutoFill_classes!$B:$B,""))</f>
        <v/>
      </c>
      <c r="AW84" s="154"/>
      <c r="AX84" s="16"/>
      <c r="AY84" s="16"/>
      <c r="AZ84" s="16"/>
      <c r="BA84" s="16"/>
      <c r="BB84" s="16"/>
      <c r="BC84" s="144"/>
      <c r="BD84" s="27"/>
      <c r="BE84" s="60" t="str">
        <f t="shared" si="225"/>
        <v/>
      </c>
      <c r="BF84" s="32"/>
      <c r="BG84" s="32"/>
      <c r="BH84" s="36"/>
      <c r="BI84" s="36"/>
      <c r="BJ84" s="58" t="str">
        <f t="shared" si="226"/>
        <v/>
      </c>
      <c r="BK84" s="20"/>
      <c r="BL84" s="58" t="str">
        <f t="shared" si="227"/>
        <v/>
      </c>
      <c r="BM84" s="36"/>
      <c r="BN84" s="36"/>
      <c r="BO84" s="58" t="str">
        <f t="shared" si="228"/>
        <v/>
      </c>
      <c r="BP84" s="20"/>
      <c r="BQ84" s="58" t="str">
        <f t="shared" si="229"/>
        <v/>
      </c>
      <c r="BR84" s="36"/>
      <c r="BS84" s="36"/>
      <c r="BT84" s="58" t="str">
        <f t="shared" si="230"/>
        <v/>
      </c>
      <c r="BU84" s="58" t="str">
        <f t="shared" si="231"/>
        <v/>
      </c>
      <c r="BV84" s="58" t="str">
        <f t="shared" si="232"/>
        <v/>
      </c>
      <c r="BW84" s="59" t="str">
        <f t="shared" si="233"/>
        <v/>
      </c>
      <c r="BX84" s="16"/>
      <c r="BY84" s="21"/>
      <c r="BZ84" s="20"/>
      <c r="CA84" s="61" t="str">
        <f>IF(_xlfn.XLOOKUP(BY84, AutoFill_classes!$A:$A, AutoFill_classes!$B:$B,"")=0,"",_xlfn.XLOOKUP(BY84, AutoFill_classes!$A:$A, AutoFill_classes!$B:$B,""))</f>
        <v/>
      </c>
      <c r="CB84" s="154"/>
      <c r="CC84" s="20"/>
      <c r="CD84" s="20"/>
      <c r="CE84" s="20"/>
      <c r="CF84" s="33"/>
      <c r="CG84" s="34"/>
      <c r="CH84" s="144"/>
      <c r="CI84" s="35"/>
      <c r="CJ84" s="60" t="str">
        <f t="shared" si="234"/>
        <v/>
      </c>
      <c r="CK84" s="32"/>
      <c r="CL84" s="32"/>
      <c r="CM84" s="36"/>
      <c r="CN84" s="36"/>
      <c r="CO84" s="58" t="str">
        <f t="shared" si="235"/>
        <v/>
      </c>
      <c r="CP84" s="20"/>
      <c r="CQ84" s="58" t="str">
        <f t="shared" si="236"/>
        <v/>
      </c>
      <c r="CR84" s="36"/>
      <c r="CS84" s="36"/>
      <c r="CT84" s="58" t="str">
        <f t="shared" si="237"/>
        <v/>
      </c>
      <c r="CU84" s="20"/>
      <c r="CV84" s="58" t="str">
        <f t="shared" si="238"/>
        <v/>
      </c>
      <c r="CW84" s="36"/>
      <c r="CX84" s="36"/>
      <c r="CY84" s="58" t="str">
        <f t="shared" si="239"/>
        <v/>
      </c>
      <c r="CZ84" s="58" t="str">
        <f t="shared" si="240"/>
        <v/>
      </c>
      <c r="DA84" s="58" t="str">
        <f t="shared" si="241"/>
        <v/>
      </c>
      <c r="DB84" s="59" t="str">
        <f t="shared" si="242"/>
        <v/>
      </c>
      <c r="DC84" s="20"/>
      <c r="DD84" s="145"/>
      <c r="DE84" s="91">
        <v>83</v>
      </c>
      <c r="DF84" s="39"/>
      <c r="DG84" s="39"/>
      <c r="DH84" s="39"/>
      <c r="DI84" s="39"/>
      <c r="DJ84" s="39"/>
      <c r="DK84" s="39"/>
      <c r="DL84" s="39"/>
      <c r="DM84" s="39"/>
      <c r="DN84" s="39"/>
      <c r="DO84" s="39"/>
      <c r="DP84" s="39"/>
      <c r="DQ84" s="39"/>
      <c r="DR84" s="39"/>
      <c r="DS84" s="39"/>
      <c r="DT84" s="39"/>
      <c r="DU84" s="39"/>
      <c r="DV84" s="39"/>
      <c r="DW84" s="39"/>
      <c r="DX84" s="39"/>
      <c r="DY84" s="39"/>
      <c r="DZ84" s="39"/>
      <c r="EA84" s="39"/>
      <c r="EB84" s="39"/>
      <c r="EC84" s="39"/>
      <c r="ED84" s="39"/>
      <c r="EE84" s="39"/>
      <c r="EF84" s="39"/>
      <c r="EG84" s="39"/>
      <c r="EH84" s="39"/>
      <c r="EI84" s="39"/>
      <c r="EJ84" s="39"/>
      <c r="EK84" s="39"/>
      <c r="EL84" s="39"/>
      <c r="EM84" s="39"/>
      <c r="EN84" s="39"/>
      <c r="EO84" s="39"/>
      <c r="EP84" s="39"/>
      <c r="EQ84" s="39"/>
      <c r="ER84" s="39"/>
      <c r="ES84" s="39"/>
      <c r="ET84" s="39"/>
      <c r="EU84" s="39"/>
      <c r="EV84" s="39"/>
      <c r="EW84" s="39"/>
      <c r="EX84" s="39"/>
      <c r="EY84" s="39"/>
      <c r="EZ84" s="39"/>
      <c r="FA84" s="39"/>
      <c r="FB84" s="39"/>
      <c r="FC84" s="39"/>
      <c r="FD84" s="39"/>
      <c r="FE84" s="39"/>
      <c r="FF84" s="39"/>
      <c r="FG84" s="39"/>
      <c r="FH84" s="39"/>
      <c r="FI84" s="39"/>
      <c r="FJ84" s="39"/>
      <c r="FK84" s="39"/>
      <c r="FL84" s="39"/>
      <c r="FM84" s="39"/>
      <c r="FN84" s="39"/>
      <c r="FO84" s="39"/>
      <c r="FP84" s="39"/>
      <c r="FQ84" s="39"/>
      <c r="FR84" s="39"/>
      <c r="FS84" s="39"/>
      <c r="FT84" s="39"/>
    </row>
    <row r="85" spans="1:176" s="22" customFormat="1" ht="13">
      <c r="A85" s="7"/>
      <c r="B85" s="23" t="str">
        <f>IF(_xlfn.XLOOKUP(A85, AutoFill_names!B:B, AutoFill_names!C:C,"")=0,"",_xlfn.XLOOKUP(A85, AutoFill_names!B:B, AutoFill_names!C:C,""))</f>
        <v/>
      </c>
      <c r="C85" s="23" t="str">
        <f>IF(_xlfn.XLOOKUP(A85, AutoFill_names!B:B, AutoFill_names!D:D,"")=0,"",_xlfn.XLOOKUP(A85, AutoFill_names!B:B, AutoFill_names!D:D,""))</f>
        <v/>
      </c>
      <c r="D85" s="23" t="str">
        <f>IF(_xlfn.XLOOKUP(A85, AutoFill_names!B:B, AutoFill_names!E:E,"")=0,"",_xlfn.XLOOKUP(A85, AutoFill_names!B:B, AutoFill_names!E:E,""))</f>
        <v/>
      </c>
      <c r="E85" s="23" t="str">
        <f>IF(_xlfn.XLOOKUP(A85, AutoFill_names!B:B, AutoFill_names!F:F,"")=0,"",_xlfn.XLOOKUP(A85, AutoFill_names!B:B, AutoFill_names!F:F,""))</f>
        <v/>
      </c>
      <c r="F85" s="4"/>
      <c r="G85" s="4"/>
      <c r="H85" s="4"/>
      <c r="I85" s="4"/>
      <c r="J85" s="23" t="str">
        <f>IF(_xlfn.XLOOKUP(A85, AutoFill_names!B:B, AutoFill_names!K:K,"")=0,"",_xlfn.XLOOKUP(A85, AutoFill_names!B:B, AutoFill_names!K:K,""))</f>
        <v/>
      </c>
      <c r="K85" s="23" t="str">
        <f>IF(_xlfn.XLOOKUP(A85, AutoFill_names!B:B, AutoFill_names!L:L,"")=0,"",_xlfn.XLOOKUP(A85, AutoFill_names!B:B, AutoFill_names!L:L,""))</f>
        <v/>
      </c>
      <c r="L85" s="45"/>
      <c r="M85" s="45"/>
      <c r="N85" s="61" t="str">
        <f>IF(_xlfn.XLOOKUP(L85, AutoFill_classes!A:A, AutoFill_classes!B:B,"")=0,"",_xlfn.XLOOKUP(L85, AutoFill_classes!A:A, AutoFill_classes!B:B,""))</f>
        <v/>
      </c>
      <c r="O85" s="154"/>
      <c r="P85" s="9"/>
      <c r="Q85" s="9"/>
      <c r="R85" s="9"/>
      <c r="S85" s="5"/>
      <c r="T85" s="5"/>
      <c r="U85" s="5"/>
      <c r="V85" s="4"/>
      <c r="W85" s="4"/>
      <c r="X85" s="144"/>
      <c r="Y85" s="27"/>
      <c r="Z85" s="60" t="str">
        <f t="shared" si="216"/>
        <v/>
      </c>
      <c r="AA85" s="32"/>
      <c r="AB85" s="32"/>
      <c r="AC85" s="32"/>
      <c r="AD85" s="32"/>
      <c r="AE85" s="58" t="str">
        <f t="shared" si="217"/>
        <v/>
      </c>
      <c r="AF85" s="20"/>
      <c r="AG85" s="58" t="str">
        <f t="shared" si="218"/>
        <v/>
      </c>
      <c r="AH85" s="32"/>
      <c r="AI85" s="32"/>
      <c r="AJ85" s="58" t="str">
        <f t="shared" si="219"/>
        <v/>
      </c>
      <c r="AK85" s="20"/>
      <c r="AL85" s="58" t="str">
        <f t="shared" si="220"/>
        <v/>
      </c>
      <c r="AM85" s="32"/>
      <c r="AN85" s="32"/>
      <c r="AO85" s="58" t="str">
        <f t="shared" si="221"/>
        <v/>
      </c>
      <c r="AP85" s="58" t="str">
        <f t="shared" si="222"/>
        <v/>
      </c>
      <c r="AQ85" s="58" t="str">
        <f t="shared" si="223"/>
        <v/>
      </c>
      <c r="AR85" s="59" t="str">
        <f t="shared" si="224"/>
        <v/>
      </c>
      <c r="AS85" s="20"/>
      <c r="AT85" s="48"/>
      <c r="AU85" s="48"/>
      <c r="AV85" s="61" t="str">
        <f>IF(_xlfn.XLOOKUP(AT85, AutoFill_classes!$A:$A, AutoFill_classes!$B:$B,"")=0,"",_xlfn.XLOOKUP(AT85, AutoFill_classes!$A:$A, AutoFill_classes!$B:$B,""))</f>
        <v/>
      </c>
      <c r="AW85" s="154"/>
      <c r="AX85" s="16"/>
      <c r="AY85" s="16"/>
      <c r="AZ85" s="16"/>
      <c r="BA85" s="16"/>
      <c r="BB85" s="16"/>
      <c r="BC85" s="144"/>
      <c r="BD85" s="27"/>
      <c r="BE85" s="60" t="str">
        <f t="shared" si="225"/>
        <v/>
      </c>
      <c r="BF85" s="32"/>
      <c r="BG85" s="32"/>
      <c r="BH85" s="32"/>
      <c r="BI85" s="32"/>
      <c r="BJ85" s="58" t="str">
        <f t="shared" si="226"/>
        <v/>
      </c>
      <c r="BK85" s="20"/>
      <c r="BL85" s="58" t="str">
        <f t="shared" si="227"/>
        <v/>
      </c>
      <c r="BM85" s="32"/>
      <c r="BN85" s="32"/>
      <c r="BO85" s="58" t="str">
        <f t="shared" si="228"/>
        <v/>
      </c>
      <c r="BP85" s="20"/>
      <c r="BQ85" s="58" t="str">
        <f t="shared" si="229"/>
        <v/>
      </c>
      <c r="BR85" s="32"/>
      <c r="BS85" s="32"/>
      <c r="BT85" s="58" t="str">
        <f t="shared" si="230"/>
        <v/>
      </c>
      <c r="BU85" s="58" t="str">
        <f t="shared" si="231"/>
        <v/>
      </c>
      <c r="BV85" s="58" t="str">
        <f t="shared" si="232"/>
        <v/>
      </c>
      <c r="BW85" s="59" t="str">
        <f t="shared" si="233"/>
        <v/>
      </c>
      <c r="BX85" s="16"/>
      <c r="BY85" s="21"/>
      <c r="BZ85" s="20"/>
      <c r="CA85" s="61" t="str">
        <f>IF(_xlfn.XLOOKUP(BY85, AutoFill_classes!$A:$A, AutoFill_classes!$B:$B,"")=0,"",_xlfn.XLOOKUP(BY85, AutoFill_classes!$A:$A, AutoFill_classes!$B:$B,""))</f>
        <v/>
      </c>
      <c r="CB85" s="154"/>
      <c r="CC85" s="20"/>
      <c r="CD85" s="20"/>
      <c r="CE85" s="20"/>
      <c r="CF85" s="33"/>
      <c r="CG85" s="34"/>
      <c r="CH85" s="144"/>
      <c r="CI85" s="35"/>
      <c r="CJ85" s="60" t="str">
        <f t="shared" si="234"/>
        <v/>
      </c>
      <c r="CK85" s="32"/>
      <c r="CL85" s="32"/>
      <c r="CM85" s="32"/>
      <c r="CN85" s="32"/>
      <c r="CO85" s="58" t="str">
        <f t="shared" si="235"/>
        <v/>
      </c>
      <c r="CP85" s="20"/>
      <c r="CQ85" s="58" t="str">
        <f t="shared" si="236"/>
        <v/>
      </c>
      <c r="CR85" s="32"/>
      <c r="CS85" s="32"/>
      <c r="CT85" s="58" t="str">
        <f t="shared" si="237"/>
        <v/>
      </c>
      <c r="CU85" s="20"/>
      <c r="CV85" s="58" t="str">
        <f t="shared" si="238"/>
        <v/>
      </c>
      <c r="CW85" s="32"/>
      <c r="CX85" s="32"/>
      <c r="CY85" s="58" t="str">
        <f t="shared" si="239"/>
        <v/>
      </c>
      <c r="CZ85" s="58" t="str">
        <f t="shared" si="240"/>
        <v/>
      </c>
      <c r="DA85" s="58" t="str">
        <f t="shared" si="241"/>
        <v/>
      </c>
      <c r="DB85" s="59" t="str">
        <f t="shared" si="242"/>
        <v/>
      </c>
      <c r="DC85" s="20"/>
      <c r="DD85" s="145"/>
      <c r="DE85" s="91">
        <v>84</v>
      </c>
      <c r="DF85" s="39"/>
      <c r="DG85" s="39"/>
      <c r="DH85" s="39"/>
      <c r="DI85" s="39"/>
      <c r="DJ85" s="39"/>
      <c r="DK85" s="39"/>
      <c r="DL85" s="39"/>
      <c r="DM85" s="39"/>
      <c r="DN85" s="39"/>
      <c r="DO85" s="39"/>
      <c r="DP85" s="39"/>
      <c r="DQ85" s="39"/>
      <c r="DR85" s="39"/>
      <c r="DS85" s="39"/>
      <c r="DT85" s="39"/>
      <c r="DU85" s="39"/>
      <c r="DV85" s="39"/>
      <c r="DW85" s="39"/>
      <c r="DX85" s="39"/>
      <c r="DY85" s="39"/>
      <c r="DZ85" s="39"/>
      <c r="EA85" s="39"/>
      <c r="EB85" s="39"/>
      <c r="EC85" s="39"/>
      <c r="ED85" s="39"/>
      <c r="EE85" s="39"/>
      <c r="EF85" s="39"/>
      <c r="EG85" s="39"/>
      <c r="EH85" s="39"/>
      <c r="EI85" s="39"/>
      <c r="EJ85" s="39"/>
      <c r="EK85" s="39"/>
      <c r="EL85" s="39"/>
      <c r="EM85" s="39"/>
      <c r="EN85" s="39"/>
      <c r="EO85" s="39"/>
      <c r="EP85" s="39"/>
      <c r="EQ85" s="39"/>
      <c r="ER85" s="39"/>
      <c r="ES85" s="39"/>
      <c r="ET85" s="39"/>
      <c r="EU85" s="39"/>
      <c r="EV85" s="39"/>
      <c r="EW85" s="39"/>
      <c r="EX85" s="39"/>
      <c r="EY85" s="39"/>
      <c r="EZ85" s="39"/>
      <c r="FA85" s="39"/>
      <c r="FB85" s="39"/>
      <c r="FC85" s="39"/>
      <c r="FD85" s="39"/>
      <c r="FE85" s="39"/>
      <c r="FF85" s="39"/>
      <c r="FG85" s="39"/>
      <c r="FH85" s="39"/>
      <c r="FI85" s="39"/>
      <c r="FJ85" s="39"/>
      <c r="FK85" s="39"/>
      <c r="FL85" s="39"/>
      <c r="FM85" s="39"/>
      <c r="FN85" s="39"/>
      <c r="FO85" s="39"/>
      <c r="FP85" s="39"/>
      <c r="FQ85" s="39"/>
      <c r="FR85" s="39"/>
      <c r="FS85" s="39"/>
      <c r="FT85" s="39"/>
    </row>
    <row r="86" spans="1:176" s="22" customFormat="1" ht="13">
      <c r="A86" s="7"/>
      <c r="B86" s="23" t="str">
        <f>IF(_xlfn.XLOOKUP(A86, AutoFill_names!B:B, AutoFill_names!C:C,"")=0,"",_xlfn.XLOOKUP(A86, AutoFill_names!B:B, AutoFill_names!C:C,""))</f>
        <v/>
      </c>
      <c r="C86" s="23" t="str">
        <f>IF(_xlfn.XLOOKUP(A86, AutoFill_names!B:B, AutoFill_names!D:D,"")=0,"",_xlfn.XLOOKUP(A86, AutoFill_names!B:B, AutoFill_names!D:D,""))</f>
        <v/>
      </c>
      <c r="D86" s="23" t="str">
        <f>IF(_xlfn.XLOOKUP(A86, AutoFill_names!B:B, AutoFill_names!E:E,"")=0,"",_xlfn.XLOOKUP(A86, AutoFill_names!B:B, AutoFill_names!E:E,""))</f>
        <v/>
      </c>
      <c r="E86" s="23" t="str">
        <f>IF(_xlfn.XLOOKUP(A86, AutoFill_names!B:B, AutoFill_names!F:F,"")=0,"",_xlfn.XLOOKUP(A86, AutoFill_names!B:B, AutoFill_names!F:F,""))</f>
        <v/>
      </c>
      <c r="F86" s="4"/>
      <c r="G86" s="4"/>
      <c r="H86" s="4"/>
      <c r="I86" s="4"/>
      <c r="J86" s="23" t="str">
        <f>IF(_xlfn.XLOOKUP(A86, AutoFill_names!B:B, AutoFill_names!K:K,"")=0,"",_xlfn.XLOOKUP(A86, AutoFill_names!B:B, AutoFill_names!K:K,""))</f>
        <v/>
      </c>
      <c r="K86" s="23" t="str">
        <f>IF(_xlfn.XLOOKUP(A86, AutoFill_names!B:B, AutoFill_names!L:L,"")=0,"",_xlfn.XLOOKUP(A86, AutoFill_names!B:B, AutoFill_names!L:L,""))</f>
        <v/>
      </c>
      <c r="L86" s="45"/>
      <c r="M86" s="45"/>
      <c r="N86" s="61" t="str">
        <f>IF(_xlfn.XLOOKUP(L86, AutoFill_classes!A:A, AutoFill_classes!B:B,"")=0,"",_xlfn.XLOOKUP(L86, AutoFill_classes!A:A, AutoFill_classes!B:B,""))</f>
        <v/>
      </c>
      <c r="O86" s="154"/>
      <c r="P86" s="9"/>
      <c r="Q86" s="9"/>
      <c r="R86" s="9"/>
      <c r="S86" s="5"/>
      <c r="T86" s="5"/>
      <c r="U86" s="5"/>
      <c r="V86" s="4"/>
      <c r="W86" s="4"/>
      <c r="X86" s="144"/>
      <c r="Y86" s="27"/>
      <c r="Z86" s="60" t="str">
        <f t="shared" si="216"/>
        <v/>
      </c>
      <c r="AA86" s="32"/>
      <c r="AB86" s="32"/>
      <c r="AC86" s="32"/>
      <c r="AD86" s="32"/>
      <c r="AE86" s="58" t="str">
        <f t="shared" si="217"/>
        <v/>
      </c>
      <c r="AF86" s="20"/>
      <c r="AG86" s="58" t="str">
        <f t="shared" si="218"/>
        <v/>
      </c>
      <c r="AH86" s="32"/>
      <c r="AI86" s="32"/>
      <c r="AJ86" s="58" t="str">
        <f t="shared" si="219"/>
        <v/>
      </c>
      <c r="AK86" s="20"/>
      <c r="AL86" s="58" t="str">
        <f t="shared" si="220"/>
        <v/>
      </c>
      <c r="AM86" s="32"/>
      <c r="AN86" s="32"/>
      <c r="AO86" s="58" t="str">
        <f t="shared" si="221"/>
        <v/>
      </c>
      <c r="AP86" s="58" t="str">
        <f t="shared" si="222"/>
        <v/>
      </c>
      <c r="AQ86" s="58" t="str">
        <f t="shared" si="223"/>
        <v/>
      </c>
      <c r="AR86" s="59" t="str">
        <f t="shared" si="224"/>
        <v/>
      </c>
      <c r="AS86" s="20"/>
      <c r="AT86" s="48"/>
      <c r="AU86" s="48"/>
      <c r="AV86" s="61" t="str">
        <f>IF(_xlfn.XLOOKUP(AT86, AutoFill_classes!$A:$A, AutoFill_classes!$B:$B,"")=0,"",_xlfn.XLOOKUP(AT86, AutoFill_classes!$A:$A, AutoFill_classes!$B:$B,""))</f>
        <v/>
      </c>
      <c r="AW86" s="154"/>
      <c r="AX86" s="16"/>
      <c r="AY86" s="16"/>
      <c r="AZ86" s="16"/>
      <c r="BA86" s="16"/>
      <c r="BB86" s="16"/>
      <c r="BC86" s="144"/>
      <c r="BD86" s="27"/>
      <c r="BE86" s="60" t="str">
        <f t="shared" si="225"/>
        <v/>
      </c>
      <c r="BF86" s="32"/>
      <c r="BG86" s="32"/>
      <c r="BH86" s="32"/>
      <c r="BI86" s="32"/>
      <c r="BJ86" s="58" t="str">
        <f t="shared" si="226"/>
        <v/>
      </c>
      <c r="BK86" s="20"/>
      <c r="BL86" s="58" t="str">
        <f t="shared" si="227"/>
        <v/>
      </c>
      <c r="BM86" s="32"/>
      <c r="BN86" s="32"/>
      <c r="BO86" s="58" t="str">
        <f t="shared" si="228"/>
        <v/>
      </c>
      <c r="BP86" s="20"/>
      <c r="BQ86" s="58" t="str">
        <f t="shared" si="229"/>
        <v/>
      </c>
      <c r="BR86" s="32"/>
      <c r="BS86" s="32"/>
      <c r="BT86" s="58" t="str">
        <f t="shared" si="230"/>
        <v/>
      </c>
      <c r="BU86" s="58" t="str">
        <f t="shared" si="231"/>
        <v/>
      </c>
      <c r="BV86" s="58" t="str">
        <f t="shared" si="232"/>
        <v/>
      </c>
      <c r="BW86" s="59" t="str">
        <f t="shared" si="233"/>
        <v/>
      </c>
      <c r="BX86" s="16"/>
      <c r="BY86" s="21"/>
      <c r="BZ86" s="20"/>
      <c r="CA86" s="61" t="str">
        <f>IF(_xlfn.XLOOKUP(BY86, AutoFill_classes!$A:$A, AutoFill_classes!$B:$B,"")=0,"",_xlfn.XLOOKUP(BY86, AutoFill_classes!$A:$A, AutoFill_classes!$B:$B,""))</f>
        <v/>
      </c>
      <c r="CB86" s="154"/>
      <c r="CC86" s="20"/>
      <c r="CD86" s="20"/>
      <c r="CE86" s="20"/>
      <c r="CF86" s="33"/>
      <c r="CG86" s="34"/>
      <c r="CH86" s="144"/>
      <c r="CI86" s="35"/>
      <c r="CJ86" s="60" t="str">
        <f t="shared" si="234"/>
        <v/>
      </c>
      <c r="CK86" s="32"/>
      <c r="CL86" s="32"/>
      <c r="CM86" s="32"/>
      <c r="CN86" s="32"/>
      <c r="CO86" s="58" t="str">
        <f t="shared" si="235"/>
        <v/>
      </c>
      <c r="CP86" s="20"/>
      <c r="CQ86" s="58" t="str">
        <f t="shared" si="236"/>
        <v/>
      </c>
      <c r="CR86" s="32"/>
      <c r="CS86" s="32"/>
      <c r="CT86" s="58" t="str">
        <f t="shared" si="237"/>
        <v/>
      </c>
      <c r="CU86" s="20"/>
      <c r="CV86" s="58" t="str">
        <f t="shared" si="238"/>
        <v/>
      </c>
      <c r="CW86" s="32"/>
      <c r="CX86" s="32"/>
      <c r="CY86" s="58" t="str">
        <f t="shared" si="239"/>
        <v/>
      </c>
      <c r="CZ86" s="58" t="str">
        <f t="shared" si="240"/>
        <v/>
      </c>
      <c r="DA86" s="58" t="str">
        <f t="shared" si="241"/>
        <v/>
      </c>
      <c r="DB86" s="59" t="str">
        <f t="shared" si="242"/>
        <v/>
      </c>
      <c r="DC86" s="20"/>
      <c r="DD86" s="145"/>
      <c r="DE86" s="91">
        <v>85</v>
      </c>
      <c r="DF86" s="39"/>
      <c r="DG86" s="39"/>
      <c r="DH86" s="39"/>
      <c r="DI86" s="39"/>
      <c r="DJ86" s="39"/>
      <c r="DK86" s="39"/>
      <c r="DL86" s="39"/>
      <c r="DM86" s="39"/>
      <c r="DN86" s="39"/>
      <c r="DO86" s="39"/>
      <c r="DP86" s="39"/>
      <c r="DQ86" s="39"/>
      <c r="DR86" s="39"/>
      <c r="DS86" s="39"/>
      <c r="DT86" s="39"/>
      <c r="DU86" s="39"/>
      <c r="DV86" s="39"/>
      <c r="DW86" s="39"/>
      <c r="DX86" s="39"/>
      <c r="DY86" s="39"/>
      <c r="DZ86" s="39"/>
      <c r="EA86" s="39"/>
      <c r="EB86" s="39"/>
      <c r="EC86" s="39"/>
      <c r="ED86" s="39"/>
      <c r="EE86" s="39"/>
      <c r="EF86" s="39"/>
      <c r="EG86" s="39"/>
      <c r="EH86" s="39"/>
      <c r="EI86" s="39"/>
      <c r="EJ86" s="39"/>
      <c r="EK86" s="39"/>
      <c r="EL86" s="39"/>
      <c r="EM86" s="39"/>
      <c r="EN86" s="39"/>
      <c r="EO86" s="39"/>
      <c r="EP86" s="39"/>
      <c r="EQ86" s="39"/>
      <c r="ER86" s="39"/>
      <c r="ES86" s="39"/>
      <c r="ET86" s="39"/>
      <c r="EU86" s="39"/>
      <c r="EV86" s="39"/>
      <c r="EW86" s="39"/>
      <c r="EX86" s="39"/>
      <c r="EY86" s="39"/>
      <c r="EZ86" s="39"/>
      <c r="FA86" s="39"/>
      <c r="FB86" s="39"/>
      <c r="FC86" s="39"/>
      <c r="FD86" s="39"/>
      <c r="FE86" s="39"/>
      <c r="FF86" s="39"/>
      <c r="FG86" s="39"/>
      <c r="FH86" s="39"/>
      <c r="FI86" s="39"/>
      <c r="FJ86" s="39"/>
      <c r="FK86" s="39"/>
      <c r="FL86" s="39"/>
      <c r="FM86" s="39"/>
      <c r="FN86" s="39"/>
      <c r="FO86" s="39"/>
      <c r="FP86" s="39"/>
      <c r="FQ86" s="39"/>
      <c r="FR86" s="39"/>
      <c r="FS86" s="39"/>
      <c r="FT86" s="39"/>
    </row>
    <row r="87" spans="1:176" s="22" customFormat="1" ht="13">
      <c r="A87" s="7"/>
      <c r="B87" s="23" t="str">
        <f>IF(_xlfn.XLOOKUP(A87, AutoFill_names!B:B, AutoFill_names!C:C,"")=0,"",_xlfn.XLOOKUP(A87, AutoFill_names!B:B, AutoFill_names!C:C,""))</f>
        <v/>
      </c>
      <c r="C87" s="23" t="str">
        <f>IF(_xlfn.XLOOKUP(A87, AutoFill_names!B:B, AutoFill_names!D:D,"")=0,"",_xlfn.XLOOKUP(A87, AutoFill_names!B:B, AutoFill_names!D:D,""))</f>
        <v/>
      </c>
      <c r="D87" s="23" t="str">
        <f>IF(_xlfn.XLOOKUP(A87, AutoFill_names!B:B, AutoFill_names!E:E,"")=0,"",_xlfn.XLOOKUP(A87, AutoFill_names!B:B, AutoFill_names!E:E,""))</f>
        <v/>
      </c>
      <c r="E87" s="23" t="str">
        <f>IF(_xlfn.XLOOKUP(A87, AutoFill_names!B:B, AutoFill_names!F:F,"")=0,"",_xlfn.XLOOKUP(A87, AutoFill_names!B:B, AutoFill_names!F:F,""))</f>
        <v/>
      </c>
      <c r="F87" s="4"/>
      <c r="G87" s="4"/>
      <c r="H87" s="4"/>
      <c r="I87" s="4"/>
      <c r="J87" s="23" t="str">
        <f>IF(_xlfn.XLOOKUP(A87, AutoFill_names!B:B, AutoFill_names!K:K,"")=0,"",_xlfn.XLOOKUP(A87, AutoFill_names!B:B, AutoFill_names!K:K,""))</f>
        <v/>
      </c>
      <c r="K87" s="23" t="str">
        <f>IF(_xlfn.XLOOKUP(A87, AutoFill_names!B:B, AutoFill_names!L:L,"")=0,"",_xlfn.XLOOKUP(A87, AutoFill_names!B:B, AutoFill_names!L:L,""))</f>
        <v/>
      </c>
      <c r="L87" s="45"/>
      <c r="M87" s="45"/>
      <c r="N87" s="61" t="str">
        <f>IF(_xlfn.XLOOKUP(L87, AutoFill_classes!A:A, AutoFill_classes!B:B,"")=0,"",_xlfn.XLOOKUP(L87, AutoFill_classes!A:A, AutoFill_classes!B:B,""))</f>
        <v/>
      </c>
      <c r="O87" s="154"/>
      <c r="P87" s="9"/>
      <c r="Q87" s="9"/>
      <c r="R87" s="9"/>
      <c r="S87" s="5"/>
      <c r="T87" s="5"/>
      <c r="U87" s="5"/>
      <c r="V87" s="4"/>
      <c r="W87" s="4"/>
      <c r="X87" s="144"/>
      <c r="Y87" s="27"/>
      <c r="Z87" s="60" t="str">
        <f t="shared" si="216"/>
        <v/>
      </c>
      <c r="AA87" s="32"/>
      <c r="AB87" s="32"/>
      <c r="AC87" s="32"/>
      <c r="AD87" s="32"/>
      <c r="AE87" s="58" t="str">
        <f t="shared" si="217"/>
        <v/>
      </c>
      <c r="AF87" s="20"/>
      <c r="AG87" s="58" t="str">
        <f t="shared" si="218"/>
        <v/>
      </c>
      <c r="AH87" s="32"/>
      <c r="AI87" s="32"/>
      <c r="AJ87" s="58" t="str">
        <f t="shared" si="219"/>
        <v/>
      </c>
      <c r="AK87" s="20"/>
      <c r="AL87" s="58" t="str">
        <f t="shared" si="220"/>
        <v/>
      </c>
      <c r="AM87" s="32"/>
      <c r="AN87" s="32"/>
      <c r="AO87" s="58" t="str">
        <f t="shared" si="221"/>
        <v/>
      </c>
      <c r="AP87" s="58" t="str">
        <f t="shared" si="222"/>
        <v/>
      </c>
      <c r="AQ87" s="58" t="str">
        <f t="shared" si="223"/>
        <v/>
      </c>
      <c r="AR87" s="59" t="str">
        <f t="shared" si="224"/>
        <v/>
      </c>
      <c r="AS87" s="20"/>
      <c r="AT87" s="48"/>
      <c r="AU87" s="48"/>
      <c r="AV87" s="61" t="str">
        <f>IF(_xlfn.XLOOKUP(AT87, AutoFill_classes!$A:$A, AutoFill_classes!$B:$B,"")=0,"",_xlfn.XLOOKUP(AT87, AutoFill_classes!$A:$A, AutoFill_classes!$B:$B,""))</f>
        <v/>
      </c>
      <c r="AW87" s="154"/>
      <c r="AX87" s="16"/>
      <c r="AY87" s="16"/>
      <c r="AZ87" s="16"/>
      <c r="BA87" s="16"/>
      <c r="BB87" s="16"/>
      <c r="BC87" s="144"/>
      <c r="BD87" s="27"/>
      <c r="BE87" s="60" t="str">
        <f t="shared" si="225"/>
        <v/>
      </c>
      <c r="BF87" s="32"/>
      <c r="BG87" s="32"/>
      <c r="BH87" s="32"/>
      <c r="BI87" s="32"/>
      <c r="BJ87" s="58" t="str">
        <f t="shared" si="226"/>
        <v/>
      </c>
      <c r="BK87" s="20"/>
      <c r="BL87" s="58" t="str">
        <f t="shared" si="227"/>
        <v/>
      </c>
      <c r="BM87" s="32"/>
      <c r="BN87" s="32"/>
      <c r="BO87" s="58" t="str">
        <f t="shared" si="228"/>
        <v/>
      </c>
      <c r="BP87" s="20"/>
      <c r="BQ87" s="58" t="str">
        <f t="shared" si="229"/>
        <v/>
      </c>
      <c r="BR87" s="32"/>
      <c r="BS87" s="32"/>
      <c r="BT87" s="58" t="str">
        <f t="shared" si="230"/>
        <v/>
      </c>
      <c r="BU87" s="58" t="str">
        <f t="shared" si="231"/>
        <v/>
      </c>
      <c r="BV87" s="58" t="str">
        <f t="shared" si="232"/>
        <v/>
      </c>
      <c r="BW87" s="59" t="str">
        <f t="shared" si="233"/>
        <v/>
      </c>
      <c r="BX87" s="16"/>
      <c r="BY87" s="21"/>
      <c r="BZ87" s="20"/>
      <c r="CA87" s="61" t="str">
        <f>IF(_xlfn.XLOOKUP(BY87, AutoFill_classes!$A:$A, AutoFill_classes!$B:$B,"")=0,"",_xlfn.XLOOKUP(BY87, AutoFill_classes!$A:$A, AutoFill_classes!$B:$B,""))</f>
        <v/>
      </c>
      <c r="CB87" s="154"/>
      <c r="CC87" s="20"/>
      <c r="CD87" s="20"/>
      <c r="CE87" s="20"/>
      <c r="CF87" s="33"/>
      <c r="CG87" s="34"/>
      <c r="CH87" s="144"/>
      <c r="CI87" s="35"/>
      <c r="CJ87" s="60" t="str">
        <f t="shared" si="234"/>
        <v/>
      </c>
      <c r="CK87" s="32"/>
      <c r="CL87" s="32"/>
      <c r="CM87" s="32"/>
      <c r="CN87" s="32"/>
      <c r="CO87" s="58" t="str">
        <f t="shared" si="235"/>
        <v/>
      </c>
      <c r="CP87" s="20"/>
      <c r="CQ87" s="58" t="str">
        <f t="shared" si="236"/>
        <v/>
      </c>
      <c r="CR87" s="32"/>
      <c r="CS87" s="32"/>
      <c r="CT87" s="58" t="str">
        <f t="shared" si="237"/>
        <v/>
      </c>
      <c r="CU87" s="20"/>
      <c r="CV87" s="58" t="str">
        <f t="shared" si="238"/>
        <v/>
      </c>
      <c r="CW87" s="32"/>
      <c r="CX87" s="32"/>
      <c r="CY87" s="58" t="str">
        <f t="shared" si="239"/>
        <v/>
      </c>
      <c r="CZ87" s="58" t="str">
        <f t="shared" si="240"/>
        <v/>
      </c>
      <c r="DA87" s="58" t="str">
        <f t="shared" si="241"/>
        <v/>
      </c>
      <c r="DB87" s="59" t="str">
        <f t="shared" si="242"/>
        <v/>
      </c>
      <c r="DC87" s="20"/>
      <c r="DD87" s="145"/>
      <c r="DE87" s="91">
        <v>86</v>
      </c>
      <c r="DF87" s="39"/>
      <c r="DG87" s="39"/>
      <c r="DH87" s="39"/>
      <c r="DI87" s="39"/>
      <c r="DJ87" s="39"/>
      <c r="DK87" s="39"/>
      <c r="DL87" s="39"/>
      <c r="DM87" s="39"/>
      <c r="DN87" s="39"/>
      <c r="DO87" s="39"/>
      <c r="DP87" s="39"/>
      <c r="DQ87" s="39"/>
      <c r="DR87" s="39"/>
      <c r="DS87" s="39"/>
      <c r="DT87" s="39"/>
      <c r="DU87" s="39"/>
      <c r="DV87" s="39"/>
      <c r="DW87" s="39"/>
      <c r="DX87" s="39"/>
      <c r="DY87" s="39"/>
      <c r="DZ87" s="39"/>
      <c r="EA87" s="39"/>
      <c r="EB87" s="39"/>
      <c r="EC87" s="39"/>
      <c r="ED87" s="39"/>
      <c r="EE87" s="39"/>
      <c r="EF87" s="39"/>
      <c r="EG87" s="39"/>
      <c r="EH87" s="39"/>
      <c r="EI87" s="39"/>
      <c r="EJ87" s="39"/>
      <c r="EK87" s="39"/>
      <c r="EL87" s="39"/>
      <c r="EM87" s="39"/>
      <c r="EN87" s="39"/>
      <c r="EO87" s="39"/>
      <c r="EP87" s="39"/>
      <c r="EQ87" s="39"/>
      <c r="ER87" s="39"/>
      <c r="ES87" s="39"/>
      <c r="ET87" s="39"/>
      <c r="EU87" s="39"/>
      <c r="EV87" s="39"/>
      <c r="EW87" s="39"/>
      <c r="EX87" s="39"/>
      <c r="EY87" s="39"/>
      <c r="EZ87" s="39"/>
      <c r="FA87" s="39"/>
      <c r="FB87" s="39"/>
      <c r="FC87" s="39"/>
      <c r="FD87" s="39"/>
      <c r="FE87" s="39"/>
      <c r="FF87" s="39"/>
      <c r="FG87" s="39"/>
      <c r="FH87" s="39"/>
      <c r="FI87" s="39"/>
      <c r="FJ87" s="39"/>
      <c r="FK87" s="39"/>
      <c r="FL87" s="39"/>
      <c r="FM87" s="39"/>
      <c r="FN87" s="39"/>
      <c r="FO87" s="39"/>
      <c r="FP87" s="39"/>
      <c r="FQ87" s="39"/>
      <c r="FR87" s="39"/>
      <c r="FS87" s="39"/>
      <c r="FT87" s="39"/>
    </row>
    <row r="88" spans="1:176" s="22" customFormat="1" ht="13">
      <c r="A88" s="7"/>
      <c r="B88" s="23" t="str">
        <f>IF(_xlfn.XLOOKUP(A88, AutoFill_names!B:B, AutoFill_names!C:C,"")=0,"",_xlfn.XLOOKUP(A88, AutoFill_names!B:B, AutoFill_names!C:C,""))</f>
        <v/>
      </c>
      <c r="C88" s="23" t="str">
        <f>IF(_xlfn.XLOOKUP(A88, AutoFill_names!B:B, AutoFill_names!D:D,"")=0,"",_xlfn.XLOOKUP(A88, AutoFill_names!B:B, AutoFill_names!D:D,""))</f>
        <v/>
      </c>
      <c r="D88" s="23" t="str">
        <f>IF(_xlfn.XLOOKUP(A88, AutoFill_names!B:B, AutoFill_names!E:E,"")=0,"",_xlfn.XLOOKUP(A88, AutoFill_names!B:B, AutoFill_names!E:E,""))</f>
        <v/>
      </c>
      <c r="E88" s="23" t="str">
        <f>IF(_xlfn.XLOOKUP(A88, AutoFill_names!B:B, AutoFill_names!F:F,"")=0,"",_xlfn.XLOOKUP(A88, AutoFill_names!B:B, AutoFill_names!F:F,""))</f>
        <v/>
      </c>
      <c r="F88" s="4"/>
      <c r="G88" s="4"/>
      <c r="H88" s="4"/>
      <c r="I88" s="4"/>
      <c r="J88" s="23" t="str">
        <f>IF(_xlfn.XLOOKUP(A88, AutoFill_names!B:B, AutoFill_names!K:K,"")=0,"",_xlfn.XLOOKUP(A88, AutoFill_names!B:B, AutoFill_names!K:K,""))</f>
        <v/>
      </c>
      <c r="K88" s="23" t="str">
        <f>IF(_xlfn.XLOOKUP(A88, AutoFill_names!B:B, AutoFill_names!L:L,"")=0,"",_xlfn.XLOOKUP(A88, AutoFill_names!B:B, AutoFill_names!L:L,""))</f>
        <v/>
      </c>
      <c r="L88" s="45"/>
      <c r="M88" s="45"/>
      <c r="N88" s="61" t="str">
        <f>IF(_xlfn.XLOOKUP(L88, AutoFill_classes!A:A, AutoFill_classes!B:B,"")=0,"",_xlfn.XLOOKUP(L88, AutoFill_classes!A:A, AutoFill_classes!B:B,""))</f>
        <v/>
      </c>
      <c r="O88" s="154"/>
      <c r="P88" s="9"/>
      <c r="Q88" s="9"/>
      <c r="R88" s="9"/>
      <c r="S88" s="5"/>
      <c r="T88" s="5"/>
      <c r="U88" s="5"/>
      <c r="V88" s="4"/>
      <c r="W88" s="4"/>
      <c r="X88" s="144"/>
      <c r="Y88" s="27"/>
      <c r="Z88" s="60" t="str">
        <f t="shared" si="216"/>
        <v/>
      </c>
      <c r="AA88" s="32"/>
      <c r="AB88" s="32"/>
      <c r="AC88" s="32"/>
      <c r="AD88" s="32"/>
      <c r="AE88" s="58" t="str">
        <f t="shared" si="217"/>
        <v/>
      </c>
      <c r="AF88" s="20"/>
      <c r="AG88" s="58" t="str">
        <f t="shared" si="218"/>
        <v/>
      </c>
      <c r="AH88" s="32"/>
      <c r="AI88" s="32"/>
      <c r="AJ88" s="58" t="str">
        <f t="shared" si="219"/>
        <v/>
      </c>
      <c r="AK88" s="20"/>
      <c r="AL88" s="58" t="str">
        <f t="shared" si="220"/>
        <v/>
      </c>
      <c r="AM88" s="32"/>
      <c r="AN88" s="32"/>
      <c r="AO88" s="58" t="str">
        <f t="shared" si="221"/>
        <v/>
      </c>
      <c r="AP88" s="58" t="str">
        <f t="shared" si="222"/>
        <v/>
      </c>
      <c r="AQ88" s="58" t="str">
        <f t="shared" si="223"/>
        <v/>
      </c>
      <c r="AR88" s="59" t="str">
        <f t="shared" si="224"/>
        <v/>
      </c>
      <c r="AS88" s="20"/>
      <c r="AT88" s="48"/>
      <c r="AU88" s="48"/>
      <c r="AV88" s="61" t="str">
        <f>IF(_xlfn.XLOOKUP(AT88, AutoFill_classes!$A:$A, AutoFill_classes!$B:$B,"")=0,"",_xlfn.XLOOKUP(AT88, AutoFill_classes!$A:$A, AutoFill_classes!$B:$B,""))</f>
        <v/>
      </c>
      <c r="AW88" s="154"/>
      <c r="AX88" s="16"/>
      <c r="AY88" s="16"/>
      <c r="AZ88" s="16"/>
      <c r="BA88" s="16"/>
      <c r="BB88" s="16"/>
      <c r="BC88" s="144"/>
      <c r="BD88" s="27"/>
      <c r="BE88" s="60" t="str">
        <f t="shared" si="225"/>
        <v/>
      </c>
      <c r="BF88" s="32"/>
      <c r="BG88" s="32"/>
      <c r="BH88" s="32"/>
      <c r="BI88" s="32"/>
      <c r="BJ88" s="58" t="str">
        <f t="shared" si="226"/>
        <v/>
      </c>
      <c r="BK88" s="20"/>
      <c r="BL88" s="58" t="str">
        <f t="shared" si="227"/>
        <v/>
      </c>
      <c r="BM88" s="32"/>
      <c r="BN88" s="32"/>
      <c r="BO88" s="58" t="str">
        <f t="shared" si="228"/>
        <v/>
      </c>
      <c r="BP88" s="20"/>
      <c r="BQ88" s="58" t="str">
        <f t="shared" si="229"/>
        <v/>
      </c>
      <c r="BR88" s="32"/>
      <c r="BS88" s="32"/>
      <c r="BT88" s="58" t="str">
        <f t="shared" si="230"/>
        <v/>
      </c>
      <c r="BU88" s="58" t="str">
        <f t="shared" si="231"/>
        <v/>
      </c>
      <c r="BV88" s="58" t="str">
        <f t="shared" si="232"/>
        <v/>
      </c>
      <c r="BW88" s="59" t="str">
        <f t="shared" si="233"/>
        <v/>
      </c>
      <c r="BX88" s="16"/>
      <c r="BY88" s="21"/>
      <c r="BZ88" s="20"/>
      <c r="CA88" s="61" t="str">
        <f>IF(_xlfn.XLOOKUP(BY88, AutoFill_classes!$A:$A, AutoFill_classes!$B:$B,"")=0,"",_xlfn.XLOOKUP(BY88, AutoFill_classes!$A:$A, AutoFill_classes!$B:$B,""))</f>
        <v/>
      </c>
      <c r="CB88" s="154"/>
      <c r="CC88" s="20"/>
      <c r="CD88" s="20"/>
      <c r="CE88" s="20"/>
      <c r="CF88" s="33"/>
      <c r="CG88" s="34"/>
      <c r="CH88" s="144"/>
      <c r="CI88" s="35"/>
      <c r="CJ88" s="60" t="str">
        <f t="shared" si="234"/>
        <v/>
      </c>
      <c r="CK88" s="32"/>
      <c r="CL88" s="32"/>
      <c r="CM88" s="32"/>
      <c r="CN88" s="32"/>
      <c r="CO88" s="58" t="str">
        <f t="shared" si="235"/>
        <v/>
      </c>
      <c r="CP88" s="20"/>
      <c r="CQ88" s="58" t="str">
        <f t="shared" si="236"/>
        <v/>
      </c>
      <c r="CR88" s="32"/>
      <c r="CS88" s="32"/>
      <c r="CT88" s="58" t="str">
        <f t="shared" si="237"/>
        <v/>
      </c>
      <c r="CU88" s="20"/>
      <c r="CV88" s="58" t="str">
        <f t="shared" si="238"/>
        <v/>
      </c>
      <c r="CW88" s="32"/>
      <c r="CX88" s="32"/>
      <c r="CY88" s="58" t="str">
        <f t="shared" si="239"/>
        <v/>
      </c>
      <c r="CZ88" s="58" t="str">
        <f t="shared" si="240"/>
        <v/>
      </c>
      <c r="DA88" s="58" t="str">
        <f t="shared" si="241"/>
        <v/>
      </c>
      <c r="DB88" s="59" t="str">
        <f t="shared" si="242"/>
        <v/>
      </c>
      <c r="DC88" s="20"/>
      <c r="DD88" s="145"/>
      <c r="DE88" s="91">
        <v>87</v>
      </c>
      <c r="DF88" s="39"/>
      <c r="DG88" s="39"/>
      <c r="DH88" s="39"/>
      <c r="DI88" s="39"/>
      <c r="DJ88" s="39"/>
      <c r="DK88" s="39"/>
      <c r="DL88" s="39"/>
      <c r="DM88" s="39"/>
      <c r="DN88" s="39"/>
      <c r="DO88" s="39"/>
      <c r="DP88" s="39"/>
      <c r="DQ88" s="39"/>
      <c r="DR88" s="39"/>
      <c r="DS88" s="39"/>
      <c r="DT88" s="39"/>
      <c r="DU88" s="39"/>
      <c r="DV88" s="39"/>
      <c r="DW88" s="39"/>
      <c r="DX88" s="39"/>
      <c r="DY88" s="39"/>
      <c r="DZ88" s="39"/>
      <c r="EA88" s="39"/>
      <c r="EB88" s="39"/>
      <c r="EC88" s="39"/>
      <c r="ED88" s="39"/>
      <c r="EE88" s="39"/>
      <c r="EF88" s="39"/>
      <c r="EG88" s="39"/>
      <c r="EH88" s="39"/>
      <c r="EI88" s="39"/>
      <c r="EJ88" s="39"/>
      <c r="EK88" s="39"/>
      <c r="EL88" s="39"/>
      <c r="EM88" s="39"/>
      <c r="EN88" s="39"/>
      <c r="EO88" s="39"/>
      <c r="EP88" s="39"/>
      <c r="EQ88" s="39"/>
      <c r="ER88" s="39"/>
      <c r="ES88" s="39"/>
      <c r="ET88" s="39"/>
      <c r="EU88" s="39"/>
      <c r="EV88" s="39"/>
      <c r="EW88" s="39"/>
      <c r="EX88" s="39"/>
      <c r="EY88" s="39"/>
      <c r="EZ88" s="39"/>
      <c r="FA88" s="39"/>
      <c r="FB88" s="39"/>
      <c r="FC88" s="39"/>
      <c r="FD88" s="39"/>
      <c r="FE88" s="39"/>
      <c r="FF88" s="39"/>
      <c r="FG88" s="39"/>
      <c r="FH88" s="39"/>
      <c r="FI88" s="39"/>
      <c r="FJ88" s="39"/>
      <c r="FK88" s="39"/>
      <c r="FL88" s="39"/>
      <c r="FM88" s="39"/>
      <c r="FN88" s="39"/>
      <c r="FO88" s="39"/>
      <c r="FP88" s="39"/>
      <c r="FQ88" s="39"/>
      <c r="FR88" s="39"/>
      <c r="FS88" s="39"/>
      <c r="FT88" s="39"/>
    </row>
    <row r="89" spans="1:176" s="22" customFormat="1" ht="13">
      <c r="A89" s="7"/>
      <c r="B89" s="23" t="str">
        <f>IF(_xlfn.XLOOKUP(A89, AutoFill_names!B:B, AutoFill_names!C:C,"")=0,"",_xlfn.XLOOKUP(A89, AutoFill_names!B:B, AutoFill_names!C:C,""))</f>
        <v/>
      </c>
      <c r="C89" s="23" t="str">
        <f>IF(_xlfn.XLOOKUP(A89, AutoFill_names!B:B, AutoFill_names!D:D,"")=0,"",_xlfn.XLOOKUP(A89, AutoFill_names!B:B, AutoFill_names!D:D,""))</f>
        <v/>
      </c>
      <c r="D89" s="23" t="str">
        <f>IF(_xlfn.XLOOKUP(A89, AutoFill_names!B:B, AutoFill_names!E:E,"")=0,"",_xlfn.XLOOKUP(A89, AutoFill_names!B:B, AutoFill_names!E:E,""))</f>
        <v/>
      </c>
      <c r="E89" s="23" t="str">
        <f>IF(_xlfn.XLOOKUP(A89, AutoFill_names!B:B, AutoFill_names!F:F,"")=0,"",_xlfn.XLOOKUP(A89, AutoFill_names!B:B, AutoFill_names!F:F,""))</f>
        <v/>
      </c>
      <c r="F89" s="4"/>
      <c r="G89" s="4"/>
      <c r="H89" s="4"/>
      <c r="I89" s="4"/>
      <c r="J89" s="23" t="str">
        <f>IF(_xlfn.XLOOKUP(A89, AutoFill_names!B:B, AutoFill_names!K:K,"")=0,"",_xlfn.XLOOKUP(A89, AutoFill_names!B:B, AutoFill_names!K:K,""))</f>
        <v/>
      </c>
      <c r="K89" s="23" t="str">
        <f>IF(_xlfn.XLOOKUP(A89, AutoFill_names!B:B, AutoFill_names!L:L,"")=0,"",_xlfn.XLOOKUP(A89, AutoFill_names!B:B, AutoFill_names!L:L,""))</f>
        <v/>
      </c>
      <c r="L89" s="45"/>
      <c r="M89" s="45"/>
      <c r="N89" s="61" t="str">
        <f>IF(_xlfn.XLOOKUP(L89, AutoFill_classes!A:A, AutoFill_classes!B:B,"")=0,"",_xlfn.XLOOKUP(L89, AutoFill_classes!A:A, AutoFill_classes!B:B,""))</f>
        <v/>
      </c>
      <c r="O89" s="154"/>
      <c r="P89" s="9"/>
      <c r="Q89" s="9"/>
      <c r="R89" s="9"/>
      <c r="S89" s="5"/>
      <c r="T89" s="5"/>
      <c r="U89" s="5"/>
      <c r="V89" s="4"/>
      <c r="W89" s="4"/>
      <c r="X89" s="144"/>
      <c r="Y89" s="27"/>
      <c r="Z89" s="60" t="str">
        <f t="shared" si="216"/>
        <v/>
      </c>
      <c r="AA89" s="32"/>
      <c r="AB89" s="32"/>
      <c r="AC89" s="32"/>
      <c r="AD89" s="32"/>
      <c r="AE89" s="58" t="str">
        <f t="shared" si="217"/>
        <v/>
      </c>
      <c r="AF89" s="20"/>
      <c r="AG89" s="58" t="str">
        <f t="shared" si="218"/>
        <v/>
      </c>
      <c r="AH89" s="32"/>
      <c r="AI89" s="32"/>
      <c r="AJ89" s="58" t="str">
        <f t="shared" si="219"/>
        <v/>
      </c>
      <c r="AK89" s="20"/>
      <c r="AL89" s="58" t="str">
        <f t="shared" si="220"/>
        <v/>
      </c>
      <c r="AM89" s="32"/>
      <c r="AN89" s="32"/>
      <c r="AO89" s="58" t="str">
        <f t="shared" si="221"/>
        <v/>
      </c>
      <c r="AP89" s="58" t="str">
        <f t="shared" si="222"/>
        <v/>
      </c>
      <c r="AQ89" s="58" t="str">
        <f t="shared" si="223"/>
        <v/>
      </c>
      <c r="AR89" s="59" t="str">
        <f t="shared" si="224"/>
        <v/>
      </c>
      <c r="AS89" s="20"/>
      <c r="AT89" s="16"/>
      <c r="AU89" s="16"/>
      <c r="AV89" s="61" t="str">
        <f>IF(_xlfn.XLOOKUP(AT89, AutoFill_classes!$A:$A, AutoFill_classes!$B:$B,"")=0,"",_xlfn.XLOOKUP(AT89, AutoFill_classes!$A:$A, AutoFill_classes!$B:$B,""))</f>
        <v/>
      </c>
      <c r="AW89" s="154"/>
      <c r="AX89" s="16"/>
      <c r="AY89" s="16"/>
      <c r="AZ89" s="16"/>
      <c r="BA89" s="16"/>
      <c r="BB89" s="16"/>
      <c r="BC89" s="144"/>
      <c r="BD89" s="27"/>
      <c r="BE89" s="60" t="str">
        <f t="shared" si="225"/>
        <v/>
      </c>
      <c r="BF89" s="32"/>
      <c r="BG89" s="32"/>
      <c r="BH89" s="32"/>
      <c r="BI89" s="32"/>
      <c r="BJ89" s="58" t="str">
        <f t="shared" si="226"/>
        <v/>
      </c>
      <c r="BK89" s="20"/>
      <c r="BL89" s="58" t="str">
        <f t="shared" si="227"/>
        <v/>
      </c>
      <c r="BM89" s="32"/>
      <c r="BN89" s="32"/>
      <c r="BO89" s="58" t="str">
        <f t="shared" si="228"/>
        <v/>
      </c>
      <c r="BP89" s="20"/>
      <c r="BQ89" s="58" t="str">
        <f t="shared" si="229"/>
        <v/>
      </c>
      <c r="BR89" s="32"/>
      <c r="BS89" s="32"/>
      <c r="BT89" s="58" t="str">
        <f t="shared" si="230"/>
        <v/>
      </c>
      <c r="BU89" s="58" t="str">
        <f t="shared" si="231"/>
        <v/>
      </c>
      <c r="BV89" s="58" t="str">
        <f t="shared" si="232"/>
        <v/>
      </c>
      <c r="BW89" s="59" t="str">
        <f t="shared" si="233"/>
        <v/>
      </c>
      <c r="BX89" s="16"/>
      <c r="BY89" s="21"/>
      <c r="BZ89" s="20"/>
      <c r="CA89" s="61" t="str">
        <f>IF(_xlfn.XLOOKUP(BY89, AutoFill_classes!$A:$A, AutoFill_classes!$B:$B,"")=0,"",_xlfn.XLOOKUP(BY89, AutoFill_classes!$A:$A, AutoFill_classes!$B:$B,""))</f>
        <v/>
      </c>
      <c r="CB89" s="154"/>
      <c r="CC89" s="20"/>
      <c r="CD89" s="20"/>
      <c r="CE89" s="20"/>
      <c r="CF89" s="33"/>
      <c r="CG89" s="34"/>
      <c r="CH89" s="144"/>
      <c r="CI89" s="35"/>
      <c r="CJ89" s="60" t="str">
        <f t="shared" si="234"/>
        <v/>
      </c>
      <c r="CK89" s="32"/>
      <c r="CL89" s="32"/>
      <c r="CM89" s="32"/>
      <c r="CN89" s="32"/>
      <c r="CO89" s="58" t="str">
        <f t="shared" si="235"/>
        <v/>
      </c>
      <c r="CP89" s="20"/>
      <c r="CQ89" s="58" t="str">
        <f t="shared" si="236"/>
        <v/>
      </c>
      <c r="CR89" s="32"/>
      <c r="CS89" s="32"/>
      <c r="CT89" s="58" t="str">
        <f t="shared" si="237"/>
        <v/>
      </c>
      <c r="CU89" s="20"/>
      <c r="CV89" s="58" t="str">
        <f t="shared" si="238"/>
        <v/>
      </c>
      <c r="CW89" s="32"/>
      <c r="CX89" s="32"/>
      <c r="CY89" s="58" t="str">
        <f t="shared" si="239"/>
        <v/>
      </c>
      <c r="CZ89" s="58" t="str">
        <f t="shared" si="240"/>
        <v/>
      </c>
      <c r="DA89" s="58" t="str">
        <f t="shared" si="241"/>
        <v/>
      </c>
      <c r="DB89" s="59" t="str">
        <f t="shared" si="242"/>
        <v/>
      </c>
      <c r="DC89" s="20"/>
      <c r="DD89" s="145"/>
      <c r="DE89" s="91">
        <v>88</v>
      </c>
      <c r="DF89" s="39"/>
      <c r="DG89" s="39"/>
      <c r="DH89" s="39"/>
      <c r="DI89" s="39"/>
      <c r="DJ89" s="39"/>
      <c r="DK89" s="39"/>
      <c r="DL89" s="39"/>
      <c r="DM89" s="39"/>
      <c r="DN89" s="39"/>
      <c r="DO89" s="39"/>
      <c r="DP89" s="39"/>
      <c r="DQ89" s="39"/>
      <c r="DR89" s="39"/>
      <c r="DS89" s="39"/>
      <c r="DT89" s="39"/>
      <c r="DU89" s="39"/>
      <c r="DV89" s="39"/>
      <c r="DW89" s="39"/>
      <c r="DX89" s="39"/>
      <c r="DY89" s="39"/>
      <c r="DZ89" s="39"/>
      <c r="EA89" s="39"/>
      <c r="EB89" s="39"/>
      <c r="EC89" s="39"/>
      <c r="ED89" s="39"/>
      <c r="EE89" s="39"/>
      <c r="EF89" s="39"/>
      <c r="EG89" s="39"/>
      <c r="EH89" s="39"/>
      <c r="EI89" s="39"/>
      <c r="EJ89" s="39"/>
      <c r="EK89" s="39"/>
      <c r="EL89" s="39"/>
      <c r="EM89" s="39"/>
      <c r="EN89" s="39"/>
      <c r="EO89" s="39"/>
      <c r="EP89" s="39"/>
      <c r="EQ89" s="39"/>
      <c r="ER89" s="39"/>
      <c r="ES89" s="39"/>
      <c r="ET89" s="39"/>
      <c r="EU89" s="39"/>
      <c r="EV89" s="39"/>
      <c r="EW89" s="39"/>
      <c r="EX89" s="39"/>
      <c r="EY89" s="39"/>
      <c r="EZ89" s="39"/>
      <c r="FA89" s="39"/>
      <c r="FB89" s="39"/>
      <c r="FC89" s="39"/>
      <c r="FD89" s="39"/>
      <c r="FE89" s="39"/>
      <c r="FF89" s="39"/>
      <c r="FG89" s="39"/>
      <c r="FH89" s="39"/>
      <c r="FI89" s="39"/>
      <c r="FJ89" s="39"/>
      <c r="FK89" s="39"/>
      <c r="FL89" s="39"/>
      <c r="FM89" s="39"/>
      <c r="FN89" s="39"/>
      <c r="FO89" s="39"/>
      <c r="FP89" s="39"/>
      <c r="FQ89" s="39"/>
      <c r="FR89" s="39"/>
      <c r="FS89" s="39"/>
      <c r="FT89" s="39"/>
    </row>
    <row r="90" spans="1:176" s="22" customFormat="1" ht="13">
      <c r="A90" s="7"/>
      <c r="B90" s="23" t="str">
        <f>IF(_xlfn.XLOOKUP(A90, AutoFill_names!B:B, AutoFill_names!C:C,"")=0,"",_xlfn.XLOOKUP(A90, AutoFill_names!B:B, AutoFill_names!C:C,""))</f>
        <v/>
      </c>
      <c r="C90" s="23" t="str">
        <f>IF(_xlfn.XLOOKUP(A90, AutoFill_names!B:B, AutoFill_names!D:D,"")=0,"",_xlfn.XLOOKUP(A90, AutoFill_names!B:B, AutoFill_names!D:D,""))</f>
        <v/>
      </c>
      <c r="D90" s="23" t="str">
        <f>IF(_xlfn.XLOOKUP(A90, AutoFill_names!B:B, AutoFill_names!E:E,"")=0,"",_xlfn.XLOOKUP(A90, AutoFill_names!B:B, AutoFill_names!E:E,""))</f>
        <v/>
      </c>
      <c r="E90" s="23" t="str">
        <f>IF(_xlfn.XLOOKUP(A90, AutoFill_names!B:B, AutoFill_names!F:F,"")=0,"",_xlfn.XLOOKUP(A90, AutoFill_names!B:B, AutoFill_names!F:F,""))</f>
        <v/>
      </c>
      <c r="F90" s="4"/>
      <c r="G90" s="4"/>
      <c r="H90" s="4"/>
      <c r="I90" s="4"/>
      <c r="J90" s="23" t="str">
        <f>IF(_xlfn.XLOOKUP(A90, AutoFill_names!B:B, AutoFill_names!K:K,"")=0,"",_xlfn.XLOOKUP(A90, AutoFill_names!B:B, AutoFill_names!K:K,""))</f>
        <v/>
      </c>
      <c r="K90" s="23" t="str">
        <f>IF(_xlfn.XLOOKUP(A90, AutoFill_names!B:B, AutoFill_names!L:L,"")=0,"",_xlfn.XLOOKUP(A90, AutoFill_names!B:B, AutoFill_names!L:L,""))</f>
        <v/>
      </c>
      <c r="L90" s="5"/>
      <c r="M90" s="5"/>
      <c r="N90" s="61" t="str">
        <f>IF(_xlfn.XLOOKUP(L90, AutoFill_classes!A:A, AutoFill_classes!B:B,"")=0,"",_xlfn.XLOOKUP(L90, AutoFill_classes!A:A, AutoFill_classes!B:B,""))</f>
        <v/>
      </c>
      <c r="O90" s="154"/>
      <c r="P90" s="9"/>
      <c r="Q90" s="9"/>
      <c r="R90" s="9"/>
      <c r="S90" s="5"/>
      <c r="T90" s="5"/>
      <c r="U90" s="5"/>
      <c r="V90" s="4"/>
      <c r="W90" s="4"/>
      <c r="X90" s="144"/>
      <c r="Y90" s="27"/>
      <c r="Z90" s="60" t="str">
        <f t="shared" si="216"/>
        <v/>
      </c>
      <c r="AA90" s="32"/>
      <c r="AB90" s="32"/>
      <c r="AC90" s="32"/>
      <c r="AD90" s="32"/>
      <c r="AE90" s="58" t="str">
        <f t="shared" si="217"/>
        <v/>
      </c>
      <c r="AF90" s="20"/>
      <c r="AG90" s="58" t="str">
        <f t="shared" si="218"/>
        <v/>
      </c>
      <c r="AH90" s="32"/>
      <c r="AI90" s="32"/>
      <c r="AJ90" s="58" t="str">
        <f t="shared" si="219"/>
        <v/>
      </c>
      <c r="AK90" s="20"/>
      <c r="AL90" s="58" t="str">
        <f t="shared" si="220"/>
        <v/>
      </c>
      <c r="AM90" s="32"/>
      <c r="AN90" s="32"/>
      <c r="AO90" s="58" t="str">
        <f t="shared" si="221"/>
        <v/>
      </c>
      <c r="AP90" s="58" t="str">
        <f t="shared" si="222"/>
        <v/>
      </c>
      <c r="AQ90" s="58" t="str">
        <f t="shared" si="223"/>
        <v/>
      </c>
      <c r="AR90" s="59" t="str">
        <f t="shared" si="224"/>
        <v/>
      </c>
      <c r="AS90" s="20"/>
      <c r="AT90" s="16"/>
      <c r="AU90" s="16"/>
      <c r="AV90" s="61" t="str">
        <f>IF(_xlfn.XLOOKUP(AT90, AutoFill_classes!$A:$A, AutoFill_classes!$B:$B,"")=0,"",_xlfn.XLOOKUP(AT90, AutoFill_classes!$A:$A, AutoFill_classes!$B:$B,""))</f>
        <v/>
      </c>
      <c r="AW90" s="154"/>
      <c r="AX90" s="16"/>
      <c r="AY90" s="16"/>
      <c r="AZ90" s="16"/>
      <c r="BA90" s="16"/>
      <c r="BB90" s="16"/>
      <c r="BC90" s="144"/>
      <c r="BD90" s="27"/>
      <c r="BE90" s="60" t="str">
        <f t="shared" si="225"/>
        <v/>
      </c>
      <c r="BF90" s="32"/>
      <c r="BG90" s="32"/>
      <c r="BH90" s="32"/>
      <c r="BI90" s="32"/>
      <c r="BJ90" s="58" t="str">
        <f t="shared" si="226"/>
        <v/>
      </c>
      <c r="BK90" s="20"/>
      <c r="BL90" s="58" t="str">
        <f t="shared" si="227"/>
        <v/>
      </c>
      <c r="BM90" s="32"/>
      <c r="BN90" s="32"/>
      <c r="BO90" s="58" t="str">
        <f t="shared" si="228"/>
        <v/>
      </c>
      <c r="BP90" s="20"/>
      <c r="BQ90" s="58" t="str">
        <f t="shared" si="229"/>
        <v/>
      </c>
      <c r="BR90" s="32"/>
      <c r="BS90" s="32"/>
      <c r="BT90" s="58" t="str">
        <f t="shared" si="230"/>
        <v/>
      </c>
      <c r="BU90" s="58" t="str">
        <f t="shared" si="231"/>
        <v/>
      </c>
      <c r="BV90" s="58" t="str">
        <f t="shared" si="232"/>
        <v/>
      </c>
      <c r="BW90" s="59" t="str">
        <f t="shared" si="233"/>
        <v/>
      </c>
      <c r="BX90" s="16"/>
      <c r="BY90" s="21"/>
      <c r="BZ90" s="20"/>
      <c r="CA90" s="61" t="str">
        <f>IF(_xlfn.XLOOKUP(BY90, AutoFill_classes!$A:$A, AutoFill_classes!$B:$B,"")=0,"",_xlfn.XLOOKUP(BY90, AutoFill_classes!$A:$A, AutoFill_classes!$B:$B,""))</f>
        <v/>
      </c>
      <c r="CB90" s="154"/>
      <c r="CC90" s="20"/>
      <c r="CD90" s="20"/>
      <c r="CE90" s="20"/>
      <c r="CF90" s="33"/>
      <c r="CG90" s="34"/>
      <c r="CH90" s="144"/>
      <c r="CI90" s="35"/>
      <c r="CJ90" s="60" t="str">
        <f t="shared" si="234"/>
        <v/>
      </c>
      <c r="CK90" s="32"/>
      <c r="CL90" s="32"/>
      <c r="CM90" s="32"/>
      <c r="CN90" s="32"/>
      <c r="CO90" s="58" t="str">
        <f t="shared" si="235"/>
        <v/>
      </c>
      <c r="CP90" s="20"/>
      <c r="CQ90" s="58" t="str">
        <f t="shared" si="236"/>
        <v/>
      </c>
      <c r="CR90" s="32"/>
      <c r="CS90" s="32"/>
      <c r="CT90" s="58" t="str">
        <f t="shared" si="237"/>
        <v/>
      </c>
      <c r="CU90" s="20"/>
      <c r="CV90" s="58" t="str">
        <f t="shared" si="238"/>
        <v/>
      </c>
      <c r="CW90" s="32"/>
      <c r="CX90" s="32"/>
      <c r="CY90" s="58" t="str">
        <f t="shared" si="239"/>
        <v/>
      </c>
      <c r="CZ90" s="58" t="str">
        <f t="shared" si="240"/>
        <v/>
      </c>
      <c r="DA90" s="58" t="str">
        <f t="shared" si="241"/>
        <v/>
      </c>
      <c r="DB90" s="59" t="str">
        <f t="shared" si="242"/>
        <v/>
      </c>
      <c r="DC90" s="20"/>
      <c r="DD90" s="145"/>
      <c r="DE90" s="91">
        <v>89</v>
      </c>
      <c r="DF90" s="39"/>
      <c r="DG90" s="39"/>
      <c r="DH90" s="39"/>
      <c r="DI90" s="39"/>
      <c r="DJ90" s="39"/>
      <c r="DK90" s="39"/>
      <c r="DL90" s="39"/>
      <c r="DM90" s="39"/>
      <c r="DN90" s="39"/>
      <c r="DO90" s="39"/>
      <c r="DP90" s="39"/>
      <c r="DQ90" s="39"/>
      <c r="DR90" s="39"/>
      <c r="DS90" s="39"/>
      <c r="DT90" s="39"/>
      <c r="DU90" s="39"/>
      <c r="DV90" s="39"/>
      <c r="DW90" s="39"/>
      <c r="DX90" s="39"/>
      <c r="DY90" s="39"/>
      <c r="DZ90" s="39"/>
      <c r="EA90" s="39"/>
      <c r="EB90" s="39"/>
      <c r="EC90" s="39"/>
      <c r="ED90" s="39"/>
      <c r="EE90" s="39"/>
      <c r="EF90" s="39"/>
      <c r="EG90" s="39"/>
      <c r="EH90" s="39"/>
      <c r="EI90" s="39"/>
      <c r="EJ90" s="39"/>
      <c r="EK90" s="39"/>
      <c r="EL90" s="39"/>
      <c r="EM90" s="39"/>
      <c r="EN90" s="39"/>
      <c r="EO90" s="39"/>
      <c r="EP90" s="39"/>
      <c r="EQ90" s="39"/>
      <c r="ER90" s="39"/>
      <c r="ES90" s="39"/>
      <c r="ET90" s="39"/>
      <c r="EU90" s="39"/>
      <c r="EV90" s="39"/>
      <c r="EW90" s="39"/>
      <c r="EX90" s="39"/>
      <c r="EY90" s="39"/>
      <c r="EZ90" s="39"/>
      <c r="FA90" s="39"/>
      <c r="FB90" s="39"/>
      <c r="FC90" s="39"/>
      <c r="FD90" s="39"/>
      <c r="FE90" s="39"/>
      <c r="FF90" s="39"/>
      <c r="FG90" s="39"/>
      <c r="FH90" s="39"/>
      <c r="FI90" s="39"/>
      <c r="FJ90" s="39"/>
      <c r="FK90" s="39"/>
      <c r="FL90" s="39"/>
      <c r="FM90" s="39"/>
      <c r="FN90" s="39"/>
      <c r="FO90" s="39"/>
      <c r="FP90" s="39"/>
      <c r="FQ90" s="39"/>
      <c r="FR90" s="39"/>
      <c r="FS90" s="39"/>
      <c r="FT90" s="39"/>
    </row>
    <row r="91" spans="1:176" s="113" customFormat="1" ht="34">
      <c r="A91" s="153" t="s">
        <v>1294</v>
      </c>
      <c r="B91" s="93" t="str">
        <f>"Total Credits: " &amp; IFERROR(IF(DD91=0,"",DD91),"")</f>
        <v>Total Credits: 16</v>
      </c>
      <c r="C91" s="114"/>
      <c r="D91" s="114"/>
      <c r="E91" s="114"/>
      <c r="F91" s="114"/>
      <c r="G91" s="114"/>
      <c r="H91" s="114"/>
      <c r="I91" s="114"/>
      <c r="J91" s="114"/>
      <c r="K91" s="114"/>
      <c r="L91" s="114"/>
      <c r="M91" s="114"/>
      <c r="P91" s="96"/>
      <c r="Q91" s="96"/>
      <c r="R91" s="96"/>
      <c r="S91" s="114"/>
      <c r="T91" s="114"/>
      <c r="U91" s="114"/>
      <c r="V91" s="97"/>
      <c r="W91" s="97"/>
      <c r="X91" s="143">
        <f>IF(SUM(X92:X100)=0, "", SUM(X92:X100))</f>
        <v>5</v>
      </c>
      <c r="Y91" s="121"/>
      <c r="Z91" s="122"/>
      <c r="AA91" s="100"/>
      <c r="AB91" s="100"/>
      <c r="AC91" s="100"/>
      <c r="AD91" s="100"/>
      <c r="AE91" s="101"/>
      <c r="AF91" s="102"/>
      <c r="AG91" s="101"/>
      <c r="AH91" s="100"/>
      <c r="AI91" s="100"/>
      <c r="AJ91" s="101"/>
      <c r="AK91" s="102"/>
      <c r="AL91" s="101"/>
      <c r="AM91" s="100"/>
      <c r="AN91" s="100"/>
      <c r="AO91" s="103"/>
      <c r="AP91" s="103"/>
      <c r="AQ91" s="103"/>
      <c r="AR91" s="103"/>
      <c r="AS91" s="104"/>
      <c r="AT91" s="125"/>
      <c r="AU91" s="125"/>
      <c r="AX91" s="125"/>
      <c r="AY91" s="125"/>
      <c r="AZ91" s="125"/>
      <c r="BA91" s="112"/>
      <c r="BB91" s="112"/>
      <c r="BC91" s="143">
        <f>IF(SUM(BC92:BC100)=0, "", SUM(BC92:BC100))</f>
        <v>8</v>
      </c>
      <c r="BD91" s="121"/>
      <c r="BE91" s="122"/>
      <c r="BF91" s="123"/>
      <c r="BG91" s="123"/>
      <c r="BH91" s="123"/>
      <c r="BI91" s="123"/>
      <c r="BJ91" s="124"/>
      <c r="BK91" s="125"/>
      <c r="BL91" s="124"/>
      <c r="BM91" s="123"/>
      <c r="BN91" s="123"/>
      <c r="BO91" s="124"/>
      <c r="BP91" s="125"/>
      <c r="BQ91" s="124"/>
      <c r="BR91" s="123"/>
      <c r="BS91" s="123"/>
      <c r="BT91" s="124"/>
      <c r="BU91" s="124"/>
      <c r="BV91" s="124"/>
      <c r="BW91" s="103"/>
      <c r="BX91" s="125"/>
      <c r="BY91" s="119"/>
      <c r="BZ91" s="119"/>
      <c r="CC91" s="119"/>
      <c r="CD91" s="119"/>
      <c r="CE91" s="119"/>
      <c r="CF91" s="97"/>
      <c r="CG91" s="98"/>
      <c r="CH91" s="143">
        <f>IF(SUM(CH92:CH100)=0, "", SUM(CH92:CH100))</f>
        <v>3</v>
      </c>
      <c r="CI91" s="121"/>
      <c r="CJ91" s="122"/>
      <c r="CK91" s="123"/>
      <c r="CL91" s="123"/>
      <c r="CM91" s="123"/>
      <c r="CN91" s="123"/>
      <c r="CP91" s="125"/>
      <c r="CR91" s="123"/>
      <c r="CS91" s="123"/>
      <c r="CU91" s="125"/>
      <c r="CW91" s="123"/>
      <c r="CX91" s="123"/>
      <c r="DB91" s="103"/>
      <c r="DC91" s="125"/>
      <c r="DD91" s="143">
        <f>IF(SUM(L91:DC91)=0, "", SUM(L91:DC91))</f>
        <v>16</v>
      </c>
      <c r="DE91" s="91">
        <v>90</v>
      </c>
      <c r="DF91" s="26"/>
      <c r="DG91" s="26"/>
      <c r="DH91" s="26"/>
      <c r="DI91" s="26"/>
      <c r="DJ91" s="26"/>
      <c r="DK91" s="26"/>
      <c r="DL91" s="26"/>
      <c r="DM91" s="26"/>
      <c r="DN91" s="26"/>
      <c r="DO91" s="26"/>
      <c r="DP91" s="26"/>
      <c r="DQ91" s="26"/>
      <c r="DR91" s="26"/>
      <c r="DS91" s="26"/>
      <c r="DT91" s="26"/>
      <c r="DU91" s="26"/>
      <c r="DV91" s="26"/>
      <c r="DW91" s="26"/>
      <c r="DX91" s="26"/>
      <c r="DY91" s="26"/>
      <c r="DZ91" s="26"/>
      <c r="EA91" s="26"/>
      <c r="EB91" s="26"/>
      <c r="EC91" s="26"/>
      <c r="ED91" s="26"/>
      <c r="EE91" s="26"/>
      <c r="EF91" s="26"/>
      <c r="EG91" s="26"/>
      <c r="EH91" s="26"/>
      <c r="EI91" s="26"/>
      <c r="EJ91" s="26"/>
      <c r="EK91" s="26"/>
      <c r="EL91" s="26"/>
      <c r="EM91" s="26"/>
      <c r="EN91" s="26"/>
      <c r="EO91" s="26"/>
      <c r="EP91" s="26"/>
      <c r="EQ91" s="26"/>
      <c r="ER91" s="26"/>
      <c r="ES91" s="26"/>
      <c r="ET91" s="26"/>
      <c r="EU91" s="26"/>
      <c r="EV91" s="26"/>
      <c r="EW91" s="26"/>
      <c r="EX91" s="26"/>
      <c r="EY91" s="26"/>
      <c r="EZ91" s="26"/>
      <c r="FA91" s="26"/>
      <c r="FB91" s="26"/>
      <c r="FC91" s="26"/>
      <c r="FD91" s="26"/>
      <c r="FE91" s="26"/>
      <c r="FF91" s="26"/>
      <c r="FG91" s="26"/>
      <c r="FH91" s="26"/>
      <c r="FI91" s="26"/>
      <c r="FJ91" s="26"/>
      <c r="FK91" s="26"/>
      <c r="FL91" s="26"/>
      <c r="FM91" s="26"/>
      <c r="FN91" s="26"/>
      <c r="FO91" s="26"/>
      <c r="FP91" s="26"/>
      <c r="FQ91" s="26"/>
      <c r="FR91" s="26"/>
      <c r="FS91" s="26"/>
      <c r="FT91" s="26"/>
    </row>
    <row r="92" spans="1:176" s="22" customFormat="1" ht="13">
      <c r="A92" s="7" t="s">
        <v>395</v>
      </c>
      <c r="B92" s="23" t="str">
        <f>IF(_xlfn.XLOOKUP(A92, AutoFill_names!B:B, AutoFill_names!C:C,"")=0,"",_xlfn.XLOOKUP(A92, AutoFill_names!B:B, AutoFill_names!C:C,""))</f>
        <v>000069917</v>
      </c>
      <c r="C92" s="23" t="str">
        <f>IF(_xlfn.XLOOKUP(A92, AutoFill_names!B:B, AutoFill_names!D:D,"")=0,"",_xlfn.XLOOKUP(A92, AutoFill_names!B:B, AutoFill_names!D:D,""))</f>
        <v>madding@andrews.edu</v>
      </c>
      <c r="D92" s="23" t="str">
        <f>IF(_xlfn.XLOOKUP(A92, AutoFill_names!B:B, AutoFill_names!E:E,"")=0,"",_xlfn.XLOOKUP(A92, AutoFill_names!B:B, AutoFill_names!E:E,""))</f>
        <v/>
      </c>
      <c r="E92" s="23" t="str">
        <f>IF(_xlfn.XLOOKUP(A92, AutoFill_names!B:B, AutoFill_names!F:F,"")=0,"",_xlfn.XLOOKUP(A92, AutoFill_names!B:B, AutoFill_names!F:F,""))</f>
        <v/>
      </c>
      <c r="F92" s="4"/>
      <c r="G92" s="4"/>
      <c r="H92" s="4"/>
      <c r="I92" s="4"/>
      <c r="J92" s="23" t="str">
        <f>IF(_xlfn.XLOOKUP(A92, AutoFill_names!B:B, AutoFill_names!K:K,"")=0,"",_xlfn.XLOOKUP(A92, AutoFill_names!B:B, AutoFill_names!K:K,""))</f>
        <v/>
      </c>
      <c r="K92" s="23" t="str">
        <f>IF(_xlfn.XLOOKUP(A92, AutoFill_names!B:B, AutoFill_names!L:L,"")=0,"",_xlfn.XLOOKUP(A92, AutoFill_names!B:B, AutoFill_names!L:L,""))</f>
        <v/>
      </c>
      <c r="L92" s="45" t="s">
        <v>607</v>
      </c>
      <c r="M92" s="45"/>
      <c r="N92" s="61" t="str">
        <f>IF(_xlfn.XLOOKUP(L92, AutoFill_classes!A:A, AutoFill_classes!B:B,"")=0,"",_xlfn.XLOOKUP(L92, AutoFill_classes!A:A, AutoFill_classes!B:B,""))</f>
        <v>Field Evangelism</v>
      </c>
      <c r="O92" s="154"/>
      <c r="P92" s="9"/>
      <c r="Q92" s="9"/>
      <c r="R92" s="9"/>
      <c r="S92" s="5" t="s">
        <v>56</v>
      </c>
      <c r="T92" s="5" t="s">
        <v>57</v>
      </c>
      <c r="U92" s="156" t="s">
        <v>1310</v>
      </c>
      <c r="V92" s="4" t="s">
        <v>59</v>
      </c>
      <c r="W92" s="4" t="s">
        <v>60</v>
      </c>
      <c r="X92" s="144">
        <v>3</v>
      </c>
      <c r="Y92" s="27"/>
      <c r="Z92" s="60" t="str">
        <f t="shared" ref="Z92:Z100" si="243">IF(X92*Y92=0,"",X92*Y92)</f>
        <v/>
      </c>
      <c r="AA92" s="28"/>
      <c r="AB92" s="28"/>
      <c r="AC92" s="28"/>
      <c r="AD92" s="28"/>
      <c r="AE92" s="58" t="str">
        <f t="shared" ref="AE92:AE100" si="244">IF(ROUNDUP((AD92-AC92)/7,0)=0,"",ROUNDUP((AD92-AC92)/7,0))</f>
        <v/>
      </c>
      <c r="AF92" s="19"/>
      <c r="AG92" s="58" t="str">
        <f t="shared" ref="AG92:AG100" si="245">IFERROR(IF(AE92*AF92=0,"",AE92*AF92), "")</f>
        <v/>
      </c>
      <c r="AH92" s="28"/>
      <c r="AI92" s="28"/>
      <c r="AJ92" s="58" t="str">
        <f t="shared" ref="AJ92:AJ100" si="246">IF(ROUNDUP((AI92-AH92)/7,0)=0,"",ROUNDUP((AI92-AH92)/7,0))</f>
        <v/>
      </c>
      <c r="AK92" s="19"/>
      <c r="AL92" s="58" t="str">
        <f t="shared" ref="AL92:AL100" si="247">IFERROR(IF(AJ92*AK92=0,"",AJ92*AK92), "")</f>
        <v/>
      </c>
      <c r="AM92" s="28"/>
      <c r="AN92" s="28"/>
      <c r="AO92" s="58" t="str">
        <f t="shared" ref="AO92:AO100" si="248">IF(ROUNDUP((AN92-AM92)/7,0)=0,"",ROUNDUP((AN92-AM92)/7,0))</f>
        <v/>
      </c>
      <c r="AP92" s="58" t="str">
        <f t="shared" ref="AP92:AP100" si="249">IFERROR(IF((AS92-(AF92+AK92))/AO92=0,"",ROUNDUP((AS92-(AF92+AK92))/AO92,0)), "")</f>
        <v/>
      </c>
      <c r="AQ92" s="58" t="str">
        <f t="shared" ref="AQ92:AQ100" si="250">IFERROR(IF((AS92-(AG92+AL92))=0, "", (AS92-(AG92+AL92))), "")</f>
        <v/>
      </c>
      <c r="AR92" s="59" t="str">
        <f t="shared" ref="AR92:AR100" si="251">IFERROR(IF((AE92+AJ92+AO92)=0, "", (AE92+AJ92+AO92)), "")</f>
        <v/>
      </c>
      <c r="AS92" s="19"/>
      <c r="AT92" s="14" t="s">
        <v>607</v>
      </c>
      <c r="AU92" s="14"/>
      <c r="AV92" s="61" t="str">
        <f>IF(_xlfn.XLOOKUP(AT92, AutoFill_classes!$A:$A, AutoFill_classes!$B:$B,"")=0,"",_xlfn.XLOOKUP(AT92, AutoFill_classes!$A:$A, AutoFill_classes!$B:$B,""))</f>
        <v>Field Evangelism</v>
      </c>
      <c r="AW92" s="154"/>
      <c r="AX92" s="16" t="s">
        <v>56</v>
      </c>
      <c r="AY92" s="16" t="s">
        <v>57</v>
      </c>
      <c r="AZ92" s="157" t="s">
        <v>1310</v>
      </c>
      <c r="BA92" s="16" t="s">
        <v>59</v>
      </c>
      <c r="BB92" s="16" t="s">
        <v>60</v>
      </c>
      <c r="BC92" s="144">
        <v>3</v>
      </c>
      <c r="BD92" s="27"/>
      <c r="BE92" s="60" t="str">
        <f t="shared" ref="BE92:BE100" si="252">IF(BC92*BD92=0,"",BC92*BD92)</f>
        <v/>
      </c>
      <c r="BF92" s="28"/>
      <c r="BG92" s="28"/>
      <c r="BH92" s="28"/>
      <c r="BI92" s="28"/>
      <c r="BJ92" s="58" t="str">
        <f t="shared" ref="BJ92:BJ100" si="253">IF(ROUNDUP((BI92-BH92)/7,0)=0,"",ROUNDUP((BI92-BH92)/7,0))</f>
        <v/>
      </c>
      <c r="BK92" s="19"/>
      <c r="BL92" s="58" t="str">
        <f t="shared" ref="BL92:BL100" si="254">IFERROR(IF(BJ92*BK92=0,"",BJ92*BK92), "")</f>
        <v/>
      </c>
      <c r="BM92" s="28"/>
      <c r="BN92" s="28"/>
      <c r="BO92" s="58" t="str">
        <f t="shared" ref="BO92:BO100" si="255">IF(ROUNDUP((BN92-BM92)/7,0)=0,"",ROUNDUP((BN92-BM92)/7,0))</f>
        <v/>
      </c>
      <c r="BP92" s="19"/>
      <c r="BQ92" s="58" t="str">
        <f t="shared" ref="BQ92:BQ100" si="256">IFERROR(IF(BO92*BP92=0,"",BO92*BP92), "")</f>
        <v/>
      </c>
      <c r="BR92" s="28"/>
      <c r="BS92" s="28"/>
      <c r="BT92" s="58" t="str">
        <f t="shared" ref="BT92:BT100" si="257">IF(ROUNDUP((BS92-BR92)/7,0)=0,"",ROUNDUP((BS92-BR92)/7,0))</f>
        <v/>
      </c>
      <c r="BU92" s="58" t="str">
        <f t="shared" ref="BU92:BU100" si="258">IFERROR(IF((BX92-(BK92+BP92))/BT92=0,"",ROUNDUP((BX92-(BK92+BP92))/BT92,0)), "")</f>
        <v/>
      </c>
      <c r="BV92" s="58" t="str">
        <f t="shared" ref="BV92:BV100" si="259">IFERROR(IF((BX92-(BL92+BQ92))=0, "", (BX92-(BL92+BQ92))), "")</f>
        <v/>
      </c>
      <c r="BW92" s="59" t="str">
        <f t="shared" ref="BW92:BW100" si="260">IFERROR(IF((BJ92+BO92+BT92)=0, "", (BJ92+BO92+BT92)), "")</f>
        <v/>
      </c>
      <c r="BX92" s="16"/>
      <c r="BY92" s="12" t="s">
        <v>597</v>
      </c>
      <c r="BZ92" s="51"/>
      <c r="CA92" s="61" t="str">
        <f>IF(_xlfn.XLOOKUP(BY92, AutoFill_classes!$A:$A, AutoFill_classes!$B:$B,"")=0,"",_xlfn.XLOOKUP(BY92, AutoFill_classes!$A:$A, AutoFill_classes!$B:$B,""))</f>
        <v>Church Grwth&amp; Equipping Leader</v>
      </c>
      <c r="CB92" s="154"/>
      <c r="CC92" s="19" t="s">
        <v>56</v>
      </c>
      <c r="CD92" s="19" t="s">
        <v>57</v>
      </c>
      <c r="CE92" s="19" t="s">
        <v>58</v>
      </c>
      <c r="CF92" s="30" t="s">
        <v>59</v>
      </c>
      <c r="CG92" s="31" t="s">
        <v>60</v>
      </c>
      <c r="CH92" s="144">
        <v>3</v>
      </c>
      <c r="CI92" s="31"/>
      <c r="CJ92" s="60" t="str">
        <f t="shared" ref="CJ92:CJ100" si="261">IF(CH92*CI92=0,"",CH92*CI92)</f>
        <v/>
      </c>
      <c r="CK92" s="28"/>
      <c r="CL92" s="28"/>
      <c r="CM92" s="28"/>
      <c r="CN92" s="28"/>
      <c r="CO92" s="58" t="str">
        <f t="shared" ref="CO92:CO100" si="262">IF(ROUNDUP((CN92-CM92)/7,0)=0,"",ROUNDUP((CN92-CM92)/7,0))</f>
        <v/>
      </c>
      <c r="CP92" s="19"/>
      <c r="CQ92" s="58" t="str">
        <f t="shared" ref="CQ92:CQ100" si="263">IFERROR(IF(CO92*CP92=0,"",CO92*CP92), "")</f>
        <v/>
      </c>
      <c r="CR92" s="28"/>
      <c r="CS92" s="28"/>
      <c r="CT92" s="58" t="str">
        <f t="shared" ref="CT92:CT100" si="264">IF(ROUNDUP((CS92-CR92)/7,0)=0,"",ROUNDUP((CS92-CR92)/7,0))</f>
        <v/>
      </c>
      <c r="CU92" s="19"/>
      <c r="CV92" s="58" t="str">
        <f t="shared" ref="CV92:CV100" si="265">IFERROR(IF(CT92*CU92=0,"",CT92*CU92), "")</f>
        <v/>
      </c>
      <c r="CW92" s="28"/>
      <c r="CX92" s="28"/>
      <c r="CY92" s="58" t="str">
        <f t="shared" ref="CY92:CY100" si="266">IF(ROUNDUP((CX92-CW92)/7,0)=0,"",ROUNDUP((CX92-CW92)/7,0))</f>
        <v/>
      </c>
      <c r="CZ92" s="58" t="str">
        <f t="shared" ref="CZ92:CZ100" si="267">IFERROR(IF((DC92-(CP92+CU92))/CY92=0,"",ROUNDUP((DC92-(CP92+CU92))/CY92,0)), "")</f>
        <v/>
      </c>
      <c r="DA92" s="58" t="str">
        <f t="shared" ref="DA92:DA100" si="268">IFERROR(IF((DC92-(CQ92+CV92))=0, "", (DC92-(CQ92+CV92))), "")</f>
        <v/>
      </c>
      <c r="DB92" s="59" t="str">
        <f t="shared" ref="DB92:DB100" si="269">IFERROR(IF((CO92+CT92+CY92)=0, "", (CO92+CT92+CY92)), "")</f>
        <v/>
      </c>
      <c r="DC92" s="19"/>
      <c r="DD92" s="145"/>
      <c r="DE92" s="91">
        <v>91</v>
      </c>
      <c r="DF92" s="39"/>
      <c r="DG92" s="39"/>
      <c r="DH92" s="39"/>
      <c r="DI92" s="39"/>
      <c r="DJ92" s="39"/>
      <c r="DK92" s="39"/>
      <c r="DL92" s="39"/>
      <c r="DM92" s="39"/>
      <c r="DN92" s="39"/>
      <c r="DO92" s="39"/>
      <c r="DP92" s="39"/>
      <c r="DQ92" s="39"/>
      <c r="DR92" s="39"/>
      <c r="DS92" s="39"/>
      <c r="DT92" s="39"/>
      <c r="DU92" s="39"/>
      <c r="DV92" s="39"/>
      <c r="DW92" s="39"/>
      <c r="DX92" s="39"/>
      <c r="DY92" s="39"/>
      <c r="DZ92" s="39"/>
      <c r="EA92" s="39"/>
      <c r="EB92" s="39"/>
      <c r="EC92" s="39"/>
      <c r="ED92" s="39"/>
      <c r="EE92" s="39"/>
      <c r="EF92" s="39"/>
      <c r="EG92" s="39"/>
      <c r="EH92" s="39"/>
      <c r="EI92" s="39"/>
      <c r="EJ92" s="39"/>
      <c r="EK92" s="39"/>
      <c r="EL92" s="39"/>
      <c r="EM92" s="39"/>
      <c r="EN92" s="39"/>
      <c r="EO92" s="39"/>
      <c r="EP92" s="39"/>
      <c r="EQ92" s="39"/>
      <c r="ER92" s="39"/>
      <c r="ES92" s="39"/>
      <c r="ET92" s="39"/>
      <c r="EU92" s="39"/>
      <c r="EV92" s="39"/>
      <c r="EW92" s="39"/>
      <c r="EX92" s="39"/>
      <c r="EY92" s="39"/>
      <c r="EZ92" s="39"/>
      <c r="FA92" s="39"/>
      <c r="FB92" s="39"/>
      <c r="FC92" s="39"/>
      <c r="FD92" s="39"/>
      <c r="FE92" s="39"/>
      <c r="FF92" s="39"/>
      <c r="FG92" s="39"/>
      <c r="FH92" s="39"/>
      <c r="FI92" s="39"/>
      <c r="FJ92" s="39"/>
      <c r="FK92" s="39"/>
      <c r="FL92" s="39"/>
      <c r="FM92" s="39"/>
      <c r="FN92" s="39"/>
      <c r="FO92" s="39"/>
      <c r="FP92" s="39"/>
      <c r="FQ92" s="39"/>
      <c r="FR92" s="39"/>
      <c r="FS92" s="39"/>
      <c r="FT92" s="39"/>
    </row>
    <row r="93" spans="1:176" s="22" customFormat="1" ht="13">
      <c r="A93" s="7" t="s">
        <v>395</v>
      </c>
      <c r="B93" s="23" t="str">
        <f>IF(_xlfn.XLOOKUP(A93, AutoFill_names!B:B, AutoFill_names!C:C,"")=0,"",_xlfn.XLOOKUP(A93, AutoFill_names!B:B, AutoFill_names!C:C,""))</f>
        <v>000069917</v>
      </c>
      <c r="C93" s="23" t="str">
        <f>IF(_xlfn.XLOOKUP(A93, AutoFill_names!B:B, AutoFill_names!D:D,"")=0,"",_xlfn.XLOOKUP(A93, AutoFill_names!B:B, AutoFill_names!D:D,""))</f>
        <v>madding@andrews.edu</v>
      </c>
      <c r="D93" s="23" t="str">
        <f>IF(_xlfn.XLOOKUP(A93, AutoFill_names!B:B, AutoFill_names!E:E,"")=0,"",_xlfn.XLOOKUP(A93, AutoFill_names!B:B, AutoFill_names!E:E,""))</f>
        <v/>
      </c>
      <c r="E93" s="23" t="str">
        <f>IF(_xlfn.XLOOKUP(A93, AutoFill_names!B:B, AutoFill_names!F:F,"")=0,"",_xlfn.XLOOKUP(A93, AutoFill_names!B:B, AutoFill_names!F:F,""))</f>
        <v/>
      </c>
      <c r="F93" s="4"/>
      <c r="G93" s="4"/>
      <c r="H93" s="4"/>
      <c r="I93" s="4"/>
      <c r="J93" s="23" t="str">
        <f>IF(_xlfn.XLOOKUP(A93, AutoFill_names!B:B, AutoFill_names!K:K,"")=0,"",_xlfn.XLOOKUP(A93, AutoFill_names!B:B, AutoFill_names!K:K,""))</f>
        <v/>
      </c>
      <c r="K93" s="23" t="str">
        <f>IF(_xlfn.XLOOKUP(A93, AutoFill_names!B:B, AutoFill_names!L:L,"")=0,"",_xlfn.XLOOKUP(A93, AutoFill_names!B:B, AutoFill_names!L:L,""))</f>
        <v/>
      </c>
      <c r="L93" s="45" t="s">
        <v>614</v>
      </c>
      <c r="M93" s="45"/>
      <c r="N93" s="61" t="str">
        <f>IF(_xlfn.XLOOKUP(L93, AutoFill_classes!A:A, AutoFill_classes!B:B,"")=0,"",_xlfn.XLOOKUP(L93, AutoFill_classes!A:A, AutoFill_classes!B:B,""))</f>
        <v>Mssn-Shaped Church Planting</v>
      </c>
      <c r="O93" s="154"/>
      <c r="P93" s="9"/>
      <c r="Q93" s="9"/>
      <c r="R93" s="9"/>
      <c r="S93" s="4" t="s">
        <v>56</v>
      </c>
      <c r="T93" s="4" t="s">
        <v>57</v>
      </c>
      <c r="U93" s="4" t="s">
        <v>58</v>
      </c>
      <c r="V93" s="4" t="s">
        <v>59</v>
      </c>
      <c r="W93" s="4" t="s">
        <v>60</v>
      </c>
      <c r="X93" s="144">
        <v>2</v>
      </c>
      <c r="Y93" s="27"/>
      <c r="Z93" s="60" t="str">
        <f t="shared" si="243"/>
        <v/>
      </c>
      <c r="AA93" s="32"/>
      <c r="AB93" s="32"/>
      <c r="AC93" s="32"/>
      <c r="AD93" s="32"/>
      <c r="AE93" s="58" t="str">
        <f t="shared" si="244"/>
        <v/>
      </c>
      <c r="AF93" s="20"/>
      <c r="AG93" s="58" t="str">
        <f t="shared" si="245"/>
        <v/>
      </c>
      <c r="AH93" s="32"/>
      <c r="AI93" s="32"/>
      <c r="AJ93" s="58" t="str">
        <f t="shared" si="246"/>
        <v/>
      </c>
      <c r="AK93" s="20"/>
      <c r="AL93" s="58" t="str">
        <f t="shared" si="247"/>
        <v/>
      </c>
      <c r="AM93" s="32"/>
      <c r="AN93" s="32"/>
      <c r="AO93" s="58" t="str">
        <f t="shared" si="248"/>
        <v/>
      </c>
      <c r="AP93" s="58" t="str">
        <f t="shared" si="249"/>
        <v/>
      </c>
      <c r="AQ93" s="58" t="str">
        <f t="shared" si="250"/>
        <v/>
      </c>
      <c r="AR93" s="59" t="str">
        <f t="shared" si="251"/>
        <v/>
      </c>
      <c r="AS93" s="20"/>
      <c r="AT93" s="16" t="s">
        <v>614</v>
      </c>
      <c r="AU93" s="16"/>
      <c r="AV93" s="61" t="str">
        <f>IF(_xlfn.XLOOKUP(AT93, AutoFill_classes!$A:$A, AutoFill_classes!$B:$B,"")=0,"",_xlfn.XLOOKUP(AT93, AutoFill_classes!$A:$A, AutoFill_classes!$B:$B,""))</f>
        <v>Mssn-Shaped Church Planting</v>
      </c>
      <c r="AW93" s="154"/>
      <c r="AX93" s="16" t="s">
        <v>56</v>
      </c>
      <c r="AY93" s="16" t="s">
        <v>57</v>
      </c>
      <c r="AZ93" s="16" t="s">
        <v>58</v>
      </c>
      <c r="BA93" s="16" t="s">
        <v>59</v>
      </c>
      <c r="BB93" s="16" t="s">
        <v>60</v>
      </c>
      <c r="BC93" s="144">
        <v>2</v>
      </c>
      <c r="BD93" s="27"/>
      <c r="BE93" s="60" t="str">
        <f t="shared" si="252"/>
        <v/>
      </c>
      <c r="BF93" s="32"/>
      <c r="BG93" s="32"/>
      <c r="BH93" s="32"/>
      <c r="BI93" s="32"/>
      <c r="BJ93" s="58" t="str">
        <f t="shared" si="253"/>
        <v/>
      </c>
      <c r="BK93" s="20"/>
      <c r="BL93" s="58" t="str">
        <f t="shared" si="254"/>
        <v/>
      </c>
      <c r="BM93" s="32"/>
      <c r="BN93" s="32"/>
      <c r="BO93" s="58" t="str">
        <f t="shared" si="255"/>
        <v/>
      </c>
      <c r="BP93" s="20"/>
      <c r="BQ93" s="58" t="str">
        <f t="shared" si="256"/>
        <v/>
      </c>
      <c r="BR93" s="32"/>
      <c r="BS93" s="32"/>
      <c r="BT93" s="58" t="str">
        <f t="shared" si="257"/>
        <v/>
      </c>
      <c r="BU93" s="58" t="str">
        <f t="shared" si="258"/>
        <v/>
      </c>
      <c r="BV93" s="58" t="str">
        <f t="shared" si="259"/>
        <v/>
      </c>
      <c r="BW93" s="59" t="str">
        <f t="shared" si="260"/>
        <v/>
      </c>
      <c r="BX93" s="16"/>
      <c r="BY93" s="21" t="s">
        <v>624</v>
      </c>
      <c r="BZ93" s="20"/>
      <c r="CA93" s="61" t="str">
        <f>IF(_xlfn.XLOOKUP(BY93, AutoFill_classes!$A:$A, AutoFill_classes!$B:$B,"")=0,"",_xlfn.XLOOKUP(BY93, AutoFill_classes!$A:$A, AutoFill_classes!$B:$B,""))</f>
        <v>Field Practicum:</v>
      </c>
      <c r="CB93" s="154"/>
      <c r="CC93" s="158"/>
      <c r="CD93" s="159"/>
      <c r="CE93" s="159"/>
      <c r="CF93" s="33" t="s">
        <v>59</v>
      </c>
      <c r="CG93" s="34" t="s">
        <v>60</v>
      </c>
      <c r="CH93" s="155"/>
      <c r="CI93" s="35"/>
      <c r="CJ93" s="60" t="str">
        <f t="shared" si="261"/>
        <v/>
      </c>
      <c r="CK93" s="32"/>
      <c r="CL93" s="32"/>
      <c r="CM93" s="32"/>
      <c r="CN93" s="32"/>
      <c r="CO93" s="58" t="str">
        <f t="shared" si="262"/>
        <v/>
      </c>
      <c r="CP93" s="20"/>
      <c r="CQ93" s="58" t="str">
        <f t="shared" si="263"/>
        <v/>
      </c>
      <c r="CR93" s="32"/>
      <c r="CS93" s="32"/>
      <c r="CT93" s="58" t="str">
        <f t="shared" si="264"/>
        <v/>
      </c>
      <c r="CU93" s="20"/>
      <c r="CV93" s="58" t="str">
        <f t="shared" si="265"/>
        <v/>
      </c>
      <c r="CW93" s="32"/>
      <c r="CX93" s="32"/>
      <c r="CY93" s="58" t="str">
        <f t="shared" si="266"/>
        <v/>
      </c>
      <c r="CZ93" s="58" t="str">
        <f t="shared" si="267"/>
        <v/>
      </c>
      <c r="DA93" s="58" t="str">
        <f t="shared" si="268"/>
        <v/>
      </c>
      <c r="DB93" s="59" t="str">
        <f t="shared" si="269"/>
        <v/>
      </c>
      <c r="DC93" s="20"/>
      <c r="DD93" s="144"/>
      <c r="DE93" s="91">
        <v>92</v>
      </c>
      <c r="DF93" s="39"/>
      <c r="DG93" s="39"/>
      <c r="DH93" s="39"/>
      <c r="DI93" s="39"/>
      <c r="DJ93" s="39"/>
      <c r="DK93" s="39"/>
      <c r="DL93" s="39"/>
      <c r="DM93" s="39"/>
      <c r="DN93" s="39"/>
      <c r="DO93" s="39"/>
      <c r="DP93" s="39"/>
      <c r="DQ93" s="39"/>
      <c r="DR93" s="39"/>
      <c r="DS93" s="39"/>
      <c r="DT93" s="39"/>
      <c r="DU93" s="39"/>
      <c r="DV93" s="39"/>
      <c r="DW93" s="39"/>
      <c r="DX93" s="39"/>
      <c r="DY93" s="39"/>
      <c r="DZ93" s="39"/>
      <c r="EA93" s="39"/>
      <c r="EB93" s="39"/>
      <c r="EC93" s="39"/>
      <c r="ED93" s="39"/>
      <c r="EE93" s="39"/>
      <c r="EF93" s="39"/>
      <c r="EG93" s="39"/>
      <c r="EH93" s="39"/>
      <c r="EI93" s="39"/>
      <c r="EJ93" s="39"/>
      <c r="EK93" s="39"/>
      <c r="EL93" s="39"/>
      <c r="EM93" s="39"/>
      <c r="EN93" s="39"/>
      <c r="EO93" s="39"/>
      <c r="EP93" s="39"/>
      <c r="EQ93" s="39"/>
      <c r="ER93" s="39"/>
      <c r="ES93" s="39"/>
      <c r="ET93" s="39"/>
      <c r="EU93" s="39"/>
      <c r="EV93" s="39"/>
      <c r="EW93" s="39"/>
      <c r="EX93" s="39"/>
      <c r="EY93" s="39"/>
      <c r="EZ93" s="39"/>
      <c r="FA93" s="39"/>
      <c r="FB93" s="39"/>
      <c r="FC93" s="39"/>
      <c r="FD93" s="39"/>
      <c r="FE93" s="39"/>
      <c r="FF93" s="39"/>
      <c r="FG93" s="39"/>
      <c r="FH93" s="39"/>
      <c r="FI93" s="39"/>
      <c r="FJ93" s="39"/>
      <c r="FK93" s="39"/>
      <c r="FL93" s="39"/>
      <c r="FM93" s="39"/>
      <c r="FN93" s="39"/>
      <c r="FO93" s="39"/>
      <c r="FP93" s="39"/>
      <c r="FQ93" s="39"/>
      <c r="FR93" s="39"/>
      <c r="FS93" s="39"/>
      <c r="FT93" s="39"/>
    </row>
    <row r="94" spans="1:176" s="22" customFormat="1" ht="13">
      <c r="A94" s="7" t="s">
        <v>395</v>
      </c>
      <c r="B94" s="23" t="str">
        <f>IF(_xlfn.XLOOKUP(A94, AutoFill_names!B:B, AutoFill_names!C:C,"")=0,"",_xlfn.XLOOKUP(A94, AutoFill_names!B:B, AutoFill_names!C:C,""))</f>
        <v>000069917</v>
      </c>
      <c r="C94" s="23" t="str">
        <f>IF(_xlfn.XLOOKUP(A94, AutoFill_names!B:B, AutoFill_names!D:D,"")=0,"",_xlfn.XLOOKUP(A94, AutoFill_names!B:B, AutoFill_names!D:D,""))</f>
        <v>madding@andrews.edu</v>
      </c>
      <c r="D94" s="23" t="str">
        <f>IF(_xlfn.XLOOKUP(A94, AutoFill_names!B:B, AutoFill_names!E:E,"")=0,"",_xlfn.XLOOKUP(A94, AutoFill_names!B:B, AutoFill_names!E:E,""))</f>
        <v/>
      </c>
      <c r="E94" s="23" t="str">
        <f>IF(_xlfn.XLOOKUP(A94, AutoFill_names!B:B, AutoFill_names!F:F,"")=0,"",_xlfn.XLOOKUP(A94, AutoFill_names!B:B, AutoFill_names!F:F,""))</f>
        <v/>
      </c>
      <c r="F94" s="4"/>
      <c r="G94" s="4"/>
      <c r="H94" s="4"/>
      <c r="I94" s="4"/>
      <c r="J94" s="23" t="str">
        <f>IF(_xlfn.XLOOKUP(A94, AutoFill_names!B:B, AutoFill_names!K:K,"")=0,"",_xlfn.XLOOKUP(A94, AutoFill_names!B:B, AutoFill_names!K:K,""))</f>
        <v/>
      </c>
      <c r="K94" s="23" t="str">
        <f>IF(_xlfn.XLOOKUP(A94, AutoFill_names!B:B, AutoFill_names!L:L,"")=0,"",_xlfn.XLOOKUP(A94, AutoFill_names!B:B, AutoFill_names!L:L,""))</f>
        <v/>
      </c>
      <c r="L94" s="45"/>
      <c r="M94" s="45"/>
      <c r="N94" s="61" t="str">
        <f>IF(_xlfn.XLOOKUP(L94, AutoFill_classes!A:A, AutoFill_classes!B:B,"")=0,"",_xlfn.XLOOKUP(L94, AutoFill_classes!A:A, AutoFill_classes!B:B,""))</f>
        <v/>
      </c>
      <c r="O94" s="154"/>
      <c r="P94" s="9"/>
      <c r="Q94" s="9"/>
      <c r="R94" s="9"/>
      <c r="S94" s="4"/>
      <c r="T94" s="4"/>
      <c r="U94" s="4"/>
      <c r="V94" s="4"/>
      <c r="W94" s="4"/>
      <c r="X94" s="144"/>
      <c r="Y94" s="27"/>
      <c r="Z94" s="60" t="str">
        <f t="shared" si="243"/>
        <v/>
      </c>
      <c r="AA94" s="32"/>
      <c r="AB94" s="32"/>
      <c r="AC94" s="36"/>
      <c r="AD94" s="36"/>
      <c r="AE94" s="58" t="str">
        <f t="shared" si="244"/>
        <v/>
      </c>
      <c r="AF94" s="20"/>
      <c r="AG94" s="58" t="str">
        <f t="shared" si="245"/>
        <v/>
      </c>
      <c r="AH94" s="36"/>
      <c r="AI94" s="36"/>
      <c r="AJ94" s="58" t="str">
        <f t="shared" si="246"/>
        <v/>
      </c>
      <c r="AK94" s="20"/>
      <c r="AL94" s="58" t="str">
        <f t="shared" si="247"/>
        <v/>
      </c>
      <c r="AM94" s="36"/>
      <c r="AN94" s="36"/>
      <c r="AO94" s="58" t="str">
        <f t="shared" si="248"/>
        <v/>
      </c>
      <c r="AP94" s="58" t="str">
        <f t="shared" si="249"/>
        <v/>
      </c>
      <c r="AQ94" s="58" t="str">
        <f t="shared" si="250"/>
        <v/>
      </c>
      <c r="AR94" s="59" t="str">
        <f t="shared" si="251"/>
        <v/>
      </c>
      <c r="AS94" s="20"/>
      <c r="AT94" s="16" t="s">
        <v>597</v>
      </c>
      <c r="AU94" s="16"/>
      <c r="AV94" s="61" t="str">
        <f>IF(_xlfn.XLOOKUP(AT94, AutoFill_classes!$A:$A, AutoFill_classes!$B:$B,"")=0,"",_xlfn.XLOOKUP(AT94, AutoFill_classes!$A:$A, AutoFill_classes!$B:$B,""))</f>
        <v>Church Grwth&amp; Equipping Leader</v>
      </c>
      <c r="AW94" s="154"/>
      <c r="AX94" s="16" t="s">
        <v>56</v>
      </c>
      <c r="AY94" s="16" t="s">
        <v>93</v>
      </c>
      <c r="AZ94" s="16" t="s">
        <v>94</v>
      </c>
      <c r="BA94" s="16" t="s">
        <v>59</v>
      </c>
      <c r="BB94" s="16" t="s">
        <v>60</v>
      </c>
      <c r="BC94" s="144">
        <v>3</v>
      </c>
      <c r="BD94" s="27"/>
      <c r="BE94" s="60" t="str">
        <f t="shared" si="252"/>
        <v/>
      </c>
      <c r="BF94" s="32"/>
      <c r="BG94" s="32"/>
      <c r="BH94" s="36"/>
      <c r="BI94" s="36"/>
      <c r="BJ94" s="58" t="str">
        <f t="shared" si="253"/>
        <v/>
      </c>
      <c r="BK94" s="20"/>
      <c r="BL94" s="58" t="str">
        <f t="shared" si="254"/>
        <v/>
      </c>
      <c r="BM94" s="36"/>
      <c r="BN94" s="36"/>
      <c r="BO94" s="58" t="str">
        <f t="shared" si="255"/>
        <v/>
      </c>
      <c r="BP94" s="20"/>
      <c r="BQ94" s="58" t="str">
        <f t="shared" si="256"/>
        <v/>
      </c>
      <c r="BR94" s="36"/>
      <c r="BS94" s="36"/>
      <c r="BT94" s="58" t="str">
        <f t="shared" si="257"/>
        <v/>
      </c>
      <c r="BU94" s="58" t="str">
        <f t="shared" si="258"/>
        <v/>
      </c>
      <c r="BV94" s="58" t="str">
        <f t="shared" si="259"/>
        <v/>
      </c>
      <c r="BW94" s="59" t="str">
        <f t="shared" si="260"/>
        <v/>
      </c>
      <c r="BX94" s="16"/>
      <c r="BY94" s="21"/>
      <c r="BZ94" s="20"/>
      <c r="CA94" s="61" t="str">
        <f>IF(_xlfn.XLOOKUP(BY94, AutoFill_classes!$A:$A, AutoFill_classes!$B:$B,"")=0,"",_xlfn.XLOOKUP(BY94, AutoFill_classes!$A:$A, AutoFill_classes!$B:$B,""))</f>
        <v/>
      </c>
      <c r="CB94" s="154"/>
      <c r="CC94" s="20"/>
      <c r="CD94" s="20"/>
      <c r="CE94" s="20"/>
      <c r="CF94" s="33"/>
      <c r="CG94" s="34"/>
      <c r="CH94" s="144"/>
      <c r="CI94" s="35"/>
      <c r="CJ94" s="60" t="str">
        <f t="shared" si="261"/>
        <v/>
      </c>
      <c r="CK94" s="32"/>
      <c r="CL94" s="32"/>
      <c r="CM94" s="36"/>
      <c r="CN94" s="36"/>
      <c r="CO94" s="58" t="str">
        <f t="shared" si="262"/>
        <v/>
      </c>
      <c r="CP94" s="20"/>
      <c r="CQ94" s="58" t="str">
        <f t="shared" si="263"/>
        <v/>
      </c>
      <c r="CR94" s="36"/>
      <c r="CS94" s="36"/>
      <c r="CT94" s="58" t="str">
        <f t="shared" si="264"/>
        <v/>
      </c>
      <c r="CU94" s="20"/>
      <c r="CV94" s="58" t="str">
        <f t="shared" si="265"/>
        <v/>
      </c>
      <c r="CW94" s="36"/>
      <c r="CX94" s="36"/>
      <c r="CY94" s="58" t="str">
        <f t="shared" si="266"/>
        <v/>
      </c>
      <c r="CZ94" s="58" t="str">
        <f t="shared" si="267"/>
        <v/>
      </c>
      <c r="DA94" s="58" t="str">
        <f t="shared" si="268"/>
        <v/>
      </c>
      <c r="DB94" s="59" t="str">
        <f t="shared" si="269"/>
        <v/>
      </c>
      <c r="DC94" s="20"/>
      <c r="DD94" s="144"/>
      <c r="DE94" s="91">
        <v>93</v>
      </c>
      <c r="DF94" s="39"/>
      <c r="DG94" s="39"/>
      <c r="DH94" s="39"/>
      <c r="DI94" s="39"/>
      <c r="DJ94" s="39"/>
      <c r="DK94" s="39"/>
      <c r="DL94" s="39"/>
      <c r="DM94" s="39"/>
      <c r="DN94" s="39"/>
      <c r="DO94" s="39"/>
      <c r="DP94" s="39"/>
      <c r="DQ94" s="39"/>
      <c r="DR94" s="39"/>
      <c r="DS94" s="39"/>
      <c r="DT94" s="39"/>
      <c r="DU94" s="39"/>
      <c r="DV94" s="39"/>
      <c r="DW94" s="39"/>
      <c r="DX94" s="39"/>
      <c r="DY94" s="39"/>
      <c r="DZ94" s="39"/>
      <c r="EA94" s="39"/>
      <c r="EB94" s="39"/>
      <c r="EC94" s="39"/>
      <c r="ED94" s="39"/>
      <c r="EE94" s="39"/>
      <c r="EF94" s="39"/>
      <c r="EG94" s="39"/>
      <c r="EH94" s="39"/>
      <c r="EI94" s="39"/>
      <c r="EJ94" s="39"/>
      <c r="EK94" s="39"/>
      <c r="EL94" s="39"/>
      <c r="EM94" s="39"/>
      <c r="EN94" s="39"/>
      <c r="EO94" s="39"/>
      <c r="EP94" s="39"/>
      <c r="EQ94" s="39"/>
      <c r="ER94" s="39"/>
      <c r="ES94" s="39"/>
      <c r="ET94" s="39"/>
      <c r="EU94" s="39"/>
      <c r="EV94" s="39"/>
      <c r="EW94" s="39"/>
      <c r="EX94" s="39"/>
      <c r="EY94" s="39"/>
      <c r="EZ94" s="39"/>
      <c r="FA94" s="39"/>
      <c r="FB94" s="39"/>
      <c r="FC94" s="39"/>
      <c r="FD94" s="39"/>
      <c r="FE94" s="39"/>
      <c r="FF94" s="39"/>
      <c r="FG94" s="39"/>
      <c r="FH94" s="39"/>
      <c r="FI94" s="39"/>
      <c r="FJ94" s="39"/>
      <c r="FK94" s="39"/>
      <c r="FL94" s="39"/>
      <c r="FM94" s="39"/>
      <c r="FN94" s="39"/>
      <c r="FO94" s="39"/>
      <c r="FP94" s="39"/>
      <c r="FQ94" s="39"/>
      <c r="FR94" s="39"/>
      <c r="FS94" s="39"/>
      <c r="FT94" s="39"/>
    </row>
    <row r="95" spans="1:176" s="22" customFormat="1" ht="13">
      <c r="A95" s="7"/>
      <c r="B95" s="23" t="str">
        <f>IF(_xlfn.XLOOKUP(A95, AutoFill_names!B:B, AutoFill_names!C:C,"")=0,"",_xlfn.XLOOKUP(A95, AutoFill_names!B:B, AutoFill_names!C:C,""))</f>
        <v/>
      </c>
      <c r="C95" s="23" t="str">
        <f>IF(_xlfn.XLOOKUP(A95, AutoFill_names!B:B, AutoFill_names!D:D,"")=0,"",_xlfn.XLOOKUP(A95, AutoFill_names!B:B, AutoFill_names!D:D,""))</f>
        <v/>
      </c>
      <c r="D95" s="23" t="str">
        <f>IF(_xlfn.XLOOKUP(A95, AutoFill_names!B:B, AutoFill_names!E:E,"")=0,"",_xlfn.XLOOKUP(A95, AutoFill_names!B:B, AutoFill_names!E:E,""))</f>
        <v/>
      </c>
      <c r="E95" s="23" t="str">
        <f>IF(_xlfn.XLOOKUP(A95, AutoFill_names!B:B, AutoFill_names!F:F,"")=0,"",_xlfn.XLOOKUP(A95, AutoFill_names!B:B, AutoFill_names!F:F,""))</f>
        <v/>
      </c>
      <c r="F95" s="4"/>
      <c r="G95" s="4"/>
      <c r="H95" s="4"/>
      <c r="I95" s="4"/>
      <c r="J95" s="23" t="str">
        <f>IF(_xlfn.XLOOKUP(A95, AutoFill_names!B:B, AutoFill_names!K:K,"")=0,"",_xlfn.XLOOKUP(A95, AutoFill_names!B:B, AutoFill_names!K:K,""))</f>
        <v/>
      </c>
      <c r="K95" s="23" t="str">
        <f>IF(_xlfn.XLOOKUP(A95, AutoFill_names!B:B, AutoFill_names!L:L,"")=0,"",_xlfn.XLOOKUP(A95, AutoFill_names!B:B, AutoFill_names!L:L,""))</f>
        <v/>
      </c>
      <c r="L95" s="45"/>
      <c r="M95" s="45"/>
      <c r="N95" s="61" t="str">
        <f>IF(_xlfn.XLOOKUP(L95, AutoFill_classes!A:A, AutoFill_classes!B:B,"")=0,"",_xlfn.XLOOKUP(L95, AutoFill_classes!A:A, AutoFill_classes!B:B,""))</f>
        <v/>
      </c>
      <c r="O95" s="154"/>
      <c r="P95" s="9"/>
      <c r="Q95" s="9"/>
      <c r="R95" s="9"/>
      <c r="S95" s="4"/>
      <c r="T95" s="4"/>
      <c r="U95" s="4"/>
      <c r="V95" s="4"/>
      <c r="W95" s="4"/>
      <c r="X95" s="144"/>
      <c r="Y95" s="27"/>
      <c r="Z95" s="60" t="str">
        <f t="shared" si="243"/>
        <v/>
      </c>
      <c r="AA95" s="32"/>
      <c r="AB95" s="32"/>
      <c r="AC95" s="32"/>
      <c r="AD95" s="32"/>
      <c r="AE95" s="58" t="str">
        <f t="shared" si="244"/>
        <v/>
      </c>
      <c r="AF95" s="20"/>
      <c r="AG95" s="58" t="str">
        <f t="shared" si="245"/>
        <v/>
      </c>
      <c r="AH95" s="32"/>
      <c r="AI95" s="32"/>
      <c r="AJ95" s="58" t="str">
        <f t="shared" si="246"/>
        <v/>
      </c>
      <c r="AK95" s="20"/>
      <c r="AL95" s="58" t="str">
        <f t="shared" si="247"/>
        <v/>
      </c>
      <c r="AM95" s="32"/>
      <c r="AN95" s="32"/>
      <c r="AO95" s="58" t="str">
        <f t="shared" si="248"/>
        <v/>
      </c>
      <c r="AP95" s="58" t="str">
        <f t="shared" si="249"/>
        <v/>
      </c>
      <c r="AQ95" s="58" t="str">
        <f t="shared" si="250"/>
        <v/>
      </c>
      <c r="AR95" s="59" t="str">
        <f t="shared" si="251"/>
        <v/>
      </c>
      <c r="AS95" s="20"/>
      <c r="AT95" s="16"/>
      <c r="AU95" s="16"/>
      <c r="AV95" s="61" t="str">
        <f>IF(_xlfn.XLOOKUP(AT95, AutoFill_classes!$A:$A, AutoFill_classes!$B:$B,"")=0,"",_xlfn.XLOOKUP(AT95, AutoFill_classes!$A:$A, AutoFill_classes!$B:$B,""))</f>
        <v/>
      </c>
      <c r="AW95" s="154"/>
      <c r="AX95" s="16"/>
      <c r="AY95" s="16"/>
      <c r="AZ95" s="16"/>
      <c r="BA95" s="16"/>
      <c r="BB95" s="16"/>
      <c r="BC95" s="144"/>
      <c r="BD95" s="27"/>
      <c r="BE95" s="60" t="str">
        <f t="shared" si="252"/>
        <v/>
      </c>
      <c r="BF95" s="32"/>
      <c r="BG95" s="32"/>
      <c r="BH95" s="32"/>
      <c r="BI95" s="32"/>
      <c r="BJ95" s="58" t="str">
        <f t="shared" si="253"/>
        <v/>
      </c>
      <c r="BK95" s="20"/>
      <c r="BL95" s="58" t="str">
        <f t="shared" si="254"/>
        <v/>
      </c>
      <c r="BM95" s="32"/>
      <c r="BN95" s="32"/>
      <c r="BO95" s="58" t="str">
        <f t="shared" si="255"/>
        <v/>
      </c>
      <c r="BP95" s="20"/>
      <c r="BQ95" s="58" t="str">
        <f t="shared" si="256"/>
        <v/>
      </c>
      <c r="BR95" s="32"/>
      <c r="BS95" s="32"/>
      <c r="BT95" s="58" t="str">
        <f t="shared" si="257"/>
        <v/>
      </c>
      <c r="BU95" s="58" t="str">
        <f t="shared" si="258"/>
        <v/>
      </c>
      <c r="BV95" s="58" t="str">
        <f t="shared" si="259"/>
        <v/>
      </c>
      <c r="BW95" s="59" t="str">
        <f t="shared" si="260"/>
        <v/>
      </c>
      <c r="BX95" s="16"/>
      <c r="BY95" s="21"/>
      <c r="BZ95" s="20"/>
      <c r="CA95" s="61" t="str">
        <f>IF(_xlfn.XLOOKUP(BY95, AutoFill_classes!$A:$A, AutoFill_classes!$B:$B,"")=0,"",_xlfn.XLOOKUP(BY95, AutoFill_classes!$A:$A, AutoFill_classes!$B:$B,""))</f>
        <v/>
      </c>
      <c r="CB95" s="154"/>
      <c r="CC95" s="20"/>
      <c r="CD95" s="20"/>
      <c r="CE95" s="20"/>
      <c r="CF95" s="33"/>
      <c r="CG95" s="34"/>
      <c r="CH95" s="144"/>
      <c r="CI95" s="35"/>
      <c r="CJ95" s="60" t="str">
        <f t="shared" si="261"/>
        <v/>
      </c>
      <c r="CK95" s="32"/>
      <c r="CL95" s="32"/>
      <c r="CM95" s="32"/>
      <c r="CN95" s="32"/>
      <c r="CO95" s="58" t="str">
        <f t="shared" si="262"/>
        <v/>
      </c>
      <c r="CP95" s="20"/>
      <c r="CQ95" s="58" t="str">
        <f t="shared" si="263"/>
        <v/>
      </c>
      <c r="CR95" s="32"/>
      <c r="CS95" s="32"/>
      <c r="CT95" s="58" t="str">
        <f t="shared" si="264"/>
        <v/>
      </c>
      <c r="CU95" s="20"/>
      <c r="CV95" s="58" t="str">
        <f t="shared" si="265"/>
        <v/>
      </c>
      <c r="CW95" s="32"/>
      <c r="CX95" s="32"/>
      <c r="CY95" s="58" t="str">
        <f t="shared" si="266"/>
        <v/>
      </c>
      <c r="CZ95" s="58" t="str">
        <f t="shared" si="267"/>
        <v/>
      </c>
      <c r="DA95" s="58" t="str">
        <f t="shared" si="268"/>
        <v/>
      </c>
      <c r="DB95" s="59" t="str">
        <f t="shared" si="269"/>
        <v/>
      </c>
      <c r="DC95" s="20"/>
      <c r="DD95" s="144"/>
      <c r="DE95" s="91">
        <v>94</v>
      </c>
      <c r="DF95" s="39"/>
      <c r="DG95" s="39"/>
      <c r="DH95" s="39"/>
      <c r="DI95" s="39"/>
      <c r="DJ95" s="39"/>
      <c r="DK95" s="39"/>
      <c r="DL95" s="39"/>
      <c r="DM95" s="39"/>
      <c r="DN95" s="39"/>
      <c r="DO95" s="39"/>
      <c r="DP95" s="39"/>
      <c r="DQ95" s="39"/>
      <c r="DR95" s="39"/>
      <c r="DS95" s="39"/>
      <c r="DT95" s="39"/>
      <c r="DU95" s="39"/>
      <c r="DV95" s="39"/>
      <c r="DW95" s="39"/>
      <c r="DX95" s="39"/>
      <c r="DY95" s="39"/>
      <c r="DZ95" s="39"/>
      <c r="EA95" s="39"/>
      <c r="EB95" s="39"/>
      <c r="EC95" s="39"/>
      <c r="ED95" s="39"/>
      <c r="EE95" s="39"/>
      <c r="EF95" s="39"/>
      <c r="EG95" s="39"/>
      <c r="EH95" s="39"/>
      <c r="EI95" s="39"/>
      <c r="EJ95" s="39"/>
      <c r="EK95" s="39"/>
      <c r="EL95" s="39"/>
      <c r="EM95" s="39"/>
      <c r="EN95" s="39"/>
      <c r="EO95" s="39"/>
      <c r="EP95" s="39"/>
      <c r="EQ95" s="39"/>
      <c r="ER95" s="39"/>
      <c r="ES95" s="39"/>
      <c r="ET95" s="39"/>
      <c r="EU95" s="39"/>
      <c r="EV95" s="39"/>
      <c r="EW95" s="39"/>
      <c r="EX95" s="39"/>
      <c r="EY95" s="39"/>
      <c r="EZ95" s="39"/>
      <c r="FA95" s="39"/>
      <c r="FB95" s="39"/>
      <c r="FC95" s="39"/>
      <c r="FD95" s="39"/>
      <c r="FE95" s="39"/>
      <c r="FF95" s="39"/>
      <c r="FG95" s="39"/>
      <c r="FH95" s="39"/>
      <c r="FI95" s="39"/>
      <c r="FJ95" s="39"/>
      <c r="FK95" s="39"/>
      <c r="FL95" s="39"/>
      <c r="FM95" s="39"/>
      <c r="FN95" s="39"/>
      <c r="FO95" s="39"/>
      <c r="FP95" s="39"/>
      <c r="FQ95" s="39"/>
      <c r="FR95" s="39"/>
      <c r="FS95" s="39"/>
      <c r="FT95" s="39"/>
    </row>
    <row r="96" spans="1:176" s="22" customFormat="1" ht="13">
      <c r="A96" s="7"/>
      <c r="B96" s="23" t="str">
        <f>IF(_xlfn.XLOOKUP(A96, AutoFill_names!B:B, AutoFill_names!C:C,"")=0,"",_xlfn.XLOOKUP(A96, AutoFill_names!B:B, AutoFill_names!C:C,""))</f>
        <v/>
      </c>
      <c r="C96" s="23" t="str">
        <f>IF(_xlfn.XLOOKUP(A96, AutoFill_names!B:B, AutoFill_names!D:D,"")=0,"",_xlfn.XLOOKUP(A96, AutoFill_names!B:B, AutoFill_names!D:D,""))</f>
        <v/>
      </c>
      <c r="D96" s="23" t="str">
        <f>IF(_xlfn.XLOOKUP(A96, AutoFill_names!B:B, AutoFill_names!E:E,"")=0,"",_xlfn.XLOOKUP(A96, AutoFill_names!B:B, AutoFill_names!E:E,""))</f>
        <v/>
      </c>
      <c r="E96" s="23" t="str">
        <f>IF(_xlfn.XLOOKUP(A96, AutoFill_names!B:B, AutoFill_names!F:F,"")=0,"",_xlfn.XLOOKUP(A96, AutoFill_names!B:B, AutoFill_names!F:F,""))</f>
        <v/>
      </c>
      <c r="F96" s="4"/>
      <c r="G96" s="4"/>
      <c r="H96" s="4"/>
      <c r="I96" s="4"/>
      <c r="J96" s="23" t="str">
        <f>IF(_xlfn.XLOOKUP(A96, AutoFill_names!B:B, AutoFill_names!K:K,"")=0,"",_xlfn.XLOOKUP(A96, AutoFill_names!B:B, AutoFill_names!K:K,""))</f>
        <v/>
      </c>
      <c r="K96" s="23" t="str">
        <f>IF(_xlfn.XLOOKUP(A96, AutoFill_names!B:B, AutoFill_names!L:L,"")=0,"",_xlfn.XLOOKUP(A96, AutoFill_names!B:B, AutoFill_names!L:L,""))</f>
        <v/>
      </c>
      <c r="L96" s="45"/>
      <c r="M96" s="45"/>
      <c r="N96" s="61" t="str">
        <f>IF(_xlfn.XLOOKUP(L96, AutoFill_classes!A:A, AutoFill_classes!B:B,"")=0,"",_xlfn.XLOOKUP(L96, AutoFill_classes!A:A, AutoFill_classes!B:B,""))</f>
        <v/>
      </c>
      <c r="O96" s="154"/>
      <c r="P96" s="9"/>
      <c r="Q96" s="9"/>
      <c r="R96" s="9"/>
      <c r="S96" s="4"/>
      <c r="T96" s="4"/>
      <c r="U96" s="4"/>
      <c r="V96" s="4"/>
      <c r="W96" s="4"/>
      <c r="X96" s="144"/>
      <c r="Y96" s="27"/>
      <c r="Z96" s="60" t="str">
        <f t="shared" si="243"/>
        <v/>
      </c>
      <c r="AA96" s="32"/>
      <c r="AB96" s="32"/>
      <c r="AC96" s="32"/>
      <c r="AD96" s="32"/>
      <c r="AE96" s="58" t="str">
        <f t="shared" si="244"/>
        <v/>
      </c>
      <c r="AF96" s="20"/>
      <c r="AG96" s="58" t="str">
        <f t="shared" si="245"/>
        <v/>
      </c>
      <c r="AH96" s="32"/>
      <c r="AI96" s="32"/>
      <c r="AJ96" s="58" t="str">
        <f t="shared" si="246"/>
        <v/>
      </c>
      <c r="AK96" s="20"/>
      <c r="AL96" s="58" t="str">
        <f t="shared" si="247"/>
        <v/>
      </c>
      <c r="AM96" s="32"/>
      <c r="AN96" s="32"/>
      <c r="AO96" s="58" t="str">
        <f t="shared" si="248"/>
        <v/>
      </c>
      <c r="AP96" s="58" t="str">
        <f t="shared" si="249"/>
        <v/>
      </c>
      <c r="AQ96" s="58" t="str">
        <f t="shared" si="250"/>
        <v/>
      </c>
      <c r="AR96" s="59" t="str">
        <f t="shared" si="251"/>
        <v/>
      </c>
      <c r="AS96" s="20"/>
      <c r="AT96" s="16"/>
      <c r="AU96" s="16"/>
      <c r="AV96" s="61" t="str">
        <f>IF(_xlfn.XLOOKUP(AT96, AutoFill_classes!$A:$A, AutoFill_classes!$B:$B,"")=0,"",_xlfn.XLOOKUP(AT96, AutoFill_classes!$A:$A, AutoFill_classes!$B:$B,""))</f>
        <v/>
      </c>
      <c r="AW96" s="154"/>
      <c r="AX96" s="16"/>
      <c r="AY96" s="16"/>
      <c r="AZ96" s="16"/>
      <c r="BA96" s="16"/>
      <c r="BB96" s="16"/>
      <c r="BC96" s="144"/>
      <c r="BD96" s="27"/>
      <c r="BE96" s="60" t="str">
        <f t="shared" si="252"/>
        <v/>
      </c>
      <c r="BF96" s="32"/>
      <c r="BG96" s="32"/>
      <c r="BH96" s="32"/>
      <c r="BI96" s="32"/>
      <c r="BJ96" s="58" t="str">
        <f t="shared" si="253"/>
        <v/>
      </c>
      <c r="BK96" s="20"/>
      <c r="BL96" s="58" t="str">
        <f t="shared" si="254"/>
        <v/>
      </c>
      <c r="BM96" s="32"/>
      <c r="BN96" s="32"/>
      <c r="BO96" s="58" t="str">
        <f t="shared" si="255"/>
        <v/>
      </c>
      <c r="BP96" s="20"/>
      <c r="BQ96" s="58" t="str">
        <f t="shared" si="256"/>
        <v/>
      </c>
      <c r="BR96" s="32"/>
      <c r="BS96" s="32"/>
      <c r="BT96" s="58" t="str">
        <f t="shared" si="257"/>
        <v/>
      </c>
      <c r="BU96" s="58" t="str">
        <f t="shared" si="258"/>
        <v/>
      </c>
      <c r="BV96" s="58" t="str">
        <f t="shared" si="259"/>
        <v/>
      </c>
      <c r="BW96" s="59" t="str">
        <f t="shared" si="260"/>
        <v/>
      </c>
      <c r="BX96" s="16"/>
      <c r="BY96" s="21"/>
      <c r="BZ96" s="20"/>
      <c r="CA96" s="61" t="str">
        <f>IF(_xlfn.XLOOKUP(BY96, AutoFill_classes!$A:$A, AutoFill_classes!$B:$B,"")=0,"",_xlfn.XLOOKUP(BY96, AutoFill_classes!$A:$A, AutoFill_classes!$B:$B,""))</f>
        <v/>
      </c>
      <c r="CB96" s="154"/>
      <c r="CC96" s="20"/>
      <c r="CD96" s="20"/>
      <c r="CE96" s="20"/>
      <c r="CF96" s="33"/>
      <c r="CG96" s="34"/>
      <c r="CH96" s="144"/>
      <c r="CI96" s="35"/>
      <c r="CJ96" s="60" t="str">
        <f t="shared" si="261"/>
        <v/>
      </c>
      <c r="CK96" s="32"/>
      <c r="CL96" s="32"/>
      <c r="CM96" s="32"/>
      <c r="CN96" s="32"/>
      <c r="CO96" s="58" t="str">
        <f t="shared" si="262"/>
        <v/>
      </c>
      <c r="CP96" s="20"/>
      <c r="CQ96" s="58" t="str">
        <f t="shared" si="263"/>
        <v/>
      </c>
      <c r="CR96" s="32"/>
      <c r="CS96" s="32"/>
      <c r="CT96" s="58" t="str">
        <f t="shared" si="264"/>
        <v/>
      </c>
      <c r="CU96" s="20"/>
      <c r="CV96" s="58" t="str">
        <f t="shared" si="265"/>
        <v/>
      </c>
      <c r="CW96" s="32"/>
      <c r="CX96" s="32"/>
      <c r="CY96" s="58" t="str">
        <f t="shared" si="266"/>
        <v/>
      </c>
      <c r="CZ96" s="58" t="str">
        <f t="shared" si="267"/>
        <v/>
      </c>
      <c r="DA96" s="58" t="str">
        <f t="shared" si="268"/>
        <v/>
      </c>
      <c r="DB96" s="59" t="str">
        <f t="shared" si="269"/>
        <v/>
      </c>
      <c r="DC96" s="20"/>
      <c r="DD96" s="144"/>
      <c r="DE96" s="91">
        <v>95</v>
      </c>
      <c r="DF96" s="39"/>
      <c r="DG96" s="39"/>
      <c r="DH96" s="39"/>
      <c r="DI96" s="39"/>
      <c r="DJ96" s="39"/>
      <c r="DK96" s="39"/>
      <c r="DL96" s="39"/>
      <c r="DM96" s="39"/>
      <c r="DN96" s="39"/>
      <c r="DO96" s="39"/>
      <c r="DP96" s="39"/>
      <c r="DQ96" s="39"/>
      <c r="DR96" s="39"/>
      <c r="DS96" s="39"/>
      <c r="DT96" s="39"/>
      <c r="DU96" s="39"/>
      <c r="DV96" s="39"/>
      <c r="DW96" s="39"/>
      <c r="DX96" s="39"/>
      <c r="DY96" s="39"/>
      <c r="DZ96" s="39"/>
      <c r="EA96" s="39"/>
      <c r="EB96" s="39"/>
      <c r="EC96" s="39"/>
      <c r="ED96" s="39"/>
      <c r="EE96" s="39"/>
      <c r="EF96" s="39"/>
      <c r="EG96" s="39"/>
      <c r="EH96" s="39"/>
      <c r="EI96" s="39"/>
      <c r="EJ96" s="39"/>
      <c r="EK96" s="39"/>
      <c r="EL96" s="39"/>
      <c r="EM96" s="39"/>
      <c r="EN96" s="39"/>
      <c r="EO96" s="39"/>
      <c r="EP96" s="39"/>
      <c r="EQ96" s="39"/>
      <c r="ER96" s="39"/>
      <c r="ES96" s="39"/>
      <c r="ET96" s="39"/>
      <c r="EU96" s="39"/>
      <c r="EV96" s="39"/>
      <c r="EW96" s="39"/>
      <c r="EX96" s="39"/>
      <c r="EY96" s="39"/>
      <c r="EZ96" s="39"/>
      <c r="FA96" s="39"/>
      <c r="FB96" s="39"/>
      <c r="FC96" s="39"/>
      <c r="FD96" s="39"/>
      <c r="FE96" s="39"/>
      <c r="FF96" s="39"/>
      <c r="FG96" s="39"/>
      <c r="FH96" s="39"/>
      <c r="FI96" s="39"/>
      <c r="FJ96" s="39"/>
      <c r="FK96" s="39"/>
      <c r="FL96" s="39"/>
      <c r="FM96" s="39"/>
      <c r="FN96" s="39"/>
      <c r="FO96" s="39"/>
      <c r="FP96" s="39"/>
      <c r="FQ96" s="39"/>
      <c r="FR96" s="39"/>
      <c r="FS96" s="39"/>
      <c r="FT96" s="39"/>
    </row>
    <row r="97" spans="1:176" s="22" customFormat="1" ht="13">
      <c r="A97" s="7"/>
      <c r="B97" s="23" t="str">
        <f>IF(_xlfn.XLOOKUP(A97, AutoFill_names!B:B, AutoFill_names!C:C,"")=0,"",_xlfn.XLOOKUP(A97, AutoFill_names!B:B, AutoFill_names!C:C,""))</f>
        <v/>
      </c>
      <c r="C97" s="23" t="str">
        <f>IF(_xlfn.XLOOKUP(A97, AutoFill_names!B:B, AutoFill_names!D:D,"")=0,"",_xlfn.XLOOKUP(A97, AutoFill_names!B:B, AutoFill_names!D:D,""))</f>
        <v/>
      </c>
      <c r="D97" s="23" t="str">
        <f>IF(_xlfn.XLOOKUP(A97, AutoFill_names!B:B, AutoFill_names!E:E,"")=0,"",_xlfn.XLOOKUP(A97, AutoFill_names!B:B, AutoFill_names!E:E,""))</f>
        <v/>
      </c>
      <c r="E97" s="23" t="str">
        <f>IF(_xlfn.XLOOKUP(A97, AutoFill_names!B:B, AutoFill_names!F:F,"")=0,"",_xlfn.XLOOKUP(A97, AutoFill_names!B:B, AutoFill_names!F:F,""))</f>
        <v/>
      </c>
      <c r="F97" s="4"/>
      <c r="G97" s="4"/>
      <c r="H97" s="4"/>
      <c r="I97" s="4"/>
      <c r="J97" s="23" t="str">
        <f>IF(_xlfn.XLOOKUP(A97, AutoFill_names!B:B, AutoFill_names!K:K,"")=0,"",_xlfn.XLOOKUP(A97, AutoFill_names!B:B, AutoFill_names!K:K,""))</f>
        <v/>
      </c>
      <c r="K97" s="23" t="str">
        <f>IF(_xlfn.XLOOKUP(A97, AutoFill_names!B:B, AutoFill_names!L:L,"")=0,"",_xlfn.XLOOKUP(A97, AutoFill_names!B:B, AutoFill_names!L:L,""))</f>
        <v/>
      </c>
      <c r="L97" s="45"/>
      <c r="M97" s="45"/>
      <c r="N97" s="61" t="str">
        <f>IF(_xlfn.XLOOKUP(L97, AutoFill_classes!A:A, AutoFill_classes!B:B,"")=0,"",_xlfn.XLOOKUP(L97, AutoFill_classes!A:A, AutoFill_classes!B:B,""))</f>
        <v/>
      </c>
      <c r="O97" s="154"/>
      <c r="P97" s="9"/>
      <c r="Q97" s="9"/>
      <c r="R97" s="9"/>
      <c r="S97" s="4"/>
      <c r="T97" s="4"/>
      <c r="U97" s="4"/>
      <c r="V97" s="4"/>
      <c r="W97" s="4"/>
      <c r="X97" s="144"/>
      <c r="Y97" s="27"/>
      <c r="Z97" s="60" t="str">
        <f t="shared" si="243"/>
        <v/>
      </c>
      <c r="AA97" s="32"/>
      <c r="AB97" s="32"/>
      <c r="AC97" s="32"/>
      <c r="AD97" s="32"/>
      <c r="AE97" s="58" t="str">
        <f t="shared" si="244"/>
        <v/>
      </c>
      <c r="AF97" s="20"/>
      <c r="AG97" s="58" t="str">
        <f t="shared" si="245"/>
        <v/>
      </c>
      <c r="AH97" s="32"/>
      <c r="AI97" s="32"/>
      <c r="AJ97" s="58" t="str">
        <f t="shared" si="246"/>
        <v/>
      </c>
      <c r="AK97" s="20"/>
      <c r="AL97" s="58" t="str">
        <f t="shared" si="247"/>
        <v/>
      </c>
      <c r="AM97" s="32"/>
      <c r="AN97" s="32"/>
      <c r="AO97" s="58" t="str">
        <f t="shared" si="248"/>
        <v/>
      </c>
      <c r="AP97" s="58" t="str">
        <f t="shared" si="249"/>
        <v/>
      </c>
      <c r="AQ97" s="58" t="str">
        <f t="shared" si="250"/>
        <v/>
      </c>
      <c r="AR97" s="59" t="str">
        <f t="shared" si="251"/>
        <v/>
      </c>
      <c r="AS97" s="20"/>
      <c r="AT97" s="16"/>
      <c r="AU97" s="16"/>
      <c r="AV97" s="61" t="str">
        <f>IF(_xlfn.XLOOKUP(AT97, AutoFill_classes!$A:$A, AutoFill_classes!$B:$B,"")=0,"",_xlfn.XLOOKUP(AT97, AutoFill_classes!$A:$A, AutoFill_classes!$B:$B,""))</f>
        <v/>
      </c>
      <c r="AW97" s="154"/>
      <c r="AX97" s="16"/>
      <c r="AY97" s="16"/>
      <c r="AZ97" s="16"/>
      <c r="BA97" s="16"/>
      <c r="BB97" s="16"/>
      <c r="BC97" s="144"/>
      <c r="BD97" s="27"/>
      <c r="BE97" s="60" t="str">
        <f t="shared" si="252"/>
        <v/>
      </c>
      <c r="BF97" s="32"/>
      <c r="BG97" s="32"/>
      <c r="BH97" s="32"/>
      <c r="BI97" s="32"/>
      <c r="BJ97" s="58" t="str">
        <f t="shared" si="253"/>
        <v/>
      </c>
      <c r="BK97" s="20"/>
      <c r="BL97" s="58" t="str">
        <f t="shared" si="254"/>
        <v/>
      </c>
      <c r="BM97" s="32"/>
      <c r="BN97" s="32"/>
      <c r="BO97" s="58" t="str">
        <f t="shared" si="255"/>
        <v/>
      </c>
      <c r="BP97" s="20"/>
      <c r="BQ97" s="58" t="str">
        <f t="shared" si="256"/>
        <v/>
      </c>
      <c r="BR97" s="32"/>
      <c r="BS97" s="32"/>
      <c r="BT97" s="58" t="str">
        <f t="shared" si="257"/>
        <v/>
      </c>
      <c r="BU97" s="58" t="str">
        <f t="shared" si="258"/>
        <v/>
      </c>
      <c r="BV97" s="58" t="str">
        <f t="shared" si="259"/>
        <v/>
      </c>
      <c r="BW97" s="59" t="str">
        <f t="shared" si="260"/>
        <v/>
      </c>
      <c r="BX97" s="16"/>
      <c r="BY97" s="21"/>
      <c r="BZ97" s="20"/>
      <c r="CA97" s="61" t="str">
        <f>IF(_xlfn.XLOOKUP(BY97, AutoFill_classes!$A:$A, AutoFill_classes!$B:$B,"")=0,"",_xlfn.XLOOKUP(BY97, AutoFill_classes!$A:$A, AutoFill_classes!$B:$B,""))</f>
        <v/>
      </c>
      <c r="CB97" s="154"/>
      <c r="CC97" s="20"/>
      <c r="CD97" s="20"/>
      <c r="CE97" s="20"/>
      <c r="CF97" s="33"/>
      <c r="CG97" s="34"/>
      <c r="CH97" s="144"/>
      <c r="CI97" s="35"/>
      <c r="CJ97" s="60" t="str">
        <f t="shared" si="261"/>
        <v/>
      </c>
      <c r="CK97" s="32"/>
      <c r="CL97" s="32"/>
      <c r="CM97" s="32"/>
      <c r="CN97" s="32"/>
      <c r="CO97" s="58" t="str">
        <f t="shared" si="262"/>
        <v/>
      </c>
      <c r="CP97" s="20"/>
      <c r="CQ97" s="58" t="str">
        <f t="shared" si="263"/>
        <v/>
      </c>
      <c r="CR97" s="32"/>
      <c r="CS97" s="32"/>
      <c r="CT97" s="58" t="str">
        <f t="shared" si="264"/>
        <v/>
      </c>
      <c r="CU97" s="20"/>
      <c r="CV97" s="58" t="str">
        <f t="shared" si="265"/>
        <v/>
      </c>
      <c r="CW97" s="32"/>
      <c r="CX97" s="32"/>
      <c r="CY97" s="58" t="str">
        <f t="shared" si="266"/>
        <v/>
      </c>
      <c r="CZ97" s="58" t="str">
        <f t="shared" si="267"/>
        <v/>
      </c>
      <c r="DA97" s="58" t="str">
        <f t="shared" si="268"/>
        <v/>
      </c>
      <c r="DB97" s="59" t="str">
        <f t="shared" si="269"/>
        <v/>
      </c>
      <c r="DC97" s="20"/>
      <c r="DD97" s="144"/>
      <c r="DE97" s="91">
        <v>96</v>
      </c>
      <c r="DF97" s="39"/>
      <c r="DG97" s="39"/>
      <c r="DH97" s="39"/>
      <c r="DI97" s="39"/>
      <c r="DJ97" s="39"/>
      <c r="DK97" s="39"/>
      <c r="DL97" s="39"/>
      <c r="DM97" s="39"/>
      <c r="DN97" s="39"/>
      <c r="DO97" s="39"/>
      <c r="DP97" s="39"/>
      <c r="DQ97" s="39"/>
      <c r="DR97" s="39"/>
      <c r="DS97" s="39"/>
      <c r="DT97" s="39"/>
      <c r="DU97" s="39"/>
      <c r="DV97" s="39"/>
      <c r="DW97" s="39"/>
      <c r="DX97" s="39"/>
      <c r="DY97" s="39"/>
      <c r="DZ97" s="39"/>
      <c r="EA97" s="39"/>
      <c r="EB97" s="39"/>
      <c r="EC97" s="39"/>
      <c r="ED97" s="39"/>
      <c r="EE97" s="39"/>
      <c r="EF97" s="39"/>
      <c r="EG97" s="39"/>
      <c r="EH97" s="39"/>
      <c r="EI97" s="39"/>
      <c r="EJ97" s="39"/>
      <c r="EK97" s="39"/>
      <c r="EL97" s="39"/>
      <c r="EM97" s="39"/>
      <c r="EN97" s="39"/>
      <c r="EO97" s="39"/>
      <c r="EP97" s="39"/>
      <c r="EQ97" s="39"/>
      <c r="ER97" s="39"/>
      <c r="ES97" s="39"/>
      <c r="ET97" s="39"/>
      <c r="EU97" s="39"/>
      <c r="EV97" s="39"/>
      <c r="EW97" s="39"/>
      <c r="EX97" s="39"/>
      <c r="EY97" s="39"/>
      <c r="EZ97" s="39"/>
      <c r="FA97" s="39"/>
      <c r="FB97" s="39"/>
      <c r="FC97" s="39"/>
      <c r="FD97" s="39"/>
      <c r="FE97" s="39"/>
      <c r="FF97" s="39"/>
      <c r="FG97" s="39"/>
      <c r="FH97" s="39"/>
      <c r="FI97" s="39"/>
      <c r="FJ97" s="39"/>
      <c r="FK97" s="39"/>
      <c r="FL97" s="39"/>
      <c r="FM97" s="39"/>
      <c r="FN97" s="39"/>
      <c r="FO97" s="39"/>
      <c r="FP97" s="39"/>
      <c r="FQ97" s="39"/>
      <c r="FR97" s="39"/>
      <c r="FS97" s="39"/>
      <c r="FT97" s="39"/>
    </row>
    <row r="98" spans="1:176" s="22" customFormat="1" ht="13">
      <c r="A98" s="7"/>
      <c r="B98" s="23" t="str">
        <f>IF(_xlfn.XLOOKUP(A98, AutoFill_names!B:B, AutoFill_names!C:C,"")=0,"",_xlfn.XLOOKUP(A98, AutoFill_names!B:B, AutoFill_names!C:C,""))</f>
        <v/>
      </c>
      <c r="C98" s="23" t="str">
        <f>IF(_xlfn.XLOOKUP(A98, AutoFill_names!B:B, AutoFill_names!D:D,"")=0,"",_xlfn.XLOOKUP(A98, AutoFill_names!B:B, AutoFill_names!D:D,""))</f>
        <v/>
      </c>
      <c r="D98" s="23" t="str">
        <f>IF(_xlfn.XLOOKUP(A98, AutoFill_names!B:B, AutoFill_names!E:E,"")=0,"",_xlfn.XLOOKUP(A98, AutoFill_names!B:B, AutoFill_names!E:E,""))</f>
        <v/>
      </c>
      <c r="E98" s="23" t="str">
        <f>IF(_xlfn.XLOOKUP(A98, AutoFill_names!B:B, AutoFill_names!F:F,"")=0,"",_xlfn.XLOOKUP(A98, AutoFill_names!B:B, AutoFill_names!F:F,""))</f>
        <v/>
      </c>
      <c r="F98" s="4"/>
      <c r="G98" s="4"/>
      <c r="H98" s="4"/>
      <c r="I98" s="4"/>
      <c r="J98" s="23" t="str">
        <f>IF(_xlfn.XLOOKUP(A98, AutoFill_names!B:B, AutoFill_names!K:K,"")=0,"",_xlfn.XLOOKUP(A98, AutoFill_names!B:B, AutoFill_names!K:K,""))</f>
        <v/>
      </c>
      <c r="K98" s="23" t="str">
        <f>IF(_xlfn.XLOOKUP(A98, AutoFill_names!B:B, AutoFill_names!L:L,"")=0,"",_xlfn.XLOOKUP(A98, AutoFill_names!B:B, AutoFill_names!L:L,""))</f>
        <v/>
      </c>
      <c r="L98" s="45"/>
      <c r="M98" s="45"/>
      <c r="N98" s="61" t="str">
        <f>IF(_xlfn.XLOOKUP(L98, AutoFill_classes!A:A, AutoFill_classes!B:B,"")=0,"",_xlfn.XLOOKUP(L98, AutoFill_classes!A:A, AutoFill_classes!B:B,""))</f>
        <v/>
      </c>
      <c r="O98" s="154"/>
      <c r="P98" s="9"/>
      <c r="Q98" s="9"/>
      <c r="R98" s="9"/>
      <c r="S98" s="4"/>
      <c r="T98" s="4"/>
      <c r="U98" s="4"/>
      <c r="V98" s="4"/>
      <c r="W98" s="4"/>
      <c r="X98" s="144"/>
      <c r="Y98" s="27"/>
      <c r="Z98" s="60" t="str">
        <f t="shared" si="243"/>
        <v/>
      </c>
      <c r="AA98" s="32"/>
      <c r="AB98" s="32"/>
      <c r="AC98" s="32"/>
      <c r="AD98" s="32"/>
      <c r="AE98" s="58" t="str">
        <f t="shared" si="244"/>
        <v/>
      </c>
      <c r="AF98" s="20"/>
      <c r="AG98" s="58" t="str">
        <f t="shared" si="245"/>
        <v/>
      </c>
      <c r="AH98" s="32"/>
      <c r="AI98" s="32"/>
      <c r="AJ98" s="58" t="str">
        <f t="shared" si="246"/>
        <v/>
      </c>
      <c r="AK98" s="20"/>
      <c r="AL98" s="58" t="str">
        <f t="shared" si="247"/>
        <v/>
      </c>
      <c r="AM98" s="32"/>
      <c r="AN98" s="32"/>
      <c r="AO98" s="58" t="str">
        <f t="shared" si="248"/>
        <v/>
      </c>
      <c r="AP98" s="58" t="str">
        <f t="shared" si="249"/>
        <v/>
      </c>
      <c r="AQ98" s="58" t="str">
        <f t="shared" si="250"/>
        <v/>
      </c>
      <c r="AR98" s="59" t="str">
        <f t="shared" si="251"/>
        <v/>
      </c>
      <c r="AS98" s="20"/>
      <c r="AT98" s="16"/>
      <c r="AU98" s="16"/>
      <c r="AV98" s="61" t="str">
        <f>IF(_xlfn.XLOOKUP(AT98, AutoFill_classes!$A:$A, AutoFill_classes!$B:$B,"")=0,"",_xlfn.XLOOKUP(AT98, AutoFill_classes!$A:$A, AutoFill_classes!$B:$B,""))</f>
        <v/>
      </c>
      <c r="AW98" s="154"/>
      <c r="AX98" s="16"/>
      <c r="AY98" s="16"/>
      <c r="AZ98" s="16"/>
      <c r="BA98" s="16"/>
      <c r="BB98" s="16"/>
      <c r="BC98" s="144"/>
      <c r="BD98" s="27"/>
      <c r="BE98" s="60" t="str">
        <f t="shared" si="252"/>
        <v/>
      </c>
      <c r="BF98" s="32"/>
      <c r="BG98" s="32"/>
      <c r="BH98" s="32"/>
      <c r="BI98" s="32"/>
      <c r="BJ98" s="58" t="str">
        <f t="shared" si="253"/>
        <v/>
      </c>
      <c r="BK98" s="20"/>
      <c r="BL98" s="58" t="str">
        <f t="shared" si="254"/>
        <v/>
      </c>
      <c r="BM98" s="32"/>
      <c r="BN98" s="32"/>
      <c r="BO98" s="58" t="str">
        <f t="shared" si="255"/>
        <v/>
      </c>
      <c r="BP98" s="20"/>
      <c r="BQ98" s="58" t="str">
        <f t="shared" si="256"/>
        <v/>
      </c>
      <c r="BR98" s="32"/>
      <c r="BS98" s="32"/>
      <c r="BT98" s="58" t="str">
        <f t="shared" si="257"/>
        <v/>
      </c>
      <c r="BU98" s="58" t="str">
        <f t="shared" si="258"/>
        <v/>
      </c>
      <c r="BV98" s="58" t="str">
        <f t="shared" si="259"/>
        <v/>
      </c>
      <c r="BW98" s="59" t="str">
        <f t="shared" si="260"/>
        <v/>
      </c>
      <c r="BX98" s="16"/>
      <c r="BY98" s="21"/>
      <c r="BZ98" s="20"/>
      <c r="CA98" s="61" t="str">
        <f>IF(_xlfn.XLOOKUP(BY98, AutoFill_classes!$A:$A, AutoFill_classes!$B:$B,"")=0,"",_xlfn.XLOOKUP(BY98, AutoFill_classes!$A:$A, AutoFill_classes!$B:$B,""))</f>
        <v/>
      </c>
      <c r="CB98" s="154"/>
      <c r="CC98" s="20"/>
      <c r="CD98" s="20"/>
      <c r="CE98" s="20"/>
      <c r="CF98" s="33"/>
      <c r="CG98" s="34"/>
      <c r="CH98" s="144"/>
      <c r="CI98" s="35"/>
      <c r="CJ98" s="60" t="str">
        <f t="shared" si="261"/>
        <v/>
      </c>
      <c r="CK98" s="32"/>
      <c r="CL98" s="32"/>
      <c r="CM98" s="32"/>
      <c r="CN98" s="32"/>
      <c r="CO98" s="58" t="str">
        <f t="shared" si="262"/>
        <v/>
      </c>
      <c r="CP98" s="20"/>
      <c r="CQ98" s="58" t="str">
        <f t="shared" si="263"/>
        <v/>
      </c>
      <c r="CR98" s="32"/>
      <c r="CS98" s="32"/>
      <c r="CT98" s="58" t="str">
        <f t="shared" si="264"/>
        <v/>
      </c>
      <c r="CU98" s="20"/>
      <c r="CV98" s="58" t="str">
        <f t="shared" si="265"/>
        <v/>
      </c>
      <c r="CW98" s="32"/>
      <c r="CX98" s="32"/>
      <c r="CY98" s="58" t="str">
        <f t="shared" si="266"/>
        <v/>
      </c>
      <c r="CZ98" s="58" t="str">
        <f t="shared" si="267"/>
        <v/>
      </c>
      <c r="DA98" s="58" t="str">
        <f t="shared" si="268"/>
        <v/>
      </c>
      <c r="DB98" s="59" t="str">
        <f t="shared" si="269"/>
        <v/>
      </c>
      <c r="DC98" s="20"/>
      <c r="DD98" s="144"/>
      <c r="DE98" s="91">
        <v>97</v>
      </c>
      <c r="DF98" s="39"/>
      <c r="DG98" s="39"/>
      <c r="DH98" s="39"/>
      <c r="DI98" s="39"/>
      <c r="DJ98" s="39"/>
      <c r="DK98" s="39"/>
      <c r="DL98" s="39"/>
      <c r="DM98" s="39"/>
      <c r="DN98" s="39"/>
      <c r="DO98" s="39"/>
      <c r="DP98" s="39"/>
      <c r="DQ98" s="39"/>
      <c r="DR98" s="39"/>
      <c r="DS98" s="39"/>
      <c r="DT98" s="39"/>
      <c r="DU98" s="39"/>
      <c r="DV98" s="39"/>
      <c r="DW98" s="39"/>
      <c r="DX98" s="39"/>
      <c r="DY98" s="39"/>
      <c r="DZ98" s="39"/>
      <c r="EA98" s="39"/>
      <c r="EB98" s="39"/>
      <c r="EC98" s="39"/>
      <c r="ED98" s="39"/>
      <c r="EE98" s="39"/>
      <c r="EF98" s="39"/>
      <c r="EG98" s="39"/>
      <c r="EH98" s="39"/>
      <c r="EI98" s="39"/>
      <c r="EJ98" s="39"/>
      <c r="EK98" s="39"/>
      <c r="EL98" s="39"/>
      <c r="EM98" s="39"/>
      <c r="EN98" s="39"/>
      <c r="EO98" s="39"/>
      <c r="EP98" s="39"/>
      <c r="EQ98" s="39"/>
      <c r="ER98" s="39"/>
      <c r="ES98" s="39"/>
      <c r="ET98" s="39"/>
      <c r="EU98" s="39"/>
      <c r="EV98" s="39"/>
      <c r="EW98" s="39"/>
      <c r="EX98" s="39"/>
      <c r="EY98" s="39"/>
      <c r="EZ98" s="39"/>
      <c r="FA98" s="39"/>
      <c r="FB98" s="39"/>
      <c r="FC98" s="39"/>
      <c r="FD98" s="39"/>
      <c r="FE98" s="39"/>
      <c r="FF98" s="39"/>
      <c r="FG98" s="39"/>
      <c r="FH98" s="39"/>
      <c r="FI98" s="39"/>
      <c r="FJ98" s="39"/>
      <c r="FK98" s="39"/>
      <c r="FL98" s="39"/>
      <c r="FM98" s="39"/>
      <c r="FN98" s="39"/>
      <c r="FO98" s="39"/>
      <c r="FP98" s="39"/>
      <c r="FQ98" s="39"/>
      <c r="FR98" s="39"/>
      <c r="FS98" s="39"/>
      <c r="FT98" s="39"/>
    </row>
    <row r="99" spans="1:176" s="22" customFormat="1" ht="13">
      <c r="A99" s="7"/>
      <c r="B99" s="23" t="str">
        <f>IF(_xlfn.XLOOKUP(A99, AutoFill_names!B:B, AutoFill_names!C:C,"")=0,"",_xlfn.XLOOKUP(A99, AutoFill_names!B:B, AutoFill_names!C:C,""))</f>
        <v/>
      </c>
      <c r="C99" s="23" t="str">
        <f>IF(_xlfn.XLOOKUP(A99, AutoFill_names!B:B, AutoFill_names!D:D,"")=0,"",_xlfn.XLOOKUP(A99, AutoFill_names!B:B, AutoFill_names!D:D,""))</f>
        <v/>
      </c>
      <c r="D99" s="23" t="str">
        <f>IF(_xlfn.XLOOKUP(A99, AutoFill_names!B:B, AutoFill_names!E:E,"")=0,"",_xlfn.XLOOKUP(A99, AutoFill_names!B:B, AutoFill_names!E:E,""))</f>
        <v/>
      </c>
      <c r="E99" s="23" t="str">
        <f>IF(_xlfn.XLOOKUP(A99, AutoFill_names!B:B, AutoFill_names!F:F,"")=0,"",_xlfn.XLOOKUP(A99, AutoFill_names!B:B, AutoFill_names!F:F,""))</f>
        <v/>
      </c>
      <c r="F99" s="4"/>
      <c r="G99" s="4"/>
      <c r="H99" s="4"/>
      <c r="I99" s="4"/>
      <c r="J99" s="23" t="str">
        <f>IF(_xlfn.XLOOKUP(A99, AutoFill_names!B:B, AutoFill_names!K:K,"")=0,"",_xlfn.XLOOKUP(A99, AutoFill_names!B:B, AutoFill_names!K:K,""))</f>
        <v/>
      </c>
      <c r="K99" s="23" t="str">
        <f>IF(_xlfn.XLOOKUP(A99, AutoFill_names!B:B, AutoFill_names!L:L,"")=0,"",_xlfn.XLOOKUP(A99, AutoFill_names!B:B, AutoFill_names!L:L,""))</f>
        <v/>
      </c>
      <c r="L99" s="45"/>
      <c r="M99" s="45"/>
      <c r="N99" s="61" t="str">
        <f>IF(_xlfn.XLOOKUP(L99, AutoFill_classes!A:A, AutoFill_classes!B:B,"")=0,"",_xlfn.XLOOKUP(L99, AutoFill_classes!A:A, AutoFill_classes!B:B,""))</f>
        <v/>
      </c>
      <c r="O99" s="154"/>
      <c r="P99" s="9"/>
      <c r="Q99" s="9"/>
      <c r="R99" s="9"/>
      <c r="S99" s="4"/>
      <c r="T99" s="4"/>
      <c r="U99" s="4"/>
      <c r="V99" s="4"/>
      <c r="W99" s="4"/>
      <c r="X99" s="144"/>
      <c r="Y99" s="27"/>
      <c r="Z99" s="60" t="str">
        <f t="shared" si="243"/>
        <v/>
      </c>
      <c r="AA99" s="32"/>
      <c r="AB99" s="32"/>
      <c r="AC99" s="32"/>
      <c r="AD99" s="32"/>
      <c r="AE99" s="58" t="str">
        <f t="shared" si="244"/>
        <v/>
      </c>
      <c r="AF99" s="20"/>
      <c r="AG99" s="58" t="str">
        <f t="shared" si="245"/>
        <v/>
      </c>
      <c r="AH99" s="32"/>
      <c r="AI99" s="32"/>
      <c r="AJ99" s="58" t="str">
        <f t="shared" si="246"/>
        <v/>
      </c>
      <c r="AK99" s="20"/>
      <c r="AL99" s="58" t="str">
        <f t="shared" si="247"/>
        <v/>
      </c>
      <c r="AM99" s="32"/>
      <c r="AN99" s="32"/>
      <c r="AO99" s="58" t="str">
        <f t="shared" si="248"/>
        <v/>
      </c>
      <c r="AP99" s="58" t="str">
        <f t="shared" si="249"/>
        <v/>
      </c>
      <c r="AQ99" s="58" t="str">
        <f t="shared" si="250"/>
        <v/>
      </c>
      <c r="AR99" s="59" t="str">
        <f t="shared" si="251"/>
        <v/>
      </c>
      <c r="AS99" s="20"/>
      <c r="AT99" s="16"/>
      <c r="AU99" s="16"/>
      <c r="AV99" s="61" t="str">
        <f>IF(_xlfn.XLOOKUP(AT99, AutoFill_classes!$A:$A, AutoFill_classes!$B:$B,"")=0,"",_xlfn.XLOOKUP(AT99, AutoFill_classes!$A:$A, AutoFill_classes!$B:$B,""))</f>
        <v/>
      </c>
      <c r="AW99" s="154"/>
      <c r="AX99" s="16"/>
      <c r="AY99" s="16"/>
      <c r="AZ99" s="16"/>
      <c r="BA99" s="16"/>
      <c r="BB99" s="16"/>
      <c r="BC99" s="144"/>
      <c r="BD99" s="27"/>
      <c r="BE99" s="60" t="str">
        <f t="shared" si="252"/>
        <v/>
      </c>
      <c r="BF99" s="32"/>
      <c r="BG99" s="32"/>
      <c r="BH99" s="32"/>
      <c r="BI99" s="32"/>
      <c r="BJ99" s="58" t="str">
        <f t="shared" si="253"/>
        <v/>
      </c>
      <c r="BK99" s="20"/>
      <c r="BL99" s="58" t="str">
        <f t="shared" si="254"/>
        <v/>
      </c>
      <c r="BM99" s="32"/>
      <c r="BN99" s="32"/>
      <c r="BO99" s="58" t="str">
        <f t="shared" si="255"/>
        <v/>
      </c>
      <c r="BP99" s="20"/>
      <c r="BQ99" s="58" t="str">
        <f t="shared" si="256"/>
        <v/>
      </c>
      <c r="BR99" s="32"/>
      <c r="BS99" s="32"/>
      <c r="BT99" s="58" t="str">
        <f t="shared" si="257"/>
        <v/>
      </c>
      <c r="BU99" s="58" t="str">
        <f t="shared" si="258"/>
        <v/>
      </c>
      <c r="BV99" s="58" t="str">
        <f t="shared" si="259"/>
        <v/>
      </c>
      <c r="BW99" s="59" t="str">
        <f t="shared" si="260"/>
        <v/>
      </c>
      <c r="BX99" s="16"/>
      <c r="BY99" s="21"/>
      <c r="BZ99" s="20"/>
      <c r="CA99" s="61" t="str">
        <f>IF(_xlfn.XLOOKUP(BY99, AutoFill_classes!$A:$A, AutoFill_classes!$B:$B,"")=0,"",_xlfn.XLOOKUP(BY99, AutoFill_classes!$A:$A, AutoFill_classes!$B:$B,""))</f>
        <v/>
      </c>
      <c r="CB99" s="154"/>
      <c r="CC99" s="20"/>
      <c r="CD99" s="20"/>
      <c r="CE99" s="20"/>
      <c r="CF99" s="33"/>
      <c r="CG99" s="34"/>
      <c r="CH99" s="144"/>
      <c r="CI99" s="35"/>
      <c r="CJ99" s="60" t="str">
        <f t="shared" si="261"/>
        <v/>
      </c>
      <c r="CK99" s="32"/>
      <c r="CL99" s="32"/>
      <c r="CM99" s="32"/>
      <c r="CN99" s="32"/>
      <c r="CO99" s="58" t="str">
        <f t="shared" si="262"/>
        <v/>
      </c>
      <c r="CP99" s="20"/>
      <c r="CQ99" s="58" t="str">
        <f t="shared" si="263"/>
        <v/>
      </c>
      <c r="CR99" s="32"/>
      <c r="CS99" s="32"/>
      <c r="CT99" s="58" t="str">
        <f t="shared" si="264"/>
        <v/>
      </c>
      <c r="CU99" s="20"/>
      <c r="CV99" s="58" t="str">
        <f t="shared" si="265"/>
        <v/>
      </c>
      <c r="CW99" s="32"/>
      <c r="CX99" s="32"/>
      <c r="CY99" s="58" t="str">
        <f t="shared" si="266"/>
        <v/>
      </c>
      <c r="CZ99" s="58" t="str">
        <f t="shared" si="267"/>
        <v/>
      </c>
      <c r="DA99" s="58" t="str">
        <f t="shared" si="268"/>
        <v/>
      </c>
      <c r="DB99" s="59" t="str">
        <f t="shared" si="269"/>
        <v/>
      </c>
      <c r="DC99" s="20"/>
      <c r="DD99" s="144"/>
      <c r="DE99" s="91">
        <v>98</v>
      </c>
      <c r="DF99" s="39"/>
      <c r="DG99" s="39"/>
      <c r="DH99" s="39"/>
      <c r="DI99" s="39"/>
      <c r="DJ99" s="39"/>
      <c r="DK99" s="39"/>
      <c r="DL99" s="39"/>
      <c r="DM99" s="39"/>
      <c r="DN99" s="39"/>
      <c r="DO99" s="39"/>
      <c r="DP99" s="39"/>
      <c r="DQ99" s="39"/>
      <c r="DR99" s="39"/>
      <c r="DS99" s="39"/>
      <c r="DT99" s="39"/>
      <c r="DU99" s="39"/>
      <c r="DV99" s="39"/>
      <c r="DW99" s="39"/>
      <c r="DX99" s="39"/>
      <c r="DY99" s="39"/>
      <c r="DZ99" s="39"/>
      <c r="EA99" s="39"/>
      <c r="EB99" s="39"/>
      <c r="EC99" s="39"/>
      <c r="ED99" s="39"/>
      <c r="EE99" s="39"/>
      <c r="EF99" s="39"/>
      <c r="EG99" s="39"/>
      <c r="EH99" s="39"/>
      <c r="EI99" s="39"/>
      <c r="EJ99" s="39"/>
      <c r="EK99" s="39"/>
      <c r="EL99" s="39"/>
      <c r="EM99" s="39"/>
      <c r="EN99" s="39"/>
      <c r="EO99" s="39"/>
      <c r="EP99" s="39"/>
      <c r="EQ99" s="39"/>
      <c r="ER99" s="39"/>
      <c r="ES99" s="39"/>
      <c r="ET99" s="39"/>
      <c r="EU99" s="39"/>
      <c r="EV99" s="39"/>
      <c r="EW99" s="39"/>
      <c r="EX99" s="39"/>
      <c r="EY99" s="39"/>
      <c r="EZ99" s="39"/>
      <c r="FA99" s="39"/>
      <c r="FB99" s="39"/>
      <c r="FC99" s="39"/>
      <c r="FD99" s="39"/>
      <c r="FE99" s="39"/>
      <c r="FF99" s="39"/>
      <c r="FG99" s="39"/>
      <c r="FH99" s="39"/>
      <c r="FI99" s="39"/>
      <c r="FJ99" s="39"/>
      <c r="FK99" s="39"/>
      <c r="FL99" s="39"/>
      <c r="FM99" s="39"/>
      <c r="FN99" s="39"/>
      <c r="FO99" s="39"/>
      <c r="FP99" s="39"/>
      <c r="FQ99" s="39"/>
      <c r="FR99" s="39"/>
      <c r="FS99" s="39"/>
      <c r="FT99" s="39"/>
    </row>
    <row r="100" spans="1:176" s="22" customFormat="1" ht="13">
      <c r="A100" s="7"/>
      <c r="B100" s="23" t="str">
        <f>IF(_xlfn.XLOOKUP(A100, AutoFill_names!B:B, AutoFill_names!C:C,"")=0,"",_xlfn.XLOOKUP(A100, AutoFill_names!B:B, AutoFill_names!C:C,""))</f>
        <v/>
      </c>
      <c r="C100" s="23" t="str">
        <f>IF(_xlfn.XLOOKUP(A100, AutoFill_names!B:B, AutoFill_names!D:D,"")=0,"",_xlfn.XLOOKUP(A100, AutoFill_names!B:B, AutoFill_names!D:D,""))</f>
        <v/>
      </c>
      <c r="D100" s="23" t="str">
        <f>IF(_xlfn.XLOOKUP(A100, AutoFill_names!B:B, AutoFill_names!E:E,"")=0,"",_xlfn.XLOOKUP(A100, AutoFill_names!B:B, AutoFill_names!E:E,""))</f>
        <v/>
      </c>
      <c r="E100" s="23" t="str">
        <f>IF(_xlfn.XLOOKUP(A100, AutoFill_names!B:B, AutoFill_names!F:F,"")=0,"",_xlfn.XLOOKUP(A100, AutoFill_names!B:B, AutoFill_names!F:F,""))</f>
        <v/>
      </c>
      <c r="F100" s="4"/>
      <c r="G100" s="4"/>
      <c r="H100" s="4"/>
      <c r="I100" s="4"/>
      <c r="J100" s="23" t="str">
        <f>IF(_xlfn.XLOOKUP(A100, AutoFill_names!B:B, AutoFill_names!K:K,"")=0,"",_xlfn.XLOOKUP(A100, AutoFill_names!B:B, AutoFill_names!K:K,""))</f>
        <v/>
      </c>
      <c r="K100" s="23" t="str">
        <f>IF(_xlfn.XLOOKUP(A100, AutoFill_names!B:B, AutoFill_names!L:L,"")=0,"",_xlfn.XLOOKUP(A100, AutoFill_names!B:B, AutoFill_names!L:L,""))</f>
        <v/>
      </c>
      <c r="L100" s="45"/>
      <c r="M100" s="45"/>
      <c r="N100" s="61" t="str">
        <f>IF(_xlfn.XLOOKUP(L100, AutoFill_classes!A:A, AutoFill_classes!B:B,"")=0,"",_xlfn.XLOOKUP(L100, AutoFill_classes!A:A, AutoFill_classes!B:B,""))</f>
        <v/>
      </c>
      <c r="O100" s="154"/>
      <c r="P100" s="9"/>
      <c r="Q100" s="9"/>
      <c r="R100" s="9"/>
      <c r="S100" s="4"/>
      <c r="T100" s="4"/>
      <c r="U100" s="4"/>
      <c r="V100" s="4"/>
      <c r="W100" s="4"/>
      <c r="X100" s="144"/>
      <c r="Y100" s="27"/>
      <c r="Z100" s="60" t="str">
        <f t="shared" si="243"/>
        <v/>
      </c>
      <c r="AA100" s="32"/>
      <c r="AB100" s="32"/>
      <c r="AC100" s="32"/>
      <c r="AD100" s="32"/>
      <c r="AE100" s="58" t="str">
        <f t="shared" si="244"/>
        <v/>
      </c>
      <c r="AF100" s="20"/>
      <c r="AG100" s="58" t="str">
        <f t="shared" si="245"/>
        <v/>
      </c>
      <c r="AH100" s="32"/>
      <c r="AI100" s="32"/>
      <c r="AJ100" s="58" t="str">
        <f t="shared" si="246"/>
        <v/>
      </c>
      <c r="AK100" s="20"/>
      <c r="AL100" s="58" t="str">
        <f t="shared" si="247"/>
        <v/>
      </c>
      <c r="AM100" s="32"/>
      <c r="AN100" s="32"/>
      <c r="AO100" s="58" t="str">
        <f t="shared" si="248"/>
        <v/>
      </c>
      <c r="AP100" s="58" t="str">
        <f t="shared" si="249"/>
        <v/>
      </c>
      <c r="AQ100" s="58" t="str">
        <f t="shared" si="250"/>
        <v/>
      </c>
      <c r="AR100" s="59" t="str">
        <f t="shared" si="251"/>
        <v/>
      </c>
      <c r="AS100" s="20"/>
      <c r="AT100" s="16"/>
      <c r="AU100" s="16"/>
      <c r="AV100" s="61" t="str">
        <f>IF(_xlfn.XLOOKUP(AT100, AutoFill_classes!$A:$A, AutoFill_classes!$B:$B,"")=0,"",_xlfn.XLOOKUP(AT100, AutoFill_classes!$A:$A, AutoFill_classes!$B:$B,""))</f>
        <v/>
      </c>
      <c r="AW100" s="154"/>
      <c r="AX100" s="16"/>
      <c r="AY100" s="16"/>
      <c r="AZ100" s="16"/>
      <c r="BA100" s="16"/>
      <c r="BB100" s="16"/>
      <c r="BC100" s="144"/>
      <c r="BD100" s="27"/>
      <c r="BE100" s="60" t="str">
        <f t="shared" si="252"/>
        <v/>
      </c>
      <c r="BF100" s="32"/>
      <c r="BG100" s="32"/>
      <c r="BH100" s="32"/>
      <c r="BI100" s="32"/>
      <c r="BJ100" s="58" t="str">
        <f t="shared" si="253"/>
        <v/>
      </c>
      <c r="BK100" s="20"/>
      <c r="BL100" s="58" t="str">
        <f t="shared" si="254"/>
        <v/>
      </c>
      <c r="BM100" s="32"/>
      <c r="BN100" s="32"/>
      <c r="BO100" s="58" t="str">
        <f t="shared" si="255"/>
        <v/>
      </c>
      <c r="BP100" s="20"/>
      <c r="BQ100" s="58" t="str">
        <f t="shared" si="256"/>
        <v/>
      </c>
      <c r="BR100" s="32"/>
      <c r="BS100" s="32"/>
      <c r="BT100" s="58" t="str">
        <f t="shared" si="257"/>
        <v/>
      </c>
      <c r="BU100" s="58" t="str">
        <f t="shared" si="258"/>
        <v/>
      </c>
      <c r="BV100" s="58" t="str">
        <f t="shared" si="259"/>
        <v/>
      </c>
      <c r="BW100" s="59" t="str">
        <f t="shared" si="260"/>
        <v/>
      </c>
      <c r="BX100" s="16"/>
      <c r="BY100" s="21"/>
      <c r="BZ100" s="20"/>
      <c r="CA100" s="61" t="str">
        <f>IF(_xlfn.XLOOKUP(BY100, AutoFill_classes!$A:$A, AutoFill_classes!$B:$B,"")=0,"",_xlfn.XLOOKUP(BY100, AutoFill_classes!$A:$A, AutoFill_classes!$B:$B,""))</f>
        <v/>
      </c>
      <c r="CB100" s="154"/>
      <c r="CC100" s="20"/>
      <c r="CD100" s="20"/>
      <c r="CE100" s="20"/>
      <c r="CF100" s="33"/>
      <c r="CG100" s="34"/>
      <c r="CH100" s="144"/>
      <c r="CI100" s="35"/>
      <c r="CJ100" s="60" t="str">
        <f t="shared" si="261"/>
        <v/>
      </c>
      <c r="CK100" s="32"/>
      <c r="CL100" s="32"/>
      <c r="CM100" s="32"/>
      <c r="CN100" s="32"/>
      <c r="CO100" s="58" t="str">
        <f t="shared" si="262"/>
        <v/>
      </c>
      <c r="CP100" s="20"/>
      <c r="CQ100" s="58" t="str">
        <f t="shared" si="263"/>
        <v/>
      </c>
      <c r="CR100" s="32"/>
      <c r="CS100" s="32"/>
      <c r="CT100" s="58" t="str">
        <f t="shared" si="264"/>
        <v/>
      </c>
      <c r="CU100" s="20"/>
      <c r="CV100" s="58" t="str">
        <f t="shared" si="265"/>
        <v/>
      </c>
      <c r="CW100" s="32"/>
      <c r="CX100" s="32"/>
      <c r="CY100" s="58" t="str">
        <f t="shared" si="266"/>
        <v/>
      </c>
      <c r="CZ100" s="58" t="str">
        <f t="shared" si="267"/>
        <v/>
      </c>
      <c r="DA100" s="58" t="str">
        <f t="shared" si="268"/>
        <v/>
      </c>
      <c r="DB100" s="59" t="str">
        <f t="shared" si="269"/>
        <v/>
      </c>
      <c r="DC100" s="20"/>
      <c r="DD100" s="144"/>
      <c r="DE100" s="91">
        <v>99</v>
      </c>
      <c r="DF100" s="39"/>
      <c r="DG100" s="39"/>
      <c r="DH100" s="39"/>
      <c r="DI100" s="39"/>
      <c r="DJ100" s="39"/>
      <c r="DK100" s="39"/>
      <c r="DL100" s="39"/>
      <c r="DM100" s="39"/>
      <c r="DN100" s="39"/>
      <c r="DO100" s="39"/>
      <c r="DP100" s="39"/>
      <c r="DQ100" s="39"/>
      <c r="DR100" s="39"/>
      <c r="DS100" s="39"/>
      <c r="DT100" s="39"/>
      <c r="DU100" s="39"/>
      <c r="DV100" s="39"/>
      <c r="DW100" s="39"/>
      <c r="DX100" s="39"/>
      <c r="DY100" s="39"/>
      <c r="DZ100" s="39"/>
      <c r="EA100" s="39"/>
      <c r="EB100" s="39"/>
      <c r="EC100" s="39"/>
      <c r="ED100" s="39"/>
      <c r="EE100" s="39"/>
      <c r="EF100" s="39"/>
      <c r="EG100" s="39"/>
      <c r="EH100" s="39"/>
      <c r="EI100" s="39"/>
      <c r="EJ100" s="39"/>
      <c r="EK100" s="39"/>
      <c r="EL100" s="39"/>
      <c r="EM100" s="39"/>
      <c r="EN100" s="39"/>
      <c r="EO100" s="39"/>
      <c r="EP100" s="39"/>
      <c r="EQ100" s="39"/>
      <c r="ER100" s="39"/>
      <c r="ES100" s="39"/>
      <c r="ET100" s="39"/>
      <c r="EU100" s="39"/>
      <c r="EV100" s="39"/>
      <c r="EW100" s="39"/>
      <c r="EX100" s="39"/>
      <c r="EY100" s="39"/>
      <c r="EZ100" s="39"/>
      <c r="FA100" s="39"/>
      <c r="FB100" s="39"/>
      <c r="FC100" s="39"/>
      <c r="FD100" s="39"/>
      <c r="FE100" s="39"/>
      <c r="FF100" s="39"/>
      <c r="FG100" s="39"/>
      <c r="FH100" s="39"/>
      <c r="FI100" s="39"/>
      <c r="FJ100" s="39"/>
      <c r="FK100" s="39"/>
      <c r="FL100" s="39"/>
      <c r="FM100" s="39"/>
      <c r="FN100" s="39"/>
      <c r="FO100" s="39"/>
      <c r="FP100" s="39"/>
      <c r="FQ100" s="39"/>
      <c r="FR100" s="39"/>
      <c r="FS100" s="39"/>
      <c r="FT100" s="39"/>
    </row>
    <row r="101" spans="1:176" s="113" customFormat="1" ht="34">
      <c r="A101" s="153" t="s">
        <v>1295</v>
      </c>
      <c r="B101" s="93" t="str">
        <f>"Total Credits: " &amp; IFERROR(IF(DD101=0,"",DD101),"")</f>
        <v>Total Credits: 17</v>
      </c>
      <c r="C101" s="114"/>
      <c r="D101" s="114"/>
      <c r="E101" s="114"/>
      <c r="F101" s="114"/>
      <c r="G101" s="114"/>
      <c r="H101" s="114"/>
      <c r="I101" s="114"/>
      <c r="J101" s="114"/>
      <c r="K101" s="114"/>
      <c r="L101" s="114"/>
      <c r="M101" s="114"/>
      <c r="P101" s="96"/>
      <c r="Q101" s="96"/>
      <c r="R101" s="96"/>
      <c r="S101" s="114"/>
      <c r="T101" s="114"/>
      <c r="U101" s="114"/>
      <c r="V101" s="97"/>
      <c r="W101" s="97"/>
      <c r="X101" s="143">
        <f>IF(SUM(X102:X110)=0, "", SUM(X102:X110))</f>
        <v>6</v>
      </c>
      <c r="Y101" s="121"/>
      <c r="Z101" s="122"/>
      <c r="AA101" s="100"/>
      <c r="AB101" s="100"/>
      <c r="AC101" s="100"/>
      <c r="AD101" s="100"/>
      <c r="AE101" s="101"/>
      <c r="AF101" s="102"/>
      <c r="AG101" s="101"/>
      <c r="AH101" s="100"/>
      <c r="AI101" s="100"/>
      <c r="AJ101" s="101"/>
      <c r="AK101" s="102"/>
      <c r="AL101" s="101"/>
      <c r="AM101" s="100"/>
      <c r="AN101" s="100"/>
      <c r="AO101" s="103"/>
      <c r="AP101" s="103"/>
      <c r="AQ101" s="103"/>
      <c r="AR101" s="103"/>
      <c r="AS101" s="104"/>
      <c r="AT101" s="125"/>
      <c r="AU101" s="125"/>
      <c r="AX101" s="125"/>
      <c r="AY101" s="125"/>
      <c r="AZ101" s="125"/>
      <c r="BA101" s="112"/>
      <c r="BB101" s="112"/>
      <c r="BC101" s="143">
        <f>IF(SUM(BC102:BC110)=0, "", SUM(BC102:BC110))</f>
        <v>6</v>
      </c>
      <c r="BD101" s="121"/>
      <c r="BE101" s="122"/>
      <c r="BF101" s="123"/>
      <c r="BG101" s="123"/>
      <c r="BH101" s="123"/>
      <c r="BI101" s="123"/>
      <c r="BJ101" s="124"/>
      <c r="BK101" s="125"/>
      <c r="BL101" s="124"/>
      <c r="BM101" s="123"/>
      <c r="BN101" s="123"/>
      <c r="BO101" s="124"/>
      <c r="BP101" s="125"/>
      <c r="BQ101" s="124"/>
      <c r="BR101" s="123"/>
      <c r="BS101" s="123"/>
      <c r="BT101" s="124"/>
      <c r="BU101" s="124"/>
      <c r="BV101" s="124"/>
      <c r="BW101" s="103"/>
      <c r="BX101" s="125"/>
      <c r="BY101" s="125"/>
      <c r="BZ101" s="125"/>
      <c r="CC101" s="125"/>
      <c r="CD101" s="125"/>
      <c r="CE101" s="125"/>
      <c r="CF101" s="97"/>
      <c r="CG101" s="98"/>
      <c r="CH101" s="143">
        <f>IF(SUM(CH102:CH110)=0, "", SUM(CH102:CH110))</f>
        <v>5</v>
      </c>
      <c r="CI101" s="121"/>
      <c r="CJ101" s="122"/>
      <c r="CK101" s="123"/>
      <c r="CL101" s="123"/>
      <c r="CM101" s="123"/>
      <c r="CN101" s="123"/>
      <c r="CP101" s="125"/>
      <c r="CR101" s="123"/>
      <c r="CS101" s="123"/>
      <c r="CU101" s="125"/>
      <c r="CW101" s="123"/>
      <c r="CX101" s="123"/>
      <c r="DB101" s="103"/>
      <c r="DC101" s="125"/>
      <c r="DD101" s="143">
        <f>IF(SUM(L101:DC101)=0, "", SUM(L101:DC101))</f>
        <v>17</v>
      </c>
      <c r="DE101" s="91">
        <v>100</v>
      </c>
      <c r="DF101" s="26"/>
      <c r="DG101" s="26"/>
      <c r="DH101" s="26"/>
      <c r="DI101" s="26"/>
      <c r="DJ101" s="26"/>
      <c r="DK101" s="26"/>
      <c r="DL101" s="26"/>
      <c r="DM101" s="26"/>
      <c r="DN101" s="26"/>
      <c r="DO101" s="26"/>
      <c r="DP101" s="26"/>
      <c r="DQ101" s="26"/>
      <c r="DR101" s="26"/>
      <c r="DS101" s="26"/>
      <c r="DT101" s="26"/>
      <c r="DU101" s="26"/>
      <c r="DV101" s="26"/>
      <c r="DW101" s="26"/>
      <c r="DX101" s="26"/>
      <c r="DY101" s="26"/>
      <c r="DZ101" s="26"/>
      <c r="EA101" s="26"/>
      <c r="EB101" s="26"/>
      <c r="EC101" s="26"/>
      <c r="ED101" s="26"/>
      <c r="EE101" s="26"/>
      <c r="EF101" s="26"/>
      <c r="EG101" s="26"/>
      <c r="EH101" s="26"/>
      <c r="EI101" s="26"/>
      <c r="EJ101" s="26"/>
      <c r="EK101" s="26"/>
      <c r="EL101" s="26"/>
      <c r="EM101" s="26"/>
      <c r="EN101" s="26"/>
      <c r="EO101" s="26"/>
      <c r="EP101" s="26"/>
      <c r="EQ101" s="26"/>
      <c r="ER101" s="26"/>
      <c r="ES101" s="26"/>
      <c r="ET101" s="26"/>
      <c r="EU101" s="26"/>
      <c r="EV101" s="26"/>
      <c r="EW101" s="26"/>
      <c r="EX101" s="26"/>
      <c r="EY101" s="26"/>
      <c r="EZ101" s="26"/>
      <c r="FA101" s="26"/>
      <c r="FB101" s="26"/>
      <c r="FC101" s="26"/>
      <c r="FD101" s="26"/>
      <c r="FE101" s="26"/>
      <c r="FF101" s="26"/>
      <c r="FG101" s="26"/>
      <c r="FH101" s="26"/>
      <c r="FI101" s="26"/>
      <c r="FJ101" s="26"/>
      <c r="FK101" s="26"/>
      <c r="FL101" s="26"/>
      <c r="FM101" s="26"/>
      <c r="FN101" s="26"/>
      <c r="FO101" s="26"/>
      <c r="FP101" s="26"/>
      <c r="FQ101" s="26"/>
      <c r="FR101" s="26"/>
      <c r="FS101" s="26"/>
      <c r="FT101" s="26"/>
    </row>
    <row r="102" spans="1:176" s="22" customFormat="1" ht="13">
      <c r="A102" s="7" t="s">
        <v>1307</v>
      </c>
      <c r="B102" s="23" t="str">
        <f>IF(_xlfn.XLOOKUP(A102, AutoFill_names!B:B, AutoFill_names!C:C,"")=0,"",_xlfn.XLOOKUP(A102, AutoFill_names!B:B, AutoFill_names!C:C,""))</f>
        <v/>
      </c>
      <c r="C102" s="23" t="str">
        <f>IF(_xlfn.XLOOKUP(A102, AutoFill_names!B:B, AutoFill_names!D:D,"")=0,"",_xlfn.XLOOKUP(A102, AutoFill_names!B:B, AutoFill_names!D:D,""))</f>
        <v/>
      </c>
      <c r="D102" s="23" t="str">
        <f>IF(_xlfn.XLOOKUP(A102, AutoFill_names!B:B, AutoFill_names!E:E,"")=0,"",_xlfn.XLOOKUP(A102, AutoFill_names!B:B, AutoFill_names!E:E,""))</f>
        <v/>
      </c>
      <c r="E102" s="23" t="str">
        <f>IF(_xlfn.XLOOKUP(A102, AutoFill_names!B:B, AutoFill_names!F:F,"")=0,"",_xlfn.XLOOKUP(A102, AutoFill_names!B:B, AutoFill_names!F:F,""))</f>
        <v/>
      </c>
      <c r="F102" s="4"/>
      <c r="G102" s="4"/>
      <c r="H102" s="4"/>
      <c r="I102" s="4"/>
      <c r="J102" s="23" t="str">
        <f>IF(_xlfn.XLOOKUP(A102, AutoFill_names!B:B, AutoFill_names!K:K,"")=0,"",_xlfn.XLOOKUP(A102, AutoFill_names!B:B, AutoFill_names!K:K,""))</f>
        <v/>
      </c>
      <c r="K102" s="23" t="str">
        <f>IF(_xlfn.XLOOKUP(A102, AutoFill_names!B:B, AutoFill_names!L:L,"")=0,"",_xlfn.XLOOKUP(A102, AutoFill_names!B:B, AutoFill_names!L:L,""))</f>
        <v/>
      </c>
      <c r="L102" s="46" t="s">
        <v>597</v>
      </c>
      <c r="M102" s="46"/>
      <c r="N102" s="61" t="str">
        <f>IF(_xlfn.XLOOKUP(L102, AutoFill_classes!A:A, AutoFill_classes!B:B,"")=0,"",_xlfn.XLOOKUP(L102, AutoFill_classes!A:A, AutoFill_classes!B:B,""))</f>
        <v>Church Grwth&amp; Equipping Leader</v>
      </c>
      <c r="O102" s="154"/>
      <c r="P102" s="9"/>
      <c r="Q102" s="9"/>
      <c r="R102" s="9"/>
      <c r="S102" s="156"/>
      <c r="T102" s="156"/>
      <c r="U102" s="156"/>
      <c r="V102" s="4" t="s">
        <v>59</v>
      </c>
      <c r="W102" s="4" t="s">
        <v>60</v>
      </c>
      <c r="X102" s="144">
        <v>3</v>
      </c>
      <c r="Y102" s="27"/>
      <c r="Z102" s="60" t="str">
        <f t="shared" ref="Z102:Z110" si="270">IF(X102*Y102=0,"",X102*Y102)</f>
        <v/>
      </c>
      <c r="AA102" s="28"/>
      <c r="AB102" s="28"/>
      <c r="AC102" s="28"/>
      <c r="AD102" s="28"/>
      <c r="AE102" s="58" t="str">
        <f t="shared" ref="AE102:AE110" si="271">IF(ROUNDUP((AD102-AC102)/7,0)=0,"",ROUNDUP((AD102-AC102)/7,0))</f>
        <v/>
      </c>
      <c r="AF102" s="19"/>
      <c r="AG102" s="58" t="str">
        <f t="shared" ref="AG102:AG110" si="272">IFERROR(IF(AE102*AF102=0,"",AE102*AF102), "")</f>
        <v/>
      </c>
      <c r="AH102" s="28"/>
      <c r="AI102" s="28"/>
      <c r="AJ102" s="58" t="str">
        <f t="shared" ref="AJ102:AJ110" si="273">IF(ROUNDUP((AI102-AH102)/7,0)=0,"",ROUNDUP((AI102-AH102)/7,0))</f>
        <v/>
      </c>
      <c r="AK102" s="19"/>
      <c r="AL102" s="58" t="str">
        <f t="shared" ref="AL102:AL110" si="274">IFERROR(IF(AJ102*AK102=0,"",AJ102*AK102), "")</f>
        <v/>
      </c>
      <c r="AM102" s="28"/>
      <c r="AN102" s="28"/>
      <c r="AO102" s="58" t="str">
        <f t="shared" ref="AO102:AO110" si="275">IF(ROUNDUP((AN102-AM102)/7,0)=0,"",ROUNDUP((AN102-AM102)/7,0))</f>
        <v/>
      </c>
      <c r="AP102" s="58" t="str">
        <f t="shared" ref="AP102:AP110" si="276">IFERROR(IF((AS102-(AF102+AK102))/AO102=0,"",ROUNDUP((AS102-(AF102+AK102))/AO102,0)), "")</f>
        <v/>
      </c>
      <c r="AQ102" s="58" t="str">
        <f t="shared" ref="AQ102:AQ110" si="277">IFERROR(IF((AS102-(AG102+AL102))=0, "", (AS102-(AG102+AL102))), "")</f>
        <v/>
      </c>
      <c r="AR102" s="59" t="str">
        <f t="shared" ref="AR102:AR110" si="278">IFERROR(IF((AE102+AJ102+AO102)=0, "", (AE102+AJ102+AO102)), "")</f>
        <v/>
      </c>
      <c r="AS102" s="19"/>
      <c r="AT102" s="48" t="s">
        <v>607</v>
      </c>
      <c r="AU102" s="48"/>
      <c r="AV102" s="61" t="str">
        <f>IF(_xlfn.XLOOKUP(AT102, AutoFill_classes!$A:$A, AutoFill_classes!$B:$B,"")=0,"",_xlfn.XLOOKUP(AT102, AutoFill_classes!$A:$A, AutoFill_classes!$B:$B,""))</f>
        <v>Field Evangelism</v>
      </c>
      <c r="AW102" s="154"/>
      <c r="AX102" s="16" t="s">
        <v>56</v>
      </c>
      <c r="AY102" s="16" t="s">
        <v>57</v>
      </c>
      <c r="AZ102" s="16" t="s">
        <v>58</v>
      </c>
      <c r="BA102" s="16" t="s">
        <v>59</v>
      </c>
      <c r="BB102" s="16" t="s">
        <v>60</v>
      </c>
      <c r="BC102" s="144">
        <v>3</v>
      </c>
      <c r="BD102" s="27"/>
      <c r="BE102" s="60" t="str">
        <f t="shared" ref="BE102:BE110" si="279">IF(BC102*BD102=0,"",BC102*BD102)</f>
        <v/>
      </c>
      <c r="BF102" s="28"/>
      <c r="BG102" s="28"/>
      <c r="BH102" s="28"/>
      <c r="BI102" s="28"/>
      <c r="BJ102" s="58" t="str">
        <f t="shared" ref="BJ102:BJ110" si="280">IF(ROUNDUP((BI102-BH102)/7,0)=0,"",ROUNDUP((BI102-BH102)/7,0))</f>
        <v/>
      </c>
      <c r="BK102" s="19"/>
      <c r="BL102" s="58" t="str">
        <f t="shared" ref="BL102:BL110" si="281">IFERROR(IF(BJ102*BK102=0,"",BJ102*BK102), "")</f>
        <v/>
      </c>
      <c r="BM102" s="28"/>
      <c r="BN102" s="28"/>
      <c r="BO102" s="58" t="str">
        <f t="shared" ref="BO102:BO110" si="282">IF(ROUNDUP((BN102-BM102)/7,0)=0,"",ROUNDUP((BN102-BM102)/7,0))</f>
        <v/>
      </c>
      <c r="BP102" s="19"/>
      <c r="BQ102" s="58" t="str">
        <f t="shared" ref="BQ102:BQ110" si="283">IFERROR(IF(BO102*BP102=0,"",BO102*BP102), "")</f>
        <v/>
      </c>
      <c r="BR102" s="28"/>
      <c r="BS102" s="28"/>
      <c r="BT102" s="58" t="str">
        <f t="shared" ref="BT102:BT110" si="284">IF(ROUNDUP((BS102-BR102)/7,0)=0,"",ROUNDUP((BS102-BR102)/7,0))</f>
        <v/>
      </c>
      <c r="BU102" s="58" t="str">
        <f t="shared" ref="BU102:BU110" si="285">IFERROR(IF((BX102-(BK102+BP102))/BT102=0,"",ROUNDUP((BX102-(BK102+BP102))/BT102,0)), "")</f>
        <v/>
      </c>
      <c r="BV102" s="58" t="str">
        <f t="shared" ref="BV102:BV110" si="286">IFERROR(IF((BX102-(BL102+BQ102))=0, "", (BX102-(BL102+BQ102))), "")</f>
        <v/>
      </c>
      <c r="BW102" s="59" t="str">
        <f t="shared" ref="BW102:BW110" si="287">IFERROR(IF((BJ102+BO102+BT102)=0, "", (BJ102+BO102+BT102)), "")</f>
        <v/>
      </c>
      <c r="BX102" s="16"/>
      <c r="BY102" s="12" t="s">
        <v>613</v>
      </c>
      <c r="BZ102" s="51" t="s">
        <v>283</v>
      </c>
      <c r="CA102" s="61" t="str">
        <f>IF(_xlfn.XLOOKUP(BY102, AutoFill_classes!$A:$A, AutoFill_classes!$B:$B,"")=0,"",_xlfn.XLOOKUP(BY102, AutoFill_classes!$A:$A, AutoFill_classes!$B:$B,""))</f>
        <v>Mobilizing for Evang Min</v>
      </c>
      <c r="CB102" s="154"/>
      <c r="CC102" s="19" t="s">
        <v>85</v>
      </c>
      <c r="CD102" s="19" t="s">
        <v>57</v>
      </c>
      <c r="CE102" s="19" t="s">
        <v>58</v>
      </c>
      <c r="CF102" s="30" t="s">
        <v>59</v>
      </c>
      <c r="CG102" s="31" t="s">
        <v>60</v>
      </c>
      <c r="CH102" s="144">
        <v>2</v>
      </c>
      <c r="CI102" s="31"/>
      <c r="CJ102" s="60" t="str">
        <f t="shared" ref="CJ102:CJ110" si="288">IF(CH102*CI102=0,"",CH102*CI102)</f>
        <v/>
      </c>
      <c r="CK102" s="28"/>
      <c r="CL102" s="28"/>
      <c r="CM102" s="28"/>
      <c r="CN102" s="28"/>
      <c r="CO102" s="58" t="str">
        <f t="shared" ref="CO102:CO110" si="289">IF(ROUNDUP((CN102-CM102)/7,0)=0,"",ROUNDUP((CN102-CM102)/7,0))</f>
        <v/>
      </c>
      <c r="CP102" s="19"/>
      <c r="CQ102" s="58" t="str">
        <f t="shared" ref="CQ102:CQ110" si="290">IFERROR(IF(CO102*CP102=0,"",CO102*CP102), "")</f>
        <v/>
      </c>
      <c r="CR102" s="28"/>
      <c r="CS102" s="28"/>
      <c r="CT102" s="58" t="str">
        <f t="shared" ref="CT102:CT110" si="291">IF(ROUNDUP((CS102-CR102)/7,0)=0,"",ROUNDUP((CS102-CR102)/7,0))</f>
        <v/>
      </c>
      <c r="CU102" s="19"/>
      <c r="CV102" s="58" t="str">
        <f t="shared" ref="CV102:CV110" si="292">IFERROR(IF(CT102*CU102=0,"",CT102*CU102), "")</f>
        <v/>
      </c>
      <c r="CW102" s="28"/>
      <c r="CX102" s="28"/>
      <c r="CY102" s="58" t="str">
        <f t="shared" ref="CY102:CY110" si="293">IF(ROUNDUP((CX102-CW102)/7,0)=0,"",ROUNDUP((CX102-CW102)/7,0))</f>
        <v/>
      </c>
      <c r="CZ102" s="58" t="str">
        <f t="shared" ref="CZ102:CZ110" si="294">IFERROR(IF((DC102-(CP102+CU102))/CY102=0,"",ROUNDUP((DC102-(CP102+CU102))/CY102,0)), "")</f>
        <v/>
      </c>
      <c r="DA102" s="58" t="str">
        <f t="shared" ref="DA102:DA110" si="295">IFERROR(IF((DC102-(CQ102+CV102))=0, "", (DC102-(CQ102+CV102))), "")</f>
        <v/>
      </c>
      <c r="DB102" s="59" t="str">
        <f t="shared" ref="DB102:DB110" si="296">IFERROR(IF((CO102+CT102+CY102)=0, "", (CO102+CT102+CY102)), "")</f>
        <v/>
      </c>
      <c r="DC102" s="19"/>
      <c r="DD102" s="145"/>
      <c r="DE102" s="91">
        <v>101</v>
      </c>
      <c r="DF102" s="39"/>
      <c r="DG102" s="39"/>
      <c r="DH102" s="39"/>
      <c r="DI102" s="39"/>
      <c r="DJ102" s="39"/>
      <c r="DK102" s="39"/>
      <c r="DL102" s="39"/>
      <c r="DM102" s="39"/>
      <c r="DN102" s="39"/>
      <c r="DO102" s="39"/>
      <c r="DP102" s="39"/>
      <c r="DQ102" s="39"/>
      <c r="DR102" s="39"/>
      <c r="DS102" s="39"/>
      <c r="DT102" s="39"/>
      <c r="DU102" s="39"/>
      <c r="DV102" s="39"/>
      <c r="DW102" s="39"/>
      <c r="DX102" s="39"/>
      <c r="DY102" s="39"/>
      <c r="DZ102" s="39"/>
      <c r="EA102" s="39"/>
      <c r="EB102" s="39"/>
      <c r="EC102" s="39"/>
      <c r="ED102" s="39"/>
      <c r="EE102" s="39"/>
      <c r="EF102" s="39"/>
      <c r="EG102" s="39"/>
      <c r="EH102" s="39"/>
      <c r="EI102" s="39"/>
      <c r="EJ102" s="39"/>
      <c r="EK102" s="39"/>
      <c r="EL102" s="39"/>
      <c r="EM102" s="39"/>
      <c r="EN102" s="39"/>
      <c r="EO102" s="39"/>
      <c r="EP102" s="39"/>
      <c r="EQ102" s="39"/>
      <c r="ER102" s="39"/>
      <c r="ES102" s="39"/>
      <c r="ET102" s="39"/>
      <c r="EU102" s="39"/>
      <c r="EV102" s="39"/>
      <c r="EW102" s="39"/>
      <c r="EX102" s="39"/>
      <c r="EY102" s="39"/>
      <c r="EZ102" s="39"/>
      <c r="FA102" s="39"/>
      <c r="FB102" s="39"/>
      <c r="FC102" s="39"/>
      <c r="FD102" s="39"/>
      <c r="FE102" s="39"/>
      <c r="FF102" s="39"/>
      <c r="FG102" s="39"/>
      <c r="FH102" s="39"/>
      <c r="FI102" s="39"/>
      <c r="FJ102" s="39"/>
      <c r="FK102" s="39"/>
      <c r="FL102" s="39"/>
      <c r="FM102" s="39"/>
      <c r="FN102" s="39"/>
      <c r="FO102" s="39"/>
      <c r="FP102" s="39"/>
      <c r="FQ102" s="39"/>
      <c r="FR102" s="39"/>
      <c r="FS102" s="39"/>
      <c r="FT102" s="39"/>
    </row>
    <row r="103" spans="1:176" s="22" customFormat="1" ht="13">
      <c r="A103" s="7" t="s">
        <v>1307</v>
      </c>
      <c r="B103" s="23" t="str">
        <f>IF(_xlfn.XLOOKUP(A103, AutoFill_names!B:B, AutoFill_names!C:C,"")=0,"",_xlfn.XLOOKUP(A103, AutoFill_names!B:B, AutoFill_names!C:C,""))</f>
        <v/>
      </c>
      <c r="C103" s="23" t="str">
        <f>IF(_xlfn.XLOOKUP(A103, AutoFill_names!B:B, AutoFill_names!D:D,"")=0,"",_xlfn.XLOOKUP(A103, AutoFill_names!B:B, AutoFill_names!D:D,""))</f>
        <v/>
      </c>
      <c r="D103" s="23" t="str">
        <f>IF(_xlfn.XLOOKUP(A103, AutoFill_names!B:B, AutoFill_names!E:E,"")=0,"",_xlfn.XLOOKUP(A103, AutoFill_names!B:B, AutoFill_names!E:E,""))</f>
        <v/>
      </c>
      <c r="E103" s="23" t="str">
        <f>IF(_xlfn.XLOOKUP(A103, AutoFill_names!B:B, AutoFill_names!F:F,"")=0,"",_xlfn.XLOOKUP(A103, AutoFill_names!B:B, AutoFill_names!F:F,""))</f>
        <v/>
      </c>
      <c r="F103" s="4"/>
      <c r="G103" s="4"/>
      <c r="H103" s="4"/>
      <c r="I103" s="4"/>
      <c r="J103" s="23" t="str">
        <f>IF(_xlfn.XLOOKUP(A103, AutoFill_names!B:B, AutoFill_names!K:K,"")=0,"",_xlfn.XLOOKUP(A103, AutoFill_names!B:B, AutoFill_names!K:K,""))</f>
        <v/>
      </c>
      <c r="K103" s="23" t="str">
        <f>IF(_xlfn.XLOOKUP(A103, AutoFill_names!B:B, AutoFill_names!L:L,"")=0,"",_xlfn.XLOOKUP(A103, AutoFill_names!B:B, AutoFill_names!L:L,""))</f>
        <v/>
      </c>
      <c r="L103" s="45" t="s">
        <v>607</v>
      </c>
      <c r="M103" s="45"/>
      <c r="N103" s="61" t="str">
        <f>IF(_xlfn.XLOOKUP(L103, AutoFill_classes!A:A, AutoFill_classes!B:B,"")=0,"",_xlfn.XLOOKUP(L103, AutoFill_classes!A:A, AutoFill_classes!B:B,""))</f>
        <v>Field Evangelism</v>
      </c>
      <c r="O103" s="154"/>
      <c r="P103" s="9"/>
      <c r="Q103" s="9"/>
      <c r="R103" s="9"/>
      <c r="S103" s="5" t="s">
        <v>56</v>
      </c>
      <c r="T103" s="5" t="s">
        <v>57</v>
      </c>
      <c r="U103" s="156" t="s">
        <v>1310</v>
      </c>
      <c r="V103" s="4" t="s">
        <v>59</v>
      </c>
      <c r="W103" s="4" t="s">
        <v>60</v>
      </c>
      <c r="X103" s="145">
        <v>3</v>
      </c>
      <c r="Y103" s="29"/>
      <c r="Z103" s="60" t="str">
        <f t="shared" si="270"/>
        <v/>
      </c>
      <c r="AA103" s="32"/>
      <c r="AB103" s="32"/>
      <c r="AC103" s="32"/>
      <c r="AD103" s="32"/>
      <c r="AE103" s="58" t="str">
        <f t="shared" si="271"/>
        <v/>
      </c>
      <c r="AF103" s="20"/>
      <c r="AG103" s="58" t="str">
        <f t="shared" si="272"/>
        <v/>
      </c>
      <c r="AH103" s="32"/>
      <c r="AI103" s="32"/>
      <c r="AJ103" s="58" t="str">
        <f t="shared" si="273"/>
        <v/>
      </c>
      <c r="AK103" s="20"/>
      <c r="AL103" s="58" t="str">
        <f t="shared" si="274"/>
        <v/>
      </c>
      <c r="AM103" s="32"/>
      <c r="AN103" s="32"/>
      <c r="AO103" s="58" t="str">
        <f t="shared" si="275"/>
        <v/>
      </c>
      <c r="AP103" s="58" t="str">
        <f t="shared" si="276"/>
        <v/>
      </c>
      <c r="AQ103" s="58" t="str">
        <f t="shared" si="277"/>
        <v/>
      </c>
      <c r="AR103" s="59" t="str">
        <f t="shared" si="278"/>
        <v/>
      </c>
      <c r="AS103" s="20"/>
      <c r="AT103" s="48" t="s">
        <v>607</v>
      </c>
      <c r="AU103" s="48" t="s">
        <v>281</v>
      </c>
      <c r="AV103" s="61" t="str">
        <f>IF(_xlfn.XLOOKUP(AT103, AutoFill_classes!$A:$A, AutoFill_classes!$B:$B,"")=0,"",_xlfn.XLOOKUP(AT103, AutoFill_classes!$A:$A, AutoFill_classes!$B:$B,""))</f>
        <v>Field Evangelism</v>
      </c>
      <c r="AW103" s="154"/>
      <c r="AX103" s="14" t="s">
        <v>76</v>
      </c>
      <c r="AY103" s="14" t="s">
        <v>57</v>
      </c>
      <c r="AZ103" s="14" t="s">
        <v>58</v>
      </c>
      <c r="BA103" s="16" t="s">
        <v>59</v>
      </c>
      <c r="BB103" s="16" t="s">
        <v>60</v>
      </c>
      <c r="BC103" s="145">
        <v>0</v>
      </c>
      <c r="BD103" s="27"/>
      <c r="BE103" s="60" t="str">
        <f t="shared" si="279"/>
        <v/>
      </c>
      <c r="BF103" s="32"/>
      <c r="BG103" s="32"/>
      <c r="BH103" s="32"/>
      <c r="BI103" s="32"/>
      <c r="BJ103" s="58" t="str">
        <f t="shared" si="280"/>
        <v/>
      </c>
      <c r="BK103" s="20"/>
      <c r="BL103" s="58" t="str">
        <f t="shared" si="281"/>
        <v/>
      </c>
      <c r="BM103" s="32"/>
      <c r="BN103" s="32"/>
      <c r="BO103" s="58" t="str">
        <f t="shared" si="282"/>
        <v/>
      </c>
      <c r="BP103" s="20"/>
      <c r="BQ103" s="58" t="str">
        <f t="shared" si="283"/>
        <v/>
      </c>
      <c r="BR103" s="32"/>
      <c r="BS103" s="32"/>
      <c r="BT103" s="58" t="str">
        <f t="shared" si="284"/>
        <v/>
      </c>
      <c r="BU103" s="58" t="str">
        <f t="shared" si="285"/>
        <v/>
      </c>
      <c r="BV103" s="58" t="str">
        <f t="shared" si="286"/>
        <v/>
      </c>
      <c r="BW103" s="59" t="str">
        <f t="shared" si="287"/>
        <v/>
      </c>
      <c r="BX103" s="16"/>
      <c r="BY103" s="21" t="s">
        <v>607</v>
      </c>
      <c r="BZ103" s="20"/>
      <c r="CA103" s="61" t="str">
        <f>IF(_xlfn.XLOOKUP(BY103, AutoFill_classes!$A:$A, AutoFill_classes!$B:$B,"")=0,"",_xlfn.XLOOKUP(BY103, AutoFill_classes!$A:$A, AutoFill_classes!$B:$B,""))</f>
        <v>Field Evangelism</v>
      </c>
      <c r="CB103" s="154"/>
      <c r="CC103" s="20" t="s">
        <v>56</v>
      </c>
      <c r="CD103" s="20" t="s">
        <v>57</v>
      </c>
      <c r="CE103" s="20" t="s">
        <v>58</v>
      </c>
      <c r="CF103" s="33" t="s">
        <v>59</v>
      </c>
      <c r="CG103" s="34" t="s">
        <v>60</v>
      </c>
      <c r="CH103" s="145">
        <v>3</v>
      </c>
      <c r="CI103" s="35"/>
      <c r="CJ103" s="60" t="str">
        <f t="shared" si="288"/>
        <v/>
      </c>
      <c r="CK103" s="32"/>
      <c r="CL103" s="32"/>
      <c r="CM103" s="32"/>
      <c r="CN103" s="32"/>
      <c r="CO103" s="58" t="str">
        <f t="shared" si="289"/>
        <v/>
      </c>
      <c r="CP103" s="20"/>
      <c r="CQ103" s="58" t="str">
        <f t="shared" si="290"/>
        <v/>
      </c>
      <c r="CR103" s="32"/>
      <c r="CS103" s="32"/>
      <c r="CT103" s="58" t="str">
        <f t="shared" si="291"/>
        <v/>
      </c>
      <c r="CU103" s="20"/>
      <c r="CV103" s="58" t="str">
        <f t="shared" si="292"/>
        <v/>
      </c>
      <c r="CW103" s="32"/>
      <c r="CX103" s="32"/>
      <c r="CY103" s="58" t="str">
        <f t="shared" si="293"/>
        <v/>
      </c>
      <c r="CZ103" s="58" t="str">
        <f t="shared" si="294"/>
        <v/>
      </c>
      <c r="DA103" s="58" t="str">
        <f t="shared" si="295"/>
        <v/>
      </c>
      <c r="DB103" s="59" t="str">
        <f t="shared" si="296"/>
        <v/>
      </c>
      <c r="DC103" s="20"/>
      <c r="DD103" s="144"/>
      <c r="DE103" s="91">
        <v>102</v>
      </c>
      <c r="DF103" s="39"/>
      <c r="DG103" s="39"/>
      <c r="DH103" s="39"/>
      <c r="DI103" s="39"/>
      <c r="DJ103" s="39"/>
      <c r="DK103" s="39"/>
      <c r="DL103" s="39"/>
      <c r="DM103" s="39"/>
      <c r="DN103" s="39"/>
      <c r="DO103" s="39"/>
      <c r="DP103" s="39"/>
      <c r="DQ103" s="39"/>
      <c r="DR103" s="39"/>
      <c r="DS103" s="39"/>
      <c r="DT103" s="39"/>
      <c r="DU103" s="39"/>
      <c r="DV103" s="39"/>
      <c r="DW103" s="39"/>
      <c r="DX103" s="39"/>
      <c r="DY103" s="39"/>
      <c r="DZ103" s="39"/>
      <c r="EA103" s="39"/>
      <c r="EB103" s="39"/>
      <c r="EC103" s="39"/>
      <c r="ED103" s="39"/>
      <c r="EE103" s="39"/>
      <c r="EF103" s="39"/>
      <c r="EG103" s="39"/>
      <c r="EH103" s="39"/>
      <c r="EI103" s="39"/>
      <c r="EJ103" s="39"/>
      <c r="EK103" s="39"/>
      <c r="EL103" s="39"/>
      <c r="EM103" s="39"/>
      <c r="EN103" s="39"/>
      <c r="EO103" s="39"/>
      <c r="EP103" s="39"/>
      <c r="EQ103" s="39"/>
      <c r="ER103" s="39"/>
      <c r="ES103" s="39"/>
      <c r="ET103" s="39"/>
      <c r="EU103" s="39"/>
      <c r="EV103" s="39"/>
      <c r="EW103" s="39"/>
      <c r="EX103" s="39"/>
      <c r="EY103" s="39"/>
      <c r="EZ103" s="39"/>
      <c r="FA103" s="39"/>
      <c r="FB103" s="39"/>
      <c r="FC103" s="39"/>
      <c r="FD103" s="39"/>
      <c r="FE103" s="39"/>
      <c r="FF103" s="39"/>
      <c r="FG103" s="39"/>
      <c r="FH103" s="39"/>
      <c r="FI103" s="39"/>
      <c r="FJ103" s="39"/>
      <c r="FK103" s="39"/>
      <c r="FL103" s="39"/>
      <c r="FM103" s="39"/>
      <c r="FN103" s="39"/>
      <c r="FO103" s="39"/>
      <c r="FP103" s="39"/>
      <c r="FQ103" s="39"/>
      <c r="FR103" s="39"/>
      <c r="FS103" s="39"/>
      <c r="FT103" s="39"/>
    </row>
    <row r="104" spans="1:176" s="22" customFormat="1" ht="13">
      <c r="A104" s="7" t="s">
        <v>1307</v>
      </c>
      <c r="B104" s="23" t="str">
        <f>IF(_xlfn.XLOOKUP(A104, AutoFill_names!B:B, AutoFill_names!C:C,"")=0,"",_xlfn.XLOOKUP(A104, AutoFill_names!B:B, AutoFill_names!C:C,""))</f>
        <v/>
      </c>
      <c r="C104" s="23" t="str">
        <f>IF(_xlfn.XLOOKUP(A104, AutoFill_names!B:B, AutoFill_names!D:D,"")=0,"",_xlfn.XLOOKUP(A104, AutoFill_names!B:B, AutoFill_names!D:D,""))</f>
        <v/>
      </c>
      <c r="D104" s="23" t="str">
        <f>IF(_xlfn.XLOOKUP(A104, AutoFill_names!B:B, AutoFill_names!E:E,"")=0,"",_xlfn.XLOOKUP(A104, AutoFill_names!B:B, AutoFill_names!E:E,""))</f>
        <v/>
      </c>
      <c r="E104" s="23" t="str">
        <f>IF(_xlfn.XLOOKUP(A104, AutoFill_names!B:B, AutoFill_names!F:F,"")=0,"",_xlfn.XLOOKUP(A104, AutoFill_names!B:B, AutoFill_names!F:F,""))</f>
        <v/>
      </c>
      <c r="F104" s="4"/>
      <c r="G104" s="4"/>
      <c r="H104" s="4"/>
      <c r="I104" s="4"/>
      <c r="J104" s="23" t="str">
        <f>IF(_xlfn.XLOOKUP(A104, AutoFill_names!B:B, AutoFill_names!K:K,"")=0,"",_xlfn.XLOOKUP(A104, AutoFill_names!B:B, AutoFill_names!K:K,""))</f>
        <v/>
      </c>
      <c r="K104" s="23" t="str">
        <f>IF(_xlfn.XLOOKUP(A104, AutoFill_names!B:B, AutoFill_names!L:L,"")=0,"",_xlfn.XLOOKUP(A104, AutoFill_names!B:B, AutoFill_names!L:L,""))</f>
        <v/>
      </c>
      <c r="L104" s="5"/>
      <c r="M104" s="5"/>
      <c r="N104" s="61" t="str">
        <f>IF(_xlfn.XLOOKUP(L104, AutoFill_classes!A:A, AutoFill_classes!B:B,"")=0,"",_xlfn.XLOOKUP(L104, AutoFill_classes!A:A, AutoFill_classes!B:B,""))</f>
        <v/>
      </c>
      <c r="O104" s="154"/>
      <c r="P104" s="9"/>
      <c r="Q104" s="9"/>
      <c r="R104" s="9"/>
      <c r="S104" s="5"/>
      <c r="T104" s="5"/>
      <c r="U104" s="5"/>
      <c r="V104" s="4"/>
      <c r="W104" s="4"/>
      <c r="X104" s="145"/>
      <c r="Y104" s="29"/>
      <c r="Z104" s="60" t="str">
        <f t="shared" si="270"/>
        <v/>
      </c>
      <c r="AA104" s="32"/>
      <c r="AB104" s="32"/>
      <c r="AC104" s="36"/>
      <c r="AD104" s="36"/>
      <c r="AE104" s="58" t="str">
        <f t="shared" si="271"/>
        <v/>
      </c>
      <c r="AF104" s="20"/>
      <c r="AG104" s="58" t="str">
        <f t="shared" si="272"/>
        <v/>
      </c>
      <c r="AH104" s="36"/>
      <c r="AI104" s="36"/>
      <c r="AJ104" s="58" t="str">
        <f t="shared" si="273"/>
        <v/>
      </c>
      <c r="AK104" s="20"/>
      <c r="AL104" s="58" t="str">
        <f t="shared" si="274"/>
        <v/>
      </c>
      <c r="AM104" s="36"/>
      <c r="AN104" s="36"/>
      <c r="AO104" s="58" t="str">
        <f t="shared" si="275"/>
        <v/>
      </c>
      <c r="AP104" s="58" t="str">
        <f t="shared" si="276"/>
        <v/>
      </c>
      <c r="AQ104" s="58" t="str">
        <f t="shared" si="277"/>
        <v/>
      </c>
      <c r="AR104" s="59" t="str">
        <f t="shared" si="278"/>
        <v/>
      </c>
      <c r="AS104" s="20"/>
      <c r="AT104" s="48" t="s">
        <v>607</v>
      </c>
      <c r="AU104" s="48"/>
      <c r="AV104" s="61" t="str">
        <f>IF(_xlfn.XLOOKUP(AT104, AutoFill_classes!$A:$A, AutoFill_classes!$B:$B,"")=0,"",_xlfn.XLOOKUP(AT104, AutoFill_classes!$A:$A, AutoFill_classes!$B:$B,""))</f>
        <v>Field Evangelism</v>
      </c>
      <c r="AW104" s="154"/>
      <c r="AX104" s="14" t="s">
        <v>56</v>
      </c>
      <c r="AY104" s="14" t="s">
        <v>57</v>
      </c>
      <c r="AZ104" s="160" t="s">
        <v>1310</v>
      </c>
      <c r="BA104" s="16" t="s">
        <v>59</v>
      </c>
      <c r="BB104" s="16" t="s">
        <v>60</v>
      </c>
      <c r="BC104" s="145">
        <v>3</v>
      </c>
      <c r="BD104" s="27"/>
      <c r="BE104" s="60" t="str">
        <f t="shared" si="279"/>
        <v/>
      </c>
      <c r="BF104" s="32"/>
      <c r="BG104" s="32"/>
      <c r="BH104" s="36"/>
      <c r="BI104" s="36"/>
      <c r="BJ104" s="58" t="str">
        <f t="shared" si="280"/>
        <v/>
      </c>
      <c r="BK104" s="20"/>
      <c r="BL104" s="58" t="str">
        <f t="shared" si="281"/>
        <v/>
      </c>
      <c r="BM104" s="36"/>
      <c r="BN104" s="36"/>
      <c r="BO104" s="58" t="str">
        <f t="shared" si="282"/>
        <v/>
      </c>
      <c r="BP104" s="20"/>
      <c r="BQ104" s="58" t="str">
        <f t="shared" si="283"/>
        <v/>
      </c>
      <c r="BR104" s="36"/>
      <c r="BS104" s="36"/>
      <c r="BT104" s="58" t="str">
        <f t="shared" si="284"/>
        <v/>
      </c>
      <c r="BU104" s="58" t="str">
        <f t="shared" si="285"/>
        <v/>
      </c>
      <c r="BV104" s="58" t="str">
        <f t="shared" si="286"/>
        <v/>
      </c>
      <c r="BW104" s="59" t="str">
        <f t="shared" si="287"/>
        <v/>
      </c>
      <c r="BX104" s="16"/>
      <c r="BY104" s="21" t="s">
        <v>607</v>
      </c>
      <c r="BZ104" s="20" t="s">
        <v>281</v>
      </c>
      <c r="CA104" s="61" t="str">
        <f>IF(_xlfn.XLOOKUP(BY104, AutoFill_classes!$A:$A, AutoFill_classes!$B:$B,"")=0,"",_xlfn.XLOOKUP(BY104, AutoFill_classes!$A:$A, AutoFill_classes!$B:$B,""))</f>
        <v>Field Evangelism</v>
      </c>
      <c r="CB104" s="154"/>
      <c r="CC104" s="20" t="s">
        <v>76</v>
      </c>
      <c r="CD104" s="20" t="s">
        <v>57</v>
      </c>
      <c r="CE104" s="20" t="s">
        <v>58</v>
      </c>
      <c r="CF104" s="33" t="s">
        <v>59</v>
      </c>
      <c r="CG104" s="34" t="s">
        <v>60</v>
      </c>
      <c r="CH104" s="145">
        <v>0</v>
      </c>
      <c r="CI104" s="35"/>
      <c r="CJ104" s="60" t="str">
        <f t="shared" si="288"/>
        <v/>
      </c>
      <c r="CK104" s="32"/>
      <c r="CL104" s="32"/>
      <c r="CM104" s="36"/>
      <c r="CN104" s="36"/>
      <c r="CO104" s="58" t="str">
        <f t="shared" si="289"/>
        <v/>
      </c>
      <c r="CP104" s="20"/>
      <c r="CQ104" s="58" t="str">
        <f t="shared" si="290"/>
        <v/>
      </c>
      <c r="CR104" s="36"/>
      <c r="CS104" s="36"/>
      <c r="CT104" s="58" t="str">
        <f t="shared" si="291"/>
        <v/>
      </c>
      <c r="CU104" s="20"/>
      <c r="CV104" s="58" t="str">
        <f t="shared" si="292"/>
        <v/>
      </c>
      <c r="CW104" s="36"/>
      <c r="CX104" s="36"/>
      <c r="CY104" s="58" t="str">
        <f t="shared" si="293"/>
        <v/>
      </c>
      <c r="CZ104" s="58" t="str">
        <f t="shared" si="294"/>
        <v/>
      </c>
      <c r="DA104" s="58" t="str">
        <f t="shared" si="295"/>
        <v/>
      </c>
      <c r="DB104" s="59" t="str">
        <f t="shared" si="296"/>
        <v/>
      </c>
      <c r="DC104" s="20"/>
      <c r="DD104" s="144"/>
      <c r="DE104" s="91">
        <v>103</v>
      </c>
      <c r="DF104" s="39"/>
      <c r="DG104" s="39"/>
      <c r="DH104" s="39"/>
      <c r="DI104" s="39"/>
      <c r="DJ104" s="39"/>
      <c r="DK104" s="39"/>
      <c r="DL104" s="39"/>
      <c r="DM104" s="39"/>
      <c r="DN104" s="39"/>
      <c r="DO104" s="39"/>
      <c r="DP104" s="39"/>
      <c r="DQ104" s="39"/>
      <c r="DR104" s="39"/>
      <c r="DS104" s="39"/>
      <c r="DT104" s="39"/>
      <c r="DU104" s="39"/>
      <c r="DV104" s="39"/>
      <c r="DW104" s="39"/>
      <c r="DX104" s="39"/>
      <c r="DY104" s="39"/>
      <c r="DZ104" s="39"/>
      <c r="EA104" s="39"/>
      <c r="EB104" s="39"/>
      <c r="EC104" s="39"/>
      <c r="ED104" s="39"/>
      <c r="EE104" s="39"/>
      <c r="EF104" s="39"/>
      <c r="EG104" s="39"/>
      <c r="EH104" s="39"/>
      <c r="EI104" s="39"/>
      <c r="EJ104" s="39"/>
      <c r="EK104" s="39"/>
      <c r="EL104" s="39"/>
      <c r="EM104" s="39"/>
      <c r="EN104" s="39"/>
      <c r="EO104" s="39"/>
      <c r="EP104" s="39"/>
      <c r="EQ104" s="39"/>
      <c r="ER104" s="39"/>
      <c r="ES104" s="39"/>
      <c r="ET104" s="39"/>
      <c r="EU104" s="39"/>
      <c r="EV104" s="39"/>
      <c r="EW104" s="39"/>
      <c r="EX104" s="39"/>
      <c r="EY104" s="39"/>
      <c r="EZ104" s="39"/>
      <c r="FA104" s="39"/>
      <c r="FB104" s="39"/>
      <c r="FC104" s="39"/>
      <c r="FD104" s="39"/>
      <c r="FE104" s="39"/>
      <c r="FF104" s="39"/>
      <c r="FG104" s="39"/>
      <c r="FH104" s="39"/>
      <c r="FI104" s="39"/>
      <c r="FJ104" s="39"/>
      <c r="FK104" s="39"/>
      <c r="FL104" s="39"/>
      <c r="FM104" s="39"/>
      <c r="FN104" s="39"/>
      <c r="FO104" s="39"/>
      <c r="FP104" s="39"/>
      <c r="FQ104" s="39"/>
      <c r="FR104" s="39"/>
      <c r="FS104" s="39"/>
      <c r="FT104" s="39"/>
    </row>
    <row r="105" spans="1:176" s="22" customFormat="1" ht="13">
      <c r="A105" s="7"/>
      <c r="B105" s="23" t="str">
        <f>IF(_xlfn.XLOOKUP(A105, AutoFill_names!B:B, AutoFill_names!C:C,"")=0,"",_xlfn.XLOOKUP(A105, AutoFill_names!B:B, AutoFill_names!C:C,""))</f>
        <v/>
      </c>
      <c r="C105" s="23" t="str">
        <f>IF(_xlfn.XLOOKUP(A105, AutoFill_names!B:B, AutoFill_names!D:D,"")=0,"",_xlfn.XLOOKUP(A105, AutoFill_names!B:B, AutoFill_names!D:D,""))</f>
        <v/>
      </c>
      <c r="D105" s="23" t="str">
        <f>IF(_xlfn.XLOOKUP(A105, AutoFill_names!B:B, AutoFill_names!E:E,"")=0,"",_xlfn.XLOOKUP(A105, AutoFill_names!B:B, AutoFill_names!E:E,""))</f>
        <v/>
      </c>
      <c r="E105" s="23" t="str">
        <f>IF(_xlfn.XLOOKUP(A105, AutoFill_names!B:B, AutoFill_names!F:F,"")=0,"",_xlfn.XLOOKUP(A105, AutoFill_names!B:B, AutoFill_names!F:F,""))</f>
        <v/>
      </c>
      <c r="F105" s="4"/>
      <c r="G105" s="4"/>
      <c r="H105" s="4"/>
      <c r="I105" s="4"/>
      <c r="J105" s="23" t="str">
        <f>IF(_xlfn.XLOOKUP(A105, AutoFill_names!B:B, AutoFill_names!K:K,"")=0,"",_xlfn.XLOOKUP(A105, AutoFill_names!B:B, AutoFill_names!K:K,""))</f>
        <v/>
      </c>
      <c r="K105" s="23" t="str">
        <f>IF(_xlfn.XLOOKUP(A105, AutoFill_names!B:B, AutoFill_names!L:L,"")=0,"",_xlfn.XLOOKUP(A105, AutoFill_names!B:B, AutoFill_names!L:L,""))</f>
        <v/>
      </c>
      <c r="L105" s="5"/>
      <c r="M105" s="5"/>
      <c r="N105" s="61" t="str">
        <f>IF(_xlfn.XLOOKUP(L105, AutoFill_classes!A:A, AutoFill_classes!B:B,"")=0,"",_xlfn.XLOOKUP(L105, AutoFill_classes!A:A, AutoFill_classes!B:B,""))</f>
        <v/>
      </c>
      <c r="O105" s="154"/>
      <c r="P105" s="9"/>
      <c r="Q105" s="9"/>
      <c r="R105" s="9"/>
      <c r="S105" s="5"/>
      <c r="T105" s="5"/>
      <c r="U105" s="5"/>
      <c r="V105" s="4"/>
      <c r="W105" s="4"/>
      <c r="X105" s="145"/>
      <c r="Y105" s="29"/>
      <c r="Z105" s="60" t="str">
        <f t="shared" si="270"/>
        <v/>
      </c>
      <c r="AA105" s="32"/>
      <c r="AB105" s="32"/>
      <c r="AC105" s="32"/>
      <c r="AD105" s="32"/>
      <c r="AE105" s="58" t="str">
        <f t="shared" si="271"/>
        <v/>
      </c>
      <c r="AF105" s="20"/>
      <c r="AG105" s="58" t="str">
        <f t="shared" si="272"/>
        <v/>
      </c>
      <c r="AH105" s="32"/>
      <c r="AI105" s="32"/>
      <c r="AJ105" s="58" t="str">
        <f t="shared" si="273"/>
        <v/>
      </c>
      <c r="AK105" s="20"/>
      <c r="AL105" s="58" t="str">
        <f t="shared" si="274"/>
        <v/>
      </c>
      <c r="AM105" s="32"/>
      <c r="AN105" s="32"/>
      <c r="AO105" s="58" t="str">
        <f t="shared" si="275"/>
        <v/>
      </c>
      <c r="AP105" s="58" t="str">
        <f t="shared" si="276"/>
        <v/>
      </c>
      <c r="AQ105" s="58" t="str">
        <f t="shared" si="277"/>
        <v/>
      </c>
      <c r="AR105" s="59" t="str">
        <f t="shared" si="278"/>
        <v/>
      </c>
      <c r="AS105" s="20"/>
      <c r="AT105" s="48"/>
      <c r="AU105" s="48"/>
      <c r="AV105" s="61" t="str">
        <f>IF(_xlfn.XLOOKUP(AT105, AutoFill_classes!$A:$A, AutoFill_classes!$B:$B,"")=0,"",_xlfn.XLOOKUP(AT105, AutoFill_classes!$A:$A, AutoFill_classes!$B:$B,""))</f>
        <v/>
      </c>
      <c r="AW105" s="154"/>
      <c r="AX105" s="14"/>
      <c r="AY105" s="14"/>
      <c r="AZ105" s="14"/>
      <c r="BA105" s="16"/>
      <c r="BB105" s="16"/>
      <c r="BC105" s="145"/>
      <c r="BD105" s="27"/>
      <c r="BE105" s="60" t="str">
        <f t="shared" si="279"/>
        <v/>
      </c>
      <c r="BF105" s="32"/>
      <c r="BG105" s="32"/>
      <c r="BH105" s="32"/>
      <c r="BI105" s="32"/>
      <c r="BJ105" s="58" t="str">
        <f t="shared" si="280"/>
        <v/>
      </c>
      <c r="BK105" s="20"/>
      <c r="BL105" s="58" t="str">
        <f t="shared" si="281"/>
        <v/>
      </c>
      <c r="BM105" s="32"/>
      <c r="BN105" s="32"/>
      <c r="BO105" s="58" t="str">
        <f t="shared" si="282"/>
        <v/>
      </c>
      <c r="BP105" s="20"/>
      <c r="BQ105" s="58" t="str">
        <f t="shared" si="283"/>
        <v/>
      </c>
      <c r="BR105" s="32"/>
      <c r="BS105" s="32"/>
      <c r="BT105" s="58" t="str">
        <f t="shared" si="284"/>
        <v/>
      </c>
      <c r="BU105" s="58" t="str">
        <f t="shared" si="285"/>
        <v/>
      </c>
      <c r="BV105" s="58" t="str">
        <f t="shared" si="286"/>
        <v/>
      </c>
      <c r="BW105" s="59" t="str">
        <f t="shared" si="287"/>
        <v/>
      </c>
      <c r="BX105" s="16"/>
      <c r="BY105" s="21"/>
      <c r="BZ105" s="20"/>
      <c r="CA105" s="61" t="str">
        <f>IF(_xlfn.XLOOKUP(BY105, AutoFill_classes!$A:$A, AutoFill_classes!$B:$B,"")=0,"",_xlfn.XLOOKUP(BY105, AutoFill_classes!$A:$A, AutoFill_classes!$B:$B,""))</f>
        <v/>
      </c>
      <c r="CB105" s="154"/>
      <c r="CC105" s="20"/>
      <c r="CD105" s="20"/>
      <c r="CE105" s="20"/>
      <c r="CF105" s="33"/>
      <c r="CG105" s="34"/>
      <c r="CH105" s="145"/>
      <c r="CI105" s="35"/>
      <c r="CJ105" s="60" t="str">
        <f t="shared" si="288"/>
        <v/>
      </c>
      <c r="CK105" s="32"/>
      <c r="CL105" s="32"/>
      <c r="CM105" s="32"/>
      <c r="CN105" s="32"/>
      <c r="CO105" s="58" t="str">
        <f t="shared" si="289"/>
        <v/>
      </c>
      <c r="CP105" s="20"/>
      <c r="CQ105" s="58" t="str">
        <f t="shared" si="290"/>
        <v/>
      </c>
      <c r="CR105" s="32"/>
      <c r="CS105" s="32"/>
      <c r="CT105" s="58" t="str">
        <f t="shared" si="291"/>
        <v/>
      </c>
      <c r="CU105" s="20"/>
      <c r="CV105" s="58" t="str">
        <f t="shared" si="292"/>
        <v/>
      </c>
      <c r="CW105" s="32"/>
      <c r="CX105" s="32"/>
      <c r="CY105" s="58" t="str">
        <f t="shared" si="293"/>
        <v/>
      </c>
      <c r="CZ105" s="58" t="str">
        <f t="shared" si="294"/>
        <v/>
      </c>
      <c r="DA105" s="58" t="str">
        <f t="shared" si="295"/>
        <v/>
      </c>
      <c r="DB105" s="59" t="str">
        <f t="shared" si="296"/>
        <v/>
      </c>
      <c r="DC105" s="20"/>
      <c r="DD105" s="144"/>
      <c r="DE105" s="91">
        <v>104</v>
      </c>
      <c r="DF105" s="39"/>
      <c r="DG105" s="39"/>
      <c r="DH105" s="39"/>
      <c r="DI105" s="39"/>
      <c r="DJ105" s="39"/>
      <c r="DK105" s="39"/>
      <c r="DL105" s="39"/>
      <c r="DM105" s="39"/>
      <c r="DN105" s="39"/>
      <c r="DO105" s="39"/>
      <c r="DP105" s="39"/>
      <c r="DQ105" s="39"/>
      <c r="DR105" s="39"/>
      <c r="DS105" s="39"/>
      <c r="DT105" s="39"/>
      <c r="DU105" s="39"/>
      <c r="DV105" s="39"/>
      <c r="DW105" s="39"/>
      <c r="DX105" s="39"/>
      <c r="DY105" s="39"/>
      <c r="DZ105" s="39"/>
      <c r="EA105" s="39"/>
      <c r="EB105" s="39"/>
      <c r="EC105" s="39"/>
      <c r="ED105" s="39"/>
      <c r="EE105" s="39"/>
      <c r="EF105" s="39"/>
      <c r="EG105" s="39"/>
      <c r="EH105" s="39"/>
      <c r="EI105" s="39"/>
      <c r="EJ105" s="39"/>
      <c r="EK105" s="39"/>
      <c r="EL105" s="39"/>
      <c r="EM105" s="39"/>
      <c r="EN105" s="39"/>
      <c r="EO105" s="39"/>
      <c r="EP105" s="39"/>
      <c r="EQ105" s="39"/>
      <c r="ER105" s="39"/>
      <c r="ES105" s="39"/>
      <c r="ET105" s="39"/>
      <c r="EU105" s="39"/>
      <c r="EV105" s="39"/>
      <c r="EW105" s="39"/>
      <c r="EX105" s="39"/>
      <c r="EY105" s="39"/>
      <c r="EZ105" s="39"/>
      <c r="FA105" s="39"/>
      <c r="FB105" s="39"/>
      <c r="FC105" s="39"/>
      <c r="FD105" s="39"/>
      <c r="FE105" s="39"/>
      <c r="FF105" s="39"/>
      <c r="FG105" s="39"/>
      <c r="FH105" s="39"/>
      <c r="FI105" s="39"/>
      <c r="FJ105" s="39"/>
      <c r="FK105" s="39"/>
      <c r="FL105" s="39"/>
      <c r="FM105" s="39"/>
      <c r="FN105" s="39"/>
      <c r="FO105" s="39"/>
      <c r="FP105" s="39"/>
      <c r="FQ105" s="39"/>
      <c r="FR105" s="39"/>
      <c r="FS105" s="39"/>
      <c r="FT105" s="39"/>
    </row>
    <row r="106" spans="1:176" s="22" customFormat="1" ht="13">
      <c r="A106" s="7"/>
      <c r="B106" s="23" t="str">
        <f>IF(_xlfn.XLOOKUP(A106, AutoFill_names!B:B, AutoFill_names!C:C,"")=0,"",_xlfn.XLOOKUP(A106, AutoFill_names!B:B, AutoFill_names!C:C,""))</f>
        <v/>
      </c>
      <c r="C106" s="23" t="str">
        <f>IF(_xlfn.XLOOKUP(A106, AutoFill_names!B:B, AutoFill_names!D:D,"")=0,"",_xlfn.XLOOKUP(A106, AutoFill_names!B:B, AutoFill_names!D:D,""))</f>
        <v/>
      </c>
      <c r="D106" s="23" t="str">
        <f>IF(_xlfn.XLOOKUP(A106, AutoFill_names!B:B, AutoFill_names!E:E,"")=0,"",_xlfn.XLOOKUP(A106, AutoFill_names!B:B, AutoFill_names!E:E,""))</f>
        <v/>
      </c>
      <c r="E106" s="23" t="str">
        <f>IF(_xlfn.XLOOKUP(A106, AutoFill_names!B:B, AutoFill_names!F:F,"")=0,"",_xlfn.XLOOKUP(A106, AutoFill_names!B:B, AutoFill_names!F:F,""))</f>
        <v/>
      </c>
      <c r="F106" s="4"/>
      <c r="G106" s="4"/>
      <c r="H106" s="4"/>
      <c r="I106" s="4"/>
      <c r="J106" s="23" t="str">
        <f>IF(_xlfn.XLOOKUP(A106, AutoFill_names!B:B, AutoFill_names!K:K,"")=0,"",_xlfn.XLOOKUP(A106, AutoFill_names!B:B, AutoFill_names!K:K,""))</f>
        <v/>
      </c>
      <c r="K106" s="23" t="str">
        <f>IF(_xlfn.XLOOKUP(A106, AutoFill_names!B:B, AutoFill_names!L:L,"")=0,"",_xlfn.XLOOKUP(A106, AutoFill_names!B:B, AutoFill_names!L:L,""))</f>
        <v/>
      </c>
      <c r="L106" s="5"/>
      <c r="M106" s="5"/>
      <c r="N106" s="61" t="str">
        <f>IF(_xlfn.XLOOKUP(L106, AutoFill_classes!A:A, AutoFill_classes!B:B,"")=0,"",_xlfn.XLOOKUP(L106, AutoFill_classes!A:A, AutoFill_classes!B:B,""))</f>
        <v/>
      </c>
      <c r="O106" s="154"/>
      <c r="P106" s="9"/>
      <c r="Q106" s="9"/>
      <c r="R106" s="9"/>
      <c r="S106" s="5"/>
      <c r="T106" s="5"/>
      <c r="U106" s="5"/>
      <c r="V106" s="4"/>
      <c r="W106" s="4"/>
      <c r="X106" s="145"/>
      <c r="Y106" s="29"/>
      <c r="Z106" s="60" t="str">
        <f t="shared" si="270"/>
        <v/>
      </c>
      <c r="AA106" s="32"/>
      <c r="AB106" s="32"/>
      <c r="AC106" s="32"/>
      <c r="AD106" s="32"/>
      <c r="AE106" s="58" t="str">
        <f t="shared" si="271"/>
        <v/>
      </c>
      <c r="AF106" s="20"/>
      <c r="AG106" s="58" t="str">
        <f t="shared" si="272"/>
        <v/>
      </c>
      <c r="AH106" s="32"/>
      <c r="AI106" s="32"/>
      <c r="AJ106" s="58" t="str">
        <f t="shared" si="273"/>
        <v/>
      </c>
      <c r="AK106" s="20"/>
      <c r="AL106" s="58" t="str">
        <f t="shared" si="274"/>
        <v/>
      </c>
      <c r="AM106" s="32"/>
      <c r="AN106" s="32"/>
      <c r="AO106" s="58" t="str">
        <f t="shared" si="275"/>
        <v/>
      </c>
      <c r="AP106" s="58" t="str">
        <f t="shared" si="276"/>
        <v/>
      </c>
      <c r="AQ106" s="58" t="str">
        <f t="shared" si="277"/>
        <v/>
      </c>
      <c r="AR106" s="59" t="str">
        <f t="shared" si="278"/>
        <v/>
      </c>
      <c r="AS106" s="20"/>
      <c r="AT106" s="48"/>
      <c r="AU106" s="48"/>
      <c r="AV106" s="61" t="str">
        <f>IF(_xlfn.XLOOKUP(AT106, AutoFill_classes!$A:$A, AutoFill_classes!$B:$B,"")=0,"",_xlfn.XLOOKUP(AT106, AutoFill_classes!$A:$A, AutoFill_classes!$B:$B,""))</f>
        <v/>
      </c>
      <c r="AW106" s="154"/>
      <c r="AX106" s="14"/>
      <c r="AY106" s="14"/>
      <c r="AZ106" s="14"/>
      <c r="BA106" s="16"/>
      <c r="BB106" s="16"/>
      <c r="BC106" s="145"/>
      <c r="BD106" s="27"/>
      <c r="BE106" s="60" t="str">
        <f t="shared" si="279"/>
        <v/>
      </c>
      <c r="BF106" s="32"/>
      <c r="BG106" s="32"/>
      <c r="BH106" s="32"/>
      <c r="BI106" s="32"/>
      <c r="BJ106" s="58" t="str">
        <f t="shared" si="280"/>
        <v/>
      </c>
      <c r="BK106" s="20"/>
      <c r="BL106" s="58" t="str">
        <f t="shared" si="281"/>
        <v/>
      </c>
      <c r="BM106" s="32"/>
      <c r="BN106" s="32"/>
      <c r="BO106" s="58" t="str">
        <f t="shared" si="282"/>
        <v/>
      </c>
      <c r="BP106" s="20"/>
      <c r="BQ106" s="58" t="str">
        <f t="shared" si="283"/>
        <v/>
      </c>
      <c r="BR106" s="32"/>
      <c r="BS106" s="32"/>
      <c r="BT106" s="58" t="str">
        <f t="shared" si="284"/>
        <v/>
      </c>
      <c r="BU106" s="58" t="str">
        <f t="shared" si="285"/>
        <v/>
      </c>
      <c r="BV106" s="58" t="str">
        <f t="shared" si="286"/>
        <v/>
      </c>
      <c r="BW106" s="59" t="str">
        <f t="shared" si="287"/>
        <v/>
      </c>
      <c r="BX106" s="16"/>
      <c r="BY106" s="21"/>
      <c r="BZ106" s="20"/>
      <c r="CA106" s="61" t="str">
        <f>IF(_xlfn.XLOOKUP(BY106, AutoFill_classes!$A:$A, AutoFill_classes!$B:$B,"")=0,"",_xlfn.XLOOKUP(BY106, AutoFill_classes!$A:$A, AutoFill_classes!$B:$B,""))</f>
        <v/>
      </c>
      <c r="CB106" s="154"/>
      <c r="CC106" s="20"/>
      <c r="CD106" s="20"/>
      <c r="CE106" s="20"/>
      <c r="CF106" s="33"/>
      <c r="CG106" s="34"/>
      <c r="CH106" s="145"/>
      <c r="CI106" s="35"/>
      <c r="CJ106" s="60" t="str">
        <f t="shared" si="288"/>
        <v/>
      </c>
      <c r="CK106" s="32"/>
      <c r="CL106" s="32"/>
      <c r="CM106" s="32"/>
      <c r="CN106" s="32"/>
      <c r="CO106" s="58" t="str">
        <f t="shared" si="289"/>
        <v/>
      </c>
      <c r="CP106" s="20"/>
      <c r="CQ106" s="58" t="str">
        <f t="shared" si="290"/>
        <v/>
      </c>
      <c r="CR106" s="32"/>
      <c r="CS106" s="32"/>
      <c r="CT106" s="58" t="str">
        <f t="shared" si="291"/>
        <v/>
      </c>
      <c r="CU106" s="20"/>
      <c r="CV106" s="58" t="str">
        <f t="shared" si="292"/>
        <v/>
      </c>
      <c r="CW106" s="32"/>
      <c r="CX106" s="32"/>
      <c r="CY106" s="58" t="str">
        <f t="shared" si="293"/>
        <v/>
      </c>
      <c r="CZ106" s="58" t="str">
        <f t="shared" si="294"/>
        <v/>
      </c>
      <c r="DA106" s="58" t="str">
        <f t="shared" si="295"/>
        <v/>
      </c>
      <c r="DB106" s="59" t="str">
        <f t="shared" si="296"/>
        <v/>
      </c>
      <c r="DC106" s="20"/>
      <c r="DD106" s="144"/>
      <c r="DE106" s="91">
        <v>105</v>
      </c>
      <c r="DF106" s="39"/>
      <c r="DG106" s="39"/>
      <c r="DH106" s="39"/>
      <c r="DI106" s="39"/>
      <c r="DJ106" s="39"/>
      <c r="DK106" s="39"/>
      <c r="DL106" s="39"/>
      <c r="DM106" s="39"/>
      <c r="DN106" s="39"/>
      <c r="DO106" s="39"/>
      <c r="DP106" s="39"/>
      <c r="DQ106" s="39"/>
      <c r="DR106" s="39"/>
      <c r="DS106" s="39"/>
      <c r="DT106" s="39"/>
      <c r="DU106" s="39"/>
      <c r="DV106" s="39"/>
      <c r="DW106" s="39"/>
      <c r="DX106" s="39"/>
      <c r="DY106" s="39"/>
      <c r="DZ106" s="39"/>
      <c r="EA106" s="39"/>
      <c r="EB106" s="39"/>
      <c r="EC106" s="39"/>
      <c r="ED106" s="39"/>
      <c r="EE106" s="39"/>
      <c r="EF106" s="39"/>
      <c r="EG106" s="39"/>
      <c r="EH106" s="39"/>
      <c r="EI106" s="39"/>
      <c r="EJ106" s="39"/>
      <c r="EK106" s="39"/>
      <c r="EL106" s="39"/>
      <c r="EM106" s="39"/>
      <c r="EN106" s="39"/>
      <c r="EO106" s="39"/>
      <c r="EP106" s="39"/>
      <c r="EQ106" s="39"/>
      <c r="ER106" s="39"/>
      <c r="ES106" s="39"/>
      <c r="ET106" s="39"/>
      <c r="EU106" s="39"/>
      <c r="EV106" s="39"/>
      <c r="EW106" s="39"/>
      <c r="EX106" s="39"/>
      <c r="EY106" s="39"/>
      <c r="EZ106" s="39"/>
      <c r="FA106" s="39"/>
      <c r="FB106" s="39"/>
      <c r="FC106" s="39"/>
      <c r="FD106" s="39"/>
      <c r="FE106" s="39"/>
      <c r="FF106" s="39"/>
      <c r="FG106" s="39"/>
      <c r="FH106" s="39"/>
      <c r="FI106" s="39"/>
      <c r="FJ106" s="39"/>
      <c r="FK106" s="39"/>
      <c r="FL106" s="39"/>
      <c r="FM106" s="39"/>
      <c r="FN106" s="39"/>
      <c r="FO106" s="39"/>
      <c r="FP106" s="39"/>
      <c r="FQ106" s="39"/>
      <c r="FR106" s="39"/>
      <c r="FS106" s="39"/>
      <c r="FT106" s="39"/>
    </row>
    <row r="107" spans="1:176" s="22" customFormat="1" ht="13">
      <c r="A107" s="7"/>
      <c r="B107" s="23" t="str">
        <f>IF(_xlfn.XLOOKUP(A107, AutoFill_names!B:B, AutoFill_names!C:C,"")=0,"",_xlfn.XLOOKUP(A107, AutoFill_names!B:B, AutoFill_names!C:C,""))</f>
        <v/>
      </c>
      <c r="C107" s="23" t="str">
        <f>IF(_xlfn.XLOOKUP(A107, AutoFill_names!B:B, AutoFill_names!D:D,"")=0,"",_xlfn.XLOOKUP(A107, AutoFill_names!B:B, AutoFill_names!D:D,""))</f>
        <v/>
      </c>
      <c r="D107" s="23" t="str">
        <f>IF(_xlfn.XLOOKUP(A107, AutoFill_names!B:B, AutoFill_names!E:E,"")=0,"",_xlfn.XLOOKUP(A107, AutoFill_names!B:B, AutoFill_names!E:E,""))</f>
        <v/>
      </c>
      <c r="E107" s="23" t="str">
        <f>IF(_xlfn.XLOOKUP(A107, AutoFill_names!B:B, AutoFill_names!F:F,"")=0,"",_xlfn.XLOOKUP(A107, AutoFill_names!B:B, AutoFill_names!F:F,""))</f>
        <v/>
      </c>
      <c r="F107" s="4"/>
      <c r="G107" s="4"/>
      <c r="H107" s="4"/>
      <c r="I107" s="4"/>
      <c r="J107" s="23" t="str">
        <f>IF(_xlfn.XLOOKUP(A107, AutoFill_names!B:B, AutoFill_names!K:K,"")=0,"",_xlfn.XLOOKUP(A107, AutoFill_names!B:B, AutoFill_names!K:K,""))</f>
        <v/>
      </c>
      <c r="K107" s="23" t="str">
        <f>IF(_xlfn.XLOOKUP(A107, AutoFill_names!B:B, AutoFill_names!L:L,"")=0,"",_xlfn.XLOOKUP(A107, AutoFill_names!B:B, AutoFill_names!L:L,""))</f>
        <v/>
      </c>
      <c r="L107" s="5"/>
      <c r="M107" s="5"/>
      <c r="N107" s="61" t="str">
        <f>IF(_xlfn.XLOOKUP(L107, AutoFill_classes!A:A, AutoFill_classes!B:B,"")=0,"",_xlfn.XLOOKUP(L107, AutoFill_classes!A:A, AutoFill_classes!B:B,""))</f>
        <v/>
      </c>
      <c r="O107" s="154"/>
      <c r="P107" s="9"/>
      <c r="Q107" s="9"/>
      <c r="R107" s="9"/>
      <c r="S107" s="5"/>
      <c r="T107" s="5"/>
      <c r="U107" s="5"/>
      <c r="V107" s="4"/>
      <c r="W107" s="4"/>
      <c r="X107" s="145"/>
      <c r="Y107" s="29"/>
      <c r="Z107" s="60" t="str">
        <f t="shared" si="270"/>
        <v/>
      </c>
      <c r="AA107" s="32"/>
      <c r="AB107" s="32"/>
      <c r="AC107" s="32"/>
      <c r="AD107" s="32"/>
      <c r="AE107" s="58" t="str">
        <f t="shared" si="271"/>
        <v/>
      </c>
      <c r="AF107" s="20"/>
      <c r="AG107" s="58" t="str">
        <f t="shared" si="272"/>
        <v/>
      </c>
      <c r="AH107" s="32"/>
      <c r="AI107" s="32"/>
      <c r="AJ107" s="58" t="str">
        <f t="shared" si="273"/>
        <v/>
      </c>
      <c r="AK107" s="20"/>
      <c r="AL107" s="58" t="str">
        <f t="shared" si="274"/>
        <v/>
      </c>
      <c r="AM107" s="32"/>
      <c r="AN107" s="32"/>
      <c r="AO107" s="58" t="str">
        <f t="shared" si="275"/>
        <v/>
      </c>
      <c r="AP107" s="58" t="str">
        <f t="shared" si="276"/>
        <v/>
      </c>
      <c r="AQ107" s="58" t="str">
        <f t="shared" si="277"/>
        <v/>
      </c>
      <c r="AR107" s="59" t="str">
        <f t="shared" si="278"/>
        <v/>
      </c>
      <c r="AS107" s="20"/>
      <c r="AT107" s="48"/>
      <c r="AU107" s="48"/>
      <c r="AV107" s="61" t="str">
        <f>IF(_xlfn.XLOOKUP(AT107, AutoFill_classes!$A:$A, AutoFill_classes!$B:$B,"")=0,"",_xlfn.XLOOKUP(AT107, AutoFill_classes!$A:$A, AutoFill_classes!$B:$B,""))</f>
        <v/>
      </c>
      <c r="AW107" s="154"/>
      <c r="AX107" s="14"/>
      <c r="AY107" s="14"/>
      <c r="AZ107" s="14"/>
      <c r="BA107" s="16"/>
      <c r="BB107" s="16"/>
      <c r="BC107" s="145"/>
      <c r="BD107" s="27"/>
      <c r="BE107" s="60" t="str">
        <f t="shared" si="279"/>
        <v/>
      </c>
      <c r="BF107" s="32"/>
      <c r="BG107" s="32"/>
      <c r="BH107" s="32"/>
      <c r="BI107" s="32"/>
      <c r="BJ107" s="58" t="str">
        <f t="shared" si="280"/>
        <v/>
      </c>
      <c r="BK107" s="20"/>
      <c r="BL107" s="58" t="str">
        <f t="shared" si="281"/>
        <v/>
      </c>
      <c r="BM107" s="32"/>
      <c r="BN107" s="32"/>
      <c r="BO107" s="58" t="str">
        <f t="shared" si="282"/>
        <v/>
      </c>
      <c r="BP107" s="20"/>
      <c r="BQ107" s="58" t="str">
        <f t="shared" si="283"/>
        <v/>
      </c>
      <c r="BR107" s="32"/>
      <c r="BS107" s="32"/>
      <c r="BT107" s="58" t="str">
        <f t="shared" si="284"/>
        <v/>
      </c>
      <c r="BU107" s="58" t="str">
        <f t="shared" si="285"/>
        <v/>
      </c>
      <c r="BV107" s="58" t="str">
        <f t="shared" si="286"/>
        <v/>
      </c>
      <c r="BW107" s="59" t="str">
        <f t="shared" si="287"/>
        <v/>
      </c>
      <c r="BX107" s="16"/>
      <c r="BY107" s="21"/>
      <c r="BZ107" s="20"/>
      <c r="CA107" s="61" t="str">
        <f>IF(_xlfn.XLOOKUP(BY107, AutoFill_classes!$A:$A, AutoFill_classes!$B:$B,"")=0,"",_xlfn.XLOOKUP(BY107, AutoFill_classes!$A:$A, AutoFill_classes!$B:$B,""))</f>
        <v/>
      </c>
      <c r="CB107" s="154"/>
      <c r="CC107" s="20"/>
      <c r="CD107" s="20"/>
      <c r="CE107" s="20"/>
      <c r="CF107" s="33"/>
      <c r="CG107" s="34"/>
      <c r="CH107" s="145"/>
      <c r="CI107" s="35"/>
      <c r="CJ107" s="60" t="str">
        <f t="shared" si="288"/>
        <v/>
      </c>
      <c r="CK107" s="32"/>
      <c r="CL107" s="32"/>
      <c r="CM107" s="32"/>
      <c r="CN107" s="32"/>
      <c r="CO107" s="58" t="str">
        <f t="shared" si="289"/>
        <v/>
      </c>
      <c r="CP107" s="20"/>
      <c r="CQ107" s="58" t="str">
        <f t="shared" si="290"/>
        <v/>
      </c>
      <c r="CR107" s="32"/>
      <c r="CS107" s="32"/>
      <c r="CT107" s="58" t="str">
        <f t="shared" si="291"/>
        <v/>
      </c>
      <c r="CU107" s="20"/>
      <c r="CV107" s="58" t="str">
        <f t="shared" si="292"/>
        <v/>
      </c>
      <c r="CW107" s="32"/>
      <c r="CX107" s="32"/>
      <c r="CY107" s="58" t="str">
        <f t="shared" si="293"/>
        <v/>
      </c>
      <c r="CZ107" s="58" t="str">
        <f t="shared" si="294"/>
        <v/>
      </c>
      <c r="DA107" s="58" t="str">
        <f t="shared" si="295"/>
        <v/>
      </c>
      <c r="DB107" s="59" t="str">
        <f t="shared" si="296"/>
        <v/>
      </c>
      <c r="DC107" s="20"/>
      <c r="DD107" s="144"/>
      <c r="DE107" s="91">
        <v>106</v>
      </c>
      <c r="DF107" s="39"/>
      <c r="DG107" s="39"/>
      <c r="DH107" s="39"/>
      <c r="DI107" s="39"/>
      <c r="DJ107" s="39"/>
      <c r="DK107" s="39"/>
      <c r="DL107" s="39"/>
      <c r="DM107" s="39"/>
      <c r="DN107" s="39"/>
      <c r="DO107" s="39"/>
      <c r="DP107" s="39"/>
      <c r="DQ107" s="39"/>
      <c r="DR107" s="39"/>
      <c r="DS107" s="39"/>
      <c r="DT107" s="39"/>
      <c r="DU107" s="39"/>
      <c r="DV107" s="39"/>
      <c r="DW107" s="39"/>
      <c r="DX107" s="39"/>
      <c r="DY107" s="39"/>
      <c r="DZ107" s="39"/>
      <c r="EA107" s="39"/>
      <c r="EB107" s="39"/>
      <c r="EC107" s="39"/>
      <c r="ED107" s="39"/>
      <c r="EE107" s="39"/>
      <c r="EF107" s="39"/>
      <c r="EG107" s="39"/>
      <c r="EH107" s="39"/>
      <c r="EI107" s="39"/>
      <c r="EJ107" s="39"/>
      <c r="EK107" s="39"/>
      <c r="EL107" s="39"/>
      <c r="EM107" s="39"/>
      <c r="EN107" s="39"/>
      <c r="EO107" s="39"/>
      <c r="EP107" s="39"/>
      <c r="EQ107" s="39"/>
      <c r="ER107" s="39"/>
      <c r="ES107" s="39"/>
      <c r="ET107" s="39"/>
      <c r="EU107" s="39"/>
      <c r="EV107" s="39"/>
      <c r="EW107" s="39"/>
      <c r="EX107" s="39"/>
      <c r="EY107" s="39"/>
      <c r="EZ107" s="39"/>
      <c r="FA107" s="39"/>
      <c r="FB107" s="39"/>
      <c r="FC107" s="39"/>
      <c r="FD107" s="39"/>
      <c r="FE107" s="39"/>
      <c r="FF107" s="39"/>
      <c r="FG107" s="39"/>
      <c r="FH107" s="39"/>
      <c r="FI107" s="39"/>
      <c r="FJ107" s="39"/>
      <c r="FK107" s="39"/>
      <c r="FL107" s="39"/>
      <c r="FM107" s="39"/>
      <c r="FN107" s="39"/>
      <c r="FO107" s="39"/>
      <c r="FP107" s="39"/>
      <c r="FQ107" s="39"/>
      <c r="FR107" s="39"/>
      <c r="FS107" s="39"/>
      <c r="FT107" s="39"/>
    </row>
    <row r="108" spans="1:176" s="22" customFormat="1" ht="13">
      <c r="A108" s="7"/>
      <c r="B108" s="23" t="str">
        <f>IF(_xlfn.XLOOKUP(A108, AutoFill_names!B:B, AutoFill_names!C:C,"")=0,"",_xlfn.XLOOKUP(A108, AutoFill_names!B:B, AutoFill_names!C:C,""))</f>
        <v/>
      </c>
      <c r="C108" s="23" t="str">
        <f>IF(_xlfn.XLOOKUP(A108, AutoFill_names!B:B, AutoFill_names!D:D,"")=0,"",_xlfn.XLOOKUP(A108, AutoFill_names!B:B, AutoFill_names!D:D,""))</f>
        <v/>
      </c>
      <c r="D108" s="23" t="str">
        <f>IF(_xlfn.XLOOKUP(A108, AutoFill_names!B:B, AutoFill_names!E:E,"")=0,"",_xlfn.XLOOKUP(A108, AutoFill_names!B:B, AutoFill_names!E:E,""))</f>
        <v/>
      </c>
      <c r="E108" s="23" t="str">
        <f>IF(_xlfn.XLOOKUP(A108, AutoFill_names!B:B, AutoFill_names!F:F,"")=0,"",_xlfn.XLOOKUP(A108, AutoFill_names!B:B, AutoFill_names!F:F,""))</f>
        <v/>
      </c>
      <c r="F108" s="4"/>
      <c r="G108" s="4"/>
      <c r="H108" s="4"/>
      <c r="I108" s="4"/>
      <c r="J108" s="23" t="str">
        <f>IF(_xlfn.XLOOKUP(A108, AutoFill_names!B:B, AutoFill_names!K:K,"")=0,"",_xlfn.XLOOKUP(A108, AutoFill_names!B:B, AutoFill_names!K:K,""))</f>
        <v/>
      </c>
      <c r="K108" s="23" t="str">
        <f>IF(_xlfn.XLOOKUP(A108, AutoFill_names!B:B, AutoFill_names!L:L,"")=0,"",_xlfn.XLOOKUP(A108, AutoFill_names!B:B, AutoFill_names!L:L,""))</f>
        <v/>
      </c>
      <c r="L108" s="5"/>
      <c r="M108" s="5"/>
      <c r="N108" s="61" t="str">
        <f>IF(_xlfn.XLOOKUP(L108, AutoFill_classes!A:A, AutoFill_classes!B:B,"")=0,"",_xlfn.XLOOKUP(L108, AutoFill_classes!A:A, AutoFill_classes!B:B,""))</f>
        <v/>
      </c>
      <c r="O108" s="154"/>
      <c r="P108" s="9"/>
      <c r="Q108" s="9"/>
      <c r="R108" s="9"/>
      <c r="S108" s="5"/>
      <c r="T108" s="5"/>
      <c r="U108" s="5"/>
      <c r="V108" s="4"/>
      <c r="W108" s="4"/>
      <c r="X108" s="145"/>
      <c r="Y108" s="29"/>
      <c r="Z108" s="60" t="str">
        <f t="shared" si="270"/>
        <v/>
      </c>
      <c r="AA108" s="32"/>
      <c r="AB108" s="32"/>
      <c r="AC108" s="32"/>
      <c r="AD108" s="32"/>
      <c r="AE108" s="58" t="str">
        <f t="shared" si="271"/>
        <v/>
      </c>
      <c r="AF108" s="20"/>
      <c r="AG108" s="58" t="str">
        <f t="shared" si="272"/>
        <v/>
      </c>
      <c r="AH108" s="32"/>
      <c r="AI108" s="32"/>
      <c r="AJ108" s="58" t="str">
        <f t="shared" si="273"/>
        <v/>
      </c>
      <c r="AK108" s="20"/>
      <c r="AL108" s="58" t="str">
        <f t="shared" si="274"/>
        <v/>
      </c>
      <c r="AM108" s="32"/>
      <c r="AN108" s="32"/>
      <c r="AO108" s="58" t="str">
        <f t="shared" si="275"/>
        <v/>
      </c>
      <c r="AP108" s="58" t="str">
        <f t="shared" si="276"/>
        <v/>
      </c>
      <c r="AQ108" s="58" t="str">
        <f t="shared" si="277"/>
        <v/>
      </c>
      <c r="AR108" s="59" t="str">
        <f t="shared" si="278"/>
        <v/>
      </c>
      <c r="AS108" s="20"/>
      <c r="AT108" s="48"/>
      <c r="AU108" s="48"/>
      <c r="AV108" s="61" t="str">
        <f>IF(_xlfn.XLOOKUP(AT108, AutoFill_classes!$A:$A, AutoFill_classes!$B:$B,"")=0,"",_xlfn.XLOOKUP(AT108, AutoFill_classes!$A:$A, AutoFill_classes!$B:$B,""))</f>
        <v/>
      </c>
      <c r="AW108" s="154"/>
      <c r="AX108" s="14"/>
      <c r="AY108" s="14"/>
      <c r="AZ108" s="14"/>
      <c r="BA108" s="16"/>
      <c r="BB108" s="16"/>
      <c r="BC108" s="145"/>
      <c r="BD108" s="29"/>
      <c r="BE108" s="60" t="str">
        <f t="shared" si="279"/>
        <v/>
      </c>
      <c r="BF108" s="32"/>
      <c r="BG108" s="32"/>
      <c r="BH108" s="32"/>
      <c r="BI108" s="32"/>
      <c r="BJ108" s="58" t="str">
        <f t="shared" si="280"/>
        <v/>
      </c>
      <c r="BK108" s="20"/>
      <c r="BL108" s="58" t="str">
        <f t="shared" si="281"/>
        <v/>
      </c>
      <c r="BM108" s="32"/>
      <c r="BN108" s="32"/>
      <c r="BO108" s="58" t="str">
        <f t="shared" si="282"/>
        <v/>
      </c>
      <c r="BP108" s="20"/>
      <c r="BQ108" s="58" t="str">
        <f t="shared" si="283"/>
        <v/>
      </c>
      <c r="BR108" s="32"/>
      <c r="BS108" s="32"/>
      <c r="BT108" s="58" t="str">
        <f t="shared" si="284"/>
        <v/>
      </c>
      <c r="BU108" s="58" t="str">
        <f t="shared" si="285"/>
        <v/>
      </c>
      <c r="BV108" s="58" t="str">
        <f t="shared" si="286"/>
        <v/>
      </c>
      <c r="BW108" s="59" t="str">
        <f t="shared" si="287"/>
        <v/>
      </c>
      <c r="BX108" s="14"/>
      <c r="BY108" s="21"/>
      <c r="BZ108" s="20"/>
      <c r="CA108" s="61" t="str">
        <f>IF(_xlfn.XLOOKUP(BY108, AutoFill_classes!$A:$A, AutoFill_classes!$B:$B,"")=0,"",_xlfn.XLOOKUP(BY108, AutoFill_classes!$A:$A, AutoFill_classes!$B:$B,""))</f>
        <v/>
      </c>
      <c r="CB108" s="154"/>
      <c r="CC108" s="20"/>
      <c r="CD108" s="20"/>
      <c r="CE108" s="20"/>
      <c r="CF108" s="33"/>
      <c r="CG108" s="34"/>
      <c r="CH108" s="145"/>
      <c r="CI108" s="35"/>
      <c r="CJ108" s="60" t="str">
        <f t="shared" si="288"/>
        <v/>
      </c>
      <c r="CK108" s="32"/>
      <c r="CL108" s="32"/>
      <c r="CM108" s="32"/>
      <c r="CN108" s="32"/>
      <c r="CO108" s="58" t="str">
        <f t="shared" si="289"/>
        <v/>
      </c>
      <c r="CP108" s="20"/>
      <c r="CQ108" s="58" t="str">
        <f t="shared" si="290"/>
        <v/>
      </c>
      <c r="CR108" s="32"/>
      <c r="CS108" s="32"/>
      <c r="CT108" s="58" t="str">
        <f t="shared" si="291"/>
        <v/>
      </c>
      <c r="CU108" s="20"/>
      <c r="CV108" s="58" t="str">
        <f t="shared" si="292"/>
        <v/>
      </c>
      <c r="CW108" s="32"/>
      <c r="CX108" s="32"/>
      <c r="CY108" s="58" t="str">
        <f t="shared" si="293"/>
        <v/>
      </c>
      <c r="CZ108" s="58" t="str">
        <f t="shared" si="294"/>
        <v/>
      </c>
      <c r="DA108" s="58" t="str">
        <f t="shared" si="295"/>
        <v/>
      </c>
      <c r="DB108" s="59" t="str">
        <f t="shared" si="296"/>
        <v/>
      </c>
      <c r="DC108" s="20"/>
      <c r="DD108" s="144"/>
      <c r="DE108" s="91">
        <v>107</v>
      </c>
      <c r="DF108" s="39"/>
      <c r="DG108" s="39"/>
      <c r="DH108" s="39"/>
      <c r="DI108" s="39"/>
      <c r="DJ108" s="39"/>
      <c r="DK108" s="39"/>
      <c r="DL108" s="39"/>
      <c r="DM108" s="39"/>
      <c r="DN108" s="39"/>
      <c r="DO108" s="39"/>
      <c r="DP108" s="39"/>
      <c r="DQ108" s="39"/>
      <c r="DR108" s="39"/>
      <c r="DS108" s="39"/>
      <c r="DT108" s="39"/>
      <c r="DU108" s="39"/>
      <c r="DV108" s="39"/>
      <c r="DW108" s="39"/>
      <c r="DX108" s="39"/>
      <c r="DY108" s="39"/>
      <c r="DZ108" s="39"/>
      <c r="EA108" s="39"/>
      <c r="EB108" s="39"/>
      <c r="EC108" s="39"/>
      <c r="ED108" s="39"/>
      <c r="EE108" s="39"/>
      <c r="EF108" s="39"/>
      <c r="EG108" s="39"/>
      <c r="EH108" s="39"/>
      <c r="EI108" s="39"/>
      <c r="EJ108" s="39"/>
      <c r="EK108" s="39"/>
      <c r="EL108" s="39"/>
      <c r="EM108" s="39"/>
      <c r="EN108" s="39"/>
      <c r="EO108" s="39"/>
      <c r="EP108" s="39"/>
      <c r="EQ108" s="39"/>
      <c r="ER108" s="39"/>
      <c r="ES108" s="39"/>
      <c r="ET108" s="39"/>
      <c r="EU108" s="39"/>
      <c r="EV108" s="39"/>
      <c r="EW108" s="39"/>
      <c r="EX108" s="39"/>
      <c r="EY108" s="39"/>
      <c r="EZ108" s="39"/>
      <c r="FA108" s="39"/>
      <c r="FB108" s="39"/>
      <c r="FC108" s="39"/>
      <c r="FD108" s="39"/>
      <c r="FE108" s="39"/>
      <c r="FF108" s="39"/>
      <c r="FG108" s="39"/>
      <c r="FH108" s="39"/>
      <c r="FI108" s="39"/>
      <c r="FJ108" s="39"/>
      <c r="FK108" s="39"/>
      <c r="FL108" s="39"/>
      <c r="FM108" s="39"/>
      <c r="FN108" s="39"/>
      <c r="FO108" s="39"/>
      <c r="FP108" s="39"/>
      <c r="FQ108" s="39"/>
      <c r="FR108" s="39"/>
      <c r="FS108" s="39"/>
      <c r="FT108" s="39"/>
    </row>
    <row r="109" spans="1:176" s="22" customFormat="1" ht="13">
      <c r="A109" s="7"/>
      <c r="B109" s="23" t="str">
        <f>IF(_xlfn.XLOOKUP(A109, AutoFill_names!B:B, AutoFill_names!C:C,"")=0,"",_xlfn.XLOOKUP(A109, AutoFill_names!B:B, AutoFill_names!C:C,""))</f>
        <v/>
      </c>
      <c r="C109" s="23" t="str">
        <f>IF(_xlfn.XLOOKUP(A109, AutoFill_names!B:B, AutoFill_names!D:D,"")=0,"",_xlfn.XLOOKUP(A109, AutoFill_names!B:B, AutoFill_names!D:D,""))</f>
        <v/>
      </c>
      <c r="D109" s="23" t="str">
        <f>IF(_xlfn.XLOOKUP(A109, AutoFill_names!B:B, AutoFill_names!E:E,"")=0,"",_xlfn.XLOOKUP(A109, AutoFill_names!B:B, AutoFill_names!E:E,""))</f>
        <v/>
      </c>
      <c r="E109" s="23" t="str">
        <f>IF(_xlfn.XLOOKUP(A109, AutoFill_names!B:B, AutoFill_names!F:F,"")=0,"",_xlfn.XLOOKUP(A109, AutoFill_names!B:B, AutoFill_names!F:F,""))</f>
        <v/>
      </c>
      <c r="F109" s="4"/>
      <c r="G109" s="4"/>
      <c r="H109" s="4"/>
      <c r="I109" s="4"/>
      <c r="J109" s="23" t="str">
        <f>IF(_xlfn.XLOOKUP(A109, AutoFill_names!B:B, AutoFill_names!K:K,"")=0,"",_xlfn.XLOOKUP(A109, AutoFill_names!B:B, AutoFill_names!K:K,""))</f>
        <v/>
      </c>
      <c r="K109" s="23" t="str">
        <f>IF(_xlfn.XLOOKUP(A109, AutoFill_names!B:B, AutoFill_names!L:L,"")=0,"",_xlfn.XLOOKUP(A109, AutoFill_names!B:B, AutoFill_names!L:L,""))</f>
        <v/>
      </c>
      <c r="L109" s="5"/>
      <c r="M109" s="5"/>
      <c r="N109" s="61" t="str">
        <f>IF(_xlfn.XLOOKUP(L109, AutoFill_classes!A:A, AutoFill_classes!B:B,"")=0,"",_xlfn.XLOOKUP(L109, AutoFill_classes!A:A, AutoFill_classes!B:B,""))</f>
        <v/>
      </c>
      <c r="O109" s="154"/>
      <c r="P109" s="9"/>
      <c r="Q109" s="9"/>
      <c r="R109" s="9"/>
      <c r="S109" s="5"/>
      <c r="T109" s="5"/>
      <c r="U109" s="5"/>
      <c r="V109" s="4"/>
      <c r="W109" s="4"/>
      <c r="X109" s="145"/>
      <c r="Y109" s="29"/>
      <c r="Z109" s="60" t="str">
        <f t="shared" si="270"/>
        <v/>
      </c>
      <c r="AA109" s="32"/>
      <c r="AB109" s="32"/>
      <c r="AC109" s="32"/>
      <c r="AD109" s="32"/>
      <c r="AE109" s="58" t="str">
        <f t="shared" si="271"/>
        <v/>
      </c>
      <c r="AF109" s="20"/>
      <c r="AG109" s="58" t="str">
        <f t="shared" si="272"/>
        <v/>
      </c>
      <c r="AH109" s="32"/>
      <c r="AI109" s="32"/>
      <c r="AJ109" s="58" t="str">
        <f t="shared" si="273"/>
        <v/>
      </c>
      <c r="AK109" s="20"/>
      <c r="AL109" s="58" t="str">
        <f t="shared" si="274"/>
        <v/>
      </c>
      <c r="AM109" s="32"/>
      <c r="AN109" s="32"/>
      <c r="AO109" s="58" t="str">
        <f t="shared" si="275"/>
        <v/>
      </c>
      <c r="AP109" s="58" t="str">
        <f t="shared" si="276"/>
        <v/>
      </c>
      <c r="AQ109" s="58" t="str">
        <f t="shared" si="277"/>
        <v/>
      </c>
      <c r="AR109" s="59" t="str">
        <f t="shared" si="278"/>
        <v/>
      </c>
      <c r="AS109" s="20"/>
      <c r="AT109" s="48"/>
      <c r="AU109" s="48"/>
      <c r="AV109" s="61" t="str">
        <f>IF(_xlfn.XLOOKUP(AT109, AutoFill_classes!$A:$A, AutoFill_classes!$B:$B,"")=0,"",_xlfn.XLOOKUP(AT109, AutoFill_classes!$A:$A, AutoFill_classes!$B:$B,""))</f>
        <v/>
      </c>
      <c r="AW109" s="154"/>
      <c r="AX109" s="14"/>
      <c r="AY109" s="14"/>
      <c r="AZ109" s="14"/>
      <c r="BA109" s="16"/>
      <c r="BB109" s="16"/>
      <c r="BC109" s="145"/>
      <c r="BD109" s="29"/>
      <c r="BE109" s="60" t="str">
        <f t="shared" si="279"/>
        <v/>
      </c>
      <c r="BF109" s="32"/>
      <c r="BG109" s="32"/>
      <c r="BH109" s="32"/>
      <c r="BI109" s="32"/>
      <c r="BJ109" s="58" t="str">
        <f t="shared" si="280"/>
        <v/>
      </c>
      <c r="BK109" s="20"/>
      <c r="BL109" s="58" t="str">
        <f t="shared" si="281"/>
        <v/>
      </c>
      <c r="BM109" s="32"/>
      <c r="BN109" s="32"/>
      <c r="BO109" s="58" t="str">
        <f t="shared" si="282"/>
        <v/>
      </c>
      <c r="BP109" s="20"/>
      <c r="BQ109" s="58" t="str">
        <f t="shared" si="283"/>
        <v/>
      </c>
      <c r="BR109" s="32"/>
      <c r="BS109" s="32"/>
      <c r="BT109" s="58" t="str">
        <f t="shared" si="284"/>
        <v/>
      </c>
      <c r="BU109" s="58" t="str">
        <f t="shared" si="285"/>
        <v/>
      </c>
      <c r="BV109" s="58" t="str">
        <f t="shared" si="286"/>
        <v/>
      </c>
      <c r="BW109" s="59" t="str">
        <f t="shared" si="287"/>
        <v/>
      </c>
      <c r="BX109" s="14"/>
      <c r="BY109" s="21"/>
      <c r="BZ109" s="20"/>
      <c r="CA109" s="61" t="str">
        <f>IF(_xlfn.XLOOKUP(BY109, AutoFill_classes!$A:$A, AutoFill_classes!$B:$B,"")=0,"",_xlfn.XLOOKUP(BY109, AutoFill_classes!$A:$A, AutoFill_classes!$B:$B,""))</f>
        <v/>
      </c>
      <c r="CB109" s="154"/>
      <c r="CC109" s="20"/>
      <c r="CD109" s="20"/>
      <c r="CE109" s="20"/>
      <c r="CF109" s="33"/>
      <c r="CG109" s="34"/>
      <c r="CH109" s="145"/>
      <c r="CI109" s="35"/>
      <c r="CJ109" s="60" t="str">
        <f t="shared" si="288"/>
        <v/>
      </c>
      <c r="CK109" s="32"/>
      <c r="CL109" s="32"/>
      <c r="CM109" s="32"/>
      <c r="CN109" s="32"/>
      <c r="CO109" s="58" t="str">
        <f t="shared" si="289"/>
        <v/>
      </c>
      <c r="CP109" s="20"/>
      <c r="CQ109" s="58" t="str">
        <f t="shared" si="290"/>
        <v/>
      </c>
      <c r="CR109" s="32"/>
      <c r="CS109" s="32"/>
      <c r="CT109" s="58" t="str">
        <f t="shared" si="291"/>
        <v/>
      </c>
      <c r="CU109" s="20"/>
      <c r="CV109" s="58" t="str">
        <f t="shared" si="292"/>
        <v/>
      </c>
      <c r="CW109" s="32"/>
      <c r="CX109" s="32"/>
      <c r="CY109" s="58" t="str">
        <f t="shared" si="293"/>
        <v/>
      </c>
      <c r="CZ109" s="58" t="str">
        <f t="shared" si="294"/>
        <v/>
      </c>
      <c r="DA109" s="58" t="str">
        <f t="shared" si="295"/>
        <v/>
      </c>
      <c r="DB109" s="59" t="str">
        <f t="shared" si="296"/>
        <v/>
      </c>
      <c r="DC109" s="20"/>
      <c r="DD109" s="144"/>
      <c r="DE109" s="91">
        <v>108</v>
      </c>
      <c r="DF109" s="39"/>
      <c r="DG109" s="39"/>
      <c r="DH109" s="39"/>
      <c r="DI109" s="39"/>
      <c r="DJ109" s="39"/>
      <c r="DK109" s="39"/>
      <c r="DL109" s="39"/>
      <c r="DM109" s="39"/>
      <c r="DN109" s="39"/>
      <c r="DO109" s="39"/>
      <c r="DP109" s="39"/>
      <c r="DQ109" s="39"/>
      <c r="DR109" s="39"/>
      <c r="DS109" s="39"/>
      <c r="DT109" s="39"/>
      <c r="DU109" s="39"/>
      <c r="DV109" s="39"/>
      <c r="DW109" s="39"/>
      <c r="DX109" s="39"/>
      <c r="DY109" s="39"/>
      <c r="DZ109" s="39"/>
      <c r="EA109" s="39"/>
      <c r="EB109" s="39"/>
      <c r="EC109" s="39"/>
      <c r="ED109" s="39"/>
      <c r="EE109" s="39"/>
      <c r="EF109" s="39"/>
      <c r="EG109" s="39"/>
      <c r="EH109" s="39"/>
      <c r="EI109" s="39"/>
      <c r="EJ109" s="39"/>
      <c r="EK109" s="39"/>
      <c r="EL109" s="39"/>
      <c r="EM109" s="39"/>
      <c r="EN109" s="39"/>
      <c r="EO109" s="39"/>
      <c r="EP109" s="39"/>
      <c r="EQ109" s="39"/>
      <c r="ER109" s="39"/>
      <c r="ES109" s="39"/>
      <c r="ET109" s="39"/>
      <c r="EU109" s="39"/>
      <c r="EV109" s="39"/>
      <c r="EW109" s="39"/>
      <c r="EX109" s="39"/>
      <c r="EY109" s="39"/>
      <c r="EZ109" s="39"/>
      <c r="FA109" s="39"/>
      <c r="FB109" s="39"/>
      <c r="FC109" s="39"/>
      <c r="FD109" s="39"/>
      <c r="FE109" s="39"/>
      <c r="FF109" s="39"/>
      <c r="FG109" s="39"/>
      <c r="FH109" s="39"/>
      <c r="FI109" s="39"/>
      <c r="FJ109" s="39"/>
      <c r="FK109" s="39"/>
      <c r="FL109" s="39"/>
      <c r="FM109" s="39"/>
      <c r="FN109" s="39"/>
      <c r="FO109" s="39"/>
      <c r="FP109" s="39"/>
      <c r="FQ109" s="39"/>
      <c r="FR109" s="39"/>
      <c r="FS109" s="39"/>
      <c r="FT109" s="39"/>
    </row>
    <row r="110" spans="1:176" s="22" customFormat="1" ht="13">
      <c r="A110" s="7"/>
      <c r="B110" s="23" t="str">
        <f>IF(_xlfn.XLOOKUP(A110, AutoFill_names!B:B, AutoFill_names!C:C,"")=0,"",_xlfn.XLOOKUP(A110, AutoFill_names!B:B, AutoFill_names!C:C,""))</f>
        <v/>
      </c>
      <c r="C110" s="23" t="str">
        <f>IF(_xlfn.XLOOKUP(A110, AutoFill_names!B:B, AutoFill_names!D:D,"")=0,"",_xlfn.XLOOKUP(A110, AutoFill_names!B:B, AutoFill_names!D:D,""))</f>
        <v/>
      </c>
      <c r="D110" s="23" t="str">
        <f>IF(_xlfn.XLOOKUP(A110, AutoFill_names!B:B, AutoFill_names!E:E,"")=0,"",_xlfn.XLOOKUP(A110, AutoFill_names!B:B, AutoFill_names!E:E,""))</f>
        <v/>
      </c>
      <c r="E110" s="23" t="str">
        <f>IF(_xlfn.XLOOKUP(A110, AutoFill_names!B:B, AutoFill_names!F:F,"")=0,"",_xlfn.XLOOKUP(A110, AutoFill_names!B:B, AutoFill_names!F:F,""))</f>
        <v/>
      </c>
      <c r="F110" s="4"/>
      <c r="G110" s="4"/>
      <c r="H110" s="4"/>
      <c r="I110" s="4"/>
      <c r="J110" s="23" t="str">
        <f>IF(_xlfn.XLOOKUP(A110, AutoFill_names!B:B, AutoFill_names!K:K,"")=0,"",_xlfn.XLOOKUP(A110, AutoFill_names!B:B, AutoFill_names!K:K,""))</f>
        <v/>
      </c>
      <c r="K110" s="23" t="str">
        <f>IF(_xlfn.XLOOKUP(A110, AutoFill_names!B:B, AutoFill_names!L:L,"")=0,"",_xlfn.XLOOKUP(A110, AutoFill_names!B:B, AutoFill_names!L:L,""))</f>
        <v/>
      </c>
      <c r="L110" s="4"/>
      <c r="M110" s="4"/>
      <c r="N110" s="61" t="str">
        <f>IF(_xlfn.XLOOKUP(L110, AutoFill_classes!A:A, AutoFill_classes!B:B,"")=0,"",_xlfn.XLOOKUP(L110, AutoFill_classes!A:A, AutoFill_classes!B:B,""))</f>
        <v/>
      </c>
      <c r="O110" s="154"/>
      <c r="P110" s="9"/>
      <c r="Q110" s="9"/>
      <c r="R110" s="9"/>
      <c r="S110" s="4"/>
      <c r="T110" s="4"/>
      <c r="U110" s="4"/>
      <c r="V110" s="4"/>
      <c r="W110" s="4"/>
      <c r="X110" s="144"/>
      <c r="Y110" s="27"/>
      <c r="Z110" s="60" t="str">
        <f t="shared" si="270"/>
        <v/>
      </c>
      <c r="AA110" s="32"/>
      <c r="AB110" s="32"/>
      <c r="AC110" s="32"/>
      <c r="AD110" s="32"/>
      <c r="AE110" s="58" t="str">
        <f t="shared" si="271"/>
        <v/>
      </c>
      <c r="AF110" s="20"/>
      <c r="AG110" s="58" t="str">
        <f t="shared" si="272"/>
        <v/>
      </c>
      <c r="AH110" s="32"/>
      <c r="AI110" s="32"/>
      <c r="AJ110" s="58" t="str">
        <f t="shared" si="273"/>
        <v/>
      </c>
      <c r="AK110" s="20"/>
      <c r="AL110" s="58" t="str">
        <f t="shared" si="274"/>
        <v/>
      </c>
      <c r="AM110" s="32"/>
      <c r="AN110" s="32"/>
      <c r="AO110" s="58" t="str">
        <f t="shared" si="275"/>
        <v/>
      </c>
      <c r="AP110" s="58" t="str">
        <f t="shared" si="276"/>
        <v/>
      </c>
      <c r="AQ110" s="58" t="str">
        <f t="shared" si="277"/>
        <v/>
      </c>
      <c r="AR110" s="59" t="str">
        <f t="shared" si="278"/>
        <v/>
      </c>
      <c r="AS110" s="20"/>
      <c r="AT110" s="14"/>
      <c r="AU110" s="14"/>
      <c r="AV110" s="61" t="str">
        <f>IF(_xlfn.XLOOKUP(AT110, AutoFill_classes!$A:$A, AutoFill_classes!$B:$B,"")=0,"",_xlfn.XLOOKUP(AT110, AutoFill_classes!$A:$A, AutoFill_classes!$B:$B,""))</f>
        <v/>
      </c>
      <c r="AW110" s="154"/>
      <c r="AX110" s="14"/>
      <c r="AY110" s="14"/>
      <c r="AZ110" s="14"/>
      <c r="BA110" s="16"/>
      <c r="BB110" s="16"/>
      <c r="BC110" s="144"/>
      <c r="BD110" s="27"/>
      <c r="BE110" s="60" t="str">
        <f t="shared" si="279"/>
        <v/>
      </c>
      <c r="BF110" s="32"/>
      <c r="BG110" s="32"/>
      <c r="BH110" s="32"/>
      <c r="BI110" s="32"/>
      <c r="BJ110" s="58" t="str">
        <f t="shared" si="280"/>
        <v/>
      </c>
      <c r="BK110" s="20"/>
      <c r="BL110" s="58" t="str">
        <f t="shared" si="281"/>
        <v/>
      </c>
      <c r="BM110" s="32"/>
      <c r="BN110" s="32"/>
      <c r="BO110" s="58" t="str">
        <f t="shared" si="282"/>
        <v/>
      </c>
      <c r="BP110" s="20"/>
      <c r="BQ110" s="58" t="str">
        <f t="shared" si="283"/>
        <v/>
      </c>
      <c r="BR110" s="32"/>
      <c r="BS110" s="32"/>
      <c r="BT110" s="58" t="str">
        <f t="shared" si="284"/>
        <v/>
      </c>
      <c r="BU110" s="58" t="str">
        <f t="shared" si="285"/>
        <v/>
      </c>
      <c r="BV110" s="58" t="str">
        <f t="shared" si="286"/>
        <v/>
      </c>
      <c r="BW110" s="59" t="str">
        <f t="shared" si="287"/>
        <v/>
      </c>
      <c r="BX110" s="16"/>
      <c r="BY110" s="21"/>
      <c r="BZ110" s="20"/>
      <c r="CA110" s="61" t="str">
        <f>IF(_xlfn.XLOOKUP(BY110, AutoFill_classes!$A:$A, AutoFill_classes!$B:$B,"")=0,"",_xlfn.XLOOKUP(BY110, AutoFill_classes!$A:$A, AutoFill_classes!$B:$B,""))</f>
        <v/>
      </c>
      <c r="CB110" s="154"/>
      <c r="CC110" s="20"/>
      <c r="CD110" s="20"/>
      <c r="CE110" s="20"/>
      <c r="CF110" s="33"/>
      <c r="CG110" s="34"/>
      <c r="CH110" s="144"/>
      <c r="CI110" s="35"/>
      <c r="CJ110" s="60" t="str">
        <f t="shared" si="288"/>
        <v/>
      </c>
      <c r="CK110" s="32"/>
      <c r="CL110" s="32"/>
      <c r="CM110" s="32"/>
      <c r="CN110" s="32"/>
      <c r="CO110" s="58" t="str">
        <f t="shared" si="289"/>
        <v/>
      </c>
      <c r="CP110" s="20"/>
      <c r="CQ110" s="58" t="str">
        <f t="shared" si="290"/>
        <v/>
      </c>
      <c r="CR110" s="32"/>
      <c r="CS110" s="32"/>
      <c r="CT110" s="58" t="str">
        <f t="shared" si="291"/>
        <v/>
      </c>
      <c r="CU110" s="20"/>
      <c r="CV110" s="58" t="str">
        <f t="shared" si="292"/>
        <v/>
      </c>
      <c r="CW110" s="32"/>
      <c r="CX110" s="32"/>
      <c r="CY110" s="58" t="str">
        <f t="shared" si="293"/>
        <v/>
      </c>
      <c r="CZ110" s="58" t="str">
        <f t="shared" si="294"/>
        <v/>
      </c>
      <c r="DA110" s="58" t="str">
        <f t="shared" si="295"/>
        <v/>
      </c>
      <c r="DB110" s="59" t="str">
        <f t="shared" si="296"/>
        <v/>
      </c>
      <c r="DC110" s="20"/>
      <c r="DD110" s="145"/>
      <c r="DE110" s="91">
        <v>109</v>
      </c>
      <c r="DF110" s="39"/>
      <c r="DG110" s="39"/>
      <c r="DH110" s="39"/>
      <c r="DI110" s="39"/>
      <c r="DJ110" s="39"/>
      <c r="DK110" s="39"/>
      <c r="DL110" s="39"/>
      <c r="DM110" s="39"/>
      <c r="DN110" s="39"/>
      <c r="DO110" s="39"/>
      <c r="DP110" s="39"/>
      <c r="DQ110" s="39"/>
      <c r="DR110" s="39"/>
      <c r="DS110" s="39"/>
      <c r="DT110" s="39"/>
      <c r="DU110" s="39"/>
      <c r="DV110" s="39"/>
      <c r="DW110" s="39"/>
      <c r="DX110" s="39"/>
      <c r="DY110" s="39"/>
      <c r="DZ110" s="39"/>
      <c r="EA110" s="39"/>
      <c r="EB110" s="39"/>
      <c r="EC110" s="39"/>
      <c r="ED110" s="39"/>
      <c r="EE110" s="39"/>
      <c r="EF110" s="39"/>
      <c r="EG110" s="39"/>
      <c r="EH110" s="39"/>
      <c r="EI110" s="39"/>
      <c r="EJ110" s="39"/>
      <c r="EK110" s="39"/>
      <c r="EL110" s="39"/>
      <c r="EM110" s="39"/>
      <c r="EN110" s="39"/>
      <c r="EO110" s="39"/>
      <c r="EP110" s="39"/>
      <c r="EQ110" s="39"/>
      <c r="ER110" s="39"/>
      <c r="ES110" s="39"/>
      <c r="ET110" s="39"/>
      <c r="EU110" s="39"/>
      <c r="EV110" s="39"/>
      <c r="EW110" s="39"/>
      <c r="EX110" s="39"/>
      <c r="EY110" s="39"/>
      <c r="EZ110" s="39"/>
      <c r="FA110" s="39"/>
      <c r="FB110" s="39"/>
      <c r="FC110" s="39"/>
      <c r="FD110" s="39"/>
      <c r="FE110" s="39"/>
      <c r="FF110" s="39"/>
      <c r="FG110" s="39"/>
      <c r="FH110" s="39"/>
      <c r="FI110" s="39"/>
      <c r="FJ110" s="39"/>
      <c r="FK110" s="39"/>
      <c r="FL110" s="39"/>
      <c r="FM110" s="39"/>
      <c r="FN110" s="39"/>
      <c r="FO110" s="39"/>
      <c r="FP110" s="39"/>
      <c r="FQ110" s="39"/>
      <c r="FR110" s="39"/>
      <c r="FS110" s="39"/>
      <c r="FT110" s="39"/>
    </row>
    <row r="111" spans="1:176" s="113" customFormat="1" ht="34">
      <c r="A111" s="153" t="s">
        <v>1296</v>
      </c>
      <c r="B111" s="93" t="str">
        <f>"Total Credits: " &amp; IFERROR(IF(DD111=0,"",DD111),"")</f>
        <v>Total Credits: 15</v>
      </c>
      <c r="C111" s="114"/>
      <c r="D111" s="114"/>
      <c r="E111" s="114"/>
      <c r="F111" s="114"/>
      <c r="G111" s="114"/>
      <c r="H111" s="114"/>
      <c r="I111" s="114"/>
      <c r="J111" s="114"/>
      <c r="K111" s="114"/>
      <c r="L111" s="114"/>
      <c r="M111" s="114"/>
      <c r="P111" s="96"/>
      <c r="Q111" s="96"/>
      <c r="R111" s="96"/>
      <c r="S111" s="114"/>
      <c r="T111" s="114"/>
      <c r="U111" s="114"/>
      <c r="V111" s="97"/>
      <c r="W111" s="97"/>
      <c r="X111" s="143">
        <f>IF(SUM(X112:X120)=0, "", SUM(X112:X120))</f>
        <v>5</v>
      </c>
      <c r="Y111" s="121"/>
      <c r="Z111" s="122"/>
      <c r="AA111" s="100"/>
      <c r="AB111" s="100"/>
      <c r="AC111" s="100"/>
      <c r="AD111" s="100"/>
      <c r="AE111" s="101"/>
      <c r="AF111" s="102"/>
      <c r="AG111" s="101"/>
      <c r="AH111" s="100"/>
      <c r="AI111" s="100"/>
      <c r="AJ111" s="101"/>
      <c r="AK111" s="102"/>
      <c r="AL111" s="101"/>
      <c r="AM111" s="100"/>
      <c r="AN111" s="100"/>
      <c r="AO111" s="103"/>
      <c r="AP111" s="103"/>
      <c r="AQ111" s="103"/>
      <c r="AR111" s="103"/>
      <c r="AS111" s="104"/>
      <c r="AT111" s="125"/>
      <c r="AU111" s="125"/>
      <c r="AX111" s="125"/>
      <c r="AY111" s="125"/>
      <c r="AZ111" s="125"/>
      <c r="BA111" s="112"/>
      <c r="BB111" s="112"/>
      <c r="BC111" s="143">
        <f>IF(SUM(BC112:BC120)=0, "", SUM(BC112:BC120))</f>
        <v>5</v>
      </c>
      <c r="BD111" s="121"/>
      <c r="BE111" s="122"/>
      <c r="BF111" s="123"/>
      <c r="BG111" s="123"/>
      <c r="BH111" s="123"/>
      <c r="BI111" s="123"/>
      <c r="BJ111" s="124"/>
      <c r="BK111" s="125"/>
      <c r="BL111" s="124"/>
      <c r="BM111" s="123"/>
      <c r="BN111" s="123"/>
      <c r="BO111" s="124"/>
      <c r="BP111" s="125"/>
      <c r="BQ111" s="124"/>
      <c r="BR111" s="123"/>
      <c r="BS111" s="123"/>
      <c r="BT111" s="124"/>
      <c r="BU111" s="124"/>
      <c r="BV111" s="124"/>
      <c r="BW111" s="103"/>
      <c r="BX111" s="125"/>
      <c r="BY111" s="119"/>
      <c r="BZ111" s="119"/>
      <c r="CC111" s="119"/>
      <c r="CD111" s="119"/>
      <c r="CE111" s="119"/>
      <c r="CF111" s="97"/>
      <c r="CG111" s="98"/>
      <c r="CH111" s="143">
        <f>IF(SUM(CH112:CH120)=0, "", SUM(CH112:CH120))</f>
        <v>5</v>
      </c>
      <c r="CI111" s="121"/>
      <c r="CJ111" s="122"/>
      <c r="CK111" s="123"/>
      <c r="CL111" s="123"/>
      <c r="CM111" s="123"/>
      <c r="CN111" s="123"/>
      <c r="CP111" s="125"/>
      <c r="CR111" s="123"/>
      <c r="CS111" s="123"/>
      <c r="CU111" s="125"/>
      <c r="CW111" s="123"/>
      <c r="CX111" s="123"/>
      <c r="DB111" s="103"/>
      <c r="DC111" s="125"/>
      <c r="DD111" s="143">
        <f>IF(SUM(L111:DC111)=0, "", SUM(L111:DC111))</f>
        <v>15</v>
      </c>
      <c r="DE111" s="91">
        <v>110</v>
      </c>
      <c r="DF111" s="26"/>
      <c r="DG111" s="26"/>
      <c r="DH111" s="26"/>
      <c r="DI111" s="26"/>
      <c r="DJ111" s="26"/>
      <c r="DK111" s="26"/>
      <c r="DL111" s="26"/>
      <c r="DM111" s="26"/>
      <c r="DN111" s="26"/>
      <c r="DO111" s="26"/>
      <c r="DP111" s="26"/>
      <c r="DQ111" s="26"/>
      <c r="DR111" s="26"/>
      <c r="DS111" s="26"/>
      <c r="DT111" s="26"/>
      <c r="DU111" s="26"/>
      <c r="DV111" s="26"/>
      <c r="DW111" s="26"/>
      <c r="DX111" s="26"/>
      <c r="DY111" s="26"/>
      <c r="DZ111" s="26"/>
      <c r="EA111" s="26"/>
      <c r="EB111" s="26"/>
      <c r="EC111" s="26"/>
      <c r="ED111" s="26"/>
      <c r="EE111" s="26"/>
      <c r="EF111" s="26"/>
      <c r="EG111" s="26"/>
      <c r="EH111" s="26"/>
      <c r="EI111" s="26"/>
      <c r="EJ111" s="26"/>
      <c r="EK111" s="26"/>
      <c r="EL111" s="26"/>
      <c r="EM111" s="26"/>
      <c r="EN111" s="26"/>
      <c r="EO111" s="26"/>
      <c r="EP111" s="26"/>
      <c r="EQ111" s="26"/>
      <c r="ER111" s="26"/>
      <c r="ES111" s="26"/>
      <c r="ET111" s="26"/>
      <c r="EU111" s="26"/>
      <c r="EV111" s="26"/>
      <c r="EW111" s="26"/>
      <c r="EX111" s="26"/>
      <c r="EY111" s="26"/>
      <c r="EZ111" s="26"/>
      <c r="FA111" s="26"/>
      <c r="FB111" s="26"/>
      <c r="FC111" s="26"/>
      <c r="FD111" s="26"/>
      <c r="FE111" s="26"/>
      <c r="FF111" s="26"/>
      <c r="FG111" s="26"/>
      <c r="FH111" s="26"/>
      <c r="FI111" s="26"/>
      <c r="FJ111" s="26"/>
      <c r="FK111" s="26"/>
      <c r="FL111" s="26"/>
      <c r="FM111" s="26"/>
      <c r="FN111" s="26"/>
      <c r="FO111" s="26"/>
      <c r="FP111" s="26"/>
      <c r="FQ111" s="26"/>
      <c r="FR111" s="26"/>
      <c r="FS111" s="26"/>
      <c r="FT111" s="26"/>
    </row>
    <row r="112" spans="1:176" s="22" customFormat="1" ht="13">
      <c r="A112" s="7" t="s">
        <v>1308</v>
      </c>
      <c r="B112" s="23" t="str">
        <f>IF(_xlfn.XLOOKUP(A112, AutoFill_names!B:B, AutoFill_names!C:C,"")=0,"",_xlfn.XLOOKUP(A112, AutoFill_names!B:B, AutoFill_names!C:C,""))</f>
        <v/>
      </c>
      <c r="C112" s="23" t="str">
        <f>IF(_xlfn.XLOOKUP(A112, AutoFill_names!B:B, AutoFill_names!D:D,"")=0,"",_xlfn.XLOOKUP(A112, AutoFill_names!B:B, AutoFill_names!D:D,""))</f>
        <v/>
      </c>
      <c r="D112" s="23" t="str">
        <f>IF(_xlfn.XLOOKUP(A112, AutoFill_names!B:B, AutoFill_names!E:E,"")=0,"",_xlfn.XLOOKUP(A112, AutoFill_names!B:B, AutoFill_names!E:E,""))</f>
        <v/>
      </c>
      <c r="E112" s="23" t="str">
        <f>IF(_xlfn.XLOOKUP(A112, AutoFill_names!B:B, AutoFill_names!F:F,"")=0,"",_xlfn.XLOOKUP(A112, AutoFill_names!B:B, AutoFill_names!F:F,""))</f>
        <v/>
      </c>
      <c r="F112" s="4"/>
      <c r="G112" s="4"/>
      <c r="H112" s="4"/>
      <c r="I112" s="4"/>
      <c r="J112" s="23" t="str">
        <f>IF(_xlfn.XLOOKUP(A112, AutoFill_names!B:B, AutoFill_names!K:K,"")=0,"",_xlfn.XLOOKUP(A112, AutoFill_names!B:B, AutoFill_names!K:K,""))</f>
        <v/>
      </c>
      <c r="K112" s="23" t="str">
        <f>IF(_xlfn.XLOOKUP(A112, AutoFill_names!B:B, AutoFill_names!L:L,"")=0,"",_xlfn.XLOOKUP(A112, AutoFill_names!B:B, AutoFill_names!L:L,""))</f>
        <v/>
      </c>
      <c r="L112" s="45" t="s">
        <v>623</v>
      </c>
      <c r="M112" s="45"/>
      <c r="N112" s="61" t="str">
        <f>IF(_xlfn.XLOOKUP(L112, AutoFill_classes!A:A, AutoFill_classes!B:B,"")=0,"",_xlfn.XLOOKUP(L112, AutoFill_classes!A:A, AutoFill_classes!B:B,""))</f>
        <v>Evang Small Groups</v>
      </c>
      <c r="O112" s="154"/>
      <c r="P112" s="9"/>
      <c r="Q112" s="9"/>
      <c r="R112" s="9"/>
      <c r="S112" s="156"/>
      <c r="T112" s="156"/>
      <c r="U112" s="156"/>
      <c r="V112" s="4" t="s">
        <v>59</v>
      </c>
      <c r="W112" s="4" t="s">
        <v>60</v>
      </c>
      <c r="X112" s="144">
        <v>2</v>
      </c>
      <c r="Y112" s="27"/>
      <c r="Z112" s="60" t="str">
        <f t="shared" ref="Z112:Z120" si="297">IF(X112*Y112=0,"",X112*Y112)</f>
        <v/>
      </c>
      <c r="AA112" s="28"/>
      <c r="AB112" s="28"/>
      <c r="AC112" s="28"/>
      <c r="AD112" s="28"/>
      <c r="AE112" s="58" t="str">
        <f t="shared" ref="AE112:AE120" si="298">IF(ROUNDUP((AD112-AC112)/7,0)=0,"",ROUNDUP((AD112-AC112)/7,0))</f>
        <v/>
      </c>
      <c r="AF112" s="19"/>
      <c r="AG112" s="58" t="str">
        <f t="shared" ref="AG112:AG120" si="299">IFERROR(IF(AE112*AF112=0,"",AE112*AF112), "")</f>
        <v/>
      </c>
      <c r="AH112" s="28"/>
      <c r="AI112" s="28"/>
      <c r="AJ112" s="58" t="str">
        <f t="shared" ref="AJ112:AJ120" si="300">IF(ROUNDUP((AI112-AH112)/7,0)=0,"",ROUNDUP((AI112-AH112)/7,0))</f>
        <v/>
      </c>
      <c r="AK112" s="19"/>
      <c r="AL112" s="58" t="str">
        <f t="shared" ref="AL112:AL120" si="301">IFERROR(IF(AJ112*AK112=0,"",AJ112*AK112), "")</f>
        <v/>
      </c>
      <c r="AM112" s="28"/>
      <c r="AN112" s="28"/>
      <c r="AO112" s="58" t="str">
        <f t="shared" ref="AO112:AO120" si="302">IF(ROUNDUP((AN112-AM112)/7,0)=0,"",ROUNDUP((AN112-AM112)/7,0))</f>
        <v/>
      </c>
      <c r="AP112" s="58" t="str">
        <f t="shared" ref="AP112:AP120" si="303">IFERROR(IF((AS112-(AF112+AK112))/AO112=0,"",ROUNDUP((AS112-(AF112+AK112))/AO112,0)), "")</f>
        <v/>
      </c>
      <c r="AQ112" s="58" t="str">
        <f t="shared" ref="AQ112:AQ120" si="304">IFERROR(IF((AS112-(AG112+AL112))=0, "", (AS112-(AG112+AL112))), "")</f>
        <v/>
      </c>
      <c r="AR112" s="59" t="str">
        <f t="shared" ref="AR112:AR120" si="305">IFERROR(IF((AE112+AJ112+AO112)=0, "", (AE112+AJ112+AO112)), "")</f>
        <v/>
      </c>
      <c r="AS112" s="19"/>
      <c r="AT112" s="47" t="s">
        <v>623</v>
      </c>
      <c r="AU112" s="47"/>
      <c r="AV112" s="61" t="str">
        <f>IF(_xlfn.XLOOKUP(AT112, AutoFill_classes!$A:$A, AutoFill_classes!$B:$B,"")=0,"",_xlfn.XLOOKUP(AT112, AutoFill_classes!$A:$A, AutoFill_classes!$B:$B,""))</f>
        <v>Evang Small Groups</v>
      </c>
      <c r="AW112" s="154"/>
      <c r="AX112" s="16" t="s">
        <v>85</v>
      </c>
      <c r="AY112" s="16" t="s">
        <v>57</v>
      </c>
      <c r="AZ112" s="16" t="s">
        <v>58</v>
      </c>
      <c r="BA112" s="16" t="s">
        <v>59</v>
      </c>
      <c r="BB112" s="16" t="s">
        <v>60</v>
      </c>
      <c r="BC112" s="144">
        <v>2</v>
      </c>
      <c r="BD112" s="27"/>
      <c r="BE112" s="60" t="str">
        <f t="shared" ref="BE112:BE120" si="306">IF(BC112*BD112=0,"",BC112*BD112)</f>
        <v/>
      </c>
      <c r="BF112" s="28"/>
      <c r="BG112" s="28"/>
      <c r="BH112" s="28"/>
      <c r="BI112" s="28"/>
      <c r="BJ112" s="58" t="str">
        <f t="shared" ref="BJ112:BJ120" si="307">IF(ROUNDUP((BI112-BH112)/7,0)=0,"",ROUNDUP((BI112-BH112)/7,0))</f>
        <v/>
      </c>
      <c r="BK112" s="19"/>
      <c r="BL112" s="58" t="str">
        <f t="shared" ref="BL112:BL120" si="308">IFERROR(IF(BJ112*BK112=0,"",BJ112*BK112), "")</f>
        <v/>
      </c>
      <c r="BM112" s="28"/>
      <c r="BN112" s="28"/>
      <c r="BO112" s="58" t="str">
        <f t="shared" ref="BO112:BO120" si="309">IF(ROUNDUP((BN112-BM112)/7,0)=0,"",ROUNDUP((BN112-BM112)/7,0))</f>
        <v/>
      </c>
      <c r="BP112" s="19"/>
      <c r="BQ112" s="58" t="str">
        <f t="shared" ref="BQ112:BQ120" si="310">IFERROR(IF(BO112*BP112=0,"",BO112*BP112), "")</f>
        <v/>
      </c>
      <c r="BR112" s="28"/>
      <c r="BS112" s="28"/>
      <c r="BT112" s="58" t="str">
        <f t="shared" ref="BT112:BT120" si="311">IF(ROUNDUP((BS112-BR112)/7,0)=0,"",ROUNDUP((BS112-BR112)/7,0))</f>
        <v/>
      </c>
      <c r="BU112" s="58" t="str">
        <f t="shared" ref="BU112:BU120" si="312">IFERROR(IF((BX112-(BK112+BP112))/BT112=0,"",ROUNDUP((BX112-(BK112+BP112))/BT112,0)), "")</f>
        <v/>
      </c>
      <c r="BV112" s="58" t="str">
        <f t="shared" ref="BV112:BV120" si="313">IFERROR(IF((BX112-(BL112+BQ112))=0, "", (BX112-(BL112+BQ112))), "")</f>
        <v/>
      </c>
      <c r="BW112" s="59" t="str">
        <f t="shared" ref="BW112:BW120" si="314">IFERROR(IF((BJ112+BO112+BT112)=0, "", (BJ112+BO112+BT112)), "")</f>
        <v/>
      </c>
      <c r="BX112" s="16"/>
      <c r="BY112" s="12" t="s">
        <v>623</v>
      </c>
      <c r="BZ112" s="51"/>
      <c r="CA112" s="61" t="str">
        <f>IF(_xlfn.XLOOKUP(BY112, AutoFill_classes!$A:$A, AutoFill_classes!$B:$B,"")=0,"",_xlfn.XLOOKUP(BY112, AutoFill_classes!$A:$A, AutoFill_classes!$B:$B,""))</f>
        <v>Evang Small Groups</v>
      </c>
      <c r="CB112" s="154"/>
      <c r="CC112" s="19" t="s">
        <v>56</v>
      </c>
      <c r="CD112" s="19" t="s">
        <v>57</v>
      </c>
      <c r="CE112" s="19" t="s">
        <v>58</v>
      </c>
      <c r="CF112" s="30" t="s">
        <v>59</v>
      </c>
      <c r="CG112" s="31" t="s">
        <v>60</v>
      </c>
      <c r="CH112" s="144">
        <v>2</v>
      </c>
      <c r="CI112" s="31"/>
      <c r="CJ112" s="60" t="str">
        <f t="shared" ref="CJ112:CJ120" si="315">IF(CH112*CI112=0,"",CH112*CI112)</f>
        <v/>
      </c>
      <c r="CK112" s="28"/>
      <c r="CL112" s="28"/>
      <c r="CM112" s="28"/>
      <c r="CN112" s="28"/>
      <c r="CO112" s="58" t="str">
        <f t="shared" ref="CO112:CO120" si="316">IF(ROUNDUP((CN112-CM112)/7,0)=0,"",ROUNDUP((CN112-CM112)/7,0))</f>
        <v/>
      </c>
      <c r="CP112" s="19"/>
      <c r="CQ112" s="58" t="str">
        <f t="shared" ref="CQ112:CQ120" si="317">IFERROR(IF(CO112*CP112=0,"",CO112*CP112), "")</f>
        <v/>
      </c>
      <c r="CR112" s="28"/>
      <c r="CS112" s="28"/>
      <c r="CT112" s="58" t="str">
        <f t="shared" ref="CT112:CT120" si="318">IF(ROUNDUP((CS112-CR112)/7,0)=0,"",ROUNDUP((CS112-CR112)/7,0))</f>
        <v/>
      </c>
      <c r="CU112" s="19"/>
      <c r="CV112" s="58" t="str">
        <f t="shared" ref="CV112:CV120" si="319">IFERROR(IF(CT112*CU112=0,"",CT112*CU112), "")</f>
        <v/>
      </c>
      <c r="CW112" s="28"/>
      <c r="CX112" s="28"/>
      <c r="CY112" s="58" t="str">
        <f t="shared" ref="CY112:CY120" si="320">IF(ROUNDUP((CX112-CW112)/7,0)=0,"",ROUNDUP((CX112-CW112)/7,0))</f>
        <v/>
      </c>
      <c r="CZ112" s="58" t="str">
        <f t="shared" ref="CZ112:CZ120" si="321">IFERROR(IF((DC112-(CP112+CU112))/CY112=0,"",ROUNDUP((DC112-(CP112+CU112))/CY112,0)), "")</f>
        <v/>
      </c>
      <c r="DA112" s="58" t="str">
        <f t="shared" ref="DA112:DA120" si="322">IFERROR(IF((DC112-(CQ112+CV112))=0, "", (DC112-(CQ112+CV112))), "")</f>
        <v/>
      </c>
      <c r="DB112" s="59" t="str">
        <f t="shared" ref="DB112:DB120" si="323">IFERROR(IF((CO112+CT112+CY112)=0, "", (CO112+CT112+CY112)), "")</f>
        <v/>
      </c>
      <c r="DC112" s="19"/>
      <c r="DD112" s="145"/>
      <c r="DE112" s="91">
        <v>111</v>
      </c>
      <c r="DF112" s="39"/>
      <c r="DG112" s="39"/>
      <c r="DH112" s="39"/>
      <c r="DI112" s="39"/>
      <c r="DJ112" s="39"/>
      <c r="DK112" s="39"/>
      <c r="DL112" s="39"/>
      <c r="DM112" s="39"/>
      <c r="DN112" s="39"/>
      <c r="DO112" s="39"/>
      <c r="DP112" s="39"/>
      <c r="DQ112" s="39"/>
      <c r="DR112" s="39"/>
      <c r="DS112" s="39"/>
      <c r="DT112" s="39"/>
      <c r="DU112" s="39"/>
      <c r="DV112" s="39"/>
      <c r="DW112" s="39"/>
      <c r="DX112" s="39"/>
      <c r="DY112" s="39"/>
      <c r="DZ112" s="39"/>
      <c r="EA112" s="39"/>
      <c r="EB112" s="39"/>
      <c r="EC112" s="39"/>
      <c r="ED112" s="39"/>
      <c r="EE112" s="39"/>
      <c r="EF112" s="39"/>
      <c r="EG112" s="39"/>
      <c r="EH112" s="39"/>
      <c r="EI112" s="39"/>
      <c r="EJ112" s="39"/>
      <c r="EK112" s="39"/>
      <c r="EL112" s="39"/>
      <c r="EM112" s="39"/>
      <c r="EN112" s="39"/>
      <c r="EO112" s="39"/>
      <c r="EP112" s="39"/>
      <c r="EQ112" s="39"/>
      <c r="ER112" s="39"/>
      <c r="ES112" s="39"/>
      <c r="ET112" s="39"/>
      <c r="EU112" s="39"/>
      <c r="EV112" s="39"/>
      <c r="EW112" s="39"/>
      <c r="EX112" s="39"/>
      <c r="EY112" s="39"/>
      <c r="EZ112" s="39"/>
      <c r="FA112" s="39"/>
      <c r="FB112" s="39"/>
      <c r="FC112" s="39"/>
      <c r="FD112" s="39"/>
      <c r="FE112" s="39"/>
      <c r="FF112" s="39"/>
      <c r="FG112" s="39"/>
      <c r="FH112" s="39"/>
      <c r="FI112" s="39"/>
      <c r="FJ112" s="39"/>
      <c r="FK112" s="39"/>
      <c r="FL112" s="39"/>
      <c r="FM112" s="39"/>
      <c r="FN112" s="39"/>
      <c r="FO112" s="39"/>
      <c r="FP112" s="39"/>
      <c r="FQ112" s="39"/>
      <c r="FR112" s="39"/>
      <c r="FS112" s="39"/>
      <c r="FT112" s="39"/>
    </row>
    <row r="113" spans="1:176" s="22" customFormat="1" ht="13">
      <c r="A113" s="7" t="s">
        <v>1308</v>
      </c>
      <c r="B113" s="23" t="str">
        <f>IF(_xlfn.XLOOKUP(A113, AutoFill_names!B:B, AutoFill_names!C:C,"")=0,"",_xlfn.XLOOKUP(A113, AutoFill_names!B:B, AutoFill_names!C:C,""))</f>
        <v/>
      </c>
      <c r="C113" s="23" t="str">
        <f>IF(_xlfn.XLOOKUP(A113, AutoFill_names!B:B, AutoFill_names!D:D,"")=0,"",_xlfn.XLOOKUP(A113, AutoFill_names!B:B, AutoFill_names!D:D,""))</f>
        <v/>
      </c>
      <c r="D113" s="23" t="str">
        <f>IF(_xlfn.XLOOKUP(A113, AutoFill_names!B:B, AutoFill_names!E:E,"")=0,"",_xlfn.XLOOKUP(A113, AutoFill_names!B:B, AutoFill_names!E:E,""))</f>
        <v/>
      </c>
      <c r="E113" s="23" t="str">
        <f>IF(_xlfn.XLOOKUP(A113, AutoFill_names!B:B, AutoFill_names!F:F,"")=0,"",_xlfn.XLOOKUP(A113, AutoFill_names!B:B, AutoFill_names!F:F,""))</f>
        <v/>
      </c>
      <c r="F113" s="4"/>
      <c r="G113" s="4"/>
      <c r="H113" s="4"/>
      <c r="I113" s="4"/>
      <c r="J113" s="23" t="str">
        <f>IF(_xlfn.XLOOKUP(A113, AutoFill_names!B:B, AutoFill_names!K:K,"")=0,"",_xlfn.XLOOKUP(A113, AutoFill_names!B:B, AutoFill_names!K:K,""))</f>
        <v/>
      </c>
      <c r="K113" s="23" t="str">
        <f>IF(_xlfn.XLOOKUP(A113, AutoFill_names!B:B, AutoFill_names!L:L,"")=0,"",_xlfn.XLOOKUP(A113, AutoFill_names!B:B, AutoFill_names!L:L,""))</f>
        <v/>
      </c>
      <c r="L113" s="45" t="s">
        <v>607</v>
      </c>
      <c r="M113" s="45"/>
      <c r="N113" s="61" t="str">
        <f>IF(_xlfn.XLOOKUP(L113, AutoFill_classes!A:A, AutoFill_classes!B:B,"")=0,"",_xlfn.XLOOKUP(L113, AutoFill_classes!A:A, AutoFill_classes!B:B,""))</f>
        <v>Field Evangelism</v>
      </c>
      <c r="O113" s="154"/>
      <c r="P113" s="9"/>
      <c r="Q113" s="9"/>
      <c r="R113" s="9"/>
      <c r="S113" s="5" t="s">
        <v>56</v>
      </c>
      <c r="T113" s="5" t="s">
        <v>57</v>
      </c>
      <c r="U113" s="156" t="s">
        <v>1310</v>
      </c>
      <c r="V113" s="4" t="s">
        <v>59</v>
      </c>
      <c r="W113" s="4" t="s">
        <v>60</v>
      </c>
      <c r="X113" s="144">
        <v>3</v>
      </c>
      <c r="Y113" s="27"/>
      <c r="Z113" s="60" t="str">
        <f t="shared" si="297"/>
        <v/>
      </c>
      <c r="AA113" s="32"/>
      <c r="AB113" s="32"/>
      <c r="AC113" s="32"/>
      <c r="AD113" s="32"/>
      <c r="AE113" s="58" t="str">
        <f t="shared" si="298"/>
        <v/>
      </c>
      <c r="AF113" s="20"/>
      <c r="AG113" s="58" t="str">
        <f t="shared" si="299"/>
        <v/>
      </c>
      <c r="AH113" s="32"/>
      <c r="AI113" s="32"/>
      <c r="AJ113" s="58" t="str">
        <f t="shared" si="300"/>
        <v/>
      </c>
      <c r="AK113" s="20"/>
      <c r="AL113" s="58" t="str">
        <f t="shared" si="301"/>
        <v/>
      </c>
      <c r="AM113" s="32"/>
      <c r="AN113" s="32"/>
      <c r="AO113" s="58" t="str">
        <f t="shared" si="302"/>
        <v/>
      </c>
      <c r="AP113" s="58" t="str">
        <f t="shared" si="303"/>
        <v/>
      </c>
      <c r="AQ113" s="58" t="str">
        <f t="shared" si="304"/>
        <v/>
      </c>
      <c r="AR113" s="59" t="str">
        <f t="shared" si="305"/>
        <v/>
      </c>
      <c r="AS113" s="20"/>
      <c r="AT113" s="47" t="s">
        <v>607</v>
      </c>
      <c r="AU113" s="47"/>
      <c r="AV113" s="61" t="str">
        <f>IF(_xlfn.XLOOKUP(AT113, AutoFill_classes!$A:$A, AutoFill_classes!$B:$B,"")=0,"",_xlfn.XLOOKUP(AT113, AutoFill_classes!$A:$A, AutoFill_classes!$B:$B,""))</f>
        <v>Field Evangelism</v>
      </c>
      <c r="AW113" s="154"/>
      <c r="AX113" s="16" t="s">
        <v>56</v>
      </c>
      <c r="AY113" s="16" t="s">
        <v>57</v>
      </c>
      <c r="AZ113" s="157" t="s">
        <v>1310</v>
      </c>
      <c r="BA113" s="16" t="s">
        <v>59</v>
      </c>
      <c r="BB113" s="16" t="s">
        <v>60</v>
      </c>
      <c r="BC113" s="144">
        <v>3</v>
      </c>
      <c r="BD113" s="27"/>
      <c r="BE113" s="60" t="str">
        <f t="shared" si="306"/>
        <v/>
      </c>
      <c r="BF113" s="32"/>
      <c r="BG113" s="32"/>
      <c r="BH113" s="32"/>
      <c r="BI113" s="32"/>
      <c r="BJ113" s="58" t="str">
        <f t="shared" si="307"/>
        <v/>
      </c>
      <c r="BK113" s="20"/>
      <c r="BL113" s="58" t="str">
        <f t="shared" si="308"/>
        <v/>
      </c>
      <c r="BM113" s="32"/>
      <c r="BN113" s="32"/>
      <c r="BO113" s="58" t="str">
        <f t="shared" si="309"/>
        <v/>
      </c>
      <c r="BP113" s="20"/>
      <c r="BQ113" s="58" t="str">
        <f t="shared" si="310"/>
        <v/>
      </c>
      <c r="BR113" s="32"/>
      <c r="BS113" s="32"/>
      <c r="BT113" s="58" t="str">
        <f t="shared" si="311"/>
        <v/>
      </c>
      <c r="BU113" s="58" t="str">
        <f t="shared" si="312"/>
        <v/>
      </c>
      <c r="BV113" s="58" t="str">
        <f t="shared" si="313"/>
        <v/>
      </c>
      <c r="BW113" s="59" t="str">
        <f t="shared" si="314"/>
        <v/>
      </c>
      <c r="BX113" s="16"/>
      <c r="BY113" s="21" t="s">
        <v>607</v>
      </c>
      <c r="BZ113" s="20"/>
      <c r="CA113" s="61" t="str">
        <f>IF(_xlfn.XLOOKUP(BY113, AutoFill_classes!$A:$A, AutoFill_classes!$B:$B,"")=0,"",_xlfn.XLOOKUP(BY113, AutoFill_classes!$A:$A, AutoFill_classes!$B:$B,""))</f>
        <v>Field Evangelism</v>
      </c>
      <c r="CB113" s="154"/>
      <c r="CC113" s="20" t="s">
        <v>56</v>
      </c>
      <c r="CD113" s="20" t="s">
        <v>57</v>
      </c>
      <c r="CE113" s="159" t="s">
        <v>1310</v>
      </c>
      <c r="CF113" s="33" t="s">
        <v>59</v>
      </c>
      <c r="CG113" s="34" t="s">
        <v>60</v>
      </c>
      <c r="CH113" s="144">
        <v>3</v>
      </c>
      <c r="CI113" s="35"/>
      <c r="CJ113" s="60" t="str">
        <f t="shared" si="315"/>
        <v/>
      </c>
      <c r="CK113" s="32"/>
      <c r="CL113" s="32"/>
      <c r="CM113" s="32"/>
      <c r="CN113" s="32"/>
      <c r="CO113" s="58" t="str">
        <f t="shared" si="316"/>
        <v/>
      </c>
      <c r="CP113" s="20"/>
      <c r="CQ113" s="58" t="str">
        <f t="shared" si="317"/>
        <v/>
      </c>
      <c r="CR113" s="32"/>
      <c r="CS113" s="32"/>
      <c r="CT113" s="58" t="str">
        <f t="shared" si="318"/>
        <v/>
      </c>
      <c r="CU113" s="20"/>
      <c r="CV113" s="58" t="str">
        <f t="shared" si="319"/>
        <v/>
      </c>
      <c r="CW113" s="32"/>
      <c r="CX113" s="32"/>
      <c r="CY113" s="58" t="str">
        <f t="shared" si="320"/>
        <v/>
      </c>
      <c r="CZ113" s="58" t="str">
        <f t="shared" si="321"/>
        <v/>
      </c>
      <c r="DA113" s="58" t="str">
        <f t="shared" si="322"/>
        <v/>
      </c>
      <c r="DB113" s="59" t="str">
        <f t="shared" si="323"/>
        <v/>
      </c>
      <c r="DC113" s="20"/>
      <c r="DD113" s="145"/>
      <c r="DE113" s="91">
        <v>112</v>
      </c>
      <c r="DF113" s="39"/>
      <c r="DG113" s="39"/>
      <c r="DH113" s="39"/>
      <c r="DI113" s="39"/>
      <c r="DJ113" s="39"/>
      <c r="DK113" s="39"/>
      <c r="DL113" s="39"/>
      <c r="DM113" s="39"/>
      <c r="DN113" s="39"/>
      <c r="DO113" s="39"/>
      <c r="DP113" s="39"/>
      <c r="DQ113" s="39"/>
      <c r="DR113" s="39"/>
      <c r="DS113" s="39"/>
      <c r="DT113" s="39"/>
      <c r="DU113" s="39"/>
      <c r="DV113" s="39"/>
      <c r="DW113" s="39"/>
      <c r="DX113" s="39"/>
      <c r="DY113" s="39"/>
      <c r="DZ113" s="39"/>
      <c r="EA113" s="39"/>
      <c r="EB113" s="39"/>
      <c r="EC113" s="39"/>
      <c r="ED113" s="39"/>
      <c r="EE113" s="39"/>
      <c r="EF113" s="39"/>
      <c r="EG113" s="39"/>
      <c r="EH113" s="39"/>
      <c r="EI113" s="39"/>
      <c r="EJ113" s="39"/>
      <c r="EK113" s="39"/>
      <c r="EL113" s="39"/>
      <c r="EM113" s="39"/>
      <c r="EN113" s="39"/>
      <c r="EO113" s="39"/>
      <c r="EP113" s="39"/>
      <c r="EQ113" s="39"/>
      <c r="ER113" s="39"/>
      <c r="ES113" s="39"/>
      <c r="ET113" s="39"/>
      <c r="EU113" s="39"/>
      <c r="EV113" s="39"/>
      <c r="EW113" s="39"/>
      <c r="EX113" s="39"/>
      <c r="EY113" s="39"/>
      <c r="EZ113" s="39"/>
      <c r="FA113" s="39"/>
      <c r="FB113" s="39"/>
      <c r="FC113" s="39"/>
      <c r="FD113" s="39"/>
      <c r="FE113" s="39"/>
      <c r="FF113" s="39"/>
      <c r="FG113" s="39"/>
      <c r="FH113" s="39"/>
      <c r="FI113" s="39"/>
      <c r="FJ113" s="39"/>
      <c r="FK113" s="39"/>
      <c r="FL113" s="39"/>
      <c r="FM113" s="39"/>
      <c r="FN113" s="39"/>
      <c r="FO113" s="39"/>
      <c r="FP113" s="39"/>
      <c r="FQ113" s="39"/>
      <c r="FR113" s="39"/>
      <c r="FS113" s="39"/>
      <c r="FT113" s="39"/>
    </row>
    <row r="114" spans="1:176" s="22" customFormat="1" ht="13">
      <c r="A114" s="7"/>
      <c r="B114" s="23" t="str">
        <f>IF(_xlfn.XLOOKUP(A114, AutoFill_names!B:B, AutoFill_names!C:C,"")=0,"",_xlfn.XLOOKUP(A114, AutoFill_names!B:B, AutoFill_names!C:C,""))</f>
        <v/>
      </c>
      <c r="C114" s="23" t="str">
        <f>IF(_xlfn.XLOOKUP(A114, AutoFill_names!B:B, AutoFill_names!D:D,"")=0,"",_xlfn.XLOOKUP(A114, AutoFill_names!B:B, AutoFill_names!D:D,""))</f>
        <v/>
      </c>
      <c r="D114" s="23" t="str">
        <f>IF(_xlfn.XLOOKUP(A114, AutoFill_names!B:B, AutoFill_names!E:E,"")=0,"",_xlfn.XLOOKUP(A114, AutoFill_names!B:B, AutoFill_names!E:E,""))</f>
        <v/>
      </c>
      <c r="E114" s="23" t="str">
        <f>IF(_xlfn.XLOOKUP(A114, AutoFill_names!B:B, AutoFill_names!F:F,"")=0,"",_xlfn.XLOOKUP(A114, AutoFill_names!B:B, AutoFill_names!F:F,""))</f>
        <v/>
      </c>
      <c r="F114" s="4"/>
      <c r="G114" s="4"/>
      <c r="H114" s="4"/>
      <c r="I114" s="4"/>
      <c r="J114" s="23" t="str">
        <f>IF(_xlfn.XLOOKUP(A114, AutoFill_names!B:B, AutoFill_names!K:K,"")=0,"",_xlfn.XLOOKUP(A114, AutoFill_names!B:B, AutoFill_names!K:K,""))</f>
        <v/>
      </c>
      <c r="K114" s="23" t="str">
        <f>IF(_xlfn.XLOOKUP(A114, AutoFill_names!B:B, AutoFill_names!L:L,"")=0,"",_xlfn.XLOOKUP(A114, AutoFill_names!B:B, AutoFill_names!L:L,""))</f>
        <v/>
      </c>
      <c r="L114" s="45"/>
      <c r="M114" s="45"/>
      <c r="N114" s="61" t="str">
        <f>IF(_xlfn.XLOOKUP(L114, AutoFill_classes!A:A, AutoFill_classes!B:B,"")=0,"",_xlfn.XLOOKUP(L114, AutoFill_classes!A:A, AutoFill_classes!B:B,""))</f>
        <v/>
      </c>
      <c r="O114" s="154"/>
      <c r="P114" s="9"/>
      <c r="Q114" s="9"/>
      <c r="R114" s="9"/>
      <c r="S114" s="5"/>
      <c r="T114" s="5"/>
      <c r="U114" s="5"/>
      <c r="V114" s="4"/>
      <c r="W114" s="4"/>
      <c r="X114" s="144"/>
      <c r="Y114" s="27"/>
      <c r="Z114" s="60" t="str">
        <f t="shared" si="297"/>
        <v/>
      </c>
      <c r="AA114" s="32"/>
      <c r="AB114" s="32"/>
      <c r="AC114" s="36"/>
      <c r="AD114" s="36"/>
      <c r="AE114" s="58" t="str">
        <f t="shared" si="298"/>
        <v/>
      </c>
      <c r="AF114" s="20"/>
      <c r="AG114" s="58" t="str">
        <f t="shared" si="299"/>
        <v/>
      </c>
      <c r="AH114" s="36"/>
      <c r="AI114" s="36"/>
      <c r="AJ114" s="58" t="str">
        <f t="shared" si="300"/>
        <v/>
      </c>
      <c r="AK114" s="20"/>
      <c r="AL114" s="58" t="str">
        <f t="shared" si="301"/>
        <v/>
      </c>
      <c r="AM114" s="36"/>
      <c r="AN114" s="36"/>
      <c r="AO114" s="58" t="str">
        <f t="shared" si="302"/>
        <v/>
      </c>
      <c r="AP114" s="58" t="str">
        <f t="shared" si="303"/>
        <v/>
      </c>
      <c r="AQ114" s="58" t="str">
        <f t="shared" si="304"/>
        <v/>
      </c>
      <c r="AR114" s="59" t="str">
        <f t="shared" si="305"/>
        <v/>
      </c>
      <c r="AS114" s="20"/>
      <c r="AT114" s="47"/>
      <c r="AU114" s="47"/>
      <c r="AV114" s="61" t="str">
        <f>IF(_xlfn.XLOOKUP(AT114, AutoFill_classes!$A:$A, AutoFill_classes!$B:$B,"")=0,"",_xlfn.XLOOKUP(AT114, AutoFill_classes!$A:$A, AutoFill_classes!$B:$B,""))</f>
        <v/>
      </c>
      <c r="AW114" s="154"/>
      <c r="AX114" s="16"/>
      <c r="AY114" s="16"/>
      <c r="AZ114" s="16"/>
      <c r="BA114" s="16"/>
      <c r="BB114" s="16"/>
      <c r="BC114" s="144"/>
      <c r="BD114" s="27"/>
      <c r="BE114" s="60" t="str">
        <f t="shared" si="306"/>
        <v/>
      </c>
      <c r="BF114" s="32"/>
      <c r="BG114" s="32"/>
      <c r="BH114" s="36"/>
      <c r="BI114" s="36"/>
      <c r="BJ114" s="58" t="str">
        <f t="shared" si="307"/>
        <v/>
      </c>
      <c r="BK114" s="20"/>
      <c r="BL114" s="58" t="str">
        <f t="shared" si="308"/>
        <v/>
      </c>
      <c r="BM114" s="36"/>
      <c r="BN114" s="36"/>
      <c r="BO114" s="58" t="str">
        <f t="shared" si="309"/>
        <v/>
      </c>
      <c r="BP114" s="20"/>
      <c r="BQ114" s="58" t="str">
        <f t="shared" si="310"/>
        <v/>
      </c>
      <c r="BR114" s="36"/>
      <c r="BS114" s="36"/>
      <c r="BT114" s="58" t="str">
        <f t="shared" si="311"/>
        <v/>
      </c>
      <c r="BU114" s="58" t="str">
        <f t="shared" si="312"/>
        <v/>
      </c>
      <c r="BV114" s="58" t="str">
        <f t="shared" si="313"/>
        <v/>
      </c>
      <c r="BW114" s="59" t="str">
        <f t="shared" si="314"/>
        <v/>
      </c>
      <c r="BX114" s="16"/>
      <c r="BY114" s="21"/>
      <c r="BZ114" s="20"/>
      <c r="CA114" s="61" t="str">
        <f>IF(_xlfn.XLOOKUP(BY114, AutoFill_classes!$A:$A, AutoFill_classes!$B:$B,"")=0,"",_xlfn.XLOOKUP(BY114, AutoFill_classes!$A:$A, AutoFill_classes!$B:$B,""))</f>
        <v/>
      </c>
      <c r="CB114" s="154"/>
      <c r="CC114" s="20"/>
      <c r="CD114" s="20"/>
      <c r="CE114" s="20"/>
      <c r="CF114" s="33"/>
      <c r="CG114" s="34"/>
      <c r="CH114" s="144"/>
      <c r="CI114" s="35"/>
      <c r="CJ114" s="60" t="str">
        <f t="shared" si="315"/>
        <v/>
      </c>
      <c r="CK114" s="32"/>
      <c r="CL114" s="32"/>
      <c r="CM114" s="36"/>
      <c r="CN114" s="36"/>
      <c r="CO114" s="58" t="str">
        <f t="shared" si="316"/>
        <v/>
      </c>
      <c r="CP114" s="20"/>
      <c r="CQ114" s="58" t="str">
        <f t="shared" si="317"/>
        <v/>
      </c>
      <c r="CR114" s="36"/>
      <c r="CS114" s="36"/>
      <c r="CT114" s="58" t="str">
        <f t="shared" si="318"/>
        <v/>
      </c>
      <c r="CU114" s="20"/>
      <c r="CV114" s="58" t="str">
        <f t="shared" si="319"/>
        <v/>
      </c>
      <c r="CW114" s="36"/>
      <c r="CX114" s="36"/>
      <c r="CY114" s="58" t="str">
        <f t="shared" si="320"/>
        <v/>
      </c>
      <c r="CZ114" s="58" t="str">
        <f t="shared" si="321"/>
        <v/>
      </c>
      <c r="DA114" s="58" t="str">
        <f t="shared" si="322"/>
        <v/>
      </c>
      <c r="DB114" s="59" t="str">
        <f t="shared" si="323"/>
        <v/>
      </c>
      <c r="DC114" s="20"/>
      <c r="DD114" s="145"/>
      <c r="DE114" s="91">
        <v>113</v>
      </c>
      <c r="DF114" s="39"/>
      <c r="DG114" s="39"/>
      <c r="DH114" s="39"/>
      <c r="DI114" s="39"/>
      <c r="DJ114" s="39"/>
      <c r="DK114" s="39"/>
      <c r="DL114" s="39"/>
      <c r="DM114" s="39"/>
      <c r="DN114" s="39"/>
      <c r="DO114" s="39"/>
      <c r="DP114" s="39"/>
      <c r="DQ114" s="39"/>
      <c r="DR114" s="39"/>
      <c r="DS114" s="39"/>
      <c r="DT114" s="39"/>
      <c r="DU114" s="39"/>
      <c r="DV114" s="39"/>
      <c r="DW114" s="39"/>
      <c r="DX114" s="39"/>
      <c r="DY114" s="39"/>
      <c r="DZ114" s="39"/>
      <c r="EA114" s="39"/>
      <c r="EB114" s="39"/>
      <c r="EC114" s="39"/>
      <c r="ED114" s="39"/>
      <c r="EE114" s="39"/>
      <c r="EF114" s="39"/>
      <c r="EG114" s="39"/>
      <c r="EH114" s="39"/>
      <c r="EI114" s="39"/>
      <c r="EJ114" s="39"/>
      <c r="EK114" s="39"/>
      <c r="EL114" s="39"/>
      <c r="EM114" s="39"/>
      <c r="EN114" s="39"/>
      <c r="EO114" s="39"/>
      <c r="EP114" s="39"/>
      <c r="EQ114" s="39"/>
      <c r="ER114" s="39"/>
      <c r="ES114" s="39"/>
      <c r="ET114" s="39"/>
      <c r="EU114" s="39"/>
      <c r="EV114" s="39"/>
      <c r="EW114" s="39"/>
      <c r="EX114" s="39"/>
      <c r="EY114" s="39"/>
      <c r="EZ114" s="39"/>
      <c r="FA114" s="39"/>
      <c r="FB114" s="39"/>
      <c r="FC114" s="39"/>
      <c r="FD114" s="39"/>
      <c r="FE114" s="39"/>
      <c r="FF114" s="39"/>
      <c r="FG114" s="39"/>
      <c r="FH114" s="39"/>
      <c r="FI114" s="39"/>
      <c r="FJ114" s="39"/>
      <c r="FK114" s="39"/>
      <c r="FL114" s="39"/>
      <c r="FM114" s="39"/>
      <c r="FN114" s="39"/>
      <c r="FO114" s="39"/>
      <c r="FP114" s="39"/>
      <c r="FQ114" s="39"/>
      <c r="FR114" s="39"/>
      <c r="FS114" s="39"/>
      <c r="FT114" s="39"/>
    </row>
    <row r="115" spans="1:176" s="22" customFormat="1" ht="13">
      <c r="A115" s="7"/>
      <c r="B115" s="23" t="str">
        <f>IF(_xlfn.XLOOKUP(A115, AutoFill_names!B:B, AutoFill_names!C:C,"")=0,"",_xlfn.XLOOKUP(A115, AutoFill_names!B:B, AutoFill_names!C:C,""))</f>
        <v/>
      </c>
      <c r="C115" s="23" t="str">
        <f>IF(_xlfn.XLOOKUP(A115, AutoFill_names!B:B, AutoFill_names!D:D,"")=0,"",_xlfn.XLOOKUP(A115, AutoFill_names!B:B, AutoFill_names!D:D,""))</f>
        <v/>
      </c>
      <c r="D115" s="23" t="str">
        <f>IF(_xlfn.XLOOKUP(A115, AutoFill_names!B:B, AutoFill_names!E:E,"")=0,"",_xlfn.XLOOKUP(A115, AutoFill_names!B:B, AutoFill_names!E:E,""))</f>
        <v/>
      </c>
      <c r="E115" s="23" t="str">
        <f>IF(_xlfn.XLOOKUP(A115, AutoFill_names!B:B, AutoFill_names!F:F,"")=0,"",_xlfn.XLOOKUP(A115, AutoFill_names!B:B, AutoFill_names!F:F,""))</f>
        <v/>
      </c>
      <c r="F115" s="4"/>
      <c r="G115" s="4"/>
      <c r="H115" s="4"/>
      <c r="I115" s="4"/>
      <c r="J115" s="23" t="str">
        <f>IF(_xlfn.XLOOKUP(A115, AutoFill_names!B:B, AutoFill_names!K:K,"")=0,"",_xlfn.XLOOKUP(A115, AutoFill_names!B:B, AutoFill_names!K:K,""))</f>
        <v/>
      </c>
      <c r="K115" s="23" t="str">
        <f>IF(_xlfn.XLOOKUP(A115, AutoFill_names!B:B, AutoFill_names!L:L,"")=0,"",_xlfn.XLOOKUP(A115, AutoFill_names!B:B, AutoFill_names!L:L,""))</f>
        <v/>
      </c>
      <c r="L115" s="45"/>
      <c r="M115" s="45"/>
      <c r="N115" s="61" t="str">
        <f>IF(_xlfn.XLOOKUP(L115, AutoFill_classes!A:A, AutoFill_classes!B:B,"")=0,"",_xlfn.XLOOKUP(L115, AutoFill_classes!A:A, AutoFill_classes!B:B,""))</f>
        <v/>
      </c>
      <c r="O115" s="154"/>
      <c r="P115" s="9"/>
      <c r="Q115" s="9"/>
      <c r="R115" s="9"/>
      <c r="S115" s="5"/>
      <c r="T115" s="5"/>
      <c r="U115" s="5"/>
      <c r="V115" s="4"/>
      <c r="W115" s="4"/>
      <c r="X115" s="144"/>
      <c r="Y115" s="27"/>
      <c r="Z115" s="60" t="str">
        <f t="shared" si="297"/>
        <v/>
      </c>
      <c r="AA115" s="32"/>
      <c r="AB115" s="32"/>
      <c r="AC115" s="32"/>
      <c r="AD115" s="32"/>
      <c r="AE115" s="58" t="str">
        <f t="shared" si="298"/>
        <v/>
      </c>
      <c r="AF115" s="20"/>
      <c r="AG115" s="58" t="str">
        <f t="shared" si="299"/>
        <v/>
      </c>
      <c r="AH115" s="32"/>
      <c r="AI115" s="32"/>
      <c r="AJ115" s="58" t="str">
        <f t="shared" si="300"/>
        <v/>
      </c>
      <c r="AK115" s="20"/>
      <c r="AL115" s="58" t="str">
        <f t="shared" si="301"/>
        <v/>
      </c>
      <c r="AM115" s="32"/>
      <c r="AN115" s="32"/>
      <c r="AO115" s="58" t="str">
        <f t="shared" si="302"/>
        <v/>
      </c>
      <c r="AP115" s="58" t="str">
        <f t="shared" si="303"/>
        <v/>
      </c>
      <c r="AQ115" s="58" t="str">
        <f t="shared" si="304"/>
        <v/>
      </c>
      <c r="AR115" s="59" t="str">
        <f t="shared" si="305"/>
        <v/>
      </c>
      <c r="AS115" s="20"/>
      <c r="AT115" s="47"/>
      <c r="AU115" s="47"/>
      <c r="AV115" s="61" t="str">
        <f>IF(_xlfn.XLOOKUP(AT115, AutoFill_classes!$A:$A, AutoFill_classes!$B:$B,"")=0,"",_xlfn.XLOOKUP(AT115, AutoFill_classes!$A:$A, AutoFill_classes!$B:$B,""))</f>
        <v/>
      </c>
      <c r="AW115" s="154"/>
      <c r="AX115" s="16"/>
      <c r="AY115" s="16"/>
      <c r="AZ115" s="16"/>
      <c r="BA115" s="16"/>
      <c r="BB115" s="16"/>
      <c r="BC115" s="144"/>
      <c r="BD115" s="27"/>
      <c r="BE115" s="60" t="str">
        <f t="shared" si="306"/>
        <v/>
      </c>
      <c r="BF115" s="32"/>
      <c r="BG115" s="32"/>
      <c r="BH115" s="32"/>
      <c r="BI115" s="32"/>
      <c r="BJ115" s="58" t="str">
        <f t="shared" si="307"/>
        <v/>
      </c>
      <c r="BK115" s="20"/>
      <c r="BL115" s="58" t="str">
        <f t="shared" si="308"/>
        <v/>
      </c>
      <c r="BM115" s="32"/>
      <c r="BN115" s="32"/>
      <c r="BO115" s="58" t="str">
        <f t="shared" si="309"/>
        <v/>
      </c>
      <c r="BP115" s="20"/>
      <c r="BQ115" s="58" t="str">
        <f t="shared" si="310"/>
        <v/>
      </c>
      <c r="BR115" s="32"/>
      <c r="BS115" s="32"/>
      <c r="BT115" s="58" t="str">
        <f t="shared" si="311"/>
        <v/>
      </c>
      <c r="BU115" s="58" t="str">
        <f t="shared" si="312"/>
        <v/>
      </c>
      <c r="BV115" s="58" t="str">
        <f t="shared" si="313"/>
        <v/>
      </c>
      <c r="BW115" s="59" t="str">
        <f t="shared" si="314"/>
        <v/>
      </c>
      <c r="BX115" s="16"/>
      <c r="BY115" s="21"/>
      <c r="BZ115" s="20"/>
      <c r="CA115" s="61" t="str">
        <f>IF(_xlfn.XLOOKUP(BY115, AutoFill_classes!$A:$A, AutoFill_classes!$B:$B,"")=0,"",_xlfn.XLOOKUP(BY115, AutoFill_classes!$A:$A, AutoFill_classes!$B:$B,""))</f>
        <v/>
      </c>
      <c r="CB115" s="154"/>
      <c r="CC115" s="20"/>
      <c r="CD115" s="20"/>
      <c r="CE115" s="20"/>
      <c r="CF115" s="33"/>
      <c r="CG115" s="34"/>
      <c r="CH115" s="144"/>
      <c r="CI115" s="35"/>
      <c r="CJ115" s="60" t="str">
        <f t="shared" si="315"/>
        <v/>
      </c>
      <c r="CK115" s="32"/>
      <c r="CL115" s="32"/>
      <c r="CM115" s="32"/>
      <c r="CN115" s="32"/>
      <c r="CO115" s="58" t="str">
        <f t="shared" si="316"/>
        <v/>
      </c>
      <c r="CP115" s="20"/>
      <c r="CQ115" s="58" t="str">
        <f t="shared" si="317"/>
        <v/>
      </c>
      <c r="CR115" s="32"/>
      <c r="CS115" s="32"/>
      <c r="CT115" s="58" t="str">
        <f t="shared" si="318"/>
        <v/>
      </c>
      <c r="CU115" s="20"/>
      <c r="CV115" s="58" t="str">
        <f t="shared" si="319"/>
        <v/>
      </c>
      <c r="CW115" s="32"/>
      <c r="CX115" s="32"/>
      <c r="CY115" s="58" t="str">
        <f t="shared" si="320"/>
        <v/>
      </c>
      <c r="CZ115" s="58" t="str">
        <f t="shared" si="321"/>
        <v/>
      </c>
      <c r="DA115" s="58" t="str">
        <f t="shared" si="322"/>
        <v/>
      </c>
      <c r="DB115" s="59" t="str">
        <f t="shared" si="323"/>
        <v/>
      </c>
      <c r="DC115" s="20"/>
      <c r="DD115" s="145"/>
      <c r="DE115" s="91">
        <v>114</v>
      </c>
      <c r="DF115" s="39"/>
      <c r="DG115" s="39"/>
      <c r="DH115" s="39"/>
      <c r="DI115" s="39"/>
      <c r="DJ115" s="39"/>
      <c r="DK115" s="39"/>
      <c r="DL115" s="39"/>
      <c r="DM115" s="39"/>
      <c r="DN115" s="39"/>
      <c r="DO115" s="39"/>
      <c r="DP115" s="39"/>
      <c r="DQ115" s="39"/>
      <c r="DR115" s="39"/>
      <c r="DS115" s="39"/>
      <c r="DT115" s="39"/>
      <c r="DU115" s="39"/>
      <c r="DV115" s="39"/>
      <c r="DW115" s="39"/>
      <c r="DX115" s="39"/>
      <c r="DY115" s="39"/>
      <c r="DZ115" s="39"/>
      <c r="EA115" s="39"/>
      <c r="EB115" s="39"/>
      <c r="EC115" s="39"/>
      <c r="ED115" s="39"/>
      <c r="EE115" s="39"/>
      <c r="EF115" s="39"/>
      <c r="EG115" s="39"/>
      <c r="EH115" s="39"/>
      <c r="EI115" s="39"/>
      <c r="EJ115" s="39"/>
      <c r="EK115" s="39"/>
      <c r="EL115" s="39"/>
      <c r="EM115" s="39"/>
      <c r="EN115" s="39"/>
      <c r="EO115" s="39"/>
      <c r="EP115" s="39"/>
      <c r="EQ115" s="39"/>
      <c r="ER115" s="39"/>
      <c r="ES115" s="39"/>
      <c r="ET115" s="39"/>
      <c r="EU115" s="39"/>
      <c r="EV115" s="39"/>
      <c r="EW115" s="39"/>
      <c r="EX115" s="39"/>
      <c r="EY115" s="39"/>
      <c r="EZ115" s="39"/>
      <c r="FA115" s="39"/>
      <c r="FB115" s="39"/>
      <c r="FC115" s="39"/>
      <c r="FD115" s="39"/>
      <c r="FE115" s="39"/>
      <c r="FF115" s="39"/>
      <c r="FG115" s="39"/>
      <c r="FH115" s="39"/>
      <c r="FI115" s="39"/>
      <c r="FJ115" s="39"/>
      <c r="FK115" s="39"/>
      <c r="FL115" s="39"/>
      <c r="FM115" s="39"/>
      <c r="FN115" s="39"/>
      <c r="FO115" s="39"/>
      <c r="FP115" s="39"/>
      <c r="FQ115" s="39"/>
      <c r="FR115" s="39"/>
      <c r="FS115" s="39"/>
      <c r="FT115" s="39"/>
    </row>
    <row r="116" spans="1:176" s="22" customFormat="1" ht="13">
      <c r="A116" s="7"/>
      <c r="B116" s="23" t="str">
        <f>IF(_xlfn.XLOOKUP(A116, AutoFill_names!B:B, AutoFill_names!C:C,"")=0,"",_xlfn.XLOOKUP(A116, AutoFill_names!B:B, AutoFill_names!C:C,""))</f>
        <v/>
      </c>
      <c r="C116" s="23" t="str">
        <f>IF(_xlfn.XLOOKUP(A116, AutoFill_names!B:B, AutoFill_names!D:D,"")=0,"",_xlfn.XLOOKUP(A116, AutoFill_names!B:B, AutoFill_names!D:D,""))</f>
        <v/>
      </c>
      <c r="D116" s="23" t="str">
        <f>IF(_xlfn.XLOOKUP(A116, AutoFill_names!B:B, AutoFill_names!E:E,"")=0,"",_xlfn.XLOOKUP(A116, AutoFill_names!B:B, AutoFill_names!E:E,""))</f>
        <v/>
      </c>
      <c r="E116" s="23" t="str">
        <f>IF(_xlfn.XLOOKUP(A116, AutoFill_names!B:B, AutoFill_names!F:F,"")=0,"",_xlfn.XLOOKUP(A116, AutoFill_names!B:B, AutoFill_names!F:F,""))</f>
        <v/>
      </c>
      <c r="F116" s="4"/>
      <c r="G116" s="4"/>
      <c r="H116" s="4"/>
      <c r="I116" s="4"/>
      <c r="J116" s="23" t="str">
        <f>IF(_xlfn.XLOOKUP(A116, AutoFill_names!B:B, AutoFill_names!K:K,"")=0,"",_xlfn.XLOOKUP(A116, AutoFill_names!B:B, AutoFill_names!K:K,""))</f>
        <v/>
      </c>
      <c r="K116" s="23" t="str">
        <f>IF(_xlfn.XLOOKUP(A116, AutoFill_names!B:B, AutoFill_names!L:L,"")=0,"",_xlfn.XLOOKUP(A116, AutoFill_names!B:B, AutoFill_names!L:L,""))</f>
        <v/>
      </c>
      <c r="L116" s="45"/>
      <c r="M116" s="45"/>
      <c r="N116" s="61" t="str">
        <f>IF(_xlfn.XLOOKUP(L116, AutoFill_classes!A:A, AutoFill_classes!B:B,"")=0,"",_xlfn.XLOOKUP(L116, AutoFill_classes!A:A, AutoFill_classes!B:B,""))</f>
        <v/>
      </c>
      <c r="O116" s="154"/>
      <c r="P116" s="9"/>
      <c r="Q116" s="9"/>
      <c r="R116" s="9"/>
      <c r="S116" s="5"/>
      <c r="T116" s="5"/>
      <c r="U116" s="5"/>
      <c r="V116" s="4"/>
      <c r="W116" s="4"/>
      <c r="X116" s="144"/>
      <c r="Y116" s="27"/>
      <c r="Z116" s="60" t="str">
        <f t="shared" si="297"/>
        <v/>
      </c>
      <c r="AA116" s="32"/>
      <c r="AB116" s="32"/>
      <c r="AC116" s="32"/>
      <c r="AD116" s="32"/>
      <c r="AE116" s="58" t="str">
        <f t="shared" si="298"/>
        <v/>
      </c>
      <c r="AF116" s="20"/>
      <c r="AG116" s="58" t="str">
        <f t="shared" si="299"/>
        <v/>
      </c>
      <c r="AH116" s="32"/>
      <c r="AI116" s="32"/>
      <c r="AJ116" s="58" t="str">
        <f t="shared" si="300"/>
        <v/>
      </c>
      <c r="AK116" s="20"/>
      <c r="AL116" s="58" t="str">
        <f t="shared" si="301"/>
        <v/>
      </c>
      <c r="AM116" s="32"/>
      <c r="AN116" s="32"/>
      <c r="AO116" s="58" t="str">
        <f t="shared" si="302"/>
        <v/>
      </c>
      <c r="AP116" s="58" t="str">
        <f t="shared" si="303"/>
        <v/>
      </c>
      <c r="AQ116" s="58" t="str">
        <f t="shared" si="304"/>
        <v/>
      </c>
      <c r="AR116" s="59" t="str">
        <f t="shared" si="305"/>
        <v/>
      </c>
      <c r="AS116" s="20"/>
      <c r="AT116" s="47"/>
      <c r="AU116" s="47"/>
      <c r="AV116" s="61" t="str">
        <f>IF(_xlfn.XLOOKUP(AT116, AutoFill_classes!$A:$A, AutoFill_classes!$B:$B,"")=0,"",_xlfn.XLOOKUP(AT116, AutoFill_classes!$A:$A, AutoFill_classes!$B:$B,""))</f>
        <v/>
      </c>
      <c r="AW116" s="154"/>
      <c r="AX116" s="16"/>
      <c r="AY116" s="16"/>
      <c r="AZ116" s="16"/>
      <c r="BA116" s="16"/>
      <c r="BB116" s="16"/>
      <c r="BC116" s="144"/>
      <c r="BD116" s="27"/>
      <c r="BE116" s="60" t="str">
        <f t="shared" si="306"/>
        <v/>
      </c>
      <c r="BF116" s="32"/>
      <c r="BG116" s="32"/>
      <c r="BH116" s="32"/>
      <c r="BI116" s="32"/>
      <c r="BJ116" s="58" t="str">
        <f t="shared" si="307"/>
        <v/>
      </c>
      <c r="BK116" s="20"/>
      <c r="BL116" s="58" t="str">
        <f t="shared" si="308"/>
        <v/>
      </c>
      <c r="BM116" s="32"/>
      <c r="BN116" s="32"/>
      <c r="BO116" s="58" t="str">
        <f t="shared" si="309"/>
        <v/>
      </c>
      <c r="BP116" s="20"/>
      <c r="BQ116" s="58" t="str">
        <f t="shared" si="310"/>
        <v/>
      </c>
      <c r="BR116" s="32"/>
      <c r="BS116" s="32"/>
      <c r="BT116" s="58" t="str">
        <f t="shared" si="311"/>
        <v/>
      </c>
      <c r="BU116" s="58" t="str">
        <f t="shared" si="312"/>
        <v/>
      </c>
      <c r="BV116" s="58" t="str">
        <f t="shared" si="313"/>
        <v/>
      </c>
      <c r="BW116" s="59" t="str">
        <f t="shared" si="314"/>
        <v/>
      </c>
      <c r="BX116" s="16"/>
      <c r="BY116" s="21"/>
      <c r="BZ116" s="20"/>
      <c r="CA116" s="61" t="str">
        <f>IF(_xlfn.XLOOKUP(BY116, AutoFill_classes!$A:$A, AutoFill_classes!$B:$B,"")=0,"",_xlfn.XLOOKUP(BY116, AutoFill_classes!$A:$A, AutoFill_classes!$B:$B,""))</f>
        <v/>
      </c>
      <c r="CB116" s="154"/>
      <c r="CC116" s="20"/>
      <c r="CD116" s="20"/>
      <c r="CE116" s="20"/>
      <c r="CF116" s="33"/>
      <c r="CG116" s="34"/>
      <c r="CH116" s="144"/>
      <c r="CI116" s="35"/>
      <c r="CJ116" s="60" t="str">
        <f t="shared" si="315"/>
        <v/>
      </c>
      <c r="CK116" s="32"/>
      <c r="CL116" s="32"/>
      <c r="CM116" s="32"/>
      <c r="CN116" s="32"/>
      <c r="CO116" s="58" t="str">
        <f t="shared" si="316"/>
        <v/>
      </c>
      <c r="CP116" s="20"/>
      <c r="CQ116" s="58" t="str">
        <f t="shared" si="317"/>
        <v/>
      </c>
      <c r="CR116" s="32"/>
      <c r="CS116" s="32"/>
      <c r="CT116" s="58" t="str">
        <f t="shared" si="318"/>
        <v/>
      </c>
      <c r="CU116" s="20"/>
      <c r="CV116" s="58" t="str">
        <f t="shared" si="319"/>
        <v/>
      </c>
      <c r="CW116" s="32"/>
      <c r="CX116" s="32"/>
      <c r="CY116" s="58" t="str">
        <f t="shared" si="320"/>
        <v/>
      </c>
      <c r="CZ116" s="58" t="str">
        <f t="shared" si="321"/>
        <v/>
      </c>
      <c r="DA116" s="58" t="str">
        <f t="shared" si="322"/>
        <v/>
      </c>
      <c r="DB116" s="59" t="str">
        <f t="shared" si="323"/>
        <v/>
      </c>
      <c r="DC116" s="20"/>
      <c r="DD116" s="145"/>
      <c r="DE116" s="91">
        <v>115</v>
      </c>
      <c r="DF116" s="39"/>
      <c r="DG116" s="39"/>
      <c r="DH116" s="39"/>
      <c r="DI116" s="39"/>
      <c r="DJ116" s="39"/>
      <c r="DK116" s="39"/>
      <c r="DL116" s="39"/>
      <c r="DM116" s="39"/>
      <c r="DN116" s="39"/>
      <c r="DO116" s="39"/>
      <c r="DP116" s="39"/>
      <c r="DQ116" s="39"/>
      <c r="DR116" s="39"/>
      <c r="DS116" s="39"/>
      <c r="DT116" s="39"/>
      <c r="DU116" s="39"/>
      <c r="DV116" s="39"/>
      <c r="DW116" s="39"/>
      <c r="DX116" s="39"/>
      <c r="DY116" s="39"/>
      <c r="DZ116" s="39"/>
      <c r="EA116" s="39"/>
      <c r="EB116" s="39"/>
      <c r="EC116" s="39"/>
      <c r="ED116" s="39"/>
      <c r="EE116" s="39"/>
      <c r="EF116" s="39"/>
      <c r="EG116" s="39"/>
      <c r="EH116" s="39"/>
      <c r="EI116" s="39"/>
      <c r="EJ116" s="39"/>
      <c r="EK116" s="39"/>
      <c r="EL116" s="39"/>
      <c r="EM116" s="39"/>
      <c r="EN116" s="39"/>
      <c r="EO116" s="39"/>
      <c r="EP116" s="39"/>
      <c r="EQ116" s="39"/>
      <c r="ER116" s="39"/>
      <c r="ES116" s="39"/>
      <c r="ET116" s="39"/>
      <c r="EU116" s="39"/>
      <c r="EV116" s="39"/>
      <c r="EW116" s="39"/>
      <c r="EX116" s="39"/>
      <c r="EY116" s="39"/>
      <c r="EZ116" s="39"/>
      <c r="FA116" s="39"/>
      <c r="FB116" s="39"/>
      <c r="FC116" s="39"/>
      <c r="FD116" s="39"/>
      <c r="FE116" s="39"/>
      <c r="FF116" s="39"/>
      <c r="FG116" s="39"/>
      <c r="FH116" s="39"/>
      <c r="FI116" s="39"/>
      <c r="FJ116" s="39"/>
      <c r="FK116" s="39"/>
      <c r="FL116" s="39"/>
      <c r="FM116" s="39"/>
      <c r="FN116" s="39"/>
      <c r="FO116" s="39"/>
      <c r="FP116" s="39"/>
      <c r="FQ116" s="39"/>
      <c r="FR116" s="39"/>
      <c r="FS116" s="39"/>
      <c r="FT116" s="39"/>
    </row>
    <row r="117" spans="1:176" s="22" customFormat="1" ht="13">
      <c r="A117" s="7"/>
      <c r="B117" s="23" t="str">
        <f>IF(_xlfn.XLOOKUP(A117, AutoFill_names!B:B, AutoFill_names!C:C,"")=0,"",_xlfn.XLOOKUP(A117, AutoFill_names!B:B, AutoFill_names!C:C,""))</f>
        <v/>
      </c>
      <c r="C117" s="23" t="str">
        <f>IF(_xlfn.XLOOKUP(A117, AutoFill_names!B:B, AutoFill_names!D:D,"")=0,"",_xlfn.XLOOKUP(A117, AutoFill_names!B:B, AutoFill_names!D:D,""))</f>
        <v/>
      </c>
      <c r="D117" s="23" t="str">
        <f>IF(_xlfn.XLOOKUP(A117, AutoFill_names!B:B, AutoFill_names!E:E,"")=0,"",_xlfn.XLOOKUP(A117, AutoFill_names!B:B, AutoFill_names!E:E,""))</f>
        <v/>
      </c>
      <c r="E117" s="23" t="str">
        <f>IF(_xlfn.XLOOKUP(A117, AutoFill_names!B:B, AutoFill_names!F:F,"")=0,"",_xlfn.XLOOKUP(A117, AutoFill_names!B:B, AutoFill_names!F:F,""))</f>
        <v/>
      </c>
      <c r="F117" s="4"/>
      <c r="G117" s="4"/>
      <c r="H117" s="4"/>
      <c r="I117" s="4"/>
      <c r="J117" s="23" t="str">
        <f>IF(_xlfn.XLOOKUP(A117, AutoFill_names!B:B, AutoFill_names!K:K,"")=0,"",_xlfn.XLOOKUP(A117, AutoFill_names!B:B, AutoFill_names!K:K,""))</f>
        <v/>
      </c>
      <c r="K117" s="23" t="str">
        <f>IF(_xlfn.XLOOKUP(A117, AutoFill_names!B:B, AutoFill_names!L:L,"")=0,"",_xlfn.XLOOKUP(A117, AutoFill_names!B:B, AutoFill_names!L:L,""))</f>
        <v/>
      </c>
      <c r="L117" s="45"/>
      <c r="M117" s="45"/>
      <c r="N117" s="61" t="str">
        <f>IF(_xlfn.XLOOKUP(L117, AutoFill_classes!A:A, AutoFill_classes!B:B,"")=0,"",_xlfn.XLOOKUP(L117, AutoFill_classes!A:A, AutoFill_classes!B:B,""))</f>
        <v/>
      </c>
      <c r="O117" s="154"/>
      <c r="P117" s="9"/>
      <c r="Q117" s="9"/>
      <c r="R117" s="9"/>
      <c r="S117" s="5"/>
      <c r="T117" s="5"/>
      <c r="U117" s="5"/>
      <c r="V117" s="4"/>
      <c r="W117" s="4"/>
      <c r="X117" s="144"/>
      <c r="Y117" s="27"/>
      <c r="Z117" s="60" t="str">
        <f t="shared" si="297"/>
        <v/>
      </c>
      <c r="AA117" s="32"/>
      <c r="AB117" s="32"/>
      <c r="AC117" s="32"/>
      <c r="AD117" s="32"/>
      <c r="AE117" s="58" t="str">
        <f t="shared" si="298"/>
        <v/>
      </c>
      <c r="AF117" s="20"/>
      <c r="AG117" s="58" t="str">
        <f t="shared" si="299"/>
        <v/>
      </c>
      <c r="AH117" s="32"/>
      <c r="AI117" s="32"/>
      <c r="AJ117" s="58" t="str">
        <f t="shared" si="300"/>
        <v/>
      </c>
      <c r="AK117" s="20"/>
      <c r="AL117" s="58" t="str">
        <f t="shared" si="301"/>
        <v/>
      </c>
      <c r="AM117" s="32"/>
      <c r="AN117" s="32"/>
      <c r="AO117" s="58" t="str">
        <f t="shared" si="302"/>
        <v/>
      </c>
      <c r="AP117" s="58" t="str">
        <f t="shared" si="303"/>
        <v/>
      </c>
      <c r="AQ117" s="58" t="str">
        <f t="shared" si="304"/>
        <v/>
      </c>
      <c r="AR117" s="59" t="str">
        <f t="shared" si="305"/>
        <v/>
      </c>
      <c r="AS117" s="20"/>
      <c r="AT117" s="47"/>
      <c r="AU117" s="47"/>
      <c r="AV117" s="61" t="str">
        <f>IF(_xlfn.XLOOKUP(AT117, AutoFill_classes!$A:$A, AutoFill_classes!$B:$B,"")=0,"",_xlfn.XLOOKUP(AT117, AutoFill_classes!$A:$A, AutoFill_classes!$B:$B,""))</f>
        <v/>
      </c>
      <c r="AW117" s="154"/>
      <c r="AX117" s="16"/>
      <c r="AY117" s="16"/>
      <c r="AZ117" s="16"/>
      <c r="BA117" s="16"/>
      <c r="BB117" s="16"/>
      <c r="BC117" s="144"/>
      <c r="BD117" s="27"/>
      <c r="BE117" s="60" t="str">
        <f t="shared" si="306"/>
        <v/>
      </c>
      <c r="BF117" s="32"/>
      <c r="BG117" s="32"/>
      <c r="BH117" s="32"/>
      <c r="BI117" s="32"/>
      <c r="BJ117" s="58" t="str">
        <f t="shared" si="307"/>
        <v/>
      </c>
      <c r="BK117" s="20"/>
      <c r="BL117" s="58" t="str">
        <f t="shared" si="308"/>
        <v/>
      </c>
      <c r="BM117" s="32"/>
      <c r="BN117" s="32"/>
      <c r="BO117" s="58" t="str">
        <f t="shared" si="309"/>
        <v/>
      </c>
      <c r="BP117" s="20"/>
      <c r="BQ117" s="58" t="str">
        <f t="shared" si="310"/>
        <v/>
      </c>
      <c r="BR117" s="32"/>
      <c r="BS117" s="32"/>
      <c r="BT117" s="58" t="str">
        <f t="shared" si="311"/>
        <v/>
      </c>
      <c r="BU117" s="58" t="str">
        <f t="shared" si="312"/>
        <v/>
      </c>
      <c r="BV117" s="58" t="str">
        <f t="shared" si="313"/>
        <v/>
      </c>
      <c r="BW117" s="59" t="str">
        <f t="shared" si="314"/>
        <v/>
      </c>
      <c r="BX117" s="16"/>
      <c r="BY117" s="21"/>
      <c r="BZ117" s="20"/>
      <c r="CA117" s="61" t="str">
        <f>IF(_xlfn.XLOOKUP(BY117, AutoFill_classes!$A:$A, AutoFill_classes!$B:$B,"")=0,"",_xlfn.XLOOKUP(BY117, AutoFill_classes!$A:$A, AutoFill_classes!$B:$B,""))</f>
        <v/>
      </c>
      <c r="CB117" s="154"/>
      <c r="CC117" s="20"/>
      <c r="CD117" s="20"/>
      <c r="CE117" s="20"/>
      <c r="CF117" s="33"/>
      <c r="CG117" s="34"/>
      <c r="CH117" s="144"/>
      <c r="CI117" s="35"/>
      <c r="CJ117" s="60" t="str">
        <f t="shared" si="315"/>
        <v/>
      </c>
      <c r="CK117" s="32"/>
      <c r="CL117" s="32"/>
      <c r="CM117" s="32"/>
      <c r="CN117" s="32"/>
      <c r="CO117" s="58" t="str">
        <f t="shared" si="316"/>
        <v/>
      </c>
      <c r="CP117" s="20"/>
      <c r="CQ117" s="58" t="str">
        <f t="shared" si="317"/>
        <v/>
      </c>
      <c r="CR117" s="32"/>
      <c r="CS117" s="32"/>
      <c r="CT117" s="58" t="str">
        <f t="shared" si="318"/>
        <v/>
      </c>
      <c r="CU117" s="20"/>
      <c r="CV117" s="58" t="str">
        <f t="shared" si="319"/>
        <v/>
      </c>
      <c r="CW117" s="32"/>
      <c r="CX117" s="32"/>
      <c r="CY117" s="58" t="str">
        <f t="shared" si="320"/>
        <v/>
      </c>
      <c r="CZ117" s="58" t="str">
        <f t="shared" si="321"/>
        <v/>
      </c>
      <c r="DA117" s="58" t="str">
        <f t="shared" si="322"/>
        <v/>
      </c>
      <c r="DB117" s="59" t="str">
        <f t="shared" si="323"/>
        <v/>
      </c>
      <c r="DC117" s="20"/>
      <c r="DD117" s="145"/>
      <c r="DE117" s="91">
        <v>116</v>
      </c>
      <c r="DF117" s="39"/>
      <c r="DG117" s="39"/>
      <c r="DH117" s="39"/>
      <c r="DI117" s="39"/>
      <c r="DJ117" s="39"/>
      <c r="DK117" s="39"/>
      <c r="DL117" s="39"/>
      <c r="DM117" s="39"/>
      <c r="DN117" s="39"/>
      <c r="DO117" s="39"/>
      <c r="DP117" s="39"/>
      <c r="DQ117" s="39"/>
      <c r="DR117" s="39"/>
      <c r="DS117" s="39"/>
      <c r="DT117" s="39"/>
      <c r="DU117" s="39"/>
      <c r="DV117" s="39"/>
      <c r="DW117" s="39"/>
      <c r="DX117" s="39"/>
      <c r="DY117" s="39"/>
      <c r="DZ117" s="39"/>
      <c r="EA117" s="39"/>
      <c r="EB117" s="39"/>
      <c r="EC117" s="39"/>
      <c r="ED117" s="39"/>
      <c r="EE117" s="39"/>
      <c r="EF117" s="39"/>
      <c r="EG117" s="39"/>
      <c r="EH117" s="39"/>
      <c r="EI117" s="39"/>
      <c r="EJ117" s="39"/>
      <c r="EK117" s="39"/>
      <c r="EL117" s="39"/>
      <c r="EM117" s="39"/>
      <c r="EN117" s="39"/>
      <c r="EO117" s="39"/>
      <c r="EP117" s="39"/>
      <c r="EQ117" s="39"/>
      <c r="ER117" s="39"/>
      <c r="ES117" s="39"/>
      <c r="ET117" s="39"/>
      <c r="EU117" s="39"/>
      <c r="EV117" s="39"/>
      <c r="EW117" s="39"/>
      <c r="EX117" s="39"/>
      <c r="EY117" s="39"/>
      <c r="EZ117" s="39"/>
      <c r="FA117" s="39"/>
      <c r="FB117" s="39"/>
      <c r="FC117" s="39"/>
      <c r="FD117" s="39"/>
      <c r="FE117" s="39"/>
      <c r="FF117" s="39"/>
      <c r="FG117" s="39"/>
      <c r="FH117" s="39"/>
      <c r="FI117" s="39"/>
      <c r="FJ117" s="39"/>
      <c r="FK117" s="39"/>
      <c r="FL117" s="39"/>
      <c r="FM117" s="39"/>
      <c r="FN117" s="39"/>
      <c r="FO117" s="39"/>
      <c r="FP117" s="39"/>
      <c r="FQ117" s="39"/>
      <c r="FR117" s="39"/>
      <c r="FS117" s="39"/>
      <c r="FT117" s="39"/>
    </row>
    <row r="118" spans="1:176" s="22" customFormat="1" ht="13">
      <c r="A118" s="7"/>
      <c r="B118" s="23" t="str">
        <f>IF(_xlfn.XLOOKUP(A118, AutoFill_names!B:B, AutoFill_names!C:C,"")=0,"",_xlfn.XLOOKUP(A118, AutoFill_names!B:B, AutoFill_names!C:C,""))</f>
        <v/>
      </c>
      <c r="C118" s="23" t="str">
        <f>IF(_xlfn.XLOOKUP(A118, AutoFill_names!B:B, AutoFill_names!D:D,"")=0,"",_xlfn.XLOOKUP(A118, AutoFill_names!B:B, AutoFill_names!D:D,""))</f>
        <v/>
      </c>
      <c r="D118" s="23" t="str">
        <f>IF(_xlfn.XLOOKUP(A118, AutoFill_names!B:B, AutoFill_names!E:E,"")=0,"",_xlfn.XLOOKUP(A118, AutoFill_names!B:B, AutoFill_names!E:E,""))</f>
        <v/>
      </c>
      <c r="E118" s="23" t="str">
        <f>IF(_xlfn.XLOOKUP(A118, AutoFill_names!B:B, AutoFill_names!F:F,"")=0,"",_xlfn.XLOOKUP(A118, AutoFill_names!B:B, AutoFill_names!F:F,""))</f>
        <v/>
      </c>
      <c r="F118" s="4"/>
      <c r="G118" s="4"/>
      <c r="H118" s="4"/>
      <c r="I118" s="4"/>
      <c r="J118" s="23" t="str">
        <f>IF(_xlfn.XLOOKUP(A118, AutoFill_names!B:B, AutoFill_names!K:K,"")=0,"",_xlfn.XLOOKUP(A118, AutoFill_names!B:B, AutoFill_names!K:K,""))</f>
        <v/>
      </c>
      <c r="K118" s="23" t="str">
        <f>IF(_xlfn.XLOOKUP(A118, AutoFill_names!B:B, AutoFill_names!L:L,"")=0,"",_xlfn.XLOOKUP(A118, AutoFill_names!B:B, AutoFill_names!L:L,""))</f>
        <v/>
      </c>
      <c r="L118" s="5"/>
      <c r="M118" s="5"/>
      <c r="N118" s="61" t="str">
        <f>IF(_xlfn.XLOOKUP(L118, AutoFill_classes!A:A, AutoFill_classes!B:B,"")=0,"",_xlfn.XLOOKUP(L118, AutoFill_classes!A:A, AutoFill_classes!B:B,""))</f>
        <v/>
      </c>
      <c r="O118" s="154"/>
      <c r="P118" s="9"/>
      <c r="Q118" s="9"/>
      <c r="R118" s="9"/>
      <c r="S118" s="5"/>
      <c r="T118" s="5"/>
      <c r="U118" s="5"/>
      <c r="V118" s="4"/>
      <c r="W118" s="4"/>
      <c r="X118" s="145"/>
      <c r="Y118" s="29"/>
      <c r="Z118" s="60" t="str">
        <f t="shared" si="297"/>
        <v/>
      </c>
      <c r="AA118" s="32"/>
      <c r="AB118" s="32"/>
      <c r="AC118" s="32"/>
      <c r="AD118" s="32"/>
      <c r="AE118" s="58" t="str">
        <f t="shared" si="298"/>
        <v/>
      </c>
      <c r="AF118" s="20"/>
      <c r="AG118" s="58" t="str">
        <f t="shared" si="299"/>
        <v/>
      </c>
      <c r="AH118" s="32"/>
      <c r="AI118" s="32"/>
      <c r="AJ118" s="58" t="str">
        <f t="shared" si="300"/>
        <v/>
      </c>
      <c r="AK118" s="20"/>
      <c r="AL118" s="58" t="str">
        <f t="shared" si="301"/>
        <v/>
      </c>
      <c r="AM118" s="32"/>
      <c r="AN118" s="32"/>
      <c r="AO118" s="58" t="str">
        <f t="shared" si="302"/>
        <v/>
      </c>
      <c r="AP118" s="58" t="str">
        <f t="shared" si="303"/>
        <v/>
      </c>
      <c r="AQ118" s="58" t="str">
        <f t="shared" si="304"/>
        <v/>
      </c>
      <c r="AR118" s="59" t="str">
        <f t="shared" si="305"/>
        <v/>
      </c>
      <c r="AS118" s="20"/>
      <c r="AT118" s="48"/>
      <c r="AU118" s="48"/>
      <c r="AV118" s="61" t="str">
        <f>IF(_xlfn.XLOOKUP(AT118, AutoFill_classes!$A:$A, AutoFill_classes!$B:$B,"")=0,"",_xlfn.XLOOKUP(AT118, AutoFill_classes!$A:$A, AutoFill_classes!$B:$B,""))</f>
        <v/>
      </c>
      <c r="AW118" s="154"/>
      <c r="AX118" s="16"/>
      <c r="AY118" s="16"/>
      <c r="AZ118" s="16"/>
      <c r="BA118" s="16"/>
      <c r="BB118" s="16"/>
      <c r="BC118" s="145"/>
      <c r="BD118" s="27"/>
      <c r="BE118" s="60" t="str">
        <f t="shared" si="306"/>
        <v/>
      </c>
      <c r="BF118" s="32"/>
      <c r="BG118" s="32"/>
      <c r="BH118" s="32"/>
      <c r="BI118" s="32"/>
      <c r="BJ118" s="58" t="str">
        <f t="shared" si="307"/>
        <v/>
      </c>
      <c r="BK118" s="20"/>
      <c r="BL118" s="58" t="str">
        <f t="shared" si="308"/>
        <v/>
      </c>
      <c r="BM118" s="32"/>
      <c r="BN118" s="32"/>
      <c r="BO118" s="58" t="str">
        <f t="shared" si="309"/>
        <v/>
      </c>
      <c r="BP118" s="20"/>
      <c r="BQ118" s="58" t="str">
        <f t="shared" si="310"/>
        <v/>
      </c>
      <c r="BR118" s="32"/>
      <c r="BS118" s="32"/>
      <c r="BT118" s="58" t="str">
        <f t="shared" si="311"/>
        <v/>
      </c>
      <c r="BU118" s="58" t="str">
        <f t="shared" si="312"/>
        <v/>
      </c>
      <c r="BV118" s="58" t="str">
        <f t="shared" si="313"/>
        <v/>
      </c>
      <c r="BW118" s="59" t="str">
        <f t="shared" si="314"/>
        <v/>
      </c>
      <c r="BX118" s="16"/>
      <c r="BY118" s="21"/>
      <c r="BZ118" s="20"/>
      <c r="CA118" s="61" t="str">
        <f>IF(_xlfn.XLOOKUP(BY118, AutoFill_classes!$A:$A, AutoFill_classes!$B:$B,"")=0,"",_xlfn.XLOOKUP(BY118, AutoFill_classes!$A:$A, AutoFill_classes!$B:$B,""))</f>
        <v/>
      </c>
      <c r="CB118" s="154"/>
      <c r="CC118" s="20"/>
      <c r="CD118" s="20"/>
      <c r="CE118" s="20"/>
      <c r="CF118" s="33"/>
      <c r="CG118" s="34"/>
      <c r="CH118" s="145"/>
      <c r="CI118" s="35"/>
      <c r="CJ118" s="60" t="str">
        <f t="shared" si="315"/>
        <v/>
      </c>
      <c r="CK118" s="32"/>
      <c r="CL118" s="32"/>
      <c r="CM118" s="32"/>
      <c r="CN118" s="32"/>
      <c r="CO118" s="58" t="str">
        <f t="shared" si="316"/>
        <v/>
      </c>
      <c r="CP118" s="20"/>
      <c r="CQ118" s="58" t="str">
        <f t="shared" si="317"/>
        <v/>
      </c>
      <c r="CR118" s="32"/>
      <c r="CS118" s="32"/>
      <c r="CT118" s="58" t="str">
        <f t="shared" si="318"/>
        <v/>
      </c>
      <c r="CU118" s="20"/>
      <c r="CV118" s="58" t="str">
        <f t="shared" si="319"/>
        <v/>
      </c>
      <c r="CW118" s="32"/>
      <c r="CX118" s="32"/>
      <c r="CY118" s="58" t="str">
        <f t="shared" si="320"/>
        <v/>
      </c>
      <c r="CZ118" s="58" t="str">
        <f t="shared" si="321"/>
        <v/>
      </c>
      <c r="DA118" s="58" t="str">
        <f t="shared" si="322"/>
        <v/>
      </c>
      <c r="DB118" s="59" t="str">
        <f t="shared" si="323"/>
        <v/>
      </c>
      <c r="DC118" s="20"/>
      <c r="DD118" s="144"/>
      <c r="DE118" s="91">
        <v>117</v>
      </c>
      <c r="DF118" s="39"/>
      <c r="DG118" s="39"/>
      <c r="DH118" s="39"/>
      <c r="DI118" s="39"/>
      <c r="DJ118" s="39"/>
      <c r="DK118" s="39"/>
      <c r="DL118" s="39"/>
      <c r="DM118" s="39"/>
      <c r="DN118" s="39"/>
      <c r="DO118" s="39"/>
      <c r="DP118" s="39"/>
      <c r="DQ118" s="39"/>
      <c r="DR118" s="39"/>
      <c r="DS118" s="39"/>
      <c r="DT118" s="39"/>
      <c r="DU118" s="39"/>
      <c r="DV118" s="39"/>
      <c r="DW118" s="39"/>
      <c r="DX118" s="39"/>
      <c r="DY118" s="39"/>
      <c r="DZ118" s="39"/>
      <c r="EA118" s="39"/>
      <c r="EB118" s="39"/>
      <c r="EC118" s="39"/>
      <c r="ED118" s="39"/>
      <c r="EE118" s="39"/>
      <c r="EF118" s="39"/>
      <c r="EG118" s="39"/>
      <c r="EH118" s="39"/>
      <c r="EI118" s="39"/>
      <c r="EJ118" s="39"/>
      <c r="EK118" s="39"/>
      <c r="EL118" s="39"/>
      <c r="EM118" s="39"/>
      <c r="EN118" s="39"/>
      <c r="EO118" s="39"/>
      <c r="EP118" s="39"/>
      <c r="EQ118" s="39"/>
      <c r="ER118" s="39"/>
      <c r="ES118" s="39"/>
      <c r="ET118" s="39"/>
      <c r="EU118" s="39"/>
      <c r="EV118" s="39"/>
      <c r="EW118" s="39"/>
      <c r="EX118" s="39"/>
      <c r="EY118" s="39"/>
      <c r="EZ118" s="39"/>
      <c r="FA118" s="39"/>
      <c r="FB118" s="39"/>
      <c r="FC118" s="39"/>
      <c r="FD118" s="39"/>
      <c r="FE118" s="39"/>
      <c r="FF118" s="39"/>
      <c r="FG118" s="39"/>
      <c r="FH118" s="39"/>
      <c r="FI118" s="39"/>
      <c r="FJ118" s="39"/>
      <c r="FK118" s="39"/>
      <c r="FL118" s="39"/>
      <c r="FM118" s="39"/>
      <c r="FN118" s="39"/>
      <c r="FO118" s="39"/>
      <c r="FP118" s="39"/>
      <c r="FQ118" s="39"/>
      <c r="FR118" s="39"/>
      <c r="FS118" s="39"/>
      <c r="FT118" s="39"/>
    </row>
    <row r="119" spans="1:176" s="22" customFormat="1" ht="13">
      <c r="A119" s="7"/>
      <c r="B119" s="23" t="str">
        <f>IF(_xlfn.XLOOKUP(A119, AutoFill_names!B:B, AutoFill_names!C:C,"")=0,"",_xlfn.XLOOKUP(A119, AutoFill_names!B:B, AutoFill_names!C:C,""))</f>
        <v/>
      </c>
      <c r="C119" s="23" t="str">
        <f>IF(_xlfn.XLOOKUP(A119, AutoFill_names!B:B, AutoFill_names!D:D,"")=0,"",_xlfn.XLOOKUP(A119, AutoFill_names!B:B, AutoFill_names!D:D,""))</f>
        <v/>
      </c>
      <c r="D119" s="23" t="str">
        <f>IF(_xlfn.XLOOKUP(A119, AutoFill_names!B:B, AutoFill_names!E:E,"")=0,"",_xlfn.XLOOKUP(A119, AutoFill_names!B:B, AutoFill_names!E:E,""))</f>
        <v/>
      </c>
      <c r="E119" s="23" t="str">
        <f>IF(_xlfn.XLOOKUP(A119, AutoFill_names!B:B, AutoFill_names!F:F,"")=0,"",_xlfn.XLOOKUP(A119, AutoFill_names!B:B, AutoFill_names!F:F,""))</f>
        <v/>
      </c>
      <c r="F119" s="4"/>
      <c r="G119" s="4"/>
      <c r="H119" s="4"/>
      <c r="I119" s="4"/>
      <c r="J119" s="23" t="str">
        <f>IF(_xlfn.XLOOKUP(A119, AutoFill_names!B:B, AutoFill_names!K:K,"")=0,"",_xlfn.XLOOKUP(A119, AutoFill_names!B:B, AutoFill_names!K:K,""))</f>
        <v/>
      </c>
      <c r="K119" s="23" t="str">
        <f>IF(_xlfn.XLOOKUP(A119, AutoFill_names!B:B, AutoFill_names!L:L,"")=0,"",_xlfn.XLOOKUP(A119, AutoFill_names!B:B, AutoFill_names!L:L,""))</f>
        <v/>
      </c>
      <c r="L119" s="5"/>
      <c r="M119" s="5"/>
      <c r="N119" s="61" t="str">
        <f>IF(_xlfn.XLOOKUP(L119, AutoFill_classes!A:A, AutoFill_classes!B:B,"")=0,"",_xlfn.XLOOKUP(L119, AutoFill_classes!A:A, AutoFill_classes!B:B,""))</f>
        <v/>
      </c>
      <c r="O119" s="154"/>
      <c r="P119" s="10"/>
      <c r="Q119" s="10"/>
      <c r="R119" s="10"/>
      <c r="S119" s="5"/>
      <c r="T119" s="5"/>
      <c r="U119" s="5"/>
      <c r="V119" s="4"/>
      <c r="W119" s="4"/>
      <c r="X119" s="145"/>
      <c r="Y119" s="29"/>
      <c r="Z119" s="60" t="str">
        <f t="shared" si="297"/>
        <v/>
      </c>
      <c r="AA119" s="32"/>
      <c r="AB119" s="32"/>
      <c r="AC119" s="32"/>
      <c r="AD119" s="32"/>
      <c r="AE119" s="58" t="str">
        <f t="shared" si="298"/>
        <v/>
      </c>
      <c r="AF119" s="20"/>
      <c r="AG119" s="58" t="str">
        <f t="shared" si="299"/>
        <v/>
      </c>
      <c r="AH119" s="32"/>
      <c r="AI119" s="32"/>
      <c r="AJ119" s="58" t="str">
        <f t="shared" si="300"/>
        <v/>
      </c>
      <c r="AK119" s="20"/>
      <c r="AL119" s="58" t="str">
        <f t="shared" si="301"/>
        <v/>
      </c>
      <c r="AM119" s="32"/>
      <c r="AN119" s="32"/>
      <c r="AO119" s="58" t="str">
        <f t="shared" si="302"/>
        <v/>
      </c>
      <c r="AP119" s="58" t="str">
        <f t="shared" si="303"/>
        <v/>
      </c>
      <c r="AQ119" s="58" t="str">
        <f t="shared" si="304"/>
        <v/>
      </c>
      <c r="AR119" s="59" t="str">
        <f t="shared" si="305"/>
        <v/>
      </c>
      <c r="AS119" s="20"/>
      <c r="AT119" s="47"/>
      <c r="AU119" s="47"/>
      <c r="AV119" s="61" t="str">
        <f>IF(_xlfn.XLOOKUP(AT119, AutoFill_classes!$A:$A, AutoFill_classes!$B:$B,"")=0,"",_xlfn.XLOOKUP(AT119, AutoFill_classes!$A:$A, AutoFill_classes!$B:$B,""))</f>
        <v/>
      </c>
      <c r="AW119" s="154"/>
      <c r="AX119" s="16"/>
      <c r="AY119" s="16"/>
      <c r="AZ119" s="16"/>
      <c r="BA119" s="16"/>
      <c r="BB119" s="16"/>
      <c r="BC119" s="145"/>
      <c r="BD119" s="27"/>
      <c r="BE119" s="60" t="str">
        <f t="shared" si="306"/>
        <v/>
      </c>
      <c r="BF119" s="32"/>
      <c r="BG119" s="32"/>
      <c r="BH119" s="32"/>
      <c r="BI119" s="32"/>
      <c r="BJ119" s="58" t="str">
        <f t="shared" si="307"/>
        <v/>
      </c>
      <c r="BK119" s="20"/>
      <c r="BL119" s="58" t="str">
        <f t="shared" si="308"/>
        <v/>
      </c>
      <c r="BM119" s="32"/>
      <c r="BN119" s="32"/>
      <c r="BO119" s="58" t="str">
        <f t="shared" si="309"/>
        <v/>
      </c>
      <c r="BP119" s="20"/>
      <c r="BQ119" s="58" t="str">
        <f t="shared" si="310"/>
        <v/>
      </c>
      <c r="BR119" s="32"/>
      <c r="BS119" s="32"/>
      <c r="BT119" s="58" t="str">
        <f t="shared" si="311"/>
        <v/>
      </c>
      <c r="BU119" s="58" t="str">
        <f t="shared" si="312"/>
        <v/>
      </c>
      <c r="BV119" s="58" t="str">
        <f t="shared" si="313"/>
        <v/>
      </c>
      <c r="BW119" s="59" t="str">
        <f t="shared" si="314"/>
        <v/>
      </c>
      <c r="BX119" s="16"/>
      <c r="BY119" s="21"/>
      <c r="BZ119" s="20"/>
      <c r="CA119" s="61" t="str">
        <f>IF(_xlfn.XLOOKUP(BY119, AutoFill_classes!$A:$A, AutoFill_classes!$B:$B,"")=0,"",_xlfn.XLOOKUP(BY119, AutoFill_classes!$A:$A, AutoFill_classes!$B:$B,""))</f>
        <v/>
      </c>
      <c r="CB119" s="154"/>
      <c r="CC119" s="20"/>
      <c r="CD119" s="20"/>
      <c r="CE119" s="20"/>
      <c r="CF119" s="33"/>
      <c r="CG119" s="34"/>
      <c r="CH119" s="145"/>
      <c r="CI119" s="35"/>
      <c r="CJ119" s="60" t="str">
        <f t="shared" si="315"/>
        <v/>
      </c>
      <c r="CK119" s="32"/>
      <c r="CL119" s="32"/>
      <c r="CM119" s="32"/>
      <c r="CN119" s="32"/>
      <c r="CO119" s="58" t="str">
        <f t="shared" si="316"/>
        <v/>
      </c>
      <c r="CP119" s="20"/>
      <c r="CQ119" s="58" t="str">
        <f t="shared" si="317"/>
        <v/>
      </c>
      <c r="CR119" s="32"/>
      <c r="CS119" s="32"/>
      <c r="CT119" s="58" t="str">
        <f t="shared" si="318"/>
        <v/>
      </c>
      <c r="CU119" s="20"/>
      <c r="CV119" s="58" t="str">
        <f t="shared" si="319"/>
        <v/>
      </c>
      <c r="CW119" s="32"/>
      <c r="CX119" s="32"/>
      <c r="CY119" s="58" t="str">
        <f t="shared" si="320"/>
        <v/>
      </c>
      <c r="CZ119" s="58" t="str">
        <f t="shared" si="321"/>
        <v/>
      </c>
      <c r="DA119" s="58" t="str">
        <f t="shared" si="322"/>
        <v/>
      </c>
      <c r="DB119" s="59" t="str">
        <f t="shared" si="323"/>
        <v/>
      </c>
      <c r="DC119" s="20"/>
      <c r="DD119" s="144"/>
      <c r="DE119" s="91">
        <v>118</v>
      </c>
      <c r="DF119" s="39"/>
      <c r="DG119" s="39"/>
      <c r="DH119" s="39"/>
      <c r="DI119" s="39"/>
      <c r="DJ119" s="39"/>
      <c r="DK119" s="39"/>
      <c r="DL119" s="39"/>
      <c r="DM119" s="39"/>
      <c r="DN119" s="39"/>
      <c r="DO119" s="39"/>
      <c r="DP119" s="39"/>
      <c r="DQ119" s="39"/>
      <c r="DR119" s="39"/>
      <c r="DS119" s="39"/>
      <c r="DT119" s="39"/>
      <c r="DU119" s="39"/>
      <c r="DV119" s="39"/>
      <c r="DW119" s="39"/>
      <c r="DX119" s="39"/>
      <c r="DY119" s="39"/>
      <c r="DZ119" s="39"/>
      <c r="EA119" s="39"/>
      <c r="EB119" s="39"/>
      <c r="EC119" s="39"/>
      <c r="ED119" s="39"/>
      <c r="EE119" s="39"/>
      <c r="EF119" s="39"/>
      <c r="EG119" s="39"/>
      <c r="EH119" s="39"/>
      <c r="EI119" s="39"/>
      <c r="EJ119" s="39"/>
      <c r="EK119" s="39"/>
      <c r="EL119" s="39"/>
      <c r="EM119" s="39"/>
      <c r="EN119" s="39"/>
      <c r="EO119" s="39"/>
      <c r="EP119" s="39"/>
      <c r="EQ119" s="39"/>
      <c r="ER119" s="39"/>
      <c r="ES119" s="39"/>
      <c r="ET119" s="39"/>
      <c r="EU119" s="39"/>
      <c r="EV119" s="39"/>
      <c r="EW119" s="39"/>
      <c r="EX119" s="39"/>
      <c r="EY119" s="39"/>
      <c r="EZ119" s="39"/>
      <c r="FA119" s="39"/>
      <c r="FB119" s="39"/>
      <c r="FC119" s="39"/>
      <c r="FD119" s="39"/>
      <c r="FE119" s="39"/>
      <c r="FF119" s="39"/>
      <c r="FG119" s="39"/>
      <c r="FH119" s="39"/>
      <c r="FI119" s="39"/>
      <c r="FJ119" s="39"/>
      <c r="FK119" s="39"/>
      <c r="FL119" s="39"/>
      <c r="FM119" s="39"/>
      <c r="FN119" s="39"/>
      <c r="FO119" s="39"/>
      <c r="FP119" s="39"/>
      <c r="FQ119" s="39"/>
      <c r="FR119" s="39"/>
      <c r="FS119" s="39"/>
      <c r="FT119" s="39"/>
    </row>
    <row r="120" spans="1:176" s="22" customFormat="1" ht="13">
      <c r="A120" s="7"/>
      <c r="B120" s="23" t="str">
        <f>IF(_xlfn.XLOOKUP(A120, AutoFill_names!B:B, AutoFill_names!C:C,"")=0,"",_xlfn.XLOOKUP(A120, AutoFill_names!B:B, AutoFill_names!C:C,""))</f>
        <v/>
      </c>
      <c r="C120" s="23" t="str">
        <f>IF(_xlfn.XLOOKUP(A120, AutoFill_names!B:B, AutoFill_names!D:D,"")=0,"",_xlfn.XLOOKUP(A120, AutoFill_names!B:B, AutoFill_names!D:D,""))</f>
        <v/>
      </c>
      <c r="D120" s="23" t="str">
        <f>IF(_xlfn.XLOOKUP(A120, AutoFill_names!B:B, AutoFill_names!E:E,"")=0,"",_xlfn.XLOOKUP(A120, AutoFill_names!B:B, AutoFill_names!E:E,""))</f>
        <v/>
      </c>
      <c r="E120" s="23" t="str">
        <f>IF(_xlfn.XLOOKUP(A120, AutoFill_names!B:B, AutoFill_names!F:F,"")=0,"",_xlfn.XLOOKUP(A120, AutoFill_names!B:B, AutoFill_names!F:F,""))</f>
        <v/>
      </c>
      <c r="F120" s="4"/>
      <c r="G120" s="4"/>
      <c r="H120" s="4"/>
      <c r="I120" s="4"/>
      <c r="J120" s="23" t="str">
        <f>IF(_xlfn.XLOOKUP(A120, AutoFill_names!B:B, AutoFill_names!K:K,"")=0,"",_xlfn.XLOOKUP(A120, AutoFill_names!B:B, AutoFill_names!K:K,""))</f>
        <v/>
      </c>
      <c r="K120" s="23" t="str">
        <f>IF(_xlfn.XLOOKUP(A120, AutoFill_names!B:B, AutoFill_names!L:L,"")=0,"",_xlfn.XLOOKUP(A120, AutoFill_names!B:B, AutoFill_names!L:L,""))</f>
        <v/>
      </c>
      <c r="L120" s="4"/>
      <c r="M120" s="4"/>
      <c r="N120" s="61" t="str">
        <f>IF(_xlfn.XLOOKUP(L120, AutoFill_classes!A:A, AutoFill_classes!B:B,"")=0,"",_xlfn.XLOOKUP(L120, AutoFill_classes!A:A, AutoFill_classes!B:B,""))</f>
        <v/>
      </c>
      <c r="O120" s="154"/>
      <c r="P120" s="9"/>
      <c r="Q120" s="9"/>
      <c r="R120" s="9"/>
      <c r="S120" s="4"/>
      <c r="T120" s="4"/>
      <c r="U120" s="4"/>
      <c r="V120" s="4"/>
      <c r="W120" s="4"/>
      <c r="X120" s="144"/>
      <c r="Y120" s="27"/>
      <c r="Z120" s="60" t="str">
        <f t="shared" si="297"/>
        <v/>
      </c>
      <c r="AA120" s="32"/>
      <c r="AB120" s="32"/>
      <c r="AC120" s="32"/>
      <c r="AD120" s="32"/>
      <c r="AE120" s="58" t="str">
        <f t="shared" si="298"/>
        <v/>
      </c>
      <c r="AF120" s="20"/>
      <c r="AG120" s="58" t="str">
        <f t="shared" si="299"/>
        <v/>
      </c>
      <c r="AH120" s="32"/>
      <c r="AI120" s="32"/>
      <c r="AJ120" s="58" t="str">
        <f t="shared" si="300"/>
        <v/>
      </c>
      <c r="AK120" s="20"/>
      <c r="AL120" s="58" t="str">
        <f t="shared" si="301"/>
        <v/>
      </c>
      <c r="AM120" s="32"/>
      <c r="AN120" s="32"/>
      <c r="AO120" s="58" t="str">
        <f t="shared" si="302"/>
        <v/>
      </c>
      <c r="AP120" s="58" t="str">
        <f t="shared" si="303"/>
        <v/>
      </c>
      <c r="AQ120" s="58" t="str">
        <f t="shared" si="304"/>
        <v/>
      </c>
      <c r="AR120" s="59" t="str">
        <f t="shared" si="305"/>
        <v/>
      </c>
      <c r="AS120" s="20"/>
      <c r="AT120" s="14"/>
      <c r="AU120" s="14"/>
      <c r="AV120" s="61" t="str">
        <f>IF(_xlfn.XLOOKUP(AT120, AutoFill_classes!$A:$A, AutoFill_classes!$B:$B,"")=0,"",_xlfn.XLOOKUP(AT120, AutoFill_classes!$A:$A, AutoFill_classes!$B:$B,""))</f>
        <v/>
      </c>
      <c r="AW120" s="154"/>
      <c r="AX120" s="14"/>
      <c r="AY120" s="14"/>
      <c r="AZ120" s="14"/>
      <c r="BA120" s="16"/>
      <c r="BB120" s="16"/>
      <c r="BC120" s="144"/>
      <c r="BD120" s="27"/>
      <c r="BE120" s="60" t="str">
        <f t="shared" si="306"/>
        <v/>
      </c>
      <c r="BF120" s="32"/>
      <c r="BG120" s="32"/>
      <c r="BH120" s="32"/>
      <c r="BI120" s="32"/>
      <c r="BJ120" s="58" t="str">
        <f t="shared" si="307"/>
        <v/>
      </c>
      <c r="BK120" s="20"/>
      <c r="BL120" s="58" t="str">
        <f t="shared" si="308"/>
        <v/>
      </c>
      <c r="BM120" s="32"/>
      <c r="BN120" s="32"/>
      <c r="BO120" s="58" t="str">
        <f t="shared" si="309"/>
        <v/>
      </c>
      <c r="BP120" s="20"/>
      <c r="BQ120" s="58" t="str">
        <f t="shared" si="310"/>
        <v/>
      </c>
      <c r="BR120" s="32"/>
      <c r="BS120" s="32"/>
      <c r="BT120" s="58" t="str">
        <f t="shared" si="311"/>
        <v/>
      </c>
      <c r="BU120" s="58" t="str">
        <f t="shared" si="312"/>
        <v/>
      </c>
      <c r="BV120" s="58" t="str">
        <f t="shared" si="313"/>
        <v/>
      </c>
      <c r="BW120" s="59" t="str">
        <f t="shared" si="314"/>
        <v/>
      </c>
      <c r="BX120" s="16"/>
      <c r="BY120" s="21"/>
      <c r="BZ120" s="20"/>
      <c r="CA120" s="61" t="str">
        <f>IF(_xlfn.XLOOKUP(BY120, AutoFill_classes!$A:$A, AutoFill_classes!$B:$B,"")=0,"",_xlfn.XLOOKUP(BY120, AutoFill_classes!$A:$A, AutoFill_classes!$B:$B,""))</f>
        <v/>
      </c>
      <c r="CB120" s="154"/>
      <c r="CC120" s="20"/>
      <c r="CD120" s="20"/>
      <c r="CE120" s="20"/>
      <c r="CF120" s="33"/>
      <c r="CG120" s="34"/>
      <c r="CH120" s="144"/>
      <c r="CI120" s="35"/>
      <c r="CJ120" s="60" t="str">
        <f t="shared" si="315"/>
        <v/>
      </c>
      <c r="CK120" s="32"/>
      <c r="CL120" s="32"/>
      <c r="CM120" s="32"/>
      <c r="CN120" s="32"/>
      <c r="CO120" s="58" t="str">
        <f t="shared" si="316"/>
        <v/>
      </c>
      <c r="CP120" s="20"/>
      <c r="CQ120" s="58" t="str">
        <f t="shared" si="317"/>
        <v/>
      </c>
      <c r="CR120" s="32"/>
      <c r="CS120" s="32"/>
      <c r="CT120" s="58" t="str">
        <f t="shared" si="318"/>
        <v/>
      </c>
      <c r="CU120" s="20"/>
      <c r="CV120" s="58" t="str">
        <f t="shared" si="319"/>
        <v/>
      </c>
      <c r="CW120" s="32"/>
      <c r="CX120" s="32"/>
      <c r="CY120" s="58" t="str">
        <f t="shared" si="320"/>
        <v/>
      </c>
      <c r="CZ120" s="58" t="str">
        <f t="shared" si="321"/>
        <v/>
      </c>
      <c r="DA120" s="58" t="str">
        <f t="shared" si="322"/>
        <v/>
      </c>
      <c r="DB120" s="59" t="str">
        <f t="shared" si="323"/>
        <v/>
      </c>
      <c r="DC120" s="20"/>
      <c r="DD120" s="145"/>
      <c r="DE120" s="91">
        <v>119</v>
      </c>
      <c r="DF120" s="39"/>
      <c r="DG120" s="39"/>
      <c r="DH120" s="39"/>
      <c r="DI120" s="39"/>
      <c r="DJ120" s="39"/>
      <c r="DK120" s="39"/>
      <c r="DL120" s="39"/>
      <c r="DM120" s="39"/>
      <c r="DN120" s="39"/>
      <c r="DO120" s="39"/>
      <c r="DP120" s="39"/>
      <c r="DQ120" s="39"/>
      <c r="DR120" s="39"/>
      <c r="DS120" s="39"/>
      <c r="DT120" s="39"/>
      <c r="DU120" s="39"/>
      <c r="DV120" s="39"/>
      <c r="DW120" s="39"/>
      <c r="DX120" s="39"/>
      <c r="DY120" s="39"/>
      <c r="DZ120" s="39"/>
      <c r="EA120" s="39"/>
      <c r="EB120" s="39"/>
      <c r="EC120" s="39"/>
      <c r="ED120" s="39"/>
      <c r="EE120" s="39"/>
      <c r="EF120" s="39"/>
      <c r="EG120" s="39"/>
      <c r="EH120" s="39"/>
      <c r="EI120" s="39"/>
      <c r="EJ120" s="39"/>
      <c r="EK120" s="39"/>
      <c r="EL120" s="39"/>
      <c r="EM120" s="39"/>
      <c r="EN120" s="39"/>
      <c r="EO120" s="39"/>
      <c r="EP120" s="39"/>
      <c r="EQ120" s="39"/>
      <c r="ER120" s="39"/>
      <c r="ES120" s="39"/>
      <c r="ET120" s="39"/>
      <c r="EU120" s="39"/>
      <c r="EV120" s="39"/>
      <c r="EW120" s="39"/>
      <c r="EX120" s="39"/>
      <c r="EY120" s="39"/>
      <c r="EZ120" s="39"/>
      <c r="FA120" s="39"/>
      <c r="FB120" s="39"/>
      <c r="FC120" s="39"/>
      <c r="FD120" s="39"/>
      <c r="FE120" s="39"/>
      <c r="FF120" s="39"/>
      <c r="FG120" s="39"/>
      <c r="FH120" s="39"/>
      <c r="FI120" s="39"/>
      <c r="FJ120" s="39"/>
      <c r="FK120" s="39"/>
      <c r="FL120" s="39"/>
      <c r="FM120" s="39"/>
      <c r="FN120" s="39"/>
      <c r="FO120" s="39"/>
      <c r="FP120" s="39"/>
      <c r="FQ120" s="39"/>
      <c r="FR120" s="39"/>
      <c r="FS120" s="39"/>
      <c r="FT120" s="39"/>
    </row>
    <row r="121" spans="1:176" s="113" customFormat="1" ht="34">
      <c r="A121" s="153" t="s">
        <v>1297</v>
      </c>
      <c r="B121" s="93" t="str">
        <f>"Total Credits: " &amp; IFERROR(IF(DD121=0,"",DD121),"")</f>
        <v>Total Credits: 10</v>
      </c>
      <c r="C121" s="114"/>
      <c r="D121" s="114"/>
      <c r="E121" s="114"/>
      <c r="F121" s="114"/>
      <c r="G121" s="114"/>
      <c r="H121" s="114"/>
      <c r="I121" s="114"/>
      <c r="J121" s="114"/>
      <c r="K121" s="114"/>
      <c r="L121" s="126"/>
      <c r="M121" s="126"/>
      <c r="N121" s="127"/>
      <c r="O121" s="127"/>
      <c r="P121" s="96"/>
      <c r="Q121" s="96"/>
      <c r="R121" s="96"/>
      <c r="S121" s="126"/>
      <c r="T121" s="126"/>
      <c r="U121" s="126"/>
      <c r="V121" s="97"/>
      <c r="W121" s="97"/>
      <c r="X121" s="143">
        <f>IF(SUM(X122:X130)=0, "", SUM(X122:X130))</f>
        <v>4</v>
      </c>
      <c r="Y121" s="121"/>
      <c r="Z121" s="122"/>
      <c r="AA121" s="100"/>
      <c r="AB121" s="100"/>
      <c r="AC121" s="100"/>
      <c r="AD121" s="100"/>
      <c r="AE121" s="101"/>
      <c r="AF121" s="102"/>
      <c r="AG121" s="101"/>
      <c r="AH121" s="100"/>
      <c r="AI121" s="100"/>
      <c r="AJ121" s="101"/>
      <c r="AK121" s="102"/>
      <c r="AL121" s="101"/>
      <c r="AM121" s="100"/>
      <c r="AN121" s="100"/>
      <c r="AO121" s="103"/>
      <c r="AP121" s="103"/>
      <c r="AQ121" s="103"/>
      <c r="AR121" s="103"/>
      <c r="AS121" s="104"/>
      <c r="AT121" s="128"/>
      <c r="AU121" s="128"/>
      <c r="AV121" s="127"/>
      <c r="AW121" s="127"/>
      <c r="AX121" s="128"/>
      <c r="AY121" s="128"/>
      <c r="AZ121" s="128"/>
      <c r="BA121" s="112"/>
      <c r="BB121" s="112"/>
      <c r="BC121" s="143">
        <f>IF(SUM(BC122:BC130)=0, "", SUM(BC122:BC130))</f>
        <v>2</v>
      </c>
      <c r="BD121" s="129"/>
      <c r="BE121" s="130"/>
      <c r="BF121" s="131"/>
      <c r="BG121" s="131"/>
      <c r="BH121" s="131"/>
      <c r="BI121" s="131"/>
      <c r="BJ121" s="132"/>
      <c r="BK121" s="128"/>
      <c r="BL121" s="132"/>
      <c r="BM121" s="131"/>
      <c r="BN121" s="131"/>
      <c r="BO121" s="132"/>
      <c r="BP121" s="128"/>
      <c r="BQ121" s="132"/>
      <c r="BR121" s="131"/>
      <c r="BS121" s="131"/>
      <c r="BT121" s="132"/>
      <c r="BU121" s="132"/>
      <c r="BV121" s="132"/>
      <c r="BW121" s="103"/>
      <c r="BX121" s="128"/>
      <c r="BY121" s="128"/>
      <c r="BZ121" s="128"/>
      <c r="CA121" s="127"/>
      <c r="CB121" s="127"/>
      <c r="CC121" s="128"/>
      <c r="CD121" s="128"/>
      <c r="CE121" s="128"/>
      <c r="CF121" s="97"/>
      <c r="CG121" s="98"/>
      <c r="CH121" s="143">
        <f>IF(SUM(CH122:CH130)=0, "", SUM(CH122:CH130))</f>
        <v>4</v>
      </c>
      <c r="CI121" s="121"/>
      <c r="CJ121" s="122"/>
      <c r="CK121" s="123"/>
      <c r="CL121" s="123"/>
      <c r="CM121" s="123"/>
      <c r="CN121" s="123"/>
      <c r="CP121" s="125"/>
      <c r="CR121" s="123"/>
      <c r="CS121" s="123"/>
      <c r="CU121" s="125"/>
      <c r="CW121" s="123"/>
      <c r="CX121" s="123"/>
      <c r="DB121" s="103"/>
      <c r="DC121" s="125"/>
      <c r="DD121" s="143">
        <f>IF(SUM(L121:DC121)=0, "", SUM(L121:DC121))</f>
        <v>10</v>
      </c>
      <c r="DE121" s="91">
        <v>120</v>
      </c>
      <c r="DF121" s="26"/>
      <c r="DG121" s="26"/>
      <c r="DH121" s="26"/>
      <c r="DI121" s="26"/>
      <c r="DJ121" s="26"/>
      <c r="DK121" s="26"/>
      <c r="DL121" s="26"/>
      <c r="DM121" s="26"/>
      <c r="DN121" s="26"/>
      <c r="DO121" s="26"/>
      <c r="DP121" s="26"/>
      <c r="DQ121" s="26"/>
      <c r="DR121" s="26"/>
      <c r="DS121" s="26"/>
      <c r="DT121" s="26"/>
      <c r="DU121" s="26"/>
      <c r="DV121" s="26"/>
      <c r="DW121" s="26"/>
      <c r="DX121" s="26"/>
      <c r="DY121" s="26"/>
      <c r="DZ121" s="26"/>
      <c r="EA121" s="26"/>
      <c r="EB121" s="26"/>
      <c r="EC121" s="26"/>
      <c r="ED121" s="26"/>
      <c r="EE121" s="26"/>
      <c r="EF121" s="26"/>
      <c r="EG121" s="26"/>
      <c r="EH121" s="26"/>
      <c r="EI121" s="26"/>
      <c r="EJ121" s="26"/>
      <c r="EK121" s="26"/>
      <c r="EL121" s="26"/>
      <c r="EM121" s="26"/>
      <c r="EN121" s="26"/>
      <c r="EO121" s="26"/>
      <c r="EP121" s="26"/>
      <c r="EQ121" s="26"/>
      <c r="ER121" s="26"/>
      <c r="ES121" s="26"/>
      <c r="ET121" s="26"/>
      <c r="EU121" s="26"/>
      <c r="EV121" s="26"/>
      <c r="EW121" s="26"/>
      <c r="EX121" s="26"/>
      <c r="EY121" s="26"/>
      <c r="EZ121" s="26"/>
      <c r="FA121" s="26"/>
      <c r="FB121" s="26"/>
      <c r="FC121" s="26"/>
      <c r="FD121" s="26"/>
      <c r="FE121" s="26"/>
      <c r="FF121" s="26"/>
      <c r="FG121" s="26"/>
      <c r="FH121" s="26"/>
      <c r="FI121" s="26"/>
      <c r="FJ121" s="26"/>
      <c r="FK121" s="26"/>
      <c r="FL121" s="26"/>
      <c r="FM121" s="26"/>
      <c r="FN121" s="26"/>
      <c r="FO121" s="26"/>
      <c r="FP121" s="26"/>
      <c r="FQ121" s="26"/>
      <c r="FR121" s="26"/>
      <c r="FS121" s="26"/>
      <c r="FT121" s="26"/>
    </row>
    <row r="122" spans="1:176" s="22" customFormat="1" ht="13">
      <c r="A122" s="7" t="s">
        <v>1309</v>
      </c>
      <c r="B122" s="23" t="str">
        <f>IF(_xlfn.XLOOKUP(A122, AutoFill_names!B:B, AutoFill_names!C:C,"")=0,"",_xlfn.XLOOKUP(A122, AutoFill_names!B:B, AutoFill_names!C:C,""))</f>
        <v/>
      </c>
      <c r="C122" s="23" t="str">
        <f>IF(_xlfn.XLOOKUP(A122, AutoFill_names!B:B, AutoFill_names!D:D,"")=0,"",_xlfn.XLOOKUP(A122, AutoFill_names!B:B, AutoFill_names!D:D,""))</f>
        <v/>
      </c>
      <c r="D122" s="23" t="str">
        <f>IF(_xlfn.XLOOKUP(A122, AutoFill_names!B:B, AutoFill_names!E:E,"")=0,"",_xlfn.XLOOKUP(A122, AutoFill_names!B:B, AutoFill_names!E:E,""))</f>
        <v/>
      </c>
      <c r="E122" s="23" t="str">
        <f>IF(_xlfn.XLOOKUP(A122, AutoFill_names!B:B, AutoFill_names!F:F,"")=0,"",_xlfn.XLOOKUP(A122, AutoFill_names!B:B, AutoFill_names!F:F,""))</f>
        <v/>
      </c>
      <c r="F122" s="4"/>
      <c r="G122" s="4"/>
      <c r="H122" s="4"/>
      <c r="I122" s="4"/>
      <c r="J122" s="23" t="str">
        <f>IF(_xlfn.XLOOKUP(A122, AutoFill_names!B:B, AutoFill_names!K:K,"")=0,"",_xlfn.XLOOKUP(A122, AutoFill_names!B:B, AutoFill_names!K:K,""))</f>
        <v/>
      </c>
      <c r="K122" s="23" t="str">
        <f>IF(_xlfn.XLOOKUP(A122, AutoFill_names!B:B, AutoFill_names!L:L,"")=0,"",_xlfn.XLOOKUP(A122, AutoFill_names!B:B, AutoFill_names!L:L,""))</f>
        <v/>
      </c>
      <c r="L122" s="46" t="s">
        <v>606</v>
      </c>
      <c r="M122" s="46"/>
      <c r="N122" s="61" t="str">
        <f>IF(_xlfn.XLOOKUP(L122, AutoFill_classes!A:A, AutoFill_classes!B:B,"")=0,"",_xlfn.XLOOKUP(L122, AutoFill_classes!A:A, AutoFill_classes!B:B,""))</f>
        <v>Adv Ministerial Development</v>
      </c>
      <c r="O122" s="154"/>
      <c r="P122" s="9"/>
      <c r="Q122" s="9"/>
      <c r="R122" s="9"/>
      <c r="S122" s="5" t="s">
        <v>56</v>
      </c>
      <c r="T122" s="5" t="s">
        <v>57</v>
      </c>
      <c r="U122" s="156" t="s">
        <v>1310</v>
      </c>
      <c r="V122" s="4" t="s">
        <v>59</v>
      </c>
      <c r="W122" s="4" t="s">
        <v>60</v>
      </c>
      <c r="X122" s="144">
        <v>2</v>
      </c>
      <c r="Y122" s="27"/>
      <c r="Z122" s="60" t="str">
        <f t="shared" ref="Z122:Z130" si="324">IF(X122*Y122=0,"",X122*Y122)</f>
        <v/>
      </c>
      <c r="AA122" s="28"/>
      <c r="AB122" s="28"/>
      <c r="AC122" s="28"/>
      <c r="AD122" s="28"/>
      <c r="AE122" s="58" t="str">
        <f t="shared" ref="AE122:AE130" si="325">IF(ROUNDUP((AD122-AC122)/7,0)=0,"",ROUNDUP((AD122-AC122)/7,0))</f>
        <v/>
      </c>
      <c r="AF122" s="19"/>
      <c r="AG122" s="58" t="str">
        <f t="shared" ref="AG122:AG130" si="326">IFERROR(IF(AE122*AF122=0,"",AE122*AF122), "")</f>
        <v/>
      </c>
      <c r="AH122" s="28"/>
      <c r="AI122" s="28"/>
      <c r="AJ122" s="58" t="str">
        <f t="shared" ref="AJ122:AJ130" si="327">IF(ROUNDUP((AI122-AH122)/7,0)=0,"",ROUNDUP((AI122-AH122)/7,0))</f>
        <v/>
      </c>
      <c r="AK122" s="19"/>
      <c r="AL122" s="58" t="str">
        <f t="shared" ref="AL122:AL130" si="328">IFERROR(IF(AJ122*AK122=0,"",AJ122*AK122), "")</f>
        <v/>
      </c>
      <c r="AM122" s="28"/>
      <c r="AN122" s="28"/>
      <c r="AO122" s="58" t="str">
        <f t="shared" ref="AO122:AO130" si="329">IF(ROUNDUP((AN122-AM122)/7,0)=0,"",ROUNDUP((AN122-AM122)/7,0))</f>
        <v/>
      </c>
      <c r="AP122" s="58" t="str">
        <f t="shared" ref="AP122:AP130" si="330">IFERROR(IF((AS122-(AF122+AK122))/AO122=0,"",ROUNDUP((AS122-(AF122+AK122))/AO122,0)), "")</f>
        <v/>
      </c>
      <c r="AQ122" s="58" t="str">
        <f t="shared" ref="AQ122:AQ130" si="331">IFERROR(IF((AS122-(AG122+AL122))=0, "", (AS122-(AG122+AL122))), "")</f>
        <v/>
      </c>
      <c r="AR122" s="59" t="str">
        <f t="shared" ref="AR122:AR130" si="332">IFERROR(IF((AE122+AJ122+AO122)=0, "", (AE122+AJ122+AO122)), "")</f>
        <v/>
      </c>
      <c r="AS122" s="19"/>
      <c r="AT122" s="14" t="s">
        <v>606</v>
      </c>
      <c r="AU122" s="14"/>
      <c r="AV122" s="61" t="str">
        <f>IF(_xlfn.XLOOKUP(AT122, AutoFill_classes!$A:$A, AutoFill_classes!$B:$B,"")=0,"",_xlfn.XLOOKUP(AT122, AutoFill_classes!$A:$A, AutoFill_classes!$B:$B,""))</f>
        <v>Adv Ministerial Development</v>
      </c>
      <c r="AW122" s="154"/>
      <c r="AX122" s="16" t="s">
        <v>56</v>
      </c>
      <c r="AY122" s="16" t="s">
        <v>57</v>
      </c>
      <c r="AZ122" s="157" t="s">
        <v>1310</v>
      </c>
      <c r="BA122" s="16" t="s">
        <v>59</v>
      </c>
      <c r="BB122" s="16" t="s">
        <v>60</v>
      </c>
      <c r="BC122" s="144">
        <v>2</v>
      </c>
      <c r="BD122" s="27"/>
      <c r="BE122" s="60" t="str">
        <f t="shared" ref="BE122:BE130" si="333">IF(BC122*BD122=0,"",BC122*BD122)</f>
        <v/>
      </c>
      <c r="BF122" s="28"/>
      <c r="BG122" s="28"/>
      <c r="BH122" s="28"/>
      <c r="BI122" s="28"/>
      <c r="BJ122" s="58" t="str">
        <f t="shared" ref="BJ122:BJ130" si="334">IF(ROUNDUP((BI122-BH122)/7,0)=0,"",ROUNDUP((BI122-BH122)/7,0))</f>
        <v/>
      </c>
      <c r="BK122" s="19"/>
      <c r="BL122" s="58" t="str">
        <f t="shared" ref="BL122:BL130" si="335">IFERROR(IF(BJ122*BK122=0,"",BJ122*BK122), "")</f>
        <v/>
      </c>
      <c r="BM122" s="28"/>
      <c r="BN122" s="28"/>
      <c r="BO122" s="58" t="str">
        <f t="shared" ref="BO122:BO130" si="336">IF(ROUNDUP((BN122-BM122)/7,0)=0,"",ROUNDUP((BN122-BM122)/7,0))</f>
        <v/>
      </c>
      <c r="BP122" s="19"/>
      <c r="BQ122" s="58" t="str">
        <f t="shared" ref="BQ122:BQ130" si="337">IFERROR(IF(BO122*BP122=0,"",BO122*BP122), "")</f>
        <v/>
      </c>
      <c r="BR122" s="28"/>
      <c r="BS122" s="28"/>
      <c r="BT122" s="58" t="str">
        <f t="shared" ref="BT122:BT130" si="338">IF(ROUNDUP((BS122-BR122)/7,0)=0,"",ROUNDUP((BS122-BR122)/7,0))</f>
        <v/>
      </c>
      <c r="BU122" s="58" t="str">
        <f t="shared" ref="BU122:BU130" si="339">IFERROR(IF((BX122-(BK122+BP122))/BT122=0,"",ROUNDUP((BX122-(BK122+BP122))/BT122,0)), "")</f>
        <v/>
      </c>
      <c r="BV122" s="58" t="str">
        <f t="shared" ref="BV122:BV130" si="340">IFERROR(IF((BX122-(BL122+BQ122))=0, "", (BX122-(BL122+BQ122))), "")</f>
        <v/>
      </c>
      <c r="BW122" s="59" t="str">
        <f t="shared" ref="BW122:BW130" si="341">IFERROR(IF((BJ122+BO122+BT122)=0, "", (BJ122+BO122+BT122)), "")</f>
        <v/>
      </c>
      <c r="BX122" s="16"/>
      <c r="BY122" s="12" t="s">
        <v>606</v>
      </c>
      <c r="BZ122" s="51"/>
      <c r="CA122" s="61" t="str">
        <f>IF(_xlfn.XLOOKUP(BY122, AutoFill_classes!$A:$A, AutoFill_classes!$B:$B,"")=0,"",_xlfn.XLOOKUP(BY122, AutoFill_classes!$A:$A, AutoFill_classes!$B:$B,""))</f>
        <v>Adv Ministerial Development</v>
      </c>
      <c r="CB122" s="154"/>
      <c r="CC122" s="19" t="s">
        <v>56</v>
      </c>
      <c r="CD122" s="19" t="s">
        <v>57</v>
      </c>
      <c r="CE122" s="159" t="s">
        <v>1310</v>
      </c>
      <c r="CF122" s="30" t="s">
        <v>59</v>
      </c>
      <c r="CG122" s="31" t="s">
        <v>60</v>
      </c>
      <c r="CH122" s="144">
        <v>2</v>
      </c>
      <c r="CI122" s="31"/>
      <c r="CJ122" s="60" t="str">
        <f t="shared" ref="CJ122:CJ130" si="342">IF(CH122*CI122=0,"",CH122*CI122)</f>
        <v/>
      </c>
      <c r="CK122" s="28"/>
      <c r="CL122" s="28"/>
      <c r="CM122" s="28"/>
      <c r="CN122" s="28"/>
      <c r="CO122" s="58" t="str">
        <f t="shared" ref="CO122:CO130" si="343">IF(ROUNDUP((CN122-CM122)/7,0)=0,"",ROUNDUP((CN122-CM122)/7,0))</f>
        <v/>
      </c>
      <c r="CP122" s="19"/>
      <c r="CQ122" s="58" t="str">
        <f t="shared" ref="CQ122:CQ130" si="344">IFERROR(IF(CO122*CP122=0,"",CO122*CP122), "")</f>
        <v/>
      </c>
      <c r="CR122" s="28"/>
      <c r="CS122" s="28"/>
      <c r="CT122" s="58" t="str">
        <f t="shared" ref="CT122:CT130" si="345">IF(ROUNDUP((CS122-CR122)/7,0)=0,"",ROUNDUP((CS122-CR122)/7,0))</f>
        <v/>
      </c>
      <c r="CU122" s="19"/>
      <c r="CV122" s="58" t="str">
        <f t="shared" ref="CV122:CV130" si="346">IFERROR(IF(CT122*CU122=0,"",CT122*CU122), "")</f>
        <v/>
      </c>
      <c r="CW122" s="28"/>
      <c r="CX122" s="28"/>
      <c r="CY122" s="58" t="str">
        <f t="shared" ref="CY122:CY130" si="347">IF(ROUNDUP((CX122-CW122)/7,0)=0,"",ROUNDUP((CX122-CW122)/7,0))</f>
        <v/>
      </c>
      <c r="CZ122" s="58" t="str">
        <f t="shared" ref="CZ122:CZ130" si="348">IFERROR(IF((DC122-(CP122+CU122))/CY122=0,"",ROUNDUP((DC122-(CP122+CU122))/CY122,0)), "")</f>
        <v/>
      </c>
      <c r="DA122" s="58" t="str">
        <f t="shared" ref="DA122:DA130" si="349">IFERROR(IF((DC122-(CQ122+CV122))=0, "", (DC122-(CQ122+CV122))), "")</f>
        <v/>
      </c>
      <c r="DB122" s="59" t="str">
        <f t="shared" ref="DB122:DB130" si="350">IFERROR(IF((CO122+CT122+CY122)=0, "", (CO122+CT122+CY122)), "")</f>
        <v/>
      </c>
      <c r="DC122" s="19"/>
      <c r="DD122" s="145"/>
      <c r="DE122" s="91">
        <v>121</v>
      </c>
      <c r="DF122" s="39"/>
      <c r="DG122" s="39"/>
      <c r="DH122" s="39"/>
      <c r="DI122" s="39"/>
      <c r="DJ122" s="39"/>
      <c r="DK122" s="39"/>
      <c r="DL122" s="39"/>
      <c r="DM122" s="39"/>
      <c r="DN122" s="39"/>
      <c r="DO122" s="39"/>
      <c r="DP122" s="39"/>
      <c r="DQ122" s="39"/>
      <c r="DR122" s="39"/>
      <c r="DS122" s="39"/>
      <c r="DT122" s="39"/>
      <c r="DU122" s="39"/>
      <c r="DV122" s="39"/>
      <c r="DW122" s="39"/>
      <c r="DX122" s="39"/>
      <c r="DY122" s="39"/>
      <c r="DZ122" s="39"/>
      <c r="EA122" s="39"/>
      <c r="EB122" s="39"/>
      <c r="EC122" s="39"/>
      <c r="ED122" s="39"/>
      <c r="EE122" s="39"/>
      <c r="EF122" s="39"/>
      <c r="EG122" s="39"/>
      <c r="EH122" s="39"/>
      <c r="EI122" s="39"/>
      <c r="EJ122" s="39"/>
      <c r="EK122" s="39"/>
      <c r="EL122" s="39"/>
      <c r="EM122" s="39"/>
      <c r="EN122" s="39"/>
      <c r="EO122" s="39"/>
      <c r="EP122" s="39"/>
      <c r="EQ122" s="39"/>
      <c r="ER122" s="39"/>
      <c r="ES122" s="39"/>
      <c r="ET122" s="39"/>
      <c r="EU122" s="39"/>
      <c r="EV122" s="39"/>
      <c r="EW122" s="39"/>
      <c r="EX122" s="39"/>
      <c r="EY122" s="39"/>
      <c r="EZ122" s="39"/>
      <c r="FA122" s="39"/>
      <c r="FB122" s="39"/>
      <c r="FC122" s="39"/>
      <c r="FD122" s="39"/>
      <c r="FE122" s="39"/>
      <c r="FF122" s="39"/>
      <c r="FG122" s="39"/>
      <c r="FH122" s="39"/>
      <c r="FI122" s="39"/>
      <c r="FJ122" s="39"/>
      <c r="FK122" s="39"/>
      <c r="FL122" s="39"/>
      <c r="FM122" s="39"/>
      <c r="FN122" s="39"/>
      <c r="FO122" s="39"/>
      <c r="FP122" s="39"/>
      <c r="FQ122" s="39"/>
      <c r="FR122" s="39"/>
      <c r="FS122" s="39"/>
      <c r="FT122" s="39"/>
    </row>
    <row r="123" spans="1:176" s="22" customFormat="1" ht="13">
      <c r="A123" s="7" t="s">
        <v>1309</v>
      </c>
      <c r="B123" s="23" t="str">
        <f>IF(_xlfn.XLOOKUP(A123, AutoFill_names!B:B, AutoFill_names!C:C,"")=0,"",_xlfn.XLOOKUP(A123, AutoFill_names!B:B, AutoFill_names!C:C,""))</f>
        <v/>
      </c>
      <c r="C123" s="23" t="str">
        <f>IF(_xlfn.XLOOKUP(A123, AutoFill_names!B:B, AutoFill_names!D:D,"")=0,"",_xlfn.XLOOKUP(A123, AutoFill_names!B:B, AutoFill_names!D:D,""))</f>
        <v/>
      </c>
      <c r="D123" s="23" t="str">
        <f>IF(_xlfn.XLOOKUP(A123, AutoFill_names!B:B, AutoFill_names!E:E,"")=0,"",_xlfn.XLOOKUP(A123, AutoFill_names!B:B, AutoFill_names!E:E,""))</f>
        <v/>
      </c>
      <c r="E123" s="23" t="str">
        <f>IF(_xlfn.XLOOKUP(A123, AutoFill_names!B:B, AutoFill_names!F:F,"")=0,"",_xlfn.XLOOKUP(A123, AutoFill_names!B:B, AutoFill_names!F:F,""))</f>
        <v/>
      </c>
      <c r="F123" s="4"/>
      <c r="G123" s="4"/>
      <c r="H123" s="4"/>
      <c r="I123" s="4"/>
      <c r="J123" s="23" t="str">
        <f>IF(_xlfn.XLOOKUP(A123, AutoFill_names!B:B, AutoFill_names!K:K,"")=0,"",_xlfn.XLOOKUP(A123, AutoFill_names!B:B, AutoFill_names!K:K,""))</f>
        <v/>
      </c>
      <c r="K123" s="23" t="str">
        <f>IF(_xlfn.XLOOKUP(A123, AutoFill_names!B:B, AutoFill_names!L:L,"")=0,"",_xlfn.XLOOKUP(A123, AutoFill_names!B:B, AutoFill_names!L:L,""))</f>
        <v/>
      </c>
      <c r="L123" s="46" t="s">
        <v>613</v>
      </c>
      <c r="M123" s="46"/>
      <c r="N123" s="61" t="str">
        <f>IF(_xlfn.XLOOKUP(L123, AutoFill_classes!A:A, AutoFill_classes!B:B,"")=0,"",_xlfn.XLOOKUP(L123, AutoFill_classes!A:A, AutoFill_classes!B:B,""))</f>
        <v>Mobilizing for Evang Min</v>
      </c>
      <c r="O123" s="154"/>
      <c r="P123" s="9"/>
      <c r="Q123" s="9"/>
      <c r="R123" s="9"/>
      <c r="S123" s="156"/>
      <c r="T123" s="156"/>
      <c r="U123" s="156"/>
      <c r="V123" s="4" t="s">
        <v>59</v>
      </c>
      <c r="W123" s="4" t="s">
        <v>60</v>
      </c>
      <c r="X123" s="144">
        <v>2</v>
      </c>
      <c r="Y123" s="27"/>
      <c r="Z123" s="60" t="str">
        <f t="shared" si="324"/>
        <v/>
      </c>
      <c r="AA123" s="32"/>
      <c r="AB123" s="32"/>
      <c r="AC123" s="32"/>
      <c r="AD123" s="32"/>
      <c r="AE123" s="58" t="str">
        <f t="shared" si="325"/>
        <v/>
      </c>
      <c r="AF123" s="20"/>
      <c r="AG123" s="58" t="str">
        <f t="shared" si="326"/>
        <v/>
      </c>
      <c r="AH123" s="32"/>
      <c r="AI123" s="32"/>
      <c r="AJ123" s="58" t="str">
        <f t="shared" si="327"/>
        <v/>
      </c>
      <c r="AK123" s="20"/>
      <c r="AL123" s="58" t="str">
        <f t="shared" si="328"/>
        <v/>
      </c>
      <c r="AM123" s="32"/>
      <c r="AN123" s="32"/>
      <c r="AO123" s="58" t="str">
        <f t="shared" si="329"/>
        <v/>
      </c>
      <c r="AP123" s="58" t="str">
        <f t="shared" si="330"/>
        <v/>
      </c>
      <c r="AQ123" s="58" t="str">
        <f t="shared" si="331"/>
        <v/>
      </c>
      <c r="AR123" s="59" t="str">
        <f t="shared" si="332"/>
        <v/>
      </c>
      <c r="AS123" s="20"/>
      <c r="AT123" s="14"/>
      <c r="AU123" s="14"/>
      <c r="AV123" s="61" t="str">
        <f>IF(_xlfn.XLOOKUP(AT123, AutoFill_classes!$A:$A, AutoFill_classes!$B:$B,"")=0,"",_xlfn.XLOOKUP(AT123, AutoFill_classes!$A:$A, AutoFill_classes!$B:$B,""))</f>
        <v/>
      </c>
      <c r="AW123" s="154"/>
      <c r="AX123" s="16"/>
      <c r="AY123" s="16"/>
      <c r="AZ123" s="16"/>
      <c r="BA123" s="16"/>
      <c r="BB123" s="16"/>
      <c r="BC123" s="144"/>
      <c r="BD123" s="27"/>
      <c r="BE123" s="60" t="str">
        <f t="shared" si="333"/>
        <v/>
      </c>
      <c r="BF123" s="32"/>
      <c r="BG123" s="32"/>
      <c r="BH123" s="32"/>
      <c r="BI123" s="32"/>
      <c r="BJ123" s="58" t="str">
        <f t="shared" si="334"/>
        <v/>
      </c>
      <c r="BK123" s="20"/>
      <c r="BL123" s="58" t="str">
        <f t="shared" si="335"/>
        <v/>
      </c>
      <c r="BM123" s="32"/>
      <c r="BN123" s="32"/>
      <c r="BO123" s="58" t="str">
        <f t="shared" si="336"/>
        <v/>
      </c>
      <c r="BP123" s="20"/>
      <c r="BQ123" s="58" t="str">
        <f t="shared" si="337"/>
        <v/>
      </c>
      <c r="BR123" s="32"/>
      <c r="BS123" s="32"/>
      <c r="BT123" s="58" t="str">
        <f t="shared" si="338"/>
        <v/>
      </c>
      <c r="BU123" s="58" t="str">
        <f t="shared" si="339"/>
        <v/>
      </c>
      <c r="BV123" s="58" t="str">
        <f t="shared" si="340"/>
        <v/>
      </c>
      <c r="BW123" s="59" t="str">
        <f t="shared" si="341"/>
        <v/>
      </c>
      <c r="BX123" s="16"/>
      <c r="BY123" s="21" t="s">
        <v>595</v>
      </c>
      <c r="BZ123" s="20"/>
      <c r="CA123" s="61" t="str">
        <f>IF(_xlfn.XLOOKUP(BY123, AutoFill_classes!$A:$A, AutoFill_classes!$B:$B,"")=0,"",_xlfn.XLOOKUP(BY123, AutoFill_classes!$A:$A, AutoFill_classes!$B:$B,""))</f>
        <v>Personal Evangelistic Ministry</v>
      </c>
      <c r="CB123" s="154"/>
      <c r="CC123" s="20" t="s">
        <v>56</v>
      </c>
      <c r="CD123" s="20" t="s">
        <v>57</v>
      </c>
      <c r="CE123" s="20" t="s">
        <v>58</v>
      </c>
      <c r="CF123" s="33" t="s">
        <v>59</v>
      </c>
      <c r="CG123" s="34" t="s">
        <v>60</v>
      </c>
      <c r="CH123" s="144">
        <v>2</v>
      </c>
      <c r="CI123" s="35"/>
      <c r="CJ123" s="60" t="str">
        <f t="shared" si="342"/>
        <v/>
      </c>
      <c r="CK123" s="32"/>
      <c r="CL123" s="32"/>
      <c r="CM123" s="32"/>
      <c r="CN123" s="32"/>
      <c r="CO123" s="58" t="str">
        <f t="shared" si="343"/>
        <v/>
      </c>
      <c r="CP123" s="20"/>
      <c r="CQ123" s="58" t="str">
        <f t="shared" si="344"/>
        <v/>
      </c>
      <c r="CR123" s="32"/>
      <c r="CS123" s="32"/>
      <c r="CT123" s="58" t="str">
        <f t="shared" si="345"/>
        <v/>
      </c>
      <c r="CU123" s="20"/>
      <c r="CV123" s="58" t="str">
        <f t="shared" si="346"/>
        <v/>
      </c>
      <c r="CW123" s="32"/>
      <c r="CX123" s="32"/>
      <c r="CY123" s="58" t="str">
        <f t="shared" si="347"/>
        <v/>
      </c>
      <c r="CZ123" s="58" t="str">
        <f t="shared" si="348"/>
        <v/>
      </c>
      <c r="DA123" s="58" t="str">
        <f t="shared" si="349"/>
        <v/>
      </c>
      <c r="DB123" s="59" t="str">
        <f t="shared" si="350"/>
        <v/>
      </c>
      <c r="DC123" s="20"/>
      <c r="DD123" s="145"/>
      <c r="DE123" s="91">
        <v>122</v>
      </c>
      <c r="DF123" s="39"/>
      <c r="DG123" s="39"/>
      <c r="DH123" s="39"/>
      <c r="DI123" s="39"/>
      <c r="DJ123" s="39"/>
      <c r="DK123" s="39"/>
      <c r="DL123" s="39"/>
      <c r="DM123" s="39"/>
      <c r="DN123" s="39"/>
      <c r="DO123" s="39"/>
      <c r="DP123" s="39"/>
      <c r="DQ123" s="39"/>
      <c r="DR123" s="39"/>
      <c r="DS123" s="39"/>
      <c r="DT123" s="39"/>
      <c r="DU123" s="39"/>
      <c r="DV123" s="39"/>
      <c r="DW123" s="39"/>
      <c r="DX123" s="39"/>
      <c r="DY123" s="39"/>
      <c r="DZ123" s="39"/>
      <c r="EA123" s="39"/>
      <c r="EB123" s="39"/>
      <c r="EC123" s="39"/>
      <c r="ED123" s="39"/>
      <c r="EE123" s="39"/>
      <c r="EF123" s="39"/>
      <c r="EG123" s="39"/>
      <c r="EH123" s="39"/>
      <c r="EI123" s="39"/>
      <c r="EJ123" s="39"/>
      <c r="EK123" s="39"/>
      <c r="EL123" s="39"/>
      <c r="EM123" s="39"/>
      <c r="EN123" s="39"/>
      <c r="EO123" s="39"/>
      <c r="EP123" s="39"/>
      <c r="EQ123" s="39"/>
      <c r="ER123" s="39"/>
      <c r="ES123" s="39"/>
      <c r="ET123" s="39"/>
      <c r="EU123" s="39"/>
      <c r="EV123" s="39"/>
      <c r="EW123" s="39"/>
      <c r="EX123" s="39"/>
      <c r="EY123" s="39"/>
      <c r="EZ123" s="39"/>
      <c r="FA123" s="39"/>
      <c r="FB123" s="39"/>
      <c r="FC123" s="39"/>
      <c r="FD123" s="39"/>
      <c r="FE123" s="39"/>
      <c r="FF123" s="39"/>
      <c r="FG123" s="39"/>
      <c r="FH123" s="39"/>
      <c r="FI123" s="39"/>
      <c r="FJ123" s="39"/>
      <c r="FK123" s="39"/>
      <c r="FL123" s="39"/>
      <c r="FM123" s="39"/>
      <c r="FN123" s="39"/>
      <c r="FO123" s="39"/>
      <c r="FP123" s="39"/>
      <c r="FQ123" s="39"/>
      <c r="FR123" s="39"/>
      <c r="FS123" s="39"/>
      <c r="FT123" s="39"/>
    </row>
    <row r="124" spans="1:176" s="22" customFormat="1" ht="13">
      <c r="A124" s="7" t="s">
        <v>1309</v>
      </c>
      <c r="B124" s="23" t="str">
        <f>IF(_xlfn.XLOOKUP(A124, AutoFill_names!B:B, AutoFill_names!C:C,"")=0,"",_xlfn.XLOOKUP(A124, AutoFill_names!B:B, AutoFill_names!C:C,""))</f>
        <v/>
      </c>
      <c r="C124" s="23" t="str">
        <f>IF(_xlfn.XLOOKUP(A124, AutoFill_names!B:B, AutoFill_names!D:D,"")=0,"",_xlfn.XLOOKUP(A124, AutoFill_names!B:B, AutoFill_names!D:D,""))</f>
        <v/>
      </c>
      <c r="D124" s="23" t="str">
        <f>IF(_xlfn.XLOOKUP(A124, AutoFill_names!B:B, AutoFill_names!E:E,"")=0,"",_xlfn.XLOOKUP(A124, AutoFill_names!B:B, AutoFill_names!E:E,""))</f>
        <v/>
      </c>
      <c r="E124" s="23" t="str">
        <f>IF(_xlfn.XLOOKUP(A124, AutoFill_names!B:B, AutoFill_names!F:F,"")=0,"",_xlfn.XLOOKUP(A124, AutoFill_names!B:B, AutoFill_names!F:F,""))</f>
        <v/>
      </c>
      <c r="F124" s="4"/>
      <c r="G124" s="4"/>
      <c r="H124" s="4"/>
      <c r="I124" s="4"/>
      <c r="J124" s="23" t="str">
        <f>IF(_xlfn.XLOOKUP(A124, AutoFill_names!B:B, AutoFill_names!K:K,"")=0,"",_xlfn.XLOOKUP(A124, AutoFill_names!B:B, AutoFill_names!K:K,""))</f>
        <v/>
      </c>
      <c r="K124" s="23" t="str">
        <f>IF(_xlfn.XLOOKUP(A124, AutoFill_names!B:B, AutoFill_names!L:L,"")=0,"",_xlfn.XLOOKUP(A124, AutoFill_names!B:B, AutoFill_names!L:L,""))</f>
        <v/>
      </c>
      <c r="L124" s="46"/>
      <c r="M124" s="46"/>
      <c r="N124" s="61" t="str">
        <f>IF(_xlfn.XLOOKUP(L124, AutoFill_classes!A:A, AutoFill_classes!B:B,"")=0,"",_xlfn.XLOOKUP(L124, AutoFill_classes!A:A, AutoFill_classes!B:B,""))</f>
        <v/>
      </c>
      <c r="O124" s="154"/>
      <c r="P124" s="9"/>
      <c r="Q124" s="9"/>
      <c r="R124" s="9"/>
      <c r="S124" s="5"/>
      <c r="T124" s="5"/>
      <c r="U124" s="5"/>
      <c r="V124" s="4"/>
      <c r="W124" s="4"/>
      <c r="X124" s="144"/>
      <c r="Y124" s="27"/>
      <c r="Z124" s="60" t="str">
        <f t="shared" si="324"/>
        <v/>
      </c>
      <c r="AA124" s="32"/>
      <c r="AB124" s="32"/>
      <c r="AC124" s="36"/>
      <c r="AD124" s="36"/>
      <c r="AE124" s="58" t="str">
        <f t="shared" si="325"/>
        <v/>
      </c>
      <c r="AF124" s="20"/>
      <c r="AG124" s="58" t="str">
        <f t="shared" si="326"/>
        <v/>
      </c>
      <c r="AH124" s="36"/>
      <c r="AI124" s="36"/>
      <c r="AJ124" s="58" t="str">
        <f t="shared" si="327"/>
        <v/>
      </c>
      <c r="AK124" s="20"/>
      <c r="AL124" s="58" t="str">
        <f t="shared" si="328"/>
        <v/>
      </c>
      <c r="AM124" s="36"/>
      <c r="AN124" s="36"/>
      <c r="AO124" s="58" t="str">
        <f t="shared" si="329"/>
        <v/>
      </c>
      <c r="AP124" s="58" t="str">
        <f t="shared" si="330"/>
        <v/>
      </c>
      <c r="AQ124" s="58" t="str">
        <f t="shared" si="331"/>
        <v/>
      </c>
      <c r="AR124" s="59" t="str">
        <f t="shared" si="332"/>
        <v/>
      </c>
      <c r="AS124" s="20"/>
      <c r="AT124" s="14"/>
      <c r="AU124" s="14"/>
      <c r="AV124" s="61" t="str">
        <f>IF(_xlfn.XLOOKUP(AT124, AutoFill_classes!$A:$A, AutoFill_classes!$B:$B,"")=0,"",_xlfn.XLOOKUP(AT124, AutoFill_classes!$A:$A, AutoFill_classes!$B:$B,""))</f>
        <v/>
      </c>
      <c r="AW124" s="154"/>
      <c r="AX124" s="16"/>
      <c r="AY124" s="16"/>
      <c r="AZ124" s="16"/>
      <c r="BA124" s="16"/>
      <c r="BB124" s="16"/>
      <c r="BC124" s="144"/>
      <c r="BD124" s="27"/>
      <c r="BE124" s="60" t="str">
        <f t="shared" si="333"/>
        <v/>
      </c>
      <c r="BF124" s="32"/>
      <c r="BG124" s="32"/>
      <c r="BH124" s="36"/>
      <c r="BI124" s="36"/>
      <c r="BJ124" s="58" t="str">
        <f t="shared" si="334"/>
        <v/>
      </c>
      <c r="BK124" s="20"/>
      <c r="BL124" s="58" t="str">
        <f t="shared" si="335"/>
        <v/>
      </c>
      <c r="BM124" s="36"/>
      <c r="BN124" s="36"/>
      <c r="BO124" s="58" t="str">
        <f t="shared" si="336"/>
        <v/>
      </c>
      <c r="BP124" s="20"/>
      <c r="BQ124" s="58" t="str">
        <f t="shared" si="337"/>
        <v/>
      </c>
      <c r="BR124" s="36"/>
      <c r="BS124" s="36"/>
      <c r="BT124" s="58" t="str">
        <f t="shared" si="338"/>
        <v/>
      </c>
      <c r="BU124" s="58" t="str">
        <f t="shared" si="339"/>
        <v/>
      </c>
      <c r="BV124" s="58" t="str">
        <f t="shared" si="340"/>
        <v/>
      </c>
      <c r="BW124" s="59" t="str">
        <f t="shared" si="341"/>
        <v/>
      </c>
      <c r="BX124" s="16"/>
      <c r="BY124" s="21" t="s">
        <v>595</v>
      </c>
      <c r="BZ124" s="20" t="s">
        <v>281</v>
      </c>
      <c r="CA124" s="61" t="str">
        <f>IF(_xlfn.XLOOKUP(BY124, AutoFill_classes!$A:$A, AutoFill_classes!$B:$B,"")=0,"",_xlfn.XLOOKUP(BY124, AutoFill_classes!$A:$A, AutoFill_classes!$B:$B,""))</f>
        <v>Personal Evangelistic Ministry</v>
      </c>
      <c r="CB124" s="154"/>
      <c r="CC124" s="20" t="s">
        <v>76</v>
      </c>
      <c r="CD124" s="20" t="s">
        <v>57</v>
      </c>
      <c r="CE124" s="20" t="s">
        <v>58</v>
      </c>
      <c r="CF124" s="33" t="s">
        <v>59</v>
      </c>
      <c r="CG124" s="34" t="s">
        <v>60</v>
      </c>
      <c r="CH124" s="144">
        <v>0</v>
      </c>
      <c r="CI124" s="35"/>
      <c r="CJ124" s="60" t="str">
        <f t="shared" si="342"/>
        <v/>
      </c>
      <c r="CK124" s="32"/>
      <c r="CL124" s="32"/>
      <c r="CM124" s="36"/>
      <c r="CN124" s="36"/>
      <c r="CO124" s="58" t="str">
        <f t="shared" si="343"/>
        <v/>
      </c>
      <c r="CP124" s="20"/>
      <c r="CQ124" s="58" t="str">
        <f t="shared" si="344"/>
        <v/>
      </c>
      <c r="CR124" s="36"/>
      <c r="CS124" s="36"/>
      <c r="CT124" s="58" t="str">
        <f t="shared" si="345"/>
        <v/>
      </c>
      <c r="CU124" s="20"/>
      <c r="CV124" s="58" t="str">
        <f t="shared" si="346"/>
        <v/>
      </c>
      <c r="CW124" s="36"/>
      <c r="CX124" s="36"/>
      <c r="CY124" s="58" t="str">
        <f t="shared" si="347"/>
        <v/>
      </c>
      <c r="CZ124" s="58" t="str">
        <f t="shared" si="348"/>
        <v/>
      </c>
      <c r="DA124" s="58" t="str">
        <f t="shared" si="349"/>
        <v/>
      </c>
      <c r="DB124" s="59" t="str">
        <f t="shared" si="350"/>
        <v/>
      </c>
      <c r="DC124" s="20"/>
      <c r="DD124" s="145"/>
      <c r="DE124" s="91">
        <v>123</v>
      </c>
      <c r="DF124" s="39"/>
      <c r="DG124" s="39"/>
      <c r="DH124" s="39"/>
      <c r="DI124" s="39"/>
      <c r="DJ124" s="39"/>
      <c r="DK124" s="39"/>
      <c r="DL124" s="39"/>
      <c r="DM124" s="39"/>
      <c r="DN124" s="39"/>
      <c r="DO124" s="39"/>
      <c r="DP124" s="39"/>
      <c r="DQ124" s="39"/>
      <c r="DR124" s="39"/>
      <c r="DS124" s="39"/>
      <c r="DT124" s="39"/>
      <c r="DU124" s="39"/>
      <c r="DV124" s="39"/>
      <c r="DW124" s="39"/>
      <c r="DX124" s="39"/>
      <c r="DY124" s="39"/>
      <c r="DZ124" s="39"/>
      <c r="EA124" s="39"/>
      <c r="EB124" s="39"/>
      <c r="EC124" s="39"/>
      <c r="ED124" s="39"/>
      <c r="EE124" s="39"/>
      <c r="EF124" s="39"/>
      <c r="EG124" s="39"/>
      <c r="EH124" s="39"/>
      <c r="EI124" s="39"/>
      <c r="EJ124" s="39"/>
      <c r="EK124" s="39"/>
      <c r="EL124" s="39"/>
      <c r="EM124" s="39"/>
      <c r="EN124" s="39"/>
      <c r="EO124" s="39"/>
      <c r="EP124" s="39"/>
      <c r="EQ124" s="39"/>
      <c r="ER124" s="39"/>
      <c r="ES124" s="39"/>
      <c r="ET124" s="39"/>
      <c r="EU124" s="39"/>
      <c r="EV124" s="39"/>
      <c r="EW124" s="39"/>
      <c r="EX124" s="39"/>
      <c r="EY124" s="39"/>
      <c r="EZ124" s="39"/>
      <c r="FA124" s="39"/>
      <c r="FB124" s="39"/>
      <c r="FC124" s="39"/>
      <c r="FD124" s="39"/>
      <c r="FE124" s="39"/>
      <c r="FF124" s="39"/>
      <c r="FG124" s="39"/>
      <c r="FH124" s="39"/>
      <c r="FI124" s="39"/>
      <c r="FJ124" s="39"/>
      <c r="FK124" s="39"/>
      <c r="FL124" s="39"/>
      <c r="FM124" s="39"/>
      <c r="FN124" s="39"/>
      <c r="FO124" s="39"/>
      <c r="FP124" s="39"/>
      <c r="FQ124" s="39"/>
      <c r="FR124" s="39"/>
      <c r="FS124" s="39"/>
      <c r="FT124" s="39"/>
    </row>
    <row r="125" spans="1:176" s="22" customFormat="1" ht="13">
      <c r="A125" s="7"/>
      <c r="B125" s="23" t="str">
        <f>IF(_xlfn.XLOOKUP(A125, AutoFill_names!B:B, AutoFill_names!C:C,"")=0,"",_xlfn.XLOOKUP(A125, AutoFill_names!B:B, AutoFill_names!C:C,""))</f>
        <v/>
      </c>
      <c r="C125" s="23" t="str">
        <f>IF(_xlfn.XLOOKUP(A125, AutoFill_names!B:B, AutoFill_names!D:D,"")=0,"",_xlfn.XLOOKUP(A125, AutoFill_names!B:B, AutoFill_names!D:D,""))</f>
        <v/>
      </c>
      <c r="D125" s="23" t="str">
        <f>IF(_xlfn.XLOOKUP(A125, AutoFill_names!B:B, AutoFill_names!E:E,"")=0,"",_xlfn.XLOOKUP(A125, AutoFill_names!B:B, AutoFill_names!E:E,""))</f>
        <v/>
      </c>
      <c r="E125" s="23" t="str">
        <f>IF(_xlfn.XLOOKUP(A125, AutoFill_names!B:B, AutoFill_names!F:F,"")=0,"",_xlfn.XLOOKUP(A125, AutoFill_names!B:B, AutoFill_names!F:F,""))</f>
        <v/>
      </c>
      <c r="F125" s="4"/>
      <c r="G125" s="4"/>
      <c r="H125" s="4"/>
      <c r="I125" s="4"/>
      <c r="J125" s="23" t="str">
        <f>IF(_xlfn.XLOOKUP(A125, AutoFill_names!B:B, AutoFill_names!K:K,"")=0,"",_xlfn.XLOOKUP(A125, AutoFill_names!B:B, AutoFill_names!K:K,""))</f>
        <v/>
      </c>
      <c r="K125" s="23" t="str">
        <f>IF(_xlfn.XLOOKUP(A125, AutoFill_names!B:B, AutoFill_names!L:L,"")=0,"",_xlfn.XLOOKUP(A125, AutoFill_names!B:B, AutoFill_names!L:L,""))</f>
        <v/>
      </c>
      <c r="L125" s="46"/>
      <c r="M125" s="46"/>
      <c r="N125" s="61" t="str">
        <f>IF(_xlfn.XLOOKUP(L125, AutoFill_classes!A:A, AutoFill_classes!B:B,"")=0,"",_xlfn.XLOOKUP(L125, AutoFill_classes!A:A, AutoFill_classes!B:B,""))</f>
        <v/>
      </c>
      <c r="O125" s="154"/>
      <c r="P125" s="9"/>
      <c r="Q125" s="9"/>
      <c r="R125" s="9"/>
      <c r="S125" s="5"/>
      <c r="T125" s="5"/>
      <c r="U125" s="5"/>
      <c r="V125" s="4"/>
      <c r="W125" s="4"/>
      <c r="X125" s="144"/>
      <c r="Y125" s="27"/>
      <c r="Z125" s="60" t="str">
        <f t="shared" si="324"/>
        <v/>
      </c>
      <c r="AA125" s="32"/>
      <c r="AB125" s="32"/>
      <c r="AC125" s="32"/>
      <c r="AD125" s="32"/>
      <c r="AE125" s="58" t="str">
        <f t="shared" si="325"/>
        <v/>
      </c>
      <c r="AF125" s="20"/>
      <c r="AG125" s="58" t="str">
        <f t="shared" si="326"/>
        <v/>
      </c>
      <c r="AH125" s="32"/>
      <c r="AI125" s="32"/>
      <c r="AJ125" s="58" t="str">
        <f t="shared" si="327"/>
        <v/>
      </c>
      <c r="AK125" s="20"/>
      <c r="AL125" s="58" t="str">
        <f t="shared" si="328"/>
        <v/>
      </c>
      <c r="AM125" s="32"/>
      <c r="AN125" s="32"/>
      <c r="AO125" s="58" t="str">
        <f t="shared" si="329"/>
        <v/>
      </c>
      <c r="AP125" s="58" t="str">
        <f t="shared" si="330"/>
        <v/>
      </c>
      <c r="AQ125" s="58" t="str">
        <f t="shared" si="331"/>
        <v/>
      </c>
      <c r="AR125" s="59" t="str">
        <f t="shared" si="332"/>
        <v/>
      </c>
      <c r="AS125" s="20"/>
      <c r="AT125" s="14"/>
      <c r="AU125" s="14"/>
      <c r="AV125" s="61" t="str">
        <f>IF(_xlfn.XLOOKUP(AT125, AutoFill_classes!$A:$A, AutoFill_classes!$B:$B,"")=0,"",_xlfn.XLOOKUP(AT125, AutoFill_classes!$A:$A, AutoFill_classes!$B:$B,""))</f>
        <v/>
      </c>
      <c r="AW125" s="154"/>
      <c r="AX125" s="16"/>
      <c r="AY125" s="16"/>
      <c r="AZ125" s="16"/>
      <c r="BA125" s="16"/>
      <c r="BB125" s="16"/>
      <c r="BC125" s="144"/>
      <c r="BD125" s="27"/>
      <c r="BE125" s="60" t="str">
        <f t="shared" si="333"/>
        <v/>
      </c>
      <c r="BF125" s="32"/>
      <c r="BG125" s="32"/>
      <c r="BH125" s="32"/>
      <c r="BI125" s="32"/>
      <c r="BJ125" s="58" t="str">
        <f t="shared" si="334"/>
        <v/>
      </c>
      <c r="BK125" s="20"/>
      <c r="BL125" s="58" t="str">
        <f t="shared" si="335"/>
        <v/>
      </c>
      <c r="BM125" s="32"/>
      <c r="BN125" s="32"/>
      <c r="BO125" s="58" t="str">
        <f t="shared" si="336"/>
        <v/>
      </c>
      <c r="BP125" s="20"/>
      <c r="BQ125" s="58" t="str">
        <f t="shared" si="337"/>
        <v/>
      </c>
      <c r="BR125" s="32"/>
      <c r="BS125" s="32"/>
      <c r="BT125" s="58" t="str">
        <f t="shared" si="338"/>
        <v/>
      </c>
      <c r="BU125" s="58" t="str">
        <f t="shared" si="339"/>
        <v/>
      </c>
      <c r="BV125" s="58" t="str">
        <f t="shared" si="340"/>
        <v/>
      </c>
      <c r="BW125" s="59" t="str">
        <f t="shared" si="341"/>
        <v/>
      </c>
      <c r="BX125" s="16"/>
      <c r="BY125" s="21"/>
      <c r="BZ125" s="20"/>
      <c r="CA125" s="61" t="str">
        <f>IF(_xlfn.XLOOKUP(BY125, AutoFill_classes!$A:$A, AutoFill_classes!$B:$B,"")=0,"",_xlfn.XLOOKUP(BY125, AutoFill_classes!$A:$A, AutoFill_classes!$B:$B,""))</f>
        <v/>
      </c>
      <c r="CB125" s="154"/>
      <c r="CC125" s="20"/>
      <c r="CD125" s="20"/>
      <c r="CE125" s="20"/>
      <c r="CF125" s="33"/>
      <c r="CG125" s="34"/>
      <c r="CH125" s="144"/>
      <c r="CI125" s="35"/>
      <c r="CJ125" s="60" t="str">
        <f t="shared" si="342"/>
        <v/>
      </c>
      <c r="CK125" s="32"/>
      <c r="CL125" s="32"/>
      <c r="CM125" s="32"/>
      <c r="CN125" s="32"/>
      <c r="CO125" s="58" t="str">
        <f t="shared" si="343"/>
        <v/>
      </c>
      <c r="CP125" s="20"/>
      <c r="CQ125" s="58" t="str">
        <f t="shared" si="344"/>
        <v/>
      </c>
      <c r="CR125" s="32"/>
      <c r="CS125" s="32"/>
      <c r="CT125" s="58" t="str">
        <f t="shared" si="345"/>
        <v/>
      </c>
      <c r="CU125" s="20"/>
      <c r="CV125" s="58" t="str">
        <f t="shared" si="346"/>
        <v/>
      </c>
      <c r="CW125" s="32"/>
      <c r="CX125" s="32"/>
      <c r="CY125" s="58" t="str">
        <f t="shared" si="347"/>
        <v/>
      </c>
      <c r="CZ125" s="58" t="str">
        <f t="shared" si="348"/>
        <v/>
      </c>
      <c r="DA125" s="58" t="str">
        <f t="shared" si="349"/>
        <v/>
      </c>
      <c r="DB125" s="59" t="str">
        <f t="shared" si="350"/>
        <v/>
      </c>
      <c r="DC125" s="20"/>
      <c r="DD125" s="145"/>
      <c r="DE125" s="91">
        <v>124</v>
      </c>
      <c r="DF125" s="39"/>
      <c r="DG125" s="39"/>
      <c r="DH125" s="39"/>
      <c r="DI125" s="39"/>
      <c r="DJ125" s="39"/>
      <c r="DK125" s="39"/>
      <c r="DL125" s="39"/>
      <c r="DM125" s="39"/>
      <c r="DN125" s="39"/>
      <c r="DO125" s="39"/>
      <c r="DP125" s="39"/>
      <c r="DQ125" s="39"/>
      <c r="DR125" s="39"/>
      <c r="DS125" s="39"/>
      <c r="DT125" s="39"/>
      <c r="DU125" s="39"/>
      <c r="DV125" s="39"/>
      <c r="DW125" s="39"/>
      <c r="DX125" s="39"/>
      <c r="DY125" s="39"/>
      <c r="DZ125" s="39"/>
      <c r="EA125" s="39"/>
      <c r="EB125" s="39"/>
      <c r="EC125" s="39"/>
      <c r="ED125" s="39"/>
      <c r="EE125" s="39"/>
      <c r="EF125" s="39"/>
      <c r="EG125" s="39"/>
      <c r="EH125" s="39"/>
      <c r="EI125" s="39"/>
      <c r="EJ125" s="39"/>
      <c r="EK125" s="39"/>
      <c r="EL125" s="39"/>
      <c r="EM125" s="39"/>
      <c r="EN125" s="39"/>
      <c r="EO125" s="39"/>
      <c r="EP125" s="39"/>
      <c r="EQ125" s="39"/>
      <c r="ER125" s="39"/>
      <c r="ES125" s="39"/>
      <c r="ET125" s="39"/>
      <c r="EU125" s="39"/>
      <c r="EV125" s="39"/>
      <c r="EW125" s="39"/>
      <c r="EX125" s="39"/>
      <c r="EY125" s="39"/>
      <c r="EZ125" s="39"/>
      <c r="FA125" s="39"/>
      <c r="FB125" s="39"/>
      <c r="FC125" s="39"/>
      <c r="FD125" s="39"/>
      <c r="FE125" s="39"/>
      <c r="FF125" s="39"/>
      <c r="FG125" s="39"/>
      <c r="FH125" s="39"/>
      <c r="FI125" s="39"/>
      <c r="FJ125" s="39"/>
      <c r="FK125" s="39"/>
      <c r="FL125" s="39"/>
      <c r="FM125" s="39"/>
      <c r="FN125" s="39"/>
      <c r="FO125" s="39"/>
      <c r="FP125" s="39"/>
      <c r="FQ125" s="39"/>
      <c r="FR125" s="39"/>
      <c r="FS125" s="39"/>
      <c r="FT125" s="39"/>
    </row>
    <row r="126" spans="1:176" s="22" customFormat="1" ht="13">
      <c r="A126" s="7"/>
      <c r="B126" s="23" t="str">
        <f>IF(_xlfn.XLOOKUP(A126, AutoFill_names!B:B, AutoFill_names!C:C,"")=0,"",_xlfn.XLOOKUP(A126, AutoFill_names!B:B, AutoFill_names!C:C,""))</f>
        <v/>
      </c>
      <c r="C126" s="23" t="str">
        <f>IF(_xlfn.XLOOKUP(A126, AutoFill_names!B:B, AutoFill_names!D:D,"")=0,"",_xlfn.XLOOKUP(A126, AutoFill_names!B:B, AutoFill_names!D:D,""))</f>
        <v/>
      </c>
      <c r="D126" s="23" t="str">
        <f>IF(_xlfn.XLOOKUP(A126, AutoFill_names!B:B, AutoFill_names!E:E,"")=0,"",_xlfn.XLOOKUP(A126, AutoFill_names!B:B, AutoFill_names!E:E,""))</f>
        <v/>
      </c>
      <c r="E126" s="23" t="str">
        <f>IF(_xlfn.XLOOKUP(A126, AutoFill_names!B:B, AutoFill_names!F:F,"")=0,"",_xlfn.XLOOKUP(A126, AutoFill_names!B:B, AutoFill_names!F:F,""))</f>
        <v/>
      </c>
      <c r="F126" s="4"/>
      <c r="G126" s="4"/>
      <c r="H126" s="4"/>
      <c r="I126" s="4"/>
      <c r="J126" s="23" t="str">
        <f>IF(_xlfn.XLOOKUP(A126, AutoFill_names!B:B, AutoFill_names!K:K,"")=0,"",_xlfn.XLOOKUP(A126, AutoFill_names!B:B, AutoFill_names!K:K,""))</f>
        <v/>
      </c>
      <c r="K126" s="23" t="str">
        <f>IF(_xlfn.XLOOKUP(A126, AutoFill_names!B:B, AutoFill_names!L:L,"")=0,"",_xlfn.XLOOKUP(A126, AutoFill_names!B:B, AutoFill_names!L:L,""))</f>
        <v/>
      </c>
      <c r="L126" s="46"/>
      <c r="M126" s="46"/>
      <c r="N126" s="61" t="str">
        <f>IF(_xlfn.XLOOKUP(L126, AutoFill_classes!A:A, AutoFill_classes!B:B,"")=0,"",_xlfn.XLOOKUP(L126, AutoFill_classes!A:A, AutoFill_classes!B:B,""))</f>
        <v/>
      </c>
      <c r="O126" s="154"/>
      <c r="P126" s="9"/>
      <c r="Q126" s="9"/>
      <c r="R126" s="9"/>
      <c r="S126" s="5"/>
      <c r="T126" s="5"/>
      <c r="U126" s="5"/>
      <c r="V126" s="4"/>
      <c r="W126" s="4"/>
      <c r="X126" s="144"/>
      <c r="Y126" s="27"/>
      <c r="Z126" s="60" t="str">
        <f t="shared" si="324"/>
        <v/>
      </c>
      <c r="AA126" s="32"/>
      <c r="AB126" s="32"/>
      <c r="AC126" s="32"/>
      <c r="AD126" s="32"/>
      <c r="AE126" s="58" t="str">
        <f t="shared" si="325"/>
        <v/>
      </c>
      <c r="AF126" s="20"/>
      <c r="AG126" s="58" t="str">
        <f t="shared" si="326"/>
        <v/>
      </c>
      <c r="AH126" s="32"/>
      <c r="AI126" s="32"/>
      <c r="AJ126" s="58" t="str">
        <f t="shared" si="327"/>
        <v/>
      </c>
      <c r="AK126" s="20"/>
      <c r="AL126" s="58" t="str">
        <f t="shared" si="328"/>
        <v/>
      </c>
      <c r="AM126" s="32"/>
      <c r="AN126" s="32"/>
      <c r="AO126" s="58" t="str">
        <f t="shared" si="329"/>
        <v/>
      </c>
      <c r="AP126" s="58" t="str">
        <f t="shared" si="330"/>
        <v/>
      </c>
      <c r="AQ126" s="58" t="str">
        <f t="shared" si="331"/>
        <v/>
      </c>
      <c r="AR126" s="59" t="str">
        <f t="shared" si="332"/>
        <v/>
      </c>
      <c r="AS126" s="20"/>
      <c r="AT126" s="14"/>
      <c r="AU126" s="14"/>
      <c r="AV126" s="61" t="str">
        <f>IF(_xlfn.XLOOKUP(AT126, AutoFill_classes!$A:$A, AutoFill_classes!$B:$B,"")=0,"",_xlfn.XLOOKUP(AT126, AutoFill_classes!$A:$A, AutoFill_classes!$B:$B,""))</f>
        <v/>
      </c>
      <c r="AW126" s="154"/>
      <c r="AX126" s="16"/>
      <c r="AY126" s="16"/>
      <c r="AZ126" s="16"/>
      <c r="BA126" s="16"/>
      <c r="BB126" s="16"/>
      <c r="BC126" s="144"/>
      <c r="BD126" s="27"/>
      <c r="BE126" s="60" t="str">
        <f t="shared" si="333"/>
        <v/>
      </c>
      <c r="BF126" s="32"/>
      <c r="BG126" s="32"/>
      <c r="BH126" s="32"/>
      <c r="BI126" s="32"/>
      <c r="BJ126" s="58" t="str">
        <f t="shared" si="334"/>
        <v/>
      </c>
      <c r="BK126" s="20"/>
      <c r="BL126" s="58" t="str">
        <f t="shared" si="335"/>
        <v/>
      </c>
      <c r="BM126" s="32"/>
      <c r="BN126" s="32"/>
      <c r="BO126" s="58" t="str">
        <f t="shared" si="336"/>
        <v/>
      </c>
      <c r="BP126" s="20"/>
      <c r="BQ126" s="58" t="str">
        <f t="shared" si="337"/>
        <v/>
      </c>
      <c r="BR126" s="32"/>
      <c r="BS126" s="32"/>
      <c r="BT126" s="58" t="str">
        <f t="shared" si="338"/>
        <v/>
      </c>
      <c r="BU126" s="58" t="str">
        <f t="shared" si="339"/>
        <v/>
      </c>
      <c r="BV126" s="58" t="str">
        <f t="shared" si="340"/>
        <v/>
      </c>
      <c r="BW126" s="59" t="str">
        <f t="shared" si="341"/>
        <v/>
      </c>
      <c r="BX126" s="16"/>
      <c r="BY126" s="21"/>
      <c r="BZ126" s="20"/>
      <c r="CA126" s="61" t="str">
        <f>IF(_xlfn.XLOOKUP(BY126, AutoFill_classes!$A:$A, AutoFill_classes!$B:$B,"")=0,"",_xlfn.XLOOKUP(BY126, AutoFill_classes!$A:$A, AutoFill_classes!$B:$B,""))</f>
        <v/>
      </c>
      <c r="CB126" s="154"/>
      <c r="CC126" s="20"/>
      <c r="CD126" s="20"/>
      <c r="CE126" s="20"/>
      <c r="CF126" s="33"/>
      <c r="CG126" s="34"/>
      <c r="CH126" s="144"/>
      <c r="CI126" s="35"/>
      <c r="CJ126" s="60" t="str">
        <f t="shared" si="342"/>
        <v/>
      </c>
      <c r="CK126" s="32"/>
      <c r="CL126" s="32"/>
      <c r="CM126" s="32"/>
      <c r="CN126" s="32"/>
      <c r="CO126" s="58" t="str">
        <f t="shared" si="343"/>
        <v/>
      </c>
      <c r="CP126" s="20"/>
      <c r="CQ126" s="58" t="str">
        <f t="shared" si="344"/>
        <v/>
      </c>
      <c r="CR126" s="32"/>
      <c r="CS126" s="32"/>
      <c r="CT126" s="58" t="str">
        <f t="shared" si="345"/>
        <v/>
      </c>
      <c r="CU126" s="20"/>
      <c r="CV126" s="58" t="str">
        <f t="shared" si="346"/>
        <v/>
      </c>
      <c r="CW126" s="32"/>
      <c r="CX126" s="32"/>
      <c r="CY126" s="58" t="str">
        <f t="shared" si="347"/>
        <v/>
      </c>
      <c r="CZ126" s="58" t="str">
        <f t="shared" si="348"/>
        <v/>
      </c>
      <c r="DA126" s="58" t="str">
        <f t="shared" si="349"/>
        <v/>
      </c>
      <c r="DB126" s="59" t="str">
        <f t="shared" si="350"/>
        <v/>
      </c>
      <c r="DC126" s="20"/>
      <c r="DD126" s="145"/>
      <c r="DE126" s="91">
        <v>125</v>
      </c>
      <c r="DF126" s="39"/>
      <c r="DG126" s="39"/>
      <c r="DH126" s="39"/>
      <c r="DI126" s="39"/>
      <c r="DJ126" s="39"/>
      <c r="DK126" s="39"/>
      <c r="DL126" s="39"/>
      <c r="DM126" s="39"/>
      <c r="DN126" s="39"/>
      <c r="DO126" s="39"/>
      <c r="DP126" s="39"/>
      <c r="DQ126" s="39"/>
      <c r="DR126" s="39"/>
      <c r="DS126" s="39"/>
      <c r="DT126" s="39"/>
      <c r="DU126" s="39"/>
      <c r="DV126" s="39"/>
      <c r="DW126" s="39"/>
      <c r="DX126" s="39"/>
      <c r="DY126" s="39"/>
      <c r="DZ126" s="39"/>
      <c r="EA126" s="39"/>
      <c r="EB126" s="39"/>
      <c r="EC126" s="39"/>
      <c r="ED126" s="39"/>
      <c r="EE126" s="39"/>
      <c r="EF126" s="39"/>
      <c r="EG126" s="39"/>
      <c r="EH126" s="39"/>
      <c r="EI126" s="39"/>
      <c r="EJ126" s="39"/>
      <c r="EK126" s="39"/>
      <c r="EL126" s="39"/>
      <c r="EM126" s="39"/>
      <c r="EN126" s="39"/>
      <c r="EO126" s="39"/>
      <c r="EP126" s="39"/>
      <c r="EQ126" s="39"/>
      <c r="ER126" s="39"/>
      <c r="ES126" s="39"/>
      <c r="ET126" s="39"/>
      <c r="EU126" s="39"/>
      <c r="EV126" s="39"/>
      <c r="EW126" s="39"/>
      <c r="EX126" s="39"/>
      <c r="EY126" s="39"/>
      <c r="EZ126" s="39"/>
      <c r="FA126" s="39"/>
      <c r="FB126" s="39"/>
      <c r="FC126" s="39"/>
      <c r="FD126" s="39"/>
      <c r="FE126" s="39"/>
      <c r="FF126" s="39"/>
      <c r="FG126" s="39"/>
      <c r="FH126" s="39"/>
      <c r="FI126" s="39"/>
      <c r="FJ126" s="39"/>
      <c r="FK126" s="39"/>
      <c r="FL126" s="39"/>
      <c r="FM126" s="39"/>
      <c r="FN126" s="39"/>
      <c r="FO126" s="39"/>
      <c r="FP126" s="39"/>
      <c r="FQ126" s="39"/>
      <c r="FR126" s="39"/>
      <c r="FS126" s="39"/>
      <c r="FT126" s="39"/>
    </row>
    <row r="127" spans="1:176" s="22" customFormat="1" ht="13">
      <c r="A127" s="7"/>
      <c r="B127" s="23" t="str">
        <f>IF(_xlfn.XLOOKUP(A127, AutoFill_names!B:B, AutoFill_names!C:C,"")=0,"",_xlfn.XLOOKUP(A127, AutoFill_names!B:B, AutoFill_names!C:C,""))</f>
        <v/>
      </c>
      <c r="C127" s="23" t="str">
        <f>IF(_xlfn.XLOOKUP(A127, AutoFill_names!B:B, AutoFill_names!D:D,"")=0,"",_xlfn.XLOOKUP(A127, AutoFill_names!B:B, AutoFill_names!D:D,""))</f>
        <v/>
      </c>
      <c r="D127" s="23" t="str">
        <f>IF(_xlfn.XLOOKUP(A127, AutoFill_names!B:B, AutoFill_names!E:E,"")=0,"",_xlfn.XLOOKUP(A127, AutoFill_names!B:B, AutoFill_names!E:E,""))</f>
        <v/>
      </c>
      <c r="E127" s="23" t="str">
        <f>IF(_xlfn.XLOOKUP(A127, AutoFill_names!B:B, AutoFill_names!F:F,"")=0,"",_xlfn.XLOOKUP(A127, AutoFill_names!B:B, AutoFill_names!F:F,""))</f>
        <v/>
      </c>
      <c r="F127" s="4"/>
      <c r="G127" s="4"/>
      <c r="H127" s="4"/>
      <c r="I127" s="4"/>
      <c r="J127" s="23" t="str">
        <f>IF(_xlfn.XLOOKUP(A127, AutoFill_names!B:B, AutoFill_names!K:K,"")=0,"",_xlfn.XLOOKUP(A127, AutoFill_names!B:B, AutoFill_names!K:K,""))</f>
        <v/>
      </c>
      <c r="K127" s="23" t="str">
        <f>IF(_xlfn.XLOOKUP(A127, AutoFill_names!B:B, AutoFill_names!L:L,"")=0,"",_xlfn.XLOOKUP(A127, AutoFill_names!B:B, AutoFill_names!L:L,""))</f>
        <v/>
      </c>
      <c r="L127" s="46"/>
      <c r="M127" s="46"/>
      <c r="N127" s="61" t="str">
        <f>IF(_xlfn.XLOOKUP(L127, AutoFill_classes!A:A, AutoFill_classes!B:B,"")=0,"",_xlfn.XLOOKUP(L127, AutoFill_classes!A:A, AutoFill_classes!B:B,""))</f>
        <v/>
      </c>
      <c r="O127" s="154"/>
      <c r="P127" s="9"/>
      <c r="Q127" s="9"/>
      <c r="R127" s="9"/>
      <c r="S127" s="4"/>
      <c r="T127" s="4"/>
      <c r="U127" s="4"/>
      <c r="V127" s="4"/>
      <c r="W127" s="4"/>
      <c r="X127" s="145"/>
      <c r="Y127" s="29"/>
      <c r="Z127" s="60" t="str">
        <f t="shared" si="324"/>
        <v/>
      </c>
      <c r="AA127" s="32"/>
      <c r="AB127" s="32"/>
      <c r="AC127" s="32"/>
      <c r="AD127" s="32"/>
      <c r="AE127" s="58" t="str">
        <f t="shared" si="325"/>
        <v/>
      </c>
      <c r="AF127" s="20"/>
      <c r="AG127" s="58" t="str">
        <f t="shared" si="326"/>
        <v/>
      </c>
      <c r="AH127" s="32"/>
      <c r="AI127" s="32"/>
      <c r="AJ127" s="58" t="str">
        <f t="shared" si="327"/>
        <v/>
      </c>
      <c r="AK127" s="20"/>
      <c r="AL127" s="58" t="str">
        <f t="shared" si="328"/>
        <v/>
      </c>
      <c r="AM127" s="32"/>
      <c r="AN127" s="32"/>
      <c r="AO127" s="58" t="str">
        <f t="shared" si="329"/>
        <v/>
      </c>
      <c r="AP127" s="58" t="str">
        <f t="shared" si="330"/>
        <v/>
      </c>
      <c r="AQ127" s="58" t="str">
        <f t="shared" si="331"/>
        <v/>
      </c>
      <c r="AR127" s="59" t="str">
        <f t="shared" si="332"/>
        <v/>
      </c>
      <c r="AS127" s="20"/>
      <c r="AT127" s="16"/>
      <c r="AU127" s="16"/>
      <c r="AV127" s="61" t="str">
        <f>IF(_xlfn.XLOOKUP(AT127, AutoFill_classes!$A:$A, AutoFill_classes!$B:$B,"")=0,"",_xlfn.XLOOKUP(AT127, AutoFill_classes!$A:$A, AutoFill_classes!$B:$B,""))</f>
        <v/>
      </c>
      <c r="AW127" s="154"/>
      <c r="AX127" s="16"/>
      <c r="AY127" s="16"/>
      <c r="AZ127" s="16"/>
      <c r="BA127" s="16"/>
      <c r="BB127" s="16"/>
      <c r="BC127" s="145"/>
      <c r="BD127" s="29"/>
      <c r="BE127" s="60" t="str">
        <f t="shared" si="333"/>
        <v/>
      </c>
      <c r="BF127" s="32"/>
      <c r="BG127" s="32"/>
      <c r="BH127" s="32"/>
      <c r="BI127" s="32"/>
      <c r="BJ127" s="58" t="str">
        <f t="shared" si="334"/>
        <v/>
      </c>
      <c r="BK127" s="20"/>
      <c r="BL127" s="58" t="str">
        <f t="shared" si="335"/>
        <v/>
      </c>
      <c r="BM127" s="32"/>
      <c r="BN127" s="32"/>
      <c r="BO127" s="58" t="str">
        <f t="shared" si="336"/>
        <v/>
      </c>
      <c r="BP127" s="20"/>
      <c r="BQ127" s="58" t="str">
        <f t="shared" si="337"/>
        <v/>
      </c>
      <c r="BR127" s="32"/>
      <c r="BS127" s="32"/>
      <c r="BT127" s="58" t="str">
        <f t="shared" si="338"/>
        <v/>
      </c>
      <c r="BU127" s="58" t="str">
        <f t="shared" si="339"/>
        <v/>
      </c>
      <c r="BV127" s="58" t="str">
        <f t="shared" si="340"/>
        <v/>
      </c>
      <c r="BW127" s="59" t="str">
        <f t="shared" si="341"/>
        <v/>
      </c>
      <c r="BX127" s="14"/>
      <c r="BY127" s="21"/>
      <c r="BZ127" s="20"/>
      <c r="CA127" s="61" t="str">
        <f>IF(_xlfn.XLOOKUP(BY127, AutoFill_classes!$A:$A, AutoFill_classes!$B:$B,"")=0,"",_xlfn.XLOOKUP(BY127, AutoFill_classes!$A:$A, AutoFill_classes!$B:$B,""))</f>
        <v/>
      </c>
      <c r="CB127" s="154"/>
      <c r="CC127" s="20"/>
      <c r="CD127" s="20"/>
      <c r="CE127" s="20"/>
      <c r="CF127" s="33"/>
      <c r="CG127" s="34"/>
      <c r="CH127" s="145"/>
      <c r="CI127" s="35"/>
      <c r="CJ127" s="60" t="str">
        <f t="shared" si="342"/>
        <v/>
      </c>
      <c r="CK127" s="32"/>
      <c r="CL127" s="32"/>
      <c r="CM127" s="32"/>
      <c r="CN127" s="32"/>
      <c r="CO127" s="58" t="str">
        <f t="shared" si="343"/>
        <v/>
      </c>
      <c r="CP127" s="20"/>
      <c r="CQ127" s="58" t="str">
        <f t="shared" si="344"/>
        <v/>
      </c>
      <c r="CR127" s="32"/>
      <c r="CS127" s="32"/>
      <c r="CT127" s="58" t="str">
        <f t="shared" si="345"/>
        <v/>
      </c>
      <c r="CU127" s="20"/>
      <c r="CV127" s="58" t="str">
        <f t="shared" si="346"/>
        <v/>
      </c>
      <c r="CW127" s="32"/>
      <c r="CX127" s="32"/>
      <c r="CY127" s="58" t="str">
        <f t="shared" si="347"/>
        <v/>
      </c>
      <c r="CZ127" s="58" t="str">
        <f t="shared" si="348"/>
        <v/>
      </c>
      <c r="DA127" s="58" t="str">
        <f t="shared" si="349"/>
        <v/>
      </c>
      <c r="DB127" s="59" t="str">
        <f t="shared" si="350"/>
        <v/>
      </c>
      <c r="DC127" s="20"/>
      <c r="DD127" s="144"/>
      <c r="DE127" s="91">
        <v>126</v>
      </c>
      <c r="DF127" s="39"/>
      <c r="DG127" s="39"/>
      <c r="DH127" s="39"/>
      <c r="DI127" s="39"/>
      <c r="DJ127" s="39"/>
      <c r="DK127" s="39"/>
      <c r="DL127" s="39"/>
      <c r="DM127" s="39"/>
      <c r="DN127" s="39"/>
      <c r="DO127" s="39"/>
      <c r="DP127" s="39"/>
      <c r="DQ127" s="39"/>
      <c r="DR127" s="39"/>
      <c r="DS127" s="39"/>
      <c r="DT127" s="39"/>
      <c r="DU127" s="39"/>
      <c r="DV127" s="39"/>
      <c r="DW127" s="39"/>
      <c r="DX127" s="39"/>
      <c r="DY127" s="39"/>
      <c r="DZ127" s="39"/>
      <c r="EA127" s="39"/>
      <c r="EB127" s="39"/>
      <c r="EC127" s="39"/>
      <c r="ED127" s="39"/>
      <c r="EE127" s="39"/>
      <c r="EF127" s="39"/>
      <c r="EG127" s="39"/>
      <c r="EH127" s="39"/>
      <c r="EI127" s="39"/>
      <c r="EJ127" s="39"/>
      <c r="EK127" s="39"/>
      <c r="EL127" s="39"/>
      <c r="EM127" s="39"/>
      <c r="EN127" s="39"/>
      <c r="EO127" s="39"/>
      <c r="EP127" s="39"/>
      <c r="EQ127" s="39"/>
      <c r="ER127" s="39"/>
      <c r="ES127" s="39"/>
      <c r="ET127" s="39"/>
      <c r="EU127" s="39"/>
      <c r="EV127" s="39"/>
      <c r="EW127" s="39"/>
      <c r="EX127" s="39"/>
      <c r="EY127" s="39"/>
      <c r="EZ127" s="39"/>
      <c r="FA127" s="39"/>
      <c r="FB127" s="39"/>
      <c r="FC127" s="39"/>
      <c r="FD127" s="39"/>
      <c r="FE127" s="39"/>
      <c r="FF127" s="39"/>
      <c r="FG127" s="39"/>
      <c r="FH127" s="39"/>
      <c r="FI127" s="39"/>
      <c r="FJ127" s="39"/>
      <c r="FK127" s="39"/>
      <c r="FL127" s="39"/>
      <c r="FM127" s="39"/>
      <c r="FN127" s="39"/>
      <c r="FO127" s="39"/>
      <c r="FP127" s="39"/>
      <c r="FQ127" s="39"/>
      <c r="FR127" s="39"/>
      <c r="FS127" s="39"/>
      <c r="FT127" s="39"/>
    </row>
    <row r="128" spans="1:176" s="22" customFormat="1" ht="13">
      <c r="A128" s="7"/>
      <c r="B128" s="23" t="str">
        <f>IF(_xlfn.XLOOKUP(A128, AutoFill_names!B:B, AutoFill_names!C:C,"")=0,"",_xlfn.XLOOKUP(A128, AutoFill_names!B:B, AutoFill_names!C:C,""))</f>
        <v/>
      </c>
      <c r="C128" s="23" t="str">
        <f>IF(_xlfn.XLOOKUP(A128, AutoFill_names!B:B, AutoFill_names!D:D,"")=0,"",_xlfn.XLOOKUP(A128, AutoFill_names!B:B, AutoFill_names!D:D,""))</f>
        <v/>
      </c>
      <c r="D128" s="23" t="str">
        <f>IF(_xlfn.XLOOKUP(A128, AutoFill_names!B:B, AutoFill_names!E:E,"")=0,"",_xlfn.XLOOKUP(A128, AutoFill_names!B:B, AutoFill_names!E:E,""))</f>
        <v/>
      </c>
      <c r="E128" s="23" t="str">
        <f>IF(_xlfn.XLOOKUP(A128, AutoFill_names!B:B, AutoFill_names!F:F,"")=0,"",_xlfn.XLOOKUP(A128, AutoFill_names!B:B, AutoFill_names!F:F,""))</f>
        <v/>
      </c>
      <c r="F128" s="4"/>
      <c r="G128" s="4"/>
      <c r="H128" s="4"/>
      <c r="I128" s="4"/>
      <c r="J128" s="23" t="str">
        <f>IF(_xlfn.XLOOKUP(A128, AutoFill_names!B:B, AutoFill_names!K:K,"")=0,"",_xlfn.XLOOKUP(A128, AutoFill_names!B:B, AutoFill_names!K:K,""))</f>
        <v/>
      </c>
      <c r="K128" s="23" t="str">
        <f>IF(_xlfn.XLOOKUP(A128, AutoFill_names!B:B, AutoFill_names!L:L,"")=0,"",_xlfn.XLOOKUP(A128, AutoFill_names!B:B, AutoFill_names!L:L,""))</f>
        <v/>
      </c>
      <c r="L128" s="45"/>
      <c r="M128" s="45"/>
      <c r="N128" s="61" t="str">
        <f>IF(_xlfn.XLOOKUP(L128, AutoFill_classes!A:A, AutoFill_classes!B:B,"")=0,"",_xlfn.XLOOKUP(L128, AutoFill_classes!A:A, AutoFill_classes!B:B,""))</f>
        <v/>
      </c>
      <c r="O128" s="154"/>
      <c r="P128" s="9"/>
      <c r="Q128" s="9"/>
      <c r="R128" s="9"/>
      <c r="S128" s="4"/>
      <c r="T128" s="4"/>
      <c r="U128" s="4"/>
      <c r="V128" s="4"/>
      <c r="W128" s="4"/>
      <c r="X128" s="145"/>
      <c r="Y128" s="29"/>
      <c r="Z128" s="60" t="str">
        <f t="shared" si="324"/>
        <v/>
      </c>
      <c r="AA128" s="32"/>
      <c r="AB128" s="32"/>
      <c r="AC128" s="32"/>
      <c r="AD128" s="32"/>
      <c r="AE128" s="58" t="str">
        <f t="shared" si="325"/>
        <v/>
      </c>
      <c r="AF128" s="20"/>
      <c r="AG128" s="58" t="str">
        <f t="shared" si="326"/>
        <v/>
      </c>
      <c r="AH128" s="32"/>
      <c r="AI128" s="32"/>
      <c r="AJ128" s="58" t="str">
        <f t="shared" si="327"/>
        <v/>
      </c>
      <c r="AK128" s="20"/>
      <c r="AL128" s="58" t="str">
        <f t="shared" si="328"/>
        <v/>
      </c>
      <c r="AM128" s="32"/>
      <c r="AN128" s="32"/>
      <c r="AO128" s="58" t="str">
        <f t="shared" si="329"/>
        <v/>
      </c>
      <c r="AP128" s="58" t="str">
        <f t="shared" si="330"/>
        <v/>
      </c>
      <c r="AQ128" s="58" t="str">
        <f t="shared" si="331"/>
        <v/>
      </c>
      <c r="AR128" s="59" t="str">
        <f t="shared" si="332"/>
        <v/>
      </c>
      <c r="AS128" s="20"/>
      <c r="AT128" s="16"/>
      <c r="AU128" s="16"/>
      <c r="AV128" s="61" t="str">
        <f>IF(_xlfn.XLOOKUP(AT128, AutoFill_classes!$A:$A, AutoFill_classes!$B:$B,"")=0,"",_xlfn.XLOOKUP(AT128, AutoFill_classes!$A:$A, AutoFill_classes!$B:$B,""))</f>
        <v/>
      </c>
      <c r="AW128" s="154"/>
      <c r="AX128" s="16"/>
      <c r="AY128" s="16"/>
      <c r="AZ128" s="16"/>
      <c r="BA128" s="16"/>
      <c r="BB128" s="16"/>
      <c r="BC128" s="145"/>
      <c r="BD128" s="29"/>
      <c r="BE128" s="60" t="str">
        <f t="shared" si="333"/>
        <v/>
      </c>
      <c r="BF128" s="32"/>
      <c r="BG128" s="32"/>
      <c r="BH128" s="32"/>
      <c r="BI128" s="32"/>
      <c r="BJ128" s="58" t="str">
        <f t="shared" si="334"/>
        <v/>
      </c>
      <c r="BK128" s="20"/>
      <c r="BL128" s="58" t="str">
        <f t="shared" si="335"/>
        <v/>
      </c>
      <c r="BM128" s="32"/>
      <c r="BN128" s="32"/>
      <c r="BO128" s="58" t="str">
        <f t="shared" si="336"/>
        <v/>
      </c>
      <c r="BP128" s="20"/>
      <c r="BQ128" s="58" t="str">
        <f t="shared" si="337"/>
        <v/>
      </c>
      <c r="BR128" s="32"/>
      <c r="BS128" s="32"/>
      <c r="BT128" s="58" t="str">
        <f t="shared" si="338"/>
        <v/>
      </c>
      <c r="BU128" s="58" t="str">
        <f t="shared" si="339"/>
        <v/>
      </c>
      <c r="BV128" s="58" t="str">
        <f t="shared" si="340"/>
        <v/>
      </c>
      <c r="BW128" s="59" t="str">
        <f t="shared" si="341"/>
        <v/>
      </c>
      <c r="BX128" s="14"/>
      <c r="BY128" s="21"/>
      <c r="BZ128" s="20"/>
      <c r="CA128" s="61" t="str">
        <f>IF(_xlfn.XLOOKUP(BY128, AutoFill_classes!$A:$A, AutoFill_classes!$B:$B,"")=0,"",_xlfn.XLOOKUP(BY128, AutoFill_classes!$A:$A, AutoFill_classes!$B:$B,""))</f>
        <v/>
      </c>
      <c r="CB128" s="154"/>
      <c r="CC128" s="20"/>
      <c r="CD128" s="20"/>
      <c r="CE128" s="20"/>
      <c r="CF128" s="33"/>
      <c r="CG128" s="34"/>
      <c r="CH128" s="145"/>
      <c r="CI128" s="35"/>
      <c r="CJ128" s="60" t="str">
        <f t="shared" si="342"/>
        <v/>
      </c>
      <c r="CK128" s="32"/>
      <c r="CL128" s="32"/>
      <c r="CM128" s="32"/>
      <c r="CN128" s="32"/>
      <c r="CO128" s="58" t="str">
        <f t="shared" si="343"/>
        <v/>
      </c>
      <c r="CP128" s="20"/>
      <c r="CQ128" s="58" t="str">
        <f t="shared" si="344"/>
        <v/>
      </c>
      <c r="CR128" s="32"/>
      <c r="CS128" s="32"/>
      <c r="CT128" s="58" t="str">
        <f t="shared" si="345"/>
        <v/>
      </c>
      <c r="CU128" s="20"/>
      <c r="CV128" s="58" t="str">
        <f t="shared" si="346"/>
        <v/>
      </c>
      <c r="CW128" s="32"/>
      <c r="CX128" s="32"/>
      <c r="CY128" s="58" t="str">
        <f t="shared" si="347"/>
        <v/>
      </c>
      <c r="CZ128" s="58" t="str">
        <f t="shared" si="348"/>
        <v/>
      </c>
      <c r="DA128" s="58" t="str">
        <f t="shared" si="349"/>
        <v/>
      </c>
      <c r="DB128" s="59" t="str">
        <f t="shared" si="350"/>
        <v/>
      </c>
      <c r="DC128" s="20"/>
      <c r="DD128" s="144"/>
      <c r="DE128" s="91">
        <v>127</v>
      </c>
      <c r="DF128" s="39"/>
      <c r="DG128" s="39"/>
      <c r="DH128" s="39"/>
      <c r="DI128" s="39"/>
      <c r="DJ128" s="39"/>
      <c r="DK128" s="39"/>
      <c r="DL128" s="39"/>
      <c r="DM128" s="39"/>
      <c r="DN128" s="39"/>
      <c r="DO128" s="39"/>
      <c r="DP128" s="39"/>
      <c r="DQ128" s="39"/>
      <c r="DR128" s="39"/>
      <c r="DS128" s="39"/>
      <c r="DT128" s="39"/>
      <c r="DU128" s="39"/>
      <c r="DV128" s="39"/>
      <c r="DW128" s="39"/>
      <c r="DX128" s="39"/>
      <c r="DY128" s="39"/>
      <c r="DZ128" s="39"/>
      <c r="EA128" s="39"/>
      <c r="EB128" s="39"/>
      <c r="EC128" s="39"/>
      <c r="ED128" s="39"/>
      <c r="EE128" s="39"/>
      <c r="EF128" s="39"/>
      <c r="EG128" s="39"/>
      <c r="EH128" s="39"/>
      <c r="EI128" s="39"/>
      <c r="EJ128" s="39"/>
      <c r="EK128" s="39"/>
      <c r="EL128" s="39"/>
      <c r="EM128" s="39"/>
      <c r="EN128" s="39"/>
      <c r="EO128" s="39"/>
      <c r="EP128" s="39"/>
      <c r="EQ128" s="39"/>
      <c r="ER128" s="39"/>
      <c r="ES128" s="39"/>
      <c r="ET128" s="39"/>
      <c r="EU128" s="39"/>
      <c r="EV128" s="39"/>
      <c r="EW128" s="39"/>
      <c r="EX128" s="39"/>
      <c r="EY128" s="39"/>
      <c r="EZ128" s="39"/>
      <c r="FA128" s="39"/>
      <c r="FB128" s="39"/>
      <c r="FC128" s="39"/>
      <c r="FD128" s="39"/>
      <c r="FE128" s="39"/>
      <c r="FF128" s="39"/>
      <c r="FG128" s="39"/>
      <c r="FH128" s="39"/>
      <c r="FI128" s="39"/>
      <c r="FJ128" s="39"/>
      <c r="FK128" s="39"/>
      <c r="FL128" s="39"/>
      <c r="FM128" s="39"/>
      <c r="FN128" s="39"/>
      <c r="FO128" s="39"/>
      <c r="FP128" s="39"/>
      <c r="FQ128" s="39"/>
      <c r="FR128" s="39"/>
      <c r="FS128" s="39"/>
      <c r="FT128" s="39"/>
    </row>
    <row r="129" spans="1:176" s="22" customFormat="1" ht="13">
      <c r="A129" s="7"/>
      <c r="B129" s="23" t="str">
        <f>IF(_xlfn.XLOOKUP(A129, AutoFill_names!B:B, AutoFill_names!C:C,"")=0,"",_xlfn.XLOOKUP(A129, AutoFill_names!B:B, AutoFill_names!C:C,""))</f>
        <v/>
      </c>
      <c r="C129" s="23" t="str">
        <f>IF(_xlfn.XLOOKUP(A129, AutoFill_names!B:B, AutoFill_names!D:D,"")=0,"",_xlfn.XLOOKUP(A129, AutoFill_names!B:B, AutoFill_names!D:D,""))</f>
        <v/>
      </c>
      <c r="D129" s="23" t="str">
        <f>IF(_xlfn.XLOOKUP(A129, AutoFill_names!B:B, AutoFill_names!E:E,"")=0,"",_xlfn.XLOOKUP(A129, AutoFill_names!B:B, AutoFill_names!E:E,""))</f>
        <v/>
      </c>
      <c r="E129" s="23" t="str">
        <f>IF(_xlfn.XLOOKUP(A129, AutoFill_names!B:B, AutoFill_names!F:F,"")=0,"",_xlfn.XLOOKUP(A129, AutoFill_names!B:B, AutoFill_names!F:F,""))</f>
        <v/>
      </c>
      <c r="F129" s="4"/>
      <c r="G129" s="4"/>
      <c r="H129" s="4"/>
      <c r="I129" s="4"/>
      <c r="J129" s="23" t="str">
        <f>IF(_xlfn.XLOOKUP(A129, AutoFill_names!B:B, AutoFill_names!K:K,"")=0,"",_xlfn.XLOOKUP(A129, AutoFill_names!B:B, AutoFill_names!K:K,""))</f>
        <v/>
      </c>
      <c r="K129" s="23" t="str">
        <f>IF(_xlfn.XLOOKUP(A129, AutoFill_names!B:B, AutoFill_names!L:L,"")=0,"",_xlfn.XLOOKUP(A129, AutoFill_names!B:B, AutoFill_names!L:L,""))</f>
        <v/>
      </c>
      <c r="L129" s="5"/>
      <c r="M129" s="5"/>
      <c r="N129" s="61" t="str">
        <f>IF(_xlfn.XLOOKUP(L129, AutoFill_classes!A:A, AutoFill_classes!B:B,"")=0,"",_xlfn.XLOOKUP(L129, AutoFill_classes!A:A, AutoFill_classes!B:B,""))</f>
        <v/>
      </c>
      <c r="O129" s="154"/>
      <c r="P129" s="9"/>
      <c r="Q129" s="9"/>
      <c r="R129" s="9"/>
      <c r="S129" s="5"/>
      <c r="T129" s="4"/>
      <c r="U129" s="5"/>
      <c r="V129" s="4"/>
      <c r="W129" s="4"/>
      <c r="X129" s="145"/>
      <c r="Y129" s="29"/>
      <c r="Z129" s="60" t="str">
        <f t="shared" si="324"/>
        <v/>
      </c>
      <c r="AA129" s="32"/>
      <c r="AB129" s="32"/>
      <c r="AC129" s="32"/>
      <c r="AD129" s="32"/>
      <c r="AE129" s="58" t="str">
        <f t="shared" si="325"/>
        <v/>
      </c>
      <c r="AF129" s="20"/>
      <c r="AG129" s="58" t="str">
        <f t="shared" si="326"/>
        <v/>
      </c>
      <c r="AH129" s="32"/>
      <c r="AI129" s="32"/>
      <c r="AJ129" s="58" t="str">
        <f t="shared" si="327"/>
        <v/>
      </c>
      <c r="AK129" s="20"/>
      <c r="AL129" s="58" t="str">
        <f t="shared" si="328"/>
        <v/>
      </c>
      <c r="AM129" s="32"/>
      <c r="AN129" s="32"/>
      <c r="AO129" s="58" t="str">
        <f t="shared" si="329"/>
        <v/>
      </c>
      <c r="AP129" s="58" t="str">
        <f t="shared" si="330"/>
        <v/>
      </c>
      <c r="AQ129" s="58" t="str">
        <f t="shared" si="331"/>
        <v/>
      </c>
      <c r="AR129" s="59" t="str">
        <f t="shared" si="332"/>
        <v/>
      </c>
      <c r="AS129" s="20"/>
      <c r="AT129" s="16"/>
      <c r="AU129" s="16"/>
      <c r="AV129" s="61" t="str">
        <f>IF(_xlfn.XLOOKUP(AT129, AutoFill_classes!$A:$A, AutoFill_classes!$B:$B,"")=0,"",_xlfn.XLOOKUP(AT129, AutoFill_classes!$A:$A, AutoFill_classes!$B:$B,""))</f>
        <v/>
      </c>
      <c r="AW129" s="154"/>
      <c r="AX129" s="14"/>
      <c r="AY129" s="14"/>
      <c r="AZ129" s="14"/>
      <c r="BA129" s="16"/>
      <c r="BB129" s="16"/>
      <c r="BC129" s="145"/>
      <c r="BD129" s="29"/>
      <c r="BE129" s="60" t="str">
        <f t="shared" si="333"/>
        <v/>
      </c>
      <c r="BF129" s="32"/>
      <c r="BG129" s="32"/>
      <c r="BH129" s="32"/>
      <c r="BI129" s="32"/>
      <c r="BJ129" s="58" t="str">
        <f t="shared" si="334"/>
        <v/>
      </c>
      <c r="BK129" s="20"/>
      <c r="BL129" s="58" t="str">
        <f t="shared" si="335"/>
        <v/>
      </c>
      <c r="BM129" s="32"/>
      <c r="BN129" s="32"/>
      <c r="BO129" s="58" t="str">
        <f t="shared" si="336"/>
        <v/>
      </c>
      <c r="BP129" s="20"/>
      <c r="BQ129" s="58" t="str">
        <f t="shared" si="337"/>
        <v/>
      </c>
      <c r="BR129" s="32"/>
      <c r="BS129" s="32"/>
      <c r="BT129" s="58" t="str">
        <f t="shared" si="338"/>
        <v/>
      </c>
      <c r="BU129" s="58" t="str">
        <f t="shared" si="339"/>
        <v/>
      </c>
      <c r="BV129" s="58" t="str">
        <f t="shared" si="340"/>
        <v/>
      </c>
      <c r="BW129" s="59" t="str">
        <f t="shared" si="341"/>
        <v/>
      </c>
      <c r="BX129" s="14"/>
      <c r="BY129" s="21"/>
      <c r="BZ129" s="20"/>
      <c r="CA129" s="61" t="str">
        <f>IF(_xlfn.XLOOKUP(BY129, AutoFill_classes!$A:$A, AutoFill_classes!$B:$B,"")=0,"",_xlfn.XLOOKUP(BY129, AutoFill_classes!$A:$A, AutoFill_classes!$B:$B,""))</f>
        <v/>
      </c>
      <c r="CB129" s="154"/>
      <c r="CC129" s="20"/>
      <c r="CD129" s="20"/>
      <c r="CE129" s="20"/>
      <c r="CF129" s="33"/>
      <c r="CG129" s="34"/>
      <c r="CH129" s="145"/>
      <c r="CI129" s="35"/>
      <c r="CJ129" s="60" t="str">
        <f t="shared" si="342"/>
        <v/>
      </c>
      <c r="CK129" s="32"/>
      <c r="CL129" s="32"/>
      <c r="CM129" s="32"/>
      <c r="CN129" s="32"/>
      <c r="CO129" s="58" t="str">
        <f t="shared" si="343"/>
        <v/>
      </c>
      <c r="CP129" s="20"/>
      <c r="CQ129" s="58" t="str">
        <f t="shared" si="344"/>
        <v/>
      </c>
      <c r="CR129" s="32"/>
      <c r="CS129" s="32"/>
      <c r="CT129" s="58" t="str">
        <f t="shared" si="345"/>
        <v/>
      </c>
      <c r="CU129" s="20"/>
      <c r="CV129" s="58" t="str">
        <f t="shared" si="346"/>
        <v/>
      </c>
      <c r="CW129" s="32"/>
      <c r="CX129" s="32"/>
      <c r="CY129" s="58" t="str">
        <f t="shared" si="347"/>
        <v/>
      </c>
      <c r="CZ129" s="58" t="str">
        <f t="shared" si="348"/>
        <v/>
      </c>
      <c r="DA129" s="58" t="str">
        <f t="shared" si="349"/>
        <v/>
      </c>
      <c r="DB129" s="59" t="str">
        <f t="shared" si="350"/>
        <v/>
      </c>
      <c r="DC129" s="20"/>
      <c r="DD129" s="144"/>
      <c r="DE129" s="91">
        <v>128</v>
      </c>
      <c r="DF129" s="39"/>
      <c r="DG129" s="39"/>
      <c r="DH129" s="39"/>
      <c r="DI129" s="39"/>
      <c r="DJ129" s="39"/>
      <c r="DK129" s="39"/>
      <c r="DL129" s="39"/>
      <c r="DM129" s="39"/>
      <c r="DN129" s="39"/>
      <c r="DO129" s="39"/>
      <c r="DP129" s="39"/>
      <c r="DQ129" s="39"/>
      <c r="DR129" s="39"/>
      <c r="DS129" s="39"/>
      <c r="DT129" s="39"/>
      <c r="DU129" s="39"/>
      <c r="DV129" s="39"/>
      <c r="DW129" s="39"/>
      <c r="DX129" s="39"/>
      <c r="DY129" s="39"/>
      <c r="DZ129" s="39"/>
      <c r="EA129" s="39"/>
      <c r="EB129" s="39"/>
      <c r="EC129" s="39"/>
      <c r="ED129" s="39"/>
      <c r="EE129" s="39"/>
      <c r="EF129" s="39"/>
      <c r="EG129" s="39"/>
      <c r="EH129" s="39"/>
      <c r="EI129" s="39"/>
      <c r="EJ129" s="39"/>
      <c r="EK129" s="39"/>
      <c r="EL129" s="39"/>
      <c r="EM129" s="39"/>
      <c r="EN129" s="39"/>
      <c r="EO129" s="39"/>
      <c r="EP129" s="39"/>
      <c r="EQ129" s="39"/>
      <c r="ER129" s="39"/>
      <c r="ES129" s="39"/>
      <c r="ET129" s="39"/>
      <c r="EU129" s="39"/>
      <c r="EV129" s="39"/>
      <c r="EW129" s="39"/>
      <c r="EX129" s="39"/>
      <c r="EY129" s="39"/>
      <c r="EZ129" s="39"/>
      <c r="FA129" s="39"/>
      <c r="FB129" s="39"/>
      <c r="FC129" s="39"/>
      <c r="FD129" s="39"/>
      <c r="FE129" s="39"/>
      <c r="FF129" s="39"/>
      <c r="FG129" s="39"/>
      <c r="FH129" s="39"/>
      <c r="FI129" s="39"/>
      <c r="FJ129" s="39"/>
      <c r="FK129" s="39"/>
      <c r="FL129" s="39"/>
      <c r="FM129" s="39"/>
      <c r="FN129" s="39"/>
      <c r="FO129" s="39"/>
      <c r="FP129" s="39"/>
      <c r="FQ129" s="39"/>
      <c r="FR129" s="39"/>
      <c r="FS129" s="39"/>
      <c r="FT129" s="39"/>
    </row>
    <row r="130" spans="1:176" s="22" customFormat="1" ht="13">
      <c r="A130" s="7"/>
      <c r="B130" s="23" t="str">
        <f>IF(_xlfn.XLOOKUP(A130, AutoFill_names!B:B, AutoFill_names!C:C,"")=0,"",_xlfn.XLOOKUP(A130, AutoFill_names!B:B, AutoFill_names!C:C,""))</f>
        <v/>
      </c>
      <c r="C130" s="23" t="str">
        <f>IF(_xlfn.XLOOKUP(A130, AutoFill_names!B:B, AutoFill_names!D:D,"")=0,"",_xlfn.XLOOKUP(A130, AutoFill_names!B:B, AutoFill_names!D:D,""))</f>
        <v/>
      </c>
      <c r="D130" s="23" t="str">
        <f>IF(_xlfn.XLOOKUP(A130, AutoFill_names!B:B, AutoFill_names!E:E,"")=0,"",_xlfn.XLOOKUP(A130, AutoFill_names!B:B, AutoFill_names!E:E,""))</f>
        <v/>
      </c>
      <c r="E130" s="23" t="str">
        <f>IF(_xlfn.XLOOKUP(A130, AutoFill_names!B:B, AutoFill_names!F:F,"")=0,"",_xlfn.XLOOKUP(A130, AutoFill_names!B:B, AutoFill_names!F:F,""))</f>
        <v/>
      </c>
      <c r="F130" s="4"/>
      <c r="G130" s="4"/>
      <c r="H130" s="4"/>
      <c r="I130" s="4"/>
      <c r="J130" s="23" t="str">
        <f>IF(_xlfn.XLOOKUP(A130, AutoFill_names!B:B, AutoFill_names!K:K,"")=0,"",_xlfn.XLOOKUP(A130, AutoFill_names!B:B, AutoFill_names!K:K,""))</f>
        <v/>
      </c>
      <c r="K130" s="23" t="str">
        <f>IF(_xlfn.XLOOKUP(A130, AutoFill_names!B:B, AutoFill_names!L:L,"")=0,"",_xlfn.XLOOKUP(A130, AutoFill_names!B:B, AutoFill_names!L:L,""))</f>
        <v/>
      </c>
      <c r="L130" s="5"/>
      <c r="M130" s="5"/>
      <c r="N130" s="61" t="str">
        <f>IF(_xlfn.XLOOKUP(L130, AutoFill_classes!A:A, AutoFill_classes!B:B,"")=0,"",_xlfn.XLOOKUP(L130, AutoFill_classes!A:A, AutoFill_classes!B:B,""))</f>
        <v/>
      </c>
      <c r="O130" s="154"/>
      <c r="P130" s="9"/>
      <c r="Q130" s="9"/>
      <c r="R130" s="9"/>
      <c r="S130" s="5"/>
      <c r="T130" s="5"/>
      <c r="U130" s="5"/>
      <c r="V130" s="4"/>
      <c r="W130" s="4"/>
      <c r="X130" s="145"/>
      <c r="Y130" s="29"/>
      <c r="Z130" s="60" t="str">
        <f t="shared" si="324"/>
        <v/>
      </c>
      <c r="AA130" s="32"/>
      <c r="AB130" s="32"/>
      <c r="AC130" s="32"/>
      <c r="AD130" s="32"/>
      <c r="AE130" s="58" t="str">
        <f t="shared" si="325"/>
        <v/>
      </c>
      <c r="AF130" s="20"/>
      <c r="AG130" s="58" t="str">
        <f t="shared" si="326"/>
        <v/>
      </c>
      <c r="AH130" s="32"/>
      <c r="AI130" s="32"/>
      <c r="AJ130" s="58" t="str">
        <f t="shared" si="327"/>
        <v/>
      </c>
      <c r="AK130" s="20"/>
      <c r="AL130" s="58" t="str">
        <f t="shared" si="328"/>
        <v/>
      </c>
      <c r="AM130" s="32"/>
      <c r="AN130" s="32"/>
      <c r="AO130" s="58" t="str">
        <f t="shared" si="329"/>
        <v/>
      </c>
      <c r="AP130" s="58" t="str">
        <f t="shared" si="330"/>
        <v/>
      </c>
      <c r="AQ130" s="58" t="str">
        <f t="shared" si="331"/>
        <v/>
      </c>
      <c r="AR130" s="59" t="str">
        <f t="shared" si="332"/>
        <v/>
      </c>
      <c r="AS130" s="20"/>
      <c r="AT130" s="14"/>
      <c r="AU130" s="14"/>
      <c r="AV130" s="61" t="str">
        <f>IF(_xlfn.XLOOKUP(AT130, AutoFill_classes!$A:$A, AutoFill_classes!$B:$B,"")=0,"",_xlfn.XLOOKUP(AT130, AutoFill_classes!$A:$A, AutoFill_classes!$B:$B,""))</f>
        <v/>
      </c>
      <c r="AW130" s="154"/>
      <c r="AX130" s="14"/>
      <c r="AY130" s="14"/>
      <c r="AZ130" s="14"/>
      <c r="BA130" s="16"/>
      <c r="BB130" s="16"/>
      <c r="BC130" s="145"/>
      <c r="BD130" s="29"/>
      <c r="BE130" s="60" t="str">
        <f t="shared" si="333"/>
        <v/>
      </c>
      <c r="BF130" s="32"/>
      <c r="BG130" s="32"/>
      <c r="BH130" s="32"/>
      <c r="BI130" s="32"/>
      <c r="BJ130" s="58" t="str">
        <f t="shared" si="334"/>
        <v/>
      </c>
      <c r="BK130" s="20"/>
      <c r="BL130" s="58" t="str">
        <f t="shared" si="335"/>
        <v/>
      </c>
      <c r="BM130" s="32"/>
      <c r="BN130" s="32"/>
      <c r="BO130" s="58" t="str">
        <f t="shared" si="336"/>
        <v/>
      </c>
      <c r="BP130" s="20"/>
      <c r="BQ130" s="58" t="str">
        <f t="shared" si="337"/>
        <v/>
      </c>
      <c r="BR130" s="32"/>
      <c r="BS130" s="32"/>
      <c r="BT130" s="58" t="str">
        <f t="shared" si="338"/>
        <v/>
      </c>
      <c r="BU130" s="58" t="str">
        <f t="shared" si="339"/>
        <v/>
      </c>
      <c r="BV130" s="58" t="str">
        <f t="shared" si="340"/>
        <v/>
      </c>
      <c r="BW130" s="59" t="str">
        <f t="shared" si="341"/>
        <v/>
      </c>
      <c r="BX130" s="14"/>
      <c r="BY130" s="21"/>
      <c r="BZ130" s="20"/>
      <c r="CA130" s="61" t="str">
        <f>IF(_xlfn.XLOOKUP(BY130, AutoFill_classes!$A:$A, AutoFill_classes!$B:$B,"")=0,"",_xlfn.XLOOKUP(BY130, AutoFill_classes!$A:$A, AutoFill_classes!$B:$B,""))</f>
        <v/>
      </c>
      <c r="CB130" s="154"/>
      <c r="CC130" s="20"/>
      <c r="CD130" s="20"/>
      <c r="CE130" s="20"/>
      <c r="CF130" s="33"/>
      <c r="CG130" s="34"/>
      <c r="CH130" s="145"/>
      <c r="CI130" s="35"/>
      <c r="CJ130" s="60" t="str">
        <f t="shared" si="342"/>
        <v/>
      </c>
      <c r="CK130" s="32"/>
      <c r="CL130" s="32"/>
      <c r="CM130" s="32"/>
      <c r="CN130" s="32"/>
      <c r="CO130" s="58" t="str">
        <f t="shared" si="343"/>
        <v/>
      </c>
      <c r="CP130" s="20"/>
      <c r="CQ130" s="58" t="str">
        <f t="shared" si="344"/>
        <v/>
      </c>
      <c r="CR130" s="32"/>
      <c r="CS130" s="32"/>
      <c r="CT130" s="58" t="str">
        <f t="shared" si="345"/>
        <v/>
      </c>
      <c r="CU130" s="20"/>
      <c r="CV130" s="58" t="str">
        <f t="shared" si="346"/>
        <v/>
      </c>
      <c r="CW130" s="32"/>
      <c r="CX130" s="32"/>
      <c r="CY130" s="58" t="str">
        <f t="shared" si="347"/>
        <v/>
      </c>
      <c r="CZ130" s="58" t="str">
        <f t="shared" si="348"/>
        <v/>
      </c>
      <c r="DA130" s="58" t="str">
        <f t="shared" si="349"/>
        <v/>
      </c>
      <c r="DB130" s="59" t="str">
        <f t="shared" si="350"/>
        <v/>
      </c>
      <c r="DC130" s="20"/>
      <c r="DD130" s="144"/>
      <c r="DE130" s="91">
        <v>129</v>
      </c>
      <c r="DF130" s="39"/>
      <c r="DG130" s="39"/>
      <c r="DH130" s="39"/>
      <c r="DI130" s="39"/>
      <c r="DJ130" s="39"/>
      <c r="DK130" s="39"/>
      <c r="DL130" s="39"/>
      <c r="DM130" s="39"/>
      <c r="DN130" s="39"/>
      <c r="DO130" s="39"/>
      <c r="DP130" s="39"/>
      <c r="DQ130" s="39"/>
      <c r="DR130" s="39"/>
      <c r="DS130" s="39"/>
      <c r="DT130" s="39"/>
      <c r="DU130" s="39"/>
      <c r="DV130" s="39"/>
      <c r="DW130" s="39"/>
      <c r="DX130" s="39"/>
      <c r="DY130" s="39"/>
      <c r="DZ130" s="39"/>
      <c r="EA130" s="39"/>
      <c r="EB130" s="39"/>
      <c r="EC130" s="39"/>
      <c r="ED130" s="39"/>
      <c r="EE130" s="39"/>
      <c r="EF130" s="39"/>
      <c r="EG130" s="39"/>
      <c r="EH130" s="39"/>
      <c r="EI130" s="39"/>
      <c r="EJ130" s="39"/>
      <c r="EK130" s="39"/>
      <c r="EL130" s="39"/>
      <c r="EM130" s="39"/>
      <c r="EN130" s="39"/>
      <c r="EO130" s="39"/>
      <c r="EP130" s="39"/>
      <c r="EQ130" s="39"/>
      <c r="ER130" s="39"/>
      <c r="ES130" s="39"/>
      <c r="ET130" s="39"/>
      <c r="EU130" s="39"/>
      <c r="EV130" s="39"/>
      <c r="EW130" s="39"/>
      <c r="EX130" s="39"/>
      <c r="EY130" s="39"/>
      <c r="EZ130" s="39"/>
      <c r="FA130" s="39"/>
      <c r="FB130" s="39"/>
      <c r="FC130" s="39"/>
      <c r="FD130" s="39"/>
      <c r="FE130" s="39"/>
      <c r="FF130" s="39"/>
      <c r="FG130" s="39"/>
      <c r="FH130" s="39"/>
      <c r="FI130" s="39"/>
      <c r="FJ130" s="39"/>
      <c r="FK130" s="39"/>
      <c r="FL130" s="39"/>
      <c r="FM130" s="39"/>
      <c r="FN130" s="39"/>
      <c r="FO130" s="39"/>
      <c r="FP130" s="39"/>
      <c r="FQ130" s="39"/>
      <c r="FR130" s="39"/>
      <c r="FS130" s="39"/>
      <c r="FT130" s="39"/>
    </row>
    <row r="131" spans="1:176" s="113" customFormat="1" ht="34">
      <c r="A131" s="153" t="s">
        <v>1284</v>
      </c>
      <c r="B131" s="93" t="str">
        <f>"Total Credits: " &amp; IFERROR(IF(DD131=0,"",DD131),"")</f>
        <v xml:space="preserve">Total Credits: </v>
      </c>
      <c r="C131" s="114"/>
      <c r="D131" s="114"/>
      <c r="E131" s="114"/>
      <c r="F131" s="114"/>
      <c r="G131" s="114"/>
      <c r="H131" s="114"/>
      <c r="I131" s="114"/>
      <c r="J131" s="114"/>
      <c r="K131" s="114"/>
      <c r="L131" s="114"/>
      <c r="M131" s="114"/>
      <c r="P131" s="96"/>
      <c r="Q131" s="96"/>
      <c r="R131" s="96"/>
      <c r="S131" s="114"/>
      <c r="T131" s="114"/>
      <c r="U131" s="114"/>
      <c r="V131" s="97"/>
      <c r="W131" s="97"/>
      <c r="X131" s="143" t="str">
        <f>IF(SUM(X132:X140)=0, "", SUM(X132:X140))</f>
        <v/>
      </c>
      <c r="Y131" s="121"/>
      <c r="Z131" s="122"/>
      <c r="AA131" s="100"/>
      <c r="AB131" s="100"/>
      <c r="AC131" s="100"/>
      <c r="AD131" s="100"/>
      <c r="AE131" s="101"/>
      <c r="AF131" s="102"/>
      <c r="AG131" s="101"/>
      <c r="AH131" s="100"/>
      <c r="AI131" s="100"/>
      <c r="AJ131" s="101"/>
      <c r="AK131" s="102"/>
      <c r="AL131" s="101"/>
      <c r="AM131" s="100"/>
      <c r="AN131" s="100"/>
      <c r="AO131" s="103"/>
      <c r="AP131" s="103"/>
      <c r="AQ131" s="103"/>
      <c r="AR131" s="103"/>
      <c r="AS131" s="104"/>
      <c r="AT131" s="125"/>
      <c r="AU131" s="125"/>
      <c r="AX131" s="125"/>
      <c r="AY131" s="125"/>
      <c r="AZ131" s="125"/>
      <c r="BA131" s="112"/>
      <c r="BB131" s="112"/>
      <c r="BC131" s="143" t="str">
        <f>IF(SUM(BC132:BC140)=0, "", SUM(BC132:BC140))</f>
        <v/>
      </c>
      <c r="BD131" s="121"/>
      <c r="BE131" s="122"/>
      <c r="BF131" s="123"/>
      <c r="BG131" s="123"/>
      <c r="BH131" s="123"/>
      <c r="BI131" s="123"/>
      <c r="BJ131" s="124"/>
      <c r="BK131" s="125"/>
      <c r="BL131" s="124"/>
      <c r="BM131" s="123"/>
      <c r="BN131" s="123"/>
      <c r="BO131" s="124"/>
      <c r="BP131" s="125"/>
      <c r="BQ131" s="124"/>
      <c r="BR131" s="123"/>
      <c r="BS131" s="123"/>
      <c r="BT131" s="124"/>
      <c r="BU131" s="124"/>
      <c r="BV131" s="124"/>
      <c r="BW131" s="103"/>
      <c r="BX131" s="125"/>
      <c r="BY131" s="125"/>
      <c r="BZ131" s="125"/>
      <c r="CC131" s="125"/>
      <c r="CD131" s="125"/>
      <c r="CE131" s="125"/>
      <c r="CF131" s="97"/>
      <c r="CG131" s="98"/>
      <c r="CH131" s="143" t="str">
        <f>IF(SUM(CH132:CH140)=0, "", SUM(CH132:CH140))</f>
        <v/>
      </c>
      <c r="CI131" s="121"/>
      <c r="CJ131" s="122"/>
      <c r="CK131" s="123"/>
      <c r="CL131" s="123"/>
      <c r="CM131" s="123"/>
      <c r="CN131" s="123"/>
      <c r="CP131" s="125"/>
      <c r="CR131" s="123"/>
      <c r="CS131" s="123"/>
      <c r="CU131" s="125"/>
      <c r="CW131" s="123"/>
      <c r="CX131" s="123"/>
      <c r="DB131" s="103"/>
      <c r="DC131" s="125"/>
      <c r="DD131" s="143" t="str">
        <f>IF(SUM(L131:DC131)=0, "", SUM(L131:DC131))</f>
        <v/>
      </c>
      <c r="DE131" s="91">
        <v>130</v>
      </c>
      <c r="DF131" s="26"/>
      <c r="DG131" s="26"/>
      <c r="DH131" s="26"/>
      <c r="DI131" s="26"/>
      <c r="DJ131" s="26"/>
      <c r="DK131" s="26"/>
      <c r="DL131" s="26"/>
      <c r="DM131" s="26"/>
      <c r="DN131" s="26"/>
      <c r="DO131" s="26"/>
      <c r="DP131" s="26"/>
      <c r="DQ131" s="26"/>
      <c r="DR131" s="26"/>
      <c r="DS131" s="26"/>
      <c r="DT131" s="26"/>
      <c r="DU131" s="26"/>
      <c r="DV131" s="26"/>
      <c r="DW131" s="26"/>
      <c r="DX131" s="26"/>
      <c r="DY131" s="26"/>
      <c r="DZ131" s="26"/>
      <c r="EA131" s="26"/>
      <c r="EB131" s="26"/>
      <c r="EC131" s="26"/>
      <c r="ED131" s="26"/>
      <c r="EE131" s="26"/>
      <c r="EF131" s="26"/>
      <c r="EG131" s="26"/>
      <c r="EH131" s="26"/>
      <c r="EI131" s="26"/>
      <c r="EJ131" s="26"/>
      <c r="EK131" s="26"/>
      <c r="EL131" s="26"/>
      <c r="EM131" s="26"/>
      <c r="EN131" s="26"/>
      <c r="EO131" s="26"/>
      <c r="EP131" s="26"/>
      <c r="EQ131" s="26"/>
      <c r="ER131" s="26"/>
      <c r="ES131" s="26"/>
      <c r="ET131" s="26"/>
      <c r="EU131" s="26"/>
      <c r="EV131" s="26"/>
      <c r="EW131" s="26"/>
      <c r="EX131" s="26"/>
      <c r="EY131" s="26"/>
      <c r="EZ131" s="26"/>
      <c r="FA131" s="26"/>
      <c r="FB131" s="26"/>
      <c r="FC131" s="26"/>
      <c r="FD131" s="26"/>
      <c r="FE131" s="26"/>
      <c r="FF131" s="26"/>
      <c r="FG131" s="26"/>
      <c r="FH131" s="26"/>
      <c r="FI131" s="26"/>
      <c r="FJ131" s="26"/>
      <c r="FK131" s="26"/>
      <c r="FL131" s="26"/>
      <c r="FM131" s="26"/>
      <c r="FN131" s="26"/>
      <c r="FO131" s="26"/>
      <c r="FP131" s="26"/>
      <c r="FQ131" s="26"/>
      <c r="FR131" s="26"/>
      <c r="FS131" s="26"/>
      <c r="FT131" s="26"/>
    </row>
    <row r="132" spans="1:176" s="22" customFormat="1" ht="13">
      <c r="A132" s="7"/>
      <c r="B132" s="23" t="str">
        <f>IF(_xlfn.XLOOKUP(A132, AutoFill_names!B:B, AutoFill_names!C:C,"")=0,"",_xlfn.XLOOKUP(A132, AutoFill_names!B:B, AutoFill_names!C:C,""))</f>
        <v/>
      </c>
      <c r="C132" s="23" t="str">
        <f>IF(_xlfn.XLOOKUP(A132, AutoFill_names!B:B, AutoFill_names!D:D,"")=0,"",_xlfn.XLOOKUP(A132, AutoFill_names!B:B, AutoFill_names!D:D,""))</f>
        <v/>
      </c>
      <c r="D132" s="23" t="str">
        <f>IF(_xlfn.XLOOKUP(A132, AutoFill_names!B:B, AutoFill_names!E:E,"")=0,"",_xlfn.XLOOKUP(A132, AutoFill_names!B:B, AutoFill_names!E:E,""))</f>
        <v/>
      </c>
      <c r="E132" s="23" t="str">
        <f>IF(_xlfn.XLOOKUP(A132, AutoFill_names!B:B, AutoFill_names!F:F,"")=0,"",_xlfn.XLOOKUP(A132, AutoFill_names!B:B, AutoFill_names!F:F,""))</f>
        <v/>
      </c>
      <c r="F132" s="4"/>
      <c r="G132" s="4"/>
      <c r="H132" s="4"/>
      <c r="I132" s="4"/>
      <c r="J132" s="23" t="str">
        <f>IF(_xlfn.XLOOKUP(A132, AutoFill_names!B:B, AutoFill_names!K:K,"")=0,"",_xlfn.XLOOKUP(A132, AutoFill_names!B:B, AutoFill_names!K:K,""))</f>
        <v/>
      </c>
      <c r="K132" s="23" t="str">
        <f>IF(_xlfn.XLOOKUP(A132, AutoFill_names!B:B, AutoFill_names!L:L,"")=0,"",_xlfn.XLOOKUP(A132, AutoFill_names!B:B, AutoFill_names!L:L,""))</f>
        <v/>
      </c>
      <c r="L132" s="45"/>
      <c r="M132" s="45"/>
      <c r="N132" s="61" t="str">
        <f>IF(_xlfn.XLOOKUP(L132, AutoFill_classes!A:A, AutoFill_classes!B:B,"")=0,"",_xlfn.XLOOKUP(L132, AutoFill_classes!A:A, AutoFill_classes!B:B,""))</f>
        <v/>
      </c>
      <c r="O132" s="154"/>
      <c r="P132" s="9"/>
      <c r="Q132" s="9"/>
      <c r="R132" s="9"/>
      <c r="S132" s="5"/>
      <c r="T132" s="6"/>
      <c r="U132" s="5"/>
      <c r="V132" s="4"/>
      <c r="W132" s="4"/>
      <c r="X132" s="145"/>
      <c r="Y132" s="29"/>
      <c r="Z132" s="60" t="str">
        <f t="shared" ref="Z132:Z140" si="351">IF(X132*Y132=0,"",X132*Y132)</f>
        <v/>
      </c>
      <c r="AA132" s="28"/>
      <c r="AB132" s="28"/>
      <c r="AC132" s="28"/>
      <c r="AD132" s="28"/>
      <c r="AE132" s="58" t="str">
        <f t="shared" ref="AE132:AE140" si="352">IF(ROUNDUP((AD132-AC132)/7,0)=0,"",ROUNDUP((AD132-AC132)/7,0))</f>
        <v/>
      </c>
      <c r="AF132" s="19"/>
      <c r="AG132" s="58" t="str">
        <f t="shared" ref="AG132:AG140" si="353">IFERROR(IF(AE132*AF132=0,"",AE132*AF132), "")</f>
        <v/>
      </c>
      <c r="AH132" s="28"/>
      <c r="AI132" s="28"/>
      <c r="AJ132" s="58" t="str">
        <f t="shared" ref="AJ132:AJ140" si="354">IF(ROUNDUP((AI132-AH132)/7,0)=0,"",ROUNDUP((AI132-AH132)/7,0))</f>
        <v/>
      </c>
      <c r="AK132" s="19"/>
      <c r="AL132" s="58" t="str">
        <f t="shared" ref="AL132:AL140" si="355">IFERROR(IF(AJ132*AK132=0,"",AJ132*AK132), "")</f>
        <v/>
      </c>
      <c r="AM132" s="28"/>
      <c r="AN132" s="28"/>
      <c r="AO132" s="58" t="str">
        <f t="shared" ref="AO132:AO140" si="356">IF(ROUNDUP((AN132-AM132)/7,0)=0,"",ROUNDUP((AN132-AM132)/7,0))</f>
        <v/>
      </c>
      <c r="AP132" s="58" t="str">
        <f t="shared" ref="AP132:AP140" si="357">IFERROR(IF((AS132-(AF132+AK132))/AO132=0,"",ROUNDUP((AS132-(AF132+AK132))/AO132,0)), "")</f>
        <v/>
      </c>
      <c r="AQ132" s="58" t="str">
        <f t="shared" ref="AQ132:AQ140" si="358">IFERROR(IF((AS132-(AG132+AL132))=0, "", (AS132-(AG132+AL132))), "")</f>
        <v/>
      </c>
      <c r="AR132" s="59" t="str">
        <f t="shared" ref="AR132:AR140" si="359">IFERROR(IF((AE132+AJ132+AO132)=0, "", (AE132+AJ132+AO132)), "")</f>
        <v/>
      </c>
      <c r="AS132" s="19"/>
      <c r="AT132" s="16"/>
      <c r="AU132" s="16"/>
      <c r="AV132" s="61" t="str">
        <f>IF(_xlfn.XLOOKUP(AT132, AutoFill_classes!$A:$A, AutoFill_classes!$B:$B,"")=0,"",_xlfn.XLOOKUP(AT132, AutoFill_classes!$A:$A, AutoFill_classes!$B:$B,""))</f>
        <v/>
      </c>
      <c r="AW132" s="154"/>
      <c r="AX132" s="14"/>
      <c r="AY132" s="16"/>
      <c r="AZ132" s="14"/>
      <c r="BA132" s="16"/>
      <c r="BB132" s="16"/>
      <c r="BC132" s="145"/>
      <c r="BD132" s="27"/>
      <c r="BE132" s="60" t="str">
        <f t="shared" ref="BE132:BE140" si="360">IF(BC132*BD132=0,"",BC132*BD132)</f>
        <v/>
      </c>
      <c r="BF132" s="28"/>
      <c r="BG132" s="28"/>
      <c r="BH132" s="28"/>
      <c r="BI132" s="28"/>
      <c r="BJ132" s="58" t="str">
        <f t="shared" ref="BJ132:BJ140" si="361">IF(ROUNDUP((BI132-BH132)/7,0)=0,"",ROUNDUP((BI132-BH132)/7,0))</f>
        <v/>
      </c>
      <c r="BK132" s="19"/>
      <c r="BL132" s="58" t="str">
        <f t="shared" ref="BL132:BL140" si="362">IFERROR(IF(BJ132*BK132=0,"",BJ132*BK132), "")</f>
        <v/>
      </c>
      <c r="BM132" s="28"/>
      <c r="BN132" s="28"/>
      <c r="BO132" s="58" t="str">
        <f t="shared" ref="BO132:BO140" si="363">IF(ROUNDUP((BN132-BM132)/7,0)=0,"",ROUNDUP((BN132-BM132)/7,0))</f>
        <v/>
      </c>
      <c r="BP132" s="19"/>
      <c r="BQ132" s="58" t="str">
        <f t="shared" ref="BQ132:BQ140" si="364">IFERROR(IF(BO132*BP132=0,"",BO132*BP132), "")</f>
        <v/>
      </c>
      <c r="BR132" s="28"/>
      <c r="BS132" s="28"/>
      <c r="BT132" s="58" t="str">
        <f t="shared" ref="BT132:BT140" si="365">IF(ROUNDUP((BS132-BR132)/7,0)=0,"",ROUNDUP((BS132-BR132)/7,0))</f>
        <v/>
      </c>
      <c r="BU132" s="58" t="str">
        <f t="shared" ref="BU132:BU140" si="366">IFERROR(IF((BX132-(BK132+BP132))/BT132=0,"",ROUNDUP((BX132-(BK132+BP132))/BT132,0)), "")</f>
        <v/>
      </c>
      <c r="BV132" s="58" t="str">
        <f t="shared" ref="BV132:BV140" si="367">IFERROR(IF((BX132-(BL132+BQ132))=0, "", (BX132-(BL132+BQ132))), "")</f>
        <v/>
      </c>
      <c r="BW132" s="59" t="str">
        <f t="shared" ref="BW132:BW140" si="368">IFERROR(IF((BJ132+BO132+BT132)=0, "", (BJ132+BO132+BT132)), "")</f>
        <v/>
      </c>
      <c r="BX132" s="16"/>
      <c r="BY132" s="12"/>
      <c r="BZ132" s="51"/>
      <c r="CA132" s="61" t="str">
        <f>IF(_xlfn.XLOOKUP(BY132, AutoFill_classes!$A:$A, AutoFill_classes!$B:$B,"")=0,"",_xlfn.XLOOKUP(BY132, AutoFill_classes!$A:$A, AutoFill_classes!$B:$B,""))</f>
        <v/>
      </c>
      <c r="CB132" s="154"/>
      <c r="CC132" s="19"/>
      <c r="CD132" s="19"/>
      <c r="CE132" s="19"/>
      <c r="CF132" s="30"/>
      <c r="CG132" s="31"/>
      <c r="CH132" s="145"/>
      <c r="CI132" s="31"/>
      <c r="CJ132" s="60" t="str">
        <f t="shared" ref="CJ132:CJ140" si="369">IF(CH132*CI132=0,"",CH132*CI132)</f>
        <v/>
      </c>
      <c r="CK132" s="28"/>
      <c r="CL132" s="28"/>
      <c r="CM132" s="28"/>
      <c r="CN132" s="28"/>
      <c r="CO132" s="58" t="str">
        <f t="shared" ref="CO132:CO140" si="370">IF(ROUNDUP((CN132-CM132)/7,0)=0,"",ROUNDUP((CN132-CM132)/7,0))</f>
        <v/>
      </c>
      <c r="CP132" s="19"/>
      <c r="CQ132" s="58" t="str">
        <f t="shared" ref="CQ132:CQ140" si="371">IFERROR(IF(CO132*CP132=0,"",CO132*CP132), "")</f>
        <v/>
      </c>
      <c r="CR132" s="28"/>
      <c r="CS132" s="28"/>
      <c r="CT132" s="58" t="str">
        <f t="shared" ref="CT132:CT140" si="372">IF(ROUNDUP((CS132-CR132)/7,0)=0,"",ROUNDUP((CS132-CR132)/7,0))</f>
        <v/>
      </c>
      <c r="CU132" s="19"/>
      <c r="CV132" s="58" t="str">
        <f t="shared" ref="CV132:CV140" si="373">IFERROR(IF(CT132*CU132=0,"",CT132*CU132), "")</f>
        <v/>
      </c>
      <c r="CW132" s="28"/>
      <c r="CX132" s="28"/>
      <c r="CY132" s="58" t="str">
        <f t="shared" ref="CY132:CY140" si="374">IF(ROUNDUP((CX132-CW132)/7,0)=0,"",ROUNDUP((CX132-CW132)/7,0))</f>
        <v/>
      </c>
      <c r="CZ132" s="58" t="str">
        <f t="shared" ref="CZ132:CZ140" si="375">IFERROR(IF((DC132-(CP132+CU132))/CY132=0,"",ROUNDUP((DC132-(CP132+CU132))/CY132,0)), "")</f>
        <v/>
      </c>
      <c r="DA132" s="58" t="str">
        <f t="shared" ref="DA132:DA140" si="376">IFERROR(IF((DC132-(CQ132+CV132))=0, "", (DC132-(CQ132+CV132))), "")</f>
        <v/>
      </c>
      <c r="DB132" s="59" t="str">
        <f t="shared" ref="DB132:DB140" si="377">IFERROR(IF((CO132+CT132+CY132)=0, "", (CO132+CT132+CY132)), "")</f>
        <v/>
      </c>
      <c r="DC132" s="19"/>
      <c r="DD132" s="144"/>
      <c r="DE132" s="91">
        <v>131</v>
      </c>
      <c r="DF132" s="39"/>
      <c r="DG132" s="39"/>
      <c r="DH132" s="39"/>
      <c r="DI132" s="39"/>
      <c r="DJ132" s="39"/>
      <c r="DK132" s="39"/>
      <c r="DL132" s="39"/>
      <c r="DM132" s="39"/>
      <c r="DN132" s="39"/>
      <c r="DO132" s="39"/>
      <c r="DP132" s="39"/>
      <c r="DQ132" s="39"/>
      <c r="DR132" s="39"/>
      <c r="DS132" s="39"/>
      <c r="DT132" s="39"/>
      <c r="DU132" s="39"/>
      <c r="DV132" s="39"/>
      <c r="DW132" s="39"/>
      <c r="DX132" s="39"/>
      <c r="DY132" s="39"/>
      <c r="DZ132" s="39"/>
      <c r="EA132" s="39"/>
      <c r="EB132" s="39"/>
      <c r="EC132" s="39"/>
      <c r="ED132" s="39"/>
      <c r="EE132" s="39"/>
      <c r="EF132" s="39"/>
      <c r="EG132" s="39"/>
      <c r="EH132" s="39"/>
      <c r="EI132" s="39"/>
      <c r="EJ132" s="39"/>
      <c r="EK132" s="39"/>
      <c r="EL132" s="39"/>
      <c r="EM132" s="39"/>
      <c r="EN132" s="39"/>
      <c r="EO132" s="39"/>
      <c r="EP132" s="39"/>
      <c r="EQ132" s="39"/>
      <c r="ER132" s="39"/>
      <c r="ES132" s="39"/>
      <c r="ET132" s="39"/>
      <c r="EU132" s="39"/>
      <c r="EV132" s="39"/>
      <c r="EW132" s="39"/>
      <c r="EX132" s="39"/>
      <c r="EY132" s="39"/>
      <c r="EZ132" s="39"/>
      <c r="FA132" s="39"/>
      <c r="FB132" s="39"/>
      <c r="FC132" s="39"/>
      <c r="FD132" s="39"/>
      <c r="FE132" s="39"/>
      <c r="FF132" s="39"/>
      <c r="FG132" s="39"/>
      <c r="FH132" s="39"/>
      <c r="FI132" s="39"/>
      <c r="FJ132" s="39"/>
      <c r="FK132" s="39"/>
      <c r="FL132" s="39"/>
      <c r="FM132" s="39"/>
      <c r="FN132" s="39"/>
      <c r="FO132" s="39"/>
      <c r="FP132" s="39"/>
      <c r="FQ132" s="39"/>
      <c r="FR132" s="39"/>
      <c r="FS132" s="39"/>
      <c r="FT132" s="39"/>
    </row>
    <row r="133" spans="1:176" s="22" customFormat="1" ht="13">
      <c r="A133" s="7"/>
      <c r="B133" s="23" t="str">
        <f>IF(_xlfn.XLOOKUP(A133, AutoFill_names!B:B, AutoFill_names!C:C,"")=0,"",_xlfn.XLOOKUP(A133, AutoFill_names!B:B, AutoFill_names!C:C,""))</f>
        <v/>
      </c>
      <c r="C133" s="23" t="str">
        <f>IF(_xlfn.XLOOKUP(A133, AutoFill_names!B:B, AutoFill_names!D:D,"")=0,"",_xlfn.XLOOKUP(A133, AutoFill_names!B:B, AutoFill_names!D:D,""))</f>
        <v/>
      </c>
      <c r="D133" s="23" t="str">
        <f>IF(_xlfn.XLOOKUP(A133, AutoFill_names!B:B, AutoFill_names!E:E,"")=0,"",_xlfn.XLOOKUP(A133, AutoFill_names!B:B, AutoFill_names!E:E,""))</f>
        <v/>
      </c>
      <c r="E133" s="23" t="str">
        <f>IF(_xlfn.XLOOKUP(A133, AutoFill_names!B:B, AutoFill_names!F:F,"")=0,"",_xlfn.XLOOKUP(A133, AutoFill_names!B:B, AutoFill_names!F:F,""))</f>
        <v/>
      </c>
      <c r="F133" s="4"/>
      <c r="G133" s="4"/>
      <c r="H133" s="4"/>
      <c r="I133" s="4"/>
      <c r="J133" s="23" t="str">
        <f>IF(_xlfn.XLOOKUP(A133, AutoFill_names!B:B, AutoFill_names!K:K,"")=0,"",_xlfn.XLOOKUP(A133, AutoFill_names!B:B, AutoFill_names!K:K,""))</f>
        <v/>
      </c>
      <c r="K133" s="23" t="str">
        <f>IF(_xlfn.XLOOKUP(A133, AutoFill_names!B:B, AutoFill_names!L:L,"")=0,"",_xlfn.XLOOKUP(A133, AutoFill_names!B:B, AutoFill_names!L:L,""))</f>
        <v/>
      </c>
      <c r="L133" s="45"/>
      <c r="M133" s="45"/>
      <c r="N133" s="61" t="str">
        <f>IF(_xlfn.XLOOKUP(L133, AutoFill_classes!A:A, AutoFill_classes!B:B,"")=0,"",_xlfn.XLOOKUP(L133, AutoFill_classes!A:A, AutoFill_classes!B:B,""))</f>
        <v/>
      </c>
      <c r="O133" s="154"/>
      <c r="P133" s="9"/>
      <c r="Q133" s="9"/>
      <c r="R133" s="9"/>
      <c r="S133" s="5"/>
      <c r="T133" s="6"/>
      <c r="U133" s="5"/>
      <c r="V133" s="4"/>
      <c r="W133" s="4"/>
      <c r="X133" s="145"/>
      <c r="Y133" s="29"/>
      <c r="Z133" s="60" t="str">
        <f t="shared" si="351"/>
        <v/>
      </c>
      <c r="AA133" s="32"/>
      <c r="AB133" s="32"/>
      <c r="AC133" s="32"/>
      <c r="AD133" s="32"/>
      <c r="AE133" s="58" t="str">
        <f t="shared" si="352"/>
        <v/>
      </c>
      <c r="AF133" s="20"/>
      <c r="AG133" s="58" t="str">
        <f t="shared" si="353"/>
        <v/>
      </c>
      <c r="AH133" s="32"/>
      <c r="AI133" s="32"/>
      <c r="AJ133" s="58" t="str">
        <f t="shared" si="354"/>
        <v/>
      </c>
      <c r="AK133" s="20"/>
      <c r="AL133" s="58" t="str">
        <f t="shared" si="355"/>
        <v/>
      </c>
      <c r="AM133" s="32"/>
      <c r="AN133" s="32"/>
      <c r="AO133" s="58" t="str">
        <f t="shared" si="356"/>
        <v/>
      </c>
      <c r="AP133" s="58" t="str">
        <f t="shared" si="357"/>
        <v/>
      </c>
      <c r="AQ133" s="58" t="str">
        <f t="shared" si="358"/>
        <v/>
      </c>
      <c r="AR133" s="59" t="str">
        <f t="shared" si="359"/>
        <v/>
      </c>
      <c r="AS133" s="20"/>
      <c r="AT133" s="16"/>
      <c r="AU133" s="16"/>
      <c r="AV133" s="61" t="str">
        <f>IF(_xlfn.XLOOKUP(AT133, AutoFill_classes!$A:$A, AutoFill_classes!$B:$B,"")=0,"",_xlfn.XLOOKUP(AT133, AutoFill_classes!$A:$A, AutoFill_classes!$B:$B,""))</f>
        <v/>
      </c>
      <c r="AW133" s="154"/>
      <c r="AX133" s="14"/>
      <c r="AY133" s="16"/>
      <c r="AZ133" s="14"/>
      <c r="BA133" s="16"/>
      <c r="BB133" s="16"/>
      <c r="BC133" s="145"/>
      <c r="BD133" s="27"/>
      <c r="BE133" s="60" t="str">
        <f t="shared" si="360"/>
        <v/>
      </c>
      <c r="BF133" s="32"/>
      <c r="BG133" s="32"/>
      <c r="BH133" s="32"/>
      <c r="BI133" s="32"/>
      <c r="BJ133" s="58" t="str">
        <f t="shared" si="361"/>
        <v/>
      </c>
      <c r="BK133" s="20"/>
      <c r="BL133" s="58" t="str">
        <f t="shared" si="362"/>
        <v/>
      </c>
      <c r="BM133" s="32"/>
      <c r="BN133" s="32"/>
      <c r="BO133" s="58" t="str">
        <f t="shared" si="363"/>
        <v/>
      </c>
      <c r="BP133" s="20"/>
      <c r="BQ133" s="58" t="str">
        <f t="shared" si="364"/>
        <v/>
      </c>
      <c r="BR133" s="32"/>
      <c r="BS133" s="32"/>
      <c r="BT133" s="58" t="str">
        <f t="shared" si="365"/>
        <v/>
      </c>
      <c r="BU133" s="58" t="str">
        <f t="shared" si="366"/>
        <v/>
      </c>
      <c r="BV133" s="58" t="str">
        <f t="shared" si="367"/>
        <v/>
      </c>
      <c r="BW133" s="59" t="str">
        <f t="shared" si="368"/>
        <v/>
      </c>
      <c r="BX133" s="16"/>
      <c r="BY133" s="21"/>
      <c r="BZ133" s="20"/>
      <c r="CA133" s="61" t="str">
        <f>IF(_xlfn.XLOOKUP(BY133, AutoFill_classes!$A:$A, AutoFill_classes!$B:$B,"")=0,"",_xlfn.XLOOKUP(BY133, AutoFill_classes!$A:$A, AutoFill_classes!$B:$B,""))</f>
        <v/>
      </c>
      <c r="CB133" s="154"/>
      <c r="CC133" s="20"/>
      <c r="CD133" s="20"/>
      <c r="CE133" s="20"/>
      <c r="CF133" s="33"/>
      <c r="CG133" s="34"/>
      <c r="CH133" s="145"/>
      <c r="CI133" s="35"/>
      <c r="CJ133" s="60" t="str">
        <f t="shared" si="369"/>
        <v/>
      </c>
      <c r="CK133" s="32"/>
      <c r="CL133" s="32"/>
      <c r="CM133" s="32"/>
      <c r="CN133" s="32"/>
      <c r="CO133" s="58" t="str">
        <f t="shared" si="370"/>
        <v/>
      </c>
      <c r="CP133" s="20"/>
      <c r="CQ133" s="58" t="str">
        <f t="shared" si="371"/>
        <v/>
      </c>
      <c r="CR133" s="32"/>
      <c r="CS133" s="32"/>
      <c r="CT133" s="58" t="str">
        <f t="shared" si="372"/>
        <v/>
      </c>
      <c r="CU133" s="20"/>
      <c r="CV133" s="58" t="str">
        <f t="shared" si="373"/>
        <v/>
      </c>
      <c r="CW133" s="32"/>
      <c r="CX133" s="32"/>
      <c r="CY133" s="58" t="str">
        <f t="shared" si="374"/>
        <v/>
      </c>
      <c r="CZ133" s="58" t="str">
        <f t="shared" si="375"/>
        <v/>
      </c>
      <c r="DA133" s="58" t="str">
        <f t="shared" si="376"/>
        <v/>
      </c>
      <c r="DB133" s="59" t="str">
        <f t="shared" si="377"/>
        <v/>
      </c>
      <c r="DC133" s="20"/>
      <c r="DD133" s="144"/>
      <c r="DE133" s="91">
        <v>132</v>
      </c>
      <c r="DF133" s="39"/>
      <c r="DG133" s="39"/>
      <c r="DH133" s="39"/>
      <c r="DI133" s="39"/>
      <c r="DJ133" s="39"/>
      <c r="DK133" s="39"/>
      <c r="DL133" s="39"/>
      <c r="DM133" s="39"/>
      <c r="DN133" s="39"/>
      <c r="DO133" s="39"/>
      <c r="DP133" s="39"/>
      <c r="DQ133" s="39"/>
      <c r="DR133" s="39"/>
      <c r="DS133" s="39"/>
      <c r="DT133" s="39"/>
      <c r="DU133" s="39"/>
      <c r="DV133" s="39"/>
      <c r="DW133" s="39"/>
      <c r="DX133" s="39"/>
      <c r="DY133" s="39"/>
      <c r="DZ133" s="39"/>
      <c r="EA133" s="39"/>
      <c r="EB133" s="39"/>
      <c r="EC133" s="39"/>
      <c r="ED133" s="39"/>
      <c r="EE133" s="39"/>
      <c r="EF133" s="39"/>
      <c r="EG133" s="39"/>
      <c r="EH133" s="39"/>
      <c r="EI133" s="39"/>
      <c r="EJ133" s="39"/>
      <c r="EK133" s="39"/>
      <c r="EL133" s="39"/>
      <c r="EM133" s="39"/>
      <c r="EN133" s="39"/>
      <c r="EO133" s="39"/>
      <c r="EP133" s="39"/>
      <c r="EQ133" s="39"/>
      <c r="ER133" s="39"/>
      <c r="ES133" s="39"/>
      <c r="ET133" s="39"/>
      <c r="EU133" s="39"/>
      <c r="EV133" s="39"/>
      <c r="EW133" s="39"/>
      <c r="EX133" s="39"/>
      <c r="EY133" s="39"/>
      <c r="EZ133" s="39"/>
      <c r="FA133" s="39"/>
      <c r="FB133" s="39"/>
      <c r="FC133" s="39"/>
      <c r="FD133" s="39"/>
      <c r="FE133" s="39"/>
      <c r="FF133" s="39"/>
      <c r="FG133" s="39"/>
      <c r="FH133" s="39"/>
      <c r="FI133" s="39"/>
      <c r="FJ133" s="39"/>
      <c r="FK133" s="39"/>
      <c r="FL133" s="39"/>
      <c r="FM133" s="39"/>
      <c r="FN133" s="39"/>
      <c r="FO133" s="39"/>
      <c r="FP133" s="39"/>
      <c r="FQ133" s="39"/>
      <c r="FR133" s="39"/>
      <c r="FS133" s="39"/>
      <c r="FT133" s="39"/>
    </row>
    <row r="134" spans="1:176" s="22" customFormat="1" ht="13">
      <c r="A134" s="7"/>
      <c r="B134" s="23" t="str">
        <f>IF(_xlfn.XLOOKUP(A134, AutoFill_names!B:B, AutoFill_names!C:C,"")=0,"",_xlfn.XLOOKUP(A134, AutoFill_names!B:B, AutoFill_names!C:C,""))</f>
        <v/>
      </c>
      <c r="C134" s="23" t="str">
        <f>IF(_xlfn.XLOOKUP(A134, AutoFill_names!B:B, AutoFill_names!D:D,"")=0,"",_xlfn.XLOOKUP(A134, AutoFill_names!B:B, AutoFill_names!D:D,""))</f>
        <v/>
      </c>
      <c r="D134" s="23" t="str">
        <f>IF(_xlfn.XLOOKUP(A134, AutoFill_names!B:B, AutoFill_names!E:E,"")=0,"",_xlfn.XLOOKUP(A134, AutoFill_names!B:B, AutoFill_names!E:E,""))</f>
        <v/>
      </c>
      <c r="E134" s="23" t="str">
        <f>IF(_xlfn.XLOOKUP(A134, AutoFill_names!B:B, AutoFill_names!F:F,"")=0,"",_xlfn.XLOOKUP(A134, AutoFill_names!B:B, AutoFill_names!F:F,""))</f>
        <v/>
      </c>
      <c r="F134" s="4"/>
      <c r="G134" s="4"/>
      <c r="H134" s="4"/>
      <c r="I134" s="4"/>
      <c r="J134" s="23" t="str">
        <f>IF(_xlfn.XLOOKUP(A134, AutoFill_names!B:B, AutoFill_names!K:K,"")=0,"",_xlfn.XLOOKUP(A134, AutoFill_names!B:B, AutoFill_names!K:K,""))</f>
        <v/>
      </c>
      <c r="K134" s="23" t="str">
        <f>IF(_xlfn.XLOOKUP(A134, AutoFill_names!B:B, AutoFill_names!L:L,"")=0,"",_xlfn.XLOOKUP(A134, AutoFill_names!B:B, AutoFill_names!L:L,""))</f>
        <v/>
      </c>
      <c r="L134" s="45"/>
      <c r="M134" s="45"/>
      <c r="N134" s="61" t="str">
        <f>IF(_xlfn.XLOOKUP(L134, AutoFill_classes!A:A, AutoFill_classes!B:B,"")=0,"",_xlfn.XLOOKUP(L134, AutoFill_classes!A:A, AutoFill_classes!B:B,""))</f>
        <v/>
      </c>
      <c r="O134" s="154"/>
      <c r="P134" s="9"/>
      <c r="Q134" s="9"/>
      <c r="R134" s="9"/>
      <c r="S134" s="5"/>
      <c r="T134" s="6"/>
      <c r="U134" s="5"/>
      <c r="V134" s="4"/>
      <c r="W134" s="4"/>
      <c r="X134" s="145"/>
      <c r="Y134" s="29"/>
      <c r="Z134" s="60" t="str">
        <f t="shared" si="351"/>
        <v/>
      </c>
      <c r="AA134" s="32"/>
      <c r="AB134" s="32"/>
      <c r="AC134" s="36"/>
      <c r="AD134" s="36"/>
      <c r="AE134" s="58" t="str">
        <f t="shared" si="352"/>
        <v/>
      </c>
      <c r="AF134" s="20"/>
      <c r="AG134" s="58" t="str">
        <f t="shared" si="353"/>
        <v/>
      </c>
      <c r="AH134" s="36"/>
      <c r="AI134" s="36"/>
      <c r="AJ134" s="58" t="str">
        <f t="shared" si="354"/>
        <v/>
      </c>
      <c r="AK134" s="20"/>
      <c r="AL134" s="58" t="str">
        <f t="shared" si="355"/>
        <v/>
      </c>
      <c r="AM134" s="36"/>
      <c r="AN134" s="36"/>
      <c r="AO134" s="58" t="str">
        <f t="shared" si="356"/>
        <v/>
      </c>
      <c r="AP134" s="58" t="str">
        <f t="shared" si="357"/>
        <v/>
      </c>
      <c r="AQ134" s="58" t="str">
        <f t="shared" si="358"/>
        <v/>
      </c>
      <c r="AR134" s="59" t="str">
        <f t="shared" si="359"/>
        <v/>
      </c>
      <c r="AS134" s="20"/>
      <c r="AT134" s="16"/>
      <c r="AU134" s="16"/>
      <c r="AV134" s="61" t="str">
        <f>IF(_xlfn.XLOOKUP(AT134, AutoFill_classes!$A:$A, AutoFill_classes!$B:$B,"")=0,"",_xlfn.XLOOKUP(AT134, AutoFill_classes!$A:$A, AutoFill_classes!$B:$B,""))</f>
        <v/>
      </c>
      <c r="AW134" s="154"/>
      <c r="AX134" s="14"/>
      <c r="AY134" s="16"/>
      <c r="AZ134" s="14"/>
      <c r="BA134" s="16"/>
      <c r="BB134" s="16"/>
      <c r="BC134" s="145"/>
      <c r="BD134" s="27"/>
      <c r="BE134" s="60" t="str">
        <f t="shared" si="360"/>
        <v/>
      </c>
      <c r="BF134" s="32"/>
      <c r="BG134" s="32"/>
      <c r="BH134" s="36"/>
      <c r="BI134" s="36"/>
      <c r="BJ134" s="58" t="str">
        <f t="shared" si="361"/>
        <v/>
      </c>
      <c r="BK134" s="20"/>
      <c r="BL134" s="58" t="str">
        <f t="shared" si="362"/>
        <v/>
      </c>
      <c r="BM134" s="36"/>
      <c r="BN134" s="36"/>
      <c r="BO134" s="58" t="str">
        <f t="shared" si="363"/>
        <v/>
      </c>
      <c r="BP134" s="20"/>
      <c r="BQ134" s="58" t="str">
        <f t="shared" si="364"/>
        <v/>
      </c>
      <c r="BR134" s="36"/>
      <c r="BS134" s="36"/>
      <c r="BT134" s="58" t="str">
        <f t="shared" si="365"/>
        <v/>
      </c>
      <c r="BU134" s="58" t="str">
        <f t="shared" si="366"/>
        <v/>
      </c>
      <c r="BV134" s="58" t="str">
        <f t="shared" si="367"/>
        <v/>
      </c>
      <c r="BW134" s="59" t="str">
        <f t="shared" si="368"/>
        <v/>
      </c>
      <c r="BX134" s="16"/>
      <c r="BY134" s="21"/>
      <c r="BZ134" s="20"/>
      <c r="CA134" s="61" t="str">
        <f>IF(_xlfn.XLOOKUP(BY134, AutoFill_classes!$A:$A, AutoFill_classes!$B:$B,"")=0,"",_xlfn.XLOOKUP(BY134, AutoFill_classes!$A:$A, AutoFill_classes!$B:$B,""))</f>
        <v/>
      </c>
      <c r="CB134" s="154"/>
      <c r="CC134" s="20"/>
      <c r="CD134" s="20"/>
      <c r="CE134" s="20"/>
      <c r="CF134" s="33"/>
      <c r="CG134" s="34"/>
      <c r="CH134" s="145"/>
      <c r="CI134" s="35"/>
      <c r="CJ134" s="60" t="str">
        <f t="shared" si="369"/>
        <v/>
      </c>
      <c r="CK134" s="32"/>
      <c r="CL134" s="32"/>
      <c r="CM134" s="36"/>
      <c r="CN134" s="36"/>
      <c r="CO134" s="58" t="str">
        <f t="shared" si="370"/>
        <v/>
      </c>
      <c r="CP134" s="20"/>
      <c r="CQ134" s="58" t="str">
        <f t="shared" si="371"/>
        <v/>
      </c>
      <c r="CR134" s="36"/>
      <c r="CS134" s="36"/>
      <c r="CT134" s="58" t="str">
        <f t="shared" si="372"/>
        <v/>
      </c>
      <c r="CU134" s="20"/>
      <c r="CV134" s="58" t="str">
        <f t="shared" si="373"/>
        <v/>
      </c>
      <c r="CW134" s="36"/>
      <c r="CX134" s="36"/>
      <c r="CY134" s="58" t="str">
        <f t="shared" si="374"/>
        <v/>
      </c>
      <c r="CZ134" s="58" t="str">
        <f t="shared" si="375"/>
        <v/>
      </c>
      <c r="DA134" s="58" t="str">
        <f t="shared" si="376"/>
        <v/>
      </c>
      <c r="DB134" s="59" t="str">
        <f t="shared" si="377"/>
        <v/>
      </c>
      <c r="DC134" s="20"/>
      <c r="DD134" s="144"/>
      <c r="DE134" s="91">
        <v>133</v>
      </c>
      <c r="DF134" s="39"/>
      <c r="DG134" s="39"/>
      <c r="DH134" s="39"/>
      <c r="DI134" s="39"/>
      <c r="DJ134" s="39"/>
      <c r="DK134" s="39"/>
      <c r="DL134" s="39"/>
      <c r="DM134" s="39"/>
      <c r="DN134" s="39"/>
      <c r="DO134" s="39"/>
      <c r="DP134" s="39"/>
      <c r="DQ134" s="39"/>
      <c r="DR134" s="39"/>
      <c r="DS134" s="39"/>
      <c r="DT134" s="39"/>
      <c r="DU134" s="39"/>
      <c r="DV134" s="39"/>
      <c r="DW134" s="39"/>
      <c r="DX134" s="39"/>
      <c r="DY134" s="39"/>
      <c r="DZ134" s="39"/>
      <c r="EA134" s="39"/>
      <c r="EB134" s="39"/>
      <c r="EC134" s="39"/>
      <c r="ED134" s="39"/>
      <c r="EE134" s="39"/>
      <c r="EF134" s="39"/>
      <c r="EG134" s="39"/>
      <c r="EH134" s="39"/>
      <c r="EI134" s="39"/>
      <c r="EJ134" s="39"/>
      <c r="EK134" s="39"/>
      <c r="EL134" s="39"/>
      <c r="EM134" s="39"/>
      <c r="EN134" s="39"/>
      <c r="EO134" s="39"/>
      <c r="EP134" s="39"/>
      <c r="EQ134" s="39"/>
      <c r="ER134" s="39"/>
      <c r="ES134" s="39"/>
      <c r="ET134" s="39"/>
      <c r="EU134" s="39"/>
      <c r="EV134" s="39"/>
      <c r="EW134" s="39"/>
      <c r="EX134" s="39"/>
      <c r="EY134" s="39"/>
      <c r="EZ134" s="39"/>
      <c r="FA134" s="39"/>
      <c r="FB134" s="39"/>
      <c r="FC134" s="39"/>
      <c r="FD134" s="39"/>
      <c r="FE134" s="39"/>
      <c r="FF134" s="39"/>
      <c r="FG134" s="39"/>
      <c r="FH134" s="39"/>
      <c r="FI134" s="39"/>
      <c r="FJ134" s="39"/>
      <c r="FK134" s="39"/>
      <c r="FL134" s="39"/>
      <c r="FM134" s="39"/>
      <c r="FN134" s="39"/>
      <c r="FO134" s="39"/>
      <c r="FP134" s="39"/>
      <c r="FQ134" s="39"/>
      <c r="FR134" s="39"/>
      <c r="FS134" s="39"/>
      <c r="FT134" s="39"/>
    </row>
    <row r="135" spans="1:176" s="22" customFormat="1" ht="13">
      <c r="A135" s="7"/>
      <c r="B135" s="23" t="str">
        <f>IF(_xlfn.XLOOKUP(A135, AutoFill_names!B:B, AutoFill_names!C:C,"")=0,"",_xlfn.XLOOKUP(A135, AutoFill_names!B:B, AutoFill_names!C:C,""))</f>
        <v/>
      </c>
      <c r="C135" s="23" t="str">
        <f>IF(_xlfn.XLOOKUP(A135, AutoFill_names!B:B, AutoFill_names!D:D,"")=0,"",_xlfn.XLOOKUP(A135, AutoFill_names!B:B, AutoFill_names!D:D,""))</f>
        <v/>
      </c>
      <c r="D135" s="23" t="str">
        <f>IF(_xlfn.XLOOKUP(A135, AutoFill_names!B:B, AutoFill_names!E:E,"")=0,"",_xlfn.XLOOKUP(A135, AutoFill_names!B:B, AutoFill_names!E:E,""))</f>
        <v/>
      </c>
      <c r="E135" s="23" t="str">
        <f>IF(_xlfn.XLOOKUP(A135, AutoFill_names!B:B, AutoFill_names!F:F,"")=0,"",_xlfn.XLOOKUP(A135, AutoFill_names!B:B, AutoFill_names!F:F,""))</f>
        <v/>
      </c>
      <c r="F135" s="4"/>
      <c r="G135" s="4"/>
      <c r="H135" s="4"/>
      <c r="I135" s="4"/>
      <c r="J135" s="23" t="str">
        <f>IF(_xlfn.XLOOKUP(A135, AutoFill_names!B:B, AutoFill_names!K:K,"")=0,"",_xlfn.XLOOKUP(A135, AutoFill_names!B:B, AutoFill_names!K:K,""))</f>
        <v/>
      </c>
      <c r="K135" s="23" t="str">
        <f>IF(_xlfn.XLOOKUP(A135, AutoFill_names!B:B, AutoFill_names!L:L,"")=0,"",_xlfn.XLOOKUP(A135, AutoFill_names!B:B, AutoFill_names!L:L,""))</f>
        <v/>
      </c>
      <c r="L135" s="45"/>
      <c r="M135" s="45"/>
      <c r="N135" s="61" t="str">
        <f>IF(_xlfn.XLOOKUP(L135, AutoFill_classes!A:A, AutoFill_classes!B:B,"")=0,"",_xlfn.XLOOKUP(L135, AutoFill_classes!A:A, AutoFill_classes!B:B,""))</f>
        <v/>
      </c>
      <c r="O135" s="154"/>
      <c r="P135" s="9"/>
      <c r="Q135" s="9"/>
      <c r="R135" s="9"/>
      <c r="S135" s="5"/>
      <c r="T135" s="6"/>
      <c r="U135" s="5"/>
      <c r="V135" s="4"/>
      <c r="W135" s="4"/>
      <c r="X135" s="145"/>
      <c r="Y135" s="29"/>
      <c r="Z135" s="60" t="str">
        <f t="shared" si="351"/>
        <v/>
      </c>
      <c r="AA135" s="32"/>
      <c r="AB135" s="32"/>
      <c r="AC135" s="32"/>
      <c r="AD135" s="32"/>
      <c r="AE135" s="58" t="str">
        <f t="shared" si="352"/>
        <v/>
      </c>
      <c r="AF135" s="20"/>
      <c r="AG135" s="58" t="str">
        <f t="shared" si="353"/>
        <v/>
      </c>
      <c r="AH135" s="32"/>
      <c r="AI135" s="32"/>
      <c r="AJ135" s="58" t="str">
        <f t="shared" si="354"/>
        <v/>
      </c>
      <c r="AK135" s="20"/>
      <c r="AL135" s="58" t="str">
        <f t="shared" si="355"/>
        <v/>
      </c>
      <c r="AM135" s="32"/>
      <c r="AN135" s="32"/>
      <c r="AO135" s="58" t="str">
        <f t="shared" si="356"/>
        <v/>
      </c>
      <c r="AP135" s="58" t="str">
        <f t="shared" si="357"/>
        <v/>
      </c>
      <c r="AQ135" s="58" t="str">
        <f t="shared" si="358"/>
        <v/>
      </c>
      <c r="AR135" s="59" t="str">
        <f t="shared" si="359"/>
        <v/>
      </c>
      <c r="AS135" s="20"/>
      <c r="AT135" s="16"/>
      <c r="AU135" s="16"/>
      <c r="AV135" s="61" t="str">
        <f>IF(_xlfn.XLOOKUP(AT135, AutoFill_classes!$A:$A, AutoFill_classes!$B:$B,"")=0,"",_xlfn.XLOOKUP(AT135, AutoFill_classes!$A:$A, AutoFill_classes!$B:$B,""))</f>
        <v/>
      </c>
      <c r="AW135" s="154"/>
      <c r="AX135" s="14"/>
      <c r="AY135" s="16"/>
      <c r="AZ135" s="14"/>
      <c r="BA135" s="16"/>
      <c r="BB135" s="16"/>
      <c r="BC135" s="145"/>
      <c r="BD135" s="27"/>
      <c r="BE135" s="60" t="str">
        <f t="shared" si="360"/>
        <v/>
      </c>
      <c r="BF135" s="32"/>
      <c r="BG135" s="32"/>
      <c r="BH135" s="32"/>
      <c r="BI135" s="32"/>
      <c r="BJ135" s="58" t="str">
        <f t="shared" si="361"/>
        <v/>
      </c>
      <c r="BK135" s="20"/>
      <c r="BL135" s="58" t="str">
        <f t="shared" si="362"/>
        <v/>
      </c>
      <c r="BM135" s="32"/>
      <c r="BN135" s="32"/>
      <c r="BO135" s="58" t="str">
        <f t="shared" si="363"/>
        <v/>
      </c>
      <c r="BP135" s="20"/>
      <c r="BQ135" s="58" t="str">
        <f t="shared" si="364"/>
        <v/>
      </c>
      <c r="BR135" s="32"/>
      <c r="BS135" s="32"/>
      <c r="BT135" s="58" t="str">
        <f t="shared" si="365"/>
        <v/>
      </c>
      <c r="BU135" s="58" t="str">
        <f t="shared" si="366"/>
        <v/>
      </c>
      <c r="BV135" s="58" t="str">
        <f t="shared" si="367"/>
        <v/>
      </c>
      <c r="BW135" s="59" t="str">
        <f t="shared" si="368"/>
        <v/>
      </c>
      <c r="BX135" s="16"/>
      <c r="BY135" s="21"/>
      <c r="BZ135" s="20"/>
      <c r="CA135" s="61" t="str">
        <f>IF(_xlfn.XLOOKUP(BY135, AutoFill_classes!$A:$A, AutoFill_classes!$B:$B,"")=0,"",_xlfn.XLOOKUP(BY135, AutoFill_classes!$A:$A, AutoFill_classes!$B:$B,""))</f>
        <v/>
      </c>
      <c r="CB135" s="154"/>
      <c r="CC135" s="20"/>
      <c r="CD135" s="20"/>
      <c r="CE135" s="20"/>
      <c r="CF135" s="33"/>
      <c r="CG135" s="34"/>
      <c r="CH135" s="145"/>
      <c r="CI135" s="35"/>
      <c r="CJ135" s="60" t="str">
        <f t="shared" si="369"/>
        <v/>
      </c>
      <c r="CK135" s="32"/>
      <c r="CL135" s="32"/>
      <c r="CM135" s="32"/>
      <c r="CN135" s="32"/>
      <c r="CO135" s="58" t="str">
        <f t="shared" si="370"/>
        <v/>
      </c>
      <c r="CP135" s="20"/>
      <c r="CQ135" s="58" t="str">
        <f t="shared" si="371"/>
        <v/>
      </c>
      <c r="CR135" s="32"/>
      <c r="CS135" s="32"/>
      <c r="CT135" s="58" t="str">
        <f t="shared" si="372"/>
        <v/>
      </c>
      <c r="CU135" s="20"/>
      <c r="CV135" s="58" t="str">
        <f t="shared" si="373"/>
        <v/>
      </c>
      <c r="CW135" s="32"/>
      <c r="CX135" s="32"/>
      <c r="CY135" s="58" t="str">
        <f t="shared" si="374"/>
        <v/>
      </c>
      <c r="CZ135" s="58" t="str">
        <f t="shared" si="375"/>
        <v/>
      </c>
      <c r="DA135" s="58" t="str">
        <f t="shared" si="376"/>
        <v/>
      </c>
      <c r="DB135" s="59" t="str">
        <f t="shared" si="377"/>
        <v/>
      </c>
      <c r="DC135" s="20"/>
      <c r="DD135" s="144"/>
      <c r="DE135" s="91">
        <v>134</v>
      </c>
      <c r="DF135" s="39"/>
      <c r="DG135" s="39"/>
      <c r="DH135" s="39"/>
      <c r="DI135" s="39"/>
      <c r="DJ135" s="39"/>
      <c r="DK135" s="39"/>
      <c r="DL135" s="39"/>
      <c r="DM135" s="39"/>
      <c r="DN135" s="39"/>
      <c r="DO135" s="39"/>
      <c r="DP135" s="39"/>
      <c r="DQ135" s="39"/>
      <c r="DR135" s="39"/>
      <c r="DS135" s="39"/>
      <c r="DT135" s="39"/>
      <c r="DU135" s="39"/>
      <c r="DV135" s="39"/>
      <c r="DW135" s="39"/>
      <c r="DX135" s="39"/>
      <c r="DY135" s="39"/>
      <c r="DZ135" s="39"/>
      <c r="EA135" s="39"/>
      <c r="EB135" s="39"/>
      <c r="EC135" s="39"/>
      <c r="ED135" s="39"/>
      <c r="EE135" s="39"/>
      <c r="EF135" s="39"/>
      <c r="EG135" s="39"/>
      <c r="EH135" s="39"/>
      <c r="EI135" s="39"/>
      <c r="EJ135" s="39"/>
      <c r="EK135" s="39"/>
      <c r="EL135" s="39"/>
      <c r="EM135" s="39"/>
      <c r="EN135" s="39"/>
      <c r="EO135" s="39"/>
      <c r="EP135" s="39"/>
      <c r="EQ135" s="39"/>
      <c r="ER135" s="39"/>
      <c r="ES135" s="39"/>
      <c r="ET135" s="39"/>
      <c r="EU135" s="39"/>
      <c r="EV135" s="39"/>
      <c r="EW135" s="39"/>
      <c r="EX135" s="39"/>
      <c r="EY135" s="39"/>
      <c r="EZ135" s="39"/>
      <c r="FA135" s="39"/>
      <c r="FB135" s="39"/>
      <c r="FC135" s="39"/>
      <c r="FD135" s="39"/>
      <c r="FE135" s="39"/>
      <c r="FF135" s="39"/>
      <c r="FG135" s="39"/>
      <c r="FH135" s="39"/>
      <c r="FI135" s="39"/>
      <c r="FJ135" s="39"/>
      <c r="FK135" s="39"/>
      <c r="FL135" s="39"/>
      <c r="FM135" s="39"/>
      <c r="FN135" s="39"/>
      <c r="FO135" s="39"/>
      <c r="FP135" s="39"/>
      <c r="FQ135" s="39"/>
      <c r="FR135" s="39"/>
      <c r="FS135" s="39"/>
      <c r="FT135" s="39"/>
    </row>
    <row r="136" spans="1:176" s="22" customFormat="1" ht="13">
      <c r="A136" s="7"/>
      <c r="B136" s="23" t="str">
        <f>IF(_xlfn.XLOOKUP(A136, AutoFill_names!B:B, AutoFill_names!C:C,"")=0,"",_xlfn.XLOOKUP(A136, AutoFill_names!B:B, AutoFill_names!C:C,""))</f>
        <v/>
      </c>
      <c r="C136" s="23" t="str">
        <f>IF(_xlfn.XLOOKUP(A136, AutoFill_names!B:B, AutoFill_names!D:D,"")=0,"",_xlfn.XLOOKUP(A136, AutoFill_names!B:B, AutoFill_names!D:D,""))</f>
        <v/>
      </c>
      <c r="D136" s="23" t="str">
        <f>IF(_xlfn.XLOOKUP(A136, AutoFill_names!B:B, AutoFill_names!E:E,"")=0,"",_xlfn.XLOOKUP(A136, AutoFill_names!B:B, AutoFill_names!E:E,""))</f>
        <v/>
      </c>
      <c r="E136" s="23" t="str">
        <f>IF(_xlfn.XLOOKUP(A136, AutoFill_names!B:B, AutoFill_names!F:F,"")=0,"",_xlfn.XLOOKUP(A136, AutoFill_names!B:B, AutoFill_names!F:F,""))</f>
        <v/>
      </c>
      <c r="F136" s="4"/>
      <c r="G136" s="4"/>
      <c r="H136" s="4"/>
      <c r="I136" s="4"/>
      <c r="J136" s="23" t="str">
        <f>IF(_xlfn.XLOOKUP(A136, AutoFill_names!B:B, AutoFill_names!K:K,"")=0,"",_xlfn.XLOOKUP(A136, AutoFill_names!B:B, AutoFill_names!K:K,""))</f>
        <v/>
      </c>
      <c r="K136" s="23" t="str">
        <f>IF(_xlfn.XLOOKUP(A136, AutoFill_names!B:B, AutoFill_names!L:L,"")=0,"",_xlfn.XLOOKUP(A136, AutoFill_names!B:B, AutoFill_names!L:L,""))</f>
        <v/>
      </c>
      <c r="L136" s="45"/>
      <c r="M136" s="45"/>
      <c r="N136" s="61" t="str">
        <f>IF(_xlfn.XLOOKUP(L136, AutoFill_classes!A:A, AutoFill_classes!B:B,"")=0,"",_xlfn.XLOOKUP(L136, AutoFill_classes!A:A, AutoFill_classes!B:B,""))</f>
        <v/>
      </c>
      <c r="O136" s="154"/>
      <c r="P136" s="9"/>
      <c r="Q136" s="9"/>
      <c r="R136" s="9"/>
      <c r="S136" s="5"/>
      <c r="T136" s="6"/>
      <c r="U136" s="5"/>
      <c r="V136" s="4"/>
      <c r="W136" s="4"/>
      <c r="X136" s="145"/>
      <c r="Y136" s="29"/>
      <c r="Z136" s="60" t="str">
        <f t="shared" si="351"/>
        <v/>
      </c>
      <c r="AA136" s="32"/>
      <c r="AB136" s="32"/>
      <c r="AC136" s="32"/>
      <c r="AD136" s="32"/>
      <c r="AE136" s="58" t="str">
        <f t="shared" si="352"/>
        <v/>
      </c>
      <c r="AF136" s="20"/>
      <c r="AG136" s="58" t="str">
        <f t="shared" si="353"/>
        <v/>
      </c>
      <c r="AH136" s="32"/>
      <c r="AI136" s="32"/>
      <c r="AJ136" s="58" t="str">
        <f t="shared" si="354"/>
        <v/>
      </c>
      <c r="AK136" s="20"/>
      <c r="AL136" s="58" t="str">
        <f t="shared" si="355"/>
        <v/>
      </c>
      <c r="AM136" s="32"/>
      <c r="AN136" s="32"/>
      <c r="AO136" s="58" t="str">
        <f t="shared" si="356"/>
        <v/>
      </c>
      <c r="AP136" s="58" t="str">
        <f t="shared" si="357"/>
        <v/>
      </c>
      <c r="AQ136" s="58" t="str">
        <f t="shared" si="358"/>
        <v/>
      </c>
      <c r="AR136" s="59" t="str">
        <f t="shared" si="359"/>
        <v/>
      </c>
      <c r="AS136" s="20"/>
      <c r="AT136" s="16"/>
      <c r="AU136" s="16"/>
      <c r="AV136" s="61" t="str">
        <f>IF(_xlfn.XLOOKUP(AT136, AutoFill_classes!$A:$A, AutoFill_classes!$B:$B,"")=0,"",_xlfn.XLOOKUP(AT136, AutoFill_classes!$A:$A, AutoFill_classes!$B:$B,""))</f>
        <v/>
      </c>
      <c r="AW136" s="154"/>
      <c r="AX136" s="14"/>
      <c r="AY136" s="16"/>
      <c r="AZ136" s="14"/>
      <c r="BA136" s="16"/>
      <c r="BB136" s="16"/>
      <c r="BC136" s="145"/>
      <c r="BD136" s="27"/>
      <c r="BE136" s="60" t="str">
        <f t="shared" si="360"/>
        <v/>
      </c>
      <c r="BF136" s="32"/>
      <c r="BG136" s="32"/>
      <c r="BH136" s="32"/>
      <c r="BI136" s="32"/>
      <c r="BJ136" s="58" t="str">
        <f t="shared" si="361"/>
        <v/>
      </c>
      <c r="BK136" s="20"/>
      <c r="BL136" s="58" t="str">
        <f t="shared" si="362"/>
        <v/>
      </c>
      <c r="BM136" s="32"/>
      <c r="BN136" s="32"/>
      <c r="BO136" s="58" t="str">
        <f t="shared" si="363"/>
        <v/>
      </c>
      <c r="BP136" s="20"/>
      <c r="BQ136" s="58" t="str">
        <f t="shared" si="364"/>
        <v/>
      </c>
      <c r="BR136" s="32"/>
      <c r="BS136" s="32"/>
      <c r="BT136" s="58" t="str">
        <f t="shared" si="365"/>
        <v/>
      </c>
      <c r="BU136" s="58" t="str">
        <f t="shared" si="366"/>
        <v/>
      </c>
      <c r="BV136" s="58" t="str">
        <f t="shared" si="367"/>
        <v/>
      </c>
      <c r="BW136" s="59" t="str">
        <f t="shared" si="368"/>
        <v/>
      </c>
      <c r="BX136" s="16"/>
      <c r="BY136" s="21"/>
      <c r="BZ136" s="20"/>
      <c r="CA136" s="61" t="str">
        <f>IF(_xlfn.XLOOKUP(BY136, AutoFill_classes!$A:$A, AutoFill_classes!$B:$B,"")=0,"",_xlfn.XLOOKUP(BY136, AutoFill_classes!$A:$A, AutoFill_classes!$B:$B,""))</f>
        <v/>
      </c>
      <c r="CB136" s="154"/>
      <c r="CC136" s="20"/>
      <c r="CD136" s="20"/>
      <c r="CE136" s="20"/>
      <c r="CF136" s="33"/>
      <c r="CG136" s="34"/>
      <c r="CH136" s="145"/>
      <c r="CI136" s="35"/>
      <c r="CJ136" s="60" t="str">
        <f t="shared" si="369"/>
        <v/>
      </c>
      <c r="CK136" s="32"/>
      <c r="CL136" s="32"/>
      <c r="CM136" s="32"/>
      <c r="CN136" s="32"/>
      <c r="CO136" s="58" t="str">
        <f t="shared" si="370"/>
        <v/>
      </c>
      <c r="CP136" s="20"/>
      <c r="CQ136" s="58" t="str">
        <f t="shared" si="371"/>
        <v/>
      </c>
      <c r="CR136" s="32"/>
      <c r="CS136" s="32"/>
      <c r="CT136" s="58" t="str">
        <f t="shared" si="372"/>
        <v/>
      </c>
      <c r="CU136" s="20"/>
      <c r="CV136" s="58" t="str">
        <f t="shared" si="373"/>
        <v/>
      </c>
      <c r="CW136" s="32"/>
      <c r="CX136" s="32"/>
      <c r="CY136" s="58" t="str">
        <f t="shared" si="374"/>
        <v/>
      </c>
      <c r="CZ136" s="58" t="str">
        <f t="shared" si="375"/>
        <v/>
      </c>
      <c r="DA136" s="58" t="str">
        <f t="shared" si="376"/>
        <v/>
      </c>
      <c r="DB136" s="59" t="str">
        <f t="shared" si="377"/>
        <v/>
      </c>
      <c r="DC136" s="20"/>
      <c r="DD136" s="144"/>
      <c r="DE136" s="91">
        <v>135</v>
      </c>
      <c r="DF136" s="39"/>
      <c r="DG136" s="39"/>
      <c r="DH136" s="39"/>
      <c r="DI136" s="39"/>
      <c r="DJ136" s="39"/>
      <c r="DK136" s="39"/>
      <c r="DL136" s="39"/>
      <c r="DM136" s="39"/>
      <c r="DN136" s="39"/>
      <c r="DO136" s="39"/>
      <c r="DP136" s="39"/>
      <c r="DQ136" s="39"/>
      <c r="DR136" s="39"/>
      <c r="DS136" s="39"/>
      <c r="DT136" s="39"/>
      <c r="DU136" s="39"/>
      <c r="DV136" s="39"/>
      <c r="DW136" s="39"/>
      <c r="DX136" s="39"/>
      <c r="DY136" s="39"/>
      <c r="DZ136" s="39"/>
      <c r="EA136" s="39"/>
      <c r="EB136" s="39"/>
      <c r="EC136" s="39"/>
      <c r="ED136" s="39"/>
      <c r="EE136" s="39"/>
      <c r="EF136" s="39"/>
      <c r="EG136" s="39"/>
      <c r="EH136" s="39"/>
      <c r="EI136" s="39"/>
      <c r="EJ136" s="39"/>
      <c r="EK136" s="39"/>
      <c r="EL136" s="39"/>
      <c r="EM136" s="39"/>
      <c r="EN136" s="39"/>
      <c r="EO136" s="39"/>
      <c r="EP136" s="39"/>
      <c r="EQ136" s="39"/>
      <c r="ER136" s="39"/>
      <c r="ES136" s="39"/>
      <c r="ET136" s="39"/>
      <c r="EU136" s="39"/>
      <c r="EV136" s="39"/>
      <c r="EW136" s="39"/>
      <c r="EX136" s="39"/>
      <c r="EY136" s="39"/>
      <c r="EZ136" s="39"/>
      <c r="FA136" s="39"/>
      <c r="FB136" s="39"/>
      <c r="FC136" s="39"/>
      <c r="FD136" s="39"/>
      <c r="FE136" s="39"/>
      <c r="FF136" s="39"/>
      <c r="FG136" s="39"/>
      <c r="FH136" s="39"/>
      <c r="FI136" s="39"/>
      <c r="FJ136" s="39"/>
      <c r="FK136" s="39"/>
      <c r="FL136" s="39"/>
      <c r="FM136" s="39"/>
      <c r="FN136" s="39"/>
      <c r="FO136" s="39"/>
      <c r="FP136" s="39"/>
      <c r="FQ136" s="39"/>
      <c r="FR136" s="39"/>
      <c r="FS136" s="39"/>
      <c r="FT136" s="39"/>
    </row>
    <row r="137" spans="1:176" s="22" customFormat="1" ht="13">
      <c r="A137" s="7"/>
      <c r="B137" s="23" t="str">
        <f>IF(_xlfn.XLOOKUP(A137, AutoFill_names!B:B, AutoFill_names!C:C,"")=0,"",_xlfn.XLOOKUP(A137, AutoFill_names!B:B, AutoFill_names!C:C,""))</f>
        <v/>
      </c>
      <c r="C137" s="23" t="str">
        <f>IF(_xlfn.XLOOKUP(A137, AutoFill_names!B:B, AutoFill_names!D:D,"")=0,"",_xlfn.XLOOKUP(A137, AutoFill_names!B:B, AutoFill_names!D:D,""))</f>
        <v/>
      </c>
      <c r="D137" s="23" t="str">
        <f>IF(_xlfn.XLOOKUP(A137, AutoFill_names!B:B, AutoFill_names!E:E,"")=0,"",_xlfn.XLOOKUP(A137, AutoFill_names!B:B, AutoFill_names!E:E,""))</f>
        <v/>
      </c>
      <c r="E137" s="23" t="str">
        <f>IF(_xlfn.XLOOKUP(A137, AutoFill_names!B:B, AutoFill_names!F:F,"")=0,"",_xlfn.XLOOKUP(A137, AutoFill_names!B:B, AutoFill_names!F:F,""))</f>
        <v/>
      </c>
      <c r="F137" s="4"/>
      <c r="G137" s="4"/>
      <c r="H137" s="4"/>
      <c r="I137" s="4"/>
      <c r="J137" s="23" t="str">
        <f>IF(_xlfn.XLOOKUP(A137, AutoFill_names!B:B, AutoFill_names!K:K,"")=0,"",_xlfn.XLOOKUP(A137, AutoFill_names!B:B, AutoFill_names!K:K,""))</f>
        <v/>
      </c>
      <c r="K137" s="23" t="str">
        <f>IF(_xlfn.XLOOKUP(A137, AutoFill_names!B:B, AutoFill_names!L:L,"")=0,"",_xlfn.XLOOKUP(A137, AutoFill_names!B:B, AutoFill_names!L:L,""))</f>
        <v/>
      </c>
      <c r="L137" s="45"/>
      <c r="M137" s="45"/>
      <c r="N137" s="61" t="str">
        <f>IF(_xlfn.XLOOKUP(L137, AutoFill_classes!A:A, AutoFill_classes!B:B,"")=0,"",_xlfn.XLOOKUP(L137, AutoFill_classes!A:A, AutoFill_classes!B:B,""))</f>
        <v/>
      </c>
      <c r="O137" s="154"/>
      <c r="P137" s="9"/>
      <c r="Q137" s="9"/>
      <c r="R137" s="9"/>
      <c r="S137" s="5"/>
      <c r="T137" s="6"/>
      <c r="U137" s="5"/>
      <c r="V137" s="4"/>
      <c r="W137" s="4"/>
      <c r="X137" s="145"/>
      <c r="Y137" s="29"/>
      <c r="Z137" s="60" t="str">
        <f t="shared" si="351"/>
        <v/>
      </c>
      <c r="AA137" s="32"/>
      <c r="AB137" s="32"/>
      <c r="AC137" s="32"/>
      <c r="AD137" s="32"/>
      <c r="AE137" s="58" t="str">
        <f t="shared" si="352"/>
        <v/>
      </c>
      <c r="AF137" s="20"/>
      <c r="AG137" s="58" t="str">
        <f t="shared" si="353"/>
        <v/>
      </c>
      <c r="AH137" s="32"/>
      <c r="AI137" s="32"/>
      <c r="AJ137" s="58" t="str">
        <f t="shared" si="354"/>
        <v/>
      </c>
      <c r="AK137" s="20"/>
      <c r="AL137" s="58" t="str">
        <f t="shared" si="355"/>
        <v/>
      </c>
      <c r="AM137" s="32"/>
      <c r="AN137" s="32"/>
      <c r="AO137" s="58" t="str">
        <f t="shared" si="356"/>
        <v/>
      </c>
      <c r="AP137" s="58" t="str">
        <f t="shared" si="357"/>
        <v/>
      </c>
      <c r="AQ137" s="58" t="str">
        <f t="shared" si="358"/>
        <v/>
      </c>
      <c r="AR137" s="59" t="str">
        <f t="shared" si="359"/>
        <v/>
      </c>
      <c r="AS137" s="20"/>
      <c r="AT137" s="16"/>
      <c r="AU137" s="16"/>
      <c r="AV137" s="61" t="str">
        <f>IF(_xlfn.XLOOKUP(AT137, AutoFill_classes!$A:$A, AutoFill_classes!$B:$B,"")=0,"",_xlfn.XLOOKUP(AT137, AutoFill_classes!$A:$A, AutoFill_classes!$B:$B,""))</f>
        <v/>
      </c>
      <c r="AW137" s="154"/>
      <c r="AX137" s="14"/>
      <c r="AY137" s="16"/>
      <c r="AZ137" s="14"/>
      <c r="BA137" s="16"/>
      <c r="BB137" s="16"/>
      <c r="BC137" s="145"/>
      <c r="BD137" s="27"/>
      <c r="BE137" s="60" t="str">
        <f t="shared" si="360"/>
        <v/>
      </c>
      <c r="BF137" s="32"/>
      <c r="BG137" s="32"/>
      <c r="BH137" s="32"/>
      <c r="BI137" s="32"/>
      <c r="BJ137" s="58" t="str">
        <f t="shared" si="361"/>
        <v/>
      </c>
      <c r="BK137" s="20"/>
      <c r="BL137" s="58" t="str">
        <f t="shared" si="362"/>
        <v/>
      </c>
      <c r="BM137" s="32"/>
      <c r="BN137" s="32"/>
      <c r="BO137" s="58" t="str">
        <f t="shared" si="363"/>
        <v/>
      </c>
      <c r="BP137" s="20"/>
      <c r="BQ137" s="58" t="str">
        <f t="shared" si="364"/>
        <v/>
      </c>
      <c r="BR137" s="32"/>
      <c r="BS137" s="32"/>
      <c r="BT137" s="58" t="str">
        <f t="shared" si="365"/>
        <v/>
      </c>
      <c r="BU137" s="58" t="str">
        <f t="shared" si="366"/>
        <v/>
      </c>
      <c r="BV137" s="58" t="str">
        <f t="shared" si="367"/>
        <v/>
      </c>
      <c r="BW137" s="59" t="str">
        <f t="shared" si="368"/>
        <v/>
      </c>
      <c r="BX137" s="16"/>
      <c r="BY137" s="21"/>
      <c r="BZ137" s="20"/>
      <c r="CA137" s="61" t="str">
        <f>IF(_xlfn.XLOOKUP(BY137, AutoFill_classes!$A:$A, AutoFill_classes!$B:$B,"")=0,"",_xlfn.XLOOKUP(BY137, AutoFill_classes!$A:$A, AutoFill_classes!$B:$B,""))</f>
        <v/>
      </c>
      <c r="CB137" s="154"/>
      <c r="CC137" s="20"/>
      <c r="CD137" s="20"/>
      <c r="CE137" s="20"/>
      <c r="CF137" s="33"/>
      <c r="CG137" s="34"/>
      <c r="CH137" s="145"/>
      <c r="CI137" s="35"/>
      <c r="CJ137" s="60" t="str">
        <f t="shared" si="369"/>
        <v/>
      </c>
      <c r="CK137" s="32"/>
      <c r="CL137" s="32"/>
      <c r="CM137" s="32"/>
      <c r="CN137" s="32"/>
      <c r="CO137" s="58" t="str">
        <f t="shared" si="370"/>
        <v/>
      </c>
      <c r="CP137" s="20"/>
      <c r="CQ137" s="58" t="str">
        <f t="shared" si="371"/>
        <v/>
      </c>
      <c r="CR137" s="32"/>
      <c r="CS137" s="32"/>
      <c r="CT137" s="58" t="str">
        <f t="shared" si="372"/>
        <v/>
      </c>
      <c r="CU137" s="20"/>
      <c r="CV137" s="58" t="str">
        <f t="shared" si="373"/>
        <v/>
      </c>
      <c r="CW137" s="32"/>
      <c r="CX137" s="32"/>
      <c r="CY137" s="58" t="str">
        <f t="shared" si="374"/>
        <v/>
      </c>
      <c r="CZ137" s="58" t="str">
        <f t="shared" si="375"/>
        <v/>
      </c>
      <c r="DA137" s="58" t="str">
        <f t="shared" si="376"/>
        <v/>
      </c>
      <c r="DB137" s="59" t="str">
        <f t="shared" si="377"/>
        <v/>
      </c>
      <c r="DC137" s="20"/>
      <c r="DD137" s="144"/>
      <c r="DE137" s="91">
        <v>136</v>
      </c>
      <c r="DF137" s="39"/>
      <c r="DG137" s="39"/>
      <c r="DH137" s="39"/>
      <c r="DI137" s="39"/>
      <c r="DJ137" s="39"/>
      <c r="DK137" s="39"/>
      <c r="DL137" s="39"/>
      <c r="DM137" s="39"/>
      <c r="DN137" s="39"/>
      <c r="DO137" s="39"/>
      <c r="DP137" s="39"/>
      <c r="DQ137" s="39"/>
      <c r="DR137" s="39"/>
      <c r="DS137" s="39"/>
      <c r="DT137" s="39"/>
      <c r="DU137" s="39"/>
      <c r="DV137" s="39"/>
      <c r="DW137" s="39"/>
      <c r="DX137" s="39"/>
      <c r="DY137" s="39"/>
      <c r="DZ137" s="39"/>
      <c r="EA137" s="39"/>
      <c r="EB137" s="39"/>
      <c r="EC137" s="39"/>
      <c r="ED137" s="39"/>
      <c r="EE137" s="39"/>
      <c r="EF137" s="39"/>
      <c r="EG137" s="39"/>
      <c r="EH137" s="39"/>
      <c r="EI137" s="39"/>
      <c r="EJ137" s="39"/>
      <c r="EK137" s="39"/>
      <c r="EL137" s="39"/>
      <c r="EM137" s="39"/>
      <c r="EN137" s="39"/>
      <c r="EO137" s="39"/>
      <c r="EP137" s="39"/>
      <c r="EQ137" s="39"/>
      <c r="ER137" s="39"/>
      <c r="ES137" s="39"/>
      <c r="ET137" s="39"/>
      <c r="EU137" s="39"/>
      <c r="EV137" s="39"/>
      <c r="EW137" s="39"/>
      <c r="EX137" s="39"/>
      <c r="EY137" s="39"/>
      <c r="EZ137" s="39"/>
      <c r="FA137" s="39"/>
      <c r="FB137" s="39"/>
      <c r="FC137" s="39"/>
      <c r="FD137" s="39"/>
      <c r="FE137" s="39"/>
      <c r="FF137" s="39"/>
      <c r="FG137" s="39"/>
      <c r="FH137" s="39"/>
      <c r="FI137" s="39"/>
      <c r="FJ137" s="39"/>
      <c r="FK137" s="39"/>
      <c r="FL137" s="39"/>
      <c r="FM137" s="39"/>
      <c r="FN137" s="39"/>
      <c r="FO137" s="39"/>
      <c r="FP137" s="39"/>
      <c r="FQ137" s="39"/>
      <c r="FR137" s="39"/>
      <c r="FS137" s="39"/>
      <c r="FT137" s="39"/>
    </row>
    <row r="138" spans="1:176" s="22" customFormat="1" ht="13">
      <c r="A138" s="7"/>
      <c r="B138" s="23" t="str">
        <f>IF(_xlfn.XLOOKUP(A138, AutoFill_names!B:B, AutoFill_names!C:C,"")=0,"",_xlfn.XLOOKUP(A138, AutoFill_names!B:B, AutoFill_names!C:C,""))</f>
        <v/>
      </c>
      <c r="C138" s="23" t="str">
        <f>IF(_xlfn.XLOOKUP(A138, AutoFill_names!B:B, AutoFill_names!D:D,"")=0,"",_xlfn.XLOOKUP(A138, AutoFill_names!B:B, AutoFill_names!D:D,""))</f>
        <v/>
      </c>
      <c r="D138" s="23" t="str">
        <f>IF(_xlfn.XLOOKUP(A138, AutoFill_names!B:B, AutoFill_names!E:E,"")=0,"",_xlfn.XLOOKUP(A138, AutoFill_names!B:B, AutoFill_names!E:E,""))</f>
        <v/>
      </c>
      <c r="E138" s="23" t="str">
        <f>IF(_xlfn.XLOOKUP(A138, AutoFill_names!B:B, AutoFill_names!F:F,"")=0,"",_xlfn.XLOOKUP(A138, AutoFill_names!B:B, AutoFill_names!F:F,""))</f>
        <v/>
      </c>
      <c r="F138" s="4"/>
      <c r="G138" s="4"/>
      <c r="H138" s="4"/>
      <c r="I138" s="4"/>
      <c r="J138" s="23" t="str">
        <f>IF(_xlfn.XLOOKUP(A138, AutoFill_names!B:B, AutoFill_names!K:K,"")=0,"",_xlfn.XLOOKUP(A138, AutoFill_names!B:B, AutoFill_names!K:K,""))</f>
        <v/>
      </c>
      <c r="K138" s="23" t="str">
        <f>IF(_xlfn.XLOOKUP(A138, AutoFill_names!B:B, AutoFill_names!L:L,"")=0,"",_xlfn.XLOOKUP(A138, AutoFill_names!B:B, AutoFill_names!L:L,""))</f>
        <v/>
      </c>
      <c r="L138" s="45"/>
      <c r="M138" s="45"/>
      <c r="N138" s="61" t="str">
        <f>IF(_xlfn.XLOOKUP(L138, AutoFill_classes!A:A, AutoFill_classes!B:B,"")=0,"",_xlfn.XLOOKUP(L138, AutoFill_classes!A:A, AutoFill_classes!B:B,""))</f>
        <v/>
      </c>
      <c r="O138" s="154"/>
      <c r="P138" s="9"/>
      <c r="Q138" s="9"/>
      <c r="R138" s="9"/>
      <c r="S138" s="5"/>
      <c r="T138" s="6"/>
      <c r="U138" s="5"/>
      <c r="V138" s="4"/>
      <c r="W138" s="4"/>
      <c r="X138" s="145"/>
      <c r="Y138" s="29"/>
      <c r="Z138" s="60" t="str">
        <f t="shared" si="351"/>
        <v/>
      </c>
      <c r="AA138" s="32"/>
      <c r="AB138" s="32"/>
      <c r="AC138" s="32"/>
      <c r="AD138" s="32"/>
      <c r="AE138" s="58" t="str">
        <f t="shared" si="352"/>
        <v/>
      </c>
      <c r="AF138" s="20"/>
      <c r="AG138" s="58" t="str">
        <f t="shared" si="353"/>
        <v/>
      </c>
      <c r="AH138" s="32"/>
      <c r="AI138" s="32"/>
      <c r="AJ138" s="58" t="str">
        <f t="shared" si="354"/>
        <v/>
      </c>
      <c r="AK138" s="20"/>
      <c r="AL138" s="58" t="str">
        <f t="shared" si="355"/>
        <v/>
      </c>
      <c r="AM138" s="32"/>
      <c r="AN138" s="32"/>
      <c r="AO138" s="58" t="str">
        <f t="shared" si="356"/>
        <v/>
      </c>
      <c r="AP138" s="58" t="str">
        <f t="shared" si="357"/>
        <v/>
      </c>
      <c r="AQ138" s="58" t="str">
        <f t="shared" si="358"/>
        <v/>
      </c>
      <c r="AR138" s="59" t="str">
        <f t="shared" si="359"/>
        <v/>
      </c>
      <c r="AS138" s="20"/>
      <c r="AT138" s="16"/>
      <c r="AU138" s="16"/>
      <c r="AV138" s="61" t="str">
        <f>IF(_xlfn.XLOOKUP(AT138, AutoFill_classes!$A:$A, AutoFill_classes!$B:$B,"")=0,"",_xlfn.XLOOKUP(AT138, AutoFill_classes!$A:$A, AutoFill_classes!$B:$B,""))</f>
        <v/>
      </c>
      <c r="AW138" s="154"/>
      <c r="AX138" s="14"/>
      <c r="AY138" s="16"/>
      <c r="AZ138" s="14"/>
      <c r="BA138" s="16"/>
      <c r="BB138" s="16"/>
      <c r="BC138" s="145"/>
      <c r="BD138" s="27"/>
      <c r="BE138" s="60" t="str">
        <f t="shared" si="360"/>
        <v/>
      </c>
      <c r="BF138" s="32"/>
      <c r="BG138" s="32"/>
      <c r="BH138" s="32"/>
      <c r="BI138" s="32"/>
      <c r="BJ138" s="58" t="str">
        <f t="shared" si="361"/>
        <v/>
      </c>
      <c r="BK138" s="20"/>
      <c r="BL138" s="58" t="str">
        <f t="shared" si="362"/>
        <v/>
      </c>
      <c r="BM138" s="32"/>
      <c r="BN138" s="32"/>
      <c r="BO138" s="58" t="str">
        <f t="shared" si="363"/>
        <v/>
      </c>
      <c r="BP138" s="20"/>
      <c r="BQ138" s="58" t="str">
        <f t="shared" si="364"/>
        <v/>
      </c>
      <c r="BR138" s="32"/>
      <c r="BS138" s="32"/>
      <c r="BT138" s="58" t="str">
        <f t="shared" si="365"/>
        <v/>
      </c>
      <c r="BU138" s="58" t="str">
        <f t="shared" si="366"/>
        <v/>
      </c>
      <c r="BV138" s="58" t="str">
        <f t="shared" si="367"/>
        <v/>
      </c>
      <c r="BW138" s="59" t="str">
        <f t="shared" si="368"/>
        <v/>
      </c>
      <c r="BX138" s="16"/>
      <c r="BY138" s="21"/>
      <c r="BZ138" s="20"/>
      <c r="CA138" s="61" t="str">
        <f>IF(_xlfn.XLOOKUP(BY138, AutoFill_classes!$A:$A, AutoFill_classes!$B:$B,"")=0,"",_xlfn.XLOOKUP(BY138, AutoFill_classes!$A:$A, AutoFill_classes!$B:$B,""))</f>
        <v/>
      </c>
      <c r="CB138" s="154"/>
      <c r="CC138" s="20"/>
      <c r="CD138" s="20"/>
      <c r="CE138" s="20"/>
      <c r="CF138" s="33"/>
      <c r="CG138" s="34"/>
      <c r="CH138" s="145"/>
      <c r="CI138" s="35"/>
      <c r="CJ138" s="60" t="str">
        <f t="shared" si="369"/>
        <v/>
      </c>
      <c r="CK138" s="32"/>
      <c r="CL138" s="32"/>
      <c r="CM138" s="32"/>
      <c r="CN138" s="32"/>
      <c r="CO138" s="58" t="str">
        <f t="shared" si="370"/>
        <v/>
      </c>
      <c r="CP138" s="20"/>
      <c r="CQ138" s="58" t="str">
        <f t="shared" si="371"/>
        <v/>
      </c>
      <c r="CR138" s="32"/>
      <c r="CS138" s="32"/>
      <c r="CT138" s="58" t="str">
        <f t="shared" si="372"/>
        <v/>
      </c>
      <c r="CU138" s="20"/>
      <c r="CV138" s="58" t="str">
        <f t="shared" si="373"/>
        <v/>
      </c>
      <c r="CW138" s="32"/>
      <c r="CX138" s="32"/>
      <c r="CY138" s="58" t="str">
        <f t="shared" si="374"/>
        <v/>
      </c>
      <c r="CZ138" s="58" t="str">
        <f t="shared" si="375"/>
        <v/>
      </c>
      <c r="DA138" s="58" t="str">
        <f t="shared" si="376"/>
        <v/>
      </c>
      <c r="DB138" s="59" t="str">
        <f t="shared" si="377"/>
        <v/>
      </c>
      <c r="DC138" s="20"/>
      <c r="DD138" s="144"/>
      <c r="DE138" s="91">
        <v>137</v>
      </c>
      <c r="DF138" s="39"/>
      <c r="DG138" s="39"/>
      <c r="DH138" s="39"/>
      <c r="DI138" s="39"/>
      <c r="DJ138" s="39"/>
      <c r="DK138" s="39"/>
      <c r="DL138" s="39"/>
      <c r="DM138" s="39"/>
      <c r="DN138" s="39"/>
      <c r="DO138" s="39"/>
      <c r="DP138" s="39"/>
      <c r="DQ138" s="39"/>
      <c r="DR138" s="39"/>
      <c r="DS138" s="39"/>
      <c r="DT138" s="39"/>
      <c r="DU138" s="39"/>
      <c r="DV138" s="39"/>
      <c r="DW138" s="39"/>
      <c r="DX138" s="39"/>
      <c r="DY138" s="39"/>
      <c r="DZ138" s="39"/>
      <c r="EA138" s="39"/>
      <c r="EB138" s="39"/>
      <c r="EC138" s="39"/>
      <c r="ED138" s="39"/>
      <c r="EE138" s="39"/>
      <c r="EF138" s="39"/>
      <c r="EG138" s="39"/>
      <c r="EH138" s="39"/>
      <c r="EI138" s="39"/>
      <c r="EJ138" s="39"/>
      <c r="EK138" s="39"/>
      <c r="EL138" s="39"/>
      <c r="EM138" s="39"/>
      <c r="EN138" s="39"/>
      <c r="EO138" s="39"/>
      <c r="EP138" s="39"/>
      <c r="EQ138" s="39"/>
      <c r="ER138" s="39"/>
      <c r="ES138" s="39"/>
      <c r="ET138" s="39"/>
      <c r="EU138" s="39"/>
      <c r="EV138" s="39"/>
      <c r="EW138" s="39"/>
      <c r="EX138" s="39"/>
      <c r="EY138" s="39"/>
      <c r="EZ138" s="39"/>
      <c r="FA138" s="39"/>
      <c r="FB138" s="39"/>
      <c r="FC138" s="39"/>
      <c r="FD138" s="39"/>
      <c r="FE138" s="39"/>
      <c r="FF138" s="39"/>
      <c r="FG138" s="39"/>
      <c r="FH138" s="39"/>
      <c r="FI138" s="39"/>
      <c r="FJ138" s="39"/>
      <c r="FK138" s="39"/>
      <c r="FL138" s="39"/>
      <c r="FM138" s="39"/>
      <c r="FN138" s="39"/>
      <c r="FO138" s="39"/>
      <c r="FP138" s="39"/>
      <c r="FQ138" s="39"/>
      <c r="FR138" s="39"/>
      <c r="FS138" s="39"/>
      <c r="FT138" s="39"/>
    </row>
    <row r="139" spans="1:176" s="22" customFormat="1" ht="13">
      <c r="A139" s="7"/>
      <c r="B139" s="23" t="str">
        <f>IF(_xlfn.XLOOKUP(A139, AutoFill_names!B:B, AutoFill_names!C:C,"")=0,"",_xlfn.XLOOKUP(A139, AutoFill_names!B:B, AutoFill_names!C:C,""))</f>
        <v/>
      </c>
      <c r="C139" s="23" t="str">
        <f>IF(_xlfn.XLOOKUP(A139, AutoFill_names!B:B, AutoFill_names!D:D,"")=0,"",_xlfn.XLOOKUP(A139, AutoFill_names!B:B, AutoFill_names!D:D,""))</f>
        <v/>
      </c>
      <c r="D139" s="23" t="str">
        <f>IF(_xlfn.XLOOKUP(A139, AutoFill_names!B:B, AutoFill_names!E:E,"")=0,"",_xlfn.XLOOKUP(A139, AutoFill_names!B:B, AutoFill_names!E:E,""))</f>
        <v/>
      </c>
      <c r="E139" s="23" t="str">
        <f>IF(_xlfn.XLOOKUP(A139, AutoFill_names!B:B, AutoFill_names!F:F,"")=0,"",_xlfn.XLOOKUP(A139, AutoFill_names!B:B, AutoFill_names!F:F,""))</f>
        <v/>
      </c>
      <c r="F139" s="4"/>
      <c r="G139" s="4"/>
      <c r="H139" s="4"/>
      <c r="I139" s="4"/>
      <c r="J139" s="23" t="str">
        <f>IF(_xlfn.XLOOKUP(A139, AutoFill_names!B:B, AutoFill_names!K:K,"")=0,"",_xlfn.XLOOKUP(A139, AutoFill_names!B:B, AutoFill_names!K:K,""))</f>
        <v/>
      </c>
      <c r="K139" s="23" t="str">
        <f>IF(_xlfn.XLOOKUP(A139, AutoFill_names!B:B, AutoFill_names!L:L,"")=0,"",_xlfn.XLOOKUP(A139, AutoFill_names!B:B, AutoFill_names!L:L,""))</f>
        <v/>
      </c>
      <c r="L139" s="45"/>
      <c r="M139" s="45"/>
      <c r="N139" s="61" t="str">
        <f>IF(_xlfn.XLOOKUP(L139, AutoFill_classes!A:A, AutoFill_classes!B:B,"")=0,"",_xlfn.XLOOKUP(L139, AutoFill_classes!A:A, AutoFill_classes!B:B,""))</f>
        <v/>
      </c>
      <c r="O139" s="154"/>
      <c r="P139" s="9"/>
      <c r="Q139" s="9"/>
      <c r="R139" s="9"/>
      <c r="S139" s="5"/>
      <c r="T139" s="6"/>
      <c r="U139" s="5"/>
      <c r="V139" s="4"/>
      <c r="W139" s="4"/>
      <c r="X139" s="145"/>
      <c r="Y139" s="29"/>
      <c r="Z139" s="60" t="str">
        <f t="shared" si="351"/>
        <v/>
      </c>
      <c r="AA139" s="32"/>
      <c r="AB139" s="32"/>
      <c r="AC139" s="32"/>
      <c r="AD139" s="32"/>
      <c r="AE139" s="58" t="str">
        <f t="shared" si="352"/>
        <v/>
      </c>
      <c r="AF139" s="20"/>
      <c r="AG139" s="58" t="str">
        <f t="shared" si="353"/>
        <v/>
      </c>
      <c r="AH139" s="32"/>
      <c r="AI139" s="32"/>
      <c r="AJ139" s="58" t="str">
        <f t="shared" si="354"/>
        <v/>
      </c>
      <c r="AK139" s="20"/>
      <c r="AL139" s="58" t="str">
        <f t="shared" si="355"/>
        <v/>
      </c>
      <c r="AM139" s="32"/>
      <c r="AN139" s="32"/>
      <c r="AO139" s="58" t="str">
        <f t="shared" si="356"/>
        <v/>
      </c>
      <c r="AP139" s="58" t="str">
        <f t="shared" si="357"/>
        <v/>
      </c>
      <c r="AQ139" s="58" t="str">
        <f t="shared" si="358"/>
        <v/>
      </c>
      <c r="AR139" s="59" t="str">
        <f t="shared" si="359"/>
        <v/>
      </c>
      <c r="AS139" s="20"/>
      <c r="AT139" s="16"/>
      <c r="AU139" s="16"/>
      <c r="AV139" s="61" t="str">
        <f>IF(_xlfn.XLOOKUP(AT139, AutoFill_classes!$A:$A, AutoFill_classes!$B:$B,"")=0,"",_xlfn.XLOOKUP(AT139, AutoFill_classes!$A:$A, AutoFill_classes!$B:$B,""))</f>
        <v/>
      </c>
      <c r="AW139" s="154"/>
      <c r="AX139" s="14"/>
      <c r="AY139" s="16"/>
      <c r="AZ139" s="14"/>
      <c r="BA139" s="16"/>
      <c r="BB139" s="16"/>
      <c r="BC139" s="145"/>
      <c r="BD139" s="27"/>
      <c r="BE139" s="60" t="str">
        <f t="shared" si="360"/>
        <v/>
      </c>
      <c r="BF139" s="32"/>
      <c r="BG139" s="32"/>
      <c r="BH139" s="32"/>
      <c r="BI139" s="32"/>
      <c r="BJ139" s="58" t="str">
        <f t="shared" si="361"/>
        <v/>
      </c>
      <c r="BK139" s="20"/>
      <c r="BL139" s="58" t="str">
        <f t="shared" si="362"/>
        <v/>
      </c>
      <c r="BM139" s="32"/>
      <c r="BN139" s="32"/>
      <c r="BO139" s="58" t="str">
        <f t="shared" si="363"/>
        <v/>
      </c>
      <c r="BP139" s="20"/>
      <c r="BQ139" s="58" t="str">
        <f t="shared" si="364"/>
        <v/>
      </c>
      <c r="BR139" s="32"/>
      <c r="BS139" s="32"/>
      <c r="BT139" s="58" t="str">
        <f t="shared" si="365"/>
        <v/>
      </c>
      <c r="BU139" s="58" t="str">
        <f t="shared" si="366"/>
        <v/>
      </c>
      <c r="BV139" s="58" t="str">
        <f t="shared" si="367"/>
        <v/>
      </c>
      <c r="BW139" s="59" t="str">
        <f t="shared" si="368"/>
        <v/>
      </c>
      <c r="BX139" s="16"/>
      <c r="BY139" s="21"/>
      <c r="BZ139" s="20"/>
      <c r="CA139" s="61" t="str">
        <f>IF(_xlfn.XLOOKUP(BY139, AutoFill_classes!$A:$A, AutoFill_classes!$B:$B,"")=0,"",_xlfn.XLOOKUP(BY139, AutoFill_classes!$A:$A, AutoFill_classes!$B:$B,""))</f>
        <v/>
      </c>
      <c r="CB139" s="154"/>
      <c r="CC139" s="20"/>
      <c r="CD139" s="20"/>
      <c r="CE139" s="20"/>
      <c r="CF139" s="33"/>
      <c r="CG139" s="34"/>
      <c r="CH139" s="145"/>
      <c r="CI139" s="35"/>
      <c r="CJ139" s="60" t="str">
        <f t="shared" si="369"/>
        <v/>
      </c>
      <c r="CK139" s="32"/>
      <c r="CL139" s="32"/>
      <c r="CM139" s="32"/>
      <c r="CN139" s="32"/>
      <c r="CO139" s="58" t="str">
        <f t="shared" si="370"/>
        <v/>
      </c>
      <c r="CP139" s="20"/>
      <c r="CQ139" s="58" t="str">
        <f t="shared" si="371"/>
        <v/>
      </c>
      <c r="CR139" s="32"/>
      <c r="CS139" s="32"/>
      <c r="CT139" s="58" t="str">
        <f t="shared" si="372"/>
        <v/>
      </c>
      <c r="CU139" s="20"/>
      <c r="CV139" s="58" t="str">
        <f t="shared" si="373"/>
        <v/>
      </c>
      <c r="CW139" s="32"/>
      <c r="CX139" s="32"/>
      <c r="CY139" s="58" t="str">
        <f t="shared" si="374"/>
        <v/>
      </c>
      <c r="CZ139" s="58" t="str">
        <f t="shared" si="375"/>
        <v/>
      </c>
      <c r="DA139" s="58" t="str">
        <f t="shared" si="376"/>
        <v/>
      </c>
      <c r="DB139" s="59" t="str">
        <f t="shared" si="377"/>
        <v/>
      </c>
      <c r="DC139" s="20"/>
      <c r="DD139" s="144"/>
      <c r="DE139" s="91">
        <v>138</v>
      </c>
      <c r="DF139" s="39"/>
      <c r="DG139" s="39"/>
      <c r="DH139" s="39"/>
      <c r="DI139" s="39"/>
      <c r="DJ139" s="39"/>
      <c r="DK139" s="39"/>
      <c r="DL139" s="39"/>
      <c r="DM139" s="39"/>
      <c r="DN139" s="39"/>
      <c r="DO139" s="39"/>
      <c r="DP139" s="39"/>
      <c r="DQ139" s="39"/>
      <c r="DR139" s="39"/>
      <c r="DS139" s="39"/>
      <c r="DT139" s="39"/>
      <c r="DU139" s="39"/>
      <c r="DV139" s="39"/>
      <c r="DW139" s="39"/>
      <c r="DX139" s="39"/>
      <c r="DY139" s="39"/>
      <c r="DZ139" s="39"/>
      <c r="EA139" s="39"/>
      <c r="EB139" s="39"/>
      <c r="EC139" s="39"/>
      <c r="ED139" s="39"/>
      <c r="EE139" s="39"/>
      <c r="EF139" s="39"/>
      <c r="EG139" s="39"/>
      <c r="EH139" s="39"/>
      <c r="EI139" s="39"/>
      <c r="EJ139" s="39"/>
      <c r="EK139" s="39"/>
      <c r="EL139" s="39"/>
      <c r="EM139" s="39"/>
      <c r="EN139" s="39"/>
      <c r="EO139" s="39"/>
      <c r="EP139" s="39"/>
      <c r="EQ139" s="39"/>
      <c r="ER139" s="39"/>
      <c r="ES139" s="39"/>
      <c r="ET139" s="39"/>
      <c r="EU139" s="39"/>
      <c r="EV139" s="39"/>
      <c r="EW139" s="39"/>
      <c r="EX139" s="39"/>
      <c r="EY139" s="39"/>
      <c r="EZ139" s="39"/>
      <c r="FA139" s="39"/>
      <c r="FB139" s="39"/>
      <c r="FC139" s="39"/>
      <c r="FD139" s="39"/>
      <c r="FE139" s="39"/>
      <c r="FF139" s="39"/>
      <c r="FG139" s="39"/>
      <c r="FH139" s="39"/>
      <c r="FI139" s="39"/>
      <c r="FJ139" s="39"/>
      <c r="FK139" s="39"/>
      <c r="FL139" s="39"/>
      <c r="FM139" s="39"/>
      <c r="FN139" s="39"/>
      <c r="FO139" s="39"/>
      <c r="FP139" s="39"/>
      <c r="FQ139" s="39"/>
      <c r="FR139" s="39"/>
      <c r="FS139" s="39"/>
      <c r="FT139" s="39"/>
    </row>
    <row r="140" spans="1:176" s="22" customFormat="1" ht="13">
      <c r="A140" s="7"/>
      <c r="B140" s="23" t="str">
        <f>IF(_xlfn.XLOOKUP(A140, AutoFill_names!B:B, AutoFill_names!C:C,"")=0,"",_xlfn.XLOOKUP(A140, AutoFill_names!B:B, AutoFill_names!C:C,""))</f>
        <v/>
      </c>
      <c r="C140" s="23" t="str">
        <f>IF(_xlfn.XLOOKUP(A140, AutoFill_names!B:B, AutoFill_names!D:D,"")=0,"",_xlfn.XLOOKUP(A140, AutoFill_names!B:B, AutoFill_names!D:D,""))</f>
        <v/>
      </c>
      <c r="D140" s="23" t="str">
        <f>IF(_xlfn.XLOOKUP(A140, AutoFill_names!B:B, AutoFill_names!E:E,"")=0,"",_xlfn.XLOOKUP(A140, AutoFill_names!B:B, AutoFill_names!E:E,""))</f>
        <v/>
      </c>
      <c r="E140" s="23" t="str">
        <f>IF(_xlfn.XLOOKUP(A140, AutoFill_names!B:B, AutoFill_names!F:F,"")=0,"",_xlfn.XLOOKUP(A140, AutoFill_names!B:B, AutoFill_names!F:F,""))</f>
        <v/>
      </c>
      <c r="F140" s="4"/>
      <c r="G140" s="4"/>
      <c r="H140" s="4"/>
      <c r="I140" s="4"/>
      <c r="J140" s="23" t="str">
        <f>IF(_xlfn.XLOOKUP(A140, AutoFill_names!B:B, AutoFill_names!K:K,"")=0,"",_xlfn.XLOOKUP(A140, AutoFill_names!B:B, AutoFill_names!K:K,""))</f>
        <v/>
      </c>
      <c r="K140" s="23" t="str">
        <f>IF(_xlfn.XLOOKUP(A140, AutoFill_names!B:B, AutoFill_names!L:L,"")=0,"",_xlfn.XLOOKUP(A140, AutoFill_names!B:B, AutoFill_names!L:L,""))</f>
        <v/>
      </c>
      <c r="L140" s="4"/>
      <c r="M140" s="4"/>
      <c r="N140" s="61" t="str">
        <f>IF(_xlfn.XLOOKUP(L140, AutoFill_classes!A:A, AutoFill_classes!B:B,"")=0,"",_xlfn.XLOOKUP(L140, AutoFill_classes!A:A, AutoFill_classes!B:B,""))</f>
        <v/>
      </c>
      <c r="O140" s="154"/>
      <c r="P140" s="9"/>
      <c r="Q140" s="9"/>
      <c r="R140" s="9"/>
      <c r="S140" s="4"/>
      <c r="T140" s="4"/>
      <c r="U140" s="4"/>
      <c r="V140" s="4"/>
      <c r="W140" s="4"/>
      <c r="X140" s="144"/>
      <c r="Y140" s="27"/>
      <c r="Z140" s="60" t="str">
        <f t="shared" si="351"/>
        <v/>
      </c>
      <c r="AA140" s="32"/>
      <c r="AB140" s="32"/>
      <c r="AC140" s="32"/>
      <c r="AD140" s="32"/>
      <c r="AE140" s="58" t="str">
        <f t="shared" si="352"/>
        <v/>
      </c>
      <c r="AF140" s="20"/>
      <c r="AG140" s="58" t="str">
        <f t="shared" si="353"/>
        <v/>
      </c>
      <c r="AH140" s="32"/>
      <c r="AI140" s="32"/>
      <c r="AJ140" s="58" t="str">
        <f t="shared" si="354"/>
        <v/>
      </c>
      <c r="AK140" s="20"/>
      <c r="AL140" s="58" t="str">
        <f t="shared" si="355"/>
        <v/>
      </c>
      <c r="AM140" s="32"/>
      <c r="AN140" s="32"/>
      <c r="AO140" s="58" t="str">
        <f t="shared" si="356"/>
        <v/>
      </c>
      <c r="AP140" s="58" t="str">
        <f t="shared" si="357"/>
        <v/>
      </c>
      <c r="AQ140" s="58" t="str">
        <f t="shared" si="358"/>
        <v/>
      </c>
      <c r="AR140" s="59" t="str">
        <f t="shared" si="359"/>
        <v/>
      </c>
      <c r="AS140" s="20"/>
      <c r="AT140" s="14"/>
      <c r="AU140" s="14"/>
      <c r="AV140" s="61" t="str">
        <f>IF(_xlfn.XLOOKUP(AT140, AutoFill_classes!$A:$A, AutoFill_classes!$B:$B,"")=0,"",_xlfn.XLOOKUP(AT140, AutoFill_classes!$A:$A, AutoFill_classes!$B:$B,""))</f>
        <v/>
      </c>
      <c r="AW140" s="154"/>
      <c r="AX140" s="14"/>
      <c r="AY140" s="14"/>
      <c r="AZ140" s="14"/>
      <c r="BA140" s="16"/>
      <c r="BB140" s="16"/>
      <c r="BC140" s="144"/>
      <c r="BD140" s="27"/>
      <c r="BE140" s="60" t="str">
        <f t="shared" si="360"/>
        <v/>
      </c>
      <c r="BF140" s="32"/>
      <c r="BG140" s="32"/>
      <c r="BH140" s="32"/>
      <c r="BI140" s="32"/>
      <c r="BJ140" s="58" t="str">
        <f t="shared" si="361"/>
        <v/>
      </c>
      <c r="BK140" s="20"/>
      <c r="BL140" s="58" t="str">
        <f t="shared" si="362"/>
        <v/>
      </c>
      <c r="BM140" s="32"/>
      <c r="BN140" s="32"/>
      <c r="BO140" s="58" t="str">
        <f t="shared" si="363"/>
        <v/>
      </c>
      <c r="BP140" s="20"/>
      <c r="BQ140" s="58" t="str">
        <f t="shared" si="364"/>
        <v/>
      </c>
      <c r="BR140" s="32"/>
      <c r="BS140" s="32"/>
      <c r="BT140" s="58" t="str">
        <f t="shared" si="365"/>
        <v/>
      </c>
      <c r="BU140" s="58" t="str">
        <f t="shared" si="366"/>
        <v/>
      </c>
      <c r="BV140" s="58" t="str">
        <f t="shared" si="367"/>
        <v/>
      </c>
      <c r="BW140" s="59" t="str">
        <f t="shared" si="368"/>
        <v/>
      </c>
      <c r="BX140" s="16"/>
      <c r="BY140" s="21"/>
      <c r="BZ140" s="20"/>
      <c r="CA140" s="61" t="str">
        <f>IF(_xlfn.XLOOKUP(BY140, AutoFill_classes!$A:$A, AutoFill_classes!$B:$B,"")=0,"",_xlfn.XLOOKUP(BY140, AutoFill_classes!$A:$A, AutoFill_classes!$B:$B,""))</f>
        <v/>
      </c>
      <c r="CB140" s="154"/>
      <c r="CC140" s="20"/>
      <c r="CD140" s="20"/>
      <c r="CE140" s="20"/>
      <c r="CF140" s="33"/>
      <c r="CG140" s="34"/>
      <c r="CH140" s="144"/>
      <c r="CI140" s="35"/>
      <c r="CJ140" s="60" t="str">
        <f t="shared" si="369"/>
        <v/>
      </c>
      <c r="CK140" s="32"/>
      <c r="CL140" s="32"/>
      <c r="CM140" s="32"/>
      <c r="CN140" s="32"/>
      <c r="CO140" s="58" t="str">
        <f t="shared" si="370"/>
        <v/>
      </c>
      <c r="CP140" s="20"/>
      <c r="CQ140" s="58" t="str">
        <f t="shared" si="371"/>
        <v/>
      </c>
      <c r="CR140" s="32"/>
      <c r="CS140" s="32"/>
      <c r="CT140" s="58" t="str">
        <f t="shared" si="372"/>
        <v/>
      </c>
      <c r="CU140" s="20"/>
      <c r="CV140" s="58" t="str">
        <f t="shared" si="373"/>
        <v/>
      </c>
      <c r="CW140" s="32"/>
      <c r="CX140" s="32"/>
      <c r="CY140" s="58" t="str">
        <f t="shared" si="374"/>
        <v/>
      </c>
      <c r="CZ140" s="58" t="str">
        <f t="shared" si="375"/>
        <v/>
      </c>
      <c r="DA140" s="58" t="str">
        <f t="shared" si="376"/>
        <v/>
      </c>
      <c r="DB140" s="59" t="str">
        <f t="shared" si="377"/>
        <v/>
      </c>
      <c r="DC140" s="20"/>
      <c r="DD140" s="145"/>
      <c r="DE140" s="91">
        <v>139</v>
      </c>
      <c r="DF140" s="39"/>
      <c r="DG140" s="39"/>
      <c r="DH140" s="39"/>
      <c r="DI140" s="39"/>
      <c r="DJ140" s="39"/>
      <c r="DK140" s="39"/>
      <c r="DL140" s="39"/>
      <c r="DM140" s="39"/>
      <c r="DN140" s="39"/>
      <c r="DO140" s="39"/>
      <c r="DP140" s="39"/>
      <c r="DQ140" s="39"/>
      <c r="DR140" s="39"/>
      <c r="DS140" s="39"/>
      <c r="DT140" s="39"/>
      <c r="DU140" s="39"/>
      <c r="DV140" s="39"/>
      <c r="DW140" s="39"/>
      <c r="DX140" s="39"/>
      <c r="DY140" s="39"/>
      <c r="DZ140" s="39"/>
      <c r="EA140" s="39"/>
      <c r="EB140" s="39"/>
      <c r="EC140" s="39"/>
      <c r="ED140" s="39"/>
      <c r="EE140" s="39"/>
      <c r="EF140" s="39"/>
      <c r="EG140" s="39"/>
      <c r="EH140" s="39"/>
      <c r="EI140" s="39"/>
      <c r="EJ140" s="39"/>
      <c r="EK140" s="39"/>
      <c r="EL140" s="39"/>
      <c r="EM140" s="39"/>
      <c r="EN140" s="39"/>
      <c r="EO140" s="39"/>
      <c r="EP140" s="39"/>
      <c r="EQ140" s="39"/>
      <c r="ER140" s="39"/>
      <c r="ES140" s="39"/>
      <c r="ET140" s="39"/>
      <c r="EU140" s="39"/>
      <c r="EV140" s="39"/>
      <c r="EW140" s="39"/>
      <c r="EX140" s="39"/>
      <c r="EY140" s="39"/>
      <c r="EZ140" s="39"/>
      <c r="FA140" s="39"/>
      <c r="FB140" s="39"/>
      <c r="FC140" s="39"/>
      <c r="FD140" s="39"/>
      <c r="FE140" s="39"/>
      <c r="FF140" s="39"/>
      <c r="FG140" s="39"/>
      <c r="FH140" s="39"/>
      <c r="FI140" s="39"/>
      <c r="FJ140" s="39"/>
      <c r="FK140" s="39"/>
      <c r="FL140" s="39"/>
      <c r="FM140" s="39"/>
      <c r="FN140" s="39"/>
      <c r="FO140" s="39"/>
      <c r="FP140" s="39"/>
      <c r="FQ140" s="39"/>
      <c r="FR140" s="39"/>
      <c r="FS140" s="39"/>
      <c r="FT140" s="39"/>
    </row>
    <row r="141" spans="1:176" s="113" customFormat="1" ht="34">
      <c r="A141" s="153" t="s">
        <v>1284</v>
      </c>
      <c r="B141" s="93" t="str">
        <f>"Total Credits: " &amp; IFERROR(IF(DD141=0,"",DD141),"")</f>
        <v xml:space="preserve">Total Credits: </v>
      </c>
      <c r="C141" s="114"/>
      <c r="D141" s="114"/>
      <c r="E141" s="114"/>
      <c r="F141" s="114"/>
      <c r="G141" s="114"/>
      <c r="H141" s="114"/>
      <c r="I141" s="114"/>
      <c r="J141" s="114"/>
      <c r="K141" s="114"/>
      <c r="L141" s="92"/>
      <c r="M141" s="92"/>
      <c r="N141" s="95"/>
      <c r="O141" s="95"/>
      <c r="P141" s="96"/>
      <c r="Q141" s="96"/>
      <c r="R141" s="96"/>
      <c r="S141" s="92"/>
      <c r="T141" s="92"/>
      <c r="U141" s="92"/>
      <c r="V141" s="97"/>
      <c r="W141" s="97"/>
      <c r="X141" s="143" t="str">
        <f>IF(SUM(X142:X150)=0, "", SUM(X142:X150))</f>
        <v/>
      </c>
      <c r="Y141" s="98"/>
      <c r="Z141" s="99"/>
      <c r="AA141" s="100"/>
      <c r="AB141" s="100"/>
      <c r="AC141" s="100"/>
      <c r="AD141" s="100"/>
      <c r="AE141" s="101"/>
      <c r="AF141" s="102"/>
      <c r="AG141" s="101"/>
      <c r="AH141" s="100"/>
      <c r="AI141" s="100"/>
      <c r="AJ141" s="101"/>
      <c r="AK141" s="102"/>
      <c r="AL141" s="101"/>
      <c r="AM141" s="100"/>
      <c r="AN141" s="100"/>
      <c r="AO141" s="103"/>
      <c r="AP141" s="103"/>
      <c r="AQ141" s="103"/>
      <c r="AR141" s="103"/>
      <c r="AS141" s="104"/>
      <c r="AT141" s="105"/>
      <c r="AU141" s="105"/>
      <c r="AV141" s="95"/>
      <c r="AW141" s="95"/>
      <c r="AX141" s="105"/>
      <c r="AY141" s="105"/>
      <c r="AZ141" s="105"/>
      <c r="BA141" s="105"/>
      <c r="BB141" s="105"/>
      <c r="BC141" s="143" t="str">
        <f>IF(SUM(BC142:BC150)=0, "", SUM(BC142:BC150))</f>
        <v/>
      </c>
      <c r="BD141" s="106"/>
      <c r="BE141" s="107"/>
      <c r="BF141" s="108"/>
      <c r="BG141" s="108"/>
      <c r="BH141" s="108"/>
      <c r="BI141" s="108"/>
      <c r="BJ141" s="109"/>
      <c r="BK141" s="105"/>
      <c r="BL141" s="109"/>
      <c r="BM141" s="108"/>
      <c r="BN141" s="108"/>
      <c r="BO141" s="109"/>
      <c r="BP141" s="105"/>
      <c r="BQ141" s="109"/>
      <c r="BR141" s="108"/>
      <c r="BS141" s="108"/>
      <c r="BT141" s="109"/>
      <c r="BU141" s="109"/>
      <c r="BV141" s="109"/>
      <c r="BW141" s="103"/>
      <c r="BX141" s="105"/>
      <c r="BY141" s="105"/>
      <c r="BZ141" s="105"/>
      <c r="CA141" s="95"/>
      <c r="CB141" s="95"/>
      <c r="CC141" s="105"/>
      <c r="CD141" s="105"/>
      <c r="CE141" s="105"/>
      <c r="CF141" s="97"/>
      <c r="CG141" s="98"/>
      <c r="CH141" s="143" t="str">
        <f>IF(SUM(CH142:CH150)=0, "", SUM(CH142:CH150))</f>
        <v/>
      </c>
      <c r="CI141" s="98"/>
      <c r="CJ141" s="99"/>
      <c r="CK141" s="110"/>
      <c r="CL141" s="110"/>
      <c r="CM141" s="110"/>
      <c r="CN141" s="110"/>
      <c r="CO141" s="111"/>
      <c r="CP141" s="112"/>
      <c r="CQ141" s="111"/>
      <c r="CR141" s="110"/>
      <c r="CS141" s="110"/>
      <c r="CT141" s="111"/>
      <c r="CU141" s="112"/>
      <c r="CV141" s="111"/>
      <c r="CW141" s="110"/>
      <c r="CX141" s="110"/>
      <c r="CY141" s="111"/>
      <c r="CZ141" s="111"/>
      <c r="DA141" s="111"/>
      <c r="DB141" s="103"/>
      <c r="DC141" s="112"/>
      <c r="DD141" s="143" t="str">
        <f>IF(SUM(L141:DC141)=0, "", SUM(L141:DC141))</f>
        <v/>
      </c>
      <c r="DE141" s="91">
        <v>140</v>
      </c>
      <c r="DF141" s="26"/>
      <c r="DG141" s="26"/>
      <c r="DH141" s="26"/>
      <c r="DI141" s="26"/>
      <c r="DJ141" s="26"/>
      <c r="DK141" s="26"/>
      <c r="DL141" s="26"/>
      <c r="DM141" s="26"/>
      <c r="DN141" s="26"/>
      <c r="DO141" s="26"/>
      <c r="DP141" s="26"/>
      <c r="DQ141" s="26"/>
      <c r="DR141" s="26"/>
      <c r="DS141" s="26"/>
      <c r="DT141" s="26"/>
      <c r="DU141" s="26"/>
      <c r="DV141" s="26"/>
      <c r="DW141" s="26"/>
      <c r="DX141" s="26"/>
      <c r="DY141" s="26"/>
      <c r="DZ141" s="26"/>
      <c r="EA141" s="26"/>
      <c r="EB141" s="26"/>
      <c r="EC141" s="26"/>
      <c r="ED141" s="26"/>
      <c r="EE141" s="26"/>
      <c r="EF141" s="26"/>
      <c r="EG141" s="26"/>
      <c r="EH141" s="26"/>
      <c r="EI141" s="26"/>
      <c r="EJ141" s="26"/>
      <c r="EK141" s="26"/>
      <c r="EL141" s="26"/>
      <c r="EM141" s="26"/>
      <c r="EN141" s="26"/>
      <c r="EO141" s="26"/>
      <c r="EP141" s="26"/>
      <c r="EQ141" s="26"/>
      <c r="ER141" s="26"/>
      <c r="ES141" s="26"/>
      <c r="ET141" s="26"/>
      <c r="EU141" s="26"/>
      <c r="EV141" s="26"/>
      <c r="EW141" s="26"/>
      <c r="EX141" s="26"/>
      <c r="EY141" s="26"/>
      <c r="EZ141" s="26"/>
      <c r="FA141" s="26"/>
      <c r="FB141" s="26"/>
      <c r="FC141" s="26"/>
      <c r="FD141" s="26"/>
      <c r="FE141" s="26"/>
      <c r="FF141" s="26"/>
      <c r="FG141" s="26"/>
      <c r="FH141" s="26"/>
      <c r="FI141" s="26"/>
      <c r="FJ141" s="26"/>
      <c r="FK141" s="26"/>
      <c r="FL141" s="26"/>
      <c r="FM141" s="26"/>
      <c r="FN141" s="26"/>
      <c r="FO141" s="26"/>
      <c r="FP141" s="26"/>
      <c r="FQ141" s="26"/>
      <c r="FR141" s="26"/>
      <c r="FS141" s="26"/>
      <c r="FT141" s="26"/>
    </row>
    <row r="142" spans="1:176" s="22" customFormat="1" ht="13">
      <c r="A142" s="7"/>
      <c r="B142" s="23" t="str">
        <f>IF(_xlfn.XLOOKUP(A142, AutoFill_names!B:B, AutoFill_names!C:C,"")=0,"",_xlfn.XLOOKUP(A142, AutoFill_names!B:B, AutoFill_names!C:C,""))</f>
        <v/>
      </c>
      <c r="C142" s="23" t="str">
        <f>IF(_xlfn.XLOOKUP(A142, AutoFill_names!B:B, AutoFill_names!D:D,"")=0,"",_xlfn.XLOOKUP(A142, AutoFill_names!B:B, AutoFill_names!D:D,""))</f>
        <v/>
      </c>
      <c r="D142" s="23" t="str">
        <f>IF(_xlfn.XLOOKUP(A142, AutoFill_names!B:B, AutoFill_names!E:E,"")=0,"",_xlfn.XLOOKUP(A142, AutoFill_names!B:B, AutoFill_names!E:E,""))</f>
        <v/>
      </c>
      <c r="E142" s="23" t="str">
        <f>IF(_xlfn.XLOOKUP(A142, AutoFill_names!B:B, AutoFill_names!F:F,"")=0,"",_xlfn.XLOOKUP(A142, AutoFill_names!B:B, AutoFill_names!F:F,""))</f>
        <v/>
      </c>
      <c r="F142" s="4"/>
      <c r="G142" s="4"/>
      <c r="H142" s="4"/>
      <c r="I142" s="4"/>
      <c r="J142" s="23" t="str">
        <f>IF(_xlfn.XLOOKUP(A142, AutoFill_names!B:B, AutoFill_names!K:K,"")=0,"",_xlfn.XLOOKUP(A142, AutoFill_names!B:B, AutoFill_names!K:K,""))</f>
        <v/>
      </c>
      <c r="K142" s="23" t="str">
        <f>IF(_xlfn.XLOOKUP(A142, AutoFill_names!B:B, AutoFill_names!L:L,"")=0,"",_xlfn.XLOOKUP(A142, AutoFill_names!B:B, AutoFill_names!L:L,""))</f>
        <v/>
      </c>
      <c r="L142" s="45"/>
      <c r="M142" s="45"/>
      <c r="N142" s="61" t="str">
        <f>IF(_xlfn.XLOOKUP(L142, AutoFill_classes!A:A, AutoFill_classes!B:B,"")=0,"",_xlfn.XLOOKUP(L142, AutoFill_classes!A:A, AutoFill_classes!B:B,""))</f>
        <v/>
      </c>
      <c r="O142" s="154"/>
      <c r="P142" s="9"/>
      <c r="Q142" s="9"/>
      <c r="R142" s="9"/>
      <c r="S142" s="4"/>
      <c r="T142" s="4"/>
      <c r="U142" s="4"/>
      <c r="V142" s="4"/>
      <c r="W142" s="4"/>
      <c r="X142" s="144"/>
      <c r="Y142" s="27"/>
      <c r="Z142" s="60" t="str">
        <f t="shared" ref="Z142:Z150" si="378">IF(X142*Y142=0,"",X142*Y142)</f>
        <v/>
      </c>
      <c r="AA142" s="28"/>
      <c r="AB142" s="28"/>
      <c r="AC142" s="28"/>
      <c r="AD142" s="28"/>
      <c r="AE142" s="58" t="str">
        <f t="shared" ref="AE142:AE150" si="379">IF(ROUNDUP((AD142-AC142)/7,0)=0,"",ROUNDUP((AD142-AC142)/7,0))</f>
        <v/>
      </c>
      <c r="AF142" s="19"/>
      <c r="AG142" s="58" t="str">
        <f t="shared" ref="AG142:AG150" si="380">IFERROR(IF(AE142*AF142=0,"",AE142*AF142), "")</f>
        <v/>
      </c>
      <c r="AH142" s="28"/>
      <c r="AI142" s="28"/>
      <c r="AJ142" s="58" t="str">
        <f t="shared" ref="AJ142:AJ150" si="381">IF(ROUNDUP((AI142-AH142)/7,0)=0,"",ROUNDUP((AI142-AH142)/7,0))</f>
        <v/>
      </c>
      <c r="AK142" s="19"/>
      <c r="AL142" s="58" t="str">
        <f t="shared" ref="AL142:AL150" si="382">IFERROR(IF(AJ142*AK142=0,"",AJ142*AK142), "")</f>
        <v/>
      </c>
      <c r="AM142" s="28"/>
      <c r="AN142" s="28"/>
      <c r="AO142" s="58" t="str">
        <f t="shared" ref="AO142:AO150" si="383">IF(ROUNDUP((AN142-AM142)/7,0)=0,"",ROUNDUP((AN142-AM142)/7,0))</f>
        <v/>
      </c>
      <c r="AP142" s="58" t="str">
        <f t="shared" ref="AP142:AP150" si="384">IFERROR(IF((AS142-(AF142+AK142))/AO142=0,"",ROUNDUP((AS142-(AF142+AK142))/AO142,0)), "")</f>
        <v/>
      </c>
      <c r="AQ142" s="58" t="str">
        <f t="shared" ref="AQ142:AQ150" si="385">IFERROR(IF((AS142-(AG142+AL142))=0, "", (AS142-(AG142+AL142))), "")</f>
        <v/>
      </c>
      <c r="AR142" s="59" t="str">
        <f t="shared" ref="AR142:AR150" si="386">IFERROR(IF((AE142+AJ142+AO142)=0, "", (AE142+AJ142+AO142)), "")</f>
        <v/>
      </c>
      <c r="AS142" s="19"/>
      <c r="AT142" s="47"/>
      <c r="AU142" s="47"/>
      <c r="AV142" s="61" t="str">
        <f>IF(_xlfn.XLOOKUP(AT142, AutoFill_classes!$A:$A, AutoFill_classes!$B:$B,"")=0,"",_xlfn.XLOOKUP(AT142, AutoFill_classes!$A:$A, AutoFill_classes!$B:$B,""))</f>
        <v/>
      </c>
      <c r="AW142" s="154"/>
      <c r="AX142" s="14"/>
      <c r="AY142" s="14"/>
      <c r="AZ142" s="14"/>
      <c r="BA142" s="16"/>
      <c r="BB142" s="16"/>
      <c r="BC142" s="144"/>
      <c r="BD142" s="29"/>
      <c r="BE142" s="60" t="str">
        <f t="shared" ref="BE142:BE150" si="387">IF(BC142*BD142=0,"",BC142*BD142)</f>
        <v/>
      </c>
      <c r="BF142" s="28"/>
      <c r="BG142" s="28"/>
      <c r="BH142" s="28"/>
      <c r="BI142" s="28"/>
      <c r="BJ142" s="58" t="str">
        <f t="shared" ref="BJ142:BJ150" si="388">IF(ROUNDUP((BI142-BH142)/7,0)=0,"",ROUNDUP((BI142-BH142)/7,0))</f>
        <v/>
      </c>
      <c r="BK142" s="19"/>
      <c r="BL142" s="58" t="str">
        <f t="shared" ref="BL142:BL150" si="389">IFERROR(IF(BJ142*BK142=0,"",BJ142*BK142), "")</f>
        <v/>
      </c>
      <c r="BM142" s="28"/>
      <c r="BN142" s="28"/>
      <c r="BO142" s="58" t="str">
        <f t="shared" ref="BO142:BO150" si="390">IF(ROUNDUP((BN142-BM142)/7,0)=0,"",ROUNDUP((BN142-BM142)/7,0))</f>
        <v/>
      </c>
      <c r="BP142" s="19"/>
      <c r="BQ142" s="58" t="str">
        <f t="shared" ref="BQ142:BQ150" si="391">IFERROR(IF(BO142*BP142=0,"",BO142*BP142), "")</f>
        <v/>
      </c>
      <c r="BR142" s="28"/>
      <c r="BS142" s="28"/>
      <c r="BT142" s="58" t="str">
        <f t="shared" ref="BT142:BT150" si="392">IF(ROUNDUP((BS142-BR142)/7,0)=0,"",ROUNDUP((BS142-BR142)/7,0))</f>
        <v/>
      </c>
      <c r="BU142" s="58" t="str">
        <f t="shared" ref="BU142:BU150" si="393">IFERROR(IF((BX142-(BK142+BP142))/BT142=0,"",ROUNDUP((BX142-(BK142+BP142))/BT142,0)), "")</f>
        <v/>
      </c>
      <c r="BV142" s="58" t="str">
        <f t="shared" ref="BV142:BV150" si="394">IFERROR(IF((BX142-(BL142+BQ142))=0, "", (BX142-(BL142+BQ142))), "")</f>
        <v/>
      </c>
      <c r="BW142" s="59" t="str">
        <f t="shared" ref="BW142:BW150" si="395">IFERROR(IF((BJ142+BO142+BT142)=0, "", (BJ142+BO142+BT142)), "")</f>
        <v/>
      </c>
      <c r="BX142" s="14"/>
      <c r="BY142" s="12"/>
      <c r="BZ142" s="51"/>
      <c r="CA142" s="61" t="str">
        <f>IF(_xlfn.XLOOKUP(BY142, AutoFill_classes!$A:$A, AutoFill_classes!$B:$B,"")=0,"",_xlfn.XLOOKUP(BY142, AutoFill_classes!$A:$A, AutoFill_classes!$B:$B,""))</f>
        <v/>
      </c>
      <c r="CB142" s="154"/>
      <c r="CC142" s="19"/>
      <c r="CD142" s="19"/>
      <c r="CE142" s="19"/>
      <c r="CF142" s="30"/>
      <c r="CG142" s="31"/>
      <c r="CH142" s="144"/>
      <c r="CI142" s="31"/>
      <c r="CJ142" s="60" t="str">
        <f t="shared" ref="CJ142:CJ150" si="396">IF(CH142*CI142=0,"",CH142*CI142)</f>
        <v/>
      </c>
      <c r="CK142" s="28"/>
      <c r="CL142" s="28"/>
      <c r="CM142" s="28"/>
      <c r="CN142" s="28"/>
      <c r="CO142" s="58" t="str">
        <f t="shared" ref="CO142:CO150" si="397">IF(ROUNDUP((CN142-CM142)/7,0)=0,"",ROUNDUP((CN142-CM142)/7,0))</f>
        <v/>
      </c>
      <c r="CP142" s="19"/>
      <c r="CQ142" s="58" t="str">
        <f t="shared" ref="CQ142:CQ150" si="398">IFERROR(IF(CO142*CP142=0,"",CO142*CP142), "")</f>
        <v/>
      </c>
      <c r="CR142" s="28"/>
      <c r="CS142" s="28"/>
      <c r="CT142" s="58" t="str">
        <f t="shared" ref="CT142:CT150" si="399">IF(ROUNDUP((CS142-CR142)/7,0)=0,"",ROUNDUP((CS142-CR142)/7,0))</f>
        <v/>
      </c>
      <c r="CU142" s="19"/>
      <c r="CV142" s="58" t="str">
        <f t="shared" ref="CV142:CV150" si="400">IFERROR(IF(CT142*CU142=0,"",CT142*CU142), "")</f>
        <v/>
      </c>
      <c r="CW142" s="28"/>
      <c r="CX142" s="28"/>
      <c r="CY142" s="58" t="str">
        <f t="shared" ref="CY142:CY150" si="401">IF(ROUNDUP((CX142-CW142)/7,0)=0,"",ROUNDUP((CX142-CW142)/7,0))</f>
        <v/>
      </c>
      <c r="CZ142" s="58" t="str">
        <f t="shared" ref="CZ142:CZ150" si="402">IFERROR(IF((DC142-(CP142+CU142))/CY142=0,"",ROUNDUP((DC142-(CP142+CU142))/CY142,0)), "")</f>
        <v/>
      </c>
      <c r="DA142" s="58" t="str">
        <f t="shared" ref="DA142:DA150" si="403">IFERROR(IF((DC142-(CQ142+CV142))=0, "", (DC142-(CQ142+CV142))), "")</f>
        <v/>
      </c>
      <c r="DB142" s="59" t="str">
        <f t="shared" ref="DB142:DB150" si="404">IFERROR(IF((CO142+CT142+CY142)=0, "", (CO142+CT142+CY142)), "")</f>
        <v/>
      </c>
      <c r="DC142" s="19"/>
      <c r="DD142" s="144"/>
      <c r="DE142" s="91">
        <v>141</v>
      </c>
      <c r="DF142" s="39"/>
      <c r="DG142" s="39"/>
      <c r="DH142" s="39"/>
      <c r="DI142" s="39"/>
      <c r="DJ142" s="39"/>
      <c r="DK142" s="39"/>
      <c r="DL142" s="39"/>
      <c r="DM142" s="39"/>
      <c r="DN142" s="39"/>
      <c r="DO142" s="39"/>
      <c r="DP142" s="39"/>
      <c r="DQ142" s="39"/>
      <c r="DR142" s="39"/>
      <c r="DS142" s="39"/>
      <c r="DT142" s="39"/>
      <c r="DU142" s="39"/>
      <c r="DV142" s="39"/>
      <c r="DW142" s="39"/>
      <c r="DX142" s="39"/>
      <c r="DY142" s="39"/>
      <c r="DZ142" s="39"/>
      <c r="EA142" s="39"/>
      <c r="EB142" s="39"/>
      <c r="EC142" s="39"/>
      <c r="ED142" s="39"/>
      <c r="EE142" s="39"/>
      <c r="EF142" s="39"/>
      <c r="EG142" s="39"/>
      <c r="EH142" s="39"/>
      <c r="EI142" s="39"/>
      <c r="EJ142" s="39"/>
      <c r="EK142" s="39"/>
      <c r="EL142" s="39"/>
      <c r="EM142" s="39"/>
      <c r="EN142" s="39"/>
      <c r="EO142" s="39"/>
      <c r="EP142" s="39"/>
      <c r="EQ142" s="39"/>
      <c r="ER142" s="39"/>
      <c r="ES142" s="39"/>
      <c r="ET142" s="39"/>
      <c r="EU142" s="39"/>
      <c r="EV142" s="39"/>
      <c r="EW142" s="39"/>
      <c r="EX142" s="39"/>
      <c r="EY142" s="39"/>
      <c r="EZ142" s="39"/>
      <c r="FA142" s="39"/>
      <c r="FB142" s="39"/>
      <c r="FC142" s="39"/>
      <c r="FD142" s="39"/>
      <c r="FE142" s="39"/>
      <c r="FF142" s="39"/>
      <c r="FG142" s="39"/>
      <c r="FH142" s="39"/>
      <c r="FI142" s="39"/>
      <c r="FJ142" s="39"/>
      <c r="FK142" s="39"/>
      <c r="FL142" s="39"/>
      <c r="FM142" s="39"/>
      <c r="FN142" s="39"/>
      <c r="FO142" s="39"/>
      <c r="FP142" s="39"/>
      <c r="FQ142" s="39"/>
      <c r="FR142" s="39"/>
      <c r="FS142" s="39"/>
      <c r="FT142" s="39"/>
    </row>
    <row r="143" spans="1:176" s="22" customFormat="1" ht="13">
      <c r="A143" s="7"/>
      <c r="B143" s="23" t="str">
        <f>IF(_xlfn.XLOOKUP(A143, AutoFill_names!B:B, AutoFill_names!C:C,"")=0,"",_xlfn.XLOOKUP(A143, AutoFill_names!B:B, AutoFill_names!C:C,""))</f>
        <v/>
      </c>
      <c r="C143" s="23" t="str">
        <f>IF(_xlfn.XLOOKUP(A143, AutoFill_names!B:B, AutoFill_names!D:D,"")=0,"",_xlfn.XLOOKUP(A143, AutoFill_names!B:B, AutoFill_names!D:D,""))</f>
        <v/>
      </c>
      <c r="D143" s="23" t="str">
        <f>IF(_xlfn.XLOOKUP(A143, AutoFill_names!B:B, AutoFill_names!E:E,"")=0,"",_xlfn.XLOOKUP(A143, AutoFill_names!B:B, AutoFill_names!E:E,""))</f>
        <v/>
      </c>
      <c r="E143" s="23" t="str">
        <f>IF(_xlfn.XLOOKUP(A143, AutoFill_names!B:B, AutoFill_names!F:F,"")=0,"",_xlfn.XLOOKUP(A143, AutoFill_names!B:B, AutoFill_names!F:F,""))</f>
        <v/>
      </c>
      <c r="F143" s="4"/>
      <c r="G143" s="4"/>
      <c r="H143" s="4"/>
      <c r="I143" s="4"/>
      <c r="J143" s="23" t="str">
        <f>IF(_xlfn.XLOOKUP(A143, AutoFill_names!B:B, AutoFill_names!K:K,"")=0,"",_xlfn.XLOOKUP(A143, AutoFill_names!B:B, AutoFill_names!K:K,""))</f>
        <v/>
      </c>
      <c r="K143" s="23" t="str">
        <f>IF(_xlfn.XLOOKUP(A143, AutoFill_names!B:B, AutoFill_names!L:L,"")=0,"",_xlfn.XLOOKUP(A143, AutoFill_names!B:B, AutoFill_names!L:L,""))</f>
        <v/>
      </c>
      <c r="L143" s="45"/>
      <c r="M143" s="45"/>
      <c r="N143" s="61" t="str">
        <f>IF(_xlfn.XLOOKUP(L143, AutoFill_classes!A:A, AutoFill_classes!B:B,"")=0,"",_xlfn.XLOOKUP(L143, AutoFill_classes!A:A, AutoFill_classes!B:B,""))</f>
        <v/>
      </c>
      <c r="O143" s="154"/>
      <c r="P143" s="9"/>
      <c r="Q143" s="9"/>
      <c r="R143" s="9"/>
      <c r="S143" s="4"/>
      <c r="T143" s="4"/>
      <c r="U143" s="4"/>
      <c r="V143" s="4"/>
      <c r="W143" s="4"/>
      <c r="X143" s="144"/>
      <c r="Y143" s="27"/>
      <c r="Z143" s="60" t="str">
        <f t="shared" si="378"/>
        <v/>
      </c>
      <c r="AA143" s="32"/>
      <c r="AB143" s="32"/>
      <c r="AC143" s="32"/>
      <c r="AD143" s="32"/>
      <c r="AE143" s="58" t="str">
        <f t="shared" si="379"/>
        <v/>
      </c>
      <c r="AF143" s="20"/>
      <c r="AG143" s="58" t="str">
        <f t="shared" si="380"/>
        <v/>
      </c>
      <c r="AH143" s="32"/>
      <c r="AI143" s="32"/>
      <c r="AJ143" s="58" t="str">
        <f t="shared" si="381"/>
        <v/>
      </c>
      <c r="AK143" s="20"/>
      <c r="AL143" s="58" t="str">
        <f t="shared" si="382"/>
        <v/>
      </c>
      <c r="AM143" s="32"/>
      <c r="AN143" s="32"/>
      <c r="AO143" s="58" t="str">
        <f t="shared" si="383"/>
        <v/>
      </c>
      <c r="AP143" s="58" t="str">
        <f t="shared" si="384"/>
        <v/>
      </c>
      <c r="AQ143" s="58" t="str">
        <f t="shared" si="385"/>
        <v/>
      </c>
      <c r="AR143" s="59" t="str">
        <f t="shared" si="386"/>
        <v/>
      </c>
      <c r="AS143" s="20"/>
      <c r="AT143" s="47"/>
      <c r="AU143" s="47"/>
      <c r="AV143" s="61" t="str">
        <f>IF(_xlfn.XLOOKUP(AT143, AutoFill_classes!$A:$A, AutoFill_classes!$B:$B,"")=0,"",_xlfn.XLOOKUP(AT143, AutoFill_classes!$A:$A, AutoFill_classes!$B:$B,""))</f>
        <v/>
      </c>
      <c r="AW143" s="154"/>
      <c r="AX143" s="14"/>
      <c r="AY143" s="14"/>
      <c r="AZ143" s="14"/>
      <c r="BA143" s="16"/>
      <c r="BB143" s="16"/>
      <c r="BC143" s="144"/>
      <c r="BD143" s="29"/>
      <c r="BE143" s="60" t="str">
        <f t="shared" si="387"/>
        <v/>
      </c>
      <c r="BF143" s="32"/>
      <c r="BG143" s="32"/>
      <c r="BH143" s="32"/>
      <c r="BI143" s="32"/>
      <c r="BJ143" s="58" t="str">
        <f t="shared" si="388"/>
        <v/>
      </c>
      <c r="BK143" s="20"/>
      <c r="BL143" s="58" t="str">
        <f t="shared" si="389"/>
        <v/>
      </c>
      <c r="BM143" s="32"/>
      <c r="BN143" s="32"/>
      <c r="BO143" s="58" t="str">
        <f t="shared" si="390"/>
        <v/>
      </c>
      <c r="BP143" s="20"/>
      <c r="BQ143" s="58" t="str">
        <f t="shared" si="391"/>
        <v/>
      </c>
      <c r="BR143" s="32"/>
      <c r="BS143" s="32"/>
      <c r="BT143" s="58" t="str">
        <f t="shared" si="392"/>
        <v/>
      </c>
      <c r="BU143" s="58" t="str">
        <f t="shared" si="393"/>
        <v/>
      </c>
      <c r="BV143" s="58" t="str">
        <f t="shared" si="394"/>
        <v/>
      </c>
      <c r="BW143" s="59" t="str">
        <f t="shared" si="395"/>
        <v/>
      </c>
      <c r="BX143" s="14"/>
      <c r="BY143" s="21"/>
      <c r="BZ143" s="20"/>
      <c r="CA143" s="61" t="str">
        <f>IF(_xlfn.XLOOKUP(BY143, AutoFill_classes!$A:$A, AutoFill_classes!$B:$B,"")=0,"",_xlfn.XLOOKUP(BY143, AutoFill_classes!$A:$A, AutoFill_classes!$B:$B,""))</f>
        <v/>
      </c>
      <c r="CB143" s="154"/>
      <c r="CC143" s="20"/>
      <c r="CD143" s="20"/>
      <c r="CE143" s="20"/>
      <c r="CF143" s="33"/>
      <c r="CG143" s="34"/>
      <c r="CH143" s="144"/>
      <c r="CI143" s="35"/>
      <c r="CJ143" s="60" t="str">
        <f t="shared" si="396"/>
        <v/>
      </c>
      <c r="CK143" s="32"/>
      <c r="CL143" s="32"/>
      <c r="CM143" s="32"/>
      <c r="CN143" s="32"/>
      <c r="CO143" s="58" t="str">
        <f t="shared" si="397"/>
        <v/>
      </c>
      <c r="CP143" s="20"/>
      <c r="CQ143" s="58" t="str">
        <f t="shared" si="398"/>
        <v/>
      </c>
      <c r="CR143" s="32"/>
      <c r="CS143" s="32"/>
      <c r="CT143" s="58" t="str">
        <f t="shared" si="399"/>
        <v/>
      </c>
      <c r="CU143" s="20"/>
      <c r="CV143" s="58" t="str">
        <f t="shared" si="400"/>
        <v/>
      </c>
      <c r="CW143" s="32"/>
      <c r="CX143" s="32"/>
      <c r="CY143" s="58" t="str">
        <f t="shared" si="401"/>
        <v/>
      </c>
      <c r="CZ143" s="58" t="str">
        <f t="shared" si="402"/>
        <v/>
      </c>
      <c r="DA143" s="58" t="str">
        <f t="shared" si="403"/>
        <v/>
      </c>
      <c r="DB143" s="59" t="str">
        <f t="shared" si="404"/>
        <v/>
      </c>
      <c r="DC143" s="20"/>
      <c r="DD143" s="144"/>
      <c r="DE143" s="91">
        <v>142</v>
      </c>
      <c r="DF143" s="39"/>
      <c r="DG143" s="39"/>
      <c r="DH143" s="39"/>
      <c r="DI143" s="39"/>
      <c r="DJ143" s="39"/>
      <c r="DK143" s="39"/>
      <c r="DL143" s="39"/>
      <c r="DM143" s="39"/>
      <c r="DN143" s="39"/>
      <c r="DO143" s="39"/>
      <c r="DP143" s="39"/>
      <c r="DQ143" s="39"/>
      <c r="DR143" s="39"/>
      <c r="DS143" s="39"/>
      <c r="DT143" s="39"/>
      <c r="DU143" s="39"/>
      <c r="DV143" s="39"/>
      <c r="DW143" s="39"/>
      <c r="DX143" s="39"/>
      <c r="DY143" s="39"/>
      <c r="DZ143" s="39"/>
      <c r="EA143" s="39"/>
      <c r="EB143" s="39"/>
      <c r="EC143" s="39"/>
      <c r="ED143" s="39"/>
      <c r="EE143" s="39"/>
      <c r="EF143" s="39"/>
      <c r="EG143" s="39"/>
      <c r="EH143" s="39"/>
      <c r="EI143" s="39"/>
      <c r="EJ143" s="39"/>
      <c r="EK143" s="39"/>
      <c r="EL143" s="39"/>
      <c r="EM143" s="39"/>
      <c r="EN143" s="39"/>
      <c r="EO143" s="39"/>
      <c r="EP143" s="39"/>
      <c r="EQ143" s="39"/>
      <c r="ER143" s="39"/>
      <c r="ES143" s="39"/>
      <c r="ET143" s="39"/>
      <c r="EU143" s="39"/>
      <c r="EV143" s="39"/>
      <c r="EW143" s="39"/>
      <c r="EX143" s="39"/>
      <c r="EY143" s="39"/>
      <c r="EZ143" s="39"/>
      <c r="FA143" s="39"/>
      <c r="FB143" s="39"/>
      <c r="FC143" s="39"/>
      <c r="FD143" s="39"/>
      <c r="FE143" s="39"/>
      <c r="FF143" s="39"/>
      <c r="FG143" s="39"/>
      <c r="FH143" s="39"/>
      <c r="FI143" s="39"/>
      <c r="FJ143" s="39"/>
      <c r="FK143" s="39"/>
      <c r="FL143" s="39"/>
      <c r="FM143" s="39"/>
      <c r="FN143" s="39"/>
      <c r="FO143" s="39"/>
      <c r="FP143" s="39"/>
      <c r="FQ143" s="39"/>
      <c r="FR143" s="39"/>
      <c r="FS143" s="39"/>
      <c r="FT143" s="39"/>
    </row>
    <row r="144" spans="1:176" s="22" customFormat="1" ht="13">
      <c r="A144" s="7"/>
      <c r="B144" s="23" t="str">
        <f>IF(_xlfn.XLOOKUP(A144, AutoFill_names!B:B, AutoFill_names!C:C,"")=0,"",_xlfn.XLOOKUP(A144, AutoFill_names!B:B, AutoFill_names!C:C,""))</f>
        <v/>
      </c>
      <c r="C144" s="23" t="str">
        <f>IF(_xlfn.XLOOKUP(A144, AutoFill_names!B:B, AutoFill_names!D:D,"")=0,"",_xlfn.XLOOKUP(A144, AutoFill_names!B:B, AutoFill_names!D:D,""))</f>
        <v/>
      </c>
      <c r="D144" s="23" t="str">
        <f>IF(_xlfn.XLOOKUP(A144, AutoFill_names!B:B, AutoFill_names!E:E,"")=0,"",_xlfn.XLOOKUP(A144, AutoFill_names!B:B, AutoFill_names!E:E,""))</f>
        <v/>
      </c>
      <c r="E144" s="23" t="str">
        <f>IF(_xlfn.XLOOKUP(A144, AutoFill_names!B:B, AutoFill_names!F:F,"")=0,"",_xlfn.XLOOKUP(A144, AutoFill_names!B:B, AutoFill_names!F:F,""))</f>
        <v/>
      </c>
      <c r="F144" s="4"/>
      <c r="G144" s="4"/>
      <c r="H144" s="4"/>
      <c r="I144" s="4"/>
      <c r="J144" s="23" t="str">
        <f>IF(_xlfn.XLOOKUP(A144, AutoFill_names!B:B, AutoFill_names!K:K,"")=0,"",_xlfn.XLOOKUP(A144, AutoFill_names!B:B, AutoFill_names!K:K,""))</f>
        <v/>
      </c>
      <c r="K144" s="23" t="str">
        <f>IF(_xlfn.XLOOKUP(A144, AutoFill_names!B:B, AutoFill_names!L:L,"")=0,"",_xlfn.XLOOKUP(A144, AutoFill_names!B:B, AutoFill_names!L:L,""))</f>
        <v/>
      </c>
      <c r="L144" s="45"/>
      <c r="M144" s="45"/>
      <c r="N144" s="61" t="str">
        <f>IF(_xlfn.XLOOKUP(L144, AutoFill_classes!A:A, AutoFill_classes!B:B,"")=0,"",_xlfn.XLOOKUP(L144, AutoFill_classes!A:A, AutoFill_classes!B:B,""))</f>
        <v/>
      </c>
      <c r="O144" s="154"/>
      <c r="P144" s="9"/>
      <c r="Q144" s="9"/>
      <c r="R144" s="9"/>
      <c r="S144" s="4"/>
      <c r="T144" s="4"/>
      <c r="U144" s="4"/>
      <c r="V144" s="4"/>
      <c r="W144" s="4"/>
      <c r="X144" s="144"/>
      <c r="Y144" s="27"/>
      <c r="Z144" s="60" t="str">
        <f t="shared" si="378"/>
        <v/>
      </c>
      <c r="AA144" s="32"/>
      <c r="AB144" s="32"/>
      <c r="AC144" s="36"/>
      <c r="AD144" s="36"/>
      <c r="AE144" s="58" t="str">
        <f t="shared" si="379"/>
        <v/>
      </c>
      <c r="AF144" s="20"/>
      <c r="AG144" s="58" t="str">
        <f t="shared" si="380"/>
        <v/>
      </c>
      <c r="AH144" s="36"/>
      <c r="AI144" s="36"/>
      <c r="AJ144" s="58" t="str">
        <f t="shared" si="381"/>
        <v/>
      </c>
      <c r="AK144" s="20"/>
      <c r="AL144" s="58" t="str">
        <f t="shared" si="382"/>
        <v/>
      </c>
      <c r="AM144" s="36"/>
      <c r="AN144" s="36"/>
      <c r="AO144" s="58" t="str">
        <f t="shared" si="383"/>
        <v/>
      </c>
      <c r="AP144" s="58" t="str">
        <f t="shared" si="384"/>
        <v/>
      </c>
      <c r="AQ144" s="58" t="str">
        <f t="shared" si="385"/>
        <v/>
      </c>
      <c r="AR144" s="59" t="str">
        <f t="shared" si="386"/>
        <v/>
      </c>
      <c r="AS144" s="20"/>
      <c r="AT144" s="47"/>
      <c r="AU144" s="47"/>
      <c r="AV144" s="61" t="str">
        <f>IF(_xlfn.XLOOKUP(AT144, AutoFill_classes!$A:$A, AutoFill_classes!$B:$B,"")=0,"",_xlfn.XLOOKUP(AT144, AutoFill_classes!$A:$A, AutoFill_classes!$B:$B,""))</f>
        <v/>
      </c>
      <c r="AW144" s="154"/>
      <c r="AX144" s="14"/>
      <c r="AY144" s="14"/>
      <c r="AZ144" s="14"/>
      <c r="BA144" s="16"/>
      <c r="BB144" s="16"/>
      <c r="BC144" s="144"/>
      <c r="BD144" s="29"/>
      <c r="BE144" s="60" t="str">
        <f t="shared" si="387"/>
        <v/>
      </c>
      <c r="BF144" s="32"/>
      <c r="BG144" s="32"/>
      <c r="BH144" s="36"/>
      <c r="BI144" s="36"/>
      <c r="BJ144" s="58" t="str">
        <f t="shared" si="388"/>
        <v/>
      </c>
      <c r="BK144" s="20"/>
      <c r="BL144" s="58" t="str">
        <f t="shared" si="389"/>
        <v/>
      </c>
      <c r="BM144" s="36"/>
      <c r="BN144" s="36"/>
      <c r="BO144" s="58" t="str">
        <f t="shared" si="390"/>
        <v/>
      </c>
      <c r="BP144" s="20"/>
      <c r="BQ144" s="58" t="str">
        <f t="shared" si="391"/>
        <v/>
      </c>
      <c r="BR144" s="36"/>
      <c r="BS144" s="36"/>
      <c r="BT144" s="58" t="str">
        <f t="shared" si="392"/>
        <v/>
      </c>
      <c r="BU144" s="58" t="str">
        <f t="shared" si="393"/>
        <v/>
      </c>
      <c r="BV144" s="58" t="str">
        <f t="shared" si="394"/>
        <v/>
      </c>
      <c r="BW144" s="59" t="str">
        <f t="shared" si="395"/>
        <v/>
      </c>
      <c r="BX144" s="14"/>
      <c r="BY144" s="21"/>
      <c r="BZ144" s="20"/>
      <c r="CA144" s="61" t="str">
        <f>IF(_xlfn.XLOOKUP(BY144, AutoFill_classes!$A:$A, AutoFill_classes!$B:$B,"")=0,"",_xlfn.XLOOKUP(BY144, AutoFill_classes!$A:$A, AutoFill_classes!$B:$B,""))</f>
        <v/>
      </c>
      <c r="CB144" s="154"/>
      <c r="CC144" s="20"/>
      <c r="CD144" s="20"/>
      <c r="CE144" s="20"/>
      <c r="CF144" s="33"/>
      <c r="CG144" s="34"/>
      <c r="CH144" s="144"/>
      <c r="CI144" s="35"/>
      <c r="CJ144" s="60" t="str">
        <f t="shared" si="396"/>
        <v/>
      </c>
      <c r="CK144" s="32"/>
      <c r="CL144" s="32"/>
      <c r="CM144" s="36"/>
      <c r="CN144" s="36"/>
      <c r="CO144" s="58" t="str">
        <f t="shared" si="397"/>
        <v/>
      </c>
      <c r="CP144" s="20"/>
      <c r="CQ144" s="58" t="str">
        <f t="shared" si="398"/>
        <v/>
      </c>
      <c r="CR144" s="36"/>
      <c r="CS144" s="36"/>
      <c r="CT144" s="58" t="str">
        <f t="shared" si="399"/>
        <v/>
      </c>
      <c r="CU144" s="20"/>
      <c r="CV144" s="58" t="str">
        <f t="shared" si="400"/>
        <v/>
      </c>
      <c r="CW144" s="36"/>
      <c r="CX144" s="36"/>
      <c r="CY144" s="58" t="str">
        <f t="shared" si="401"/>
        <v/>
      </c>
      <c r="CZ144" s="58" t="str">
        <f t="shared" si="402"/>
        <v/>
      </c>
      <c r="DA144" s="58" t="str">
        <f t="shared" si="403"/>
        <v/>
      </c>
      <c r="DB144" s="59" t="str">
        <f t="shared" si="404"/>
        <v/>
      </c>
      <c r="DC144" s="20"/>
      <c r="DD144" s="144"/>
      <c r="DE144" s="91">
        <v>143</v>
      </c>
      <c r="DF144" s="39"/>
      <c r="DG144" s="39"/>
      <c r="DH144" s="39"/>
      <c r="DI144" s="39"/>
      <c r="DJ144" s="39"/>
      <c r="DK144" s="39"/>
      <c r="DL144" s="39"/>
      <c r="DM144" s="39"/>
      <c r="DN144" s="39"/>
      <c r="DO144" s="39"/>
      <c r="DP144" s="39"/>
      <c r="DQ144" s="39"/>
      <c r="DR144" s="39"/>
      <c r="DS144" s="39"/>
      <c r="DT144" s="39"/>
      <c r="DU144" s="39"/>
      <c r="DV144" s="39"/>
      <c r="DW144" s="39"/>
      <c r="DX144" s="39"/>
      <c r="DY144" s="39"/>
      <c r="DZ144" s="39"/>
      <c r="EA144" s="39"/>
      <c r="EB144" s="39"/>
      <c r="EC144" s="39"/>
      <c r="ED144" s="39"/>
      <c r="EE144" s="39"/>
      <c r="EF144" s="39"/>
      <c r="EG144" s="39"/>
      <c r="EH144" s="39"/>
      <c r="EI144" s="39"/>
      <c r="EJ144" s="39"/>
      <c r="EK144" s="39"/>
      <c r="EL144" s="39"/>
      <c r="EM144" s="39"/>
      <c r="EN144" s="39"/>
      <c r="EO144" s="39"/>
      <c r="EP144" s="39"/>
      <c r="EQ144" s="39"/>
      <c r="ER144" s="39"/>
      <c r="ES144" s="39"/>
      <c r="ET144" s="39"/>
      <c r="EU144" s="39"/>
      <c r="EV144" s="39"/>
      <c r="EW144" s="39"/>
      <c r="EX144" s="39"/>
      <c r="EY144" s="39"/>
      <c r="EZ144" s="39"/>
      <c r="FA144" s="39"/>
      <c r="FB144" s="39"/>
      <c r="FC144" s="39"/>
      <c r="FD144" s="39"/>
      <c r="FE144" s="39"/>
      <c r="FF144" s="39"/>
      <c r="FG144" s="39"/>
      <c r="FH144" s="39"/>
      <c r="FI144" s="39"/>
      <c r="FJ144" s="39"/>
      <c r="FK144" s="39"/>
      <c r="FL144" s="39"/>
      <c r="FM144" s="39"/>
      <c r="FN144" s="39"/>
      <c r="FO144" s="39"/>
      <c r="FP144" s="39"/>
      <c r="FQ144" s="39"/>
      <c r="FR144" s="39"/>
      <c r="FS144" s="39"/>
      <c r="FT144" s="39"/>
    </row>
    <row r="145" spans="1:176" s="22" customFormat="1" ht="13">
      <c r="A145" s="7"/>
      <c r="B145" s="23" t="str">
        <f>IF(_xlfn.XLOOKUP(A145, AutoFill_names!B:B, AutoFill_names!C:C,"")=0,"",_xlfn.XLOOKUP(A145, AutoFill_names!B:B, AutoFill_names!C:C,""))</f>
        <v/>
      </c>
      <c r="C145" s="23" t="str">
        <f>IF(_xlfn.XLOOKUP(A145, AutoFill_names!B:B, AutoFill_names!D:D,"")=0,"",_xlfn.XLOOKUP(A145, AutoFill_names!B:B, AutoFill_names!D:D,""))</f>
        <v/>
      </c>
      <c r="D145" s="23" t="str">
        <f>IF(_xlfn.XLOOKUP(A145, AutoFill_names!B:B, AutoFill_names!E:E,"")=0,"",_xlfn.XLOOKUP(A145, AutoFill_names!B:B, AutoFill_names!E:E,""))</f>
        <v/>
      </c>
      <c r="E145" s="23" t="str">
        <f>IF(_xlfn.XLOOKUP(A145, AutoFill_names!B:B, AutoFill_names!F:F,"")=0,"",_xlfn.XLOOKUP(A145, AutoFill_names!B:B, AutoFill_names!F:F,""))</f>
        <v/>
      </c>
      <c r="F145" s="4"/>
      <c r="G145" s="4"/>
      <c r="H145" s="4"/>
      <c r="I145" s="4"/>
      <c r="J145" s="23" t="str">
        <f>IF(_xlfn.XLOOKUP(A145, AutoFill_names!B:B, AutoFill_names!K:K,"")=0,"",_xlfn.XLOOKUP(A145, AutoFill_names!B:B, AutoFill_names!K:K,""))</f>
        <v/>
      </c>
      <c r="K145" s="23" t="str">
        <f>IF(_xlfn.XLOOKUP(A145, AutoFill_names!B:B, AutoFill_names!L:L,"")=0,"",_xlfn.XLOOKUP(A145, AutoFill_names!B:B, AutoFill_names!L:L,""))</f>
        <v/>
      </c>
      <c r="L145" s="45"/>
      <c r="M145" s="45"/>
      <c r="N145" s="61" t="str">
        <f>IF(_xlfn.XLOOKUP(L145, AutoFill_classes!A:A, AutoFill_classes!B:B,"")=0,"",_xlfn.XLOOKUP(L145, AutoFill_classes!A:A, AutoFill_classes!B:B,""))</f>
        <v/>
      </c>
      <c r="O145" s="154"/>
      <c r="P145" s="9"/>
      <c r="Q145" s="9"/>
      <c r="R145" s="9"/>
      <c r="S145" s="4"/>
      <c r="T145" s="4"/>
      <c r="U145" s="4"/>
      <c r="V145" s="4"/>
      <c r="W145" s="4"/>
      <c r="X145" s="144"/>
      <c r="Y145" s="27"/>
      <c r="Z145" s="60" t="str">
        <f t="shared" si="378"/>
        <v/>
      </c>
      <c r="AA145" s="32"/>
      <c r="AB145" s="32"/>
      <c r="AC145" s="32"/>
      <c r="AD145" s="32"/>
      <c r="AE145" s="58" t="str">
        <f t="shared" si="379"/>
        <v/>
      </c>
      <c r="AF145" s="20"/>
      <c r="AG145" s="58" t="str">
        <f t="shared" si="380"/>
        <v/>
      </c>
      <c r="AH145" s="32"/>
      <c r="AI145" s="32"/>
      <c r="AJ145" s="58" t="str">
        <f t="shared" si="381"/>
        <v/>
      </c>
      <c r="AK145" s="20"/>
      <c r="AL145" s="58" t="str">
        <f t="shared" si="382"/>
        <v/>
      </c>
      <c r="AM145" s="32"/>
      <c r="AN145" s="32"/>
      <c r="AO145" s="58" t="str">
        <f t="shared" si="383"/>
        <v/>
      </c>
      <c r="AP145" s="58" t="str">
        <f t="shared" si="384"/>
        <v/>
      </c>
      <c r="AQ145" s="58" t="str">
        <f t="shared" si="385"/>
        <v/>
      </c>
      <c r="AR145" s="59" t="str">
        <f t="shared" si="386"/>
        <v/>
      </c>
      <c r="AS145" s="20"/>
      <c r="AT145" s="47"/>
      <c r="AU145" s="47"/>
      <c r="AV145" s="61" t="str">
        <f>IF(_xlfn.XLOOKUP(AT145, AutoFill_classes!$A:$A, AutoFill_classes!$B:$B,"")=0,"",_xlfn.XLOOKUP(AT145, AutoFill_classes!$A:$A, AutoFill_classes!$B:$B,""))</f>
        <v/>
      </c>
      <c r="AW145" s="154"/>
      <c r="AX145" s="14"/>
      <c r="AY145" s="14"/>
      <c r="AZ145" s="14"/>
      <c r="BA145" s="16"/>
      <c r="BB145" s="16"/>
      <c r="BC145" s="144"/>
      <c r="BD145" s="29"/>
      <c r="BE145" s="60" t="str">
        <f t="shared" si="387"/>
        <v/>
      </c>
      <c r="BF145" s="32"/>
      <c r="BG145" s="32"/>
      <c r="BH145" s="32"/>
      <c r="BI145" s="32"/>
      <c r="BJ145" s="58" t="str">
        <f t="shared" si="388"/>
        <v/>
      </c>
      <c r="BK145" s="20"/>
      <c r="BL145" s="58" t="str">
        <f t="shared" si="389"/>
        <v/>
      </c>
      <c r="BM145" s="32"/>
      <c r="BN145" s="32"/>
      <c r="BO145" s="58" t="str">
        <f t="shared" si="390"/>
        <v/>
      </c>
      <c r="BP145" s="20"/>
      <c r="BQ145" s="58" t="str">
        <f t="shared" si="391"/>
        <v/>
      </c>
      <c r="BR145" s="32"/>
      <c r="BS145" s="32"/>
      <c r="BT145" s="58" t="str">
        <f t="shared" si="392"/>
        <v/>
      </c>
      <c r="BU145" s="58" t="str">
        <f t="shared" si="393"/>
        <v/>
      </c>
      <c r="BV145" s="58" t="str">
        <f t="shared" si="394"/>
        <v/>
      </c>
      <c r="BW145" s="59" t="str">
        <f t="shared" si="395"/>
        <v/>
      </c>
      <c r="BX145" s="14"/>
      <c r="BY145" s="21"/>
      <c r="BZ145" s="20"/>
      <c r="CA145" s="61" t="str">
        <f>IF(_xlfn.XLOOKUP(BY145, AutoFill_classes!$A:$A, AutoFill_classes!$B:$B,"")=0,"",_xlfn.XLOOKUP(BY145, AutoFill_classes!$A:$A, AutoFill_classes!$B:$B,""))</f>
        <v/>
      </c>
      <c r="CB145" s="154"/>
      <c r="CC145" s="20"/>
      <c r="CD145" s="20"/>
      <c r="CE145" s="20"/>
      <c r="CF145" s="33"/>
      <c r="CG145" s="34"/>
      <c r="CH145" s="144"/>
      <c r="CI145" s="35"/>
      <c r="CJ145" s="60" t="str">
        <f t="shared" si="396"/>
        <v/>
      </c>
      <c r="CK145" s="32"/>
      <c r="CL145" s="32"/>
      <c r="CM145" s="32"/>
      <c r="CN145" s="32"/>
      <c r="CO145" s="58" t="str">
        <f t="shared" si="397"/>
        <v/>
      </c>
      <c r="CP145" s="20"/>
      <c r="CQ145" s="58" t="str">
        <f t="shared" si="398"/>
        <v/>
      </c>
      <c r="CR145" s="32"/>
      <c r="CS145" s="32"/>
      <c r="CT145" s="58" t="str">
        <f t="shared" si="399"/>
        <v/>
      </c>
      <c r="CU145" s="20"/>
      <c r="CV145" s="58" t="str">
        <f t="shared" si="400"/>
        <v/>
      </c>
      <c r="CW145" s="32"/>
      <c r="CX145" s="32"/>
      <c r="CY145" s="58" t="str">
        <f t="shared" si="401"/>
        <v/>
      </c>
      <c r="CZ145" s="58" t="str">
        <f t="shared" si="402"/>
        <v/>
      </c>
      <c r="DA145" s="58" t="str">
        <f t="shared" si="403"/>
        <v/>
      </c>
      <c r="DB145" s="59" t="str">
        <f t="shared" si="404"/>
        <v/>
      </c>
      <c r="DC145" s="20"/>
      <c r="DD145" s="144"/>
      <c r="DE145" s="91">
        <v>144</v>
      </c>
      <c r="DF145" s="39"/>
      <c r="DG145" s="39"/>
      <c r="DH145" s="39"/>
      <c r="DI145" s="39"/>
      <c r="DJ145" s="39"/>
      <c r="DK145" s="39"/>
      <c r="DL145" s="39"/>
      <c r="DM145" s="39"/>
      <c r="DN145" s="39"/>
      <c r="DO145" s="39"/>
      <c r="DP145" s="39"/>
      <c r="DQ145" s="39"/>
      <c r="DR145" s="39"/>
      <c r="DS145" s="39"/>
      <c r="DT145" s="39"/>
      <c r="DU145" s="39"/>
      <c r="DV145" s="39"/>
      <c r="DW145" s="39"/>
      <c r="DX145" s="39"/>
      <c r="DY145" s="39"/>
      <c r="DZ145" s="39"/>
      <c r="EA145" s="39"/>
      <c r="EB145" s="39"/>
      <c r="EC145" s="39"/>
      <c r="ED145" s="39"/>
      <c r="EE145" s="39"/>
      <c r="EF145" s="39"/>
      <c r="EG145" s="39"/>
      <c r="EH145" s="39"/>
      <c r="EI145" s="39"/>
      <c r="EJ145" s="39"/>
      <c r="EK145" s="39"/>
      <c r="EL145" s="39"/>
      <c r="EM145" s="39"/>
      <c r="EN145" s="39"/>
      <c r="EO145" s="39"/>
      <c r="EP145" s="39"/>
      <c r="EQ145" s="39"/>
      <c r="ER145" s="39"/>
      <c r="ES145" s="39"/>
      <c r="ET145" s="39"/>
      <c r="EU145" s="39"/>
      <c r="EV145" s="39"/>
      <c r="EW145" s="39"/>
      <c r="EX145" s="39"/>
      <c r="EY145" s="39"/>
      <c r="EZ145" s="39"/>
      <c r="FA145" s="39"/>
      <c r="FB145" s="39"/>
      <c r="FC145" s="39"/>
      <c r="FD145" s="39"/>
      <c r="FE145" s="39"/>
      <c r="FF145" s="39"/>
      <c r="FG145" s="39"/>
      <c r="FH145" s="39"/>
      <c r="FI145" s="39"/>
      <c r="FJ145" s="39"/>
      <c r="FK145" s="39"/>
      <c r="FL145" s="39"/>
      <c r="FM145" s="39"/>
      <c r="FN145" s="39"/>
      <c r="FO145" s="39"/>
      <c r="FP145" s="39"/>
      <c r="FQ145" s="39"/>
      <c r="FR145" s="39"/>
      <c r="FS145" s="39"/>
      <c r="FT145" s="39"/>
    </row>
    <row r="146" spans="1:176" s="22" customFormat="1" ht="13">
      <c r="A146" s="7"/>
      <c r="B146" s="23" t="str">
        <f>IF(_xlfn.XLOOKUP(A146, AutoFill_names!B:B, AutoFill_names!C:C,"")=0,"",_xlfn.XLOOKUP(A146, AutoFill_names!B:B, AutoFill_names!C:C,""))</f>
        <v/>
      </c>
      <c r="C146" s="23" t="str">
        <f>IF(_xlfn.XLOOKUP(A146, AutoFill_names!B:B, AutoFill_names!D:D,"")=0,"",_xlfn.XLOOKUP(A146, AutoFill_names!B:B, AutoFill_names!D:D,""))</f>
        <v/>
      </c>
      <c r="D146" s="23" t="str">
        <f>IF(_xlfn.XLOOKUP(A146, AutoFill_names!B:B, AutoFill_names!E:E,"")=0,"",_xlfn.XLOOKUP(A146, AutoFill_names!B:B, AutoFill_names!E:E,""))</f>
        <v/>
      </c>
      <c r="E146" s="23" t="str">
        <f>IF(_xlfn.XLOOKUP(A146, AutoFill_names!B:B, AutoFill_names!F:F,"")=0,"",_xlfn.XLOOKUP(A146, AutoFill_names!B:B, AutoFill_names!F:F,""))</f>
        <v/>
      </c>
      <c r="F146" s="4"/>
      <c r="G146" s="4"/>
      <c r="H146" s="4"/>
      <c r="I146" s="4"/>
      <c r="J146" s="23" t="str">
        <f>IF(_xlfn.XLOOKUP(A146, AutoFill_names!B:B, AutoFill_names!K:K,"")=0,"",_xlfn.XLOOKUP(A146, AutoFill_names!B:B, AutoFill_names!K:K,""))</f>
        <v/>
      </c>
      <c r="K146" s="23" t="str">
        <f>IF(_xlfn.XLOOKUP(A146, AutoFill_names!B:B, AutoFill_names!L:L,"")=0,"",_xlfn.XLOOKUP(A146, AutoFill_names!B:B, AutoFill_names!L:L,""))</f>
        <v/>
      </c>
      <c r="L146" s="45"/>
      <c r="M146" s="45"/>
      <c r="N146" s="61" t="str">
        <f>IF(_xlfn.XLOOKUP(L146, AutoFill_classes!A:A, AutoFill_classes!B:B,"")=0,"",_xlfn.XLOOKUP(L146, AutoFill_classes!A:A, AutoFill_classes!B:B,""))</f>
        <v/>
      </c>
      <c r="O146" s="154"/>
      <c r="P146" s="9"/>
      <c r="Q146" s="9"/>
      <c r="R146" s="9"/>
      <c r="S146" s="4"/>
      <c r="T146" s="4"/>
      <c r="U146" s="4"/>
      <c r="V146" s="4"/>
      <c r="W146" s="4"/>
      <c r="X146" s="144"/>
      <c r="Y146" s="27"/>
      <c r="Z146" s="60" t="str">
        <f t="shared" si="378"/>
        <v/>
      </c>
      <c r="AA146" s="32"/>
      <c r="AB146" s="32"/>
      <c r="AC146" s="32"/>
      <c r="AD146" s="32"/>
      <c r="AE146" s="58" t="str">
        <f t="shared" si="379"/>
        <v/>
      </c>
      <c r="AF146" s="20"/>
      <c r="AG146" s="58" t="str">
        <f t="shared" si="380"/>
        <v/>
      </c>
      <c r="AH146" s="32"/>
      <c r="AI146" s="32"/>
      <c r="AJ146" s="58" t="str">
        <f t="shared" si="381"/>
        <v/>
      </c>
      <c r="AK146" s="20"/>
      <c r="AL146" s="58" t="str">
        <f t="shared" si="382"/>
        <v/>
      </c>
      <c r="AM146" s="32"/>
      <c r="AN146" s="32"/>
      <c r="AO146" s="58" t="str">
        <f t="shared" si="383"/>
        <v/>
      </c>
      <c r="AP146" s="58" t="str">
        <f t="shared" si="384"/>
        <v/>
      </c>
      <c r="AQ146" s="58" t="str">
        <f t="shared" si="385"/>
        <v/>
      </c>
      <c r="AR146" s="59" t="str">
        <f t="shared" si="386"/>
        <v/>
      </c>
      <c r="AS146" s="20"/>
      <c r="AT146" s="47"/>
      <c r="AU146" s="47"/>
      <c r="AV146" s="61" t="str">
        <f>IF(_xlfn.XLOOKUP(AT146, AutoFill_classes!$A:$A, AutoFill_classes!$B:$B,"")=0,"",_xlfn.XLOOKUP(AT146, AutoFill_classes!$A:$A, AutoFill_classes!$B:$B,""))</f>
        <v/>
      </c>
      <c r="AW146" s="154"/>
      <c r="AX146" s="14"/>
      <c r="AY146" s="14"/>
      <c r="AZ146" s="14"/>
      <c r="BA146" s="16"/>
      <c r="BB146" s="16"/>
      <c r="BC146" s="144"/>
      <c r="BD146" s="29"/>
      <c r="BE146" s="60" t="str">
        <f t="shared" si="387"/>
        <v/>
      </c>
      <c r="BF146" s="32"/>
      <c r="BG146" s="32"/>
      <c r="BH146" s="32"/>
      <c r="BI146" s="32"/>
      <c r="BJ146" s="58" t="str">
        <f t="shared" si="388"/>
        <v/>
      </c>
      <c r="BK146" s="20"/>
      <c r="BL146" s="58" t="str">
        <f t="shared" si="389"/>
        <v/>
      </c>
      <c r="BM146" s="32"/>
      <c r="BN146" s="32"/>
      <c r="BO146" s="58" t="str">
        <f t="shared" si="390"/>
        <v/>
      </c>
      <c r="BP146" s="20"/>
      <c r="BQ146" s="58" t="str">
        <f t="shared" si="391"/>
        <v/>
      </c>
      <c r="BR146" s="32"/>
      <c r="BS146" s="32"/>
      <c r="BT146" s="58" t="str">
        <f t="shared" si="392"/>
        <v/>
      </c>
      <c r="BU146" s="58" t="str">
        <f t="shared" si="393"/>
        <v/>
      </c>
      <c r="BV146" s="58" t="str">
        <f t="shared" si="394"/>
        <v/>
      </c>
      <c r="BW146" s="59" t="str">
        <f t="shared" si="395"/>
        <v/>
      </c>
      <c r="BX146" s="14"/>
      <c r="BY146" s="21"/>
      <c r="BZ146" s="20"/>
      <c r="CA146" s="61" t="str">
        <f>IF(_xlfn.XLOOKUP(BY146, AutoFill_classes!$A:$A, AutoFill_classes!$B:$B,"")=0,"",_xlfn.XLOOKUP(BY146, AutoFill_classes!$A:$A, AutoFill_classes!$B:$B,""))</f>
        <v/>
      </c>
      <c r="CB146" s="154"/>
      <c r="CC146" s="20"/>
      <c r="CD146" s="20"/>
      <c r="CE146" s="20"/>
      <c r="CF146" s="33"/>
      <c r="CG146" s="34"/>
      <c r="CH146" s="144"/>
      <c r="CI146" s="35"/>
      <c r="CJ146" s="60" t="str">
        <f t="shared" si="396"/>
        <v/>
      </c>
      <c r="CK146" s="32"/>
      <c r="CL146" s="32"/>
      <c r="CM146" s="32"/>
      <c r="CN146" s="32"/>
      <c r="CO146" s="58" t="str">
        <f t="shared" si="397"/>
        <v/>
      </c>
      <c r="CP146" s="20"/>
      <c r="CQ146" s="58" t="str">
        <f t="shared" si="398"/>
        <v/>
      </c>
      <c r="CR146" s="32"/>
      <c r="CS146" s="32"/>
      <c r="CT146" s="58" t="str">
        <f t="shared" si="399"/>
        <v/>
      </c>
      <c r="CU146" s="20"/>
      <c r="CV146" s="58" t="str">
        <f t="shared" si="400"/>
        <v/>
      </c>
      <c r="CW146" s="32"/>
      <c r="CX146" s="32"/>
      <c r="CY146" s="58" t="str">
        <f t="shared" si="401"/>
        <v/>
      </c>
      <c r="CZ146" s="58" t="str">
        <f t="shared" si="402"/>
        <v/>
      </c>
      <c r="DA146" s="58" t="str">
        <f t="shared" si="403"/>
        <v/>
      </c>
      <c r="DB146" s="59" t="str">
        <f t="shared" si="404"/>
        <v/>
      </c>
      <c r="DC146" s="20"/>
      <c r="DD146" s="144"/>
      <c r="DE146" s="91">
        <v>145</v>
      </c>
      <c r="DF146" s="39"/>
      <c r="DG146" s="39"/>
      <c r="DH146" s="39"/>
      <c r="DI146" s="39"/>
      <c r="DJ146" s="39"/>
      <c r="DK146" s="39"/>
      <c r="DL146" s="39"/>
      <c r="DM146" s="39"/>
      <c r="DN146" s="39"/>
      <c r="DO146" s="39"/>
      <c r="DP146" s="39"/>
      <c r="DQ146" s="39"/>
      <c r="DR146" s="39"/>
      <c r="DS146" s="39"/>
      <c r="DT146" s="39"/>
      <c r="DU146" s="39"/>
      <c r="DV146" s="39"/>
      <c r="DW146" s="39"/>
      <c r="DX146" s="39"/>
      <c r="DY146" s="39"/>
      <c r="DZ146" s="39"/>
      <c r="EA146" s="39"/>
      <c r="EB146" s="39"/>
      <c r="EC146" s="39"/>
      <c r="ED146" s="39"/>
      <c r="EE146" s="39"/>
      <c r="EF146" s="39"/>
      <c r="EG146" s="39"/>
      <c r="EH146" s="39"/>
      <c r="EI146" s="39"/>
      <c r="EJ146" s="39"/>
      <c r="EK146" s="39"/>
      <c r="EL146" s="39"/>
      <c r="EM146" s="39"/>
      <c r="EN146" s="39"/>
      <c r="EO146" s="39"/>
      <c r="EP146" s="39"/>
      <c r="EQ146" s="39"/>
      <c r="ER146" s="39"/>
      <c r="ES146" s="39"/>
      <c r="ET146" s="39"/>
      <c r="EU146" s="39"/>
      <c r="EV146" s="39"/>
      <c r="EW146" s="39"/>
      <c r="EX146" s="39"/>
      <c r="EY146" s="39"/>
      <c r="EZ146" s="39"/>
      <c r="FA146" s="39"/>
      <c r="FB146" s="39"/>
      <c r="FC146" s="39"/>
      <c r="FD146" s="39"/>
      <c r="FE146" s="39"/>
      <c r="FF146" s="39"/>
      <c r="FG146" s="39"/>
      <c r="FH146" s="39"/>
      <c r="FI146" s="39"/>
      <c r="FJ146" s="39"/>
      <c r="FK146" s="39"/>
      <c r="FL146" s="39"/>
      <c r="FM146" s="39"/>
      <c r="FN146" s="39"/>
      <c r="FO146" s="39"/>
      <c r="FP146" s="39"/>
      <c r="FQ146" s="39"/>
      <c r="FR146" s="39"/>
      <c r="FS146" s="39"/>
      <c r="FT146" s="39"/>
    </row>
    <row r="147" spans="1:176" s="22" customFormat="1" ht="13">
      <c r="A147" s="7"/>
      <c r="B147" s="23" t="str">
        <f>IF(_xlfn.XLOOKUP(A147, AutoFill_names!B:B, AutoFill_names!C:C,"")=0,"",_xlfn.XLOOKUP(A147, AutoFill_names!B:B, AutoFill_names!C:C,""))</f>
        <v/>
      </c>
      <c r="C147" s="23" t="str">
        <f>IF(_xlfn.XLOOKUP(A147, AutoFill_names!B:B, AutoFill_names!D:D,"")=0,"",_xlfn.XLOOKUP(A147, AutoFill_names!B:B, AutoFill_names!D:D,""))</f>
        <v/>
      </c>
      <c r="D147" s="23" t="str">
        <f>IF(_xlfn.XLOOKUP(A147, AutoFill_names!B:B, AutoFill_names!E:E,"")=0,"",_xlfn.XLOOKUP(A147, AutoFill_names!B:B, AutoFill_names!E:E,""))</f>
        <v/>
      </c>
      <c r="E147" s="23" t="str">
        <f>IF(_xlfn.XLOOKUP(A147, AutoFill_names!B:B, AutoFill_names!F:F,"")=0,"",_xlfn.XLOOKUP(A147, AutoFill_names!B:B, AutoFill_names!F:F,""))</f>
        <v/>
      </c>
      <c r="F147" s="4"/>
      <c r="G147" s="4"/>
      <c r="H147" s="4"/>
      <c r="I147" s="4"/>
      <c r="J147" s="23" t="str">
        <f>IF(_xlfn.XLOOKUP(A147, AutoFill_names!B:B, AutoFill_names!K:K,"")=0,"",_xlfn.XLOOKUP(A147, AutoFill_names!B:B, AutoFill_names!K:K,""))</f>
        <v/>
      </c>
      <c r="K147" s="23" t="str">
        <f>IF(_xlfn.XLOOKUP(A147, AutoFill_names!B:B, AutoFill_names!L:L,"")=0,"",_xlfn.XLOOKUP(A147, AutoFill_names!B:B, AutoFill_names!L:L,""))</f>
        <v/>
      </c>
      <c r="L147" s="45"/>
      <c r="M147" s="45"/>
      <c r="N147" s="61" t="str">
        <f>IF(_xlfn.XLOOKUP(L147, AutoFill_classes!A:A, AutoFill_classes!B:B,"")=0,"",_xlfn.XLOOKUP(L147, AutoFill_classes!A:A, AutoFill_classes!B:B,""))</f>
        <v/>
      </c>
      <c r="O147" s="154"/>
      <c r="P147" s="9"/>
      <c r="Q147" s="9"/>
      <c r="R147" s="9"/>
      <c r="S147" s="4"/>
      <c r="T147" s="4"/>
      <c r="U147" s="4"/>
      <c r="V147" s="4"/>
      <c r="W147" s="4"/>
      <c r="X147" s="144"/>
      <c r="Y147" s="27"/>
      <c r="Z147" s="60" t="str">
        <f t="shared" si="378"/>
        <v/>
      </c>
      <c r="AA147" s="32"/>
      <c r="AB147" s="32"/>
      <c r="AC147" s="32"/>
      <c r="AD147" s="32"/>
      <c r="AE147" s="58" t="str">
        <f t="shared" si="379"/>
        <v/>
      </c>
      <c r="AF147" s="20"/>
      <c r="AG147" s="58" t="str">
        <f t="shared" si="380"/>
        <v/>
      </c>
      <c r="AH147" s="32"/>
      <c r="AI147" s="32"/>
      <c r="AJ147" s="58" t="str">
        <f t="shared" si="381"/>
        <v/>
      </c>
      <c r="AK147" s="20"/>
      <c r="AL147" s="58" t="str">
        <f t="shared" si="382"/>
        <v/>
      </c>
      <c r="AM147" s="32"/>
      <c r="AN147" s="32"/>
      <c r="AO147" s="58" t="str">
        <f t="shared" si="383"/>
        <v/>
      </c>
      <c r="AP147" s="58" t="str">
        <f t="shared" si="384"/>
        <v/>
      </c>
      <c r="AQ147" s="58" t="str">
        <f t="shared" si="385"/>
        <v/>
      </c>
      <c r="AR147" s="59" t="str">
        <f t="shared" si="386"/>
        <v/>
      </c>
      <c r="AS147" s="20"/>
      <c r="AT147" s="47"/>
      <c r="AU147" s="47"/>
      <c r="AV147" s="61" t="str">
        <f>IF(_xlfn.XLOOKUP(AT147, AutoFill_classes!$A:$A, AutoFill_classes!$B:$B,"")=0,"",_xlfn.XLOOKUP(AT147, AutoFill_classes!$A:$A, AutoFill_classes!$B:$B,""))</f>
        <v/>
      </c>
      <c r="AW147" s="154"/>
      <c r="AX147" s="14"/>
      <c r="AY147" s="14"/>
      <c r="AZ147" s="14"/>
      <c r="BA147" s="16"/>
      <c r="BB147" s="16"/>
      <c r="BC147" s="144"/>
      <c r="BD147" s="29"/>
      <c r="BE147" s="60" t="str">
        <f t="shared" si="387"/>
        <v/>
      </c>
      <c r="BF147" s="32"/>
      <c r="BG147" s="32"/>
      <c r="BH147" s="32"/>
      <c r="BI147" s="32"/>
      <c r="BJ147" s="58" t="str">
        <f t="shared" si="388"/>
        <v/>
      </c>
      <c r="BK147" s="20"/>
      <c r="BL147" s="58" t="str">
        <f t="shared" si="389"/>
        <v/>
      </c>
      <c r="BM147" s="32"/>
      <c r="BN147" s="32"/>
      <c r="BO147" s="58" t="str">
        <f t="shared" si="390"/>
        <v/>
      </c>
      <c r="BP147" s="20"/>
      <c r="BQ147" s="58" t="str">
        <f t="shared" si="391"/>
        <v/>
      </c>
      <c r="BR147" s="32"/>
      <c r="BS147" s="32"/>
      <c r="BT147" s="58" t="str">
        <f t="shared" si="392"/>
        <v/>
      </c>
      <c r="BU147" s="58" t="str">
        <f t="shared" si="393"/>
        <v/>
      </c>
      <c r="BV147" s="58" t="str">
        <f t="shared" si="394"/>
        <v/>
      </c>
      <c r="BW147" s="59" t="str">
        <f t="shared" si="395"/>
        <v/>
      </c>
      <c r="BX147" s="14"/>
      <c r="BY147" s="21"/>
      <c r="BZ147" s="20"/>
      <c r="CA147" s="61" t="str">
        <f>IF(_xlfn.XLOOKUP(BY147, AutoFill_classes!$A:$A, AutoFill_classes!$B:$B,"")=0,"",_xlfn.XLOOKUP(BY147, AutoFill_classes!$A:$A, AutoFill_classes!$B:$B,""))</f>
        <v/>
      </c>
      <c r="CB147" s="154"/>
      <c r="CC147" s="20"/>
      <c r="CD147" s="20"/>
      <c r="CE147" s="20"/>
      <c r="CF147" s="33"/>
      <c r="CG147" s="34"/>
      <c r="CH147" s="144"/>
      <c r="CI147" s="35"/>
      <c r="CJ147" s="60" t="str">
        <f t="shared" si="396"/>
        <v/>
      </c>
      <c r="CK147" s="32"/>
      <c r="CL147" s="32"/>
      <c r="CM147" s="32"/>
      <c r="CN147" s="32"/>
      <c r="CO147" s="58" t="str">
        <f t="shared" si="397"/>
        <v/>
      </c>
      <c r="CP147" s="20"/>
      <c r="CQ147" s="58" t="str">
        <f t="shared" si="398"/>
        <v/>
      </c>
      <c r="CR147" s="32"/>
      <c r="CS147" s="32"/>
      <c r="CT147" s="58" t="str">
        <f t="shared" si="399"/>
        <v/>
      </c>
      <c r="CU147" s="20"/>
      <c r="CV147" s="58" t="str">
        <f t="shared" si="400"/>
        <v/>
      </c>
      <c r="CW147" s="32"/>
      <c r="CX147" s="32"/>
      <c r="CY147" s="58" t="str">
        <f t="shared" si="401"/>
        <v/>
      </c>
      <c r="CZ147" s="58" t="str">
        <f t="shared" si="402"/>
        <v/>
      </c>
      <c r="DA147" s="58" t="str">
        <f t="shared" si="403"/>
        <v/>
      </c>
      <c r="DB147" s="59" t="str">
        <f t="shared" si="404"/>
        <v/>
      </c>
      <c r="DC147" s="20"/>
      <c r="DD147" s="144"/>
      <c r="DE147" s="91">
        <v>146</v>
      </c>
      <c r="DF147" s="39"/>
      <c r="DG147" s="39"/>
      <c r="DH147" s="39"/>
      <c r="DI147" s="39"/>
      <c r="DJ147" s="39"/>
      <c r="DK147" s="39"/>
      <c r="DL147" s="39"/>
      <c r="DM147" s="39"/>
      <c r="DN147" s="39"/>
      <c r="DO147" s="39"/>
      <c r="DP147" s="39"/>
      <c r="DQ147" s="39"/>
      <c r="DR147" s="39"/>
      <c r="DS147" s="39"/>
      <c r="DT147" s="39"/>
      <c r="DU147" s="39"/>
      <c r="DV147" s="39"/>
      <c r="DW147" s="39"/>
      <c r="DX147" s="39"/>
      <c r="DY147" s="39"/>
      <c r="DZ147" s="39"/>
      <c r="EA147" s="39"/>
      <c r="EB147" s="39"/>
      <c r="EC147" s="39"/>
      <c r="ED147" s="39"/>
      <c r="EE147" s="39"/>
      <c r="EF147" s="39"/>
      <c r="EG147" s="39"/>
      <c r="EH147" s="39"/>
      <c r="EI147" s="39"/>
      <c r="EJ147" s="39"/>
      <c r="EK147" s="39"/>
      <c r="EL147" s="39"/>
      <c r="EM147" s="39"/>
      <c r="EN147" s="39"/>
      <c r="EO147" s="39"/>
      <c r="EP147" s="39"/>
      <c r="EQ147" s="39"/>
      <c r="ER147" s="39"/>
      <c r="ES147" s="39"/>
      <c r="ET147" s="39"/>
      <c r="EU147" s="39"/>
      <c r="EV147" s="39"/>
      <c r="EW147" s="39"/>
      <c r="EX147" s="39"/>
      <c r="EY147" s="39"/>
      <c r="EZ147" s="39"/>
      <c r="FA147" s="39"/>
      <c r="FB147" s="39"/>
      <c r="FC147" s="39"/>
      <c r="FD147" s="39"/>
      <c r="FE147" s="39"/>
      <c r="FF147" s="39"/>
      <c r="FG147" s="39"/>
      <c r="FH147" s="39"/>
      <c r="FI147" s="39"/>
      <c r="FJ147" s="39"/>
      <c r="FK147" s="39"/>
      <c r="FL147" s="39"/>
      <c r="FM147" s="39"/>
      <c r="FN147" s="39"/>
      <c r="FO147" s="39"/>
      <c r="FP147" s="39"/>
      <c r="FQ147" s="39"/>
      <c r="FR147" s="39"/>
      <c r="FS147" s="39"/>
      <c r="FT147" s="39"/>
    </row>
    <row r="148" spans="1:176" s="22" customFormat="1" ht="13">
      <c r="A148" s="7"/>
      <c r="B148" s="23" t="str">
        <f>IF(_xlfn.XLOOKUP(A148, AutoFill_names!B:B, AutoFill_names!C:C,"")=0,"",_xlfn.XLOOKUP(A148, AutoFill_names!B:B, AutoFill_names!C:C,""))</f>
        <v/>
      </c>
      <c r="C148" s="23" t="str">
        <f>IF(_xlfn.XLOOKUP(A148, AutoFill_names!B:B, AutoFill_names!D:D,"")=0,"",_xlfn.XLOOKUP(A148, AutoFill_names!B:B, AutoFill_names!D:D,""))</f>
        <v/>
      </c>
      <c r="D148" s="23" t="str">
        <f>IF(_xlfn.XLOOKUP(A148, AutoFill_names!B:B, AutoFill_names!E:E,"")=0,"",_xlfn.XLOOKUP(A148, AutoFill_names!B:B, AutoFill_names!E:E,""))</f>
        <v/>
      </c>
      <c r="E148" s="23" t="str">
        <f>IF(_xlfn.XLOOKUP(A148, AutoFill_names!B:B, AutoFill_names!F:F,"")=0,"",_xlfn.XLOOKUP(A148, AutoFill_names!B:B, AutoFill_names!F:F,""))</f>
        <v/>
      </c>
      <c r="F148" s="4"/>
      <c r="G148" s="4"/>
      <c r="H148" s="4"/>
      <c r="I148" s="4"/>
      <c r="J148" s="23" t="str">
        <f>IF(_xlfn.XLOOKUP(A148, AutoFill_names!B:B, AutoFill_names!K:K,"")=0,"",_xlfn.XLOOKUP(A148, AutoFill_names!B:B, AutoFill_names!K:K,""))</f>
        <v/>
      </c>
      <c r="K148" s="23" t="str">
        <f>IF(_xlfn.XLOOKUP(A148, AutoFill_names!B:B, AutoFill_names!L:L,"")=0,"",_xlfn.XLOOKUP(A148, AutoFill_names!B:B, AutoFill_names!L:L,""))</f>
        <v/>
      </c>
      <c r="L148" s="45"/>
      <c r="M148" s="45"/>
      <c r="N148" s="61" t="str">
        <f>IF(_xlfn.XLOOKUP(L148, AutoFill_classes!A:A, AutoFill_classes!B:B,"")=0,"",_xlfn.XLOOKUP(L148, AutoFill_classes!A:A, AutoFill_classes!B:B,""))</f>
        <v/>
      </c>
      <c r="O148" s="154"/>
      <c r="P148" s="9"/>
      <c r="Q148" s="9"/>
      <c r="R148" s="9"/>
      <c r="S148" s="5"/>
      <c r="T148" s="5"/>
      <c r="U148" s="5"/>
      <c r="V148" s="4"/>
      <c r="W148" s="4"/>
      <c r="X148" s="145"/>
      <c r="Y148" s="29"/>
      <c r="Z148" s="60" t="str">
        <f t="shared" si="378"/>
        <v/>
      </c>
      <c r="AA148" s="32"/>
      <c r="AB148" s="32"/>
      <c r="AC148" s="32"/>
      <c r="AD148" s="32"/>
      <c r="AE148" s="58" t="str">
        <f t="shared" si="379"/>
        <v/>
      </c>
      <c r="AF148" s="20"/>
      <c r="AG148" s="58" t="str">
        <f t="shared" si="380"/>
        <v/>
      </c>
      <c r="AH148" s="32"/>
      <c r="AI148" s="32"/>
      <c r="AJ148" s="58" t="str">
        <f t="shared" si="381"/>
        <v/>
      </c>
      <c r="AK148" s="20"/>
      <c r="AL148" s="58" t="str">
        <f t="shared" si="382"/>
        <v/>
      </c>
      <c r="AM148" s="32"/>
      <c r="AN148" s="32"/>
      <c r="AO148" s="58" t="str">
        <f t="shared" si="383"/>
        <v/>
      </c>
      <c r="AP148" s="58" t="str">
        <f t="shared" si="384"/>
        <v/>
      </c>
      <c r="AQ148" s="58" t="str">
        <f t="shared" si="385"/>
        <v/>
      </c>
      <c r="AR148" s="59" t="str">
        <f t="shared" si="386"/>
        <v/>
      </c>
      <c r="AS148" s="20"/>
      <c r="AT148" s="14"/>
      <c r="AU148" s="14"/>
      <c r="AV148" s="61" t="str">
        <f>IF(_xlfn.XLOOKUP(AT148, AutoFill_classes!$A:$A, AutoFill_classes!$B:$B,"")=0,"",_xlfn.XLOOKUP(AT148, AutoFill_classes!$A:$A, AutoFill_classes!$B:$B,""))</f>
        <v/>
      </c>
      <c r="AW148" s="154"/>
      <c r="AX148" s="14"/>
      <c r="AY148" s="15"/>
      <c r="AZ148" s="14"/>
      <c r="BA148" s="16"/>
      <c r="BB148" s="16"/>
      <c r="BC148" s="145"/>
      <c r="BD148" s="29"/>
      <c r="BE148" s="60" t="str">
        <f t="shared" si="387"/>
        <v/>
      </c>
      <c r="BF148" s="32"/>
      <c r="BG148" s="32"/>
      <c r="BH148" s="32"/>
      <c r="BI148" s="32"/>
      <c r="BJ148" s="58" t="str">
        <f t="shared" si="388"/>
        <v/>
      </c>
      <c r="BK148" s="20"/>
      <c r="BL148" s="58" t="str">
        <f t="shared" si="389"/>
        <v/>
      </c>
      <c r="BM148" s="32"/>
      <c r="BN148" s="32"/>
      <c r="BO148" s="58" t="str">
        <f t="shared" si="390"/>
        <v/>
      </c>
      <c r="BP148" s="20"/>
      <c r="BQ148" s="58" t="str">
        <f t="shared" si="391"/>
        <v/>
      </c>
      <c r="BR148" s="32"/>
      <c r="BS148" s="32"/>
      <c r="BT148" s="58" t="str">
        <f t="shared" si="392"/>
        <v/>
      </c>
      <c r="BU148" s="58" t="str">
        <f t="shared" si="393"/>
        <v/>
      </c>
      <c r="BV148" s="58" t="str">
        <f t="shared" si="394"/>
        <v/>
      </c>
      <c r="BW148" s="59" t="str">
        <f t="shared" si="395"/>
        <v/>
      </c>
      <c r="BX148" s="14"/>
      <c r="BY148" s="21"/>
      <c r="BZ148" s="20"/>
      <c r="CA148" s="61" t="str">
        <f>IF(_xlfn.XLOOKUP(BY148, AutoFill_classes!$A:$A, AutoFill_classes!$B:$B,"")=0,"",_xlfn.XLOOKUP(BY148, AutoFill_classes!$A:$A, AutoFill_classes!$B:$B,""))</f>
        <v/>
      </c>
      <c r="CB148" s="154"/>
      <c r="CC148" s="20"/>
      <c r="CD148" s="20"/>
      <c r="CE148" s="20"/>
      <c r="CF148" s="33"/>
      <c r="CG148" s="34"/>
      <c r="CH148" s="145"/>
      <c r="CI148" s="35"/>
      <c r="CJ148" s="60" t="str">
        <f t="shared" si="396"/>
        <v/>
      </c>
      <c r="CK148" s="32"/>
      <c r="CL148" s="32"/>
      <c r="CM148" s="32"/>
      <c r="CN148" s="32"/>
      <c r="CO148" s="58" t="str">
        <f t="shared" si="397"/>
        <v/>
      </c>
      <c r="CP148" s="20"/>
      <c r="CQ148" s="58" t="str">
        <f t="shared" si="398"/>
        <v/>
      </c>
      <c r="CR148" s="32"/>
      <c r="CS148" s="32"/>
      <c r="CT148" s="58" t="str">
        <f t="shared" si="399"/>
        <v/>
      </c>
      <c r="CU148" s="20"/>
      <c r="CV148" s="58" t="str">
        <f t="shared" si="400"/>
        <v/>
      </c>
      <c r="CW148" s="32"/>
      <c r="CX148" s="32"/>
      <c r="CY148" s="58" t="str">
        <f t="shared" si="401"/>
        <v/>
      </c>
      <c r="CZ148" s="58" t="str">
        <f t="shared" si="402"/>
        <v/>
      </c>
      <c r="DA148" s="58" t="str">
        <f t="shared" si="403"/>
        <v/>
      </c>
      <c r="DB148" s="59" t="str">
        <f t="shared" si="404"/>
        <v/>
      </c>
      <c r="DC148" s="20"/>
      <c r="DD148" s="144"/>
      <c r="DE148" s="91">
        <v>147</v>
      </c>
      <c r="DF148" s="39"/>
      <c r="DG148" s="39"/>
      <c r="DH148" s="39"/>
      <c r="DI148" s="39"/>
      <c r="DJ148" s="39"/>
      <c r="DK148" s="39"/>
      <c r="DL148" s="39"/>
      <c r="DM148" s="39"/>
      <c r="DN148" s="39"/>
      <c r="DO148" s="39"/>
      <c r="DP148" s="39"/>
      <c r="DQ148" s="39"/>
      <c r="DR148" s="39"/>
      <c r="DS148" s="39"/>
      <c r="DT148" s="39"/>
      <c r="DU148" s="39"/>
      <c r="DV148" s="39"/>
      <c r="DW148" s="39"/>
      <c r="DX148" s="39"/>
      <c r="DY148" s="39"/>
      <c r="DZ148" s="39"/>
      <c r="EA148" s="39"/>
      <c r="EB148" s="39"/>
      <c r="EC148" s="39"/>
      <c r="ED148" s="39"/>
      <c r="EE148" s="39"/>
      <c r="EF148" s="39"/>
      <c r="EG148" s="39"/>
      <c r="EH148" s="39"/>
      <c r="EI148" s="39"/>
      <c r="EJ148" s="39"/>
      <c r="EK148" s="39"/>
      <c r="EL148" s="39"/>
      <c r="EM148" s="39"/>
      <c r="EN148" s="39"/>
      <c r="EO148" s="39"/>
      <c r="EP148" s="39"/>
      <c r="EQ148" s="39"/>
      <c r="ER148" s="39"/>
      <c r="ES148" s="39"/>
      <c r="ET148" s="39"/>
      <c r="EU148" s="39"/>
      <c r="EV148" s="39"/>
      <c r="EW148" s="39"/>
      <c r="EX148" s="39"/>
      <c r="EY148" s="39"/>
      <c r="EZ148" s="39"/>
      <c r="FA148" s="39"/>
      <c r="FB148" s="39"/>
      <c r="FC148" s="39"/>
      <c r="FD148" s="39"/>
      <c r="FE148" s="39"/>
      <c r="FF148" s="39"/>
      <c r="FG148" s="39"/>
      <c r="FH148" s="39"/>
      <c r="FI148" s="39"/>
      <c r="FJ148" s="39"/>
      <c r="FK148" s="39"/>
      <c r="FL148" s="39"/>
      <c r="FM148" s="39"/>
      <c r="FN148" s="39"/>
      <c r="FO148" s="39"/>
      <c r="FP148" s="39"/>
      <c r="FQ148" s="39"/>
      <c r="FR148" s="39"/>
      <c r="FS148" s="39"/>
      <c r="FT148" s="39"/>
    </row>
    <row r="149" spans="1:176" s="22" customFormat="1" ht="13">
      <c r="A149" s="7"/>
      <c r="B149" s="23" t="str">
        <f>IF(_xlfn.XLOOKUP(A149, AutoFill_names!B:B, AutoFill_names!C:C,"")=0,"",_xlfn.XLOOKUP(A149, AutoFill_names!B:B, AutoFill_names!C:C,""))</f>
        <v/>
      </c>
      <c r="C149" s="23" t="str">
        <f>IF(_xlfn.XLOOKUP(A149, AutoFill_names!B:B, AutoFill_names!D:D,"")=0,"",_xlfn.XLOOKUP(A149, AutoFill_names!B:B, AutoFill_names!D:D,""))</f>
        <v/>
      </c>
      <c r="D149" s="23" t="str">
        <f>IF(_xlfn.XLOOKUP(A149, AutoFill_names!B:B, AutoFill_names!E:E,"")=0,"",_xlfn.XLOOKUP(A149, AutoFill_names!B:B, AutoFill_names!E:E,""))</f>
        <v/>
      </c>
      <c r="E149" s="23" t="str">
        <f>IF(_xlfn.XLOOKUP(A149, AutoFill_names!B:B, AutoFill_names!F:F,"")=0,"",_xlfn.XLOOKUP(A149, AutoFill_names!B:B, AutoFill_names!F:F,""))</f>
        <v/>
      </c>
      <c r="F149" s="4"/>
      <c r="G149" s="4"/>
      <c r="H149" s="4"/>
      <c r="I149" s="4"/>
      <c r="J149" s="23" t="str">
        <f>IF(_xlfn.XLOOKUP(A149, AutoFill_names!B:B, AutoFill_names!K:K,"")=0,"",_xlfn.XLOOKUP(A149, AutoFill_names!B:B, AutoFill_names!K:K,""))</f>
        <v/>
      </c>
      <c r="K149" s="23" t="str">
        <f>IF(_xlfn.XLOOKUP(A149, AutoFill_names!B:B, AutoFill_names!L:L,"")=0,"",_xlfn.XLOOKUP(A149, AutoFill_names!B:B, AutoFill_names!L:L,""))</f>
        <v/>
      </c>
      <c r="L149" s="45"/>
      <c r="M149" s="45"/>
      <c r="N149" s="61" t="str">
        <f>IF(_xlfn.XLOOKUP(L149, AutoFill_classes!A:A, AutoFill_classes!B:B,"")=0,"",_xlfn.XLOOKUP(L149, AutoFill_classes!A:A, AutoFill_classes!B:B,""))</f>
        <v/>
      </c>
      <c r="O149" s="154"/>
      <c r="P149" s="9"/>
      <c r="Q149" s="9"/>
      <c r="R149" s="9"/>
      <c r="S149" s="4"/>
      <c r="T149" s="4"/>
      <c r="U149" s="4"/>
      <c r="V149" s="4"/>
      <c r="W149" s="4"/>
      <c r="X149" s="145"/>
      <c r="Y149" s="29"/>
      <c r="Z149" s="60" t="str">
        <f t="shared" si="378"/>
        <v/>
      </c>
      <c r="AA149" s="32"/>
      <c r="AB149" s="32"/>
      <c r="AC149" s="32"/>
      <c r="AD149" s="32"/>
      <c r="AE149" s="58" t="str">
        <f t="shared" si="379"/>
        <v/>
      </c>
      <c r="AF149" s="20"/>
      <c r="AG149" s="58" t="str">
        <f t="shared" si="380"/>
        <v/>
      </c>
      <c r="AH149" s="32"/>
      <c r="AI149" s="32"/>
      <c r="AJ149" s="58" t="str">
        <f t="shared" si="381"/>
        <v/>
      </c>
      <c r="AK149" s="20"/>
      <c r="AL149" s="58" t="str">
        <f t="shared" si="382"/>
        <v/>
      </c>
      <c r="AM149" s="32"/>
      <c r="AN149" s="32"/>
      <c r="AO149" s="58" t="str">
        <f t="shared" si="383"/>
        <v/>
      </c>
      <c r="AP149" s="58" t="str">
        <f t="shared" si="384"/>
        <v/>
      </c>
      <c r="AQ149" s="58" t="str">
        <f t="shared" si="385"/>
        <v/>
      </c>
      <c r="AR149" s="59" t="str">
        <f t="shared" si="386"/>
        <v/>
      </c>
      <c r="AS149" s="20"/>
      <c r="AT149" s="48"/>
      <c r="AU149" s="48"/>
      <c r="AV149" s="61" t="str">
        <f>IF(_xlfn.XLOOKUP(AT149, AutoFill_classes!$A:$A, AutoFill_classes!$B:$B,"")=0,"",_xlfn.XLOOKUP(AT149, AutoFill_classes!$A:$A, AutoFill_classes!$B:$B,""))</f>
        <v/>
      </c>
      <c r="AW149" s="154"/>
      <c r="AX149" s="14"/>
      <c r="AY149" s="15"/>
      <c r="AZ149" s="14"/>
      <c r="BA149" s="16"/>
      <c r="BB149" s="16"/>
      <c r="BC149" s="145"/>
      <c r="BD149" s="29"/>
      <c r="BE149" s="60" t="str">
        <f t="shared" si="387"/>
        <v/>
      </c>
      <c r="BF149" s="32"/>
      <c r="BG149" s="32"/>
      <c r="BH149" s="32"/>
      <c r="BI149" s="32"/>
      <c r="BJ149" s="58" t="str">
        <f t="shared" si="388"/>
        <v/>
      </c>
      <c r="BK149" s="20"/>
      <c r="BL149" s="58" t="str">
        <f t="shared" si="389"/>
        <v/>
      </c>
      <c r="BM149" s="32"/>
      <c r="BN149" s="32"/>
      <c r="BO149" s="58" t="str">
        <f t="shared" si="390"/>
        <v/>
      </c>
      <c r="BP149" s="20"/>
      <c r="BQ149" s="58" t="str">
        <f t="shared" si="391"/>
        <v/>
      </c>
      <c r="BR149" s="32"/>
      <c r="BS149" s="32"/>
      <c r="BT149" s="58" t="str">
        <f t="shared" si="392"/>
        <v/>
      </c>
      <c r="BU149" s="58" t="str">
        <f t="shared" si="393"/>
        <v/>
      </c>
      <c r="BV149" s="58" t="str">
        <f t="shared" si="394"/>
        <v/>
      </c>
      <c r="BW149" s="59" t="str">
        <f t="shared" si="395"/>
        <v/>
      </c>
      <c r="BX149" s="14"/>
      <c r="BY149" s="21"/>
      <c r="BZ149" s="20"/>
      <c r="CA149" s="61" t="str">
        <f>IF(_xlfn.XLOOKUP(BY149, AutoFill_classes!$A:$A, AutoFill_classes!$B:$B,"")=0,"",_xlfn.XLOOKUP(BY149, AutoFill_classes!$A:$A, AutoFill_classes!$B:$B,""))</f>
        <v/>
      </c>
      <c r="CB149" s="154"/>
      <c r="CC149" s="20"/>
      <c r="CD149" s="20"/>
      <c r="CE149" s="20"/>
      <c r="CF149" s="33"/>
      <c r="CG149" s="34"/>
      <c r="CH149" s="145"/>
      <c r="CI149" s="35"/>
      <c r="CJ149" s="60" t="str">
        <f t="shared" si="396"/>
        <v/>
      </c>
      <c r="CK149" s="32"/>
      <c r="CL149" s="32"/>
      <c r="CM149" s="32"/>
      <c r="CN149" s="32"/>
      <c r="CO149" s="58" t="str">
        <f t="shared" si="397"/>
        <v/>
      </c>
      <c r="CP149" s="20"/>
      <c r="CQ149" s="58" t="str">
        <f t="shared" si="398"/>
        <v/>
      </c>
      <c r="CR149" s="32"/>
      <c r="CS149" s="32"/>
      <c r="CT149" s="58" t="str">
        <f t="shared" si="399"/>
        <v/>
      </c>
      <c r="CU149" s="20"/>
      <c r="CV149" s="58" t="str">
        <f t="shared" si="400"/>
        <v/>
      </c>
      <c r="CW149" s="32"/>
      <c r="CX149" s="32"/>
      <c r="CY149" s="58" t="str">
        <f t="shared" si="401"/>
        <v/>
      </c>
      <c r="CZ149" s="58" t="str">
        <f t="shared" si="402"/>
        <v/>
      </c>
      <c r="DA149" s="58" t="str">
        <f t="shared" si="403"/>
        <v/>
      </c>
      <c r="DB149" s="59" t="str">
        <f t="shared" si="404"/>
        <v/>
      </c>
      <c r="DC149" s="20"/>
      <c r="DD149" s="144"/>
      <c r="DE149" s="91">
        <v>148</v>
      </c>
      <c r="DF149" s="39"/>
      <c r="DG149" s="39"/>
      <c r="DH149" s="39"/>
      <c r="DI149" s="39"/>
      <c r="DJ149" s="39"/>
      <c r="DK149" s="39"/>
      <c r="DL149" s="39"/>
      <c r="DM149" s="39"/>
      <c r="DN149" s="39"/>
      <c r="DO149" s="39"/>
      <c r="DP149" s="39"/>
      <c r="DQ149" s="39"/>
      <c r="DR149" s="39"/>
      <c r="DS149" s="39"/>
      <c r="DT149" s="39"/>
      <c r="DU149" s="39"/>
      <c r="DV149" s="39"/>
      <c r="DW149" s="39"/>
      <c r="DX149" s="39"/>
      <c r="DY149" s="39"/>
      <c r="DZ149" s="39"/>
      <c r="EA149" s="39"/>
      <c r="EB149" s="39"/>
      <c r="EC149" s="39"/>
      <c r="ED149" s="39"/>
      <c r="EE149" s="39"/>
      <c r="EF149" s="39"/>
      <c r="EG149" s="39"/>
      <c r="EH149" s="39"/>
      <c r="EI149" s="39"/>
      <c r="EJ149" s="39"/>
      <c r="EK149" s="39"/>
      <c r="EL149" s="39"/>
      <c r="EM149" s="39"/>
      <c r="EN149" s="39"/>
      <c r="EO149" s="39"/>
      <c r="EP149" s="39"/>
      <c r="EQ149" s="39"/>
      <c r="ER149" s="39"/>
      <c r="ES149" s="39"/>
      <c r="ET149" s="39"/>
      <c r="EU149" s="39"/>
      <c r="EV149" s="39"/>
      <c r="EW149" s="39"/>
      <c r="EX149" s="39"/>
      <c r="EY149" s="39"/>
      <c r="EZ149" s="39"/>
      <c r="FA149" s="39"/>
      <c r="FB149" s="39"/>
      <c r="FC149" s="39"/>
      <c r="FD149" s="39"/>
      <c r="FE149" s="39"/>
      <c r="FF149" s="39"/>
      <c r="FG149" s="39"/>
      <c r="FH149" s="39"/>
      <c r="FI149" s="39"/>
      <c r="FJ149" s="39"/>
      <c r="FK149" s="39"/>
      <c r="FL149" s="39"/>
      <c r="FM149" s="39"/>
      <c r="FN149" s="39"/>
      <c r="FO149" s="39"/>
      <c r="FP149" s="39"/>
      <c r="FQ149" s="39"/>
      <c r="FR149" s="39"/>
      <c r="FS149" s="39"/>
      <c r="FT149" s="39"/>
    </row>
    <row r="150" spans="1:176" s="22" customFormat="1" ht="13">
      <c r="A150" s="7"/>
      <c r="B150" s="23" t="str">
        <f>IF(_xlfn.XLOOKUP(A150, AutoFill_names!B:B, AutoFill_names!C:C,"")=0,"",_xlfn.XLOOKUP(A150, AutoFill_names!B:B, AutoFill_names!C:C,""))</f>
        <v/>
      </c>
      <c r="C150" s="23" t="str">
        <f>IF(_xlfn.XLOOKUP(A150, AutoFill_names!B:B, AutoFill_names!D:D,"")=0,"",_xlfn.XLOOKUP(A150, AutoFill_names!B:B, AutoFill_names!D:D,""))</f>
        <v/>
      </c>
      <c r="D150" s="23" t="str">
        <f>IF(_xlfn.XLOOKUP(A150, AutoFill_names!B:B, AutoFill_names!E:E,"")=0,"",_xlfn.XLOOKUP(A150, AutoFill_names!B:B, AutoFill_names!E:E,""))</f>
        <v/>
      </c>
      <c r="E150" s="23" t="str">
        <f>IF(_xlfn.XLOOKUP(A150, AutoFill_names!B:B, AutoFill_names!F:F,"")=0,"",_xlfn.XLOOKUP(A150, AutoFill_names!B:B, AutoFill_names!F:F,""))</f>
        <v/>
      </c>
      <c r="F150" s="4"/>
      <c r="G150" s="4"/>
      <c r="H150" s="4"/>
      <c r="I150" s="4"/>
      <c r="J150" s="23" t="str">
        <f>IF(_xlfn.XLOOKUP(A150, AutoFill_names!B:B, AutoFill_names!K:K,"")=0,"",_xlfn.XLOOKUP(A150, AutoFill_names!B:B, AutoFill_names!K:K,""))</f>
        <v/>
      </c>
      <c r="K150" s="23" t="str">
        <f>IF(_xlfn.XLOOKUP(A150, AutoFill_names!B:B, AutoFill_names!L:L,"")=0,"",_xlfn.XLOOKUP(A150, AutoFill_names!B:B, AutoFill_names!L:L,""))</f>
        <v/>
      </c>
      <c r="L150" s="45"/>
      <c r="M150" s="45"/>
      <c r="N150" s="61" t="str">
        <f>IF(_xlfn.XLOOKUP(L150, AutoFill_classes!A:A, AutoFill_classes!B:B,"")=0,"",_xlfn.XLOOKUP(L150, AutoFill_classes!A:A, AutoFill_classes!B:B,""))</f>
        <v/>
      </c>
      <c r="O150" s="154"/>
      <c r="P150" s="9"/>
      <c r="Q150" s="9"/>
      <c r="R150" s="9"/>
      <c r="S150" s="4"/>
      <c r="T150" s="4"/>
      <c r="U150" s="4"/>
      <c r="V150" s="4"/>
      <c r="W150" s="4"/>
      <c r="X150" s="145"/>
      <c r="Y150" s="29"/>
      <c r="Z150" s="60" t="str">
        <f t="shared" si="378"/>
        <v/>
      </c>
      <c r="AA150" s="32"/>
      <c r="AB150" s="32"/>
      <c r="AC150" s="32"/>
      <c r="AD150" s="32"/>
      <c r="AE150" s="58" t="str">
        <f t="shared" si="379"/>
        <v/>
      </c>
      <c r="AF150" s="20"/>
      <c r="AG150" s="58" t="str">
        <f t="shared" si="380"/>
        <v/>
      </c>
      <c r="AH150" s="32"/>
      <c r="AI150" s="32"/>
      <c r="AJ150" s="58" t="str">
        <f t="shared" si="381"/>
        <v/>
      </c>
      <c r="AK150" s="20"/>
      <c r="AL150" s="58" t="str">
        <f t="shared" si="382"/>
        <v/>
      </c>
      <c r="AM150" s="32"/>
      <c r="AN150" s="32"/>
      <c r="AO150" s="58" t="str">
        <f t="shared" si="383"/>
        <v/>
      </c>
      <c r="AP150" s="58" t="str">
        <f t="shared" si="384"/>
        <v/>
      </c>
      <c r="AQ150" s="58" t="str">
        <f t="shared" si="385"/>
        <v/>
      </c>
      <c r="AR150" s="59" t="str">
        <f t="shared" si="386"/>
        <v/>
      </c>
      <c r="AS150" s="20"/>
      <c r="AT150" s="48"/>
      <c r="AU150" s="48"/>
      <c r="AV150" s="61" t="str">
        <f>IF(_xlfn.XLOOKUP(AT150, AutoFill_classes!$A:$A, AutoFill_classes!$B:$B,"")=0,"",_xlfn.XLOOKUP(AT150, AutoFill_classes!$A:$A, AutoFill_classes!$B:$B,""))</f>
        <v/>
      </c>
      <c r="AW150" s="154"/>
      <c r="AX150" s="14"/>
      <c r="AY150" s="15"/>
      <c r="AZ150" s="14"/>
      <c r="BA150" s="16"/>
      <c r="BB150" s="16"/>
      <c r="BC150" s="145"/>
      <c r="BD150" s="29"/>
      <c r="BE150" s="60" t="str">
        <f t="shared" si="387"/>
        <v/>
      </c>
      <c r="BF150" s="32"/>
      <c r="BG150" s="32"/>
      <c r="BH150" s="32"/>
      <c r="BI150" s="32"/>
      <c r="BJ150" s="58" t="str">
        <f t="shared" si="388"/>
        <v/>
      </c>
      <c r="BK150" s="20"/>
      <c r="BL150" s="58" t="str">
        <f t="shared" si="389"/>
        <v/>
      </c>
      <c r="BM150" s="32"/>
      <c r="BN150" s="32"/>
      <c r="BO150" s="58" t="str">
        <f t="shared" si="390"/>
        <v/>
      </c>
      <c r="BP150" s="20"/>
      <c r="BQ150" s="58" t="str">
        <f t="shared" si="391"/>
        <v/>
      </c>
      <c r="BR150" s="32"/>
      <c r="BS150" s="32"/>
      <c r="BT150" s="58" t="str">
        <f t="shared" si="392"/>
        <v/>
      </c>
      <c r="BU150" s="58" t="str">
        <f t="shared" si="393"/>
        <v/>
      </c>
      <c r="BV150" s="58" t="str">
        <f t="shared" si="394"/>
        <v/>
      </c>
      <c r="BW150" s="59" t="str">
        <f t="shared" si="395"/>
        <v/>
      </c>
      <c r="BX150" s="14"/>
      <c r="BY150" s="21"/>
      <c r="BZ150" s="20"/>
      <c r="CA150" s="61" t="str">
        <f>IF(_xlfn.XLOOKUP(BY150, AutoFill_classes!$A:$A, AutoFill_classes!$B:$B,"")=0,"",_xlfn.XLOOKUP(BY150, AutoFill_classes!$A:$A, AutoFill_classes!$B:$B,""))</f>
        <v/>
      </c>
      <c r="CB150" s="154"/>
      <c r="CC150" s="20"/>
      <c r="CD150" s="20"/>
      <c r="CE150" s="20"/>
      <c r="CF150" s="33"/>
      <c r="CG150" s="34"/>
      <c r="CH150" s="145"/>
      <c r="CI150" s="35"/>
      <c r="CJ150" s="60" t="str">
        <f t="shared" si="396"/>
        <v/>
      </c>
      <c r="CK150" s="32"/>
      <c r="CL150" s="32"/>
      <c r="CM150" s="32"/>
      <c r="CN150" s="32"/>
      <c r="CO150" s="58" t="str">
        <f t="shared" si="397"/>
        <v/>
      </c>
      <c r="CP150" s="20"/>
      <c r="CQ150" s="58" t="str">
        <f t="shared" si="398"/>
        <v/>
      </c>
      <c r="CR150" s="32"/>
      <c r="CS150" s="32"/>
      <c r="CT150" s="58" t="str">
        <f t="shared" si="399"/>
        <v/>
      </c>
      <c r="CU150" s="20"/>
      <c r="CV150" s="58" t="str">
        <f t="shared" si="400"/>
        <v/>
      </c>
      <c r="CW150" s="32"/>
      <c r="CX150" s="32"/>
      <c r="CY150" s="58" t="str">
        <f t="shared" si="401"/>
        <v/>
      </c>
      <c r="CZ150" s="58" t="str">
        <f t="shared" si="402"/>
        <v/>
      </c>
      <c r="DA150" s="58" t="str">
        <f t="shared" si="403"/>
        <v/>
      </c>
      <c r="DB150" s="59" t="str">
        <f t="shared" si="404"/>
        <v/>
      </c>
      <c r="DC150" s="20"/>
      <c r="DD150" s="144"/>
      <c r="DE150" s="91">
        <v>149</v>
      </c>
      <c r="DF150" s="39"/>
      <c r="DG150" s="39"/>
      <c r="DH150" s="39"/>
      <c r="DI150" s="39"/>
      <c r="DJ150" s="39"/>
      <c r="DK150" s="39"/>
      <c r="DL150" s="39"/>
      <c r="DM150" s="39"/>
      <c r="DN150" s="39"/>
      <c r="DO150" s="39"/>
      <c r="DP150" s="39"/>
      <c r="DQ150" s="39"/>
      <c r="DR150" s="39"/>
      <c r="DS150" s="39"/>
      <c r="DT150" s="39"/>
      <c r="DU150" s="39"/>
      <c r="DV150" s="39"/>
      <c r="DW150" s="39"/>
      <c r="DX150" s="39"/>
      <c r="DY150" s="39"/>
      <c r="DZ150" s="39"/>
      <c r="EA150" s="39"/>
      <c r="EB150" s="39"/>
      <c r="EC150" s="39"/>
      <c r="ED150" s="39"/>
      <c r="EE150" s="39"/>
      <c r="EF150" s="39"/>
      <c r="EG150" s="39"/>
      <c r="EH150" s="39"/>
      <c r="EI150" s="39"/>
      <c r="EJ150" s="39"/>
      <c r="EK150" s="39"/>
      <c r="EL150" s="39"/>
      <c r="EM150" s="39"/>
      <c r="EN150" s="39"/>
      <c r="EO150" s="39"/>
      <c r="EP150" s="39"/>
      <c r="EQ150" s="39"/>
      <c r="ER150" s="39"/>
      <c r="ES150" s="39"/>
      <c r="ET150" s="39"/>
      <c r="EU150" s="39"/>
      <c r="EV150" s="39"/>
      <c r="EW150" s="39"/>
      <c r="EX150" s="39"/>
      <c r="EY150" s="39"/>
      <c r="EZ150" s="39"/>
      <c r="FA150" s="39"/>
      <c r="FB150" s="39"/>
      <c r="FC150" s="39"/>
      <c r="FD150" s="39"/>
      <c r="FE150" s="39"/>
      <c r="FF150" s="39"/>
      <c r="FG150" s="39"/>
      <c r="FH150" s="39"/>
      <c r="FI150" s="39"/>
      <c r="FJ150" s="39"/>
      <c r="FK150" s="39"/>
      <c r="FL150" s="39"/>
      <c r="FM150" s="39"/>
      <c r="FN150" s="39"/>
      <c r="FO150" s="39"/>
      <c r="FP150" s="39"/>
      <c r="FQ150" s="39"/>
      <c r="FR150" s="39"/>
      <c r="FS150" s="39"/>
      <c r="FT150" s="39"/>
    </row>
    <row r="151" spans="1:176">
      <c r="A151" s="24" t="s">
        <v>61</v>
      </c>
      <c r="B151" s="24" t="s">
        <v>1</v>
      </c>
      <c r="C151" s="24" t="s">
        <v>2</v>
      </c>
      <c r="D151" s="24" t="s">
        <v>3</v>
      </c>
      <c r="E151" s="24" t="s">
        <v>4</v>
      </c>
      <c r="F151" s="24" t="s">
        <v>5</v>
      </c>
      <c r="G151" s="24" t="s">
        <v>6</v>
      </c>
      <c r="H151" s="24" t="s">
        <v>7</v>
      </c>
      <c r="I151" s="24" t="s">
        <v>8</v>
      </c>
      <c r="J151" s="24" t="s">
        <v>9</v>
      </c>
      <c r="K151" s="24" t="s">
        <v>10</v>
      </c>
      <c r="L151" s="62" t="s">
        <v>11</v>
      </c>
      <c r="M151" s="62" t="s">
        <v>12</v>
      </c>
      <c r="N151" s="63" t="s">
        <v>13</v>
      </c>
      <c r="O151" s="63"/>
      <c r="P151" s="64" t="s">
        <v>15</v>
      </c>
      <c r="Q151" s="64" t="s">
        <v>16</v>
      </c>
      <c r="R151" s="64" t="s">
        <v>17</v>
      </c>
      <c r="S151" s="62" t="s">
        <v>18</v>
      </c>
      <c r="T151" s="62" t="s">
        <v>19</v>
      </c>
      <c r="U151" s="62" t="s">
        <v>20</v>
      </c>
      <c r="V151" s="65" t="s">
        <v>21</v>
      </c>
      <c r="W151" s="65" t="s">
        <v>22</v>
      </c>
      <c r="X151" s="142" t="s">
        <v>23</v>
      </c>
      <c r="Y151" s="67" t="s">
        <v>24</v>
      </c>
      <c r="Z151" s="68" t="s">
        <v>25</v>
      </c>
      <c r="AA151" s="69" t="s">
        <v>26</v>
      </c>
      <c r="AB151" s="69" t="s">
        <v>27</v>
      </c>
      <c r="AC151" s="69" t="s">
        <v>28</v>
      </c>
      <c r="AD151" s="69" t="s">
        <v>29</v>
      </c>
      <c r="AE151" s="70" t="s">
        <v>30</v>
      </c>
      <c r="AF151" s="64" t="s">
        <v>31</v>
      </c>
      <c r="AG151" s="70" t="s">
        <v>32</v>
      </c>
      <c r="AH151" s="69" t="s">
        <v>33</v>
      </c>
      <c r="AI151" s="69" t="s">
        <v>34</v>
      </c>
      <c r="AJ151" s="70" t="s">
        <v>35</v>
      </c>
      <c r="AK151" s="64" t="s">
        <v>36</v>
      </c>
      <c r="AL151" s="70" t="s">
        <v>37</v>
      </c>
      <c r="AM151" s="69" t="s">
        <v>38</v>
      </c>
      <c r="AN151" s="69" t="s">
        <v>39</v>
      </c>
      <c r="AO151" s="71" t="s">
        <v>40</v>
      </c>
      <c r="AP151" s="71" t="s">
        <v>41</v>
      </c>
      <c r="AQ151" s="71" t="s">
        <v>42</v>
      </c>
      <c r="AR151" s="71" t="s">
        <v>43</v>
      </c>
      <c r="AS151" s="72" t="s">
        <v>44</v>
      </c>
      <c r="AT151" s="73" t="s">
        <v>45</v>
      </c>
      <c r="AU151" s="73" t="s">
        <v>12</v>
      </c>
      <c r="AV151" s="74" t="s">
        <v>13</v>
      </c>
      <c r="AW151" s="74" t="s">
        <v>14</v>
      </c>
      <c r="AX151" s="73" t="s">
        <v>18</v>
      </c>
      <c r="AY151" s="73" t="s">
        <v>19</v>
      </c>
      <c r="AZ151" s="73" t="s">
        <v>20</v>
      </c>
      <c r="BA151" s="73" t="s">
        <v>21</v>
      </c>
      <c r="BB151" s="73" t="s">
        <v>22</v>
      </c>
      <c r="BC151" s="148" t="s">
        <v>23</v>
      </c>
      <c r="BD151" s="76" t="s">
        <v>24</v>
      </c>
      <c r="BE151" s="77" t="s">
        <v>25</v>
      </c>
      <c r="BF151" s="78" t="s">
        <v>26</v>
      </c>
      <c r="BG151" s="78" t="s">
        <v>27</v>
      </c>
      <c r="BH151" s="78" t="s">
        <v>28</v>
      </c>
      <c r="BI151" s="78" t="s">
        <v>29</v>
      </c>
      <c r="BJ151" s="79" t="s">
        <v>30</v>
      </c>
      <c r="BK151" s="73" t="s">
        <v>31</v>
      </c>
      <c r="BL151" s="79" t="s">
        <v>32</v>
      </c>
      <c r="BM151" s="78" t="s">
        <v>33</v>
      </c>
      <c r="BN151" s="78" t="s">
        <v>34</v>
      </c>
      <c r="BO151" s="79" t="s">
        <v>35</v>
      </c>
      <c r="BP151" s="73" t="s">
        <v>36</v>
      </c>
      <c r="BQ151" s="79" t="s">
        <v>37</v>
      </c>
      <c r="BR151" s="78" t="s">
        <v>38</v>
      </c>
      <c r="BS151" s="78" t="s">
        <v>39</v>
      </c>
      <c r="BT151" s="79" t="s">
        <v>40</v>
      </c>
      <c r="BU151" s="79" t="s">
        <v>41</v>
      </c>
      <c r="BV151" s="79" t="s">
        <v>42</v>
      </c>
      <c r="BW151" s="80" t="s">
        <v>43</v>
      </c>
      <c r="BX151" s="73" t="s">
        <v>44</v>
      </c>
      <c r="BY151" s="81" t="s">
        <v>46</v>
      </c>
      <c r="BZ151" s="81" t="s">
        <v>12</v>
      </c>
      <c r="CA151" s="82" t="s">
        <v>13</v>
      </c>
      <c r="CB151" s="82" t="s">
        <v>14</v>
      </c>
      <c r="CC151" s="81" t="s">
        <v>18</v>
      </c>
      <c r="CD151" s="81" t="s">
        <v>19</v>
      </c>
      <c r="CE151" s="81" t="s">
        <v>20</v>
      </c>
      <c r="CF151" s="83" t="s">
        <v>21</v>
      </c>
      <c r="CG151" s="84" t="s">
        <v>22</v>
      </c>
      <c r="CH151" s="149" t="s">
        <v>23</v>
      </c>
      <c r="CI151" s="84" t="s">
        <v>24</v>
      </c>
      <c r="CJ151" s="86" t="s">
        <v>25</v>
      </c>
      <c r="CK151" s="87" t="s">
        <v>26</v>
      </c>
      <c r="CL151" s="87" t="s">
        <v>27</v>
      </c>
      <c r="CM151" s="87" t="s">
        <v>28</v>
      </c>
      <c r="CN151" s="87" t="s">
        <v>29</v>
      </c>
      <c r="CO151" s="88" t="s">
        <v>30</v>
      </c>
      <c r="CP151" s="89" t="s">
        <v>31</v>
      </c>
      <c r="CQ151" s="88" t="s">
        <v>32</v>
      </c>
      <c r="CR151" s="87" t="s">
        <v>33</v>
      </c>
      <c r="CS151" s="87" t="s">
        <v>34</v>
      </c>
      <c r="CT151" s="88" t="s">
        <v>35</v>
      </c>
      <c r="CU151" s="89" t="s">
        <v>36</v>
      </c>
      <c r="CV151" s="88" t="s">
        <v>37</v>
      </c>
      <c r="CW151" s="87" t="s">
        <v>38</v>
      </c>
      <c r="CX151" s="87" t="s">
        <v>39</v>
      </c>
      <c r="CY151" s="88" t="s">
        <v>40</v>
      </c>
      <c r="CZ151" s="88" t="s">
        <v>41</v>
      </c>
      <c r="DA151" s="88" t="s">
        <v>42</v>
      </c>
      <c r="DB151" s="90" t="s">
        <v>43</v>
      </c>
      <c r="DC151" s="89" t="s">
        <v>44</v>
      </c>
      <c r="DD151" s="150" t="s">
        <v>47</v>
      </c>
      <c r="DE151" s="91">
        <v>150</v>
      </c>
    </row>
    <row r="152" spans="1:176" s="113" customFormat="1">
      <c r="A152" s="92" t="s">
        <v>62</v>
      </c>
      <c r="B152" s="93" t="str">
        <f>"Total Credits: " &amp; IFERROR(IF(DD152=0,"",DD152),"")</f>
        <v>Total Credits: 75</v>
      </c>
      <c r="C152" s="114"/>
      <c r="D152" s="114"/>
      <c r="E152" s="114"/>
      <c r="F152" s="114"/>
      <c r="G152" s="114"/>
      <c r="H152" s="114"/>
      <c r="I152" s="114"/>
      <c r="J152" s="114"/>
      <c r="K152" s="114"/>
      <c r="L152" s="114"/>
      <c r="M152" s="114"/>
      <c r="P152" s="133"/>
      <c r="Q152" s="133"/>
      <c r="R152" s="133"/>
      <c r="S152" s="114"/>
      <c r="T152" s="114"/>
      <c r="U152" s="114"/>
      <c r="V152" s="114"/>
      <c r="W152" s="114"/>
      <c r="X152" s="143">
        <f>IF(SUM(X153:X199)=0, "", SUM(X153:X199))</f>
        <v>14</v>
      </c>
      <c r="Y152" s="121"/>
      <c r="Z152" s="122"/>
      <c r="AA152" s="134"/>
      <c r="AB152" s="134"/>
      <c r="AC152" s="134"/>
      <c r="AD152" s="134"/>
      <c r="AE152" s="135"/>
      <c r="AF152" s="133"/>
      <c r="AG152" s="135"/>
      <c r="AH152" s="134"/>
      <c r="AI152" s="134"/>
      <c r="AJ152" s="135"/>
      <c r="AK152" s="133"/>
      <c r="AL152" s="135"/>
      <c r="AM152" s="134"/>
      <c r="AN152" s="134"/>
      <c r="AO152" s="136"/>
      <c r="AP152" s="136"/>
      <c r="AQ152" s="136"/>
      <c r="AR152" s="136"/>
      <c r="AS152" s="137"/>
      <c r="AT152" s="125"/>
      <c r="AU152" s="125"/>
      <c r="AX152" s="125"/>
      <c r="AY152" s="125"/>
      <c r="AZ152" s="125"/>
      <c r="BA152" s="125"/>
      <c r="BB152" s="125"/>
      <c r="BC152" s="143">
        <f>IF(SUM(BC153:BC199)=0, "", SUM(BC153:BC199))</f>
        <v>29</v>
      </c>
      <c r="BD152" s="121"/>
      <c r="BE152" s="122"/>
      <c r="BF152" s="123"/>
      <c r="BG152" s="123"/>
      <c r="BH152" s="123"/>
      <c r="BI152" s="123"/>
      <c r="BJ152" s="124"/>
      <c r="BK152" s="125"/>
      <c r="BL152" s="124"/>
      <c r="BM152" s="123"/>
      <c r="BN152" s="123"/>
      <c r="BO152" s="124"/>
      <c r="BP152" s="125"/>
      <c r="BQ152" s="124"/>
      <c r="BR152" s="123"/>
      <c r="BS152" s="123"/>
      <c r="BT152" s="124"/>
      <c r="BU152" s="124"/>
      <c r="BV152" s="124"/>
      <c r="BW152" s="136"/>
      <c r="BX152" s="125"/>
      <c r="BY152" s="125"/>
      <c r="BZ152" s="125"/>
      <c r="CC152" s="125"/>
      <c r="CD152" s="125"/>
      <c r="CE152" s="125"/>
      <c r="CF152" s="114"/>
      <c r="CG152" s="121"/>
      <c r="CH152" s="143">
        <f>IF(SUM(CH153:CH199)=0, "", SUM(CH153:CH199))</f>
        <v>32</v>
      </c>
      <c r="CI152" s="121"/>
      <c r="CJ152" s="122"/>
      <c r="CK152" s="123"/>
      <c r="CL152" s="123"/>
      <c r="CM152" s="123"/>
      <c r="CN152" s="123"/>
      <c r="CP152" s="125"/>
      <c r="CR152" s="123"/>
      <c r="CS152" s="123"/>
      <c r="CU152" s="125"/>
      <c r="CW152" s="123"/>
      <c r="CX152" s="123"/>
      <c r="DB152" s="136"/>
      <c r="DC152" s="125"/>
      <c r="DD152" s="143">
        <f>IF(SUM(L152:DC152)=0, "", SUM(L152:DC152))</f>
        <v>75</v>
      </c>
      <c r="DE152" s="91">
        <v>151</v>
      </c>
      <c r="DF152" s="26"/>
      <c r="DG152" s="26"/>
      <c r="DH152" s="26"/>
      <c r="DI152" s="26"/>
      <c r="DJ152" s="26"/>
      <c r="DK152" s="26"/>
      <c r="DL152" s="26"/>
      <c r="DM152" s="26"/>
      <c r="DN152" s="26"/>
      <c r="DO152" s="26"/>
      <c r="DP152" s="26"/>
      <c r="DQ152" s="26"/>
      <c r="DR152" s="26"/>
      <c r="DS152" s="26"/>
      <c r="DT152" s="26"/>
      <c r="DU152" s="26"/>
      <c r="DV152" s="26"/>
      <c r="DW152" s="26"/>
      <c r="DX152" s="26"/>
      <c r="DY152" s="26"/>
      <c r="DZ152" s="26"/>
      <c r="EA152" s="26"/>
      <c r="EB152" s="26"/>
      <c r="EC152" s="26"/>
      <c r="ED152" s="26"/>
      <c r="EE152" s="26"/>
      <c r="EF152" s="26"/>
      <c r="EG152" s="26"/>
      <c r="EH152" s="26"/>
      <c r="EI152" s="26"/>
      <c r="EJ152" s="26"/>
      <c r="EK152" s="26"/>
      <c r="EL152" s="26"/>
      <c r="EM152" s="26"/>
      <c r="EN152" s="26"/>
      <c r="EO152" s="26"/>
      <c r="EP152" s="26"/>
      <c r="EQ152" s="26"/>
      <c r="ER152" s="26"/>
      <c r="ES152" s="26"/>
      <c r="ET152" s="26"/>
      <c r="EU152" s="26"/>
      <c r="EV152" s="26"/>
      <c r="EW152" s="26"/>
      <c r="EX152" s="26"/>
      <c r="EY152" s="26"/>
      <c r="EZ152" s="26"/>
      <c r="FA152" s="26"/>
      <c r="FB152" s="26"/>
      <c r="FC152" s="26"/>
      <c r="FD152" s="26"/>
      <c r="FE152" s="26"/>
      <c r="FF152" s="26"/>
      <c r="FG152" s="26"/>
      <c r="FH152" s="26"/>
      <c r="FI152" s="26"/>
      <c r="FJ152" s="26"/>
      <c r="FK152" s="26"/>
      <c r="FL152" s="26"/>
      <c r="FM152" s="26"/>
      <c r="FN152" s="26"/>
      <c r="FO152" s="26"/>
      <c r="FP152" s="26"/>
      <c r="FQ152" s="26"/>
      <c r="FR152" s="26"/>
      <c r="FS152" s="26"/>
      <c r="FT152" s="26"/>
    </row>
    <row r="153" spans="1:176" s="39" customFormat="1" ht="13">
      <c r="A153" s="7" t="s">
        <v>379</v>
      </c>
      <c r="B153" s="23"/>
      <c r="C153" s="23" t="str">
        <f>IF(_xlfn.XLOOKUP(A153, AutoFill_names!B:B, AutoFill_names!D:D,"")=0,"",_xlfn.XLOOKUP(A153, AutoFill_names!B:B, AutoFill_names!D:D,""))</f>
        <v>evelynk@andrews.edu</v>
      </c>
      <c r="D153" s="23" t="str">
        <f>IF(_xlfn.XLOOKUP(A153, AutoFill_names!B:B, AutoFill_names!E:E,"")=0,"",_xlfn.XLOOKUP(A153, AutoFill_names!B:B, AutoFill_names!E:E,""))</f>
        <v/>
      </c>
      <c r="E153" s="23" t="str">
        <f>IF(_xlfn.XLOOKUP(A153, AutoFill_names!B:B, AutoFill_names!F:F,"")=0,"",_xlfn.XLOOKUP(A153, AutoFill_names!B:B, AutoFill_names!F:F,""))</f>
        <v/>
      </c>
      <c r="F153" s="4" t="s">
        <v>73</v>
      </c>
      <c r="G153" s="4"/>
      <c r="H153" s="4"/>
      <c r="I153" s="4"/>
      <c r="J153" s="23" t="str">
        <f>IF(_xlfn.XLOOKUP(A153, AutoFill_names!B:B, AutoFill_names!K:K,"")=0,"",_xlfn.XLOOKUP(A153, AutoFill_names!B:B, AutoFill_names!K:K,""))</f>
        <v/>
      </c>
      <c r="K153" s="23" t="str">
        <f>IF(_xlfn.XLOOKUP(A153, AutoFill_names!B:B, AutoFill_names!L:L,"")=0,"",_xlfn.XLOOKUP(A153, AutoFill_names!B:B, AutoFill_names!L:L,""))</f>
        <v/>
      </c>
      <c r="L153" s="8" t="s">
        <v>608</v>
      </c>
      <c r="M153" s="8"/>
      <c r="N153" s="61" t="str">
        <f>IF(_xlfn.XLOOKUP(L153, AutoFill_classes!A:A, AutoFill_classes!B:B,"")=0,"",_xlfn.XLOOKUP(L153, AutoFill_classes!A:A, AutoFill_classes!B:B,""))</f>
        <v>Health&amp;Lifestyle Transformatn</v>
      </c>
      <c r="O153" s="154"/>
      <c r="P153" s="11"/>
      <c r="Q153" s="11"/>
      <c r="R153" s="11"/>
      <c r="S153" s="8" t="s">
        <v>85</v>
      </c>
      <c r="T153" s="8" t="s">
        <v>57</v>
      </c>
      <c r="U153" s="8" t="s">
        <v>58</v>
      </c>
      <c r="V153" s="7" t="s">
        <v>63</v>
      </c>
      <c r="W153" s="7" t="s">
        <v>60</v>
      </c>
      <c r="X153" s="146">
        <v>1</v>
      </c>
      <c r="Y153" s="37">
        <v>1050</v>
      </c>
      <c r="Z153" s="60">
        <f t="shared" ref="Z153:Z184" si="405">IF(X153*Y153=0,"",X153*Y153)</f>
        <v>1050</v>
      </c>
      <c r="AA153" s="38"/>
      <c r="AB153" s="38"/>
      <c r="AC153" s="38"/>
      <c r="AD153" s="38"/>
      <c r="AE153" s="58" t="str">
        <f t="shared" ref="AE153:AE184" si="406">IF(ROUNDUP((AD153-AC153)/7,0)=0,"",ROUNDUP((AD153-AC153)/7,0))</f>
        <v/>
      </c>
      <c r="AF153" s="13"/>
      <c r="AG153" s="58" t="str">
        <f t="shared" ref="AG153:AG184" si="407">IFERROR(IF(AE153*AF153=0,"",AE153*AF153), "")</f>
        <v/>
      </c>
      <c r="AH153" s="38"/>
      <c r="AI153" s="38"/>
      <c r="AJ153" s="58" t="str">
        <f t="shared" ref="AJ153:AJ184" si="408">IF(ROUNDUP((AI153-AH153)/7,0)=0,"",ROUNDUP((AI153-AH153)/7,0))</f>
        <v/>
      </c>
      <c r="AK153" s="13"/>
      <c r="AL153" s="58" t="str">
        <f t="shared" ref="AL153:AL184" si="409">IFERROR(IF(AJ153*AK153=0,"",AJ153*AK153), "")</f>
        <v/>
      </c>
      <c r="AM153" s="38"/>
      <c r="AN153" s="38"/>
      <c r="AO153" s="58" t="str">
        <f t="shared" ref="AO153:AO184" si="410">IF(ROUNDUP((AN153-AM153)/7,0)=0,"",ROUNDUP((AN153-AM153)/7,0))</f>
        <v/>
      </c>
      <c r="AP153" s="58" t="str">
        <f t="shared" ref="AP153:AP184" si="411">IFERROR(IF((AS153-(AF153+AK153))/AO153=0,"",ROUNDUP((AS153-(AF153+AK153))/AO153,0)), "")</f>
        <v/>
      </c>
      <c r="AQ153" s="58" t="str">
        <f t="shared" ref="AQ153:AQ184" si="412">IFERROR(IF((AS153-(AG153+AL153))=0, "", (AS153-(AG153+AL153))), "")</f>
        <v/>
      </c>
      <c r="AR153" s="59" t="str">
        <f t="shared" ref="AR153:AR184" si="413">IFERROR(IF((AE153+AJ153+AO153)=0, "", (AE153+AJ153+AO153)), "")</f>
        <v/>
      </c>
      <c r="AS153" s="13"/>
      <c r="AT153" s="49" t="s">
        <v>608</v>
      </c>
      <c r="AU153" s="49"/>
      <c r="AV153" s="61" t="str">
        <f>IF(_xlfn.XLOOKUP(AT153, AutoFill_classes!$A:$A, AutoFill_classes!$B:$B,"")=0,"",_xlfn.XLOOKUP(AT153, AutoFill_classes!$A:$A, AutoFill_classes!$B:$B,""))</f>
        <v>Health&amp;Lifestyle Transformatn</v>
      </c>
      <c r="AW153" s="154"/>
      <c r="AX153" s="13" t="s">
        <v>56</v>
      </c>
      <c r="AY153" s="13" t="s">
        <v>57</v>
      </c>
      <c r="AZ153" s="13" t="s">
        <v>58</v>
      </c>
      <c r="BA153" s="13" t="s">
        <v>63</v>
      </c>
      <c r="BB153" s="13" t="s">
        <v>60</v>
      </c>
      <c r="BC153" s="146">
        <v>1</v>
      </c>
      <c r="BD153" s="37">
        <v>1050</v>
      </c>
      <c r="BE153" s="60">
        <f t="shared" ref="BE153:BE184" si="414">IF(BC153*BD153=0,"",BC153*BD153)</f>
        <v>1050</v>
      </c>
      <c r="BF153" s="28"/>
      <c r="BG153" s="28"/>
      <c r="BH153" s="28"/>
      <c r="BI153" s="28"/>
      <c r="BJ153" s="58" t="str">
        <f t="shared" ref="BJ153:BJ184" si="415">IF(ROUNDUP((BI153-BH153)/7,0)=0,"",ROUNDUP((BI153-BH153)/7,0))</f>
        <v/>
      </c>
      <c r="BK153" s="19"/>
      <c r="BL153" s="58" t="str">
        <f t="shared" ref="BL153:BL184" si="416">IFERROR(IF(BJ153*BK153=0,"",BJ153*BK153), "")</f>
        <v/>
      </c>
      <c r="BM153" s="28"/>
      <c r="BN153" s="28"/>
      <c r="BO153" s="58" t="str">
        <f t="shared" ref="BO153:BO184" si="417">IF(ROUNDUP((BN153-BM153)/7,0)=0,"",ROUNDUP((BN153-BM153)/7,0))</f>
        <v/>
      </c>
      <c r="BP153" s="19"/>
      <c r="BQ153" s="58" t="str">
        <f t="shared" ref="BQ153:BQ184" si="418">IFERROR(IF(BO153*BP153=0,"",BO153*BP153), "")</f>
        <v/>
      </c>
      <c r="BR153" s="28"/>
      <c r="BS153" s="28"/>
      <c r="BT153" s="58" t="str">
        <f t="shared" ref="BT153:BT184" si="419">IF(ROUNDUP((BS153-BR153)/7,0)=0,"",ROUNDUP((BS153-BR153)/7,0))</f>
        <v/>
      </c>
      <c r="BU153" s="58" t="str">
        <f t="shared" ref="BU153:BU184" si="420">IFERROR(IF((BX153-(BK153+BP153))/BT153=0,"",ROUNDUP((BX153-(BK153+BP153))/BT153,0)), "")</f>
        <v/>
      </c>
      <c r="BV153" s="58" t="str">
        <f t="shared" ref="BV153:BV184" si="421">IFERROR(IF((BX153-(BL153+BQ153))=0, "", (BX153-(BL153+BQ153))), "")</f>
        <v/>
      </c>
      <c r="BW153" s="59" t="str">
        <f t="shared" ref="BW153:BW184" si="422">IFERROR(IF((BJ153+BO153+BT153)=0, "", (BJ153+BO153+BT153)), "")</f>
        <v/>
      </c>
      <c r="BX153" s="13"/>
      <c r="BY153" s="49" t="s">
        <v>608</v>
      </c>
      <c r="BZ153" s="49"/>
      <c r="CA153" s="61" t="str">
        <f>IF(_xlfn.XLOOKUP(BY153, AutoFill_classes!$A:$A, AutoFill_classes!$B:$B,"")=0,"",_xlfn.XLOOKUP(BY153, AutoFill_classes!$A:$A, AutoFill_classes!$B:$B,""))</f>
        <v>Health&amp;Lifestyle Transformatn</v>
      </c>
      <c r="CB153" s="154"/>
      <c r="CC153" s="13" t="s">
        <v>56</v>
      </c>
      <c r="CD153" s="13" t="s">
        <v>57</v>
      </c>
      <c r="CE153" s="13" t="s">
        <v>58</v>
      </c>
      <c r="CF153" s="7" t="s">
        <v>63</v>
      </c>
      <c r="CG153" s="37" t="s">
        <v>60</v>
      </c>
      <c r="CH153" s="146">
        <v>1</v>
      </c>
      <c r="CI153" s="37">
        <v>1050</v>
      </c>
      <c r="CJ153" s="60">
        <f t="shared" ref="CJ153:CJ184" si="423">IF(CH153*CI153=0,"",CH153*CI153)</f>
        <v>1050</v>
      </c>
      <c r="CK153" s="28"/>
      <c r="CL153" s="28"/>
      <c r="CM153" s="28"/>
      <c r="CN153" s="28"/>
      <c r="CO153" s="58" t="str">
        <f t="shared" ref="CO153:CO184" si="424">IF(ROUNDUP((CN153-CM153)/7,0)=0,"",ROUNDUP((CN153-CM153)/7,0))</f>
        <v/>
      </c>
      <c r="CP153" s="19"/>
      <c r="CQ153" s="58" t="str">
        <f t="shared" ref="CQ153:CQ184" si="425">IFERROR(IF(CO153*CP153=0,"",CO153*CP153), "")</f>
        <v/>
      </c>
      <c r="CR153" s="28"/>
      <c r="CS153" s="28"/>
      <c r="CT153" s="58" t="str">
        <f t="shared" ref="CT153:CT184" si="426">IF(ROUNDUP((CS153-CR153)/7,0)=0,"",ROUNDUP((CS153-CR153)/7,0))</f>
        <v/>
      </c>
      <c r="CU153" s="19"/>
      <c r="CV153" s="58" t="str">
        <f t="shared" ref="CV153:CV184" si="427">IFERROR(IF(CT153*CU153=0,"",CT153*CU153), "")</f>
        <v/>
      </c>
      <c r="CW153" s="28"/>
      <c r="CX153" s="28"/>
      <c r="CY153" s="58" t="str">
        <f t="shared" ref="CY153:CY184" si="428">IF(ROUNDUP((CX153-CW153)/7,0)=0,"",ROUNDUP((CX153-CW153)/7,0))</f>
        <v/>
      </c>
      <c r="CZ153" s="58" t="str">
        <f t="shared" ref="CZ153:CZ184" si="429">IFERROR(IF((DC153-(CP153+CU153))/CY153=0,"",ROUNDUP((DC153-(CP153+CU153))/CY153,0)), "")</f>
        <v/>
      </c>
      <c r="DA153" s="58" t="str">
        <f t="shared" ref="DA153:DA184" si="430">IFERROR(IF((DC153-(CQ153+CV153))=0, "", (DC153-(CQ153+CV153))), "")</f>
        <v/>
      </c>
      <c r="DB153" s="59" t="str">
        <f t="shared" ref="DB153:DB184" si="431">IFERROR(IF((CO153+CT153+CY153)=0, "", (CO153+CT153+CY153)), "")</f>
        <v/>
      </c>
      <c r="DC153" s="13"/>
      <c r="DD153" s="146"/>
      <c r="DE153" s="91">
        <v>152</v>
      </c>
    </row>
    <row r="154" spans="1:176" s="39" customFormat="1" ht="13">
      <c r="A154" s="7" t="s">
        <v>379</v>
      </c>
      <c r="B154" s="23"/>
      <c r="C154" s="23" t="str">
        <f>IF(_xlfn.XLOOKUP(A154, AutoFill_names!B:B, AutoFill_names!D:D,"")=0,"",_xlfn.XLOOKUP(A154, AutoFill_names!B:B, AutoFill_names!D:D,""))</f>
        <v>evelynk@andrews.edu</v>
      </c>
      <c r="D154" s="23" t="str">
        <f>IF(_xlfn.XLOOKUP(A154, AutoFill_names!B:B, AutoFill_names!E:E,"")=0,"",_xlfn.XLOOKUP(A154, AutoFill_names!B:B, AutoFill_names!E:E,""))</f>
        <v/>
      </c>
      <c r="E154" s="23" t="str">
        <f>IF(_xlfn.XLOOKUP(A154, AutoFill_names!B:B, AutoFill_names!F:F,"")=0,"",_xlfn.XLOOKUP(A154, AutoFill_names!B:B, AutoFill_names!F:F,""))</f>
        <v/>
      </c>
      <c r="F154" s="4" t="s">
        <v>73</v>
      </c>
      <c r="G154" s="4"/>
      <c r="H154" s="4"/>
      <c r="I154" s="4"/>
      <c r="J154" s="23" t="str">
        <f>IF(_xlfn.XLOOKUP(A154, AutoFill_names!B:B, AutoFill_names!K:K,"")=0,"",_xlfn.XLOOKUP(A154, AutoFill_names!B:B, AutoFill_names!K:K,""))</f>
        <v/>
      </c>
      <c r="K154" s="23" t="str">
        <f>IF(_xlfn.XLOOKUP(A154, AutoFill_names!B:B, AutoFill_names!L:L,"")=0,"",_xlfn.XLOOKUP(A154, AutoFill_names!B:B, AutoFill_names!L:L,""))</f>
        <v/>
      </c>
      <c r="L154" s="8" t="s">
        <v>608</v>
      </c>
      <c r="M154" s="8"/>
      <c r="N154" s="61" t="str">
        <f>IF(_xlfn.XLOOKUP(L154, AutoFill_classes!A:A, AutoFill_classes!B:B,"")=0,"",_xlfn.XLOOKUP(L154, AutoFill_classes!A:A, AutoFill_classes!B:B,""))</f>
        <v>Health&amp;Lifestyle Transformatn</v>
      </c>
      <c r="O154" s="154"/>
      <c r="P154" s="11"/>
      <c r="Q154" s="11"/>
      <c r="R154" s="11"/>
      <c r="S154" s="8" t="s">
        <v>85</v>
      </c>
      <c r="T154" s="8" t="s">
        <v>57</v>
      </c>
      <c r="U154" s="8" t="s">
        <v>58</v>
      </c>
      <c r="V154" s="7" t="s">
        <v>63</v>
      </c>
      <c r="W154" s="7" t="s">
        <v>60</v>
      </c>
      <c r="X154" s="146">
        <v>1</v>
      </c>
      <c r="Y154" s="37">
        <v>1050</v>
      </c>
      <c r="Z154" s="60">
        <f t="shared" ref="Z154:Z155" si="432">IF(X154*Y154=0,"",X154*Y154)</f>
        <v>1050</v>
      </c>
      <c r="AA154" s="38"/>
      <c r="AB154" s="38"/>
      <c r="AC154" s="38"/>
      <c r="AD154" s="38"/>
      <c r="AE154" s="58" t="str">
        <f t="shared" ref="AE154:AE155" si="433">IF(ROUNDUP((AD154-AC154)/7,0)=0,"",ROUNDUP((AD154-AC154)/7,0))</f>
        <v/>
      </c>
      <c r="AF154" s="13"/>
      <c r="AG154" s="58" t="str">
        <f t="shared" ref="AG154:AG155" si="434">IFERROR(IF(AE154*AF154=0,"",AE154*AF154), "")</f>
        <v/>
      </c>
      <c r="AH154" s="38"/>
      <c r="AI154" s="38"/>
      <c r="AJ154" s="58" t="str">
        <f t="shared" ref="AJ154:AJ155" si="435">IF(ROUNDUP((AI154-AH154)/7,0)=0,"",ROUNDUP((AI154-AH154)/7,0))</f>
        <v/>
      </c>
      <c r="AK154" s="13"/>
      <c r="AL154" s="58" t="str">
        <f t="shared" ref="AL154:AL155" si="436">IFERROR(IF(AJ154*AK154=0,"",AJ154*AK154), "")</f>
        <v/>
      </c>
      <c r="AM154" s="38"/>
      <c r="AN154" s="38"/>
      <c r="AO154" s="58" t="str">
        <f t="shared" ref="AO154:AO155" si="437">IF(ROUNDUP((AN154-AM154)/7,0)=0,"",ROUNDUP((AN154-AM154)/7,0))</f>
        <v/>
      </c>
      <c r="AP154" s="58" t="str">
        <f t="shared" ref="AP154:AP155" si="438">IFERROR(IF((AS154-(AF154+AK154))/AO154=0,"",ROUNDUP((AS154-(AF154+AK154))/AO154,0)), "")</f>
        <v/>
      </c>
      <c r="AQ154" s="58" t="str">
        <f t="shared" ref="AQ154:AQ155" si="439">IFERROR(IF((AS154-(AG154+AL154))=0, "", (AS154-(AG154+AL154))), "")</f>
        <v/>
      </c>
      <c r="AR154" s="59" t="str">
        <f t="shared" ref="AR154:AR155" si="440">IFERROR(IF((AE154+AJ154+AO154)=0, "", (AE154+AJ154+AO154)), "")</f>
        <v/>
      </c>
      <c r="AS154" s="13"/>
      <c r="AT154" s="49" t="s">
        <v>608</v>
      </c>
      <c r="AU154" s="49"/>
      <c r="AV154" s="61" t="str">
        <f>IF(_xlfn.XLOOKUP(AT154, AutoFill_classes!$A:$A, AutoFill_classes!$B:$B,"")=0,"",_xlfn.XLOOKUP(AT154, AutoFill_classes!$A:$A, AutoFill_classes!$B:$B,""))</f>
        <v>Health&amp;Lifestyle Transformatn</v>
      </c>
      <c r="AW154" s="154"/>
      <c r="AX154" s="13" t="s">
        <v>56</v>
      </c>
      <c r="AY154" s="13" t="s">
        <v>57</v>
      </c>
      <c r="AZ154" s="13" t="s">
        <v>58</v>
      </c>
      <c r="BA154" s="13" t="s">
        <v>63</v>
      </c>
      <c r="BB154" s="13" t="s">
        <v>60</v>
      </c>
      <c r="BC154" s="146">
        <v>1</v>
      </c>
      <c r="BD154" s="37">
        <v>1050</v>
      </c>
      <c r="BE154" s="60">
        <f t="shared" ref="BE154:BE155" si="441">IF(BC154*BD154=0,"",BC154*BD154)</f>
        <v>1050</v>
      </c>
      <c r="BF154" s="28"/>
      <c r="BG154" s="28"/>
      <c r="BH154" s="28"/>
      <c r="BI154" s="28"/>
      <c r="BJ154" s="58" t="str">
        <f t="shared" ref="BJ154:BJ155" si="442">IF(ROUNDUP((BI154-BH154)/7,0)=0,"",ROUNDUP((BI154-BH154)/7,0))</f>
        <v/>
      </c>
      <c r="BK154" s="19"/>
      <c r="BL154" s="58" t="str">
        <f t="shared" ref="BL154:BL155" si="443">IFERROR(IF(BJ154*BK154=0,"",BJ154*BK154), "")</f>
        <v/>
      </c>
      <c r="BM154" s="28"/>
      <c r="BN154" s="28"/>
      <c r="BO154" s="58" t="str">
        <f t="shared" ref="BO154:BO155" si="444">IF(ROUNDUP((BN154-BM154)/7,0)=0,"",ROUNDUP((BN154-BM154)/7,0))</f>
        <v/>
      </c>
      <c r="BP154" s="19"/>
      <c r="BQ154" s="58" t="str">
        <f t="shared" ref="BQ154:BQ155" si="445">IFERROR(IF(BO154*BP154=0,"",BO154*BP154), "")</f>
        <v/>
      </c>
      <c r="BR154" s="28"/>
      <c r="BS154" s="28"/>
      <c r="BT154" s="58" t="str">
        <f t="shared" ref="BT154:BT155" si="446">IF(ROUNDUP((BS154-BR154)/7,0)=0,"",ROUNDUP((BS154-BR154)/7,0))</f>
        <v/>
      </c>
      <c r="BU154" s="58" t="str">
        <f t="shared" ref="BU154:BU155" si="447">IFERROR(IF((BX154-(BK154+BP154))/BT154=0,"",ROUNDUP((BX154-(BK154+BP154))/BT154,0)), "")</f>
        <v/>
      </c>
      <c r="BV154" s="58" t="str">
        <f t="shared" ref="BV154:BV155" si="448">IFERROR(IF((BX154-(BL154+BQ154))=0, "", (BX154-(BL154+BQ154))), "")</f>
        <v/>
      </c>
      <c r="BW154" s="59" t="str">
        <f t="shared" ref="BW154:BW155" si="449">IFERROR(IF((BJ154+BO154+BT154)=0, "", (BJ154+BO154+BT154)), "")</f>
        <v/>
      </c>
      <c r="BX154" s="13"/>
      <c r="BY154" s="49" t="s">
        <v>608</v>
      </c>
      <c r="BZ154" s="49" t="s">
        <v>281</v>
      </c>
      <c r="CA154" s="61" t="str">
        <f>IF(_xlfn.XLOOKUP(BY154, AutoFill_classes!$A:$A, AutoFill_classes!$B:$B,"")=0,"",_xlfn.XLOOKUP(BY154, AutoFill_classes!$A:$A, AutoFill_classes!$B:$B,""))</f>
        <v>Health&amp;Lifestyle Transformatn</v>
      </c>
      <c r="CB154" s="154"/>
      <c r="CC154" s="13" t="s">
        <v>76</v>
      </c>
      <c r="CD154" s="13" t="s">
        <v>57</v>
      </c>
      <c r="CE154" s="13" t="s">
        <v>58</v>
      </c>
      <c r="CF154" s="7" t="s">
        <v>63</v>
      </c>
      <c r="CG154" s="37" t="s">
        <v>60</v>
      </c>
      <c r="CH154" s="146">
        <v>0</v>
      </c>
      <c r="CI154" s="37">
        <v>1050</v>
      </c>
      <c r="CJ154" s="60" t="str">
        <f t="shared" ref="CJ154:CJ155" si="450">IF(CH154*CI154=0,"",CH154*CI154)</f>
        <v/>
      </c>
      <c r="CK154" s="28"/>
      <c r="CL154" s="28"/>
      <c r="CM154" s="28"/>
      <c r="CN154" s="28"/>
      <c r="CO154" s="58" t="str">
        <f t="shared" ref="CO154:CO155" si="451">IF(ROUNDUP((CN154-CM154)/7,0)=0,"",ROUNDUP((CN154-CM154)/7,0))</f>
        <v/>
      </c>
      <c r="CP154" s="19"/>
      <c r="CQ154" s="58" t="str">
        <f t="shared" ref="CQ154:CQ155" si="452">IFERROR(IF(CO154*CP154=0,"",CO154*CP154), "")</f>
        <v/>
      </c>
      <c r="CR154" s="28"/>
      <c r="CS154" s="28"/>
      <c r="CT154" s="58" t="str">
        <f t="shared" ref="CT154:CT155" si="453">IF(ROUNDUP((CS154-CR154)/7,0)=0,"",ROUNDUP((CS154-CR154)/7,0))</f>
        <v/>
      </c>
      <c r="CU154" s="19"/>
      <c r="CV154" s="58" t="str">
        <f t="shared" ref="CV154:CV155" si="454">IFERROR(IF(CT154*CU154=0,"",CT154*CU154), "")</f>
        <v/>
      </c>
      <c r="CW154" s="28"/>
      <c r="CX154" s="28"/>
      <c r="CY154" s="58" t="str">
        <f t="shared" ref="CY154:CY155" si="455">IF(ROUNDUP((CX154-CW154)/7,0)=0,"",ROUNDUP((CX154-CW154)/7,0))</f>
        <v/>
      </c>
      <c r="CZ154" s="58" t="str">
        <f t="shared" ref="CZ154:CZ155" si="456">IFERROR(IF((DC154-(CP154+CU154))/CY154=0,"",ROUNDUP((DC154-(CP154+CU154))/CY154,0)), "")</f>
        <v/>
      </c>
      <c r="DA154" s="58" t="str">
        <f t="shared" ref="DA154:DA155" si="457">IFERROR(IF((DC154-(CQ154+CV154))=0, "", (DC154-(CQ154+CV154))), "")</f>
        <v/>
      </c>
      <c r="DB154" s="59" t="str">
        <f t="shared" ref="DB154:DB155" si="458">IFERROR(IF((CO154+CT154+CY154)=0, "", (CO154+CT154+CY154)), "")</f>
        <v/>
      </c>
      <c r="DC154" s="13"/>
      <c r="DD154" s="146"/>
      <c r="DE154" s="91">
        <v>152</v>
      </c>
    </row>
    <row r="155" spans="1:176" s="39" customFormat="1" ht="13">
      <c r="A155" s="7" t="s">
        <v>379</v>
      </c>
      <c r="B155" s="23"/>
      <c r="C155" s="23" t="str">
        <f>IF(_xlfn.XLOOKUP(A155, AutoFill_names!B:B, AutoFill_names!D:D,"")=0,"",_xlfn.XLOOKUP(A155, AutoFill_names!B:B, AutoFill_names!D:D,""))</f>
        <v>evelynk@andrews.edu</v>
      </c>
      <c r="D155" s="23" t="str">
        <f>IF(_xlfn.XLOOKUP(A155, AutoFill_names!B:B, AutoFill_names!E:E,"")=0,"",_xlfn.XLOOKUP(A155, AutoFill_names!B:B, AutoFill_names!E:E,""))</f>
        <v/>
      </c>
      <c r="E155" s="23" t="str">
        <f>IF(_xlfn.XLOOKUP(A155, AutoFill_names!B:B, AutoFill_names!F:F,"")=0,"",_xlfn.XLOOKUP(A155, AutoFill_names!B:B, AutoFill_names!F:F,""))</f>
        <v/>
      </c>
      <c r="F155" s="4" t="s">
        <v>73</v>
      </c>
      <c r="G155" s="4"/>
      <c r="H155" s="4"/>
      <c r="I155" s="4"/>
      <c r="J155" s="23" t="str">
        <f>IF(_xlfn.XLOOKUP(A155, AutoFill_names!B:B, AutoFill_names!K:K,"")=0,"",_xlfn.XLOOKUP(A155, AutoFill_names!B:B, AutoFill_names!K:K,""))</f>
        <v/>
      </c>
      <c r="K155" s="23" t="str">
        <f>IF(_xlfn.XLOOKUP(A155, AutoFill_names!B:B, AutoFill_names!L:L,"")=0,"",_xlfn.XLOOKUP(A155, AutoFill_names!B:B, AutoFill_names!L:L,""))</f>
        <v/>
      </c>
      <c r="L155" s="8" t="s">
        <v>608</v>
      </c>
      <c r="M155" s="8"/>
      <c r="N155" s="61" t="str">
        <f>IF(_xlfn.XLOOKUP(L155, AutoFill_classes!A:A, AutoFill_classes!B:B,"")=0,"",_xlfn.XLOOKUP(L155, AutoFill_classes!A:A, AutoFill_classes!B:B,""))</f>
        <v>Health&amp;Lifestyle Transformatn</v>
      </c>
      <c r="O155" s="154"/>
      <c r="P155" s="11"/>
      <c r="Q155" s="11"/>
      <c r="R155" s="11"/>
      <c r="S155" s="8" t="s">
        <v>85</v>
      </c>
      <c r="T155" s="8" t="s">
        <v>57</v>
      </c>
      <c r="U155" s="8" t="s">
        <v>58</v>
      </c>
      <c r="V155" s="7" t="s">
        <v>63</v>
      </c>
      <c r="W155" s="7" t="s">
        <v>60</v>
      </c>
      <c r="X155" s="146">
        <v>1</v>
      </c>
      <c r="Y155" s="37">
        <v>1050</v>
      </c>
      <c r="Z155" s="60">
        <f t="shared" si="432"/>
        <v>1050</v>
      </c>
      <c r="AA155" s="38"/>
      <c r="AB155" s="38"/>
      <c r="AC155" s="38"/>
      <c r="AD155" s="38"/>
      <c r="AE155" s="58" t="str">
        <f t="shared" si="433"/>
        <v/>
      </c>
      <c r="AF155" s="13"/>
      <c r="AG155" s="58" t="str">
        <f t="shared" si="434"/>
        <v/>
      </c>
      <c r="AH155" s="38"/>
      <c r="AI155" s="38"/>
      <c r="AJ155" s="58" t="str">
        <f t="shared" si="435"/>
        <v/>
      </c>
      <c r="AK155" s="13"/>
      <c r="AL155" s="58" t="str">
        <f t="shared" si="436"/>
        <v/>
      </c>
      <c r="AM155" s="38"/>
      <c r="AN155" s="38"/>
      <c r="AO155" s="58" t="str">
        <f t="shared" si="437"/>
        <v/>
      </c>
      <c r="AP155" s="58" t="str">
        <f t="shared" si="438"/>
        <v/>
      </c>
      <c r="AQ155" s="58" t="str">
        <f t="shared" si="439"/>
        <v/>
      </c>
      <c r="AR155" s="59" t="str">
        <f t="shared" si="440"/>
        <v/>
      </c>
      <c r="AS155" s="13"/>
      <c r="AT155" s="49" t="s">
        <v>608</v>
      </c>
      <c r="AU155" s="49"/>
      <c r="AV155" s="61" t="str">
        <f>IF(_xlfn.XLOOKUP(AT155, AutoFill_classes!$A:$A, AutoFill_classes!$B:$B,"")=0,"",_xlfn.XLOOKUP(AT155, AutoFill_classes!$A:$A, AutoFill_classes!$B:$B,""))</f>
        <v>Health&amp;Lifestyle Transformatn</v>
      </c>
      <c r="AW155" s="154"/>
      <c r="AX155" s="13" t="s">
        <v>56</v>
      </c>
      <c r="AY155" s="13" t="s">
        <v>57</v>
      </c>
      <c r="AZ155" s="13" t="s">
        <v>58</v>
      </c>
      <c r="BA155" s="13" t="s">
        <v>63</v>
      </c>
      <c r="BB155" s="13" t="s">
        <v>60</v>
      </c>
      <c r="BC155" s="146">
        <v>1</v>
      </c>
      <c r="BD155" s="37">
        <v>1050</v>
      </c>
      <c r="BE155" s="60">
        <f t="shared" si="441"/>
        <v>1050</v>
      </c>
      <c r="BF155" s="28"/>
      <c r="BG155" s="28"/>
      <c r="BH155" s="28"/>
      <c r="BI155" s="28"/>
      <c r="BJ155" s="58" t="str">
        <f t="shared" si="442"/>
        <v/>
      </c>
      <c r="BK155" s="19"/>
      <c r="BL155" s="58" t="str">
        <f t="shared" si="443"/>
        <v/>
      </c>
      <c r="BM155" s="28"/>
      <c r="BN155" s="28"/>
      <c r="BO155" s="58" t="str">
        <f t="shared" si="444"/>
        <v/>
      </c>
      <c r="BP155" s="19"/>
      <c r="BQ155" s="58" t="str">
        <f t="shared" si="445"/>
        <v/>
      </c>
      <c r="BR155" s="28"/>
      <c r="BS155" s="28"/>
      <c r="BT155" s="58" t="str">
        <f t="shared" si="446"/>
        <v/>
      </c>
      <c r="BU155" s="58" t="str">
        <f t="shared" si="447"/>
        <v/>
      </c>
      <c r="BV155" s="58" t="str">
        <f t="shared" si="448"/>
        <v/>
      </c>
      <c r="BW155" s="59" t="str">
        <f t="shared" si="449"/>
        <v/>
      </c>
      <c r="BX155" s="13"/>
      <c r="BY155" s="49" t="s">
        <v>608</v>
      </c>
      <c r="BZ155" s="49" t="s">
        <v>283</v>
      </c>
      <c r="CA155" s="61" t="str">
        <f>IF(_xlfn.XLOOKUP(BY155, AutoFill_classes!$A:$A, AutoFill_classes!$B:$B,"")=0,"",_xlfn.XLOOKUP(BY155, AutoFill_classes!$A:$A, AutoFill_classes!$B:$B,""))</f>
        <v>Health&amp;Lifestyle Transformatn</v>
      </c>
      <c r="CB155" s="154"/>
      <c r="CC155" s="13" t="s">
        <v>85</v>
      </c>
      <c r="CD155" s="13" t="s">
        <v>57</v>
      </c>
      <c r="CE155" s="13" t="s">
        <v>58</v>
      </c>
      <c r="CF155" s="7" t="s">
        <v>63</v>
      </c>
      <c r="CG155" s="37" t="s">
        <v>60</v>
      </c>
      <c r="CH155" s="146">
        <v>0</v>
      </c>
      <c r="CI155" s="37">
        <v>1050</v>
      </c>
      <c r="CJ155" s="60" t="str">
        <f t="shared" si="450"/>
        <v/>
      </c>
      <c r="CK155" s="28"/>
      <c r="CL155" s="28"/>
      <c r="CM155" s="28"/>
      <c r="CN155" s="28"/>
      <c r="CO155" s="58" t="str">
        <f t="shared" si="451"/>
        <v/>
      </c>
      <c r="CP155" s="19"/>
      <c r="CQ155" s="58" t="str">
        <f t="shared" si="452"/>
        <v/>
      </c>
      <c r="CR155" s="28"/>
      <c r="CS155" s="28"/>
      <c r="CT155" s="58" t="str">
        <f t="shared" si="453"/>
        <v/>
      </c>
      <c r="CU155" s="19"/>
      <c r="CV155" s="58" t="str">
        <f t="shared" si="454"/>
        <v/>
      </c>
      <c r="CW155" s="28"/>
      <c r="CX155" s="28"/>
      <c r="CY155" s="58" t="str">
        <f t="shared" si="455"/>
        <v/>
      </c>
      <c r="CZ155" s="58" t="str">
        <f t="shared" si="456"/>
        <v/>
      </c>
      <c r="DA155" s="58" t="str">
        <f t="shared" si="457"/>
        <v/>
      </c>
      <c r="DB155" s="59" t="str">
        <f t="shared" si="458"/>
        <v/>
      </c>
      <c r="DC155" s="13"/>
      <c r="DD155" s="146"/>
      <c r="DE155" s="91">
        <v>152</v>
      </c>
    </row>
    <row r="156" spans="1:176" s="39" customFormat="1" ht="13">
      <c r="A156" s="7" t="s">
        <v>184</v>
      </c>
      <c r="B156" s="23"/>
      <c r="C156" s="23" t="str">
        <f>IF(_xlfn.XLOOKUP(A156, AutoFill_names!B:B, AutoFill_names!D:D,"")=0,"",_xlfn.XLOOKUP(A156, AutoFill_names!B:B, AutoFill_names!D:D,""))</f>
        <v>royg@andrews.edu</v>
      </c>
      <c r="D156" s="23" t="str">
        <f>IF(_xlfn.XLOOKUP(A156, AutoFill_names!B:B, AutoFill_names!E:E,"")=0,"",_xlfn.XLOOKUP(A156, AutoFill_names!B:B, AutoFill_names!E:E,""))</f>
        <v/>
      </c>
      <c r="E156" s="23" t="str">
        <f>IF(_xlfn.XLOOKUP(A156, AutoFill_names!B:B, AutoFill_names!F:F,"")=0,"",_xlfn.XLOOKUP(A156, AutoFill_names!B:B, AutoFill_names!F:F,""))</f>
        <v>faculty</v>
      </c>
      <c r="F156" s="4" t="s">
        <v>73</v>
      </c>
      <c r="G156" s="4"/>
      <c r="H156" s="4"/>
      <c r="I156" s="4"/>
      <c r="J156" s="23" t="str">
        <f>IF(_xlfn.XLOOKUP(A156, AutoFill_names!B:B, AutoFill_names!K:K,"")=0,"",_xlfn.XLOOKUP(A156, AutoFill_names!B:B, AutoFill_names!K:K,""))</f>
        <v/>
      </c>
      <c r="K156" s="23" t="str">
        <f>IF(_xlfn.XLOOKUP(A156, AutoFill_names!B:B, AutoFill_names!L:L,"")=0,"",_xlfn.XLOOKUP(A156, AutoFill_names!B:B, AutoFill_names!L:L,""))</f>
        <v/>
      </c>
      <c r="L156" s="8" t="s">
        <v>588</v>
      </c>
      <c r="M156" s="8"/>
      <c r="N156" s="61" t="str">
        <f>IF(_xlfn.XLOOKUP(L156, AutoFill_classes!A:A, AutoFill_classes!B:B,"")=0,"",_xlfn.XLOOKUP(L156, AutoFill_classes!A:A, AutoFill_classes!B:B,""))</f>
        <v>Intro to Chaplaincy Min</v>
      </c>
      <c r="O156" s="154"/>
      <c r="P156" s="11"/>
      <c r="Q156" s="11"/>
      <c r="R156" s="11"/>
      <c r="S156" s="7" t="s">
        <v>85</v>
      </c>
      <c r="T156" s="7" t="s">
        <v>57</v>
      </c>
      <c r="U156" s="7"/>
      <c r="V156" s="7" t="s">
        <v>63</v>
      </c>
      <c r="W156" s="7" t="s">
        <v>60</v>
      </c>
      <c r="X156" s="146">
        <v>2</v>
      </c>
      <c r="Y156" s="37">
        <v>1050</v>
      </c>
      <c r="Z156" s="60">
        <f t="shared" ref="Z156:Z177" si="459">IF(X156*Y156=0,"",X156*Y156)</f>
        <v>2100</v>
      </c>
      <c r="AA156" s="40"/>
      <c r="AB156" s="40"/>
      <c r="AC156" s="40"/>
      <c r="AD156" s="40"/>
      <c r="AE156" s="58" t="str">
        <f t="shared" ref="AE156:AE177" si="460">IF(ROUNDUP((AD156-AC156)/7,0)=0,"",ROUNDUP((AD156-AC156)/7,0))</f>
        <v/>
      </c>
      <c r="AF156" s="12"/>
      <c r="AG156" s="58" t="str">
        <f t="shared" ref="AG156:AG177" si="461">IFERROR(IF(AE156*AF156=0,"",AE156*AF156), "")</f>
        <v/>
      </c>
      <c r="AH156" s="40"/>
      <c r="AI156" s="40"/>
      <c r="AJ156" s="58" t="str">
        <f t="shared" ref="AJ156:AJ177" si="462">IF(ROUNDUP((AI156-AH156)/7,0)=0,"",ROUNDUP((AI156-AH156)/7,0))</f>
        <v/>
      </c>
      <c r="AK156" s="12"/>
      <c r="AL156" s="58" t="str">
        <f t="shared" ref="AL156:AL177" si="463">IFERROR(IF(AJ156*AK156=0,"",AJ156*AK156), "")</f>
        <v/>
      </c>
      <c r="AM156" s="40"/>
      <c r="AN156" s="40"/>
      <c r="AO156" s="58" t="str">
        <f t="shared" ref="AO156:AO177" si="464">IF(ROUNDUP((AN156-AM156)/7,0)=0,"",ROUNDUP((AN156-AM156)/7,0))</f>
        <v/>
      </c>
      <c r="AP156" s="58" t="str">
        <f t="shared" ref="AP156:AP177" si="465">IFERROR(IF((AS156-(AF156+AK156))/AO156=0,"",ROUNDUP((AS156-(AF156+AK156))/AO156,0)), "")</f>
        <v/>
      </c>
      <c r="AQ156" s="58" t="str">
        <f t="shared" ref="AQ156:AQ177" si="466">IFERROR(IF((AS156-(AG156+AL156))=0, "", (AS156-(AG156+AL156))), "")</f>
        <v/>
      </c>
      <c r="AR156" s="59" t="str">
        <f t="shared" ref="AR156:AR177" si="467">IFERROR(IF((AE156+AJ156+AO156)=0, "", (AE156+AJ156+AO156)), "")</f>
        <v/>
      </c>
      <c r="AS156" s="12"/>
      <c r="AT156" s="49" t="s">
        <v>603</v>
      </c>
      <c r="AU156" s="49" t="s">
        <v>171</v>
      </c>
      <c r="AV156" s="61" t="str">
        <f>IF(_xlfn.XLOOKUP(AT156, AutoFill_classes!$A:$A, AutoFill_classes!$B:$B,"")=0,"",_xlfn.XLOOKUP(AT156, AutoFill_classes!$A:$A, AutoFill_classes!$B:$B,""))</f>
        <v>Pastoral Counseling</v>
      </c>
      <c r="AW156" s="154"/>
      <c r="AX156" s="12" t="s">
        <v>56</v>
      </c>
      <c r="AY156" s="13" t="s">
        <v>93</v>
      </c>
      <c r="AZ156" s="12" t="s">
        <v>111</v>
      </c>
      <c r="BA156" s="13" t="s">
        <v>63</v>
      </c>
      <c r="BB156" s="13" t="s">
        <v>60</v>
      </c>
      <c r="BC156" s="146">
        <v>3</v>
      </c>
      <c r="BD156" s="37">
        <v>1050</v>
      </c>
      <c r="BE156" s="60">
        <f t="shared" ref="BE156:BE177" si="468">IF(BC156*BD156=0,"",BC156*BD156)</f>
        <v>3150</v>
      </c>
      <c r="BF156" s="32"/>
      <c r="BG156" s="32"/>
      <c r="BH156" s="32"/>
      <c r="BI156" s="32"/>
      <c r="BJ156" s="58" t="str">
        <f t="shared" ref="BJ156:BJ177" si="469">IF(ROUNDUP((BI156-BH156)/7,0)=0,"",ROUNDUP((BI156-BH156)/7,0))</f>
        <v/>
      </c>
      <c r="BK156" s="20"/>
      <c r="BL156" s="58" t="str">
        <f t="shared" ref="BL156:BL177" si="470">IFERROR(IF(BJ156*BK156=0,"",BJ156*BK156), "")</f>
        <v/>
      </c>
      <c r="BM156" s="32"/>
      <c r="BN156" s="32"/>
      <c r="BO156" s="58" t="str">
        <f t="shared" ref="BO156:BO177" si="471">IF(ROUNDUP((BN156-BM156)/7,0)=0,"",ROUNDUP((BN156-BM156)/7,0))</f>
        <v/>
      </c>
      <c r="BP156" s="20"/>
      <c r="BQ156" s="58" t="str">
        <f t="shared" ref="BQ156:BQ177" si="472">IFERROR(IF(BO156*BP156=0,"",BO156*BP156), "")</f>
        <v/>
      </c>
      <c r="BR156" s="32"/>
      <c r="BS156" s="32"/>
      <c r="BT156" s="58" t="str">
        <f t="shared" ref="BT156:BT177" si="473">IF(ROUNDUP((BS156-BR156)/7,0)=0,"",ROUNDUP((BS156-BR156)/7,0))</f>
        <v/>
      </c>
      <c r="BU156" s="58" t="str">
        <f t="shared" ref="BU156:BU177" si="474">IFERROR(IF((BX156-(BK156+BP156))/BT156=0,"",ROUNDUP((BX156-(BK156+BP156))/BT156,0)), "")</f>
        <v/>
      </c>
      <c r="BV156" s="58" t="str">
        <f t="shared" ref="BV156:BV177" si="475">IFERROR(IF((BX156-(BL156+BQ156))=0, "", (BX156-(BL156+BQ156))), "")</f>
        <v/>
      </c>
      <c r="BW156" s="59" t="str">
        <f t="shared" ref="BW156:BW177" si="476">IFERROR(IF((BJ156+BO156+BT156)=0, "", (BJ156+BO156+BT156)), "")</f>
        <v/>
      </c>
      <c r="BX156" s="12"/>
      <c r="BY156" s="49" t="s">
        <v>603</v>
      </c>
      <c r="BZ156" s="49" t="s">
        <v>171</v>
      </c>
      <c r="CA156" s="61" t="str">
        <f>IF(_xlfn.XLOOKUP(BY156, AutoFill_classes!$A:$A, AutoFill_classes!$B:$B,"")=0,"",_xlfn.XLOOKUP(BY156, AutoFill_classes!$A:$A, AutoFill_classes!$B:$B,""))</f>
        <v>Pastoral Counseling</v>
      </c>
      <c r="CB156" s="154"/>
      <c r="CC156" s="12" t="s">
        <v>56</v>
      </c>
      <c r="CD156" s="12" t="s">
        <v>93</v>
      </c>
      <c r="CE156" s="12" t="s">
        <v>94</v>
      </c>
      <c r="CF156" s="7" t="s">
        <v>63</v>
      </c>
      <c r="CG156" s="37" t="s">
        <v>60</v>
      </c>
      <c r="CH156" s="146">
        <v>3</v>
      </c>
      <c r="CI156" s="41">
        <v>1050</v>
      </c>
      <c r="CJ156" s="60">
        <f t="shared" ref="CJ156:CJ177" si="477">IF(CH156*CI156=0,"",CH156*CI156)</f>
        <v>3150</v>
      </c>
      <c r="CK156" s="32"/>
      <c r="CL156" s="32"/>
      <c r="CM156" s="32"/>
      <c r="CN156" s="32"/>
      <c r="CO156" s="58" t="str">
        <f t="shared" ref="CO156:CO177" si="478">IF(ROUNDUP((CN156-CM156)/7,0)=0,"",ROUNDUP((CN156-CM156)/7,0))</f>
        <v/>
      </c>
      <c r="CP156" s="20"/>
      <c r="CQ156" s="58" t="str">
        <f t="shared" ref="CQ156:CQ177" si="479">IFERROR(IF(CO156*CP156=0,"",CO156*CP156), "")</f>
        <v/>
      </c>
      <c r="CR156" s="32"/>
      <c r="CS156" s="32"/>
      <c r="CT156" s="58" t="str">
        <f t="shared" ref="CT156:CT177" si="480">IF(ROUNDUP((CS156-CR156)/7,0)=0,"",ROUNDUP((CS156-CR156)/7,0))</f>
        <v/>
      </c>
      <c r="CU156" s="20"/>
      <c r="CV156" s="58" t="str">
        <f t="shared" ref="CV156:CV177" si="481">IFERROR(IF(CT156*CU156=0,"",CT156*CU156), "")</f>
        <v/>
      </c>
      <c r="CW156" s="32"/>
      <c r="CX156" s="32"/>
      <c r="CY156" s="58" t="str">
        <f t="shared" ref="CY156:CY177" si="482">IF(ROUNDUP((CX156-CW156)/7,0)=0,"",ROUNDUP((CX156-CW156)/7,0))</f>
        <v/>
      </c>
      <c r="CZ156" s="58" t="str">
        <f t="shared" ref="CZ156:CZ177" si="483">IFERROR(IF((DC156-(CP156+CU156))/CY156=0,"",ROUNDUP((DC156-(CP156+CU156))/CY156,0)), "")</f>
        <v/>
      </c>
      <c r="DA156" s="58" t="str">
        <f t="shared" ref="DA156:DA177" si="484">IFERROR(IF((DC156-(CQ156+CV156))=0, "", (DC156-(CQ156+CV156))), "")</f>
        <v/>
      </c>
      <c r="DB156" s="59" t="str">
        <f t="shared" ref="DB156:DB177" si="485">IFERROR(IF((CO156+CT156+CY156)=0, "", (CO156+CT156+CY156)), "")</f>
        <v/>
      </c>
      <c r="DC156" s="12"/>
      <c r="DD156" s="146"/>
      <c r="DE156" s="91">
        <v>153</v>
      </c>
    </row>
    <row r="157" spans="1:176" s="39" customFormat="1" ht="13">
      <c r="A157" s="7" t="s">
        <v>184</v>
      </c>
      <c r="B157" s="23" t="str">
        <f>IF(_xlfn.XLOOKUP(A157, AutoFill_names!B:B, AutoFill_names!C:C,"")=0,"",_xlfn.XLOOKUP(A157, AutoFill_names!B:B, AutoFill_names!C:C,""))</f>
        <v>000048477</v>
      </c>
      <c r="C157" s="23" t="str">
        <f>IF(_xlfn.XLOOKUP(A157, AutoFill_names!B:B, AutoFill_names!D:D,"")=0,"",_xlfn.XLOOKUP(A157, AutoFill_names!B:B, AutoFill_names!D:D,""))</f>
        <v>royg@andrews.edu</v>
      </c>
      <c r="D157" s="23" t="str">
        <f>IF(_xlfn.XLOOKUP(A157, AutoFill_names!B:B, AutoFill_names!E:E,"")=0,"",_xlfn.XLOOKUP(A157, AutoFill_names!B:B, AutoFill_names!E:E,""))</f>
        <v/>
      </c>
      <c r="E157" s="23" t="str">
        <f>IF(_xlfn.XLOOKUP(A157, AutoFill_names!B:B, AutoFill_names!F:F,"")=0,"",_xlfn.XLOOKUP(A157, AutoFill_names!B:B, AutoFill_names!F:F,""))</f>
        <v>faculty</v>
      </c>
      <c r="F157" s="4" t="s">
        <v>73</v>
      </c>
      <c r="G157" s="4"/>
      <c r="H157" s="4"/>
      <c r="I157" s="4"/>
      <c r="J157" s="23" t="str">
        <f>IF(_xlfn.XLOOKUP(A157, AutoFill_names!B:B, AutoFill_names!K:K,"")=0,"",_xlfn.XLOOKUP(A157, AutoFill_names!B:B, AutoFill_names!K:K,""))</f>
        <v/>
      </c>
      <c r="K157" s="23" t="str">
        <f>IF(_xlfn.XLOOKUP(A157, AutoFill_names!B:B, AutoFill_names!L:L,"")=0,"",_xlfn.XLOOKUP(A157, AutoFill_names!B:B, AutoFill_names!L:L,""))</f>
        <v/>
      </c>
      <c r="L157" s="8"/>
      <c r="M157" s="8"/>
      <c r="N157" s="61" t="str">
        <f>IF(_xlfn.XLOOKUP(L157, AutoFill_classes!A:A, AutoFill_classes!B:B,"")=0,"",_xlfn.XLOOKUP(L157, AutoFill_classes!A:A, AutoFill_classes!B:B,""))</f>
        <v/>
      </c>
      <c r="O157" s="154"/>
      <c r="P157" s="11"/>
      <c r="Q157" s="11"/>
      <c r="R157" s="11"/>
      <c r="S157" s="7"/>
      <c r="T157" s="7"/>
      <c r="U157" s="7"/>
      <c r="V157" s="7"/>
      <c r="W157" s="7"/>
      <c r="X157" s="146"/>
      <c r="Y157" s="37"/>
      <c r="Z157" s="60" t="str">
        <f t="shared" si="459"/>
        <v/>
      </c>
      <c r="AA157" s="40"/>
      <c r="AB157" s="40"/>
      <c r="AC157" s="42"/>
      <c r="AD157" s="42"/>
      <c r="AE157" s="58" t="str">
        <f t="shared" si="460"/>
        <v/>
      </c>
      <c r="AF157" s="12"/>
      <c r="AG157" s="58" t="str">
        <f t="shared" si="461"/>
        <v/>
      </c>
      <c r="AH157" s="42"/>
      <c r="AI157" s="42"/>
      <c r="AJ157" s="58" t="str">
        <f t="shared" si="462"/>
        <v/>
      </c>
      <c r="AK157" s="12"/>
      <c r="AL157" s="58" t="str">
        <f t="shared" si="463"/>
        <v/>
      </c>
      <c r="AM157" s="42"/>
      <c r="AN157" s="42"/>
      <c r="AO157" s="58" t="str">
        <f t="shared" si="464"/>
        <v/>
      </c>
      <c r="AP157" s="58" t="str">
        <f t="shared" si="465"/>
        <v/>
      </c>
      <c r="AQ157" s="58" t="str">
        <f t="shared" si="466"/>
        <v/>
      </c>
      <c r="AR157" s="59" t="str">
        <f t="shared" si="467"/>
        <v/>
      </c>
      <c r="AS157" s="12"/>
      <c r="AT157" s="49" t="s">
        <v>588</v>
      </c>
      <c r="AU157" s="49"/>
      <c r="AV157" s="61" t="str">
        <f>IF(_xlfn.XLOOKUP(AT157, AutoFill_classes!$A:$A, AutoFill_classes!$B:$B,"")=0,"",_xlfn.XLOOKUP(AT157, AutoFill_classes!$A:$A, AutoFill_classes!$B:$B,""))</f>
        <v>Intro to Chaplaincy Min</v>
      </c>
      <c r="AW157" s="154"/>
      <c r="AX157" s="12" t="s">
        <v>56</v>
      </c>
      <c r="AY157" s="13" t="s">
        <v>57</v>
      </c>
      <c r="AZ157" s="12" t="s">
        <v>58</v>
      </c>
      <c r="BA157" s="13" t="s">
        <v>63</v>
      </c>
      <c r="BB157" s="13" t="s">
        <v>60</v>
      </c>
      <c r="BC157" s="146">
        <v>2</v>
      </c>
      <c r="BD157" s="37">
        <v>1050</v>
      </c>
      <c r="BE157" s="60">
        <f t="shared" si="468"/>
        <v>2100</v>
      </c>
      <c r="BF157" s="32"/>
      <c r="BG157" s="32"/>
      <c r="BH157" s="36"/>
      <c r="BI157" s="36"/>
      <c r="BJ157" s="58" t="str">
        <f t="shared" si="469"/>
        <v/>
      </c>
      <c r="BK157" s="20"/>
      <c r="BL157" s="58" t="str">
        <f t="shared" si="470"/>
        <v/>
      </c>
      <c r="BM157" s="36"/>
      <c r="BN157" s="36"/>
      <c r="BO157" s="58" t="str">
        <f t="shared" si="471"/>
        <v/>
      </c>
      <c r="BP157" s="20"/>
      <c r="BQ157" s="58" t="str">
        <f t="shared" si="472"/>
        <v/>
      </c>
      <c r="BR157" s="36"/>
      <c r="BS157" s="36"/>
      <c r="BT157" s="58" t="str">
        <f t="shared" si="473"/>
        <v/>
      </c>
      <c r="BU157" s="58" t="str">
        <f t="shared" si="474"/>
        <v/>
      </c>
      <c r="BV157" s="58" t="str">
        <f t="shared" si="475"/>
        <v/>
      </c>
      <c r="BW157" s="59" t="str">
        <f t="shared" si="476"/>
        <v/>
      </c>
      <c r="BX157" s="12"/>
      <c r="BY157" s="12"/>
      <c r="BZ157" s="12"/>
      <c r="CA157" s="61" t="str">
        <f>IF(_xlfn.XLOOKUP(BY157, AutoFill_classes!$A:$A, AutoFill_classes!$B:$B,"")=0,"",_xlfn.XLOOKUP(BY157, AutoFill_classes!$A:$A, AutoFill_classes!$B:$B,""))</f>
        <v/>
      </c>
      <c r="CB157" s="154"/>
      <c r="CC157" s="12"/>
      <c r="CD157" s="12"/>
      <c r="CE157" s="12"/>
      <c r="CF157" s="7"/>
      <c r="CG157" s="37"/>
      <c r="CH157" s="146"/>
      <c r="CI157" s="41"/>
      <c r="CJ157" s="60" t="str">
        <f t="shared" si="477"/>
        <v/>
      </c>
      <c r="CK157" s="32"/>
      <c r="CL157" s="32"/>
      <c r="CM157" s="36"/>
      <c r="CN157" s="36"/>
      <c r="CO157" s="58" t="str">
        <f t="shared" si="478"/>
        <v/>
      </c>
      <c r="CP157" s="20"/>
      <c r="CQ157" s="58" t="str">
        <f t="shared" si="479"/>
        <v/>
      </c>
      <c r="CR157" s="36"/>
      <c r="CS157" s="36"/>
      <c r="CT157" s="58" t="str">
        <f t="shared" si="480"/>
        <v/>
      </c>
      <c r="CU157" s="20"/>
      <c r="CV157" s="58" t="str">
        <f t="shared" si="481"/>
        <v/>
      </c>
      <c r="CW157" s="36"/>
      <c r="CX157" s="36"/>
      <c r="CY157" s="58" t="str">
        <f t="shared" si="482"/>
        <v/>
      </c>
      <c r="CZ157" s="58" t="str">
        <f t="shared" si="483"/>
        <v/>
      </c>
      <c r="DA157" s="58" t="str">
        <f t="shared" si="484"/>
        <v/>
      </c>
      <c r="DB157" s="59" t="str">
        <f t="shared" si="485"/>
        <v/>
      </c>
      <c r="DC157" s="12"/>
      <c r="DD157" s="151"/>
      <c r="DE157" s="91">
        <v>154</v>
      </c>
    </row>
    <row r="158" spans="1:176" s="39" customFormat="1" ht="13">
      <c r="A158" s="7" t="s">
        <v>184</v>
      </c>
      <c r="B158" s="23" t="str">
        <f>IF(_xlfn.XLOOKUP(A158, AutoFill_names!B:B, AutoFill_names!C:C,"")=0,"",_xlfn.XLOOKUP(A158, AutoFill_names!B:B, AutoFill_names!C:C,""))</f>
        <v>000048477</v>
      </c>
      <c r="C158" s="23" t="str">
        <f>IF(_xlfn.XLOOKUP(A158, AutoFill_names!B:B, AutoFill_names!D:D,"")=0,"",_xlfn.XLOOKUP(A158, AutoFill_names!B:B, AutoFill_names!D:D,""))</f>
        <v>royg@andrews.edu</v>
      </c>
      <c r="D158" s="23" t="str">
        <f>IF(_xlfn.XLOOKUP(A158, AutoFill_names!B:B, AutoFill_names!E:E,"")=0,"",_xlfn.XLOOKUP(A158, AutoFill_names!B:B, AutoFill_names!E:E,""))</f>
        <v/>
      </c>
      <c r="E158" s="23" t="str">
        <f>IF(_xlfn.XLOOKUP(A158, AutoFill_names!B:B, AutoFill_names!F:F,"")=0,"",_xlfn.XLOOKUP(A158, AutoFill_names!B:B, AutoFill_names!F:F,""))</f>
        <v>faculty</v>
      </c>
      <c r="F158" s="4" t="s">
        <v>73</v>
      </c>
      <c r="G158" s="4"/>
      <c r="H158" s="4"/>
      <c r="I158" s="4"/>
      <c r="J158" s="23" t="str">
        <f>IF(_xlfn.XLOOKUP(A158, AutoFill_names!B:B, AutoFill_names!K:K,"")=0,"",_xlfn.XLOOKUP(A158, AutoFill_names!B:B, AutoFill_names!K:K,""))</f>
        <v/>
      </c>
      <c r="K158" s="23" t="str">
        <f>IF(_xlfn.XLOOKUP(A158, AutoFill_names!B:B, AutoFill_names!L:L,"")=0,"",_xlfn.XLOOKUP(A158, AutoFill_names!B:B, AutoFill_names!L:L,""))</f>
        <v/>
      </c>
      <c r="L158" s="8"/>
      <c r="M158" s="8"/>
      <c r="N158" s="61" t="str">
        <f>IF(_xlfn.XLOOKUP(L158, AutoFill_classes!A:A, AutoFill_classes!B:B,"")=0,"",_xlfn.XLOOKUP(L158, AutoFill_classes!A:A, AutoFill_classes!B:B,""))</f>
        <v/>
      </c>
      <c r="O158" s="154"/>
      <c r="P158" s="11"/>
      <c r="Q158" s="11"/>
      <c r="R158" s="11"/>
      <c r="S158" s="7"/>
      <c r="T158" s="7"/>
      <c r="U158" s="7"/>
      <c r="V158" s="7"/>
      <c r="W158" s="7"/>
      <c r="X158" s="146"/>
      <c r="Y158" s="37"/>
      <c r="Z158" s="60" t="str">
        <f t="shared" si="459"/>
        <v/>
      </c>
      <c r="AA158" s="40"/>
      <c r="AB158" s="40"/>
      <c r="AC158" s="42"/>
      <c r="AD158" s="42"/>
      <c r="AE158" s="58" t="str">
        <f t="shared" si="460"/>
        <v/>
      </c>
      <c r="AF158" s="12"/>
      <c r="AG158" s="58" t="str">
        <f t="shared" si="461"/>
        <v/>
      </c>
      <c r="AH158" s="42"/>
      <c r="AI158" s="42"/>
      <c r="AJ158" s="58" t="str">
        <f t="shared" si="462"/>
        <v/>
      </c>
      <c r="AK158" s="12"/>
      <c r="AL158" s="58" t="str">
        <f t="shared" si="463"/>
        <v/>
      </c>
      <c r="AM158" s="42"/>
      <c r="AN158" s="42"/>
      <c r="AO158" s="58" t="str">
        <f t="shared" si="464"/>
        <v/>
      </c>
      <c r="AP158" s="58" t="str">
        <f t="shared" si="465"/>
        <v/>
      </c>
      <c r="AQ158" s="58" t="str">
        <f t="shared" si="466"/>
        <v/>
      </c>
      <c r="AR158" s="59" t="str">
        <f t="shared" si="467"/>
        <v/>
      </c>
      <c r="AS158" s="12"/>
      <c r="AT158" s="49" t="s">
        <v>588</v>
      </c>
      <c r="AU158" s="49" t="s">
        <v>281</v>
      </c>
      <c r="AV158" s="61" t="str">
        <f>IF(_xlfn.XLOOKUP(AT158, AutoFill_classes!$A:$A, AutoFill_classes!$B:$B,"")=0,"",_xlfn.XLOOKUP(AT158, AutoFill_classes!$A:$A, AutoFill_classes!$B:$B,""))</f>
        <v>Intro to Chaplaincy Min</v>
      </c>
      <c r="AW158" s="154"/>
      <c r="AX158" s="12" t="s">
        <v>76</v>
      </c>
      <c r="AY158" s="13" t="s">
        <v>57</v>
      </c>
      <c r="AZ158" s="12" t="s">
        <v>58</v>
      </c>
      <c r="BA158" s="13" t="s">
        <v>63</v>
      </c>
      <c r="BB158" s="13" t="s">
        <v>60</v>
      </c>
      <c r="BC158" s="146">
        <v>0</v>
      </c>
      <c r="BD158" s="37">
        <v>1050</v>
      </c>
      <c r="BE158" s="60" t="str">
        <f t="shared" si="468"/>
        <v/>
      </c>
      <c r="BF158" s="32"/>
      <c r="BG158" s="32"/>
      <c r="BH158" s="36"/>
      <c r="BI158" s="36"/>
      <c r="BJ158" s="58" t="str">
        <f t="shared" si="469"/>
        <v/>
      </c>
      <c r="BK158" s="20"/>
      <c r="BL158" s="58" t="str">
        <f t="shared" si="470"/>
        <v/>
      </c>
      <c r="BM158" s="36"/>
      <c r="BN158" s="36"/>
      <c r="BO158" s="58" t="str">
        <f t="shared" si="471"/>
        <v/>
      </c>
      <c r="BP158" s="20"/>
      <c r="BQ158" s="58" t="str">
        <f t="shared" si="472"/>
        <v/>
      </c>
      <c r="BR158" s="36"/>
      <c r="BS158" s="36"/>
      <c r="BT158" s="58" t="str">
        <f t="shared" si="473"/>
        <v/>
      </c>
      <c r="BU158" s="58" t="str">
        <f t="shared" si="474"/>
        <v/>
      </c>
      <c r="BV158" s="58" t="str">
        <f t="shared" si="475"/>
        <v/>
      </c>
      <c r="BW158" s="59" t="str">
        <f t="shared" si="476"/>
        <v/>
      </c>
      <c r="BX158" s="12"/>
      <c r="BY158" s="12"/>
      <c r="BZ158" s="12"/>
      <c r="CA158" s="61" t="str">
        <f>IF(_xlfn.XLOOKUP(BY158, AutoFill_classes!$A:$A, AutoFill_classes!$B:$B,"")=0,"",_xlfn.XLOOKUP(BY158, AutoFill_classes!$A:$A, AutoFill_classes!$B:$B,""))</f>
        <v/>
      </c>
      <c r="CB158" s="154"/>
      <c r="CC158" s="12"/>
      <c r="CD158" s="12"/>
      <c r="CE158" s="12"/>
      <c r="CF158" s="7"/>
      <c r="CG158" s="37"/>
      <c r="CH158" s="146"/>
      <c r="CI158" s="41"/>
      <c r="CJ158" s="60" t="str">
        <f t="shared" si="477"/>
        <v/>
      </c>
      <c r="CK158" s="32"/>
      <c r="CL158" s="32"/>
      <c r="CM158" s="36"/>
      <c r="CN158" s="36"/>
      <c r="CO158" s="58" t="str">
        <f t="shared" si="478"/>
        <v/>
      </c>
      <c r="CP158" s="20"/>
      <c r="CQ158" s="58" t="str">
        <f t="shared" si="479"/>
        <v/>
      </c>
      <c r="CR158" s="36"/>
      <c r="CS158" s="36"/>
      <c r="CT158" s="58" t="str">
        <f t="shared" si="480"/>
        <v/>
      </c>
      <c r="CU158" s="20"/>
      <c r="CV158" s="58" t="str">
        <f t="shared" si="481"/>
        <v/>
      </c>
      <c r="CW158" s="36"/>
      <c r="CX158" s="36"/>
      <c r="CY158" s="58" t="str">
        <f t="shared" si="482"/>
        <v/>
      </c>
      <c r="CZ158" s="58" t="str">
        <f t="shared" si="483"/>
        <v/>
      </c>
      <c r="DA158" s="58" t="str">
        <f t="shared" si="484"/>
        <v/>
      </c>
      <c r="DB158" s="59" t="str">
        <f t="shared" si="485"/>
        <v/>
      </c>
      <c r="DC158" s="12"/>
      <c r="DD158" s="151"/>
      <c r="DE158" s="91">
        <v>154</v>
      </c>
    </row>
    <row r="159" spans="1:176" s="39" customFormat="1" ht="13">
      <c r="A159" s="7" t="s">
        <v>393</v>
      </c>
      <c r="B159" s="23" t="str">
        <f>IF(_xlfn.XLOOKUP(A159, AutoFill_names!B:B, AutoFill_names!C:C,"")=0,"",_xlfn.XLOOKUP(A159, AutoFill_names!B:B, AutoFill_names!C:C,""))</f>
        <v>000073236</v>
      </c>
      <c r="C159" s="23" t="str">
        <f>IF(_xlfn.XLOOKUP(A159, AutoFill_names!B:B, AutoFill_names!D:D,"")=0,"",_xlfn.XLOOKUP(A159, AutoFill_names!B:B, AutoFill_names!D:D,""))</f>
        <v>kwons@andrews.edu</v>
      </c>
      <c r="D159" s="23" t="str">
        <f>IF(_xlfn.XLOOKUP(A159, AutoFill_names!B:B, AutoFill_names!E:E,"")=0,"",_xlfn.XLOOKUP(A159, AutoFill_names!B:B, AutoFill_names!E:E,""))</f>
        <v/>
      </c>
      <c r="E159" s="23" t="str">
        <f>IF(_xlfn.XLOOKUP(A159, AutoFill_names!B:B, AutoFill_names!F:F,"")=0,"",_xlfn.XLOOKUP(A159, AutoFill_names!B:B, AutoFill_names!F:F,""))</f>
        <v/>
      </c>
      <c r="F159" s="4" t="s">
        <v>73</v>
      </c>
      <c r="G159" s="4"/>
      <c r="H159" s="4"/>
      <c r="I159" s="4"/>
      <c r="J159" s="23" t="str">
        <f>IF(_xlfn.XLOOKUP(A159, AutoFill_names!B:B, AutoFill_names!K:K,"")=0,"",_xlfn.XLOOKUP(A159, AutoFill_names!B:B, AutoFill_names!K:K,""))</f>
        <v/>
      </c>
      <c r="K159" s="23" t="str">
        <f>IF(_xlfn.XLOOKUP(A159, AutoFill_names!B:B, AutoFill_names!L:L,"")=0,"",_xlfn.XLOOKUP(A159, AutoFill_names!B:B, AutoFill_names!L:L,""))</f>
        <v/>
      </c>
      <c r="L159" s="8"/>
      <c r="M159" s="8"/>
      <c r="N159" s="61" t="str">
        <f>IF(_xlfn.XLOOKUP(L159, AutoFill_classes!A:A, AutoFill_classes!B:B,"")=0,"",_xlfn.XLOOKUP(L159, AutoFill_classes!A:A, AutoFill_classes!B:B,""))</f>
        <v/>
      </c>
      <c r="O159" s="154"/>
      <c r="P159" s="11"/>
      <c r="Q159" s="11"/>
      <c r="R159" s="11"/>
      <c r="S159" s="7"/>
      <c r="T159" s="7"/>
      <c r="U159" s="7"/>
      <c r="V159" s="7"/>
      <c r="W159" s="7"/>
      <c r="X159" s="146"/>
      <c r="Y159" s="37"/>
      <c r="Z159" s="60" t="str">
        <f t="shared" si="459"/>
        <v/>
      </c>
      <c r="AA159" s="40"/>
      <c r="AB159" s="40"/>
      <c r="AC159" s="40"/>
      <c r="AD159" s="40"/>
      <c r="AE159" s="58" t="str">
        <f t="shared" si="460"/>
        <v/>
      </c>
      <c r="AF159" s="12"/>
      <c r="AG159" s="58" t="str">
        <f t="shared" si="461"/>
        <v/>
      </c>
      <c r="AH159" s="40"/>
      <c r="AI159" s="40"/>
      <c r="AJ159" s="58" t="str">
        <f t="shared" si="462"/>
        <v/>
      </c>
      <c r="AK159" s="12"/>
      <c r="AL159" s="58" t="str">
        <f t="shared" si="463"/>
        <v/>
      </c>
      <c r="AM159" s="40"/>
      <c r="AN159" s="40"/>
      <c r="AO159" s="58" t="str">
        <f t="shared" si="464"/>
        <v/>
      </c>
      <c r="AP159" s="58" t="str">
        <f t="shared" si="465"/>
        <v/>
      </c>
      <c r="AQ159" s="58" t="str">
        <f t="shared" si="466"/>
        <v/>
      </c>
      <c r="AR159" s="59" t="str">
        <f t="shared" si="467"/>
        <v/>
      </c>
      <c r="AS159" s="12"/>
      <c r="AT159" s="49" t="s">
        <v>622</v>
      </c>
      <c r="AU159" s="49"/>
      <c r="AV159" s="61" t="str">
        <f>IF(_xlfn.XLOOKUP(AT159, AutoFill_classes!$A:$A, AutoFill_classes!$B:$B,"")=0,"",_xlfn.XLOOKUP(AT159, AutoFill_classes!$A:$A, AutoFill_classes!$B:$B,""))</f>
        <v>Trauma&amp;Adv Crisis Intervention</v>
      </c>
      <c r="AW159" s="154"/>
      <c r="AX159" s="12" t="s">
        <v>56</v>
      </c>
      <c r="AY159" s="13" t="s">
        <v>57</v>
      </c>
      <c r="AZ159" s="12" t="s">
        <v>58</v>
      </c>
      <c r="BA159" s="13" t="s">
        <v>63</v>
      </c>
      <c r="BB159" s="13" t="s">
        <v>60</v>
      </c>
      <c r="BC159" s="146">
        <v>2</v>
      </c>
      <c r="BD159" s="37">
        <v>1050</v>
      </c>
      <c r="BE159" s="60">
        <f t="shared" si="468"/>
        <v>2100</v>
      </c>
      <c r="BF159" s="32"/>
      <c r="BG159" s="32"/>
      <c r="BH159" s="32"/>
      <c r="BI159" s="32"/>
      <c r="BJ159" s="58" t="str">
        <f t="shared" si="469"/>
        <v/>
      </c>
      <c r="BK159" s="20"/>
      <c r="BL159" s="58" t="str">
        <f t="shared" si="470"/>
        <v/>
      </c>
      <c r="BM159" s="32"/>
      <c r="BN159" s="32"/>
      <c r="BO159" s="58" t="str">
        <f t="shared" si="471"/>
        <v/>
      </c>
      <c r="BP159" s="20"/>
      <c r="BQ159" s="58" t="str">
        <f t="shared" si="472"/>
        <v/>
      </c>
      <c r="BR159" s="32"/>
      <c r="BS159" s="32"/>
      <c r="BT159" s="58" t="str">
        <f t="shared" si="473"/>
        <v/>
      </c>
      <c r="BU159" s="58" t="str">
        <f t="shared" si="474"/>
        <v/>
      </c>
      <c r="BV159" s="58" t="str">
        <f t="shared" si="475"/>
        <v/>
      </c>
      <c r="BW159" s="59" t="str">
        <f t="shared" si="476"/>
        <v/>
      </c>
      <c r="BX159" s="12"/>
      <c r="BY159" s="12"/>
      <c r="BZ159" s="12"/>
      <c r="CA159" s="61" t="str">
        <f>IF(_xlfn.XLOOKUP(BY159, AutoFill_classes!$A:$A, AutoFill_classes!$B:$B,"")=0,"",_xlfn.XLOOKUP(BY159, AutoFill_classes!$A:$A, AutoFill_classes!$B:$B,""))</f>
        <v/>
      </c>
      <c r="CB159" s="154"/>
      <c r="CC159" s="12"/>
      <c r="CD159" s="12"/>
      <c r="CE159" s="12"/>
      <c r="CF159" s="7"/>
      <c r="CG159" s="37"/>
      <c r="CH159" s="146"/>
      <c r="CI159" s="41"/>
      <c r="CJ159" s="60" t="str">
        <f t="shared" si="477"/>
        <v/>
      </c>
      <c r="CK159" s="32"/>
      <c r="CL159" s="32"/>
      <c r="CM159" s="32"/>
      <c r="CN159" s="32"/>
      <c r="CO159" s="58" t="str">
        <f t="shared" si="478"/>
        <v/>
      </c>
      <c r="CP159" s="20"/>
      <c r="CQ159" s="58" t="str">
        <f t="shared" si="479"/>
        <v/>
      </c>
      <c r="CR159" s="32"/>
      <c r="CS159" s="32"/>
      <c r="CT159" s="58" t="str">
        <f t="shared" si="480"/>
        <v/>
      </c>
      <c r="CU159" s="20"/>
      <c r="CV159" s="58" t="str">
        <f t="shared" si="481"/>
        <v/>
      </c>
      <c r="CW159" s="32"/>
      <c r="CX159" s="32"/>
      <c r="CY159" s="58" t="str">
        <f t="shared" si="482"/>
        <v/>
      </c>
      <c r="CZ159" s="58" t="str">
        <f t="shared" si="483"/>
        <v/>
      </c>
      <c r="DA159" s="58" t="str">
        <f t="shared" si="484"/>
        <v/>
      </c>
      <c r="DB159" s="59" t="str">
        <f t="shared" si="485"/>
        <v/>
      </c>
      <c r="DC159" s="12"/>
      <c r="DD159" s="146"/>
      <c r="DE159" s="91">
        <v>155</v>
      </c>
    </row>
    <row r="160" spans="1:176" s="39" customFormat="1" ht="13">
      <c r="A160" s="7" t="s">
        <v>393</v>
      </c>
      <c r="B160" s="23" t="str">
        <f>IF(_xlfn.XLOOKUP(A160, AutoFill_names!B:B, AutoFill_names!C:C,"")=0,"",_xlfn.XLOOKUP(A160, AutoFill_names!B:B, AutoFill_names!C:C,""))</f>
        <v>000073236</v>
      </c>
      <c r="C160" s="23" t="str">
        <f>IF(_xlfn.XLOOKUP(A160, AutoFill_names!B:B, AutoFill_names!D:D,"")=0,"",_xlfn.XLOOKUP(A160, AutoFill_names!B:B, AutoFill_names!D:D,""))</f>
        <v>kwons@andrews.edu</v>
      </c>
      <c r="D160" s="23" t="str">
        <f>IF(_xlfn.XLOOKUP(A160, AutoFill_names!B:B, AutoFill_names!E:E,"")=0,"",_xlfn.XLOOKUP(A160, AutoFill_names!B:B, AutoFill_names!E:E,""))</f>
        <v/>
      </c>
      <c r="E160" s="23" t="str">
        <f>IF(_xlfn.XLOOKUP(A160, AutoFill_names!B:B, AutoFill_names!F:F,"")=0,"",_xlfn.XLOOKUP(A160, AutoFill_names!B:B, AutoFill_names!F:F,""))</f>
        <v/>
      </c>
      <c r="F160" s="4" t="s">
        <v>73</v>
      </c>
      <c r="G160" s="4"/>
      <c r="H160" s="4"/>
      <c r="I160" s="4"/>
      <c r="J160" s="23" t="str">
        <f>IF(_xlfn.XLOOKUP(A160, AutoFill_names!B:B, AutoFill_names!K:K,"")=0,"",_xlfn.XLOOKUP(A160, AutoFill_names!B:B, AutoFill_names!K:K,""))</f>
        <v/>
      </c>
      <c r="K160" s="23" t="str">
        <f>IF(_xlfn.XLOOKUP(A160, AutoFill_names!B:B, AutoFill_names!L:L,"")=0,"",_xlfn.XLOOKUP(A160, AutoFill_names!B:B, AutoFill_names!L:L,""))</f>
        <v/>
      </c>
      <c r="L160" s="8"/>
      <c r="M160" s="8"/>
      <c r="N160" s="61" t="str">
        <f>IF(_xlfn.XLOOKUP(L160, AutoFill_classes!A:A, AutoFill_classes!B:B,"")=0,"",_xlfn.XLOOKUP(L160, AutoFill_classes!A:A, AutoFill_classes!B:B,""))</f>
        <v/>
      </c>
      <c r="O160" s="154"/>
      <c r="P160" s="11"/>
      <c r="Q160" s="11"/>
      <c r="R160" s="11"/>
      <c r="S160" s="7"/>
      <c r="T160" s="7"/>
      <c r="U160" s="7"/>
      <c r="V160" s="7"/>
      <c r="W160" s="7"/>
      <c r="X160" s="146"/>
      <c r="Y160" s="37"/>
      <c r="Z160" s="60" t="str">
        <f t="shared" si="459"/>
        <v/>
      </c>
      <c r="AA160" s="40"/>
      <c r="AB160" s="40"/>
      <c r="AC160" s="40"/>
      <c r="AD160" s="40"/>
      <c r="AE160" s="58" t="str">
        <f t="shared" si="460"/>
        <v/>
      </c>
      <c r="AF160" s="12"/>
      <c r="AG160" s="58" t="str">
        <f t="shared" si="461"/>
        <v/>
      </c>
      <c r="AH160" s="40"/>
      <c r="AI160" s="40"/>
      <c r="AJ160" s="58" t="str">
        <f t="shared" si="462"/>
        <v/>
      </c>
      <c r="AK160" s="12"/>
      <c r="AL160" s="58" t="str">
        <f t="shared" si="463"/>
        <v/>
      </c>
      <c r="AM160" s="40"/>
      <c r="AN160" s="40"/>
      <c r="AO160" s="58" t="str">
        <f t="shared" si="464"/>
        <v/>
      </c>
      <c r="AP160" s="58" t="str">
        <f t="shared" si="465"/>
        <v/>
      </c>
      <c r="AQ160" s="58" t="str">
        <f t="shared" si="466"/>
        <v/>
      </c>
      <c r="AR160" s="59" t="str">
        <f t="shared" si="467"/>
        <v/>
      </c>
      <c r="AS160" s="12"/>
      <c r="AT160" s="49" t="s">
        <v>622</v>
      </c>
      <c r="AU160" s="49" t="s">
        <v>281</v>
      </c>
      <c r="AV160" s="61" t="str">
        <f>IF(_xlfn.XLOOKUP(AT160, AutoFill_classes!$A:$A, AutoFill_classes!$B:$B,"")=0,"",_xlfn.XLOOKUP(AT160, AutoFill_classes!$A:$A, AutoFill_classes!$B:$B,""))</f>
        <v>Trauma&amp;Adv Crisis Intervention</v>
      </c>
      <c r="AW160" s="154"/>
      <c r="AX160" s="12" t="s">
        <v>76</v>
      </c>
      <c r="AY160" s="13" t="s">
        <v>57</v>
      </c>
      <c r="AZ160" s="12" t="s">
        <v>58</v>
      </c>
      <c r="BA160" s="13" t="s">
        <v>63</v>
      </c>
      <c r="BB160" s="13" t="s">
        <v>60</v>
      </c>
      <c r="BC160" s="146">
        <v>0</v>
      </c>
      <c r="BD160" s="37">
        <v>1050</v>
      </c>
      <c r="BE160" s="60" t="str">
        <f t="shared" si="468"/>
        <v/>
      </c>
      <c r="BF160" s="32"/>
      <c r="BG160" s="32"/>
      <c r="BH160" s="32"/>
      <c r="BI160" s="32"/>
      <c r="BJ160" s="58" t="str">
        <f t="shared" si="469"/>
        <v/>
      </c>
      <c r="BK160" s="20"/>
      <c r="BL160" s="58" t="str">
        <f t="shared" si="470"/>
        <v/>
      </c>
      <c r="BM160" s="32"/>
      <c r="BN160" s="32"/>
      <c r="BO160" s="58" t="str">
        <f t="shared" si="471"/>
        <v/>
      </c>
      <c r="BP160" s="20"/>
      <c r="BQ160" s="58" t="str">
        <f t="shared" si="472"/>
        <v/>
      </c>
      <c r="BR160" s="32"/>
      <c r="BS160" s="32"/>
      <c r="BT160" s="58" t="str">
        <f t="shared" si="473"/>
        <v/>
      </c>
      <c r="BU160" s="58" t="str">
        <f t="shared" si="474"/>
        <v/>
      </c>
      <c r="BV160" s="58" t="str">
        <f t="shared" si="475"/>
        <v/>
      </c>
      <c r="BW160" s="59" t="str">
        <f t="shared" si="476"/>
        <v/>
      </c>
      <c r="BX160" s="12"/>
      <c r="BY160" s="12"/>
      <c r="BZ160" s="12"/>
      <c r="CA160" s="61" t="str">
        <f>IF(_xlfn.XLOOKUP(BY160, AutoFill_classes!$A:$A, AutoFill_classes!$B:$B,"")=0,"",_xlfn.XLOOKUP(BY160, AutoFill_classes!$A:$A, AutoFill_classes!$B:$B,""))</f>
        <v/>
      </c>
      <c r="CB160" s="154"/>
      <c r="CC160" s="12"/>
      <c r="CD160" s="12"/>
      <c r="CE160" s="12"/>
      <c r="CF160" s="7"/>
      <c r="CG160" s="37"/>
      <c r="CH160" s="146"/>
      <c r="CI160" s="41"/>
      <c r="CJ160" s="60" t="str">
        <f t="shared" si="477"/>
        <v/>
      </c>
      <c r="CK160" s="32"/>
      <c r="CL160" s="32"/>
      <c r="CM160" s="32"/>
      <c r="CN160" s="32"/>
      <c r="CO160" s="58" t="str">
        <f t="shared" si="478"/>
        <v/>
      </c>
      <c r="CP160" s="20"/>
      <c r="CQ160" s="58" t="str">
        <f t="shared" si="479"/>
        <v/>
      </c>
      <c r="CR160" s="32"/>
      <c r="CS160" s="32"/>
      <c r="CT160" s="58" t="str">
        <f t="shared" si="480"/>
        <v/>
      </c>
      <c r="CU160" s="20"/>
      <c r="CV160" s="58" t="str">
        <f t="shared" si="481"/>
        <v/>
      </c>
      <c r="CW160" s="32"/>
      <c r="CX160" s="32"/>
      <c r="CY160" s="58" t="str">
        <f t="shared" si="482"/>
        <v/>
      </c>
      <c r="CZ160" s="58" t="str">
        <f t="shared" si="483"/>
        <v/>
      </c>
      <c r="DA160" s="58" t="str">
        <f t="shared" si="484"/>
        <v/>
      </c>
      <c r="DB160" s="59" t="str">
        <f t="shared" si="485"/>
        <v/>
      </c>
      <c r="DC160" s="12"/>
      <c r="DD160" s="146"/>
      <c r="DE160" s="91">
        <v>155</v>
      </c>
    </row>
    <row r="161" spans="1:109" s="39" customFormat="1" ht="13">
      <c r="A161" s="7" t="s">
        <v>63</v>
      </c>
      <c r="B161" s="23" t="str">
        <f>IF(_xlfn.XLOOKUP(A161, AutoFill_names!B:B, AutoFill_names!C:C,"")=0,"",_xlfn.XLOOKUP(A161, AutoFill_names!B:B, AutoFill_names!C:C,""))</f>
        <v/>
      </c>
      <c r="C161" s="23" t="str">
        <f>IF(_xlfn.XLOOKUP(A161, AutoFill_names!B:B, AutoFill_names!D:D,"")=0,"",_xlfn.XLOOKUP(A161, AutoFill_names!B:B, AutoFill_names!D:D,""))</f>
        <v/>
      </c>
      <c r="D161" s="23" t="str">
        <f>IF(_xlfn.XLOOKUP(A161, AutoFill_names!B:B, AutoFill_names!E:E,"")=0,"",_xlfn.XLOOKUP(A161, AutoFill_names!B:B, AutoFill_names!E:E,""))</f>
        <v/>
      </c>
      <c r="E161" s="23" t="str">
        <f>IF(_xlfn.XLOOKUP(A161, AutoFill_names!B:B, AutoFill_names!F:F,"")=0,"",_xlfn.XLOOKUP(A161, AutoFill_names!B:B, AutoFill_names!F:F,""))</f>
        <v/>
      </c>
      <c r="F161" s="4" t="s">
        <v>73</v>
      </c>
      <c r="G161" s="4"/>
      <c r="H161" s="4"/>
      <c r="I161" s="4"/>
      <c r="J161" s="23" t="str">
        <f>IF(_xlfn.XLOOKUP(A161, AutoFill_names!B:B, AutoFill_names!K:K,"")=0,"",_xlfn.XLOOKUP(A161, AutoFill_names!B:B, AutoFill_names!K:K,""))</f>
        <v/>
      </c>
      <c r="K161" s="23" t="str">
        <f>IF(_xlfn.XLOOKUP(A161, AutoFill_names!B:B, AutoFill_names!L:L,"")=0,"",_xlfn.XLOOKUP(A161, AutoFill_names!B:B, AutoFill_names!L:L,""))</f>
        <v/>
      </c>
      <c r="L161" s="8"/>
      <c r="M161" s="8"/>
      <c r="N161" s="61" t="str">
        <f>IF(_xlfn.XLOOKUP(L161, AutoFill_classes!A:A, AutoFill_classes!B:B,"")=0,"",_xlfn.XLOOKUP(L161, AutoFill_classes!A:A, AutoFill_classes!B:B,""))</f>
        <v/>
      </c>
      <c r="O161" s="154"/>
      <c r="P161" s="11"/>
      <c r="Q161" s="11"/>
      <c r="R161" s="11"/>
      <c r="S161" s="8"/>
      <c r="T161" s="8"/>
      <c r="U161" s="8"/>
      <c r="V161" s="7"/>
      <c r="W161" s="7"/>
      <c r="X161" s="146"/>
      <c r="Y161" s="37"/>
      <c r="Z161" s="60" t="str">
        <f t="shared" si="459"/>
        <v/>
      </c>
      <c r="AA161" s="40"/>
      <c r="AB161" s="40"/>
      <c r="AC161" s="40"/>
      <c r="AD161" s="40"/>
      <c r="AE161" s="58" t="str">
        <f t="shared" si="460"/>
        <v/>
      </c>
      <c r="AF161" s="12"/>
      <c r="AG161" s="58" t="str">
        <f t="shared" si="461"/>
        <v/>
      </c>
      <c r="AH161" s="40"/>
      <c r="AI161" s="40"/>
      <c r="AJ161" s="58" t="str">
        <f t="shared" si="462"/>
        <v/>
      </c>
      <c r="AK161" s="12"/>
      <c r="AL161" s="58" t="str">
        <f t="shared" si="463"/>
        <v/>
      </c>
      <c r="AM161" s="40"/>
      <c r="AN161" s="40"/>
      <c r="AO161" s="58" t="str">
        <f t="shared" si="464"/>
        <v/>
      </c>
      <c r="AP161" s="58" t="str">
        <f t="shared" si="465"/>
        <v/>
      </c>
      <c r="AQ161" s="58" t="str">
        <f t="shared" si="466"/>
        <v/>
      </c>
      <c r="AR161" s="59" t="str">
        <f t="shared" si="467"/>
        <v/>
      </c>
      <c r="AS161" s="12"/>
      <c r="AT161" s="49" t="s">
        <v>590</v>
      </c>
      <c r="AU161" s="49"/>
      <c r="AV161" s="61" t="str">
        <f>IF(_xlfn.XLOOKUP(AT161, AutoFill_classes!$A:$A, AutoFill_classes!$B:$B,"")=0,"",_xlfn.XLOOKUP(AT161, AutoFill_classes!$A:$A, AutoFill_classes!$B:$B,""))</f>
        <v>Death &amp; Grief Contemp Society</v>
      </c>
      <c r="AW161" s="154"/>
      <c r="AX161" s="12" t="s">
        <v>85</v>
      </c>
      <c r="AY161" s="13" t="s">
        <v>57</v>
      </c>
      <c r="AZ161" s="12" t="s">
        <v>58</v>
      </c>
      <c r="BA161" s="13" t="s">
        <v>63</v>
      </c>
      <c r="BB161" s="13" t="s">
        <v>60</v>
      </c>
      <c r="BC161" s="146">
        <v>2</v>
      </c>
      <c r="BD161" s="37">
        <v>1050</v>
      </c>
      <c r="BE161" s="60">
        <f t="shared" si="468"/>
        <v>2100</v>
      </c>
      <c r="BF161" s="32"/>
      <c r="BG161" s="32"/>
      <c r="BH161" s="32"/>
      <c r="BI161" s="32"/>
      <c r="BJ161" s="58" t="str">
        <f t="shared" si="469"/>
        <v/>
      </c>
      <c r="BK161" s="20"/>
      <c r="BL161" s="58" t="str">
        <f t="shared" si="470"/>
        <v/>
      </c>
      <c r="BM161" s="32"/>
      <c r="BN161" s="32"/>
      <c r="BO161" s="58" t="str">
        <f t="shared" si="471"/>
        <v/>
      </c>
      <c r="BP161" s="20"/>
      <c r="BQ161" s="58" t="str">
        <f t="shared" si="472"/>
        <v/>
      </c>
      <c r="BR161" s="32"/>
      <c r="BS161" s="32"/>
      <c r="BT161" s="58" t="str">
        <f t="shared" si="473"/>
        <v/>
      </c>
      <c r="BU161" s="58" t="str">
        <f t="shared" si="474"/>
        <v/>
      </c>
      <c r="BV161" s="58" t="str">
        <f t="shared" si="475"/>
        <v/>
      </c>
      <c r="BW161" s="59" t="str">
        <f t="shared" si="476"/>
        <v/>
      </c>
      <c r="BX161" s="12"/>
      <c r="BY161" s="49" t="s">
        <v>590</v>
      </c>
      <c r="BZ161" s="49"/>
      <c r="CA161" s="61" t="str">
        <f>IF(_xlfn.XLOOKUP(BY161, AutoFill_classes!$A:$A, AutoFill_classes!$B:$B,"")=0,"",_xlfn.XLOOKUP(BY161, AutoFill_classes!$A:$A, AutoFill_classes!$B:$B,""))</f>
        <v>Death &amp; Grief Contemp Society</v>
      </c>
      <c r="CB161" s="154"/>
      <c r="CC161" s="12" t="s">
        <v>85</v>
      </c>
      <c r="CD161" s="12" t="s">
        <v>57</v>
      </c>
      <c r="CE161" s="12" t="s">
        <v>58</v>
      </c>
      <c r="CF161" s="7" t="s">
        <v>63</v>
      </c>
      <c r="CG161" s="37" t="s">
        <v>60</v>
      </c>
      <c r="CH161" s="146">
        <v>2</v>
      </c>
      <c r="CI161" s="41">
        <v>1050</v>
      </c>
      <c r="CJ161" s="60">
        <f t="shared" si="477"/>
        <v>2100</v>
      </c>
      <c r="CK161" s="32"/>
      <c r="CL161" s="32"/>
      <c r="CM161" s="32"/>
      <c r="CN161" s="32"/>
      <c r="CO161" s="58" t="str">
        <f t="shared" si="478"/>
        <v/>
      </c>
      <c r="CP161" s="20"/>
      <c r="CQ161" s="58" t="str">
        <f t="shared" si="479"/>
        <v/>
      </c>
      <c r="CR161" s="32"/>
      <c r="CS161" s="32"/>
      <c r="CT161" s="58" t="str">
        <f t="shared" si="480"/>
        <v/>
      </c>
      <c r="CU161" s="20"/>
      <c r="CV161" s="58" t="str">
        <f t="shared" si="481"/>
        <v/>
      </c>
      <c r="CW161" s="32"/>
      <c r="CX161" s="32"/>
      <c r="CY161" s="58" t="str">
        <f t="shared" si="482"/>
        <v/>
      </c>
      <c r="CZ161" s="58" t="str">
        <f t="shared" si="483"/>
        <v/>
      </c>
      <c r="DA161" s="58" t="str">
        <f t="shared" si="484"/>
        <v/>
      </c>
      <c r="DB161" s="59" t="str">
        <f t="shared" si="485"/>
        <v/>
      </c>
      <c r="DC161" s="12"/>
      <c r="DD161" s="146"/>
      <c r="DE161" s="91">
        <v>156</v>
      </c>
    </row>
    <row r="162" spans="1:109" s="39" customFormat="1" ht="13">
      <c r="A162" s="7" t="s">
        <v>1301</v>
      </c>
      <c r="B162" s="23" t="str">
        <f>IF(_xlfn.XLOOKUP(A162, AutoFill_names!B:B, AutoFill_names!C:C,"")=0,"",_xlfn.XLOOKUP(A162, AutoFill_names!B:B, AutoFill_names!C:C,""))</f>
        <v/>
      </c>
      <c r="C162" s="23" t="str">
        <f>IF(_xlfn.XLOOKUP(A162, AutoFill_names!B:B, AutoFill_names!D:D,"")=0,"",_xlfn.XLOOKUP(A162, AutoFill_names!B:B, AutoFill_names!D:D,""))</f>
        <v/>
      </c>
      <c r="D162" s="23" t="str">
        <f>IF(_xlfn.XLOOKUP(A162, AutoFill_names!B:B, AutoFill_names!E:E,"")=0,"",_xlfn.XLOOKUP(A162, AutoFill_names!B:B, AutoFill_names!E:E,""))</f>
        <v/>
      </c>
      <c r="E162" s="23" t="str">
        <f>IF(_xlfn.XLOOKUP(A162, AutoFill_names!B:B, AutoFill_names!F:F,"")=0,"",_xlfn.XLOOKUP(A162, AutoFill_names!B:B, AutoFill_names!F:F,""))</f>
        <v/>
      </c>
      <c r="F162" s="4" t="s">
        <v>73</v>
      </c>
      <c r="G162" s="4"/>
      <c r="H162" s="4"/>
      <c r="I162" s="4"/>
      <c r="J162" s="23" t="str">
        <f>IF(_xlfn.XLOOKUP(A162, AutoFill_names!B:B, AutoFill_names!K:K,"")=0,"",_xlfn.XLOOKUP(A162, AutoFill_names!B:B, AutoFill_names!K:K,""))</f>
        <v/>
      </c>
      <c r="K162" s="23" t="str">
        <f>IF(_xlfn.XLOOKUP(A162, AutoFill_names!B:B, AutoFill_names!L:L,"")=0,"",_xlfn.XLOOKUP(A162, AutoFill_names!B:B, AutoFill_names!L:L,""))</f>
        <v/>
      </c>
      <c r="L162" s="8"/>
      <c r="M162" s="8"/>
      <c r="N162" s="61" t="str">
        <f>IF(_xlfn.XLOOKUP(L162, AutoFill_classes!A:A, AutoFill_classes!B:B,"")=0,"",_xlfn.XLOOKUP(L162, AutoFill_classes!A:A, AutoFill_classes!B:B,""))</f>
        <v/>
      </c>
      <c r="O162" s="154"/>
      <c r="P162" s="11"/>
      <c r="Q162" s="11"/>
      <c r="R162" s="11"/>
      <c r="S162" s="8"/>
      <c r="T162" s="8"/>
      <c r="U162" s="8"/>
      <c r="V162" s="7"/>
      <c r="W162" s="7"/>
      <c r="X162" s="146"/>
      <c r="Y162" s="37"/>
      <c r="Z162" s="60" t="str">
        <f t="shared" si="459"/>
        <v/>
      </c>
      <c r="AA162" s="40"/>
      <c r="AB162" s="40"/>
      <c r="AC162" s="40"/>
      <c r="AD162" s="40"/>
      <c r="AE162" s="58" t="str">
        <f t="shared" si="460"/>
        <v/>
      </c>
      <c r="AF162" s="12"/>
      <c r="AG162" s="58" t="str">
        <f t="shared" si="461"/>
        <v/>
      </c>
      <c r="AH162" s="40"/>
      <c r="AI162" s="40"/>
      <c r="AJ162" s="58" t="str">
        <f t="shared" si="462"/>
        <v/>
      </c>
      <c r="AK162" s="12"/>
      <c r="AL162" s="58" t="str">
        <f t="shared" si="463"/>
        <v/>
      </c>
      <c r="AM162" s="40"/>
      <c r="AN162" s="40"/>
      <c r="AO162" s="58" t="str">
        <f t="shared" si="464"/>
        <v/>
      </c>
      <c r="AP162" s="58" t="str">
        <f t="shared" si="465"/>
        <v/>
      </c>
      <c r="AQ162" s="58" t="str">
        <f t="shared" si="466"/>
        <v/>
      </c>
      <c r="AR162" s="59" t="str">
        <f t="shared" si="467"/>
        <v/>
      </c>
      <c r="AS162" s="12"/>
      <c r="AT162" s="49"/>
      <c r="AU162" s="49"/>
      <c r="AV162" s="61" t="str">
        <f>IF(_xlfn.XLOOKUP(AT162, AutoFill_classes!$A:$A, AutoFill_classes!$B:$B,"")=0,"",_xlfn.XLOOKUP(AT162, AutoFill_classes!$A:$A, AutoFill_classes!$B:$B,""))</f>
        <v/>
      </c>
      <c r="AW162" s="154"/>
      <c r="AX162" s="12"/>
      <c r="AY162" s="13"/>
      <c r="AZ162" s="12"/>
      <c r="BA162" s="13"/>
      <c r="BB162" s="13"/>
      <c r="BC162" s="146"/>
      <c r="BD162" s="37"/>
      <c r="BE162" s="60" t="str">
        <f t="shared" si="468"/>
        <v/>
      </c>
      <c r="BF162" s="32"/>
      <c r="BG162" s="32"/>
      <c r="BH162" s="32"/>
      <c r="BI162" s="32"/>
      <c r="BJ162" s="58" t="str">
        <f t="shared" si="469"/>
        <v/>
      </c>
      <c r="BK162" s="20"/>
      <c r="BL162" s="58" t="str">
        <f t="shared" si="470"/>
        <v/>
      </c>
      <c r="BM162" s="32"/>
      <c r="BN162" s="32"/>
      <c r="BO162" s="58" t="str">
        <f t="shared" si="471"/>
        <v/>
      </c>
      <c r="BP162" s="20"/>
      <c r="BQ162" s="58" t="str">
        <f t="shared" si="472"/>
        <v/>
      </c>
      <c r="BR162" s="32"/>
      <c r="BS162" s="32"/>
      <c r="BT162" s="58" t="str">
        <f t="shared" si="473"/>
        <v/>
      </c>
      <c r="BU162" s="58" t="str">
        <f t="shared" si="474"/>
        <v/>
      </c>
      <c r="BV162" s="58" t="str">
        <f t="shared" si="475"/>
        <v/>
      </c>
      <c r="BW162" s="59" t="str">
        <f t="shared" si="476"/>
        <v/>
      </c>
      <c r="BX162" s="12"/>
      <c r="BY162" s="49" t="s">
        <v>622</v>
      </c>
      <c r="BZ162" s="49"/>
      <c r="CA162" s="61" t="str">
        <f>IF(_xlfn.XLOOKUP(BY162, AutoFill_classes!$A:$A, AutoFill_classes!$B:$B,"")=0,"",_xlfn.XLOOKUP(BY162, AutoFill_classes!$A:$A, AutoFill_classes!$B:$B,""))</f>
        <v>Trauma&amp;Adv Crisis Intervention</v>
      </c>
      <c r="CB162" s="154"/>
      <c r="CC162" s="12" t="s">
        <v>85</v>
      </c>
      <c r="CD162" s="12" t="s">
        <v>57</v>
      </c>
      <c r="CE162" s="12" t="s">
        <v>58</v>
      </c>
      <c r="CF162" s="7" t="s">
        <v>63</v>
      </c>
      <c r="CG162" s="37" t="s">
        <v>60</v>
      </c>
      <c r="CH162" s="146">
        <v>2</v>
      </c>
      <c r="CI162" s="41">
        <v>1000</v>
      </c>
      <c r="CJ162" s="60">
        <f t="shared" si="477"/>
        <v>2000</v>
      </c>
      <c r="CK162" s="32"/>
      <c r="CL162" s="32"/>
      <c r="CM162" s="32"/>
      <c r="CN162" s="32"/>
      <c r="CO162" s="58" t="str">
        <f t="shared" si="478"/>
        <v/>
      </c>
      <c r="CP162" s="20"/>
      <c r="CQ162" s="58" t="str">
        <f t="shared" si="479"/>
        <v/>
      </c>
      <c r="CR162" s="32"/>
      <c r="CS162" s="32"/>
      <c r="CT162" s="58" t="str">
        <f t="shared" si="480"/>
        <v/>
      </c>
      <c r="CU162" s="20"/>
      <c r="CV162" s="58" t="str">
        <f t="shared" si="481"/>
        <v/>
      </c>
      <c r="CW162" s="32"/>
      <c r="CX162" s="32"/>
      <c r="CY162" s="58" t="str">
        <f t="shared" si="482"/>
        <v/>
      </c>
      <c r="CZ162" s="58" t="str">
        <f t="shared" si="483"/>
        <v/>
      </c>
      <c r="DA162" s="58" t="str">
        <f t="shared" si="484"/>
        <v/>
      </c>
      <c r="DB162" s="59" t="str">
        <f t="shared" si="485"/>
        <v/>
      </c>
      <c r="DC162" s="12"/>
      <c r="DD162" s="146"/>
      <c r="DE162" s="91">
        <v>157</v>
      </c>
    </row>
    <row r="163" spans="1:109" s="39" customFormat="1" ht="13">
      <c r="A163" s="7" t="s">
        <v>1301</v>
      </c>
      <c r="B163" s="23" t="str">
        <f>IF(_xlfn.XLOOKUP(A163, AutoFill_names!B:B, AutoFill_names!C:C,"")=0,"",_xlfn.XLOOKUP(A163, AutoFill_names!B:B, AutoFill_names!C:C,""))</f>
        <v/>
      </c>
      <c r="C163" s="23" t="str">
        <f>IF(_xlfn.XLOOKUP(A163, AutoFill_names!B:B, AutoFill_names!D:D,"")=0,"",_xlfn.XLOOKUP(A163, AutoFill_names!B:B, AutoFill_names!D:D,""))</f>
        <v/>
      </c>
      <c r="D163" s="23" t="str">
        <f>IF(_xlfn.XLOOKUP(A163, AutoFill_names!B:B, AutoFill_names!E:E,"")=0,"",_xlfn.XLOOKUP(A163, AutoFill_names!B:B, AutoFill_names!E:E,""))</f>
        <v/>
      </c>
      <c r="E163" s="23" t="str">
        <f>IF(_xlfn.XLOOKUP(A163, AutoFill_names!B:B, AutoFill_names!F:F,"")=0,"",_xlfn.XLOOKUP(A163, AutoFill_names!B:B, AutoFill_names!F:F,""))</f>
        <v/>
      </c>
      <c r="F163" s="4" t="s">
        <v>73</v>
      </c>
      <c r="G163" s="4"/>
      <c r="H163" s="4"/>
      <c r="I163" s="4"/>
      <c r="J163" s="23" t="str">
        <f>IF(_xlfn.XLOOKUP(A163, AutoFill_names!B:B, AutoFill_names!K:K,"")=0,"",_xlfn.XLOOKUP(A163, AutoFill_names!B:B, AutoFill_names!K:K,""))</f>
        <v/>
      </c>
      <c r="K163" s="23" t="str">
        <f>IF(_xlfn.XLOOKUP(A163, AutoFill_names!B:B, AutoFill_names!L:L,"")=0,"",_xlfn.XLOOKUP(A163, AutoFill_names!B:B, AutoFill_names!L:L,""))</f>
        <v/>
      </c>
      <c r="L163" s="8"/>
      <c r="M163" s="8"/>
      <c r="N163" s="61" t="str">
        <f>IF(_xlfn.XLOOKUP(L163, AutoFill_classes!A:A, AutoFill_classes!B:B,"")=0,"",_xlfn.XLOOKUP(L163, AutoFill_classes!A:A, AutoFill_classes!B:B,""))</f>
        <v/>
      </c>
      <c r="O163" s="154"/>
      <c r="P163" s="11"/>
      <c r="Q163" s="11"/>
      <c r="R163" s="11"/>
      <c r="S163" s="8"/>
      <c r="T163" s="8"/>
      <c r="U163" s="8"/>
      <c r="V163" s="7"/>
      <c r="W163" s="7"/>
      <c r="X163" s="146"/>
      <c r="Y163" s="37"/>
      <c r="Z163" s="60" t="str">
        <f t="shared" si="459"/>
        <v/>
      </c>
      <c r="AA163" s="40"/>
      <c r="AB163" s="40"/>
      <c r="AC163" s="40"/>
      <c r="AD163" s="40"/>
      <c r="AE163" s="58" t="str">
        <f t="shared" si="460"/>
        <v/>
      </c>
      <c r="AF163" s="12"/>
      <c r="AG163" s="58" t="str">
        <f t="shared" si="461"/>
        <v/>
      </c>
      <c r="AH163" s="40"/>
      <c r="AI163" s="40"/>
      <c r="AJ163" s="58" t="str">
        <f t="shared" si="462"/>
        <v/>
      </c>
      <c r="AK163" s="12"/>
      <c r="AL163" s="58" t="str">
        <f t="shared" si="463"/>
        <v/>
      </c>
      <c r="AM163" s="40"/>
      <c r="AN163" s="40"/>
      <c r="AO163" s="58" t="str">
        <f t="shared" si="464"/>
        <v/>
      </c>
      <c r="AP163" s="58" t="str">
        <f t="shared" si="465"/>
        <v/>
      </c>
      <c r="AQ163" s="58" t="str">
        <f t="shared" si="466"/>
        <v/>
      </c>
      <c r="AR163" s="59" t="str">
        <f t="shared" si="467"/>
        <v/>
      </c>
      <c r="AS163" s="12"/>
      <c r="AT163" s="49"/>
      <c r="AU163" s="49"/>
      <c r="AV163" s="61" t="str">
        <f>IF(_xlfn.XLOOKUP(AT163, AutoFill_classes!$A:$A, AutoFill_classes!$B:$B,"")=0,"",_xlfn.XLOOKUP(AT163, AutoFill_classes!$A:$A, AutoFill_classes!$B:$B,""))</f>
        <v/>
      </c>
      <c r="AW163" s="154"/>
      <c r="AX163" s="12"/>
      <c r="AY163" s="13"/>
      <c r="AZ163" s="12"/>
      <c r="BA163" s="13"/>
      <c r="BB163" s="13"/>
      <c r="BC163" s="146"/>
      <c r="BD163" s="37"/>
      <c r="BE163" s="60" t="str">
        <f t="shared" si="468"/>
        <v/>
      </c>
      <c r="BF163" s="32"/>
      <c r="BG163" s="32"/>
      <c r="BH163" s="32"/>
      <c r="BI163" s="32"/>
      <c r="BJ163" s="58" t="str">
        <f t="shared" si="469"/>
        <v/>
      </c>
      <c r="BK163" s="20"/>
      <c r="BL163" s="58" t="str">
        <f t="shared" si="470"/>
        <v/>
      </c>
      <c r="BM163" s="32"/>
      <c r="BN163" s="32"/>
      <c r="BO163" s="58" t="str">
        <f t="shared" si="471"/>
        <v/>
      </c>
      <c r="BP163" s="20"/>
      <c r="BQ163" s="58" t="str">
        <f t="shared" si="472"/>
        <v/>
      </c>
      <c r="BR163" s="32"/>
      <c r="BS163" s="32"/>
      <c r="BT163" s="58" t="str">
        <f t="shared" si="473"/>
        <v/>
      </c>
      <c r="BU163" s="58" t="str">
        <f t="shared" si="474"/>
        <v/>
      </c>
      <c r="BV163" s="58" t="str">
        <f t="shared" si="475"/>
        <v/>
      </c>
      <c r="BW163" s="59" t="str">
        <f t="shared" si="476"/>
        <v/>
      </c>
      <c r="BX163" s="12"/>
      <c r="BY163" s="49" t="s">
        <v>600</v>
      </c>
      <c r="BZ163" s="49"/>
      <c r="CA163" s="61" t="str">
        <f>IF(_xlfn.XLOOKUP(BY163, AutoFill_classes!$A:$A, AutoFill_classes!$B:$B,"")=0,"",_xlfn.XLOOKUP(BY163, AutoFill_classes!$A:$A, AutoFill_classes!$B:$B,""))</f>
        <v>Phil &amp; Ethics in Chaplaincy</v>
      </c>
      <c r="CB163" s="154"/>
      <c r="CC163" s="12" t="s">
        <v>85</v>
      </c>
      <c r="CD163" s="12" t="s">
        <v>57</v>
      </c>
      <c r="CE163" s="12" t="s">
        <v>58</v>
      </c>
      <c r="CF163" s="7" t="s">
        <v>63</v>
      </c>
      <c r="CG163" s="37" t="s">
        <v>60</v>
      </c>
      <c r="CH163" s="146">
        <v>3</v>
      </c>
      <c r="CI163" s="41">
        <v>1000</v>
      </c>
      <c r="CJ163" s="60">
        <f t="shared" si="477"/>
        <v>3000</v>
      </c>
      <c r="CK163" s="32"/>
      <c r="CL163" s="32"/>
      <c r="CM163" s="32"/>
      <c r="CN163" s="32"/>
      <c r="CO163" s="58" t="str">
        <f t="shared" si="478"/>
        <v/>
      </c>
      <c r="CP163" s="20"/>
      <c r="CQ163" s="58" t="str">
        <f t="shared" si="479"/>
        <v/>
      </c>
      <c r="CR163" s="32"/>
      <c r="CS163" s="32"/>
      <c r="CT163" s="58" t="str">
        <f t="shared" si="480"/>
        <v/>
      </c>
      <c r="CU163" s="20"/>
      <c r="CV163" s="58" t="str">
        <f t="shared" si="481"/>
        <v/>
      </c>
      <c r="CW163" s="32"/>
      <c r="CX163" s="32"/>
      <c r="CY163" s="58" t="str">
        <f t="shared" si="482"/>
        <v/>
      </c>
      <c r="CZ163" s="58" t="str">
        <f t="shared" si="483"/>
        <v/>
      </c>
      <c r="DA163" s="58" t="str">
        <f t="shared" si="484"/>
        <v/>
      </c>
      <c r="DB163" s="59" t="str">
        <f t="shared" si="485"/>
        <v/>
      </c>
      <c r="DC163" s="12"/>
      <c r="DD163" s="146"/>
      <c r="DE163" s="91">
        <v>158</v>
      </c>
    </row>
    <row r="164" spans="1:109" s="39" customFormat="1" ht="13">
      <c r="A164" s="7" t="s">
        <v>238</v>
      </c>
      <c r="B164" s="23" t="str">
        <f>IF(_xlfn.XLOOKUP(A164, AutoFill_names!B:B, AutoFill_names!C:C,"")=0,"",_xlfn.XLOOKUP(A164, AutoFill_names!B:B, AutoFill_names!C:C,""))</f>
        <v>000069315</v>
      </c>
      <c r="C164" s="23" t="str">
        <f>IF(_xlfn.XLOOKUP(A164, AutoFill_names!B:B, AutoFill_names!D:D,"")=0,"",_xlfn.XLOOKUP(A164, AutoFill_names!B:B, AutoFill_names!D:D,""))</f>
        <v>ortizl@andrews.edu</v>
      </c>
      <c r="D164" s="23" t="str">
        <f>IF(_xlfn.XLOOKUP(A164, AutoFill_names!B:B, AutoFill_names!E:E,"")=0,"",_xlfn.XLOOKUP(A164, AutoFill_names!B:B, AutoFill_names!E:E,""))</f>
        <v/>
      </c>
      <c r="E164" s="23" t="str">
        <f>IF(_xlfn.XLOOKUP(A164, AutoFill_names!B:B, AutoFill_names!F:F,"")=0,"",_xlfn.XLOOKUP(A164, AutoFill_names!B:B, AutoFill_names!F:F,""))</f>
        <v/>
      </c>
      <c r="F164" s="4" t="s">
        <v>73</v>
      </c>
      <c r="G164" s="4"/>
      <c r="H164" s="4"/>
      <c r="I164" s="4"/>
      <c r="J164" s="23" t="str">
        <f>IF(_xlfn.XLOOKUP(A164, AutoFill_names!B:B, AutoFill_names!K:K,"")=0,"",_xlfn.XLOOKUP(A164, AutoFill_names!B:B, AutoFill_names!K:K,""))</f>
        <v/>
      </c>
      <c r="K164" s="23" t="str">
        <f>IF(_xlfn.XLOOKUP(A164, AutoFill_names!B:B, AutoFill_names!L:L,"")=0,"",_xlfn.XLOOKUP(A164, AutoFill_names!B:B, AutoFill_names!L:L,""))</f>
        <v/>
      </c>
      <c r="L164" s="8" t="s">
        <v>436</v>
      </c>
      <c r="M164" s="8"/>
      <c r="N164" s="61" t="str">
        <f>IF(_xlfn.XLOOKUP(L164, AutoFill_classes!A:A, AutoFill_classes!B:B,"")=0,"",_xlfn.XLOOKUP(L164, AutoFill_classes!A:A, AutoFill_classes!B:B,""))</f>
        <v>Research Methods</v>
      </c>
      <c r="O164" s="154"/>
      <c r="P164" s="11" t="s">
        <v>55</v>
      </c>
      <c r="Q164" s="11" t="s">
        <v>55</v>
      </c>
      <c r="R164" s="11" t="s">
        <v>55</v>
      </c>
      <c r="S164" s="8"/>
      <c r="T164" s="8" t="s">
        <v>86</v>
      </c>
      <c r="U164" s="8" t="s">
        <v>78</v>
      </c>
      <c r="V164" s="7" t="s">
        <v>63</v>
      </c>
      <c r="W164" s="7" t="s">
        <v>60</v>
      </c>
      <c r="X164" s="146">
        <v>3</v>
      </c>
      <c r="Y164" s="37">
        <v>1050</v>
      </c>
      <c r="Z164" s="60">
        <f t="shared" si="459"/>
        <v>3150</v>
      </c>
      <c r="AA164" s="40"/>
      <c r="AB164" s="40"/>
      <c r="AC164" s="40"/>
      <c r="AD164" s="40"/>
      <c r="AE164" s="58" t="str">
        <f t="shared" si="460"/>
        <v/>
      </c>
      <c r="AF164" s="12"/>
      <c r="AG164" s="58" t="str">
        <f t="shared" si="461"/>
        <v/>
      </c>
      <c r="AH164" s="40"/>
      <c r="AI164" s="40"/>
      <c r="AJ164" s="58" t="str">
        <f t="shared" si="462"/>
        <v/>
      </c>
      <c r="AK164" s="12"/>
      <c r="AL164" s="58" t="str">
        <f t="shared" si="463"/>
        <v/>
      </c>
      <c r="AM164" s="40"/>
      <c r="AN164" s="40"/>
      <c r="AO164" s="58" t="str">
        <f t="shared" si="464"/>
        <v/>
      </c>
      <c r="AP164" s="58" t="str">
        <f t="shared" si="465"/>
        <v/>
      </c>
      <c r="AQ164" s="58" t="str">
        <f t="shared" si="466"/>
        <v/>
      </c>
      <c r="AR164" s="59" t="str">
        <f t="shared" si="467"/>
        <v/>
      </c>
      <c r="AS164" s="12"/>
      <c r="AT164" s="49"/>
      <c r="AU164" s="49"/>
      <c r="AV164" s="61" t="str">
        <f>IF(_xlfn.XLOOKUP(AT164, AutoFill_classes!$A:$A, AutoFill_classes!$B:$B,"")=0,"",_xlfn.XLOOKUP(AT164, AutoFill_classes!$A:$A, AutoFill_classes!$B:$B,""))</f>
        <v/>
      </c>
      <c r="AW164" s="154"/>
      <c r="AX164" s="12"/>
      <c r="AY164" s="13"/>
      <c r="AZ164" s="12"/>
      <c r="BA164" s="13"/>
      <c r="BB164" s="13"/>
      <c r="BC164" s="146"/>
      <c r="BD164" s="37"/>
      <c r="BE164" s="60" t="str">
        <f t="shared" si="468"/>
        <v/>
      </c>
      <c r="BF164" s="32"/>
      <c r="BG164" s="32"/>
      <c r="BH164" s="32"/>
      <c r="BI164" s="32"/>
      <c r="BJ164" s="58" t="str">
        <f t="shared" si="469"/>
        <v/>
      </c>
      <c r="BK164" s="20"/>
      <c r="BL164" s="58" t="str">
        <f t="shared" si="470"/>
        <v/>
      </c>
      <c r="BM164" s="32"/>
      <c r="BN164" s="32"/>
      <c r="BO164" s="58" t="str">
        <f t="shared" si="471"/>
        <v/>
      </c>
      <c r="BP164" s="20"/>
      <c r="BQ164" s="58" t="str">
        <f t="shared" si="472"/>
        <v/>
      </c>
      <c r="BR164" s="32"/>
      <c r="BS164" s="32"/>
      <c r="BT164" s="58" t="str">
        <f t="shared" si="473"/>
        <v/>
      </c>
      <c r="BU164" s="58" t="str">
        <f t="shared" si="474"/>
        <v/>
      </c>
      <c r="BV164" s="58" t="str">
        <f t="shared" si="475"/>
        <v/>
      </c>
      <c r="BW164" s="59" t="str">
        <f t="shared" si="476"/>
        <v/>
      </c>
      <c r="BX164" s="12"/>
      <c r="BY164" s="49" t="s">
        <v>619</v>
      </c>
      <c r="BZ164" s="49"/>
      <c r="CA164" s="61" t="str">
        <f>IF(_xlfn.XLOOKUP(BY164, AutoFill_classes!$A:$A, AutoFill_classes!$B:$B,"")=0,"",_xlfn.XLOOKUP(BY164, AutoFill_classes!$A:$A, AutoFill_classes!$B:$B,""))</f>
        <v>Field Evang. Preach. &amp; Pract.</v>
      </c>
      <c r="CB164" s="154"/>
      <c r="CC164" s="12" t="s">
        <v>56</v>
      </c>
      <c r="CD164" s="12" t="s">
        <v>57</v>
      </c>
      <c r="CE164" s="12" t="s">
        <v>1305</v>
      </c>
      <c r="CF164" s="7" t="s">
        <v>63</v>
      </c>
      <c r="CG164" s="37" t="s">
        <v>52</v>
      </c>
      <c r="CH164" s="146">
        <v>3</v>
      </c>
      <c r="CI164" s="41">
        <v>1050</v>
      </c>
      <c r="CJ164" s="60">
        <f t="shared" si="477"/>
        <v>3150</v>
      </c>
      <c r="CK164" s="32"/>
      <c r="CL164" s="32"/>
      <c r="CM164" s="32"/>
      <c r="CN164" s="32"/>
      <c r="CO164" s="58" t="str">
        <f t="shared" si="478"/>
        <v/>
      </c>
      <c r="CP164" s="20"/>
      <c r="CQ164" s="58" t="str">
        <f t="shared" si="479"/>
        <v/>
      </c>
      <c r="CR164" s="32"/>
      <c r="CS164" s="32"/>
      <c r="CT164" s="58" t="str">
        <f t="shared" si="480"/>
        <v/>
      </c>
      <c r="CU164" s="20"/>
      <c r="CV164" s="58" t="str">
        <f t="shared" si="481"/>
        <v/>
      </c>
      <c r="CW164" s="32"/>
      <c r="CX164" s="32"/>
      <c r="CY164" s="58" t="str">
        <f t="shared" si="482"/>
        <v/>
      </c>
      <c r="CZ164" s="58" t="str">
        <f t="shared" si="483"/>
        <v/>
      </c>
      <c r="DA164" s="58" t="str">
        <f t="shared" si="484"/>
        <v/>
      </c>
      <c r="DB164" s="59" t="str">
        <f t="shared" si="485"/>
        <v/>
      </c>
      <c r="DC164" s="12"/>
      <c r="DD164" s="146"/>
      <c r="DE164" s="91">
        <v>159</v>
      </c>
    </row>
    <row r="165" spans="1:109" s="39" customFormat="1" ht="13">
      <c r="A165" s="7" t="s">
        <v>411</v>
      </c>
      <c r="B165" s="23" t="str">
        <f>IF(_xlfn.XLOOKUP(A165, AutoFill_names!B:B, AutoFill_names!C:C,"")=0,"",_xlfn.XLOOKUP(A165, AutoFill_names!B:B, AutoFill_names!C:C,""))</f>
        <v>000041639</v>
      </c>
      <c r="C165" s="23" t="str">
        <f>IF(_xlfn.XLOOKUP(A165, AutoFill_names!B:B, AutoFill_names!D:D,"")=0,"",_xlfn.XLOOKUP(A165, AutoFill_names!B:B, AutoFill_names!D:D,""))</f>
        <v>penno@andrews.edu</v>
      </c>
      <c r="D165" s="23" t="str">
        <f>IF(_xlfn.XLOOKUP(A165, AutoFill_names!B:B, AutoFill_names!E:E,"")=0,"",_xlfn.XLOOKUP(A165, AutoFill_names!B:B, AutoFill_names!E:E,""))</f>
        <v/>
      </c>
      <c r="E165" s="23" t="str">
        <f>IF(_xlfn.XLOOKUP(A165, AutoFill_names!B:B, AutoFill_names!F:F,"")=0,"",_xlfn.XLOOKUP(A165, AutoFill_names!B:B, AutoFill_names!F:F,""))</f>
        <v/>
      </c>
      <c r="F165" s="4" t="s">
        <v>73</v>
      </c>
      <c r="G165" s="4"/>
      <c r="H165" s="4"/>
      <c r="I165" s="4"/>
      <c r="J165" s="23" t="str">
        <f>IF(_xlfn.XLOOKUP(A165, AutoFill_names!B:B, AutoFill_names!K:K,"")=0,"",_xlfn.XLOOKUP(A165, AutoFill_names!B:B, AutoFill_names!K:K,""))</f>
        <v/>
      </c>
      <c r="K165" s="23" t="str">
        <f>IF(_xlfn.XLOOKUP(A165, AutoFill_names!B:B, AutoFill_names!L:L,"")=0,"",_xlfn.XLOOKUP(A165, AutoFill_names!B:B, AutoFill_names!L:L,""))</f>
        <v/>
      </c>
      <c r="L165" s="8"/>
      <c r="M165" s="8"/>
      <c r="N165" s="61" t="str">
        <f>IF(_xlfn.XLOOKUP(L165, AutoFill_classes!A:A, AutoFill_classes!B:B,"")=0,"",_xlfn.XLOOKUP(L165, AutoFill_classes!A:A, AutoFill_classes!B:B,""))</f>
        <v/>
      </c>
      <c r="O165" s="154"/>
      <c r="P165" s="11"/>
      <c r="Q165" s="11"/>
      <c r="R165" s="11"/>
      <c r="S165" s="8"/>
      <c r="T165" s="8"/>
      <c r="U165" s="8"/>
      <c r="V165" s="7"/>
      <c r="W165" s="7"/>
      <c r="X165" s="146"/>
      <c r="Y165" s="37"/>
      <c r="Z165" s="60" t="str">
        <f t="shared" si="459"/>
        <v/>
      </c>
      <c r="AA165" s="40"/>
      <c r="AB165" s="40"/>
      <c r="AC165" s="40"/>
      <c r="AD165" s="40"/>
      <c r="AE165" s="58" t="str">
        <f t="shared" si="460"/>
        <v/>
      </c>
      <c r="AF165" s="12"/>
      <c r="AG165" s="58" t="str">
        <f t="shared" si="461"/>
        <v/>
      </c>
      <c r="AH165" s="40"/>
      <c r="AI165" s="40"/>
      <c r="AJ165" s="58" t="str">
        <f t="shared" si="462"/>
        <v/>
      </c>
      <c r="AK165" s="12"/>
      <c r="AL165" s="58" t="str">
        <f t="shared" si="463"/>
        <v/>
      </c>
      <c r="AM165" s="40"/>
      <c r="AN165" s="40"/>
      <c r="AO165" s="58" t="str">
        <f t="shared" si="464"/>
        <v/>
      </c>
      <c r="AP165" s="58" t="str">
        <f t="shared" si="465"/>
        <v/>
      </c>
      <c r="AQ165" s="58" t="str">
        <f t="shared" si="466"/>
        <v/>
      </c>
      <c r="AR165" s="59" t="str">
        <f t="shared" si="467"/>
        <v/>
      </c>
      <c r="AS165" s="12"/>
      <c r="AT165" s="49"/>
      <c r="AU165" s="49"/>
      <c r="AV165" s="61" t="str">
        <f>IF(_xlfn.XLOOKUP(AT165, AutoFill_classes!$A:$A, AutoFill_classes!$B:$B,"")=0,"",_xlfn.XLOOKUP(AT165, AutoFill_classes!$A:$A, AutoFill_classes!$B:$B,""))</f>
        <v/>
      </c>
      <c r="AW165" s="154"/>
      <c r="AX165" s="12"/>
      <c r="AY165" s="13"/>
      <c r="AZ165" s="12"/>
      <c r="BA165" s="13"/>
      <c r="BB165" s="13"/>
      <c r="BC165" s="146"/>
      <c r="BD165" s="37"/>
      <c r="BE165" s="60" t="str">
        <f t="shared" si="468"/>
        <v/>
      </c>
      <c r="BF165" s="32"/>
      <c r="BG165" s="32"/>
      <c r="BH165" s="32"/>
      <c r="BI165" s="32"/>
      <c r="BJ165" s="58" t="str">
        <f t="shared" si="469"/>
        <v/>
      </c>
      <c r="BK165" s="20"/>
      <c r="BL165" s="58" t="str">
        <f t="shared" si="470"/>
        <v/>
      </c>
      <c r="BM165" s="32"/>
      <c r="BN165" s="32"/>
      <c r="BO165" s="58" t="str">
        <f t="shared" si="471"/>
        <v/>
      </c>
      <c r="BP165" s="20"/>
      <c r="BQ165" s="58" t="str">
        <f t="shared" si="472"/>
        <v/>
      </c>
      <c r="BR165" s="32"/>
      <c r="BS165" s="32"/>
      <c r="BT165" s="58" t="str">
        <f t="shared" si="473"/>
        <v/>
      </c>
      <c r="BU165" s="58" t="str">
        <f t="shared" si="474"/>
        <v/>
      </c>
      <c r="BV165" s="58" t="str">
        <f t="shared" si="475"/>
        <v/>
      </c>
      <c r="BW165" s="59" t="str">
        <f t="shared" si="476"/>
        <v/>
      </c>
      <c r="BX165" s="12"/>
      <c r="BY165" s="49"/>
      <c r="BZ165" s="49"/>
      <c r="CA165" s="61" t="str">
        <f>IF(_xlfn.XLOOKUP(BY165, AutoFill_classes!$A:$A, AutoFill_classes!$B:$B,"")=0,"",_xlfn.XLOOKUP(BY165, AutoFill_classes!$A:$A, AutoFill_classes!$B:$B,""))</f>
        <v/>
      </c>
      <c r="CB165" s="154"/>
      <c r="CC165" s="12"/>
      <c r="CD165" s="12"/>
      <c r="CE165" s="12"/>
      <c r="CF165" s="7"/>
      <c r="CG165" s="37"/>
      <c r="CH165" s="146"/>
      <c r="CI165" s="41"/>
      <c r="CJ165" s="60" t="str">
        <f t="shared" si="477"/>
        <v/>
      </c>
      <c r="CK165" s="32"/>
      <c r="CL165" s="32"/>
      <c r="CM165" s="32"/>
      <c r="CN165" s="32"/>
      <c r="CO165" s="58" t="str">
        <f t="shared" si="478"/>
        <v/>
      </c>
      <c r="CP165" s="20"/>
      <c r="CQ165" s="58" t="str">
        <f t="shared" si="479"/>
        <v/>
      </c>
      <c r="CR165" s="32"/>
      <c r="CS165" s="32"/>
      <c r="CT165" s="58" t="str">
        <f t="shared" si="480"/>
        <v/>
      </c>
      <c r="CU165" s="20"/>
      <c r="CV165" s="58" t="str">
        <f t="shared" si="481"/>
        <v/>
      </c>
      <c r="CW165" s="32"/>
      <c r="CX165" s="32"/>
      <c r="CY165" s="58" t="str">
        <f t="shared" si="482"/>
        <v/>
      </c>
      <c r="CZ165" s="58" t="str">
        <f t="shared" si="483"/>
        <v/>
      </c>
      <c r="DA165" s="58" t="str">
        <f t="shared" si="484"/>
        <v/>
      </c>
      <c r="DB165" s="59" t="str">
        <f t="shared" si="485"/>
        <v/>
      </c>
      <c r="DC165" s="12"/>
      <c r="DD165" s="146"/>
      <c r="DE165" s="91">
        <v>160</v>
      </c>
    </row>
    <row r="166" spans="1:109" s="39" customFormat="1" ht="13">
      <c r="A166" s="7" t="s">
        <v>181</v>
      </c>
      <c r="B166" s="23" t="str">
        <f>IF(_xlfn.XLOOKUP(A166, AutoFill_names!B:B, AutoFill_names!C:C,"")=0,"",_xlfn.XLOOKUP(A166, AutoFill_names!B:B, AutoFill_names!C:C,""))</f>
        <v>000033967</v>
      </c>
      <c r="C166" s="23" t="str">
        <f>IF(_xlfn.XLOOKUP(A166, AutoFill_names!B:B, AutoFill_names!D:D,"")=0,"",_xlfn.XLOOKUP(A166, AutoFill_names!B:B, AutoFill_names!D:D,""))</f>
        <v>ricardo@andrews.edu</v>
      </c>
      <c r="D166" s="23" t="str">
        <f>IF(_xlfn.XLOOKUP(A166, AutoFill_names!B:B, AutoFill_names!E:E,"")=0,"",_xlfn.XLOOKUP(A166, AutoFill_names!B:B, AutoFill_names!E:E,""))</f>
        <v/>
      </c>
      <c r="E166" s="23" t="str">
        <f>IF(_xlfn.XLOOKUP(A166, AutoFill_names!B:B, AutoFill_names!F:F,"")=0,"",_xlfn.XLOOKUP(A166, AutoFill_names!B:B, AutoFill_names!F:F,""))</f>
        <v/>
      </c>
      <c r="F166" s="4" t="s">
        <v>73</v>
      </c>
      <c r="G166" s="4"/>
      <c r="H166" s="4"/>
      <c r="I166" s="4"/>
      <c r="J166" s="23" t="str">
        <f>IF(_xlfn.XLOOKUP(A166, AutoFill_names!B:B, AutoFill_names!K:K,"")=0,"",_xlfn.XLOOKUP(A166, AutoFill_names!B:B, AutoFill_names!K:K,""))</f>
        <v/>
      </c>
      <c r="K166" s="23" t="str">
        <f>IF(_xlfn.XLOOKUP(A166, AutoFill_names!B:B, AutoFill_names!L:L,"")=0,"",_xlfn.XLOOKUP(A166, AutoFill_names!B:B, AutoFill_names!L:L,""))</f>
        <v/>
      </c>
      <c r="L166" s="8"/>
      <c r="M166" s="8"/>
      <c r="N166" s="61" t="str">
        <f>IF(_xlfn.XLOOKUP(L166, AutoFill_classes!A:A, AutoFill_classes!B:B,"")=0,"",_xlfn.XLOOKUP(L166, AutoFill_classes!A:A, AutoFill_classes!B:B,""))</f>
        <v/>
      </c>
      <c r="O166" s="154"/>
      <c r="P166" s="11"/>
      <c r="Q166" s="11"/>
      <c r="R166" s="11"/>
      <c r="S166" s="8"/>
      <c r="T166" s="8"/>
      <c r="U166" s="8"/>
      <c r="V166" s="7"/>
      <c r="W166" s="7"/>
      <c r="X166" s="146"/>
      <c r="Y166" s="37"/>
      <c r="Z166" s="60" t="str">
        <f t="shared" si="459"/>
        <v/>
      </c>
      <c r="AA166" s="40"/>
      <c r="AB166" s="40"/>
      <c r="AC166" s="40"/>
      <c r="AD166" s="40"/>
      <c r="AE166" s="58" t="str">
        <f t="shared" si="460"/>
        <v/>
      </c>
      <c r="AF166" s="12"/>
      <c r="AG166" s="58" t="str">
        <f t="shared" si="461"/>
        <v/>
      </c>
      <c r="AH166" s="40"/>
      <c r="AI166" s="40"/>
      <c r="AJ166" s="58" t="str">
        <f t="shared" si="462"/>
        <v/>
      </c>
      <c r="AK166" s="12"/>
      <c r="AL166" s="58" t="str">
        <f t="shared" si="463"/>
        <v/>
      </c>
      <c r="AM166" s="40"/>
      <c r="AN166" s="40"/>
      <c r="AO166" s="58" t="str">
        <f t="shared" si="464"/>
        <v/>
      </c>
      <c r="AP166" s="58" t="str">
        <f t="shared" si="465"/>
        <v/>
      </c>
      <c r="AQ166" s="58" t="str">
        <f t="shared" si="466"/>
        <v/>
      </c>
      <c r="AR166" s="59" t="str">
        <f t="shared" si="467"/>
        <v/>
      </c>
      <c r="AS166" s="12"/>
      <c r="AT166" s="49"/>
      <c r="AU166" s="49"/>
      <c r="AV166" s="61" t="str">
        <f>IF(_xlfn.XLOOKUP(AT166, AutoFill_classes!$A:$A, AutoFill_classes!$B:$B,"")=0,"",_xlfn.XLOOKUP(AT166, AutoFill_classes!$A:$A, AutoFill_classes!$B:$B,""))</f>
        <v/>
      </c>
      <c r="AW166" s="154"/>
      <c r="AX166" s="12"/>
      <c r="AY166" s="13"/>
      <c r="AZ166" s="12"/>
      <c r="BA166" s="13"/>
      <c r="BB166" s="13"/>
      <c r="BC166" s="146"/>
      <c r="BD166" s="37"/>
      <c r="BE166" s="60" t="str">
        <f t="shared" si="468"/>
        <v/>
      </c>
      <c r="BF166" s="32"/>
      <c r="BG166" s="32"/>
      <c r="BH166" s="32"/>
      <c r="BI166" s="32"/>
      <c r="BJ166" s="58" t="str">
        <f t="shared" si="469"/>
        <v/>
      </c>
      <c r="BK166" s="20"/>
      <c r="BL166" s="58" t="str">
        <f t="shared" si="470"/>
        <v/>
      </c>
      <c r="BM166" s="32"/>
      <c r="BN166" s="32"/>
      <c r="BO166" s="58" t="str">
        <f t="shared" si="471"/>
        <v/>
      </c>
      <c r="BP166" s="20"/>
      <c r="BQ166" s="58" t="str">
        <f t="shared" si="472"/>
        <v/>
      </c>
      <c r="BR166" s="32"/>
      <c r="BS166" s="32"/>
      <c r="BT166" s="58" t="str">
        <f t="shared" si="473"/>
        <v/>
      </c>
      <c r="BU166" s="58" t="str">
        <f t="shared" si="474"/>
        <v/>
      </c>
      <c r="BV166" s="58" t="str">
        <f t="shared" si="475"/>
        <v/>
      </c>
      <c r="BW166" s="59" t="str">
        <f t="shared" si="476"/>
        <v/>
      </c>
      <c r="BX166" s="12"/>
      <c r="BY166" s="49" t="s">
        <v>620</v>
      </c>
      <c r="BZ166" s="49"/>
      <c r="CA166" s="61" t="str">
        <f>IF(_xlfn.XLOOKUP(BY166, AutoFill_classes!$A:$A, AutoFill_classes!$B:$B,"")=0,"",_xlfn.XLOOKUP(BY166, AutoFill_classes!$A:$A, AutoFill_classes!$B:$B,""))</f>
        <v>Seminar in Preaching</v>
      </c>
      <c r="CB166" s="154"/>
      <c r="CC166" s="12" t="s">
        <v>56</v>
      </c>
      <c r="CD166" s="12" t="s">
        <v>86</v>
      </c>
      <c r="CE166" s="12" t="s">
        <v>105</v>
      </c>
      <c r="CF166" s="7" t="s">
        <v>63</v>
      </c>
      <c r="CG166" s="37" t="s">
        <v>60</v>
      </c>
      <c r="CH166" s="146">
        <v>3</v>
      </c>
      <c r="CI166" s="41">
        <v>1050</v>
      </c>
      <c r="CJ166" s="60">
        <f t="shared" si="477"/>
        <v>3150</v>
      </c>
      <c r="CK166" s="32"/>
      <c r="CL166" s="32"/>
      <c r="CM166" s="32"/>
      <c r="CN166" s="32"/>
      <c r="CO166" s="58" t="str">
        <f t="shared" si="478"/>
        <v/>
      </c>
      <c r="CP166" s="20"/>
      <c r="CQ166" s="58" t="str">
        <f t="shared" si="479"/>
        <v/>
      </c>
      <c r="CR166" s="32"/>
      <c r="CS166" s="32"/>
      <c r="CT166" s="58" t="str">
        <f t="shared" si="480"/>
        <v/>
      </c>
      <c r="CU166" s="20"/>
      <c r="CV166" s="58" t="str">
        <f t="shared" si="481"/>
        <v/>
      </c>
      <c r="CW166" s="32"/>
      <c r="CX166" s="32"/>
      <c r="CY166" s="58" t="str">
        <f t="shared" si="482"/>
        <v/>
      </c>
      <c r="CZ166" s="58" t="str">
        <f t="shared" si="483"/>
        <v/>
      </c>
      <c r="DA166" s="58" t="str">
        <f t="shared" si="484"/>
        <v/>
      </c>
      <c r="DB166" s="59" t="str">
        <f t="shared" si="485"/>
        <v/>
      </c>
      <c r="DC166" s="12"/>
      <c r="DD166" s="146"/>
      <c r="DE166" s="91">
        <v>161</v>
      </c>
    </row>
    <row r="167" spans="1:109" s="39" customFormat="1" ht="13">
      <c r="A167" s="7" t="s">
        <v>181</v>
      </c>
      <c r="B167" s="23" t="str">
        <f>IF(_xlfn.XLOOKUP(A167, AutoFill_names!B:B, AutoFill_names!C:C,"")=0,"",_xlfn.XLOOKUP(A167, AutoFill_names!B:B, AutoFill_names!C:C,""))</f>
        <v>000033967</v>
      </c>
      <c r="C167" s="23" t="str">
        <f>IF(_xlfn.XLOOKUP(A167, AutoFill_names!B:B, AutoFill_names!D:D,"")=0,"",_xlfn.XLOOKUP(A167, AutoFill_names!B:B, AutoFill_names!D:D,""))</f>
        <v>ricardo@andrews.edu</v>
      </c>
      <c r="D167" s="23" t="str">
        <f>IF(_xlfn.XLOOKUP(A167, AutoFill_names!B:B, AutoFill_names!E:E,"")=0,"",_xlfn.XLOOKUP(A167, AutoFill_names!B:B, AutoFill_names!E:E,""))</f>
        <v/>
      </c>
      <c r="E167" s="23" t="str">
        <f>IF(_xlfn.XLOOKUP(A167, AutoFill_names!B:B, AutoFill_names!F:F,"")=0,"",_xlfn.XLOOKUP(A167, AutoFill_names!B:B, AutoFill_names!F:F,""))</f>
        <v/>
      </c>
      <c r="F167" s="4" t="s">
        <v>73</v>
      </c>
      <c r="G167" s="4"/>
      <c r="H167" s="4"/>
      <c r="I167" s="4"/>
      <c r="J167" s="23" t="str">
        <f>IF(_xlfn.XLOOKUP(A167, AutoFill_names!B:B, AutoFill_names!K:K,"")=0,"",_xlfn.XLOOKUP(A167, AutoFill_names!B:B, AutoFill_names!K:K,""))</f>
        <v/>
      </c>
      <c r="K167" s="23" t="str">
        <f>IF(_xlfn.XLOOKUP(A167, AutoFill_names!B:B, AutoFill_names!L:L,"")=0,"",_xlfn.XLOOKUP(A167, AutoFill_names!B:B, AutoFill_names!L:L,""))</f>
        <v/>
      </c>
      <c r="L167" s="8"/>
      <c r="M167" s="8"/>
      <c r="N167" s="61" t="str">
        <f>IF(_xlfn.XLOOKUP(L167, AutoFill_classes!A:A, AutoFill_classes!B:B,"")=0,"",_xlfn.XLOOKUP(L167, AutoFill_classes!A:A, AutoFill_classes!B:B,""))</f>
        <v/>
      </c>
      <c r="O167" s="154"/>
      <c r="P167" s="11"/>
      <c r="Q167" s="11"/>
      <c r="R167" s="11"/>
      <c r="S167" s="8"/>
      <c r="T167" s="8"/>
      <c r="U167" s="8"/>
      <c r="V167" s="7"/>
      <c r="W167" s="7"/>
      <c r="X167" s="146"/>
      <c r="Y167" s="37"/>
      <c r="Z167" s="60" t="str">
        <f t="shared" si="459"/>
        <v/>
      </c>
      <c r="AA167" s="40"/>
      <c r="AB167" s="40"/>
      <c r="AC167" s="40"/>
      <c r="AD167" s="40"/>
      <c r="AE167" s="58" t="str">
        <f t="shared" si="460"/>
        <v/>
      </c>
      <c r="AF167" s="12"/>
      <c r="AG167" s="58" t="str">
        <f t="shared" si="461"/>
        <v/>
      </c>
      <c r="AH167" s="40"/>
      <c r="AI167" s="40"/>
      <c r="AJ167" s="58" t="str">
        <f t="shared" si="462"/>
        <v/>
      </c>
      <c r="AK167" s="12"/>
      <c r="AL167" s="58" t="str">
        <f t="shared" si="463"/>
        <v/>
      </c>
      <c r="AM167" s="40"/>
      <c r="AN167" s="40"/>
      <c r="AO167" s="58" t="str">
        <f t="shared" si="464"/>
        <v/>
      </c>
      <c r="AP167" s="58" t="str">
        <f t="shared" si="465"/>
        <v/>
      </c>
      <c r="AQ167" s="58" t="str">
        <f t="shared" si="466"/>
        <v/>
      </c>
      <c r="AR167" s="59" t="str">
        <f t="shared" si="467"/>
        <v/>
      </c>
      <c r="AS167" s="12"/>
      <c r="AT167" s="49"/>
      <c r="AU167" s="49"/>
      <c r="AV167" s="61" t="str">
        <f>IF(_xlfn.XLOOKUP(AT167, AutoFill_classes!$A:$A, AutoFill_classes!$B:$B,"")=0,"",_xlfn.XLOOKUP(AT167, AutoFill_classes!$A:$A, AutoFill_classes!$B:$B,""))</f>
        <v/>
      </c>
      <c r="AW167" s="154"/>
      <c r="AX167" s="12"/>
      <c r="AY167" s="13"/>
      <c r="AZ167" s="12"/>
      <c r="BA167" s="13"/>
      <c r="BB167" s="13"/>
      <c r="BC167" s="146"/>
      <c r="BD167" s="37"/>
      <c r="BE167" s="60" t="str">
        <f t="shared" si="468"/>
        <v/>
      </c>
      <c r="BF167" s="32"/>
      <c r="BG167" s="32"/>
      <c r="BH167" s="32"/>
      <c r="BI167" s="32"/>
      <c r="BJ167" s="58" t="str">
        <f t="shared" si="469"/>
        <v/>
      </c>
      <c r="BK167" s="20"/>
      <c r="BL167" s="58" t="str">
        <f t="shared" si="470"/>
        <v/>
      </c>
      <c r="BM167" s="32"/>
      <c r="BN167" s="32"/>
      <c r="BO167" s="58" t="str">
        <f t="shared" si="471"/>
        <v/>
      </c>
      <c r="BP167" s="20"/>
      <c r="BQ167" s="58" t="str">
        <f t="shared" si="472"/>
        <v/>
      </c>
      <c r="BR167" s="32"/>
      <c r="BS167" s="32"/>
      <c r="BT167" s="58" t="str">
        <f t="shared" si="473"/>
        <v/>
      </c>
      <c r="BU167" s="58" t="str">
        <f t="shared" si="474"/>
        <v/>
      </c>
      <c r="BV167" s="58" t="str">
        <f t="shared" si="475"/>
        <v/>
      </c>
      <c r="BW167" s="59" t="str">
        <f t="shared" si="476"/>
        <v/>
      </c>
      <c r="BX167" s="12"/>
      <c r="BY167" s="49" t="s">
        <v>597</v>
      </c>
      <c r="BZ167" s="49"/>
      <c r="CA167" s="61" t="str">
        <f>IF(_xlfn.XLOOKUP(BY167, AutoFill_classes!$A:$A, AutoFill_classes!$B:$B,"")=0,"",_xlfn.XLOOKUP(BY167, AutoFill_classes!$A:$A, AutoFill_classes!$B:$B,""))</f>
        <v>Church Grwth&amp; Equipping Leader</v>
      </c>
      <c r="CB167" s="154"/>
      <c r="CC167" s="12" t="s">
        <v>56</v>
      </c>
      <c r="CD167" s="12" t="s">
        <v>86</v>
      </c>
      <c r="CE167" s="12" t="s">
        <v>111</v>
      </c>
      <c r="CF167" s="7" t="s">
        <v>63</v>
      </c>
      <c r="CG167" s="37" t="s">
        <v>60</v>
      </c>
      <c r="CH167" s="146">
        <v>3</v>
      </c>
      <c r="CI167" s="41">
        <v>1050</v>
      </c>
      <c r="CJ167" s="60">
        <f t="shared" si="477"/>
        <v>3150</v>
      </c>
      <c r="CK167" s="32"/>
      <c r="CL167" s="32"/>
      <c r="CM167" s="32"/>
      <c r="CN167" s="32"/>
      <c r="CO167" s="58" t="str">
        <f t="shared" si="478"/>
        <v/>
      </c>
      <c r="CP167" s="20"/>
      <c r="CQ167" s="58" t="str">
        <f t="shared" si="479"/>
        <v/>
      </c>
      <c r="CR167" s="32"/>
      <c r="CS167" s="32"/>
      <c r="CT167" s="58" t="str">
        <f t="shared" si="480"/>
        <v/>
      </c>
      <c r="CU167" s="20"/>
      <c r="CV167" s="58" t="str">
        <f t="shared" si="481"/>
        <v/>
      </c>
      <c r="CW167" s="32"/>
      <c r="CX167" s="32"/>
      <c r="CY167" s="58" t="str">
        <f t="shared" si="482"/>
        <v/>
      </c>
      <c r="CZ167" s="58" t="str">
        <f t="shared" si="483"/>
        <v/>
      </c>
      <c r="DA167" s="58" t="str">
        <f t="shared" si="484"/>
        <v/>
      </c>
      <c r="DB167" s="59" t="str">
        <f t="shared" si="485"/>
        <v/>
      </c>
      <c r="DC167" s="12"/>
      <c r="DD167" s="146"/>
      <c r="DE167" s="91">
        <v>162</v>
      </c>
    </row>
    <row r="168" spans="1:109" s="39" customFormat="1" ht="13">
      <c r="A168" s="7" t="s">
        <v>181</v>
      </c>
      <c r="B168" s="23" t="str">
        <f>IF(_xlfn.XLOOKUP(A168, AutoFill_names!B:B, AutoFill_names!C:C,"")=0,"",_xlfn.XLOOKUP(A168, AutoFill_names!B:B, AutoFill_names!C:C,""))</f>
        <v>000033967</v>
      </c>
      <c r="C168" s="23" t="str">
        <f>IF(_xlfn.XLOOKUP(A168, AutoFill_names!B:B, AutoFill_names!D:D,"")=0,"",_xlfn.XLOOKUP(A168, AutoFill_names!B:B, AutoFill_names!D:D,""))</f>
        <v>ricardo@andrews.edu</v>
      </c>
      <c r="D168" s="23" t="str">
        <f>IF(_xlfn.XLOOKUP(A168, AutoFill_names!B:B, AutoFill_names!E:E,"")=0,"",_xlfn.XLOOKUP(A168, AutoFill_names!B:B, AutoFill_names!E:E,""))</f>
        <v/>
      </c>
      <c r="E168" s="23" t="str">
        <f>IF(_xlfn.XLOOKUP(A168, AutoFill_names!B:B, AutoFill_names!F:F,"")=0,"",_xlfn.XLOOKUP(A168, AutoFill_names!B:B, AutoFill_names!F:F,""))</f>
        <v/>
      </c>
      <c r="F168" s="4" t="s">
        <v>73</v>
      </c>
      <c r="G168" s="4"/>
      <c r="H168" s="4"/>
      <c r="I168" s="4"/>
      <c r="J168" s="23" t="str">
        <f>IF(_xlfn.XLOOKUP(A168, AutoFill_names!B:B, AutoFill_names!K:K,"")=0,"",_xlfn.XLOOKUP(A168, AutoFill_names!B:B, AutoFill_names!K:K,""))</f>
        <v/>
      </c>
      <c r="K168" s="23" t="str">
        <f>IF(_xlfn.XLOOKUP(A168, AutoFill_names!B:B, AutoFill_names!L:L,"")=0,"",_xlfn.XLOOKUP(A168, AutoFill_names!B:B, AutoFill_names!L:L,""))</f>
        <v/>
      </c>
      <c r="L168" s="8"/>
      <c r="M168" s="8"/>
      <c r="N168" s="61" t="str">
        <f>IF(_xlfn.XLOOKUP(L168, AutoFill_classes!A:A, AutoFill_classes!B:B,"")=0,"",_xlfn.XLOOKUP(L168, AutoFill_classes!A:A, AutoFill_classes!B:B,""))</f>
        <v/>
      </c>
      <c r="O168" s="154"/>
      <c r="P168" s="11"/>
      <c r="Q168" s="11"/>
      <c r="R168" s="11"/>
      <c r="S168" s="8"/>
      <c r="T168" s="8"/>
      <c r="U168" s="8"/>
      <c r="V168" s="7"/>
      <c r="W168" s="7"/>
      <c r="X168" s="146"/>
      <c r="Y168" s="37"/>
      <c r="Z168" s="60" t="str">
        <f t="shared" si="459"/>
        <v/>
      </c>
      <c r="AA168" s="40"/>
      <c r="AB168" s="40"/>
      <c r="AC168" s="40"/>
      <c r="AD168" s="40"/>
      <c r="AE168" s="58" t="str">
        <f t="shared" si="460"/>
        <v/>
      </c>
      <c r="AF168" s="12"/>
      <c r="AG168" s="58" t="str">
        <f t="shared" si="461"/>
        <v/>
      </c>
      <c r="AH168" s="40"/>
      <c r="AI168" s="40"/>
      <c r="AJ168" s="58" t="str">
        <f t="shared" si="462"/>
        <v/>
      </c>
      <c r="AK168" s="12"/>
      <c r="AL168" s="58" t="str">
        <f t="shared" si="463"/>
        <v/>
      </c>
      <c r="AM168" s="40"/>
      <c r="AN168" s="40"/>
      <c r="AO168" s="58" t="str">
        <f t="shared" si="464"/>
        <v/>
      </c>
      <c r="AP168" s="58" t="str">
        <f t="shared" si="465"/>
        <v/>
      </c>
      <c r="AQ168" s="58" t="str">
        <f t="shared" si="466"/>
        <v/>
      </c>
      <c r="AR168" s="59" t="str">
        <f t="shared" si="467"/>
        <v/>
      </c>
      <c r="AS168" s="12"/>
      <c r="AT168" s="49"/>
      <c r="AU168" s="49"/>
      <c r="AV168" s="61" t="str">
        <f>IF(_xlfn.XLOOKUP(AT168, AutoFill_classes!$A:$A, AutoFill_classes!$B:$B,"")=0,"",_xlfn.XLOOKUP(AT168, AutoFill_classes!$A:$A, AutoFill_classes!$B:$B,""))</f>
        <v/>
      </c>
      <c r="AW168" s="154"/>
      <c r="AX168" s="12"/>
      <c r="AY168" s="13"/>
      <c r="AZ168" s="12"/>
      <c r="BA168" s="13"/>
      <c r="BB168" s="13"/>
      <c r="BC168" s="146"/>
      <c r="BD168" s="37"/>
      <c r="BE168" s="60" t="str">
        <f t="shared" si="468"/>
        <v/>
      </c>
      <c r="BF168" s="32"/>
      <c r="BG168" s="32"/>
      <c r="BH168" s="32"/>
      <c r="BI168" s="32"/>
      <c r="BJ168" s="58" t="str">
        <f t="shared" si="469"/>
        <v/>
      </c>
      <c r="BK168" s="20"/>
      <c r="BL168" s="58" t="str">
        <f t="shared" si="470"/>
        <v/>
      </c>
      <c r="BM168" s="32"/>
      <c r="BN168" s="32"/>
      <c r="BO168" s="58" t="str">
        <f t="shared" si="471"/>
        <v/>
      </c>
      <c r="BP168" s="20"/>
      <c r="BQ168" s="58" t="str">
        <f t="shared" si="472"/>
        <v/>
      </c>
      <c r="BR168" s="32"/>
      <c r="BS168" s="32"/>
      <c r="BT168" s="58" t="str">
        <f t="shared" si="473"/>
        <v/>
      </c>
      <c r="BU168" s="58" t="str">
        <f t="shared" si="474"/>
        <v/>
      </c>
      <c r="BV168" s="58" t="str">
        <f t="shared" si="475"/>
        <v/>
      </c>
      <c r="BW168" s="59" t="str">
        <f t="shared" si="476"/>
        <v/>
      </c>
      <c r="BX168" s="12"/>
      <c r="BY168" s="49" t="s">
        <v>436</v>
      </c>
      <c r="BZ168" s="49"/>
      <c r="CA168" s="61" t="str">
        <f>IF(_xlfn.XLOOKUP(BY168, AutoFill_classes!$A:$A, AutoFill_classes!$B:$B,"")=0,"",_xlfn.XLOOKUP(BY168, AutoFill_classes!$A:$A, AutoFill_classes!$B:$B,""))</f>
        <v>Research Methods</v>
      </c>
      <c r="CB168" s="154"/>
      <c r="CC168" s="12" t="s">
        <v>56</v>
      </c>
      <c r="CD168" s="12" t="s">
        <v>86</v>
      </c>
      <c r="CE168" s="12" t="s">
        <v>116</v>
      </c>
      <c r="CF168" s="7" t="s">
        <v>63</v>
      </c>
      <c r="CG168" s="37" t="s">
        <v>60</v>
      </c>
      <c r="CH168" s="146">
        <v>3</v>
      </c>
      <c r="CI168" s="41">
        <v>1050</v>
      </c>
      <c r="CJ168" s="60">
        <f t="shared" si="477"/>
        <v>3150</v>
      </c>
      <c r="CK168" s="32"/>
      <c r="CL168" s="32"/>
      <c r="CM168" s="32"/>
      <c r="CN168" s="32"/>
      <c r="CO168" s="58" t="str">
        <f t="shared" si="478"/>
        <v/>
      </c>
      <c r="CP168" s="20"/>
      <c r="CQ168" s="58" t="str">
        <f t="shared" si="479"/>
        <v/>
      </c>
      <c r="CR168" s="32"/>
      <c r="CS168" s="32"/>
      <c r="CT168" s="58" t="str">
        <f t="shared" si="480"/>
        <v/>
      </c>
      <c r="CU168" s="20"/>
      <c r="CV168" s="58" t="str">
        <f t="shared" si="481"/>
        <v/>
      </c>
      <c r="CW168" s="32"/>
      <c r="CX168" s="32"/>
      <c r="CY168" s="58" t="str">
        <f t="shared" si="482"/>
        <v/>
      </c>
      <c r="CZ168" s="58" t="str">
        <f t="shared" si="483"/>
        <v/>
      </c>
      <c r="DA168" s="58" t="str">
        <f t="shared" si="484"/>
        <v/>
      </c>
      <c r="DB168" s="59" t="str">
        <f t="shared" si="485"/>
        <v/>
      </c>
      <c r="DC168" s="12"/>
      <c r="DD168" s="146"/>
      <c r="DE168" s="91">
        <v>163</v>
      </c>
    </row>
    <row r="169" spans="1:109" s="39" customFormat="1" ht="13">
      <c r="A169" s="7" t="s">
        <v>416</v>
      </c>
      <c r="B169" s="23" t="str">
        <f>IF(_xlfn.XLOOKUP(A169, AutoFill_names!B:B, AutoFill_names!C:C,"")=0,"",_xlfn.XLOOKUP(A169, AutoFill_names!B:B, AutoFill_names!C:C,""))</f>
        <v>000046397</v>
      </c>
      <c r="C169" s="23" t="str">
        <f>IF(_xlfn.XLOOKUP(A169, AutoFill_names!B:B, AutoFill_names!D:D,"")=0,"",_xlfn.XLOOKUP(A169, AutoFill_names!B:B, AutoFill_names!D:D,""))</f>
        <v>saravia@andrews.edu</v>
      </c>
      <c r="D169" s="23" t="str">
        <f>IF(_xlfn.XLOOKUP(A169, AutoFill_names!B:B, AutoFill_names!E:E,"")=0,"",_xlfn.XLOOKUP(A169, AutoFill_names!B:B, AutoFill_names!E:E,""))</f>
        <v/>
      </c>
      <c r="E169" s="23" t="str">
        <f>IF(_xlfn.XLOOKUP(A169, AutoFill_names!B:B, AutoFill_names!F:F,"")=0,"",_xlfn.XLOOKUP(A169, AutoFill_names!B:B, AutoFill_names!F:F,""))</f>
        <v/>
      </c>
      <c r="F169" s="4" t="s">
        <v>73</v>
      </c>
      <c r="G169" s="4"/>
      <c r="H169" s="4"/>
      <c r="I169" s="4"/>
      <c r="J169" s="23" t="str">
        <f>IF(_xlfn.XLOOKUP(A169, AutoFill_names!B:B, AutoFill_names!K:K,"")=0,"",_xlfn.XLOOKUP(A169, AutoFill_names!B:B, AutoFill_names!K:K,""))</f>
        <v/>
      </c>
      <c r="K169" s="23" t="str">
        <f>IF(_xlfn.XLOOKUP(A169, AutoFill_names!B:B, AutoFill_names!L:L,"")=0,"",_xlfn.XLOOKUP(A169, AutoFill_names!B:B, AutoFill_names!L:L,""))</f>
        <v/>
      </c>
      <c r="L169" s="8" t="s">
        <v>613</v>
      </c>
      <c r="M169" s="8"/>
      <c r="N169" s="61" t="str">
        <f>IF(_xlfn.XLOOKUP(L169, AutoFill_classes!A:A, AutoFill_classes!B:B,"")=0,"",_xlfn.XLOOKUP(L169, AutoFill_classes!A:A, AutoFill_classes!B:B,""))</f>
        <v>Mobilizing for Evang Min</v>
      </c>
      <c r="O169" s="154"/>
      <c r="P169" s="11"/>
      <c r="Q169" s="11"/>
      <c r="R169" s="11" t="s">
        <v>55</v>
      </c>
      <c r="S169" s="8" t="s">
        <v>56</v>
      </c>
      <c r="T169" s="8" t="s">
        <v>86</v>
      </c>
      <c r="U169" s="8" t="s">
        <v>87</v>
      </c>
      <c r="V169" s="7" t="s">
        <v>63</v>
      </c>
      <c r="W169" s="7" t="s">
        <v>60</v>
      </c>
      <c r="X169" s="146">
        <v>3</v>
      </c>
      <c r="Y169" s="37">
        <v>1050</v>
      </c>
      <c r="Z169" s="60">
        <f t="shared" si="459"/>
        <v>3150</v>
      </c>
      <c r="AA169" s="40"/>
      <c r="AB169" s="40"/>
      <c r="AC169" s="40"/>
      <c r="AD169" s="40"/>
      <c r="AE169" s="58" t="str">
        <f t="shared" si="460"/>
        <v/>
      </c>
      <c r="AF169" s="12"/>
      <c r="AG169" s="58" t="str">
        <f t="shared" si="461"/>
        <v/>
      </c>
      <c r="AH169" s="40"/>
      <c r="AI169" s="40"/>
      <c r="AJ169" s="58" t="str">
        <f t="shared" si="462"/>
        <v/>
      </c>
      <c r="AK169" s="12"/>
      <c r="AL169" s="58" t="str">
        <f t="shared" si="463"/>
        <v/>
      </c>
      <c r="AM169" s="40"/>
      <c r="AN169" s="40"/>
      <c r="AO169" s="58" t="str">
        <f t="shared" si="464"/>
        <v/>
      </c>
      <c r="AP169" s="58" t="str">
        <f t="shared" si="465"/>
        <v/>
      </c>
      <c r="AQ169" s="58" t="str">
        <f t="shared" si="466"/>
        <v/>
      </c>
      <c r="AR169" s="59" t="str">
        <f t="shared" si="467"/>
        <v/>
      </c>
      <c r="AS169" s="12"/>
      <c r="AT169" s="49" t="s">
        <v>613</v>
      </c>
      <c r="AU169" s="49"/>
      <c r="AV169" s="61" t="str">
        <f>IF(_xlfn.XLOOKUP(AT169, AutoFill_classes!$A:$A, AutoFill_classes!$B:$B,"")=0,"",_xlfn.XLOOKUP(AT169, AutoFill_classes!$A:$A, AutoFill_classes!$B:$B,""))</f>
        <v>Mobilizing for Evang Min</v>
      </c>
      <c r="AW169" s="154"/>
      <c r="AX169" s="12" t="s">
        <v>56</v>
      </c>
      <c r="AY169" s="13" t="s">
        <v>86</v>
      </c>
      <c r="AZ169" s="12" t="s">
        <v>78</v>
      </c>
      <c r="BA169" s="13" t="s">
        <v>63</v>
      </c>
      <c r="BB169" s="13" t="s">
        <v>60</v>
      </c>
      <c r="BC169" s="146">
        <v>3</v>
      </c>
      <c r="BD169" s="37">
        <v>1050</v>
      </c>
      <c r="BE169" s="60">
        <f t="shared" si="468"/>
        <v>3150</v>
      </c>
      <c r="BF169" s="32"/>
      <c r="BG169" s="32"/>
      <c r="BH169" s="32"/>
      <c r="BI169" s="32"/>
      <c r="BJ169" s="58" t="str">
        <f t="shared" si="469"/>
        <v/>
      </c>
      <c r="BK169" s="20"/>
      <c r="BL169" s="58" t="str">
        <f t="shared" si="470"/>
        <v/>
      </c>
      <c r="BM169" s="32"/>
      <c r="BN169" s="32"/>
      <c r="BO169" s="58" t="str">
        <f t="shared" si="471"/>
        <v/>
      </c>
      <c r="BP169" s="20"/>
      <c r="BQ169" s="58" t="str">
        <f t="shared" si="472"/>
        <v/>
      </c>
      <c r="BR169" s="32"/>
      <c r="BS169" s="32"/>
      <c r="BT169" s="58" t="str">
        <f t="shared" si="473"/>
        <v/>
      </c>
      <c r="BU169" s="58" t="str">
        <f t="shared" si="474"/>
        <v/>
      </c>
      <c r="BV169" s="58" t="str">
        <f t="shared" si="475"/>
        <v/>
      </c>
      <c r="BW169" s="59" t="str">
        <f t="shared" si="476"/>
        <v/>
      </c>
      <c r="BX169" s="12"/>
      <c r="BY169" s="49"/>
      <c r="BZ169" s="49"/>
      <c r="CA169" s="61" t="str">
        <f>IF(_xlfn.XLOOKUP(BY169, AutoFill_classes!$A:$A, AutoFill_classes!$B:$B,"")=0,"",_xlfn.XLOOKUP(BY169, AutoFill_classes!$A:$A, AutoFill_classes!$B:$B,""))</f>
        <v/>
      </c>
      <c r="CB169" s="154"/>
      <c r="CC169" s="12"/>
      <c r="CD169" s="12"/>
      <c r="CE169" s="12"/>
      <c r="CF169" s="7"/>
      <c r="CG169" s="37"/>
      <c r="CH169" s="146"/>
      <c r="CI169" s="41"/>
      <c r="CJ169" s="60" t="str">
        <f t="shared" si="477"/>
        <v/>
      </c>
      <c r="CK169" s="32"/>
      <c r="CL169" s="32"/>
      <c r="CM169" s="32"/>
      <c r="CN169" s="32"/>
      <c r="CO169" s="58" t="str">
        <f t="shared" si="478"/>
        <v/>
      </c>
      <c r="CP169" s="20"/>
      <c r="CQ169" s="58" t="str">
        <f t="shared" si="479"/>
        <v/>
      </c>
      <c r="CR169" s="32"/>
      <c r="CS169" s="32"/>
      <c r="CT169" s="58" t="str">
        <f t="shared" si="480"/>
        <v/>
      </c>
      <c r="CU169" s="20"/>
      <c r="CV169" s="58" t="str">
        <f t="shared" si="481"/>
        <v/>
      </c>
      <c r="CW169" s="32"/>
      <c r="CX169" s="32"/>
      <c r="CY169" s="58" t="str">
        <f t="shared" si="482"/>
        <v/>
      </c>
      <c r="CZ169" s="58" t="str">
        <f t="shared" si="483"/>
        <v/>
      </c>
      <c r="DA169" s="58" t="str">
        <f t="shared" si="484"/>
        <v/>
      </c>
      <c r="DB169" s="59" t="str">
        <f t="shared" si="485"/>
        <v/>
      </c>
      <c r="DC169" s="12"/>
      <c r="DD169" s="146"/>
      <c r="DE169" s="91">
        <v>164</v>
      </c>
    </row>
    <row r="170" spans="1:109" s="39" customFormat="1" ht="13">
      <c r="A170" s="7" t="s">
        <v>355</v>
      </c>
      <c r="B170" s="23" t="str">
        <f>IF(_xlfn.XLOOKUP(A170, AutoFill_names!B:B, AutoFill_names!C:C,"")=0,"",_xlfn.XLOOKUP(A170, AutoFill_names!B:B, AutoFill_names!C:C,""))</f>
        <v>000036790</v>
      </c>
      <c r="C170" s="23" t="str">
        <f>IF(_xlfn.XLOOKUP(A170, AutoFill_names!B:B, AutoFill_names!D:D,"")=0,"",_xlfn.XLOOKUP(A170, AutoFill_names!B:B, AutoFill_names!D:D,""))</f>
        <v>moskala@andrews.edu</v>
      </c>
      <c r="D170" s="23" t="str">
        <f>IF(_xlfn.XLOOKUP(A170, AutoFill_names!B:B, AutoFill_names!E:E,"")=0,"",_xlfn.XLOOKUP(A170, AutoFill_names!B:B, AutoFill_names!E:E,""))</f>
        <v/>
      </c>
      <c r="E170" s="23" t="str">
        <f>IF(_xlfn.XLOOKUP(A170, AutoFill_names!B:B, AutoFill_names!F:F,"")=0,"",_xlfn.XLOOKUP(A170, AutoFill_names!B:B, AutoFill_names!F:F,""))</f>
        <v/>
      </c>
      <c r="F170" s="4" t="s">
        <v>73</v>
      </c>
      <c r="G170" s="4"/>
      <c r="H170" s="4"/>
      <c r="I170" s="4"/>
      <c r="J170" s="23" t="str">
        <f>IF(_xlfn.XLOOKUP(A170, AutoFill_names!B:B, AutoFill_names!K:K,"")=0,"",_xlfn.XLOOKUP(A170, AutoFill_names!B:B, AutoFill_names!K:K,""))</f>
        <v>Gregor, Paul Z.</v>
      </c>
      <c r="K170" s="23" t="str">
        <f>IF(_xlfn.XLOOKUP(A170, AutoFill_names!B:B, AutoFill_names!L:L,"")=0,"",_xlfn.XLOOKUP(A170, AutoFill_names!B:B, AutoFill_names!L:L,""))</f>
        <v>000052867</v>
      </c>
      <c r="L170" s="8"/>
      <c r="M170" s="8"/>
      <c r="N170" s="61" t="str">
        <f>IF(_xlfn.XLOOKUP(L170, AutoFill_classes!A:A, AutoFill_classes!B:B,"")=0,"",_xlfn.XLOOKUP(L170, AutoFill_classes!A:A, AutoFill_classes!B:B,""))</f>
        <v/>
      </c>
      <c r="O170" s="154"/>
      <c r="P170" s="11"/>
      <c r="Q170" s="11"/>
      <c r="R170" s="11"/>
      <c r="S170" s="8"/>
      <c r="T170" s="8"/>
      <c r="U170" s="8"/>
      <c r="V170" s="7"/>
      <c r="W170" s="7"/>
      <c r="X170" s="146"/>
      <c r="Y170" s="37"/>
      <c r="Z170" s="60" t="str">
        <f t="shared" si="459"/>
        <v/>
      </c>
      <c r="AA170" s="40"/>
      <c r="AB170" s="40"/>
      <c r="AC170" s="40"/>
      <c r="AD170" s="40"/>
      <c r="AE170" s="58" t="str">
        <f t="shared" si="460"/>
        <v/>
      </c>
      <c r="AF170" s="12"/>
      <c r="AG170" s="58" t="str">
        <f t="shared" si="461"/>
        <v/>
      </c>
      <c r="AH170" s="40"/>
      <c r="AI170" s="40"/>
      <c r="AJ170" s="58" t="str">
        <f t="shared" si="462"/>
        <v/>
      </c>
      <c r="AK170" s="12"/>
      <c r="AL170" s="58" t="str">
        <f t="shared" si="463"/>
        <v/>
      </c>
      <c r="AM170" s="40"/>
      <c r="AN170" s="40"/>
      <c r="AO170" s="58" t="str">
        <f t="shared" si="464"/>
        <v/>
      </c>
      <c r="AP170" s="58" t="str">
        <f t="shared" si="465"/>
        <v/>
      </c>
      <c r="AQ170" s="58" t="str">
        <f t="shared" si="466"/>
        <v/>
      </c>
      <c r="AR170" s="59" t="str">
        <f t="shared" si="467"/>
        <v/>
      </c>
      <c r="AS170" s="12"/>
      <c r="AT170" s="49" t="s">
        <v>591</v>
      </c>
      <c r="AU170" s="49"/>
      <c r="AV170" s="61" t="str">
        <f>IF(_xlfn.XLOOKUP(AT170, AutoFill_classes!$A:$A, AutoFill_classes!$B:$B,"")=0,"",_xlfn.XLOOKUP(AT170, AutoFill_classes!$A:$A, AutoFill_classes!$B:$B,""))</f>
        <v>Topics in Ministry</v>
      </c>
      <c r="AW170" s="154"/>
      <c r="AX170" s="12" t="s">
        <v>56</v>
      </c>
      <c r="AY170" s="13" t="s">
        <v>86</v>
      </c>
      <c r="AZ170" s="12" t="s">
        <v>105</v>
      </c>
      <c r="BA170" s="13" t="s">
        <v>63</v>
      </c>
      <c r="BB170" s="13" t="s">
        <v>60</v>
      </c>
      <c r="BC170" s="146">
        <v>3</v>
      </c>
      <c r="BD170" s="37">
        <v>1050</v>
      </c>
      <c r="BE170" s="60">
        <f t="shared" si="468"/>
        <v>3150</v>
      </c>
      <c r="BF170" s="32"/>
      <c r="BG170" s="32"/>
      <c r="BH170" s="32"/>
      <c r="BI170" s="32"/>
      <c r="BJ170" s="58" t="str">
        <f t="shared" si="469"/>
        <v/>
      </c>
      <c r="BK170" s="20"/>
      <c r="BL170" s="58" t="str">
        <f t="shared" si="470"/>
        <v/>
      </c>
      <c r="BM170" s="32"/>
      <c r="BN170" s="32"/>
      <c r="BO170" s="58" t="str">
        <f t="shared" si="471"/>
        <v/>
      </c>
      <c r="BP170" s="20"/>
      <c r="BQ170" s="58" t="str">
        <f t="shared" si="472"/>
        <v/>
      </c>
      <c r="BR170" s="32"/>
      <c r="BS170" s="32"/>
      <c r="BT170" s="58" t="str">
        <f t="shared" si="473"/>
        <v/>
      </c>
      <c r="BU170" s="58" t="str">
        <f t="shared" si="474"/>
        <v/>
      </c>
      <c r="BV170" s="58" t="str">
        <f t="shared" si="475"/>
        <v/>
      </c>
      <c r="BW170" s="59" t="str">
        <f t="shared" si="476"/>
        <v/>
      </c>
      <c r="BX170" s="12"/>
      <c r="BY170" s="49"/>
      <c r="BZ170" s="49"/>
      <c r="CA170" s="61" t="str">
        <f>IF(_xlfn.XLOOKUP(BY170, AutoFill_classes!$A:$A, AutoFill_classes!$B:$B,"")=0,"",_xlfn.XLOOKUP(BY170, AutoFill_classes!$A:$A, AutoFill_classes!$B:$B,""))</f>
        <v/>
      </c>
      <c r="CB170" s="154"/>
      <c r="CC170" s="12"/>
      <c r="CD170" s="12"/>
      <c r="CE170" s="12"/>
      <c r="CF170" s="7"/>
      <c r="CG170" s="37"/>
      <c r="CH170" s="146"/>
      <c r="CI170" s="41"/>
      <c r="CJ170" s="60" t="str">
        <f t="shared" si="477"/>
        <v/>
      </c>
      <c r="CK170" s="32"/>
      <c r="CL170" s="32"/>
      <c r="CM170" s="32"/>
      <c r="CN170" s="32"/>
      <c r="CO170" s="58" t="str">
        <f t="shared" si="478"/>
        <v/>
      </c>
      <c r="CP170" s="20"/>
      <c r="CQ170" s="58" t="str">
        <f t="shared" si="479"/>
        <v/>
      </c>
      <c r="CR170" s="32"/>
      <c r="CS170" s="32"/>
      <c r="CT170" s="58" t="str">
        <f t="shared" si="480"/>
        <v/>
      </c>
      <c r="CU170" s="20"/>
      <c r="CV170" s="58" t="str">
        <f t="shared" si="481"/>
        <v/>
      </c>
      <c r="CW170" s="32"/>
      <c r="CX170" s="32"/>
      <c r="CY170" s="58" t="str">
        <f t="shared" si="482"/>
        <v/>
      </c>
      <c r="CZ170" s="58" t="str">
        <f t="shared" si="483"/>
        <v/>
      </c>
      <c r="DA170" s="58" t="str">
        <f t="shared" si="484"/>
        <v/>
      </c>
      <c r="DB170" s="59" t="str">
        <f t="shared" si="485"/>
        <v/>
      </c>
      <c r="DC170" s="12"/>
      <c r="DD170" s="146"/>
      <c r="DE170" s="91">
        <v>165</v>
      </c>
    </row>
    <row r="171" spans="1:109" s="39" customFormat="1" ht="13">
      <c r="A171" s="7" t="s">
        <v>397</v>
      </c>
      <c r="B171" s="23" t="str">
        <f>IF(_xlfn.XLOOKUP(A171, AutoFill_names!B:B, AutoFill_names!C:C,"")=0,"",_xlfn.XLOOKUP(A171, AutoFill_names!B:B, AutoFill_names!C:C,""))</f>
        <v>000133509</v>
      </c>
      <c r="C171" s="23" t="str">
        <f>IF(_xlfn.XLOOKUP(A171, AutoFill_names!B:B, AutoFill_names!D:D,"")=0,"",_xlfn.XLOOKUP(A171, AutoFill_names!B:B, AutoFill_names!D:D,""))</f>
        <v>mata@andrews.edu</v>
      </c>
      <c r="D171" s="23" t="str">
        <f>IF(_xlfn.XLOOKUP(A171, AutoFill_names!B:B, AutoFill_names!E:E,"")=0,"",_xlfn.XLOOKUP(A171, AutoFill_names!B:B, AutoFill_names!E:E,""))</f>
        <v/>
      </c>
      <c r="E171" s="23" t="str">
        <f>IF(_xlfn.XLOOKUP(A171, AutoFill_names!B:B, AutoFill_names!F:F,"")=0,"",_xlfn.XLOOKUP(A171, AutoFill_names!B:B, AutoFill_names!F:F,""))</f>
        <v/>
      </c>
      <c r="F171" s="4" t="s">
        <v>73</v>
      </c>
      <c r="G171" s="4"/>
      <c r="H171" s="4"/>
      <c r="I171" s="4"/>
      <c r="J171" s="23" t="str">
        <f>IF(_xlfn.XLOOKUP(A171, AutoFill_names!B:B, AutoFill_names!K:K,"")=0,"",_xlfn.XLOOKUP(A171, AutoFill_names!B:B, AutoFill_names!K:K,""))</f>
        <v/>
      </c>
      <c r="K171" s="23" t="str">
        <f>IF(_xlfn.XLOOKUP(A171, AutoFill_names!B:B, AutoFill_names!L:L,"")=0,"",_xlfn.XLOOKUP(A171, AutoFill_names!B:B, AutoFill_names!L:L,""))</f>
        <v/>
      </c>
      <c r="L171" s="8"/>
      <c r="M171" s="8"/>
      <c r="N171" s="61" t="str">
        <f>IF(_xlfn.XLOOKUP(L171, AutoFill_classes!A:A, AutoFill_classes!B:B,"")=0,"",_xlfn.XLOOKUP(L171, AutoFill_classes!A:A, AutoFill_classes!B:B,""))</f>
        <v/>
      </c>
      <c r="O171" s="154"/>
      <c r="P171" s="11"/>
      <c r="Q171" s="11"/>
      <c r="R171" s="11"/>
      <c r="S171" s="8"/>
      <c r="T171" s="8"/>
      <c r="U171" s="8"/>
      <c r="V171" s="7"/>
      <c r="W171" s="7"/>
      <c r="X171" s="146"/>
      <c r="Y171" s="37"/>
      <c r="Z171" s="60" t="str">
        <f t="shared" si="459"/>
        <v/>
      </c>
      <c r="AA171" s="40"/>
      <c r="AB171" s="40"/>
      <c r="AC171" s="40"/>
      <c r="AD171" s="40"/>
      <c r="AE171" s="58" t="str">
        <f t="shared" si="460"/>
        <v/>
      </c>
      <c r="AF171" s="12"/>
      <c r="AG171" s="58" t="str">
        <f t="shared" si="461"/>
        <v/>
      </c>
      <c r="AH171" s="40"/>
      <c r="AI171" s="40"/>
      <c r="AJ171" s="58" t="str">
        <f t="shared" si="462"/>
        <v/>
      </c>
      <c r="AK171" s="12"/>
      <c r="AL171" s="58" t="str">
        <f t="shared" si="463"/>
        <v/>
      </c>
      <c r="AM171" s="40"/>
      <c r="AN171" s="40"/>
      <c r="AO171" s="58" t="str">
        <f t="shared" si="464"/>
        <v/>
      </c>
      <c r="AP171" s="58" t="str">
        <f t="shared" si="465"/>
        <v/>
      </c>
      <c r="AQ171" s="58" t="str">
        <f t="shared" si="466"/>
        <v/>
      </c>
      <c r="AR171" s="59" t="str">
        <f t="shared" si="467"/>
        <v/>
      </c>
      <c r="AS171" s="12"/>
      <c r="AT171" s="49" t="s">
        <v>597</v>
      </c>
      <c r="AU171" s="49"/>
      <c r="AV171" s="61" t="str">
        <f>IF(_xlfn.XLOOKUP(AT171, AutoFill_classes!$A:$A, AutoFill_classes!$B:$B,"")=0,"",_xlfn.XLOOKUP(AT171, AutoFill_classes!$A:$A, AutoFill_classes!$B:$B,""))</f>
        <v>Church Grwth&amp; Equipping Leader</v>
      </c>
      <c r="AW171" s="154"/>
      <c r="AX171" s="12" t="s">
        <v>56</v>
      </c>
      <c r="AY171" s="13" t="s">
        <v>86</v>
      </c>
      <c r="AZ171" s="12" t="s">
        <v>122</v>
      </c>
      <c r="BA171" s="13" t="s">
        <v>63</v>
      </c>
      <c r="BB171" s="13" t="s">
        <v>60</v>
      </c>
      <c r="BC171" s="146">
        <v>3</v>
      </c>
      <c r="BD171" s="37">
        <v>1050</v>
      </c>
      <c r="BE171" s="60">
        <f t="shared" si="468"/>
        <v>3150</v>
      </c>
      <c r="BF171" s="32"/>
      <c r="BG171" s="32"/>
      <c r="BH171" s="32"/>
      <c r="BI171" s="32"/>
      <c r="BJ171" s="58" t="str">
        <f t="shared" si="469"/>
        <v/>
      </c>
      <c r="BK171" s="20"/>
      <c r="BL171" s="58" t="str">
        <f t="shared" si="470"/>
        <v/>
      </c>
      <c r="BM171" s="32"/>
      <c r="BN171" s="32"/>
      <c r="BO171" s="58" t="str">
        <f t="shared" si="471"/>
        <v/>
      </c>
      <c r="BP171" s="20"/>
      <c r="BQ171" s="58" t="str">
        <f t="shared" si="472"/>
        <v/>
      </c>
      <c r="BR171" s="32"/>
      <c r="BS171" s="32"/>
      <c r="BT171" s="58" t="str">
        <f t="shared" si="473"/>
        <v/>
      </c>
      <c r="BU171" s="58" t="str">
        <f t="shared" si="474"/>
        <v/>
      </c>
      <c r="BV171" s="58" t="str">
        <f t="shared" si="475"/>
        <v/>
      </c>
      <c r="BW171" s="59" t="str">
        <f t="shared" si="476"/>
        <v/>
      </c>
      <c r="BX171" s="12"/>
      <c r="BY171" s="49"/>
      <c r="BZ171" s="49"/>
      <c r="CA171" s="61" t="str">
        <f>IF(_xlfn.XLOOKUP(BY171, AutoFill_classes!$A:$A, AutoFill_classes!$B:$B,"")=0,"",_xlfn.XLOOKUP(BY171, AutoFill_classes!$A:$A, AutoFill_classes!$B:$B,""))</f>
        <v/>
      </c>
      <c r="CB171" s="154"/>
      <c r="CC171" s="12"/>
      <c r="CD171" s="12"/>
      <c r="CE171" s="12"/>
      <c r="CF171" s="7"/>
      <c r="CG171" s="37"/>
      <c r="CH171" s="146"/>
      <c r="CI171" s="41"/>
      <c r="CJ171" s="60" t="str">
        <f t="shared" si="477"/>
        <v/>
      </c>
      <c r="CK171" s="32"/>
      <c r="CL171" s="32"/>
      <c r="CM171" s="32"/>
      <c r="CN171" s="32"/>
      <c r="CO171" s="58" t="str">
        <f t="shared" si="478"/>
        <v/>
      </c>
      <c r="CP171" s="20"/>
      <c r="CQ171" s="58" t="str">
        <f t="shared" si="479"/>
        <v/>
      </c>
      <c r="CR171" s="32"/>
      <c r="CS171" s="32"/>
      <c r="CT171" s="58" t="str">
        <f t="shared" si="480"/>
        <v/>
      </c>
      <c r="CU171" s="20"/>
      <c r="CV171" s="58" t="str">
        <f t="shared" si="481"/>
        <v/>
      </c>
      <c r="CW171" s="32"/>
      <c r="CX171" s="32"/>
      <c r="CY171" s="58" t="str">
        <f t="shared" si="482"/>
        <v/>
      </c>
      <c r="CZ171" s="58" t="str">
        <f t="shared" si="483"/>
        <v/>
      </c>
      <c r="DA171" s="58" t="str">
        <f t="shared" si="484"/>
        <v/>
      </c>
      <c r="DB171" s="59" t="str">
        <f t="shared" si="485"/>
        <v/>
      </c>
      <c r="DC171" s="12"/>
      <c r="DD171" s="146"/>
      <c r="DE171" s="91">
        <v>166</v>
      </c>
    </row>
    <row r="172" spans="1:109" s="39" customFormat="1" ht="13">
      <c r="A172" s="7" t="s">
        <v>302</v>
      </c>
      <c r="B172" s="23" t="str">
        <f>IF(_xlfn.XLOOKUP(A172, AutoFill_names!B:B, AutoFill_names!C:C,"")=0,"",_xlfn.XLOOKUP(A172, AutoFill_names!B:B, AutoFill_names!C:C,""))</f>
        <v>000159708</v>
      </c>
      <c r="C172" s="23" t="str">
        <f>IF(_xlfn.XLOOKUP(A172, AutoFill_names!B:B, AutoFill_names!D:D,"")=0,"",_xlfn.XLOOKUP(A172, AutoFill_names!B:B, AutoFill_names!D:D,""))</f>
        <v>jonatas@andrews.edu</v>
      </c>
      <c r="D172" s="23" t="str">
        <f>IF(_xlfn.XLOOKUP(A172, AutoFill_names!B:B, AutoFill_names!E:E,"")=0,"",_xlfn.XLOOKUP(A172, AutoFill_names!B:B, AutoFill_names!E:E,""))</f>
        <v/>
      </c>
      <c r="E172" s="23" t="str">
        <f>IF(_xlfn.XLOOKUP(A172, AutoFill_names!B:B, AutoFill_names!F:F,"")=0,"",_xlfn.XLOOKUP(A172, AutoFill_names!B:B, AutoFill_names!F:F,""))</f>
        <v/>
      </c>
      <c r="F172" s="4" t="s">
        <v>73</v>
      </c>
      <c r="G172" s="4"/>
      <c r="H172" s="4"/>
      <c r="I172" s="4"/>
      <c r="J172" s="23" t="str">
        <f>IF(_xlfn.XLOOKUP(A172, AutoFill_names!B:B, AutoFill_names!K:K,"")=0,"",_xlfn.XLOOKUP(A172, AutoFill_names!B:B, AutoFill_names!K:K,""))</f>
        <v>Choi, Phuichun R.</v>
      </c>
      <c r="K172" s="23" t="str">
        <f>IF(_xlfn.XLOOKUP(A172, AutoFill_names!B:B, AutoFill_names!L:L,"")=0,"",_xlfn.XLOOKUP(A172, AutoFill_names!B:B, AutoFill_names!L:L,""))</f>
        <v>000036676</v>
      </c>
      <c r="L172" s="8"/>
      <c r="M172" s="8"/>
      <c r="N172" s="61" t="str">
        <f>IF(_xlfn.XLOOKUP(L172, AutoFill_classes!A:A, AutoFill_classes!B:B,"")=0,"",_xlfn.XLOOKUP(L172, AutoFill_classes!A:A, AutoFill_classes!B:B,""))</f>
        <v/>
      </c>
      <c r="O172" s="154"/>
      <c r="P172" s="11"/>
      <c r="Q172" s="11"/>
      <c r="R172" s="11"/>
      <c r="S172" s="8"/>
      <c r="T172" s="8"/>
      <c r="U172" s="8"/>
      <c r="V172" s="7"/>
      <c r="W172" s="7"/>
      <c r="X172" s="146"/>
      <c r="Y172" s="37"/>
      <c r="Z172" s="60" t="str">
        <f t="shared" si="459"/>
        <v/>
      </c>
      <c r="AA172" s="40"/>
      <c r="AB172" s="40"/>
      <c r="AC172" s="40"/>
      <c r="AD172" s="40"/>
      <c r="AE172" s="58" t="str">
        <f t="shared" si="460"/>
        <v/>
      </c>
      <c r="AF172" s="12"/>
      <c r="AG172" s="58" t="str">
        <f t="shared" si="461"/>
        <v/>
      </c>
      <c r="AH172" s="40"/>
      <c r="AI172" s="40"/>
      <c r="AJ172" s="58" t="str">
        <f t="shared" si="462"/>
        <v/>
      </c>
      <c r="AK172" s="12"/>
      <c r="AL172" s="58" t="str">
        <f t="shared" si="463"/>
        <v/>
      </c>
      <c r="AM172" s="40"/>
      <c r="AN172" s="40"/>
      <c r="AO172" s="58" t="str">
        <f t="shared" si="464"/>
        <v/>
      </c>
      <c r="AP172" s="58" t="str">
        <f t="shared" si="465"/>
        <v/>
      </c>
      <c r="AQ172" s="58" t="str">
        <f t="shared" si="466"/>
        <v/>
      </c>
      <c r="AR172" s="59" t="str">
        <f t="shared" si="467"/>
        <v/>
      </c>
      <c r="AS172" s="12"/>
      <c r="AT172" s="49" t="s">
        <v>591</v>
      </c>
      <c r="AU172" s="49"/>
      <c r="AV172" s="61" t="str">
        <f>IF(_xlfn.XLOOKUP(AT172, AutoFill_classes!$A:$A, AutoFill_classes!$B:$B,"")=0,"",_xlfn.XLOOKUP(AT172, AutoFill_classes!$A:$A, AutoFill_classes!$B:$B,""))</f>
        <v>Topics in Ministry</v>
      </c>
      <c r="AW172" s="154"/>
      <c r="AX172" s="12" t="s">
        <v>56</v>
      </c>
      <c r="AY172" s="13" t="s">
        <v>86</v>
      </c>
      <c r="AZ172" s="12" t="s">
        <v>78</v>
      </c>
      <c r="BA172" s="13" t="s">
        <v>63</v>
      </c>
      <c r="BB172" s="13" t="s">
        <v>60</v>
      </c>
      <c r="BC172" s="146">
        <v>3</v>
      </c>
      <c r="BD172" s="37">
        <v>1050</v>
      </c>
      <c r="BE172" s="60">
        <f t="shared" si="468"/>
        <v>3150</v>
      </c>
      <c r="BF172" s="32"/>
      <c r="BG172" s="32"/>
      <c r="BH172" s="32"/>
      <c r="BI172" s="32"/>
      <c r="BJ172" s="58" t="str">
        <f t="shared" si="469"/>
        <v/>
      </c>
      <c r="BK172" s="20"/>
      <c r="BL172" s="58" t="str">
        <f t="shared" si="470"/>
        <v/>
      </c>
      <c r="BM172" s="32"/>
      <c r="BN172" s="32"/>
      <c r="BO172" s="58" t="str">
        <f t="shared" si="471"/>
        <v/>
      </c>
      <c r="BP172" s="20"/>
      <c r="BQ172" s="58" t="str">
        <f t="shared" si="472"/>
        <v/>
      </c>
      <c r="BR172" s="32"/>
      <c r="BS172" s="32"/>
      <c r="BT172" s="58" t="str">
        <f t="shared" si="473"/>
        <v/>
      </c>
      <c r="BU172" s="58" t="str">
        <f t="shared" si="474"/>
        <v/>
      </c>
      <c r="BV172" s="58" t="str">
        <f t="shared" si="475"/>
        <v/>
      </c>
      <c r="BW172" s="59" t="str">
        <f t="shared" si="476"/>
        <v/>
      </c>
      <c r="BX172" s="12"/>
      <c r="BY172" s="49"/>
      <c r="BZ172" s="49"/>
      <c r="CA172" s="61" t="str">
        <f>IF(_xlfn.XLOOKUP(BY172, AutoFill_classes!$A:$A, AutoFill_classes!$B:$B,"")=0,"",_xlfn.XLOOKUP(BY172, AutoFill_classes!$A:$A, AutoFill_classes!$B:$B,""))</f>
        <v/>
      </c>
      <c r="CB172" s="154"/>
      <c r="CC172" s="12"/>
      <c r="CD172" s="12"/>
      <c r="CE172" s="12"/>
      <c r="CF172" s="7"/>
      <c r="CG172" s="37"/>
      <c r="CH172" s="146"/>
      <c r="CI172" s="41"/>
      <c r="CJ172" s="60" t="str">
        <f t="shared" si="477"/>
        <v/>
      </c>
      <c r="CK172" s="32"/>
      <c r="CL172" s="32"/>
      <c r="CM172" s="32"/>
      <c r="CN172" s="32"/>
      <c r="CO172" s="58" t="str">
        <f t="shared" si="478"/>
        <v/>
      </c>
      <c r="CP172" s="20"/>
      <c r="CQ172" s="58" t="str">
        <f t="shared" si="479"/>
        <v/>
      </c>
      <c r="CR172" s="32"/>
      <c r="CS172" s="32"/>
      <c r="CT172" s="58" t="str">
        <f t="shared" si="480"/>
        <v/>
      </c>
      <c r="CU172" s="20"/>
      <c r="CV172" s="58" t="str">
        <f t="shared" si="481"/>
        <v/>
      </c>
      <c r="CW172" s="32"/>
      <c r="CX172" s="32"/>
      <c r="CY172" s="58" t="str">
        <f t="shared" si="482"/>
        <v/>
      </c>
      <c r="CZ172" s="58" t="str">
        <f t="shared" si="483"/>
        <v/>
      </c>
      <c r="DA172" s="58" t="str">
        <f t="shared" si="484"/>
        <v/>
      </c>
      <c r="DB172" s="59" t="str">
        <f t="shared" si="485"/>
        <v/>
      </c>
      <c r="DC172" s="12"/>
      <c r="DD172" s="146"/>
      <c r="DE172" s="91">
        <v>167</v>
      </c>
    </row>
    <row r="173" spans="1:109" s="39" customFormat="1" ht="13">
      <c r="A173" s="7" t="s">
        <v>1302</v>
      </c>
      <c r="B173" s="23" t="str">
        <f>IF(_xlfn.XLOOKUP(A173, AutoFill_names!B:B, AutoFill_names!C:C,"")=0,"",_xlfn.XLOOKUP(A173, AutoFill_names!B:B, AutoFill_names!C:C,""))</f>
        <v/>
      </c>
      <c r="C173" s="23" t="str">
        <f>IF(_xlfn.XLOOKUP(A173, AutoFill_names!B:B, AutoFill_names!D:D,"")=0,"",_xlfn.XLOOKUP(A173, AutoFill_names!B:B, AutoFill_names!D:D,""))</f>
        <v/>
      </c>
      <c r="D173" s="23" t="str">
        <f>IF(_xlfn.XLOOKUP(A173, AutoFill_names!B:B, AutoFill_names!E:E,"")=0,"",_xlfn.XLOOKUP(A173, AutoFill_names!B:B, AutoFill_names!E:E,""))</f>
        <v/>
      </c>
      <c r="E173" s="23" t="str">
        <f>IF(_xlfn.XLOOKUP(A173, AutoFill_names!B:B, AutoFill_names!F:F,"")=0,"",_xlfn.XLOOKUP(A173, AutoFill_names!B:B, AutoFill_names!F:F,""))</f>
        <v/>
      </c>
      <c r="F173" s="4" t="s">
        <v>73</v>
      </c>
      <c r="G173" s="4"/>
      <c r="H173" s="4"/>
      <c r="I173" s="4"/>
      <c r="J173" s="23" t="str">
        <f>IF(_xlfn.XLOOKUP(A173, AutoFill_names!B:B, AutoFill_names!K:K,"")=0,"",_xlfn.XLOOKUP(A173, AutoFill_names!B:B, AutoFill_names!K:K,""))</f>
        <v/>
      </c>
      <c r="K173" s="23" t="str">
        <f>IF(_xlfn.XLOOKUP(A173, AutoFill_names!B:B, AutoFill_names!L:L,"")=0,"",_xlfn.XLOOKUP(A173, AutoFill_names!B:B, AutoFill_names!L:L,""))</f>
        <v/>
      </c>
      <c r="L173" s="8"/>
      <c r="M173" s="8"/>
      <c r="N173" s="61" t="str">
        <f>IF(_xlfn.XLOOKUP(L173, AutoFill_classes!A:A, AutoFill_classes!B:B,"")=0,"",_xlfn.XLOOKUP(L173, AutoFill_classes!A:A, AutoFill_classes!B:B,""))</f>
        <v/>
      </c>
      <c r="O173" s="154"/>
      <c r="P173" s="11"/>
      <c r="Q173" s="11"/>
      <c r="R173" s="11"/>
      <c r="S173" s="8"/>
      <c r="T173" s="8"/>
      <c r="U173" s="8"/>
      <c r="V173" s="7"/>
      <c r="W173" s="7"/>
      <c r="X173" s="146"/>
      <c r="Y173" s="37"/>
      <c r="Z173" s="60" t="str">
        <f t="shared" si="459"/>
        <v/>
      </c>
      <c r="AA173" s="40"/>
      <c r="AB173" s="40"/>
      <c r="AC173" s="40"/>
      <c r="AD173" s="40"/>
      <c r="AE173" s="58" t="str">
        <f t="shared" si="460"/>
        <v/>
      </c>
      <c r="AF173" s="12"/>
      <c r="AG173" s="58" t="str">
        <f t="shared" si="461"/>
        <v/>
      </c>
      <c r="AH173" s="40"/>
      <c r="AI173" s="40"/>
      <c r="AJ173" s="58" t="str">
        <f t="shared" si="462"/>
        <v/>
      </c>
      <c r="AK173" s="12"/>
      <c r="AL173" s="58" t="str">
        <f t="shared" si="463"/>
        <v/>
      </c>
      <c r="AM173" s="40"/>
      <c r="AN173" s="40"/>
      <c r="AO173" s="58" t="str">
        <f t="shared" si="464"/>
        <v/>
      </c>
      <c r="AP173" s="58" t="str">
        <f t="shared" si="465"/>
        <v/>
      </c>
      <c r="AQ173" s="58" t="str">
        <f t="shared" si="466"/>
        <v/>
      </c>
      <c r="AR173" s="59" t="str">
        <f t="shared" si="467"/>
        <v/>
      </c>
      <c r="AS173" s="12"/>
      <c r="AT173" s="49"/>
      <c r="AU173" s="49"/>
      <c r="AV173" s="61" t="str">
        <f>IF(_xlfn.XLOOKUP(AT173, AutoFill_classes!$A:$A, AutoFill_classes!$B:$B,"")=0,"",_xlfn.XLOOKUP(AT173, AutoFill_classes!$A:$A, AutoFill_classes!$B:$B,""))</f>
        <v/>
      </c>
      <c r="AW173" s="154"/>
      <c r="AX173" s="12"/>
      <c r="AY173" s="13"/>
      <c r="AZ173" s="12"/>
      <c r="BA173" s="13"/>
      <c r="BB173" s="13"/>
      <c r="BC173" s="146"/>
      <c r="BD173" s="37"/>
      <c r="BE173" s="60" t="str">
        <f t="shared" si="468"/>
        <v/>
      </c>
      <c r="BF173" s="32"/>
      <c r="BG173" s="32"/>
      <c r="BH173" s="32"/>
      <c r="BI173" s="32"/>
      <c r="BJ173" s="58" t="str">
        <f t="shared" si="469"/>
        <v/>
      </c>
      <c r="BK173" s="20"/>
      <c r="BL173" s="58" t="str">
        <f t="shared" si="470"/>
        <v/>
      </c>
      <c r="BM173" s="32"/>
      <c r="BN173" s="32"/>
      <c r="BO173" s="58" t="str">
        <f t="shared" si="471"/>
        <v/>
      </c>
      <c r="BP173" s="20"/>
      <c r="BQ173" s="58" t="str">
        <f t="shared" si="472"/>
        <v/>
      </c>
      <c r="BR173" s="32"/>
      <c r="BS173" s="32"/>
      <c r="BT173" s="58" t="str">
        <f t="shared" si="473"/>
        <v/>
      </c>
      <c r="BU173" s="58" t="str">
        <f t="shared" si="474"/>
        <v/>
      </c>
      <c r="BV173" s="58" t="str">
        <f t="shared" si="475"/>
        <v/>
      </c>
      <c r="BW173" s="59" t="str">
        <f t="shared" si="476"/>
        <v/>
      </c>
      <c r="BX173" s="12"/>
      <c r="BY173" s="49" t="s">
        <v>597</v>
      </c>
      <c r="BZ173" s="49"/>
      <c r="CA173" s="61" t="str">
        <f>IF(_xlfn.XLOOKUP(BY173, AutoFill_classes!$A:$A, AutoFill_classes!$B:$B,"")=0,"",_xlfn.XLOOKUP(BY173, AutoFill_classes!$A:$A, AutoFill_classes!$B:$B,""))</f>
        <v>Church Grwth&amp; Equipping Leader</v>
      </c>
      <c r="CB173" s="154"/>
      <c r="CC173" s="12" t="s">
        <v>56</v>
      </c>
      <c r="CD173" s="12" t="s">
        <v>86</v>
      </c>
      <c r="CE173" s="12" t="s">
        <v>116</v>
      </c>
      <c r="CF173" s="7" t="s">
        <v>63</v>
      </c>
      <c r="CG173" s="37" t="s">
        <v>60</v>
      </c>
      <c r="CH173" s="146">
        <v>3</v>
      </c>
      <c r="CI173" s="41">
        <v>1050</v>
      </c>
      <c r="CJ173" s="60">
        <f t="shared" si="477"/>
        <v>3150</v>
      </c>
      <c r="CK173" s="32"/>
      <c r="CL173" s="32"/>
      <c r="CM173" s="32"/>
      <c r="CN173" s="32"/>
      <c r="CO173" s="58" t="str">
        <f t="shared" si="478"/>
        <v/>
      </c>
      <c r="CP173" s="20"/>
      <c r="CQ173" s="58" t="str">
        <f t="shared" si="479"/>
        <v/>
      </c>
      <c r="CR173" s="32"/>
      <c r="CS173" s="32"/>
      <c r="CT173" s="58" t="str">
        <f t="shared" si="480"/>
        <v/>
      </c>
      <c r="CU173" s="20"/>
      <c r="CV173" s="58" t="str">
        <f t="shared" si="481"/>
        <v/>
      </c>
      <c r="CW173" s="32"/>
      <c r="CX173" s="32"/>
      <c r="CY173" s="58" t="str">
        <f t="shared" si="482"/>
        <v/>
      </c>
      <c r="CZ173" s="58" t="str">
        <f t="shared" si="483"/>
        <v/>
      </c>
      <c r="DA173" s="58" t="str">
        <f t="shared" si="484"/>
        <v/>
      </c>
      <c r="DB173" s="59" t="str">
        <f t="shared" si="485"/>
        <v/>
      </c>
      <c r="DC173" s="12"/>
      <c r="DD173" s="146"/>
      <c r="DE173" s="91">
        <v>168</v>
      </c>
    </row>
    <row r="174" spans="1:109" s="39" customFormat="1" ht="13">
      <c r="A174" s="7" t="s">
        <v>227</v>
      </c>
      <c r="B174" s="23" t="str">
        <f>IF(_xlfn.XLOOKUP(A174, AutoFill_names!B:B, AutoFill_names!C:C,"")=0,"",_xlfn.XLOOKUP(A174, AutoFill_names!B:B, AutoFill_names!C:C,""))</f>
        <v>000069431</v>
      </c>
      <c r="C174" s="23" t="str">
        <f>IF(_xlfn.XLOOKUP(A174, AutoFill_names!B:B, AutoFill_names!D:D,"")=0,"",_xlfn.XLOOKUP(A174, AutoFill_names!B:B, AutoFill_names!D:D,""))</f>
        <v>kenley@andrews.edu</v>
      </c>
      <c r="D174" s="23" t="str">
        <f>IF(_xlfn.XLOOKUP(A174, AutoFill_names!B:B, AutoFill_names!E:E,"")=0,"",_xlfn.XLOOKUP(A174, AutoFill_names!B:B, AutoFill_names!E:E,""))</f>
        <v/>
      </c>
      <c r="E174" s="23" t="str">
        <f>IF(_xlfn.XLOOKUP(A174, AutoFill_names!B:B, AutoFill_names!F:F,"")=0,"",_xlfn.XLOOKUP(A174, AutoFill_names!B:B, AutoFill_names!F:F,""))</f>
        <v/>
      </c>
      <c r="F174" s="4" t="s">
        <v>73</v>
      </c>
      <c r="G174" s="4"/>
      <c r="H174" s="4"/>
      <c r="I174" s="4"/>
      <c r="J174" s="23" t="str">
        <f>IF(_xlfn.XLOOKUP(A174, AutoFill_names!B:B, AutoFill_names!K:K,"")=0,"",_xlfn.XLOOKUP(A174, AutoFill_names!B:B, AutoFill_names!K:K,""))</f>
        <v/>
      </c>
      <c r="K174" s="23" t="str">
        <f>IF(_xlfn.XLOOKUP(A174, AutoFill_names!B:B, AutoFill_names!L:L,"")=0,"",_xlfn.XLOOKUP(A174, AutoFill_names!B:B, AutoFill_names!L:L,""))</f>
        <v/>
      </c>
      <c r="L174" s="8" t="s">
        <v>620</v>
      </c>
      <c r="M174" s="8"/>
      <c r="N174" s="61" t="str">
        <f>IF(_xlfn.XLOOKUP(L174, AutoFill_classes!A:A, AutoFill_classes!B:B,"")=0,"",_xlfn.XLOOKUP(L174, AutoFill_classes!A:A, AutoFill_classes!B:B,""))</f>
        <v>Seminar in Preaching</v>
      </c>
      <c r="O174" s="154"/>
      <c r="P174" s="11"/>
      <c r="Q174" s="11"/>
      <c r="R174" s="11"/>
      <c r="S174" s="8" t="s">
        <v>85</v>
      </c>
      <c r="T174" s="8" t="s">
        <v>93</v>
      </c>
      <c r="U174" s="8" t="s">
        <v>58</v>
      </c>
      <c r="V174" s="7" t="s">
        <v>63</v>
      </c>
      <c r="W174" s="7" t="s">
        <v>60</v>
      </c>
      <c r="X174" s="146">
        <v>3</v>
      </c>
      <c r="Y174" s="37">
        <v>1050</v>
      </c>
      <c r="Z174" s="60">
        <f t="shared" si="459"/>
        <v>3150</v>
      </c>
      <c r="AA174" s="40"/>
      <c r="AB174" s="40"/>
      <c r="AC174" s="40"/>
      <c r="AD174" s="40"/>
      <c r="AE174" s="58" t="str">
        <f t="shared" si="460"/>
        <v/>
      </c>
      <c r="AF174" s="12"/>
      <c r="AG174" s="58" t="str">
        <f t="shared" si="461"/>
        <v/>
      </c>
      <c r="AH174" s="40"/>
      <c r="AI174" s="40"/>
      <c r="AJ174" s="58" t="str">
        <f t="shared" si="462"/>
        <v/>
      </c>
      <c r="AK174" s="12"/>
      <c r="AL174" s="58" t="str">
        <f t="shared" si="463"/>
        <v/>
      </c>
      <c r="AM174" s="40"/>
      <c r="AN174" s="40"/>
      <c r="AO174" s="58" t="str">
        <f t="shared" si="464"/>
        <v/>
      </c>
      <c r="AP174" s="58" t="str">
        <f t="shared" si="465"/>
        <v/>
      </c>
      <c r="AQ174" s="58" t="str">
        <f t="shared" si="466"/>
        <v/>
      </c>
      <c r="AR174" s="59" t="str">
        <f t="shared" si="467"/>
        <v/>
      </c>
      <c r="AS174" s="12"/>
      <c r="AT174" s="49"/>
      <c r="AU174" s="49"/>
      <c r="AV174" s="61" t="str">
        <f>IF(_xlfn.XLOOKUP(AT174, AutoFill_classes!$A:$A, AutoFill_classes!$B:$B,"")=0,"",_xlfn.XLOOKUP(AT174, AutoFill_classes!$A:$A, AutoFill_classes!$B:$B,""))</f>
        <v/>
      </c>
      <c r="AW174" s="154"/>
      <c r="AX174" s="12"/>
      <c r="AY174" s="13"/>
      <c r="AZ174" s="12"/>
      <c r="BA174" s="13"/>
      <c r="BB174" s="13"/>
      <c r="BC174" s="146"/>
      <c r="BD174" s="37"/>
      <c r="BE174" s="60" t="str">
        <f t="shared" si="468"/>
        <v/>
      </c>
      <c r="BF174" s="32"/>
      <c r="BG174" s="32"/>
      <c r="BH174" s="32"/>
      <c r="BI174" s="32"/>
      <c r="BJ174" s="58" t="str">
        <f t="shared" si="469"/>
        <v/>
      </c>
      <c r="BK174" s="20"/>
      <c r="BL174" s="58" t="str">
        <f t="shared" si="470"/>
        <v/>
      </c>
      <c r="BM174" s="32"/>
      <c r="BN174" s="32"/>
      <c r="BO174" s="58" t="str">
        <f t="shared" si="471"/>
        <v/>
      </c>
      <c r="BP174" s="20"/>
      <c r="BQ174" s="58" t="str">
        <f t="shared" si="472"/>
        <v/>
      </c>
      <c r="BR174" s="32"/>
      <c r="BS174" s="32"/>
      <c r="BT174" s="58" t="str">
        <f t="shared" si="473"/>
        <v/>
      </c>
      <c r="BU174" s="58" t="str">
        <f t="shared" si="474"/>
        <v/>
      </c>
      <c r="BV174" s="58" t="str">
        <f t="shared" si="475"/>
        <v/>
      </c>
      <c r="BW174" s="59" t="str">
        <f t="shared" si="476"/>
        <v/>
      </c>
      <c r="BX174" s="12"/>
      <c r="BY174" s="49"/>
      <c r="BZ174" s="49"/>
      <c r="CA174" s="61" t="str">
        <f>IF(_xlfn.XLOOKUP(BY174, AutoFill_classes!$A:$A, AutoFill_classes!$B:$B,"")=0,"",_xlfn.XLOOKUP(BY174, AutoFill_classes!$A:$A, AutoFill_classes!$B:$B,""))</f>
        <v/>
      </c>
      <c r="CB174" s="154"/>
      <c r="CC174" s="12"/>
      <c r="CD174" s="12"/>
      <c r="CE174" s="12"/>
      <c r="CF174" s="7"/>
      <c r="CG174" s="37"/>
      <c r="CH174" s="146"/>
      <c r="CI174" s="41"/>
      <c r="CJ174" s="60" t="str">
        <f t="shared" si="477"/>
        <v/>
      </c>
      <c r="CK174" s="32"/>
      <c r="CL174" s="32"/>
      <c r="CM174" s="32"/>
      <c r="CN174" s="32"/>
      <c r="CO174" s="58" t="str">
        <f t="shared" si="478"/>
        <v/>
      </c>
      <c r="CP174" s="20"/>
      <c r="CQ174" s="58" t="str">
        <f t="shared" si="479"/>
        <v/>
      </c>
      <c r="CR174" s="32"/>
      <c r="CS174" s="32"/>
      <c r="CT174" s="58" t="str">
        <f t="shared" si="480"/>
        <v/>
      </c>
      <c r="CU174" s="20"/>
      <c r="CV174" s="58" t="str">
        <f t="shared" si="481"/>
        <v/>
      </c>
      <c r="CW174" s="32"/>
      <c r="CX174" s="32"/>
      <c r="CY174" s="58" t="str">
        <f t="shared" si="482"/>
        <v/>
      </c>
      <c r="CZ174" s="58" t="str">
        <f t="shared" si="483"/>
        <v/>
      </c>
      <c r="DA174" s="58" t="str">
        <f t="shared" si="484"/>
        <v/>
      </c>
      <c r="DB174" s="59" t="str">
        <f t="shared" si="485"/>
        <v/>
      </c>
      <c r="DC174" s="12"/>
      <c r="DD174" s="146"/>
      <c r="DE174" s="91">
        <v>169</v>
      </c>
    </row>
    <row r="175" spans="1:109" s="39" customFormat="1" ht="13">
      <c r="A175" s="7" t="s">
        <v>161</v>
      </c>
      <c r="B175" s="23" t="str">
        <f>IF(_xlfn.XLOOKUP(A175, AutoFill_names!B:B, AutoFill_names!C:C,"")=0,"",_xlfn.XLOOKUP(A175, AutoFill_names!B:B, AutoFill_names!C:C,""))</f>
        <v>000048969</v>
      </c>
      <c r="C175" s="23" t="str">
        <f>IF(_xlfn.XLOOKUP(A175, AutoFill_names!B:B, AutoFill_names!D:D,"")=0,"",_xlfn.XLOOKUP(A175, AutoFill_names!B:B, AutoFill_names!D:D,""))</f>
        <v>hucks@andrews.edu</v>
      </c>
      <c r="D175" s="23" t="str">
        <f>IF(_xlfn.XLOOKUP(A175, AutoFill_names!B:B, AutoFill_names!E:E,"")=0,"",_xlfn.XLOOKUP(A175, AutoFill_names!B:B, AutoFill_names!E:E,""))</f>
        <v/>
      </c>
      <c r="E175" s="23" t="str">
        <f>IF(_xlfn.XLOOKUP(A175, AutoFill_names!B:B, AutoFill_names!F:F,"")=0,"",_xlfn.XLOOKUP(A175, AutoFill_names!B:B, AutoFill_names!F:F,""))</f>
        <v/>
      </c>
      <c r="F175" s="4" t="s">
        <v>73</v>
      </c>
      <c r="G175" s="4"/>
      <c r="H175" s="4"/>
      <c r="I175" s="4"/>
      <c r="J175" s="23" t="str">
        <f>IF(_xlfn.XLOOKUP(A175, AutoFill_names!B:B, AutoFill_names!K:K,"")=0,"",_xlfn.XLOOKUP(A175, AutoFill_names!B:B, AutoFill_names!K:K,""))</f>
        <v/>
      </c>
      <c r="K175" s="23" t="str">
        <f>IF(_xlfn.XLOOKUP(A175, AutoFill_names!B:B, AutoFill_names!L:L,"")=0,"",_xlfn.XLOOKUP(A175, AutoFill_names!B:B, AutoFill_names!L:L,""))</f>
        <v/>
      </c>
      <c r="L175" s="8"/>
      <c r="M175" s="8"/>
      <c r="N175" s="61" t="str">
        <f>IF(_xlfn.XLOOKUP(L175, AutoFill_classes!A:A, AutoFill_classes!B:B,"")=0,"",_xlfn.XLOOKUP(L175, AutoFill_classes!A:A, AutoFill_classes!B:B,""))</f>
        <v/>
      </c>
      <c r="O175" s="154"/>
      <c r="P175" s="11"/>
      <c r="Q175" s="11"/>
      <c r="R175" s="11"/>
      <c r="S175" s="8"/>
      <c r="T175" s="8"/>
      <c r="U175" s="8"/>
      <c r="V175" s="7"/>
      <c r="W175" s="7"/>
      <c r="X175" s="146"/>
      <c r="Y175" s="37"/>
      <c r="Z175" s="60" t="str">
        <f t="shared" si="459"/>
        <v/>
      </c>
      <c r="AA175" s="40"/>
      <c r="AB175" s="40"/>
      <c r="AC175" s="40"/>
      <c r="AD175" s="40"/>
      <c r="AE175" s="58" t="str">
        <f t="shared" si="460"/>
        <v/>
      </c>
      <c r="AF175" s="12"/>
      <c r="AG175" s="58" t="str">
        <f t="shared" si="461"/>
        <v/>
      </c>
      <c r="AH175" s="40"/>
      <c r="AI175" s="40"/>
      <c r="AJ175" s="58" t="str">
        <f t="shared" si="462"/>
        <v/>
      </c>
      <c r="AK175" s="12"/>
      <c r="AL175" s="58" t="str">
        <f t="shared" si="463"/>
        <v/>
      </c>
      <c r="AM175" s="40"/>
      <c r="AN175" s="40"/>
      <c r="AO175" s="58" t="str">
        <f t="shared" si="464"/>
        <v/>
      </c>
      <c r="AP175" s="58" t="str">
        <f t="shared" si="465"/>
        <v/>
      </c>
      <c r="AQ175" s="58" t="str">
        <f t="shared" si="466"/>
        <v/>
      </c>
      <c r="AR175" s="59" t="str">
        <f t="shared" si="467"/>
        <v/>
      </c>
      <c r="AS175" s="12"/>
      <c r="AT175" s="49" t="s">
        <v>620</v>
      </c>
      <c r="AU175" s="49"/>
      <c r="AV175" s="61" t="str">
        <f>IF(_xlfn.XLOOKUP(AT175, AutoFill_classes!$A:$A, AutoFill_classes!$B:$B,"")=0,"",_xlfn.XLOOKUP(AT175, AutoFill_classes!$A:$A, AutoFill_classes!$B:$B,""))</f>
        <v>Seminar in Preaching</v>
      </c>
      <c r="AW175" s="154"/>
      <c r="AX175" s="12" t="s">
        <v>56</v>
      </c>
      <c r="AY175" s="13" t="s">
        <v>93</v>
      </c>
      <c r="AZ175" s="12" t="s">
        <v>116</v>
      </c>
      <c r="BA175" s="13" t="s">
        <v>63</v>
      </c>
      <c r="BB175" s="13" t="s">
        <v>60</v>
      </c>
      <c r="BC175" s="146">
        <v>3</v>
      </c>
      <c r="BD175" s="37">
        <v>1050</v>
      </c>
      <c r="BE175" s="60">
        <f t="shared" si="468"/>
        <v>3150</v>
      </c>
      <c r="BF175" s="32"/>
      <c r="BG175" s="32"/>
      <c r="BH175" s="32"/>
      <c r="BI175" s="32"/>
      <c r="BJ175" s="58" t="str">
        <f t="shared" si="469"/>
        <v/>
      </c>
      <c r="BK175" s="20"/>
      <c r="BL175" s="58" t="str">
        <f t="shared" si="470"/>
        <v/>
      </c>
      <c r="BM175" s="32"/>
      <c r="BN175" s="32"/>
      <c r="BO175" s="58" t="str">
        <f t="shared" si="471"/>
        <v/>
      </c>
      <c r="BP175" s="20"/>
      <c r="BQ175" s="58" t="str">
        <f t="shared" si="472"/>
        <v/>
      </c>
      <c r="BR175" s="32"/>
      <c r="BS175" s="32"/>
      <c r="BT175" s="58" t="str">
        <f t="shared" si="473"/>
        <v/>
      </c>
      <c r="BU175" s="58" t="str">
        <f t="shared" si="474"/>
        <v/>
      </c>
      <c r="BV175" s="58" t="str">
        <f t="shared" si="475"/>
        <v/>
      </c>
      <c r="BW175" s="59" t="str">
        <f t="shared" si="476"/>
        <v/>
      </c>
      <c r="BX175" s="12"/>
      <c r="BY175" s="49" t="s">
        <v>620</v>
      </c>
      <c r="BZ175" s="49"/>
      <c r="CA175" s="61" t="str">
        <f>IF(_xlfn.XLOOKUP(BY175, AutoFill_classes!$A:$A, AutoFill_classes!$B:$B,"")=0,"",_xlfn.XLOOKUP(BY175, AutoFill_classes!$A:$A, AutoFill_classes!$B:$B,""))</f>
        <v>Seminar in Preaching</v>
      </c>
      <c r="CB175" s="154"/>
      <c r="CC175" s="12" t="s">
        <v>56</v>
      </c>
      <c r="CD175" s="12" t="s">
        <v>93</v>
      </c>
      <c r="CE175" s="12" t="s">
        <v>111</v>
      </c>
      <c r="CF175" s="7" t="s">
        <v>63</v>
      </c>
      <c r="CG175" s="37" t="s">
        <v>60</v>
      </c>
      <c r="CH175" s="146">
        <v>3</v>
      </c>
      <c r="CI175" s="41">
        <v>1050</v>
      </c>
      <c r="CJ175" s="60">
        <f t="shared" si="477"/>
        <v>3150</v>
      </c>
      <c r="CK175" s="32"/>
      <c r="CL175" s="32"/>
      <c r="CM175" s="32"/>
      <c r="CN175" s="32"/>
      <c r="CO175" s="58" t="str">
        <f t="shared" si="478"/>
        <v/>
      </c>
      <c r="CP175" s="20"/>
      <c r="CQ175" s="58" t="str">
        <f t="shared" si="479"/>
        <v/>
      </c>
      <c r="CR175" s="32"/>
      <c r="CS175" s="32"/>
      <c r="CT175" s="58" t="str">
        <f t="shared" si="480"/>
        <v/>
      </c>
      <c r="CU175" s="20"/>
      <c r="CV175" s="58" t="str">
        <f t="shared" si="481"/>
        <v/>
      </c>
      <c r="CW175" s="32"/>
      <c r="CX175" s="32"/>
      <c r="CY175" s="58" t="str">
        <f t="shared" si="482"/>
        <v/>
      </c>
      <c r="CZ175" s="58" t="str">
        <f t="shared" si="483"/>
        <v/>
      </c>
      <c r="DA175" s="58" t="str">
        <f t="shared" si="484"/>
        <v/>
      </c>
      <c r="DB175" s="59" t="str">
        <f t="shared" si="485"/>
        <v/>
      </c>
      <c r="DC175" s="12"/>
      <c r="DD175" s="146"/>
      <c r="DE175" s="91">
        <v>170</v>
      </c>
    </row>
    <row r="176" spans="1:109" s="39" customFormat="1" ht="13">
      <c r="A176" s="7" t="s">
        <v>1303</v>
      </c>
      <c r="B176" s="23" t="str">
        <f>IF(_xlfn.XLOOKUP(A176, AutoFill_names!B:B, AutoFill_names!C:C,"")=0,"",_xlfn.XLOOKUP(A176, AutoFill_names!B:B, AutoFill_names!C:C,""))</f>
        <v/>
      </c>
      <c r="C176" s="23" t="str">
        <f>IF(_xlfn.XLOOKUP(A176, AutoFill_names!B:B, AutoFill_names!D:D,"")=0,"",_xlfn.XLOOKUP(A176, AutoFill_names!B:B, AutoFill_names!D:D,""))</f>
        <v/>
      </c>
      <c r="D176" s="23" t="str">
        <f>IF(_xlfn.XLOOKUP(A176, AutoFill_names!B:B, AutoFill_names!E:E,"")=0,"",_xlfn.XLOOKUP(A176, AutoFill_names!B:B, AutoFill_names!E:E,""))</f>
        <v/>
      </c>
      <c r="E176" s="23" t="str">
        <f>IF(_xlfn.XLOOKUP(A176, AutoFill_names!B:B, AutoFill_names!F:F,"")=0,"",_xlfn.XLOOKUP(A176, AutoFill_names!B:B, AutoFill_names!F:F,""))</f>
        <v/>
      </c>
      <c r="F176" s="4" t="s">
        <v>73</v>
      </c>
      <c r="G176" s="4"/>
      <c r="H176" s="4"/>
      <c r="I176" s="4"/>
      <c r="J176" s="23" t="str">
        <f>IF(_xlfn.XLOOKUP(A176, AutoFill_names!B:B, AutoFill_names!K:K,"")=0,"",_xlfn.XLOOKUP(A176, AutoFill_names!B:B, AutoFill_names!K:K,""))</f>
        <v/>
      </c>
      <c r="K176" s="23" t="str">
        <f>IF(_xlfn.XLOOKUP(A176, AutoFill_names!B:B, AutoFill_names!L:L,"")=0,"",_xlfn.XLOOKUP(A176, AutoFill_names!B:B, AutoFill_names!L:L,""))</f>
        <v/>
      </c>
      <c r="L176" s="8"/>
      <c r="M176" s="8"/>
      <c r="N176" s="61" t="str">
        <f>IF(_xlfn.XLOOKUP(L176, AutoFill_classes!A:A, AutoFill_classes!B:B,"")=0,"",_xlfn.XLOOKUP(L176, AutoFill_classes!A:A, AutoFill_classes!B:B,""))</f>
        <v/>
      </c>
      <c r="O176" s="154"/>
      <c r="P176" s="11"/>
      <c r="Q176" s="11"/>
      <c r="R176" s="11"/>
      <c r="S176" s="8"/>
      <c r="T176" s="8"/>
      <c r="U176" s="8"/>
      <c r="V176" s="7"/>
      <c r="W176" s="7"/>
      <c r="X176" s="146"/>
      <c r="Y176" s="37"/>
      <c r="Z176" s="60" t="str">
        <f t="shared" si="459"/>
        <v/>
      </c>
      <c r="AA176" s="40"/>
      <c r="AB176" s="40"/>
      <c r="AC176" s="40"/>
      <c r="AD176" s="40"/>
      <c r="AE176" s="58" t="str">
        <f t="shared" si="460"/>
        <v/>
      </c>
      <c r="AF176" s="12"/>
      <c r="AG176" s="58" t="str">
        <f t="shared" si="461"/>
        <v/>
      </c>
      <c r="AH176" s="40"/>
      <c r="AI176" s="40"/>
      <c r="AJ176" s="58" t="str">
        <f t="shared" si="462"/>
        <v/>
      </c>
      <c r="AK176" s="12"/>
      <c r="AL176" s="58" t="str">
        <f t="shared" si="463"/>
        <v/>
      </c>
      <c r="AM176" s="40"/>
      <c r="AN176" s="40"/>
      <c r="AO176" s="58" t="str">
        <f t="shared" si="464"/>
        <v/>
      </c>
      <c r="AP176" s="58" t="str">
        <f t="shared" si="465"/>
        <v/>
      </c>
      <c r="AQ176" s="58" t="str">
        <f t="shared" si="466"/>
        <v/>
      </c>
      <c r="AR176" s="59" t="str">
        <f t="shared" si="467"/>
        <v/>
      </c>
      <c r="AS176" s="12"/>
      <c r="AT176" s="49" t="s">
        <v>602</v>
      </c>
      <c r="AU176" s="49"/>
      <c r="AV176" s="61" t="str">
        <f>IF(_xlfn.XLOOKUP(AT176, AutoFill_classes!$A:$A, AutoFill_classes!$B:$B,"")=0,"",_xlfn.XLOOKUP(AT176, AutoFill_classes!$A:$A, AutoFill_classes!$B:$B,""))</f>
        <v>The Church &amp; Social Issues</v>
      </c>
      <c r="AW176" s="154"/>
      <c r="AX176" s="12" t="s">
        <v>56</v>
      </c>
      <c r="AY176" s="13" t="s">
        <v>57</v>
      </c>
      <c r="AZ176" s="12" t="s">
        <v>58</v>
      </c>
      <c r="BA176" s="13" t="s">
        <v>63</v>
      </c>
      <c r="BB176" s="13" t="s">
        <v>60</v>
      </c>
      <c r="BC176" s="146">
        <v>2</v>
      </c>
      <c r="BD176" s="37">
        <v>1050</v>
      </c>
      <c r="BE176" s="60">
        <f t="shared" si="468"/>
        <v>2100</v>
      </c>
      <c r="BF176" s="32"/>
      <c r="BG176" s="32"/>
      <c r="BH176" s="32"/>
      <c r="BI176" s="32"/>
      <c r="BJ176" s="58" t="str">
        <f t="shared" si="469"/>
        <v/>
      </c>
      <c r="BK176" s="20"/>
      <c r="BL176" s="58" t="str">
        <f t="shared" si="470"/>
        <v/>
      </c>
      <c r="BM176" s="32"/>
      <c r="BN176" s="32"/>
      <c r="BO176" s="58" t="str">
        <f t="shared" si="471"/>
        <v/>
      </c>
      <c r="BP176" s="20"/>
      <c r="BQ176" s="58" t="str">
        <f t="shared" si="472"/>
        <v/>
      </c>
      <c r="BR176" s="32"/>
      <c r="BS176" s="32"/>
      <c r="BT176" s="58" t="str">
        <f t="shared" si="473"/>
        <v/>
      </c>
      <c r="BU176" s="58" t="str">
        <f t="shared" si="474"/>
        <v/>
      </c>
      <c r="BV176" s="58" t="str">
        <f t="shared" si="475"/>
        <v/>
      </c>
      <c r="BW176" s="59" t="str">
        <f t="shared" si="476"/>
        <v/>
      </c>
      <c r="BX176" s="12"/>
      <c r="BY176" s="49"/>
      <c r="BZ176" s="49"/>
      <c r="CA176" s="61" t="str">
        <f>IF(_xlfn.XLOOKUP(BY176, AutoFill_classes!$A:$A, AutoFill_classes!$B:$B,"")=0,"",_xlfn.XLOOKUP(BY176, AutoFill_classes!$A:$A, AutoFill_classes!$B:$B,""))</f>
        <v/>
      </c>
      <c r="CB176" s="154"/>
      <c r="CC176" s="12"/>
      <c r="CD176" s="12"/>
      <c r="CE176" s="12"/>
      <c r="CF176" s="7"/>
      <c r="CG176" s="37"/>
      <c r="CH176" s="146"/>
      <c r="CI176" s="41"/>
      <c r="CJ176" s="60" t="str">
        <f t="shared" si="477"/>
        <v/>
      </c>
      <c r="CK176" s="32"/>
      <c r="CL176" s="32"/>
      <c r="CM176" s="32"/>
      <c r="CN176" s="32"/>
      <c r="CO176" s="58" t="str">
        <f t="shared" si="478"/>
        <v/>
      </c>
      <c r="CP176" s="20"/>
      <c r="CQ176" s="58" t="str">
        <f t="shared" si="479"/>
        <v/>
      </c>
      <c r="CR176" s="32"/>
      <c r="CS176" s="32"/>
      <c r="CT176" s="58" t="str">
        <f t="shared" si="480"/>
        <v/>
      </c>
      <c r="CU176" s="20"/>
      <c r="CV176" s="58" t="str">
        <f t="shared" si="481"/>
        <v/>
      </c>
      <c r="CW176" s="32"/>
      <c r="CX176" s="32"/>
      <c r="CY176" s="58" t="str">
        <f t="shared" si="482"/>
        <v/>
      </c>
      <c r="CZ176" s="58" t="str">
        <f t="shared" si="483"/>
        <v/>
      </c>
      <c r="DA176" s="58" t="str">
        <f t="shared" si="484"/>
        <v/>
      </c>
      <c r="DB176" s="59" t="str">
        <f t="shared" si="485"/>
        <v/>
      </c>
      <c r="DC176" s="12"/>
      <c r="DD176" s="146"/>
      <c r="DE176" s="91">
        <v>171</v>
      </c>
    </row>
    <row r="177" spans="1:109" s="39" customFormat="1" ht="13">
      <c r="A177" s="7" t="s">
        <v>1304</v>
      </c>
      <c r="B177" s="23" t="str">
        <f>IF(_xlfn.XLOOKUP(A177, AutoFill_names!B:B, AutoFill_names!C:C,"")=0,"",_xlfn.XLOOKUP(A177, AutoFill_names!B:B, AutoFill_names!C:C,""))</f>
        <v/>
      </c>
      <c r="C177" s="23" t="str">
        <f>IF(_xlfn.XLOOKUP(A177, AutoFill_names!B:B, AutoFill_names!D:D,"")=0,"",_xlfn.XLOOKUP(A177, AutoFill_names!B:B, AutoFill_names!D:D,""))</f>
        <v/>
      </c>
      <c r="D177" s="23" t="str">
        <f>IF(_xlfn.XLOOKUP(A177, AutoFill_names!B:B, AutoFill_names!E:E,"")=0,"",_xlfn.XLOOKUP(A177, AutoFill_names!B:B, AutoFill_names!E:E,""))</f>
        <v/>
      </c>
      <c r="E177" s="23" t="str">
        <f>IF(_xlfn.XLOOKUP(A177, AutoFill_names!B:B, AutoFill_names!F:F,"")=0,"",_xlfn.XLOOKUP(A177, AutoFill_names!B:B, AutoFill_names!F:F,""))</f>
        <v/>
      </c>
      <c r="F177" s="4" t="s">
        <v>73</v>
      </c>
      <c r="G177" s="4"/>
      <c r="H177" s="4"/>
      <c r="I177" s="4"/>
      <c r="J177" s="23" t="str">
        <f>IF(_xlfn.XLOOKUP(A177, AutoFill_names!B:B, AutoFill_names!K:K,"")=0,"",_xlfn.XLOOKUP(A177, AutoFill_names!B:B, AutoFill_names!K:K,""))</f>
        <v/>
      </c>
      <c r="K177" s="23" t="str">
        <f>IF(_xlfn.XLOOKUP(A177, AutoFill_names!B:B, AutoFill_names!L:L,"")=0,"",_xlfn.XLOOKUP(A177, AutoFill_names!B:B, AutoFill_names!L:L,""))</f>
        <v/>
      </c>
      <c r="L177" s="8"/>
      <c r="M177" s="8"/>
      <c r="N177" s="61" t="str">
        <f>IF(_xlfn.XLOOKUP(L177, AutoFill_classes!A:A, AutoFill_classes!B:B,"")=0,"",_xlfn.XLOOKUP(L177, AutoFill_classes!A:A, AutoFill_classes!B:B,""))</f>
        <v/>
      </c>
      <c r="O177" s="154"/>
      <c r="P177" s="11"/>
      <c r="Q177" s="11"/>
      <c r="R177" s="11"/>
      <c r="S177" s="8"/>
      <c r="T177" s="8"/>
      <c r="U177" s="8"/>
      <c r="V177" s="7"/>
      <c r="W177" s="7"/>
      <c r="X177" s="146"/>
      <c r="Y177" s="37"/>
      <c r="Z177" s="60" t="str">
        <f t="shared" si="459"/>
        <v/>
      </c>
      <c r="AA177" s="40"/>
      <c r="AB177" s="40"/>
      <c r="AC177" s="40"/>
      <c r="AD177" s="40"/>
      <c r="AE177" s="58" t="str">
        <f t="shared" si="460"/>
        <v/>
      </c>
      <c r="AF177" s="12"/>
      <c r="AG177" s="58" t="str">
        <f t="shared" si="461"/>
        <v/>
      </c>
      <c r="AH177" s="40"/>
      <c r="AI177" s="40"/>
      <c r="AJ177" s="58" t="str">
        <f t="shared" si="462"/>
        <v/>
      </c>
      <c r="AK177" s="12"/>
      <c r="AL177" s="58" t="str">
        <f t="shared" si="463"/>
        <v/>
      </c>
      <c r="AM177" s="40"/>
      <c r="AN177" s="40"/>
      <c r="AO177" s="58" t="str">
        <f t="shared" si="464"/>
        <v/>
      </c>
      <c r="AP177" s="58" t="str">
        <f t="shared" si="465"/>
        <v/>
      </c>
      <c r="AQ177" s="58" t="str">
        <f t="shared" si="466"/>
        <v/>
      </c>
      <c r="AR177" s="59" t="str">
        <f t="shared" si="467"/>
        <v/>
      </c>
      <c r="AS177" s="12"/>
      <c r="AT177" s="49"/>
      <c r="AU177" s="49"/>
      <c r="AV177" s="61" t="str">
        <f>IF(_xlfn.XLOOKUP(AT177, AutoFill_classes!$A:$A, AutoFill_classes!$B:$B,"")=0,"",_xlfn.XLOOKUP(AT177, AutoFill_classes!$A:$A, AutoFill_classes!$B:$B,""))</f>
        <v/>
      </c>
      <c r="AW177" s="154"/>
      <c r="AX177" s="12"/>
      <c r="AY177" s="13"/>
      <c r="AZ177" s="12"/>
      <c r="BA177" s="13"/>
      <c r="BB177" s="13"/>
      <c r="BC177" s="146"/>
      <c r="BD177" s="37"/>
      <c r="BE177" s="60" t="str">
        <f t="shared" si="468"/>
        <v/>
      </c>
      <c r="BF177" s="32"/>
      <c r="BG177" s="32"/>
      <c r="BH177" s="32"/>
      <c r="BI177" s="32"/>
      <c r="BJ177" s="58" t="str">
        <f t="shared" si="469"/>
        <v/>
      </c>
      <c r="BK177" s="20"/>
      <c r="BL177" s="58" t="str">
        <f t="shared" si="470"/>
        <v/>
      </c>
      <c r="BM177" s="32"/>
      <c r="BN177" s="32"/>
      <c r="BO177" s="58" t="str">
        <f t="shared" si="471"/>
        <v/>
      </c>
      <c r="BP177" s="20"/>
      <c r="BQ177" s="58" t="str">
        <f t="shared" si="472"/>
        <v/>
      </c>
      <c r="BR177" s="32"/>
      <c r="BS177" s="32"/>
      <c r="BT177" s="58" t="str">
        <f t="shared" si="473"/>
        <v/>
      </c>
      <c r="BU177" s="58" t="str">
        <f t="shared" si="474"/>
        <v/>
      </c>
      <c r="BV177" s="58" t="str">
        <f t="shared" si="475"/>
        <v/>
      </c>
      <c r="BW177" s="59" t="str">
        <f t="shared" si="476"/>
        <v/>
      </c>
      <c r="BX177" s="12"/>
      <c r="BY177" s="49" t="s">
        <v>599</v>
      </c>
      <c r="BZ177" s="49"/>
      <c r="CA177" s="61" t="str">
        <f>IF(_xlfn.XLOOKUP(BY177, AutoFill_classes!$A:$A, AutoFill_classes!$B:$B,"")=0,"",_xlfn.XLOOKUP(BY177, AutoFill_classes!$A:$A, AutoFill_classes!$B:$B,""))</f>
        <v>Christn Lead in a Chnging Wrld</v>
      </c>
      <c r="CB177" s="154"/>
      <c r="CC177" s="12" t="s">
        <v>56</v>
      </c>
      <c r="CD177" s="12" t="s">
        <v>93</v>
      </c>
      <c r="CE177" s="12" t="s">
        <v>100</v>
      </c>
      <c r="CF177" s="7" t="s">
        <v>63</v>
      </c>
      <c r="CG177" s="37" t="s">
        <v>60</v>
      </c>
      <c r="CH177" s="146">
        <v>3</v>
      </c>
      <c r="CI177" s="41">
        <v>1050</v>
      </c>
      <c r="CJ177" s="60">
        <f t="shared" si="477"/>
        <v>3150</v>
      </c>
      <c r="CK177" s="32"/>
      <c r="CL177" s="32"/>
      <c r="CM177" s="32"/>
      <c r="CN177" s="32"/>
      <c r="CO177" s="58" t="str">
        <f t="shared" si="478"/>
        <v/>
      </c>
      <c r="CP177" s="20"/>
      <c r="CQ177" s="58" t="str">
        <f t="shared" si="479"/>
        <v/>
      </c>
      <c r="CR177" s="32"/>
      <c r="CS177" s="32"/>
      <c r="CT177" s="58" t="str">
        <f t="shared" si="480"/>
        <v/>
      </c>
      <c r="CU177" s="20"/>
      <c r="CV177" s="58" t="str">
        <f t="shared" si="481"/>
        <v/>
      </c>
      <c r="CW177" s="32"/>
      <c r="CX177" s="32"/>
      <c r="CY177" s="58" t="str">
        <f t="shared" si="482"/>
        <v/>
      </c>
      <c r="CZ177" s="58" t="str">
        <f t="shared" si="483"/>
        <v/>
      </c>
      <c r="DA177" s="58" t="str">
        <f t="shared" si="484"/>
        <v/>
      </c>
      <c r="DB177" s="59" t="str">
        <f t="shared" si="485"/>
        <v/>
      </c>
      <c r="DC177" s="12"/>
      <c r="DD177" s="146"/>
      <c r="DE177" s="91">
        <v>172</v>
      </c>
    </row>
    <row r="178" spans="1:109" s="39" customFormat="1" ht="13">
      <c r="A178" s="7"/>
      <c r="B178" s="23" t="str">
        <f>IF(_xlfn.XLOOKUP(A178, AutoFill_names!B:B, AutoFill_names!C:C,"")=0,"",_xlfn.XLOOKUP(A178, AutoFill_names!B:B, AutoFill_names!C:C,""))</f>
        <v/>
      </c>
      <c r="C178" s="23" t="str">
        <f>IF(_xlfn.XLOOKUP(A178, AutoFill_names!B:B, AutoFill_names!D:D,"")=0,"",_xlfn.XLOOKUP(A178, AutoFill_names!B:B, AutoFill_names!D:D,""))</f>
        <v/>
      </c>
      <c r="D178" s="23" t="str">
        <f>IF(_xlfn.XLOOKUP(A178, AutoFill_names!B:B, AutoFill_names!E:E,"")=0,"",_xlfn.XLOOKUP(A178, AutoFill_names!B:B, AutoFill_names!E:E,""))</f>
        <v/>
      </c>
      <c r="E178" s="23" t="str">
        <f>IF(_xlfn.XLOOKUP(A178, AutoFill_names!B:B, AutoFill_names!F:F,"")=0,"",_xlfn.XLOOKUP(A178, AutoFill_names!B:B, AutoFill_names!F:F,""))</f>
        <v/>
      </c>
      <c r="F178" s="4"/>
      <c r="G178" s="4"/>
      <c r="H178" s="4"/>
      <c r="I178" s="4"/>
      <c r="J178" s="23" t="str">
        <f>IF(_xlfn.XLOOKUP(A178, AutoFill_names!B:B, AutoFill_names!K:K,"")=0,"",_xlfn.XLOOKUP(A178, AutoFill_names!B:B, AutoFill_names!K:K,""))</f>
        <v/>
      </c>
      <c r="K178" s="23" t="str">
        <f>IF(_xlfn.XLOOKUP(A178, AutoFill_names!B:B, AutoFill_names!L:L,"")=0,"",_xlfn.XLOOKUP(A178, AutoFill_names!B:B, AutoFill_names!L:L,""))</f>
        <v/>
      </c>
      <c r="L178" s="8"/>
      <c r="M178" s="8"/>
      <c r="N178" s="61" t="str">
        <f>IF(_xlfn.XLOOKUP(L178, AutoFill_classes!A:A, AutoFill_classes!B:B,"")=0,"",_xlfn.XLOOKUP(L178, AutoFill_classes!A:A, AutoFill_classes!B:B,""))</f>
        <v/>
      </c>
      <c r="O178" s="154"/>
      <c r="P178" s="11"/>
      <c r="Q178" s="11"/>
      <c r="R178" s="11"/>
      <c r="S178" s="8"/>
      <c r="T178" s="8"/>
      <c r="U178" s="8"/>
      <c r="V178" s="7"/>
      <c r="W178" s="7"/>
      <c r="X178" s="146"/>
      <c r="Y178" s="37"/>
      <c r="Z178" s="60" t="str">
        <f t="shared" si="405"/>
        <v/>
      </c>
      <c r="AA178" s="40"/>
      <c r="AB178" s="40"/>
      <c r="AC178" s="40"/>
      <c r="AD178" s="40"/>
      <c r="AE178" s="58" t="str">
        <f t="shared" si="406"/>
        <v/>
      </c>
      <c r="AF178" s="12"/>
      <c r="AG178" s="58" t="str">
        <f t="shared" si="407"/>
        <v/>
      </c>
      <c r="AH178" s="40"/>
      <c r="AI178" s="40"/>
      <c r="AJ178" s="58" t="str">
        <f t="shared" si="408"/>
        <v/>
      </c>
      <c r="AK178" s="12"/>
      <c r="AL178" s="58" t="str">
        <f t="shared" si="409"/>
        <v/>
      </c>
      <c r="AM178" s="40"/>
      <c r="AN178" s="40"/>
      <c r="AO178" s="58" t="str">
        <f t="shared" si="410"/>
        <v/>
      </c>
      <c r="AP178" s="58" t="str">
        <f t="shared" si="411"/>
        <v/>
      </c>
      <c r="AQ178" s="58" t="str">
        <f t="shared" si="412"/>
        <v/>
      </c>
      <c r="AR178" s="59" t="str">
        <f t="shared" si="413"/>
        <v/>
      </c>
      <c r="AS178" s="12"/>
      <c r="AT178" s="49"/>
      <c r="AU178" s="49"/>
      <c r="AV178" s="61" t="str">
        <f>IF(_xlfn.XLOOKUP(AT178, AutoFill_classes!$A:$A, AutoFill_classes!$B:$B,"")=0,"",_xlfn.XLOOKUP(AT178, AutoFill_classes!$A:$A, AutoFill_classes!$B:$B,""))</f>
        <v/>
      </c>
      <c r="AW178" s="154"/>
      <c r="AX178" s="12"/>
      <c r="AY178" s="13"/>
      <c r="AZ178" s="12"/>
      <c r="BA178" s="13"/>
      <c r="BB178" s="13"/>
      <c r="BC178" s="146"/>
      <c r="BD178" s="37"/>
      <c r="BE178" s="60" t="str">
        <f t="shared" si="414"/>
        <v/>
      </c>
      <c r="BF178" s="32"/>
      <c r="BG178" s="32"/>
      <c r="BH178" s="32"/>
      <c r="BI178" s="32"/>
      <c r="BJ178" s="58" t="str">
        <f t="shared" si="415"/>
        <v/>
      </c>
      <c r="BK178" s="20"/>
      <c r="BL178" s="58" t="str">
        <f t="shared" si="416"/>
        <v/>
      </c>
      <c r="BM178" s="32"/>
      <c r="BN178" s="32"/>
      <c r="BO178" s="58" t="str">
        <f t="shared" si="417"/>
        <v/>
      </c>
      <c r="BP178" s="20"/>
      <c r="BQ178" s="58" t="str">
        <f t="shared" si="418"/>
        <v/>
      </c>
      <c r="BR178" s="32"/>
      <c r="BS178" s="32"/>
      <c r="BT178" s="58" t="str">
        <f t="shared" si="419"/>
        <v/>
      </c>
      <c r="BU178" s="58" t="str">
        <f t="shared" si="420"/>
        <v/>
      </c>
      <c r="BV178" s="58" t="str">
        <f t="shared" si="421"/>
        <v/>
      </c>
      <c r="BW178" s="59" t="str">
        <f t="shared" si="422"/>
        <v/>
      </c>
      <c r="BX178" s="12"/>
      <c r="BY178" s="49"/>
      <c r="BZ178" s="49"/>
      <c r="CA178" s="61" t="str">
        <f>IF(_xlfn.XLOOKUP(BY178, AutoFill_classes!$A:$A, AutoFill_classes!$B:$B,"")=0,"",_xlfn.XLOOKUP(BY178, AutoFill_classes!$A:$A, AutoFill_classes!$B:$B,""))</f>
        <v/>
      </c>
      <c r="CB178" s="154"/>
      <c r="CC178" s="12"/>
      <c r="CD178" s="12"/>
      <c r="CE178" s="12"/>
      <c r="CF178" s="7"/>
      <c r="CG178" s="37"/>
      <c r="CH178" s="146"/>
      <c r="CI178" s="41"/>
      <c r="CJ178" s="60" t="str">
        <f t="shared" si="423"/>
        <v/>
      </c>
      <c r="CK178" s="32"/>
      <c r="CL178" s="32"/>
      <c r="CM178" s="32"/>
      <c r="CN178" s="32"/>
      <c r="CO178" s="58" t="str">
        <f t="shared" si="424"/>
        <v/>
      </c>
      <c r="CP178" s="20"/>
      <c r="CQ178" s="58" t="str">
        <f t="shared" si="425"/>
        <v/>
      </c>
      <c r="CR178" s="32"/>
      <c r="CS178" s="32"/>
      <c r="CT178" s="58" t="str">
        <f t="shared" si="426"/>
        <v/>
      </c>
      <c r="CU178" s="20"/>
      <c r="CV178" s="58" t="str">
        <f t="shared" si="427"/>
        <v/>
      </c>
      <c r="CW178" s="32"/>
      <c r="CX178" s="32"/>
      <c r="CY178" s="58" t="str">
        <f t="shared" si="428"/>
        <v/>
      </c>
      <c r="CZ178" s="58" t="str">
        <f t="shared" si="429"/>
        <v/>
      </c>
      <c r="DA178" s="58" t="str">
        <f t="shared" si="430"/>
        <v/>
      </c>
      <c r="DB178" s="59" t="str">
        <f t="shared" si="431"/>
        <v/>
      </c>
      <c r="DC178" s="12"/>
      <c r="DD178" s="146"/>
      <c r="DE178" s="91">
        <v>177</v>
      </c>
    </row>
    <row r="179" spans="1:109" s="39" customFormat="1" ht="13">
      <c r="A179" s="7"/>
      <c r="B179" s="23" t="str">
        <f>IF(_xlfn.XLOOKUP(A179, AutoFill_names!B:B, AutoFill_names!C:C,"")=0,"",_xlfn.XLOOKUP(A179, AutoFill_names!B:B, AutoFill_names!C:C,""))</f>
        <v/>
      </c>
      <c r="C179" s="23" t="str">
        <f>IF(_xlfn.XLOOKUP(A179, AutoFill_names!B:B, AutoFill_names!D:D,"")=0,"",_xlfn.XLOOKUP(A179, AutoFill_names!B:B, AutoFill_names!D:D,""))</f>
        <v/>
      </c>
      <c r="D179" s="23" t="str">
        <f>IF(_xlfn.XLOOKUP(A179, AutoFill_names!B:B, AutoFill_names!E:E,"")=0,"",_xlfn.XLOOKUP(A179, AutoFill_names!B:B, AutoFill_names!E:E,""))</f>
        <v/>
      </c>
      <c r="E179" s="23" t="str">
        <f>IF(_xlfn.XLOOKUP(A179, AutoFill_names!B:B, AutoFill_names!F:F,"")=0,"",_xlfn.XLOOKUP(A179, AutoFill_names!B:B, AutoFill_names!F:F,""))</f>
        <v/>
      </c>
      <c r="F179" s="4"/>
      <c r="G179" s="4"/>
      <c r="H179" s="4"/>
      <c r="I179" s="4"/>
      <c r="J179" s="23" t="str">
        <f>IF(_xlfn.XLOOKUP(A179, AutoFill_names!B:B, AutoFill_names!K:K,"")=0,"",_xlfn.XLOOKUP(A179, AutoFill_names!B:B, AutoFill_names!K:K,""))</f>
        <v/>
      </c>
      <c r="K179" s="23" t="str">
        <f>IF(_xlfn.XLOOKUP(A179, AutoFill_names!B:B, AutoFill_names!L:L,"")=0,"",_xlfn.XLOOKUP(A179, AutoFill_names!B:B, AutoFill_names!L:L,""))</f>
        <v/>
      </c>
      <c r="L179" s="8"/>
      <c r="M179" s="8"/>
      <c r="N179" s="61" t="str">
        <f>IF(_xlfn.XLOOKUP(L179, AutoFill_classes!A:A, AutoFill_classes!B:B,"")=0,"",_xlfn.XLOOKUP(L179, AutoFill_classes!A:A, AutoFill_classes!B:B,""))</f>
        <v/>
      </c>
      <c r="O179" s="154"/>
      <c r="P179" s="11"/>
      <c r="Q179" s="11"/>
      <c r="R179" s="11"/>
      <c r="S179" s="8"/>
      <c r="T179" s="8"/>
      <c r="U179" s="8"/>
      <c r="V179" s="7"/>
      <c r="W179" s="7"/>
      <c r="X179" s="146"/>
      <c r="Y179" s="37"/>
      <c r="Z179" s="60" t="str">
        <f t="shared" si="405"/>
        <v/>
      </c>
      <c r="AA179" s="40"/>
      <c r="AB179" s="40"/>
      <c r="AC179" s="40"/>
      <c r="AD179" s="40"/>
      <c r="AE179" s="58" t="str">
        <f t="shared" si="406"/>
        <v/>
      </c>
      <c r="AF179" s="12"/>
      <c r="AG179" s="58" t="str">
        <f t="shared" si="407"/>
        <v/>
      </c>
      <c r="AH179" s="40"/>
      <c r="AI179" s="40"/>
      <c r="AJ179" s="58" t="str">
        <f t="shared" si="408"/>
        <v/>
      </c>
      <c r="AK179" s="12"/>
      <c r="AL179" s="58" t="str">
        <f t="shared" si="409"/>
        <v/>
      </c>
      <c r="AM179" s="40"/>
      <c r="AN179" s="40"/>
      <c r="AO179" s="58" t="str">
        <f t="shared" si="410"/>
        <v/>
      </c>
      <c r="AP179" s="58" t="str">
        <f t="shared" si="411"/>
        <v/>
      </c>
      <c r="AQ179" s="58" t="str">
        <f t="shared" si="412"/>
        <v/>
      </c>
      <c r="AR179" s="59" t="str">
        <f t="shared" si="413"/>
        <v/>
      </c>
      <c r="AS179" s="12"/>
      <c r="AT179" s="49"/>
      <c r="AU179" s="49"/>
      <c r="AV179" s="61" t="str">
        <f>IF(_xlfn.XLOOKUP(AT179, AutoFill_classes!$A:$A, AutoFill_classes!$B:$B,"")=0,"",_xlfn.XLOOKUP(AT179, AutoFill_classes!$A:$A, AutoFill_classes!$B:$B,""))</f>
        <v/>
      </c>
      <c r="AW179" s="154"/>
      <c r="AX179" s="12"/>
      <c r="AY179" s="13"/>
      <c r="AZ179" s="12"/>
      <c r="BA179" s="13"/>
      <c r="BB179" s="13"/>
      <c r="BC179" s="146"/>
      <c r="BD179" s="37"/>
      <c r="BE179" s="60" t="str">
        <f t="shared" si="414"/>
        <v/>
      </c>
      <c r="BF179" s="32"/>
      <c r="BG179" s="32"/>
      <c r="BH179" s="32"/>
      <c r="BI179" s="32"/>
      <c r="BJ179" s="58" t="str">
        <f t="shared" si="415"/>
        <v/>
      </c>
      <c r="BK179" s="20"/>
      <c r="BL179" s="58" t="str">
        <f t="shared" si="416"/>
        <v/>
      </c>
      <c r="BM179" s="32"/>
      <c r="BN179" s="32"/>
      <c r="BO179" s="58" t="str">
        <f t="shared" si="417"/>
        <v/>
      </c>
      <c r="BP179" s="20"/>
      <c r="BQ179" s="58" t="str">
        <f t="shared" si="418"/>
        <v/>
      </c>
      <c r="BR179" s="32"/>
      <c r="BS179" s="32"/>
      <c r="BT179" s="58" t="str">
        <f t="shared" si="419"/>
        <v/>
      </c>
      <c r="BU179" s="58" t="str">
        <f t="shared" si="420"/>
        <v/>
      </c>
      <c r="BV179" s="58" t="str">
        <f t="shared" si="421"/>
        <v/>
      </c>
      <c r="BW179" s="59" t="str">
        <f t="shared" si="422"/>
        <v/>
      </c>
      <c r="BX179" s="12"/>
      <c r="BY179" s="49"/>
      <c r="BZ179" s="49"/>
      <c r="CA179" s="61" t="str">
        <f>IF(_xlfn.XLOOKUP(BY179, AutoFill_classes!$A:$A, AutoFill_classes!$B:$B,"")=0,"",_xlfn.XLOOKUP(BY179, AutoFill_classes!$A:$A, AutoFill_classes!$B:$B,""))</f>
        <v/>
      </c>
      <c r="CB179" s="154"/>
      <c r="CC179" s="12"/>
      <c r="CD179" s="12"/>
      <c r="CE179" s="12"/>
      <c r="CF179" s="7"/>
      <c r="CG179" s="37"/>
      <c r="CH179" s="146"/>
      <c r="CI179" s="41"/>
      <c r="CJ179" s="60" t="str">
        <f t="shared" si="423"/>
        <v/>
      </c>
      <c r="CK179" s="32"/>
      <c r="CL179" s="32"/>
      <c r="CM179" s="32"/>
      <c r="CN179" s="32"/>
      <c r="CO179" s="58" t="str">
        <f t="shared" si="424"/>
        <v/>
      </c>
      <c r="CP179" s="20"/>
      <c r="CQ179" s="58" t="str">
        <f t="shared" si="425"/>
        <v/>
      </c>
      <c r="CR179" s="32"/>
      <c r="CS179" s="32"/>
      <c r="CT179" s="58" t="str">
        <f t="shared" si="426"/>
        <v/>
      </c>
      <c r="CU179" s="20"/>
      <c r="CV179" s="58" t="str">
        <f t="shared" si="427"/>
        <v/>
      </c>
      <c r="CW179" s="32"/>
      <c r="CX179" s="32"/>
      <c r="CY179" s="58" t="str">
        <f t="shared" si="428"/>
        <v/>
      </c>
      <c r="CZ179" s="58" t="str">
        <f t="shared" si="429"/>
        <v/>
      </c>
      <c r="DA179" s="58" t="str">
        <f t="shared" si="430"/>
        <v/>
      </c>
      <c r="DB179" s="59" t="str">
        <f t="shared" si="431"/>
        <v/>
      </c>
      <c r="DC179" s="12"/>
      <c r="DD179" s="146"/>
      <c r="DE179" s="91">
        <v>178</v>
      </c>
    </row>
    <row r="180" spans="1:109" s="39" customFormat="1" ht="13">
      <c r="A180" s="7"/>
      <c r="B180" s="23" t="str">
        <f>IF(_xlfn.XLOOKUP(A180, AutoFill_names!B:B, AutoFill_names!C:C,"")=0,"",_xlfn.XLOOKUP(A180, AutoFill_names!B:B, AutoFill_names!C:C,""))</f>
        <v/>
      </c>
      <c r="C180" s="23" t="str">
        <f>IF(_xlfn.XLOOKUP(A180, AutoFill_names!B:B, AutoFill_names!D:D,"")=0,"",_xlfn.XLOOKUP(A180, AutoFill_names!B:B, AutoFill_names!D:D,""))</f>
        <v/>
      </c>
      <c r="D180" s="23" t="str">
        <f>IF(_xlfn.XLOOKUP(A180, AutoFill_names!B:B, AutoFill_names!E:E,"")=0,"",_xlfn.XLOOKUP(A180, AutoFill_names!B:B, AutoFill_names!E:E,""))</f>
        <v/>
      </c>
      <c r="E180" s="23" t="str">
        <f>IF(_xlfn.XLOOKUP(A180, AutoFill_names!B:B, AutoFill_names!F:F,"")=0,"",_xlfn.XLOOKUP(A180, AutoFill_names!B:B, AutoFill_names!F:F,""))</f>
        <v/>
      </c>
      <c r="F180" s="4"/>
      <c r="G180" s="4"/>
      <c r="H180" s="4"/>
      <c r="I180" s="4"/>
      <c r="J180" s="23" t="str">
        <f>IF(_xlfn.XLOOKUP(A180, AutoFill_names!B:B, AutoFill_names!K:K,"")=0,"",_xlfn.XLOOKUP(A180, AutoFill_names!B:B, AutoFill_names!K:K,""))</f>
        <v/>
      </c>
      <c r="K180" s="23" t="str">
        <f>IF(_xlfn.XLOOKUP(A180, AutoFill_names!B:B, AutoFill_names!L:L,"")=0,"",_xlfn.XLOOKUP(A180, AutoFill_names!B:B, AutoFill_names!L:L,""))</f>
        <v/>
      </c>
      <c r="L180" s="8"/>
      <c r="M180" s="8"/>
      <c r="N180" s="61" t="str">
        <f>IF(_xlfn.XLOOKUP(L180, AutoFill_classes!A:A, AutoFill_classes!B:B,"")=0,"",_xlfn.XLOOKUP(L180, AutoFill_classes!A:A, AutoFill_classes!B:B,""))</f>
        <v/>
      </c>
      <c r="O180" s="154"/>
      <c r="P180" s="11"/>
      <c r="Q180" s="11"/>
      <c r="R180" s="11"/>
      <c r="S180" s="8"/>
      <c r="T180" s="8"/>
      <c r="U180" s="8"/>
      <c r="V180" s="7"/>
      <c r="W180" s="7"/>
      <c r="X180" s="146"/>
      <c r="Y180" s="37"/>
      <c r="Z180" s="60" t="str">
        <f t="shared" si="405"/>
        <v/>
      </c>
      <c r="AA180" s="40"/>
      <c r="AB180" s="40"/>
      <c r="AC180" s="40"/>
      <c r="AD180" s="40"/>
      <c r="AE180" s="58" t="str">
        <f t="shared" si="406"/>
        <v/>
      </c>
      <c r="AF180" s="12"/>
      <c r="AG180" s="58" t="str">
        <f t="shared" si="407"/>
        <v/>
      </c>
      <c r="AH180" s="40"/>
      <c r="AI180" s="40"/>
      <c r="AJ180" s="58" t="str">
        <f t="shared" si="408"/>
        <v/>
      </c>
      <c r="AK180" s="12"/>
      <c r="AL180" s="58" t="str">
        <f t="shared" si="409"/>
        <v/>
      </c>
      <c r="AM180" s="40"/>
      <c r="AN180" s="40"/>
      <c r="AO180" s="58" t="str">
        <f t="shared" si="410"/>
        <v/>
      </c>
      <c r="AP180" s="58" t="str">
        <f t="shared" si="411"/>
        <v/>
      </c>
      <c r="AQ180" s="58" t="str">
        <f t="shared" si="412"/>
        <v/>
      </c>
      <c r="AR180" s="59" t="str">
        <f t="shared" si="413"/>
        <v/>
      </c>
      <c r="AS180" s="12"/>
      <c r="AT180" s="49"/>
      <c r="AU180" s="49"/>
      <c r="AV180" s="61" t="str">
        <f>IF(_xlfn.XLOOKUP(AT180, AutoFill_classes!$A:$A, AutoFill_classes!$B:$B,"")=0,"",_xlfn.XLOOKUP(AT180, AutoFill_classes!$A:$A, AutoFill_classes!$B:$B,""))</f>
        <v/>
      </c>
      <c r="AW180" s="154"/>
      <c r="AX180" s="12"/>
      <c r="AY180" s="13"/>
      <c r="AZ180" s="12"/>
      <c r="BA180" s="13"/>
      <c r="BB180" s="13"/>
      <c r="BC180" s="146"/>
      <c r="BD180" s="37"/>
      <c r="BE180" s="60" t="str">
        <f t="shared" si="414"/>
        <v/>
      </c>
      <c r="BF180" s="32"/>
      <c r="BG180" s="32"/>
      <c r="BH180" s="32"/>
      <c r="BI180" s="32"/>
      <c r="BJ180" s="58" t="str">
        <f t="shared" si="415"/>
        <v/>
      </c>
      <c r="BK180" s="20"/>
      <c r="BL180" s="58" t="str">
        <f t="shared" si="416"/>
        <v/>
      </c>
      <c r="BM180" s="32"/>
      <c r="BN180" s="32"/>
      <c r="BO180" s="58" t="str">
        <f t="shared" si="417"/>
        <v/>
      </c>
      <c r="BP180" s="20"/>
      <c r="BQ180" s="58" t="str">
        <f t="shared" si="418"/>
        <v/>
      </c>
      <c r="BR180" s="32"/>
      <c r="BS180" s="32"/>
      <c r="BT180" s="58" t="str">
        <f t="shared" si="419"/>
        <v/>
      </c>
      <c r="BU180" s="58" t="str">
        <f t="shared" si="420"/>
        <v/>
      </c>
      <c r="BV180" s="58" t="str">
        <f t="shared" si="421"/>
        <v/>
      </c>
      <c r="BW180" s="59" t="str">
        <f t="shared" si="422"/>
        <v/>
      </c>
      <c r="BX180" s="12"/>
      <c r="BY180" s="49"/>
      <c r="BZ180" s="49"/>
      <c r="CA180" s="61" t="str">
        <f>IF(_xlfn.XLOOKUP(BY180, AutoFill_classes!$A:$A, AutoFill_classes!$B:$B,"")=0,"",_xlfn.XLOOKUP(BY180, AutoFill_classes!$A:$A, AutoFill_classes!$B:$B,""))</f>
        <v/>
      </c>
      <c r="CB180" s="154"/>
      <c r="CC180" s="12"/>
      <c r="CD180" s="12"/>
      <c r="CE180" s="12"/>
      <c r="CF180" s="7"/>
      <c r="CG180" s="37"/>
      <c r="CH180" s="146"/>
      <c r="CI180" s="41"/>
      <c r="CJ180" s="60" t="str">
        <f t="shared" si="423"/>
        <v/>
      </c>
      <c r="CK180" s="32"/>
      <c r="CL180" s="32"/>
      <c r="CM180" s="32"/>
      <c r="CN180" s="32"/>
      <c r="CO180" s="58" t="str">
        <f t="shared" si="424"/>
        <v/>
      </c>
      <c r="CP180" s="20"/>
      <c r="CQ180" s="58" t="str">
        <f t="shared" si="425"/>
        <v/>
      </c>
      <c r="CR180" s="32"/>
      <c r="CS180" s="32"/>
      <c r="CT180" s="58" t="str">
        <f t="shared" si="426"/>
        <v/>
      </c>
      <c r="CU180" s="20"/>
      <c r="CV180" s="58" t="str">
        <f t="shared" si="427"/>
        <v/>
      </c>
      <c r="CW180" s="32"/>
      <c r="CX180" s="32"/>
      <c r="CY180" s="58" t="str">
        <f t="shared" si="428"/>
        <v/>
      </c>
      <c r="CZ180" s="58" t="str">
        <f t="shared" si="429"/>
        <v/>
      </c>
      <c r="DA180" s="58" t="str">
        <f t="shared" si="430"/>
        <v/>
      </c>
      <c r="DB180" s="59" t="str">
        <f t="shared" si="431"/>
        <v/>
      </c>
      <c r="DC180" s="12"/>
      <c r="DD180" s="146"/>
      <c r="DE180" s="91">
        <v>179</v>
      </c>
    </row>
    <row r="181" spans="1:109" s="39" customFormat="1" ht="13">
      <c r="A181" s="7"/>
      <c r="B181" s="23" t="str">
        <f>IF(_xlfn.XLOOKUP(A181, AutoFill_names!B:B, AutoFill_names!C:C,"")=0,"",_xlfn.XLOOKUP(A181, AutoFill_names!B:B, AutoFill_names!C:C,""))</f>
        <v/>
      </c>
      <c r="C181" s="23" t="str">
        <f>IF(_xlfn.XLOOKUP(A181, AutoFill_names!B:B, AutoFill_names!D:D,"")=0,"",_xlfn.XLOOKUP(A181, AutoFill_names!B:B, AutoFill_names!D:D,""))</f>
        <v/>
      </c>
      <c r="D181" s="23" t="str">
        <f>IF(_xlfn.XLOOKUP(A181, AutoFill_names!B:B, AutoFill_names!E:E,"")=0,"",_xlfn.XLOOKUP(A181, AutoFill_names!B:B, AutoFill_names!E:E,""))</f>
        <v/>
      </c>
      <c r="E181" s="23" t="str">
        <f>IF(_xlfn.XLOOKUP(A181, AutoFill_names!B:B, AutoFill_names!F:F,"")=0,"",_xlfn.XLOOKUP(A181, AutoFill_names!B:B, AutoFill_names!F:F,""))</f>
        <v/>
      </c>
      <c r="F181" s="4"/>
      <c r="G181" s="4"/>
      <c r="H181" s="4"/>
      <c r="I181" s="4"/>
      <c r="J181" s="23" t="str">
        <f>IF(_xlfn.XLOOKUP(A181, AutoFill_names!B:B, AutoFill_names!K:K,"")=0,"",_xlfn.XLOOKUP(A181, AutoFill_names!B:B, AutoFill_names!K:K,""))</f>
        <v/>
      </c>
      <c r="K181" s="23" t="str">
        <f>IF(_xlfn.XLOOKUP(A181, AutoFill_names!B:B, AutoFill_names!L:L,"")=0,"",_xlfn.XLOOKUP(A181, AutoFill_names!B:B, AutoFill_names!L:L,""))</f>
        <v/>
      </c>
      <c r="L181" s="8"/>
      <c r="M181" s="8"/>
      <c r="N181" s="61" t="str">
        <f>IF(_xlfn.XLOOKUP(L181, AutoFill_classes!A:A, AutoFill_classes!B:B,"")=0,"",_xlfn.XLOOKUP(L181, AutoFill_classes!A:A, AutoFill_classes!B:B,""))</f>
        <v/>
      </c>
      <c r="O181" s="154"/>
      <c r="P181" s="11"/>
      <c r="Q181" s="11"/>
      <c r="R181" s="11"/>
      <c r="S181" s="8"/>
      <c r="T181" s="8"/>
      <c r="U181" s="8"/>
      <c r="V181" s="7"/>
      <c r="W181" s="7"/>
      <c r="X181" s="146"/>
      <c r="Y181" s="37"/>
      <c r="Z181" s="60" t="str">
        <f t="shared" si="405"/>
        <v/>
      </c>
      <c r="AA181" s="40"/>
      <c r="AB181" s="40"/>
      <c r="AC181" s="40"/>
      <c r="AD181" s="40"/>
      <c r="AE181" s="58" t="str">
        <f t="shared" si="406"/>
        <v/>
      </c>
      <c r="AF181" s="12"/>
      <c r="AG181" s="58" t="str">
        <f t="shared" si="407"/>
        <v/>
      </c>
      <c r="AH181" s="40"/>
      <c r="AI181" s="40"/>
      <c r="AJ181" s="58" t="str">
        <f t="shared" si="408"/>
        <v/>
      </c>
      <c r="AK181" s="12"/>
      <c r="AL181" s="58" t="str">
        <f t="shared" si="409"/>
        <v/>
      </c>
      <c r="AM181" s="40"/>
      <c r="AN181" s="40"/>
      <c r="AO181" s="58" t="str">
        <f t="shared" si="410"/>
        <v/>
      </c>
      <c r="AP181" s="58" t="str">
        <f t="shared" si="411"/>
        <v/>
      </c>
      <c r="AQ181" s="58" t="str">
        <f t="shared" si="412"/>
        <v/>
      </c>
      <c r="AR181" s="59" t="str">
        <f t="shared" si="413"/>
        <v/>
      </c>
      <c r="AS181" s="12"/>
      <c r="AT181" s="49"/>
      <c r="AU181" s="49"/>
      <c r="AV181" s="61" t="str">
        <f>IF(_xlfn.XLOOKUP(AT181, AutoFill_classes!$A:$A, AutoFill_classes!$B:$B,"")=0,"",_xlfn.XLOOKUP(AT181, AutoFill_classes!$A:$A, AutoFill_classes!$B:$B,""))</f>
        <v/>
      </c>
      <c r="AW181" s="154"/>
      <c r="AX181" s="12"/>
      <c r="AY181" s="13"/>
      <c r="AZ181" s="12"/>
      <c r="BA181" s="13"/>
      <c r="BB181" s="13"/>
      <c r="BC181" s="146"/>
      <c r="BD181" s="37"/>
      <c r="BE181" s="60" t="str">
        <f t="shared" si="414"/>
        <v/>
      </c>
      <c r="BF181" s="32"/>
      <c r="BG181" s="32"/>
      <c r="BH181" s="32"/>
      <c r="BI181" s="32"/>
      <c r="BJ181" s="58" t="str">
        <f t="shared" si="415"/>
        <v/>
      </c>
      <c r="BK181" s="20"/>
      <c r="BL181" s="58" t="str">
        <f t="shared" si="416"/>
        <v/>
      </c>
      <c r="BM181" s="32"/>
      <c r="BN181" s="32"/>
      <c r="BO181" s="58" t="str">
        <f t="shared" si="417"/>
        <v/>
      </c>
      <c r="BP181" s="20"/>
      <c r="BQ181" s="58" t="str">
        <f t="shared" si="418"/>
        <v/>
      </c>
      <c r="BR181" s="32"/>
      <c r="BS181" s="32"/>
      <c r="BT181" s="58" t="str">
        <f t="shared" si="419"/>
        <v/>
      </c>
      <c r="BU181" s="58" t="str">
        <f t="shared" si="420"/>
        <v/>
      </c>
      <c r="BV181" s="58" t="str">
        <f t="shared" si="421"/>
        <v/>
      </c>
      <c r="BW181" s="59" t="str">
        <f t="shared" si="422"/>
        <v/>
      </c>
      <c r="BX181" s="12"/>
      <c r="BY181" s="49"/>
      <c r="BZ181" s="49"/>
      <c r="CA181" s="61" t="str">
        <f>IF(_xlfn.XLOOKUP(BY181, AutoFill_classes!$A:$A, AutoFill_classes!$B:$B,"")=0,"",_xlfn.XLOOKUP(BY181, AutoFill_classes!$A:$A, AutoFill_classes!$B:$B,""))</f>
        <v/>
      </c>
      <c r="CB181" s="154"/>
      <c r="CC181" s="12"/>
      <c r="CD181" s="12"/>
      <c r="CE181" s="12"/>
      <c r="CF181" s="7"/>
      <c r="CG181" s="37"/>
      <c r="CH181" s="146"/>
      <c r="CI181" s="41"/>
      <c r="CJ181" s="60" t="str">
        <f t="shared" si="423"/>
        <v/>
      </c>
      <c r="CK181" s="32"/>
      <c r="CL181" s="32"/>
      <c r="CM181" s="32"/>
      <c r="CN181" s="32"/>
      <c r="CO181" s="58" t="str">
        <f t="shared" si="424"/>
        <v/>
      </c>
      <c r="CP181" s="20"/>
      <c r="CQ181" s="58" t="str">
        <f t="shared" si="425"/>
        <v/>
      </c>
      <c r="CR181" s="32"/>
      <c r="CS181" s="32"/>
      <c r="CT181" s="58" t="str">
        <f t="shared" si="426"/>
        <v/>
      </c>
      <c r="CU181" s="20"/>
      <c r="CV181" s="58" t="str">
        <f t="shared" si="427"/>
        <v/>
      </c>
      <c r="CW181" s="32"/>
      <c r="CX181" s="32"/>
      <c r="CY181" s="58" t="str">
        <f t="shared" si="428"/>
        <v/>
      </c>
      <c r="CZ181" s="58" t="str">
        <f t="shared" si="429"/>
        <v/>
      </c>
      <c r="DA181" s="58" t="str">
        <f t="shared" si="430"/>
        <v/>
      </c>
      <c r="DB181" s="59" t="str">
        <f t="shared" si="431"/>
        <v/>
      </c>
      <c r="DC181" s="12"/>
      <c r="DD181" s="146"/>
      <c r="DE181" s="91">
        <v>180</v>
      </c>
    </row>
    <row r="182" spans="1:109" s="39" customFormat="1" ht="13">
      <c r="A182" s="7"/>
      <c r="B182" s="23" t="str">
        <f>IF(_xlfn.XLOOKUP(A182, AutoFill_names!B:B, AutoFill_names!C:C,"")=0,"",_xlfn.XLOOKUP(A182, AutoFill_names!B:B, AutoFill_names!C:C,""))</f>
        <v/>
      </c>
      <c r="C182" s="23" t="str">
        <f>IF(_xlfn.XLOOKUP(A182, AutoFill_names!B:B, AutoFill_names!D:D,"")=0,"",_xlfn.XLOOKUP(A182, AutoFill_names!B:B, AutoFill_names!D:D,""))</f>
        <v/>
      </c>
      <c r="D182" s="23" t="str">
        <f>IF(_xlfn.XLOOKUP(A182, AutoFill_names!B:B, AutoFill_names!E:E,"")=0,"",_xlfn.XLOOKUP(A182, AutoFill_names!B:B, AutoFill_names!E:E,""))</f>
        <v/>
      </c>
      <c r="E182" s="23" t="str">
        <f>IF(_xlfn.XLOOKUP(A182, AutoFill_names!B:B, AutoFill_names!F:F,"")=0,"",_xlfn.XLOOKUP(A182, AutoFill_names!B:B, AutoFill_names!F:F,""))</f>
        <v/>
      </c>
      <c r="F182" s="4"/>
      <c r="G182" s="4"/>
      <c r="H182" s="4"/>
      <c r="I182" s="4"/>
      <c r="J182" s="23" t="str">
        <f>IF(_xlfn.XLOOKUP(A182, AutoFill_names!B:B, AutoFill_names!K:K,"")=0,"",_xlfn.XLOOKUP(A182, AutoFill_names!B:B, AutoFill_names!K:K,""))</f>
        <v/>
      </c>
      <c r="K182" s="23" t="str">
        <f>IF(_xlfn.XLOOKUP(A182, AutoFill_names!B:B, AutoFill_names!L:L,"")=0,"",_xlfn.XLOOKUP(A182, AutoFill_names!B:B, AutoFill_names!L:L,""))</f>
        <v/>
      </c>
      <c r="L182" s="8"/>
      <c r="M182" s="8"/>
      <c r="N182" s="61" t="str">
        <f>IF(_xlfn.XLOOKUP(L182, AutoFill_classes!A:A, AutoFill_classes!B:B,"")=0,"",_xlfn.XLOOKUP(L182, AutoFill_classes!A:A, AutoFill_classes!B:B,""))</f>
        <v/>
      </c>
      <c r="O182" s="154"/>
      <c r="P182" s="11"/>
      <c r="Q182" s="11"/>
      <c r="R182" s="11"/>
      <c r="S182" s="8"/>
      <c r="T182" s="8"/>
      <c r="U182" s="8"/>
      <c r="V182" s="7"/>
      <c r="W182" s="7"/>
      <c r="X182" s="146"/>
      <c r="Y182" s="37"/>
      <c r="Z182" s="60" t="str">
        <f t="shared" si="405"/>
        <v/>
      </c>
      <c r="AA182" s="40"/>
      <c r="AB182" s="40"/>
      <c r="AC182" s="40"/>
      <c r="AD182" s="40"/>
      <c r="AE182" s="58" t="str">
        <f t="shared" si="406"/>
        <v/>
      </c>
      <c r="AF182" s="12"/>
      <c r="AG182" s="58" t="str">
        <f t="shared" si="407"/>
        <v/>
      </c>
      <c r="AH182" s="40"/>
      <c r="AI182" s="40"/>
      <c r="AJ182" s="58" t="str">
        <f t="shared" si="408"/>
        <v/>
      </c>
      <c r="AK182" s="12"/>
      <c r="AL182" s="58" t="str">
        <f t="shared" si="409"/>
        <v/>
      </c>
      <c r="AM182" s="40"/>
      <c r="AN182" s="40"/>
      <c r="AO182" s="58" t="str">
        <f t="shared" si="410"/>
        <v/>
      </c>
      <c r="AP182" s="58" t="str">
        <f t="shared" si="411"/>
        <v/>
      </c>
      <c r="AQ182" s="58" t="str">
        <f t="shared" si="412"/>
        <v/>
      </c>
      <c r="AR182" s="59" t="str">
        <f t="shared" si="413"/>
        <v/>
      </c>
      <c r="AS182" s="12"/>
      <c r="AT182" s="49"/>
      <c r="AU182" s="49"/>
      <c r="AV182" s="61" t="str">
        <f>IF(_xlfn.XLOOKUP(AT182, AutoFill_classes!$A:$A, AutoFill_classes!$B:$B,"")=0,"",_xlfn.XLOOKUP(AT182, AutoFill_classes!$A:$A, AutoFill_classes!$B:$B,""))</f>
        <v/>
      </c>
      <c r="AW182" s="154"/>
      <c r="AX182" s="12"/>
      <c r="AY182" s="13"/>
      <c r="AZ182" s="12"/>
      <c r="BA182" s="13"/>
      <c r="BB182" s="13"/>
      <c r="BC182" s="146"/>
      <c r="BD182" s="37"/>
      <c r="BE182" s="60" t="str">
        <f t="shared" si="414"/>
        <v/>
      </c>
      <c r="BF182" s="32"/>
      <c r="BG182" s="32"/>
      <c r="BH182" s="32"/>
      <c r="BI182" s="32"/>
      <c r="BJ182" s="58" t="str">
        <f t="shared" si="415"/>
        <v/>
      </c>
      <c r="BK182" s="20"/>
      <c r="BL182" s="58" t="str">
        <f t="shared" si="416"/>
        <v/>
      </c>
      <c r="BM182" s="32"/>
      <c r="BN182" s="32"/>
      <c r="BO182" s="58" t="str">
        <f t="shared" si="417"/>
        <v/>
      </c>
      <c r="BP182" s="20"/>
      <c r="BQ182" s="58" t="str">
        <f t="shared" si="418"/>
        <v/>
      </c>
      <c r="BR182" s="32"/>
      <c r="BS182" s="32"/>
      <c r="BT182" s="58" t="str">
        <f t="shared" si="419"/>
        <v/>
      </c>
      <c r="BU182" s="58" t="str">
        <f t="shared" si="420"/>
        <v/>
      </c>
      <c r="BV182" s="58" t="str">
        <f t="shared" si="421"/>
        <v/>
      </c>
      <c r="BW182" s="59" t="str">
        <f t="shared" si="422"/>
        <v/>
      </c>
      <c r="BX182" s="12"/>
      <c r="BY182" s="49"/>
      <c r="BZ182" s="49"/>
      <c r="CA182" s="61" t="str">
        <f>IF(_xlfn.XLOOKUP(BY182, AutoFill_classes!$A:$A, AutoFill_classes!$B:$B,"")=0,"",_xlfn.XLOOKUP(BY182, AutoFill_classes!$A:$A, AutoFill_classes!$B:$B,""))</f>
        <v/>
      </c>
      <c r="CB182" s="154"/>
      <c r="CC182" s="12"/>
      <c r="CD182" s="12"/>
      <c r="CE182" s="12"/>
      <c r="CF182" s="7"/>
      <c r="CG182" s="37"/>
      <c r="CH182" s="146"/>
      <c r="CI182" s="41"/>
      <c r="CJ182" s="60" t="str">
        <f t="shared" si="423"/>
        <v/>
      </c>
      <c r="CK182" s="32"/>
      <c r="CL182" s="32"/>
      <c r="CM182" s="32"/>
      <c r="CN182" s="32"/>
      <c r="CO182" s="58" t="str">
        <f t="shared" si="424"/>
        <v/>
      </c>
      <c r="CP182" s="20"/>
      <c r="CQ182" s="58" t="str">
        <f t="shared" si="425"/>
        <v/>
      </c>
      <c r="CR182" s="32"/>
      <c r="CS182" s="32"/>
      <c r="CT182" s="58" t="str">
        <f t="shared" si="426"/>
        <v/>
      </c>
      <c r="CU182" s="20"/>
      <c r="CV182" s="58" t="str">
        <f t="shared" si="427"/>
        <v/>
      </c>
      <c r="CW182" s="32"/>
      <c r="CX182" s="32"/>
      <c r="CY182" s="58" t="str">
        <f t="shared" si="428"/>
        <v/>
      </c>
      <c r="CZ182" s="58" t="str">
        <f t="shared" si="429"/>
        <v/>
      </c>
      <c r="DA182" s="58" t="str">
        <f t="shared" si="430"/>
        <v/>
      </c>
      <c r="DB182" s="59" t="str">
        <f t="shared" si="431"/>
        <v/>
      </c>
      <c r="DC182" s="12"/>
      <c r="DD182" s="146"/>
      <c r="DE182" s="91">
        <v>181</v>
      </c>
    </row>
    <row r="183" spans="1:109" s="39" customFormat="1" ht="13">
      <c r="A183" s="7"/>
      <c r="B183" s="23" t="str">
        <f>IF(_xlfn.XLOOKUP(A183, AutoFill_names!B:B, AutoFill_names!C:C,"")=0,"",_xlfn.XLOOKUP(A183, AutoFill_names!B:B, AutoFill_names!C:C,""))</f>
        <v/>
      </c>
      <c r="C183" s="23" t="str">
        <f>IF(_xlfn.XLOOKUP(A183, AutoFill_names!B:B, AutoFill_names!D:D,"")=0,"",_xlfn.XLOOKUP(A183, AutoFill_names!B:B, AutoFill_names!D:D,""))</f>
        <v/>
      </c>
      <c r="D183" s="23" t="str">
        <f>IF(_xlfn.XLOOKUP(A183, AutoFill_names!B:B, AutoFill_names!E:E,"")=0,"",_xlfn.XLOOKUP(A183, AutoFill_names!B:B, AutoFill_names!E:E,""))</f>
        <v/>
      </c>
      <c r="E183" s="23" t="str">
        <f>IF(_xlfn.XLOOKUP(A183, AutoFill_names!B:B, AutoFill_names!F:F,"")=0,"",_xlfn.XLOOKUP(A183, AutoFill_names!B:B, AutoFill_names!F:F,""))</f>
        <v/>
      </c>
      <c r="F183" s="4"/>
      <c r="G183" s="4"/>
      <c r="H183" s="4"/>
      <c r="I183" s="4"/>
      <c r="J183" s="23" t="str">
        <f>IF(_xlfn.XLOOKUP(A183, AutoFill_names!B:B, AutoFill_names!K:K,"")=0,"",_xlfn.XLOOKUP(A183, AutoFill_names!B:B, AutoFill_names!K:K,""))</f>
        <v/>
      </c>
      <c r="K183" s="23" t="str">
        <f>IF(_xlfn.XLOOKUP(A183, AutoFill_names!B:B, AutoFill_names!L:L,"")=0,"",_xlfn.XLOOKUP(A183, AutoFill_names!B:B, AutoFill_names!L:L,""))</f>
        <v/>
      </c>
      <c r="L183" s="8"/>
      <c r="M183" s="8"/>
      <c r="N183" s="61" t="str">
        <f>IF(_xlfn.XLOOKUP(L183, AutoFill_classes!A:A, AutoFill_classes!B:B,"")=0,"",_xlfn.XLOOKUP(L183, AutoFill_classes!A:A, AutoFill_classes!B:B,""))</f>
        <v/>
      </c>
      <c r="O183" s="154"/>
      <c r="P183" s="11"/>
      <c r="Q183" s="11"/>
      <c r="R183" s="11"/>
      <c r="S183" s="8"/>
      <c r="T183" s="8"/>
      <c r="U183" s="8"/>
      <c r="V183" s="7"/>
      <c r="W183" s="7"/>
      <c r="X183" s="146"/>
      <c r="Y183" s="37"/>
      <c r="Z183" s="60" t="str">
        <f t="shared" si="405"/>
        <v/>
      </c>
      <c r="AA183" s="40"/>
      <c r="AB183" s="40"/>
      <c r="AC183" s="40"/>
      <c r="AD183" s="40"/>
      <c r="AE183" s="58" t="str">
        <f t="shared" si="406"/>
        <v/>
      </c>
      <c r="AF183" s="12"/>
      <c r="AG183" s="58" t="str">
        <f t="shared" si="407"/>
        <v/>
      </c>
      <c r="AH183" s="40"/>
      <c r="AI183" s="40"/>
      <c r="AJ183" s="58" t="str">
        <f t="shared" si="408"/>
        <v/>
      </c>
      <c r="AK183" s="12"/>
      <c r="AL183" s="58" t="str">
        <f t="shared" si="409"/>
        <v/>
      </c>
      <c r="AM183" s="40"/>
      <c r="AN183" s="40"/>
      <c r="AO183" s="58" t="str">
        <f t="shared" si="410"/>
        <v/>
      </c>
      <c r="AP183" s="58" t="str">
        <f t="shared" si="411"/>
        <v/>
      </c>
      <c r="AQ183" s="58" t="str">
        <f t="shared" si="412"/>
        <v/>
      </c>
      <c r="AR183" s="59" t="str">
        <f t="shared" si="413"/>
        <v/>
      </c>
      <c r="AS183" s="12"/>
      <c r="AT183" s="49"/>
      <c r="AU183" s="49"/>
      <c r="AV183" s="61" t="str">
        <f>IF(_xlfn.XLOOKUP(AT183, AutoFill_classes!$A:$A, AutoFill_classes!$B:$B,"")=0,"",_xlfn.XLOOKUP(AT183, AutoFill_classes!$A:$A, AutoFill_classes!$B:$B,""))</f>
        <v/>
      </c>
      <c r="AW183" s="154"/>
      <c r="AX183" s="12"/>
      <c r="AY183" s="13"/>
      <c r="AZ183" s="12"/>
      <c r="BA183" s="13"/>
      <c r="BB183" s="13"/>
      <c r="BC183" s="146"/>
      <c r="BD183" s="37"/>
      <c r="BE183" s="60" t="str">
        <f t="shared" si="414"/>
        <v/>
      </c>
      <c r="BF183" s="32"/>
      <c r="BG183" s="32"/>
      <c r="BH183" s="32"/>
      <c r="BI183" s="32"/>
      <c r="BJ183" s="58" t="str">
        <f t="shared" si="415"/>
        <v/>
      </c>
      <c r="BK183" s="20"/>
      <c r="BL183" s="58" t="str">
        <f t="shared" si="416"/>
        <v/>
      </c>
      <c r="BM183" s="32"/>
      <c r="BN183" s="32"/>
      <c r="BO183" s="58" t="str">
        <f t="shared" si="417"/>
        <v/>
      </c>
      <c r="BP183" s="20"/>
      <c r="BQ183" s="58" t="str">
        <f t="shared" si="418"/>
        <v/>
      </c>
      <c r="BR183" s="32"/>
      <c r="BS183" s="32"/>
      <c r="BT183" s="58" t="str">
        <f t="shared" si="419"/>
        <v/>
      </c>
      <c r="BU183" s="58" t="str">
        <f t="shared" si="420"/>
        <v/>
      </c>
      <c r="BV183" s="58" t="str">
        <f t="shared" si="421"/>
        <v/>
      </c>
      <c r="BW183" s="59" t="str">
        <f t="shared" si="422"/>
        <v/>
      </c>
      <c r="BX183" s="12"/>
      <c r="BY183" s="49"/>
      <c r="BZ183" s="49"/>
      <c r="CA183" s="61" t="str">
        <f>IF(_xlfn.XLOOKUP(BY183, AutoFill_classes!$A:$A, AutoFill_classes!$B:$B,"")=0,"",_xlfn.XLOOKUP(BY183, AutoFill_classes!$A:$A, AutoFill_classes!$B:$B,""))</f>
        <v/>
      </c>
      <c r="CB183" s="154"/>
      <c r="CC183" s="12"/>
      <c r="CD183" s="12"/>
      <c r="CE183" s="12"/>
      <c r="CF183" s="7"/>
      <c r="CG183" s="37"/>
      <c r="CH183" s="146"/>
      <c r="CI183" s="41"/>
      <c r="CJ183" s="60" t="str">
        <f t="shared" si="423"/>
        <v/>
      </c>
      <c r="CK183" s="32"/>
      <c r="CL183" s="32"/>
      <c r="CM183" s="32"/>
      <c r="CN183" s="32"/>
      <c r="CO183" s="58" t="str">
        <f t="shared" si="424"/>
        <v/>
      </c>
      <c r="CP183" s="20"/>
      <c r="CQ183" s="58" t="str">
        <f t="shared" si="425"/>
        <v/>
      </c>
      <c r="CR183" s="32"/>
      <c r="CS183" s="32"/>
      <c r="CT183" s="58" t="str">
        <f t="shared" si="426"/>
        <v/>
      </c>
      <c r="CU183" s="20"/>
      <c r="CV183" s="58" t="str">
        <f t="shared" si="427"/>
        <v/>
      </c>
      <c r="CW183" s="32"/>
      <c r="CX183" s="32"/>
      <c r="CY183" s="58" t="str">
        <f t="shared" si="428"/>
        <v/>
      </c>
      <c r="CZ183" s="58" t="str">
        <f t="shared" si="429"/>
        <v/>
      </c>
      <c r="DA183" s="58" t="str">
        <f t="shared" si="430"/>
        <v/>
      </c>
      <c r="DB183" s="59" t="str">
        <f t="shared" si="431"/>
        <v/>
      </c>
      <c r="DC183" s="12"/>
      <c r="DD183" s="146"/>
      <c r="DE183" s="91">
        <v>182</v>
      </c>
    </row>
    <row r="184" spans="1:109" s="39" customFormat="1" ht="13">
      <c r="A184" s="7"/>
      <c r="B184" s="23" t="str">
        <f>IF(_xlfn.XLOOKUP(A184, AutoFill_names!B:B, AutoFill_names!C:C,"")=0,"",_xlfn.XLOOKUP(A184, AutoFill_names!B:B, AutoFill_names!C:C,""))</f>
        <v/>
      </c>
      <c r="C184" s="23" t="str">
        <f>IF(_xlfn.XLOOKUP(A184, AutoFill_names!B:B, AutoFill_names!D:D,"")=0,"",_xlfn.XLOOKUP(A184, AutoFill_names!B:B, AutoFill_names!D:D,""))</f>
        <v/>
      </c>
      <c r="D184" s="23" t="str">
        <f>IF(_xlfn.XLOOKUP(A184, AutoFill_names!B:B, AutoFill_names!E:E,"")=0,"",_xlfn.XLOOKUP(A184, AutoFill_names!B:B, AutoFill_names!E:E,""))</f>
        <v/>
      </c>
      <c r="E184" s="23" t="str">
        <f>IF(_xlfn.XLOOKUP(A184, AutoFill_names!B:B, AutoFill_names!F:F,"")=0,"",_xlfn.XLOOKUP(A184, AutoFill_names!B:B, AutoFill_names!F:F,""))</f>
        <v/>
      </c>
      <c r="F184" s="4"/>
      <c r="G184" s="4"/>
      <c r="H184" s="4"/>
      <c r="I184" s="4"/>
      <c r="J184" s="23" t="str">
        <f>IF(_xlfn.XLOOKUP(A184, AutoFill_names!B:B, AutoFill_names!K:K,"")=0,"",_xlfn.XLOOKUP(A184, AutoFill_names!B:B, AutoFill_names!K:K,""))</f>
        <v/>
      </c>
      <c r="K184" s="23" t="str">
        <f>IF(_xlfn.XLOOKUP(A184, AutoFill_names!B:B, AutoFill_names!L:L,"")=0,"",_xlfn.XLOOKUP(A184, AutoFill_names!B:B, AutoFill_names!L:L,""))</f>
        <v/>
      </c>
      <c r="L184" s="8"/>
      <c r="M184" s="8"/>
      <c r="N184" s="61" t="str">
        <f>IF(_xlfn.XLOOKUP(L184, AutoFill_classes!A:A, AutoFill_classes!B:B,"")=0,"",_xlfn.XLOOKUP(L184, AutoFill_classes!A:A, AutoFill_classes!B:B,""))</f>
        <v/>
      </c>
      <c r="O184" s="154"/>
      <c r="P184" s="11"/>
      <c r="Q184" s="11"/>
      <c r="R184" s="11"/>
      <c r="S184" s="8"/>
      <c r="T184" s="8"/>
      <c r="U184" s="8"/>
      <c r="V184" s="7"/>
      <c r="W184" s="7"/>
      <c r="X184" s="146"/>
      <c r="Y184" s="37"/>
      <c r="Z184" s="60" t="str">
        <f t="shared" si="405"/>
        <v/>
      </c>
      <c r="AA184" s="40"/>
      <c r="AB184" s="40"/>
      <c r="AC184" s="40"/>
      <c r="AD184" s="40"/>
      <c r="AE184" s="58" t="str">
        <f t="shared" si="406"/>
        <v/>
      </c>
      <c r="AF184" s="12"/>
      <c r="AG184" s="58" t="str">
        <f t="shared" si="407"/>
        <v/>
      </c>
      <c r="AH184" s="40"/>
      <c r="AI184" s="40"/>
      <c r="AJ184" s="58" t="str">
        <f t="shared" si="408"/>
        <v/>
      </c>
      <c r="AK184" s="12"/>
      <c r="AL184" s="58" t="str">
        <f t="shared" si="409"/>
        <v/>
      </c>
      <c r="AM184" s="40"/>
      <c r="AN184" s="40"/>
      <c r="AO184" s="58" t="str">
        <f t="shared" si="410"/>
        <v/>
      </c>
      <c r="AP184" s="58" t="str">
        <f t="shared" si="411"/>
        <v/>
      </c>
      <c r="AQ184" s="58" t="str">
        <f t="shared" si="412"/>
        <v/>
      </c>
      <c r="AR184" s="59" t="str">
        <f t="shared" si="413"/>
        <v/>
      </c>
      <c r="AS184" s="12"/>
      <c r="AT184" s="49"/>
      <c r="AU184" s="49"/>
      <c r="AV184" s="61" t="str">
        <f>IF(_xlfn.XLOOKUP(AT184, AutoFill_classes!$A:$A, AutoFill_classes!$B:$B,"")=0,"",_xlfn.XLOOKUP(AT184, AutoFill_classes!$A:$A, AutoFill_classes!$B:$B,""))</f>
        <v/>
      </c>
      <c r="AW184" s="154"/>
      <c r="AX184" s="12"/>
      <c r="AY184" s="13"/>
      <c r="AZ184" s="12"/>
      <c r="BA184" s="13"/>
      <c r="BB184" s="13"/>
      <c r="BC184" s="146"/>
      <c r="BD184" s="37"/>
      <c r="BE184" s="60" t="str">
        <f t="shared" si="414"/>
        <v/>
      </c>
      <c r="BF184" s="32"/>
      <c r="BG184" s="32"/>
      <c r="BH184" s="32"/>
      <c r="BI184" s="32"/>
      <c r="BJ184" s="58" t="str">
        <f t="shared" si="415"/>
        <v/>
      </c>
      <c r="BK184" s="20"/>
      <c r="BL184" s="58" t="str">
        <f t="shared" si="416"/>
        <v/>
      </c>
      <c r="BM184" s="32"/>
      <c r="BN184" s="32"/>
      <c r="BO184" s="58" t="str">
        <f t="shared" si="417"/>
        <v/>
      </c>
      <c r="BP184" s="20"/>
      <c r="BQ184" s="58" t="str">
        <f t="shared" si="418"/>
        <v/>
      </c>
      <c r="BR184" s="32"/>
      <c r="BS184" s="32"/>
      <c r="BT184" s="58" t="str">
        <f t="shared" si="419"/>
        <v/>
      </c>
      <c r="BU184" s="58" t="str">
        <f t="shared" si="420"/>
        <v/>
      </c>
      <c r="BV184" s="58" t="str">
        <f t="shared" si="421"/>
        <v/>
      </c>
      <c r="BW184" s="59" t="str">
        <f t="shared" si="422"/>
        <v/>
      </c>
      <c r="BX184" s="12"/>
      <c r="BY184" s="49"/>
      <c r="BZ184" s="49"/>
      <c r="CA184" s="61" t="str">
        <f>IF(_xlfn.XLOOKUP(BY184, AutoFill_classes!$A:$A, AutoFill_classes!$B:$B,"")=0,"",_xlfn.XLOOKUP(BY184, AutoFill_classes!$A:$A, AutoFill_classes!$B:$B,""))</f>
        <v/>
      </c>
      <c r="CB184" s="154"/>
      <c r="CC184" s="12"/>
      <c r="CD184" s="12"/>
      <c r="CE184" s="12"/>
      <c r="CF184" s="7"/>
      <c r="CG184" s="37"/>
      <c r="CH184" s="146"/>
      <c r="CI184" s="41"/>
      <c r="CJ184" s="60" t="str">
        <f t="shared" si="423"/>
        <v/>
      </c>
      <c r="CK184" s="32"/>
      <c r="CL184" s="32"/>
      <c r="CM184" s="32"/>
      <c r="CN184" s="32"/>
      <c r="CO184" s="58" t="str">
        <f t="shared" si="424"/>
        <v/>
      </c>
      <c r="CP184" s="20"/>
      <c r="CQ184" s="58" t="str">
        <f t="shared" si="425"/>
        <v/>
      </c>
      <c r="CR184" s="32"/>
      <c r="CS184" s="32"/>
      <c r="CT184" s="58" t="str">
        <f t="shared" si="426"/>
        <v/>
      </c>
      <c r="CU184" s="20"/>
      <c r="CV184" s="58" t="str">
        <f t="shared" si="427"/>
        <v/>
      </c>
      <c r="CW184" s="32"/>
      <c r="CX184" s="32"/>
      <c r="CY184" s="58" t="str">
        <f t="shared" si="428"/>
        <v/>
      </c>
      <c r="CZ184" s="58" t="str">
        <f t="shared" si="429"/>
        <v/>
      </c>
      <c r="DA184" s="58" t="str">
        <f t="shared" si="430"/>
        <v/>
      </c>
      <c r="DB184" s="59" t="str">
        <f t="shared" si="431"/>
        <v/>
      </c>
      <c r="DC184" s="12"/>
      <c r="DD184" s="146"/>
      <c r="DE184" s="91">
        <v>183</v>
      </c>
    </row>
    <row r="185" spans="1:109" s="39" customFormat="1" ht="13">
      <c r="A185" s="7"/>
      <c r="B185" s="23" t="str">
        <f>IF(_xlfn.XLOOKUP(A185, AutoFill_names!B:B, AutoFill_names!C:C,"")=0,"",_xlfn.XLOOKUP(A185, AutoFill_names!B:B, AutoFill_names!C:C,""))</f>
        <v/>
      </c>
      <c r="C185" s="23" t="str">
        <f>IF(_xlfn.XLOOKUP(A185, AutoFill_names!B:B, AutoFill_names!D:D,"")=0,"",_xlfn.XLOOKUP(A185, AutoFill_names!B:B, AutoFill_names!D:D,""))</f>
        <v/>
      </c>
      <c r="D185" s="23" t="str">
        <f>IF(_xlfn.XLOOKUP(A185, AutoFill_names!B:B, AutoFill_names!E:E,"")=0,"",_xlfn.XLOOKUP(A185, AutoFill_names!B:B, AutoFill_names!E:E,""))</f>
        <v/>
      </c>
      <c r="E185" s="23" t="str">
        <f>IF(_xlfn.XLOOKUP(A185, AutoFill_names!B:B, AutoFill_names!F:F,"")=0,"",_xlfn.XLOOKUP(A185, AutoFill_names!B:B, AutoFill_names!F:F,""))</f>
        <v/>
      </c>
      <c r="F185" s="4"/>
      <c r="G185" s="4"/>
      <c r="H185" s="4"/>
      <c r="I185" s="4"/>
      <c r="J185" s="23" t="str">
        <f>IF(_xlfn.XLOOKUP(A185, AutoFill_names!B:B, AutoFill_names!K:K,"")=0,"",_xlfn.XLOOKUP(A185, AutoFill_names!B:B, AutoFill_names!K:K,""))</f>
        <v/>
      </c>
      <c r="K185" s="23" t="str">
        <f>IF(_xlfn.XLOOKUP(A185, AutoFill_names!B:B, AutoFill_names!L:L,"")=0,"",_xlfn.XLOOKUP(A185, AutoFill_names!B:B, AutoFill_names!L:L,""))</f>
        <v/>
      </c>
      <c r="L185" s="8"/>
      <c r="M185" s="8"/>
      <c r="N185" s="61" t="str">
        <f>IF(_xlfn.XLOOKUP(L185, AutoFill_classes!A:A, AutoFill_classes!B:B,"")=0,"",_xlfn.XLOOKUP(L185, AutoFill_classes!A:A, AutoFill_classes!B:B,""))</f>
        <v/>
      </c>
      <c r="O185" s="154"/>
      <c r="P185" s="11"/>
      <c r="Q185" s="11"/>
      <c r="R185" s="11"/>
      <c r="S185" s="8"/>
      <c r="T185" s="8"/>
      <c r="U185" s="8"/>
      <c r="V185" s="7"/>
      <c r="W185" s="7"/>
      <c r="X185" s="146"/>
      <c r="Y185" s="37"/>
      <c r="Z185" s="60" t="str">
        <f t="shared" ref="Z185:Z216" si="486">IF(X185*Y185=0,"",X185*Y185)</f>
        <v/>
      </c>
      <c r="AA185" s="40"/>
      <c r="AB185" s="40"/>
      <c r="AC185" s="40"/>
      <c r="AD185" s="40"/>
      <c r="AE185" s="58" t="str">
        <f t="shared" ref="AE185:AE216" si="487">IF(ROUNDUP((AD185-AC185)/7,0)=0,"",ROUNDUP((AD185-AC185)/7,0))</f>
        <v/>
      </c>
      <c r="AF185" s="12"/>
      <c r="AG185" s="58" t="str">
        <f t="shared" ref="AG185:AG216" si="488">IFERROR(IF(AE185*AF185=0,"",AE185*AF185), "")</f>
        <v/>
      </c>
      <c r="AH185" s="40"/>
      <c r="AI185" s="40"/>
      <c r="AJ185" s="58" t="str">
        <f t="shared" ref="AJ185:AJ216" si="489">IF(ROUNDUP((AI185-AH185)/7,0)=0,"",ROUNDUP((AI185-AH185)/7,0))</f>
        <v/>
      </c>
      <c r="AK185" s="12"/>
      <c r="AL185" s="58" t="str">
        <f t="shared" ref="AL185:AL216" si="490">IFERROR(IF(AJ185*AK185=0,"",AJ185*AK185), "")</f>
        <v/>
      </c>
      <c r="AM185" s="40"/>
      <c r="AN185" s="40"/>
      <c r="AO185" s="58" t="str">
        <f t="shared" ref="AO185:AO216" si="491">IF(ROUNDUP((AN185-AM185)/7,0)=0,"",ROUNDUP((AN185-AM185)/7,0))</f>
        <v/>
      </c>
      <c r="AP185" s="58" t="str">
        <f t="shared" ref="AP185:AP216" si="492">IFERROR(IF((AS185-(AF185+AK185))/AO185=0,"",ROUNDUP((AS185-(AF185+AK185))/AO185,0)), "")</f>
        <v/>
      </c>
      <c r="AQ185" s="58" t="str">
        <f t="shared" ref="AQ185:AQ216" si="493">IFERROR(IF((AS185-(AG185+AL185))=0, "", (AS185-(AG185+AL185))), "")</f>
        <v/>
      </c>
      <c r="AR185" s="59" t="str">
        <f t="shared" ref="AR185:AR216" si="494">IFERROR(IF((AE185+AJ185+AO185)=0, "", (AE185+AJ185+AO185)), "")</f>
        <v/>
      </c>
      <c r="AS185" s="12"/>
      <c r="AT185" s="49"/>
      <c r="AU185" s="49"/>
      <c r="AV185" s="61" t="str">
        <f>IF(_xlfn.XLOOKUP(AT185, AutoFill_classes!$A:$A, AutoFill_classes!$B:$B,"")=0,"",_xlfn.XLOOKUP(AT185, AutoFill_classes!$A:$A, AutoFill_classes!$B:$B,""))</f>
        <v/>
      </c>
      <c r="AW185" s="154"/>
      <c r="AX185" s="12"/>
      <c r="AY185" s="13"/>
      <c r="AZ185" s="12"/>
      <c r="BA185" s="13"/>
      <c r="BB185" s="13"/>
      <c r="BC185" s="146"/>
      <c r="BD185" s="37"/>
      <c r="BE185" s="60" t="str">
        <f t="shared" ref="BE185:BE216" si="495">IF(BC185*BD185=0,"",BC185*BD185)</f>
        <v/>
      </c>
      <c r="BF185" s="32"/>
      <c r="BG185" s="32"/>
      <c r="BH185" s="32"/>
      <c r="BI185" s="32"/>
      <c r="BJ185" s="58" t="str">
        <f t="shared" ref="BJ185:BJ216" si="496">IF(ROUNDUP((BI185-BH185)/7,0)=0,"",ROUNDUP((BI185-BH185)/7,0))</f>
        <v/>
      </c>
      <c r="BK185" s="20"/>
      <c r="BL185" s="58" t="str">
        <f t="shared" ref="BL185:BL216" si="497">IFERROR(IF(BJ185*BK185=0,"",BJ185*BK185), "")</f>
        <v/>
      </c>
      <c r="BM185" s="32"/>
      <c r="BN185" s="32"/>
      <c r="BO185" s="58" t="str">
        <f t="shared" ref="BO185:BO216" si="498">IF(ROUNDUP((BN185-BM185)/7,0)=0,"",ROUNDUP((BN185-BM185)/7,0))</f>
        <v/>
      </c>
      <c r="BP185" s="20"/>
      <c r="BQ185" s="58" t="str">
        <f t="shared" ref="BQ185:BQ216" si="499">IFERROR(IF(BO185*BP185=0,"",BO185*BP185), "")</f>
        <v/>
      </c>
      <c r="BR185" s="32"/>
      <c r="BS185" s="32"/>
      <c r="BT185" s="58" t="str">
        <f t="shared" ref="BT185:BT216" si="500">IF(ROUNDUP((BS185-BR185)/7,0)=0,"",ROUNDUP((BS185-BR185)/7,0))</f>
        <v/>
      </c>
      <c r="BU185" s="58" t="str">
        <f t="shared" ref="BU185:BU216" si="501">IFERROR(IF((BX185-(BK185+BP185))/BT185=0,"",ROUNDUP((BX185-(BK185+BP185))/BT185,0)), "")</f>
        <v/>
      </c>
      <c r="BV185" s="58" t="str">
        <f t="shared" ref="BV185:BV216" si="502">IFERROR(IF((BX185-(BL185+BQ185))=0, "", (BX185-(BL185+BQ185))), "")</f>
        <v/>
      </c>
      <c r="BW185" s="59" t="str">
        <f t="shared" ref="BW185:BW216" si="503">IFERROR(IF((BJ185+BO185+BT185)=0, "", (BJ185+BO185+BT185)), "")</f>
        <v/>
      </c>
      <c r="BX185" s="12"/>
      <c r="BY185" s="49"/>
      <c r="BZ185" s="49"/>
      <c r="CA185" s="61" t="str">
        <f>IF(_xlfn.XLOOKUP(BY185, AutoFill_classes!$A:$A, AutoFill_classes!$B:$B,"")=0,"",_xlfn.XLOOKUP(BY185, AutoFill_classes!$A:$A, AutoFill_classes!$B:$B,""))</f>
        <v/>
      </c>
      <c r="CB185" s="154"/>
      <c r="CC185" s="12"/>
      <c r="CD185" s="12"/>
      <c r="CE185" s="12"/>
      <c r="CF185" s="7"/>
      <c r="CG185" s="37"/>
      <c r="CH185" s="146"/>
      <c r="CI185" s="41"/>
      <c r="CJ185" s="60" t="str">
        <f t="shared" ref="CJ185:CJ216" si="504">IF(CH185*CI185=0,"",CH185*CI185)</f>
        <v/>
      </c>
      <c r="CK185" s="32"/>
      <c r="CL185" s="32"/>
      <c r="CM185" s="32"/>
      <c r="CN185" s="32"/>
      <c r="CO185" s="58" t="str">
        <f t="shared" ref="CO185:CO216" si="505">IF(ROUNDUP((CN185-CM185)/7,0)=0,"",ROUNDUP((CN185-CM185)/7,0))</f>
        <v/>
      </c>
      <c r="CP185" s="20"/>
      <c r="CQ185" s="58" t="str">
        <f t="shared" ref="CQ185:CQ216" si="506">IFERROR(IF(CO185*CP185=0,"",CO185*CP185), "")</f>
        <v/>
      </c>
      <c r="CR185" s="32"/>
      <c r="CS185" s="32"/>
      <c r="CT185" s="58" t="str">
        <f t="shared" ref="CT185:CT216" si="507">IF(ROUNDUP((CS185-CR185)/7,0)=0,"",ROUNDUP((CS185-CR185)/7,0))</f>
        <v/>
      </c>
      <c r="CU185" s="20"/>
      <c r="CV185" s="58" t="str">
        <f t="shared" ref="CV185:CV216" si="508">IFERROR(IF(CT185*CU185=0,"",CT185*CU185), "")</f>
        <v/>
      </c>
      <c r="CW185" s="32"/>
      <c r="CX185" s="32"/>
      <c r="CY185" s="58" t="str">
        <f t="shared" ref="CY185:CY216" si="509">IF(ROUNDUP((CX185-CW185)/7,0)=0,"",ROUNDUP((CX185-CW185)/7,0))</f>
        <v/>
      </c>
      <c r="CZ185" s="58" t="str">
        <f t="shared" ref="CZ185:CZ216" si="510">IFERROR(IF((DC185-(CP185+CU185))/CY185=0,"",ROUNDUP((DC185-(CP185+CU185))/CY185,0)), "")</f>
        <v/>
      </c>
      <c r="DA185" s="58" t="str">
        <f t="shared" ref="DA185:DA216" si="511">IFERROR(IF((DC185-(CQ185+CV185))=0, "", (DC185-(CQ185+CV185))), "")</f>
        <v/>
      </c>
      <c r="DB185" s="59" t="str">
        <f t="shared" ref="DB185:DB216" si="512">IFERROR(IF((CO185+CT185+CY185)=0, "", (CO185+CT185+CY185)), "")</f>
        <v/>
      </c>
      <c r="DC185" s="12"/>
      <c r="DD185" s="146"/>
      <c r="DE185" s="91">
        <v>184</v>
      </c>
    </row>
    <row r="186" spans="1:109" s="39" customFormat="1" ht="13">
      <c r="A186" s="7"/>
      <c r="B186" s="23" t="str">
        <f>IF(_xlfn.XLOOKUP(A186, AutoFill_names!B:B, AutoFill_names!C:C,"")=0,"",_xlfn.XLOOKUP(A186, AutoFill_names!B:B, AutoFill_names!C:C,""))</f>
        <v/>
      </c>
      <c r="C186" s="23" t="str">
        <f>IF(_xlfn.XLOOKUP(A186, AutoFill_names!B:B, AutoFill_names!D:D,"")=0,"",_xlfn.XLOOKUP(A186, AutoFill_names!B:B, AutoFill_names!D:D,""))</f>
        <v/>
      </c>
      <c r="D186" s="23" t="str">
        <f>IF(_xlfn.XLOOKUP(A186, AutoFill_names!B:B, AutoFill_names!E:E,"")=0,"",_xlfn.XLOOKUP(A186, AutoFill_names!B:B, AutoFill_names!E:E,""))</f>
        <v/>
      </c>
      <c r="E186" s="23" t="str">
        <f>IF(_xlfn.XLOOKUP(A186, AutoFill_names!B:B, AutoFill_names!F:F,"")=0,"",_xlfn.XLOOKUP(A186, AutoFill_names!B:B, AutoFill_names!F:F,""))</f>
        <v/>
      </c>
      <c r="F186" s="4"/>
      <c r="G186" s="4"/>
      <c r="H186" s="4"/>
      <c r="I186" s="4"/>
      <c r="J186" s="23" t="str">
        <f>IF(_xlfn.XLOOKUP(A186, AutoFill_names!B:B, AutoFill_names!K:K,"")=0,"",_xlfn.XLOOKUP(A186, AutoFill_names!B:B, AutoFill_names!K:K,""))</f>
        <v/>
      </c>
      <c r="K186" s="23" t="str">
        <f>IF(_xlfn.XLOOKUP(A186, AutoFill_names!B:B, AutoFill_names!L:L,"")=0,"",_xlfn.XLOOKUP(A186, AutoFill_names!B:B, AutoFill_names!L:L,""))</f>
        <v/>
      </c>
      <c r="L186" s="8"/>
      <c r="M186" s="8"/>
      <c r="N186" s="61" t="str">
        <f>IF(_xlfn.XLOOKUP(L186, AutoFill_classes!A:A, AutoFill_classes!B:B,"")=0,"",_xlfn.XLOOKUP(L186, AutoFill_classes!A:A, AutoFill_classes!B:B,""))</f>
        <v/>
      </c>
      <c r="O186" s="154"/>
      <c r="P186" s="11"/>
      <c r="Q186" s="11"/>
      <c r="R186" s="11"/>
      <c r="S186" s="8"/>
      <c r="T186" s="8"/>
      <c r="U186" s="8"/>
      <c r="V186" s="7"/>
      <c r="W186" s="7"/>
      <c r="X186" s="146"/>
      <c r="Y186" s="37"/>
      <c r="Z186" s="60" t="str">
        <f t="shared" si="486"/>
        <v/>
      </c>
      <c r="AA186" s="40"/>
      <c r="AB186" s="40"/>
      <c r="AC186" s="40"/>
      <c r="AD186" s="40"/>
      <c r="AE186" s="58" t="str">
        <f t="shared" si="487"/>
        <v/>
      </c>
      <c r="AF186" s="12"/>
      <c r="AG186" s="58" t="str">
        <f t="shared" si="488"/>
        <v/>
      </c>
      <c r="AH186" s="40"/>
      <c r="AI186" s="40"/>
      <c r="AJ186" s="58" t="str">
        <f t="shared" si="489"/>
        <v/>
      </c>
      <c r="AK186" s="12"/>
      <c r="AL186" s="58" t="str">
        <f t="shared" si="490"/>
        <v/>
      </c>
      <c r="AM186" s="40"/>
      <c r="AN186" s="40"/>
      <c r="AO186" s="58" t="str">
        <f t="shared" si="491"/>
        <v/>
      </c>
      <c r="AP186" s="58" t="str">
        <f t="shared" si="492"/>
        <v/>
      </c>
      <c r="AQ186" s="58" t="str">
        <f t="shared" si="493"/>
        <v/>
      </c>
      <c r="AR186" s="59" t="str">
        <f t="shared" si="494"/>
        <v/>
      </c>
      <c r="AS186" s="12"/>
      <c r="AT186" s="49"/>
      <c r="AU186" s="49"/>
      <c r="AV186" s="61" t="str">
        <f>IF(_xlfn.XLOOKUP(AT186, AutoFill_classes!$A:$A, AutoFill_classes!$B:$B,"")=0,"",_xlfn.XLOOKUP(AT186, AutoFill_classes!$A:$A, AutoFill_classes!$B:$B,""))</f>
        <v/>
      </c>
      <c r="AW186" s="154"/>
      <c r="AX186" s="12"/>
      <c r="AY186" s="13"/>
      <c r="AZ186" s="12"/>
      <c r="BA186" s="13"/>
      <c r="BB186" s="13"/>
      <c r="BC186" s="146"/>
      <c r="BD186" s="37"/>
      <c r="BE186" s="60" t="str">
        <f t="shared" si="495"/>
        <v/>
      </c>
      <c r="BF186" s="32"/>
      <c r="BG186" s="32"/>
      <c r="BH186" s="32"/>
      <c r="BI186" s="32"/>
      <c r="BJ186" s="58" t="str">
        <f t="shared" si="496"/>
        <v/>
      </c>
      <c r="BK186" s="20"/>
      <c r="BL186" s="58" t="str">
        <f t="shared" si="497"/>
        <v/>
      </c>
      <c r="BM186" s="32"/>
      <c r="BN186" s="32"/>
      <c r="BO186" s="58" t="str">
        <f t="shared" si="498"/>
        <v/>
      </c>
      <c r="BP186" s="20"/>
      <c r="BQ186" s="58" t="str">
        <f t="shared" si="499"/>
        <v/>
      </c>
      <c r="BR186" s="32"/>
      <c r="BS186" s="32"/>
      <c r="BT186" s="58" t="str">
        <f t="shared" si="500"/>
        <v/>
      </c>
      <c r="BU186" s="58" t="str">
        <f t="shared" si="501"/>
        <v/>
      </c>
      <c r="BV186" s="58" t="str">
        <f t="shared" si="502"/>
        <v/>
      </c>
      <c r="BW186" s="59" t="str">
        <f t="shared" si="503"/>
        <v/>
      </c>
      <c r="BX186" s="12"/>
      <c r="BY186" s="49"/>
      <c r="BZ186" s="49"/>
      <c r="CA186" s="61" t="str">
        <f>IF(_xlfn.XLOOKUP(BY186, AutoFill_classes!$A:$A, AutoFill_classes!$B:$B,"")=0,"",_xlfn.XLOOKUP(BY186, AutoFill_classes!$A:$A, AutoFill_classes!$B:$B,""))</f>
        <v/>
      </c>
      <c r="CB186" s="154"/>
      <c r="CC186" s="12"/>
      <c r="CD186" s="12"/>
      <c r="CE186" s="12"/>
      <c r="CF186" s="7"/>
      <c r="CG186" s="37"/>
      <c r="CH186" s="146"/>
      <c r="CI186" s="41"/>
      <c r="CJ186" s="60" t="str">
        <f t="shared" si="504"/>
        <v/>
      </c>
      <c r="CK186" s="32"/>
      <c r="CL186" s="32"/>
      <c r="CM186" s="32"/>
      <c r="CN186" s="32"/>
      <c r="CO186" s="58" t="str">
        <f t="shared" si="505"/>
        <v/>
      </c>
      <c r="CP186" s="20"/>
      <c r="CQ186" s="58" t="str">
        <f t="shared" si="506"/>
        <v/>
      </c>
      <c r="CR186" s="32"/>
      <c r="CS186" s="32"/>
      <c r="CT186" s="58" t="str">
        <f t="shared" si="507"/>
        <v/>
      </c>
      <c r="CU186" s="20"/>
      <c r="CV186" s="58" t="str">
        <f t="shared" si="508"/>
        <v/>
      </c>
      <c r="CW186" s="32"/>
      <c r="CX186" s="32"/>
      <c r="CY186" s="58" t="str">
        <f t="shared" si="509"/>
        <v/>
      </c>
      <c r="CZ186" s="58" t="str">
        <f t="shared" si="510"/>
        <v/>
      </c>
      <c r="DA186" s="58" t="str">
        <f t="shared" si="511"/>
        <v/>
      </c>
      <c r="DB186" s="59" t="str">
        <f t="shared" si="512"/>
        <v/>
      </c>
      <c r="DC186" s="12"/>
      <c r="DD186" s="146"/>
      <c r="DE186" s="91">
        <v>185</v>
      </c>
    </row>
    <row r="187" spans="1:109" s="39" customFormat="1" ht="13">
      <c r="A187" s="7"/>
      <c r="B187" s="23" t="str">
        <f>IF(_xlfn.XLOOKUP(A187, AutoFill_names!B:B, AutoFill_names!C:C,"")=0,"",_xlfn.XLOOKUP(A187, AutoFill_names!B:B, AutoFill_names!C:C,""))</f>
        <v/>
      </c>
      <c r="C187" s="23" t="str">
        <f>IF(_xlfn.XLOOKUP(A187, AutoFill_names!B:B, AutoFill_names!D:D,"")=0,"",_xlfn.XLOOKUP(A187, AutoFill_names!B:B, AutoFill_names!D:D,""))</f>
        <v/>
      </c>
      <c r="D187" s="23" t="str">
        <f>IF(_xlfn.XLOOKUP(A187, AutoFill_names!B:B, AutoFill_names!E:E,"")=0,"",_xlfn.XLOOKUP(A187, AutoFill_names!B:B, AutoFill_names!E:E,""))</f>
        <v/>
      </c>
      <c r="E187" s="23" t="str">
        <f>IF(_xlfn.XLOOKUP(A187, AutoFill_names!B:B, AutoFill_names!F:F,"")=0,"",_xlfn.XLOOKUP(A187, AutoFill_names!B:B, AutoFill_names!F:F,""))</f>
        <v/>
      </c>
      <c r="F187" s="4"/>
      <c r="G187" s="4"/>
      <c r="H187" s="4"/>
      <c r="I187" s="4"/>
      <c r="J187" s="23" t="str">
        <f>IF(_xlfn.XLOOKUP(A187, AutoFill_names!B:B, AutoFill_names!K:K,"")=0,"",_xlfn.XLOOKUP(A187, AutoFill_names!B:B, AutoFill_names!K:K,""))</f>
        <v/>
      </c>
      <c r="K187" s="23" t="str">
        <f>IF(_xlfn.XLOOKUP(A187, AutoFill_names!B:B, AutoFill_names!L:L,"")=0,"",_xlfn.XLOOKUP(A187, AutoFill_names!B:B, AutoFill_names!L:L,""))</f>
        <v/>
      </c>
      <c r="L187" s="8"/>
      <c r="M187" s="8"/>
      <c r="N187" s="61" t="str">
        <f>IF(_xlfn.XLOOKUP(L187, AutoFill_classes!A:A, AutoFill_classes!B:B,"")=0,"",_xlfn.XLOOKUP(L187, AutoFill_classes!A:A, AutoFill_classes!B:B,""))</f>
        <v/>
      </c>
      <c r="O187" s="154"/>
      <c r="P187" s="11"/>
      <c r="Q187" s="11"/>
      <c r="R187" s="11"/>
      <c r="S187" s="8"/>
      <c r="T187" s="8"/>
      <c r="U187" s="8"/>
      <c r="V187" s="7"/>
      <c r="W187" s="7"/>
      <c r="X187" s="146"/>
      <c r="Y187" s="37"/>
      <c r="Z187" s="60" t="str">
        <f t="shared" si="486"/>
        <v/>
      </c>
      <c r="AA187" s="40"/>
      <c r="AB187" s="40"/>
      <c r="AC187" s="40"/>
      <c r="AD187" s="40"/>
      <c r="AE187" s="58" t="str">
        <f t="shared" si="487"/>
        <v/>
      </c>
      <c r="AF187" s="12"/>
      <c r="AG187" s="58" t="str">
        <f t="shared" si="488"/>
        <v/>
      </c>
      <c r="AH187" s="40"/>
      <c r="AI187" s="40"/>
      <c r="AJ187" s="58" t="str">
        <f t="shared" si="489"/>
        <v/>
      </c>
      <c r="AK187" s="12"/>
      <c r="AL187" s="58" t="str">
        <f t="shared" si="490"/>
        <v/>
      </c>
      <c r="AM187" s="40"/>
      <c r="AN187" s="40"/>
      <c r="AO187" s="58" t="str">
        <f t="shared" si="491"/>
        <v/>
      </c>
      <c r="AP187" s="58" t="str">
        <f t="shared" si="492"/>
        <v/>
      </c>
      <c r="AQ187" s="58" t="str">
        <f t="shared" si="493"/>
        <v/>
      </c>
      <c r="AR187" s="59" t="str">
        <f t="shared" si="494"/>
        <v/>
      </c>
      <c r="AS187" s="12"/>
      <c r="AT187" s="49"/>
      <c r="AU187" s="49"/>
      <c r="AV187" s="61" t="str">
        <f>IF(_xlfn.XLOOKUP(AT187, AutoFill_classes!$A:$A, AutoFill_classes!$B:$B,"")=0,"",_xlfn.XLOOKUP(AT187, AutoFill_classes!$A:$A, AutoFill_classes!$B:$B,""))</f>
        <v/>
      </c>
      <c r="AW187" s="154"/>
      <c r="AX187" s="12"/>
      <c r="AY187" s="13"/>
      <c r="AZ187" s="12"/>
      <c r="BA187" s="13"/>
      <c r="BB187" s="13"/>
      <c r="BC187" s="146"/>
      <c r="BD187" s="37"/>
      <c r="BE187" s="60" t="str">
        <f t="shared" si="495"/>
        <v/>
      </c>
      <c r="BF187" s="32"/>
      <c r="BG187" s="32"/>
      <c r="BH187" s="32"/>
      <c r="BI187" s="32"/>
      <c r="BJ187" s="58" t="str">
        <f t="shared" si="496"/>
        <v/>
      </c>
      <c r="BK187" s="20"/>
      <c r="BL187" s="58" t="str">
        <f t="shared" si="497"/>
        <v/>
      </c>
      <c r="BM187" s="32"/>
      <c r="BN187" s="32"/>
      <c r="BO187" s="58" t="str">
        <f t="shared" si="498"/>
        <v/>
      </c>
      <c r="BP187" s="20"/>
      <c r="BQ187" s="58" t="str">
        <f t="shared" si="499"/>
        <v/>
      </c>
      <c r="BR187" s="32"/>
      <c r="BS187" s="32"/>
      <c r="BT187" s="58" t="str">
        <f t="shared" si="500"/>
        <v/>
      </c>
      <c r="BU187" s="58" t="str">
        <f t="shared" si="501"/>
        <v/>
      </c>
      <c r="BV187" s="58" t="str">
        <f t="shared" si="502"/>
        <v/>
      </c>
      <c r="BW187" s="59" t="str">
        <f t="shared" si="503"/>
        <v/>
      </c>
      <c r="BX187" s="12"/>
      <c r="BY187" s="49"/>
      <c r="BZ187" s="49"/>
      <c r="CA187" s="61" t="str">
        <f>IF(_xlfn.XLOOKUP(BY187, AutoFill_classes!$A:$A, AutoFill_classes!$B:$B,"")=0,"",_xlfn.XLOOKUP(BY187, AutoFill_classes!$A:$A, AutoFill_classes!$B:$B,""))</f>
        <v/>
      </c>
      <c r="CB187" s="154"/>
      <c r="CC187" s="12"/>
      <c r="CD187" s="12"/>
      <c r="CE187" s="12"/>
      <c r="CF187" s="7"/>
      <c r="CG187" s="37"/>
      <c r="CH187" s="146"/>
      <c r="CI187" s="41"/>
      <c r="CJ187" s="60" t="str">
        <f t="shared" si="504"/>
        <v/>
      </c>
      <c r="CK187" s="32"/>
      <c r="CL187" s="32"/>
      <c r="CM187" s="32"/>
      <c r="CN187" s="32"/>
      <c r="CO187" s="58" t="str">
        <f t="shared" si="505"/>
        <v/>
      </c>
      <c r="CP187" s="20"/>
      <c r="CQ187" s="58" t="str">
        <f t="shared" si="506"/>
        <v/>
      </c>
      <c r="CR187" s="32"/>
      <c r="CS187" s="32"/>
      <c r="CT187" s="58" t="str">
        <f t="shared" si="507"/>
        <v/>
      </c>
      <c r="CU187" s="20"/>
      <c r="CV187" s="58" t="str">
        <f t="shared" si="508"/>
        <v/>
      </c>
      <c r="CW187" s="32"/>
      <c r="CX187" s="32"/>
      <c r="CY187" s="58" t="str">
        <f t="shared" si="509"/>
        <v/>
      </c>
      <c r="CZ187" s="58" t="str">
        <f t="shared" si="510"/>
        <v/>
      </c>
      <c r="DA187" s="58" t="str">
        <f t="shared" si="511"/>
        <v/>
      </c>
      <c r="DB187" s="59" t="str">
        <f t="shared" si="512"/>
        <v/>
      </c>
      <c r="DC187" s="12"/>
      <c r="DD187" s="146"/>
      <c r="DE187" s="91">
        <v>186</v>
      </c>
    </row>
    <row r="188" spans="1:109">
      <c r="A188" s="7"/>
      <c r="B188" s="23" t="str">
        <f>IF(_xlfn.XLOOKUP(A188, AutoFill_names!B:B, AutoFill_names!C:C,"")=0,"",_xlfn.XLOOKUP(A188, AutoFill_names!B:B, AutoFill_names!C:C,""))</f>
        <v/>
      </c>
      <c r="C188" s="23" t="str">
        <f>IF(_xlfn.XLOOKUP(A188, AutoFill_names!B:B, AutoFill_names!D:D,"")=0,"",_xlfn.XLOOKUP(A188, AutoFill_names!B:B, AutoFill_names!D:D,""))</f>
        <v/>
      </c>
      <c r="D188" s="23" t="str">
        <f>IF(_xlfn.XLOOKUP(A188, AutoFill_names!B:B, AutoFill_names!E:E,"")=0,"",_xlfn.XLOOKUP(A188, AutoFill_names!B:B, AutoFill_names!E:E,""))</f>
        <v/>
      </c>
      <c r="E188" s="23" t="str">
        <f>IF(_xlfn.XLOOKUP(A188, AutoFill_names!B:B, AutoFill_names!F:F,"")=0,"",_xlfn.XLOOKUP(A188, AutoFill_names!B:B, AutoFill_names!F:F,""))</f>
        <v/>
      </c>
      <c r="F188" s="4"/>
      <c r="G188" s="4"/>
      <c r="H188" s="4"/>
      <c r="I188" s="4"/>
      <c r="J188" s="23" t="str">
        <f>IF(_xlfn.XLOOKUP(A188, AutoFill_names!B:B, AutoFill_names!K:K,"")=0,"",_xlfn.XLOOKUP(A188, AutoFill_names!B:B, AutoFill_names!K:K,""))</f>
        <v/>
      </c>
      <c r="K188" s="23" t="str">
        <f>IF(_xlfn.XLOOKUP(A188, AutoFill_names!B:B, AutoFill_names!L:L,"")=0,"",_xlfn.XLOOKUP(A188, AutoFill_names!B:B, AutoFill_names!L:L,""))</f>
        <v/>
      </c>
      <c r="L188" s="8"/>
      <c r="M188" s="8"/>
      <c r="N188" s="61" t="str">
        <f>IF(_xlfn.XLOOKUP(L188, AutoFill_classes!A:A, AutoFill_classes!B:B,"")=0,"",_xlfn.XLOOKUP(L188, AutoFill_classes!A:A, AutoFill_classes!B:B,""))</f>
        <v/>
      </c>
      <c r="O188" s="154"/>
      <c r="P188" s="11"/>
      <c r="Q188" s="11"/>
      <c r="R188" s="11"/>
      <c r="S188" s="8"/>
      <c r="T188" s="8"/>
      <c r="U188" s="8"/>
      <c r="V188" s="7"/>
      <c r="W188" s="7"/>
      <c r="X188" s="146"/>
      <c r="Y188" s="37"/>
      <c r="Z188" s="60" t="str">
        <f t="shared" si="486"/>
        <v/>
      </c>
      <c r="AA188" s="40"/>
      <c r="AB188" s="40"/>
      <c r="AC188" s="40"/>
      <c r="AD188" s="40"/>
      <c r="AE188" s="58" t="str">
        <f t="shared" si="487"/>
        <v/>
      </c>
      <c r="AF188" s="12"/>
      <c r="AG188" s="58" t="str">
        <f t="shared" si="488"/>
        <v/>
      </c>
      <c r="AH188" s="40"/>
      <c r="AI188" s="40"/>
      <c r="AJ188" s="58" t="str">
        <f t="shared" si="489"/>
        <v/>
      </c>
      <c r="AK188" s="12"/>
      <c r="AL188" s="58" t="str">
        <f t="shared" si="490"/>
        <v/>
      </c>
      <c r="AM188" s="40"/>
      <c r="AN188" s="40"/>
      <c r="AO188" s="58" t="str">
        <f t="shared" si="491"/>
        <v/>
      </c>
      <c r="AP188" s="58" t="str">
        <f t="shared" si="492"/>
        <v/>
      </c>
      <c r="AQ188" s="58" t="str">
        <f t="shared" si="493"/>
        <v/>
      </c>
      <c r="AR188" s="59" t="str">
        <f t="shared" si="494"/>
        <v/>
      </c>
      <c r="AS188" s="12"/>
      <c r="AT188" s="49"/>
      <c r="AU188" s="49"/>
      <c r="AV188" s="61" t="str">
        <f>IF(_xlfn.XLOOKUP(AT188, AutoFill_classes!$A:$A, AutoFill_classes!$B:$B,"")=0,"",_xlfn.XLOOKUP(AT188, AutoFill_classes!$A:$A, AutoFill_classes!$B:$B,""))</f>
        <v/>
      </c>
      <c r="AW188" s="154"/>
      <c r="AX188" s="12"/>
      <c r="AY188" s="13"/>
      <c r="AZ188" s="12"/>
      <c r="BA188" s="13"/>
      <c r="BB188" s="13"/>
      <c r="BC188" s="146"/>
      <c r="BD188" s="37"/>
      <c r="BE188" s="60" t="str">
        <f t="shared" si="495"/>
        <v/>
      </c>
      <c r="BF188" s="32"/>
      <c r="BG188" s="32"/>
      <c r="BH188" s="32"/>
      <c r="BI188" s="32"/>
      <c r="BJ188" s="58" t="str">
        <f t="shared" si="496"/>
        <v/>
      </c>
      <c r="BK188" s="20"/>
      <c r="BL188" s="58" t="str">
        <f t="shared" si="497"/>
        <v/>
      </c>
      <c r="BM188" s="32"/>
      <c r="BN188" s="32"/>
      <c r="BO188" s="58" t="str">
        <f t="shared" si="498"/>
        <v/>
      </c>
      <c r="BP188" s="20"/>
      <c r="BQ188" s="58" t="str">
        <f t="shared" si="499"/>
        <v/>
      </c>
      <c r="BR188" s="32"/>
      <c r="BS188" s="32"/>
      <c r="BT188" s="58" t="str">
        <f t="shared" si="500"/>
        <v/>
      </c>
      <c r="BU188" s="58" t="str">
        <f t="shared" si="501"/>
        <v/>
      </c>
      <c r="BV188" s="58" t="str">
        <f t="shared" si="502"/>
        <v/>
      </c>
      <c r="BW188" s="59" t="str">
        <f t="shared" si="503"/>
        <v/>
      </c>
      <c r="BX188" s="12"/>
      <c r="BY188" s="49"/>
      <c r="BZ188" s="49"/>
      <c r="CA188" s="61" t="str">
        <f>IF(_xlfn.XLOOKUP(BY188, AutoFill_classes!$A:$A, AutoFill_classes!$B:$B,"")=0,"",_xlfn.XLOOKUP(BY188, AutoFill_classes!$A:$A, AutoFill_classes!$B:$B,""))</f>
        <v/>
      </c>
      <c r="CB188" s="154"/>
      <c r="CC188" s="12"/>
      <c r="CD188" s="12"/>
      <c r="CE188" s="12"/>
      <c r="CF188" s="7"/>
      <c r="CG188" s="37"/>
      <c r="CH188" s="146"/>
      <c r="CI188" s="41"/>
      <c r="CJ188" s="60" t="str">
        <f t="shared" si="504"/>
        <v/>
      </c>
      <c r="CK188" s="32"/>
      <c r="CL188" s="32"/>
      <c r="CM188" s="32"/>
      <c r="CN188" s="32"/>
      <c r="CO188" s="58" t="str">
        <f t="shared" si="505"/>
        <v/>
      </c>
      <c r="CP188" s="20"/>
      <c r="CQ188" s="58" t="str">
        <f t="shared" si="506"/>
        <v/>
      </c>
      <c r="CR188" s="32"/>
      <c r="CS188" s="32"/>
      <c r="CT188" s="58" t="str">
        <f t="shared" si="507"/>
        <v/>
      </c>
      <c r="CU188" s="20"/>
      <c r="CV188" s="58" t="str">
        <f t="shared" si="508"/>
        <v/>
      </c>
      <c r="CW188" s="32"/>
      <c r="CX188" s="32"/>
      <c r="CY188" s="58" t="str">
        <f t="shared" si="509"/>
        <v/>
      </c>
      <c r="CZ188" s="58" t="str">
        <f t="shared" si="510"/>
        <v/>
      </c>
      <c r="DA188" s="58" t="str">
        <f t="shared" si="511"/>
        <v/>
      </c>
      <c r="DB188" s="59" t="str">
        <f t="shared" si="512"/>
        <v/>
      </c>
      <c r="DC188" s="12"/>
      <c r="DD188" s="146"/>
      <c r="DE188" s="91">
        <v>187</v>
      </c>
    </row>
    <row r="189" spans="1:109">
      <c r="A189" s="7"/>
      <c r="B189" s="23" t="str">
        <f>IF(_xlfn.XLOOKUP(A189, AutoFill_names!B:B, AutoFill_names!C:C,"")=0,"",_xlfn.XLOOKUP(A189, AutoFill_names!B:B, AutoFill_names!C:C,""))</f>
        <v/>
      </c>
      <c r="C189" s="23" t="str">
        <f>IF(_xlfn.XLOOKUP(A189, AutoFill_names!B:B, AutoFill_names!D:D,"")=0,"",_xlfn.XLOOKUP(A189, AutoFill_names!B:B, AutoFill_names!D:D,""))</f>
        <v/>
      </c>
      <c r="D189" s="23" t="str">
        <f>IF(_xlfn.XLOOKUP(A189, AutoFill_names!B:B, AutoFill_names!E:E,"")=0,"",_xlfn.XLOOKUP(A189, AutoFill_names!B:B, AutoFill_names!E:E,""))</f>
        <v/>
      </c>
      <c r="E189" s="23" t="str">
        <f>IF(_xlfn.XLOOKUP(A189, AutoFill_names!B:B, AutoFill_names!F:F,"")=0,"",_xlfn.XLOOKUP(A189, AutoFill_names!B:B, AutoFill_names!F:F,""))</f>
        <v/>
      </c>
      <c r="F189" s="4"/>
      <c r="G189" s="4"/>
      <c r="H189" s="4"/>
      <c r="I189" s="4"/>
      <c r="J189" s="23" t="str">
        <f>IF(_xlfn.XLOOKUP(A189, AutoFill_names!B:B, AutoFill_names!K:K,"")=0,"",_xlfn.XLOOKUP(A189, AutoFill_names!B:B, AutoFill_names!K:K,""))</f>
        <v/>
      </c>
      <c r="K189" s="23" t="str">
        <f>IF(_xlfn.XLOOKUP(A189, AutoFill_names!B:B, AutoFill_names!L:L,"")=0,"",_xlfn.XLOOKUP(A189, AutoFill_names!B:B, AutoFill_names!L:L,""))</f>
        <v/>
      </c>
      <c r="L189" s="8"/>
      <c r="M189" s="8"/>
      <c r="N189" s="61" t="str">
        <f>IF(_xlfn.XLOOKUP(L189, AutoFill_classes!A:A, AutoFill_classes!B:B,"")=0,"",_xlfn.XLOOKUP(L189, AutoFill_classes!A:A, AutoFill_classes!B:B,""))</f>
        <v/>
      </c>
      <c r="O189" s="154"/>
      <c r="P189" s="11"/>
      <c r="Q189" s="11"/>
      <c r="R189" s="11"/>
      <c r="S189" s="8"/>
      <c r="T189" s="8"/>
      <c r="U189" s="8"/>
      <c r="V189" s="7"/>
      <c r="W189" s="7"/>
      <c r="X189" s="146"/>
      <c r="Y189" s="37"/>
      <c r="Z189" s="60" t="str">
        <f t="shared" si="486"/>
        <v/>
      </c>
      <c r="AA189" s="40"/>
      <c r="AB189" s="40"/>
      <c r="AC189" s="40"/>
      <c r="AD189" s="40"/>
      <c r="AE189" s="58" t="str">
        <f t="shared" si="487"/>
        <v/>
      </c>
      <c r="AF189" s="12"/>
      <c r="AG189" s="58" t="str">
        <f t="shared" si="488"/>
        <v/>
      </c>
      <c r="AH189" s="40"/>
      <c r="AI189" s="40"/>
      <c r="AJ189" s="58" t="str">
        <f t="shared" si="489"/>
        <v/>
      </c>
      <c r="AK189" s="12"/>
      <c r="AL189" s="58" t="str">
        <f t="shared" si="490"/>
        <v/>
      </c>
      <c r="AM189" s="40"/>
      <c r="AN189" s="40"/>
      <c r="AO189" s="58" t="str">
        <f t="shared" si="491"/>
        <v/>
      </c>
      <c r="AP189" s="58" t="str">
        <f t="shared" si="492"/>
        <v/>
      </c>
      <c r="AQ189" s="58" t="str">
        <f t="shared" si="493"/>
        <v/>
      </c>
      <c r="AR189" s="59" t="str">
        <f t="shared" si="494"/>
        <v/>
      </c>
      <c r="AS189" s="12"/>
      <c r="AT189" s="49"/>
      <c r="AU189" s="49"/>
      <c r="AV189" s="61" t="str">
        <f>IF(_xlfn.XLOOKUP(AT189, AutoFill_classes!$A:$A, AutoFill_classes!$B:$B,"")=0,"",_xlfn.XLOOKUP(AT189, AutoFill_classes!$A:$A, AutoFill_classes!$B:$B,""))</f>
        <v/>
      </c>
      <c r="AW189" s="154"/>
      <c r="AX189" s="12"/>
      <c r="AY189" s="13"/>
      <c r="AZ189" s="12"/>
      <c r="BA189" s="13"/>
      <c r="BB189" s="13"/>
      <c r="BC189" s="146"/>
      <c r="BD189" s="37"/>
      <c r="BE189" s="60" t="str">
        <f t="shared" si="495"/>
        <v/>
      </c>
      <c r="BF189" s="32"/>
      <c r="BG189" s="32"/>
      <c r="BH189" s="32"/>
      <c r="BI189" s="32"/>
      <c r="BJ189" s="58" t="str">
        <f t="shared" si="496"/>
        <v/>
      </c>
      <c r="BK189" s="20"/>
      <c r="BL189" s="58" t="str">
        <f t="shared" si="497"/>
        <v/>
      </c>
      <c r="BM189" s="32"/>
      <c r="BN189" s="32"/>
      <c r="BO189" s="58" t="str">
        <f t="shared" si="498"/>
        <v/>
      </c>
      <c r="BP189" s="20"/>
      <c r="BQ189" s="58" t="str">
        <f t="shared" si="499"/>
        <v/>
      </c>
      <c r="BR189" s="32"/>
      <c r="BS189" s="32"/>
      <c r="BT189" s="58" t="str">
        <f t="shared" si="500"/>
        <v/>
      </c>
      <c r="BU189" s="58" t="str">
        <f t="shared" si="501"/>
        <v/>
      </c>
      <c r="BV189" s="58" t="str">
        <f t="shared" si="502"/>
        <v/>
      </c>
      <c r="BW189" s="59" t="str">
        <f t="shared" si="503"/>
        <v/>
      </c>
      <c r="BX189" s="12"/>
      <c r="BY189" s="49"/>
      <c r="BZ189" s="49"/>
      <c r="CA189" s="61" t="str">
        <f>IF(_xlfn.XLOOKUP(BY189, AutoFill_classes!$A:$A, AutoFill_classes!$B:$B,"")=0,"",_xlfn.XLOOKUP(BY189, AutoFill_classes!$A:$A, AutoFill_classes!$B:$B,""))</f>
        <v/>
      </c>
      <c r="CB189" s="154"/>
      <c r="CC189" s="12"/>
      <c r="CD189" s="12"/>
      <c r="CE189" s="12"/>
      <c r="CF189" s="7"/>
      <c r="CG189" s="37"/>
      <c r="CH189" s="146"/>
      <c r="CI189" s="41"/>
      <c r="CJ189" s="60" t="str">
        <f t="shared" si="504"/>
        <v/>
      </c>
      <c r="CK189" s="32"/>
      <c r="CL189" s="32"/>
      <c r="CM189" s="32"/>
      <c r="CN189" s="32"/>
      <c r="CO189" s="58" t="str">
        <f t="shared" si="505"/>
        <v/>
      </c>
      <c r="CP189" s="20"/>
      <c r="CQ189" s="58" t="str">
        <f t="shared" si="506"/>
        <v/>
      </c>
      <c r="CR189" s="32"/>
      <c r="CS189" s="32"/>
      <c r="CT189" s="58" t="str">
        <f t="shared" si="507"/>
        <v/>
      </c>
      <c r="CU189" s="20"/>
      <c r="CV189" s="58" t="str">
        <f t="shared" si="508"/>
        <v/>
      </c>
      <c r="CW189" s="32"/>
      <c r="CX189" s="32"/>
      <c r="CY189" s="58" t="str">
        <f t="shared" si="509"/>
        <v/>
      </c>
      <c r="CZ189" s="58" t="str">
        <f t="shared" si="510"/>
        <v/>
      </c>
      <c r="DA189" s="58" t="str">
        <f t="shared" si="511"/>
        <v/>
      </c>
      <c r="DB189" s="59" t="str">
        <f t="shared" si="512"/>
        <v/>
      </c>
      <c r="DC189" s="12"/>
      <c r="DD189" s="146"/>
      <c r="DE189" s="91">
        <v>188</v>
      </c>
    </row>
    <row r="190" spans="1:109">
      <c r="A190" s="7"/>
      <c r="B190" s="23" t="str">
        <f>IF(_xlfn.XLOOKUP(A190, AutoFill_names!B:B, AutoFill_names!C:C,"")=0,"",_xlfn.XLOOKUP(A190, AutoFill_names!B:B, AutoFill_names!C:C,""))</f>
        <v/>
      </c>
      <c r="C190" s="23" t="str">
        <f>IF(_xlfn.XLOOKUP(A190, AutoFill_names!B:B, AutoFill_names!D:D,"")=0,"",_xlfn.XLOOKUP(A190, AutoFill_names!B:B, AutoFill_names!D:D,""))</f>
        <v/>
      </c>
      <c r="D190" s="23" t="str">
        <f>IF(_xlfn.XLOOKUP(A190, AutoFill_names!B:B, AutoFill_names!E:E,"")=0,"",_xlfn.XLOOKUP(A190, AutoFill_names!B:B, AutoFill_names!E:E,""))</f>
        <v/>
      </c>
      <c r="E190" s="23" t="str">
        <f>IF(_xlfn.XLOOKUP(A190, AutoFill_names!B:B, AutoFill_names!F:F,"")=0,"",_xlfn.XLOOKUP(A190, AutoFill_names!B:B, AutoFill_names!F:F,""))</f>
        <v/>
      </c>
      <c r="F190" s="4"/>
      <c r="G190" s="4"/>
      <c r="H190" s="4"/>
      <c r="I190" s="4"/>
      <c r="J190" s="23" t="str">
        <f>IF(_xlfn.XLOOKUP(A190, AutoFill_names!B:B, AutoFill_names!K:K,"")=0,"",_xlfn.XLOOKUP(A190, AutoFill_names!B:B, AutoFill_names!K:K,""))</f>
        <v/>
      </c>
      <c r="K190" s="23" t="str">
        <f>IF(_xlfn.XLOOKUP(A190, AutoFill_names!B:B, AutoFill_names!L:L,"")=0,"",_xlfn.XLOOKUP(A190, AutoFill_names!B:B, AutoFill_names!L:L,""))</f>
        <v/>
      </c>
      <c r="L190" s="8"/>
      <c r="M190" s="8"/>
      <c r="N190" s="61" t="str">
        <f>IF(_xlfn.XLOOKUP(L190, AutoFill_classes!A:A, AutoFill_classes!B:B,"")=0,"",_xlfn.XLOOKUP(L190, AutoFill_classes!A:A, AutoFill_classes!B:B,""))</f>
        <v/>
      </c>
      <c r="O190" s="154"/>
      <c r="P190" s="11"/>
      <c r="Q190" s="11"/>
      <c r="R190" s="11"/>
      <c r="S190" s="8"/>
      <c r="T190" s="8"/>
      <c r="U190" s="8"/>
      <c r="V190" s="7"/>
      <c r="W190" s="7"/>
      <c r="X190" s="146"/>
      <c r="Y190" s="37"/>
      <c r="Z190" s="60" t="str">
        <f t="shared" si="486"/>
        <v/>
      </c>
      <c r="AA190" s="40"/>
      <c r="AB190" s="40"/>
      <c r="AC190" s="40"/>
      <c r="AD190" s="40"/>
      <c r="AE190" s="58" t="str">
        <f t="shared" si="487"/>
        <v/>
      </c>
      <c r="AF190" s="12"/>
      <c r="AG190" s="58" t="str">
        <f t="shared" si="488"/>
        <v/>
      </c>
      <c r="AH190" s="40"/>
      <c r="AI190" s="40"/>
      <c r="AJ190" s="58" t="str">
        <f t="shared" si="489"/>
        <v/>
      </c>
      <c r="AK190" s="12"/>
      <c r="AL190" s="58" t="str">
        <f t="shared" si="490"/>
        <v/>
      </c>
      <c r="AM190" s="40"/>
      <c r="AN190" s="40"/>
      <c r="AO190" s="58" t="str">
        <f t="shared" si="491"/>
        <v/>
      </c>
      <c r="AP190" s="58" t="str">
        <f t="shared" si="492"/>
        <v/>
      </c>
      <c r="AQ190" s="58" t="str">
        <f t="shared" si="493"/>
        <v/>
      </c>
      <c r="AR190" s="59" t="str">
        <f t="shared" si="494"/>
        <v/>
      </c>
      <c r="AS190" s="12"/>
      <c r="AT190" s="49"/>
      <c r="AU190" s="49"/>
      <c r="AV190" s="61" t="str">
        <f>IF(_xlfn.XLOOKUP(AT190, AutoFill_classes!$A:$A, AutoFill_classes!$B:$B,"")=0,"",_xlfn.XLOOKUP(AT190, AutoFill_classes!$A:$A, AutoFill_classes!$B:$B,""))</f>
        <v/>
      </c>
      <c r="AW190" s="154"/>
      <c r="AX190" s="12"/>
      <c r="AY190" s="13"/>
      <c r="AZ190" s="12"/>
      <c r="BA190" s="13"/>
      <c r="BB190" s="13"/>
      <c r="BC190" s="146"/>
      <c r="BD190" s="37"/>
      <c r="BE190" s="60" t="str">
        <f t="shared" si="495"/>
        <v/>
      </c>
      <c r="BF190" s="32"/>
      <c r="BG190" s="32"/>
      <c r="BH190" s="32"/>
      <c r="BI190" s="32"/>
      <c r="BJ190" s="58" t="str">
        <f t="shared" si="496"/>
        <v/>
      </c>
      <c r="BK190" s="20"/>
      <c r="BL190" s="58" t="str">
        <f t="shared" si="497"/>
        <v/>
      </c>
      <c r="BM190" s="32"/>
      <c r="BN190" s="32"/>
      <c r="BO190" s="58" t="str">
        <f t="shared" si="498"/>
        <v/>
      </c>
      <c r="BP190" s="20"/>
      <c r="BQ190" s="58" t="str">
        <f t="shared" si="499"/>
        <v/>
      </c>
      <c r="BR190" s="32"/>
      <c r="BS190" s="32"/>
      <c r="BT190" s="58" t="str">
        <f t="shared" si="500"/>
        <v/>
      </c>
      <c r="BU190" s="58" t="str">
        <f t="shared" si="501"/>
        <v/>
      </c>
      <c r="BV190" s="58" t="str">
        <f t="shared" si="502"/>
        <v/>
      </c>
      <c r="BW190" s="59" t="str">
        <f t="shared" si="503"/>
        <v/>
      </c>
      <c r="BX190" s="12"/>
      <c r="BY190" s="49"/>
      <c r="BZ190" s="49"/>
      <c r="CA190" s="61" t="str">
        <f>IF(_xlfn.XLOOKUP(BY190, AutoFill_classes!$A:$A, AutoFill_classes!$B:$B,"")=0,"",_xlfn.XLOOKUP(BY190, AutoFill_classes!$A:$A, AutoFill_classes!$B:$B,""))</f>
        <v/>
      </c>
      <c r="CB190" s="154"/>
      <c r="CC190" s="12"/>
      <c r="CD190" s="12"/>
      <c r="CE190" s="12"/>
      <c r="CF190" s="7"/>
      <c r="CG190" s="37"/>
      <c r="CH190" s="146"/>
      <c r="CI190" s="41"/>
      <c r="CJ190" s="60" t="str">
        <f t="shared" si="504"/>
        <v/>
      </c>
      <c r="CK190" s="32"/>
      <c r="CL190" s="32"/>
      <c r="CM190" s="32"/>
      <c r="CN190" s="32"/>
      <c r="CO190" s="58" t="str">
        <f t="shared" si="505"/>
        <v/>
      </c>
      <c r="CP190" s="20"/>
      <c r="CQ190" s="58" t="str">
        <f t="shared" si="506"/>
        <v/>
      </c>
      <c r="CR190" s="32"/>
      <c r="CS190" s="32"/>
      <c r="CT190" s="58" t="str">
        <f t="shared" si="507"/>
        <v/>
      </c>
      <c r="CU190" s="20"/>
      <c r="CV190" s="58" t="str">
        <f t="shared" si="508"/>
        <v/>
      </c>
      <c r="CW190" s="32"/>
      <c r="CX190" s="32"/>
      <c r="CY190" s="58" t="str">
        <f t="shared" si="509"/>
        <v/>
      </c>
      <c r="CZ190" s="58" t="str">
        <f t="shared" si="510"/>
        <v/>
      </c>
      <c r="DA190" s="58" t="str">
        <f t="shared" si="511"/>
        <v/>
      </c>
      <c r="DB190" s="59" t="str">
        <f t="shared" si="512"/>
        <v/>
      </c>
      <c r="DC190" s="12"/>
      <c r="DD190" s="146"/>
      <c r="DE190" s="91">
        <v>189</v>
      </c>
    </row>
    <row r="191" spans="1:109">
      <c r="A191" s="7"/>
      <c r="B191" s="23" t="str">
        <f>IF(_xlfn.XLOOKUP(A191, AutoFill_names!B:B, AutoFill_names!C:C,"")=0,"",_xlfn.XLOOKUP(A191, AutoFill_names!B:B, AutoFill_names!C:C,""))</f>
        <v/>
      </c>
      <c r="C191" s="23" t="str">
        <f>IF(_xlfn.XLOOKUP(A191, AutoFill_names!B:B, AutoFill_names!D:D,"")=0,"",_xlfn.XLOOKUP(A191, AutoFill_names!B:B, AutoFill_names!D:D,""))</f>
        <v/>
      </c>
      <c r="D191" s="23" t="str">
        <f>IF(_xlfn.XLOOKUP(A191, AutoFill_names!B:B, AutoFill_names!E:E,"")=0,"",_xlfn.XLOOKUP(A191, AutoFill_names!B:B, AutoFill_names!E:E,""))</f>
        <v/>
      </c>
      <c r="E191" s="23" t="str">
        <f>IF(_xlfn.XLOOKUP(A191, AutoFill_names!B:B, AutoFill_names!F:F,"")=0,"",_xlfn.XLOOKUP(A191, AutoFill_names!B:B, AutoFill_names!F:F,""))</f>
        <v/>
      </c>
      <c r="F191" s="4"/>
      <c r="G191" s="4"/>
      <c r="H191" s="4"/>
      <c r="I191" s="4"/>
      <c r="J191" s="23" t="str">
        <f>IF(_xlfn.XLOOKUP(A191, AutoFill_names!B:B, AutoFill_names!K:K,"")=0,"",_xlfn.XLOOKUP(A191, AutoFill_names!B:B, AutoFill_names!K:K,""))</f>
        <v/>
      </c>
      <c r="K191" s="23" t="str">
        <f>IF(_xlfn.XLOOKUP(A191, AutoFill_names!B:B, AutoFill_names!L:L,"")=0,"",_xlfn.XLOOKUP(A191, AutoFill_names!B:B, AutoFill_names!L:L,""))</f>
        <v/>
      </c>
      <c r="L191" s="8"/>
      <c r="M191" s="8"/>
      <c r="N191" s="61" t="str">
        <f>IF(_xlfn.XLOOKUP(L191, AutoFill_classes!A:A, AutoFill_classes!B:B,"")=0,"",_xlfn.XLOOKUP(L191, AutoFill_classes!A:A, AutoFill_classes!B:B,""))</f>
        <v/>
      </c>
      <c r="O191" s="154"/>
      <c r="P191" s="11"/>
      <c r="Q191" s="11"/>
      <c r="R191" s="11"/>
      <c r="S191" s="8"/>
      <c r="T191" s="8"/>
      <c r="U191" s="8"/>
      <c r="V191" s="7"/>
      <c r="W191" s="7"/>
      <c r="X191" s="146"/>
      <c r="Y191" s="37"/>
      <c r="Z191" s="60" t="str">
        <f t="shared" si="486"/>
        <v/>
      </c>
      <c r="AA191" s="40"/>
      <c r="AB191" s="40"/>
      <c r="AC191" s="40"/>
      <c r="AD191" s="40"/>
      <c r="AE191" s="58" t="str">
        <f t="shared" si="487"/>
        <v/>
      </c>
      <c r="AF191" s="12"/>
      <c r="AG191" s="58" t="str">
        <f t="shared" si="488"/>
        <v/>
      </c>
      <c r="AH191" s="40"/>
      <c r="AI191" s="40"/>
      <c r="AJ191" s="58" t="str">
        <f t="shared" si="489"/>
        <v/>
      </c>
      <c r="AK191" s="12"/>
      <c r="AL191" s="58" t="str">
        <f t="shared" si="490"/>
        <v/>
      </c>
      <c r="AM191" s="40"/>
      <c r="AN191" s="40"/>
      <c r="AO191" s="58" t="str">
        <f t="shared" si="491"/>
        <v/>
      </c>
      <c r="AP191" s="58" t="str">
        <f t="shared" si="492"/>
        <v/>
      </c>
      <c r="AQ191" s="58" t="str">
        <f t="shared" si="493"/>
        <v/>
      </c>
      <c r="AR191" s="59" t="str">
        <f t="shared" si="494"/>
        <v/>
      </c>
      <c r="AS191" s="12"/>
      <c r="AT191" s="49"/>
      <c r="AU191" s="49"/>
      <c r="AV191" s="61" t="str">
        <f>IF(_xlfn.XLOOKUP(AT191, AutoFill_classes!$A:$A, AutoFill_classes!$B:$B,"")=0,"",_xlfn.XLOOKUP(AT191, AutoFill_classes!$A:$A, AutoFill_classes!$B:$B,""))</f>
        <v/>
      </c>
      <c r="AW191" s="154"/>
      <c r="AX191" s="12"/>
      <c r="AY191" s="13"/>
      <c r="AZ191" s="12"/>
      <c r="BA191" s="13"/>
      <c r="BB191" s="13"/>
      <c r="BC191" s="146"/>
      <c r="BD191" s="37"/>
      <c r="BE191" s="60" t="str">
        <f t="shared" si="495"/>
        <v/>
      </c>
      <c r="BF191" s="32"/>
      <c r="BG191" s="32"/>
      <c r="BH191" s="32"/>
      <c r="BI191" s="32"/>
      <c r="BJ191" s="58" t="str">
        <f t="shared" si="496"/>
        <v/>
      </c>
      <c r="BK191" s="20"/>
      <c r="BL191" s="58" t="str">
        <f t="shared" si="497"/>
        <v/>
      </c>
      <c r="BM191" s="32"/>
      <c r="BN191" s="32"/>
      <c r="BO191" s="58" t="str">
        <f t="shared" si="498"/>
        <v/>
      </c>
      <c r="BP191" s="20"/>
      <c r="BQ191" s="58" t="str">
        <f t="shared" si="499"/>
        <v/>
      </c>
      <c r="BR191" s="32"/>
      <c r="BS191" s="32"/>
      <c r="BT191" s="58" t="str">
        <f t="shared" si="500"/>
        <v/>
      </c>
      <c r="BU191" s="58" t="str">
        <f t="shared" si="501"/>
        <v/>
      </c>
      <c r="BV191" s="58" t="str">
        <f t="shared" si="502"/>
        <v/>
      </c>
      <c r="BW191" s="59" t="str">
        <f t="shared" si="503"/>
        <v/>
      </c>
      <c r="BX191" s="12"/>
      <c r="BY191" s="49"/>
      <c r="BZ191" s="49"/>
      <c r="CA191" s="61" t="str">
        <f>IF(_xlfn.XLOOKUP(BY191, AutoFill_classes!$A:$A, AutoFill_classes!$B:$B,"")=0,"",_xlfn.XLOOKUP(BY191, AutoFill_classes!$A:$A, AutoFill_classes!$B:$B,""))</f>
        <v/>
      </c>
      <c r="CB191" s="154"/>
      <c r="CC191" s="12"/>
      <c r="CD191" s="12"/>
      <c r="CE191" s="12"/>
      <c r="CF191" s="7"/>
      <c r="CG191" s="37"/>
      <c r="CH191" s="146"/>
      <c r="CI191" s="41"/>
      <c r="CJ191" s="60" t="str">
        <f t="shared" si="504"/>
        <v/>
      </c>
      <c r="CK191" s="32"/>
      <c r="CL191" s="32"/>
      <c r="CM191" s="32"/>
      <c r="CN191" s="32"/>
      <c r="CO191" s="58" t="str">
        <f t="shared" si="505"/>
        <v/>
      </c>
      <c r="CP191" s="20"/>
      <c r="CQ191" s="58" t="str">
        <f t="shared" si="506"/>
        <v/>
      </c>
      <c r="CR191" s="32"/>
      <c r="CS191" s="32"/>
      <c r="CT191" s="58" t="str">
        <f t="shared" si="507"/>
        <v/>
      </c>
      <c r="CU191" s="20"/>
      <c r="CV191" s="58" t="str">
        <f t="shared" si="508"/>
        <v/>
      </c>
      <c r="CW191" s="32"/>
      <c r="CX191" s="32"/>
      <c r="CY191" s="58" t="str">
        <f t="shared" si="509"/>
        <v/>
      </c>
      <c r="CZ191" s="58" t="str">
        <f t="shared" si="510"/>
        <v/>
      </c>
      <c r="DA191" s="58" t="str">
        <f t="shared" si="511"/>
        <v/>
      </c>
      <c r="DB191" s="59" t="str">
        <f t="shared" si="512"/>
        <v/>
      </c>
      <c r="DC191" s="12"/>
      <c r="DD191" s="146"/>
      <c r="DE191" s="91">
        <v>190</v>
      </c>
    </row>
    <row r="192" spans="1:109">
      <c r="A192" s="7"/>
      <c r="B192" s="23" t="str">
        <f>IF(_xlfn.XLOOKUP(A192, AutoFill_names!B:B, AutoFill_names!C:C,"")=0,"",_xlfn.XLOOKUP(A192, AutoFill_names!B:B, AutoFill_names!C:C,""))</f>
        <v/>
      </c>
      <c r="C192" s="23" t="str">
        <f>IF(_xlfn.XLOOKUP(A192, AutoFill_names!B:B, AutoFill_names!D:D,"")=0,"",_xlfn.XLOOKUP(A192, AutoFill_names!B:B, AutoFill_names!D:D,""))</f>
        <v/>
      </c>
      <c r="D192" s="23" t="str">
        <f>IF(_xlfn.XLOOKUP(A192, AutoFill_names!B:B, AutoFill_names!E:E,"")=0,"",_xlfn.XLOOKUP(A192, AutoFill_names!B:B, AutoFill_names!E:E,""))</f>
        <v/>
      </c>
      <c r="E192" s="23" t="str">
        <f>IF(_xlfn.XLOOKUP(A192, AutoFill_names!B:B, AutoFill_names!F:F,"")=0,"",_xlfn.XLOOKUP(A192, AutoFill_names!B:B, AutoFill_names!F:F,""))</f>
        <v/>
      </c>
      <c r="F192" s="4"/>
      <c r="G192" s="4"/>
      <c r="H192" s="4"/>
      <c r="I192" s="4"/>
      <c r="J192" s="23" t="str">
        <f>IF(_xlfn.XLOOKUP(A192, AutoFill_names!B:B, AutoFill_names!K:K,"")=0,"",_xlfn.XLOOKUP(A192, AutoFill_names!B:B, AutoFill_names!K:K,""))</f>
        <v/>
      </c>
      <c r="K192" s="23" t="str">
        <f>IF(_xlfn.XLOOKUP(A192, AutoFill_names!B:B, AutoFill_names!L:L,"")=0,"",_xlfn.XLOOKUP(A192, AutoFill_names!B:B, AutoFill_names!L:L,""))</f>
        <v/>
      </c>
      <c r="L192" s="8"/>
      <c r="M192" s="8"/>
      <c r="N192" s="61" t="str">
        <f>IF(_xlfn.XLOOKUP(L192, AutoFill_classes!A:A, AutoFill_classes!B:B,"")=0,"",_xlfn.XLOOKUP(L192, AutoFill_classes!A:A, AutoFill_classes!B:B,""))</f>
        <v/>
      </c>
      <c r="O192" s="154"/>
      <c r="P192" s="11"/>
      <c r="Q192" s="11"/>
      <c r="R192" s="11"/>
      <c r="S192" s="8"/>
      <c r="T192" s="8"/>
      <c r="U192" s="8"/>
      <c r="V192" s="7"/>
      <c r="W192" s="7"/>
      <c r="X192" s="146"/>
      <c r="Y192" s="37"/>
      <c r="Z192" s="60" t="str">
        <f t="shared" si="486"/>
        <v/>
      </c>
      <c r="AA192" s="40"/>
      <c r="AB192" s="40"/>
      <c r="AC192" s="40"/>
      <c r="AD192" s="40"/>
      <c r="AE192" s="58" t="str">
        <f t="shared" si="487"/>
        <v/>
      </c>
      <c r="AF192" s="12"/>
      <c r="AG192" s="58" t="str">
        <f t="shared" si="488"/>
        <v/>
      </c>
      <c r="AH192" s="40"/>
      <c r="AI192" s="40"/>
      <c r="AJ192" s="58" t="str">
        <f t="shared" si="489"/>
        <v/>
      </c>
      <c r="AK192" s="12"/>
      <c r="AL192" s="58" t="str">
        <f t="shared" si="490"/>
        <v/>
      </c>
      <c r="AM192" s="40"/>
      <c r="AN192" s="40"/>
      <c r="AO192" s="58" t="str">
        <f t="shared" si="491"/>
        <v/>
      </c>
      <c r="AP192" s="58" t="str">
        <f t="shared" si="492"/>
        <v/>
      </c>
      <c r="AQ192" s="58" t="str">
        <f t="shared" si="493"/>
        <v/>
      </c>
      <c r="AR192" s="59" t="str">
        <f t="shared" si="494"/>
        <v/>
      </c>
      <c r="AS192" s="12"/>
      <c r="AT192" s="49"/>
      <c r="AU192" s="49"/>
      <c r="AV192" s="61" t="str">
        <f>IF(_xlfn.XLOOKUP(AT192, AutoFill_classes!$A:$A, AutoFill_classes!$B:$B,"")=0,"",_xlfn.XLOOKUP(AT192, AutoFill_classes!$A:$A, AutoFill_classes!$B:$B,""))</f>
        <v/>
      </c>
      <c r="AW192" s="154"/>
      <c r="AX192" s="12"/>
      <c r="AY192" s="13"/>
      <c r="AZ192" s="12"/>
      <c r="BA192" s="13"/>
      <c r="BB192" s="13"/>
      <c r="BC192" s="146"/>
      <c r="BD192" s="37"/>
      <c r="BE192" s="60" t="str">
        <f t="shared" si="495"/>
        <v/>
      </c>
      <c r="BF192" s="32"/>
      <c r="BG192" s="32"/>
      <c r="BH192" s="32"/>
      <c r="BI192" s="32"/>
      <c r="BJ192" s="58" t="str">
        <f t="shared" si="496"/>
        <v/>
      </c>
      <c r="BK192" s="20"/>
      <c r="BL192" s="58" t="str">
        <f t="shared" si="497"/>
        <v/>
      </c>
      <c r="BM192" s="32"/>
      <c r="BN192" s="32"/>
      <c r="BO192" s="58" t="str">
        <f t="shared" si="498"/>
        <v/>
      </c>
      <c r="BP192" s="20"/>
      <c r="BQ192" s="58" t="str">
        <f t="shared" si="499"/>
        <v/>
      </c>
      <c r="BR192" s="32"/>
      <c r="BS192" s="32"/>
      <c r="BT192" s="58" t="str">
        <f t="shared" si="500"/>
        <v/>
      </c>
      <c r="BU192" s="58" t="str">
        <f t="shared" si="501"/>
        <v/>
      </c>
      <c r="BV192" s="58" t="str">
        <f t="shared" si="502"/>
        <v/>
      </c>
      <c r="BW192" s="59" t="str">
        <f t="shared" si="503"/>
        <v/>
      </c>
      <c r="BX192" s="12"/>
      <c r="BY192" s="49"/>
      <c r="BZ192" s="49"/>
      <c r="CA192" s="61" t="str">
        <f>IF(_xlfn.XLOOKUP(BY192, AutoFill_classes!$A:$A, AutoFill_classes!$B:$B,"")=0,"",_xlfn.XLOOKUP(BY192, AutoFill_classes!$A:$A, AutoFill_classes!$B:$B,""))</f>
        <v/>
      </c>
      <c r="CB192" s="154"/>
      <c r="CC192" s="12"/>
      <c r="CD192" s="12"/>
      <c r="CE192" s="12"/>
      <c r="CF192" s="7"/>
      <c r="CG192" s="37"/>
      <c r="CH192" s="146"/>
      <c r="CI192" s="41"/>
      <c r="CJ192" s="60" t="str">
        <f t="shared" si="504"/>
        <v/>
      </c>
      <c r="CK192" s="32"/>
      <c r="CL192" s="32"/>
      <c r="CM192" s="32"/>
      <c r="CN192" s="32"/>
      <c r="CO192" s="58" t="str">
        <f t="shared" si="505"/>
        <v/>
      </c>
      <c r="CP192" s="20"/>
      <c r="CQ192" s="58" t="str">
        <f t="shared" si="506"/>
        <v/>
      </c>
      <c r="CR192" s="32"/>
      <c r="CS192" s="32"/>
      <c r="CT192" s="58" t="str">
        <f t="shared" si="507"/>
        <v/>
      </c>
      <c r="CU192" s="20"/>
      <c r="CV192" s="58" t="str">
        <f t="shared" si="508"/>
        <v/>
      </c>
      <c r="CW192" s="32"/>
      <c r="CX192" s="32"/>
      <c r="CY192" s="58" t="str">
        <f t="shared" si="509"/>
        <v/>
      </c>
      <c r="CZ192" s="58" t="str">
        <f t="shared" si="510"/>
        <v/>
      </c>
      <c r="DA192" s="58" t="str">
        <f t="shared" si="511"/>
        <v/>
      </c>
      <c r="DB192" s="59" t="str">
        <f t="shared" si="512"/>
        <v/>
      </c>
      <c r="DC192" s="12"/>
      <c r="DD192" s="146"/>
      <c r="DE192" s="91">
        <v>191</v>
      </c>
    </row>
    <row r="193" spans="1:109">
      <c r="A193" s="7"/>
      <c r="B193" s="23" t="str">
        <f>IF(_xlfn.XLOOKUP(A193, AutoFill_names!B:B, AutoFill_names!C:C,"")=0,"",_xlfn.XLOOKUP(A193, AutoFill_names!B:B, AutoFill_names!C:C,""))</f>
        <v/>
      </c>
      <c r="C193" s="23" t="str">
        <f>IF(_xlfn.XLOOKUP(A193, AutoFill_names!B:B, AutoFill_names!D:D,"")=0,"",_xlfn.XLOOKUP(A193, AutoFill_names!B:B, AutoFill_names!D:D,""))</f>
        <v/>
      </c>
      <c r="D193" s="23" t="str">
        <f>IF(_xlfn.XLOOKUP(A193, AutoFill_names!B:B, AutoFill_names!E:E,"")=0,"",_xlfn.XLOOKUP(A193, AutoFill_names!B:B, AutoFill_names!E:E,""))</f>
        <v/>
      </c>
      <c r="E193" s="23" t="str">
        <f>IF(_xlfn.XLOOKUP(A193, AutoFill_names!B:B, AutoFill_names!F:F,"")=0,"",_xlfn.XLOOKUP(A193, AutoFill_names!B:B, AutoFill_names!F:F,""))</f>
        <v/>
      </c>
      <c r="F193" s="4"/>
      <c r="G193" s="4"/>
      <c r="H193" s="4"/>
      <c r="I193" s="4"/>
      <c r="J193" s="23" t="str">
        <f>IF(_xlfn.XLOOKUP(A193, AutoFill_names!B:B, AutoFill_names!K:K,"")=0,"",_xlfn.XLOOKUP(A193, AutoFill_names!B:B, AutoFill_names!K:K,""))</f>
        <v/>
      </c>
      <c r="K193" s="23" t="str">
        <f>IF(_xlfn.XLOOKUP(A193, AutoFill_names!B:B, AutoFill_names!L:L,"")=0,"",_xlfn.XLOOKUP(A193, AutoFill_names!B:B, AutoFill_names!L:L,""))</f>
        <v/>
      </c>
      <c r="L193" s="8"/>
      <c r="M193" s="8"/>
      <c r="N193" s="61" t="str">
        <f>IF(_xlfn.XLOOKUP(L193, AutoFill_classes!A:A, AutoFill_classes!B:B,"")=0,"",_xlfn.XLOOKUP(L193, AutoFill_classes!A:A, AutoFill_classes!B:B,""))</f>
        <v/>
      </c>
      <c r="O193" s="154"/>
      <c r="P193" s="11"/>
      <c r="Q193" s="11"/>
      <c r="R193" s="11"/>
      <c r="S193" s="8"/>
      <c r="T193" s="8"/>
      <c r="U193" s="8"/>
      <c r="V193" s="7"/>
      <c r="W193" s="7"/>
      <c r="X193" s="146"/>
      <c r="Y193" s="37"/>
      <c r="Z193" s="60" t="str">
        <f t="shared" si="486"/>
        <v/>
      </c>
      <c r="AA193" s="40"/>
      <c r="AB193" s="40"/>
      <c r="AC193" s="40"/>
      <c r="AD193" s="40"/>
      <c r="AE193" s="58" t="str">
        <f t="shared" si="487"/>
        <v/>
      </c>
      <c r="AF193" s="12"/>
      <c r="AG193" s="58" t="str">
        <f t="shared" si="488"/>
        <v/>
      </c>
      <c r="AH193" s="40"/>
      <c r="AI193" s="40"/>
      <c r="AJ193" s="58" t="str">
        <f t="shared" si="489"/>
        <v/>
      </c>
      <c r="AK193" s="12"/>
      <c r="AL193" s="58" t="str">
        <f t="shared" si="490"/>
        <v/>
      </c>
      <c r="AM193" s="40"/>
      <c r="AN193" s="40"/>
      <c r="AO193" s="58" t="str">
        <f t="shared" si="491"/>
        <v/>
      </c>
      <c r="AP193" s="58" t="str">
        <f t="shared" si="492"/>
        <v/>
      </c>
      <c r="AQ193" s="58" t="str">
        <f t="shared" si="493"/>
        <v/>
      </c>
      <c r="AR193" s="59" t="str">
        <f t="shared" si="494"/>
        <v/>
      </c>
      <c r="AS193" s="12"/>
      <c r="AT193" s="49"/>
      <c r="AU193" s="49"/>
      <c r="AV193" s="61" t="str">
        <f>IF(_xlfn.XLOOKUP(AT193, AutoFill_classes!$A:$A, AutoFill_classes!$B:$B,"")=0,"",_xlfn.XLOOKUP(AT193, AutoFill_classes!$A:$A, AutoFill_classes!$B:$B,""))</f>
        <v/>
      </c>
      <c r="AW193" s="154"/>
      <c r="AX193" s="12"/>
      <c r="AY193" s="13"/>
      <c r="AZ193" s="12"/>
      <c r="BA193" s="13"/>
      <c r="BB193" s="13"/>
      <c r="BC193" s="146"/>
      <c r="BD193" s="37"/>
      <c r="BE193" s="60" t="str">
        <f t="shared" si="495"/>
        <v/>
      </c>
      <c r="BF193" s="32"/>
      <c r="BG193" s="32"/>
      <c r="BH193" s="32"/>
      <c r="BI193" s="32"/>
      <c r="BJ193" s="58" t="str">
        <f t="shared" si="496"/>
        <v/>
      </c>
      <c r="BK193" s="20"/>
      <c r="BL193" s="58" t="str">
        <f t="shared" si="497"/>
        <v/>
      </c>
      <c r="BM193" s="32"/>
      <c r="BN193" s="32"/>
      <c r="BO193" s="58" t="str">
        <f t="shared" si="498"/>
        <v/>
      </c>
      <c r="BP193" s="20"/>
      <c r="BQ193" s="58" t="str">
        <f t="shared" si="499"/>
        <v/>
      </c>
      <c r="BR193" s="32"/>
      <c r="BS193" s="32"/>
      <c r="BT193" s="58" t="str">
        <f t="shared" si="500"/>
        <v/>
      </c>
      <c r="BU193" s="58" t="str">
        <f t="shared" si="501"/>
        <v/>
      </c>
      <c r="BV193" s="58" t="str">
        <f t="shared" si="502"/>
        <v/>
      </c>
      <c r="BW193" s="59" t="str">
        <f t="shared" si="503"/>
        <v/>
      </c>
      <c r="BX193" s="12"/>
      <c r="BY193" s="49"/>
      <c r="BZ193" s="49"/>
      <c r="CA193" s="61" t="str">
        <f>IF(_xlfn.XLOOKUP(BY193, AutoFill_classes!$A:$A, AutoFill_classes!$B:$B,"")=0,"",_xlfn.XLOOKUP(BY193, AutoFill_classes!$A:$A, AutoFill_classes!$B:$B,""))</f>
        <v/>
      </c>
      <c r="CB193" s="154"/>
      <c r="CC193" s="12"/>
      <c r="CD193" s="12"/>
      <c r="CE193" s="12"/>
      <c r="CF193" s="7"/>
      <c r="CG193" s="37"/>
      <c r="CH193" s="146"/>
      <c r="CI193" s="41"/>
      <c r="CJ193" s="60" t="str">
        <f t="shared" si="504"/>
        <v/>
      </c>
      <c r="CK193" s="32"/>
      <c r="CL193" s="32"/>
      <c r="CM193" s="32"/>
      <c r="CN193" s="32"/>
      <c r="CO193" s="58" t="str">
        <f t="shared" si="505"/>
        <v/>
      </c>
      <c r="CP193" s="20"/>
      <c r="CQ193" s="58" t="str">
        <f t="shared" si="506"/>
        <v/>
      </c>
      <c r="CR193" s="32"/>
      <c r="CS193" s="32"/>
      <c r="CT193" s="58" t="str">
        <f t="shared" si="507"/>
        <v/>
      </c>
      <c r="CU193" s="20"/>
      <c r="CV193" s="58" t="str">
        <f t="shared" si="508"/>
        <v/>
      </c>
      <c r="CW193" s="32"/>
      <c r="CX193" s="32"/>
      <c r="CY193" s="58" t="str">
        <f t="shared" si="509"/>
        <v/>
      </c>
      <c r="CZ193" s="58" t="str">
        <f t="shared" si="510"/>
        <v/>
      </c>
      <c r="DA193" s="58" t="str">
        <f t="shared" si="511"/>
        <v/>
      </c>
      <c r="DB193" s="59" t="str">
        <f t="shared" si="512"/>
        <v/>
      </c>
      <c r="DC193" s="12"/>
      <c r="DD193" s="146"/>
      <c r="DE193" s="91">
        <v>192</v>
      </c>
    </row>
    <row r="194" spans="1:109">
      <c r="A194" s="7"/>
      <c r="B194" s="23" t="str">
        <f>IF(_xlfn.XLOOKUP(A194, AutoFill_names!B:B, AutoFill_names!C:C,"")=0,"",_xlfn.XLOOKUP(A194, AutoFill_names!B:B, AutoFill_names!C:C,""))</f>
        <v/>
      </c>
      <c r="C194" s="23" t="str">
        <f>IF(_xlfn.XLOOKUP(A194, AutoFill_names!B:B, AutoFill_names!D:D,"")=0,"",_xlfn.XLOOKUP(A194, AutoFill_names!B:B, AutoFill_names!D:D,""))</f>
        <v/>
      </c>
      <c r="D194" s="23" t="str">
        <f>IF(_xlfn.XLOOKUP(A194, AutoFill_names!B:B, AutoFill_names!E:E,"")=0,"",_xlfn.XLOOKUP(A194, AutoFill_names!B:B, AutoFill_names!E:E,""))</f>
        <v/>
      </c>
      <c r="E194" s="23" t="str">
        <f>IF(_xlfn.XLOOKUP(A194, AutoFill_names!B:B, AutoFill_names!F:F,"")=0,"",_xlfn.XLOOKUP(A194, AutoFill_names!B:B, AutoFill_names!F:F,""))</f>
        <v/>
      </c>
      <c r="F194" s="4"/>
      <c r="G194" s="4"/>
      <c r="H194" s="4"/>
      <c r="I194" s="4"/>
      <c r="J194" s="23" t="str">
        <f>IF(_xlfn.XLOOKUP(A194, AutoFill_names!B:B, AutoFill_names!K:K,"")=0,"",_xlfn.XLOOKUP(A194, AutoFill_names!B:B, AutoFill_names!K:K,""))</f>
        <v/>
      </c>
      <c r="K194" s="23" t="str">
        <f>IF(_xlfn.XLOOKUP(A194, AutoFill_names!B:B, AutoFill_names!L:L,"")=0,"",_xlfn.XLOOKUP(A194, AutoFill_names!B:B, AutoFill_names!L:L,""))</f>
        <v/>
      </c>
      <c r="L194" s="8"/>
      <c r="M194" s="8"/>
      <c r="N194" s="61" t="str">
        <f>IF(_xlfn.XLOOKUP(L194, AutoFill_classes!A:A, AutoFill_classes!B:B,"")=0,"",_xlfn.XLOOKUP(L194, AutoFill_classes!A:A, AutoFill_classes!B:B,""))</f>
        <v/>
      </c>
      <c r="O194" s="154"/>
      <c r="P194" s="11"/>
      <c r="Q194" s="11"/>
      <c r="R194" s="11"/>
      <c r="S194" s="8"/>
      <c r="T194" s="8"/>
      <c r="U194" s="8"/>
      <c r="V194" s="7"/>
      <c r="W194" s="7"/>
      <c r="X194" s="146"/>
      <c r="Y194" s="37"/>
      <c r="Z194" s="60" t="str">
        <f t="shared" si="486"/>
        <v/>
      </c>
      <c r="AA194" s="40"/>
      <c r="AB194" s="40"/>
      <c r="AC194" s="40"/>
      <c r="AD194" s="40"/>
      <c r="AE194" s="58" t="str">
        <f t="shared" si="487"/>
        <v/>
      </c>
      <c r="AF194" s="12"/>
      <c r="AG194" s="58" t="str">
        <f t="shared" si="488"/>
        <v/>
      </c>
      <c r="AH194" s="40"/>
      <c r="AI194" s="40"/>
      <c r="AJ194" s="58" t="str">
        <f t="shared" si="489"/>
        <v/>
      </c>
      <c r="AK194" s="12"/>
      <c r="AL194" s="58" t="str">
        <f t="shared" si="490"/>
        <v/>
      </c>
      <c r="AM194" s="40"/>
      <c r="AN194" s="40"/>
      <c r="AO194" s="58" t="str">
        <f t="shared" si="491"/>
        <v/>
      </c>
      <c r="AP194" s="58" t="str">
        <f t="shared" si="492"/>
        <v/>
      </c>
      <c r="AQ194" s="58" t="str">
        <f t="shared" si="493"/>
        <v/>
      </c>
      <c r="AR194" s="59" t="str">
        <f t="shared" si="494"/>
        <v/>
      </c>
      <c r="AS194" s="12"/>
      <c r="AT194" s="49"/>
      <c r="AU194" s="49"/>
      <c r="AV194" s="61" t="str">
        <f>IF(_xlfn.XLOOKUP(AT194, AutoFill_classes!$A:$A, AutoFill_classes!$B:$B,"")=0,"",_xlfn.XLOOKUP(AT194, AutoFill_classes!$A:$A, AutoFill_classes!$B:$B,""))</f>
        <v/>
      </c>
      <c r="AW194" s="154"/>
      <c r="AX194" s="12"/>
      <c r="AY194" s="13"/>
      <c r="AZ194" s="12"/>
      <c r="BA194" s="13"/>
      <c r="BB194" s="13"/>
      <c r="BC194" s="146"/>
      <c r="BD194" s="37"/>
      <c r="BE194" s="60" t="str">
        <f t="shared" si="495"/>
        <v/>
      </c>
      <c r="BF194" s="32"/>
      <c r="BG194" s="32"/>
      <c r="BH194" s="32"/>
      <c r="BI194" s="32"/>
      <c r="BJ194" s="58" t="str">
        <f t="shared" si="496"/>
        <v/>
      </c>
      <c r="BK194" s="20"/>
      <c r="BL194" s="58" t="str">
        <f t="shared" si="497"/>
        <v/>
      </c>
      <c r="BM194" s="32"/>
      <c r="BN194" s="32"/>
      <c r="BO194" s="58" t="str">
        <f t="shared" si="498"/>
        <v/>
      </c>
      <c r="BP194" s="20"/>
      <c r="BQ194" s="58" t="str">
        <f t="shared" si="499"/>
        <v/>
      </c>
      <c r="BR194" s="32"/>
      <c r="BS194" s="32"/>
      <c r="BT194" s="58" t="str">
        <f t="shared" si="500"/>
        <v/>
      </c>
      <c r="BU194" s="58" t="str">
        <f t="shared" si="501"/>
        <v/>
      </c>
      <c r="BV194" s="58" t="str">
        <f t="shared" si="502"/>
        <v/>
      </c>
      <c r="BW194" s="59" t="str">
        <f t="shared" si="503"/>
        <v/>
      </c>
      <c r="BX194" s="12"/>
      <c r="BY194" s="49"/>
      <c r="BZ194" s="49"/>
      <c r="CA194" s="61" t="str">
        <f>IF(_xlfn.XLOOKUP(BY194, AutoFill_classes!$A:$A, AutoFill_classes!$B:$B,"")=0,"",_xlfn.XLOOKUP(BY194, AutoFill_classes!$A:$A, AutoFill_classes!$B:$B,""))</f>
        <v/>
      </c>
      <c r="CB194" s="154"/>
      <c r="CC194" s="12"/>
      <c r="CD194" s="12"/>
      <c r="CE194" s="12"/>
      <c r="CF194" s="7"/>
      <c r="CG194" s="37"/>
      <c r="CH194" s="146"/>
      <c r="CI194" s="41"/>
      <c r="CJ194" s="60" t="str">
        <f t="shared" si="504"/>
        <v/>
      </c>
      <c r="CK194" s="32"/>
      <c r="CL194" s="32"/>
      <c r="CM194" s="32"/>
      <c r="CN194" s="32"/>
      <c r="CO194" s="58" t="str">
        <f t="shared" si="505"/>
        <v/>
      </c>
      <c r="CP194" s="20"/>
      <c r="CQ194" s="58" t="str">
        <f t="shared" si="506"/>
        <v/>
      </c>
      <c r="CR194" s="32"/>
      <c r="CS194" s="32"/>
      <c r="CT194" s="58" t="str">
        <f t="shared" si="507"/>
        <v/>
      </c>
      <c r="CU194" s="20"/>
      <c r="CV194" s="58" t="str">
        <f t="shared" si="508"/>
        <v/>
      </c>
      <c r="CW194" s="32"/>
      <c r="CX194" s="32"/>
      <c r="CY194" s="58" t="str">
        <f t="shared" si="509"/>
        <v/>
      </c>
      <c r="CZ194" s="58" t="str">
        <f t="shared" si="510"/>
        <v/>
      </c>
      <c r="DA194" s="58" t="str">
        <f t="shared" si="511"/>
        <v/>
      </c>
      <c r="DB194" s="59" t="str">
        <f t="shared" si="512"/>
        <v/>
      </c>
      <c r="DC194" s="12"/>
      <c r="DD194" s="146"/>
      <c r="DE194" s="91">
        <v>193</v>
      </c>
    </row>
    <row r="195" spans="1:109">
      <c r="A195" s="7"/>
      <c r="B195" s="23" t="str">
        <f>IF(_xlfn.XLOOKUP(A195, AutoFill_names!B:B, AutoFill_names!C:C,"")=0,"",_xlfn.XLOOKUP(A195, AutoFill_names!B:B, AutoFill_names!C:C,""))</f>
        <v/>
      </c>
      <c r="C195" s="23" t="str">
        <f>IF(_xlfn.XLOOKUP(A195, AutoFill_names!B:B, AutoFill_names!D:D,"")=0,"",_xlfn.XLOOKUP(A195, AutoFill_names!B:B, AutoFill_names!D:D,""))</f>
        <v/>
      </c>
      <c r="D195" s="23" t="str">
        <f>IF(_xlfn.XLOOKUP(A195, AutoFill_names!B:B, AutoFill_names!E:E,"")=0,"",_xlfn.XLOOKUP(A195, AutoFill_names!B:B, AutoFill_names!E:E,""))</f>
        <v/>
      </c>
      <c r="E195" s="23" t="str">
        <f>IF(_xlfn.XLOOKUP(A195, AutoFill_names!B:B, AutoFill_names!F:F,"")=0,"",_xlfn.XLOOKUP(A195, AutoFill_names!B:B, AutoFill_names!F:F,""))</f>
        <v/>
      </c>
      <c r="F195" s="4"/>
      <c r="G195" s="4"/>
      <c r="H195" s="4"/>
      <c r="I195" s="4"/>
      <c r="J195" s="23" t="str">
        <f>IF(_xlfn.XLOOKUP(A195, AutoFill_names!B:B, AutoFill_names!K:K,"")=0,"",_xlfn.XLOOKUP(A195, AutoFill_names!B:B, AutoFill_names!K:K,""))</f>
        <v/>
      </c>
      <c r="K195" s="23" t="str">
        <f>IF(_xlfn.XLOOKUP(A195, AutoFill_names!B:B, AutoFill_names!L:L,"")=0,"",_xlfn.XLOOKUP(A195, AutoFill_names!B:B, AutoFill_names!L:L,""))</f>
        <v/>
      </c>
      <c r="L195" s="8"/>
      <c r="M195" s="8"/>
      <c r="N195" s="61" t="str">
        <f>IF(_xlfn.XLOOKUP(L195, AutoFill_classes!A:A, AutoFill_classes!B:B,"")=0,"",_xlfn.XLOOKUP(L195, AutoFill_classes!A:A, AutoFill_classes!B:B,""))</f>
        <v/>
      </c>
      <c r="O195" s="154"/>
      <c r="P195" s="11"/>
      <c r="Q195" s="11"/>
      <c r="R195" s="11"/>
      <c r="S195" s="8"/>
      <c r="T195" s="8"/>
      <c r="U195" s="8"/>
      <c r="V195" s="7"/>
      <c r="W195" s="7"/>
      <c r="X195" s="146"/>
      <c r="Y195" s="37"/>
      <c r="Z195" s="60" t="str">
        <f t="shared" si="486"/>
        <v/>
      </c>
      <c r="AA195" s="40"/>
      <c r="AB195" s="40"/>
      <c r="AC195" s="40"/>
      <c r="AD195" s="40"/>
      <c r="AE195" s="58" t="str">
        <f t="shared" si="487"/>
        <v/>
      </c>
      <c r="AF195" s="12"/>
      <c r="AG195" s="58" t="str">
        <f t="shared" si="488"/>
        <v/>
      </c>
      <c r="AH195" s="40"/>
      <c r="AI195" s="40"/>
      <c r="AJ195" s="58" t="str">
        <f t="shared" si="489"/>
        <v/>
      </c>
      <c r="AK195" s="12"/>
      <c r="AL195" s="58" t="str">
        <f t="shared" si="490"/>
        <v/>
      </c>
      <c r="AM195" s="40"/>
      <c r="AN195" s="40"/>
      <c r="AO195" s="58" t="str">
        <f t="shared" si="491"/>
        <v/>
      </c>
      <c r="AP195" s="58" t="str">
        <f t="shared" si="492"/>
        <v/>
      </c>
      <c r="AQ195" s="58" t="str">
        <f t="shared" si="493"/>
        <v/>
      </c>
      <c r="AR195" s="59" t="str">
        <f t="shared" si="494"/>
        <v/>
      </c>
      <c r="AS195" s="12"/>
      <c r="AT195" s="49"/>
      <c r="AU195" s="49"/>
      <c r="AV195" s="61" t="str">
        <f>IF(_xlfn.XLOOKUP(AT195, AutoFill_classes!$A:$A, AutoFill_classes!$B:$B,"")=0,"",_xlfn.XLOOKUP(AT195, AutoFill_classes!$A:$A, AutoFill_classes!$B:$B,""))</f>
        <v/>
      </c>
      <c r="AW195" s="154"/>
      <c r="AX195" s="12"/>
      <c r="AY195" s="13"/>
      <c r="AZ195" s="12"/>
      <c r="BA195" s="13"/>
      <c r="BB195" s="13"/>
      <c r="BC195" s="146"/>
      <c r="BD195" s="37"/>
      <c r="BE195" s="60" t="str">
        <f t="shared" si="495"/>
        <v/>
      </c>
      <c r="BF195" s="32"/>
      <c r="BG195" s="32"/>
      <c r="BH195" s="32"/>
      <c r="BI195" s="32"/>
      <c r="BJ195" s="58" t="str">
        <f t="shared" si="496"/>
        <v/>
      </c>
      <c r="BK195" s="20"/>
      <c r="BL195" s="58" t="str">
        <f t="shared" si="497"/>
        <v/>
      </c>
      <c r="BM195" s="32"/>
      <c r="BN195" s="32"/>
      <c r="BO195" s="58" t="str">
        <f t="shared" si="498"/>
        <v/>
      </c>
      <c r="BP195" s="20"/>
      <c r="BQ195" s="58" t="str">
        <f t="shared" si="499"/>
        <v/>
      </c>
      <c r="BR195" s="32"/>
      <c r="BS195" s="32"/>
      <c r="BT195" s="58" t="str">
        <f t="shared" si="500"/>
        <v/>
      </c>
      <c r="BU195" s="58" t="str">
        <f t="shared" si="501"/>
        <v/>
      </c>
      <c r="BV195" s="58" t="str">
        <f t="shared" si="502"/>
        <v/>
      </c>
      <c r="BW195" s="59" t="str">
        <f t="shared" si="503"/>
        <v/>
      </c>
      <c r="BX195" s="12"/>
      <c r="BY195" s="49"/>
      <c r="BZ195" s="49"/>
      <c r="CA195" s="61" t="str">
        <f>IF(_xlfn.XLOOKUP(BY195, AutoFill_classes!$A:$A, AutoFill_classes!$B:$B,"")=0,"",_xlfn.XLOOKUP(BY195, AutoFill_classes!$A:$A, AutoFill_classes!$B:$B,""))</f>
        <v/>
      </c>
      <c r="CB195" s="154"/>
      <c r="CC195" s="12"/>
      <c r="CD195" s="12"/>
      <c r="CE195" s="12"/>
      <c r="CF195" s="7"/>
      <c r="CG195" s="37"/>
      <c r="CH195" s="146"/>
      <c r="CI195" s="41"/>
      <c r="CJ195" s="60" t="str">
        <f t="shared" si="504"/>
        <v/>
      </c>
      <c r="CK195" s="32"/>
      <c r="CL195" s="32"/>
      <c r="CM195" s="32"/>
      <c r="CN195" s="32"/>
      <c r="CO195" s="58" t="str">
        <f t="shared" si="505"/>
        <v/>
      </c>
      <c r="CP195" s="20"/>
      <c r="CQ195" s="58" t="str">
        <f t="shared" si="506"/>
        <v/>
      </c>
      <c r="CR195" s="32"/>
      <c r="CS195" s="32"/>
      <c r="CT195" s="58" t="str">
        <f t="shared" si="507"/>
        <v/>
      </c>
      <c r="CU195" s="20"/>
      <c r="CV195" s="58" t="str">
        <f t="shared" si="508"/>
        <v/>
      </c>
      <c r="CW195" s="32"/>
      <c r="CX195" s="32"/>
      <c r="CY195" s="58" t="str">
        <f t="shared" si="509"/>
        <v/>
      </c>
      <c r="CZ195" s="58" t="str">
        <f t="shared" si="510"/>
        <v/>
      </c>
      <c r="DA195" s="58" t="str">
        <f t="shared" si="511"/>
        <v/>
      </c>
      <c r="DB195" s="59" t="str">
        <f t="shared" si="512"/>
        <v/>
      </c>
      <c r="DC195" s="12"/>
      <c r="DD195" s="146"/>
      <c r="DE195" s="91">
        <v>194</v>
      </c>
    </row>
    <row r="196" spans="1:109">
      <c r="A196" s="7"/>
      <c r="B196" s="23" t="str">
        <f>IF(_xlfn.XLOOKUP(A196, AutoFill_names!B:B, AutoFill_names!C:C,"")=0,"",_xlfn.XLOOKUP(A196, AutoFill_names!B:B, AutoFill_names!C:C,""))</f>
        <v/>
      </c>
      <c r="C196" s="23" t="str">
        <f>IF(_xlfn.XLOOKUP(A196, AutoFill_names!B:B, AutoFill_names!D:D,"")=0,"",_xlfn.XLOOKUP(A196, AutoFill_names!B:B, AutoFill_names!D:D,""))</f>
        <v/>
      </c>
      <c r="D196" s="23" t="str">
        <f>IF(_xlfn.XLOOKUP(A196, AutoFill_names!B:B, AutoFill_names!E:E,"")=0,"",_xlfn.XLOOKUP(A196, AutoFill_names!B:B, AutoFill_names!E:E,""))</f>
        <v/>
      </c>
      <c r="E196" s="23" t="str">
        <f>IF(_xlfn.XLOOKUP(A196, AutoFill_names!B:B, AutoFill_names!F:F,"")=0,"",_xlfn.XLOOKUP(A196, AutoFill_names!B:B, AutoFill_names!F:F,""))</f>
        <v/>
      </c>
      <c r="F196" s="4"/>
      <c r="G196" s="4"/>
      <c r="H196" s="4"/>
      <c r="I196" s="4"/>
      <c r="J196" s="23" t="str">
        <f>IF(_xlfn.XLOOKUP(A196, AutoFill_names!B:B, AutoFill_names!K:K,"")=0,"",_xlfn.XLOOKUP(A196, AutoFill_names!B:B, AutoFill_names!K:K,""))</f>
        <v/>
      </c>
      <c r="K196" s="23" t="str">
        <f>IF(_xlfn.XLOOKUP(A196, AutoFill_names!B:B, AutoFill_names!L:L,"")=0,"",_xlfn.XLOOKUP(A196, AutoFill_names!B:B, AutoFill_names!L:L,""))</f>
        <v/>
      </c>
      <c r="L196" s="8"/>
      <c r="M196" s="8"/>
      <c r="N196" s="61" t="str">
        <f>IF(_xlfn.XLOOKUP(L196, AutoFill_classes!A:A, AutoFill_classes!B:B,"")=0,"",_xlfn.XLOOKUP(L196, AutoFill_classes!A:A, AutoFill_classes!B:B,""))</f>
        <v/>
      </c>
      <c r="O196" s="154"/>
      <c r="P196" s="11"/>
      <c r="Q196" s="11"/>
      <c r="R196" s="11"/>
      <c r="S196" s="8"/>
      <c r="T196" s="8"/>
      <c r="U196" s="8"/>
      <c r="V196" s="7"/>
      <c r="W196" s="7"/>
      <c r="X196" s="146"/>
      <c r="Y196" s="37"/>
      <c r="Z196" s="60" t="str">
        <f t="shared" si="486"/>
        <v/>
      </c>
      <c r="AA196" s="40"/>
      <c r="AB196" s="40"/>
      <c r="AC196" s="40"/>
      <c r="AD196" s="40"/>
      <c r="AE196" s="58" t="str">
        <f t="shared" si="487"/>
        <v/>
      </c>
      <c r="AF196" s="12"/>
      <c r="AG196" s="58" t="str">
        <f t="shared" si="488"/>
        <v/>
      </c>
      <c r="AH196" s="40"/>
      <c r="AI196" s="40"/>
      <c r="AJ196" s="58" t="str">
        <f t="shared" si="489"/>
        <v/>
      </c>
      <c r="AK196" s="12"/>
      <c r="AL196" s="58" t="str">
        <f t="shared" si="490"/>
        <v/>
      </c>
      <c r="AM196" s="40"/>
      <c r="AN196" s="40"/>
      <c r="AO196" s="58" t="str">
        <f t="shared" si="491"/>
        <v/>
      </c>
      <c r="AP196" s="58" t="str">
        <f t="shared" si="492"/>
        <v/>
      </c>
      <c r="AQ196" s="58" t="str">
        <f t="shared" si="493"/>
        <v/>
      </c>
      <c r="AR196" s="59" t="str">
        <f t="shared" si="494"/>
        <v/>
      </c>
      <c r="AS196" s="12"/>
      <c r="AT196" s="49"/>
      <c r="AU196" s="49"/>
      <c r="AV196" s="61" t="str">
        <f>IF(_xlfn.XLOOKUP(AT196, AutoFill_classes!$A:$A, AutoFill_classes!$B:$B,"")=0,"",_xlfn.XLOOKUP(AT196, AutoFill_classes!$A:$A, AutoFill_classes!$B:$B,""))</f>
        <v/>
      </c>
      <c r="AW196" s="154"/>
      <c r="AX196" s="12"/>
      <c r="AY196" s="13"/>
      <c r="AZ196" s="12"/>
      <c r="BA196" s="13"/>
      <c r="BB196" s="13"/>
      <c r="BC196" s="146"/>
      <c r="BD196" s="37"/>
      <c r="BE196" s="60" t="str">
        <f t="shared" si="495"/>
        <v/>
      </c>
      <c r="BF196" s="32"/>
      <c r="BG196" s="32"/>
      <c r="BH196" s="32"/>
      <c r="BI196" s="32"/>
      <c r="BJ196" s="58" t="str">
        <f t="shared" si="496"/>
        <v/>
      </c>
      <c r="BK196" s="20"/>
      <c r="BL196" s="58" t="str">
        <f t="shared" si="497"/>
        <v/>
      </c>
      <c r="BM196" s="32"/>
      <c r="BN196" s="32"/>
      <c r="BO196" s="58" t="str">
        <f t="shared" si="498"/>
        <v/>
      </c>
      <c r="BP196" s="20"/>
      <c r="BQ196" s="58" t="str">
        <f t="shared" si="499"/>
        <v/>
      </c>
      <c r="BR196" s="32"/>
      <c r="BS196" s="32"/>
      <c r="BT196" s="58" t="str">
        <f t="shared" si="500"/>
        <v/>
      </c>
      <c r="BU196" s="58" t="str">
        <f t="shared" si="501"/>
        <v/>
      </c>
      <c r="BV196" s="58" t="str">
        <f t="shared" si="502"/>
        <v/>
      </c>
      <c r="BW196" s="59" t="str">
        <f t="shared" si="503"/>
        <v/>
      </c>
      <c r="BX196" s="12"/>
      <c r="BY196" s="49"/>
      <c r="BZ196" s="49"/>
      <c r="CA196" s="61" t="str">
        <f>IF(_xlfn.XLOOKUP(BY196, AutoFill_classes!$A:$A, AutoFill_classes!$B:$B,"")=0,"",_xlfn.XLOOKUP(BY196, AutoFill_classes!$A:$A, AutoFill_classes!$B:$B,""))</f>
        <v/>
      </c>
      <c r="CB196" s="154"/>
      <c r="CC196" s="12"/>
      <c r="CD196" s="12"/>
      <c r="CE196" s="12"/>
      <c r="CF196" s="7"/>
      <c r="CG196" s="37"/>
      <c r="CH196" s="146"/>
      <c r="CI196" s="41"/>
      <c r="CJ196" s="60" t="str">
        <f t="shared" si="504"/>
        <v/>
      </c>
      <c r="CK196" s="32"/>
      <c r="CL196" s="32"/>
      <c r="CM196" s="32"/>
      <c r="CN196" s="32"/>
      <c r="CO196" s="58" t="str">
        <f t="shared" si="505"/>
        <v/>
      </c>
      <c r="CP196" s="20"/>
      <c r="CQ196" s="58" t="str">
        <f t="shared" si="506"/>
        <v/>
      </c>
      <c r="CR196" s="32"/>
      <c r="CS196" s="32"/>
      <c r="CT196" s="58" t="str">
        <f t="shared" si="507"/>
        <v/>
      </c>
      <c r="CU196" s="20"/>
      <c r="CV196" s="58" t="str">
        <f t="shared" si="508"/>
        <v/>
      </c>
      <c r="CW196" s="32"/>
      <c r="CX196" s="32"/>
      <c r="CY196" s="58" t="str">
        <f t="shared" si="509"/>
        <v/>
      </c>
      <c r="CZ196" s="58" t="str">
        <f t="shared" si="510"/>
        <v/>
      </c>
      <c r="DA196" s="58" t="str">
        <f t="shared" si="511"/>
        <v/>
      </c>
      <c r="DB196" s="59" t="str">
        <f t="shared" si="512"/>
        <v/>
      </c>
      <c r="DC196" s="12"/>
      <c r="DD196" s="146"/>
      <c r="DE196" s="91">
        <v>195</v>
      </c>
    </row>
    <row r="197" spans="1:109">
      <c r="A197" s="7"/>
      <c r="B197" s="23" t="str">
        <f>IF(_xlfn.XLOOKUP(A197, AutoFill_names!B:B, AutoFill_names!C:C,"")=0,"",_xlfn.XLOOKUP(A197, AutoFill_names!B:B, AutoFill_names!C:C,""))</f>
        <v/>
      </c>
      <c r="C197" s="23" t="str">
        <f>IF(_xlfn.XLOOKUP(A197, AutoFill_names!B:B, AutoFill_names!D:D,"")=0,"",_xlfn.XLOOKUP(A197, AutoFill_names!B:B, AutoFill_names!D:D,""))</f>
        <v/>
      </c>
      <c r="D197" s="23" t="str">
        <f>IF(_xlfn.XLOOKUP(A197, AutoFill_names!B:B, AutoFill_names!E:E,"")=0,"",_xlfn.XLOOKUP(A197, AutoFill_names!B:B, AutoFill_names!E:E,""))</f>
        <v/>
      </c>
      <c r="E197" s="23" t="str">
        <f>IF(_xlfn.XLOOKUP(A197, AutoFill_names!B:B, AutoFill_names!F:F,"")=0,"",_xlfn.XLOOKUP(A197, AutoFill_names!B:B, AutoFill_names!F:F,""))</f>
        <v/>
      </c>
      <c r="F197" s="4"/>
      <c r="G197" s="4"/>
      <c r="H197" s="4"/>
      <c r="I197" s="4"/>
      <c r="J197" s="23" t="str">
        <f>IF(_xlfn.XLOOKUP(A197, AutoFill_names!B:B, AutoFill_names!K:K,"")=0,"",_xlfn.XLOOKUP(A197, AutoFill_names!B:B, AutoFill_names!K:K,""))</f>
        <v/>
      </c>
      <c r="K197" s="23" t="str">
        <f>IF(_xlfn.XLOOKUP(A197, AutoFill_names!B:B, AutoFill_names!L:L,"")=0,"",_xlfn.XLOOKUP(A197, AutoFill_names!B:B, AutoFill_names!L:L,""))</f>
        <v/>
      </c>
      <c r="L197" s="8"/>
      <c r="M197" s="8"/>
      <c r="N197" s="61" t="str">
        <f>IF(_xlfn.XLOOKUP(L197, AutoFill_classes!A:A, AutoFill_classes!B:B,"")=0,"",_xlfn.XLOOKUP(L197, AutoFill_classes!A:A, AutoFill_classes!B:B,""))</f>
        <v/>
      </c>
      <c r="O197" s="154"/>
      <c r="P197" s="11"/>
      <c r="Q197" s="11"/>
      <c r="R197" s="11"/>
      <c r="S197" s="8"/>
      <c r="T197" s="8"/>
      <c r="U197" s="8"/>
      <c r="V197" s="7"/>
      <c r="W197" s="7"/>
      <c r="X197" s="146"/>
      <c r="Y197" s="37"/>
      <c r="Z197" s="60" t="str">
        <f t="shared" si="486"/>
        <v/>
      </c>
      <c r="AA197" s="40"/>
      <c r="AB197" s="40"/>
      <c r="AC197" s="40"/>
      <c r="AD197" s="40"/>
      <c r="AE197" s="58" t="str">
        <f t="shared" si="487"/>
        <v/>
      </c>
      <c r="AF197" s="12"/>
      <c r="AG197" s="58" t="str">
        <f t="shared" si="488"/>
        <v/>
      </c>
      <c r="AH197" s="40"/>
      <c r="AI197" s="40"/>
      <c r="AJ197" s="58" t="str">
        <f t="shared" si="489"/>
        <v/>
      </c>
      <c r="AK197" s="12"/>
      <c r="AL197" s="58" t="str">
        <f t="shared" si="490"/>
        <v/>
      </c>
      <c r="AM197" s="40"/>
      <c r="AN197" s="40"/>
      <c r="AO197" s="58" t="str">
        <f t="shared" si="491"/>
        <v/>
      </c>
      <c r="AP197" s="58" t="str">
        <f t="shared" si="492"/>
        <v/>
      </c>
      <c r="AQ197" s="58" t="str">
        <f t="shared" si="493"/>
        <v/>
      </c>
      <c r="AR197" s="59" t="str">
        <f t="shared" si="494"/>
        <v/>
      </c>
      <c r="AS197" s="12"/>
      <c r="AT197" s="49"/>
      <c r="AU197" s="49"/>
      <c r="AV197" s="61" t="str">
        <f>IF(_xlfn.XLOOKUP(AT197, AutoFill_classes!$A:$A, AutoFill_classes!$B:$B,"")=0,"",_xlfn.XLOOKUP(AT197, AutoFill_classes!$A:$A, AutoFill_classes!$B:$B,""))</f>
        <v/>
      </c>
      <c r="AW197" s="154"/>
      <c r="AX197" s="12"/>
      <c r="AY197" s="13"/>
      <c r="AZ197" s="12"/>
      <c r="BA197" s="13"/>
      <c r="BB197" s="13"/>
      <c r="BC197" s="146"/>
      <c r="BD197" s="37"/>
      <c r="BE197" s="60" t="str">
        <f t="shared" si="495"/>
        <v/>
      </c>
      <c r="BF197" s="32"/>
      <c r="BG197" s="32"/>
      <c r="BH197" s="32"/>
      <c r="BI197" s="32"/>
      <c r="BJ197" s="58" t="str">
        <f t="shared" si="496"/>
        <v/>
      </c>
      <c r="BK197" s="20"/>
      <c r="BL197" s="58" t="str">
        <f t="shared" si="497"/>
        <v/>
      </c>
      <c r="BM197" s="32"/>
      <c r="BN197" s="32"/>
      <c r="BO197" s="58" t="str">
        <f t="shared" si="498"/>
        <v/>
      </c>
      <c r="BP197" s="20"/>
      <c r="BQ197" s="58" t="str">
        <f t="shared" si="499"/>
        <v/>
      </c>
      <c r="BR197" s="32"/>
      <c r="BS197" s="32"/>
      <c r="BT197" s="58" t="str">
        <f t="shared" si="500"/>
        <v/>
      </c>
      <c r="BU197" s="58" t="str">
        <f t="shared" si="501"/>
        <v/>
      </c>
      <c r="BV197" s="58" t="str">
        <f t="shared" si="502"/>
        <v/>
      </c>
      <c r="BW197" s="59" t="str">
        <f t="shared" si="503"/>
        <v/>
      </c>
      <c r="BX197" s="12"/>
      <c r="BY197" s="49"/>
      <c r="BZ197" s="49"/>
      <c r="CA197" s="61" t="str">
        <f>IF(_xlfn.XLOOKUP(BY197, AutoFill_classes!$A:$A, AutoFill_classes!$B:$B,"")=0,"",_xlfn.XLOOKUP(BY197, AutoFill_classes!$A:$A, AutoFill_classes!$B:$B,""))</f>
        <v/>
      </c>
      <c r="CB197" s="154"/>
      <c r="CC197" s="12"/>
      <c r="CD197" s="12"/>
      <c r="CE197" s="12"/>
      <c r="CF197" s="7"/>
      <c r="CG197" s="37"/>
      <c r="CH197" s="146"/>
      <c r="CI197" s="41"/>
      <c r="CJ197" s="60" t="str">
        <f t="shared" si="504"/>
        <v/>
      </c>
      <c r="CK197" s="32"/>
      <c r="CL197" s="32"/>
      <c r="CM197" s="32"/>
      <c r="CN197" s="32"/>
      <c r="CO197" s="58" t="str">
        <f t="shared" si="505"/>
        <v/>
      </c>
      <c r="CP197" s="20"/>
      <c r="CQ197" s="58" t="str">
        <f t="shared" si="506"/>
        <v/>
      </c>
      <c r="CR197" s="32"/>
      <c r="CS197" s="32"/>
      <c r="CT197" s="58" t="str">
        <f t="shared" si="507"/>
        <v/>
      </c>
      <c r="CU197" s="20"/>
      <c r="CV197" s="58" t="str">
        <f t="shared" si="508"/>
        <v/>
      </c>
      <c r="CW197" s="32"/>
      <c r="CX197" s="32"/>
      <c r="CY197" s="58" t="str">
        <f t="shared" si="509"/>
        <v/>
      </c>
      <c r="CZ197" s="58" t="str">
        <f t="shared" si="510"/>
        <v/>
      </c>
      <c r="DA197" s="58" t="str">
        <f t="shared" si="511"/>
        <v/>
      </c>
      <c r="DB197" s="59" t="str">
        <f t="shared" si="512"/>
        <v/>
      </c>
      <c r="DC197" s="12"/>
      <c r="DD197" s="146"/>
      <c r="DE197" s="91">
        <v>196</v>
      </c>
    </row>
    <row r="198" spans="1:109">
      <c r="A198" s="7"/>
      <c r="B198" s="23" t="str">
        <f>IF(_xlfn.XLOOKUP(A198, AutoFill_names!B:B, AutoFill_names!C:C,"")=0,"",_xlfn.XLOOKUP(A198, AutoFill_names!B:B, AutoFill_names!C:C,""))</f>
        <v/>
      </c>
      <c r="C198" s="23" t="str">
        <f>IF(_xlfn.XLOOKUP(A198, AutoFill_names!B:B, AutoFill_names!D:D,"")=0,"",_xlfn.XLOOKUP(A198, AutoFill_names!B:B, AutoFill_names!D:D,""))</f>
        <v/>
      </c>
      <c r="D198" s="23" t="str">
        <f>IF(_xlfn.XLOOKUP(A198, AutoFill_names!B:B, AutoFill_names!E:E,"")=0,"",_xlfn.XLOOKUP(A198, AutoFill_names!B:B, AutoFill_names!E:E,""))</f>
        <v/>
      </c>
      <c r="E198" s="23" t="str">
        <f>IF(_xlfn.XLOOKUP(A198, AutoFill_names!B:B, AutoFill_names!F:F,"")=0,"",_xlfn.XLOOKUP(A198, AutoFill_names!B:B, AutoFill_names!F:F,""))</f>
        <v/>
      </c>
      <c r="F198" s="4"/>
      <c r="G198" s="4"/>
      <c r="H198" s="4"/>
      <c r="I198" s="4"/>
      <c r="J198" s="23" t="str">
        <f>IF(_xlfn.XLOOKUP(A198, AutoFill_names!B:B, AutoFill_names!K:K,"")=0,"",_xlfn.XLOOKUP(A198, AutoFill_names!B:B, AutoFill_names!K:K,""))</f>
        <v/>
      </c>
      <c r="K198" s="23" t="str">
        <f>IF(_xlfn.XLOOKUP(A198, AutoFill_names!B:B, AutoFill_names!L:L,"")=0,"",_xlfn.XLOOKUP(A198, AutoFill_names!B:B, AutoFill_names!L:L,""))</f>
        <v/>
      </c>
      <c r="L198" s="8"/>
      <c r="M198" s="8"/>
      <c r="N198" s="61" t="str">
        <f>IF(_xlfn.XLOOKUP(L198, AutoFill_classes!A:A, AutoFill_classes!B:B,"")=0,"",_xlfn.XLOOKUP(L198, AutoFill_classes!A:A, AutoFill_classes!B:B,""))</f>
        <v/>
      </c>
      <c r="O198" s="154"/>
      <c r="P198" s="11"/>
      <c r="Q198" s="11"/>
      <c r="R198" s="11"/>
      <c r="S198" s="8"/>
      <c r="T198" s="8"/>
      <c r="U198" s="8"/>
      <c r="V198" s="7"/>
      <c r="W198" s="7"/>
      <c r="X198" s="146"/>
      <c r="Y198" s="37"/>
      <c r="Z198" s="60" t="str">
        <f t="shared" si="486"/>
        <v/>
      </c>
      <c r="AA198" s="40"/>
      <c r="AB198" s="40"/>
      <c r="AC198" s="40"/>
      <c r="AD198" s="40"/>
      <c r="AE198" s="58" t="str">
        <f t="shared" si="487"/>
        <v/>
      </c>
      <c r="AF198" s="12"/>
      <c r="AG198" s="58" t="str">
        <f t="shared" si="488"/>
        <v/>
      </c>
      <c r="AH198" s="40"/>
      <c r="AI198" s="40"/>
      <c r="AJ198" s="58" t="str">
        <f t="shared" si="489"/>
        <v/>
      </c>
      <c r="AK198" s="12"/>
      <c r="AL198" s="58" t="str">
        <f t="shared" si="490"/>
        <v/>
      </c>
      <c r="AM198" s="40"/>
      <c r="AN198" s="40"/>
      <c r="AO198" s="58" t="str">
        <f t="shared" si="491"/>
        <v/>
      </c>
      <c r="AP198" s="58" t="str">
        <f t="shared" si="492"/>
        <v/>
      </c>
      <c r="AQ198" s="58" t="str">
        <f t="shared" si="493"/>
        <v/>
      </c>
      <c r="AR198" s="59" t="str">
        <f t="shared" si="494"/>
        <v/>
      </c>
      <c r="AS198" s="12"/>
      <c r="AT198" s="49"/>
      <c r="AU198" s="49"/>
      <c r="AV198" s="61" t="str">
        <f>IF(_xlfn.XLOOKUP(AT198, AutoFill_classes!$A:$A, AutoFill_classes!$B:$B,"")=0,"",_xlfn.XLOOKUP(AT198, AutoFill_classes!$A:$A, AutoFill_classes!$B:$B,""))</f>
        <v/>
      </c>
      <c r="AW198" s="154"/>
      <c r="AX198" s="12"/>
      <c r="AY198" s="13"/>
      <c r="AZ198" s="12"/>
      <c r="BA198" s="13"/>
      <c r="BB198" s="13"/>
      <c r="BC198" s="146"/>
      <c r="BD198" s="37"/>
      <c r="BE198" s="60" t="str">
        <f t="shared" si="495"/>
        <v/>
      </c>
      <c r="BF198" s="32"/>
      <c r="BG198" s="32"/>
      <c r="BH198" s="32"/>
      <c r="BI198" s="32"/>
      <c r="BJ198" s="58" t="str">
        <f t="shared" si="496"/>
        <v/>
      </c>
      <c r="BK198" s="20"/>
      <c r="BL198" s="58" t="str">
        <f t="shared" si="497"/>
        <v/>
      </c>
      <c r="BM198" s="32"/>
      <c r="BN198" s="32"/>
      <c r="BO198" s="58" t="str">
        <f t="shared" si="498"/>
        <v/>
      </c>
      <c r="BP198" s="20"/>
      <c r="BQ198" s="58" t="str">
        <f t="shared" si="499"/>
        <v/>
      </c>
      <c r="BR198" s="32"/>
      <c r="BS198" s="32"/>
      <c r="BT198" s="58" t="str">
        <f t="shared" si="500"/>
        <v/>
      </c>
      <c r="BU198" s="58" t="str">
        <f t="shared" si="501"/>
        <v/>
      </c>
      <c r="BV198" s="58" t="str">
        <f t="shared" si="502"/>
        <v/>
      </c>
      <c r="BW198" s="59" t="str">
        <f t="shared" si="503"/>
        <v/>
      </c>
      <c r="BX198" s="12"/>
      <c r="BY198" s="49"/>
      <c r="BZ198" s="49"/>
      <c r="CA198" s="61" t="str">
        <f>IF(_xlfn.XLOOKUP(BY198, AutoFill_classes!$A:$A, AutoFill_classes!$B:$B,"")=0,"",_xlfn.XLOOKUP(BY198, AutoFill_classes!$A:$A, AutoFill_classes!$B:$B,""))</f>
        <v/>
      </c>
      <c r="CB198" s="154"/>
      <c r="CC198" s="12"/>
      <c r="CD198" s="12"/>
      <c r="CE198" s="12"/>
      <c r="CF198" s="7"/>
      <c r="CG198" s="37"/>
      <c r="CH198" s="146"/>
      <c r="CI198" s="41"/>
      <c r="CJ198" s="60" t="str">
        <f t="shared" si="504"/>
        <v/>
      </c>
      <c r="CK198" s="32"/>
      <c r="CL198" s="32"/>
      <c r="CM198" s="32"/>
      <c r="CN198" s="32"/>
      <c r="CO198" s="58" t="str">
        <f t="shared" si="505"/>
        <v/>
      </c>
      <c r="CP198" s="20"/>
      <c r="CQ198" s="58" t="str">
        <f t="shared" si="506"/>
        <v/>
      </c>
      <c r="CR198" s="32"/>
      <c r="CS198" s="32"/>
      <c r="CT198" s="58" t="str">
        <f t="shared" si="507"/>
        <v/>
      </c>
      <c r="CU198" s="20"/>
      <c r="CV198" s="58" t="str">
        <f t="shared" si="508"/>
        <v/>
      </c>
      <c r="CW198" s="32"/>
      <c r="CX198" s="32"/>
      <c r="CY198" s="58" t="str">
        <f t="shared" si="509"/>
        <v/>
      </c>
      <c r="CZ198" s="58" t="str">
        <f t="shared" si="510"/>
        <v/>
      </c>
      <c r="DA198" s="58" t="str">
        <f t="shared" si="511"/>
        <v/>
      </c>
      <c r="DB198" s="59" t="str">
        <f t="shared" si="512"/>
        <v/>
      </c>
      <c r="DC198" s="12"/>
      <c r="DD198" s="146"/>
      <c r="DE198" s="91">
        <v>197</v>
      </c>
    </row>
    <row r="199" spans="1:109">
      <c r="A199" s="7"/>
      <c r="B199" s="23" t="str">
        <f>IF(_xlfn.XLOOKUP(A199, AutoFill_names!B:B, AutoFill_names!C:C,"")=0,"",_xlfn.XLOOKUP(A199, AutoFill_names!B:B, AutoFill_names!C:C,""))</f>
        <v/>
      </c>
      <c r="C199" s="23" t="str">
        <f>IF(_xlfn.XLOOKUP(A199, AutoFill_names!B:B, AutoFill_names!D:D,"")=0,"",_xlfn.XLOOKUP(A199, AutoFill_names!B:B, AutoFill_names!D:D,""))</f>
        <v/>
      </c>
      <c r="D199" s="23" t="str">
        <f>IF(_xlfn.XLOOKUP(A199, AutoFill_names!B:B, AutoFill_names!E:E,"")=0,"",_xlfn.XLOOKUP(A199, AutoFill_names!B:B, AutoFill_names!E:E,""))</f>
        <v/>
      </c>
      <c r="E199" s="23" t="str">
        <f>IF(_xlfn.XLOOKUP(A199, AutoFill_names!B:B, AutoFill_names!F:F,"")=0,"",_xlfn.XLOOKUP(A199, AutoFill_names!B:B, AutoFill_names!F:F,""))</f>
        <v/>
      </c>
      <c r="F199" s="4"/>
      <c r="G199" s="4"/>
      <c r="H199" s="4"/>
      <c r="I199" s="4"/>
      <c r="J199" s="23" t="str">
        <f>IF(_xlfn.XLOOKUP(A199, AutoFill_names!B:B, AutoFill_names!K:K,"")=0,"",_xlfn.XLOOKUP(A199, AutoFill_names!B:B, AutoFill_names!K:K,""))</f>
        <v/>
      </c>
      <c r="K199" s="23" t="str">
        <f>IF(_xlfn.XLOOKUP(A199, AutoFill_names!B:B, AutoFill_names!L:L,"")=0,"",_xlfn.XLOOKUP(A199, AutoFill_names!B:B, AutoFill_names!L:L,""))</f>
        <v/>
      </c>
      <c r="L199" s="8"/>
      <c r="M199" s="8"/>
      <c r="N199" s="61" t="str">
        <f>IF(_xlfn.XLOOKUP(L199, AutoFill_classes!A:A, AutoFill_classes!B:B,"")=0,"",_xlfn.XLOOKUP(L199, AutoFill_classes!A:A, AutoFill_classes!B:B,""))</f>
        <v/>
      </c>
      <c r="O199" s="154"/>
      <c r="P199" s="11"/>
      <c r="Q199" s="11"/>
      <c r="R199" s="11"/>
      <c r="S199" s="8"/>
      <c r="T199" s="8"/>
      <c r="U199" s="8"/>
      <c r="V199" s="7"/>
      <c r="W199" s="7"/>
      <c r="X199" s="146"/>
      <c r="Y199" s="37"/>
      <c r="Z199" s="60" t="str">
        <f t="shared" si="486"/>
        <v/>
      </c>
      <c r="AA199" s="40"/>
      <c r="AB199" s="40"/>
      <c r="AC199" s="40"/>
      <c r="AD199" s="40"/>
      <c r="AE199" s="58" t="str">
        <f t="shared" si="487"/>
        <v/>
      </c>
      <c r="AF199" s="12"/>
      <c r="AG199" s="58" t="str">
        <f t="shared" si="488"/>
        <v/>
      </c>
      <c r="AH199" s="40"/>
      <c r="AI199" s="40"/>
      <c r="AJ199" s="58" t="str">
        <f t="shared" si="489"/>
        <v/>
      </c>
      <c r="AK199" s="12"/>
      <c r="AL199" s="58" t="str">
        <f t="shared" si="490"/>
        <v/>
      </c>
      <c r="AM199" s="40"/>
      <c r="AN199" s="40"/>
      <c r="AO199" s="58" t="str">
        <f t="shared" si="491"/>
        <v/>
      </c>
      <c r="AP199" s="58" t="str">
        <f t="shared" si="492"/>
        <v/>
      </c>
      <c r="AQ199" s="58" t="str">
        <f t="shared" si="493"/>
        <v/>
      </c>
      <c r="AR199" s="59" t="str">
        <f t="shared" si="494"/>
        <v/>
      </c>
      <c r="AS199" s="12"/>
      <c r="AT199" s="49"/>
      <c r="AU199" s="49"/>
      <c r="AV199" s="61" t="str">
        <f>IF(_xlfn.XLOOKUP(AT199, AutoFill_classes!$A:$A, AutoFill_classes!$B:$B,"")=0,"",_xlfn.XLOOKUP(AT199, AutoFill_classes!$A:$A, AutoFill_classes!$B:$B,""))</f>
        <v/>
      </c>
      <c r="AW199" s="154"/>
      <c r="AX199" s="12"/>
      <c r="AY199" s="13"/>
      <c r="AZ199" s="12"/>
      <c r="BA199" s="13"/>
      <c r="BB199" s="13"/>
      <c r="BC199" s="146"/>
      <c r="BD199" s="37"/>
      <c r="BE199" s="60" t="str">
        <f t="shared" si="495"/>
        <v/>
      </c>
      <c r="BF199" s="32"/>
      <c r="BG199" s="32"/>
      <c r="BH199" s="32"/>
      <c r="BI199" s="32"/>
      <c r="BJ199" s="58" t="str">
        <f t="shared" si="496"/>
        <v/>
      </c>
      <c r="BK199" s="20"/>
      <c r="BL199" s="58" t="str">
        <f t="shared" si="497"/>
        <v/>
      </c>
      <c r="BM199" s="32"/>
      <c r="BN199" s="32"/>
      <c r="BO199" s="58" t="str">
        <f t="shared" si="498"/>
        <v/>
      </c>
      <c r="BP199" s="20"/>
      <c r="BQ199" s="58" t="str">
        <f t="shared" si="499"/>
        <v/>
      </c>
      <c r="BR199" s="32"/>
      <c r="BS199" s="32"/>
      <c r="BT199" s="58" t="str">
        <f t="shared" si="500"/>
        <v/>
      </c>
      <c r="BU199" s="58" t="str">
        <f t="shared" si="501"/>
        <v/>
      </c>
      <c r="BV199" s="58" t="str">
        <f t="shared" si="502"/>
        <v/>
      </c>
      <c r="BW199" s="59" t="str">
        <f t="shared" si="503"/>
        <v/>
      </c>
      <c r="BX199" s="12"/>
      <c r="BY199" s="49"/>
      <c r="BZ199" s="49"/>
      <c r="CA199" s="61" t="str">
        <f>IF(_xlfn.XLOOKUP(BY199, AutoFill_classes!$A:$A, AutoFill_classes!$B:$B,"")=0,"",_xlfn.XLOOKUP(BY199, AutoFill_classes!$A:$A, AutoFill_classes!$B:$B,""))</f>
        <v/>
      </c>
      <c r="CB199" s="154"/>
      <c r="CC199" s="12"/>
      <c r="CD199" s="12"/>
      <c r="CE199" s="12"/>
      <c r="CF199" s="7"/>
      <c r="CG199" s="37"/>
      <c r="CH199" s="146"/>
      <c r="CI199" s="41"/>
      <c r="CJ199" s="60" t="str">
        <f t="shared" si="504"/>
        <v/>
      </c>
      <c r="CK199" s="32"/>
      <c r="CL199" s="32"/>
      <c r="CM199" s="32"/>
      <c r="CN199" s="32"/>
      <c r="CO199" s="58" t="str">
        <f t="shared" si="505"/>
        <v/>
      </c>
      <c r="CP199" s="20"/>
      <c r="CQ199" s="58" t="str">
        <f t="shared" si="506"/>
        <v/>
      </c>
      <c r="CR199" s="32"/>
      <c r="CS199" s="32"/>
      <c r="CT199" s="58" t="str">
        <f t="shared" si="507"/>
        <v/>
      </c>
      <c r="CU199" s="20"/>
      <c r="CV199" s="58" t="str">
        <f t="shared" si="508"/>
        <v/>
      </c>
      <c r="CW199" s="32"/>
      <c r="CX199" s="32"/>
      <c r="CY199" s="58" t="str">
        <f t="shared" si="509"/>
        <v/>
      </c>
      <c r="CZ199" s="58" t="str">
        <f t="shared" si="510"/>
        <v/>
      </c>
      <c r="DA199" s="58" t="str">
        <f t="shared" si="511"/>
        <v/>
      </c>
      <c r="DB199" s="59" t="str">
        <f t="shared" si="512"/>
        <v/>
      </c>
      <c r="DC199" s="12"/>
      <c r="DD199" s="146"/>
      <c r="DE199" s="91">
        <v>198</v>
      </c>
    </row>
    <row r="200" spans="1:109">
      <c r="A200" s="7"/>
      <c r="B200" s="23" t="str">
        <f>IF(_xlfn.XLOOKUP(A200, AutoFill_names!B:B, AutoFill_names!C:C,"")=0,"",_xlfn.XLOOKUP(A200, AutoFill_names!B:B, AutoFill_names!C:C,""))</f>
        <v/>
      </c>
      <c r="C200" s="23" t="str">
        <f>IF(_xlfn.XLOOKUP(A200, AutoFill_names!B:B, AutoFill_names!D:D,"")=0,"",_xlfn.XLOOKUP(A200, AutoFill_names!B:B, AutoFill_names!D:D,""))</f>
        <v/>
      </c>
      <c r="D200" s="23" t="str">
        <f>IF(_xlfn.XLOOKUP(A200, AutoFill_names!B:B, AutoFill_names!E:E,"")=0,"",_xlfn.XLOOKUP(A200, AutoFill_names!B:B, AutoFill_names!E:E,""))</f>
        <v/>
      </c>
      <c r="E200" s="23" t="str">
        <f>IF(_xlfn.XLOOKUP(A200, AutoFill_names!B:B, AutoFill_names!F:F,"")=0,"",_xlfn.XLOOKUP(A200, AutoFill_names!B:B, AutoFill_names!F:F,""))</f>
        <v/>
      </c>
      <c r="F200" s="4"/>
      <c r="G200" s="4"/>
      <c r="H200" s="4"/>
      <c r="I200" s="4"/>
      <c r="J200" s="23" t="str">
        <f>IF(_xlfn.XLOOKUP(A200, AutoFill_names!B:B, AutoFill_names!K:K,"")=0,"",_xlfn.XLOOKUP(A200, AutoFill_names!B:B, AutoFill_names!K:K,""))</f>
        <v/>
      </c>
      <c r="K200" s="23" t="str">
        <f>IF(_xlfn.XLOOKUP(A200, AutoFill_names!B:B, AutoFill_names!L:L,"")=0,"",_xlfn.XLOOKUP(A200, AutoFill_names!B:B, AutoFill_names!L:L,""))</f>
        <v/>
      </c>
      <c r="L200" s="8"/>
      <c r="M200" s="8"/>
      <c r="N200" s="61" t="str">
        <f>IF(_xlfn.XLOOKUP(L200, AutoFill_classes!A:A, AutoFill_classes!B:B,"")=0,"",_xlfn.XLOOKUP(L200, AutoFill_classes!A:A, AutoFill_classes!B:B,""))</f>
        <v/>
      </c>
      <c r="O200" s="154"/>
      <c r="P200" s="11"/>
      <c r="Q200" s="11"/>
      <c r="R200" s="11"/>
      <c r="S200" s="8"/>
      <c r="T200" s="8"/>
      <c r="U200" s="8"/>
      <c r="V200" s="7"/>
      <c r="W200" s="7"/>
      <c r="X200" s="146"/>
      <c r="Y200" s="37"/>
      <c r="Z200" s="60" t="str">
        <f t="shared" si="486"/>
        <v/>
      </c>
      <c r="AA200" s="40"/>
      <c r="AB200" s="40"/>
      <c r="AC200" s="40"/>
      <c r="AD200" s="40"/>
      <c r="AE200" s="58" t="str">
        <f t="shared" si="487"/>
        <v/>
      </c>
      <c r="AF200" s="12"/>
      <c r="AG200" s="58" t="str">
        <f t="shared" si="488"/>
        <v/>
      </c>
      <c r="AH200" s="40"/>
      <c r="AI200" s="40"/>
      <c r="AJ200" s="58" t="str">
        <f t="shared" si="489"/>
        <v/>
      </c>
      <c r="AK200" s="12"/>
      <c r="AL200" s="58" t="str">
        <f t="shared" si="490"/>
        <v/>
      </c>
      <c r="AM200" s="40"/>
      <c r="AN200" s="40"/>
      <c r="AO200" s="58" t="str">
        <f t="shared" si="491"/>
        <v/>
      </c>
      <c r="AP200" s="58" t="str">
        <f t="shared" si="492"/>
        <v/>
      </c>
      <c r="AQ200" s="58" t="str">
        <f t="shared" si="493"/>
        <v/>
      </c>
      <c r="AR200" s="59" t="str">
        <f t="shared" si="494"/>
        <v/>
      </c>
      <c r="AS200" s="12"/>
      <c r="AT200" s="49"/>
      <c r="AU200" s="49"/>
      <c r="AV200" s="61" t="str">
        <f>IF(_xlfn.XLOOKUP(AT200, AutoFill_classes!$A:$A, AutoFill_classes!$B:$B,"")=0,"",_xlfn.XLOOKUP(AT200, AutoFill_classes!$A:$A, AutoFill_classes!$B:$B,""))</f>
        <v/>
      </c>
      <c r="AW200" s="154"/>
      <c r="AX200" s="12"/>
      <c r="AY200" s="13"/>
      <c r="AZ200" s="12"/>
      <c r="BA200" s="13"/>
      <c r="BB200" s="13"/>
      <c r="BC200" s="146"/>
      <c r="BD200" s="37"/>
      <c r="BE200" s="60" t="str">
        <f t="shared" si="495"/>
        <v/>
      </c>
      <c r="BF200" s="32"/>
      <c r="BG200" s="32"/>
      <c r="BH200" s="32"/>
      <c r="BI200" s="32"/>
      <c r="BJ200" s="58" t="str">
        <f t="shared" si="496"/>
        <v/>
      </c>
      <c r="BK200" s="20"/>
      <c r="BL200" s="58" t="str">
        <f t="shared" si="497"/>
        <v/>
      </c>
      <c r="BM200" s="32"/>
      <c r="BN200" s="32"/>
      <c r="BO200" s="58" t="str">
        <f t="shared" si="498"/>
        <v/>
      </c>
      <c r="BP200" s="20"/>
      <c r="BQ200" s="58" t="str">
        <f t="shared" si="499"/>
        <v/>
      </c>
      <c r="BR200" s="32"/>
      <c r="BS200" s="32"/>
      <c r="BT200" s="58" t="str">
        <f t="shared" si="500"/>
        <v/>
      </c>
      <c r="BU200" s="58" t="str">
        <f t="shared" si="501"/>
        <v/>
      </c>
      <c r="BV200" s="58" t="str">
        <f t="shared" si="502"/>
        <v/>
      </c>
      <c r="BW200" s="59" t="str">
        <f t="shared" si="503"/>
        <v/>
      </c>
      <c r="BX200" s="12"/>
      <c r="BY200" s="49"/>
      <c r="BZ200" s="49"/>
      <c r="CA200" s="61" t="str">
        <f>IF(_xlfn.XLOOKUP(BY200, AutoFill_classes!$A:$A, AutoFill_classes!$B:$B,"")=0,"",_xlfn.XLOOKUP(BY200, AutoFill_classes!$A:$A, AutoFill_classes!$B:$B,""))</f>
        <v/>
      </c>
      <c r="CB200" s="154"/>
      <c r="CC200" s="12"/>
      <c r="CD200" s="12"/>
      <c r="CE200" s="12"/>
      <c r="CF200" s="7"/>
      <c r="CG200" s="37"/>
      <c r="CH200" s="146"/>
      <c r="CI200" s="41"/>
      <c r="CJ200" s="60" t="str">
        <f t="shared" si="504"/>
        <v/>
      </c>
      <c r="CK200" s="32"/>
      <c r="CL200" s="32"/>
      <c r="CM200" s="32"/>
      <c r="CN200" s="32"/>
      <c r="CO200" s="58" t="str">
        <f t="shared" si="505"/>
        <v/>
      </c>
      <c r="CP200" s="20"/>
      <c r="CQ200" s="58" t="str">
        <f t="shared" si="506"/>
        <v/>
      </c>
      <c r="CR200" s="32"/>
      <c r="CS200" s="32"/>
      <c r="CT200" s="58" t="str">
        <f t="shared" si="507"/>
        <v/>
      </c>
      <c r="CU200" s="20"/>
      <c r="CV200" s="58" t="str">
        <f t="shared" si="508"/>
        <v/>
      </c>
      <c r="CW200" s="32"/>
      <c r="CX200" s="32"/>
      <c r="CY200" s="58" t="str">
        <f t="shared" si="509"/>
        <v/>
      </c>
      <c r="CZ200" s="58" t="str">
        <f t="shared" si="510"/>
        <v/>
      </c>
      <c r="DA200" s="58" t="str">
        <f t="shared" si="511"/>
        <v/>
      </c>
      <c r="DB200" s="59" t="str">
        <f t="shared" si="512"/>
        <v/>
      </c>
      <c r="DC200" s="12"/>
      <c r="DD200" s="146"/>
    </row>
    <row r="201" spans="1:109">
      <c r="A201" s="7"/>
      <c r="B201" s="23" t="str">
        <f>IF(_xlfn.XLOOKUP(A201, AutoFill_names!B:B, AutoFill_names!C:C,"")=0,"",_xlfn.XLOOKUP(A201, AutoFill_names!B:B, AutoFill_names!C:C,""))</f>
        <v/>
      </c>
      <c r="C201" s="23" t="str">
        <f>IF(_xlfn.XLOOKUP(A201, AutoFill_names!B:B, AutoFill_names!D:D,"")=0,"",_xlfn.XLOOKUP(A201, AutoFill_names!B:B, AutoFill_names!D:D,""))</f>
        <v/>
      </c>
      <c r="D201" s="23" t="str">
        <f>IF(_xlfn.XLOOKUP(A201, AutoFill_names!B:B, AutoFill_names!E:E,"")=0,"",_xlfn.XLOOKUP(A201, AutoFill_names!B:B, AutoFill_names!E:E,""))</f>
        <v/>
      </c>
      <c r="E201" s="23" t="str">
        <f>IF(_xlfn.XLOOKUP(A201, AutoFill_names!B:B, AutoFill_names!F:F,"")=0,"",_xlfn.XLOOKUP(A201, AutoFill_names!B:B, AutoFill_names!F:F,""))</f>
        <v/>
      </c>
      <c r="F201" s="4"/>
      <c r="G201" s="4"/>
      <c r="H201" s="4"/>
      <c r="I201" s="4"/>
      <c r="J201" s="23" t="str">
        <f>IF(_xlfn.XLOOKUP(A201, AutoFill_names!B:B, AutoFill_names!K:K,"")=0,"",_xlfn.XLOOKUP(A201, AutoFill_names!B:B, AutoFill_names!K:K,""))</f>
        <v/>
      </c>
      <c r="K201" s="23" t="str">
        <f>IF(_xlfn.XLOOKUP(A201, AutoFill_names!B:B, AutoFill_names!L:L,"")=0,"",_xlfn.XLOOKUP(A201, AutoFill_names!B:B, AutoFill_names!L:L,""))</f>
        <v/>
      </c>
      <c r="L201" s="8"/>
      <c r="M201" s="8"/>
      <c r="N201" s="61" t="str">
        <f>IF(_xlfn.XLOOKUP(L201, AutoFill_classes!A:A, AutoFill_classes!B:B,"")=0,"",_xlfn.XLOOKUP(L201, AutoFill_classes!A:A, AutoFill_classes!B:B,""))</f>
        <v/>
      </c>
      <c r="O201" s="154"/>
      <c r="P201" s="11"/>
      <c r="Q201" s="11"/>
      <c r="R201" s="11"/>
      <c r="S201" s="8"/>
      <c r="T201" s="8"/>
      <c r="U201" s="8"/>
      <c r="V201" s="7"/>
      <c r="W201" s="7"/>
      <c r="X201" s="146"/>
      <c r="Y201" s="37"/>
      <c r="Z201" s="60" t="str">
        <f t="shared" si="486"/>
        <v/>
      </c>
      <c r="AA201" s="40"/>
      <c r="AB201" s="40"/>
      <c r="AC201" s="40"/>
      <c r="AD201" s="40"/>
      <c r="AE201" s="58" t="str">
        <f t="shared" si="487"/>
        <v/>
      </c>
      <c r="AF201" s="12"/>
      <c r="AG201" s="58" t="str">
        <f t="shared" si="488"/>
        <v/>
      </c>
      <c r="AH201" s="40"/>
      <c r="AI201" s="40"/>
      <c r="AJ201" s="58" t="str">
        <f t="shared" si="489"/>
        <v/>
      </c>
      <c r="AK201" s="12"/>
      <c r="AL201" s="58" t="str">
        <f t="shared" si="490"/>
        <v/>
      </c>
      <c r="AM201" s="40"/>
      <c r="AN201" s="40"/>
      <c r="AO201" s="58" t="str">
        <f t="shared" si="491"/>
        <v/>
      </c>
      <c r="AP201" s="58" t="str">
        <f t="shared" si="492"/>
        <v/>
      </c>
      <c r="AQ201" s="58" t="str">
        <f t="shared" si="493"/>
        <v/>
      </c>
      <c r="AR201" s="59" t="str">
        <f t="shared" si="494"/>
        <v/>
      </c>
      <c r="AS201" s="12"/>
      <c r="AT201" s="49"/>
      <c r="AU201" s="49"/>
      <c r="AV201" s="61" t="str">
        <f>IF(_xlfn.XLOOKUP(AT201, AutoFill_classes!$A:$A, AutoFill_classes!$B:$B,"")=0,"",_xlfn.XLOOKUP(AT201, AutoFill_classes!$A:$A, AutoFill_classes!$B:$B,""))</f>
        <v/>
      </c>
      <c r="AW201" s="154"/>
      <c r="AX201" s="12"/>
      <c r="AY201" s="13"/>
      <c r="AZ201" s="12"/>
      <c r="BA201" s="13"/>
      <c r="BB201" s="13"/>
      <c r="BC201" s="146"/>
      <c r="BD201" s="37"/>
      <c r="BE201" s="60" t="str">
        <f t="shared" si="495"/>
        <v/>
      </c>
      <c r="BF201" s="32"/>
      <c r="BG201" s="32"/>
      <c r="BH201" s="32"/>
      <c r="BI201" s="32"/>
      <c r="BJ201" s="58" t="str">
        <f t="shared" si="496"/>
        <v/>
      </c>
      <c r="BK201" s="20"/>
      <c r="BL201" s="58" t="str">
        <f t="shared" si="497"/>
        <v/>
      </c>
      <c r="BM201" s="32"/>
      <c r="BN201" s="32"/>
      <c r="BO201" s="58" t="str">
        <f t="shared" si="498"/>
        <v/>
      </c>
      <c r="BP201" s="20"/>
      <c r="BQ201" s="58" t="str">
        <f t="shared" si="499"/>
        <v/>
      </c>
      <c r="BR201" s="32"/>
      <c r="BS201" s="32"/>
      <c r="BT201" s="58" t="str">
        <f t="shared" si="500"/>
        <v/>
      </c>
      <c r="BU201" s="58" t="str">
        <f t="shared" si="501"/>
        <v/>
      </c>
      <c r="BV201" s="58" t="str">
        <f t="shared" si="502"/>
        <v/>
      </c>
      <c r="BW201" s="59" t="str">
        <f t="shared" si="503"/>
        <v/>
      </c>
      <c r="BX201" s="12"/>
      <c r="BY201" s="49"/>
      <c r="BZ201" s="49"/>
      <c r="CA201" s="61" t="str">
        <f>IF(_xlfn.XLOOKUP(BY201, AutoFill_classes!$A:$A, AutoFill_classes!$B:$B,"")=0,"",_xlfn.XLOOKUP(BY201, AutoFill_classes!$A:$A, AutoFill_classes!$B:$B,""))</f>
        <v/>
      </c>
      <c r="CB201" s="154"/>
      <c r="CC201" s="12"/>
      <c r="CD201" s="12"/>
      <c r="CE201" s="12"/>
      <c r="CF201" s="7"/>
      <c r="CG201" s="37"/>
      <c r="CH201" s="146"/>
      <c r="CI201" s="41"/>
      <c r="CJ201" s="60" t="str">
        <f t="shared" si="504"/>
        <v/>
      </c>
      <c r="CK201" s="32"/>
      <c r="CL201" s="32"/>
      <c r="CM201" s="32"/>
      <c r="CN201" s="32"/>
      <c r="CO201" s="58" t="str">
        <f t="shared" si="505"/>
        <v/>
      </c>
      <c r="CP201" s="20"/>
      <c r="CQ201" s="58" t="str">
        <f t="shared" si="506"/>
        <v/>
      </c>
      <c r="CR201" s="32"/>
      <c r="CS201" s="32"/>
      <c r="CT201" s="58" t="str">
        <f t="shared" si="507"/>
        <v/>
      </c>
      <c r="CU201" s="20"/>
      <c r="CV201" s="58" t="str">
        <f t="shared" si="508"/>
        <v/>
      </c>
      <c r="CW201" s="32"/>
      <c r="CX201" s="32"/>
      <c r="CY201" s="58" t="str">
        <f t="shared" si="509"/>
        <v/>
      </c>
      <c r="CZ201" s="58" t="str">
        <f t="shared" si="510"/>
        <v/>
      </c>
      <c r="DA201" s="58" t="str">
        <f t="shared" si="511"/>
        <v/>
      </c>
      <c r="DB201" s="59" t="str">
        <f t="shared" si="512"/>
        <v/>
      </c>
      <c r="DC201" s="12"/>
      <c r="DD201" s="146"/>
    </row>
    <row r="202" spans="1:109">
      <c r="A202" s="7"/>
      <c r="B202" s="23" t="str">
        <f>IF(_xlfn.XLOOKUP(A202, AutoFill_names!B:B, AutoFill_names!C:C,"")=0,"",_xlfn.XLOOKUP(A202, AutoFill_names!B:B, AutoFill_names!C:C,""))</f>
        <v/>
      </c>
      <c r="C202" s="23" t="str">
        <f>IF(_xlfn.XLOOKUP(A202, AutoFill_names!B:B, AutoFill_names!D:D,"")=0,"",_xlfn.XLOOKUP(A202, AutoFill_names!B:B, AutoFill_names!D:D,""))</f>
        <v/>
      </c>
      <c r="D202" s="23" t="str">
        <f>IF(_xlfn.XLOOKUP(A202, AutoFill_names!B:B, AutoFill_names!E:E,"")=0,"",_xlfn.XLOOKUP(A202, AutoFill_names!B:B, AutoFill_names!E:E,""))</f>
        <v/>
      </c>
      <c r="E202" s="23" t="str">
        <f>IF(_xlfn.XLOOKUP(A202, AutoFill_names!B:B, AutoFill_names!F:F,"")=0,"",_xlfn.XLOOKUP(A202, AutoFill_names!B:B, AutoFill_names!F:F,""))</f>
        <v/>
      </c>
      <c r="F202" s="4"/>
      <c r="G202" s="4"/>
      <c r="H202" s="4"/>
      <c r="I202" s="4"/>
      <c r="J202" s="23" t="str">
        <f>IF(_xlfn.XLOOKUP(A202, AutoFill_names!B:B, AutoFill_names!K:K,"")=0,"",_xlfn.XLOOKUP(A202, AutoFill_names!B:B, AutoFill_names!K:K,""))</f>
        <v/>
      </c>
      <c r="K202" s="23" t="str">
        <f>IF(_xlfn.XLOOKUP(A202, AutoFill_names!B:B, AutoFill_names!L:L,"")=0,"",_xlfn.XLOOKUP(A202, AutoFill_names!B:B, AutoFill_names!L:L,""))</f>
        <v/>
      </c>
      <c r="L202" s="8"/>
      <c r="M202" s="8"/>
      <c r="N202" s="61" t="str">
        <f>IF(_xlfn.XLOOKUP(L202, AutoFill_classes!A:A, AutoFill_classes!B:B,"")=0,"",_xlfn.XLOOKUP(L202, AutoFill_classes!A:A, AutoFill_classes!B:B,""))</f>
        <v/>
      </c>
      <c r="O202" s="154"/>
      <c r="P202" s="11"/>
      <c r="Q202" s="11"/>
      <c r="R202" s="11"/>
      <c r="S202" s="8"/>
      <c r="T202" s="8"/>
      <c r="U202" s="8"/>
      <c r="V202" s="7"/>
      <c r="W202" s="7"/>
      <c r="X202" s="146"/>
      <c r="Y202" s="37"/>
      <c r="Z202" s="60" t="str">
        <f t="shared" si="486"/>
        <v/>
      </c>
      <c r="AA202" s="40"/>
      <c r="AB202" s="40"/>
      <c r="AC202" s="40"/>
      <c r="AD202" s="40"/>
      <c r="AE202" s="58" t="str">
        <f t="shared" si="487"/>
        <v/>
      </c>
      <c r="AF202" s="12"/>
      <c r="AG202" s="58" t="str">
        <f t="shared" si="488"/>
        <v/>
      </c>
      <c r="AH202" s="40"/>
      <c r="AI202" s="40"/>
      <c r="AJ202" s="58" t="str">
        <f t="shared" si="489"/>
        <v/>
      </c>
      <c r="AK202" s="12"/>
      <c r="AL202" s="58" t="str">
        <f t="shared" si="490"/>
        <v/>
      </c>
      <c r="AM202" s="40"/>
      <c r="AN202" s="40"/>
      <c r="AO202" s="58" t="str">
        <f t="shared" si="491"/>
        <v/>
      </c>
      <c r="AP202" s="58" t="str">
        <f t="shared" si="492"/>
        <v/>
      </c>
      <c r="AQ202" s="58" t="str">
        <f t="shared" si="493"/>
        <v/>
      </c>
      <c r="AR202" s="59" t="str">
        <f t="shared" si="494"/>
        <v/>
      </c>
      <c r="AS202" s="12"/>
      <c r="AT202" s="49"/>
      <c r="AU202" s="49"/>
      <c r="AV202" s="61" t="str">
        <f>IF(_xlfn.XLOOKUP(AT202, AutoFill_classes!$A:$A, AutoFill_classes!$B:$B,"")=0,"",_xlfn.XLOOKUP(AT202, AutoFill_classes!$A:$A, AutoFill_classes!$B:$B,""))</f>
        <v/>
      </c>
      <c r="AW202" s="154"/>
      <c r="AX202" s="12"/>
      <c r="AY202" s="13"/>
      <c r="AZ202" s="12"/>
      <c r="BA202" s="13"/>
      <c r="BB202" s="13"/>
      <c r="BC202" s="146"/>
      <c r="BD202" s="37"/>
      <c r="BE202" s="60" t="str">
        <f t="shared" si="495"/>
        <v/>
      </c>
      <c r="BF202" s="32"/>
      <c r="BG202" s="32"/>
      <c r="BH202" s="32"/>
      <c r="BI202" s="32"/>
      <c r="BJ202" s="58" t="str">
        <f t="shared" si="496"/>
        <v/>
      </c>
      <c r="BK202" s="20"/>
      <c r="BL202" s="58" t="str">
        <f t="shared" si="497"/>
        <v/>
      </c>
      <c r="BM202" s="32"/>
      <c r="BN202" s="32"/>
      <c r="BO202" s="58" t="str">
        <f t="shared" si="498"/>
        <v/>
      </c>
      <c r="BP202" s="20"/>
      <c r="BQ202" s="58" t="str">
        <f t="shared" si="499"/>
        <v/>
      </c>
      <c r="BR202" s="32"/>
      <c r="BS202" s="32"/>
      <c r="BT202" s="58" t="str">
        <f t="shared" si="500"/>
        <v/>
      </c>
      <c r="BU202" s="58" t="str">
        <f t="shared" si="501"/>
        <v/>
      </c>
      <c r="BV202" s="58" t="str">
        <f t="shared" si="502"/>
        <v/>
      </c>
      <c r="BW202" s="59" t="str">
        <f t="shared" si="503"/>
        <v/>
      </c>
      <c r="BX202" s="12"/>
      <c r="BY202" s="49"/>
      <c r="BZ202" s="49"/>
      <c r="CA202" s="61" t="str">
        <f>IF(_xlfn.XLOOKUP(BY202, AutoFill_classes!$A:$A, AutoFill_classes!$B:$B,"")=0,"",_xlfn.XLOOKUP(BY202, AutoFill_classes!$A:$A, AutoFill_classes!$B:$B,""))</f>
        <v/>
      </c>
      <c r="CB202" s="154"/>
      <c r="CC202" s="12"/>
      <c r="CD202" s="12"/>
      <c r="CE202" s="12"/>
      <c r="CF202" s="7"/>
      <c r="CG202" s="37"/>
      <c r="CH202" s="146"/>
      <c r="CI202" s="41"/>
      <c r="CJ202" s="60" t="str">
        <f t="shared" si="504"/>
        <v/>
      </c>
      <c r="CK202" s="32"/>
      <c r="CL202" s="32"/>
      <c r="CM202" s="32"/>
      <c r="CN202" s="32"/>
      <c r="CO202" s="58" t="str">
        <f t="shared" si="505"/>
        <v/>
      </c>
      <c r="CP202" s="20"/>
      <c r="CQ202" s="58" t="str">
        <f t="shared" si="506"/>
        <v/>
      </c>
      <c r="CR202" s="32"/>
      <c r="CS202" s="32"/>
      <c r="CT202" s="58" t="str">
        <f t="shared" si="507"/>
        <v/>
      </c>
      <c r="CU202" s="20"/>
      <c r="CV202" s="58" t="str">
        <f t="shared" si="508"/>
        <v/>
      </c>
      <c r="CW202" s="32"/>
      <c r="CX202" s="32"/>
      <c r="CY202" s="58" t="str">
        <f t="shared" si="509"/>
        <v/>
      </c>
      <c r="CZ202" s="58" t="str">
        <f t="shared" si="510"/>
        <v/>
      </c>
      <c r="DA202" s="58" t="str">
        <f t="shared" si="511"/>
        <v/>
      </c>
      <c r="DB202" s="59" t="str">
        <f t="shared" si="512"/>
        <v/>
      </c>
      <c r="DC202" s="12"/>
      <c r="DD202" s="146"/>
    </row>
    <row r="203" spans="1:109">
      <c r="A203" s="7"/>
      <c r="B203" s="23" t="str">
        <f>IF(_xlfn.XLOOKUP(A203, AutoFill_names!B:B, AutoFill_names!C:C,"")=0,"",_xlfn.XLOOKUP(A203, AutoFill_names!B:B, AutoFill_names!C:C,""))</f>
        <v/>
      </c>
      <c r="C203" s="23" t="str">
        <f>IF(_xlfn.XLOOKUP(A203, AutoFill_names!B:B, AutoFill_names!D:D,"")=0,"",_xlfn.XLOOKUP(A203, AutoFill_names!B:B, AutoFill_names!D:D,""))</f>
        <v/>
      </c>
      <c r="D203" s="23" t="str">
        <f>IF(_xlfn.XLOOKUP(A203, AutoFill_names!B:B, AutoFill_names!E:E,"")=0,"",_xlfn.XLOOKUP(A203, AutoFill_names!B:B, AutoFill_names!E:E,""))</f>
        <v/>
      </c>
      <c r="E203" s="23" t="str">
        <f>IF(_xlfn.XLOOKUP(A203, AutoFill_names!B:B, AutoFill_names!F:F,"")=0,"",_xlfn.XLOOKUP(A203, AutoFill_names!B:B, AutoFill_names!F:F,""))</f>
        <v/>
      </c>
      <c r="F203" s="4"/>
      <c r="G203" s="4"/>
      <c r="H203" s="4"/>
      <c r="I203" s="4"/>
      <c r="J203" s="23" t="str">
        <f>IF(_xlfn.XLOOKUP(A203, AutoFill_names!B:B, AutoFill_names!K:K,"")=0,"",_xlfn.XLOOKUP(A203, AutoFill_names!B:B, AutoFill_names!K:K,""))</f>
        <v/>
      </c>
      <c r="K203" s="23" t="str">
        <f>IF(_xlfn.XLOOKUP(A203, AutoFill_names!B:B, AutoFill_names!L:L,"")=0,"",_xlfn.XLOOKUP(A203, AutoFill_names!B:B, AutoFill_names!L:L,""))</f>
        <v/>
      </c>
      <c r="L203" s="8"/>
      <c r="M203" s="8"/>
      <c r="N203" s="61" t="str">
        <f>IF(_xlfn.XLOOKUP(L203, AutoFill_classes!A:A, AutoFill_classes!B:B,"")=0,"",_xlfn.XLOOKUP(L203, AutoFill_classes!A:A, AutoFill_classes!B:B,""))</f>
        <v/>
      </c>
      <c r="O203" s="154"/>
      <c r="P203" s="11"/>
      <c r="Q203" s="11"/>
      <c r="R203" s="11"/>
      <c r="S203" s="8"/>
      <c r="T203" s="8"/>
      <c r="U203" s="8"/>
      <c r="V203" s="7"/>
      <c r="W203" s="7"/>
      <c r="X203" s="146"/>
      <c r="Y203" s="37"/>
      <c r="Z203" s="60" t="str">
        <f t="shared" si="486"/>
        <v/>
      </c>
      <c r="AA203" s="40"/>
      <c r="AB203" s="40"/>
      <c r="AC203" s="40"/>
      <c r="AD203" s="40"/>
      <c r="AE203" s="58" t="str">
        <f t="shared" si="487"/>
        <v/>
      </c>
      <c r="AF203" s="12"/>
      <c r="AG203" s="58" t="str">
        <f t="shared" si="488"/>
        <v/>
      </c>
      <c r="AH203" s="40"/>
      <c r="AI203" s="40"/>
      <c r="AJ203" s="58" t="str">
        <f t="shared" si="489"/>
        <v/>
      </c>
      <c r="AK203" s="12"/>
      <c r="AL203" s="58" t="str">
        <f t="shared" si="490"/>
        <v/>
      </c>
      <c r="AM203" s="40"/>
      <c r="AN203" s="40"/>
      <c r="AO203" s="58" t="str">
        <f t="shared" si="491"/>
        <v/>
      </c>
      <c r="AP203" s="58" t="str">
        <f t="shared" si="492"/>
        <v/>
      </c>
      <c r="AQ203" s="58" t="str">
        <f t="shared" si="493"/>
        <v/>
      </c>
      <c r="AR203" s="59" t="str">
        <f t="shared" si="494"/>
        <v/>
      </c>
      <c r="AS203" s="12"/>
      <c r="AT203" s="49"/>
      <c r="AU203" s="49"/>
      <c r="AV203" s="61" t="str">
        <f>IF(_xlfn.XLOOKUP(AT203, AutoFill_classes!$A:$A, AutoFill_classes!$B:$B,"")=0,"",_xlfn.XLOOKUP(AT203, AutoFill_classes!$A:$A, AutoFill_classes!$B:$B,""))</f>
        <v/>
      </c>
      <c r="AW203" s="154"/>
      <c r="AX203" s="12"/>
      <c r="AY203" s="13"/>
      <c r="AZ203" s="12"/>
      <c r="BA203" s="13"/>
      <c r="BB203" s="13"/>
      <c r="BC203" s="146"/>
      <c r="BD203" s="37"/>
      <c r="BE203" s="60" t="str">
        <f t="shared" si="495"/>
        <v/>
      </c>
      <c r="BF203" s="32"/>
      <c r="BG203" s="32"/>
      <c r="BH203" s="32"/>
      <c r="BI203" s="32"/>
      <c r="BJ203" s="58" t="str">
        <f t="shared" si="496"/>
        <v/>
      </c>
      <c r="BK203" s="20"/>
      <c r="BL203" s="58" t="str">
        <f t="shared" si="497"/>
        <v/>
      </c>
      <c r="BM203" s="32"/>
      <c r="BN203" s="32"/>
      <c r="BO203" s="58" t="str">
        <f t="shared" si="498"/>
        <v/>
      </c>
      <c r="BP203" s="20"/>
      <c r="BQ203" s="58" t="str">
        <f t="shared" si="499"/>
        <v/>
      </c>
      <c r="BR203" s="32"/>
      <c r="BS203" s="32"/>
      <c r="BT203" s="58" t="str">
        <f t="shared" si="500"/>
        <v/>
      </c>
      <c r="BU203" s="58" t="str">
        <f t="shared" si="501"/>
        <v/>
      </c>
      <c r="BV203" s="58" t="str">
        <f t="shared" si="502"/>
        <v/>
      </c>
      <c r="BW203" s="59" t="str">
        <f t="shared" si="503"/>
        <v/>
      </c>
      <c r="BX203" s="12"/>
      <c r="BY203" s="49"/>
      <c r="BZ203" s="49"/>
      <c r="CA203" s="61" t="str">
        <f>IF(_xlfn.XLOOKUP(BY203, AutoFill_classes!$A:$A, AutoFill_classes!$B:$B,"")=0,"",_xlfn.XLOOKUP(BY203, AutoFill_classes!$A:$A, AutoFill_classes!$B:$B,""))</f>
        <v/>
      </c>
      <c r="CB203" s="154"/>
      <c r="CC203" s="12"/>
      <c r="CD203" s="12"/>
      <c r="CE203" s="12"/>
      <c r="CF203" s="7"/>
      <c r="CG203" s="37"/>
      <c r="CH203" s="146"/>
      <c r="CI203" s="41"/>
      <c r="CJ203" s="60" t="str">
        <f t="shared" si="504"/>
        <v/>
      </c>
      <c r="CK203" s="32"/>
      <c r="CL203" s="32"/>
      <c r="CM203" s="32"/>
      <c r="CN203" s="32"/>
      <c r="CO203" s="58" t="str">
        <f t="shared" si="505"/>
        <v/>
      </c>
      <c r="CP203" s="20"/>
      <c r="CQ203" s="58" t="str">
        <f t="shared" si="506"/>
        <v/>
      </c>
      <c r="CR203" s="32"/>
      <c r="CS203" s="32"/>
      <c r="CT203" s="58" t="str">
        <f t="shared" si="507"/>
        <v/>
      </c>
      <c r="CU203" s="20"/>
      <c r="CV203" s="58" t="str">
        <f t="shared" si="508"/>
        <v/>
      </c>
      <c r="CW203" s="32"/>
      <c r="CX203" s="32"/>
      <c r="CY203" s="58" t="str">
        <f t="shared" si="509"/>
        <v/>
      </c>
      <c r="CZ203" s="58" t="str">
        <f t="shared" si="510"/>
        <v/>
      </c>
      <c r="DA203" s="58" t="str">
        <f t="shared" si="511"/>
        <v/>
      </c>
      <c r="DB203" s="59" t="str">
        <f t="shared" si="512"/>
        <v/>
      </c>
      <c r="DC203" s="12"/>
      <c r="DD203" s="146"/>
    </row>
    <row r="204" spans="1:109">
      <c r="A204" s="7"/>
      <c r="B204" s="23" t="str">
        <f>IF(_xlfn.XLOOKUP(A204, AutoFill_names!B:B, AutoFill_names!C:C,"")=0,"",_xlfn.XLOOKUP(A204, AutoFill_names!B:B, AutoFill_names!C:C,""))</f>
        <v/>
      </c>
      <c r="C204" s="23" t="str">
        <f>IF(_xlfn.XLOOKUP(A204, AutoFill_names!B:B, AutoFill_names!D:D,"")=0,"",_xlfn.XLOOKUP(A204, AutoFill_names!B:B, AutoFill_names!D:D,""))</f>
        <v/>
      </c>
      <c r="D204" s="23" t="str">
        <f>IF(_xlfn.XLOOKUP(A204, AutoFill_names!B:B, AutoFill_names!E:E,"")=0,"",_xlfn.XLOOKUP(A204, AutoFill_names!B:B, AutoFill_names!E:E,""))</f>
        <v/>
      </c>
      <c r="E204" s="23" t="str">
        <f>IF(_xlfn.XLOOKUP(A204, AutoFill_names!B:B, AutoFill_names!F:F,"")=0,"",_xlfn.XLOOKUP(A204, AutoFill_names!B:B, AutoFill_names!F:F,""))</f>
        <v/>
      </c>
      <c r="F204" s="4"/>
      <c r="G204" s="4"/>
      <c r="H204" s="4"/>
      <c r="I204" s="4"/>
      <c r="J204" s="23" t="str">
        <f>IF(_xlfn.XLOOKUP(A204, AutoFill_names!B:B, AutoFill_names!K:K,"")=0,"",_xlfn.XLOOKUP(A204, AutoFill_names!B:B, AutoFill_names!K:K,""))</f>
        <v/>
      </c>
      <c r="K204" s="23" t="str">
        <f>IF(_xlfn.XLOOKUP(A204, AutoFill_names!B:B, AutoFill_names!L:L,"")=0,"",_xlfn.XLOOKUP(A204, AutoFill_names!B:B, AutoFill_names!L:L,""))</f>
        <v/>
      </c>
      <c r="L204" s="8"/>
      <c r="M204" s="8"/>
      <c r="N204" s="61" t="str">
        <f>IF(_xlfn.XLOOKUP(L204, AutoFill_classes!A:A, AutoFill_classes!B:B,"")=0,"",_xlfn.XLOOKUP(L204, AutoFill_classes!A:A, AutoFill_classes!B:B,""))</f>
        <v/>
      </c>
      <c r="O204" s="154"/>
      <c r="P204" s="11"/>
      <c r="Q204" s="11"/>
      <c r="R204" s="11"/>
      <c r="S204" s="8"/>
      <c r="T204" s="8"/>
      <c r="U204" s="8"/>
      <c r="V204" s="7"/>
      <c r="W204" s="7"/>
      <c r="X204" s="146"/>
      <c r="Y204" s="37"/>
      <c r="Z204" s="60" t="str">
        <f t="shared" si="486"/>
        <v/>
      </c>
      <c r="AA204" s="40"/>
      <c r="AB204" s="40"/>
      <c r="AC204" s="40"/>
      <c r="AD204" s="40"/>
      <c r="AE204" s="58" t="str">
        <f t="shared" si="487"/>
        <v/>
      </c>
      <c r="AF204" s="12"/>
      <c r="AG204" s="58" t="str">
        <f t="shared" si="488"/>
        <v/>
      </c>
      <c r="AH204" s="40"/>
      <c r="AI204" s="40"/>
      <c r="AJ204" s="58" t="str">
        <f t="shared" si="489"/>
        <v/>
      </c>
      <c r="AK204" s="12"/>
      <c r="AL204" s="58" t="str">
        <f t="shared" si="490"/>
        <v/>
      </c>
      <c r="AM204" s="40"/>
      <c r="AN204" s="40"/>
      <c r="AO204" s="58" t="str">
        <f t="shared" si="491"/>
        <v/>
      </c>
      <c r="AP204" s="58" t="str">
        <f t="shared" si="492"/>
        <v/>
      </c>
      <c r="AQ204" s="58" t="str">
        <f t="shared" si="493"/>
        <v/>
      </c>
      <c r="AR204" s="59" t="str">
        <f t="shared" si="494"/>
        <v/>
      </c>
      <c r="AS204" s="12"/>
      <c r="AT204" s="49"/>
      <c r="AU204" s="49"/>
      <c r="AV204" s="61" t="str">
        <f>IF(_xlfn.XLOOKUP(AT204, AutoFill_classes!$A:$A, AutoFill_classes!$B:$B,"")=0,"",_xlfn.XLOOKUP(AT204, AutoFill_classes!$A:$A, AutoFill_classes!$B:$B,""))</f>
        <v/>
      </c>
      <c r="AW204" s="154"/>
      <c r="AX204" s="12"/>
      <c r="AY204" s="13"/>
      <c r="AZ204" s="12"/>
      <c r="BA204" s="13"/>
      <c r="BB204" s="13"/>
      <c r="BC204" s="146"/>
      <c r="BD204" s="37"/>
      <c r="BE204" s="60" t="str">
        <f t="shared" si="495"/>
        <v/>
      </c>
      <c r="BF204" s="32"/>
      <c r="BG204" s="32"/>
      <c r="BH204" s="32"/>
      <c r="BI204" s="32"/>
      <c r="BJ204" s="58" t="str">
        <f t="shared" si="496"/>
        <v/>
      </c>
      <c r="BK204" s="20"/>
      <c r="BL204" s="58" t="str">
        <f t="shared" si="497"/>
        <v/>
      </c>
      <c r="BM204" s="32"/>
      <c r="BN204" s="32"/>
      <c r="BO204" s="58" t="str">
        <f t="shared" si="498"/>
        <v/>
      </c>
      <c r="BP204" s="20"/>
      <c r="BQ204" s="58" t="str">
        <f t="shared" si="499"/>
        <v/>
      </c>
      <c r="BR204" s="32"/>
      <c r="BS204" s="32"/>
      <c r="BT204" s="58" t="str">
        <f t="shared" si="500"/>
        <v/>
      </c>
      <c r="BU204" s="58" t="str">
        <f t="shared" si="501"/>
        <v/>
      </c>
      <c r="BV204" s="58" t="str">
        <f t="shared" si="502"/>
        <v/>
      </c>
      <c r="BW204" s="59" t="str">
        <f t="shared" si="503"/>
        <v/>
      </c>
      <c r="BX204" s="12"/>
      <c r="BY204" s="49"/>
      <c r="BZ204" s="49"/>
      <c r="CA204" s="61" t="str">
        <f>IF(_xlfn.XLOOKUP(BY204, AutoFill_classes!$A:$A, AutoFill_classes!$B:$B,"")=0,"",_xlfn.XLOOKUP(BY204, AutoFill_classes!$A:$A, AutoFill_classes!$B:$B,""))</f>
        <v/>
      </c>
      <c r="CB204" s="154"/>
      <c r="CC204" s="12"/>
      <c r="CD204" s="12"/>
      <c r="CE204" s="12"/>
      <c r="CF204" s="7"/>
      <c r="CG204" s="37"/>
      <c r="CH204" s="146"/>
      <c r="CI204" s="41"/>
      <c r="CJ204" s="60" t="str">
        <f t="shared" si="504"/>
        <v/>
      </c>
      <c r="CK204" s="32"/>
      <c r="CL204" s="32"/>
      <c r="CM204" s="32"/>
      <c r="CN204" s="32"/>
      <c r="CO204" s="58" t="str">
        <f t="shared" si="505"/>
        <v/>
      </c>
      <c r="CP204" s="20"/>
      <c r="CQ204" s="58" t="str">
        <f t="shared" si="506"/>
        <v/>
      </c>
      <c r="CR204" s="32"/>
      <c r="CS204" s="32"/>
      <c r="CT204" s="58" t="str">
        <f t="shared" si="507"/>
        <v/>
      </c>
      <c r="CU204" s="20"/>
      <c r="CV204" s="58" t="str">
        <f t="shared" si="508"/>
        <v/>
      </c>
      <c r="CW204" s="32"/>
      <c r="CX204" s="32"/>
      <c r="CY204" s="58" t="str">
        <f t="shared" si="509"/>
        <v/>
      </c>
      <c r="CZ204" s="58" t="str">
        <f t="shared" si="510"/>
        <v/>
      </c>
      <c r="DA204" s="58" t="str">
        <f t="shared" si="511"/>
        <v/>
      </c>
      <c r="DB204" s="59" t="str">
        <f t="shared" si="512"/>
        <v/>
      </c>
      <c r="DC204" s="12"/>
      <c r="DD204" s="146"/>
    </row>
    <row r="205" spans="1:109">
      <c r="A205" s="7"/>
      <c r="B205" s="23" t="str">
        <f>IF(_xlfn.XLOOKUP(A205, AutoFill_names!B:B, AutoFill_names!C:C,"")=0,"",_xlfn.XLOOKUP(A205, AutoFill_names!B:B, AutoFill_names!C:C,""))</f>
        <v/>
      </c>
      <c r="C205" s="23" t="str">
        <f>IF(_xlfn.XLOOKUP(A205, AutoFill_names!B:B, AutoFill_names!D:D,"")=0,"",_xlfn.XLOOKUP(A205, AutoFill_names!B:B, AutoFill_names!D:D,""))</f>
        <v/>
      </c>
      <c r="D205" s="23" t="str">
        <f>IF(_xlfn.XLOOKUP(A205, AutoFill_names!B:B, AutoFill_names!E:E,"")=0,"",_xlfn.XLOOKUP(A205, AutoFill_names!B:B, AutoFill_names!E:E,""))</f>
        <v/>
      </c>
      <c r="E205" s="23" t="str">
        <f>IF(_xlfn.XLOOKUP(A205, AutoFill_names!B:B, AutoFill_names!F:F,"")=0,"",_xlfn.XLOOKUP(A205, AutoFill_names!B:B, AutoFill_names!F:F,""))</f>
        <v/>
      </c>
      <c r="F205" s="4"/>
      <c r="G205" s="4"/>
      <c r="H205" s="4"/>
      <c r="I205" s="4"/>
      <c r="J205" s="23" t="str">
        <f>IF(_xlfn.XLOOKUP(A205, AutoFill_names!B:B, AutoFill_names!K:K,"")=0,"",_xlfn.XLOOKUP(A205, AutoFill_names!B:B, AutoFill_names!K:K,""))</f>
        <v/>
      </c>
      <c r="K205" s="23" t="str">
        <f>IF(_xlfn.XLOOKUP(A205, AutoFill_names!B:B, AutoFill_names!L:L,"")=0,"",_xlfn.XLOOKUP(A205, AutoFill_names!B:B, AutoFill_names!L:L,""))</f>
        <v/>
      </c>
      <c r="L205" s="8"/>
      <c r="M205" s="8"/>
      <c r="N205" s="61" t="str">
        <f>IF(_xlfn.XLOOKUP(L205, AutoFill_classes!A:A, AutoFill_classes!B:B,"")=0,"",_xlfn.XLOOKUP(L205, AutoFill_classes!A:A, AutoFill_classes!B:B,""))</f>
        <v/>
      </c>
      <c r="O205" s="154"/>
      <c r="P205" s="11"/>
      <c r="Q205" s="11"/>
      <c r="R205" s="11"/>
      <c r="S205" s="8"/>
      <c r="T205" s="8"/>
      <c r="U205" s="8"/>
      <c r="V205" s="7"/>
      <c r="W205" s="7"/>
      <c r="X205" s="146"/>
      <c r="Y205" s="37"/>
      <c r="Z205" s="60" t="str">
        <f t="shared" si="486"/>
        <v/>
      </c>
      <c r="AA205" s="40"/>
      <c r="AB205" s="40"/>
      <c r="AC205" s="40"/>
      <c r="AD205" s="40"/>
      <c r="AE205" s="58" t="str">
        <f t="shared" si="487"/>
        <v/>
      </c>
      <c r="AF205" s="12"/>
      <c r="AG205" s="58" t="str">
        <f t="shared" si="488"/>
        <v/>
      </c>
      <c r="AH205" s="40"/>
      <c r="AI205" s="40"/>
      <c r="AJ205" s="58" t="str">
        <f t="shared" si="489"/>
        <v/>
      </c>
      <c r="AK205" s="12"/>
      <c r="AL205" s="58" t="str">
        <f t="shared" si="490"/>
        <v/>
      </c>
      <c r="AM205" s="40"/>
      <c r="AN205" s="40"/>
      <c r="AO205" s="58" t="str">
        <f t="shared" si="491"/>
        <v/>
      </c>
      <c r="AP205" s="58" t="str">
        <f t="shared" si="492"/>
        <v/>
      </c>
      <c r="AQ205" s="58" t="str">
        <f t="shared" si="493"/>
        <v/>
      </c>
      <c r="AR205" s="59" t="str">
        <f t="shared" si="494"/>
        <v/>
      </c>
      <c r="AS205" s="12"/>
      <c r="AT205" s="49"/>
      <c r="AU205" s="49"/>
      <c r="AV205" s="61" t="str">
        <f>IF(_xlfn.XLOOKUP(AT205, AutoFill_classes!$A:$A, AutoFill_classes!$B:$B,"")=0,"",_xlfn.XLOOKUP(AT205, AutoFill_classes!$A:$A, AutoFill_classes!$B:$B,""))</f>
        <v/>
      </c>
      <c r="AW205" s="154"/>
      <c r="AX205" s="12"/>
      <c r="AY205" s="13"/>
      <c r="AZ205" s="12"/>
      <c r="BA205" s="13"/>
      <c r="BB205" s="13"/>
      <c r="BC205" s="146"/>
      <c r="BD205" s="37"/>
      <c r="BE205" s="60" t="str">
        <f t="shared" si="495"/>
        <v/>
      </c>
      <c r="BF205" s="32"/>
      <c r="BG205" s="32"/>
      <c r="BH205" s="32"/>
      <c r="BI205" s="32"/>
      <c r="BJ205" s="58" t="str">
        <f t="shared" si="496"/>
        <v/>
      </c>
      <c r="BK205" s="20"/>
      <c r="BL205" s="58" t="str">
        <f t="shared" si="497"/>
        <v/>
      </c>
      <c r="BM205" s="32"/>
      <c r="BN205" s="32"/>
      <c r="BO205" s="58" t="str">
        <f t="shared" si="498"/>
        <v/>
      </c>
      <c r="BP205" s="20"/>
      <c r="BQ205" s="58" t="str">
        <f t="shared" si="499"/>
        <v/>
      </c>
      <c r="BR205" s="32"/>
      <c r="BS205" s="32"/>
      <c r="BT205" s="58" t="str">
        <f t="shared" si="500"/>
        <v/>
      </c>
      <c r="BU205" s="58" t="str">
        <f t="shared" si="501"/>
        <v/>
      </c>
      <c r="BV205" s="58" t="str">
        <f t="shared" si="502"/>
        <v/>
      </c>
      <c r="BW205" s="59" t="str">
        <f t="shared" si="503"/>
        <v/>
      </c>
      <c r="BX205" s="12"/>
      <c r="BY205" s="49"/>
      <c r="BZ205" s="49"/>
      <c r="CA205" s="61" t="str">
        <f>IF(_xlfn.XLOOKUP(BY205, AutoFill_classes!$A:$A, AutoFill_classes!$B:$B,"")=0,"",_xlfn.XLOOKUP(BY205, AutoFill_classes!$A:$A, AutoFill_classes!$B:$B,""))</f>
        <v/>
      </c>
      <c r="CB205" s="154"/>
      <c r="CC205" s="12"/>
      <c r="CD205" s="12"/>
      <c r="CE205" s="12"/>
      <c r="CF205" s="7"/>
      <c r="CG205" s="37"/>
      <c r="CH205" s="146"/>
      <c r="CI205" s="41"/>
      <c r="CJ205" s="60" t="str">
        <f t="shared" si="504"/>
        <v/>
      </c>
      <c r="CK205" s="32"/>
      <c r="CL205" s="32"/>
      <c r="CM205" s="32"/>
      <c r="CN205" s="32"/>
      <c r="CO205" s="58" t="str">
        <f t="shared" si="505"/>
        <v/>
      </c>
      <c r="CP205" s="20"/>
      <c r="CQ205" s="58" t="str">
        <f t="shared" si="506"/>
        <v/>
      </c>
      <c r="CR205" s="32"/>
      <c r="CS205" s="32"/>
      <c r="CT205" s="58" t="str">
        <f t="shared" si="507"/>
        <v/>
      </c>
      <c r="CU205" s="20"/>
      <c r="CV205" s="58" t="str">
        <f t="shared" si="508"/>
        <v/>
      </c>
      <c r="CW205" s="32"/>
      <c r="CX205" s="32"/>
      <c r="CY205" s="58" t="str">
        <f t="shared" si="509"/>
        <v/>
      </c>
      <c r="CZ205" s="58" t="str">
        <f t="shared" si="510"/>
        <v/>
      </c>
      <c r="DA205" s="58" t="str">
        <f t="shared" si="511"/>
        <v/>
      </c>
      <c r="DB205" s="59" t="str">
        <f t="shared" si="512"/>
        <v/>
      </c>
      <c r="DC205" s="12"/>
      <c r="DD205" s="146"/>
    </row>
    <row r="206" spans="1:109">
      <c r="A206" s="7"/>
      <c r="B206" s="23" t="str">
        <f>IF(_xlfn.XLOOKUP(A206, AutoFill_names!B:B, AutoFill_names!C:C,"")=0,"",_xlfn.XLOOKUP(A206, AutoFill_names!B:B, AutoFill_names!C:C,""))</f>
        <v/>
      </c>
      <c r="C206" s="23" t="str">
        <f>IF(_xlfn.XLOOKUP(A206, AutoFill_names!B:B, AutoFill_names!D:D,"")=0,"",_xlfn.XLOOKUP(A206, AutoFill_names!B:B, AutoFill_names!D:D,""))</f>
        <v/>
      </c>
      <c r="D206" s="23" t="str">
        <f>IF(_xlfn.XLOOKUP(A206, AutoFill_names!B:B, AutoFill_names!E:E,"")=0,"",_xlfn.XLOOKUP(A206, AutoFill_names!B:B, AutoFill_names!E:E,""))</f>
        <v/>
      </c>
      <c r="E206" s="23" t="str">
        <f>IF(_xlfn.XLOOKUP(A206, AutoFill_names!B:B, AutoFill_names!F:F,"")=0,"",_xlfn.XLOOKUP(A206, AutoFill_names!B:B, AutoFill_names!F:F,""))</f>
        <v/>
      </c>
      <c r="F206" s="4"/>
      <c r="G206" s="4"/>
      <c r="H206" s="4"/>
      <c r="I206" s="4"/>
      <c r="J206" s="23" t="str">
        <f>IF(_xlfn.XLOOKUP(A206, AutoFill_names!B:B, AutoFill_names!K:K,"")=0,"",_xlfn.XLOOKUP(A206, AutoFill_names!B:B, AutoFill_names!K:K,""))</f>
        <v/>
      </c>
      <c r="K206" s="23" t="str">
        <f>IF(_xlfn.XLOOKUP(A206, AutoFill_names!B:B, AutoFill_names!L:L,"")=0,"",_xlfn.XLOOKUP(A206, AutoFill_names!B:B, AutoFill_names!L:L,""))</f>
        <v/>
      </c>
      <c r="L206" s="8"/>
      <c r="M206" s="8"/>
      <c r="N206" s="61" t="str">
        <f>IF(_xlfn.XLOOKUP(L206, AutoFill_classes!A:A, AutoFill_classes!B:B,"")=0,"",_xlfn.XLOOKUP(L206, AutoFill_classes!A:A, AutoFill_classes!B:B,""))</f>
        <v/>
      </c>
      <c r="O206" s="154"/>
      <c r="P206" s="11"/>
      <c r="Q206" s="11"/>
      <c r="R206" s="11"/>
      <c r="S206" s="8"/>
      <c r="T206" s="8"/>
      <c r="U206" s="8"/>
      <c r="V206" s="7"/>
      <c r="W206" s="7"/>
      <c r="X206" s="146"/>
      <c r="Y206" s="37"/>
      <c r="Z206" s="60" t="str">
        <f t="shared" si="486"/>
        <v/>
      </c>
      <c r="AA206" s="40"/>
      <c r="AB206" s="40"/>
      <c r="AC206" s="40"/>
      <c r="AD206" s="40"/>
      <c r="AE206" s="58" t="str">
        <f t="shared" si="487"/>
        <v/>
      </c>
      <c r="AF206" s="12"/>
      <c r="AG206" s="58" t="str">
        <f t="shared" si="488"/>
        <v/>
      </c>
      <c r="AH206" s="40"/>
      <c r="AI206" s="40"/>
      <c r="AJ206" s="58" t="str">
        <f t="shared" si="489"/>
        <v/>
      </c>
      <c r="AK206" s="12"/>
      <c r="AL206" s="58" t="str">
        <f t="shared" si="490"/>
        <v/>
      </c>
      <c r="AM206" s="40"/>
      <c r="AN206" s="40"/>
      <c r="AO206" s="58" t="str">
        <f t="shared" si="491"/>
        <v/>
      </c>
      <c r="AP206" s="58" t="str">
        <f t="shared" si="492"/>
        <v/>
      </c>
      <c r="AQ206" s="58" t="str">
        <f t="shared" si="493"/>
        <v/>
      </c>
      <c r="AR206" s="59" t="str">
        <f t="shared" si="494"/>
        <v/>
      </c>
      <c r="AS206" s="12"/>
      <c r="AT206" s="49"/>
      <c r="AU206" s="49"/>
      <c r="AV206" s="61" t="str">
        <f>IF(_xlfn.XLOOKUP(AT206, AutoFill_classes!$A:$A, AutoFill_classes!$B:$B,"")=0,"",_xlfn.XLOOKUP(AT206, AutoFill_classes!$A:$A, AutoFill_classes!$B:$B,""))</f>
        <v/>
      </c>
      <c r="AW206" s="154"/>
      <c r="AX206" s="12"/>
      <c r="AY206" s="13"/>
      <c r="AZ206" s="12"/>
      <c r="BA206" s="13"/>
      <c r="BB206" s="13"/>
      <c r="BC206" s="146"/>
      <c r="BD206" s="37"/>
      <c r="BE206" s="60" t="str">
        <f t="shared" si="495"/>
        <v/>
      </c>
      <c r="BF206" s="32"/>
      <c r="BG206" s="32"/>
      <c r="BH206" s="32"/>
      <c r="BI206" s="32"/>
      <c r="BJ206" s="58" t="str">
        <f t="shared" si="496"/>
        <v/>
      </c>
      <c r="BK206" s="20"/>
      <c r="BL206" s="58" t="str">
        <f t="shared" si="497"/>
        <v/>
      </c>
      <c r="BM206" s="32"/>
      <c r="BN206" s="32"/>
      <c r="BO206" s="58" t="str">
        <f t="shared" si="498"/>
        <v/>
      </c>
      <c r="BP206" s="20"/>
      <c r="BQ206" s="58" t="str">
        <f t="shared" si="499"/>
        <v/>
      </c>
      <c r="BR206" s="32"/>
      <c r="BS206" s="32"/>
      <c r="BT206" s="58" t="str">
        <f t="shared" si="500"/>
        <v/>
      </c>
      <c r="BU206" s="58" t="str">
        <f t="shared" si="501"/>
        <v/>
      </c>
      <c r="BV206" s="58" t="str">
        <f t="shared" si="502"/>
        <v/>
      </c>
      <c r="BW206" s="59" t="str">
        <f t="shared" si="503"/>
        <v/>
      </c>
      <c r="BX206" s="12"/>
      <c r="BY206" s="49"/>
      <c r="BZ206" s="49"/>
      <c r="CA206" s="61" t="str">
        <f>IF(_xlfn.XLOOKUP(BY206, AutoFill_classes!$A:$A, AutoFill_classes!$B:$B,"")=0,"",_xlfn.XLOOKUP(BY206, AutoFill_classes!$A:$A, AutoFill_classes!$B:$B,""))</f>
        <v/>
      </c>
      <c r="CB206" s="154"/>
      <c r="CC206" s="12"/>
      <c r="CD206" s="12"/>
      <c r="CE206" s="12"/>
      <c r="CF206" s="7"/>
      <c r="CG206" s="37"/>
      <c r="CH206" s="146"/>
      <c r="CI206" s="41"/>
      <c r="CJ206" s="60" t="str">
        <f t="shared" si="504"/>
        <v/>
      </c>
      <c r="CK206" s="32"/>
      <c r="CL206" s="32"/>
      <c r="CM206" s="32"/>
      <c r="CN206" s="32"/>
      <c r="CO206" s="58" t="str">
        <f t="shared" si="505"/>
        <v/>
      </c>
      <c r="CP206" s="20"/>
      <c r="CQ206" s="58" t="str">
        <f t="shared" si="506"/>
        <v/>
      </c>
      <c r="CR206" s="32"/>
      <c r="CS206" s="32"/>
      <c r="CT206" s="58" t="str">
        <f t="shared" si="507"/>
        <v/>
      </c>
      <c r="CU206" s="20"/>
      <c r="CV206" s="58" t="str">
        <f t="shared" si="508"/>
        <v/>
      </c>
      <c r="CW206" s="32"/>
      <c r="CX206" s="32"/>
      <c r="CY206" s="58" t="str">
        <f t="shared" si="509"/>
        <v/>
      </c>
      <c r="CZ206" s="58" t="str">
        <f t="shared" si="510"/>
        <v/>
      </c>
      <c r="DA206" s="58" t="str">
        <f t="shared" si="511"/>
        <v/>
      </c>
      <c r="DB206" s="59" t="str">
        <f t="shared" si="512"/>
        <v/>
      </c>
      <c r="DC206" s="12"/>
      <c r="DD206" s="146"/>
    </row>
    <row r="207" spans="1:109">
      <c r="A207" s="7"/>
      <c r="B207" s="23" t="str">
        <f>IF(_xlfn.XLOOKUP(A207, AutoFill_names!B:B, AutoFill_names!C:C,"")=0,"",_xlfn.XLOOKUP(A207, AutoFill_names!B:B, AutoFill_names!C:C,""))</f>
        <v/>
      </c>
      <c r="C207" s="23" t="str">
        <f>IF(_xlfn.XLOOKUP(A207, AutoFill_names!B:B, AutoFill_names!D:D,"")=0,"",_xlfn.XLOOKUP(A207, AutoFill_names!B:B, AutoFill_names!D:D,""))</f>
        <v/>
      </c>
      <c r="D207" s="23" t="str">
        <f>IF(_xlfn.XLOOKUP(A207, AutoFill_names!B:B, AutoFill_names!E:E,"")=0,"",_xlfn.XLOOKUP(A207, AutoFill_names!B:B, AutoFill_names!E:E,""))</f>
        <v/>
      </c>
      <c r="E207" s="23" t="str">
        <f>IF(_xlfn.XLOOKUP(A207, AutoFill_names!B:B, AutoFill_names!F:F,"")=0,"",_xlfn.XLOOKUP(A207, AutoFill_names!B:B, AutoFill_names!F:F,""))</f>
        <v/>
      </c>
      <c r="F207" s="4"/>
      <c r="G207" s="4"/>
      <c r="H207" s="4"/>
      <c r="I207" s="4"/>
      <c r="J207" s="23" t="str">
        <f>IF(_xlfn.XLOOKUP(A207, AutoFill_names!B:B, AutoFill_names!K:K,"")=0,"",_xlfn.XLOOKUP(A207, AutoFill_names!B:B, AutoFill_names!K:K,""))</f>
        <v/>
      </c>
      <c r="K207" s="23" t="str">
        <f>IF(_xlfn.XLOOKUP(A207, AutoFill_names!B:B, AutoFill_names!L:L,"")=0,"",_xlfn.XLOOKUP(A207, AutoFill_names!B:B, AutoFill_names!L:L,""))</f>
        <v/>
      </c>
      <c r="L207" s="8"/>
      <c r="M207" s="8"/>
      <c r="N207" s="61" t="str">
        <f>IF(_xlfn.XLOOKUP(L207, AutoFill_classes!A:A, AutoFill_classes!B:B,"")=0,"",_xlfn.XLOOKUP(L207, AutoFill_classes!A:A, AutoFill_classes!B:B,""))</f>
        <v/>
      </c>
      <c r="O207" s="154"/>
      <c r="P207" s="11"/>
      <c r="Q207" s="11"/>
      <c r="R207" s="11"/>
      <c r="S207" s="8"/>
      <c r="T207" s="8"/>
      <c r="U207" s="8"/>
      <c r="V207" s="7"/>
      <c r="W207" s="7"/>
      <c r="X207" s="146"/>
      <c r="Y207" s="37"/>
      <c r="Z207" s="60" t="str">
        <f t="shared" si="486"/>
        <v/>
      </c>
      <c r="AA207" s="40"/>
      <c r="AB207" s="40"/>
      <c r="AC207" s="40"/>
      <c r="AD207" s="40"/>
      <c r="AE207" s="58" t="str">
        <f t="shared" si="487"/>
        <v/>
      </c>
      <c r="AF207" s="12"/>
      <c r="AG207" s="58" t="str">
        <f t="shared" si="488"/>
        <v/>
      </c>
      <c r="AH207" s="40"/>
      <c r="AI207" s="40"/>
      <c r="AJ207" s="58" t="str">
        <f t="shared" si="489"/>
        <v/>
      </c>
      <c r="AK207" s="12"/>
      <c r="AL207" s="58" t="str">
        <f t="shared" si="490"/>
        <v/>
      </c>
      <c r="AM207" s="40"/>
      <c r="AN207" s="40"/>
      <c r="AO207" s="58" t="str">
        <f t="shared" si="491"/>
        <v/>
      </c>
      <c r="AP207" s="58" t="str">
        <f t="shared" si="492"/>
        <v/>
      </c>
      <c r="AQ207" s="58" t="str">
        <f t="shared" si="493"/>
        <v/>
      </c>
      <c r="AR207" s="59" t="str">
        <f t="shared" si="494"/>
        <v/>
      </c>
      <c r="AS207" s="12"/>
      <c r="AT207" s="49"/>
      <c r="AU207" s="49"/>
      <c r="AV207" s="61" t="str">
        <f>IF(_xlfn.XLOOKUP(AT207, AutoFill_classes!$A:$A, AutoFill_classes!$B:$B,"")=0,"",_xlfn.XLOOKUP(AT207, AutoFill_classes!$A:$A, AutoFill_classes!$B:$B,""))</f>
        <v/>
      </c>
      <c r="AW207" s="154"/>
      <c r="AX207" s="12"/>
      <c r="AY207" s="13"/>
      <c r="AZ207" s="12"/>
      <c r="BA207" s="13"/>
      <c r="BB207" s="13"/>
      <c r="BC207" s="146"/>
      <c r="BD207" s="37"/>
      <c r="BE207" s="60" t="str">
        <f t="shared" si="495"/>
        <v/>
      </c>
      <c r="BF207" s="32"/>
      <c r="BG207" s="32"/>
      <c r="BH207" s="32"/>
      <c r="BI207" s="32"/>
      <c r="BJ207" s="58" t="str">
        <f t="shared" si="496"/>
        <v/>
      </c>
      <c r="BK207" s="20"/>
      <c r="BL207" s="58" t="str">
        <f t="shared" si="497"/>
        <v/>
      </c>
      <c r="BM207" s="32"/>
      <c r="BN207" s="32"/>
      <c r="BO207" s="58" t="str">
        <f t="shared" si="498"/>
        <v/>
      </c>
      <c r="BP207" s="20"/>
      <c r="BQ207" s="58" t="str">
        <f t="shared" si="499"/>
        <v/>
      </c>
      <c r="BR207" s="32"/>
      <c r="BS207" s="32"/>
      <c r="BT207" s="58" t="str">
        <f t="shared" si="500"/>
        <v/>
      </c>
      <c r="BU207" s="58" t="str">
        <f t="shared" si="501"/>
        <v/>
      </c>
      <c r="BV207" s="58" t="str">
        <f t="shared" si="502"/>
        <v/>
      </c>
      <c r="BW207" s="59" t="str">
        <f t="shared" si="503"/>
        <v/>
      </c>
      <c r="BX207" s="12"/>
      <c r="BY207" s="49"/>
      <c r="BZ207" s="49"/>
      <c r="CA207" s="61" t="str">
        <f>IF(_xlfn.XLOOKUP(BY207, AutoFill_classes!$A:$A, AutoFill_classes!$B:$B,"")=0,"",_xlfn.XLOOKUP(BY207, AutoFill_classes!$A:$A, AutoFill_classes!$B:$B,""))</f>
        <v/>
      </c>
      <c r="CB207" s="154"/>
      <c r="CC207" s="12"/>
      <c r="CD207" s="12"/>
      <c r="CE207" s="12"/>
      <c r="CF207" s="7"/>
      <c r="CG207" s="37"/>
      <c r="CH207" s="146"/>
      <c r="CI207" s="41"/>
      <c r="CJ207" s="60" t="str">
        <f t="shared" si="504"/>
        <v/>
      </c>
      <c r="CK207" s="32"/>
      <c r="CL207" s="32"/>
      <c r="CM207" s="32"/>
      <c r="CN207" s="32"/>
      <c r="CO207" s="58" t="str">
        <f t="shared" si="505"/>
        <v/>
      </c>
      <c r="CP207" s="20"/>
      <c r="CQ207" s="58" t="str">
        <f t="shared" si="506"/>
        <v/>
      </c>
      <c r="CR207" s="32"/>
      <c r="CS207" s="32"/>
      <c r="CT207" s="58" t="str">
        <f t="shared" si="507"/>
        <v/>
      </c>
      <c r="CU207" s="20"/>
      <c r="CV207" s="58" t="str">
        <f t="shared" si="508"/>
        <v/>
      </c>
      <c r="CW207" s="32"/>
      <c r="CX207" s="32"/>
      <c r="CY207" s="58" t="str">
        <f t="shared" si="509"/>
        <v/>
      </c>
      <c r="CZ207" s="58" t="str">
        <f t="shared" si="510"/>
        <v/>
      </c>
      <c r="DA207" s="58" t="str">
        <f t="shared" si="511"/>
        <v/>
      </c>
      <c r="DB207" s="59" t="str">
        <f t="shared" si="512"/>
        <v/>
      </c>
      <c r="DC207" s="12"/>
      <c r="DD207" s="146"/>
    </row>
    <row r="208" spans="1:109">
      <c r="A208" s="7"/>
      <c r="B208" s="23" t="str">
        <f>IF(_xlfn.XLOOKUP(A208, AutoFill_names!B:B, AutoFill_names!C:C,"")=0,"",_xlfn.XLOOKUP(A208, AutoFill_names!B:B, AutoFill_names!C:C,""))</f>
        <v/>
      </c>
      <c r="C208" s="23" t="str">
        <f>IF(_xlfn.XLOOKUP(A208, AutoFill_names!B:B, AutoFill_names!D:D,"")=0,"",_xlfn.XLOOKUP(A208, AutoFill_names!B:B, AutoFill_names!D:D,""))</f>
        <v/>
      </c>
      <c r="D208" s="23" t="str">
        <f>IF(_xlfn.XLOOKUP(A208, AutoFill_names!B:B, AutoFill_names!E:E,"")=0,"",_xlfn.XLOOKUP(A208, AutoFill_names!B:B, AutoFill_names!E:E,""))</f>
        <v/>
      </c>
      <c r="E208" s="23" t="str">
        <f>IF(_xlfn.XLOOKUP(A208, AutoFill_names!B:B, AutoFill_names!F:F,"")=0,"",_xlfn.XLOOKUP(A208, AutoFill_names!B:B, AutoFill_names!F:F,""))</f>
        <v/>
      </c>
      <c r="F208" s="4"/>
      <c r="G208" s="4"/>
      <c r="H208" s="4"/>
      <c r="I208" s="4"/>
      <c r="J208" s="23" t="str">
        <f>IF(_xlfn.XLOOKUP(A208, AutoFill_names!B:B, AutoFill_names!K:K,"")=0,"",_xlfn.XLOOKUP(A208, AutoFill_names!B:B, AutoFill_names!K:K,""))</f>
        <v/>
      </c>
      <c r="K208" s="23" t="str">
        <f>IF(_xlfn.XLOOKUP(A208, AutoFill_names!B:B, AutoFill_names!L:L,"")=0,"",_xlfn.XLOOKUP(A208, AutoFill_names!B:B, AutoFill_names!L:L,""))</f>
        <v/>
      </c>
      <c r="L208" s="8"/>
      <c r="M208" s="8"/>
      <c r="N208" s="61" t="str">
        <f>IF(_xlfn.XLOOKUP(L208, AutoFill_classes!A:A, AutoFill_classes!B:B,"")=0,"",_xlfn.XLOOKUP(L208, AutoFill_classes!A:A, AutoFill_classes!B:B,""))</f>
        <v/>
      </c>
      <c r="O208" s="154"/>
      <c r="P208" s="11"/>
      <c r="Q208" s="11"/>
      <c r="R208" s="11"/>
      <c r="S208" s="8"/>
      <c r="T208" s="8"/>
      <c r="U208" s="8"/>
      <c r="V208" s="7"/>
      <c r="W208" s="7"/>
      <c r="X208" s="146"/>
      <c r="Y208" s="37"/>
      <c r="Z208" s="60" t="str">
        <f t="shared" si="486"/>
        <v/>
      </c>
      <c r="AA208" s="40"/>
      <c r="AB208" s="40"/>
      <c r="AC208" s="40"/>
      <c r="AD208" s="40"/>
      <c r="AE208" s="58" t="str">
        <f t="shared" si="487"/>
        <v/>
      </c>
      <c r="AF208" s="12"/>
      <c r="AG208" s="58" t="str">
        <f t="shared" si="488"/>
        <v/>
      </c>
      <c r="AH208" s="40"/>
      <c r="AI208" s="40"/>
      <c r="AJ208" s="58" t="str">
        <f t="shared" si="489"/>
        <v/>
      </c>
      <c r="AK208" s="12"/>
      <c r="AL208" s="58" t="str">
        <f t="shared" si="490"/>
        <v/>
      </c>
      <c r="AM208" s="40"/>
      <c r="AN208" s="40"/>
      <c r="AO208" s="58" t="str">
        <f t="shared" si="491"/>
        <v/>
      </c>
      <c r="AP208" s="58" t="str">
        <f t="shared" si="492"/>
        <v/>
      </c>
      <c r="AQ208" s="58" t="str">
        <f t="shared" si="493"/>
        <v/>
      </c>
      <c r="AR208" s="59" t="str">
        <f t="shared" si="494"/>
        <v/>
      </c>
      <c r="AS208" s="12"/>
      <c r="AT208" s="49"/>
      <c r="AU208" s="49"/>
      <c r="AV208" s="61" t="str">
        <f>IF(_xlfn.XLOOKUP(AT208, AutoFill_classes!$A:$A, AutoFill_classes!$B:$B,"")=0,"",_xlfn.XLOOKUP(AT208, AutoFill_classes!$A:$A, AutoFill_classes!$B:$B,""))</f>
        <v/>
      </c>
      <c r="AW208" s="154"/>
      <c r="AX208" s="12"/>
      <c r="AY208" s="13"/>
      <c r="AZ208" s="12"/>
      <c r="BA208" s="13"/>
      <c r="BB208" s="13"/>
      <c r="BC208" s="146"/>
      <c r="BD208" s="37"/>
      <c r="BE208" s="60" t="str">
        <f t="shared" si="495"/>
        <v/>
      </c>
      <c r="BF208" s="32"/>
      <c r="BG208" s="32"/>
      <c r="BH208" s="32"/>
      <c r="BI208" s="32"/>
      <c r="BJ208" s="58" t="str">
        <f t="shared" si="496"/>
        <v/>
      </c>
      <c r="BK208" s="20"/>
      <c r="BL208" s="58" t="str">
        <f t="shared" si="497"/>
        <v/>
      </c>
      <c r="BM208" s="32"/>
      <c r="BN208" s="32"/>
      <c r="BO208" s="58" t="str">
        <f t="shared" si="498"/>
        <v/>
      </c>
      <c r="BP208" s="20"/>
      <c r="BQ208" s="58" t="str">
        <f t="shared" si="499"/>
        <v/>
      </c>
      <c r="BR208" s="32"/>
      <c r="BS208" s="32"/>
      <c r="BT208" s="58" t="str">
        <f t="shared" si="500"/>
        <v/>
      </c>
      <c r="BU208" s="58" t="str">
        <f t="shared" si="501"/>
        <v/>
      </c>
      <c r="BV208" s="58" t="str">
        <f t="shared" si="502"/>
        <v/>
      </c>
      <c r="BW208" s="59" t="str">
        <f t="shared" si="503"/>
        <v/>
      </c>
      <c r="BX208" s="12"/>
      <c r="BY208" s="49"/>
      <c r="BZ208" s="49"/>
      <c r="CA208" s="61" t="str">
        <f>IF(_xlfn.XLOOKUP(BY208, AutoFill_classes!$A:$A, AutoFill_classes!$B:$B,"")=0,"",_xlfn.XLOOKUP(BY208, AutoFill_classes!$A:$A, AutoFill_classes!$B:$B,""))</f>
        <v/>
      </c>
      <c r="CB208" s="154"/>
      <c r="CC208" s="12"/>
      <c r="CD208" s="12"/>
      <c r="CE208" s="12"/>
      <c r="CF208" s="7"/>
      <c r="CG208" s="37"/>
      <c r="CH208" s="146"/>
      <c r="CI208" s="41"/>
      <c r="CJ208" s="60" t="str">
        <f t="shared" si="504"/>
        <v/>
      </c>
      <c r="CK208" s="32"/>
      <c r="CL208" s="32"/>
      <c r="CM208" s="32"/>
      <c r="CN208" s="32"/>
      <c r="CO208" s="58" t="str">
        <f t="shared" si="505"/>
        <v/>
      </c>
      <c r="CP208" s="20"/>
      <c r="CQ208" s="58" t="str">
        <f t="shared" si="506"/>
        <v/>
      </c>
      <c r="CR208" s="32"/>
      <c r="CS208" s="32"/>
      <c r="CT208" s="58" t="str">
        <f t="shared" si="507"/>
        <v/>
      </c>
      <c r="CU208" s="20"/>
      <c r="CV208" s="58" t="str">
        <f t="shared" si="508"/>
        <v/>
      </c>
      <c r="CW208" s="32"/>
      <c r="CX208" s="32"/>
      <c r="CY208" s="58" t="str">
        <f t="shared" si="509"/>
        <v/>
      </c>
      <c r="CZ208" s="58" t="str">
        <f t="shared" si="510"/>
        <v/>
      </c>
      <c r="DA208" s="58" t="str">
        <f t="shared" si="511"/>
        <v/>
      </c>
      <c r="DB208" s="59" t="str">
        <f t="shared" si="512"/>
        <v/>
      </c>
      <c r="DC208" s="12"/>
      <c r="DD208" s="146"/>
    </row>
    <row r="209" spans="1:108">
      <c r="A209" s="7"/>
      <c r="B209" s="23" t="str">
        <f>IF(_xlfn.XLOOKUP(A209, AutoFill_names!B:B, AutoFill_names!C:C,"")=0,"",_xlfn.XLOOKUP(A209, AutoFill_names!B:B, AutoFill_names!C:C,""))</f>
        <v/>
      </c>
      <c r="C209" s="23" t="str">
        <f>IF(_xlfn.XLOOKUP(A209, AutoFill_names!B:B, AutoFill_names!D:D,"")=0,"",_xlfn.XLOOKUP(A209, AutoFill_names!B:B, AutoFill_names!D:D,""))</f>
        <v/>
      </c>
      <c r="D209" s="23" t="str">
        <f>IF(_xlfn.XLOOKUP(A209, AutoFill_names!B:B, AutoFill_names!E:E,"")=0,"",_xlfn.XLOOKUP(A209, AutoFill_names!B:B, AutoFill_names!E:E,""))</f>
        <v/>
      </c>
      <c r="E209" s="23" t="str">
        <f>IF(_xlfn.XLOOKUP(A209, AutoFill_names!B:B, AutoFill_names!F:F,"")=0,"",_xlfn.XLOOKUP(A209, AutoFill_names!B:B, AutoFill_names!F:F,""))</f>
        <v/>
      </c>
      <c r="F209" s="4"/>
      <c r="G209" s="4"/>
      <c r="H209" s="4"/>
      <c r="I209" s="4"/>
      <c r="J209" s="23" t="str">
        <f>IF(_xlfn.XLOOKUP(A209, AutoFill_names!B:B, AutoFill_names!K:K,"")=0,"",_xlfn.XLOOKUP(A209, AutoFill_names!B:B, AutoFill_names!K:K,""))</f>
        <v/>
      </c>
      <c r="K209" s="23" t="str">
        <f>IF(_xlfn.XLOOKUP(A209, AutoFill_names!B:B, AutoFill_names!L:L,"")=0,"",_xlfn.XLOOKUP(A209, AutoFill_names!B:B, AutoFill_names!L:L,""))</f>
        <v/>
      </c>
      <c r="L209" s="8"/>
      <c r="M209" s="8"/>
      <c r="N209" s="61" t="str">
        <f>IF(_xlfn.XLOOKUP(L209, AutoFill_classes!A:A, AutoFill_classes!B:B,"")=0,"",_xlfn.XLOOKUP(L209, AutoFill_classes!A:A, AutoFill_classes!B:B,""))</f>
        <v/>
      </c>
      <c r="O209" s="154"/>
      <c r="P209" s="11"/>
      <c r="Q209" s="11"/>
      <c r="R209" s="11"/>
      <c r="S209" s="8"/>
      <c r="T209" s="8"/>
      <c r="U209" s="8"/>
      <c r="V209" s="7"/>
      <c r="W209" s="7"/>
      <c r="X209" s="146"/>
      <c r="Y209" s="37"/>
      <c r="Z209" s="60" t="str">
        <f t="shared" si="486"/>
        <v/>
      </c>
      <c r="AA209" s="40"/>
      <c r="AB209" s="40"/>
      <c r="AC209" s="40"/>
      <c r="AD209" s="40"/>
      <c r="AE209" s="58" t="str">
        <f t="shared" si="487"/>
        <v/>
      </c>
      <c r="AF209" s="12"/>
      <c r="AG209" s="58" t="str">
        <f t="shared" si="488"/>
        <v/>
      </c>
      <c r="AH209" s="40"/>
      <c r="AI209" s="40"/>
      <c r="AJ209" s="58" t="str">
        <f t="shared" si="489"/>
        <v/>
      </c>
      <c r="AK209" s="12"/>
      <c r="AL209" s="58" t="str">
        <f t="shared" si="490"/>
        <v/>
      </c>
      <c r="AM209" s="40"/>
      <c r="AN209" s="40"/>
      <c r="AO209" s="58" t="str">
        <f t="shared" si="491"/>
        <v/>
      </c>
      <c r="AP209" s="58" t="str">
        <f t="shared" si="492"/>
        <v/>
      </c>
      <c r="AQ209" s="58" t="str">
        <f t="shared" si="493"/>
        <v/>
      </c>
      <c r="AR209" s="59" t="str">
        <f t="shared" si="494"/>
        <v/>
      </c>
      <c r="AS209" s="12"/>
      <c r="AT209" s="49"/>
      <c r="AU209" s="49"/>
      <c r="AV209" s="61" t="str">
        <f>IF(_xlfn.XLOOKUP(AT209, AutoFill_classes!$A:$A, AutoFill_classes!$B:$B,"")=0,"",_xlfn.XLOOKUP(AT209, AutoFill_classes!$A:$A, AutoFill_classes!$B:$B,""))</f>
        <v/>
      </c>
      <c r="AW209" s="154"/>
      <c r="AX209" s="12"/>
      <c r="AY209" s="13"/>
      <c r="AZ209" s="12"/>
      <c r="BA209" s="13"/>
      <c r="BB209" s="13"/>
      <c r="BC209" s="146"/>
      <c r="BD209" s="37"/>
      <c r="BE209" s="60" t="str">
        <f t="shared" si="495"/>
        <v/>
      </c>
      <c r="BF209" s="32"/>
      <c r="BG209" s="32"/>
      <c r="BH209" s="32"/>
      <c r="BI209" s="32"/>
      <c r="BJ209" s="58" t="str">
        <f t="shared" si="496"/>
        <v/>
      </c>
      <c r="BK209" s="20"/>
      <c r="BL209" s="58" t="str">
        <f t="shared" si="497"/>
        <v/>
      </c>
      <c r="BM209" s="32"/>
      <c r="BN209" s="32"/>
      <c r="BO209" s="58" t="str">
        <f t="shared" si="498"/>
        <v/>
      </c>
      <c r="BP209" s="20"/>
      <c r="BQ209" s="58" t="str">
        <f t="shared" si="499"/>
        <v/>
      </c>
      <c r="BR209" s="32"/>
      <c r="BS209" s="32"/>
      <c r="BT209" s="58" t="str">
        <f t="shared" si="500"/>
        <v/>
      </c>
      <c r="BU209" s="58" t="str">
        <f t="shared" si="501"/>
        <v/>
      </c>
      <c r="BV209" s="58" t="str">
        <f t="shared" si="502"/>
        <v/>
      </c>
      <c r="BW209" s="59" t="str">
        <f t="shared" si="503"/>
        <v/>
      </c>
      <c r="BX209" s="12"/>
      <c r="BY209" s="49"/>
      <c r="BZ209" s="49"/>
      <c r="CA209" s="61" t="str">
        <f>IF(_xlfn.XLOOKUP(BY209, AutoFill_classes!$A:$A, AutoFill_classes!$B:$B,"")=0,"",_xlfn.XLOOKUP(BY209, AutoFill_classes!$A:$A, AutoFill_classes!$B:$B,""))</f>
        <v/>
      </c>
      <c r="CB209" s="154"/>
      <c r="CC209" s="12"/>
      <c r="CD209" s="12"/>
      <c r="CE209" s="12"/>
      <c r="CF209" s="7"/>
      <c r="CG209" s="37"/>
      <c r="CH209" s="146"/>
      <c r="CI209" s="41"/>
      <c r="CJ209" s="60" t="str">
        <f t="shared" si="504"/>
        <v/>
      </c>
      <c r="CK209" s="32"/>
      <c r="CL209" s="32"/>
      <c r="CM209" s="32"/>
      <c r="CN209" s="32"/>
      <c r="CO209" s="58" t="str">
        <f t="shared" si="505"/>
        <v/>
      </c>
      <c r="CP209" s="20"/>
      <c r="CQ209" s="58" t="str">
        <f t="shared" si="506"/>
        <v/>
      </c>
      <c r="CR209" s="32"/>
      <c r="CS209" s="32"/>
      <c r="CT209" s="58" t="str">
        <f t="shared" si="507"/>
        <v/>
      </c>
      <c r="CU209" s="20"/>
      <c r="CV209" s="58" t="str">
        <f t="shared" si="508"/>
        <v/>
      </c>
      <c r="CW209" s="32"/>
      <c r="CX209" s="32"/>
      <c r="CY209" s="58" t="str">
        <f t="shared" si="509"/>
        <v/>
      </c>
      <c r="CZ209" s="58" t="str">
        <f t="shared" si="510"/>
        <v/>
      </c>
      <c r="DA209" s="58" t="str">
        <f t="shared" si="511"/>
        <v/>
      </c>
      <c r="DB209" s="59" t="str">
        <f t="shared" si="512"/>
        <v/>
      </c>
      <c r="DC209" s="12"/>
      <c r="DD209" s="146"/>
    </row>
    <row r="210" spans="1:108">
      <c r="A210" s="7"/>
      <c r="B210" s="23" t="str">
        <f>IF(_xlfn.XLOOKUP(A210, AutoFill_names!B:B, AutoFill_names!C:C,"")=0,"",_xlfn.XLOOKUP(A210, AutoFill_names!B:B, AutoFill_names!C:C,""))</f>
        <v/>
      </c>
      <c r="C210" s="23" t="str">
        <f>IF(_xlfn.XLOOKUP(A210, AutoFill_names!B:B, AutoFill_names!D:D,"")=0,"",_xlfn.XLOOKUP(A210, AutoFill_names!B:B, AutoFill_names!D:D,""))</f>
        <v/>
      </c>
      <c r="D210" s="23" t="str">
        <f>IF(_xlfn.XLOOKUP(A210, AutoFill_names!B:B, AutoFill_names!E:E,"")=0,"",_xlfn.XLOOKUP(A210, AutoFill_names!B:B, AutoFill_names!E:E,""))</f>
        <v/>
      </c>
      <c r="E210" s="23" t="str">
        <f>IF(_xlfn.XLOOKUP(A210, AutoFill_names!B:B, AutoFill_names!F:F,"")=0,"",_xlfn.XLOOKUP(A210, AutoFill_names!B:B, AutoFill_names!F:F,""))</f>
        <v/>
      </c>
      <c r="F210" s="4"/>
      <c r="G210" s="4"/>
      <c r="H210" s="4"/>
      <c r="I210" s="4"/>
      <c r="J210" s="23" t="str">
        <f>IF(_xlfn.XLOOKUP(A210, AutoFill_names!B:B, AutoFill_names!K:K,"")=0,"",_xlfn.XLOOKUP(A210, AutoFill_names!B:B, AutoFill_names!K:K,""))</f>
        <v/>
      </c>
      <c r="K210" s="23" t="str">
        <f>IF(_xlfn.XLOOKUP(A210, AutoFill_names!B:B, AutoFill_names!L:L,"")=0,"",_xlfn.XLOOKUP(A210, AutoFill_names!B:B, AutoFill_names!L:L,""))</f>
        <v/>
      </c>
      <c r="L210" s="8"/>
      <c r="M210" s="8"/>
      <c r="N210" s="61" t="str">
        <f>IF(_xlfn.XLOOKUP(L210, AutoFill_classes!A:A, AutoFill_classes!B:B,"")=0,"",_xlfn.XLOOKUP(L210, AutoFill_classes!A:A, AutoFill_classes!B:B,""))</f>
        <v/>
      </c>
      <c r="O210" s="154"/>
      <c r="P210" s="11"/>
      <c r="Q210" s="11"/>
      <c r="R210" s="11"/>
      <c r="S210" s="8"/>
      <c r="T210" s="8"/>
      <c r="U210" s="8"/>
      <c r="V210" s="7"/>
      <c r="W210" s="7"/>
      <c r="X210" s="146"/>
      <c r="Y210" s="37"/>
      <c r="Z210" s="60" t="str">
        <f t="shared" si="486"/>
        <v/>
      </c>
      <c r="AA210" s="40"/>
      <c r="AB210" s="40"/>
      <c r="AC210" s="40"/>
      <c r="AD210" s="40"/>
      <c r="AE210" s="58" t="str">
        <f t="shared" si="487"/>
        <v/>
      </c>
      <c r="AF210" s="12"/>
      <c r="AG210" s="58" t="str">
        <f t="shared" si="488"/>
        <v/>
      </c>
      <c r="AH210" s="40"/>
      <c r="AI210" s="40"/>
      <c r="AJ210" s="58" t="str">
        <f t="shared" si="489"/>
        <v/>
      </c>
      <c r="AK210" s="12"/>
      <c r="AL210" s="58" t="str">
        <f t="shared" si="490"/>
        <v/>
      </c>
      <c r="AM210" s="40"/>
      <c r="AN210" s="40"/>
      <c r="AO210" s="58" t="str">
        <f t="shared" si="491"/>
        <v/>
      </c>
      <c r="AP210" s="58" t="str">
        <f t="shared" si="492"/>
        <v/>
      </c>
      <c r="AQ210" s="58" t="str">
        <f t="shared" si="493"/>
        <v/>
      </c>
      <c r="AR210" s="59" t="str">
        <f t="shared" si="494"/>
        <v/>
      </c>
      <c r="AS210" s="12"/>
      <c r="AT210" s="49"/>
      <c r="AU210" s="49"/>
      <c r="AV210" s="61" t="str">
        <f>IF(_xlfn.XLOOKUP(AT210, AutoFill_classes!$A:$A, AutoFill_classes!$B:$B,"")=0,"",_xlfn.XLOOKUP(AT210, AutoFill_classes!$A:$A, AutoFill_classes!$B:$B,""))</f>
        <v/>
      </c>
      <c r="AW210" s="154"/>
      <c r="AX210" s="12"/>
      <c r="AY210" s="13"/>
      <c r="AZ210" s="12"/>
      <c r="BA210" s="13"/>
      <c r="BB210" s="13"/>
      <c r="BC210" s="146"/>
      <c r="BD210" s="37"/>
      <c r="BE210" s="60" t="str">
        <f t="shared" si="495"/>
        <v/>
      </c>
      <c r="BF210" s="32"/>
      <c r="BG210" s="32"/>
      <c r="BH210" s="32"/>
      <c r="BI210" s="32"/>
      <c r="BJ210" s="58" t="str">
        <f t="shared" si="496"/>
        <v/>
      </c>
      <c r="BK210" s="20"/>
      <c r="BL210" s="58" t="str">
        <f t="shared" si="497"/>
        <v/>
      </c>
      <c r="BM210" s="32"/>
      <c r="BN210" s="32"/>
      <c r="BO210" s="58" t="str">
        <f t="shared" si="498"/>
        <v/>
      </c>
      <c r="BP210" s="20"/>
      <c r="BQ210" s="58" t="str">
        <f t="shared" si="499"/>
        <v/>
      </c>
      <c r="BR210" s="32"/>
      <c r="BS210" s="32"/>
      <c r="BT210" s="58" t="str">
        <f t="shared" si="500"/>
        <v/>
      </c>
      <c r="BU210" s="58" t="str">
        <f t="shared" si="501"/>
        <v/>
      </c>
      <c r="BV210" s="58" t="str">
        <f t="shared" si="502"/>
        <v/>
      </c>
      <c r="BW210" s="59" t="str">
        <f t="shared" si="503"/>
        <v/>
      </c>
      <c r="BX210" s="12"/>
      <c r="BY210" s="49"/>
      <c r="BZ210" s="49"/>
      <c r="CA210" s="61" t="str">
        <f>IF(_xlfn.XLOOKUP(BY210, AutoFill_classes!$A:$A, AutoFill_classes!$B:$B,"")=0,"",_xlfn.XLOOKUP(BY210, AutoFill_classes!$A:$A, AutoFill_classes!$B:$B,""))</f>
        <v/>
      </c>
      <c r="CB210" s="154"/>
      <c r="CC210" s="12"/>
      <c r="CD210" s="12"/>
      <c r="CE210" s="12"/>
      <c r="CF210" s="7"/>
      <c r="CG210" s="37"/>
      <c r="CH210" s="146"/>
      <c r="CI210" s="41"/>
      <c r="CJ210" s="60" t="str">
        <f t="shared" si="504"/>
        <v/>
      </c>
      <c r="CK210" s="32"/>
      <c r="CL210" s="32"/>
      <c r="CM210" s="32"/>
      <c r="CN210" s="32"/>
      <c r="CO210" s="58" t="str">
        <f t="shared" si="505"/>
        <v/>
      </c>
      <c r="CP210" s="20"/>
      <c r="CQ210" s="58" t="str">
        <f t="shared" si="506"/>
        <v/>
      </c>
      <c r="CR210" s="32"/>
      <c r="CS210" s="32"/>
      <c r="CT210" s="58" t="str">
        <f t="shared" si="507"/>
        <v/>
      </c>
      <c r="CU210" s="20"/>
      <c r="CV210" s="58" t="str">
        <f t="shared" si="508"/>
        <v/>
      </c>
      <c r="CW210" s="32"/>
      <c r="CX210" s="32"/>
      <c r="CY210" s="58" t="str">
        <f t="shared" si="509"/>
        <v/>
      </c>
      <c r="CZ210" s="58" t="str">
        <f t="shared" si="510"/>
        <v/>
      </c>
      <c r="DA210" s="58" t="str">
        <f t="shared" si="511"/>
        <v/>
      </c>
      <c r="DB210" s="59" t="str">
        <f t="shared" si="512"/>
        <v/>
      </c>
      <c r="DC210" s="12"/>
      <c r="DD210" s="146"/>
    </row>
    <row r="211" spans="1:108">
      <c r="A211" s="7"/>
      <c r="B211" s="23" t="str">
        <f>IF(_xlfn.XLOOKUP(A211, AutoFill_names!B:B, AutoFill_names!C:C,"")=0,"",_xlfn.XLOOKUP(A211, AutoFill_names!B:B, AutoFill_names!C:C,""))</f>
        <v/>
      </c>
      <c r="C211" s="23" t="str">
        <f>IF(_xlfn.XLOOKUP(A211, AutoFill_names!B:B, AutoFill_names!D:D,"")=0,"",_xlfn.XLOOKUP(A211, AutoFill_names!B:B, AutoFill_names!D:D,""))</f>
        <v/>
      </c>
      <c r="D211" s="23" t="str">
        <f>IF(_xlfn.XLOOKUP(A211, AutoFill_names!B:B, AutoFill_names!E:E,"")=0,"",_xlfn.XLOOKUP(A211, AutoFill_names!B:B, AutoFill_names!E:E,""))</f>
        <v/>
      </c>
      <c r="E211" s="23" t="str">
        <f>IF(_xlfn.XLOOKUP(A211, AutoFill_names!B:B, AutoFill_names!F:F,"")=0,"",_xlfn.XLOOKUP(A211, AutoFill_names!B:B, AutoFill_names!F:F,""))</f>
        <v/>
      </c>
      <c r="F211" s="4"/>
      <c r="G211" s="4"/>
      <c r="H211" s="4"/>
      <c r="I211" s="4"/>
      <c r="J211" s="23" t="str">
        <f>IF(_xlfn.XLOOKUP(A211, AutoFill_names!B:B, AutoFill_names!K:K,"")=0,"",_xlfn.XLOOKUP(A211, AutoFill_names!B:B, AutoFill_names!K:K,""))</f>
        <v/>
      </c>
      <c r="K211" s="23" t="str">
        <f>IF(_xlfn.XLOOKUP(A211, AutoFill_names!B:B, AutoFill_names!L:L,"")=0,"",_xlfn.XLOOKUP(A211, AutoFill_names!B:B, AutoFill_names!L:L,""))</f>
        <v/>
      </c>
      <c r="L211" s="8"/>
      <c r="M211" s="8"/>
      <c r="N211" s="61" t="str">
        <f>IF(_xlfn.XLOOKUP(L211, AutoFill_classes!A:A, AutoFill_classes!B:B,"")=0,"",_xlfn.XLOOKUP(L211, AutoFill_classes!A:A, AutoFill_classes!B:B,""))</f>
        <v/>
      </c>
      <c r="O211" s="154"/>
      <c r="P211" s="11"/>
      <c r="Q211" s="11"/>
      <c r="R211" s="11"/>
      <c r="S211" s="8"/>
      <c r="T211" s="8"/>
      <c r="U211" s="8"/>
      <c r="V211" s="7"/>
      <c r="W211" s="7"/>
      <c r="X211" s="146"/>
      <c r="Y211" s="37"/>
      <c r="Z211" s="60" t="str">
        <f t="shared" si="486"/>
        <v/>
      </c>
      <c r="AA211" s="40"/>
      <c r="AB211" s="40"/>
      <c r="AC211" s="40"/>
      <c r="AD211" s="40"/>
      <c r="AE211" s="58" t="str">
        <f t="shared" si="487"/>
        <v/>
      </c>
      <c r="AF211" s="12"/>
      <c r="AG211" s="58" t="str">
        <f t="shared" si="488"/>
        <v/>
      </c>
      <c r="AH211" s="40"/>
      <c r="AI211" s="40"/>
      <c r="AJ211" s="58" t="str">
        <f t="shared" si="489"/>
        <v/>
      </c>
      <c r="AK211" s="12"/>
      <c r="AL211" s="58" t="str">
        <f t="shared" si="490"/>
        <v/>
      </c>
      <c r="AM211" s="40"/>
      <c r="AN211" s="40"/>
      <c r="AO211" s="58" t="str">
        <f t="shared" si="491"/>
        <v/>
      </c>
      <c r="AP211" s="58" t="str">
        <f t="shared" si="492"/>
        <v/>
      </c>
      <c r="AQ211" s="58" t="str">
        <f t="shared" si="493"/>
        <v/>
      </c>
      <c r="AR211" s="59" t="str">
        <f t="shared" si="494"/>
        <v/>
      </c>
      <c r="AS211" s="12"/>
      <c r="AT211" s="49"/>
      <c r="AU211" s="49"/>
      <c r="AV211" s="61" t="str">
        <f>IF(_xlfn.XLOOKUP(AT211, AutoFill_classes!$A:$A, AutoFill_classes!$B:$B,"")=0,"",_xlfn.XLOOKUP(AT211, AutoFill_classes!$A:$A, AutoFill_classes!$B:$B,""))</f>
        <v/>
      </c>
      <c r="AW211" s="154"/>
      <c r="AX211" s="12"/>
      <c r="AY211" s="13"/>
      <c r="AZ211" s="12"/>
      <c r="BA211" s="13"/>
      <c r="BB211" s="13"/>
      <c r="BC211" s="146"/>
      <c r="BD211" s="37"/>
      <c r="BE211" s="60" t="str">
        <f t="shared" si="495"/>
        <v/>
      </c>
      <c r="BF211" s="32"/>
      <c r="BG211" s="32"/>
      <c r="BH211" s="32"/>
      <c r="BI211" s="32"/>
      <c r="BJ211" s="58" t="str">
        <f t="shared" si="496"/>
        <v/>
      </c>
      <c r="BK211" s="20"/>
      <c r="BL211" s="58" t="str">
        <f t="shared" si="497"/>
        <v/>
      </c>
      <c r="BM211" s="32"/>
      <c r="BN211" s="32"/>
      <c r="BO211" s="58" t="str">
        <f t="shared" si="498"/>
        <v/>
      </c>
      <c r="BP211" s="20"/>
      <c r="BQ211" s="58" t="str">
        <f t="shared" si="499"/>
        <v/>
      </c>
      <c r="BR211" s="32"/>
      <c r="BS211" s="32"/>
      <c r="BT211" s="58" t="str">
        <f t="shared" si="500"/>
        <v/>
      </c>
      <c r="BU211" s="58" t="str">
        <f t="shared" si="501"/>
        <v/>
      </c>
      <c r="BV211" s="58" t="str">
        <f t="shared" si="502"/>
        <v/>
      </c>
      <c r="BW211" s="59" t="str">
        <f t="shared" si="503"/>
        <v/>
      </c>
      <c r="BX211" s="12"/>
      <c r="BY211" s="49"/>
      <c r="BZ211" s="49"/>
      <c r="CA211" s="61" t="str">
        <f>IF(_xlfn.XLOOKUP(BY211, AutoFill_classes!$A:$A, AutoFill_classes!$B:$B,"")=0,"",_xlfn.XLOOKUP(BY211, AutoFill_classes!$A:$A, AutoFill_classes!$B:$B,""))</f>
        <v/>
      </c>
      <c r="CB211" s="154"/>
      <c r="CC211" s="12"/>
      <c r="CD211" s="12"/>
      <c r="CE211" s="12"/>
      <c r="CF211" s="7"/>
      <c r="CG211" s="37"/>
      <c r="CH211" s="146"/>
      <c r="CI211" s="41"/>
      <c r="CJ211" s="60" t="str">
        <f t="shared" si="504"/>
        <v/>
      </c>
      <c r="CK211" s="32"/>
      <c r="CL211" s="32"/>
      <c r="CM211" s="32"/>
      <c r="CN211" s="32"/>
      <c r="CO211" s="58" t="str">
        <f t="shared" si="505"/>
        <v/>
      </c>
      <c r="CP211" s="20"/>
      <c r="CQ211" s="58" t="str">
        <f t="shared" si="506"/>
        <v/>
      </c>
      <c r="CR211" s="32"/>
      <c r="CS211" s="32"/>
      <c r="CT211" s="58" t="str">
        <f t="shared" si="507"/>
        <v/>
      </c>
      <c r="CU211" s="20"/>
      <c r="CV211" s="58" t="str">
        <f t="shared" si="508"/>
        <v/>
      </c>
      <c r="CW211" s="32"/>
      <c r="CX211" s="32"/>
      <c r="CY211" s="58" t="str">
        <f t="shared" si="509"/>
        <v/>
      </c>
      <c r="CZ211" s="58" t="str">
        <f t="shared" si="510"/>
        <v/>
      </c>
      <c r="DA211" s="58" t="str">
        <f t="shared" si="511"/>
        <v/>
      </c>
      <c r="DB211" s="59" t="str">
        <f t="shared" si="512"/>
        <v/>
      </c>
      <c r="DC211" s="12"/>
      <c r="DD211" s="146"/>
    </row>
    <row r="212" spans="1:108">
      <c r="A212" s="7"/>
      <c r="B212" s="23" t="str">
        <f>IF(_xlfn.XLOOKUP(A212, AutoFill_names!B:B, AutoFill_names!C:C,"")=0,"",_xlfn.XLOOKUP(A212, AutoFill_names!B:B, AutoFill_names!C:C,""))</f>
        <v/>
      </c>
      <c r="C212" s="23" t="str">
        <f>IF(_xlfn.XLOOKUP(A212, AutoFill_names!B:B, AutoFill_names!D:D,"")=0,"",_xlfn.XLOOKUP(A212, AutoFill_names!B:B, AutoFill_names!D:D,""))</f>
        <v/>
      </c>
      <c r="D212" s="23" t="str">
        <f>IF(_xlfn.XLOOKUP(A212, AutoFill_names!B:B, AutoFill_names!E:E,"")=0,"",_xlfn.XLOOKUP(A212, AutoFill_names!B:B, AutoFill_names!E:E,""))</f>
        <v/>
      </c>
      <c r="E212" s="23" t="str">
        <f>IF(_xlfn.XLOOKUP(A212, AutoFill_names!B:B, AutoFill_names!F:F,"")=0,"",_xlfn.XLOOKUP(A212, AutoFill_names!B:B, AutoFill_names!F:F,""))</f>
        <v/>
      </c>
      <c r="F212" s="4"/>
      <c r="G212" s="4"/>
      <c r="H212" s="4"/>
      <c r="I212" s="4"/>
      <c r="J212" s="23" t="str">
        <f>IF(_xlfn.XLOOKUP(A212, AutoFill_names!B:B, AutoFill_names!K:K,"")=0,"",_xlfn.XLOOKUP(A212, AutoFill_names!B:B, AutoFill_names!K:K,""))</f>
        <v/>
      </c>
      <c r="K212" s="23" t="str">
        <f>IF(_xlfn.XLOOKUP(A212, AutoFill_names!B:B, AutoFill_names!L:L,"")=0,"",_xlfn.XLOOKUP(A212, AutoFill_names!B:B, AutoFill_names!L:L,""))</f>
        <v/>
      </c>
      <c r="L212" s="8"/>
      <c r="M212" s="8"/>
      <c r="N212" s="61" t="str">
        <f>IF(_xlfn.XLOOKUP(L212, AutoFill_classes!A:A, AutoFill_classes!B:B,"")=0,"",_xlfn.XLOOKUP(L212, AutoFill_classes!A:A, AutoFill_classes!B:B,""))</f>
        <v/>
      </c>
      <c r="O212" s="154"/>
      <c r="P212" s="11"/>
      <c r="Q212" s="11"/>
      <c r="R212" s="11"/>
      <c r="S212" s="8"/>
      <c r="T212" s="8"/>
      <c r="U212" s="8"/>
      <c r="V212" s="7"/>
      <c r="W212" s="7"/>
      <c r="X212" s="146"/>
      <c r="Y212" s="37"/>
      <c r="Z212" s="60" t="str">
        <f t="shared" si="486"/>
        <v/>
      </c>
      <c r="AA212" s="40"/>
      <c r="AB212" s="40"/>
      <c r="AC212" s="40"/>
      <c r="AD212" s="40"/>
      <c r="AE212" s="58" t="str">
        <f t="shared" si="487"/>
        <v/>
      </c>
      <c r="AF212" s="12"/>
      <c r="AG212" s="58" t="str">
        <f t="shared" si="488"/>
        <v/>
      </c>
      <c r="AH212" s="40"/>
      <c r="AI212" s="40"/>
      <c r="AJ212" s="58" t="str">
        <f t="shared" si="489"/>
        <v/>
      </c>
      <c r="AK212" s="12"/>
      <c r="AL212" s="58" t="str">
        <f t="shared" si="490"/>
        <v/>
      </c>
      <c r="AM212" s="40"/>
      <c r="AN212" s="40"/>
      <c r="AO212" s="58" t="str">
        <f t="shared" si="491"/>
        <v/>
      </c>
      <c r="AP212" s="58" t="str">
        <f t="shared" si="492"/>
        <v/>
      </c>
      <c r="AQ212" s="58" t="str">
        <f t="shared" si="493"/>
        <v/>
      </c>
      <c r="AR212" s="59" t="str">
        <f t="shared" si="494"/>
        <v/>
      </c>
      <c r="AS212" s="12"/>
      <c r="AT212" s="49"/>
      <c r="AU212" s="49"/>
      <c r="AV212" s="61" t="str">
        <f>IF(_xlfn.XLOOKUP(AT212, AutoFill_classes!$A:$A, AutoFill_classes!$B:$B,"")=0,"",_xlfn.XLOOKUP(AT212, AutoFill_classes!$A:$A, AutoFill_classes!$B:$B,""))</f>
        <v/>
      </c>
      <c r="AW212" s="154"/>
      <c r="AX212" s="12"/>
      <c r="AY212" s="13"/>
      <c r="AZ212" s="12"/>
      <c r="BA212" s="13"/>
      <c r="BB212" s="13"/>
      <c r="BC212" s="146"/>
      <c r="BD212" s="37"/>
      <c r="BE212" s="60" t="str">
        <f t="shared" si="495"/>
        <v/>
      </c>
      <c r="BF212" s="32"/>
      <c r="BG212" s="32"/>
      <c r="BH212" s="32"/>
      <c r="BI212" s="32"/>
      <c r="BJ212" s="58" t="str">
        <f t="shared" si="496"/>
        <v/>
      </c>
      <c r="BK212" s="20"/>
      <c r="BL212" s="58" t="str">
        <f t="shared" si="497"/>
        <v/>
      </c>
      <c r="BM212" s="32"/>
      <c r="BN212" s="32"/>
      <c r="BO212" s="58" t="str">
        <f t="shared" si="498"/>
        <v/>
      </c>
      <c r="BP212" s="20"/>
      <c r="BQ212" s="58" t="str">
        <f t="shared" si="499"/>
        <v/>
      </c>
      <c r="BR212" s="32"/>
      <c r="BS212" s="32"/>
      <c r="BT212" s="58" t="str">
        <f t="shared" si="500"/>
        <v/>
      </c>
      <c r="BU212" s="58" t="str">
        <f t="shared" si="501"/>
        <v/>
      </c>
      <c r="BV212" s="58" t="str">
        <f t="shared" si="502"/>
        <v/>
      </c>
      <c r="BW212" s="59" t="str">
        <f t="shared" si="503"/>
        <v/>
      </c>
      <c r="BX212" s="12"/>
      <c r="BY212" s="49"/>
      <c r="BZ212" s="49"/>
      <c r="CA212" s="61" t="str">
        <f>IF(_xlfn.XLOOKUP(BY212, AutoFill_classes!$A:$A, AutoFill_classes!$B:$B,"")=0,"",_xlfn.XLOOKUP(BY212, AutoFill_classes!$A:$A, AutoFill_classes!$B:$B,""))</f>
        <v/>
      </c>
      <c r="CB212" s="154"/>
      <c r="CC212" s="12"/>
      <c r="CD212" s="12"/>
      <c r="CE212" s="12"/>
      <c r="CF212" s="7"/>
      <c r="CG212" s="37"/>
      <c r="CH212" s="146"/>
      <c r="CI212" s="41"/>
      <c r="CJ212" s="60" t="str">
        <f t="shared" si="504"/>
        <v/>
      </c>
      <c r="CK212" s="32"/>
      <c r="CL212" s="32"/>
      <c r="CM212" s="32"/>
      <c r="CN212" s="32"/>
      <c r="CO212" s="58" t="str">
        <f t="shared" si="505"/>
        <v/>
      </c>
      <c r="CP212" s="20"/>
      <c r="CQ212" s="58" t="str">
        <f t="shared" si="506"/>
        <v/>
      </c>
      <c r="CR212" s="32"/>
      <c r="CS212" s="32"/>
      <c r="CT212" s="58" t="str">
        <f t="shared" si="507"/>
        <v/>
      </c>
      <c r="CU212" s="20"/>
      <c r="CV212" s="58" t="str">
        <f t="shared" si="508"/>
        <v/>
      </c>
      <c r="CW212" s="32"/>
      <c r="CX212" s="32"/>
      <c r="CY212" s="58" t="str">
        <f t="shared" si="509"/>
        <v/>
      </c>
      <c r="CZ212" s="58" t="str">
        <f t="shared" si="510"/>
        <v/>
      </c>
      <c r="DA212" s="58" t="str">
        <f t="shared" si="511"/>
        <v/>
      </c>
      <c r="DB212" s="59" t="str">
        <f t="shared" si="512"/>
        <v/>
      </c>
      <c r="DC212" s="12"/>
      <c r="DD212" s="146"/>
    </row>
    <row r="213" spans="1:108">
      <c r="A213" s="7"/>
      <c r="B213" s="23" t="str">
        <f>IF(_xlfn.XLOOKUP(A213, AutoFill_names!B:B, AutoFill_names!C:C,"")=0,"",_xlfn.XLOOKUP(A213, AutoFill_names!B:B, AutoFill_names!C:C,""))</f>
        <v/>
      </c>
      <c r="C213" s="23" t="str">
        <f>IF(_xlfn.XLOOKUP(A213, AutoFill_names!B:B, AutoFill_names!D:D,"")=0,"",_xlfn.XLOOKUP(A213, AutoFill_names!B:B, AutoFill_names!D:D,""))</f>
        <v/>
      </c>
      <c r="D213" s="23" t="str">
        <f>IF(_xlfn.XLOOKUP(A213, AutoFill_names!B:B, AutoFill_names!E:E,"")=0,"",_xlfn.XLOOKUP(A213, AutoFill_names!B:B, AutoFill_names!E:E,""))</f>
        <v/>
      </c>
      <c r="E213" s="23" t="str">
        <f>IF(_xlfn.XLOOKUP(A213, AutoFill_names!B:B, AutoFill_names!F:F,"")=0,"",_xlfn.XLOOKUP(A213, AutoFill_names!B:B, AutoFill_names!F:F,""))</f>
        <v/>
      </c>
      <c r="F213" s="4"/>
      <c r="G213" s="4"/>
      <c r="H213" s="4"/>
      <c r="I213" s="4"/>
      <c r="J213" s="23" t="str">
        <f>IF(_xlfn.XLOOKUP(A213, AutoFill_names!B:B, AutoFill_names!K:K,"")=0,"",_xlfn.XLOOKUP(A213, AutoFill_names!B:B, AutoFill_names!K:K,""))</f>
        <v/>
      </c>
      <c r="K213" s="23" t="str">
        <f>IF(_xlfn.XLOOKUP(A213, AutoFill_names!B:B, AutoFill_names!L:L,"")=0,"",_xlfn.XLOOKUP(A213, AutoFill_names!B:B, AutoFill_names!L:L,""))</f>
        <v/>
      </c>
      <c r="L213" s="8"/>
      <c r="M213" s="8"/>
      <c r="N213" s="61" t="str">
        <f>IF(_xlfn.XLOOKUP(L213, AutoFill_classes!A:A, AutoFill_classes!B:B,"")=0,"",_xlfn.XLOOKUP(L213, AutoFill_classes!A:A, AutoFill_classes!B:B,""))</f>
        <v/>
      </c>
      <c r="O213" s="154"/>
      <c r="P213" s="11"/>
      <c r="Q213" s="11"/>
      <c r="R213" s="11"/>
      <c r="S213" s="8"/>
      <c r="T213" s="8"/>
      <c r="U213" s="8"/>
      <c r="V213" s="7"/>
      <c r="W213" s="7"/>
      <c r="X213" s="146"/>
      <c r="Y213" s="37"/>
      <c r="Z213" s="60" t="str">
        <f t="shared" si="486"/>
        <v/>
      </c>
      <c r="AA213" s="40"/>
      <c r="AB213" s="40"/>
      <c r="AC213" s="40"/>
      <c r="AD213" s="40"/>
      <c r="AE213" s="58" t="str">
        <f t="shared" si="487"/>
        <v/>
      </c>
      <c r="AF213" s="12"/>
      <c r="AG213" s="58" t="str">
        <f t="shared" si="488"/>
        <v/>
      </c>
      <c r="AH213" s="40"/>
      <c r="AI213" s="40"/>
      <c r="AJ213" s="58" t="str">
        <f t="shared" si="489"/>
        <v/>
      </c>
      <c r="AK213" s="12"/>
      <c r="AL213" s="58" t="str">
        <f t="shared" si="490"/>
        <v/>
      </c>
      <c r="AM213" s="40"/>
      <c r="AN213" s="40"/>
      <c r="AO213" s="58" t="str">
        <f t="shared" si="491"/>
        <v/>
      </c>
      <c r="AP213" s="58" t="str">
        <f t="shared" si="492"/>
        <v/>
      </c>
      <c r="AQ213" s="58" t="str">
        <f t="shared" si="493"/>
        <v/>
      </c>
      <c r="AR213" s="59" t="str">
        <f t="shared" si="494"/>
        <v/>
      </c>
      <c r="AS213" s="12"/>
      <c r="AT213" s="49"/>
      <c r="AU213" s="49"/>
      <c r="AV213" s="61" t="str">
        <f>IF(_xlfn.XLOOKUP(AT213, AutoFill_classes!$A:$A, AutoFill_classes!$B:$B,"")=0,"",_xlfn.XLOOKUP(AT213, AutoFill_classes!$A:$A, AutoFill_classes!$B:$B,""))</f>
        <v/>
      </c>
      <c r="AW213" s="154"/>
      <c r="AX213" s="12"/>
      <c r="AY213" s="13"/>
      <c r="AZ213" s="12"/>
      <c r="BA213" s="13"/>
      <c r="BB213" s="13"/>
      <c r="BC213" s="146"/>
      <c r="BD213" s="37"/>
      <c r="BE213" s="60" t="str">
        <f t="shared" si="495"/>
        <v/>
      </c>
      <c r="BF213" s="32"/>
      <c r="BG213" s="32"/>
      <c r="BH213" s="32"/>
      <c r="BI213" s="32"/>
      <c r="BJ213" s="58" t="str">
        <f t="shared" si="496"/>
        <v/>
      </c>
      <c r="BK213" s="20"/>
      <c r="BL213" s="58" t="str">
        <f t="shared" si="497"/>
        <v/>
      </c>
      <c r="BM213" s="32"/>
      <c r="BN213" s="32"/>
      <c r="BO213" s="58" t="str">
        <f t="shared" si="498"/>
        <v/>
      </c>
      <c r="BP213" s="20"/>
      <c r="BQ213" s="58" t="str">
        <f t="shared" si="499"/>
        <v/>
      </c>
      <c r="BR213" s="32"/>
      <c r="BS213" s="32"/>
      <c r="BT213" s="58" t="str">
        <f t="shared" si="500"/>
        <v/>
      </c>
      <c r="BU213" s="58" t="str">
        <f t="shared" si="501"/>
        <v/>
      </c>
      <c r="BV213" s="58" t="str">
        <f t="shared" si="502"/>
        <v/>
      </c>
      <c r="BW213" s="59" t="str">
        <f t="shared" si="503"/>
        <v/>
      </c>
      <c r="BX213" s="12"/>
      <c r="BY213" s="49"/>
      <c r="BZ213" s="49"/>
      <c r="CA213" s="61" t="str">
        <f>IF(_xlfn.XLOOKUP(BY213, AutoFill_classes!$A:$A, AutoFill_classes!$B:$B,"")=0,"",_xlfn.XLOOKUP(BY213, AutoFill_classes!$A:$A, AutoFill_classes!$B:$B,""))</f>
        <v/>
      </c>
      <c r="CB213" s="154"/>
      <c r="CC213" s="12"/>
      <c r="CD213" s="12"/>
      <c r="CE213" s="12"/>
      <c r="CF213" s="7"/>
      <c r="CG213" s="37"/>
      <c r="CH213" s="146"/>
      <c r="CI213" s="41"/>
      <c r="CJ213" s="60" t="str">
        <f t="shared" si="504"/>
        <v/>
      </c>
      <c r="CK213" s="32"/>
      <c r="CL213" s="32"/>
      <c r="CM213" s="32"/>
      <c r="CN213" s="32"/>
      <c r="CO213" s="58" t="str">
        <f t="shared" si="505"/>
        <v/>
      </c>
      <c r="CP213" s="20"/>
      <c r="CQ213" s="58" t="str">
        <f t="shared" si="506"/>
        <v/>
      </c>
      <c r="CR213" s="32"/>
      <c r="CS213" s="32"/>
      <c r="CT213" s="58" t="str">
        <f t="shared" si="507"/>
        <v/>
      </c>
      <c r="CU213" s="20"/>
      <c r="CV213" s="58" t="str">
        <f t="shared" si="508"/>
        <v/>
      </c>
      <c r="CW213" s="32"/>
      <c r="CX213" s="32"/>
      <c r="CY213" s="58" t="str">
        <f t="shared" si="509"/>
        <v/>
      </c>
      <c r="CZ213" s="58" t="str">
        <f t="shared" si="510"/>
        <v/>
      </c>
      <c r="DA213" s="58" t="str">
        <f t="shared" si="511"/>
        <v/>
      </c>
      <c r="DB213" s="59" t="str">
        <f t="shared" si="512"/>
        <v/>
      </c>
      <c r="DC213" s="12"/>
      <c r="DD213" s="146"/>
    </row>
    <row r="214" spans="1:108">
      <c r="A214" s="7"/>
      <c r="B214" s="23" t="str">
        <f>IF(_xlfn.XLOOKUP(A214, AutoFill_names!B:B, AutoFill_names!C:C,"")=0,"",_xlfn.XLOOKUP(A214, AutoFill_names!B:B, AutoFill_names!C:C,""))</f>
        <v/>
      </c>
      <c r="C214" s="23" t="str">
        <f>IF(_xlfn.XLOOKUP(A214, AutoFill_names!B:B, AutoFill_names!D:D,"")=0,"",_xlfn.XLOOKUP(A214, AutoFill_names!B:B, AutoFill_names!D:D,""))</f>
        <v/>
      </c>
      <c r="D214" s="23" t="str">
        <f>IF(_xlfn.XLOOKUP(A214, AutoFill_names!B:B, AutoFill_names!E:E,"")=0,"",_xlfn.XLOOKUP(A214, AutoFill_names!B:B, AutoFill_names!E:E,""))</f>
        <v/>
      </c>
      <c r="E214" s="23" t="str">
        <f>IF(_xlfn.XLOOKUP(A214, AutoFill_names!B:B, AutoFill_names!F:F,"")=0,"",_xlfn.XLOOKUP(A214, AutoFill_names!B:B, AutoFill_names!F:F,""))</f>
        <v/>
      </c>
      <c r="F214" s="4"/>
      <c r="G214" s="4"/>
      <c r="H214" s="4"/>
      <c r="I214" s="4"/>
      <c r="J214" s="23" t="str">
        <f>IF(_xlfn.XLOOKUP(A214, AutoFill_names!B:B, AutoFill_names!K:K,"")=0,"",_xlfn.XLOOKUP(A214, AutoFill_names!B:B, AutoFill_names!K:K,""))</f>
        <v/>
      </c>
      <c r="K214" s="23" t="str">
        <f>IF(_xlfn.XLOOKUP(A214, AutoFill_names!B:B, AutoFill_names!L:L,"")=0,"",_xlfn.XLOOKUP(A214, AutoFill_names!B:B, AutoFill_names!L:L,""))</f>
        <v/>
      </c>
      <c r="L214" s="8"/>
      <c r="M214" s="8"/>
      <c r="N214" s="61" t="str">
        <f>IF(_xlfn.XLOOKUP(L214, AutoFill_classes!A:A, AutoFill_classes!B:B,"")=0,"",_xlfn.XLOOKUP(L214, AutoFill_classes!A:A, AutoFill_classes!B:B,""))</f>
        <v/>
      </c>
      <c r="O214" s="154"/>
      <c r="P214" s="11"/>
      <c r="Q214" s="11"/>
      <c r="R214" s="11"/>
      <c r="S214" s="8"/>
      <c r="T214" s="8"/>
      <c r="U214" s="8"/>
      <c r="V214" s="7"/>
      <c r="W214" s="7"/>
      <c r="X214" s="146"/>
      <c r="Y214" s="37"/>
      <c r="Z214" s="60" t="str">
        <f t="shared" si="486"/>
        <v/>
      </c>
      <c r="AA214" s="40"/>
      <c r="AB214" s="40"/>
      <c r="AC214" s="40"/>
      <c r="AD214" s="40"/>
      <c r="AE214" s="58" t="str">
        <f t="shared" si="487"/>
        <v/>
      </c>
      <c r="AF214" s="12"/>
      <c r="AG214" s="58" t="str">
        <f t="shared" si="488"/>
        <v/>
      </c>
      <c r="AH214" s="40"/>
      <c r="AI214" s="40"/>
      <c r="AJ214" s="58" t="str">
        <f t="shared" si="489"/>
        <v/>
      </c>
      <c r="AK214" s="12"/>
      <c r="AL214" s="58" t="str">
        <f t="shared" si="490"/>
        <v/>
      </c>
      <c r="AM214" s="40"/>
      <c r="AN214" s="40"/>
      <c r="AO214" s="58" t="str">
        <f t="shared" si="491"/>
        <v/>
      </c>
      <c r="AP214" s="58" t="str">
        <f t="shared" si="492"/>
        <v/>
      </c>
      <c r="AQ214" s="58" t="str">
        <f t="shared" si="493"/>
        <v/>
      </c>
      <c r="AR214" s="59" t="str">
        <f t="shared" si="494"/>
        <v/>
      </c>
      <c r="AS214" s="12"/>
      <c r="AT214" s="49"/>
      <c r="AU214" s="49"/>
      <c r="AV214" s="61" t="str">
        <f>IF(_xlfn.XLOOKUP(AT214, AutoFill_classes!$A:$A, AutoFill_classes!$B:$B,"")=0,"",_xlfn.XLOOKUP(AT214, AutoFill_classes!$A:$A, AutoFill_classes!$B:$B,""))</f>
        <v/>
      </c>
      <c r="AW214" s="154"/>
      <c r="AX214" s="12"/>
      <c r="AY214" s="13"/>
      <c r="AZ214" s="12"/>
      <c r="BA214" s="13"/>
      <c r="BB214" s="13"/>
      <c r="BC214" s="146"/>
      <c r="BD214" s="37"/>
      <c r="BE214" s="60" t="str">
        <f t="shared" si="495"/>
        <v/>
      </c>
      <c r="BF214" s="32"/>
      <c r="BG214" s="32"/>
      <c r="BH214" s="32"/>
      <c r="BI214" s="32"/>
      <c r="BJ214" s="58" t="str">
        <f t="shared" si="496"/>
        <v/>
      </c>
      <c r="BK214" s="20"/>
      <c r="BL214" s="58" t="str">
        <f t="shared" si="497"/>
        <v/>
      </c>
      <c r="BM214" s="32"/>
      <c r="BN214" s="32"/>
      <c r="BO214" s="58" t="str">
        <f t="shared" si="498"/>
        <v/>
      </c>
      <c r="BP214" s="20"/>
      <c r="BQ214" s="58" t="str">
        <f t="shared" si="499"/>
        <v/>
      </c>
      <c r="BR214" s="32"/>
      <c r="BS214" s="32"/>
      <c r="BT214" s="58" t="str">
        <f t="shared" si="500"/>
        <v/>
      </c>
      <c r="BU214" s="58" t="str">
        <f t="shared" si="501"/>
        <v/>
      </c>
      <c r="BV214" s="58" t="str">
        <f t="shared" si="502"/>
        <v/>
      </c>
      <c r="BW214" s="59" t="str">
        <f t="shared" si="503"/>
        <v/>
      </c>
      <c r="BX214" s="12"/>
      <c r="BY214" s="49"/>
      <c r="BZ214" s="49"/>
      <c r="CA214" s="61" t="str">
        <f>IF(_xlfn.XLOOKUP(BY214, AutoFill_classes!$A:$A, AutoFill_classes!$B:$B,"")=0,"",_xlfn.XLOOKUP(BY214, AutoFill_classes!$A:$A, AutoFill_classes!$B:$B,""))</f>
        <v/>
      </c>
      <c r="CB214" s="154"/>
      <c r="CC214" s="12"/>
      <c r="CD214" s="12"/>
      <c r="CE214" s="12"/>
      <c r="CF214" s="7"/>
      <c r="CG214" s="37"/>
      <c r="CH214" s="146"/>
      <c r="CI214" s="41"/>
      <c r="CJ214" s="60" t="str">
        <f t="shared" si="504"/>
        <v/>
      </c>
      <c r="CK214" s="32"/>
      <c r="CL214" s="32"/>
      <c r="CM214" s="32"/>
      <c r="CN214" s="32"/>
      <c r="CO214" s="58" t="str">
        <f t="shared" si="505"/>
        <v/>
      </c>
      <c r="CP214" s="20"/>
      <c r="CQ214" s="58" t="str">
        <f t="shared" si="506"/>
        <v/>
      </c>
      <c r="CR214" s="32"/>
      <c r="CS214" s="32"/>
      <c r="CT214" s="58" t="str">
        <f t="shared" si="507"/>
        <v/>
      </c>
      <c r="CU214" s="20"/>
      <c r="CV214" s="58" t="str">
        <f t="shared" si="508"/>
        <v/>
      </c>
      <c r="CW214" s="32"/>
      <c r="CX214" s="32"/>
      <c r="CY214" s="58" t="str">
        <f t="shared" si="509"/>
        <v/>
      </c>
      <c r="CZ214" s="58" t="str">
        <f t="shared" si="510"/>
        <v/>
      </c>
      <c r="DA214" s="58" t="str">
        <f t="shared" si="511"/>
        <v/>
      </c>
      <c r="DB214" s="59" t="str">
        <f t="shared" si="512"/>
        <v/>
      </c>
      <c r="DC214" s="12"/>
      <c r="DD214" s="146"/>
    </row>
    <row r="215" spans="1:108">
      <c r="A215" s="7"/>
      <c r="B215" s="23" t="str">
        <f>IF(_xlfn.XLOOKUP(A215, AutoFill_names!B:B, AutoFill_names!C:C,"")=0,"",_xlfn.XLOOKUP(A215, AutoFill_names!B:B, AutoFill_names!C:C,""))</f>
        <v/>
      </c>
      <c r="C215" s="23" t="str">
        <f>IF(_xlfn.XLOOKUP(A215, AutoFill_names!B:B, AutoFill_names!D:D,"")=0,"",_xlfn.XLOOKUP(A215, AutoFill_names!B:B, AutoFill_names!D:D,""))</f>
        <v/>
      </c>
      <c r="D215" s="23" t="str">
        <f>IF(_xlfn.XLOOKUP(A215, AutoFill_names!B:B, AutoFill_names!E:E,"")=0,"",_xlfn.XLOOKUP(A215, AutoFill_names!B:B, AutoFill_names!E:E,""))</f>
        <v/>
      </c>
      <c r="E215" s="23" t="str">
        <f>IF(_xlfn.XLOOKUP(A215, AutoFill_names!B:B, AutoFill_names!F:F,"")=0,"",_xlfn.XLOOKUP(A215, AutoFill_names!B:B, AutoFill_names!F:F,""))</f>
        <v/>
      </c>
      <c r="F215" s="4"/>
      <c r="G215" s="4"/>
      <c r="H215" s="4"/>
      <c r="I215" s="4"/>
      <c r="J215" s="23" t="str">
        <f>IF(_xlfn.XLOOKUP(A215, AutoFill_names!B:B, AutoFill_names!K:K,"")=0,"",_xlfn.XLOOKUP(A215, AutoFill_names!B:B, AutoFill_names!K:K,""))</f>
        <v/>
      </c>
      <c r="K215" s="23" t="str">
        <f>IF(_xlfn.XLOOKUP(A215, AutoFill_names!B:B, AutoFill_names!L:L,"")=0,"",_xlfn.XLOOKUP(A215, AutoFill_names!B:B, AutoFill_names!L:L,""))</f>
        <v/>
      </c>
      <c r="L215" s="8"/>
      <c r="M215" s="8"/>
      <c r="N215" s="61" t="str">
        <f>IF(_xlfn.XLOOKUP(L215, AutoFill_classes!A:A, AutoFill_classes!B:B,"")=0,"",_xlfn.XLOOKUP(L215, AutoFill_classes!A:A, AutoFill_classes!B:B,""))</f>
        <v/>
      </c>
      <c r="O215" s="154"/>
      <c r="P215" s="11"/>
      <c r="Q215" s="11"/>
      <c r="R215" s="11"/>
      <c r="S215" s="8"/>
      <c r="T215" s="8"/>
      <c r="U215" s="8"/>
      <c r="V215" s="7"/>
      <c r="W215" s="7"/>
      <c r="X215" s="146"/>
      <c r="Y215" s="37"/>
      <c r="Z215" s="60" t="str">
        <f t="shared" si="486"/>
        <v/>
      </c>
      <c r="AA215" s="40"/>
      <c r="AB215" s="40"/>
      <c r="AC215" s="40"/>
      <c r="AD215" s="40"/>
      <c r="AE215" s="58" t="str">
        <f t="shared" si="487"/>
        <v/>
      </c>
      <c r="AF215" s="12"/>
      <c r="AG215" s="58" t="str">
        <f t="shared" si="488"/>
        <v/>
      </c>
      <c r="AH215" s="40"/>
      <c r="AI215" s="40"/>
      <c r="AJ215" s="58" t="str">
        <f t="shared" si="489"/>
        <v/>
      </c>
      <c r="AK215" s="12"/>
      <c r="AL215" s="58" t="str">
        <f t="shared" si="490"/>
        <v/>
      </c>
      <c r="AM215" s="40"/>
      <c r="AN215" s="40"/>
      <c r="AO215" s="58" t="str">
        <f t="shared" si="491"/>
        <v/>
      </c>
      <c r="AP215" s="58" t="str">
        <f t="shared" si="492"/>
        <v/>
      </c>
      <c r="AQ215" s="58" t="str">
        <f t="shared" si="493"/>
        <v/>
      </c>
      <c r="AR215" s="59" t="str">
        <f t="shared" si="494"/>
        <v/>
      </c>
      <c r="AS215" s="12"/>
      <c r="AT215" s="49"/>
      <c r="AU215" s="49"/>
      <c r="AV215" s="61" t="str">
        <f>IF(_xlfn.XLOOKUP(AT215, AutoFill_classes!$A:$A, AutoFill_classes!$B:$B,"")=0,"",_xlfn.XLOOKUP(AT215, AutoFill_classes!$A:$A, AutoFill_classes!$B:$B,""))</f>
        <v/>
      </c>
      <c r="AW215" s="154"/>
      <c r="AX215" s="12"/>
      <c r="AY215" s="13"/>
      <c r="AZ215" s="12"/>
      <c r="BA215" s="13"/>
      <c r="BB215" s="13"/>
      <c r="BC215" s="146"/>
      <c r="BD215" s="37"/>
      <c r="BE215" s="60" t="str">
        <f t="shared" si="495"/>
        <v/>
      </c>
      <c r="BF215" s="32"/>
      <c r="BG215" s="32"/>
      <c r="BH215" s="32"/>
      <c r="BI215" s="32"/>
      <c r="BJ215" s="58" t="str">
        <f t="shared" si="496"/>
        <v/>
      </c>
      <c r="BK215" s="20"/>
      <c r="BL215" s="58" t="str">
        <f t="shared" si="497"/>
        <v/>
      </c>
      <c r="BM215" s="32"/>
      <c r="BN215" s="32"/>
      <c r="BO215" s="58" t="str">
        <f t="shared" si="498"/>
        <v/>
      </c>
      <c r="BP215" s="20"/>
      <c r="BQ215" s="58" t="str">
        <f t="shared" si="499"/>
        <v/>
      </c>
      <c r="BR215" s="32"/>
      <c r="BS215" s="32"/>
      <c r="BT215" s="58" t="str">
        <f t="shared" si="500"/>
        <v/>
      </c>
      <c r="BU215" s="58" t="str">
        <f t="shared" si="501"/>
        <v/>
      </c>
      <c r="BV215" s="58" t="str">
        <f t="shared" si="502"/>
        <v/>
      </c>
      <c r="BW215" s="59" t="str">
        <f t="shared" si="503"/>
        <v/>
      </c>
      <c r="BX215" s="12"/>
      <c r="BY215" s="49"/>
      <c r="BZ215" s="49"/>
      <c r="CA215" s="61" t="str">
        <f>IF(_xlfn.XLOOKUP(BY215, AutoFill_classes!$A:$A, AutoFill_classes!$B:$B,"")=0,"",_xlfn.XLOOKUP(BY215, AutoFill_classes!$A:$A, AutoFill_classes!$B:$B,""))</f>
        <v/>
      </c>
      <c r="CB215" s="154"/>
      <c r="CC215" s="12"/>
      <c r="CD215" s="12"/>
      <c r="CE215" s="12"/>
      <c r="CF215" s="7"/>
      <c r="CG215" s="37"/>
      <c r="CH215" s="146"/>
      <c r="CI215" s="41"/>
      <c r="CJ215" s="60" t="str">
        <f t="shared" si="504"/>
        <v/>
      </c>
      <c r="CK215" s="32"/>
      <c r="CL215" s="32"/>
      <c r="CM215" s="32"/>
      <c r="CN215" s="32"/>
      <c r="CO215" s="58" t="str">
        <f t="shared" si="505"/>
        <v/>
      </c>
      <c r="CP215" s="20"/>
      <c r="CQ215" s="58" t="str">
        <f t="shared" si="506"/>
        <v/>
      </c>
      <c r="CR215" s="32"/>
      <c r="CS215" s="32"/>
      <c r="CT215" s="58" t="str">
        <f t="shared" si="507"/>
        <v/>
      </c>
      <c r="CU215" s="20"/>
      <c r="CV215" s="58" t="str">
        <f t="shared" si="508"/>
        <v/>
      </c>
      <c r="CW215" s="32"/>
      <c r="CX215" s="32"/>
      <c r="CY215" s="58" t="str">
        <f t="shared" si="509"/>
        <v/>
      </c>
      <c r="CZ215" s="58" t="str">
        <f t="shared" si="510"/>
        <v/>
      </c>
      <c r="DA215" s="58" t="str">
        <f t="shared" si="511"/>
        <v/>
      </c>
      <c r="DB215" s="59" t="str">
        <f t="shared" si="512"/>
        <v/>
      </c>
      <c r="DC215" s="12"/>
      <c r="DD215" s="146"/>
    </row>
    <row r="216" spans="1:108">
      <c r="A216" s="7"/>
      <c r="B216" s="23" t="str">
        <f>IF(_xlfn.XLOOKUP(A216, AutoFill_names!B:B, AutoFill_names!C:C,"")=0,"",_xlfn.XLOOKUP(A216, AutoFill_names!B:B, AutoFill_names!C:C,""))</f>
        <v/>
      </c>
      <c r="C216" s="23" t="str">
        <f>IF(_xlfn.XLOOKUP(A216, AutoFill_names!B:B, AutoFill_names!D:D,"")=0,"",_xlfn.XLOOKUP(A216, AutoFill_names!B:B, AutoFill_names!D:D,""))</f>
        <v/>
      </c>
      <c r="D216" s="23" t="str">
        <f>IF(_xlfn.XLOOKUP(A216, AutoFill_names!B:B, AutoFill_names!E:E,"")=0,"",_xlfn.XLOOKUP(A216, AutoFill_names!B:B, AutoFill_names!E:E,""))</f>
        <v/>
      </c>
      <c r="E216" s="23" t="str">
        <f>IF(_xlfn.XLOOKUP(A216, AutoFill_names!B:B, AutoFill_names!F:F,"")=0,"",_xlfn.XLOOKUP(A216, AutoFill_names!B:B, AutoFill_names!F:F,""))</f>
        <v/>
      </c>
      <c r="F216" s="4"/>
      <c r="G216" s="4"/>
      <c r="H216" s="4"/>
      <c r="I216" s="4"/>
      <c r="J216" s="23" t="str">
        <f>IF(_xlfn.XLOOKUP(A216, AutoFill_names!B:B, AutoFill_names!K:K,"")=0,"",_xlfn.XLOOKUP(A216, AutoFill_names!B:B, AutoFill_names!K:K,""))</f>
        <v/>
      </c>
      <c r="K216" s="23" t="str">
        <f>IF(_xlfn.XLOOKUP(A216, AutoFill_names!B:B, AutoFill_names!L:L,"")=0,"",_xlfn.XLOOKUP(A216, AutoFill_names!B:B, AutoFill_names!L:L,""))</f>
        <v/>
      </c>
      <c r="L216" s="8"/>
      <c r="M216" s="8"/>
      <c r="N216" s="61" t="str">
        <f>IF(_xlfn.XLOOKUP(L216, AutoFill_classes!A:A, AutoFill_classes!B:B,"")=0,"",_xlfn.XLOOKUP(L216, AutoFill_classes!A:A, AutoFill_classes!B:B,""))</f>
        <v/>
      </c>
      <c r="O216" s="154"/>
      <c r="P216" s="11"/>
      <c r="Q216" s="11"/>
      <c r="R216" s="11"/>
      <c r="S216" s="8"/>
      <c r="T216" s="8"/>
      <c r="U216" s="8"/>
      <c r="V216" s="7"/>
      <c r="W216" s="7"/>
      <c r="X216" s="146"/>
      <c r="Y216" s="37"/>
      <c r="Z216" s="60" t="str">
        <f t="shared" si="486"/>
        <v/>
      </c>
      <c r="AA216" s="40"/>
      <c r="AB216" s="40"/>
      <c r="AC216" s="40"/>
      <c r="AD216" s="40"/>
      <c r="AE216" s="58" t="str">
        <f t="shared" si="487"/>
        <v/>
      </c>
      <c r="AF216" s="12"/>
      <c r="AG216" s="58" t="str">
        <f t="shared" si="488"/>
        <v/>
      </c>
      <c r="AH216" s="40"/>
      <c r="AI216" s="40"/>
      <c r="AJ216" s="58" t="str">
        <f t="shared" si="489"/>
        <v/>
      </c>
      <c r="AK216" s="12"/>
      <c r="AL216" s="58" t="str">
        <f t="shared" si="490"/>
        <v/>
      </c>
      <c r="AM216" s="40"/>
      <c r="AN216" s="40"/>
      <c r="AO216" s="58" t="str">
        <f t="shared" si="491"/>
        <v/>
      </c>
      <c r="AP216" s="58" t="str">
        <f t="shared" si="492"/>
        <v/>
      </c>
      <c r="AQ216" s="58" t="str">
        <f t="shared" si="493"/>
        <v/>
      </c>
      <c r="AR216" s="59" t="str">
        <f t="shared" si="494"/>
        <v/>
      </c>
      <c r="AS216" s="12"/>
      <c r="AT216" s="49"/>
      <c r="AU216" s="49"/>
      <c r="AV216" s="61" t="str">
        <f>IF(_xlfn.XLOOKUP(AT216, AutoFill_classes!$A:$A, AutoFill_classes!$B:$B,"")=0,"",_xlfn.XLOOKUP(AT216, AutoFill_classes!$A:$A, AutoFill_classes!$B:$B,""))</f>
        <v/>
      </c>
      <c r="AW216" s="154"/>
      <c r="AX216" s="12"/>
      <c r="AY216" s="13"/>
      <c r="AZ216" s="12"/>
      <c r="BA216" s="13"/>
      <c r="BB216" s="13"/>
      <c r="BC216" s="146"/>
      <c r="BD216" s="37"/>
      <c r="BE216" s="60" t="str">
        <f t="shared" si="495"/>
        <v/>
      </c>
      <c r="BF216" s="32"/>
      <c r="BG216" s="32"/>
      <c r="BH216" s="32"/>
      <c r="BI216" s="32"/>
      <c r="BJ216" s="58" t="str">
        <f t="shared" si="496"/>
        <v/>
      </c>
      <c r="BK216" s="20"/>
      <c r="BL216" s="58" t="str">
        <f t="shared" si="497"/>
        <v/>
      </c>
      <c r="BM216" s="32"/>
      <c r="BN216" s="32"/>
      <c r="BO216" s="58" t="str">
        <f t="shared" si="498"/>
        <v/>
      </c>
      <c r="BP216" s="20"/>
      <c r="BQ216" s="58" t="str">
        <f t="shared" si="499"/>
        <v/>
      </c>
      <c r="BR216" s="32"/>
      <c r="BS216" s="32"/>
      <c r="BT216" s="58" t="str">
        <f t="shared" si="500"/>
        <v/>
      </c>
      <c r="BU216" s="58" t="str">
        <f t="shared" si="501"/>
        <v/>
      </c>
      <c r="BV216" s="58" t="str">
        <f t="shared" si="502"/>
        <v/>
      </c>
      <c r="BW216" s="59" t="str">
        <f t="shared" si="503"/>
        <v/>
      </c>
      <c r="BX216" s="12"/>
      <c r="BY216" s="49"/>
      <c r="BZ216" s="49"/>
      <c r="CA216" s="61" t="str">
        <f>IF(_xlfn.XLOOKUP(BY216, AutoFill_classes!$A:$A, AutoFill_classes!$B:$B,"")=0,"",_xlfn.XLOOKUP(BY216, AutoFill_classes!$A:$A, AutoFill_classes!$B:$B,""))</f>
        <v/>
      </c>
      <c r="CB216" s="154"/>
      <c r="CC216" s="12"/>
      <c r="CD216" s="12"/>
      <c r="CE216" s="12"/>
      <c r="CF216" s="7"/>
      <c r="CG216" s="37"/>
      <c r="CH216" s="146"/>
      <c r="CI216" s="41"/>
      <c r="CJ216" s="60" t="str">
        <f t="shared" si="504"/>
        <v/>
      </c>
      <c r="CK216" s="32"/>
      <c r="CL216" s="32"/>
      <c r="CM216" s="32"/>
      <c r="CN216" s="32"/>
      <c r="CO216" s="58" t="str">
        <f t="shared" si="505"/>
        <v/>
      </c>
      <c r="CP216" s="20"/>
      <c r="CQ216" s="58" t="str">
        <f t="shared" si="506"/>
        <v/>
      </c>
      <c r="CR216" s="32"/>
      <c r="CS216" s="32"/>
      <c r="CT216" s="58" t="str">
        <f t="shared" si="507"/>
        <v/>
      </c>
      <c r="CU216" s="20"/>
      <c r="CV216" s="58" t="str">
        <f t="shared" si="508"/>
        <v/>
      </c>
      <c r="CW216" s="32"/>
      <c r="CX216" s="32"/>
      <c r="CY216" s="58" t="str">
        <f t="shared" si="509"/>
        <v/>
      </c>
      <c r="CZ216" s="58" t="str">
        <f t="shared" si="510"/>
        <v/>
      </c>
      <c r="DA216" s="58" t="str">
        <f t="shared" si="511"/>
        <v/>
      </c>
      <c r="DB216" s="59" t="str">
        <f t="shared" si="512"/>
        <v/>
      </c>
      <c r="DC216" s="12"/>
      <c r="DD216" s="146"/>
    </row>
    <row r="217" spans="1:108">
      <c r="A217" s="7"/>
      <c r="B217" s="23" t="str">
        <f>IF(_xlfn.XLOOKUP(A217, AutoFill_names!B:B, AutoFill_names!C:C,"")=0,"",_xlfn.XLOOKUP(A217, AutoFill_names!B:B, AutoFill_names!C:C,""))</f>
        <v/>
      </c>
      <c r="C217" s="23" t="str">
        <f>IF(_xlfn.XLOOKUP(A217, AutoFill_names!B:B, AutoFill_names!D:D,"")=0,"",_xlfn.XLOOKUP(A217, AutoFill_names!B:B, AutoFill_names!D:D,""))</f>
        <v/>
      </c>
      <c r="D217" s="23" t="str">
        <f>IF(_xlfn.XLOOKUP(A217, AutoFill_names!B:B, AutoFill_names!E:E,"")=0,"",_xlfn.XLOOKUP(A217, AutoFill_names!B:B, AutoFill_names!E:E,""))</f>
        <v/>
      </c>
      <c r="E217" s="23" t="str">
        <f>IF(_xlfn.XLOOKUP(A217, AutoFill_names!B:B, AutoFill_names!F:F,"")=0,"",_xlfn.XLOOKUP(A217, AutoFill_names!B:B, AutoFill_names!F:F,""))</f>
        <v/>
      </c>
      <c r="F217" s="4"/>
      <c r="G217" s="4"/>
      <c r="H217" s="4"/>
      <c r="I217" s="4"/>
      <c r="J217" s="23" t="str">
        <f>IF(_xlfn.XLOOKUP(A217, AutoFill_names!B:B, AutoFill_names!K:K,"")=0,"",_xlfn.XLOOKUP(A217, AutoFill_names!B:B, AutoFill_names!K:K,""))</f>
        <v/>
      </c>
      <c r="K217" s="23" t="str">
        <f>IF(_xlfn.XLOOKUP(A217, AutoFill_names!B:B, AutoFill_names!L:L,"")=0,"",_xlfn.XLOOKUP(A217, AutoFill_names!B:B, AutoFill_names!L:L,""))</f>
        <v/>
      </c>
      <c r="L217" s="8"/>
      <c r="M217" s="8"/>
      <c r="N217" s="61" t="str">
        <f>IF(_xlfn.XLOOKUP(L217, AutoFill_classes!A:A, AutoFill_classes!B:B,"")=0,"",_xlfn.XLOOKUP(L217, AutoFill_classes!A:A, AutoFill_classes!B:B,""))</f>
        <v/>
      </c>
      <c r="O217" s="154"/>
      <c r="P217" s="11"/>
      <c r="Q217" s="11"/>
      <c r="R217" s="11"/>
      <c r="S217" s="8"/>
      <c r="T217" s="8"/>
      <c r="U217" s="8"/>
      <c r="V217" s="7"/>
      <c r="W217" s="7"/>
      <c r="X217" s="146"/>
      <c r="Y217" s="37"/>
      <c r="Z217" s="60" t="str">
        <f t="shared" ref="Z217:Z248" si="513">IF(X217*Y217=0,"",X217*Y217)</f>
        <v/>
      </c>
      <c r="AA217" s="40"/>
      <c r="AB217" s="40"/>
      <c r="AC217" s="40"/>
      <c r="AD217" s="40"/>
      <c r="AE217" s="58" t="str">
        <f t="shared" ref="AE217:AE248" si="514">IF(ROUNDUP((AD217-AC217)/7,0)=0,"",ROUNDUP((AD217-AC217)/7,0))</f>
        <v/>
      </c>
      <c r="AF217" s="12"/>
      <c r="AG217" s="58" t="str">
        <f t="shared" ref="AG217:AG248" si="515">IFERROR(IF(AE217*AF217=0,"",AE217*AF217), "")</f>
        <v/>
      </c>
      <c r="AH217" s="40"/>
      <c r="AI217" s="40"/>
      <c r="AJ217" s="58" t="str">
        <f t="shared" ref="AJ217:AJ248" si="516">IF(ROUNDUP((AI217-AH217)/7,0)=0,"",ROUNDUP((AI217-AH217)/7,0))</f>
        <v/>
      </c>
      <c r="AK217" s="12"/>
      <c r="AL217" s="58" t="str">
        <f t="shared" ref="AL217:AL248" si="517">IFERROR(IF(AJ217*AK217=0,"",AJ217*AK217), "")</f>
        <v/>
      </c>
      <c r="AM217" s="40"/>
      <c r="AN217" s="40"/>
      <c r="AO217" s="58" t="str">
        <f t="shared" ref="AO217:AO248" si="518">IF(ROUNDUP((AN217-AM217)/7,0)=0,"",ROUNDUP((AN217-AM217)/7,0))</f>
        <v/>
      </c>
      <c r="AP217" s="58" t="str">
        <f t="shared" ref="AP217:AP248" si="519">IFERROR(IF((AS217-(AF217+AK217))/AO217=0,"",ROUNDUP((AS217-(AF217+AK217))/AO217,0)), "")</f>
        <v/>
      </c>
      <c r="AQ217" s="58" t="str">
        <f t="shared" ref="AQ217:AQ248" si="520">IFERROR(IF((AS217-(AG217+AL217))=0, "", (AS217-(AG217+AL217))), "")</f>
        <v/>
      </c>
      <c r="AR217" s="59" t="str">
        <f t="shared" ref="AR217:AR248" si="521">IFERROR(IF((AE217+AJ217+AO217)=0, "", (AE217+AJ217+AO217)), "")</f>
        <v/>
      </c>
      <c r="AS217" s="12"/>
      <c r="AT217" s="49"/>
      <c r="AU217" s="49"/>
      <c r="AV217" s="61" t="str">
        <f>IF(_xlfn.XLOOKUP(AT217, AutoFill_classes!$A:$A, AutoFill_classes!$B:$B,"")=0,"",_xlfn.XLOOKUP(AT217, AutoFill_classes!$A:$A, AutoFill_classes!$B:$B,""))</f>
        <v/>
      </c>
      <c r="AW217" s="154"/>
      <c r="AX217" s="12"/>
      <c r="AY217" s="13"/>
      <c r="AZ217" s="12"/>
      <c r="BA217" s="13"/>
      <c r="BB217" s="13"/>
      <c r="BC217" s="146"/>
      <c r="BD217" s="37"/>
      <c r="BE217" s="60" t="str">
        <f t="shared" ref="BE217:BE248" si="522">IF(BC217*BD217=0,"",BC217*BD217)</f>
        <v/>
      </c>
      <c r="BF217" s="32"/>
      <c r="BG217" s="32"/>
      <c r="BH217" s="32"/>
      <c r="BI217" s="32"/>
      <c r="BJ217" s="58" t="str">
        <f t="shared" ref="BJ217:BJ248" si="523">IF(ROUNDUP((BI217-BH217)/7,0)=0,"",ROUNDUP((BI217-BH217)/7,0))</f>
        <v/>
      </c>
      <c r="BK217" s="20"/>
      <c r="BL217" s="58" t="str">
        <f t="shared" ref="BL217:BL248" si="524">IFERROR(IF(BJ217*BK217=0,"",BJ217*BK217), "")</f>
        <v/>
      </c>
      <c r="BM217" s="32"/>
      <c r="BN217" s="32"/>
      <c r="BO217" s="58" t="str">
        <f t="shared" ref="BO217:BO248" si="525">IF(ROUNDUP((BN217-BM217)/7,0)=0,"",ROUNDUP((BN217-BM217)/7,0))</f>
        <v/>
      </c>
      <c r="BP217" s="20"/>
      <c r="BQ217" s="58" t="str">
        <f t="shared" ref="BQ217:BQ248" si="526">IFERROR(IF(BO217*BP217=0,"",BO217*BP217), "")</f>
        <v/>
      </c>
      <c r="BR217" s="32"/>
      <c r="BS217" s="32"/>
      <c r="BT217" s="58" t="str">
        <f t="shared" ref="BT217:BT248" si="527">IF(ROUNDUP((BS217-BR217)/7,0)=0,"",ROUNDUP((BS217-BR217)/7,0))</f>
        <v/>
      </c>
      <c r="BU217" s="58" t="str">
        <f t="shared" ref="BU217:BU248" si="528">IFERROR(IF((BX217-(BK217+BP217))/BT217=0,"",ROUNDUP((BX217-(BK217+BP217))/BT217,0)), "")</f>
        <v/>
      </c>
      <c r="BV217" s="58" t="str">
        <f t="shared" ref="BV217:BV248" si="529">IFERROR(IF((BX217-(BL217+BQ217))=0, "", (BX217-(BL217+BQ217))), "")</f>
        <v/>
      </c>
      <c r="BW217" s="59" t="str">
        <f t="shared" ref="BW217:BW248" si="530">IFERROR(IF((BJ217+BO217+BT217)=0, "", (BJ217+BO217+BT217)), "")</f>
        <v/>
      </c>
      <c r="BX217" s="12"/>
      <c r="BY217" s="49"/>
      <c r="BZ217" s="49"/>
      <c r="CA217" s="61" t="str">
        <f>IF(_xlfn.XLOOKUP(BY217, AutoFill_classes!$A:$A, AutoFill_classes!$B:$B,"")=0,"",_xlfn.XLOOKUP(BY217, AutoFill_classes!$A:$A, AutoFill_classes!$B:$B,""))</f>
        <v/>
      </c>
      <c r="CB217" s="154"/>
      <c r="CC217" s="12"/>
      <c r="CD217" s="12"/>
      <c r="CE217" s="12"/>
      <c r="CF217" s="7"/>
      <c r="CG217" s="37"/>
      <c r="CH217" s="146"/>
      <c r="CI217" s="41"/>
      <c r="CJ217" s="60" t="str">
        <f t="shared" ref="CJ217:CJ248" si="531">IF(CH217*CI217=0,"",CH217*CI217)</f>
        <v/>
      </c>
      <c r="CK217" s="32"/>
      <c r="CL217" s="32"/>
      <c r="CM217" s="32"/>
      <c r="CN217" s="32"/>
      <c r="CO217" s="58" t="str">
        <f t="shared" ref="CO217:CO248" si="532">IF(ROUNDUP((CN217-CM217)/7,0)=0,"",ROUNDUP((CN217-CM217)/7,0))</f>
        <v/>
      </c>
      <c r="CP217" s="20"/>
      <c r="CQ217" s="58" t="str">
        <f t="shared" ref="CQ217:CQ248" si="533">IFERROR(IF(CO217*CP217=0,"",CO217*CP217), "")</f>
        <v/>
      </c>
      <c r="CR217" s="32"/>
      <c r="CS217" s="32"/>
      <c r="CT217" s="58" t="str">
        <f t="shared" ref="CT217:CT248" si="534">IF(ROUNDUP((CS217-CR217)/7,0)=0,"",ROUNDUP((CS217-CR217)/7,0))</f>
        <v/>
      </c>
      <c r="CU217" s="20"/>
      <c r="CV217" s="58" t="str">
        <f t="shared" ref="CV217:CV248" si="535">IFERROR(IF(CT217*CU217=0,"",CT217*CU217), "")</f>
        <v/>
      </c>
      <c r="CW217" s="32"/>
      <c r="CX217" s="32"/>
      <c r="CY217" s="58" t="str">
        <f t="shared" ref="CY217:CY248" si="536">IF(ROUNDUP((CX217-CW217)/7,0)=0,"",ROUNDUP((CX217-CW217)/7,0))</f>
        <v/>
      </c>
      <c r="CZ217" s="58" t="str">
        <f t="shared" ref="CZ217:CZ248" si="537">IFERROR(IF((DC217-(CP217+CU217))/CY217=0,"",ROUNDUP((DC217-(CP217+CU217))/CY217,0)), "")</f>
        <v/>
      </c>
      <c r="DA217" s="58" t="str">
        <f t="shared" ref="DA217:DA248" si="538">IFERROR(IF((DC217-(CQ217+CV217))=0, "", (DC217-(CQ217+CV217))), "")</f>
        <v/>
      </c>
      <c r="DB217" s="59" t="str">
        <f t="shared" ref="DB217:DB248" si="539">IFERROR(IF((CO217+CT217+CY217)=0, "", (CO217+CT217+CY217)), "")</f>
        <v/>
      </c>
      <c r="DC217" s="12"/>
      <c r="DD217" s="146"/>
    </row>
    <row r="218" spans="1:108">
      <c r="A218" s="7"/>
      <c r="B218" s="23" t="str">
        <f>IF(_xlfn.XLOOKUP(A218, AutoFill_names!B:B, AutoFill_names!C:C,"")=0,"",_xlfn.XLOOKUP(A218, AutoFill_names!B:B, AutoFill_names!C:C,""))</f>
        <v/>
      </c>
      <c r="C218" s="23" t="str">
        <f>IF(_xlfn.XLOOKUP(A218, AutoFill_names!B:B, AutoFill_names!D:D,"")=0,"",_xlfn.XLOOKUP(A218, AutoFill_names!B:B, AutoFill_names!D:D,""))</f>
        <v/>
      </c>
      <c r="D218" s="23" t="str">
        <f>IF(_xlfn.XLOOKUP(A218, AutoFill_names!B:B, AutoFill_names!E:E,"")=0,"",_xlfn.XLOOKUP(A218, AutoFill_names!B:B, AutoFill_names!E:E,""))</f>
        <v/>
      </c>
      <c r="E218" s="23" t="str">
        <f>IF(_xlfn.XLOOKUP(A218, AutoFill_names!B:B, AutoFill_names!F:F,"")=0,"",_xlfn.XLOOKUP(A218, AutoFill_names!B:B, AutoFill_names!F:F,""))</f>
        <v/>
      </c>
      <c r="F218" s="4"/>
      <c r="G218" s="4"/>
      <c r="H218" s="4"/>
      <c r="I218" s="4"/>
      <c r="J218" s="23" t="str">
        <f>IF(_xlfn.XLOOKUP(A218, AutoFill_names!B:B, AutoFill_names!K:K,"")=0,"",_xlfn.XLOOKUP(A218, AutoFill_names!B:B, AutoFill_names!K:K,""))</f>
        <v/>
      </c>
      <c r="K218" s="23" t="str">
        <f>IF(_xlfn.XLOOKUP(A218, AutoFill_names!B:B, AutoFill_names!L:L,"")=0,"",_xlfn.XLOOKUP(A218, AutoFill_names!B:B, AutoFill_names!L:L,""))</f>
        <v/>
      </c>
      <c r="L218" s="8"/>
      <c r="M218" s="8"/>
      <c r="N218" s="61" t="str">
        <f>IF(_xlfn.XLOOKUP(L218, AutoFill_classes!A:A, AutoFill_classes!B:B,"")=0,"",_xlfn.XLOOKUP(L218, AutoFill_classes!A:A, AutoFill_classes!B:B,""))</f>
        <v/>
      </c>
      <c r="O218" s="154"/>
      <c r="P218" s="11"/>
      <c r="Q218" s="11"/>
      <c r="R218" s="11"/>
      <c r="S218" s="8"/>
      <c r="T218" s="8"/>
      <c r="U218" s="8"/>
      <c r="V218" s="7"/>
      <c r="W218" s="7"/>
      <c r="X218" s="146"/>
      <c r="Y218" s="37"/>
      <c r="Z218" s="60" t="str">
        <f t="shared" si="513"/>
        <v/>
      </c>
      <c r="AA218" s="40"/>
      <c r="AB218" s="40"/>
      <c r="AC218" s="40"/>
      <c r="AD218" s="40"/>
      <c r="AE218" s="58" t="str">
        <f t="shared" si="514"/>
        <v/>
      </c>
      <c r="AF218" s="12"/>
      <c r="AG218" s="58" t="str">
        <f t="shared" si="515"/>
        <v/>
      </c>
      <c r="AH218" s="40"/>
      <c r="AI218" s="40"/>
      <c r="AJ218" s="58" t="str">
        <f t="shared" si="516"/>
        <v/>
      </c>
      <c r="AK218" s="12"/>
      <c r="AL218" s="58" t="str">
        <f t="shared" si="517"/>
        <v/>
      </c>
      <c r="AM218" s="40"/>
      <c r="AN218" s="40"/>
      <c r="AO218" s="58" t="str">
        <f t="shared" si="518"/>
        <v/>
      </c>
      <c r="AP218" s="58" t="str">
        <f t="shared" si="519"/>
        <v/>
      </c>
      <c r="AQ218" s="58" t="str">
        <f t="shared" si="520"/>
        <v/>
      </c>
      <c r="AR218" s="59" t="str">
        <f t="shared" si="521"/>
        <v/>
      </c>
      <c r="AS218" s="12"/>
      <c r="AT218" s="49"/>
      <c r="AU218" s="49"/>
      <c r="AV218" s="61" t="str">
        <f>IF(_xlfn.XLOOKUP(AT218, AutoFill_classes!$A:$A, AutoFill_classes!$B:$B,"")=0,"",_xlfn.XLOOKUP(AT218, AutoFill_classes!$A:$A, AutoFill_classes!$B:$B,""))</f>
        <v/>
      </c>
      <c r="AW218" s="154"/>
      <c r="AX218" s="12"/>
      <c r="AY218" s="13"/>
      <c r="AZ218" s="12"/>
      <c r="BA218" s="13"/>
      <c r="BB218" s="13"/>
      <c r="BC218" s="146"/>
      <c r="BD218" s="37"/>
      <c r="BE218" s="60" t="str">
        <f t="shared" si="522"/>
        <v/>
      </c>
      <c r="BF218" s="32"/>
      <c r="BG218" s="32"/>
      <c r="BH218" s="32"/>
      <c r="BI218" s="32"/>
      <c r="BJ218" s="58" t="str">
        <f t="shared" si="523"/>
        <v/>
      </c>
      <c r="BK218" s="20"/>
      <c r="BL218" s="58" t="str">
        <f t="shared" si="524"/>
        <v/>
      </c>
      <c r="BM218" s="32"/>
      <c r="BN218" s="32"/>
      <c r="BO218" s="58" t="str">
        <f t="shared" si="525"/>
        <v/>
      </c>
      <c r="BP218" s="20"/>
      <c r="BQ218" s="58" t="str">
        <f t="shared" si="526"/>
        <v/>
      </c>
      <c r="BR218" s="32"/>
      <c r="BS218" s="32"/>
      <c r="BT218" s="58" t="str">
        <f t="shared" si="527"/>
        <v/>
      </c>
      <c r="BU218" s="58" t="str">
        <f t="shared" si="528"/>
        <v/>
      </c>
      <c r="BV218" s="58" t="str">
        <f t="shared" si="529"/>
        <v/>
      </c>
      <c r="BW218" s="59" t="str">
        <f t="shared" si="530"/>
        <v/>
      </c>
      <c r="BX218" s="12"/>
      <c r="BY218" s="49"/>
      <c r="BZ218" s="49"/>
      <c r="CA218" s="61" t="str">
        <f>IF(_xlfn.XLOOKUP(BY218, AutoFill_classes!$A:$A, AutoFill_classes!$B:$B,"")=0,"",_xlfn.XLOOKUP(BY218, AutoFill_classes!$A:$A, AutoFill_classes!$B:$B,""))</f>
        <v/>
      </c>
      <c r="CB218" s="154"/>
      <c r="CC218" s="12"/>
      <c r="CD218" s="12"/>
      <c r="CE218" s="12"/>
      <c r="CF218" s="7"/>
      <c r="CG218" s="37"/>
      <c r="CH218" s="146"/>
      <c r="CI218" s="41"/>
      <c r="CJ218" s="60" t="str">
        <f t="shared" si="531"/>
        <v/>
      </c>
      <c r="CK218" s="32"/>
      <c r="CL218" s="32"/>
      <c r="CM218" s="32"/>
      <c r="CN218" s="32"/>
      <c r="CO218" s="58" t="str">
        <f t="shared" si="532"/>
        <v/>
      </c>
      <c r="CP218" s="20"/>
      <c r="CQ218" s="58" t="str">
        <f t="shared" si="533"/>
        <v/>
      </c>
      <c r="CR218" s="32"/>
      <c r="CS218" s="32"/>
      <c r="CT218" s="58" t="str">
        <f t="shared" si="534"/>
        <v/>
      </c>
      <c r="CU218" s="20"/>
      <c r="CV218" s="58" t="str">
        <f t="shared" si="535"/>
        <v/>
      </c>
      <c r="CW218" s="32"/>
      <c r="CX218" s="32"/>
      <c r="CY218" s="58" t="str">
        <f t="shared" si="536"/>
        <v/>
      </c>
      <c r="CZ218" s="58" t="str">
        <f t="shared" si="537"/>
        <v/>
      </c>
      <c r="DA218" s="58" t="str">
        <f t="shared" si="538"/>
        <v/>
      </c>
      <c r="DB218" s="59" t="str">
        <f t="shared" si="539"/>
        <v/>
      </c>
      <c r="DC218" s="12"/>
      <c r="DD218" s="146"/>
    </row>
    <row r="219" spans="1:108">
      <c r="A219" s="7"/>
      <c r="B219" s="23" t="str">
        <f>IF(_xlfn.XLOOKUP(A219, AutoFill_names!B:B, AutoFill_names!C:C,"")=0,"",_xlfn.XLOOKUP(A219, AutoFill_names!B:B, AutoFill_names!C:C,""))</f>
        <v/>
      </c>
      <c r="C219" s="23" t="str">
        <f>IF(_xlfn.XLOOKUP(A219, AutoFill_names!B:B, AutoFill_names!D:D,"")=0,"",_xlfn.XLOOKUP(A219, AutoFill_names!B:B, AutoFill_names!D:D,""))</f>
        <v/>
      </c>
      <c r="D219" s="23" t="str">
        <f>IF(_xlfn.XLOOKUP(A219, AutoFill_names!B:B, AutoFill_names!E:E,"")=0,"",_xlfn.XLOOKUP(A219, AutoFill_names!B:B, AutoFill_names!E:E,""))</f>
        <v/>
      </c>
      <c r="E219" s="23" t="str">
        <f>IF(_xlfn.XLOOKUP(A219, AutoFill_names!B:B, AutoFill_names!F:F,"")=0,"",_xlfn.XLOOKUP(A219, AutoFill_names!B:B, AutoFill_names!F:F,""))</f>
        <v/>
      </c>
      <c r="F219" s="4"/>
      <c r="G219" s="4"/>
      <c r="H219" s="4"/>
      <c r="I219" s="4"/>
      <c r="J219" s="23" t="str">
        <f>IF(_xlfn.XLOOKUP(A219, AutoFill_names!B:B, AutoFill_names!K:K,"")=0,"",_xlfn.XLOOKUP(A219, AutoFill_names!B:B, AutoFill_names!K:K,""))</f>
        <v/>
      </c>
      <c r="K219" s="23" t="str">
        <f>IF(_xlfn.XLOOKUP(A219, AutoFill_names!B:B, AutoFill_names!L:L,"")=0,"",_xlfn.XLOOKUP(A219, AutoFill_names!B:B, AutoFill_names!L:L,""))</f>
        <v/>
      </c>
      <c r="L219" s="8"/>
      <c r="M219" s="8"/>
      <c r="N219" s="61" t="str">
        <f>IF(_xlfn.XLOOKUP(L219, AutoFill_classes!A:A, AutoFill_classes!B:B,"")=0,"",_xlfn.XLOOKUP(L219, AutoFill_classes!A:A, AutoFill_classes!B:B,""))</f>
        <v/>
      </c>
      <c r="O219" s="154"/>
      <c r="P219" s="11"/>
      <c r="Q219" s="11"/>
      <c r="R219" s="11"/>
      <c r="S219" s="8"/>
      <c r="T219" s="8"/>
      <c r="U219" s="8"/>
      <c r="V219" s="7"/>
      <c r="W219" s="7"/>
      <c r="X219" s="146"/>
      <c r="Y219" s="37"/>
      <c r="Z219" s="60" t="str">
        <f t="shared" si="513"/>
        <v/>
      </c>
      <c r="AA219" s="40"/>
      <c r="AB219" s="40"/>
      <c r="AC219" s="40"/>
      <c r="AD219" s="40"/>
      <c r="AE219" s="58" t="str">
        <f t="shared" si="514"/>
        <v/>
      </c>
      <c r="AF219" s="12"/>
      <c r="AG219" s="58" t="str">
        <f t="shared" si="515"/>
        <v/>
      </c>
      <c r="AH219" s="40"/>
      <c r="AI219" s="40"/>
      <c r="AJ219" s="58" t="str">
        <f t="shared" si="516"/>
        <v/>
      </c>
      <c r="AK219" s="12"/>
      <c r="AL219" s="58" t="str">
        <f t="shared" si="517"/>
        <v/>
      </c>
      <c r="AM219" s="40"/>
      <c r="AN219" s="40"/>
      <c r="AO219" s="58" t="str">
        <f t="shared" si="518"/>
        <v/>
      </c>
      <c r="AP219" s="58" t="str">
        <f t="shared" si="519"/>
        <v/>
      </c>
      <c r="AQ219" s="58" t="str">
        <f t="shared" si="520"/>
        <v/>
      </c>
      <c r="AR219" s="59" t="str">
        <f t="shared" si="521"/>
        <v/>
      </c>
      <c r="AS219" s="12"/>
      <c r="AT219" s="49"/>
      <c r="AU219" s="49"/>
      <c r="AV219" s="61" t="str">
        <f>IF(_xlfn.XLOOKUP(AT219, AutoFill_classes!$A:$A, AutoFill_classes!$B:$B,"")=0,"",_xlfn.XLOOKUP(AT219, AutoFill_classes!$A:$A, AutoFill_classes!$B:$B,""))</f>
        <v/>
      </c>
      <c r="AW219" s="154"/>
      <c r="AX219" s="12"/>
      <c r="AY219" s="13"/>
      <c r="AZ219" s="12"/>
      <c r="BA219" s="13"/>
      <c r="BB219" s="13"/>
      <c r="BC219" s="146"/>
      <c r="BD219" s="37"/>
      <c r="BE219" s="60" t="str">
        <f t="shared" si="522"/>
        <v/>
      </c>
      <c r="BF219" s="32"/>
      <c r="BG219" s="32"/>
      <c r="BH219" s="32"/>
      <c r="BI219" s="32"/>
      <c r="BJ219" s="58" t="str">
        <f t="shared" si="523"/>
        <v/>
      </c>
      <c r="BK219" s="20"/>
      <c r="BL219" s="58" t="str">
        <f t="shared" si="524"/>
        <v/>
      </c>
      <c r="BM219" s="32"/>
      <c r="BN219" s="32"/>
      <c r="BO219" s="58" t="str">
        <f t="shared" si="525"/>
        <v/>
      </c>
      <c r="BP219" s="20"/>
      <c r="BQ219" s="58" t="str">
        <f t="shared" si="526"/>
        <v/>
      </c>
      <c r="BR219" s="32"/>
      <c r="BS219" s="32"/>
      <c r="BT219" s="58" t="str">
        <f t="shared" si="527"/>
        <v/>
      </c>
      <c r="BU219" s="58" t="str">
        <f t="shared" si="528"/>
        <v/>
      </c>
      <c r="BV219" s="58" t="str">
        <f t="shared" si="529"/>
        <v/>
      </c>
      <c r="BW219" s="59" t="str">
        <f t="shared" si="530"/>
        <v/>
      </c>
      <c r="BX219" s="12"/>
      <c r="BY219" s="49"/>
      <c r="BZ219" s="49"/>
      <c r="CA219" s="61" t="str">
        <f>IF(_xlfn.XLOOKUP(BY219, AutoFill_classes!$A:$A, AutoFill_classes!$B:$B,"")=0,"",_xlfn.XLOOKUP(BY219, AutoFill_classes!$A:$A, AutoFill_classes!$B:$B,""))</f>
        <v/>
      </c>
      <c r="CB219" s="154"/>
      <c r="CC219" s="12"/>
      <c r="CD219" s="12"/>
      <c r="CE219" s="12"/>
      <c r="CF219" s="7"/>
      <c r="CG219" s="37"/>
      <c r="CH219" s="146"/>
      <c r="CI219" s="41"/>
      <c r="CJ219" s="60" t="str">
        <f t="shared" si="531"/>
        <v/>
      </c>
      <c r="CK219" s="32"/>
      <c r="CL219" s="32"/>
      <c r="CM219" s="32"/>
      <c r="CN219" s="32"/>
      <c r="CO219" s="58" t="str">
        <f t="shared" si="532"/>
        <v/>
      </c>
      <c r="CP219" s="20"/>
      <c r="CQ219" s="58" t="str">
        <f t="shared" si="533"/>
        <v/>
      </c>
      <c r="CR219" s="32"/>
      <c r="CS219" s="32"/>
      <c r="CT219" s="58" t="str">
        <f t="shared" si="534"/>
        <v/>
      </c>
      <c r="CU219" s="20"/>
      <c r="CV219" s="58" t="str">
        <f t="shared" si="535"/>
        <v/>
      </c>
      <c r="CW219" s="32"/>
      <c r="CX219" s="32"/>
      <c r="CY219" s="58" t="str">
        <f t="shared" si="536"/>
        <v/>
      </c>
      <c r="CZ219" s="58" t="str">
        <f t="shared" si="537"/>
        <v/>
      </c>
      <c r="DA219" s="58" t="str">
        <f t="shared" si="538"/>
        <v/>
      </c>
      <c r="DB219" s="59" t="str">
        <f t="shared" si="539"/>
        <v/>
      </c>
      <c r="DC219" s="12"/>
      <c r="DD219" s="146"/>
    </row>
    <row r="220" spans="1:108">
      <c r="A220" s="7"/>
      <c r="B220" s="23" t="str">
        <f>IF(_xlfn.XLOOKUP(A220, AutoFill_names!B:B, AutoFill_names!C:C,"")=0,"",_xlfn.XLOOKUP(A220, AutoFill_names!B:B, AutoFill_names!C:C,""))</f>
        <v/>
      </c>
      <c r="C220" s="23" t="str">
        <f>IF(_xlfn.XLOOKUP(A220, AutoFill_names!B:B, AutoFill_names!D:D,"")=0,"",_xlfn.XLOOKUP(A220, AutoFill_names!B:B, AutoFill_names!D:D,""))</f>
        <v/>
      </c>
      <c r="D220" s="23" t="str">
        <f>IF(_xlfn.XLOOKUP(A220, AutoFill_names!B:B, AutoFill_names!E:E,"")=0,"",_xlfn.XLOOKUP(A220, AutoFill_names!B:B, AutoFill_names!E:E,""))</f>
        <v/>
      </c>
      <c r="E220" s="23" t="str">
        <f>IF(_xlfn.XLOOKUP(A220, AutoFill_names!B:B, AutoFill_names!F:F,"")=0,"",_xlfn.XLOOKUP(A220, AutoFill_names!B:B, AutoFill_names!F:F,""))</f>
        <v/>
      </c>
      <c r="F220" s="4"/>
      <c r="G220" s="4"/>
      <c r="H220" s="4"/>
      <c r="I220" s="4"/>
      <c r="J220" s="23" t="str">
        <f>IF(_xlfn.XLOOKUP(A220, AutoFill_names!B:B, AutoFill_names!K:K,"")=0,"",_xlfn.XLOOKUP(A220, AutoFill_names!B:B, AutoFill_names!K:K,""))</f>
        <v/>
      </c>
      <c r="K220" s="23" t="str">
        <f>IF(_xlfn.XLOOKUP(A220, AutoFill_names!B:B, AutoFill_names!L:L,"")=0,"",_xlfn.XLOOKUP(A220, AutoFill_names!B:B, AutoFill_names!L:L,""))</f>
        <v/>
      </c>
      <c r="L220" s="8"/>
      <c r="M220" s="8"/>
      <c r="N220" s="61" t="str">
        <f>IF(_xlfn.XLOOKUP(L220, AutoFill_classes!A:A, AutoFill_classes!B:B,"")=0,"",_xlfn.XLOOKUP(L220, AutoFill_classes!A:A, AutoFill_classes!B:B,""))</f>
        <v/>
      </c>
      <c r="O220" s="154"/>
      <c r="P220" s="11"/>
      <c r="Q220" s="11"/>
      <c r="R220" s="11"/>
      <c r="S220" s="8"/>
      <c r="T220" s="8"/>
      <c r="U220" s="8"/>
      <c r="V220" s="7"/>
      <c r="W220" s="7"/>
      <c r="X220" s="146"/>
      <c r="Y220" s="37"/>
      <c r="Z220" s="60" t="str">
        <f t="shared" si="513"/>
        <v/>
      </c>
      <c r="AA220" s="40"/>
      <c r="AB220" s="40"/>
      <c r="AC220" s="40"/>
      <c r="AD220" s="40"/>
      <c r="AE220" s="58" t="str">
        <f t="shared" si="514"/>
        <v/>
      </c>
      <c r="AF220" s="12"/>
      <c r="AG220" s="58" t="str">
        <f t="shared" si="515"/>
        <v/>
      </c>
      <c r="AH220" s="40"/>
      <c r="AI220" s="40"/>
      <c r="AJ220" s="58" t="str">
        <f t="shared" si="516"/>
        <v/>
      </c>
      <c r="AK220" s="12"/>
      <c r="AL220" s="58" t="str">
        <f t="shared" si="517"/>
        <v/>
      </c>
      <c r="AM220" s="40"/>
      <c r="AN220" s="40"/>
      <c r="AO220" s="58" t="str">
        <f t="shared" si="518"/>
        <v/>
      </c>
      <c r="AP220" s="58" t="str">
        <f t="shared" si="519"/>
        <v/>
      </c>
      <c r="AQ220" s="58" t="str">
        <f t="shared" si="520"/>
        <v/>
      </c>
      <c r="AR220" s="59" t="str">
        <f t="shared" si="521"/>
        <v/>
      </c>
      <c r="AS220" s="12"/>
      <c r="AT220" s="49"/>
      <c r="AU220" s="49"/>
      <c r="AV220" s="61" t="str">
        <f>IF(_xlfn.XLOOKUP(AT220, AutoFill_classes!$A:$A, AutoFill_classes!$B:$B,"")=0,"",_xlfn.XLOOKUP(AT220, AutoFill_classes!$A:$A, AutoFill_classes!$B:$B,""))</f>
        <v/>
      </c>
      <c r="AW220" s="154"/>
      <c r="AX220" s="12"/>
      <c r="AY220" s="13"/>
      <c r="AZ220" s="12"/>
      <c r="BA220" s="13"/>
      <c r="BB220" s="13"/>
      <c r="BC220" s="146"/>
      <c r="BD220" s="37"/>
      <c r="BE220" s="60" t="str">
        <f t="shared" si="522"/>
        <v/>
      </c>
      <c r="BF220" s="32"/>
      <c r="BG220" s="32"/>
      <c r="BH220" s="32"/>
      <c r="BI220" s="32"/>
      <c r="BJ220" s="58" t="str">
        <f t="shared" si="523"/>
        <v/>
      </c>
      <c r="BK220" s="20"/>
      <c r="BL220" s="58" t="str">
        <f t="shared" si="524"/>
        <v/>
      </c>
      <c r="BM220" s="32"/>
      <c r="BN220" s="32"/>
      <c r="BO220" s="58" t="str">
        <f t="shared" si="525"/>
        <v/>
      </c>
      <c r="BP220" s="20"/>
      <c r="BQ220" s="58" t="str">
        <f t="shared" si="526"/>
        <v/>
      </c>
      <c r="BR220" s="32"/>
      <c r="BS220" s="32"/>
      <c r="BT220" s="58" t="str">
        <f t="shared" si="527"/>
        <v/>
      </c>
      <c r="BU220" s="58" t="str">
        <f t="shared" si="528"/>
        <v/>
      </c>
      <c r="BV220" s="58" t="str">
        <f t="shared" si="529"/>
        <v/>
      </c>
      <c r="BW220" s="59" t="str">
        <f t="shared" si="530"/>
        <v/>
      </c>
      <c r="BX220" s="12"/>
      <c r="BY220" s="49"/>
      <c r="BZ220" s="49"/>
      <c r="CA220" s="61" t="str">
        <f>IF(_xlfn.XLOOKUP(BY220, AutoFill_classes!$A:$A, AutoFill_classes!$B:$B,"")=0,"",_xlfn.XLOOKUP(BY220, AutoFill_classes!$A:$A, AutoFill_classes!$B:$B,""))</f>
        <v/>
      </c>
      <c r="CB220" s="154"/>
      <c r="CC220" s="12"/>
      <c r="CD220" s="12"/>
      <c r="CE220" s="12"/>
      <c r="CF220" s="7"/>
      <c r="CG220" s="37"/>
      <c r="CH220" s="146"/>
      <c r="CI220" s="41"/>
      <c r="CJ220" s="60" t="str">
        <f t="shared" si="531"/>
        <v/>
      </c>
      <c r="CK220" s="32"/>
      <c r="CL220" s="32"/>
      <c r="CM220" s="32"/>
      <c r="CN220" s="32"/>
      <c r="CO220" s="58" t="str">
        <f t="shared" si="532"/>
        <v/>
      </c>
      <c r="CP220" s="20"/>
      <c r="CQ220" s="58" t="str">
        <f t="shared" si="533"/>
        <v/>
      </c>
      <c r="CR220" s="32"/>
      <c r="CS220" s="32"/>
      <c r="CT220" s="58" t="str">
        <f t="shared" si="534"/>
        <v/>
      </c>
      <c r="CU220" s="20"/>
      <c r="CV220" s="58" t="str">
        <f t="shared" si="535"/>
        <v/>
      </c>
      <c r="CW220" s="32"/>
      <c r="CX220" s="32"/>
      <c r="CY220" s="58" t="str">
        <f t="shared" si="536"/>
        <v/>
      </c>
      <c r="CZ220" s="58" t="str">
        <f t="shared" si="537"/>
        <v/>
      </c>
      <c r="DA220" s="58" t="str">
        <f t="shared" si="538"/>
        <v/>
      </c>
      <c r="DB220" s="59" t="str">
        <f t="shared" si="539"/>
        <v/>
      </c>
      <c r="DC220" s="12"/>
      <c r="DD220" s="146"/>
    </row>
    <row r="221" spans="1:108">
      <c r="A221" s="7"/>
      <c r="B221" s="23" t="str">
        <f>IF(_xlfn.XLOOKUP(A221, AutoFill_names!B:B, AutoFill_names!C:C,"")=0,"",_xlfn.XLOOKUP(A221, AutoFill_names!B:B, AutoFill_names!C:C,""))</f>
        <v/>
      </c>
      <c r="C221" s="23" t="str">
        <f>IF(_xlfn.XLOOKUP(A221, AutoFill_names!B:B, AutoFill_names!D:D,"")=0,"",_xlfn.XLOOKUP(A221, AutoFill_names!B:B, AutoFill_names!D:D,""))</f>
        <v/>
      </c>
      <c r="D221" s="23" t="str">
        <f>IF(_xlfn.XLOOKUP(A221, AutoFill_names!B:B, AutoFill_names!E:E,"")=0,"",_xlfn.XLOOKUP(A221, AutoFill_names!B:B, AutoFill_names!E:E,""))</f>
        <v/>
      </c>
      <c r="E221" s="23" t="str">
        <f>IF(_xlfn.XLOOKUP(A221, AutoFill_names!B:B, AutoFill_names!F:F,"")=0,"",_xlfn.XLOOKUP(A221, AutoFill_names!B:B, AutoFill_names!F:F,""))</f>
        <v/>
      </c>
      <c r="F221" s="4"/>
      <c r="G221" s="4"/>
      <c r="H221" s="4"/>
      <c r="I221" s="4"/>
      <c r="J221" s="23" t="str">
        <f>IF(_xlfn.XLOOKUP(A221, AutoFill_names!B:B, AutoFill_names!K:K,"")=0,"",_xlfn.XLOOKUP(A221, AutoFill_names!B:B, AutoFill_names!K:K,""))</f>
        <v/>
      </c>
      <c r="K221" s="23" t="str">
        <f>IF(_xlfn.XLOOKUP(A221, AutoFill_names!B:B, AutoFill_names!L:L,"")=0,"",_xlfn.XLOOKUP(A221, AutoFill_names!B:B, AutoFill_names!L:L,""))</f>
        <v/>
      </c>
      <c r="L221" s="8"/>
      <c r="M221" s="8"/>
      <c r="N221" s="61" t="str">
        <f>IF(_xlfn.XLOOKUP(L221, AutoFill_classes!A:A, AutoFill_classes!B:B,"")=0,"",_xlfn.XLOOKUP(L221, AutoFill_classes!A:A, AutoFill_classes!B:B,""))</f>
        <v/>
      </c>
      <c r="O221" s="154"/>
      <c r="P221" s="11"/>
      <c r="Q221" s="11"/>
      <c r="R221" s="11"/>
      <c r="S221" s="8"/>
      <c r="T221" s="8"/>
      <c r="U221" s="8"/>
      <c r="V221" s="7"/>
      <c r="W221" s="7"/>
      <c r="X221" s="146"/>
      <c r="Y221" s="37"/>
      <c r="Z221" s="60" t="str">
        <f t="shared" si="513"/>
        <v/>
      </c>
      <c r="AA221" s="40"/>
      <c r="AB221" s="40"/>
      <c r="AC221" s="40"/>
      <c r="AD221" s="40"/>
      <c r="AE221" s="58" t="str">
        <f t="shared" si="514"/>
        <v/>
      </c>
      <c r="AF221" s="12"/>
      <c r="AG221" s="58" t="str">
        <f t="shared" si="515"/>
        <v/>
      </c>
      <c r="AH221" s="40"/>
      <c r="AI221" s="40"/>
      <c r="AJ221" s="58" t="str">
        <f t="shared" si="516"/>
        <v/>
      </c>
      <c r="AK221" s="12"/>
      <c r="AL221" s="58" t="str">
        <f t="shared" si="517"/>
        <v/>
      </c>
      <c r="AM221" s="40"/>
      <c r="AN221" s="40"/>
      <c r="AO221" s="58" t="str">
        <f t="shared" si="518"/>
        <v/>
      </c>
      <c r="AP221" s="58" t="str">
        <f t="shared" si="519"/>
        <v/>
      </c>
      <c r="AQ221" s="58" t="str">
        <f t="shared" si="520"/>
        <v/>
      </c>
      <c r="AR221" s="59" t="str">
        <f t="shared" si="521"/>
        <v/>
      </c>
      <c r="AS221" s="12"/>
      <c r="AT221" s="49"/>
      <c r="AU221" s="49"/>
      <c r="AV221" s="61" t="str">
        <f>IF(_xlfn.XLOOKUP(AT221, AutoFill_classes!$A:$A, AutoFill_classes!$B:$B,"")=0,"",_xlfn.XLOOKUP(AT221, AutoFill_classes!$A:$A, AutoFill_classes!$B:$B,""))</f>
        <v/>
      </c>
      <c r="AW221" s="154"/>
      <c r="AX221" s="12"/>
      <c r="AY221" s="13"/>
      <c r="AZ221" s="12"/>
      <c r="BA221" s="13"/>
      <c r="BB221" s="13"/>
      <c r="BC221" s="146"/>
      <c r="BD221" s="37"/>
      <c r="BE221" s="60" t="str">
        <f t="shared" si="522"/>
        <v/>
      </c>
      <c r="BF221" s="32"/>
      <c r="BG221" s="32"/>
      <c r="BH221" s="32"/>
      <c r="BI221" s="32"/>
      <c r="BJ221" s="58" t="str">
        <f t="shared" si="523"/>
        <v/>
      </c>
      <c r="BK221" s="20"/>
      <c r="BL221" s="58" t="str">
        <f t="shared" si="524"/>
        <v/>
      </c>
      <c r="BM221" s="32"/>
      <c r="BN221" s="32"/>
      <c r="BO221" s="58" t="str">
        <f t="shared" si="525"/>
        <v/>
      </c>
      <c r="BP221" s="20"/>
      <c r="BQ221" s="58" t="str">
        <f t="shared" si="526"/>
        <v/>
      </c>
      <c r="BR221" s="32"/>
      <c r="BS221" s="32"/>
      <c r="BT221" s="58" t="str">
        <f t="shared" si="527"/>
        <v/>
      </c>
      <c r="BU221" s="58" t="str">
        <f t="shared" si="528"/>
        <v/>
      </c>
      <c r="BV221" s="58" t="str">
        <f t="shared" si="529"/>
        <v/>
      </c>
      <c r="BW221" s="59" t="str">
        <f t="shared" si="530"/>
        <v/>
      </c>
      <c r="BX221" s="12"/>
      <c r="BY221" s="49"/>
      <c r="BZ221" s="49"/>
      <c r="CA221" s="61" t="str">
        <f>IF(_xlfn.XLOOKUP(BY221, AutoFill_classes!$A:$A, AutoFill_classes!$B:$B,"")=0,"",_xlfn.XLOOKUP(BY221, AutoFill_classes!$A:$A, AutoFill_classes!$B:$B,""))</f>
        <v/>
      </c>
      <c r="CB221" s="154"/>
      <c r="CC221" s="12"/>
      <c r="CD221" s="12"/>
      <c r="CE221" s="12"/>
      <c r="CF221" s="7"/>
      <c r="CG221" s="37"/>
      <c r="CH221" s="146"/>
      <c r="CI221" s="41"/>
      <c r="CJ221" s="60" t="str">
        <f t="shared" si="531"/>
        <v/>
      </c>
      <c r="CK221" s="32"/>
      <c r="CL221" s="32"/>
      <c r="CM221" s="32"/>
      <c r="CN221" s="32"/>
      <c r="CO221" s="58" t="str">
        <f t="shared" si="532"/>
        <v/>
      </c>
      <c r="CP221" s="20"/>
      <c r="CQ221" s="58" t="str">
        <f t="shared" si="533"/>
        <v/>
      </c>
      <c r="CR221" s="32"/>
      <c r="CS221" s="32"/>
      <c r="CT221" s="58" t="str">
        <f t="shared" si="534"/>
        <v/>
      </c>
      <c r="CU221" s="20"/>
      <c r="CV221" s="58" t="str">
        <f t="shared" si="535"/>
        <v/>
      </c>
      <c r="CW221" s="32"/>
      <c r="CX221" s="32"/>
      <c r="CY221" s="58" t="str">
        <f t="shared" si="536"/>
        <v/>
      </c>
      <c r="CZ221" s="58" t="str">
        <f t="shared" si="537"/>
        <v/>
      </c>
      <c r="DA221" s="58" t="str">
        <f t="shared" si="538"/>
        <v/>
      </c>
      <c r="DB221" s="59" t="str">
        <f t="shared" si="539"/>
        <v/>
      </c>
      <c r="DC221" s="12"/>
      <c r="DD221" s="146"/>
    </row>
    <row r="222" spans="1:108">
      <c r="A222" s="7"/>
      <c r="B222" s="23" t="str">
        <f>IF(_xlfn.XLOOKUP(A222, AutoFill_names!B:B, AutoFill_names!C:C,"")=0,"",_xlfn.XLOOKUP(A222, AutoFill_names!B:B, AutoFill_names!C:C,""))</f>
        <v/>
      </c>
      <c r="C222" s="23" t="str">
        <f>IF(_xlfn.XLOOKUP(A222, AutoFill_names!B:B, AutoFill_names!D:D,"")=0,"",_xlfn.XLOOKUP(A222, AutoFill_names!B:B, AutoFill_names!D:D,""))</f>
        <v/>
      </c>
      <c r="D222" s="23" t="str">
        <f>IF(_xlfn.XLOOKUP(A222, AutoFill_names!B:B, AutoFill_names!E:E,"")=0,"",_xlfn.XLOOKUP(A222, AutoFill_names!B:B, AutoFill_names!E:E,""))</f>
        <v/>
      </c>
      <c r="E222" s="23" t="str">
        <f>IF(_xlfn.XLOOKUP(A222, AutoFill_names!B:B, AutoFill_names!F:F,"")=0,"",_xlfn.XLOOKUP(A222, AutoFill_names!B:B, AutoFill_names!F:F,""))</f>
        <v/>
      </c>
      <c r="F222" s="4"/>
      <c r="G222" s="4"/>
      <c r="H222" s="4"/>
      <c r="I222" s="4"/>
      <c r="J222" s="23" t="str">
        <f>IF(_xlfn.XLOOKUP(A222, AutoFill_names!B:B, AutoFill_names!K:K,"")=0,"",_xlfn.XLOOKUP(A222, AutoFill_names!B:B, AutoFill_names!K:K,""))</f>
        <v/>
      </c>
      <c r="K222" s="23" t="str">
        <f>IF(_xlfn.XLOOKUP(A222, AutoFill_names!B:B, AutoFill_names!L:L,"")=0,"",_xlfn.XLOOKUP(A222, AutoFill_names!B:B, AutoFill_names!L:L,""))</f>
        <v/>
      </c>
      <c r="L222" s="8"/>
      <c r="M222" s="8"/>
      <c r="N222" s="61" t="str">
        <f>IF(_xlfn.XLOOKUP(L222, AutoFill_classes!A:A, AutoFill_classes!B:B,"")=0,"",_xlfn.XLOOKUP(L222, AutoFill_classes!A:A, AutoFill_classes!B:B,""))</f>
        <v/>
      </c>
      <c r="O222" s="154"/>
      <c r="P222" s="11"/>
      <c r="Q222" s="11"/>
      <c r="R222" s="11"/>
      <c r="S222" s="8"/>
      <c r="T222" s="8"/>
      <c r="U222" s="8"/>
      <c r="V222" s="7"/>
      <c r="W222" s="7"/>
      <c r="X222" s="146"/>
      <c r="Y222" s="37"/>
      <c r="Z222" s="60" t="str">
        <f t="shared" si="513"/>
        <v/>
      </c>
      <c r="AA222" s="40"/>
      <c r="AB222" s="40"/>
      <c r="AC222" s="40"/>
      <c r="AD222" s="40"/>
      <c r="AE222" s="58" t="str">
        <f t="shared" si="514"/>
        <v/>
      </c>
      <c r="AF222" s="12"/>
      <c r="AG222" s="58" t="str">
        <f t="shared" si="515"/>
        <v/>
      </c>
      <c r="AH222" s="40"/>
      <c r="AI222" s="40"/>
      <c r="AJ222" s="58" t="str">
        <f t="shared" si="516"/>
        <v/>
      </c>
      <c r="AK222" s="12"/>
      <c r="AL222" s="58" t="str">
        <f t="shared" si="517"/>
        <v/>
      </c>
      <c r="AM222" s="40"/>
      <c r="AN222" s="40"/>
      <c r="AO222" s="58" t="str">
        <f t="shared" si="518"/>
        <v/>
      </c>
      <c r="AP222" s="58" t="str">
        <f t="shared" si="519"/>
        <v/>
      </c>
      <c r="AQ222" s="58" t="str">
        <f t="shared" si="520"/>
        <v/>
      </c>
      <c r="AR222" s="59" t="str">
        <f t="shared" si="521"/>
        <v/>
      </c>
      <c r="AS222" s="12"/>
      <c r="AT222" s="49"/>
      <c r="AU222" s="49"/>
      <c r="AV222" s="61" t="str">
        <f>IF(_xlfn.XLOOKUP(AT222, AutoFill_classes!$A:$A, AutoFill_classes!$B:$B,"")=0,"",_xlfn.XLOOKUP(AT222, AutoFill_classes!$A:$A, AutoFill_classes!$B:$B,""))</f>
        <v/>
      </c>
      <c r="AW222" s="154"/>
      <c r="AX222" s="12"/>
      <c r="AY222" s="13"/>
      <c r="AZ222" s="12"/>
      <c r="BA222" s="13"/>
      <c r="BB222" s="13"/>
      <c r="BC222" s="146"/>
      <c r="BD222" s="37"/>
      <c r="BE222" s="60" t="str">
        <f t="shared" si="522"/>
        <v/>
      </c>
      <c r="BF222" s="32"/>
      <c r="BG222" s="32"/>
      <c r="BH222" s="32"/>
      <c r="BI222" s="32"/>
      <c r="BJ222" s="58" t="str">
        <f t="shared" si="523"/>
        <v/>
      </c>
      <c r="BK222" s="20"/>
      <c r="BL222" s="58" t="str">
        <f t="shared" si="524"/>
        <v/>
      </c>
      <c r="BM222" s="32"/>
      <c r="BN222" s="32"/>
      <c r="BO222" s="58" t="str">
        <f t="shared" si="525"/>
        <v/>
      </c>
      <c r="BP222" s="20"/>
      <c r="BQ222" s="58" t="str">
        <f t="shared" si="526"/>
        <v/>
      </c>
      <c r="BR222" s="32"/>
      <c r="BS222" s="32"/>
      <c r="BT222" s="58" t="str">
        <f t="shared" si="527"/>
        <v/>
      </c>
      <c r="BU222" s="58" t="str">
        <f t="shared" si="528"/>
        <v/>
      </c>
      <c r="BV222" s="58" t="str">
        <f t="shared" si="529"/>
        <v/>
      </c>
      <c r="BW222" s="59" t="str">
        <f t="shared" si="530"/>
        <v/>
      </c>
      <c r="BX222" s="12"/>
      <c r="BY222" s="49"/>
      <c r="BZ222" s="49"/>
      <c r="CA222" s="61" t="str">
        <f>IF(_xlfn.XLOOKUP(BY222, AutoFill_classes!$A:$A, AutoFill_classes!$B:$B,"")=0,"",_xlfn.XLOOKUP(BY222, AutoFill_classes!$A:$A, AutoFill_classes!$B:$B,""))</f>
        <v/>
      </c>
      <c r="CB222" s="154"/>
      <c r="CC222" s="12"/>
      <c r="CD222" s="12"/>
      <c r="CE222" s="12"/>
      <c r="CF222" s="7"/>
      <c r="CG222" s="37"/>
      <c r="CH222" s="146"/>
      <c r="CI222" s="41"/>
      <c r="CJ222" s="60" t="str">
        <f t="shared" si="531"/>
        <v/>
      </c>
      <c r="CK222" s="32"/>
      <c r="CL222" s="32"/>
      <c r="CM222" s="32"/>
      <c r="CN222" s="32"/>
      <c r="CO222" s="58" t="str">
        <f t="shared" si="532"/>
        <v/>
      </c>
      <c r="CP222" s="20"/>
      <c r="CQ222" s="58" t="str">
        <f t="shared" si="533"/>
        <v/>
      </c>
      <c r="CR222" s="32"/>
      <c r="CS222" s="32"/>
      <c r="CT222" s="58" t="str">
        <f t="shared" si="534"/>
        <v/>
      </c>
      <c r="CU222" s="20"/>
      <c r="CV222" s="58" t="str">
        <f t="shared" si="535"/>
        <v/>
      </c>
      <c r="CW222" s="32"/>
      <c r="CX222" s="32"/>
      <c r="CY222" s="58" t="str">
        <f t="shared" si="536"/>
        <v/>
      </c>
      <c r="CZ222" s="58" t="str">
        <f t="shared" si="537"/>
        <v/>
      </c>
      <c r="DA222" s="58" t="str">
        <f t="shared" si="538"/>
        <v/>
      </c>
      <c r="DB222" s="59" t="str">
        <f t="shared" si="539"/>
        <v/>
      </c>
      <c r="DC222" s="12"/>
      <c r="DD222" s="146"/>
    </row>
    <row r="223" spans="1:108">
      <c r="A223" s="7"/>
      <c r="B223" s="23" t="str">
        <f>IF(_xlfn.XLOOKUP(A223, AutoFill_names!B:B, AutoFill_names!C:C,"")=0,"",_xlfn.XLOOKUP(A223, AutoFill_names!B:B, AutoFill_names!C:C,""))</f>
        <v/>
      </c>
      <c r="C223" s="23" t="str">
        <f>IF(_xlfn.XLOOKUP(A223, AutoFill_names!B:B, AutoFill_names!D:D,"")=0,"",_xlfn.XLOOKUP(A223, AutoFill_names!B:B, AutoFill_names!D:D,""))</f>
        <v/>
      </c>
      <c r="D223" s="23" t="str">
        <f>IF(_xlfn.XLOOKUP(A223, AutoFill_names!B:B, AutoFill_names!E:E,"")=0,"",_xlfn.XLOOKUP(A223, AutoFill_names!B:B, AutoFill_names!E:E,""))</f>
        <v/>
      </c>
      <c r="E223" s="23" t="str">
        <f>IF(_xlfn.XLOOKUP(A223, AutoFill_names!B:B, AutoFill_names!F:F,"")=0,"",_xlfn.XLOOKUP(A223, AutoFill_names!B:B, AutoFill_names!F:F,""))</f>
        <v/>
      </c>
      <c r="F223" s="4"/>
      <c r="G223" s="4"/>
      <c r="H223" s="4"/>
      <c r="I223" s="4"/>
      <c r="J223" s="23" t="str">
        <f>IF(_xlfn.XLOOKUP(A223, AutoFill_names!B:B, AutoFill_names!K:K,"")=0,"",_xlfn.XLOOKUP(A223, AutoFill_names!B:B, AutoFill_names!K:K,""))</f>
        <v/>
      </c>
      <c r="K223" s="23" t="str">
        <f>IF(_xlfn.XLOOKUP(A223, AutoFill_names!B:B, AutoFill_names!L:L,"")=0,"",_xlfn.XLOOKUP(A223, AutoFill_names!B:B, AutoFill_names!L:L,""))</f>
        <v/>
      </c>
      <c r="L223" s="8"/>
      <c r="M223" s="8"/>
      <c r="N223" s="61" t="str">
        <f>IF(_xlfn.XLOOKUP(L223, AutoFill_classes!A:A, AutoFill_classes!B:B,"")=0,"",_xlfn.XLOOKUP(L223, AutoFill_classes!A:A, AutoFill_classes!B:B,""))</f>
        <v/>
      </c>
      <c r="O223" s="154"/>
      <c r="P223" s="11"/>
      <c r="Q223" s="11"/>
      <c r="R223" s="11"/>
      <c r="S223" s="8"/>
      <c r="T223" s="8"/>
      <c r="U223" s="8"/>
      <c r="V223" s="7"/>
      <c r="W223" s="7"/>
      <c r="X223" s="146"/>
      <c r="Y223" s="37"/>
      <c r="Z223" s="60" t="str">
        <f t="shared" si="513"/>
        <v/>
      </c>
      <c r="AA223" s="40"/>
      <c r="AB223" s="40"/>
      <c r="AC223" s="40"/>
      <c r="AD223" s="40"/>
      <c r="AE223" s="58" t="str">
        <f t="shared" si="514"/>
        <v/>
      </c>
      <c r="AF223" s="12"/>
      <c r="AG223" s="58" t="str">
        <f t="shared" si="515"/>
        <v/>
      </c>
      <c r="AH223" s="40"/>
      <c r="AI223" s="40"/>
      <c r="AJ223" s="58" t="str">
        <f t="shared" si="516"/>
        <v/>
      </c>
      <c r="AK223" s="12"/>
      <c r="AL223" s="58" t="str">
        <f t="shared" si="517"/>
        <v/>
      </c>
      <c r="AM223" s="40"/>
      <c r="AN223" s="40"/>
      <c r="AO223" s="58" t="str">
        <f t="shared" si="518"/>
        <v/>
      </c>
      <c r="AP223" s="58" t="str">
        <f t="shared" si="519"/>
        <v/>
      </c>
      <c r="AQ223" s="58" t="str">
        <f t="shared" si="520"/>
        <v/>
      </c>
      <c r="AR223" s="59" t="str">
        <f t="shared" si="521"/>
        <v/>
      </c>
      <c r="AS223" s="12"/>
      <c r="AT223" s="49"/>
      <c r="AU223" s="49"/>
      <c r="AV223" s="61" t="str">
        <f>IF(_xlfn.XLOOKUP(AT223, AutoFill_classes!$A:$A, AutoFill_classes!$B:$B,"")=0,"",_xlfn.XLOOKUP(AT223, AutoFill_classes!$A:$A, AutoFill_classes!$B:$B,""))</f>
        <v/>
      </c>
      <c r="AW223" s="154"/>
      <c r="AX223" s="12"/>
      <c r="AY223" s="13"/>
      <c r="AZ223" s="12"/>
      <c r="BA223" s="13"/>
      <c r="BB223" s="13"/>
      <c r="BC223" s="146"/>
      <c r="BD223" s="37"/>
      <c r="BE223" s="60" t="str">
        <f t="shared" si="522"/>
        <v/>
      </c>
      <c r="BF223" s="32"/>
      <c r="BG223" s="32"/>
      <c r="BH223" s="32"/>
      <c r="BI223" s="32"/>
      <c r="BJ223" s="58" t="str">
        <f t="shared" si="523"/>
        <v/>
      </c>
      <c r="BK223" s="20"/>
      <c r="BL223" s="58" t="str">
        <f t="shared" si="524"/>
        <v/>
      </c>
      <c r="BM223" s="32"/>
      <c r="BN223" s="32"/>
      <c r="BO223" s="58" t="str">
        <f t="shared" si="525"/>
        <v/>
      </c>
      <c r="BP223" s="20"/>
      <c r="BQ223" s="58" t="str">
        <f t="shared" si="526"/>
        <v/>
      </c>
      <c r="BR223" s="32"/>
      <c r="BS223" s="32"/>
      <c r="BT223" s="58" t="str">
        <f t="shared" si="527"/>
        <v/>
      </c>
      <c r="BU223" s="58" t="str">
        <f t="shared" si="528"/>
        <v/>
      </c>
      <c r="BV223" s="58" t="str">
        <f t="shared" si="529"/>
        <v/>
      </c>
      <c r="BW223" s="59" t="str">
        <f t="shared" si="530"/>
        <v/>
      </c>
      <c r="BX223" s="12"/>
      <c r="BY223" s="49"/>
      <c r="BZ223" s="49"/>
      <c r="CA223" s="61" t="str">
        <f>IF(_xlfn.XLOOKUP(BY223, AutoFill_classes!$A:$A, AutoFill_classes!$B:$B,"")=0,"",_xlfn.XLOOKUP(BY223, AutoFill_classes!$A:$A, AutoFill_classes!$B:$B,""))</f>
        <v/>
      </c>
      <c r="CB223" s="154"/>
      <c r="CC223" s="12"/>
      <c r="CD223" s="12"/>
      <c r="CE223" s="12"/>
      <c r="CF223" s="7"/>
      <c r="CG223" s="37"/>
      <c r="CH223" s="146"/>
      <c r="CI223" s="41"/>
      <c r="CJ223" s="60" t="str">
        <f t="shared" si="531"/>
        <v/>
      </c>
      <c r="CK223" s="32"/>
      <c r="CL223" s="32"/>
      <c r="CM223" s="32"/>
      <c r="CN223" s="32"/>
      <c r="CO223" s="58" t="str">
        <f t="shared" si="532"/>
        <v/>
      </c>
      <c r="CP223" s="20"/>
      <c r="CQ223" s="58" t="str">
        <f t="shared" si="533"/>
        <v/>
      </c>
      <c r="CR223" s="32"/>
      <c r="CS223" s="32"/>
      <c r="CT223" s="58" t="str">
        <f t="shared" si="534"/>
        <v/>
      </c>
      <c r="CU223" s="20"/>
      <c r="CV223" s="58" t="str">
        <f t="shared" si="535"/>
        <v/>
      </c>
      <c r="CW223" s="32"/>
      <c r="CX223" s="32"/>
      <c r="CY223" s="58" t="str">
        <f t="shared" si="536"/>
        <v/>
      </c>
      <c r="CZ223" s="58" t="str">
        <f t="shared" si="537"/>
        <v/>
      </c>
      <c r="DA223" s="58" t="str">
        <f t="shared" si="538"/>
        <v/>
      </c>
      <c r="DB223" s="59" t="str">
        <f t="shared" si="539"/>
        <v/>
      </c>
      <c r="DC223" s="12"/>
      <c r="DD223" s="146"/>
    </row>
    <row r="224" spans="1:108">
      <c r="A224" s="7"/>
      <c r="B224" s="23" t="str">
        <f>IF(_xlfn.XLOOKUP(A224, AutoFill_names!B:B, AutoFill_names!C:C,"")=0,"",_xlfn.XLOOKUP(A224, AutoFill_names!B:B, AutoFill_names!C:C,""))</f>
        <v/>
      </c>
      <c r="C224" s="23" t="str">
        <f>IF(_xlfn.XLOOKUP(A224, AutoFill_names!B:B, AutoFill_names!D:D,"")=0,"",_xlfn.XLOOKUP(A224, AutoFill_names!B:B, AutoFill_names!D:D,""))</f>
        <v/>
      </c>
      <c r="D224" s="23" t="str">
        <f>IF(_xlfn.XLOOKUP(A224, AutoFill_names!B:B, AutoFill_names!E:E,"")=0,"",_xlfn.XLOOKUP(A224, AutoFill_names!B:B, AutoFill_names!E:E,""))</f>
        <v/>
      </c>
      <c r="E224" s="23" t="str">
        <f>IF(_xlfn.XLOOKUP(A224, AutoFill_names!B:B, AutoFill_names!F:F,"")=0,"",_xlfn.XLOOKUP(A224, AutoFill_names!B:B, AutoFill_names!F:F,""))</f>
        <v/>
      </c>
      <c r="F224" s="4"/>
      <c r="G224" s="4"/>
      <c r="H224" s="4"/>
      <c r="I224" s="4"/>
      <c r="J224" s="23" t="str">
        <f>IF(_xlfn.XLOOKUP(A224, AutoFill_names!B:B, AutoFill_names!K:K,"")=0,"",_xlfn.XLOOKUP(A224, AutoFill_names!B:B, AutoFill_names!K:K,""))</f>
        <v/>
      </c>
      <c r="K224" s="23" t="str">
        <f>IF(_xlfn.XLOOKUP(A224, AutoFill_names!B:B, AutoFill_names!L:L,"")=0,"",_xlfn.XLOOKUP(A224, AutoFill_names!B:B, AutoFill_names!L:L,""))</f>
        <v/>
      </c>
      <c r="L224" s="8"/>
      <c r="M224" s="8"/>
      <c r="N224" s="61" t="str">
        <f>IF(_xlfn.XLOOKUP(L224, AutoFill_classes!A:A, AutoFill_classes!B:B,"")=0,"",_xlfn.XLOOKUP(L224, AutoFill_classes!A:A, AutoFill_classes!B:B,""))</f>
        <v/>
      </c>
      <c r="O224" s="154"/>
      <c r="P224" s="11"/>
      <c r="Q224" s="11"/>
      <c r="R224" s="11"/>
      <c r="S224" s="8"/>
      <c r="T224" s="8"/>
      <c r="U224" s="8"/>
      <c r="V224" s="7"/>
      <c r="W224" s="7"/>
      <c r="X224" s="146"/>
      <c r="Y224" s="37"/>
      <c r="Z224" s="60" t="str">
        <f t="shared" si="513"/>
        <v/>
      </c>
      <c r="AA224" s="40"/>
      <c r="AB224" s="40"/>
      <c r="AC224" s="40"/>
      <c r="AD224" s="40"/>
      <c r="AE224" s="58" t="str">
        <f t="shared" si="514"/>
        <v/>
      </c>
      <c r="AF224" s="12"/>
      <c r="AG224" s="58" t="str">
        <f t="shared" si="515"/>
        <v/>
      </c>
      <c r="AH224" s="40"/>
      <c r="AI224" s="40"/>
      <c r="AJ224" s="58" t="str">
        <f t="shared" si="516"/>
        <v/>
      </c>
      <c r="AK224" s="12"/>
      <c r="AL224" s="58" t="str">
        <f t="shared" si="517"/>
        <v/>
      </c>
      <c r="AM224" s="40"/>
      <c r="AN224" s="40"/>
      <c r="AO224" s="58" t="str">
        <f t="shared" si="518"/>
        <v/>
      </c>
      <c r="AP224" s="58" t="str">
        <f t="shared" si="519"/>
        <v/>
      </c>
      <c r="AQ224" s="58" t="str">
        <f t="shared" si="520"/>
        <v/>
      </c>
      <c r="AR224" s="59" t="str">
        <f t="shared" si="521"/>
        <v/>
      </c>
      <c r="AS224" s="12"/>
      <c r="AT224" s="49"/>
      <c r="AU224" s="49"/>
      <c r="AV224" s="61" t="str">
        <f>IF(_xlfn.XLOOKUP(AT224, AutoFill_classes!$A:$A, AutoFill_classes!$B:$B,"")=0,"",_xlfn.XLOOKUP(AT224, AutoFill_classes!$A:$A, AutoFill_classes!$B:$B,""))</f>
        <v/>
      </c>
      <c r="AW224" s="154"/>
      <c r="AX224" s="12"/>
      <c r="AY224" s="13"/>
      <c r="AZ224" s="12"/>
      <c r="BA224" s="13"/>
      <c r="BB224" s="13"/>
      <c r="BC224" s="146"/>
      <c r="BD224" s="37"/>
      <c r="BE224" s="60" t="str">
        <f t="shared" si="522"/>
        <v/>
      </c>
      <c r="BF224" s="32"/>
      <c r="BG224" s="32"/>
      <c r="BH224" s="32"/>
      <c r="BI224" s="32"/>
      <c r="BJ224" s="58" t="str">
        <f t="shared" si="523"/>
        <v/>
      </c>
      <c r="BK224" s="20"/>
      <c r="BL224" s="58" t="str">
        <f t="shared" si="524"/>
        <v/>
      </c>
      <c r="BM224" s="32"/>
      <c r="BN224" s="32"/>
      <c r="BO224" s="58" t="str">
        <f t="shared" si="525"/>
        <v/>
      </c>
      <c r="BP224" s="20"/>
      <c r="BQ224" s="58" t="str">
        <f t="shared" si="526"/>
        <v/>
      </c>
      <c r="BR224" s="32"/>
      <c r="BS224" s="32"/>
      <c r="BT224" s="58" t="str">
        <f t="shared" si="527"/>
        <v/>
      </c>
      <c r="BU224" s="58" t="str">
        <f t="shared" si="528"/>
        <v/>
      </c>
      <c r="BV224" s="58" t="str">
        <f t="shared" si="529"/>
        <v/>
      </c>
      <c r="BW224" s="59" t="str">
        <f t="shared" si="530"/>
        <v/>
      </c>
      <c r="BX224" s="12"/>
      <c r="BY224" s="49"/>
      <c r="BZ224" s="49"/>
      <c r="CA224" s="61" t="str">
        <f>IF(_xlfn.XLOOKUP(BY224, AutoFill_classes!$A:$A, AutoFill_classes!$B:$B,"")=0,"",_xlfn.XLOOKUP(BY224, AutoFill_classes!$A:$A, AutoFill_classes!$B:$B,""))</f>
        <v/>
      </c>
      <c r="CB224" s="154"/>
      <c r="CC224" s="12"/>
      <c r="CD224" s="12"/>
      <c r="CE224" s="12"/>
      <c r="CF224" s="7"/>
      <c r="CG224" s="37"/>
      <c r="CH224" s="146"/>
      <c r="CI224" s="41"/>
      <c r="CJ224" s="60" t="str">
        <f t="shared" si="531"/>
        <v/>
      </c>
      <c r="CK224" s="32"/>
      <c r="CL224" s="32"/>
      <c r="CM224" s="32"/>
      <c r="CN224" s="32"/>
      <c r="CO224" s="58" t="str">
        <f t="shared" si="532"/>
        <v/>
      </c>
      <c r="CP224" s="20"/>
      <c r="CQ224" s="58" t="str">
        <f t="shared" si="533"/>
        <v/>
      </c>
      <c r="CR224" s="32"/>
      <c r="CS224" s="32"/>
      <c r="CT224" s="58" t="str">
        <f t="shared" si="534"/>
        <v/>
      </c>
      <c r="CU224" s="20"/>
      <c r="CV224" s="58" t="str">
        <f t="shared" si="535"/>
        <v/>
      </c>
      <c r="CW224" s="32"/>
      <c r="CX224" s="32"/>
      <c r="CY224" s="58" t="str">
        <f t="shared" si="536"/>
        <v/>
      </c>
      <c r="CZ224" s="58" t="str">
        <f t="shared" si="537"/>
        <v/>
      </c>
      <c r="DA224" s="58" t="str">
        <f t="shared" si="538"/>
        <v/>
      </c>
      <c r="DB224" s="59" t="str">
        <f t="shared" si="539"/>
        <v/>
      </c>
      <c r="DC224" s="12"/>
      <c r="DD224" s="146"/>
    </row>
    <row r="225" spans="1:108">
      <c r="A225" s="7"/>
      <c r="B225" s="23" t="str">
        <f>IF(_xlfn.XLOOKUP(A225, AutoFill_names!B:B, AutoFill_names!C:C,"")=0,"",_xlfn.XLOOKUP(A225, AutoFill_names!B:B, AutoFill_names!C:C,""))</f>
        <v/>
      </c>
      <c r="C225" s="23" t="str">
        <f>IF(_xlfn.XLOOKUP(A225, AutoFill_names!B:B, AutoFill_names!D:D,"")=0,"",_xlfn.XLOOKUP(A225, AutoFill_names!B:B, AutoFill_names!D:D,""))</f>
        <v/>
      </c>
      <c r="D225" s="23" t="str">
        <f>IF(_xlfn.XLOOKUP(A225, AutoFill_names!B:B, AutoFill_names!E:E,"")=0,"",_xlfn.XLOOKUP(A225, AutoFill_names!B:B, AutoFill_names!E:E,""))</f>
        <v/>
      </c>
      <c r="E225" s="23" t="str">
        <f>IF(_xlfn.XLOOKUP(A225, AutoFill_names!B:B, AutoFill_names!F:F,"")=0,"",_xlfn.XLOOKUP(A225, AutoFill_names!B:B, AutoFill_names!F:F,""))</f>
        <v/>
      </c>
      <c r="F225" s="4"/>
      <c r="G225" s="4"/>
      <c r="H225" s="4"/>
      <c r="I225" s="4"/>
      <c r="J225" s="23" t="str">
        <f>IF(_xlfn.XLOOKUP(A225, AutoFill_names!B:B, AutoFill_names!K:K,"")=0,"",_xlfn.XLOOKUP(A225, AutoFill_names!B:B, AutoFill_names!K:K,""))</f>
        <v/>
      </c>
      <c r="K225" s="23" t="str">
        <f>IF(_xlfn.XLOOKUP(A225, AutoFill_names!B:B, AutoFill_names!L:L,"")=0,"",_xlfn.XLOOKUP(A225, AutoFill_names!B:B, AutoFill_names!L:L,""))</f>
        <v/>
      </c>
      <c r="L225" s="8"/>
      <c r="M225" s="8"/>
      <c r="N225" s="61" t="str">
        <f>IF(_xlfn.XLOOKUP(L225, AutoFill_classes!A:A, AutoFill_classes!B:B,"")=0,"",_xlfn.XLOOKUP(L225, AutoFill_classes!A:A, AutoFill_classes!B:B,""))</f>
        <v/>
      </c>
      <c r="O225" s="154"/>
      <c r="P225" s="11"/>
      <c r="Q225" s="11"/>
      <c r="R225" s="11"/>
      <c r="S225" s="8"/>
      <c r="T225" s="8"/>
      <c r="U225" s="8"/>
      <c r="V225" s="7"/>
      <c r="W225" s="7"/>
      <c r="X225" s="146"/>
      <c r="Y225" s="37"/>
      <c r="Z225" s="60" t="str">
        <f t="shared" si="513"/>
        <v/>
      </c>
      <c r="AA225" s="40"/>
      <c r="AB225" s="40"/>
      <c r="AC225" s="40"/>
      <c r="AD225" s="40"/>
      <c r="AE225" s="58" t="str">
        <f t="shared" si="514"/>
        <v/>
      </c>
      <c r="AF225" s="12"/>
      <c r="AG225" s="58" t="str">
        <f t="shared" si="515"/>
        <v/>
      </c>
      <c r="AH225" s="40"/>
      <c r="AI225" s="40"/>
      <c r="AJ225" s="58" t="str">
        <f t="shared" si="516"/>
        <v/>
      </c>
      <c r="AK225" s="12"/>
      <c r="AL225" s="58" t="str">
        <f t="shared" si="517"/>
        <v/>
      </c>
      <c r="AM225" s="40"/>
      <c r="AN225" s="40"/>
      <c r="AO225" s="58" t="str">
        <f t="shared" si="518"/>
        <v/>
      </c>
      <c r="AP225" s="58" t="str">
        <f t="shared" si="519"/>
        <v/>
      </c>
      <c r="AQ225" s="58" t="str">
        <f t="shared" si="520"/>
        <v/>
      </c>
      <c r="AR225" s="59" t="str">
        <f t="shared" si="521"/>
        <v/>
      </c>
      <c r="AS225" s="12"/>
      <c r="AT225" s="49"/>
      <c r="AU225" s="49"/>
      <c r="AV225" s="61" t="str">
        <f>IF(_xlfn.XLOOKUP(AT225, AutoFill_classes!$A:$A, AutoFill_classes!$B:$B,"")=0,"",_xlfn.XLOOKUP(AT225, AutoFill_classes!$A:$A, AutoFill_classes!$B:$B,""))</f>
        <v/>
      </c>
      <c r="AW225" s="154"/>
      <c r="AX225" s="12"/>
      <c r="AY225" s="13"/>
      <c r="AZ225" s="12"/>
      <c r="BA225" s="13"/>
      <c r="BB225" s="13"/>
      <c r="BC225" s="146"/>
      <c r="BD225" s="37"/>
      <c r="BE225" s="60" t="str">
        <f t="shared" si="522"/>
        <v/>
      </c>
      <c r="BF225" s="32"/>
      <c r="BG225" s="32"/>
      <c r="BH225" s="32"/>
      <c r="BI225" s="32"/>
      <c r="BJ225" s="58" t="str">
        <f t="shared" si="523"/>
        <v/>
      </c>
      <c r="BK225" s="20"/>
      <c r="BL225" s="58" t="str">
        <f t="shared" si="524"/>
        <v/>
      </c>
      <c r="BM225" s="32"/>
      <c r="BN225" s="32"/>
      <c r="BO225" s="58" t="str">
        <f t="shared" si="525"/>
        <v/>
      </c>
      <c r="BP225" s="20"/>
      <c r="BQ225" s="58" t="str">
        <f t="shared" si="526"/>
        <v/>
      </c>
      <c r="BR225" s="32"/>
      <c r="BS225" s="32"/>
      <c r="BT225" s="58" t="str">
        <f t="shared" si="527"/>
        <v/>
      </c>
      <c r="BU225" s="58" t="str">
        <f t="shared" si="528"/>
        <v/>
      </c>
      <c r="BV225" s="58" t="str">
        <f t="shared" si="529"/>
        <v/>
      </c>
      <c r="BW225" s="59" t="str">
        <f t="shared" si="530"/>
        <v/>
      </c>
      <c r="BX225" s="12"/>
      <c r="BY225" s="49"/>
      <c r="BZ225" s="49"/>
      <c r="CA225" s="61" t="str">
        <f>IF(_xlfn.XLOOKUP(BY225, AutoFill_classes!$A:$A, AutoFill_classes!$B:$B,"")=0,"",_xlfn.XLOOKUP(BY225, AutoFill_classes!$A:$A, AutoFill_classes!$B:$B,""))</f>
        <v/>
      </c>
      <c r="CB225" s="154"/>
      <c r="CC225" s="12"/>
      <c r="CD225" s="12"/>
      <c r="CE225" s="12"/>
      <c r="CF225" s="7"/>
      <c r="CG225" s="37"/>
      <c r="CH225" s="146"/>
      <c r="CI225" s="41"/>
      <c r="CJ225" s="60" t="str">
        <f t="shared" si="531"/>
        <v/>
      </c>
      <c r="CK225" s="32"/>
      <c r="CL225" s="32"/>
      <c r="CM225" s="32"/>
      <c r="CN225" s="32"/>
      <c r="CO225" s="58" t="str">
        <f t="shared" si="532"/>
        <v/>
      </c>
      <c r="CP225" s="20"/>
      <c r="CQ225" s="58" t="str">
        <f t="shared" si="533"/>
        <v/>
      </c>
      <c r="CR225" s="32"/>
      <c r="CS225" s="32"/>
      <c r="CT225" s="58" t="str">
        <f t="shared" si="534"/>
        <v/>
      </c>
      <c r="CU225" s="20"/>
      <c r="CV225" s="58" t="str">
        <f t="shared" si="535"/>
        <v/>
      </c>
      <c r="CW225" s="32"/>
      <c r="CX225" s="32"/>
      <c r="CY225" s="58" t="str">
        <f t="shared" si="536"/>
        <v/>
      </c>
      <c r="CZ225" s="58" t="str">
        <f t="shared" si="537"/>
        <v/>
      </c>
      <c r="DA225" s="58" t="str">
        <f t="shared" si="538"/>
        <v/>
      </c>
      <c r="DB225" s="59" t="str">
        <f t="shared" si="539"/>
        <v/>
      </c>
      <c r="DC225" s="12"/>
      <c r="DD225" s="146"/>
    </row>
    <row r="226" spans="1:108">
      <c r="A226" s="7"/>
      <c r="B226" s="23" t="str">
        <f>IF(_xlfn.XLOOKUP(A226, AutoFill_names!B:B, AutoFill_names!C:C,"")=0,"",_xlfn.XLOOKUP(A226, AutoFill_names!B:B, AutoFill_names!C:C,""))</f>
        <v/>
      </c>
      <c r="C226" s="23" t="str">
        <f>IF(_xlfn.XLOOKUP(A226, AutoFill_names!B:B, AutoFill_names!D:D,"")=0,"",_xlfn.XLOOKUP(A226, AutoFill_names!B:B, AutoFill_names!D:D,""))</f>
        <v/>
      </c>
      <c r="D226" s="23" t="str">
        <f>IF(_xlfn.XLOOKUP(A226, AutoFill_names!B:B, AutoFill_names!E:E,"")=0,"",_xlfn.XLOOKUP(A226, AutoFill_names!B:B, AutoFill_names!E:E,""))</f>
        <v/>
      </c>
      <c r="E226" s="23" t="str">
        <f>IF(_xlfn.XLOOKUP(A226, AutoFill_names!B:B, AutoFill_names!F:F,"")=0,"",_xlfn.XLOOKUP(A226, AutoFill_names!B:B, AutoFill_names!F:F,""))</f>
        <v/>
      </c>
      <c r="F226" s="4"/>
      <c r="G226" s="4"/>
      <c r="H226" s="4"/>
      <c r="I226" s="4"/>
      <c r="J226" s="23" t="str">
        <f>IF(_xlfn.XLOOKUP(A226, AutoFill_names!B:B, AutoFill_names!K:K,"")=0,"",_xlfn.XLOOKUP(A226, AutoFill_names!B:B, AutoFill_names!K:K,""))</f>
        <v/>
      </c>
      <c r="K226" s="23" t="str">
        <f>IF(_xlfn.XLOOKUP(A226, AutoFill_names!B:B, AutoFill_names!L:L,"")=0,"",_xlfn.XLOOKUP(A226, AutoFill_names!B:B, AutoFill_names!L:L,""))</f>
        <v/>
      </c>
      <c r="L226" s="8"/>
      <c r="M226" s="8"/>
      <c r="N226" s="61" t="str">
        <f>IF(_xlfn.XLOOKUP(L226, AutoFill_classes!A:A, AutoFill_classes!B:B,"")=0,"",_xlfn.XLOOKUP(L226, AutoFill_classes!A:A, AutoFill_classes!B:B,""))</f>
        <v/>
      </c>
      <c r="O226" s="154"/>
      <c r="P226" s="11"/>
      <c r="Q226" s="11"/>
      <c r="R226" s="11"/>
      <c r="S226" s="8"/>
      <c r="T226" s="8"/>
      <c r="U226" s="8"/>
      <c r="V226" s="7"/>
      <c r="W226" s="7"/>
      <c r="X226" s="146"/>
      <c r="Y226" s="37"/>
      <c r="Z226" s="60" t="str">
        <f t="shared" si="513"/>
        <v/>
      </c>
      <c r="AA226" s="40"/>
      <c r="AB226" s="40"/>
      <c r="AC226" s="40"/>
      <c r="AD226" s="40"/>
      <c r="AE226" s="58" t="str">
        <f t="shared" si="514"/>
        <v/>
      </c>
      <c r="AF226" s="12"/>
      <c r="AG226" s="58" t="str">
        <f t="shared" si="515"/>
        <v/>
      </c>
      <c r="AH226" s="40"/>
      <c r="AI226" s="40"/>
      <c r="AJ226" s="58" t="str">
        <f t="shared" si="516"/>
        <v/>
      </c>
      <c r="AK226" s="12"/>
      <c r="AL226" s="58" t="str">
        <f t="shared" si="517"/>
        <v/>
      </c>
      <c r="AM226" s="40"/>
      <c r="AN226" s="40"/>
      <c r="AO226" s="58" t="str">
        <f t="shared" si="518"/>
        <v/>
      </c>
      <c r="AP226" s="58" t="str">
        <f t="shared" si="519"/>
        <v/>
      </c>
      <c r="AQ226" s="58" t="str">
        <f t="shared" si="520"/>
        <v/>
      </c>
      <c r="AR226" s="59" t="str">
        <f t="shared" si="521"/>
        <v/>
      </c>
      <c r="AS226" s="12"/>
      <c r="AT226" s="49"/>
      <c r="AU226" s="49"/>
      <c r="AV226" s="61" t="str">
        <f>IF(_xlfn.XLOOKUP(AT226, AutoFill_classes!$A:$A, AutoFill_classes!$B:$B,"")=0,"",_xlfn.XLOOKUP(AT226, AutoFill_classes!$A:$A, AutoFill_classes!$B:$B,""))</f>
        <v/>
      </c>
      <c r="AW226" s="154"/>
      <c r="AX226" s="12"/>
      <c r="AY226" s="13"/>
      <c r="AZ226" s="12"/>
      <c r="BA226" s="13"/>
      <c r="BB226" s="13"/>
      <c r="BC226" s="146"/>
      <c r="BD226" s="37"/>
      <c r="BE226" s="60" t="str">
        <f t="shared" si="522"/>
        <v/>
      </c>
      <c r="BF226" s="32"/>
      <c r="BG226" s="32"/>
      <c r="BH226" s="32"/>
      <c r="BI226" s="32"/>
      <c r="BJ226" s="58" t="str">
        <f t="shared" si="523"/>
        <v/>
      </c>
      <c r="BK226" s="20"/>
      <c r="BL226" s="58" t="str">
        <f t="shared" si="524"/>
        <v/>
      </c>
      <c r="BM226" s="32"/>
      <c r="BN226" s="32"/>
      <c r="BO226" s="58" t="str">
        <f t="shared" si="525"/>
        <v/>
      </c>
      <c r="BP226" s="20"/>
      <c r="BQ226" s="58" t="str">
        <f t="shared" si="526"/>
        <v/>
      </c>
      <c r="BR226" s="32"/>
      <c r="BS226" s="32"/>
      <c r="BT226" s="58" t="str">
        <f t="shared" si="527"/>
        <v/>
      </c>
      <c r="BU226" s="58" t="str">
        <f t="shared" si="528"/>
        <v/>
      </c>
      <c r="BV226" s="58" t="str">
        <f t="shared" si="529"/>
        <v/>
      </c>
      <c r="BW226" s="59" t="str">
        <f t="shared" si="530"/>
        <v/>
      </c>
      <c r="BX226" s="12"/>
      <c r="BY226" s="49"/>
      <c r="BZ226" s="49"/>
      <c r="CA226" s="61" t="str">
        <f>IF(_xlfn.XLOOKUP(BY226, AutoFill_classes!$A:$A, AutoFill_classes!$B:$B,"")=0,"",_xlfn.XLOOKUP(BY226, AutoFill_classes!$A:$A, AutoFill_classes!$B:$B,""))</f>
        <v/>
      </c>
      <c r="CB226" s="154"/>
      <c r="CC226" s="12"/>
      <c r="CD226" s="12"/>
      <c r="CE226" s="12"/>
      <c r="CF226" s="7"/>
      <c r="CG226" s="37"/>
      <c r="CH226" s="146"/>
      <c r="CI226" s="41"/>
      <c r="CJ226" s="60" t="str">
        <f t="shared" si="531"/>
        <v/>
      </c>
      <c r="CK226" s="32"/>
      <c r="CL226" s="32"/>
      <c r="CM226" s="32"/>
      <c r="CN226" s="32"/>
      <c r="CO226" s="58" t="str">
        <f t="shared" si="532"/>
        <v/>
      </c>
      <c r="CP226" s="20"/>
      <c r="CQ226" s="58" t="str">
        <f t="shared" si="533"/>
        <v/>
      </c>
      <c r="CR226" s="32"/>
      <c r="CS226" s="32"/>
      <c r="CT226" s="58" t="str">
        <f t="shared" si="534"/>
        <v/>
      </c>
      <c r="CU226" s="20"/>
      <c r="CV226" s="58" t="str">
        <f t="shared" si="535"/>
        <v/>
      </c>
      <c r="CW226" s="32"/>
      <c r="CX226" s="32"/>
      <c r="CY226" s="58" t="str">
        <f t="shared" si="536"/>
        <v/>
      </c>
      <c r="CZ226" s="58" t="str">
        <f t="shared" si="537"/>
        <v/>
      </c>
      <c r="DA226" s="58" t="str">
        <f t="shared" si="538"/>
        <v/>
      </c>
      <c r="DB226" s="59" t="str">
        <f t="shared" si="539"/>
        <v/>
      </c>
      <c r="DC226" s="12"/>
      <c r="DD226" s="146"/>
    </row>
    <row r="227" spans="1:108">
      <c r="A227" s="7"/>
      <c r="B227" s="23" t="str">
        <f>IF(_xlfn.XLOOKUP(A227, AutoFill_names!B:B, AutoFill_names!C:C,"")=0,"",_xlfn.XLOOKUP(A227, AutoFill_names!B:B, AutoFill_names!C:C,""))</f>
        <v/>
      </c>
      <c r="C227" s="23" t="str">
        <f>IF(_xlfn.XLOOKUP(A227, AutoFill_names!B:B, AutoFill_names!D:D,"")=0,"",_xlfn.XLOOKUP(A227, AutoFill_names!B:B, AutoFill_names!D:D,""))</f>
        <v/>
      </c>
      <c r="D227" s="23" t="str">
        <f>IF(_xlfn.XLOOKUP(A227, AutoFill_names!B:B, AutoFill_names!E:E,"")=0,"",_xlfn.XLOOKUP(A227, AutoFill_names!B:B, AutoFill_names!E:E,""))</f>
        <v/>
      </c>
      <c r="E227" s="23" t="str">
        <f>IF(_xlfn.XLOOKUP(A227, AutoFill_names!B:B, AutoFill_names!F:F,"")=0,"",_xlfn.XLOOKUP(A227, AutoFill_names!B:B, AutoFill_names!F:F,""))</f>
        <v/>
      </c>
      <c r="F227" s="4"/>
      <c r="G227" s="4"/>
      <c r="H227" s="4"/>
      <c r="I227" s="4"/>
      <c r="J227" s="23" t="str">
        <f>IF(_xlfn.XLOOKUP(A227, AutoFill_names!B:B, AutoFill_names!K:K,"")=0,"",_xlfn.XLOOKUP(A227, AutoFill_names!B:B, AutoFill_names!K:K,""))</f>
        <v/>
      </c>
      <c r="K227" s="23" t="str">
        <f>IF(_xlfn.XLOOKUP(A227, AutoFill_names!B:B, AutoFill_names!L:L,"")=0,"",_xlfn.XLOOKUP(A227, AutoFill_names!B:B, AutoFill_names!L:L,""))</f>
        <v/>
      </c>
      <c r="L227" s="8"/>
      <c r="M227" s="8"/>
      <c r="N227" s="61" t="str">
        <f>IF(_xlfn.XLOOKUP(L227, AutoFill_classes!A:A, AutoFill_classes!B:B,"")=0,"",_xlfn.XLOOKUP(L227, AutoFill_classes!A:A, AutoFill_classes!B:B,""))</f>
        <v/>
      </c>
      <c r="O227" s="154"/>
      <c r="P227" s="11"/>
      <c r="Q227" s="11"/>
      <c r="R227" s="11"/>
      <c r="S227" s="8"/>
      <c r="T227" s="8"/>
      <c r="U227" s="8"/>
      <c r="V227" s="7"/>
      <c r="W227" s="7"/>
      <c r="X227" s="146"/>
      <c r="Y227" s="37"/>
      <c r="Z227" s="60" t="str">
        <f t="shared" si="513"/>
        <v/>
      </c>
      <c r="AA227" s="40"/>
      <c r="AB227" s="40"/>
      <c r="AC227" s="40"/>
      <c r="AD227" s="40"/>
      <c r="AE227" s="58" t="str">
        <f t="shared" si="514"/>
        <v/>
      </c>
      <c r="AF227" s="12"/>
      <c r="AG227" s="58" t="str">
        <f t="shared" si="515"/>
        <v/>
      </c>
      <c r="AH227" s="40"/>
      <c r="AI227" s="40"/>
      <c r="AJ227" s="58" t="str">
        <f t="shared" si="516"/>
        <v/>
      </c>
      <c r="AK227" s="12"/>
      <c r="AL227" s="58" t="str">
        <f t="shared" si="517"/>
        <v/>
      </c>
      <c r="AM227" s="40"/>
      <c r="AN227" s="40"/>
      <c r="AO227" s="58" t="str">
        <f t="shared" si="518"/>
        <v/>
      </c>
      <c r="AP227" s="58" t="str">
        <f t="shared" si="519"/>
        <v/>
      </c>
      <c r="AQ227" s="58" t="str">
        <f t="shared" si="520"/>
        <v/>
      </c>
      <c r="AR227" s="59" t="str">
        <f t="shared" si="521"/>
        <v/>
      </c>
      <c r="AS227" s="12"/>
      <c r="AT227" s="49"/>
      <c r="AU227" s="49"/>
      <c r="AV227" s="61" t="str">
        <f>IF(_xlfn.XLOOKUP(AT227, AutoFill_classes!$A:$A, AutoFill_classes!$B:$B,"")=0,"",_xlfn.XLOOKUP(AT227, AutoFill_classes!$A:$A, AutoFill_classes!$B:$B,""))</f>
        <v/>
      </c>
      <c r="AW227" s="154"/>
      <c r="AX227" s="12"/>
      <c r="AY227" s="13"/>
      <c r="AZ227" s="12"/>
      <c r="BA227" s="13"/>
      <c r="BB227" s="13"/>
      <c r="BC227" s="146"/>
      <c r="BD227" s="37"/>
      <c r="BE227" s="60" t="str">
        <f t="shared" si="522"/>
        <v/>
      </c>
      <c r="BF227" s="32"/>
      <c r="BG227" s="32"/>
      <c r="BH227" s="32"/>
      <c r="BI227" s="32"/>
      <c r="BJ227" s="58" t="str">
        <f t="shared" si="523"/>
        <v/>
      </c>
      <c r="BK227" s="20"/>
      <c r="BL227" s="58" t="str">
        <f t="shared" si="524"/>
        <v/>
      </c>
      <c r="BM227" s="32"/>
      <c r="BN227" s="32"/>
      <c r="BO227" s="58" t="str">
        <f t="shared" si="525"/>
        <v/>
      </c>
      <c r="BP227" s="20"/>
      <c r="BQ227" s="58" t="str">
        <f t="shared" si="526"/>
        <v/>
      </c>
      <c r="BR227" s="32"/>
      <c r="BS227" s="32"/>
      <c r="BT227" s="58" t="str">
        <f t="shared" si="527"/>
        <v/>
      </c>
      <c r="BU227" s="58" t="str">
        <f t="shared" si="528"/>
        <v/>
      </c>
      <c r="BV227" s="58" t="str">
        <f t="shared" si="529"/>
        <v/>
      </c>
      <c r="BW227" s="59" t="str">
        <f t="shared" si="530"/>
        <v/>
      </c>
      <c r="BX227" s="12"/>
      <c r="BY227" s="49"/>
      <c r="BZ227" s="49"/>
      <c r="CA227" s="61" t="str">
        <f>IF(_xlfn.XLOOKUP(BY227, AutoFill_classes!$A:$A, AutoFill_classes!$B:$B,"")=0,"",_xlfn.XLOOKUP(BY227, AutoFill_classes!$A:$A, AutoFill_classes!$B:$B,""))</f>
        <v/>
      </c>
      <c r="CB227" s="154"/>
      <c r="CC227" s="12"/>
      <c r="CD227" s="12"/>
      <c r="CE227" s="12"/>
      <c r="CF227" s="7"/>
      <c r="CG227" s="37"/>
      <c r="CH227" s="146"/>
      <c r="CI227" s="41"/>
      <c r="CJ227" s="60" t="str">
        <f t="shared" si="531"/>
        <v/>
      </c>
      <c r="CK227" s="32"/>
      <c r="CL227" s="32"/>
      <c r="CM227" s="32"/>
      <c r="CN227" s="32"/>
      <c r="CO227" s="58" t="str">
        <f t="shared" si="532"/>
        <v/>
      </c>
      <c r="CP227" s="20"/>
      <c r="CQ227" s="58" t="str">
        <f t="shared" si="533"/>
        <v/>
      </c>
      <c r="CR227" s="32"/>
      <c r="CS227" s="32"/>
      <c r="CT227" s="58" t="str">
        <f t="shared" si="534"/>
        <v/>
      </c>
      <c r="CU227" s="20"/>
      <c r="CV227" s="58" t="str">
        <f t="shared" si="535"/>
        <v/>
      </c>
      <c r="CW227" s="32"/>
      <c r="CX227" s="32"/>
      <c r="CY227" s="58" t="str">
        <f t="shared" si="536"/>
        <v/>
      </c>
      <c r="CZ227" s="58" t="str">
        <f t="shared" si="537"/>
        <v/>
      </c>
      <c r="DA227" s="58" t="str">
        <f t="shared" si="538"/>
        <v/>
      </c>
      <c r="DB227" s="59" t="str">
        <f t="shared" si="539"/>
        <v/>
      </c>
      <c r="DC227" s="12"/>
      <c r="DD227" s="146"/>
    </row>
    <row r="228" spans="1:108">
      <c r="A228" s="7"/>
      <c r="B228" s="23" t="str">
        <f>IF(_xlfn.XLOOKUP(A228, AutoFill_names!B:B, AutoFill_names!C:C,"")=0,"",_xlfn.XLOOKUP(A228, AutoFill_names!B:B, AutoFill_names!C:C,""))</f>
        <v/>
      </c>
      <c r="C228" s="23" t="str">
        <f>IF(_xlfn.XLOOKUP(A228, AutoFill_names!B:B, AutoFill_names!D:D,"")=0,"",_xlfn.XLOOKUP(A228, AutoFill_names!B:B, AutoFill_names!D:D,""))</f>
        <v/>
      </c>
      <c r="D228" s="23" t="str">
        <f>IF(_xlfn.XLOOKUP(A228, AutoFill_names!B:B, AutoFill_names!E:E,"")=0,"",_xlfn.XLOOKUP(A228, AutoFill_names!B:B, AutoFill_names!E:E,""))</f>
        <v/>
      </c>
      <c r="E228" s="23" t="str">
        <f>IF(_xlfn.XLOOKUP(A228, AutoFill_names!B:B, AutoFill_names!F:F,"")=0,"",_xlfn.XLOOKUP(A228, AutoFill_names!B:B, AutoFill_names!F:F,""))</f>
        <v/>
      </c>
      <c r="F228" s="4"/>
      <c r="G228" s="4"/>
      <c r="H228" s="4"/>
      <c r="I228" s="4"/>
      <c r="J228" s="23" t="str">
        <f>IF(_xlfn.XLOOKUP(A228, AutoFill_names!B:B, AutoFill_names!K:K,"")=0,"",_xlfn.XLOOKUP(A228, AutoFill_names!B:B, AutoFill_names!K:K,""))</f>
        <v/>
      </c>
      <c r="K228" s="23" t="str">
        <f>IF(_xlfn.XLOOKUP(A228, AutoFill_names!B:B, AutoFill_names!L:L,"")=0,"",_xlfn.XLOOKUP(A228, AutoFill_names!B:B, AutoFill_names!L:L,""))</f>
        <v/>
      </c>
      <c r="L228" s="8"/>
      <c r="M228" s="8"/>
      <c r="N228" s="61" t="str">
        <f>IF(_xlfn.XLOOKUP(L228, AutoFill_classes!A:A, AutoFill_classes!B:B,"")=0,"",_xlfn.XLOOKUP(L228, AutoFill_classes!A:A, AutoFill_classes!B:B,""))</f>
        <v/>
      </c>
      <c r="O228" s="154"/>
      <c r="P228" s="11"/>
      <c r="Q228" s="11"/>
      <c r="R228" s="11"/>
      <c r="S228" s="8"/>
      <c r="T228" s="8"/>
      <c r="U228" s="8"/>
      <c r="V228" s="7"/>
      <c r="W228" s="7"/>
      <c r="X228" s="146"/>
      <c r="Y228" s="37"/>
      <c r="Z228" s="60" t="str">
        <f t="shared" si="513"/>
        <v/>
      </c>
      <c r="AA228" s="40"/>
      <c r="AB228" s="40"/>
      <c r="AC228" s="40"/>
      <c r="AD228" s="40"/>
      <c r="AE228" s="58" t="str">
        <f t="shared" si="514"/>
        <v/>
      </c>
      <c r="AF228" s="12"/>
      <c r="AG228" s="58" t="str">
        <f t="shared" si="515"/>
        <v/>
      </c>
      <c r="AH228" s="40"/>
      <c r="AI228" s="40"/>
      <c r="AJ228" s="58" t="str">
        <f t="shared" si="516"/>
        <v/>
      </c>
      <c r="AK228" s="12"/>
      <c r="AL228" s="58" t="str">
        <f t="shared" si="517"/>
        <v/>
      </c>
      <c r="AM228" s="40"/>
      <c r="AN228" s="40"/>
      <c r="AO228" s="58" t="str">
        <f t="shared" si="518"/>
        <v/>
      </c>
      <c r="AP228" s="58" t="str">
        <f t="shared" si="519"/>
        <v/>
      </c>
      <c r="AQ228" s="58" t="str">
        <f t="shared" si="520"/>
        <v/>
      </c>
      <c r="AR228" s="59" t="str">
        <f t="shared" si="521"/>
        <v/>
      </c>
      <c r="AS228" s="12"/>
      <c r="AT228" s="49"/>
      <c r="AU228" s="49"/>
      <c r="AV228" s="61" t="str">
        <f>IF(_xlfn.XLOOKUP(AT228, AutoFill_classes!$A:$A, AutoFill_classes!$B:$B,"")=0,"",_xlfn.XLOOKUP(AT228, AutoFill_classes!$A:$A, AutoFill_classes!$B:$B,""))</f>
        <v/>
      </c>
      <c r="AW228" s="154"/>
      <c r="AX228" s="12"/>
      <c r="AY228" s="13"/>
      <c r="AZ228" s="12"/>
      <c r="BA228" s="13"/>
      <c r="BB228" s="13"/>
      <c r="BC228" s="146"/>
      <c r="BD228" s="37"/>
      <c r="BE228" s="60" t="str">
        <f t="shared" si="522"/>
        <v/>
      </c>
      <c r="BF228" s="32"/>
      <c r="BG228" s="32"/>
      <c r="BH228" s="32"/>
      <c r="BI228" s="32"/>
      <c r="BJ228" s="58" t="str">
        <f t="shared" si="523"/>
        <v/>
      </c>
      <c r="BK228" s="20"/>
      <c r="BL228" s="58" t="str">
        <f t="shared" si="524"/>
        <v/>
      </c>
      <c r="BM228" s="32"/>
      <c r="BN228" s="32"/>
      <c r="BO228" s="58" t="str">
        <f t="shared" si="525"/>
        <v/>
      </c>
      <c r="BP228" s="20"/>
      <c r="BQ228" s="58" t="str">
        <f t="shared" si="526"/>
        <v/>
      </c>
      <c r="BR228" s="32"/>
      <c r="BS228" s="32"/>
      <c r="BT228" s="58" t="str">
        <f t="shared" si="527"/>
        <v/>
      </c>
      <c r="BU228" s="58" t="str">
        <f t="shared" si="528"/>
        <v/>
      </c>
      <c r="BV228" s="58" t="str">
        <f t="shared" si="529"/>
        <v/>
      </c>
      <c r="BW228" s="59" t="str">
        <f t="shared" si="530"/>
        <v/>
      </c>
      <c r="BX228" s="12"/>
      <c r="BY228" s="49"/>
      <c r="BZ228" s="49"/>
      <c r="CA228" s="61" t="str">
        <f>IF(_xlfn.XLOOKUP(BY228, AutoFill_classes!$A:$A, AutoFill_classes!$B:$B,"")=0,"",_xlfn.XLOOKUP(BY228, AutoFill_classes!$A:$A, AutoFill_classes!$B:$B,""))</f>
        <v/>
      </c>
      <c r="CB228" s="154"/>
      <c r="CC228" s="12"/>
      <c r="CD228" s="12"/>
      <c r="CE228" s="12"/>
      <c r="CF228" s="7"/>
      <c r="CG228" s="37"/>
      <c r="CH228" s="146"/>
      <c r="CI228" s="41"/>
      <c r="CJ228" s="60" t="str">
        <f t="shared" si="531"/>
        <v/>
      </c>
      <c r="CK228" s="32"/>
      <c r="CL228" s="32"/>
      <c r="CM228" s="32"/>
      <c r="CN228" s="32"/>
      <c r="CO228" s="58" t="str">
        <f t="shared" si="532"/>
        <v/>
      </c>
      <c r="CP228" s="20"/>
      <c r="CQ228" s="58" t="str">
        <f t="shared" si="533"/>
        <v/>
      </c>
      <c r="CR228" s="32"/>
      <c r="CS228" s="32"/>
      <c r="CT228" s="58" t="str">
        <f t="shared" si="534"/>
        <v/>
      </c>
      <c r="CU228" s="20"/>
      <c r="CV228" s="58" t="str">
        <f t="shared" si="535"/>
        <v/>
      </c>
      <c r="CW228" s="32"/>
      <c r="CX228" s="32"/>
      <c r="CY228" s="58" t="str">
        <f t="shared" si="536"/>
        <v/>
      </c>
      <c r="CZ228" s="58" t="str">
        <f t="shared" si="537"/>
        <v/>
      </c>
      <c r="DA228" s="58" t="str">
        <f t="shared" si="538"/>
        <v/>
      </c>
      <c r="DB228" s="59" t="str">
        <f t="shared" si="539"/>
        <v/>
      </c>
      <c r="DC228" s="12"/>
      <c r="DD228" s="146"/>
    </row>
    <row r="229" spans="1:108">
      <c r="A229" s="7"/>
      <c r="B229" s="23" t="str">
        <f>IF(_xlfn.XLOOKUP(A229, AutoFill_names!B:B, AutoFill_names!C:C,"")=0,"",_xlfn.XLOOKUP(A229, AutoFill_names!B:B, AutoFill_names!C:C,""))</f>
        <v/>
      </c>
      <c r="C229" s="23" t="str">
        <f>IF(_xlfn.XLOOKUP(A229, AutoFill_names!B:B, AutoFill_names!D:D,"")=0,"",_xlfn.XLOOKUP(A229, AutoFill_names!B:B, AutoFill_names!D:D,""))</f>
        <v/>
      </c>
      <c r="D229" s="23" t="str">
        <f>IF(_xlfn.XLOOKUP(A229, AutoFill_names!B:B, AutoFill_names!E:E,"")=0,"",_xlfn.XLOOKUP(A229, AutoFill_names!B:B, AutoFill_names!E:E,""))</f>
        <v/>
      </c>
      <c r="E229" s="23" t="str">
        <f>IF(_xlfn.XLOOKUP(A229, AutoFill_names!B:B, AutoFill_names!F:F,"")=0,"",_xlfn.XLOOKUP(A229, AutoFill_names!B:B, AutoFill_names!F:F,""))</f>
        <v/>
      </c>
      <c r="F229" s="4"/>
      <c r="G229" s="4"/>
      <c r="H229" s="4"/>
      <c r="I229" s="4"/>
      <c r="J229" s="23" t="str">
        <f>IF(_xlfn.XLOOKUP(A229, AutoFill_names!B:B, AutoFill_names!K:K,"")=0,"",_xlfn.XLOOKUP(A229, AutoFill_names!B:B, AutoFill_names!K:K,""))</f>
        <v/>
      </c>
      <c r="K229" s="23" t="str">
        <f>IF(_xlfn.XLOOKUP(A229, AutoFill_names!B:B, AutoFill_names!L:L,"")=0,"",_xlfn.XLOOKUP(A229, AutoFill_names!B:B, AutoFill_names!L:L,""))</f>
        <v/>
      </c>
      <c r="L229" s="8"/>
      <c r="M229" s="8"/>
      <c r="N229" s="61" t="str">
        <f>IF(_xlfn.XLOOKUP(L229, AutoFill_classes!A:A, AutoFill_classes!B:B,"")=0,"",_xlfn.XLOOKUP(L229, AutoFill_classes!A:A, AutoFill_classes!B:B,""))</f>
        <v/>
      </c>
      <c r="O229" s="154"/>
      <c r="P229" s="11"/>
      <c r="Q229" s="11"/>
      <c r="R229" s="11"/>
      <c r="S229" s="8"/>
      <c r="T229" s="8"/>
      <c r="U229" s="8"/>
      <c r="V229" s="7"/>
      <c r="W229" s="7"/>
      <c r="X229" s="146"/>
      <c r="Y229" s="37"/>
      <c r="Z229" s="60" t="str">
        <f t="shared" si="513"/>
        <v/>
      </c>
      <c r="AA229" s="40"/>
      <c r="AB229" s="40"/>
      <c r="AC229" s="40"/>
      <c r="AD229" s="40"/>
      <c r="AE229" s="58" t="str">
        <f t="shared" si="514"/>
        <v/>
      </c>
      <c r="AF229" s="12"/>
      <c r="AG229" s="58" t="str">
        <f t="shared" si="515"/>
        <v/>
      </c>
      <c r="AH229" s="40"/>
      <c r="AI229" s="40"/>
      <c r="AJ229" s="58" t="str">
        <f t="shared" si="516"/>
        <v/>
      </c>
      <c r="AK229" s="12"/>
      <c r="AL229" s="58" t="str">
        <f t="shared" si="517"/>
        <v/>
      </c>
      <c r="AM229" s="40"/>
      <c r="AN229" s="40"/>
      <c r="AO229" s="58" t="str">
        <f t="shared" si="518"/>
        <v/>
      </c>
      <c r="AP229" s="58" t="str">
        <f t="shared" si="519"/>
        <v/>
      </c>
      <c r="AQ229" s="58" t="str">
        <f t="shared" si="520"/>
        <v/>
      </c>
      <c r="AR229" s="59" t="str">
        <f t="shared" si="521"/>
        <v/>
      </c>
      <c r="AS229" s="12"/>
      <c r="AT229" s="49"/>
      <c r="AU229" s="49"/>
      <c r="AV229" s="61" t="str">
        <f>IF(_xlfn.XLOOKUP(AT229, AutoFill_classes!$A:$A, AutoFill_classes!$B:$B,"")=0,"",_xlfn.XLOOKUP(AT229, AutoFill_classes!$A:$A, AutoFill_classes!$B:$B,""))</f>
        <v/>
      </c>
      <c r="AW229" s="154"/>
      <c r="AX229" s="12"/>
      <c r="AY229" s="13"/>
      <c r="AZ229" s="12"/>
      <c r="BA229" s="13"/>
      <c r="BB229" s="13"/>
      <c r="BC229" s="146"/>
      <c r="BD229" s="37"/>
      <c r="BE229" s="60" t="str">
        <f t="shared" si="522"/>
        <v/>
      </c>
      <c r="BF229" s="32"/>
      <c r="BG229" s="32"/>
      <c r="BH229" s="32"/>
      <c r="BI229" s="32"/>
      <c r="BJ229" s="58" t="str">
        <f t="shared" si="523"/>
        <v/>
      </c>
      <c r="BK229" s="20"/>
      <c r="BL229" s="58" t="str">
        <f t="shared" si="524"/>
        <v/>
      </c>
      <c r="BM229" s="32"/>
      <c r="BN229" s="32"/>
      <c r="BO229" s="58" t="str">
        <f t="shared" si="525"/>
        <v/>
      </c>
      <c r="BP229" s="20"/>
      <c r="BQ229" s="58" t="str">
        <f t="shared" si="526"/>
        <v/>
      </c>
      <c r="BR229" s="32"/>
      <c r="BS229" s="32"/>
      <c r="BT229" s="58" t="str">
        <f t="shared" si="527"/>
        <v/>
      </c>
      <c r="BU229" s="58" t="str">
        <f t="shared" si="528"/>
        <v/>
      </c>
      <c r="BV229" s="58" t="str">
        <f t="shared" si="529"/>
        <v/>
      </c>
      <c r="BW229" s="59" t="str">
        <f t="shared" si="530"/>
        <v/>
      </c>
      <c r="BX229" s="12"/>
      <c r="BY229" s="49"/>
      <c r="BZ229" s="49"/>
      <c r="CA229" s="61" t="str">
        <f>IF(_xlfn.XLOOKUP(BY229, AutoFill_classes!$A:$A, AutoFill_classes!$B:$B,"")=0,"",_xlfn.XLOOKUP(BY229, AutoFill_classes!$A:$A, AutoFill_classes!$B:$B,""))</f>
        <v/>
      </c>
      <c r="CB229" s="154"/>
      <c r="CC229" s="12"/>
      <c r="CD229" s="12"/>
      <c r="CE229" s="12"/>
      <c r="CF229" s="7"/>
      <c r="CG229" s="37"/>
      <c r="CH229" s="146"/>
      <c r="CI229" s="41"/>
      <c r="CJ229" s="60" t="str">
        <f t="shared" si="531"/>
        <v/>
      </c>
      <c r="CK229" s="32"/>
      <c r="CL229" s="32"/>
      <c r="CM229" s="32"/>
      <c r="CN229" s="32"/>
      <c r="CO229" s="58" t="str">
        <f t="shared" si="532"/>
        <v/>
      </c>
      <c r="CP229" s="20"/>
      <c r="CQ229" s="58" t="str">
        <f t="shared" si="533"/>
        <v/>
      </c>
      <c r="CR229" s="32"/>
      <c r="CS229" s="32"/>
      <c r="CT229" s="58" t="str">
        <f t="shared" si="534"/>
        <v/>
      </c>
      <c r="CU229" s="20"/>
      <c r="CV229" s="58" t="str">
        <f t="shared" si="535"/>
        <v/>
      </c>
      <c r="CW229" s="32"/>
      <c r="CX229" s="32"/>
      <c r="CY229" s="58" t="str">
        <f t="shared" si="536"/>
        <v/>
      </c>
      <c r="CZ229" s="58" t="str">
        <f t="shared" si="537"/>
        <v/>
      </c>
      <c r="DA229" s="58" t="str">
        <f t="shared" si="538"/>
        <v/>
      </c>
      <c r="DB229" s="59" t="str">
        <f t="shared" si="539"/>
        <v/>
      </c>
      <c r="DC229" s="12"/>
      <c r="DD229" s="146"/>
    </row>
    <row r="230" spans="1:108">
      <c r="A230" s="7"/>
      <c r="B230" s="23" t="str">
        <f>IF(_xlfn.XLOOKUP(A230, AutoFill_names!B:B, AutoFill_names!C:C,"")=0,"",_xlfn.XLOOKUP(A230, AutoFill_names!B:B, AutoFill_names!C:C,""))</f>
        <v/>
      </c>
      <c r="C230" s="23" t="str">
        <f>IF(_xlfn.XLOOKUP(A230, AutoFill_names!B:B, AutoFill_names!D:D,"")=0,"",_xlfn.XLOOKUP(A230, AutoFill_names!B:B, AutoFill_names!D:D,""))</f>
        <v/>
      </c>
      <c r="D230" s="23" t="str">
        <f>IF(_xlfn.XLOOKUP(A230, AutoFill_names!B:B, AutoFill_names!E:E,"")=0,"",_xlfn.XLOOKUP(A230, AutoFill_names!B:B, AutoFill_names!E:E,""))</f>
        <v/>
      </c>
      <c r="E230" s="23" t="str">
        <f>IF(_xlfn.XLOOKUP(A230, AutoFill_names!B:B, AutoFill_names!F:F,"")=0,"",_xlfn.XLOOKUP(A230, AutoFill_names!B:B, AutoFill_names!F:F,""))</f>
        <v/>
      </c>
      <c r="F230" s="4"/>
      <c r="G230" s="4"/>
      <c r="H230" s="4"/>
      <c r="I230" s="4"/>
      <c r="J230" s="23" t="str">
        <f>IF(_xlfn.XLOOKUP(A230, AutoFill_names!B:B, AutoFill_names!K:K,"")=0,"",_xlfn.XLOOKUP(A230, AutoFill_names!B:B, AutoFill_names!K:K,""))</f>
        <v/>
      </c>
      <c r="K230" s="23" t="str">
        <f>IF(_xlfn.XLOOKUP(A230, AutoFill_names!B:B, AutoFill_names!L:L,"")=0,"",_xlfn.XLOOKUP(A230, AutoFill_names!B:B, AutoFill_names!L:L,""))</f>
        <v/>
      </c>
      <c r="L230" s="8"/>
      <c r="M230" s="8"/>
      <c r="N230" s="61" t="str">
        <f>IF(_xlfn.XLOOKUP(L230, AutoFill_classes!A:A, AutoFill_classes!B:B,"")=0,"",_xlfn.XLOOKUP(L230, AutoFill_classes!A:A, AutoFill_classes!B:B,""))</f>
        <v/>
      </c>
      <c r="O230" s="154"/>
      <c r="P230" s="11"/>
      <c r="Q230" s="11"/>
      <c r="R230" s="11"/>
      <c r="S230" s="8"/>
      <c r="T230" s="8"/>
      <c r="U230" s="8"/>
      <c r="V230" s="7"/>
      <c r="W230" s="7"/>
      <c r="X230" s="146"/>
      <c r="Y230" s="37"/>
      <c r="Z230" s="60" t="str">
        <f t="shared" si="513"/>
        <v/>
      </c>
      <c r="AA230" s="40"/>
      <c r="AB230" s="40"/>
      <c r="AC230" s="40"/>
      <c r="AD230" s="40"/>
      <c r="AE230" s="58" t="str">
        <f t="shared" si="514"/>
        <v/>
      </c>
      <c r="AF230" s="12"/>
      <c r="AG230" s="58" t="str">
        <f t="shared" si="515"/>
        <v/>
      </c>
      <c r="AH230" s="40"/>
      <c r="AI230" s="40"/>
      <c r="AJ230" s="58" t="str">
        <f t="shared" si="516"/>
        <v/>
      </c>
      <c r="AK230" s="12"/>
      <c r="AL230" s="58" t="str">
        <f t="shared" si="517"/>
        <v/>
      </c>
      <c r="AM230" s="40"/>
      <c r="AN230" s="40"/>
      <c r="AO230" s="58" t="str">
        <f t="shared" si="518"/>
        <v/>
      </c>
      <c r="AP230" s="58" t="str">
        <f t="shared" si="519"/>
        <v/>
      </c>
      <c r="AQ230" s="58" t="str">
        <f t="shared" si="520"/>
        <v/>
      </c>
      <c r="AR230" s="59" t="str">
        <f t="shared" si="521"/>
        <v/>
      </c>
      <c r="AS230" s="12"/>
      <c r="AT230" s="49"/>
      <c r="AU230" s="49"/>
      <c r="AV230" s="61" t="str">
        <f>IF(_xlfn.XLOOKUP(AT230, AutoFill_classes!$A:$A, AutoFill_classes!$B:$B,"")=0,"",_xlfn.XLOOKUP(AT230, AutoFill_classes!$A:$A, AutoFill_classes!$B:$B,""))</f>
        <v/>
      </c>
      <c r="AW230" s="154"/>
      <c r="AX230" s="12"/>
      <c r="AY230" s="13"/>
      <c r="AZ230" s="12"/>
      <c r="BA230" s="13"/>
      <c r="BB230" s="13"/>
      <c r="BC230" s="146"/>
      <c r="BD230" s="37"/>
      <c r="BE230" s="60" t="str">
        <f t="shared" si="522"/>
        <v/>
      </c>
      <c r="BF230" s="32"/>
      <c r="BG230" s="32"/>
      <c r="BH230" s="32"/>
      <c r="BI230" s="32"/>
      <c r="BJ230" s="58" t="str">
        <f t="shared" si="523"/>
        <v/>
      </c>
      <c r="BK230" s="20"/>
      <c r="BL230" s="58" t="str">
        <f t="shared" si="524"/>
        <v/>
      </c>
      <c r="BM230" s="32"/>
      <c r="BN230" s="32"/>
      <c r="BO230" s="58" t="str">
        <f t="shared" si="525"/>
        <v/>
      </c>
      <c r="BP230" s="20"/>
      <c r="BQ230" s="58" t="str">
        <f t="shared" si="526"/>
        <v/>
      </c>
      <c r="BR230" s="32"/>
      <c r="BS230" s="32"/>
      <c r="BT230" s="58" t="str">
        <f t="shared" si="527"/>
        <v/>
      </c>
      <c r="BU230" s="58" t="str">
        <f t="shared" si="528"/>
        <v/>
      </c>
      <c r="BV230" s="58" t="str">
        <f t="shared" si="529"/>
        <v/>
      </c>
      <c r="BW230" s="59" t="str">
        <f t="shared" si="530"/>
        <v/>
      </c>
      <c r="BX230" s="12"/>
      <c r="BY230" s="49"/>
      <c r="BZ230" s="49"/>
      <c r="CA230" s="61" t="str">
        <f>IF(_xlfn.XLOOKUP(BY230, AutoFill_classes!$A:$A, AutoFill_classes!$B:$B,"")=0,"",_xlfn.XLOOKUP(BY230, AutoFill_classes!$A:$A, AutoFill_classes!$B:$B,""))</f>
        <v/>
      </c>
      <c r="CB230" s="154"/>
      <c r="CC230" s="12"/>
      <c r="CD230" s="12"/>
      <c r="CE230" s="12"/>
      <c r="CF230" s="7"/>
      <c r="CG230" s="37"/>
      <c r="CH230" s="146"/>
      <c r="CI230" s="41"/>
      <c r="CJ230" s="60" t="str">
        <f t="shared" si="531"/>
        <v/>
      </c>
      <c r="CK230" s="32"/>
      <c r="CL230" s="32"/>
      <c r="CM230" s="32"/>
      <c r="CN230" s="32"/>
      <c r="CO230" s="58" t="str">
        <f t="shared" si="532"/>
        <v/>
      </c>
      <c r="CP230" s="20"/>
      <c r="CQ230" s="58" t="str">
        <f t="shared" si="533"/>
        <v/>
      </c>
      <c r="CR230" s="32"/>
      <c r="CS230" s="32"/>
      <c r="CT230" s="58" t="str">
        <f t="shared" si="534"/>
        <v/>
      </c>
      <c r="CU230" s="20"/>
      <c r="CV230" s="58" t="str">
        <f t="shared" si="535"/>
        <v/>
      </c>
      <c r="CW230" s="32"/>
      <c r="CX230" s="32"/>
      <c r="CY230" s="58" t="str">
        <f t="shared" si="536"/>
        <v/>
      </c>
      <c r="CZ230" s="58" t="str">
        <f t="shared" si="537"/>
        <v/>
      </c>
      <c r="DA230" s="58" t="str">
        <f t="shared" si="538"/>
        <v/>
      </c>
      <c r="DB230" s="59" t="str">
        <f t="shared" si="539"/>
        <v/>
      </c>
      <c r="DC230" s="12"/>
      <c r="DD230" s="146"/>
    </row>
    <row r="231" spans="1:108">
      <c r="A231" s="7"/>
      <c r="B231" s="23" t="str">
        <f>IF(_xlfn.XLOOKUP(A231, AutoFill_names!B:B, AutoFill_names!C:C,"")=0,"",_xlfn.XLOOKUP(A231, AutoFill_names!B:B, AutoFill_names!C:C,""))</f>
        <v/>
      </c>
      <c r="C231" s="23" t="str">
        <f>IF(_xlfn.XLOOKUP(A231, AutoFill_names!B:B, AutoFill_names!D:D,"")=0,"",_xlfn.XLOOKUP(A231, AutoFill_names!B:B, AutoFill_names!D:D,""))</f>
        <v/>
      </c>
      <c r="D231" s="23" t="str">
        <f>IF(_xlfn.XLOOKUP(A231, AutoFill_names!B:B, AutoFill_names!E:E,"")=0,"",_xlfn.XLOOKUP(A231, AutoFill_names!B:B, AutoFill_names!E:E,""))</f>
        <v/>
      </c>
      <c r="E231" s="23" t="str">
        <f>IF(_xlfn.XLOOKUP(A231, AutoFill_names!B:B, AutoFill_names!F:F,"")=0,"",_xlfn.XLOOKUP(A231, AutoFill_names!B:B, AutoFill_names!F:F,""))</f>
        <v/>
      </c>
      <c r="F231" s="4"/>
      <c r="G231" s="4"/>
      <c r="H231" s="4"/>
      <c r="I231" s="4"/>
      <c r="J231" s="23" t="str">
        <f>IF(_xlfn.XLOOKUP(A231, AutoFill_names!B:B, AutoFill_names!K:K,"")=0,"",_xlfn.XLOOKUP(A231, AutoFill_names!B:B, AutoFill_names!K:K,""))</f>
        <v/>
      </c>
      <c r="K231" s="23" t="str">
        <f>IF(_xlfn.XLOOKUP(A231, AutoFill_names!B:B, AutoFill_names!L:L,"")=0,"",_xlfn.XLOOKUP(A231, AutoFill_names!B:B, AutoFill_names!L:L,""))</f>
        <v/>
      </c>
      <c r="L231" s="8"/>
      <c r="M231" s="8"/>
      <c r="N231" s="61" t="str">
        <f>IF(_xlfn.XLOOKUP(L231, AutoFill_classes!A:A, AutoFill_classes!B:B,"")=0,"",_xlfn.XLOOKUP(L231, AutoFill_classes!A:A, AutoFill_classes!B:B,""))</f>
        <v/>
      </c>
      <c r="O231" s="154"/>
      <c r="P231" s="11"/>
      <c r="Q231" s="11"/>
      <c r="R231" s="11"/>
      <c r="S231" s="8"/>
      <c r="T231" s="8"/>
      <c r="U231" s="8"/>
      <c r="V231" s="7"/>
      <c r="W231" s="7"/>
      <c r="X231" s="146"/>
      <c r="Y231" s="37"/>
      <c r="Z231" s="60" t="str">
        <f t="shared" si="513"/>
        <v/>
      </c>
      <c r="AA231" s="40"/>
      <c r="AB231" s="40"/>
      <c r="AC231" s="40"/>
      <c r="AD231" s="40"/>
      <c r="AE231" s="58" t="str">
        <f t="shared" si="514"/>
        <v/>
      </c>
      <c r="AF231" s="12"/>
      <c r="AG231" s="58" t="str">
        <f t="shared" si="515"/>
        <v/>
      </c>
      <c r="AH231" s="40"/>
      <c r="AI231" s="40"/>
      <c r="AJ231" s="58" t="str">
        <f t="shared" si="516"/>
        <v/>
      </c>
      <c r="AK231" s="12"/>
      <c r="AL231" s="58" t="str">
        <f t="shared" si="517"/>
        <v/>
      </c>
      <c r="AM231" s="40"/>
      <c r="AN231" s="40"/>
      <c r="AO231" s="58" t="str">
        <f t="shared" si="518"/>
        <v/>
      </c>
      <c r="AP231" s="58" t="str">
        <f t="shared" si="519"/>
        <v/>
      </c>
      <c r="AQ231" s="58" t="str">
        <f t="shared" si="520"/>
        <v/>
      </c>
      <c r="AR231" s="59" t="str">
        <f t="shared" si="521"/>
        <v/>
      </c>
      <c r="AS231" s="12"/>
      <c r="AT231" s="49"/>
      <c r="AU231" s="49"/>
      <c r="AV231" s="61" t="str">
        <f>IF(_xlfn.XLOOKUP(AT231, AutoFill_classes!$A:$A, AutoFill_classes!$B:$B,"")=0,"",_xlfn.XLOOKUP(AT231, AutoFill_classes!$A:$A, AutoFill_classes!$B:$B,""))</f>
        <v/>
      </c>
      <c r="AW231" s="154"/>
      <c r="AX231" s="12"/>
      <c r="AY231" s="13"/>
      <c r="AZ231" s="12"/>
      <c r="BA231" s="13"/>
      <c r="BB231" s="13"/>
      <c r="BC231" s="146"/>
      <c r="BD231" s="37"/>
      <c r="BE231" s="60" t="str">
        <f t="shared" si="522"/>
        <v/>
      </c>
      <c r="BF231" s="32"/>
      <c r="BG231" s="32"/>
      <c r="BH231" s="32"/>
      <c r="BI231" s="32"/>
      <c r="BJ231" s="58" t="str">
        <f t="shared" si="523"/>
        <v/>
      </c>
      <c r="BK231" s="20"/>
      <c r="BL231" s="58" t="str">
        <f t="shared" si="524"/>
        <v/>
      </c>
      <c r="BM231" s="32"/>
      <c r="BN231" s="32"/>
      <c r="BO231" s="58" t="str">
        <f t="shared" si="525"/>
        <v/>
      </c>
      <c r="BP231" s="20"/>
      <c r="BQ231" s="58" t="str">
        <f t="shared" si="526"/>
        <v/>
      </c>
      <c r="BR231" s="32"/>
      <c r="BS231" s="32"/>
      <c r="BT231" s="58" t="str">
        <f t="shared" si="527"/>
        <v/>
      </c>
      <c r="BU231" s="58" t="str">
        <f t="shared" si="528"/>
        <v/>
      </c>
      <c r="BV231" s="58" t="str">
        <f t="shared" si="529"/>
        <v/>
      </c>
      <c r="BW231" s="59" t="str">
        <f t="shared" si="530"/>
        <v/>
      </c>
      <c r="BX231" s="12"/>
      <c r="BY231" s="49"/>
      <c r="BZ231" s="49"/>
      <c r="CA231" s="61" t="str">
        <f>IF(_xlfn.XLOOKUP(BY231, AutoFill_classes!$A:$A, AutoFill_classes!$B:$B,"")=0,"",_xlfn.XLOOKUP(BY231, AutoFill_classes!$A:$A, AutoFill_classes!$B:$B,""))</f>
        <v/>
      </c>
      <c r="CB231" s="154"/>
      <c r="CC231" s="12"/>
      <c r="CD231" s="12"/>
      <c r="CE231" s="12"/>
      <c r="CF231" s="7"/>
      <c r="CG231" s="37"/>
      <c r="CH231" s="146"/>
      <c r="CI231" s="41"/>
      <c r="CJ231" s="60" t="str">
        <f t="shared" si="531"/>
        <v/>
      </c>
      <c r="CK231" s="32"/>
      <c r="CL231" s="32"/>
      <c r="CM231" s="32"/>
      <c r="CN231" s="32"/>
      <c r="CO231" s="58" t="str">
        <f t="shared" si="532"/>
        <v/>
      </c>
      <c r="CP231" s="20"/>
      <c r="CQ231" s="58" t="str">
        <f t="shared" si="533"/>
        <v/>
      </c>
      <c r="CR231" s="32"/>
      <c r="CS231" s="32"/>
      <c r="CT231" s="58" t="str">
        <f t="shared" si="534"/>
        <v/>
      </c>
      <c r="CU231" s="20"/>
      <c r="CV231" s="58" t="str">
        <f t="shared" si="535"/>
        <v/>
      </c>
      <c r="CW231" s="32"/>
      <c r="CX231" s="32"/>
      <c r="CY231" s="58" t="str">
        <f t="shared" si="536"/>
        <v/>
      </c>
      <c r="CZ231" s="58" t="str">
        <f t="shared" si="537"/>
        <v/>
      </c>
      <c r="DA231" s="58" t="str">
        <f t="shared" si="538"/>
        <v/>
      </c>
      <c r="DB231" s="59" t="str">
        <f t="shared" si="539"/>
        <v/>
      </c>
      <c r="DC231" s="12"/>
      <c r="DD231" s="146"/>
    </row>
    <row r="232" spans="1:108">
      <c r="A232" s="7"/>
      <c r="B232" s="23" t="str">
        <f>IF(_xlfn.XLOOKUP(A232, AutoFill_names!B:B, AutoFill_names!C:C,"")=0,"",_xlfn.XLOOKUP(A232, AutoFill_names!B:B, AutoFill_names!C:C,""))</f>
        <v/>
      </c>
      <c r="C232" s="23" t="str">
        <f>IF(_xlfn.XLOOKUP(A232, AutoFill_names!B:B, AutoFill_names!D:D,"")=0,"",_xlfn.XLOOKUP(A232, AutoFill_names!B:B, AutoFill_names!D:D,""))</f>
        <v/>
      </c>
      <c r="D232" s="23" t="str">
        <f>IF(_xlfn.XLOOKUP(A232, AutoFill_names!B:B, AutoFill_names!E:E,"")=0,"",_xlfn.XLOOKUP(A232, AutoFill_names!B:B, AutoFill_names!E:E,""))</f>
        <v/>
      </c>
      <c r="E232" s="23" t="str">
        <f>IF(_xlfn.XLOOKUP(A232, AutoFill_names!B:B, AutoFill_names!F:F,"")=0,"",_xlfn.XLOOKUP(A232, AutoFill_names!B:B, AutoFill_names!F:F,""))</f>
        <v/>
      </c>
      <c r="F232" s="4"/>
      <c r="G232" s="4"/>
      <c r="H232" s="4"/>
      <c r="I232" s="4"/>
      <c r="J232" s="23" t="str">
        <f>IF(_xlfn.XLOOKUP(A232, AutoFill_names!B:B, AutoFill_names!K:K,"")=0,"",_xlfn.XLOOKUP(A232, AutoFill_names!B:B, AutoFill_names!K:K,""))</f>
        <v/>
      </c>
      <c r="K232" s="23" t="str">
        <f>IF(_xlfn.XLOOKUP(A232, AutoFill_names!B:B, AutoFill_names!L:L,"")=0,"",_xlfn.XLOOKUP(A232, AutoFill_names!B:B, AutoFill_names!L:L,""))</f>
        <v/>
      </c>
      <c r="L232" s="8"/>
      <c r="M232" s="8"/>
      <c r="N232" s="61" t="str">
        <f>IF(_xlfn.XLOOKUP(L232, AutoFill_classes!A:A, AutoFill_classes!B:B,"")=0,"",_xlfn.XLOOKUP(L232, AutoFill_classes!A:A, AutoFill_classes!B:B,""))</f>
        <v/>
      </c>
      <c r="O232" s="154"/>
      <c r="P232" s="11"/>
      <c r="Q232" s="11"/>
      <c r="R232" s="11"/>
      <c r="S232" s="8"/>
      <c r="T232" s="8"/>
      <c r="U232" s="8"/>
      <c r="V232" s="7"/>
      <c r="W232" s="7"/>
      <c r="X232" s="146"/>
      <c r="Y232" s="37"/>
      <c r="Z232" s="60" t="str">
        <f t="shared" si="513"/>
        <v/>
      </c>
      <c r="AA232" s="40"/>
      <c r="AB232" s="40"/>
      <c r="AC232" s="40"/>
      <c r="AD232" s="40"/>
      <c r="AE232" s="58" t="str">
        <f t="shared" si="514"/>
        <v/>
      </c>
      <c r="AF232" s="12"/>
      <c r="AG232" s="58" t="str">
        <f t="shared" si="515"/>
        <v/>
      </c>
      <c r="AH232" s="40"/>
      <c r="AI232" s="40"/>
      <c r="AJ232" s="58" t="str">
        <f t="shared" si="516"/>
        <v/>
      </c>
      <c r="AK232" s="12"/>
      <c r="AL232" s="58" t="str">
        <f t="shared" si="517"/>
        <v/>
      </c>
      <c r="AM232" s="40"/>
      <c r="AN232" s="40"/>
      <c r="AO232" s="58" t="str">
        <f t="shared" si="518"/>
        <v/>
      </c>
      <c r="AP232" s="58" t="str">
        <f t="shared" si="519"/>
        <v/>
      </c>
      <c r="AQ232" s="58" t="str">
        <f t="shared" si="520"/>
        <v/>
      </c>
      <c r="AR232" s="59" t="str">
        <f t="shared" si="521"/>
        <v/>
      </c>
      <c r="AS232" s="12"/>
      <c r="AT232" s="49"/>
      <c r="AU232" s="49"/>
      <c r="AV232" s="61" t="str">
        <f>IF(_xlfn.XLOOKUP(AT232, AutoFill_classes!$A:$A, AutoFill_classes!$B:$B,"")=0,"",_xlfn.XLOOKUP(AT232, AutoFill_classes!$A:$A, AutoFill_classes!$B:$B,""))</f>
        <v/>
      </c>
      <c r="AW232" s="154"/>
      <c r="AX232" s="12"/>
      <c r="AY232" s="13"/>
      <c r="AZ232" s="12"/>
      <c r="BA232" s="13"/>
      <c r="BB232" s="13"/>
      <c r="BC232" s="146"/>
      <c r="BD232" s="37"/>
      <c r="BE232" s="60" t="str">
        <f t="shared" si="522"/>
        <v/>
      </c>
      <c r="BF232" s="32"/>
      <c r="BG232" s="32"/>
      <c r="BH232" s="32"/>
      <c r="BI232" s="32"/>
      <c r="BJ232" s="58" t="str">
        <f t="shared" si="523"/>
        <v/>
      </c>
      <c r="BK232" s="20"/>
      <c r="BL232" s="58" t="str">
        <f t="shared" si="524"/>
        <v/>
      </c>
      <c r="BM232" s="32"/>
      <c r="BN232" s="32"/>
      <c r="BO232" s="58" t="str">
        <f t="shared" si="525"/>
        <v/>
      </c>
      <c r="BP232" s="20"/>
      <c r="BQ232" s="58" t="str">
        <f t="shared" si="526"/>
        <v/>
      </c>
      <c r="BR232" s="32"/>
      <c r="BS232" s="32"/>
      <c r="BT232" s="58" t="str">
        <f t="shared" si="527"/>
        <v/>
      </c>
      <c r="BU232" s="58" t="str">
        <f t="shared" si="528"/>
        <v/>
      </c>
      <c r="BV232" s="58" t="str">
        <f t="shared" si="529"/>
        <v/>
      </c>
      <c r="BW232" s="59" t="str">
        <f t="shared" si="530"/>
        <v/>
      </c>
      <c r="BX232" s="12"/>
      <c r="BY232" s="49"/>
      <c r="BZ232" s="49"/>
      <c r="CA232" s="61" t="str">
        <f>IF(_xlfn.XLOOKUP(BY232, AutoFill_classes!$A:$A, AutoFill_classes!$B:$B,"")=0,"",_xlfn.XLOOKUP(BY232, AutoFill_classes!$A:$A, AutoFill_classes!$B:$B,""))</f>
        <v/>
      </c>
      <c r="CB232" s="154"/>
      <c r="CC232" s="12"/>
      <c r="CD232" s="12"/>
      <c r="CE232" s="12"/>
      <c r="CF232" s="7"/>
      <c r="CG232" s="37"/>
      <c r="CH232" s="146"/>
      <c r="CI232" s="41"/>
      <c r="CJ232" s="60" t="str">
        <f t="shared" si="531"/>
        <v/>
      </c>
      <c r="CK232" s="32"/>
      <c r="CL232" s="32"/>
      <c r="CM232" s="32"/>
      <c r="CN232" s="32"/>
      <c r="CO232" s="58" t="str">
        <f t="shared" si="532"/>
        <v/>
      </c>
      <c r="CP232" s="20"/>
      <c r="CQ232" s="58" t="str">
        <f t="shared" si="533"/>
        <v/>
      </c>
      <c r="CR232" s="32"/>
      <c r="CS232" s="32"/>
      <c r="CT232" s="58" t="str">
        <f t="shared" si="534"/>
        <v/>
      </c>
      <c r="CU232" s="20"/>
      <c r="CV232" s="58" t="str">
        <f t="shared" si="535"/>
        <v/>
      </c>
      <c r="CW232" s="32"/>
      <c r="CX232" s="32"/>
      <c r="CY232" s="58" t="str">
        <f t="shared" si="536"/>
        <v/>
      </c>
      <c r="CZ232" s="58" t="str">
        <f t="shared" si="537"/>
        <v/>
      </c>
      <c r="DA232" s="58" t="str">
        <f t="shared" si="538"/>
        <v/>
      </c>
      <c r="DB232" s="59" t="str">
        <f t="shared" si="539"/>
        <v/>
      </c>
      <c r="DC232" s="12"/>
      <c r="DD232" s="146"/>
    </row>
    <row r="233" spans="1:108">
      <c r="A233" s="7"/>
      <c r="B233" s="23" t="str">
        <f>IF(_xlfn.XLOOKUP(A233, AutoFill_names!B:B, AutoFill_names!C:C,"")=0,"",_xlfn.XLOOKUP(A233, AutoFill_names!B:B, AutoFill_names!C:C,""))</f>
        <v/>
      </c>
      <c r="C233" s="23" t="str">
        <f>IF(_xlfn.XLOOKUP(A233, AutoFill_names!B:B, AutoFill_names!D:D,"")=0,"",_xlfn.XLOOKUP(A233, AutoFill_names!B:B, AutoFill_names!D:D,""))</f>
        <v/>
      </c>
      <c r="D233" s="23" t="str">
        <f>IF(_xlfn.XLOOKUP(A233, AutoFill_names!B:B, AutoFill_names!E:E,"")=0,"",_xlfn.XLOOKUP(A233, AutoFill_names!B:B, AutoFill_names!E:E,""))</f>
        <v/>
      </c>
      <c r="E233" s="23" t="str">
        <f>IF(_xlfn.XLOOKUP(A233, AutoFill_names!B:B, AutoFill_names!F:F,"")=0,"",_xlfn.XLOOKUP(A233, AutoFill_names!B:B, AutoFill_names!F:F,""))</f>
        <v/>
      </c>
      <c r="F233" s="4"/>
      <c r="G233" s="4"/>
      <c r="H233" s="4"/>
      <c r="I233" s="4"/>
      <c r="J233" s="23" t="str">
        <f>IF(_xlfn.XLOOKUP(A233, AutoFill_names!B:B, AutoFill_names!K:K,"")=0,"",_xlfn.XLOOKUP(A233, AutoFill_names!B:B, AutoFill_names!K:K,""))</f>
        <v/>
      </c>
      <c r="K233" s="23" t="str">
        <f>IF(_xlfn.XLOOKUP(A233, AutoFill_names!B:B, AutoFill_names!L:L,"")=0,"",_xlfn.XLOOKUP(A233, AutoFill_names!B:B, AutoFill_names!L:L,""))</f>
        <v/>
      </c>
      <c r="L233" s="8"/>
      <c r="M233" s="8"/>
      <c r="N233" s="61" t="str">
        <f>IF(_xlfn.XLOOKUP(L233, AutoFill_classes!A:A, AutoFill_classes!B:B,"")=0,"",_xlfn.XLOOKUP(L233, AutoFill_classes!A:A, AutoFill_classes!B:B,""))</f>
        <v/>
      </c>
      <c r="O233" s="154"/>
      <c r="P233" s="11"/>
      <c r="Q233" s="11"/>
      <c r="R233" s="11"/>
      <c r="S233" s="8"/>
      <c r="T233" s="8"/>
      <c r="U233" s="8"/>
      <c r="V233" s="7"/>
      <c r="W233" s="7"/>
      <c r="X233" s="146"/>
      <c r="Y233" s="37"/>
      <c r="Z233" s="60" t="str">
        <f t="shared" si="513"/>
        <v/>
      </c>
      <c r="AA233" s="40"/>
      <c r="AB233" s="40"/>
      <c r="AC233" s="40"/>
      <c r="AD233" s="40"/>
      <c r="AE233" s="58" t="str">
        <f t="shared" si="514"/>
        <v/>
      </c>
      <c r="AF233" s="12"/>
      <c r="AG233" s="58" t="str">
        <f t="shared" si="515"/>
        <v/>
      </c>
      <c r="AH233" s="40"/>
      <c r="AI233" s="40"/>
      <c r="AJ233" s="58" t="str">
        <f t="shared" si="516"/>
        <v/>
      </c>
      <c r="AK233" s="12"/>
      <c r="AL233" s="58" t="str">
        <f t="shared" si="517"/>
        <v/>
      </c>
      <c r="AM233" s="40"/>
      <c r="AN233" s="40"/>
      <c r="AO233" s="58" t="str">
        <f t="shared" si="518"/>
        <v/>
      </c>
      <c r="AP233" s="58" t="str">
        <f t="shared" si="519"/>
        <v/>
      </c>
      <c r="AQ233" s="58" t="str">
        <f t="shared" si="520"/>
        <v/>
      </c>
      <c r="AR233" s="59" t="str">
        <f t="shared" si="521"/>
        <v/>
      </c>
      <c r="AS233" s="12"/>
      <c r="AT233" s="49"/>
      <c r="AU233" s="49"/>
      <c r="AV233" s="61" t="str">
        <f>IF(_xlfn.XLOOKUP(AT233, AutoFill_classes!$A:$A, AutoFill_classes!$B:$B,"")=0,"",_xlfn.XLOOKUP(AT233, AutoFill_classes!$A:$A, AutoFill_classes!$B:$B,""))</f>
        <v/>
      </c>
      <c r="AW233" s="154"/>
      <c r="AX233" s="12"/>
      <c r="AY233" s="13"/>
      <c r="AZ233" s="12"/>
      <c r="BA233" s="13"/>
      <c r="BB233" s="13"/>
      <c r="BC233" s="146"/>
      <c r="BD233" s="37"/>
      <c r="BE233" s="60" t="str">
        <f t="shared" si="522"/>
        <v/>
      </c>
      <c r="BF233" s="32"/>
      <c r="BG233" s="32"/>
      <c r="BH233" s="32"/>
      <c r="BI233" s="32"/>
      <c r="BJ233" s="58" t="str">
        <f t="shared" si="523"/>
        <v/>
      </c>
      <c r="BK233" s="20"/>
      <c r="BL233" s="58" t="str">
        <f t="shared" si="524"/>
        <v/>
      </c>
      <c r="BM233" s="32"/>
      <c r="BN233" s="32"/>
      <c r="BO233" s="58" t="str">
        <f t="shared" si="525"/>
        <v/>
      </c>
      <c r="BP233" s="20"/>
      <c r="BQ233" s="58" t="str">
        <f t="shared" si="526"/>
        <v/>
      </c>
      <c r="BR233" s="32"/>
      <c r="BS233" s="32"/>
      <c r="BT233" s="58" t="str">
        <f t="shared" si="527"/>
        <v/>
      </c>
      <c r="BU233" s="58" t="str">
        <f t="shared" si="528"/>
        <v/>
      </c>
      <c r="BV233" s="58" t="str">
        <f t="shared" si="529"/>
        <v/>
      </c>
      <c r="BW233" s="59" t="str">
        <f t="shared" si="530"/>
        <v/>
      </c>
      <c r="BX233" s="12"/>
      <c r="BY233" s="49"/>
      <c r="BZ233" s="49"/>
      <c r="CA233" s="61" t="str">
        <f>IF(_xlfn.XLOOKUP(BY233, AutoFill_classes!$A:$A, AutoFill_classes!$B:$B,"")=0,"",_xlfn.XLOOKUP(BY233, AutoFill_classes!$A:$A, AutoFill_classes!$B:$B,""))</f>
        <v/>
      </c>
      <c r="CB233" s="154"/>
      <c r="CC233" s="12"/>
      <c r="CD233" s="12"/>
      <c r="CE233" s="12"/>
      <c r="CF233" s="7"/>
      <c r="CG233" s="37"/>
      <c r="CH233" s="146"/>
      <c r="CI233" s="41"/>
      <c r="CJ233" s="60" t="str">
        <f t="shared" si="531"/>
        <v/>
      </c>
      <c r="CK233" s="32"/>
      <c r="CL233" s="32"/>
      <c r="CM233" s="32"/>
      <c r="CN233" s="32"/>
      <c r="CO233" s="58" t="str">
        <f t="shared" si="532"/>
        <v/>
      </c>
      <c r="CP233" s="20"/>
      <c r="CQ233" s="58" t="str">
        <f t="shared" si="533"/>
        <v/>
      </c>
      <c r="CR233" s="32"/>
      <c r="CS233" s="32"/>
      <c r="CT233" s="58" t="str">
        <f t="shared" si="534"/>
        <v/>
      </c>
      <c r="CU233" s="20"/>
      <c r="CV233" s="58" t="str">
        <f t="shared" si="535"/>
        <v/>
      </c>
      <c r="CW233" s="32"/>
      <c r="CX233" s="32"/>
      <c r="CY233" s="58" t="str">
        <f t="shared" si="536"/>
        <v/>
      </c>
      <c r="CZ233" s="58" t="str">
        <f t="shared" si="537"/>
        <v/>
      </c>
      <c r="DA233" s="58" t="str">
        <f t="shared" si="538"/>
        <v/>
      </c>
      <c r="DB233" s="59" t="str">
        <f t="shared" si="539"/>
        <v/>
      </c>
      <c r="DC233" s="12"/>
      <c r="DD233" s="146"/>
    </row>
    <row r="234" spans="1:108">
      <c r="A234" s="7"/>
      <c r="B234" s="23" t="str">
        <f>IF(_xlfn.XLOOKUP(A234, AutoFill_names!B:B, AutoFill_names!C:C,"")=0,"",_xlfn.XLOOKUP(A234, AutoFill_names!B:B, AutoFill_names!C:C,""))</f>
        <v/>
      </c>
      <c r="C234" s="23" t="str">
        <f>IF(_xlfn.XLOOKUP(A234, AutoFill_names!B:B, AutoFill_names!D:D,"")=0,"",_xlfn.XLOOKUP(A234, AutoFill_names!B:B, AutoFill_names!D:D,""))</f>
        <v/>
      </c>
      <c r="D234" s="23" t="str">
        <f>IF(_xlfn.XLOOKUP(A234, AutoFill_names!B:B, AutoFill_names!E:E,"")=0,"",_xlfn.XLOOKUP(A234, AutoFill_names!B:B, AutoFill_names!E:E,""))</f>
        <v/>
      </c>
      <c r="E234" s="23" t="str">
        <f>IF(_xlfn.XLOOKUP(A234, AutoFill_names!B:B, AutoFill_names!F:F,"")=0,"",_xlfn.XLOOKUP(A234, AutoFill_names!B:B, AutoFill_names!F:F,""))</f>
        <v/>
      </c>
      <c r="F234" s="4"/>
      <c r="G234" s="4"/>
      <c r="H234" s="4"/>
      <c r="I234" s="4"/>
      <c r="J234" s="23" t="str">
        <f>IF(_xlfn.XLOOKUP(A234, AutoFill_names!B:B, AutoFill_names!K:K,"")=0,"",_xlfn.XLOOKUP(A234, AutoFill_names!B:B, AutoFill_names!K:K,""))</f>
        <v/>
      </c>
      <c r="K234" s="23" t="str">
        <f>IF(_xlfn.XLOOKUP(A234, AutoFill_names!B:B, AutoFill_names!L:L,"")=0,"",_xlfn.XLOOKUP(A234, AutoFill_names!B:B, AutoFill_names!L:L,""))</f>
        <v/>
      </c>
      <c r="L234" s="8"/>
      <c r="M234" s="8"/>
      <c r="N234" s="61" t="str">
        <f>IF(_xlfn.XLOOKUP(L234, AutoFill_classes!A:A, AutoFill_classes!B:B,"")=0,"",_xlfn.XLOOKUP(L234, AutoFill_classes!A:A, AutoFill_classes!B:B,""))</f>
        <v/>
      </c>
      <c r="O234" s="154"/>
      <c r="P234" s="11"/>
      <c r="Q234" s="11"/>
      <c r="R234" s="11"/>
      <c r="S234" s="8"/>
      <c r="T234" s="8"/>
      <c r="U234" s="8"/>
      <c r="V234" s="7"/>
      <c r="W234" s="7"/>
      <c r="X234" s="146"/>
      <c r="Y234" s="37"/>
      <c r="Z234" s="60" t="str">
        <f t="shared" si="513"/>
        <v/>
      </c>
      <c r="AA234" s="40"/>
      <c r="AB234" s="40"/>
      <c r="AC234" s="40"/>
      <c r="AD234" s="40"/>
      <c r="AE234" s="58" t="str">
        <f t="shared" si="514"/>
        <v/>
      </c>
      <c r="AF234" s="12"/>
      <c r="AG234" s="58" t="str">
        <f t="shared" si="515"/>
        <v/>
      </c>
      <c r="AH234" s="40"/>
      <c r="AI234" s="40"/>
      <c r="AJ234" s="58" t="str">
        <f t="shared" si="516"/>
        <v/>
      </c>
      <c r="AK234" s="12"/>
      <c r="AL234" s="58" t="str">
        <f t="shared" si="517"/>
        <v/>
      </c>
      <c r="AM234" s="40"/>
      <c r="AN234" s="40"/>
      <c r="AO234" s="58" t="str">
        <f t="shared" si="518"/>
        <v/>
      </c>
      <c r="AP234" s="58" t="str">
        <f t="shared" si="519"/>
        <v/>
      </c>
      <c r="AQ234" s="58" t="str">
        <f t="shared" si="520"/>
        <v/>
      </c>
      <c r="AR234" s="59" t="str">
        <f t="shared" si="521"/>
        <v/>
      </c>
      <c r="AS234" s="12"/>
      <c r="AT234" s="49"/>
      <c r="AU234" s="49"/>
      <c r="AV234" s="61" t="str">
        <f>IF(_xlfn.XLOOKUP(AT234, AutoFill_classes!$A:$A, AutoFill_classes!$B:$B,"")=0,"",_xlfn.XLOOKUP(AT234, AutoFill_classes!$A:$A, AutoFill_classes!$B:$B,""))</f>
        <v/>
      </c>
      <c r="AW234" s="154"/>
      <c r="AX234" s="12"/>
      <c r="AY234" s="13"/>
      <c r="AZ234" s="12"/>
      <c r="BA234" s="13"/>
      <c r="BB234" s="13"/>
      <c r="BC234" s="146"/>
      <c r="BD234" s="37"/>
      <c r="BE234" s="60" t="str">
        <f t="shared" si="522"/>
        <v/>
      </c>
      <c r="BF234" s="32"/>
      <c r="BG234" s="32"/>
      <c r="BH234" s="32"/>
      <c r="BI234" s="32"/>
      <c r="BJ234" s="58" t="str">
        <f t="shared" si="523"/>
        <v/>
      </c>
      <c r="BK234" s="20"/>
      <c r="BL234" s="58" t="str">
        <f t="shared" si="524"/>
        <v/>
      </c>
      <c r="BM234" s="32"/>
      <c r="BN234" s="32"/>
      <c r="BO234" s="58" t="str">
        <f t="shared" si="525"/>
        <v/>
      </c>
      <c r="BP234" s="20"/>
      <c r="BQ234" s="58" t="str">
        <f t="shared" si="526"/>
        <v/>
      </c>
      <c r="BR234" s="32"/>
      <c r="BS234" s="32"/>
      <c r="BT234" s="58" t="str">
        <f t="shared" si="527"/>
        <v/>
      </c>
      <c r="BU234" s="58" t="str">
        <f t="shared" si="528"/>
        <v/>
      </c>
      <c r="BV234" s="58" t="str">
        <f t="shared" si="529"/>
        <v/>
      </c>
      <c r="BW234" s="59" t="str">
        <f t="shared" si="530"/>
        <v/>
      </c>
      <c r="BX234" s="12"/>
      <c r="BY234" s="49"/>
      <c r="BZ234" s="49"/>
      <c r="CA234" s="61" t="str">
        <f>IF(_xlfn.XLOOKUP(BY234, AutoFill_classes!$A:$A, AutoFill_classes!$B:$B,"")=0,"",_xlfn.XLOOKUP(BY234, AutoFill_classes!$A:$A, AutoFill_classes!$B:$B,""))</f>
        <v/>
      </c>
      <c r="CB234" s="154"/>
      <c r="CC234" s="12"/>
      <c r="CD234" s="12"/>
      <c r="CE234" s="12"/>
      <c r="CF234" s="7"/>
      <c r="CG234" s="37"/>
      <c r="CH234" s="146"/>
      <c r="CI234" s="41"/>
      <c r="CJ234" s="60" t="str">
        <f t="shared" si="531"/>
        <v/>
      </c>
      <c r="CK234" s="32"/>
      <c r="CL234" s="32"/>
      <c r="CM234" s="32"/>
      <c r="CN234" s="32"/>
      <c r="CO234" s="58" t="str">
        <f t="shared" si="532"/>
        <v/>
      </c>
      <c r="CP234" s="20"/>
      <c r="CQ234" s="58" t="str">
        <f t="shared" si="533"/>
        <v/>
      </c>
      <c r="CR234" s="32"/>
      <c r="CS234" s="32"/>
      <c r="CT234" s="58" t="str">
        <f t="shared" si="534"/>
        <v/>
      </c>
      <c r="CU234" s="20"/>
      <c r="CV234" s="58" t="str">
        <f t="shared" si="535"/>
        <v/>
      </c>
      <c r="CW234" s="32"/>
      <c r="CX234" s="32"/>
      <c r="CY234" s="58" t="str">
        <f t="shared" si="536"/>
        <v/>
      </c>
      <c r="CZ234" s="58" t="str">
        <f t="shared" si="537"/>
        <v/>
      </c>
      <c r="DA234" s="58" t="str">
        <f t="shared" si="538"/>
        <v/>
      </c>
      <c r="DB234" s="59" t="str">
        <f t="shared" si="539"/>
        <v/>
      </c>
      <c r="DC234" s="12"/>
      <c r="DD234" s="146"/>
    </row>
    <row r="235" spans="1:108">
      <c r="A235" s="7"/>
      <c r="B235" s="23" t="str">
        <f>IF(_xlfn.XLOOKUP(A235, AutoFill_names!B:B, AutoFill_names!C:C,"")=0,"",_xlfn.XLOOKUP(A235, AutoFill_names!B:B, AutoFill_names!C:C,""))</f>
        <v/>
      </c>
      <c r="C235" s="23" t="str">
        <f>IF(_xlfn.XLOOKUP(A235, AutoFill_names!B:B, AutoFill_names!D:D,"")=0,"",_xlfn.XLOOKUP(A235, AutoFill_names!B:B, AutoFill_names!D:D,""))</f>
        <v/>
      </c>
      <c r="D235" s="23" t="str">
        <f>IF(_xlfn.XLOOKUP(A235, AutoFill_names!B:B, AutoFill_names!E:E,"")=0,"",_xlfn.XLOOKUP(A235, AutoFill_names!B:B, AutoFill_names!E:E,""))</f>
        <v/>
      </c>
      <c r="E235" s="23" t="str">
        <f>IF(_xlfn.XLOOKUP(A235, AutoFill_names!B:B, AutoFill_names!F:F,"")=0,"",_xlfn.XLOOKUP(A235, AutoFill_names!B:B, AutoFill_names!F:F,""))</f>
        <v/>
      </c>
      <c r="F235" s="4"/>
      <c r="G235" s="4"/>
      <c r="H235" s="4"/>
      <c r="I235" s="4"/>
      <c r="J235" s="23" t="str">
        <f>IF(_xlfn.XLOOKUP(A235, AutoFill_names!B:B, AutoFill_names!K:K,"")=0,"",_xlfn.XLOOKUP(A235, AutoFill_names!B:B, AutoFill_names!K:K,""))</f>
        <v/>
      </c>
      <c r="K235" s="23" t="str">
        <f>IF(_xlfn.XLOOKUP(A235, AutoFill_names!B:B, AutoFill_names!L:L,"")=0,"",_xlfn.XLOOKUP(A235, AutoFill_names!B:B, AutoFill_names!L:L,""))</f>
        <v/>
      </c>
      <c r="L235" s="8"/>
      <c r="M235" s="8"/>
      <c r="N235" s="61" t="str">
        <f>IF(_xlfn.XLOOKUP(L235, AutoFill_classes!A:A, AutoFill_classes!B:B,"")=0,"",_xlfn.XLOOKUP(L235, AutoFill_classes!A:A, AutoFill_classes!B:B,""))</f>
        <v/>
      </c>
      <c r="O235" s="154"/>
      <c r="P235" s="11"/>
      <c r="Q235" s="11"/>
      <c r="R235" s="11"/>
      <c r="S235" s="8"/>
      <c r="T235" s="8"/>
      <c r="U235" s="8"/>
      <c r="V235" s="7"/>
      <c r="W235" s="7"/>
      <c r="X235" s="146"/>
      <c r="Y235" s="37"/>
      <c r="Z235" s="60" t="str">
        <f t="shared" si="513"/>
        <v/>
      </c>
      <c r="AA235" s="40"/>
      <c r="AB235" s="40"/>
      <c r="AC235" s="40"/>
      <c r="AD235" s="40"/>
      <c r="AE235" s="58" t="str">
        <f t="shared" si="514"/>
        <v/>
      </c>
      <c r="AF235" s="12"/>
      <c r="AG235" s="58" t="str">
        <f t="shared" si="515"/>
        <v/>
      </c>
      <c r="AH235" s="40"/>
      <c r="AI235" s="40"/>
      <c r="AJ235" s="58" t="str">
        <f t="shared" si="516"/>
        <v/>
      </c>
      <c r="AK235" s="12"/>
      <c r="AL235" s="58" t="str">
        <f t="shared" si="517"/>
        <v/>
      </c>
      <c r="AM235" s="40"/>
      <c r="AN235" s="40"/>
      <c r="AO235" s="58" t="str">
        <f t="shared" si="518"/>
        <v/>
      </c>
      <c r="AP235" s="58" t="str">
        <f t="shared" si="519"/>
        <v/>
      </c>
      <c r="AQ235" s="58" t="str">
        <f t="shared" si="520"/>
        <v/>
      </c>
      <c r="AR235" s="59" t="str">
        <f t="shared" si="521"/>
        <v/>
      </c>
      <c r="AS235" s="12"/>
      <c r="AT235" s="49"/>
      <c r="AU235" s="49"/>
      <c r="AV235" s="61" t="str">
        <f>IF(_xlfn.XLOOKUP(AT235, AutoFill_classes!$A:$A, AutoFill_classes!$B:$B,"")=0,"",_xlfn.XLOOKUP(AT235, AutoFill_classes!$A:$A, AutoFill_classes!$B:$B,""))</f>
        <v/>
      </c>
      <c r="AW235" s="154"/>
      <c r="AX235" s="12"/>
      <c r="AY235" s="13"/>
      <c r="AZ235" s="12"/>
      <c r="BA235" s="13"/>
      <c r="BB235" s="13"/>
      <c r="BC235" s="146"/>
      <c r="BD235" s="37"/>
      <c r="BE235" s="60" t="str">
        <f t="shared" si="522"/>
        <v/>
      </c>
      <c r="BF235" s="32"/>
      <c r="BG235" s="32"/>
      <c r="BH235" s="32"/>
      <c r="BI235" s="32"/>
      <c r="BJ235" s="58" t="str">
        <f t="shared" si="523"/>
        <v/>
      </c>
      <c r="BK235" s="20"/>
      <c r="BL235" s="58" t="str">
        <f t="shared" si="524"/>
        <v/>
      </c>
      <c r="BM235" s="32"/>
      <c r="BN235" s="32"/>
      <c r="BO235" s="58" t="str">
        <f t="shared" si="525"/>
        <v/>
      </c>
      <c r="BP235" s="20"/>
      <c r="BQ235" s="58" t="str">
        <f t="shared" si="526"/>
        <v/>
      </c>
      <c r="BR235" s="32"/>
      <c r="BS235" s="32"/>
      <c r="BT235" s="58" t="str">
        <f t="shared" si="527"/>
        <v/>
      </c>
      <c r="BU235" s="58" t="str">
        <f t="shared" si="528"/>
        <v/>
      </c>
      <c r="BV235" s="58" t="str">
        <f t="shared" si="529"/>
        <v/>
      </c>
      <c r="BW235" s="59" t="str">
        <f t="shared" si="530"/>
        <v/>
      </c>
      <c r="BX235" s="12"/>
      <c r="BY235" s="49"/>
      <c r="BZ235" s="49"/>
      <c r="CA235" s="61" t="str">
        <f>IF(_xlfn.XLOOKUP(BY235, AutoFill_classes!$A:$A, AutoFill_classes!$B:$B,"")=0,"",_xlfn.XLOOKUP(BY235, AutoFill_classes!$A:$A, AutoFill_classes!$B:$B,""))</f>
        <v/>
      </c>
      <c r="CB235" s="154"/>
      <c r="CC235" s="12"/>
      <c r="CD235" s="12"/>
      <c r="CE235" s="12"/>
      <c r="CF235" s="7"/>
      <c r="CG235" s="37"/>
      <c r="CH235" s="146"/>
      <c r="CI235" s="41"/>
      <c r="CJ235" s="60" t="str">
        <f t="shared" si="531"/>
        <v/>
      </c>
      <c r="CK235" s="32"/>
      <c r="CL235" s="32"/>
      <c r="CM235" s="32"/>
      <c r="CN235" s="32"/>
      <c r="CO235" s="58" t="str">
        <f t="shared" si="532"/>
        <v/>
      </c>
      <c r="CP235" s="20"/>
      <c r="CQ235" s="58" t="str">
        <f t="shared" si="533"/>
        <v/>
      </c>
      <c r="CR235" s="32"/>
      <c r="CS235" s="32"/>
      <c r="CT235" s="58" t="str">
        <f t="shared" si="534"/>
        <v/>
      </c>
      <c r="CU235" s="20"/>
      <c r="CV235" s="58" t="str">
        <f t="shared" si="535"/>
        <v/>
      </c>
      <c r="CW235" s="32"/>
      <c r="CX235" s="32"/>
      <c r="CY235" s="58" t="str">
        <f t="shared" si="536"/>
        <v/>
      </c>
      <c r="CZ235" s="58" t="str">
        <f t="shared" si="537"/>
        <v/>
      </c>
      <c r="DA235" s="58" t="str">
        <f t="shared" si="538"/>
        <v/>
      </c>
      <c r="DB235" s="59" t="str">
        <f t="shared" si="539"/>
        <v/>
      </c>
      <c r="DC235" s="12"/>
      <c r="DD235" s="146"/>
    </row>
    <row r="236" spans="1:108">
      <c r="A236" s="7"/>
      <c r="B236" s="23" t="str">
        <f>IF(_xlfn.XLOOKUP(A236, AutoFill_names!B:B, AutoFill_names!C:C,"")=0,"",_xlfn.XLOOKUP(A236, AutoFill_names!B:B, AutoFill_names!C:C,""))</f>
        <v/>
      </c>
      <c r="C236" s="23" t="str">
        <f>IF(_xlfn.XLOOKUP(A236, AutoFill_names!B:B, AutoFill_names!D:D,"")=0,"",_xlfn.XLOOKUP(A236, AutoFill_names!B:B, AutoFill_names!D:D,""))</f>
        <v/>
      </c>
      <c r="D236" s="23" t="str">
        <f>IF(_xlfn.XLOOKUP(A236, AutoFill_names!B:B, AutoFill_names!E:E,"")=0,"",_xlfn.XLOOKUP(A236, AutoFill_names!B:B, AutoFill_names!E:E,""))</f>
        <v/>
      </c>
      <c r="E236" s="23" t="str">
        <f>IF(_xlfn.XLOOKUP(A236, AutoFill_names!B:B, AutoFill_names!F:F,"")=0,"",_xlfn.XLOOKUP(A236, AutoFill_names!B:B, AutoFill_names!F:F,""))</f>
        <v/>
      </c>
      <c r="F236" s="4"/>
      <c r="G236" s="4"/>
      <c r="H236" s="4"/>
      <c r="I236" s="4"/>
      <c r="J236" s="23" t="str">
        <f>IF(_xlfn.XLOOKUP(A236, AutoFill_names!B:B, AutoFill_names!K:K,"")=0,"",_xlfn.XLOOKUP(A236, AutoFill_names!B:B, AutoFill_names!K:K,""))</f>
        <v/>
      </c>
      <c r="K236" s="23" t="str">
        <f>IF(_xlfn.XLOOKUP(A236, AutoFill_names!B:B, AutoFill_names!L:L,"")=0,"",_xlfn.XLOOKUP(A236, AutoFill_names!B:B, AutoFill_names!L:L,""))</f>
        <v/>
      </c>
      <c r="L236" s="8"/>
      <c r="M236" s="8"/>
      <c r="N236" s="61" t="str">
        <f>IF(_xlfn.XLOOKUP(L236, AutoFill_classes!A:A, AutoFill_classes!B:B,"")=0,"",_xlfn.XLOOKUP(L236, AutoFill_classes!A:A, AutoFill_classes!B:B,""))</f>
        <v/>
      </c>
      <c r="O236" s="154"/>
      <c r="P236" s="11"/>
      <c r="Q236" s="11"/>
      <c r="R236" s="11"/>
      <c r="S236" s="8"/>
      <c r="T236" s="8"/>
      <c r="U236" s="8"/>
      <c r="V236" s="7"/>
      <c r="W236" s="7"/>
      <c r="X236" s="146"/>
      <c r="Y236" s="37"/>
      <c r="Z236" s="60" t="str">
        <f t="shared" si="513"/>
        <v/>
      </c>
      <c r="AA236" s="40"/>
      <c r="AB236" s="40"/>
      <c r="AC236" s="40"/>
      <c r="AD236" s="40"/>
      <c r="AE236" s="58" t="str">
        <f t="shared" si="514"/>
        <v/>
      </c>
      <c r="AF236" s="12"/>
      <c r="AG236" s="58" t="str">
        <f t="shared" si="515"/>
        <v/>
      </c>
      <c r="AH236" s="40"/>
      <c r="AI236" s="40"/>
      <c r="AJ236" s="58" t="str">
        <f t="shared" si="516"/>
        <v/>
      </c>
      <c r="AK236" s="12"/>
      <c r="AL236" s="58" t="str">
        <f t="shared" si="517"/>
        <v/>
      </c>
      <c r="AM236" s="40"/>
      <c r="AN236" s="40"/>
      <c r="AO236" s="58" t="str">
        <f t="shared" si="518"/>
        <v/>
      </c>
      <c r="AP236" s="58" t="str">
        <f t="shared" si="519"/>
        <v/>
      </c>
      <c r="AQ236" s="58" t="str">
        <f t="shared" si="520"/>
        <v/>
      </c>
      <c r="AR236" s="59" t="str">
        <f t="shared" si="521"/>
        <v/>
      </c>
      <c r="AS236" s="12"/>
      <c r="AT236" s="49"/>
      <c r="AU236" s="49"/>
      <c r="AV236" s="61" t="str">
        <f>IF(_xlfn.XLOOKUP(AT236, AutoFill_classes!$A:$A, AutoFill_classes!$B:$B,"")=0,"",_xlfn.XLOOKUP(AT236, AutoFill_classes!$A:$A, AutoFill_classes!$B:$B,""))</f>
        <v/>
      </c>
      <c r="AW236" s="154"/>
      <c r="AX236" s="12"/>
      <c r="AY236" s="13"/>
      <c r="AZ236" s="12"/>
      <c r="BA236" s="13"/>
      <c r="BB236" s="13"/>
      <c r="BC236" s="146"/>
      <c r="BD236" s="37"/>
      <c r="BE236" s="60" t="str">
        <f t="shared" si="522"/>
        <v/>
      </c>
      <c r="BF236" s="32"/>
      <c r="BG236" s="32"/>
      <c r="BH236" s="32"/>
      <c r="BI236" s="32"/>
      <c r="BJ236" s="58" t="str">
        <f t="shared" si="523"/>
        <v/>
      </c>
      <c r="BK236" s="20"/>
      <c r="BL236" s="58" t="str">
        <f t="shared" si="524"/>
        <v/>
      </c>
      <c r="BM236" s="32"/>
      <c r="BN236" s="32"/>
      <c r="BO236" s="58" t="str">
        <f t="shared" si="525"/>
        <v/>
      </c>
      <c r="BP236" s="20"/>
      <c r="BQ236" s="58" t="str">
        <f t="shared" si="526"/>
        <v/>
      </c>
      <c r="BR236" s="32"/>
      <c r="BS236" s="32"/>
      <c r="BT236" s="58" t="str">
        <f t="shared" si="527"/>
        <v/>
      </c>
      <c r="BU236" s="58" t="str">
        <f t="shared" si="528"/>
        <v/>
      </c>
      <c r="BV236" s="58" t="str">
        <f t="shared" si="529"/>
        <v/>
      </c>
      <c r="BW236" s="59" t="str">
        <f t="shared" si="530"/>
        <v/>
      </c>
      <c r="BX236" s="12"/>
      <c r="BY236" s="49"/>
      <c r="BZ236" s="49"/>
      <c r="CA236" s="61" t="str">
        <f>IF(_xlfn.XLOOKUP(BY236, AutoFill_classes!$A:$A, AutoFill_classes!$B:$B,"")=0,"",_xlfn.XLOOKUP(BY236, AutoFill_classes!$A:$A, AutoFill_classes!$B:$B,""))</f>
        <v/>
      </c>
      <c r="CB236" s="154"/>
      <c r="CC236" s="12"/>
      <c r="CD236" s="12"/>
      <c r="CE236" s="12"/>
      <c r="CF236" s="7"/>
      <c r="CG236" s="37"/>
      <c r="CH236" s="146"/>
      <c r="CI236" s="41"/>
      <c r="CJ236" s="60" t="str">
        <f t="shared" si="531"/>
        <v/>
      </c>
      <c r="CK236" s="32"/>
      <c r="CL236" s="32"/>
      <c r="CM236" s="32"/>
      <c r="CN236" s="32"/>
      <c r="CO236" s="58" t="str">
        <f t="shared" si="532"/>
        <v/>
      </c>
      <c r="CP236" s="20"/>
      <c r="CQ236" s="58" t="str">
        <f t="shared" si="533"/>
        <v/>
      </c>
      <c r="CR236" s="32"/>
      <c r="CS236" s="32"/>
      <c r="CT236" s="58" t="str">
        <f t="shared" si="534"/>
        <v/>
      </c>
      <c r="CU236" s="20"/>
      <c r="CV236" s="58" t="str">
        <f t="shared" si="535"/>
        <v/>
      </c>
      <c r="CW236" s="32"/>
      <c r="CX236" s="32"/>
      <c r="CY236" s="58" t="str">
        <f t="shared" si="536"/>
        <v/>
      </c>
      <c r="CZ236" s="58" t="str">
        <f t="shared" si="537"/>
        <v/>
      </c>
      <c r="DA236" s="58" t="str">
        <f t="shared" si="538"/>
        <v/>
      </c>
      <c r="DB236" s="59" t="str">
        <f t="shared" si="539"/>
        <v/>
      </c>
      <c r="DC236" s="12"/>
      <c r="DD236" s="146"/>
    </row>
    <row r="237" spans="1:108">
      <c r="A237" s="7"/>
      <c r="B237" s="23" t="str">
        <f>IF(_xlfn.XLOOKUP(A237, AutoFill_names!B:B, AutoFill_names!C:C,"")=0,"",_xlfn.XLOOKUP(A237, AutoFill_names!B:B, AutoFill_names!C:C,""))</f>
        <v/>
      </c>
      <c r="C237" s="23" t="str">
        <f>IF(_xlfn.XLOOKUP(A237, AutoFill_names!B:B, AutoFill_names!D:D,"")=0,"",_xlfn.XLOOKUP(A237, AutoFill_names!B:B, AutoFill_names!D:D,""))</f>
        <v/>
      </c>
      <c r="D237" s="23" t="str">
        <f>IF(_xlfn.XLOOKUP(A237, AutoFill_names!B:B, AutoFill_names!E:E,"")=0,"",_xlfn.XLOOKUP(A237, AutoFill_names!B:B, AutoFill_names!E:E,""))</f>
        <v/>
      </c>
      <c r="E237" s="23" t="str">
        <f>IF(_xlfn.XLOOKUP(A237, AutoFill_names!B:B, AutoFill_names!F:F,"")=0,"",_xlfn.XLOOKUP(A237, AutoFill_names!B:B, AutoFill_names!F:F,""))</f>
        <v/>
      </c>
      <c r="F237" s="4"/>
      <c r="G237" s="4"/>
      <c r="H237" s="4"/>
      <c r="I237" s="4"/>
      <c r="J237" s="23" t="str">
        <f>IF(_xlfn.XLOOKUP(A237, AutoFill_names!B:B, AutoFill_names!K:K,"")=0,"",_xlfn.XLOOKUP(A237, AutoFill_names!B:B, AutoFill_names!K:K,""))</f>
        <v/>
      </c>
      <c r="K237" s="23" t="str">
        <f>IF(_xlfn.XLOOKUP(A237, AutoFill_names!B:B, AutoFill_names!L:L,"")=0,"",_xlfn.XLOOKUP(A237, AutoFill_names!B:B, AutoFill_names!L:L,""))</f>
        <v/>
      </c>
      <c r="L237" s="8"/>
      <c r="M237" s="8"/>
      <c r="N237" s="61" t="str">
        <f>IF(_xlfn.XLOOKUP(L237, AutoFill_classes!A:A, AutoFill_classes!B:B,"")=0,"",_xlfn.XLOOKUP(L237, AutoFill_classes!A:A, AutoFill_classes!B:B,""))</f>
        <v/>
      </c>
      <c r="O237" s="154"/>
      <c r="P237" s="11"/>
      <c r="Q237" s="11"/>
      <c r="R237" s="11"/>
      <c r="S237" s="8"/>
      <c r="T237" s="8"/>
      <c r="U237" s="8"/>
      <c r="V237" s="7"/>
      <c r="W237" s="7"/>
      <c r="X237" s="146"/>
      <c r="Y237" s="37"/>
      <c r="Z237" s="60" t="str">
        <f t="shared" si="513"/>
        <v/>
      </c>
      <c r="AA237" s="40"/>
      <c r="AB237" s="40"/>
      <c r="AC237" s="40"/>
      <c r="AD237" s="40"/>
      <c r="AE237" s="58" t="str">
        <f t="shared" si="514"/>
        <v/>
      </c>
      <c r="AF237" s="12"/>
      <c r="AG237" s="58" t="str">
        <f t="shared" si="515"/>
        <v/>
      </c>
      <c r="AH237" s="40"/>
      <c r="AI237" s="40"/>
      <c r="AJ237" s="58" t="str">
        <f t="shared" si="516"/>
        <v/>
      </c>
      <c r="AK237" s="12"/>
      <c r="AL237" s="58" t="str">
        <f t="shared" si="517"/>
        <v/>
      </c>
      <c r="AM237" s="40"/>
      <c r="AN237" s="40"/>
      <c r="AO237" s="58" t="str">
        <f t="shared" si="518"/>
        <v/>
      </c>
      <c r="AP237" s="58" t="str">
        <f t="shared" si="519"/>
        <v/>
      </c>
      <c r="AQ237" s="58" t="str">
        <f t="shared" si="520"/>
        <v/>
      </c>
      <c r="AR237" s="59" t="str">
        <f t="shared" si="521"/>
        <v/>
      </c>
      <c r="AS237" s="12"/>
      <c r="AT237" s="49"/>
      <c r="AU237" s="49"/>
      <c r="AV237" s="61" t="str">
        <f>IF(_xlfn.XLOOKUP(AT237, AutoFill_classes!$A:$A, AutoFill_classes!$B:$B,"")=0,"",_xlfn.XLOOKUP(AT237, AutoFill_classes!$A:$A, AutoFill_classes!$B:$B,""))</f>
        <v/>
      </c>
      <c r="AW237" s="154"/>
      <c r="AX237" s="12"/>
      <c r="AY237" s="13"/>
      <c r="AZ237" s="12"/>
      <c r="BA237" s="13"/>
      <c r="BB237" s="13"/>
      <c r="BC237" s="146"/>
      <c r="BD237" s="37"/>
      <c r="BE237" s="60" t="str">
        <f t="shared" si="522"/>
        <v/>
      </c>
      <c r="BF237" s="32"/>
      <c r="BG237" s="32"/>
      <c r="BH237" s="32"/>
      <c r="BI237" s="32"/>
      <c r="BJ237" s="58" t="str">
        <f t="shared" si="523"/>
        <v/>
      </c>
      <c r="BK237" s="20"/>
      <c r="BL237" s="58" t="str">
        <f t="shared" si="524"/>
        <v/>
      </c>
      <c r="BM237" s="32"/>
      <c r="BN237" s="32"/>
      <c r="BO237" s="58" t="str">
        <f t="shared" si="525"/>
        <v/>
      </c>
      <c r="BP237" s="20"/>
      <c r="BQ237" s="58" t="str">
        <f t="shared" si="526"/>
        <v/>
      </c>
      <c r="BR237" s="32"/>
      <c r="BS237" s="32"/>
      <c r="BT237" s="58" t="str">
        <f t="shared" si="527"/>
        <v/>
      </c>
      <c r="BU237" s="58" t="str">
        <f t="shared" si="528"/>
        <v/>
      </c>
      <c r="BV237" s="58" t="str">
        <f t="shared" si="529"/>
        <v/>
      </c>
      <c r="BW237" s="59" t="str">
        <f t="shared" si="530"/>
        <v/>
      </c>
      <c r="BX237" s="12"/>
      <c r="BY237" s="49"/>
      <c r="BZ237" s="49"/>
      <c r="CA237" s="61" t="str">
        <f>IF(_xlfn.XLOOKUP(BY237, AutoFill_classes!$A:$A, AutoFill_classes!$B:$B,"")=0,"",_xlfn.XLOOKUP(BY237, AutoFill_classes!$A:$A, AutoFill_classes!$B:$B,""))</f>
        <v/>
      </c>
      <c r="CB237" s="154"/>
      <c r="CC237" s="12"/>
      <c r="CD237" s="12"/>
      <c r="CE237" s="12"/>
      <c r="CF237" s="7"/>
      <c r="CG237" s="37"/>
      <c r="CH237" s="146"/>
      <c r="CI237" s="41"/>
      <c r="CJ237" s="60" t="str">
        <f t="shared" si="531"/>
        <v/>
      </c>
      <c r="CK237" s="32"/>
      <c r="CL237" s="32"/>
      <c r="CM237" s="32"/>
      <c r="CN237" s="32"/>
      <c r="CO237" s="58" t="str">
        <f t="shared" si="532"/>
        <v/>
      </c>
      <c r="CP237" s="20"/>
      <c r="CQ237" s="58" t="str">
        <f t="shared" si="533"/>
        <v/>
      </c>
      <c r="CR237" s="32"/>
      <c r="CS237" s="32"/>
      <c r="CT237" s="58" t="str">
        <f t="shared" si="534"/>
        <v/>
      </c>
      <c r="CU237" s="20"/>
      <c r="CV237" s="58" t="str">
        <f t="shared" si="535"/>
        <v/>
      </c>
      <c r="CW237" s="32"/>
      <c r="CX237" s="32"/>
      <c r="CY237" s="58" t="str">
        <f t="shared" si="536"/>
        <v/>
      </c>
      <c r="CZ237" s="58" t="str">
        <f t="shared" si="537"/>
        <v/>
      </c>
      <c r="DA237" s="58" t="str">
        <f t="shared" si="538"/>
        <v/>
      </c>
      <c r="DB237" s="59" t="str">
        <f t="shared" si="539"/>
        <v/>
      </c>
      <c r="DC237" s="12"/>
      <c r="DD237" s="146"/>
    </row>
    <row r="238" spans="1:108">
      <c r="A238" s="7"/>
      <c r="B238" s="23" t="str">
        <f>IF(_xlfn.XLOOKUP(A238, AutoFill_names!B:B, AutoFill_names!C:C,"")=0,"",_xlfn.XLOOKUP(A238, AutoFill_names!B:B, AutoFill_names!C:C,""))</f>
        <v/>
      </c>
      <c r="C238" s="23" t="str">
        <f>IF(_xlfn.XLOOKUP(A238, AutoFill_names!B:B, AutoFill_names!D:D,"")=0,"",_xlfn.XLOOKUP(A238, AutoFill_names!B:B, AutoFill_names!D:D,""))</f>
        <v/>
      </c>
      <c r="D238" s="23" t="str">
        <f>IF(_xlfn.XLOOKUP(A238, AutoFill_names!B:B, AutoFill_names!E:E,"")=0,"",_xlfn.XLOOKUP(A238, AutoFill_names!B:B, AutoFill_names!E:E,""))</f>
        <v/>
      </c>
      <c r="E238" s="23" t="str">
        <f>IF(_xlfn.XLOOKUP(A238, AutoFill_names!B:B, AutoFill_names!F:F,"")=0,"",_xlfn.XLOOKUP(A238, AutoFill_names!B:B, AutoFill_names!F:F,""))</f>
        <v/>
      </c>
      <c r="F238" s="4"/>
      <c r="G238" s="4"/>
      <c r="H238" s="4"/>
      <c r="I238" s="4"/>
      <c r="J238" s="23" t="str">
        <f>IF(_xlfn.XLOOKUP(A238, AutoFill_names!B:B, AutoFill_names!K:K,"")=0,"",_xlfn.XLOOKUP(A238, AutoFill_names!B:B, AutoFill_names!K:K,""))</f>
        <v/>
      </c>
      <c r="K238" s="23" t="str">
        <f>IF(_xlfn.XLOOKUP(A238, AutoFill_names!B:B, AutoFill_names!L:L,"")=0,"",_xlfn.XLOOKUP(A238, AutoFill_names!B:B, AutoFill_names!L:L,""))</f>
        <v/>
      </c>
      <c r="L238" s="8"/>
      <c r="M238" s="8"/>
      <c r="N238" s="61" t="str">
        <f>IF(_xlfn.XLOOKUP(L238, AutoFill_classes!A:A, AutoFill_classes!B:B,"")=0,"",_xlfn.XLOOKUP(L238, AutoFill_classes!A:A, AutoFill_classes!B:B,""))</f>
        <v/>
      </c>
      <c r="O238" s="154"/>
      <c r="P238" s="11"/>
      <c r="Q238" s="11"/>
      <c r="R238" s="11"/>
      <c r="S238" s="8"/>
      <c r="T238" s="8"/>
      <c r="U238" s="8"/>
      <c r="V238" s="7"/>
      <c r="W238" s="7"/>
      <c r="X238" s="146"/>
      <c r="Y238" s="37"/>
      <c r="Z238" s="60" t="str">
        <f t="shared" si="513"/>
        <v/>
      </c>
      <c r="AA238" s="40"/>
      <c r="AB238" s="40"/>
      <c r="AC238" s="40"/>
      <c r="AD238" s="40"/>
      <c r="AE238" s="58" t="str">
        <f t="shared" si="514"/>
        <v/>
      </c>
      <c r="AF238" s="12"/>
      <c r="AG238" s="58" t="str">
        <f t="shared" si="515"/>
        <v/>
      </c>
      <c r="AH238" s="40"/>
      <c r="AI238" s="40"/>
      <c r="AJ238" s="58" t="str">
        <f t="shared" si="516"/>
        <v/>
      </c>
      <c r="AK238" s="12"/>
      <c r="AL238" s="58" t="str">
        <f t="shared" si="517"/>
        <v/>
      </c>
      <c r="AM238" s="40"/>
      <c r="AN238" s="40"/>
      <c r="AO238" s="58" t="str">
        <f t="shared" si="518"/>
        <v/>
      </c>
      <c r="AP238" s="58" t="str">
        <f t="shared" si="519"/>
        <v/>
      </c>
      <c r="AQ238" s="58" t="str">
        <f t="shared" si="520"/>
        <v/>
      </c>
      <c r="AR238" s="59" t="str">
        <f t="shared" si="521"/>
        <v/>
      </c>
      <c r="AS238" s="12"/>
      <c r="AT238" s="49"/>
      <c r="AU238" s="49"/>
      <c r="AV238" s="61" t="str">
        <f>IF(_xlfn.XLOOKUP(AT238, AutoFill_classes!$A:$A, AutoFill_classes!$B:$B,"")=0,"",_xlfn.XLOOKUP(AT238, AutoFill_classes!$A:$A, AutoFill_classes!$B:$B,""))</f>
        <v/>
      </c>
      <c r="AW238" s="154"/>
      <c r="AX238" s="12"/>
      <c r="AY238" s="13"/>
      <c r="AZ238" s="12"/>
      <c r="BA238" s="13"/>
      <c r="BB238" s="13"/>
      <c r="BC238" s="146"/>
      <c r="BD238" s="37"/>
      <c r="BE238" s="60" t="str">
        <f t="shared" si="522"/>
        <v/>
      </c>
      <c r="BF238" s="32"/>
      <c r="BG238" s="32"/>
      <c r="BH238" s="32"/>
      <c r="BI238" s="32"/>
      <c r="BJ238" s="58" t="str">
        <f t="shared" si="523"/>
        <v/>
      </c>
      <c r="BK238" s="20"/>
      <c r="BL238" s="58" t="str">
        <f t="shared" si="524"/>
        <v/>
      </c>
      <c r="BM238" s="32"/>
      <c r="BN238" s="32"/>
      <c r="BO238" s="58" t="str">
        <f t="shared" si="525"/>
        <v/>
      </c>
      <c r="BP238" s="20"/>
      <c r="BQ238" s="58" t="str">
        <f t="shared" si="526"/>
        <v/>
      </c>
      <c r="BR238" s="32"/>
      <c r="BS238" s="32"/>
      <c r="BT238" s="58" t="str">
        <f t="shared" si="527"/>
        <v/>
      </c>
      <c r="BU238" s="58" t="str">
        <f t="shared" si="528"/>
        <v/>
      </c>
      <c r="BV238" s="58" t="str">
        <f t="shared" si="529"/>
        <v/>
      </c>
      <c r="BW238" s="59" t="str">
        <f t="shared" si="530"/>
        <v/>
      </c>
      <c r="BX238" s="12"/>
      <c r="BY238" s="49"/>
      <c r="BZ238" s="49"/>
      <c r="CA238" s="61" t="str">
        <f>IF(_xlfn.XLOOKUP(BY238, AutoFill_classes!$A:$A, AutoFill_classes!$B:$B,"")=0,"",_xlfn.XLOOKUP(BY238, AutoFill_classes!$A:$A, AutoFill_classes!$B:$B,""))</f>
        <v/>
      </c>
      <c r="CB238" s="154"/>
      <c r="CC238" s="12"/>
      <c r="CD238" s="12"/>
      <c r="CE238" s="12"/>
      <c r="CF238" s="7"/>
      <c r="CG238" s="37"/>
      <c r="CH238" s="146"/>
      <c r="CI238" s="41"/>
      <c r="CJ238" s="60" t="str">
        <f t="shared" si="531"/>
        <v/>
      </c>
      <c r="CK238" s="32"/>
      <c r="CL238" s="32"/>
      <c r="CM238" s="32"/>
      <c r="CN238" s="32"/>
      <c r="CO238" s="58" t="str">
        <f t="shared" si="532"/>
        <v/>
      </c>
      <c r="CP238" s="20"/>
      <c r="CQ238" s="58" t="str">
        <f t="shared" si="533"/>
        <v/>
      </c>
      <c r="CR238" s="32"/>
      <c r="CS238" s="32"/>
      <c r="CT238" s="58" t="str">
        <f t="shared" si="534"/>
        <v/>
      </c>
      <c r="CU238" s="20"/>
      <c r="CV238" s="58" t="str">
        <f t="shared" si="535"/>
        <v/>
      </c>
      <c r="CW238" s="32"/>
      <c r="CX238" s="32"/>
      <c r="CY238" s="58" t="str">
        <f t="shared" si="536"/>
        <v/>
      </c>
      <c r="CZ238" s="58" t="str">
        <f t="shared" si="537"/>
        <v/>
      </c>
      <c r="DA238" s="58" t="str">
        <f t="shared" si="538"/>
        <v/>
      </c>
      <c r="DB238" s="59" t="str">
        <f t="shared" si="539"/>
        <v/>
      </c>
      <c r="DC238" s="12"/>
      <c r="DD238" s="146"/>
    </row>
    <row r="239" spans="1:108">
      <c r="A239" s="7"/>
      <c r="B239" s="23" t="str">
        <f>IF(_xlfn.XLOOKUP(A239, AutoFill_names!B:B, AutoFill_names!C:C,"")=0,"",_xlfn.XLOOKUP(A239, AutoFill_names!B:B, AutoFill_names!C:C,""))</f>
        <v/>
      </c>
      <c r="C239" s="23" t="str">
        <f>IF(_xlfn.XLOOKUP(A239, AutoFill_names!B:B, AutoFill_names!D:D,"")=0,"",_xlfn.XLOOKUP(A239, AutoFill_names!B:B, AutoFill_names!D:D,""))</f>
        <v/>
      </c>
      <c r="D239" s="23" t="str">
        <f>IF(_xlfn.XLOOKUP(A239, AutoFill_names!B:B, AutoFill_names!E:E,"")=0,"",_xlfn.XLOOKUP(A239, AutoFill_names!B:B, AutoFill_names!E:E,""))</f>
        <v/>
      </c>
      <c r="E239" s="23" t="str">
        <f>IF(_xlfn.XLOOKUP(A239, AutoFill_names!B:B, AutoFill_names!F:F,"")=0,"",_xlfn.XLOOKUP(A239, AutoFill_names!B:B, AutoFill_names!F:F,""))</f>
        <v/>
      </c>
      <c r="F239" s="4"/>
      <c r="G239" s="4"/>
      <c r="H239" s="4"/>
      <c r="I239" s="4"/>
      <c r="J239" s="23" t="str">
        <f>IF(_xlfn.XLOOKUP(A239, AutoFill_names!B:B, AutoFill_names!K:K,"")=0,"",_xlfn.XLOOKUP(A239, AutoFill_names!B:B, AutoFill_names!K:K,""))</f>
        <v/>
      </c>
      <c r="K239" s="23" t="str">
        <f>IF(_xlfn.XLOOKUP(A239, AutoFill_names!B:B, AutoFill_names!L:L,"")=0,"",_xlfn.XLOOKUP(A239, AutoFill_names!B:B, AutoFill_names!L:L,""))</f>
        <v/>
      </c>
      <c r="L239" s="8"/>
      <c r="M239" s="8"/>
      <c r="N239" s="61" t="str">
        <f>IF(_xlfn.XLOOKUP(L239, AutoFill_classes!A:A, AutoFill_classes!B:B,"")=0,"",_xlfn.XLOOKUP(L239, AutoFill_classes!A:A, AutoFill_classes!B:B,""))</f>
        <v/>
      </c>
      <c r="O239" s="154"/>
      <c r="P239" s="11"/>
      <c r="Q239" s="11"/>
      <c r="R239" s="11"/>
      <c r="S239" s="8"/>
      <c r="T239" s="8"/>
      <c r="U239" s="8"/>
      <c r="V239" s="7"/>
      <c r="W239" s="7"/>
      <c r="X239" s="146"/>
      <c r="Y239" s="37"/>
      <c r="Z239" s="60" t="str">
        <f t="shared" si="513"/>
        <v/>
      </c>
      <c r="AA239" s="40"/>
      <c r="AB239" s="40"/>
      <c r="AC239" s="40"/>
      <c r="AD239" s="40"/>
      <c r="AE239" s="58" t="str">
        <f t="shared" si="514"/>
        <v/>
      </c>
      <c r="AF239" s="12"/>
      <c r="AG239" s="58" t="str">
        <f t="shared" si="515"/>
        <v/>
      </c>
      <c r="AH239" s="40"/>
      <c r="AI239" s="40"/>
      <c r="AJ239" s="58" t="str">
        <f t="shared" si="516"/>
        <v/>
      </c>
      <c r="AK239" s="12"/>
      <c r="AL239" s="58" t="str">
        <f t="shared" si="517"/>
        <v/>
      </c>
      <c r="AM239" s="40"/>
      <c r="AN239" s="40"/>
      <c r="AO239" s="58" t="str">
        <f t="shared" si="518"/>
        <v/>
      </c>
      <c r="AP239" s="58" t="str">
        <f t="shared" si="519"/>
        <v/>
      </c>
      <c r="AQ239" s="58" t="str">
        <f t="shared" si="520"/>
        <v/>
      </c>
      <c r="AR239" s="59" t="str">
        <f t="shared" si="521"/>
        <v/>
      </c>
      <c r="AS239" s="12"/>
      <c r="AT239" s="49"/>
      <c r="AU239" s="49"/>
      <c r="AV239" s="61" t="str">
        <f>IF(_xlfn.XLOOKUP(AT239, AutoFill_classes!$A:$A, AutoFill_classes!$B:$B,"")=0,"",_xlfn.XLOOKUP(AT239, AutoFill_classes!$A:$A, AutoFill_classes!$B:$B,""))</f>
        <v/>
      </c>
      <c r="AW239" s="154"/>
      <c r="AX239" s="12"/>
      <c r="AY239" s="13"/>
      <c r="AZ239" s="12"/>
      <c r="BA239" s="13"/>
      <c r="BB239" s="13"/>
      <c r="BC239" s="146"/>
      <c r="BD239" s="37"/>
      <c r="BE239" s="60" t="str">
        <f t="shared" si="522"/>
        <v/>
      </c>
      <c r="BF239" s="32"/>
      <c r="BG239" s="32"/>
      <c r="BH239" s="32"/>
      <c r="BI239" s="32"/>
      <c r="BJ239" s="58" t="str">
        <f t="shared" si="523"/>
        <v/>
      </c>
      <c r="BK239" s="20"/>
      <c r="BL239" s="58" t="str">
        <f t="shared" si="524"/>
        <v/>
      </c>
      <c r="BM239" s="32"/>
      <c r="BN239" s="32"/>
      <c r="BO239" s="58" t="str">
        <f t="shared" si="525"/>
        <v/>
      </c>
      <c r="BP239" s="20"/>
      <c r="BQ239" s="58" t="str">
        <f t="shared" si="526"/>
        <v/>
      </c>
      <c r="BR239" s="32"/>
      <c r="BS239" s="32"/>
      <c r="BT239" s="58" t="str">
        <f t="shared" si="527"/>
        <v/>
      </c>
      <c r="BU239" s="58" t="str">
        <f t="shared" si="528"/>
        <v/>
      </c>
      <c r="BV239" s="58" t="str">
        <f t="shared" si="529"/>
        <v/>
      </c>
      <c r="BW239" s="59" t="str">
        <f t="shared" si="530"/>
        <v/>
      </c>
      <c r="BX239" s="12"/>
      <c r="BY239" s="49"/>
      <c r="BZ239" s="49"/>
      <c r="CA239" s="61" t="str">
        <f>IF(_xlfn.XLOOKUP(BY239, AutoFill_classes!$A:$A, AutoFill_classes!$B:$B,"")=0,"",_xlfn.XLOOKUP(BY239, AutoFill_classes!$A:$A, AutoFill_classes!$B:$B,""))</f>
        <v/>
      </c>
      <c r="CB239" s="154"/>
      <c r="CC239" s="12"/>
      <c r="CD239" s="12"/>
      <c r="CE239" s="12"/>
      <c r="CF239" s="7"/>
      <c r="CG239" s="37"/>
      <c r="CH239" s="146"/>
      <c r="CI239" s="41"/>
      <c r="CJ239" s="60" t="str">
        <f t="shared" si="531"/>
        <v/>
      </c>
      <c r="CK239" s="32"/>
      <c r="CL239" s="32"/>
      <c r="CM239" s="32"/>
      <c r="CN239" s="32"/>
      <c r="CO239" s="58" t="str">
        <f t="shared" si="532"/>
        <v/>
      </c>
      <c r="CP239" s="20"/>
      <c r="CQ239" s="58" t="str">
        <f t="shared" si="533"/>
        <v/>
      </c>
      <c r="CR239" s="32"/>
      <c r="CS239" s="32"/>
      <c r="CT239" s="58" t="str">
        <f t="shared" si="534"/>
        <v/>
      </c>
      <c r="CU239" s="20"/>
      <c r="CV239" s="58" t="str">
        <f t="shared" si="535"/>
        <v/>
      </c>
      <c r="CW239" s="32"/>
      <c r="CX239" s="32"/>
      <c r="CY239" s="58" t="str">
        <f t="shared" si="536"/>
        <v/>
      </c>
      <c r="CZ239" s="58" t="str">
        <f t="shared" si="537"/>
        <v/>
      </c>
      <c r="DA239" s="58" t="str">
        <f t="shared" si="538"/>
        <v/>
      </c>
      <c r="DB239" s="59" t="str">
        <f t="shared" si="539"/>
        <v/>
      </c>
      <c r="DC239" s="12"/>
      <c r="DD239" s="146"/>
    </row>
    <row r="240" spans="1:108">
      <c r="A240" s="7"/>
      <c r="B240" s="23" t="str">
        <f>IF(_xlfn.XLOOKUP(A240, AutoFill_names!B:B, AutoFill_names!C:C,"")=0,"",_xlfn.XLOOKUP(A240, AutoFill_names!B:B, AutoFill_names!C:C,""))</f>
        <v/>
      </c>
      <c r="C240" s="23" t="str">
        <f>IF(_xlfn.XLOOKUP(A240, AutoFill_names!B:B, AutoFill_names!D:D,"")=0,"",_xlfn.XLOOKUP(A240, AutoFill_names!B:B, AutoFill_names!D:D,""))</f>
        <v/>
      </c>
      <c r="D240" s="23" t="str">
        <f>IF(_xlfn.XLOOKUP(A240, AutoFill_names!B:B, AutoFill_names!E:E,"")=0,"",_xlfn.XLOOKUP(A240, AutoFill_names!B:B, AutoFill_names!E:E,""))</f>
        <v/>
      </c>
      <c r="E240" s="23" t="str">
        <f>IF(_xlfn.XLOOKUP(A240, AutoFill_names!B:B, AutoFill_names!F:F,"")=0,"",_xlfn.XLOOKUP(A240, AutoFill_names!B:B, AutoFill_names!F:F,""))</f>
        <v/>
      </c>
      <c r="F240" s="4"/>
      <c r="G240" s="4"/>
      <c r="H240" s="4"/>
      <c r="I240" s="4"/>
      <c r="J240" s="23" t="str">
        <f>IF(_xlfn.XLOOKUP(A240, AutoFill_names!B:B, AutoFill_names!K:K,"")=0,"",_xlfn.XLOOKUP(A240, AutoFill_names!B:B, AutoFill_names!K:K,""))</f>
        <v/>
      </c>
      <c r="K240" s="23" t="str">
        <f>IF(_xlfn.XLOOKUP(A240, AutoFill_names!B:B, AutoFill_names!L:L,"")=0,"",_xlfn.XLOOKUP(A240, AutoFill_names!B:B, AutoFill_names!L:L,""))</f>
        <v/>
      </c>
      <c r="L240" s="8"/>
      <c r="M240" s="8"/>
      <c r="N240" s="61" t="str">
        <f>IF(_xlfn.XLOOKUP(L240, AutoFill_classes!A:A, AutoFill_classes!B:B,"")=0,"",_xlfn.XLOOKUP(L240, AutoFill_classes!A:A, AutoFill_classes!B:B,""))</f>
        <v/>
      </c>
      <c r="O240" s="154"/>
      <c r="P240" s="11"/>
      <c r="Q240" s="11"/>
      <c r="R240" s="11"/>
      <c r="S240" s="8"/>
      <c r="T240" s="8"/>
      <c r="U240" s="8"/>
      <c r="V240" s="7"/>
      <c r="W240" s="7"/>
      <c r="X240" s="146"/>
      <c r="Y240" s="37"/>
      <c r="Z240" s="60" t="str">
        <f t="shared" si="513"/>
        <v/>
      </c>
      <c r="AA240" s="40"/>
      <c r="AB240" s="40"/>
      <c r="AC240" s="40"/>
      <c r="AD240" s="40"/>
      <c r="AE240" s="58" t="str">
        <f t="shared" si="514"/>
        <v/>
      </c>
      <c r="AF240" s="12"/>
      <c r="AG240" s="58" t="str">
        <f t="shared" si="515"/>
        <v/>
      </c>
      <c r="AH240" s="40"/>
      <c r="AI240" s="40"/>
      <c r="AJ240" s="58" t="str">
        <f t="shared" si="516"/>
        <v/>
      </c>
      <c r="AK240" s="12"/>
      <c r="AL240" s="58" t="str">
        <f t="shared" si="517"/>
        <v/>
      </c>
      <c r="AM240" s="40"/>
      <c r="AN240" s="40"/>
      <c r="AO240" s="58" t="str">
        <f t="shared" si="518"/>
        <v/>
      </c>
      <c r="AP240" s="58" t="str">
        <f t="shared" si="519"/>
        <v/>
      </c>
      <c r="AQ240" s="58" t="str">
        <f t="shared" si="520"/>
        <v/>
      </c>
      <c r="AR240" s="59" t="str">
        <f t="shared" si="521"/>
        <v/>
      </c>
      <c r="AS240" s="12"/>
      <c r="AT240" s="49"/>
      <c r="AU240" s="49"/>
      <c r="AV240" s="61" t="str">
        <f>IF(_xlfn.XLOOKUP(AT240, AutoFill_classes!$A:$A, AutoFill_classes!$B:$B,"")=0,"",_xlfn.XLOOKUP(AT240, AutoFill_classes!$A:$A, AutoFill_classes!$B:$B,""))</f>
        <v/>
      </c>
      <c r="AW240" s="154"/>
      <c r="AX240" s="12"/>
      <c r="AY240" s="13"/>
      <c r="AZ240" s="12"/>
      <c r="BA240" s="13"/>
      <c r="BB240" s="13"/>
      <c r="BC240" s="146"/>
      <c r="BD240" s="37"/>
      <c r="BE240" s="60" t="str">
        <f t="shared" si="522"/>
        <v/>
      </c>
      <c r="BF240" s="32"/>
      <c r="BG240" s="32"/>
      <c r="BH240" s="32"/>
      <c r="BI240" s="32"/>
      <c r="BJ240" s="58" t="str">
        <f t="shared" si="523"/>
        <v/>
      </c>
      <c r="BK240" s="20"/>
      <c r="BL240" s="58" t="str">
        <f t="shared" si="524"/>
        <v/>
      </c>
      <c r="BM240" s="32"/>
      <c r="BN240" s="32"/>
      <c r="BO240" s="58" t="str">
        <f t="shared" si="525"/>
        <v/>
      </c>
      <c r="BP240" s="20"/>
      <c r="BQ240" s="58" t="str">
        <f t="shared" si="526"/>
        <v/>
      </c>
      <c r="BR240" s="32"/>
      <c r="BS240" s="32"/>
      <c r="BT240" s="58" t="str">
        <f t="shared" si="527"/>
        <v/>
      </c>
      <c r="BU240" s="58" t="str">
        <f t="shared" si="528"/>
        <v/>
      </c>
      <c r="BV240" s="58" t="str">
        <f t="shared" si="529"/>
        <v/>
      </c>
      <c r="BW240" s="59" t="str">
        <f t="shared" si="530"/>
        <v/>
      </c>
      <c r="BX240" s="12"/>
      <c r="BY240" s="49"/>
      <c r="BZ240" s="49"/>
      <c r="CA240" s="61" t="str">
        <f>IF(_xlfn.XLOOKUP(BY240, AutoFill_classes!$A:$A, AutoFill_classes!$B:$B,"")=0,"",_xlfn.XLOOKUP(BY240, AutoFill_classes!$A:$A, AutoFill_classes!$B:$B,""))</f>
        <v/>
      </c>
      <c r="CB240" s="154"/>
      <c r="CC240" s="12"/>
      <c r="CD240" s="12"/>
      <c r="CE240" s="12"/>
      <c r="CF240" s="7"/>
      <c r="CG240" s="37"/>
      <c r="CH240" s="146"/>
      <c r="CI240" s="41"/>
      <c r="CJ240" s="60" t="str">
        <f t="shared" si="531"/>
        <v/>
      </c>
      <c r="CK240" s="32"/>
      <c r="CL240" s="32"/>
      <c r="CM240" s="32"/>
      <c r="CN240" s="32"/>
      <c r="CO240" s="58" t="str">
        <f t="shared" si="532"/>
        <v/>
      </c>
      <c r="CP240" s="20"/>
      <c r="CQ240" s="58" t="str">
        <f t="shared" si="533"/>
        <v/>
      </c>
      <c r="CR240" s="32"/>
      <c r="CS240" s="32"/>
      <c r="CT240" s="58" t="str">
        <f t="shared" si="534"/>
        <v/>
      </c>
      <c r="CU240" s="20"/>
      <c r="CV240" s="58" t="str">
        <f t="shared" si="535"/>
        <v/>
      </c>
      <c r="CW240" s="32"/>
      <c r="CX240" s="32"/>
      <c r="CY240" s="58" t="str">
        <f t="shared" si="536"/>
        <v/>
      </c>
      <c r="CZ240" s="58" t="str">
        <f t="shared" si="537"/>
        <v/>
      </c>
      <c r="DA240" s="58" t="str">
        <f t="shared" si="538"/>
        <v/>
      </c>
      <c r="DB240" s="59" t="str">
        <f t="shared" si="539"/>
        <v/>
      </c>
      <c r="DC240" s="12"/>
      <c r="DD240" s="146"/>
    </row>
    <row r="241" spans="1:108">
      <c r="A241" s="7"/>
      <c r="B241" s="23" t="str">
        <f>IF(_xlfn.XLOOKUP(A241, AutoFill_names!B:B, AutoFill_names!C:C,"")=0,"",_xlfn.XLOOKUP(A241, AutoFill_names!B:B, AutoFill_names!C:C,""))</f>
        <v/>
      </c>
      <c r="C241" s="23" t="str">
        <f>IF(_xlfn.XLOOKUP(A241, AutoFill_names!B:B, AutoFill_names!D:D,"")=0,"",_xlfn.XLOOKUP(A241, AutoFill_names!B:B, AutoFill_names!D:D,""))</f>
        <v/>
      </c>
      <c r="D241" s="23" t="str">
        <f>IF(_xlfn.XLOOKUP(A241, AutoFill_names!B:B, AutoFill_names!E:E,"")=0,"",_xlfn.XLOOKUP(A241, AutoFill_names!B:B, AutoFill_names!E:E,""))</f>
        <v/>
      </c>
      <c r="E241" s="23" t="str">
        <f>IF(_xlfn.XLOOKUP(A241, AutoFill_names!B:B, AutoFill_names!F:F,"")=0,"",_xlfn.XLOOKUP(A241, AutoFill_names!B:B, AutoFill_names!F:F,""))</f>
        <v/>
      </c>
      <c r="F241" s="4"/>
      <c r="G241" s="4"/>
      <c r="H241" s="4"/>
      <c r="I241" s="4"/>
      <c r="J241" s="23" t="str">
        <f>IF(_xlfn.XLOOKUP(A241, AutoFill_names!B:B, AutoFill_names!K:K,"")=0,"",_xlfn.XLOOKUP(A241, AutoFill_names!B:B, AutoFill_names!K:K,""))</f>
        <v/>
      </c>
      <c r="K241" s="23" t="str">
        <f>IF(_xlfn.XLOOKUP(A241, AutoFill_names!B:B, AutoFill_names!L:L,"")=0,"",_xlfn.XLOOKUP(A241, AutoFill_names!B:B, AutoFill_names!L:L,""))</f>
        <v/>
      </c>
      <c r="L241" s="8"/>
      <c r="M241" s="8"/>
      <c r="N241" s="61" t="str">
        <f>IF(_xlfn.XLOOKUP(L241, AutoFill_classes!A:A, AutoFill_classes!B:B,"")=0,"",_xlfn.XLOOKUP(L241, AutoFill_classes!A:A, AutoFill_classes!B:B,""))</f>
        <v/>
      </c>
      <c r="O241" s="154"/>
      <c r="P241" s="11"/>
      <c r="Q241" s="11"/>
      <c r="R241" s="11"/>
      <c r="S241" s="8"/>
      <c r="T241" s="8"/>
      <c r="U241" s="8"/>
      <c r="V241" s="7"/>
      <c r="W241" s="7"/>
      <c r="X241" s="146"/>
      <c r="Y241" s="37"/>
      <c r="Z241" s="60" t="str">
        <f t="shared" si="513"/>
        <v/>
      </c>
      <c r="AA241" s="40"/>
      <c r="AB241" s="40"/>
      <c r="AC241" s="40"/>
      <c r="AD241" s="40"/>
      <c r="AE241" s="58" t="str">
        <f t="shared" si="514"/>
        <v/>
      </c>
      <c r="AF241" s="12"/>
      <c r="AG241" s="58" t="str">
        <f t="shared" si="515"/>
        <v/>
      </c>
      <c r="AH241" s="40"/>
      <c r="AI241" s="40"/>
      <c r="AJ241" s="58" t="str">
        <f t="shared" si="516"/>
        <v/>
      </c>
      <c r="AK241" s="12"/>
      <c r="AL241" s="58" t="str">
        <f t="shared" si="517"/>
        <v/>
      </c>
      <c r="AM241" s="40"/>
      <c r="AN241" s="40"/>
      <c r="AO241" s="58" t="str">
        <f t="shared" si="518"/>
        <v/>
      </c>
      <c r="AP241" s="58" t="str">
        <f t="shared" si="519"/>
        <v/>
      </c>
      <c r="AQ241" s="58" t="str">
        <f t="shared" si="520"/>
        <v/>
      </c>
      <c r="AR241" s="59" t="str">
        <f t="shared" si="521"/>
        <v/>
      </c>
      <c r="AS241" s="12"/>
      <c r="AT241" s="49"/>
      <c r="AU241" s="49"/>
      <c r="AV241" s="61" t="str">
        <f>IF(_xlfn.XLOOKUP(AT241, AutoFill_classes!$A:$A, AutoFill_classes!$B:$B,"")=0,"",_xlfn.XLOOKUP(AT241, AutoFill_classes!$A:$A, AutoFill_classes!$B:$B,""))</f>
        <v/>
      </c>
      <c r="AW241" s="154"/>
      <c r="AX241" s="12"/>
      <c r="AY241" s="13"/>
      <c r="AZ241" s="12"/>
      <c r="BA241" s="13"/>
      <c r="BB241" s="13"/>
      <c r="BC241" s="146"/>
      <c r="BD241" s="37"/>
      <c r="BE241" s="60" t="str">
        <f t="shared" si="522"/>
        <v/>
      </c>
      <c r="BF241" s="32"/>
      <c r="BG241" s="32"/>
      <c r="BH241" s="32"/>
      <c r="BI241" s="32"/>
      <c r="BJ241" s="58" t="str">
        <f t="shared" si="523"/>
        <v/>
      </c>
      <c r="BK241" s="20"/>
      <c r="BL241" s="58" t="str">
        <f t="shared" si="524"/>
        <v/>
      </c>
      <c r="BM241" s="32"/>
      <c r="BN241" s="32"/>
      <c r="BO241" s="58" t="str">
        <f t="shared" si="525"/>
        <v/>
      </c>
      <c r="BP241" s="20"/>
      <c r="BQ241" s="58" t="str">
        <f t="shared" si="526"/>
        <v/>
      </c>
      <c r="BR241" s="32"/>
      <c r="BS241" s="32"/>
      <c r="BT241" s="58" t="str">
        <f t="shared" si="527"/>
        <v/>
      </c>
      <c r="BU241" s="58" t="str">
        <f t="shared" si="528"/>
        <v/>
      </c>
      <c r="BV241" s="58" t="str">
        <f t="shared" si="529"/>
        <v/>
      </c>
      <c r="BW241" s="59" t="str">
        <f t="shared" si="530"/>
        <v/>
      </c>
      <c r="BX241" s="12"/>
      <c r="BY241" s="49"/>
      <c r="BZ241" s="49"/>
      <c r="CA241" s="61" t="str">
        <f>IF(_xlfn.XLOOKUP(BY241, AutoFill_classes!$A:$A, AutoFill_classes!$B:$B,"")=0,"",_xlfn.XLOOKUP(BY241, AutoFill_classes!$A:$A, AutoFill_classes!$B:$B,""))</f>
        <v/>
      </c>
      <c r="CB241" s="154"/>
      <c r="CC241" s="12"/>
      <c r="CD241" s="12"/>
      <c r="CE241" s="12"/>
      <c r="CF241" s="7"/>
      <c r="CG241" s="37"/>
      <c r="CH241" s="146"/>
      <c r="CI241" s="41"/>
      <c r="CJ241" s="60" t="str">
        <f t="shared" si="531"/>
        <v/>
      </c>
      <c r="CK241" s="32"/>
      <c r="CL241" s="32"/>
      <c r="CM241" s="32"/>
      <c r="CN241" s="32"/>
      <c r="CO241" s="58" t="str">
        <f t="shared" si="532"/>
        <v/>
      </c>
      <c r="CP241" s="20"/>
      <c r="CQ241" s="58" t="str">
        <f t="shared" si="533"/>
        <v/>
      </c>
      <c r="CR241" s="32"/>
      <c r="CS241" s="32"/>
      <c r="CT241" s="58" t="str">
        <f t="shared" si="534"/>
        <v/>
      </c>
      <c r="CU241" s="20"/>
      <c r="CV241" s="58" t="str">
        <f t="shared" si="535"/>
        <v/>
      </c>
      <c r="CW241" s="32"/>
      <c r="CX241" s="32"/>
      <c r="CY241" s="58" t="str">
        <f t="shared" si="536"/>
        <v/>
      </c>
      <c r="CZ241" s="58" t="str">
        <f t="shared" si="537"/>
        <v/>
      </c>
      <c r="DA241" s="58" t="str">
        <f t="shared" si="538"/>
        <v/>
      </c>
      <c r="DB241" s="59" t="str">
        <f t="shared" si="539"/>
        <v/>
      </c>
      <c r="DC241" s="12"/>
      <c r="DD241" s="146"/>
    </row>
    <row r="242" spans="1:108">
      <c r="A242" s="7"/>
      <c r="B242" s="23" t="str">
        <f>IF(_xlfn.XLOOKUP(A242, AutoFill_names!B:B, AutoFill_names!C:C,"")=0,"",_xlfn.XLOOKUP(A242, AutoFill_names!B:B, AutoFill_names!C:C,""))</f>
        <v/>
      </c>
      <c r="C242" s="23" t="str">
        <f>IF(_xlfn.XLOOKUP(A242, AutoFill_names!B:B, AutoFill_names!D:D,"")=0,"",_xlfn.XLOOKUP(A242, AutoFill_names!B:B, AutoFill_names!D:D,""))</f>
        <v/>
      </c>
      <c r="D242" s="23" t="str">
        <f>IF(_xlfn.XLOOKUP(A242, AutoFill_names!B:B, AutoFill_names!E:E,"")=0,"",_xlfn.XLOOKUP(A242, AutoFill_names!B:B, AutoFill_names!E:E,""))</f>
        <v/>
      </c>
      <c r="E242" s="23" t="str">
        <f>IF(_xlfn.XLOOKUP(A242, AutoFill_names!B:B, AutoFill_names!F:F,"")=0,"",_xlfn.XLOOKUP(A242, AutoFill_names!B:B, AutoFill_names!F:F,""))</f>
        <v/>
      </c>
      <c r="F242" s="4"/>
      <c r="G242" s="4"/>
      <c r="H242" s="4"/>
      <c r="I242" s="4"/>
      <c r="J242" s="23" t="str">
        <f>IF(_xlfn.XLOOKUP(A242, AutoFill_names!B:B, AutoFill_names!K:K,"")=0,"",_xlfn.XLOOKUP(A242, AutoFill_names!B:B, AutoFill_names!K:K,""))</f>
        <v/>
      </c>
      <c r="K242" s="23" t="str">
        <f>IF(_xlfn.XLOOKUP(A242, AutoFill_names!B:B, AutoFill_names!L:L,"")=0,"",_xlfn.XLOOKUP(A242, AutoFill_names!B:B, AutoFill_names!L:L,""))</f>
        <v/>
      </c>
      <c r="L242" s="8"/>
      <c r="M242" s="8"/>
      <c r="N242" s="61" t="str">
        <f>IF(_xlfn.XLOOKUP(L242, AutoFill_classes!A:A, AutoFill_classes!B:B,"")=0,"",_xlfn.XLOOKUP(L242, AutoFill_classes!A:A, AutoFill_classes!B:B,""))</f>
        <v/>
      </c>
      <c r="O242" s="154"/>
      <c r="P242" s="11"/>
      <c r="Q242" s="11"/>
      <c r="R242" s="11"/>
      <c r="S242" s="8"/>
      <c r="T242" s="8"/>
      <c r="U242" s="8"/>
      <c r="V242" s="7"/>
      <c r="W242" s="7"/>
      <c r="X242" s="146"/>
      <c r="Y242" s="37"/>
      <c r="Z242" s="60" t="str">
        <f t="shared" si="513"/>
        <v/>
      </c>
      <c r="AA242" s="40"/>
      <c r="AB242" s="40"/>
      <c r="AC242" s="40"/>
      <c r="AD242" s="40"/>
      <c r="AE242" s="58" t="str">
        <f t="shared" si="514"/>
        <v/>
      </c>
      <c r="AF242" s="12"/>
      <c r="AG242" s="58" t="str">
        <f t="shared" si="515"/>
        <v/>
      </c>
      <c r="AH242" s="40"/>
      <c r="AI242" s="40"/>
      <c r="AJ242" s="58" t="str">
        <f t="shared" si="516"/>
        <v/>
      </c>
      <c r="AK242" s="12"/>
      <c r="AL242" s="58" t="str">
        <f t="shared" si="517"/>
        <v/>
      </c>
      <c r="AM242" s="40"/>
      <c r="AN242" s="40"/>
      <c r="AO242" s="58" t="str">
        <f t="shared" si="518"/>
        <v/>
      </c>
      <c r="AP242" s="58" t="str">
        <f t="shared" si="519"/>
        <v/>
      </c>
      <c r="AQ242" s="58" t="str">
        <f t="shared" si="520"/>
        <v/>
      </c>
      <c r="AR242" s="59" t="str">
        <f t="shared" si="521"/>
        <v/>
      </c>
      <c r="AS242" s="12"/>
      <c r="AT242" s="49"/>
      <c r="AU242" s="49"/>
      <c r="AV242" s="61" t="str">
        <f>IF(_xlfn.XLOOKUP(AT242, AutoFill_classes!$A:$A, AutoFill_classes!$B:$B,"")=0,"",_xlfn.XLOOKUP(AT242, AutoFill_classes!$A:$A, AutoFill_classes!$B:$B,""))</f>
        <v/>
      </c>
      <c r="AW242" s="154"/>
      <c r="AX242" s="12"/>
      <c r="AY242" s="13"/>
      <c r="AZ242" s="12"/>
      <c r="BA242" s="13"/>
      <c r="BB242" s="13"/>
      <c r="BC242" s="146"/>
      <c r="BD242" s="37"/>
      <c r="BE242" s="60" t="str">
        <f t="shared" si="522"/>
        <v/>
      </c>
      <c r="BF242" s="32"/>
      <c r="BG242" s="32"/>
      <c r="BH242" s="32"/>
      <c r="BI242" s="32"/>
      <c r="BJ242" s="58" t="str">
        <f t="shared" si="523"/>
        <v/>
      </c>
      <c r="BK242" s="20"/>
      <c r="BL242" s="58" t="str">
        <f t="shared" si="524"/>
        <v/>
      </c>
      <c r="BM242" s="32"/>
      <c r="BN242" s="32"/>
      <c r="BO242" s="58" t="str">
        <f t="shared" si="525"/>
        <v/>
      </c>
      <c r="BP242" s="20"/>
      <c r="BQ242" s="58" t="str">
        <f t="shared" si="526"/>
        <v/>
      </c>
      <c r="BR242" s="32"/>
      <c r="BS242" s="32"/>
      <c r="BT242" s="58" t="str">
        <f t="shared" si="527"/>
        <v/>
      </c>
      <c r="BU242" s="58" t="str">
        <f t="shared" si="528"/>
        <v/>
      </c>
      <c r="BV242" s="58" t="str">
        <f t="shared" si="529"/>
        <v/>
      </c>
      <c r="BW242" s="59" t="str">
        <f t="shared" si="530"/>
        <v/>
      </c>
      <c r="BX242" s="12"/>
      <c r="BY242" s="49"/>
      <c r="BZ242" s="49"/>
      <c r="CA242" s="61" t="str">
        <f>IF(_xlfn.XLOOKUP(BY242, AutoFill_classes!$A:$A, AutoFill_classes!$B:$B,"")=0,"",_xlfn.XLOOKUP(BY242, AutoFill_classes!$A:$A, AutoFill_classes!$B:$B,""))</f>
        <v/>
      </c>
      <c r="CB242" s="154"/>
      <c r="CC242" s="12"/>
      <c r="CD242" s="12"/>
      <c r="CE242" s="12"/>
      <c r="CF242" s="7"/>
      <c r="CG242" s="37"/>
      <c r="CH242" s="146"/>
      <c r="CI242" s="41"/>
      <c r="CJ242" s="60" t="str">
        <f t="shared" si="531"/>
        <v/>
      </c>
      <c r="CK242" s="32"/>
      <c r="CL242" s="32"/>
      <c r="CM242" s="32"/>
      <c r="CN242" s="32"/>
      <c r="CO242" s="58" t="str">
        <f t="shared" si="532"/>
        <v/>
      </c>
      <c r="CP242" s="20"/>
      <c r="CQ242" s="58" t="str">
        <f t="shared" si="533"/>
        <v/>
      </c>
      <c r="CR242" s="32"/>
      <c r="CS242" s="32"/>
      <c r="CT242" s="58" t="str">
        <f t="shared" si="534"/>
        <v/>
      </c>
      <c r="CU242" s="20"/>
      <c r="CV242" s="58" t="str">
        <f t="shared" si="535"/>
        <v/>
      </c>
      <c r="CW242" s="32"/>
      <c r="CX242" s="32"/>
      <c r="CY242" s="58" t="str">
        <f t="shared" si="536"/>
        <v/>
      </c>
      <c r="CZ242" s="58" t="str">
        <f t="shared" si="537"/>
        <v/>
      </c>
      <c r="DA242" s="58" t="str">
        <f t="shared" si="538"/>
        <v/>
      </c>
      <c r="DB242" s="59" t="str">
        <f t="shared" si="539"/>
        <v/>
      </c>
      <c r="DC242" s="12"/>
      <c r="DD242" s="146"/>
    </row>
    <row r="243" spans="1:108">
      <c r="A243" s="7"/>
      <c r="B243" s="23" t="str">
        <f>IF(_xlfn.XLOOKUP(A243, AutoFill_names!B:B, AutoFill_names!C:C,"")=0,"",_xlfn.XLOOKUP(A243, AutoFill_names!B:B, AutoFill_names!C:C,""))</f>
        <v/>
      </c>
      <c r="C243" s="23" t="str">
        <f>IF(_xlfn.XLOOKUP(A243, AutoFill_names!B:B, AutoFill_names!D:D,"")=0,"",_xlfn.XLOOKUP(A243, AutoFill_names!B:B, AutoFill_names!D:D,""))</f>
        <v/>
      </c>
      <c r="D243" s="23" t="str">
        <f>IF(_xlfn.XLOOKUP(A243, AutoFill_names!B:B, AutoFill_names!E:E,"")=0,"",_xlfn.XLOOKUP(A243, AutoFill_names!B:B, AutoFill_names!E:E,""))</f>
        <v/>
      </c>
      <c r="E243" s="23" t="str">
        <f>IF(_xlfn.XLOOKUP(A243, AutoFill_names!B:B, AutoFill_names!F:F,"")=0,"",_xlfn.XLOOKUP(A243, AutoFill_names!B:B, AutoFill_names!F:F,""))</f>
        <v/>
      </c>
      <c r="F243" s="4"/>
      <c r="G243" s="4"/>
      <c r="H243" s="4"/>
      <c r="I243" s="4"/>
      <c r="J243" s="23" t="str">
        <f>IF(_xlfn.XLOOKUP(A243, AutoFill_names!B:B, AutoFill_names!K:K,"")=0,"",_xlfn.XLOOKUP(A243, AutoFill_names!B:B, AutoFill_names!K:K,""))</f>
        <v/>
      </c>
      <c r="K243" s="23" t="str">
        <f>IF(_xlfn.XLOOKUP(A243, AutoFill_names!B:B, AutoFill_names!L:L,"")=0,"",_xlfn.XLOOKUP(A243, AutoFill_names!B:B, AutoFill_names!L:L,""))</f>
        <v/>
      </c>
      <c r="L243" s="8"/>
      <c r="M243" s="8"/>
      <c r="N243" s="61" t="str">
        <f>IF(_xlfn.XLOOKUP(L243, AutoFill_classes!A:A, AutoFill_classes!B:B,"")=0,"",_xlfn.XLOOKUP(L243, AutoFill_classes!A:A, AutoFill_classes!B:B,""))</f>
        <v/>
      </c>
      <c r="O243" s="154"/>
      <c r="P243" s="11"/>
      <c r="Q243" s="11"/>
      <c r="R243" s="11"/>
      <c r="S243" s="8"/>
      <c r="T243" s="8"/>
      <c r="U243" s="8"/>
      <c r="V243" s="7"/>
      <c r="W243" s="7"/>
      <c r="X243" s="146"/>
      <c r="Y243" s="37"/>
      <c r="Z243" s="60" t="str">
        <f t="shared" si="513"/>
        <v/>
      </c>
      <c r="AA243" s="40"/>
      <c r="AB243" s="40"/>
      <c r="AC243" s="40"/>
      <c r="AD243" s="40"/>
      <c r="AE243" s="58" t="str">
        <f t="shared" si="514"/>
        <v/>
      </c>
      <c r="AF243" s="12"/>
      <c r="AG243" s="58" t="str">
        <f t="shared" si="515"/>
        <v/>
      </c>
      <c r="AH243" s="40"/>
      <c r="AI243" s="40"/>
      <c r="AJ243" s="58" t="str">
        <f t="shared" si="516"/>
        <v/>
      </c>
      <c r="AK243" s="12"/>
      <c r="AL243" s="58" t="str">
        <f t="shared" si="517"/>
        <v/>
      </c>
      <c r="AM243" s="40"/>
      <c r="AN243" s="40"/>
      <c r="AO243" s="58" t="str">
        <f t="shared" si="518"/>
        <v/>
      </c>
      <c r="AP243" s="58" t="str">
        <f t="shared" si="519"/>
        <v/>
      </c>
      <c r="AQ243" s="58" t="str">
        <f t="shared" si="520"/>
        <v/>
      </c>
      <c r="AR243" s="59" t="str">
        <f t="shared" si="521"/>
        <v/>
      </c>
      <c r="AS243" s="12"/>
      <c r="AT243" s="49"/>
      <c r="AU243" s="49"/>
      <c r="AV243" s="61" t="str">
        <f>IF(_xlfn.XLOOKUP(AT243, AutoFill_classes!$A:$A, AutoFill_classes!$B:$B,"")=0,"",_xlfn.XLOOKUP(AT243, AutoFill_classes!$A:$A, AutoFill_classes!$B:$B,""))</f>
        <v/>
      </c>
      <c r="AW243" s="154"/>
      <c r="AX243" s="12"/>
      <c r="AY243" s="13"/>
      <c r="AZ243" s="12"/>
      <c r="BA243" s="13"/>
      <c r="BB243" s="13"/>
      <c r="BC243" s="146"/>
      <c r="BD243" s="37"/>
      <c r="BE243" s="60" t="str">
        <f t="shared" si="522"/>
        <v/>
      </c>
      <c r="BF243" s="32"/>
      <c r="BG243" s="32"/>
      <c r="BH243" s="32"/>
      <c r="BI243" s="32"/>
      <c r="BJ243" s="58" t="str">
        <f t="shared" si="523"/>
        <v/>
      </c>
      <c r="BK243" s="20"/>
      <c r="BL243" s="58" t="str">
        <f t="shared" si="524"/>
        <v/>
      </c>
      <c r="BM243" s="32"/>
      <c r="BN243" s="32"/>
      <c r="BO243" s="58" t="str">
        <f t="shared" si="525"/>
        <v/>
      </c>
      <c r="BP243" s="20"/>
      <c r="BQ243" s="58" t="str">
        <f t="shared" si="526"/>
        <v/>
      </c>
      <c r="BR243" s="32"/>
      <c r="BS243" s="32"/>
      <c r="BT243" s="58" t="str">
        <f t="shared" si="527"/>
        <v/>
      </c>
      <c r="BU243" s="58" t="str">
        <f t="shared" si="528"/>
        <v/>
      </c>
      <c r="BV243" s="58" t="str">
        <f t="shared" si="529"/>
        <v/>
      </c>
      <c r="BW243" s="59" t="str">
        <f t="shared" si="530"/>
        <v/>
      </c>
      <c r="BX243" s="12"/>
      <c r="BY243" s="49"/>
      <c r="BZ243" s="49"/>
      <c r="CA243" s="61" t="str">
        <f>IF(_xlfn.XLOOKUP(BY243, AutoFill_classes!$A:$A, AutoFill_classes!$B:$B,"")=0,"",_xlfn.XLOOKUP(BY243, AutoFill_classes!$A:$A, AutoFill_classes!$B:$B,""))</f>
        <v/>
      </c>
      <c r="CB243" s="154"/>
      <c r="CC243" s="12"/>
      <c r="CD243" s="12"/>
      <c r="CE243" s="12"/>
      <c r="CF243" s="7"/>
      <c r="CG243" s="37"/>
      <c r="CH243" s="146"/>
      <c r="CI243" s="41"/>
      <c r="CJ243" s="60" t="str">
        <f t="shared" si="531"/>
        <v/>
      </c>
      <c r="CK243" s="32"/>
      <c r="CL243" s="32"/>
      <c r="CM243" s="32"/>
      <c r="CN243" s="32"/>
      <c r="CO243" s="58" t="str">
        <f t="shared" si="532"/>
        <v/>
      </c>
      <c r="CP243" s="20"/>
      <c r="CQ243" s="58" t="str">
        <f t="shared" si="533"/>
        <v/>
      </c>
      <c r="CR243" s="32"/>
      <c r="CS243" s="32"/>
      <c r="CT243" s="58" t="str">
        <f t="shared" si="534"/>
        <v/>
      </c>
      <c r="CU243" s="20"/>
      <c r="CV243" s="58" t="str">
        <f t="shared" si="535"/>
        <v/>
      </c>
      <c r="CW243" s="32"/>
      <c r="CX243" s="32"/>
      <c r="CY243" s="58" t="str">
        <f t="shared" si="536"/>
        <v/>
      </c>
      <c r="CZ243" s="58" t="str">
        <f t="shared" si="537"/>
        <v/>
      </c>
      <c r="DA243" s="58" t="str">
        <f t="shared" si="538"/>
        <v/>
      </c>
      <c r="DB243" s="59" t="str">
        <f t="shared" si="539"/>
        <v/>
      </c>
      <c r="DC243" s="12"/>
      <c r="DD243" s="146"/>
    </row>
    <row r="244" spans="1:108">
      <c r="A244" s="7"/>
      <c r="B244" s="23" t="str">
        <f>IF(_xlfn.XLOOKUP(A244, AutoFill_names!B:B, AutoFill_names!C:C,"")=0,"",_xlfn.XLOOKUP(A244, AutoFill_names!B:B, AutoFill_names!C:C,""))</f>
        <v/>
      </c>
      <c r="C244" s="23" t="str">
        <f>IF(_xlfn.XLOOKUP(A244, AutoFill_names!B:B, AutoFill_names!D:D,"")=0,"",_xlfn.XLOOKUP(A244, AutoFill_names!B:B, AutoFill_names!D:D,""))</f>
        <v/>
      </c>
      <c r="D244" s="23" t="str">
        <f>IF(_xlfn.XLOOKUP(A244, AutoFill_names!B:B, AutoFill_names!E:E,"")=0,"",_xlfn.XLOOKUP(A244, AutoFill_names!B:B, AutoFill_names!E:E,""))</f>
        <v/>
      </c>
      <c r="E244" s="23" t="str">
        <f>IF(_xlfn.XLOOKUP(A244, AutoFill_names!B:B, AutoFill_names!F:F,"")=0,"",_xlfn.XLOOKUP(A244, AutoFill_names!B:B, AutoFill_names!F:F,""))</f>
        <v/>
      </c>
      <c r="F244" s="4"/>
      <c r="G244" s="4"/>
      <c r="H244" s="4"/>
      <c r="I244" s="4"/>
      <c r="J244" s="23" t="str">
        <f>IF(_xlfn.XLOOKUP(A244, AutoFill_names!B:B, AutoFill_names!K:K,"")=0,"",_xlfn.XLOOKUP(A244, AutoFill_names!B:B, AutoFill_names!K:K,""))</f>
        <v/>
      </c>
      <c r="K244" s="23" t="str">
        <f>IF(_xlfn.XLOOKUP(A244, AutoFill_names!B:B, AutoFill_names!L:L,"")=0,"",_xlfn.XLOOKUP(A244, AutoFill_names!B:B, AutoFill_names!L:L,""))</f>
        <v/>
      </c>
      <c r="L244" s="8"/>
      <c r="M244" s="8"/>
      <c r="N244" s="61" t="str">
        <f>IF(_xlfn.XLOOKUP(L244, AutoFill_classes!A:A, AutoFill_classes!B:B,"")=0,"",_xlfn.XLOOKUP(L244, AutoFill_classes!A:A, AutoFill_classes!B:B,""))</f>
        <v/>
      </c>
      <c r="O244" s="154"/>
      <c r="P244" s="11"/>
      <c r="Q244" s="11"/>
      <c r="R244" s="11"/>
      <c r="S244" s="8"/>
      <c r="T244" s="8"/>
      <c r="U244" s="8"/>
      <c r="V244" s="7"/>
      <c r="W244" s="7"/>
      <c r="X244" s="146"/>
      <c r="Y244" s="37"/>
      <c r="Z244" s="60" t="str">
        <f t="shared" si="513"/>
        <v/>
      </c>
      <c r="AA244" s="40"/>
      <c r="AB244" s="40"/>
      <c r="AC244" s="40"/>
      <c r="AD244" s="40"/>
      <c r="AE244" s="58" t="str">
        <f t="shared" si="514"/>
        <v/>
      </c>
      <c r="AF244" s="12"/>
      <c r="AG244" s="58" t="str">
        <f t="shared" si="515"/>
        <v/>
      </c>
      <c r="AH244" s="40"/>
      <c r="AI244" s="40"/>
      <c r="AJ244" s="58" t="str">
        <f t="shared" si="516"/>
        <v/>
      </c>
      <c r="AK244" s="12"/>
      <c r="AL244" s="58" t="str">
        <f t="shared" si="517"/>
        <v/>
      </c>
      <c r="AM244" s="40"/>
      <c r="AN244" s="40"/>
      <c r="AO244" s="58" t="str">
        <f t="shared" si="518"/>
        <v/>
      </c>
      <c r="AP244" s="58" t="str">
        <f t="shared" si="519"/>
        <v/>
      </c>
      <c r="AQ244" s="58" t="str">
        <f t="shared" si="520"/>
        <v/>
      </c>
      <c r="AR244" s="59" t="str">
        <f t="shared" si="521"/>
        <v/>
      </c>
      <c r="AS244" s="12"/>
      <c r="AT244" s="49"/>
      <c r="AU244" s="49"/>
      <c r="AV244" s="61" t="str">
        <f>IF(_xlfn.XLOOKUP(AT244, AutoFill_classes!$A:$A, AutoFill_classes!$B:$B,"")=0,"",_xlfn.XLOOKUP(AT244, AutoFill_classes!$A:$A, AutoFill_classes!$B:$B,""))</f>
        <v/>
      </c>
      <c r="AW244" s="154"/>
      <c r="AX244" s="12"/>
      <c r="AY244" s="13"/>
      <c r="AZ244" s="12"/>
      <c r="BA244" s="13"/>
      <c r="BB244" s="13"/>
      <c r="BC244" s="146"/>
      <c r="BD244" s="37"/>
      <c r="BE244" s="60" t="str">
        <f t="shared" si="522"/>
        <v/>
      </c>
      <c r="BF244" s="32"/>
      <c r="BG244" s="32"/>
      <c r="BH244" s="32"/>
      <c r="BI244" s="32"/>
      <c r="BJ244" s="58" t="str">
        <f t="shared" si="523"/>
        <v/>
      </c>
      <c r="BK244" s="20"/>
      <c r="BL244" s="58" t="str">
        <f t="shared" si="524"/>
        <v/>
      </c>
      <c r="BM244" s="32"/>
      <c r="BN244" s="32"/>
      <c r="BO244" s="58" t="str">
        <f t="shared" si="525"/>
        <v/>
      </c>
      <c r="BP244" s="20"/>
      <c r="BQ244" s="58" t="str">
        <f t="shared" si="526"/>
        <v/>
      </c>
      <c r="BR244" s="32"/>
      <c r="BS244" s="32"/>
      <c r="BT244" s="58" t="str">
        <f t="shared" si="527"/>
        <v/>
      </c>
      <c r="BU244" s="58" t="str">
        <f t="shared" si="528"/>
        <v/>
      </c>
      <c r="BV244" s="58" t="str">
        <f t="shared" si="529"/>
        <v/>
      </c>
      <c r="BW244" s="59" t="str">
        <f t="shared" si="530"/>
        <v/>
      </c>
      <c r="BX244" s="12"/>
      <c r="BY244" s="49"/>
      <c r="BZ244" s="49"/>
      <c r="CA244" s="61" t="str">
        <f>IF(_xlfn.XLOOKUP(BY244, AutoFill_classes!$A:$A, AutoFill_classes!$B:$B,"")=0,"",_xlfn.XLOOKUP(BY244, AutoFill_classes!$A:$A, AutoFill_classes!$B:$B,""))</f>
        <v/>
      </c>
      <c r="CB244" s="154"/>
      <c r="CC244" s="12"/>
      <c r="CD244" s="12"/>
      <c r="CE244" s="12"/>
      <c r="CF244" s="7"/>
      <c r="CG244" s="37"/>
      <c r="CH244" s="146"/>
      <c r="CI244" s="41"/>
      <c r="CJ244" s="60" t="str">
        <f t="shared" si="531"/>
        <v/>
      </c>
      <c r="CK244" s="32"/>
      <c r="CL244" s="32"/>
      <c r="CM244" s="32"/>
      <c r="CN244" s="32"/>
      <c r="CO244" s="58" t="str">
        <f t="shared" si="532"/>
        <v/>
      </c>
      <c r="CP244" s="20"/>
      <c r="CQ244" s="58" t="str">
        <f t="shared" si="533"/>
        <v/>
      </c>
      <c r="CR244" s="32"/>
      <c r="CS244" s="32"/>
      <c r="CT244" s="58" t="str">
        <f t="shared" si="534"/>
        <v/>
      </c>
      <c r="CU244" s="20"/>
      <c r="CV244" s="58" t="str">
        <f t="shared" si="535"/>
        <v/>
      </c>
      <c r="CW244" s="32"/>
      <c r="CX244" s="32"/>
      <c r="CY244" s="58" t="str">
        <f t="shared" si="536"/>
        <v/>
      </c>
      <c r="CZ244" s="58" t="str">
        <f t="shared" si="537"/>
        <v/>
      </c>
      <c r="DA244" s="58" t="str">
        <f t="shared" si="538"/>
        <v/>
      </c>
      <c r="DB244" s="59" t="str">
        <f t="shared" si="539"/>
        <v/>
      </c>
      <c r="DC244" s="12"/>
      <c r="DD244" s="146"/>
    </row>
    <row r="245" spans="1:108">
      <c r="A245" s="7"/>
      <c r="B245" s="23" t="str">
        <f>IF(_xlfn.XLOOKUP(A245, AutoFill_names!B:B, AutoFill_names!C:C,"")=0,"",_xlfn.XLOOKUP(A245, AutoFill_names!B:B, AutoFill_names!C:C,""))</f>
        <v/>
      </c>
      <c r="C245" s="23" t="str">
        <f>IF(_xlfn.XLOOKUP(A245, AutoFill_names!B:B, AutoFill_names!D:D,"")=0,"",_xlfn.XLOOKUP(A245, AutoFill_names!B:B, AutoFill_names!D:D,""))</f>
        <v/>
      </c>
      <c r="D245" s="23" t="str">
        <f>IF(_xlfn.XLOOKUP(A245, AutoFill_names!B:B, AutoFill_names!E:E,"")=0,"",_xlfn.XLOOKUP(A245, AutoFill_names!B:B, AutoFill_names!E:E,""))</f>
        <v/>
      </c>
      <c r="E245" s="23" t="str">
        <f>IF(_xlfn.XLOOKUP(A245, AutoFill_names!B:B, AutoFill_names!F:F,"")=0,"",_xlfn.XLOOKUP(A245, AutoFill_names!B:B, AutoFill_names!F:F,""))</f>
        <v/>
      </c>
      <c r="F245" s="4"/>
      <c r="G245" s="4"/>
      <c r="H245" s="4"/>
      <c r="I245" s="4"/>
      <c r="J245" s="23" t="str">
        <f>IF(_xlfn.XLOOKUP(A245, AutoFill_names!B:B, AutoFill_names!K:K,"")=0,"",_xlfn.XLOOKUP(A245, AutoFill_names!B:B, AutoFill_names!K:K,""))</f>
        <v/>
      </c>
      <c r="K245" s="23" t="str">
        <f>IF(_xlfn.XLOOKUP(A245, AutoFill_names!B:B, AutoFill_names!L:L,"")=0,"",_xlfn.XLOOKUP(A245, AutoFill_names!B:B, AutoFill_names!L:L,""))</f>
        <v/>
      </c>
      <c r="L245" s="8"/>
      <c r="M245" s="8"/>
      <c r="N245" s="61" t="str">
        <f>IF(_xlfn.XLOOKUP(L245, AutoFill_classes!A:A, AutoFill_classes!B:B,"")=0,"",_xlfn.XLOOKUP(L245, AutoFill_classes!A:A, AutoFill_classes!B:B,""))</f>
        <v/>
      </c>
      <c r="O245" s="154"/>
      <c r="P245" s="11"/>
      <c r="Q245" s="11"/>
      <c r="R245" s="11"/>
      <c r="S245" s="8"/>
      <c r="T245" s="8"/>
      <c r="U245" s="8"/>
      <c r="V245" s="7"/>
      <c r="W245" s="7"/>
      <c r="X245" s="146"/>
      <c r="Y245" s="37"/>
      <c r="Z245" s="60" t="str">
        <f t="shared" si="513"/>
        <v/>
      </c>
      <c r="AA245" s="40"/>
      <c r="AB245" s="40"/>
      <c r="AC245" s="40"/>
      <c r="AD245" s="40"/>
      <c r="AE245" s="58" t="str">
        <f t="shared" si="514"/>
        <v/>
      </c>
      <c r="AF245" s="12"/>
      <c r="AG245" s="58" t="str">
        <f t="shared" si="515"/>
        <v/>
      </c>
      <c r="AH245" s="40"/>
      <c r="AI245" s="40"/>
      <c r="AJ245" s="58" t="str">
        <f t="shared" si="516"/>
        <v/>
      </c>
      <c r="AK245" s="12"/>
      <c r="AL245" s="58" t="str">
        <f t="shared" si="517"/>
        <v/>
      </c>
      <c r="AM245" s="40"/>
      <c r="AN245" s="40"/>
      <c r="AO245" s="58" t="str">
        <f t="shared" si="518"/>
        <v/>
      </c>
      <c r="AP245" s="58" t="str">
        <f t="shared" si="519"/>
        <v/>
      </c>
      <c r="AQ245" s="58" t="str">
        <f t="shared" si="520"/>
        <v/>
      </c>
      <c r="AR245" s="59" t="str">
        <f t="shared" si="521"/>
        <v/>
      </c>
      <c r="AS245" s="12"/>
      <c r="AT245" s="49"/>
      <c r="AU245" s="49"/>
      <c r="AV245" s="61" t="str">
        <f>IF(_xlfn.XLOOKUP(AT245, AutoFill_classes!$A:$A, AutoFill_classes!$B:$B,"")=0,"",_xlfn.XLOOKUP(AT245, AutoFill_classes!$A:$A, AutoFill_classes!$B:$B,""))</f>
        <v/>
      </c>
      <c r="AW245" s="154"/>
      <c r="AX245" s="12"/>
      <c r="AY245" s="13"/>
      <c r="AZ245" s="12"/>
      <c r="BA245" s="13"/>
      <c r="BB245" s="13"/>
      <c r="BC245" s="146"/>
      <c r="BD245" s="37"/>
      <c r="BE245" s="60" t="str">
        <f t="shared" si="522"/>
        <v/>
      </c>
      <c r="BF245" s="32"/>
      <c r="BG245" s="32"/>
      <c r="BH245" s="32"/>
      <c r="BI245" s="32"/>
      <c r="BJ245" s="58" t="str">
        <f t="shared" si="523"/>
        <v/>
      </c>
      <c r="BK245" s="20"/>
      <c r="BL245" s="58" t="str">
        <f t="shared" si="524"/>
        <v/>
      </c>
      <c r="BM245" s="32"/>
      <c r="BN245" s="32"/>
      <c r="BO245" s="58" t="str">
        <f t="shared" si="525"/>
        <v/>
      </c>
      <c r="BP245" s="20"/>
      <c r="BQ245" s="58" t="str">
        <f t="shared" si="526"/>
        <v/>
      </c>
      <c r="BR245" s="32"/>
      <c r="BS245" s="32"/>
      <c r="BT245" s="58" t="str">
        <f t="shared" si="527"/>
        <v/>
      </c>
      <c r="BU245" s="58" t="str">
        <f t="shared" si="528"/>
        <v/>
      </c>
      <c r="BV245" s="58" t="str">
        <f t="shared" si="529"/>
        <v/>
      </c>
      <c r="BW245" s="59" t="str">
        <f t="shared" si="530"/>
        <v/>
      </c>
      <c r="BX245" s="12"/>
      <c r="BY245" s="49"/>
      <c r="BZ245" s="49"/>
      <c r="CA245" s="61" t="str">
        <f>IF(_xlfn.XLOOKUP(BY245, AutoFill_classes!$A:$A, AutoFill_classes!$B:$B,"")=0,"",_xlfn.XLOOKUP(BY245, AutoFill_classes!$A:$A, AutoFill_classes!$B:$B,""))</f>
        <v/>
      </c>
      <c r="CB245" s="154"/>
      <c r="CC245" s="12"/>
      <c r="CD245" s="12"/>
      <c r="CE245" s="12"/>
      <c r="CF245" s="7"/>
      <c r="CG245" s="37"/>
      <c r="CH245" s="146"/>
      <c r="CI245" s="41"/>
      <c r="CJ245" s="60" t="str">
        <f t="shared" si="531"/>
        <v/>
      </c>
      <c r="CK245" s="32"/>
      <c r="CL245" s="32"/>
      <c r="CM245" s="32"/>
      <c r="CN245" s="32"/>
      <c r="CO245" s="58" t="str">
        <f t="shared" si="532"/>
        <v/>
      </c>
      <c r="CP245" s="20"/>
      <c r="CQ245" s="58" t="str">
        <f t="shared" si="533"/>
        <v/>
      </c>
      <c r="CR245" s="32"/>
      <c r="CS245" s="32"/>
      <c r="CT245" s="58" t="str">
        <f t="shared" si="534"/>
        <v/>
      </c>
      <c r="CU245" s="20"/>
      <c r="CV245" s="58" t="str">
        <f t="shared" si="535"/>
        <v/>
      </c>
      <c r="CW245" s="32"/>
      <c r="CX245" s="32"/>
      <c r="CY245" s="58" t="str">
        <f t="shared" si="536"/>
        <v/>
      </c>
      <c r="CZ245" s="58" t="str">
        <f t="shared" si="537"/>
        <v/>
      </c>
      <c r="DA245" s="58" t="str">
        <f t="shared" si="538"/>
        <v/>
      </c>
      <c r="DB245" s="59" t="str">
        <f t="shared" si="539"/>
        <v/>
      </c>
      <c r="DC245" s="12"/>
      <c r="DD245" s="146"/>
    </row>
    <row r="246" spans="1:108">
      <c r="A246" s="7"/>
      <c r="B246" s="23" t="str">
        <f>IF(_xlfn.XLOOKUP(A246, AutoFill_names!B:B, AutoFill_names!C:C,"")=0,"",_xlfn.XLOOKUP(A246, AutoFill_names!B:B, AutoFill_names!C:C,""))</f>
        <v/>
      </c>
      <c r="C246" s="23" t="str">
        <f>IF(_xlfn.XLOOKUP(A246, AutoFill_names!B:B, AutoFill_names!D:D,"")=0,"",_xlfn.XLOOKUP(A246, AutoFill_names!B:B, AutoFill_names!D:D,""))</f>
        <v/>
      </c>
      <c r="D246" s="23" t="str">
        <f>IF(_xlfn.XLOOKUP(A246, AutoFill_names!B:B, AutoFill_names!E:E,"")=0,"",_xlfn.XLOOKUP(A246, AutoFill_names!B:B, AutoFill_names!E:E,""))</f>
        <v/>
      </c>
      <c r="E246" s="23" t="str">
        <f>IF(_xlfn.XLOOKUP(A246, AutoFill_names!B:B, AutoFill_names!F:F,"")=0,"",_xlfn.XLOOKUP(A246, AutoFill_names!B:B, AutoFill_names!F:F,""))</f>
        <v/>
      </c>
      <c r="F246" s="4"/>
      <c r="G246" s="4"/>
      <c r="H246" s="4"/>
      <c r="I246" s="4"/>
      <c r="J246" s="23" t="str">
        <f>IF(_xlfn.XLOOKUP(A246, AutoFill_names!B:B, AutoFill_names!K:K,"")=0,"",_xlfn.XLOOKUP(A246, AutoFill_names!B:B, AutoFill_names!K:K,""))</f>
        <v/>
      </c>
      <c r="K246" s="23" t="str">
        <f>IF(_xlfn.XLOOKUP(A246, AutoFill_names!B:B, AutoFill_names!L:L,"")=0,"",_xlfn.XLOOKUP(A246, AutoFill_names!B:B, AutoFill_names!L:L,""))</f>
        <v/>
      </c>
      <c r="L246" s="8"/>
      <c r="M246" s="8"/>
      <c r="N246" s="61" t="str">
        <f>IF(_xlfn.XLOOKUP(L246, AutoFill_classes!A:A, AutoFill_classes!B:B,"")=0,"",_xlfn.XLOOKUP(L246, AutoFill_classes!A:A, AutoFill_classes!B:B,""))</f>
        <v/>
      </c>
      <c r="O246" s="154"/>
      <c r="P246" s="11"/>
      <c r="Q246" s="11"/>
      <c r="R246" s="11"/>
      <c r="S246" s="8"/>
      <c r="T246" s="8"/>
      <c r="U246" s="8"/>
      <c r="V246" s="7"/>
      <c r="W246" s="7"/>
      <c r="X246" s="146"/>
      <c r="Y246" s="37"/>
      <c r="Z246" s="60" t="str">
        <f t="shared" si="513"/>
        <v/>
      </c>
      <c r="AA246" s="40"/>
      <c r="AB246" s="40"/>
      <c r="AC246" s="40"/>
      <c r="AD246" s="40"/>
      <c r="AE246" s="58" t="str">
        <f t="shared" si="514"/>
        <v/>
      </c>
      <c r="AF246" s="12"/>
      <c r="AG246" s="58" t="str">
        <f t="shared" si="515"/>
        <v/>
      </c>
      <c r="AH246" s="40"/>
      <c r="AI246" s="40"/>
      <c r="AJ246" s="58" t="str">
        <f t="shared" si="516"/>
        <v/>
      </c>
      <c r="AK246" s="12"/>
      <c r="AL246" s="58" t="str">
        <f t="shared" si="517"/>
        <v/>
      </c>
      <c r="AM246" s="40"/>
      <c r="AN246" s="40"/>
      <c r="AO246" s="58" t="str">
        <f t="shared" si="518"/>
        <v/>
      </c>
      <c r="AP246" s="58" t="str">
        <f t="shared" si="519"/>
        <v/>
      </c>
      <c r="AQ246" s="58" t="str">
        <f t="shared" si="520"/>
        <v/>
      </c>
      <c r="AR246" s="59" t="str">
        <f t="shared" si="521"/>
        <v/>
      </c>
      <c r="AS246" s="12"/>
      <c r="AT246" s="49"/>
      <c r="AU246" s="49"/>
      <c r="AV246" s="61" t="str">
        <f>IF(_xlfn.XLOOKUP(AT246, AutoFill_classes!$A:$A, AutoFill_classes!$B:$B,"")=0,"",_xlfn.XLOOKUP(AT246, AutoFill_classes!$A:$A, AutoFill_classes!$B:$B,""))</f>
        <v/>
      </c>
      <c r="AW246" s="154"/>
      <c r="AX246" s="12"/>
      <c r="AY246" s="13"/>
      <c r="AZ246" s="12"/>
      <c r="BA246" s="13"/>
      <c r="BB246" s="13"/>
      <c r="BC246" s="146"/>
      <c r="BD246" s="37"/>
      <c r="BE246" s="60" t="str">
        <f t="shared" si="522"/>
        <v/>
      </c>
      <c r="BF246" s="32"/>
      <c r="BG246" s="32"/>
      <c r="BH246" s="32"/>
      <c r="BI246" s="32"/>
      <c r="BJ246" s="58" t="str">
        <f t="shared" si="523"/>
        <v/>
      </c>
      <c r="BK246" s="20"/>
      <c r="BL246" s="58" t="str">
        <f t="shared" si="524"/>
        <v/>
      </c>
      <c r="BM246" s="32"/>
      <c r="BN246" s="32"/>
      <c r="BO246" s="58" t="str">
        <f t="shared" si="525"/>
        <v/>
      </c>
      <c r="BP246" s="20"/>
      <c r="BQ246" s="58" t="str">
        <f t="shared" si="526"/>
        <v/>
      </c>
      <c r="BR246" s="32"/>
      <c r="BS246" s="32"/>
      <c r="BT246" s="58" t="str">
        <f t="shared" si="527"/>
        <v/>
      </c>
      <c r="BU246" s="58" t="str">
        <f t="shared" si="528"/>
        <v/>
      </c>
      <c r="BV246" s="58" t="str">
        <f t="shared" si="529"/>
        <v/>
      </c>
      <c r="BW246" s="59" t="str">
        <f t="shared" si="530"/>
        <v/>
      </c>
      <c r="BX246" s="12"/>
      <c r="BY246" s="49"/>
      <c r="BZ246" s="49"/>
      <c r="CA246" s="61" t="str">
        <f>IF(_xlfn.XLOOKUP(BY246, AutoFill_classes!$A:$A, AutoFill_classes!$B:$B,"")=0,"",_xlfn.XLOOKUP(BY246, AutoFill_classes!$A:$A, AutoFill_classes!$B:$B,""))</f>
        <v/>
      </c>
      <c r="CB246" s="154"/>
      <c r="CC246" s="12"/>
      <c r="CD246" s="12"/>
      <c r="CE246" s="12"/>
      <c r="CF246" s="7"/>
      <c r="CG246" s="37"/>
      <c r="CH246" s="146"/>
      <c r="CI246" s="41"/>
      <c r="CJ246" s="60" t="str">
        <f t="shared" si="531"/>
        <v/>
      </c>
      <c r="CK246" s="32"/>
      <c r="CL246" s="32"/>
      <c r="CM246" s="32"/>
      <c r="CN246" s="32"/>
      <c r="CO246" s="58" t="str">
        <f t="shared" si="532"/>
        <v/>
      </c>
      <c r="CP246" s="20"/>
      <c r="CQ246" s="58" t="str">
        <f t="shared" si="533"/>
        <v/>
      </c>
      <c r="CR246" s="32"/>
      <c r="CS246" s="32"/>
      <c r="CT246" s="58" t="str">
        <f t="shared" si="534"/>
        <v/>
      </c>
      <c r="CU246" s="20"/>
      <c r="CV246" s="58" t="str">
        <f t="shared" si="535"/>
        <v/>
      </c>
      <c r="CW246" s="32"/>
      <c r="CX246" s="32"/>
      <c r="CY246" s="58" t="str">
        <f t="shared" si="536"/>
        <v/>
      </c>
      <c r="CZ246" s="58" t="str">
        <f t="shared" si="537"/>
        <v/>
      </c>
      <c r="DA246" s="58" t="str">
        <f t="shared" si="538"/>
        <v/>
      </c>
      <c r="DB246" s="59" t="str">
        <f t="shared" si="539"/>
        <v/>
      </c>
      <c r="DC246" s="12"/>
      <c r="DD246" s="146"/>
    </row>
    <row r="247" spans="1:108">
      <c r="A247" s="7"/>
      <c r="B247" s="23" t="str">
        <f>IF(_xlfn.XLOOKUP(A247, AutoFill_names!B:B, AutoFill_names!C:C,"")=0,"",_xlfn.XLOOKUP(A247, AutoFill_names!B:B, AutoFill_names!C:C,""))</f>
        <v/>
      </c>
      <c r="C247" s="23" t="str">
        <f>IF(_xlfn.XLOOKUP(A247, AutoFill_names!B:B, AutoFill_names!D:D,"")=0,"",_xlfn.XLOOKUP(A247, AutoFill_names!B:B, AutoFill_names!D:D,""))</f>
        <v/>
      </c>
      <c r="D247" s="23" t="str">
        <f>IF(_xlfn.XLOOKUP(A247, AutoFill_names!B:B, AutoFill_names!E:E,"")=0,"",_xlfn.XLOOKUP(A247, AutoFill_names!B:B, AutoFill_names!E:E,""))</f>
        <v/>
      </c>
      <c r="E247" s="23" t="str">
        <f>IF(_xlfn.XLOOKUP(A247, AutoFill_names!B:B, AutoFill_names!F:F,"")=0,"",_xlfn.XLOOKUP(A247, AutoFill_names!B:B, AutoFill_names!F:F,""))</f>
        <v/>
      </c>
      <c r="F247" s="4"/>
      <c r="G247" s="4"/>
      <c r="H247" s="4"/>
      <c r="I247" s="4"/>
      <c r="J247" s="23" t="str">
        <f>IF(_xlfn.XLOOKUP(A247, AutoFill_names!B:B, AutoFill_names!K:K,"")=0,"",_xlfn.XLOOKUP(A247, AutoFill_names!B:B, AutoFill_names!K:K,""))</f>
        <v/>
      </c>
      <c r="K247" s="23" t="str">
        <f>IF(_xlfn.XLOOKUP(A247, AutoFill_names!B:B, AutoFill_names!L:L,"")=0,"",_xlfn.XLOOKUP(A247, AutoFill_names!B:B, AutoFill_names!L:L,""))</f>
        <v/>
      </c>
      <c r="L247" s="8"/>
      <c r="M247" s="8"/>
      <c r="N247" s="61" t="str">
        <f>IF(_xlfn.XLOOKUP(L247, AutoFill_classes!A:A, AutoFill_classes!B:B,"")=0,"",_xlfn.XLOOKUP(L247, AutoFill_classes!A:A, AutoFill_classes!B:B,""))</f>
        <v/>
      </c>
      <c r="O247" s="154"/>
      <c r="P247" s="11"/>
      <c r="Q247" s="11"/>
      <c r="R247" s="11"/>
      <c r="S247" s="8"/>
      <c r="T247" s="8"/>
      <c r="U247" s="8"/>
      <c r="V247" s="7"/>
      <c r="W247" s="7"/>
      <c r="X247" s="146"/>
      <c r="Y247" s="37"/>
      <c r="Z247" s="60" t="str">
        <f t="shared" si="513"/>
        <v/>
      </c>
      <c r="AA247" s="40"/>
      <c r="AB247" s="40"/>
      <c r="AC247" s="40"/>
      <c r="AD247" s="40"/>
      <c r="AE247" s="58" t="str">
        <f t="shared" si="514"/>
        <v/>
      </c>
      <c r="AF247" s="12"/>
      <c r="AG247" s="58" t="str">
        <f t="shared" si="515"/>
        <v/>
      </c>
      <c r="AH247" s="40"/>
      <c r="AI247" s="40"/>
      <c r="AJ247" s="58" t="str">
        <f t="shared" si="516"/>
        <v/>
      </c>
      <c r="AK247" s="12"/>
      <c r="AL247" s="58" t="str">
        <f t="shared" si="517"/>
        <v/>
      </c>
      <c r="AM247" s="40"/>
      <c r="AN247" s="40"/>
      <c r="AO247" s="58" t="str">
        <f t="shared" si="518"/>
        <v/>
      </c>
      <c r="AP247" s="58" t="str">
        <f t="shared" si="519"/>
        <v/>
      </c>
      <c r="AQ247" s="58" t="str">
        <f t="shared" si="520"/>
        <v/>
      </c>
      <c r="AR247" s="59" t="str">
        <f t="shared" si="521"/>
        <v/>
      </c>
      <c r="AS247" s="12"/>
      <c r="AT247" s="49"/>
      <c r="AU247" s="49"/>
      <c r="AV247" s="61" t="str">
        <f>IF(_xlfn.XLOOKUP(AT247, AutoFill_classes!$A:$A, AutoFill_classes!$B:$B,"")=0,"",_xlfn.XLOOKUP(AT247, AutoFill_classes!$A:$A, AutoFill_classes!$B:$B,""))</f>
        <v/>
      </c>
      <c r="AW247" s="154"/>
      <c r="AX247" s="12"/>
      <c r="AY247" s="13"/>
      <c r="AZ247" s="12"/>
      <c r="BA247" s="13"/>
      <c r="BB247" s="13"/>
      <c r="BC247" s="146"/>
      <c r="BD247" s="37"/>
      <c r="BE247" s="60" t="str">
        <f t="shared" si="522"/>
        <v/>
      </c>
      <c r="BF247" s="32"/>
      <c r="BG247" s="32"/>
      <c r="BH247" s="32"/>
      <c r="BI247" s="32"/>
      <c r="BJ247" s="58" t="str">
        <f t="shared" si="523"/>
        <v/>
      </c>
      <c r="BK247" s="20"/>
      <c r="BL247" s="58" t="str">
        <f t="shared" si="524"/>
        <v/>
      </c>
      <c r="BM247" s="32"/>
      <c r="BN247" s="32"/>
      <c r="BO247" s="58" t="str">
        <f t="shared" si="525"/>
        <v/>
      </c>
      <c r="BP247" s="20"/>
      <c r="BQ247" s="58" t="str">
        <f t="shared" si="526"/>
        <v/>
      </c>
      <c r="BR247" s="32"/>
      <c r="BS247" s="32"/>
      <c r="BT247" s="58" t="str">
        <f t="shared" si="527"/>
        <v/>
      </c>
      <c r="BU247" s="58" t="str">
        <f t="shared" si="528"/>
        <v/>
      </c>
      <c r="BV247" s="58" t="str">
        <f t="shared" si="529"/>
        <v/>
      </c>
      <c r="BW247" s="59" t="str">
        <f t="shared" si="530"/>
        <v/>
      </c>
      <c r="BX247" s="12"/>
      <c r="BY247" s="49"/>
      <c r="BZ247" s="49"/>
      <c r="CA247" s="61" t="str">
        <f>IF(_xlfn.XLOOKUP(BY247, AutoFill_classes!$A:$A, AutoFill_classes!$B:$B,"")=0,"",_xlfn.XLOOKUP(BY247, AutoFill_classes!$A:$A, AutoFill_classes!$B:$B,""))</f>
        <v/>
      </c>
      <c r="CB247" s="154"/>
      <c r="CC247" s="12"/>
      <c r="CD247" s="12"/>
      <c r="CE247" s="12"/>
      <c r="CF247" s="7"/>
      <c r="CG247" s="37"/>
      <c r="CH247" s="146"/>
      <c r="CI247" s="41"/>
      <c r="CJ247" s="60" t="str">
        <f t="shared" si="531"/>
        <v/>
      </c>
      <c r="CK247" s="32"/>
      <c r="CL247" s="32"/>
      <c r="CM247" s="32"/>
      <c r="CN247" s="32"/>
      <c r="CO247" s="58" t="str">
        <f t="shared" si="532"/>
        <v/>
      </c>
      <c r="CP247" s="20"/>
      <c r="CQ247" s="58" t="str">
        <f t="shared" si="533"/>
        <v/>
      </c>
      <c r="CR247" s="32"/>
      <c r="CS247" s="32"/>
      <c r="CT247" s="58" t="str">
        <f t="shared" si="534"/>
        <v/>
      </c>
      <c r="CU247" s="20"/>
      <c r="CV247" s="58" t="str">
        <f t="shared" si="535"/>
        <v/>
      </c>
      <c r="CW247" s="32"/>
      <c r="CX247" s="32"/>
      <c r="CY247" s="58" t="str">
        <f t="shared" si="536"/>
        <v/>
      </c>
      <c r="CZ247" s="58" t="str">
        <f t="shared" si="537"/>
        <v/>
      </c>
      <c r="DA247" s="58" t="str">
        <f t="shared" si="538"/>
        <v/>
      </c>
      <c r="DB247" s="59" t="str">
        <f t="shared" si="539"/>
        <v/>
      </c>
      <c r="DC247" s="12"/>
      <c r="DD247" s="146"/>
    </row>
    <row r="248" spans="1:108">
      <c r="A248" s="7"/>
      <c r="B248" s="23" t="str">
        <f>IF(_xlfn.XLOOKUP(A248, AutoFill_names!B:B, AutoFill_names!C:C,"")=0,"",_xlfn.XLOOKUP(A248, AutoFill_names!B:B, AutoFill_names!C:C,""))</f>
        <v/>
      </c>
      <c r="C248" s="23" t="str">
        <f>IF(_xlfn.XLOOKUP(A248, AutoFill_names!B:B, AutoFill_names!D:D,"")=0,"",_xlfn.XLOOKUP(A248, AutoFill_names!B:B, AutoFill_names!D:D,""))</f>
        <v/>
      </c>
      <c r="D248" s="23" t="str">
        <f>IF(_xlfn.XLOOKUP(A248, AutoFill_names!B:B, AutoFill_names!E:E,"")=0,"",_xlfn.XLOOKUP(A248, AutoFill_names!B:B, AutoFill_names!E:E,""))</f>
        <v/>
      </c>
      <c r="E248" s="23" t="str">
        <f>IF(_xlfn.XLOOKUP(A248, AutoFill_names!B:B, AutoFill_names!F:F,"")=0,"",_xlfn.XLOOKUP(A248, AutoFill_names!B:B, AutoFill_names!F:F,""))</f>
        <v/>
      </c>
      <c r="F248" s="4"/>
      <c r="G248" s="4"/>
      <c r="H248" s="4"/>
      <c r="I248" s="4"/>
      <c r="J248" s="23" t="str">
        <f>IF(_xlfn.XLOOKUP(A248, AutoFill_names!B:B, AutoFill_names!K:K,"")=0,"",_xlfn.XLOOKUP(A248, AutoFill_names!B:B, AutoFill_names!K:K,""))</f>
        <v/>
      </c>
      <c r="K248" s="23" t="str">
        <f>IF(_xlfn.XLOOKUP(A248, AutoFill_names!B:B, AutoFill_names!L:L,"")=0,"",_xlfn.XLOOKUP(A248, AutoFill_names!B:B, AutoFill_names!L:L,""))</f>
        <v/>
      </c>
      <c r="L248" s="8"/>
      <c r="M248" s="8"/>
      <c r="N248" s="61" t="str">
        <f>IF(_xlfn.XLOOKUP(L248, AutoFill_classes!A:A, AutoFill_classes!B:B,"")=0,"",_xlfn.XLOOKUP(L248, AutoFill_classes!A:A, AutoFill_classes!B:B,""))</f>
        <v/>
      </c>
      <c r="O248" s="154"/>
      <c r="P248" s="11"/>
      <c r="Q248" s="11"/>
      <c r="R248" s="11"/>
      <c r="S248" s="8"/>
      <c r="T248" s="8"/>
      <c r="U248" s="8"/>
      <c r="V248" s="7"/>
      <c r="W248" s="7"/>
      <c r="X248" s="146"/>
      <c r="Y248" s="37"/>
      <c r="Z248" s="60" t="str">
        <f t="shared" si="513"/>
        <v/>
      </c>
      <c r="AA248" s="40"/>
      <c r="AB248" s="40"/>
      <c r="AC248" s="40"/>
      <c r="AD248" s="40"/>
      <c r="AE248" s="58" t="str">
        <f t="shared" si="514"/>
        <v/>
      </c>
      <c r="AF248" s="12"/>
      <c r="AG248" s="58" t="str">
        <f t="shared" si="515"/>
        <v/>
      </c>
      <c r="AH248" s="40"/>
      <c r="AI248" s="40"/>
      <c r="AJ248" s="58" t="str">
        <f t="shared" si="516"/>
        <v/>
      </c>
      <c r="AK248" s="12"/>
      <c r="AL248" s="58" t="str">
        <f t="shared" si="517"/>
        <v/>
      </c>
      <c r="AM248" s="40"/>
      <c r="AN248" s="40"/>
      <c r="AO248" s="58" t="str">
        <f t="shared" si="518"/>
        <v/>
      </c>
      <c r="AP248" s="58" t="str">
        <f t="shared" si="519"/>
        <v/>
      </c>
      <c r="AQ248" s="58" t="str">
        <f t="shared" si="520"/>
        <v/>
      </c>
      <c r="AR248" s="59" t="str">
        <f t="shared" si="521"/>
        <v/>
      </c>
      <c r="AS248" s="12"/>
      <c r="AT248" s="49"/>
      <c r="AU248" s="49"/>
      <c r="AV248" s="61" t="str">
        <f>IF(_xlfn.XLOOKUP(AT248, AutoFill_classes!$A:$A, AutoFill_classes!$B:$B,"")=0,"",_xlfn.XLOOKUP(AT248, AutoFill_classes!$A:$A, AutoFill_classes!$B:$B,""))</f>
        <v/>
      </c>
      <c r="AW248" s="154"/>
      <c r="AX248" s="12"/>
      <c r="AY248" s="13"/>
      <c r="AZ248" s="12"/>
      <c r="BA248" s="13"/>
      <c r="BB248" s="13"/>
      <c r="BC248" s="146"/>
      <c r="BD248" s="37"/>
      <c r="BE248" s="60" t="str">
        <f t="shared" si="522"/>
        <v/>
      </c>
      <c r="BF248" s="32"/>
      <c r="BG248" s="32"/>
      <c r="BH248" s="32"/>
      <c r="BI248" s="32"/>
      <c r="BJ248" s="58" t="str">
        <f t="shared" si="523"/>
        <v/>
      </c>
      <c r="BK248" s="20"/>
      <c r="BL248" s="58" t="str">
        <f t="shared" si="524"/>
        <v/>
      </c>
      <c r="BM248" s="32"/>
      <c r="BN248" s="32"/>
      <c r="BO248" s="58" t="str">
        <f t="shared" si="525"/>
        <v/>
      </c>
      <c r="BP248" s="20"/>
      <c r="BQ248" s="58" t="str">
        <f t="shared" si="526"/>
        <v/>
      </c>
      <c r="BR248" s="32"/>
      <c r="BS248" s="32"/>
      <c r="BT248" s="58" t="str">
        <f t="shared" si="527"/>
        <v/>
      </c>
      <c r="BU248" s="58" t="str">
        <f t="shared" si="528"/>
        <v/>
      </c>
      <c r="BV248" s="58" t="str">
        <f t="shared" si="529"/>
        <v/>
      </c>
      <c r="BW248" s="59" t="str">
        <f t="shared" si="530"/>
        <v/>
      </c>
      <c r="BX248" s="12"/>
      <c r="BY248" s="49"/>
      <c r="BZ248" s="49"/>
      <c r="CA248" s="61" t="str">
        <f>IF(_xlfn.XLOOKUP(BY248, AutoFill_classes!$A:$A, AutoFill_classes!$B:$B,"")=0,"",_xlfn.XLOOKUP(BY248, AutoFill_classes!$A:$A, AutoFill_classes!$B:$B,""))</f>
        <v/>
      </c>
      <c r="CB248" s="154"/>
      <c r="CC248" s="12"/>
      <c r="CD248" s="12"/>
      <c r="CE248" s="12"/>
      <c r="CF248" s="7"/>
      <c r="CG248" s="37"/>
      <c r="CH248" s="146"/>
      <c r="CI248" s="41"/>
      <c r="CJ248" s="60" t="str">
        <f t="shared" si="531"/>
        <v/>
      </c>
      <c r="CK248" s="32"/>
      <c r="CL248" s="32"/>
      <c r="CM248" s="32"/>
      <c r="CN248" s="32"/>
      <c r="CO248" s="58" t="str">
        <f t="shared" si="532"/>
        <v/>
      </c>
      <c r="CP248" s="20"/>
      <c r="CQ248" s="58" t="str">
        <f t="shared" si="533"/>
        <v/>
      </c>
      <c r="CR248" s="32"/>
      <c r="CS248" s="32"/>
      <c r="CT248" s="58" t="str">
        <f t="shared" si="534"/>
        <v/>
      </c>
      <c r="CU248" s="20"/>
      <c r="CV248" s="58" t="str">
        <f t="shared" si="535"/>
        <v/>
      </c>
      <c r="CW248" s="32"/>
      <c r="CX248" s="32"/>
      <c r="CY248" s="58" t="str">
        <f t="shared" si="536"/>
        <v/>
      </c>
      <c r="CZ248" s="58" t="str">
        <f t="shared" si="537"/>
        <v/>
      </c>
      <c r="DA248" s="58" t="str">
        <f t="shared" si="538"/>
        <v/>
      </c>
      <c r="DB248" s="59" t="str">
        <f t="shared" si="539"/>
        <v/>
      </c>
      <c r="DC248" s="12"/>
      <c r="DD248" s="146"/>
    </row>
    <row r="249" spans="1:108">
      <c r="A249" s="7"/>
      <c r="B249" s="23" t="str">
        <f>IF(_xlfn.XLOOKUP(A249, AutoFill_names!B:B, AutoFill_names!C:C,"")=0,"",_xlfn.XLOOKUP(A249, AutoFill_names!B:B, AutoFill_names!C:C,""))</f>
        <v/>
      </c>
      <c r="C249" s="23" t="str">
        <f>IF(_xlfn.XLOOKUP(A249, AutoFill_names!B:B, AutoFill_names!D:D,"")=0,"",_xlfn.XLOOKUP(A249, AutoFill_names!B:B, AutoFill_names!D:D,""))</f>
        <v/>
      </c>
      <c r="D249" s="23" t="str">
        <f>IF(_xlfn.XLOOKUP(A249, AutoFill_names!B:B, AutoFill_names!E:E,"")=0,"",_xlfn.XLOOKUP(A249, AutoFill_names!B:B, AutoFill_names!E:E,""))</f>
        <v/>
      </c>
      <c r="E249" s="23" t="str">
        <f>IF(_xlfn.XLOOKUP(A249, AutoFill_names!B:B, AutoFill_names!F:F,"")=0,"",_xlfn.XLOOKUP(A249, AutoFill_names!B:B, AutoFill_names!F:F,""))</f>
        <v/>
      </c>
      <c r="F249" s="4"/>
      <c r="G249" s="4"/>
      <c r="H249" s="4"/>
      <c r="I249" s="4"/>
      <c r="J249" s="23" t="str">
        <f>IF(_xlfn.XLOOKUP(A249, AutoFill_names!B:B, AutoFill_names!K:K,"")=0,"",_xlfn.XLOOKUP(A249, AutoFill_names!B:B, AutoFill_names!K:K,""))</f>
        <v/>
      </c>
      <c r="K249" s="23" t="str">
        <f>IF(_xlfn.XLOOKUP(A249, AutoFill_names!B:B, AutoFill_names!L:L,"")=0,"",_xlfn.XLOOKUP(A249, AutoFill_names!B:B, AutoFill_names!L:L,""))</f>
        <v/>
      </c>
      <c r="L249" s="8"/>
      <c r="M249" s="8"/>
      <c r="N249" s="61" t="str">
        <f>IF(_xlfn.XLOOKUP(L249, AutoFill_classes!A:A, AutoFill_classes!B:B,"")=0,"",_xlfn.XLOOKUP(L249, AutoFill_classes!A:A, AutoFill_classes!B:B,""))</f>
        <v/>
      </c>
      <c r="O249" s="154"/>
      <c r="P249" s="11"/>
      <c r="Q249" s="11"/>
      <c r="R249" s="11"/>
      <c r="S249" s="8"/>
      <c r="T249" s="8"/>
      <c r="U249" s="8"/>
      <c r="V249" s="7"/>
      <c r="W249" s="7"/>
      <c r="X249" s="146"/>
      <c r="Y249" s="37"/>
      <c r="Z249" s="60" t="str">
        <f t="shared" ref="Z249:Z272" si="540">IF(X249*Y249=0,"",X249*Y249)</f>
        <v/>
      </c>
      <c r="AA249" s="40"/>
      <c r="AB249" s="40"/>
      <c r="AC249" s="40"/>
      <c r="AD249" s="40"/>
      <c r="AE249" s="58" t="str">
        <f t="shared" ref="AE249:AE272" si="541">IF(ROUNDUP((AD249-AC249)/7,0)=0,"",ROUNDUP((AD249-AC249)/7,0))</f>
        <v/>
      </c>
      <c r="AF249" s="12"/>
      <c r="AG249" s="58" t="str">
        <f t="shared" ref="AG249:AG272" si="542">IFERROR(IF(AE249*AF249=0,"",AE249*AF249), "")</f>
        <v/>
      </c>
      <c r="AH249" s="40"/>
      <c r="AI249" s="40"/>
      <c r="AJ249" s="58" t="str">
        <f t="shared" ref="AJ249:AJ272" si="543">IF(ROUNDUP((AI249-AH249)/7,0)=0,"",ROUNDUP((AI249-AH249)/7,0))</f>
        <v/>
      </c>
      <c r="AK249" s="12"/>
      <c r="AL249" s="58" t="str">
        <f t="shared" ref="AL249:AL272" si="544">IFERROR(IF(AJ249*AK249=0,"",AJ249*AK249), "")</f>
        <v/>
      </c>
      <c r="AM249" s="40"/>
      <c r="AN249" s="40"/>
      <c r="AO249" s="58" t="str">
        <f t="shared" ref="AO249:AO272" si="545">IF(ROUNDUP((AN249-AM249)/7,0)=0,"",ROUNDUP((AN249-AM249)/7,0))</f>
        <v/>
      </c>
      <c r="AP249" s="58" t="str">
        <f t="shared" ref="AP249:AP272" si="546">IFERROR(IF((AS249-(AF249+AK249))/AO249=0,"",ROUNDUP((AS249-(AF249+AK249))/AO249,0)), "")</f>
        <v/>
      </c>
      <c r="AQ249" s="58" t="str">
        <f t="shared" ref="AQ249:AQ272" si="547">IFERROR(IF((AS249-(AG249+AL249))=0, "", (AS249-(AG249+AL249))), "")</f>
        <v/>
      </c>
      <c r="AR249" s="59" t="str">
        <f t="shared" ref="AR249:AR272" si="548">IFERROR(IF((AE249+AJ249+AO249)=0, "", (AE249+AJ249+AO249)), "")</f>
        <v/>
      </c>
      <c r="AS249" s="12"/>
      <c r="AT249" s="49"/>
      <c r="AU249" s="49"/>
      <c r="AV249" s="61" t="str">
        <f>IF(_xlfn.XLOOKUP(AT249, AutoFill_classes!$A:$A, AutoFill_classes!$B:$B,"")=0,"",_xlfn.XLOOKUP(AT249, AutoFill_classes!$A:$A, AutoFill_classes!$B:$B,""))</f>
        <v/>
      </c>
      <c r="AW249" s="154"/>
      <c r="AX249" s="12"/>
      <c r="AY249" s="13"/>
      <c r="AZ249" s="12"/>
      <c r="BA249" s="13"/>
      <c r="BB249" s="13"/>
      <c r="BC249" s="146"/>
      <c r="BD249" s="37"/>
      <c r="BE249" s="60" t="str">
        <f t="shared" ref="BE249:BE272" si="549">IF(BC249*BD249=0,"",BC249*BD249)</f>
        <v/>
      </c>
      <c r="BF249" s="32"/>
      <c r="BG249" s="32"/>
      <c r="BH249" s="32"/>
      <c r="BI249" s="32"/>
      <c r="BJ249" s="58" t="str">
        <f t="shared" ref="BJ249:BJ272" si="550">IF(ROUNDUP((BI249-BH249)/7,0)=0,"",ROUNDUP((BI249-BH249)/7,0))</f>
        <v/>
      </c>
      <c r="BK249" s="20"/>
      <c r="BL249" s="58" t="str">
        <f t="shared" ref="BL249:BL272" si="551">IFERROR(IF(BJ249*BK249=0,"",BJ249*BK249), "")</f>
        <v/>
      </c>
      <c r="BM249" s="32"/>
      <c r="BN249" s="32"/>
      <c r="BO249" s="58" t="str">
        <f t="shared" ref="BO249:BO272" si="552">IF(ROUNDUP((BN249-BM249)/7,0)=0,"",ROUNDUP((BN249-BM249)/7,0))</f>
        <v/>
      </c>
      <c r="BP249" s="20"/>
      <c r="BQ249" s="58" t="str">
        <f t="shared" ref="BQ249:BQ272" si="553">IFERROR(IF(BO249*BP249=0,"",BO249*BP249), "")</f>
        <v/>
      </c>
      <c r="BR249" s="32"/>
      <c r="BS249" s="32"/>
      <c r="BT249" s="58" t="str">
        <f t="shared" ref="BT249:BT272" si="554">IF(ROUNDUP((BS249-BR249)/7,0)=0,"",ROUNDUP((BS249-BR249)/7,0))</f>
        <v/>
      </c>
      <c r="BU249" s="58" t="str">
        <f t="shared" ref="BU249:BU272" si="555">IFERROR(IF((BX249-(BK249+BP249))/BT249=0,"",ROUNDUP((BX249-(BK249+BP249))/BT249,0)), "")</f>
        <v/>
      </c>
      <c r="BV249" s="58" t="str">
        <f t="shared" ref="BV249:BV272" si="556">IFERROR(IF((BX249-(BL249+BQ249))=0, "", (BX249-(BL249+BQ249))), "")</f>
        <v/>
      </c>
      <c r="BW249" s="59" t="str">
        <f t="shared" ref="BW249:BW272" si="557">IFERROR(IF((BJ249+BO249+BT249)=0, "", (BJ249+BO249+BT249)), "")</f>
        <v/>
      </c>
      <c r="BX249" s="12"/>
      <c r="BY249" s="49"/>
      <c r="BZ249" s="49"/>
      <c r="CA249" s="61" t="str">
        <f>IF(_xlfn.XLOOKUP(BY249, AutoFill_classes!$A:$A, AutoFill_classes!$B:$B,"")=0,"",_xlfn.XLOOKUP(BY249, AutoFill_classes!$A:$A, AutoFill_classes!$B:$B,""))</f>
        <v/>
      </c>
      <c r="CB249" s="154"/>
      <c r="CC249" s="12"/>
      <c r="CD249" s="12"/>
      <c r="CE249" s="12"/>
      <c r="CF249" s="7"/>
      <c r="CG249" s="37"/>
      <c r="CH249" s="146"/>
      <c r="CI249" s="41"/>
      <c r="CJ249" s="60" t="str">
        <f t="shared" ref="CJ249:CJ272" si="558">IF(CH249*CI249=0,"",CH249*CI249)</f>
        <v/>
      </c>
      <c r="CK249" s="32"/>
      <c r="CL249" s="32"/>
      <c r="CM249" s="32"/>
      <c r="CN249" s="32"/>
      <c r="CO249" s="58" t="str">
        <f t="shared" ref="CO249:CO272" si="559">IF(ROUNDUP((CN249-CM249)/7,0)=0,"",ROUNDUP((CN249-CM249)/7,0))</f>
        <v/>
      </c>
      <c r="CP249" s="20"/>
      <c r="CQ249" s="58" t="str">
        <f t="shared" ref="CQ249:CQ272" si="560">IFERROR(IF(CO249*CP249=0,"",CO249*CP249), "")</f>
        <v/>
      </c>
      <c r="CR249" s="32"/>
      <c r="CS249" s="32"/>
      <c r="CT249" s="58" t="str">
        <f t="shared" ref="CT249:CT272" si="561">IF(ROUNDUP((CS249-CR249)/7,0)=0,"",ROUNDUP((CS249-CR249)/7,0))</f>
        <v/>
      </c>
      <c r="CU249" s="20"/>
      <c r="CV249" s="58" t="str">
        <f t="shared" ref="CV249:CV272" si="562">IFERROR(IF(CT249*CU249=0,"",CT249*CU249), "")</f>
        <v/>
      </c>
      <c r="CW249" s="32"/>
      <c r="CX249" s="32"/>
      <c r="CY249" s="58" t="str">
        <f t="shared" ref="CY249:CY272" si="563">IF(ROUNDUP((CX249-CW249)/7,0)=0,"",ROUNDUP((CX249-CW249)/7,0))</f>
        <v/>
      </c>
      <c r="CZ249" s="58" t="str">
        <f t="shared" ref="CZ249:CZ272" si="564">IFERROR(IF((DC249-(CP249+CU249))/CY249=0,"",ROUNDUP((DC249-(CP249+CU249))/CY249,0)), "")</f>
        <v/>
      </c>
      <c r="DA249" s="58" t="str">
        <f t="shared" ref="DA249:DA272" si="565">IFERROR(IF((DC249-(CQ249+CV249))=0, "", (DC249-(CQ249+CV249))), "")</f>
        <v/>
      </c>
      <c r="DB249" s="59" t="str">
        <f t="shared" ref="DB249:DB272" si="566">IFERROR(IF((CO249+CT249+CY249)=0, "", (CO249+CT249+CY249)), "")</f>
        <v/>
      </c>
      <c r="DC249" s="12"/>
      <c r="DD249" s="146"/>
    </row>
    <row r="250" spans="1:108">
      <c r="A250" s="7"/>
      <c r="B250" s="23" t="str">
        <f>IF(_xlfn.XLOOKUP(A250, AutoFill_names!B:B, AutoFill_names!C:C,"")=0,"",_xlfn.XLOOKUP(A250, AutoFill_names!B:B, AutoFill_names!C:C,""))</f>
        <v/>
      </c>
      <c r="C250" s="23" t="str">
        <f>IF(_xlfn.XLOOKUP(A250, AutoFill_names!B:B, AutoFill_names!D:D,"")=0,"",_xlfn.XLOOKUP(A250, AutoFill_names!B:B, AutoFill_names!D:D,""))</f>
        <v/>
      </c>
      <c r="D250" s="23" t="str">
        <f>IF(_xlfn.XLOOKUP(A250, AutoFill_names!B:B, AutoFill_names!E:E,"")=0,"",_xlfn.XLOOKUP(A250, AutoFill_names!B:B, AutoFill_names!E:E,""))</f>
        <v/>
      </c>
      <c r="E250" s="23" t="str">
        <f>IF(_xlfn.XLOOKUP(A250, AutoFill_names!B:B, AutoFill_names!F:F,"")=0,"",_xlfn.XLOOKUP(A250, AutoFill_names!B:B, AutoFill_names!F:F,""))</f>
        <v/>
      </c>
      <c r="F250" s="4"/>
      <c r="G250" s="4"/>
      <c r="H250" s="4"/>
      <c r="I250" s="4"/>
      <c r="J250" s="23" t="str">
        <f>IF(_xlfn.XLOOKUP(A250, AutoFill_names!B:B, AutoFill_names!K:K,"")=0,"",_xlfn.XLOOKUP(A250, AutoFill_names!B:B, AutoFill_names!K:K,""))</f>
        <v/>
      </c>
      <c r="K250" s="23" t="str">
        <f>IF(_xlfn.XLOOKUP(A250, AutoFill_names!B:B, AutoFill_names!L:L,"")=0,"",_xlfn.XLOOKUP(A250, AutoFill_names!B:B, AutoFill_names!L:L,""))</f>
        <v/>
      </c>
      <c r="L250" s="8"/>
      <c r="M250" s="8"/>
      <c r="N250" s="61" t="str">
        <f>IF(_xlfn.XLOOKUP(L250, AutoFill_classes!A:A, AutoFill_classes!B:B,"")=0,"",_xlfn.XLOOKUP(L250, AutoFill_classes!A:A, AutoFill_classes!B:B,""))</f>
        <v/>
      </c>
      <c r="O250" s="154"/>
      <c r="P250" s="11"/>
      <c r="Q250" s="11"/>
      <c r="R250" s="11"/>
      <c r="S250" s="8"/>
      <c r="T250" s="8"/>
      <c r="U250" s="8"/>
      <c r="V250" s="7"/>
      <c r="W250" s="7"/>
      <c r="X250" s="146"/>
      <c r="Y250" s="37"/>
      <c r="Z250" s="60" t="str">
        <f t="shared" si="540"/>
        <v/>
      </c>
      <c r="AA250" s="40"/>
      <c r="AB250" s="40"/>
      <c r="AC250" s="40"/>
      <c r="AD250" s="40"/>
      <c r="AE250" s="58" t="str">
        <f t="shared" si="541"/>
        <v/>
      </c>
      <c r="AF250" s="12"/>
      <c r="AG250" s="58" t="str">
        <f t="shared" si="542"/>
        <v/>
      </c>
      <c r="AH250" s="40"/>
      <c r="AI250" s="40"/>
      <c r="AJ250" s="58" t="str">
        <f t="shared" si="543"/>
        <v/>
      </c>
      <c r="AK250" s="12"/>
      <c r="AL250" s="58" t="str">
        <f t="shared" si="544"/>
        <v/>
      </c>
      <c r="AM250" s="40"/>
      <c r="AN250" s="40"/>
      <c r="AO250" s="58" t="str">
        <f t="shared" si="545"/>
        <v/>
      </c>
      <c r="AP250" s="58" t="str">
        <f t="shared" si="546"/>
        <v/>
      </c>
      <c r="AQ250" s="58" t="str">
        <f t="shared" si="547"/>
        <v/>
      </c>
      <c r="AR250" s="59" t="str">
        <f t="shared" si="548"/>
        <v/>
      </c>
      <c r="AS250" s="12"/>
      <c r="AT250" s="49"/>
      <c r="AU250" s="49"/>
      <c r="AV250" s="61" t="str">
        <f>IF(_xlfn.XLOOKUP(AT250, AutoFill_classes!$A:$A, AutoFill_classes!$B:$B,"")=0,"",_xlfn.XLOOKUP(AT250, AutoFill_classes!$A:$A, AutoFill_classes!$B:$B,""))</f>
        <v/>
      </c>
      <c r="AW250" s="154"/>
      <c r="AX250" s="12"/>
      <c r="AY250" s="13"/>
      <c r="AZ250" s="12"/>
      <c r="BA250" s="13"/>
      <c r="BB250" s="13"/>
      <c r="BC250" s="146"/>
      <c r="BD250" s="37"/>
      <c r="BE250" s="60" t="str">
        <f t="shared" si="549"/>
        <v/>
      </c>
      <c r="BF250" s="32"/>
      <c r="BG250" s="32"/>
      <c r="BH250" s="32"/>
      <c r="BI250" s="32"/>
      <c r="BJ250" s="58" t="str">
        <f t="shared" si="550"/>
        <v/>
      </c>
      <c r="BK250" s="20"/>
      <c r="BL250" s="58" t="str">
        <f t="shared" si="551"/>
        <v/>
      </c>
      <c r="BM250" s="32"/>
      <c r="BN250" s="32"/>
      <c r="BO250" s="58" t="str">
        <f t="shared" si="552"/>
        <v/>
      </c>
      <c r="BP250" s="20"/>
      <c r="BQ250" s="58" t="str">
        <f t="shared" si="553"/>
        <v/>
      </c>
      <c r="BR250" s="32"/>
      <c r="BS250" s="32"/>
      <c r="BT250" s="58" t="str">
        <f t="shared" si="554"/>
        <v/>
      </c>
      <c r="BU250" s="58" t="str">
        <f t="shared" si="555"/>
        <v/>
      </c>
      <c r="BV250" s="58" t="str">
        <f t="shared" si="556"/>
        <v/>
      </c>
      <c r="BW250" s="59" t="str">
        <f t="shared" si="557"/>
        <v/>
      </c>
      <c r="BX250" s="12"/>
      <c r="BY250" s="49"/>
      <c r="BZ250" s="49"/>
      <c r="CA250" s="61" t="str">
        <f>IF(_xlfn.XLOOKUP(BY250, AutoFill_classes!$A:$A, AutoFill_classes!$B:$B,"")=0,"",_xlfn.XLOOKUP(BY250, AutoFill_classes!$A:$A, AutoFill_classes!$B:$B,""))</f>
        <v/>
      </c>
      <c r="CB250" s="154"/>
      <c r="CC250" s="12"/>
      <c r="CD250" s="12"/>
      <c r="CE250" s="12"/>
      <c r="CF250" s="7"/>
      <c r="CG250" s="37"/>
      <c r="CH250" s="146"/>
      <c r="CI250" s="41"/>
      <c r="CJ250" s="60" t="str">
        <f t="shared" si="558"/>
        <v/>
      </c>
      <c r="CK250" s="32"/>
      <c r="CL250" s="32"/>
      <c r="CM250" s="32"/>
      <c r="CN250" s="32"/>
      <c r="CO250" s="58" t="str">
        <f t="shared" si="559"/>
        <v/>
      </c>
      <c r="CP250" s="20"/>
      <c r="CQ250" s="58" t="str">
        <f t="shared" si="560"/>
        <v/>
      </c>
      <c r="CR250" s="32"/>
      <c r="CS250" s="32"/>
      <c r="CT250" s="58" t="str">
        <f t="shared" si="561"/>
        <v/>
      </c>
      <c r="CU250" s="20"/>
      <c r="CV250" s="58" t="str">
        <f t="shared" si="562"/>
        <v/>
      </c>
      <c r="CW250" s="32"/>
      <c r="CX250" s="32"/>
      <c r="CY250" s="58" t="str">
        <f t="shared" si="563"/>
        <v/>
      </c>
      <c r="CZ250" s="58" t="str">
        <f t="shared" si="564"/>
        <v/>
      </c>
      <c r="DA250" s="58" t="str">
        <f t="shared" si="565"/>
        <v/>
      </c>
      <c r="DB250" s="59" t="str">
        <f t="shared" si="566"/>
        <v/>
      </c>
      <c r="DC250" s="12"/>
      <c r="DD250" s="146"/>
    </row>
    <row r="251" spans="1:108">
      <c r="A251" s="7"/>
      <c r="B251" s="23" t="str">
        <f>IF(_xlfn.XLOOKUP(A251, AutoFill_names!B:B, AutoFill_names!C:C,"")=0,"",_xlfn.XLOOKUP(A251, AutoFill_names!B:B, AutoFill_names!C:C,""))</f>
        <v/>
      </c>
      <c r="C251" s="23" t="str">
        <f>IF(_xlfn.XLOOKUP(A251, AutoFill_names!B:B, AutoFill_names!D:D,"")=0,"",_xlfn.XLOOKUP(A251, AutoFill_names!B:B, AutoFill_names!D:D,""))</f>
        <v/>
      </c>
      <c r="D251" s="23" t="str">
        <f>IF(_xlfn.XLOOKUP(A251, AutoFill_names!B:B, AutoFill_names!E:E,"")=0,"",_xlfn.XLOOKUP(A251, AutoFill_names!B:B, AutoFill_names!E:E,""))</f>
        <v/>
      </c>
      <c r="E251" s="23" t="str">
        <f>IF(_xlfn.XLOOKUP(A251, AutoFill_names!B:B, AutoFill_names!F:F,"")=0,"",_xlfn.XLOOKUP(A251, AutoFill_names!B:B, AutoFill_names!F:F,""))</f>
        <v/>
      </c>
      <c r="F251" s="4"/>
      <c r="G251" s="4"/>
      <c r="H251" s="4"/>
      <c r="I251" s="4"/>
      <c r="J251" s="23" t="str">
        <f>IF(_xlfn.XLOOKUP(A251, AutoFill_names!B:B, AutoFill_names!K:K,"")=0,"",_xlfn.XLOOKUP(A251, AutoFill_names!B:B, AutoFill_names!K:K,""))</f>
        <v/>
      </c>
      <c r="K251" s="23" t="str">
        <f>IF(_xlfn.XLOOKUP(A251, AutoFill_names!B:B, AutoFill_names!L:L,"")=0,"",_xlfn.XLOOKUP(A251, AutoFill_names!B:B, AutoFill_names!L:L,""))</f>
        <v/>
      </c>
      <c r="L251" s="8"/>
      <c r="M251" s="8"/>
      <c r="N251" s="61" t="str">
        <f>IF(_xlfn.XLOOKUP(L251, AutoFill_classes!A:A, AutoFill_classes!B:B,"")=0,"",_xlfn.XLOOKUP(L251, AutoFill_classes!A:A, AutoFill_classes!B:B,""))</f>
        <v/>
      </c>
      <c r="O251" s="154"/>
      <c r="P251" s="11"/>
      <c r="Q251" s="11"/>
      <c r="R251" s="11"/>
      <c r="S251" s="8"/>
      <c r="T251" s="8"/>
      <c r="U251" s="8"/>
      <c r="V251" s="7"/>
      <c r="W251" s="7"/>
      <c r="X251" s="146"/>
      <c r="Y251" s="37"/>
      <c r="Z251" s="60" t="str">
        <f t="shared" si="540"/>
        <v/>
      </c>
      <c r="AA251" s="40"/>
      <c r="AB251" s="40"/>
      <c r="AC251" s="40"/>
      <c r="AD251" s="40"/>
      <c r="AE251" s="58" t="str">
        <f t="shared" si="541"/>
        <v/>
      </c>
      <c r="AF251" s="12"/>
      <c r="AG251" s="58" t="str">
        <f t="shared" si="542"/>
        <v/>
      </c>
      <c r="AH251" s="40"/>
      <c r="AI251" s="40"/>
      <c r="AJ251" s="58" t="str">
        <f t="shared" si="543"/>
        <v/>
      </c>
      <c r="AK251" s="12"/>
      <c r="AL251" s="58" t="str">
        <f t="shared" si="544"/>
        <v/>
      </c>
      <c r="AM251" s="40"/>
      <c r="AN251" s="40"/>
      <c r="AO251" s="58" t="str">
        <f t="shared" si="545"/>
        <v/>
      </c>
      <c r="AP251" s="58" t="str">
        <f t="shared" si="546"/>
        <v/>
      </c>
      <c r="AQ251" s="58" t="str">
        <f t="shared" si="547"/>
        <v/>
      </c>
      <c r="AR251" s="59" t="str">
        <f t="shared" si="548"/>
        <v/>
      </c>
      <c r="AS251" s="12"/>
      <c r="AT251" s="49"/>
      <c r="AU251" s="49"/>
      <c r="AV251" s="61" t="str">
        <f>IF(_xlfn.XLOOKUP(AT251, AutoFill_classes!$A:$A, AutoFill_classes!$B:$B,"")=0,"",_xlfn.XLOOKUP(AT251, AutoFill_classes!$A:$A, AutoFill_classes!$B:$B,""))</f>
        <v/>
      </c>
      <c r="AW251" s="154"/>
      <c r="AX251" s="12"/>
      <c r="AY251" s="13"/>
      <c r="AZ251" s="12"/>
      <c r="BA251" s="13"/>
      <c r="BB251" s="13"/>
      <c r="BC251" s="146"/>
      <c r="BD251" s="37"/>
      <c r="BE251" s="60" t="str">
        <f t="shared" si="549"/>
        <v/>
      </c>
      <c r="BF251" s="32"/>
      <c r="BG251" s="32"/>
      <c r="BH251" s="32"/>
      <c r="BI251" s="32"/>
      <c r="BJ251" s="58" t="str">
        <f t="shared" si="550"/>
        <v/>
      </c>
      <c r="BK251" s="20"/>
      <c r="BL251" s="58" t="str">
        <f t="shared" si="551"/>
        <v/>
      </c>
      <c r="BM251" s="32"/>
      <c r="BN251" s="32"/>
      <c r="BO251" s="58" t="str">
        <f t="shared" si="552"/>
        <v/>
      </c>
      <c r="BP251" s="20"/>
      <c r="BQ251" s="58" t="str">
        <f t="shared" si="553"/>
        <v/>
      </c>
      <c r="BR251" s="32"/>
      <c r="BS251" s="32"/>
      <c r="BT251" s="58" t="str">
        <f t="shared" si="554"/>
        <v/>
      </c>
      <c r="BU251" s="58" t="str">
        <f t="shared" si="555"/>
        <v/>
      </c>
      <c r="BV251" s="58" t="str">
        <f t="shared" si="556"/>
        <v/>
      </c>
      <c r="BW251" s="59" t="str">
        <f t="shared" si="557"/>
        <v/>
      </c>
      <c r="BX251" s="12"/>
      <c r="BY251" s="49"/>
      <c r="BZ251" s="49"/>
      <c r="CA251" s="61" t="str">
        <f>IF(_xlfn.XLOOKUP(BY251, AutoFill_classes!$A:$A, AutoFill_classes!$B:$B,"")=0,"",_xlfn.XLOOKUP(BY251, AutoFill_classes!$A:$A, AutoFill_classes!$B:$B,""))</f>
        <v/>
      </c>
      <c r="CB251" s="154"/>
      <c r="CC251" s="12"/>
      <c r="CD251" s="12"/>
      <c r="CE251" s="12"/>
      <c r="CF251" s="7"/>
      <c r="CG251" s="37"/>
      <c r="CH251" s="146"/>
      <c r="CI251" s="41"/>
      <c r="CJ251" s="60" t="str">
        <f t="shared" si="558"/>
        <v/>
      </c>
      <c r="CK251" s="32"/>
      <c r="CL251" s="32"/>
      <c r="CM251" s="32"/>
      <c r="CN251" s="32"/>
      <c r="CO251" s="58" t="str">
        <f t="shared" si="559"/>
        <v/>
      </c>
      <c r="CP251" s="20"/>
      <c r="CQ251" s="58" t="str">
        <f t="shared" si="560"/>
        <v/>
      </c>
      <c r="CR251" s="32"/>
      <c r="CS251" s="32"/>
      <c r="CT251" s="58" t="str">
        <f t="shared" si="561"/>
        <v/>
      </c>
      <c r="CU251" s="20"/>
      <c r="CV251" s="58" t="str">
        <f t="shared" si="562"/>
        <v/>
      </c>
      <c r="CW251" s="32"/>
      <c r="CX251" s="32"/>
      <c r="CY251" s="58" t="str">
        <f t="shared" si="563"/>
        <v/>
      </c>
      <c r="CZ251" s="58" t="str">
        <f t="shared" si="564"/>
        <v/>
      </c>
      <c r="DA251" s="58" t="str">
        <f t="shared" si="565"/>
        <v/>
      </c>
      <c r="DB251" s="59" t="str">
        <f t="shared" si="566"/>
        <v/>
      </c>
      <c r="DC251" s="12"/>
      <c r="DD251" s="146"/>
    </row>
    <row r="252" spans="1:108">
      <c r="A252" s="7"/>
      <c r="B252" s="23" t="str">
        <f>IF(_xlfn.XLOOKUP(A252, AutoFill_names!B:B, AutoFill_names!C:C,"")=0,"",_xlfn.XLOOKUP(A252, AutoFill_names!B:B, AutoFill_names!C:C,""))</f>
        <v/>
      </c>
      <c r="C252" s="23" t="str">
        <f>IF(_xlfn.XLOOKUP(A252, AutoFill_names!B:B, AutoFill_names!D:D,"")=0,"",_xlfn.XLOOKUP(A252, AutoFill_names!B:B, AutoFill_names!D:D,""))</f>
        <v/>
      </c>
      <c r="D252" s="23" t="str">
        <f>IF(_xlfn.XLOOKUP(A252, AutoFill_names!B:B, AutoFill_names!E:E,"")=0,"",_xlfn.XLOOKUP(A252, AutoFill_names!B:B, AutoFill_names!E:E,""))</f>
        <v/>
      </c>
      <c r="E252" s="23" t="str">
        <f>IF(_xlfn.XLOOKUP(A252, AutoFill_names!B:B, AutoFill_names!F:F,"")=0,"",_xlfn.XLOOKUP(A252, AutoFill_names!B:B, AutoFill_names!F:F,""))</f>
        <v/>
      </c>
      <c r="F252" s="4"/>
      <c r="G252" s="4"/>
      <c r="H252" s="4"/>
      <c r="I252" s="4"/>
      <c r="J252" s="23" t="str">
        <f>IF(_xlfn.XLOOKUP(A252, AutoFill_names!B:B, AutoFill_names!K:K,"")=0,"",_xlfn.XLOOKUP(A252, AutoFill_names!B:B, AutoFill_names!K:K,""))</f>
        <v/>
      </c>
      <c r="K252" s="23" t="str">
        <f>IF(_xlfn.XLOOKUP(A252, AutoFill_names!B:B, AutoFill_names!L:L,"")=0,"",_xlfn.XLOOKUP(A252, AutoFill_names!B:B, AutoFill_names!L:L,""))</f>
        <v/>
      </c>
      <c r="L252" s="8"/>
      <c r="M252" s="8"/>
      <c r="N252" s="61" t="str">
        <f>IF(_xlfn.XLOOKUP(L252, AutoFill_classes!A:A, AutoFill_classes!B:B,"")=0,"",_xlfn.XLOOKUP(L252, AutoFill_classes!A:A, AutoFill_classes!B:B,""))</f>
        <v/>
      </c>
      <c r="O252" s="154"/>
      <c r="P252" s="11"/>
      <c r="Q252" s="11"/>
      <c r="R252" s="11"/>
      <c r="S252" s="8"/>
      <c r="T252" s="8"/>
      <c r="U252" s="8"/>
      <c r="V252" s="7"/>
      <c r="W252" s="7"/>
      <c r="X252" s="146"/>
      <c r="Y252" s="37"/>
      <c r="Z252" s="60" t="str">
        <f t="shared" si="540"/>
        <v/>
      </c>
      <c r="AA252" s="40"/>
      <c r="AB252" s="40"/>
      <c r="AC252" s="40"/>
      <c r="AD252" s="40"/>
      <c r="AE252" s="58" t="str">
        <f t="shared" si="541"/>
        <v/>
      </c>
      <c r="AF252" s="12"/>
      <c r="AG252" s="58" t="str">
        <f t="shared" si="542"/>
        <v/>
      </c>
      <c r="AH252" s="40"/>
      <c r="AI252" s="40"/>
      <c r="AJ252" s="58" t="str">
        <f t="shared" si="543"/>
        <v/>
      </c>
      <c r="AK252" s="12"/>
      <c r="AL252" s="58" t="str">
        <f t="shared" si="544"/>
        <v/>
      </c>
      <c r="AM252" s="40"/>
      <c r="AN252" s="40"/>
      <c r="AO252" s="58" t="str">
        <f t="shared" si="545"/>
        <v/>
      </c>
      <c r="AP252" s="58" t="str">
        <f t="shared" si="546"/>
        <v/>
      </c>
      <c r="AQ252" s="58" t="str">
        <f t="shared" si="547"/>
        <v/>
      </c>
      <c r="AR252" s="59" t="str">
        <f t="shared" si="548"/>
        <v/>
      </c>
      <c r="AS252" s="12"/>
      <c r="AT252" s="49"/>
      <c r="AU252" s="49"/>
      <c r="AV252" s="61" t="str">
        <f>IF(_xlfn.XLOOKUP(AT252, AutoFill_classes!$A:$A, AutoFill_classes!$B:$B,"")=0,"",_xlfn.XLOOKUP(AT252, AutoFill_classes!$A:$A, AutoFill_classes!$B:$B,""))</f>
        <v/>
      </c>
      <c r="AW252" s="154"/>
      <c r="AX252" s="12"/>
      <c r="AY252" s="13"/>
      <c r="AZ252" s="12"/>
      <c r="BA252" s="13"/>
      <c r="BB252" s="13"/>
      <c r="BC252" s="146"/>
      <c r="BD252" s="37"/>
      <c r="BE252" s="60" t="str">
        <f t="shared" si="549"/>
        <v/>
      </c>
      <c r="BF252" s="32"/>
      <c r="BG252" s="32"/>
      <c r="BH252" s="32"/>
      <c r="BI252" s="32"/>
      <c r="BJ252" s="58" t="str">
        <f t="shared" si="550"/>
        <v/>
      </c>
      <c r="BK252" s="20"/>
      <c r="BL252" s="58" t="str">
        <f t="shared" si="551"/>
        <v/>
      </c>
      <c r="BM252" s="32"/>
      <c r="BN252" s="32"/>
      <c r="BO252" s="58" t="str">
        <f t="shared" si="552"/>
        <v/>
      </c>
      <c r="BP252" s="20"/>
      <c r="BQ252" s="58" t="str">
        <f t="shared" si="553"/>
        <v/>
      </c>
      <c r="BR252" s="32"/>
      <c r="BS252" s="32"/>
      <c r="BT252" s="58" t="str">
        <f t="shared" si="554"/>
        <v/>
      </c>
      <c r="BU252" s="58" t="str">
        <f t="shared" si="555"/>
        <v/>
      </c>
      <c r="BV252" s="58" t="str">
        <f t="shared" si="556"/>
        <v/>
      </c>
      <c r="BW252" s="59" t="str">
        <f t="shared" si="557"/>
        <v/>
      </c>
      <c r="BX252" s="12"/>
      <c r="BY252" s="49"/>
      <c r="BZ252" s="49"/>
      <c r="CA252" s="61" t="str">
        <f>IF(_xlfn.XLOOKUP(BY252, AutoFill_classes!$A:$A, AutoFill_classes!$B:$B,"")=0,"",_xlfn.XLOOKUP(BY252, AutoFill_classes!$A:$A, AutoFill_classes!$B:$B,""))</f>
        <v/>
      </c>
      <c r="CB252" s="154"/>
      <c r="CC252" s="12"/>
      <c r="CD252" s="12"/>
      <c r="CE252" s="12"/>
      <c r="CF252" s="7"/>
      <c r="CG252" s="37"/>
      <c r="CH252" s="146"/>
      <c r="CI252" s="41"/>
      <c r="CJ252" s="60" t="str">
        <f t="shared" si="558"/>
        <v/>
      </c>
      <c r="CK252" s="32"/>
      <c r="CL252" s="32"/>
      <c r="CM252" s="32"/>
      <c r="CN252" s="32"/>
      <c r="CO252" s="58" t="str">
        <f t="shared" si="559"/>
        <v/>
      </c>
      <c r="CP252" s="20"/>
      <c r="CQ252" s="58" t="str">
        <f t="shared" si="560"/>
        <v/>
      </c>
      <c r="CR252" s="32"/>
      <c r="CS252" s="32"/>
      <c r="CT252" s="58" t="str">
        <f t="shared" si="561"/>
        <v/>
      </c>
      <c r="CU252" s="20"/>
      <c r="CV252" s="58" t="str">
        <f t="shared" si="562"/>
        <v/>
      </c>
      <c r="CW252" s="32"/>
      <c r="CX252" s="32"/>
      <c r="CY252" s="58" t="str">
        <f t="shared" si="563"/>
        <v/>
      </c>
      <c r="CZ252" s="58" t="str">
        <f t="shared" si="564"/>
        <v/>
      </c>
      <c r="DA252" s="58" t="str">
        <f t="shared" si="565"/>
        <v/>
      </c>
      <c r="DB252" s="59" t="str">
        <f t="shared" si="566"/>
        <v/>
      </c>
      <c r="DC252" s="12"/>
      <c r="DD252" s="146"/>
    </row>
    <row r="253" spans="1:108">
      <c r="A253" s="7"/>
      <c r="B253" s="23" t="str">
        <f>IF(_xlfn.XLOOKUP(A253, AutoFill_names!B:B, AutoFill_names!C:C,"")=0,"",_xlfn.XLOOKUP(A253, AutoFill_names!B:B, AutoFill_names!C:C,""))</f>
        <v/>
      </c>
      <c r="C253" s="23" t="str">
        <f>IF(_xlfn.XLOOKUP(A253, AutoFill_names!B:B, AutoFill_names!D:D,"")=0,"",_xlfn.XLOOKUP(A253, AutoFill_names!B:B, AutoFill_names!D:D,""))</f>
        <v/>
      </c>
      <c r="D253" s="23" t="str">
        <f>IF(_xlfn.XLOOKUP(A253, AutoFill_names!B:B, AutoFill_names!E:E,"")=0,"",_xlfn.XLOOKUP(A253, AutoFill_names!B:B, AutoFill_names!E:E,""))</f>
        <v/>
      </c>
      <c r="E253" s="23" t="str">
        <f>IF(_xlfn.XLOOKUP(A253, AutoFill_names!B:B, AutoFill_names!F:F,"")=0,"",_xlfn.XLOOKUP(A253, AutoFill_names!B:B, AutoFill_names!F:F,""))</f>
        <v/>
      </c>
      <c r="F253" s="4"/>
      <c r="G253" s="4"/>
      <c r="H253" s="4"/>
      <c r="I253" s="4"/>
      <c r="J253" s="23" t="str">
        <f>IF(_xlfn.XLOOKUP(A253, AutoFill_names!B:B, AutoFill_names!K:K,"")=0,"",_xlfn.XLOOKUP(A253, AutoFill_names!B:B, AutoFill_names!K:K,""))</f>
        <v/>
      </c>
      <c r="K253" s="23" t="str">
        <f>IF(_xlfn.XLOOKUP(A253, AutoFill_names!B:B, AutoFill_names!L:L,"")=0,"",_xlfn.XLOOKUP(A253, AutoFill_names!B:B, AutoFill_names!L:L,""))</f>
        <v/>
      </c>
      <c r="L253" s="8"/>
      <c r="M253" s="8"/>
      <c r="N253" s="61" t="str">
        <f>IF(_xlfn.XLOOKUP(L253, AutoFill_classes!A:A, AutoFill_classes!B:B,"")=0,"",_xlfn.XLOOKUP(L253, AutoFill_classes!A:A, AutoFill_classes!B:B,""))</f>
        <v/>
      </c>
      <c r="O253" s="154"/>
      <c r="P253" s="11"/>
      <c r="Q253" s="11"/>
      <c r="R253" s="11"/>
      <c r="S253" s="8"/>
      <c r="T253" s="8"/>
      <c r="U253" s="8"/>
      <c r="V253" s="7"/>
      <c r="W253" s="7"/>
      <c r="X253" s="146"/>
      <c r="Y253" s="37"/>
      <c r="Z253" s="60" t="str">
        <f t="shared" si="540"/>
        <v/>
      </c>
      <c r="AA253" s="40"/>
      <c r="AB253" s="40"/>
      <c r="AC253" s="40"/>
      <c r="AD253" s="40"/>
      <c r="AE253" s="58" t="str">
        <f t="shared" si="541"/>
        <v/>
      </c>
      <c r="AF253" s="12"/>
      <c r="AG253" s="58" t="str">
        <f t="shared" si="542"/>
        <v/>
      </c>
      <c r="AH253" s="40"/>
      <c r="AI253" s="40"/>
      <c r="AJ253" s="58" t="str">
        <f t="shared" si="543"/>
        <v/>
      </c>
      <c r="AK253" s="12"/>
      <c r="AL253" s="58" t="str">
        <f t="shared" si="544"/>
        <v/>
      </c>
      <c r="AM253" s="40"/>
      <c r="AN253" s="40"/>
      <c r="AO253" s="58" t="str">
        <f t="shared" si="545"/>
        <v/>
      </c>
      <c r="AP253" s="58" t="str">
        <f t="shared" si="546"/>
        <v/>
      </c>
      <c r="AQ253" s="58" t="str">
        <f t="shared" si="547"/>
        <v/>
      </c>
      <c r="AR253" s="59" t="str">
        <f t="shared" si="548"/>
        <v/>
      </c>
      <c r="AS253" s="12"/>
      <c r="AT253" s="49"/>
      <c r="AU253" s="49"/>
      <c r="AV253" s="61" t="str">
        <f>IF(_xlfn.XLOOKUP(AT253, AutoFill_classes!$A:$A, AutoFill_classes!$B:$B,"")=0,"",_xlfn.XLOOKUP(AT253, AutoFill_classes!$A:$A, AutoFill_classes!$B:$B,""))</f>
        <v/>
      </c>
      <c r="AW253" s="154"/>
      <c r="AX253" s="12"/>
      <c r="AY253" s="13"/>
      <c r="AZ253" s="12"/>
      <c r="BA253" s="13"/>
      <c r="BB253" s="13"/>
      <c r="BC253" s="146"/>
      <c r="BD253" s="37"/>
      <c r="BE253" s="60" t="str">
        <f t="shared" si="549"/>
        <v/>
      </c>
      <c r="BF253" s="32"/>
      <c r="BG253" s="32"/>
      <c r="BH253" s="32"/>
      <c r="BI253" s="32"/>
      <c r="BJ253" s="58" t="str">
        <f t="shared" si="550"/>
        <v/>
      </c>
      <c r="BK253" s="20"/>
      <c r="BL253" s="58" t="str">
        <f t="shared" si="551"/>
        <v/>
      </c>
      <c r="BM253" s="32"/>
      <c r="BN253" s="32"/>
      <c r="BO253" s="58" t="str">
        <f t="shared" si="552"/>
        <v/>
      </c>
      <c r="BP253" s="20"/>
      <c r="BQ253" s="58" t="str">
        <f t="shared" si="553"/>
        <v/>
      </c>
      <c r="BR253" s="32"/>
      <c r="BS253" s="32"/>
      <c r="BT253" s="58" t="str">
        <f t="shared" si="554"/>
        <v/>
      </c>
      <c r="BU253" s="58" t="str">
        <f t="shared" si="555"/>
        <v/>
      </c>
      <c r="BV253" s="58" t="str">
        <f t="shared" si="556"/>
        <v/>
      </c>
      <c r="BW253" s="59" t="str">
        <f t="shared" si="557"/>
        <v/>
      </c>
      <c r="BX253" s="12"/>
      <c r="BY253" s="49"/>
      <c r="BZ253" s="49"/>
      <c r="CA253" s="61" t="str">
        <f>IF(_xlfn.XLOOKUP(BY253, AutoFill_classes!$A:$A, AutoFill_classes!$B:$B,"")=0,"",_xlfn.XLOOKUP(BY253, AutoFill_classes!$A:$A, AutoFill_classes!$B:$B,""))</f>
        <v/>
      </c>
      <c r="CB253" s="154"/>
      <c r="CC253" s="12"/>
      <c r="CD253" s="12"/>
      <c r="CE253" s="12"/>
      <c r="CF253" s="7"/>
      <c r="CG253" s="37"/>
      <c r="CH253" s="146"/>
      <c r="CI253" s="41"/>
      <c r="CJ253" s="60" t="str">
        <f t="shared" si="558"/>
        <v/>
      </c>
      <c r="CK253" s="32"/>
      <c r="CL253" s="32"/>
      <c r="CM253" s="32"/>
      <c r="CN253" s="32"/>
      <c r="CO253" s="58" t="str">
        <f t="shared" si="559"/>
        <v/>
      </c>
      <c r="CP253" s="20"/>
      <c r="CQ253" s="58" t="str">
        <f t="shared" si="560"/>
        <v/>
      </c>
      <c r="CR253" s="32"/>
      <c r="CS253" s="32"/>
      <c r="CT253" s="58" t="str">
        <f t="shared" si="561"/>
        <v/>
      </c>
      <c r="CU253" s="20"/>
      <c r="CV253" s="58" t="str">
        <f t="shared" si="562"/>
        <v/>
      </c>
      <c r="CW253" s="32"/>
      <c r="CX253" s="32"/>
      <c r="CY253" s="58" t="str">
        <f t="shared" si="563"/>
        <v/>
      </c>
      <c r="CZ253" s="58" t="str">
        <f t="shared" si="564"/>
        <v/>
      </c>
      <c r="DA253" s="58" t="str">
        <f t="shared" si="565"/>
        <v/>
      </c>
      <c r="DB253" s="59" t="str">
        <f t="shared" si="566"/>
        <v/>
      </c>
      <c r="DC253" s="12"/>
      <c r="DD253" s="146"/>
    </row>
    <row r="254" spans="1:108">
      <c r="A254" s="7"/>
      <c r="B254" s="23" t="str">
        <f>IF(_xlfn.XLOOKUP(A254, AutoFill_names!B:B, AutoFill_names!C:C,"")=0,"",_xlfn.XLOOKUP(A254, AutoFill_names!B:B, AutoFill_names!C:C,""))</f>
        <v/>
      </c>
      <c r="C254" s="23" t="str">
        <f>IF(_xlfn.XLOOKUP(A254, AutoFill_names!B:B, AutoFill_names!D:D,"")=0,"",_xlfn.XLOOKUP(A254, AutoFill_names!B:B, AutoFill_names!D:D,""))</f>
        <v/>
      </c>
      <c r="D254" s="23" t="str">
        <f>IF(_xlfn.XLOOKUP(A254, AutoFill_names!B:B, AutoFill_names!E:E,"")=0,"",_xlfn.XLOOKUP(A254, AutoFill_names!B:B, AutoFill_names!E:E,""))</f>
        <v/>
      </c>
      <c r="E254" s="23" t="str">
        <f>IF(_xlfn.XLOOKUP(A254, AutoFill_names!B:B, AutoFill_names!F:F,"")=0,"",_xlfn.XLOOKUP(A254, AutoFill_names!B:B, AutoFill_names!F:F,""))</f>
        <v/>
      </c>
      <c r="F254" s="4"/>
      <c r="G254" s="4"/>
      <c r="H254" s="4"/>
      <c r="I254" s="4"/>
      <c r="J254" s="23" t="str">
        <f>IF(_xlfn.XLOOKUP(A254, AutoFill_names!B:B, AutoFill_names!K:K,"")=0,"",_xlfn.XLOOKUP(A254, AutoFill_names!B:B, AutoFill_names!K:K,""))</f>
        <v/>
      </c>
      <c r="K254" s="23" t="str">
        <f>IF(_xlfn.XLOOKUP(A254, AutoFill_names!B:B, AutoFill_names!L:L,"")=0,"",_xlfn.XLOOKUP(A254, AutoFill_names!B:B, AutoFill_names!L:L,""))</f>
        <v/>
      </c>
      <c r="L254" s="8"/>
      <c r="M254" s="8"/>
      <c r="N254" s="61" t="str">
        <f>IF(_xlfn.XLOOKUP(L254, AutoFill_classes!A:A, AutoFill_classes!B:B,"")=0,"",_xlfn.XLOOKUP(L254, AutoFill_classes!A:A, AutoFill_classes!B:B,""))</f>
        <v/>
      </c>
      <c r="O254" s="154"/>
      <c r="P254" s="11"/>
      <c r="Q254" s="11"/>
      <c r="R254" s="11"/>
      <c r="S254" s="8"/>
      <c r="T254" s="8"/>
      <c r="U254" s="8"/>
      <c r="V254" s="7"/>
      <c r="W254" s="7"/>
      <c r="X254" s="146"/>
      <c r="Y254" s="37"/>
      <c r="Z254" s="60" t="str">
        <f t="shared" si="540"/>
        <v/>
      </c>
      <c r="AA254" s="40"/>
      <c r="AB254" s="40"/>
      <c r="AC254" s="40"/>
      <c r="AD254" s="40"/>
      <c r="AE254" s="58" t="str">
        <f t="shared" si="541"/>
        <v/>
      </c>
      <c r="AF254" s="12"/>
      <c r="AG254" s="58" t="str">
        <f t="shared" si="542"/>
        <v/>
      </c>
      <c r="AH254" s="40"/>
      <c r="AI254" s="40"/>
      <c r="AJ254" s="58" t="str">
        <f t="shared" si="543"/>
        <v/>
      </c>
      <c r="AK254" s="12"/>
      <c r="AL254" s="58" t="str">
        <f t="shared" si="544"/>
        <v/>
      </c>
      <c r="AM254" s="40"/>
      <c r="AN254" s="40"/>
      <c r="AO254" s="58" t="str">
        <f t="shared" si="545"/>
        <v/>
      </c>
      <c r="AP254" s="58" t="str">
        <f t="shared" si="546"/>
        <v/>
      </c>
      <c r="AQ254" s="58" t="str">
        <f t="shared" si="547"/>
        <v/>
      </c>
      <c r="AR254" s="59" t="str">
        <f t="shared" si="548"/>
        <v/>
      </c>
      <c r="AS254" s="12"/>
      <c r="AT254" s="49"/>
      <c r="AU254" s="49"/>
      <c r="AV254" s="61" t="str">
        <f>IF(_xlfn.XLOOKUP(AT254, AutoFill_classes!$A:$A, AutoFill_classes!$B:$B,"")=0,"",_xlfn.XLOOKUP(AT254, AutoFill_classes!$A:$A, AutoFill_classes!$B:$B,""))</f>
        <v/>
      </c>
      <c r="AW254" s="154"/>
      <c r="AX254" s="12"/>
      <c r="AY254" s="13"/>
      <c r="AZ254" s="12"/>
      <c r="BA254" s="13"/>
      <c r="BB254" s="13"/>
      <c r="BC254" s="146"/>
      <c r="BD254" s="37"/>
      <c r="BE254" s="60" t="str">
        <f t="shared" si="549"/>
        <v/>
      </c>
      <c r="BF254" s="32"/>
      <c r="BG254" s="32"/>
      <c r="BH254" s="32"/>
      <c r="BI254" s="32"/>
      <c r="BJ254" s="58" t="str">
        <f t="shared" si="550"/>
        <v/>
      </c>
      <c r="BK254" s="20"/>
      <c r="BL254" s="58" t="str">
        <f t="shared" si="551"/>
        <v/>
      </c>
      <c r="BM254" s="32"/>
      <c r="BN254" s="32"/>
      <c r="BO254" s="58" t="str">
        <f t="shared" si="552"/>
        <v/>
      </c>
      <c r="BP254" s="20"/>
      <c r="BQ254" s="58" t="str">
        <f t="shared" si="553"/>
        <v/>
      </c>
      <c r="BR254" s="32"/>
      <c r="BS254" s="32"/>
      <c r="BT254" s="58" t="str">
        <f t="shared" si="554"/>
        <v/>
      </c>
      <c r="BU254" s="58" t="str">
        <f t="shared" si="555"/>
        <v/>
      </c>
      <c r="BV254" s="58" t="str">
        <f t="shared" si="556"/>
        <v/>
      </c>
      <c r="BW254" s="59" t="str">
        <f t="shared" si="557"/>
        <v/>
      </c>
      <c r="BX254" s="12"/>
      <c r="BY254" s="49"/>
      <c r="BZ254" s="49"/>
      <c r="CA254" s="61" t="str">
        <f>IF(_xlfn.XLOOKUP(BY254, AutoFill_classes!$A:$A, AutoFill_classes!$B:$B,"")=0,"",_xlfn.XLOOKUP(BY254, AutoFill_classes!$A:$A, AutoFill_classes!$B:$B,""))</f>
        <v/>
      </c>
      <c r="CB254" s="154"/>
      <c r="CC254" s="12"/>
      <c r="CD254" s="12"/>
      <c r="CE254" s="12"/>
      <c r="CF254" s="7"/>
      <c r="CG254" s="37"/>
      <c r="CH254" s="146"/>
      <c r="CI254" s="41"/>
      <c r="CJ254" s="60" t="str">
        <f t="shared" si="558"/>
        <v/>
      </c>
      <c r="CK254" s="32"/>
      <c r="CL254" s="32"/>
      <c r="CM254" s="32"/>
      <c r="CN254" s="32"/>
      <c r="CO254" s="58" t="str">
        <f t="shared" si="559"/>
        <v/>
      </c>
      <c r="CP254" s="20"/>
      <c r="CQ254" s="58" t="str">
        <f t="shared" si="560"/>
        <v/>
      </c>
      <c r="CR254" s="32"/>
      <c r="CS254" s="32"/>
      <c r="CT254" s="58" t="str">
        <f t="shared" si="561"/>
        <v/>
      </c>
      <c r="CU254" s="20"/>
      <c r="CV254" s="58" t="str">
        <f t="shared" si="562"/>
        <v/>
      </c>
      <c r="CW254" s="32"/>
      <c r="CX254" s="32"/>
      <c r="CY254" s="58" t="str">
        <f t="shared" si="563"/>
        <v/>
      </c>
      <c r="CZ254" s="58" t="str">
        <f t="shared" si="564"/>
        <v/>
      </c>
      <c r="DA254" s="58" t="str">
        <f t="shared" si="565"/>
        <v/>
      </c>
      <c r="DB254" s="59" t="str">
        <f t="shared" si="566"/>
        <v/>
      </c>
      <c r="DC254" s="12"/>
      <c r="DD254" s="146"/>
    </row>
    <row r="255" spans="1:108">
      <c r="A255" s="7"/>
      <c r="B255" s="23" t="str">
        <f>IF(_xlfn.XLOOKUP(A255, AutoFill_names!B:B, AutoFill_names!C:C,"")=0,"",_xlfn.XLOOKUP(A255, AutoFill_names!B:B, AutoFill_names!C:C,""))</f>
        <v/>
      </c>
      <c r="C255" s="23" t="str">
        <f>IF(_xlfn.XLOOKUP(A255, AutoFill_names!B:B, AutoFill_names!D:D,"")=0,"",_xlfn.XLOOKUP(A255, AutoFill_names!B:B, AutoFill_names!D:D,""))</f>
        <v/>
      </c>
      <c r="D255" s="23" t="str">
        <f>IF(_xlfn.XLOOKUP(A255, AutoFill_names!B:B, AutoFill_names!E:E,"")=0,"",_xlfn.XLOOKUP(A255, AutoFill_names!B:B, AutoFill_names!E:E,""))</f>
        <v/>
      </c>
      <c r="E255" s="23" t="str">
        <f>IF(_xlfn.XLOOKUP(A255, AutoFill_names!B:B, AutoFill_names!F:F,"")=0,"",_xlfn.XLOOKUP(A255, AutoFill_names!B:B, AutoFill_names!F:F,""))</f>
        <v/>
      </c>
      <c r="F255" s="4"/>
      <c r="G255" s="4"/>
      <c r="H255" s="4"/>
      <c r="I255" s="4"/>
      <c r="J255" s="23" t="str">
        <f>IF(_xlfn.XLOOKUP(A255, AutoFill_names!B:B, AutoFill_names!K:K,"")=0,"",_xlfn.XLOOKUP(A255, AutoFill_names!B:B, AutoFill_names!K:K,""))</f>
        <v/>
      </c>
      <c r="K255" s="23" t="str">
        <f>IF(_xlfn.XLOOKUP(A255, AutoFill_names!B:B, AutoFill_names!L:L,"")=0,"",_xlfn.XLOOKUP(A255, AutoFill_names!B:B, AutoFill_names!L:L,""))</f>
        <v/>
      </c>
      <c r="L255" s="8"/>
      <c r="M255" s="8"/>
      <c r="N255" s="61" t="str">
        <f>IF(_xlfn.XLOOKUP(L255, AutoFill_classes!A:A, AutoFill_classes!B:B,"")=0,"",_xlfn.XLOOKUP(L255, AutoFill_classes!A:A, AutoFill_classes!B:B,""))</f>
        <v/>
      </c>
      <c r="O255" s="154"/>
      <c r="P255" s="11"/>
      <c r="Q255" s="11"/>
      <c r="R255" s="11"/>
      <c r="S255" s="8"/>
      <c r="T255" s="8"/>
      <c r="U255" s="8"/>
      <c r="V255" s="7"/>
      <c r="W255" s="7"/>
      <c r="X255" s="146"/>
      <c r="Y255" s="37"/>
      <c r="Z255" s="60" t="str">
        <f t="shared" si="540"/>
        <v/>
      </c>
      <c r="AA255" s="40"/>
      <c r="AB255" s="40"/>
      <c r="AC255" s="40"/>
      <c r="AD255" s="40"/>
      <c r="AE255" s="58" t="str">
        <f t="shared" si="541"/>
        <v/>
      </c>
      <c r="AF255" s="12"/>
      <c r="AG255" s="58" t="str">
        <f t="shared" si="542"/>
        <v/>
      </c>
      <c r="AH255" s="40"/>
      <c r="AI255" s="40"/>
      <c r="AJ255" s="58" t="str">
        <f t="shared" si="543"/>
        <v/>
      </c>
      <c r="AK255" s="12"/>
      <c r="AL255" s="58" t="str">
        <f t="shared" si="544"/>
        <v/>
      </c>
      <c r="AM255" s="40"/>
      <c r="AN255" s="40"/>
      <c r="AO255" s="58" t="str">
        <f t="shared" si="545"/>
        <v/>
      </c>
      <c r="AP255" s="58" t="str">
        <f t="shared" si="546"/>
        <v/>
      </c>
      <c r="AQ255" s="58" t="str">
        <f t="shared" si="547"/>
        <v/>
      </c>
      <c r="AR255" s="59" t="str">
        <f t="shared" si="548"/>
        <v/>
      </c>
      <c r="AS255" s="12"/>
      <c r="AT255" s="49"/>
      <c r="AU255" s="49"/>
      <c r="AV255" s="61" t="str">
        <f>IF(_xlfn.XLOOKUP(AT255, AutoFill_classes!$A:$A, AutoFill_classes!$B:$B,"")=0,"",_xlfn.XLOOKUP(AT255, AutoFill_classes!$A:$A, AutoFill_classes!$B:$B,""))</f>
        <v/>
      </c>
      <c r="AW255" s="154"/>
      <c r="AX255" s="12"/>
      <c r="AY255" s="13"/>
      <c r="AZ255" s="12"/>
      <c r="BA255" s="13"/>
      <c r="BB255" s="13"/>
      <c r="BC255" s="146"/>
      <c r="BD255" s="37"/>
      <c r="BE255" s="60" t="str">
        <f t="shared" si="549"/>
        <v/>
      </c>
      <c r="BF255" s="32"/>
      <c r="BG255" s="32"/>
      <c r="BH255" s="32"/>
      <c r="BI255" s="32"/>
      <c r="BJ255" s="58" t="str">
        <f t="shared" si="550"/>
        <v/>
      </c>
      <c r="BK255" s="20"/>
      <c r="BL255" s="58" t="str">
        <f t="shared" si="551"/>
        <v/>
      </c>
      <c r="BM255" s="32"/>
      <c r="BN255" s="32"/>
      <c r="BO255" s="58" t="str">
        <f t="shared" si="552"/>
        <v/>
      </c>
      <c r="BP255" s="20"/>
      <c r="BQ255" s="58" t="str">
        <f t="shared" si="553"/>
        <v/>
      </c>
      <c r="BR255" s="32"/>
      <c r="BS255" s="32"/>
      <c r="BT255" s="58" t="str">
        <f t="shared" si="554"/>
        <v/>
      </c>
      <c r="BU255" s="58" t="str">
        <f t="shared" si="555"/>
        <v/>
      </c>
      <c r="BV255" s="58" t="str">
        <f t="shared" si="556"/>
        <v/>
      </c>
      <c r="BW255" s="59" t="str">
        <f t="shared" si="557"/>
        <v/>
      </c>
      <c r="BX255" s="12"/>
      <c r="BY255" s="49"/>
      <c r="BZ255" s="49"/>
      <c r="CA255" s="61" t="str">
        <f>IF(_xlfn.XLOOKUP(BY255, AutoFill_classes!$A:$A, AutoFill_classes!$B:$B,"")=0,"",_xlfn.XLOOKUP(BY255, AutoFill_classes!$A:$A, AutoFill_classes!$B:$B,""))</f>
        <v/>
      </c>
      <c r="CB255" s="154"/>
      <c r="CC255" s="12"/>
      <c r="CD255" s="12"/>
      <c r="CE255" s="12"/>
      <c r="CF255" s="7"/>
      <c r="CG255" s="37"/>
      <c r="CH255" s="146"/>
      <c r="CI255" s="41"/>
      <c r="CJ255" s="60" t="str">
        <f t="shared" si="558"/>
        <v/>
      </c>
      <c r="CK255" s="32"/>
      <c r="CL255" s="32"/>
      <c r="CM255" s="32"/>
      <c r="CN255" s="32"/>
      <c r="CO255" s="58" t="str">
        <f t="shared" si="559"/>
        <v/>
      </c>
      <c r="CP255" s="20"/>
      <c r="CQ255" s="58" t="str">
        <f t="shared" si="560"/>
        <v/>
      </c>
      <c r="CR255" s="32"/>
      <c r="CS255" s="32"/>
      <c r="CT255" s="58" t="str">
        <f t="shared" si="561"/>
        <v/>
      </c>
      <c r="CU255" s="20"/>
      <c r="CV255" s="58" t="str">
        <f t="shared" si="562"/>
        <v/>
      </c>
      <c r="CW255" s="32"/>
      <c r="CX255" s="32"/>
      <c r="CY255" s="58" t="str">
        <f t="shared" si="563"/>
        <v/>
      </c>
      <c r="CZ255" s="58" t="str">
        <f t="shared" si="564"/>
        <v/>
      </c>
      <c r="DA255" s="58" t="str">
        <f t="shared" si="565"/>
        <v/>
      </c>
      <c r="DB255" s="59" t="str">
        <f t="shared" si="566"/>
        <v/>
      </c>
      <c r="DC255" s="12"/>
      <c r="DD255" s="146"/>
    </row>
    <row r="256" spans="1:108">
      <c r="A256" s="7"/>
      <c r="B256" s="23" t="str">
        <f>IF(_xlfn.XLOOKUP(A256, AutoFill_names!B:B, AutoFill_names!C:C,"")=0,"",_xlfn.XLOOKUP(A256, AutoFill_names!B:B, AutoFill_names!C:C,""))</f>
        <v/>
      </c>
      <c r="C256" s="23" t="str">
        <f>IF(_xlfn.XLOOKUP(A256, AutoFill_names!B:B, AutoFill_names!D:D,"")=0,"",_xlfn.XLOOKUP(A256, AutoFill_names!B:B, AutoFill_names!D:D,""))</f>
        <v/>
      </c>
      <c r="D256" s="23" t="str">
        <f>IF(_xlfn.XLOOKUP(A256, AutoFill_names!B:B, AutoFill_names!E:E,"")=0,"",_xlfn.XLOOKUP(A256, AutoFill_names!B:B, AutoFill_names!E:E,""))</f>
        <v/>
      </c>
      <c r="E256" s="23" t="str">
        <f>IF(_xlfn.XLOOKUP(A256, AutoFill_names!B:B, AutoFill_names!F:F,"")=0,"",_xlfn.XLOOKUP(A256, AutoFill_names!B:B, AutoFill_names!F:F,""))</f>
        <v/>
      </c>
      <c r="F256" s="4"/>
      <c r="G256" s="4"/>
      <c r="H256" s="4"/>
      <c r="I256" s="4"/>
      <c r="J256" s="23" t="str">
        <f>IF(_xlfn.XLOOKUP(A256, AutoFill_names!B:B, AutoFill_names!K:K,"")=0,"",_xlfn.XLOOKUP(A256, AutoFill_names!B:B, AutoFill_names!K:K,""))</f>
        <v/>
      </c>
      <c r="K256" s="23" t="str">
        <f>IF(_xlfn.XLOOKUP(A256, AutoFill_names!B:B, AutoFill_names!L:L,"")=0,"",_xlfn.XLOOKUP(A256, AutoFill_names!B:B, AutoFill_names!L:L,""))</f>
        <v/>
      </c>
      <c r="L256" s="8"/>
      <c r="M256" s="8"/>
      <c r="N256" s="61" t="str">
        <f>IF(_xlfn.XLOOKUP(L256, AutoFill_classes!A:A, AutoFill_classes!B:B,"")=0,"",_xlfn.XLOOKUP(L256, AutoFill_classes!A:A, AutoFill_classes!B:B,""))</f>
        <v/>
      </c>
      <c r="O256" s="154"/>
      <c r="P256" s="11"/>
      <c r="Q256" s="11"/>
      <c r="R256" s="11"/>
      <c r="S256" s="8"/>
      <c r="T256" s="8"/>
      <c r="U256" s="8"/>
      <c r="V256" s="7"/>
      <c r="W256" s="7"/>
      <c r="X256" s="146"/>
      <c r="Y256" s="37"/>
      <c r="Z256" s="60" t="str">
        <f t="shared" si="540"/>
        <v/>
      </c>
      <c r="AA256" s="40"/>
      <c r="AB256" s="40"/>
      <c r="AC256" s="40"/>
      <c r="AD256" s="40"/>
      <c r="AE256" s="58" t="str">
        <f t="shared" si="541"/>
        <v/>
      </c>
      <c r="AF256" s="12"/>
      <c r="AG256" s="58" t="str">
        <f t="shared" si="542"/>
        <v/>
      </c>
      <c r="AH256" s="40"/>
      <c r="AI256" s="40"/>
      <c r="AJ256" s="58" t="str">
        <f t="shared" si="543"/>
        <v/>
      </c>
      <c r="AK256" s="12"/>
      <c r="AL256" s="58" t="str">
        <f t="shared" si="544"/>
        <v/>
      </c>
      <c r="AM256" s="40"/>
      <c r="AN256" s="40"/>
      <c r="AO256" s="58" t="str">
        <f t="shared" si="545"/>
        <v/>
      </c>
      <c r="AP256" s="58" t="str">
        <f t="shared" si="546"/>
        <v/>
      </c>
      <c r="AQ256" s="58" t="str">
        <f t="shared" si="547"/>
        <v/>
      </c>
      <c r="AR256" s="59" t="str">
        <f t="shared" si="548"/>
        <v/>
      </c>
      <c r="AS256" s="12"/>
      <c r="AT256" s="49"/>
      <c r="AU256" s="49"/>
      <c r="AV256" s="61" t="str">
        <f>IF(_xlfn.XLOOKUP(AT256, AutoFill_classes!$A:$A, AutoFill_classes!$B:$B,"")=0,"",_xlfn.XLOOKUP(AT256, AutoFill_classes!$A:$A, AutoFill_classes!$B:$B,""))</f>
        <v/>
      </c>
      <c r="AW256" s="154"/>
      <c r="AX256" s="12"/>
      <c r="AY256" s="13"/>
      <c r="AZ256" s="12"/>
      <c r="BA256" s="13"/>
      <c r="BB256" s="13"/>
      <c r="BC256" s="146"/>
      <c r="BD256" s="37"/>
      <c r="BE256" s="60" t="str">
        <f t="shared" si="549"/>
        <v/>
      </c>
      <c r="BF256" s="32"/>
      <c r="BG256" s="32"/>
      <c r="BH256" s="32"/>
      <c r="BI256" s="32"/>
      <c r="BJ256" s="58" t="str">
        <f t="shared" si="550"/>
        <v/>
      </c>
      <c r="BK256" s="20"/>
      <c r="BL256" s="58" t="str">
        <f t="shared" si="551"/>
        <v/>
      </c>
      <c r="BM256" s="32"/>
      <c r="BN256" s="32"/>
      <c r="BO256" s="58" t="str">
        <f t="shared" si="552"/>
        <v/>
      </c>
      <c r="BP256" s="20"/>
      <c r="BQ256" s="58" t="str">
        <f t="shared" si="553"/>
        <v/>
      </c>
      <c r="BR256" s="32"/>
      <c r="BS256" s="32"/>
      <c r="BT256" s="58" t="str">
        <f t="shared" si="554"/>
        <v/>
      </c>
      <c r="BU256" s="58" t="str">
        <f t="shared" si="555"/>
        <v/>
      </c>
      <c r="BV256" s="58" t="str">
        <f t="shared" si="556"/>
        <v/>
      </c>
      <c r="BW256" s="59" t="str">
        <f t="shared" si="557"/>
        <v/>
      </c>
      <c r="BX256" s="12"/>
      <c r="BY256" s="49"/>
      <c r="BZ256" s="49"/>
      <c r="CA256" s="61" t="str">
        <f>IF(_xlfn.XLOOKUP(BY256, AutoFill_classes!$A:$A, AutoFill_classes!$B:$B,"")=0,"",_xlfn.XLOOKUP(BY256, AutoFill_classes!$A:$A, AutoFill_classes!$B:$B,""))</f>
        <v/>
      </c>
      <c r="CB256" s="154"/>
      <c r="CC256" s="12"/>
      <c r="CD256" s="12"/>
      <c r="CE256" s="12"/>
      <c r="CF256" s="7"/>
      <c r="CG256" s="37"/>
      <c r="CH256" s="146"/>
      <c r="CI256" s="41"/>
      <c r="CJ256" s="60" t="str">
        <f t="shared" si="558"/>
        <v/>
      </c>
      <c r="CK256" s="32"/>
      <c r="CL256" s="32"/>
      <c r="CM256" s="32"/>
      <c r="CN256" s="32"/>
      <c r="CO256" s="58" t="str">
        <f t="shared" si="559"/>
        <v/>
      </c>
      <c r="CP256" s="20"/>
      <c r="CQ256" s="58" t="str">
        <f t="shared" si="560"/>
        <v/>
      </c>
      <c r="CR256" s="32"/>
      <c r="CS256" s="32"/>
      <c r="CT256" s="58" t="str">
        <f t="shared" si="561"/>
        <v/>
      </c>
      <c r="CU256" s="20"/>
      <c r="CV256" s="58" t="str">
        <f t="shared" si="562"/>
        <v/>
      </c>
      <c r="CW256" s="32"/>
      <c r="CX256" s="32"/>
      <c r="CY256" s="58" t="str">
        <f t="shared" si="563"/>
        <v/>
      </c>
      <c r="CZ256" s="58" t="str">
        <f t="shared" si="564"/>
        <v/>
      </c>
      <c r="DA256" s="58" t="str">
        <f t="shared" si="565"/>
        <v/>
      </c>
      <c r="DB256" s="59" t="str">
        <f t="shared" si="566"/>
        <v/>
      </c>
      <c r="DC256" s="12"/>
      <c r="DD256" s="146"/>
    </row>
    <row r="257" spans="1:108">
      <c r="A257" s="7"/>
      <c r="B257" s="23" t="str">
        <f>IF(_xlfn.XLOOKUP(A257, AutoFill_names!B:B, AutoFill_names!C:C,"")=0,"",_xlfn.XLOOKUP(A257, AutoFill_names!B:B, AutoFill_names!C:C,""))</f>
        <v/>
      </c>
      <c r="C257" s="23" t="str">
        <f>IF(_xlfn.XLOOKUP(A257, AutoFill_names!B:B, AutoFill_names!D:D,"")=0,"",_xlfn.XLOOKUP(A257, AutoFill_names!B:B, AutoFill_names!D:D,""))</f>
        <v/>
      </c>
      <c r="D257" s="23" t="str">
        <f>IF(_xlfn.XLOOKUP(A257, AutoFill_names!B:B, AutoFill_names!E:E,"")=0,"",_xlfn.XLOOKUP(A257, AutoFill_names!B:B, AutoFill_names!E:E,""))</f>
        <v/>
      </c>
      <c r="E257" s="23" t="str">
        <f>IF(_xlfn.XLOOKUP(A257, AutoFill_names!B:B, AutoFill_names!F:F,"")=0,"",_xlfn.XLOOKUP(A257, AutoFill_names!B:B, AutoFill_names!F:F,""))</f>
        <v/>
      </c>
      <c r="F257" s="4"/>
      <c r="G257" s="4"/>
      <c r="H257" s="4"/>
      <c r="I257" s="4"/>
      <c r="J257" s="23" t="str">
        <f>IF(_xlfn.XLOOKUP(A257, AutoFill_names!B:B, AutoFill_names!K:K,"")=0,"",_xlfn.XLOOKUP(A257, AutoFill_names!B:B, AutoFill_names!K:K,""))</f>
        <v/>
      </c>
      <c r="K257" s="23" t="str">
        <f>IF(_xlfn.XLOOKUP(A257, AutoFill_names!B:B, AutoFill_names!L:L,"")=0,"",_xlfn.XLOOKUP(A257, AutoFill_names!B:B, AutoFill_names!L:L,""))</f>
        <v/>
      </c>
      <c r="L257" s="8"/>
      <c r="M257" s="8"/>
      <c r="N257" s="61" t="str">
        <f>IF(_xlfn.XLOOKUP(L257, AutoFill_classes!A:A, AutoFill_classes!B:B,"")=0,"",_xlfn.XLOOKUP(L257, AutoFill_classes!A:A, AutoFill_classes!B:B,""))</f>
        <v/>
      </c>
      <c r="O257" s="154"/>
      <c r="P257" s="11"/>
      <c r="Q257" s="11"/>
      <c r="R257" s="11"/>
      <c r="S257" s="8"/>
      <c r="T257" s="8"/>
      <c r="U257" s="8"/>
      <c r="V257" s="7"/>
      <c r="W257" s="7"/>
      <c r="X257" s="146"/>
      <c r="Y257" s="37"/>
      <c r="Z257" s="60" t="str">
        <f t="shared" si="540"/>
        <v/>
      </c>
      <c r="AA257" s="40"/>
      <c r="AB257" s="40"/>
      <c r="AC257" s="40"/>
      <c r="AD257" s="40"/>
      <c r="AE257" s="58" t="str">
        <f t="shared" si="541"/>
        <v/>
      </c>
      <c r="AF257" s="12"/>
      <c r="AG257" s="58" t="str">
        <f t="shared" si="542"/>
        <v/>
      </c>
      <c r="AH257" s="40"/>
      <c r="AI257" s="40"/>
      <c r="AJ257" s="58" t="str">
        <f t="shared" si="543"/>
        <v/>
      </c>
      <c r="AK257" s="12"/>
      <c r="AL257" s="58" t="str">
        <f t="shared" si="544"/>
        <v/>
      </c>
      <c r="AM257" s="40"/>
      <c r="AN257" s="40"/>
      <c r="AO257" s="58" t="str">
        <f t="shared" si="545"/>
        <v/>
      </c>
      <c r="AP257" s="58" t="str">
        <f t="shared" si="546"/>
        <v/>
      </c>
      <c r="AQ257" s="58" t="str">
        <f t="shared" si="547"/>
        <v/>
      </c>
      <c r="AR257" s="59" t="str">
        <f t="shared" si="548"/>
        <v/>
      </c>
      <c r="AS257" s="12"/>
      <c r="AT257" s="49"/>
      <c r="AU257" s="49"/>
      <c r="AV257" s="61" t="str">
        <f>IF(_xlfn.XLOOKUP(AT257, AutoFill_classes!$A:$A, AutoFill_classes!$B:$B,"")=0,"",_xlfn.XLOOKUP(AT257, AutoFill_classes!$A:$A, AutoFill_classes!$B:$B,""))</f>
        <v/>
      </c>
      <c r="AW257" s="154"/>
      <c r="AX257" s="12"/>
      <c r="AY257" s="13"/>
      <c r="AZ257" s="12"/>
      <c r="BA257" s="13"/>
      <c r="BB257" s="13"/>
      <c r="BC257" s="146"/>
      <c r="BD257" s="37"/>
      <c r="BE257" s="60" t="str">
        <f t="shared" si="549"/>
        <v/>
      </c>
      <c r="BF257" s="32"/>
      <c r="BG257" s="32"/>
      <c r="BH257" s="32"/>
      <c r="BI257" s="32"/>
      <c r="BJ257" s="58" t="str">
        <f t="shared" si="550"/>
        <v/>
      </c>
      <c r="BK257" s="20"/>
      <c r="BL257" s="58" t="str">
        <f t="shared" si="551"/>
        <v/>
      </c>
      <c r="BM257" s="32"/>
      <c r="BN257" s="32"/>
      <c r="BO257" s="58" t="str">
        <f t="shared" si="552"/>
        <v/>
      </c>
      <c r="BP257" s="20"/>
      <c r="BQ257" s="58" t="str">
        <f t="shared" si="553"/>
        <v/>
      </c>
      <c r="BR257" s="32"/>
      <c r="BS257" s="32"/>
      <c r="BT257" s="58" t="str">
        <f t="shared" si="554"/>
        <v/>
      </c>
      <c r="BU257" s="58" t="str">
        <f t="shared" si="555"/>
        <v/>
      </c>
      <c r="BV257" s="58" t="str">
        <f t="shared" si="556"/>
        <v/>
      </c>
      <c r="BW257" s="59" t="str">
        <f t="shared" si="557"/>
        <v/>
      </c>
      <c r="BX257" s="12"/>
      <c r="BY257" s="49"/>
      <c r="BZ257" s="49"/>
      <c r="CA257" s="61" t="str">
        <f>IF(_xlfn.XLOOKUP(BY257, AutoFill_classes!$A:$A, AutoFill_classes!$B:$B,"")=0,"",_xlfn.XLOOKUP(BY257, AutoFill_classes!$A:$A, AutoFill_classes!$B:$B,""))</f>
        <v/>
      </c>
      <c r="CB257" s="154"/>
      <c r="CC257" s="12"/>
      <c r="CD257" s="12"/>
      <c r="CE257" s="12"/>
      <c r="CF257" s="7"/>
      <c r="CG257" s="37"/>
      <c r="CH257" s="146"/>
      <c r="CI257" s="41"/>
      <c r="CJ257" s="60" t="str">
        <f t="shared" si="558"/>
        <v/>
      </c>
      <c r="CK257" s="32"/>
      <c r="CL257" s="32"/>
      <c r="CM257" s="32"/>
      <c r="CN257" s="32"/>
      <c r="CO257" s="58" t="str">
        <f t="shared" si="559"/>
        <v/>
      </c>
      <c r="CP257" s="20"/>
      <c r="CQ257" s="58" t="str">
        <f t="shared" si="560"/>
        <v/>
      </c>
      <c r="CR257" s="32"/>
      <c r="CS257" s="32"/>
      <c r="CT257" s="58" t="str">
        <f t="shared" si="561"/>
        <v/>
      </c>
      <c r="CU257" s="20"/>
      <c r="CV257" s="58" t="str">
        <f t="shared" si="562"/>
        <v/>
      </c>
      <c r="CW257" s="32"/>
      <c r="CX257" s="32"/>
      <c r="CY257" s="58" t="str">
        <f t="shared" si="563"/>
        <v/>
      </c>
      <c r="CZ257" s="58" t="str">
        <f t="shared" si="564"/>
        <v/>
      </c>
      <c r="DA257" s="58" t="str">
        <f t="shared" si="565"/>
        <v/>
      </c>
      <c r="DB257" s="59" t="str">
        <f t="shared" si="566"/>
        <v/>
      </c>
      <c r="DC257" s="12"/>
      <c r="DD257" s="146"/>
    </row>
    <row r="258" spans="1:108">
      <c r="A258" s="7"/>
      <c r="B258" s="23" t="str">
        <f>IF(_xlfn.XLOOKUP(A258, AutoFill_names!B:B, AutoFill_names!C:C,"")=0,"",_xlfn.XLOOKUP(A258, AutoFill_names!B:B, AutoFill_names!C:C,""))</f>
        <v/>
      </c>
      <c r="C258" s="23" t="str">
        <f>IF(_xlfn.XLOOKUP(A258, AutoFill_names!B:B, AutoFill_names!D:D,"")=0,"",_xlfn.XLOOKUP(A258, AutoFill_names!B:B, AutoFill_names!D:D,""))</f>
        <v/>
      </c>
      <c r="D258" s="23" t="str">
        <f>IF(_xlfn.XLOOKUP(A258, AutoFill_names!B:B, AutoFill_names!E:E,"")=0,"",_xlfn.XLOOKUP(A258, AutoFill_names!B:B, AutoFill_names!E:E,""))</f>
        <v/>
      </c>
      <c r="E258" s="23" t="str">
        <f>IF(_xlfn.XLOOKUP(A258, AutoFill_names!B:B, AutoFill_names!F:F,"")=0,"",_xlfn.XLOOKUP(A258, AutoFill_names!B:B, AutoFill_names!F:F,""))</f>
        <v/>
      </c>
      <c r="F258" s="4"/>
      <c r="G258" s="4"/>
      <c r="H258" s="4"/>
      <c r="I258" s="4"/>
      <c r="J258" s="23" t="str">
        <f>IF(_xlfn.XLOOKUP(A258, AutoFill_names!B:B, AutoFill_names!K:K,"")=0,"",_xlfn.XLOOKUP(A258, AutoFill_names!B:B, AutoFill_names!K:K,""))</f>
        <v/>
      </c>
      <c r="K258" s="23" t="str">
        <f>IF(_xlfn.XLOOKUP(A258, AutoFill_names!B:B, AutoFill_names!L:L,"")=0,"",_xlfn.XLOOKUP(A258, AutoFill_names!B:B, AutoFill_names!L:L,""))</f>
        <v/>
      </c>
      <c r="L258" s="8"/>
      <c r="M258" s="8"/>
      <c r="N258" s="61" t="str">
        <f>IF(_xlfn.XLOOKUP(L258, AutoFill_classes!A:A, AutoFill_classes!B:B,"")=0,"",_xlfn.XLOOKUP(L258, AutoFill_classes!A:A, AutoFill_classes!B:B,""))</f>
        <v/>
      </c>
      <c r="O258" s="154"/>
      <c r="P258" s="11"/>
      <c r="Q258" s="11"/>
      <c r="R258" s="11"/>
      <c r="S258" s="8"/>
      <c r="T258" s="8"/>
      <c r="U258" s="8"/>
      <c r="V258" s="7"/>
      <c r="W258" s="7"/>
      <c r="X258" s="146"/>
      <c r="Y258" s="37"/>
      <c r="Z258" s="60" t="str">
        <f t="shared" si="540"/>
        <v/>
      </c>
      <c r="AA258" s="40"/>
      <c r="AB258" s="40"/>
      <c r="AC258" s="40"/>
      <c r="AD258" s="40"/>
      <c r="AE258" s="58" t="str">
        <f t="shared" si="541"/>
        <v/>
      </c>
      <c r="AF258" s="12"/>
      <c r="AG258" s="58" t="str">
        <f t="shared" si="542"/>
        <v/>
      </c>
      <c r="AH258" s="40"/>
      <c r="AI258" s="40"/>
      <c r="AJ258" s="58" t="str">
        <f t="shared" si="543"/>
        <v/>
      </c>
      <c r="AK258" s="12"/>
      <c r="AL258" s="58" t="str">
        <f t="shared" si="544"/>
        <v/>
      </c>
      <c r="AM258" s="40"/>
      <c r="AN258" s="40"/>
      <c r="AO258" s="58" t="str">
        <f t="shared" si="545"/>
        <v/>
      </c>
      <c r="AP258" s="58" t="str">
        <f t="shared" si="546"/>
        <v/>
      </c>
      <c r="AQ258" s="58" t="str">
        <f t="shared" si="547"/>
        <v/>
      </c>
      <c r="AR258" s="59" t="str">
        <f t="shared" si="548"/>
        <v/>
      </c>
      <c r="AS258" s="12"/>
      <c r="AT258" s="49"/>
      <c r="AU258" s="49"/>
      <c r="AV258" s="61" t="str">
        <f>IF(_xlfn.XLOOKUP(AT258, AutoFill_classes!$A:$A, AutoFill_classes!$B:$B,"")=0,"",_xlfn.XLOOKUP(AT258, AutoFill_classes!$A:$A, AutoFill_classes!$B:$B,""))</f>
        <v/>
      </c>
      <c r="AW258" s="154"/>
      <c r="AX258" s="12"/>
      <c r="AY258" s="13"/>
      <c r="AZ258" s="12"/>
      <c r="BA258" s="13"/>
      <c r="BB258" s="13"/>
      <c r="BC258" s="146"/>
      <c r="BD258" s="37"/>
      <c r="BE258" s="60" t="str">
        <f t="shared" si="549"/>
        <v/>
      </c>
      <c r="BF258" s="32"/>
      <c r="BG258" s="32"/>
      <c r="BH258" s="32"/>
      <c r="BI258" s="32"/>
      <c r="BJ258" s="58" t="str">
        <f t="shared" si="550"/>
        <v/>
      </c>
      <c r="BK258" s="20"/>
      <c r="BL258" s="58" t="str">
        <f t="shared" si="551"/>
        <v/>
      </c>
      <c r="BM258" s="32"/>
      <c r="BN258" s="32"/>
      <c r="BO258" s="58" t="str">
        <f t="shared" si="552"/>
        <v/>
      </c>
      <c r="BP258" s="20"/>
      <c r="BQ258" s="58" t="str">
        <f t="shared" si="553"/>
        <v/>
      </c>
      <c r="BR258" s="32"/>
      <c r="BS258" s="32"/>
      <c r="BT258" s="58" t="str">
        <f t="shared" si="554"/>
        <v/>
      </c>
      <c r="BU258" s="58" t="str">
        <f t="shared" si="555"/>
        <v/>
      </c>
      <c r="BV258" s="58" t="str">
        <f t="shared" si="556"/>
        <v/>
      </c>
      <c r="BW258" s="59" t="str">
        <f t="shared" si="557"/>
        <v/>
      </c>
      <c r="BX258" s="12"/>
      <c r="BY258" s="49"/>
      <c r="BZ258" s="49"/>
      <c r="CA258" s="61" t="str">
        <f>IF(_xlfn.XLOOKUP(BY258, AutoFill_classes!$A:$A, AutoFill_classes!$B:$B,"")=0,"",_xlfn.XLOOKUP(BY258, AutoFill_classes!$A:$A, AutoFill_classes!$B:$B,""))</f>
        <v/>
      </c>
      <c r="CB258" s="154"/>
      <c r="CC258" s="12"/>
      <c r="CD258" s="12"/>
      <c r="CE258" s="12"/>
      <c r="CF258" s="7"/>
      <c r="CG258" s="37"/>
      <c r="CH258" s="146"/>
      <c r="CI258" s="41"/>
      <c r="CJ258" s="60" t="str">
        <f t="shared" si="558"/>
        <v/>
      </c>
      <c r="CK258" s="32"/>
      <c r="CL258" s="32"/>
      <c r="CM258" s="32"/>
      <c r="CN258" s="32"/>
      <c r="CO258" s="58" t="str">
        <f t="shared" si="559"/>
        <v/>
      </c>
      <c r="CP258" s="20"/>
      <c r="CQ258" s="58" t="str">
        <f t="shared" si="560"/>
        <v/>
      </c>
      <c r="CR258" s="32"/>
      <c r="CS258" s="32"/>
      <c r="CT258" s="58" t="str">
        <f t="shared" si="561"/>
        <v/>
      </c>
      <c r="CU258" s="20"/>
      <c r="CV258" s="58" t="str">
        <f t="shared" si="562"/>
        <v/>
      </c>
      <c r="CW258" s="32"/>
      <c r="CX258" s="32"/>
      <c r="CY258" s="58" t="str">
        <f t="shared" si="563"/>
        <v/>
      </c>
      <c r="CZ258" s="58" t="str">
        <f t="shared" si="564"/>
        <v/>
      </c>
      <c r="DA258" s="58" t="str">
        <f t="shared" si="565"/>
        <v/>
      </c>
      <c r="DB258" s="59" t="str">
        <f t="shared" si="566"/>
        <v/>
      </c>
      <c r="DC258" s="12"/>
      <c r="DD258" s="146"/>
    </row>
    <row r="259" spans="1:108">
      <c r="A259" s="7"/>
      <c r="B259" s="23" t="str">
        <f>IF(_xlfn.XLOOKUP(A259, AutoFill_names!B:B, AutoFill_names!C:C,"")=0,"",_xlfn.XLOOKUP(A259, AutoFill_names!B:B, AutoFill_names!C:C,""))</f>
        <v/>
      </c>
      <c r="C259" s="23" t="str">
        <f>IF(_xlfn.XLOOKUP(A259, AutoFill_names!B:B, AutoFill_names!D:D,"")=0,"",_xlfn.XLOOKUP(A259, AutoFill_names!B:B, AutoFill_names!D:D,""))</f>
        <v/>
      </c>
      <c r="D259" s="23" t="str">
        <f>IF(_xlfn.XLOOKUP(A259, AutoFill_names!B:B, AutoFill_names!E:E,"")=0,"",_xlfn.XLOOKUP(A259, AutoFill_names!B:B, AutoFill_names!E:E,""))</f>
        <v/>
      </c>
      <c r="E259" s="23" t="str">
        <f>IF(_xlfn.XLOOKUP(A259, AutoFill_names!B:B, AutoFill_names!F:F,"")=0,"",_xlfn.XLOOKUP(A259, AutoFill_names!B:B, AutoFill_names!F:F,""))</f>
        <v/>
      </c>
      <c r="F259" s="4"/>
      <c r="G259" s="4"/>
      <c r="H259" s="4"/>
      <c r="I259" s="4"/>
      <c r="J259" s="23" t="str">
        <f>IF(_xlfn.XLOOKUP(A259, AutoFill_names!B:B, AutoFill_names!K:K,"")=0,"",_xlfn.XLOOKUP(A259, AutoFill_names!B:B, AutoFill_names!K:K,""))</f>
        <v/>
      </c>
      <c r="K259" s="23" t="str">
        <f>IF(_xlfn.XLOOKUP(A259, AutoFill_names!B:B, AutoFill_names!L:L,"")=0,"",_xlfn.XLOOKUP(A259, AutoFill_names!B:B, AutoFill_names!L:L,""))</f>
        <v/>
      </c>
      <c r="L259" s="8"/>
      <c r="M259" s="8"/>
      <c r="N259" s="61" t="str">
        <f>IF(_xlfn.XLOOKUP(L259, AutoFill_classes!A:A, AutoFill_classes!B:B,"")=0,"",_xlfn.XLOOKUP(L259, AutoFill_classes!A:A, AutoFill_classes!B:B,""))</f>
        <v/>
      </c>
      <c r="O259" s="154"/>
      <c r="P259" s="11"/>
      <c r="Q259" s="11"/>
      <c r="R259" s="11"/>
      <c r="S259" s="8"/>
      <c r="T259" s="8"/>
      <c r="U259" s="8"/>
      <c r="V259" s="7"/>
      <c r="W259" s="7"/>
      <c r="X259" s="146"/>
      <c r="Y259" s="37"/>
      <c r="Z259" s="60" t="str">
        <f t="shared" si="540"/>
        <v/>
      </c>
      <c r="AA259" s="40"/>
      <c r="AB259" s="40"/>
      <c r="AC259" s="40"/>
      <c r="AD259" s="40"/>
      <c r="AE259" s="58" t="str">
        <f t="shared" si="541"/>
        <v/>
      </c>
      <c r="AF259" s="12"/>
      <c r="AG259" s="58" t="str">
        <f t="shared" si="542"/>
        <v/>
      </c>
      <c r="AH259" s="40"/>
      <c r="AI259" s="40"/>
      <c r="AJ259" s="58" t="str">
        <f t="shared" si="543"/>
        <v/>
      </c>
      <c r="AK259" s="12"/>
      <c r="AL259" s="58" t="str">
        <f t="shared" si="544"/>
        <v/>
      </c>
      <c r="AM259" s="40"/>
      <c r="AN259" s="40"/>
      <c r="AO259" s="58" t="str">
        <f t="shared" si="545"/>
        <v/>
      </c>
      <c r="AP259" s="58" t="str">
        <f t="shared" si="546"/>
        <v/>
      </c>
      <c r="AQ259" s="58" t="str">
        <f t="shared" si="547"/>
        <v/>
      </c>
      <c r="AR259" s="59" t="str">
        <f t="shared" si="548"/>
        <v/>
      </c>
      <c r="AS259" s="12"/>
      <c r="AT259" s="49"/>
      <c r="AU259" s="49"/>
      <c r="AV259" s="61" t="str">
        <f>IF(_xlfn.XLOOKUP(AT259, AutoFill_classes!$A:$A, AutoFill_classes!$B:$B,"")=0,"",_xlfn.XLOOKUP(AT259, AutoFill_classes!$A:$A, AutoFill_classes!$B:$B,""))</f>
        <v/>
      </c>
      <c r="AW259" s="154"/>
      <c r="AX259" s="12"/>
      <c r="AY259" s="13"/>
      <c r="AZ259" s="12"/>
      <c r="BA259" s="13"/>
      <c r="BB259" s="13"/>
      <c r="BC259" s="146"/>
      <c r="BD259" s="37"/>
      <c r="BE259" s="60" t="str">
        <f t="shared" si="549"/>
        <v/>
      </c>
      <c r="BF259" s="32"/>
      <c r="BG259" s="32"/>
      <c r="BH259" s="32"/>
      <c r="BI259" s="32"/>
      <c r="BJ259" s="58" t="str">
        <f t="shared" si="550"/>
        <v/>
      </c>
      <c r="BK259" s="20"/>
      <c r="BL259" s="58" t="str">
        <f t="shared" si="551"/>
        <v/>
      </c>
      <c r="BM259" s="32"/>
      <c r="BN259" s="32"/>
      <c r="BO259" s="58" t="str">
        <f t="shared" si="552"/>
        <v/>
      </c>
      <c r="BP259" s="20"/>
      <c r="BQ259" s="58" t="str">
        <f t="shared" si="553"/>
        <v/>
      </c>
      <c r="BR259" s="32"/>
      <c r="BS259" s="32"/>
      <c r="BT259" s="58" t="str">
        <f t="shared" si="554"/>
        <v/>
      </c>
      <c r="BU259" s="58" t="str">
        <f t="shared" si="555"/>
        <v/>
      </c>
      <c r="BV259" s="58" t="str">
        <f t="shared" si="556"/>
        <v/>
      </c>
      <c r="BW259" s="59" t="str">
        <f t="shared" si="557"/>
        <v/>
      </c>
      <c r="BX259" s="12"/>
      <c r="BY259" s="49"/>
      <c r="BZ259" s="49"/>
      <c r="CA259" s="61" t="str">
        <f>IF(_xlfn.XLOOKUP(BY259, AutoFill_classes!$A:$A, AutoFill_classes!$B:$B,"")=0,"",_xlfn.XLOOKUP(BY259, AutoFill_classes!$A:$A, AutoFill_classes!$B:$B,""))</f>
        <v/>
      </c>
      <c r="CB259" s="154"/>
      <c r="CC259" s="12"/>
      <c r="CD259" s="12"/>
      <c r="CE259" s="12"/>
      <c r="CF259" s="7"/>
      <c r="CG259" s="37"/>
      <c r="CH259" s="146"/>
      <c r="CI259" s="41"/>
      <c r="CJ259" s="60" t="str">
        <f t="shared" si="558"/>
        <v/>
      </c>
      <c r="CK259" s="32"/>
      <c r="CL259" s="32"/>
      <c r="CM259" s="32"/>
      <c r="CN259" s="32"/>
      <c r="CO259" s="58" t="str">
        <f t="shared" si="559"/>
        <v/>
      </c>
      <c r="CP259" s="20"/>
      <c r="CQ259" s="58" t="str">
        <f t="shared" si="560"/>
        <v/>
      </c>
      <c r="CR259" s="32"/>
      <c r="CS259" s="32"/>
      <c r="CT259" s="58" t="str">
        <f t="shared" si="561"/>
        <v/>
      </c>
      <c r="CU259" s="20"/>
      <c r="CV259" s="58" t="str">
        <f t="shared" si="562"/>
        <v/>
      </c>
      <c r="CW259" s="32"/>
      <c r="CX259" s="32"/>
      <c r="CY259" s="58" t="str">
        <f t="shared" si="563"/>
        <v/>
      </c>
      <c r="CZ259" s="58" t="str">
        <f t="shared" si="564"/>
        <v/>
      </c>
      <c r="DA259" s="58" t="str">
        <f t="shared" si="565"/>
        <v/>
      </c>
      <c r="DB259" s="59" t="str">
        <f t="shared" si="566"/>
        <v/>
      </c>
      <c r="DC259" s="12"/>
      <c r="DD259" s="146"/>
    </row>
    <row r="260" spans="1:108">
      <c r="A260" s="7"/>
      <c r="B260" s="23" t="str">
        <f>IF(_xlfn.XLOOKUP(A260, AutoFill_names!B:B, AutoFill_names!C:C,"")=0,"",_xlfn.XLOOKUP(A260, AutoFill_names!B:B, AutoFill_names!C:C,""))</f>
        <v/>
      </c>
      <c r="C260" s="23" t="str">
        <f>IF(_xlfn.XLOOKUP(A260, AutoFill_names!B:B, AutoFill_names!D:D,"")=0,"",_xlfn.XLOOKUP(A260, AutoFill_names!B:B, AutoFill_names!D:D,""))</f>
        <v/>
      </c>
      <c r="D260" s="23" t="str">
        <f>IF(_xlfn.XLOOKUP(A260, AutoFill_names!B:B, AutoFill_names!E:E,"")=0,"",_xlfn.XLOOKUP(A260, AutoFill_names!B:B, AutoFill_names!E:E,""))</f>
        <v/>
      </c>
      <c r="E260" s="23" t="str">
        <f>IF(_xlfn.XLOOKUP(A260, AutoFill_names!B:B, AutoFill_names!F:F,"")=0,"",_xlfn.XLOOKUP(A260, AutoFill_names!B:B, AutoFill_names!F:F,""))</f>
        <v/>
      </c>
      <c r="F260" s="4"/>
      <c r="G260" s="4"/>
      <c r="H260" s="4"/>
      <c r="I260" s="4"/>
      <c r="J260" s="23" t="str">
        <f>IF(_xlfn.XLOOKUP(A260, AutoFill_names!B:B, AutoFill_names!K:K,"")=0,"",_xlfn.XLOOKUP(A260, AutoFill_names!B:B, AutoFill_names!K:K,""))</f>
        <v/>
      </c>
      <c r="K260" s="23" t="str">
        <f>IF(_xlfn.XLOOKUP(A260, AutoFill_names!B:B, AutoFill_names!L:L,"")=0,"",_xlfn.XLOOKUP(A260, AutoFill_names!B:B, AutoFill_names!L:L,""))</f>
        <v/>
      </c>
      <c r="L260" s="8"/>
      <c r="M260" s="8"/>
      <c r="N260" s="61" t="str">
        <f>IF(_xlfn.XLOOKUP(L260, AutoFill_classes!A:A, AutoFill_classes!B:B,"")=0,"",_xlfn.XLOOKUP(L260, AutoFill_classes!A:A, AutoFill_classes!B:B,""))</f>
        <v/>
      </c>
      <c r="O260" s="154"/>
      <c r="P260" s="11"/>
      <c r="Q260" s="11"/>
      <c r="R260" s="11"/>
      <c r="S260" s="8"/>
      <c r="T260" s="8"/>
      <c r="U260" s="8"/>
      <c r="V260" s="7"/>
      <c r="W260" s="7"/>
      <c r="X260" s="146"/>
      <c r="Y260" s="37"/>
      <c r="Z260" s="60" t="str">
        <f t="shared" si="540"/>
        <v/>
      </c>
      <c r="AA260" s="40"/>
      <c r="AB260" s="40"/>
      <c r="AC260" s="40"/>
      <c r="AD260" s="40"/>
      <c r="AE260" s="58" t="str">
        <f t="shared" si="541"/>
        <v/>
      </c>
      <c r="AF260" s="12"/>
      <c r="AG260" s="58" t="str">
        <f t="shared" si="542"/>
        <v/>
      </c>
      <c r="AH260" s="40"/>
      <c r="AI260" s="40"/>
      <c r="AJ260" s="58" t="str">
        <f t="shared" si="543"/>
        <v/>
      </c>
      <c r="AK260" s="12"/>
      <c r="AL260" s="58" t="str">
        <f t="shared" si="544"/>
        <v/>
      </c>
      <c r="AM260" s="40"/>
      <c r="AN260" s="40"/>
      <c r="AO260" s="58" t="str">
        <f t="shared" si="545"/>
        <v/>
      </c>
      <c r="AP260" s="58" t="str">
        <f t="shared" si="546"/>
        <v/>
      </c>
      <c r="AQ260" s="58" t="str">
        <f t="shared" si="547"/>
        <v/>
      </c>
      <c r="AR260" s="59" t="str">
        <f t="shared" si="548"/>
        <v/>
      </c>
      <c r="AS260" s="12"/>
      <c r="AT260" s="49"/>
      <c r="AU260" s="49"/>
      <c r="AV260" s="61" t="str">
        <f>IF(_xlfn.XLOOKUP(AT260, AutoFill_classes!$A:$A, AutoFill_classes!$B:$B,"")=0,"",_xlfn.XLOOKUP(AT260, AutoFill_classes!$A:$A, AutoFill_classes!$B:$B,""))</f>
        <v/>
      </c>
      <c r="AW260" s="154"/>
      <c r="AX260" s="12"/>
      <c r="AY260" s="13"/>
      <c r="AZ260" s="12"/>
      <c r="BA260" s="13"/>
      <c r="BB260" s="13"/>
      <c r="BC260" s="146"/>
      <c r="BD260" s="37"/>
      <c r="BE260" s="60" t="str">
        <f t="shared" si="549"/>
        <v/>
      </c>
      <c r="BF260" s="32"/>
      <c r="BG260" s="32"/>
      <c r="BH260" s="32"/>
      <c r="BI260" s="32"/>
      <c r="BJ260" s="58" t="str">
        <f t="shared" si="550"/>
        <v/>
      </c>
      <c r="BK260" s="20"/>
      <c r="BL260" s="58" t="str">
        <f t="shared" si="551"/>
        <v/>
      </c>
      <c r="BM260" s="32"/>
      <c r="BN260" s="32"/>
      <c r="BO260" s="58" t="str">
        <f t="shared" si="552"/>
        <v/>
      </c>
      <c r="BP260" s="20"/>
      <c r="BQ260" s="58" t="str">
        <f t="shared" si="553"/>
        <v/>
      </c>
      <c r="BR260" s="32"/>
      <c r="BS260" s="32"/>
      <c r="BT260" s="58" t="str">
        <f t="shared" si="554"/>
        <v/>
      </c>
      <c r="BU260" s="58" t="str">
        <f t="shared" si="555"/>
        <v/>
      </c>
      <c r="BV260" s="58" t="str">
        <f t="shared" si="556"/>
        <v/>
      </c>
      <c r="BW260" s="59" t="str">
        <f t="shared" si="557"/>
        <v/>
      </c>
      <c r="BX260" s="12"/>
      <c r="BY260" s="49"/>
      <c r="BZ260" s="49"/>
      <c r="CA260" s="61" t="str">
        <f>IF(_xlfn.XLOOKUP(BY260, AutoFill_classes!$A:$A, AutoFill_classes!$B:$B,"")=0,"",_xlfn.XLOOKUP(BY260, AutoFill_classes!$A:$A, AutoFill_classes!$B:$B,""))</f>
        <v/>
      </c>
      <c r="CB260" s="154"/>
      <c r="CC260" s="12"/>
      <c r="CD260" s="12"/>
      <c r="CE260" s="12"/>
      <c r="CF260" s="7"/>
      <c r="CG260" s="37"/>
      <c r="CH260" s="146"/>
      <c r="CI260" s="41"/>
      <c r="CJ260" s="60" t="str">
        <f t="shared" si="558"/>
        <v/>
      </c>
      <c r="CK260" s="32"/>
      <c r="CL260" s="32"/>
      <c r="CM260" s="32"/>
      <c r="CN260" s="32"/>
      <c r="CO260" s="58" t="str">
        <f t="shared" si="559"/>
        <v/>
      </c>
      <c r="CP260" s="20"/>
      <c r="CQ260" s="58" t="str">
        <f t="shared" si="560"/>
        <v/>
      </c>
      <c r="CR260" s="32"/>
      <c r="CS260" s="32"/>
      <c r="CT260" s="58" t="str">
        <f t="shared" si="561"/>
        <v/>
      </c>
      <c r="CU260" s="20"/>
      <c r="CV260" s="58" t="str">
        <f t="shared" si="562"/>
        <v/>
      </c>
      <c r="CW260" s="32"/>
      <c r="CX260" s="32"/>
      <c r="CY260" s="58" t="str">
        <f t="shared" si="563"/>
        <v/>
      </c>
      <c r="CZ260" s="58" t="str">
        <f t="shared" si="564"/>
        <v/>
      </c>
      <c r="DA260" s="58" t="str">
        <f t="shared" si="565"/>
        <v/>
      </c>
      <c r="DB260" s="59" t="str">
        <f t="shared" si="566"/>
        <v/>
      </c>
      <c r="DC260" s="12"/>
      <c r="DD260" s="146"/>
    </row>
    <row r="261" spans="1:108">
      <c r="A261" s="7"/>
      <c r="B261" s="23" t="str">
        <f>IF(_xlfn.XLOOKUP(A261, AutoFill_names!B:B, AutoFill_names!C:C,"")=0,"",_xlfn.XLOOKUP(A261, AutoFill_names!B:B, AutoFill_names!C:C,""))</f>
        <v/>
      </c>
      <c r="C261" s="23" t="str">
        <f>IF(_xlfn.XLOOKUP(A261, AutoFill_names!B:B, AutoFill_names!D:D,"")=0,"",_xlfn.XLOOKUP(A261, AutoFill_names!B:B, AutoFill_names!D:D,""))</f>
        <v/>
      </c>
      <c r="D261" s="23" t="str">
        <f>IF(_xlfn.XLOOKUP(A261, AutoFill_names!B:B, AutoFill_names!E:E,"")=0,"",_xlfn.XLOOKUP(A261, AutoFill_names!B:B, AutoFill_names!E:E,""))</f>
        <v/>
      </c>
      <c r="E261" s="23" t="str">
        <f>IF(_xlfn.XLOOKUP(A261, AutoFill_names!B:B, AutoFill_names!F:F,"")=0,"",_xlfn.XLOOKUP(A261, AutoFill_names!B:B, AutoFill_names!F:F,""))</f>
        <v/>
      </c>
      <c r="F261" s="4"/>
      <c r="G261" s="4"/>
      <c r="H261" s="4"/>
      <c r="I261" s="4"/>
      <c r="J261" s="23" t="str">
        <f>IF(_xlfn.XLOOKUP(A261, AutoFill_names!B:B, AutoFill_names!K:K,"")=0,"",_xlfn.XLOOKUP(A261, AutoFill_names!B:B, AutoFill_names!K:K,""))</f>
        <v/>
      </c>
      <c r="K261" s="23" t="str">
        <f>IF(_xlfn.XLOOKUP(A261, AutoFill_names!B:B, AutoFill_names!L:L,"")=0,"",_xlfn.XLOOKUP(A261, AutoFill_names!B:B, AutoFill_names!L:L,""))</f>
        <v/>
      </c>
      <c r="L261" s="8"/>
      <c r="M261" s="8"/>
      <c r="N261" s="61" t="str">
        <f>IF(_xlfn.XLOOKUP(L261, AutoFill_classes!A:A, AutoFill_classes!B:B,"")=0,"",_xlfn.XLOOKUP(L261, AutoFill_classes!A:A, AutoFill_classes!B:B,""))</f>
        <v/>
      </c>
      <c r="O261" s="154"/>
      <c r="P261" s="11"/>
      <c r="Q261" s="11"/>
      <c r="R261" s="11"/>
      <c r="S261" s="8"/>
      <c r="T261" s="8"/>
      <c r="U261" s="8"/>
      <c r="V261" s="7"/>
      <c r="W261" s="7"/>
      <c r="X261" s="146"/>
      <c r="Y261" s="37"/>
      <c r="Z261" s="60" t="str">
        <f t="shared" si="540"/>
        <v/>
      </c>
      <c r="AA261" s="40"/>
      <c r="AB261" s="40"/>
      <c r="AC261" s="40"/>
      <c r="AD261" s="40"/>
      <c r="AE261" s="58" t="str">
        <f t="shared" si="541"/>
        <v/>
      </c>
      <c r="AF261" s="12"/>
      <c r="AG261" s="58" t="str">
        <f t="shared" si="542"/>
        <v/>
      </c>
      <c r="AH261" s="40"/>
      <c r="AI261" s="40"/>
      <c r="AJ261" s="58" t="str">
        <f t="shared" si="543"/>
        <v/>
      </c>
      <c r="AK261" s="12"/>
      <c r="AL261" s="58" t="str">
        <f t="shared" si="544"/>
        <v/>
      </c>
      <c r="AM261" s="40"/>
      <c r="AN261" s="40"/>
      <c r="AO261" s="58" t="str">
        <f t="shared" si="545"/>
        <v/>
      </c>
      <c r="AP261" s="58" t="str">
        <f t="shared" si="546"/>
        <v/>
      </c>
      <c r="AQ261" s="58" t="str">
        <f t="shared" si="547"/>
        <v/>
      </c>
      <c r="AR261" s="59" t="str">
        <f t="shared" si="548"/>
        <v/>
      </c>
      <c r="AS261" s="12"/>
      <c r="AT261" s="49"/>
      <c r="AU261" s="49"/>
      <c r="AV261" s="61" t="str">
        <f>IF(_xlfn.XLOOKUP(AT261, AutoFill_classes!$A:$A, AutoFill_classes!$B:$B,"")=0,"",_xlfn.XLOOKUP(AT261, AutoFill_classes!$A:$A, AutoFill_classes!$B:$B,""))</f>
        <v/>
      </c>
      <c r="AW261" s="154"/>
      <c r="AX261" s="12"/>
      <c r="AY261" s="13"/>
      <c r="AZ261" s="12"/>
      <c r="BA261" s="13"/>
      <c r="BB261" s="13"/>
      <c r="BC261" s="146"/>
      <c r="BD261" s="37"/>
      <c r="BE261" s="60" t="str">
        <f t="shared" si="549"/>
        <v/>
      </c>
      <c r="BF261" s="32"/>
      <c r="BG261" s="32"/>
      <c r="BH261" s="32"/>
      <c r="BI261" s="32"/>
      <c r="BJ261" s="58" t="str">
        <f t="shared" si="550"/>
        <v/>
      </c>
      <c r="BK261" s="20"/>
      <c r="BL261" s="58" t="str">
        <f t="shared" si="551"/>
        <v/>
      </c>
      <c r="BM261" s="32"/>
      <c r="BN261" s="32"/>
      <c r="BO261" s="58" t="str">
        <f t="shared" si="552"/>
        <v/>
      </c>
      <c r="BP261" s="20"/>
      <c r="BQ261" s="58" t="str">
        <f t="shared" si="553"/>
        <v/>
      </c>
      <c r="BR261" s="32"/>
      <c r="BS261" s="32"/>
      <c r="BT261" s="58" t="str">
        <f t="shared" si="554"/>
        <v/>
      </c>
      <c r="BU261" s="58" t="str">
        <f t="shared" si="555"/>
        <v/>
      </c>
      <c r="BV261" s="58" t="str">
        <f t="shared" si="556"/>
        <v/>
      </c>
      <c r="BW261" s="59" t="str">
        <f t="shared" si="557"/>
        <v/>
      </c>
      <c r="BX261" s="12"/>
      <c r="BY261" s="49"/>
      <c r="BZ261" s="49"/>
      <c r="CA261" s="61" t="str">
        <f>IF(_xlfn.XLOOKUP(BY261, AutoFill_classes!$A:$A, AutoFill_classes!$B:$B,"")=0,"",_xlfn.XLOOKUP(BY261, AutoFill_classes!$A:$A, AutoFill_classes!$B:$B,""))</f>
        <v/>
      </c>
      <c r="CB261" s="154"/>
      <c r="CC261" s="12"/>
      <c r="CD261" s="12"/>
      <c r="CE261" s="12"/>
      <c r="CF261" s="7"/>
      <c r="CG261" s="37"/>
      <c r="CH261" s="146"/>
      <c r="CI261" s="41"/>
      <c r="CJ261" s="60" t="str">
        <f t="shared" si="558"/>
        <v/>
      </c>
      <c r="CK261" s="32"/>
      <c r="CL261" s="32"/>
      <c r="CM261" s="32"/>
      <c r="CN261" s="32"/>
      <c r="CO261" s="58" t="str">
        <f t="shared" si="559"/>
        <v/>
      </c>
      <c r="CP261" s="20"/>
      <c r="CQ261" s="58" t="str">
        <f t="shared" si="560"/>
        <v/>
      </c>
      <c r="CR261" s="32"/>
      <c r="CS261" s="32"/>
      <c r="CT261" s="58" t="str">
        <f t="shared" si="561"/>
        <v/>
      </c>
      <c r="CU261" s="20"/>
      <c r="CV261" s="58" t="str">
        <f t="shared" si="562"/>
        <v/>
      </c>
      <c r="CW261" s="32"/>
      <c r="CX261" s="32"/>
      <c r="CY261" s="58" t="str">
        <f t="shared" si="563"/>
        <v/>
      </c>
      <c r="CZ261" s="58" t="str">
        <f t="shared" si="564"/>
        <v/>
      </c>
      <c r="DA261" s="58" t="str">
        <f t="shared" si="565"/>
        <v/>
      </c>
      <c r="DB261" s="59" t="str">
        <f t="shared" si="566"/>
        <v/>
      </c>
      <c r="DC261" s="12"/>
      <c r="DD261" s="146"/>
    </row>
    <row r="262" spans="1:108">
      <c r="A262" s="7"/>
      <c r="B262" s="23" t="str">
        <f>IF(_xlfn.XLOOKUP(A262, AutoFill_names!B:B, AutoFill_names!C:C,"")=0,"",_xlfn.XLOOKUP(A262, AutoFill_names!B:B, AutoFill_names!C:C,""))</f>
        <v/>
      </c>
      <c r="C262" s="23" t="str">
        <f>IF(_xlfn.XLOOKUP(A262, AutoFill_names!B:B, AutoFill_names!D:D,"")=0,"",_xlfn.XLOOKUP(A262, AutoFill_names!B:B, AutoFill_names!D:D,""))</f>
        <v/>
      </c>
      <c r="D262" s="23" t="str">
        <f>IF(_xlfn.XLOOKUP(A262, AutoFill_names!B:B, AutoFill_names!E:E,"")=0,"",_xlfn.XLOOKUP(A262, AutoFill_names!B:B, AutoFill_names!E:E,""))</f>
        <v/>
      </c>
      <c r="E262" s="23" t="str">
        <f>IF(_xlfn.XLOOKUP(A262, AutoFill_names!B:B, AutoFill_names!F:F,"")=0,"",_xlfn.XLOOKUP(A262, AutoFill_names!B:B, AutoFill_names!F:F,""))</f>
        <v/>
      </c>
      <c r="F262" s="4"/>
      <c r="G262" s="4"/>
      <c r="H262" s="4"/>
      <c r="I262" s="4"/>
      <c r="J262" s="23" t="str">
        <f>IF(_xlfn.XLOOKUP(A262, AutoFill_names!B:B, AutoFill_names!K:K,"")=0,"",_xlfn.XLOOKUP(A262, AutoFill_names!B:B, AutoFill_names!K:K,""))</f>
        <v/>
      </c>
      <c r="K262" s="23" t="str">
        <f>IF(_xlfn.XLOOKUP(A262, AutoFill_names!B:B, AutoFill_names!L:L,"")=0,"",_xlfn.XLOOKUP(A262, AutoFill_names!B:B, AutoFill_names!L:L,""))</f>
        <v/>
      </c>
      <c r="L262" s="8"/>
      <c r="M262" s="8"/>
      <c r="N262" s="61" t="str">
        <f>IF(_xlfn.XLOOKUP(L262, AutoFill_classes!A:A, AutoFill_classes!B:B,"")=0,"",_xlfn.XLOOKUP(L262, AutoFill_classes!A:A, AutoFill_classes!B:B,""))</f>
        <v/>
      </c>
      <c r="O262" s="154"/>
      <c r="P262" s="11"/>
      <c r="Q262" s="11"/>
      <c r="R262" s="11"/>
      <c r="S262" s="8"/>
      <c r="T262" s="8"/>
      <c r="U262" s="8"/>
      <c r="V262" s="7"/>
      <c r="W262" s="7"/>
      <c r="X262" s="146"/>
      <c r="Y262" s="37"/>
      <c r="Z262" s="60" t="str">
        <f t="shared" si="540"/>
        <v/>
      </c>
      <c r="AA262" s="40"/>
      <c r="AB262" s="40"/>
      <c r="AC262" s="40"/>
      <c r="AD262" s="40"/>
      <c r="AE262" s="58" t="str">
        <f t="shared" si="541"/>
        <v/>
      </c>
      <c r="AF262" s="12"/>
      <c r="AG262" s="58" t="str">
        <f t="shared" si="542"/>
        <v/>
      </c>
      <c r="AH262" s="40"/>
      <c r="AI262" s="40"/>
      <c r="AJ262" s="58" t="str">
        <f t="shared" si="543"/>
        <v/>
      </c>
      <c r="AK262" s="12"/>
      <c r="AL262" s="58" t="str">
        <f t="shared" si="544"/>
        <v/>
      </c>
      <c r="AM262" s="40"/>
      <c r="AN262" s="40"/>
      <c r="AO262" s="58" t="str">
        <f t="shared" si="545"/>
        <v/>
      </c>
      <c r="AP262" s="58" t="str">
        <f t="shared" si="546"/>
        <v/>
      </c>
      <c r="AQ262" s="58" t="str">
        <f t="shared" si="547"/>
        <v/>
      </c>
      <c r="AR262" s="59" t="str">
        <f t="shared" si="548"/>
        <v/>
      </c>
      <c r="AS262" s="12"/>
      <c r="AT262" s="49"/>
      <c r="AU262" s="49"/>
      <c r="AV262" s="61" t="str">
        <f>IF(_xlfn.XLOOKUP(AT262, AutoFill_classes!$A:$A, AutoFill_classes!$B:$B,"")=0,"",_xlfn.XLOOKUP(AT262, AutoFill_classes!$A:$A, AutoFill_classes!$B:$B,""))</f>
        <v/>
      </c>
      <c r="AW262" s="154"/>
      <c r="AX262" s="12"/>
      <c r="AY262" s="13"/>
      <c r="AZ262" s="12"/>
      <c r="BA262" s="13"/>
      <c r="BB262" s="13"/>
      <c r="BC262" s="146"/>
      <c r="BD262" s="37"/>
      <c r="BE262" s="60" t="str">
        <f t="shared" si="549"/>
        <v/>
      </c>
      <c r="BF262" s="32"/>
      <c r="BG262" s="32"/>
      <c r="BH262" s="32"/>
      <c r="BI262" s="32"/>
      <c r="BJ262" s="58" t="str">
        <f t="shared" si="550"/>
        <v/>
      </c>
      <c r="BK262" s="20"/>
      <c r="BL262" s="58" t="str">
        <f t="shared" si="551"/>
        <v/>
      </c>
      <c r="BM262" s="32"/>
      <c r="BN262" s="32"/>
      <c r="BO262" s="58" t="str">
        <f t="shared" si="552"/>
        <v/>
      </c>
      <c r="BP262" s="20"/>
      <c r="BQ262" s="58" t="str">
        <f t="shared" si="553"/>
        <v/>
      </c>
      <c r="BR262" s="32"/>
      <c r="BS262" s="32"/>
      <c r="BT262" s="58" t="str">
        <f t="shared" si="554"/>
        <v/>
      </c>
      <c r="BU262" s="58" t="str">
        <f t="shared" si="555"/>
        <v/>
      </c>
      <c r="BV262" s="58" t="str">
        <f t="shared" si="556"/>
        <v/>
      </c>
      <c r="BW262" s="59" t="str">
        <f t="shared" si="557"/>
        <v/>
      </c>
      <c r="BX262" s="12"/>
      <c r="BY262" s="49"/>
      <c r="BZ262" s="49"/>
      <c r="CA262" s="61" t="str">
        <f>IF(_xlfn.XLOOKUP(BY262, AutoFill_classes!$A:$A, AutoFill_classes!$B:$B,"")=0,"",_xlfn.XLOOKUP(BY262, AutoFill_classes!$A:$A, AutoFill_classes!$B:$B,""))</f>
        <v/>
      </c>
      <c r="CB262" s="154"/>
      <c r="CC262" s="12"/>
      <c r="CD262" s="12"/>
      <c r="CE262" s="12"/>
      <c r="CF262" s="7"/>
      <c r="CG262" s="37"/>
      <c r="CH262" s="146"/>
      <c r="CI262" s="41"/>
      <c r="CJ262" s="60" t="str">
        <f t="shared" si="558"/>
        <v/>
      </c>
      <c r="CK262" s="32"/>
      <c r="CL262" s="32"/>
      <c r="CM262" s="32"/>
      <c r="CN262" s="32"/>
      <c r="CO262" s="58" t="str">
        <f t="shared" si="559"/>
        <v/>
      </c>
      <c r="CP262" s="20"/>
      <c r="CQ262" s="58" t="str">
        <f t="shared" si="560"/>
        <v/>
      </c>
      <c r="CR262" s="32"/>
      <c r="CS262" s="32"/>
      <c r="CT262" s="58" t="str">
        <f t="shared" si="561"/>
        <v/>
      </c>
      <c r="CU262" s="20"/>
      <c r="CV262" s="58" t="str">
        <f t="shared" si="562"/>
        <v/>
      </c>
      <c r="CW262" s="32"/>
      <c r="CX262" s="32"/>
      <c r="CY262" s="58" t="str">
        <f t="shared" si="563"/>
        <v/>
      </c>
      <c r="CZ262" s="58" t="str">
        <f t="shared" si="564"/>
        <v/>
      </c>
      <c r="DA262" s="58" t="str">
        <f t="shared" si="565"/>
        <v/>
      </c>
      <c r="DB262" s="59" t="str">
        <f t="shared" si="566"/>
        <v/>
      </c>
      <c r="DC262" s="12"/>
      <c r="DD262" s="146"/>
    </row>
    <row r="263" spans="1:108">
      <c r="A263" s="7"/>
      <c r="B263" s="23" t="str">
        <f>IF(_xlfn.XLOOKUP(A263, AutoFill_names!B:B, AutoFill_names!C:C,"")=0,"",_xlfn.XLOOKUP(A263, AutoFill_names!B:B, AutoFill_names!C:C,""))</f>
        <v/>
      </c>
      <c r="C263" s="23" t="str">
        <f>IF(_xlfn.XLOOKUP(A263, AutoFill_names!B:B, AutoFill_names!D:D,"")=0,"",_xlfn.XLOOKUP(A263, AutoFill_names!B:B, AutoFill_names!D:D,""))</f>
        <v/>
      </c>
      <c r="D263" s="23" t="str">
        <f>IF(_xlfn.XLOOKUP(A263, AutoFill_names!B:B, AutoFill_names!E:E,"")=0,"",_xlfn.XLOOKUP(A263, AutoFill_names!B:B, AutoFill_names!E:E,""))</f>
        <v/>
      </c>
      <c r="E263" s="23" t="str">
        <f>IF(_xlfn.XLOOKUP(A263, AutoFill_names!B:B, AutoFill_names!F:F,"")=0,"",_xlfn.XLOOKUP(A263, AutoFill_names!B:B, AutoFill_names!F:F,""))</f>
        <v/>
      </c>
      <c r="F263" s="4"/>
      <c r="G263" s="4"/>
      <c r="H263" s="4"/>
      <c r="I263" s="4"/>
      <c r="J263" s="23" t="str">
        <f>IF(_xlfn.XLOOKUP(A263, AutoFill_names!B:B, AutoFill_names!K:K,"")=0,"",_xlfn.XLOOKUP(A263, AutoFill_names!B:B, AutoFill_names!K:K,""))</f>
        <v/>
      </c>
      <c r="K263" s="23" t="str">
        <f>IF(_xlfn.XLOOKUP(A263, AutoFill_names!B:B, AutoFill_names!L:L,"")=0,"",_xlfn.XLOOKUP(A263, AutoFill_names!B:B, AutoFill_names!L:L,""))</f>
        <v/>
      </c>
      <c r="L263" s="8"/>
      <c r="M263" s="8"/>
      <c r="N263" s="61" t="str">
        <f>IF(_xlfn.XLOOKUP(L263, AutoFill_classes!A:A, AutoFill_classes!B:B,"")=0,"",_xlfn.XLOOKUP(L263, AutoFill_classes!A:A, AutoFill_classes!B:B,""))</f>
        <v/>
      </c>
      <c r="O263" s="154"/>
      <c r="P263" s="11"/>
      <c r="Q263" s="11"/>
      <c r="R263" s="11"/>
      <c r="S263" s="8"/>
      <c r="T263" s="8"/>
      <c r="U263" s="8"/>
      <c r="V263" s="7"/>
      <c r="W263" s="7"/>
      <c r="X263" s="146"/>
      <c r="Y263" s="37"/>
      <c r="Z263" s="60" t="str">
        <f t="shared" si="540"/>
        <v/>
      </c>
      <c r="AA263" s="40"/>
      <c r="AB263" s="40"/>
      <c r="AC263" s="40"/>
      <c r="AD263" s="40"/>
      <c r="AE263" s="58" t="str">
        <f t="shared" si="541"/>
        <v/>
      </c>
      <c r="AF263" s="12"/>
      <c r="AG263" s="58" t="str">
        <f t="shared" si="542"/>
        <v/>
      </c>
      <c r="AH263" s="40"/>
      <c r="AI263" s="40"/>
      <c r="AJ263" s="58" t="str">
        <f t="shared" si="543"/>
        <v/>
      </c>
      <c r="AK263" s="12"/>
      <c r="AL263" s="58" t="str">
        <f t="shared" si="544"/>
        <v/>
      </c>
      <c r="AM263" s="40"/>
      <c r="AN263" s="40"/>
      <c r="AO263" s="58" t="str">
        <f t="shared" si="545"/>
        <v/>
      </c>
      <c r="AP263" s="58" t="str">
        <f t="shared" si="546"/>
        <v/>
      </c>
      <c r="AQ263" s="58" t="str">
        <f t="shared" si="547"/>
        <v/>
      </c>
      <c r="AR263" s="59" t="str">
        <f t="shared" si="548"/>
        <v/>
      </c>
      <c r="AS263" s="12"/>
      <c r="AT263" s="49"/>
      <c r="AU263" s="49"/>
      <c r="AV263" s="61" t="str">
        <f>IF(_xlfn.XLOOKUP(AT263, AutoFill_classes!$A:$A, AutoFill_classes!$B:$B,"")=0,"",_xlfn.XLOOKUP(AT263, AutoFill_classes!$A:$A, AutoFill_classes!$B:$B,""))</f>
        <v/>
      </c>
      <c r="AW263" s="154"/>
      <c r="AX263" s="12"/>
      <c r="AY263" s="13"/>
      <c r="AZ263" s="12"/>
      <c r="BA263" s="13"/>
      <c r="BB263" s="13"/>
      <c r="BC263" s="146"/>
      <c r="BD263" s="37"/>
      <c r="BE263" s="60" t="str">
        <f t="shared" si="549"/>
        <v/>
      </c>
      <c r="BF263" s="32"/>
      <c r="BG263" s="32"/>
      <c r="BH263" s="32"/>
      <c r="BI263" s="32"/>
      <c r="BJ263" s="58" t="str">
        <f t="shared" si="550"/>
        <v/>
      </c>
      <c r="BK263" s="20"/>
      <c r="BL263" s="58" t="str">
        <f t="shared" si="551"/>
        <v/>
      </c>
      <c r="BM263" s="32"/>
      <c r="BN263" s="32"/>
      <c r="BO263" s="58" t="str">
        <f t="shared" si="552"/>
        <v/>
      </c>
      <c r="BP263" s="20"/>
      <c r="BQ263" s="58" t="str">
        <f t="shared" si="553"/>
        <v/>
      </c>
      <c r="BR263" s="32"/>
      <c r="BS263" s="32"/>
      <c r="BT263" s="58" t="str">
        <f t="shared" si="554"/>
        <v/>
      </c>
      <c r="BU263" s="58" t="str">
        <f t="shared" si="555"/>
        <v/>
      </c>
      <c r="BV263" s="58" t="str">
        <f t="shared" si="556"/>
        <v/>
      </c>
      <c r="BW263" s="59" t="str">
        <f t="shared" si="557"/>
        <v/>
      </c>
      <c r="BX263" s="12"/>
      <c r="BY263" s="49"/>
      <c r="BZ263" s="49"/>
      <c r="CA263" s="61" t="str">
        <f>IF(_xlfn.XLOOKUP(BY263, AutoFill_classes!$A:$A, AutoFill_classes!$B:$B,"")=0,"",_xlfn.XLOOKUP(BY263, AutoFill_classes!$A:$A, AutoFill_classes!$B:$B,""))</f>
        <v/>
      </c>
      <c r="CB263" s="154"/>
      <c r="CC263" s="12"/>
      <c r="CD263" s="12"/>
      <c r="CE263" s="12"/>
      <c r="CF263" s="7"/>
      <c r="CG263" s="37"/>
      <c r="CH263" s="146"/>
      <c r="CI263" s="41"/>
      <c r="CJ263" s="60" t="str">
        <f t="shared" si="558"/>
        <v/>
      </c>
      <c r="CK263" s="32"/>
      <c r="CL263" s="32"/>
      <c r="CM263" s="32"/>
      <c r="CN263" s="32"/>
      <c r="CO263" s="58" t="str">
        <f t="shared" si="559"/>
        <v/>
      </c>
      <c r="CP263" s="20"/>
      <c r="CQ263" s="58" t="str">
        <f t="shared" si="560"/>
        <v/>
      </c>
      <c r="CR263" s="32"/>
      <c r="CS263" s="32"/>
      <c r="CT263" s="58" t="str">
        <f t="shared" si="561"/>
        <v/>
      </c>
      <c r="CU263" s="20"/>
      <c r="CV263" s="58" t="str">
        <f t="shared" si="562"/>
        <v/>
      </c>
      <c r="CW263" s="32"/>
      <c r="CX263" s="32"/>
      <c r="CY263" s="58" t="str">
        <f t="shared" si="563"/>
        <v/>
      </c>
      <c r="CZ263" s="58" t="str">
        <f t="shared" si="564"/>
        <v/>
      </c>
      <c r="DA263" s="58" t="str">
        <f t="shared" si="565"/>
        <v/>
      </c>
      <c r="DB263" s="59" t="str">
        <f t="shared" si="566"/>
        <v/>
      </c>
      <c r="DC263" s="12"/>
      <c r="DD263" s="146"/>
    </row>
    <row r="264" spans="1:108">
      <c r="A264" s="7"/>
      <c r="B264" s="23" t="str">
        <f>IF(_xlfn.XLOOKUP(A264, AutoFill_names!B:B, AutoFill_names!C:C,"")=0,"",_xlfn.XLOOKUP(A264, AutoFill_names!B:B, AutoFill_names!C:C,""))</f>
        <v/>
      </c>
      <c r="C264" s="23" t="str">
        <f>IF(_xlfn.XLOOKUP(A264, AutoFill_names!B:B, AutoFill_names!D:D,"")=0,"",_xlfn.XLOOKUP(A264, AutoFill_names!B:B, AutoFill_names!D:D,""))</f>
        <v/>
      </c>
      <c r="D264" s="23" t="str">
        <f>IF(_xlfn.XLOOKUP(A264, AutoFill_names!B:B, AutoFill_names!E:E,"")=0,"",_xlfn.XLOOKUP(A264, AutoFill_names!B:B, AutoFill_names!E:E,""))</f>
        <v/>
      </c>
      <c r="E264" s="23" t="str">
        <f>IF(_xlfn.XLOOKUP(A264, AutoFill_names!B:B, AutoFill_names!F:F,"")=0,"",_xlfn.XLOOKUP(A264, AutoFill_names!B:B, AutoFill_names!F:F,""))</f>
        <v/>
      </c>
      <c r="F264" s="4"/>
      <c r="G264" s="4"/>
      <c r="H264" s="4"/>
      <c r="I264" s="4"/>
      <c r="J264" s="23" t="str">
        <f>IF(_xlfn.XLOOKUP(A264, AutoFill_names!B:B, AutoFill_names!K:K,"")=0,"",_xlfn.XLOOKUP(A264, AutoFill_names!B:B, AutoFill_names!K:K,""))</f>
        <v/>
      </c>
      <c r="K264" s="23" t="str">
        <f>IF(_xlfn.XLOOKUP(A264, AutoFill_names!B:B, AutoFill_names!L:L,"")=0,"",_xlfn.XLOOKUP(A264, AutoFill_names!B:B, AutoFill_names!L:L,""))</f>
        <v/>
      </c>
      <c r="L264" s="8"/>
      <c r="M264" s="8"/>
      <c r="N264" s="61" t="str">
        <f>IF(_xlfn.XLOOKUP(L264, AutoFill_classes!A:A, AutoFill_classes!B:B,"")=0,"",_xlfn.XLOOKUP(L264, AutoFill_classes!A:A, AutoFill_classes!B:B,""))</f>
        <v/>
      </c>
      <c r="O264" s="154"/>
      <c r="P264" s="11"/>
      <c r="Q264" s="11"/>
      <c r="R264" s="11"/>
      <c r="S264" s="8"/>
      <c r="T264" s="8"/>
      <c r="U264" s="8"/>
      <c r="V264" s="7"/>
      <c r="W264" s="7"/>
      <c r="X264" s="146"/>
      <c r="Y264" s="37"/>
      <c r="Z264" s="60" t="str">
        <f t="shared" si="540"/>
        <v/>
      </c>
      <c r="AA264" s="40"/>
      <c r="AB264" s="40"/>
      <c r="AC264" s="40"/>
      <c r="AD264" s="40"/>
      <c r="AE264" s="58" t="str">
        <f t="shared" si="541"/>
        <v/>
      </c>
      <c r="AF264" s="12"/>
      <c r="AG264" s="58" t="str">
        <f t="shared" si="542"/>
        <v/>
      </c>
      <c r="AH264" s="40"/>
      <c r="AI264" s="40"/>
      <c r="AJ264" s="58" t="str">
        <f t="shared" si="543"/>
        <v/>
      </c>
      <c r="AK264" s="12"/>
      <c r="AL264" s="58" t="str">
        <f t="shared" si="544"/>
        <v/>
      </c>
      <c r="AM264" s="40"/>
      <c r="AN264" s="40"/>
      <c r="AO264" s="58" t="str">
        <f t="shared" si="545"/>
        <v/>
      </c>
      <c r="AP264" s="58" t="str">
        <f t="shared" si="546"/>
        <v/>
      </c>
      <c r="AQ264" s="58" t="str">
        <f t="shared" si="547"/>
        <v/>
      </c>
      <c r="AR264" s="59" t="str">
        <f t="shared" si="548"/>
        <v/>
      </c>
      <c r="AS264" s="12"/>
      <c r="AT264" s="49"/>
      <c r="AU264" s="49"/>
      <c r="AV264" s="61" t="str">
        <f>IF(_xlfn.XLOOKUP(AT264, AutoFill_classes!$A:$A, AutoFill_classes!$B:$B,"")=0,"",_xlfn.XLOOKUP(AT264, AutoFill_classes!$A:$A, AutoFill_classes!$B:$B,""))</f>
        <v/>
      </c>
      <c r="AW264" s="154"/>
      <c r="AX264" s="12"/>
      <c r="AY264" s="13"/>
      <c r="AZ264" s="12"/>
      <c r="BA264" s="13"/>
      <c r="BB264" s="13"/>
      <c r="BC264" s="146"/>
      <c r="BD264" s="37"/>
      <c r="BE264" s="60" t="str">
        <f t="shared" si="549"/>
        <v/>
      </c>
      <c r="BF264" s="32"/>
      <c r="BG264" s="32"/>
      <c r="BH264" s="32"/>
      <c r="BI264" s="32"/>
      <c r="BJ264" s="58" t="str">
        <f t="shared" si="550"/>
        <v/>
      </c>
      <c r="BK264" s="20"/>
      <c r="BL264" s="58" t="str">
        <f t="shared" si="551"/>
        <v/>
      </c>
      <c r="BM264" s="32"/>
      <c r="BN264" s="32"/>
      <c r="BO264" s="58" t="str">
        <f t="shared" si="552"/>
        <v/>
      </c>
      <c r="BP264" s="20"/>
      <c r="BQ264" s="58" t="str">
        <f t="shared" si="553"/>
        <v/>
      </c>
      <c r="BR264" s="32"/>
      <c r="BS264" s="32"/>
      <c r="BT264" s="58" t="str">
        <f t="shared" si="554"/>
        <v/>
      </c>
      <c r="BU264" s="58" t="str">
        <f t="shared" si="555"/>
        <v/>
      </c>
      <c r="BV264" s="58" t="str">
        <f t="shared" si="556"/>
        <v/>
      </c>
      <c r="BW264" s="59" t="str">
        <f t="shared" si="557"/>
        <v/>
      </c>
      <c r="BX264" s="12"/>
      <c r="BY264" s="49"/>
      <c r="BZ264" s="49"/>
      <c r="CA264" s="61" t="str">
        <f>IF(_xlfn.XLOOKUP(BY264, AutoFill_classes!$A:$A, AutoFill_classes!$B:$B,"")=0,"",_xlfn.XLOOKUP(BY264, AutoFill_classes!$A:$A, AutoFill_classes!$B:$B,""))</f>
        <v/>
      </c>
      <c r="CB264" s="154"/>
      <c r="CC264" s="12"/>
      <c r="CD264" s="12"/>
      <c r="CE264" s="12"/>
      <c r="CF264" s="7"/>
      <c r="CG264" s="37"/>
      <c r="CH264" s="146"/>
      <c r="CI264" s="41"/>
      <c r="CJ264" s="60" t="str">
        <f t="shared" si="558"/>
        <v/>
      </c>
      <c r="CK264" s="32"/>
      <c r="CL264" s="32"/>
      <c r="CM264" s="32"/>
      <c r="CN264" s="32"/>
      <c r="CO264" s="58" t="str">
        <f t="shared" si="559"/>
        <v/>
      </c>
      <c r="CP264" s="20"/>
      <c r="CQ264" s="58" t="str">
        <f t="shared" si="560"/>
        <v/>
      </c>
      <c r="CR264" s="32"/>
      <c r="CS264" s="32"/>
      <c r="CT264" s="58" t="str">
        <f t="shared" si="561"/>
        <v/>
      </c>
      <c r="CU264" s="20"/>
      <c r="CV264" s="58" t="str">
        <f t="shared" si="562"/>
        <v/>
      </c>
      <c r="CW264" s="32"/>
      <c r="CX264" s="32"/>
      <c r="CY264" s="58" t="str">
        <f t="shared" si="563"/>
        <v/>
      </c>
      <c r="CZ264" s="58" t="str">
        <f t="shared" si="564"/>
        <v/>
      </c>
      <c r="DA264" s="58" t="str">
        <f t="shared" si="565"/>
        <v/>
      </c>
      <c r="DB264" s="59" t="str">
        <f t="shared" si="566"/>
        <v/>
      </c>
      <c r="DC264" s="12"/>
      <c r="DD264" s="146"/>
    </row>
    <row r="265" spans="1:108">
      <c r="A265" s="7"/>
      <c r="B265" s="23" t="str">
        <f>IF(_xlfn.XLOOKUP(A265, AutoFill_names!B:B, AutoFill_names!C:C,"")=0,"",_xlfn.XLOOKUP(A265, AutoFill_names!B:B, AutoFill_names!C:C,""))</f>
        <v/>
      </c>
      <c r="C265" s="23" t="str">
        <f>IF(_xlfn.XLOOKUP(A265, AutoFill_names!B:B, AutoFill_names!D:D,"")=0,"",_xlfn.XLOOKUP(A265, AutoFill_names!B:B, AutoFill_names!D:D,""))</f>
        <v/>
      </c>
      <c r="D265" s="23" t="str">
        <f>IF(_xlfn.XLOOKUP(A265, AutoFill_names!B:B, AutoFill_names!E:E,"")=0,"",_xlfn.XLOOKUP(A265, AutoFill_names!B:B, AutoFill_names!E:E,""))</f>
        <v/>
      </c>
      <c r="E265" s="23" t="str">
        <f>IF(_xlfn.XLOOKUP(A265, AutoFill_names!B:B, AutoFill_names!F:F,"")=0,"",_xlfn.XLOOKUP(A265, AutoFill_names!B:B, AutoFill_names!F:F,""))</f>
        <v/>
      </c>
      <c r="F265" s="4"/>
      <c r="G265" s="4"/>
      <c r="H265" s="4"/>
      <c r="I265" s="4"/>
      <c r="J265" s="23" t="str">
        <f>IF(_xlfn.XLOOKUP(A265, AutoFill_names!B:B, AutoFill_names!K:K,"")=0,"",_xlfn.XLOOKUP(A265, AutoFill_names!B:B, AutoFill_names!K:K,""))</f>
        <v/>
      </c>
      <c r="K265" s="23" t="str">
        <f>IF(_xlfn.XLOOKUP(A265, AutoFill_names!B:B, AutoFill_names!L:L,"")=0,"",_xlfn.XLOOKUP(A265, AutoFill_names!B:B, AutoFill_names!L:L,""))</f>
        <v/>
      </c>
      <c r="L265" s="8"/>
      <c r="M265" s="8"/>
      <c r="N265" s="61" t="str">
        <f>IF(_xlfn.XLOOKUP(L265, AutoFill_classes!A:A, AutoFill_classes!B:B,"")=0,"",_xlfn.XLOOKUP(L265, AutoFill_classes!A:A, AutoFill_classes!B:B,""))</f>
        <v/>
      </c>
      <c r="O265" s="154"/>
      <c r="P265" s="11"/>
      <c r="Q265" s="11"/>
      <c r="R265" s="11"/>
      <c r="S265" s="8"/>
      <c r="T265" s="8"/>
      <c r="U265" s="8"/>
      <c r="V265" s="7"/>
      <c r="W265" s="7"/>
      <c r="X265" s="146"/>
      <c r="Y265" s="37"/>
      <c r="Z265" s="60" t="str">
        <f t="shared" si="540"/>
        <v/>
      </c>
      <c r="AA265" s="40"/>
      <c r="AB265" s="40"/>
      <c r="AC265" s="40"/>
      <c r="AD265" s="40"/>
      <c r="AE265" s="58" t="str">
        <f t="shared" si="541"/>
        <v/>
      </c>
      <c r="AF265" s="12"/>
      <c r="AG265" s="58" t="str">
        <f t="shared" si="542"/>
        <v/>
      </c>
      <c r="AH265" s="40"/>
      <c r="AI265" s="40"/>
      <c r="AJ265" s="58" t="str">
        <f t="shared" si="543"/>
        <v/>
      </c>
      <c r="AK265" s="12"/>
      <c r="AL265" s="58" t="str">
        <f t="shared" si="544"/>
        <v/>
      </c>
      <c r="AM265" s="40"/>
      <c r="AN265" s="40"/>
      <c r="AO265" s="58" t="str">
        <f t="shared" si="545"/>
        <v/>
      </c>
      <c r="AP265" s="58" t="str">
        <f t="shared" si="546"/>
        <v/>
      </c>
      <c r="AQ265" s="58" t="str">
        <f t="shared" si="547"/>
        <v/>
      </c>
      <c r="AR265" s="59" t="str">
        <f t="shared" si="548"/>
        <v/>
      </c>
      <c r="AS265" s="12"/>
      <c r="AT265" s="49"/>
      <c r="AU265" s="49"/>
      <c r="AV265" s="61" t="str">
        <f>IF(_xlfn.XLOOKUP(AT265, AutoFill_classes!$A:$A, AutoFill_classes!$B:$B,"")=0,"",_xlfn.XLOOKUP(AT265, AutoFill_classes!$A:$A, AutoFill_classes!$B:$B,""))</f>
        <v/>
      </c>
      <c r="AW265" s="154"/>
      <c r="AX265" s="12"/>
      <c r="AY265" s="13"/>
      <c r="AZ265" s="12"/>
      <c r="BA265" s="13"/>
      <c r="BB265" s="13"/>
      <c r="BC265" s="146"/>
      <c r="BD265" s="37"/>
      <c r="BE265" s="60" t="str">
        <f t="shared" si="549"/>
        <v/>
      </c>
      <c r="BF265" s="32"/>
      <c r="BG265" s="32"/>
      <c r="BH265" s="32"/>
      <c r="BI265" s="32"/>
      <c r="BJ265" s="58" t="str">
        <f t="shared" si="550"/>
        <v/>
      </c>
      <c r="BK265" s="20"/>
      <c r="BL265" s="58" t="str">
        <f t="shared" si="551"/>
        <v/>
      </c>
      <c r="BM265" s="32"/>
      <c r="BN265" s="32"/>
      <c r="BO265" s="58" t="str">
        <f t="shared" si="552"/>
        <v/>
      </c>
      <c r="BP265" s="20"/>
      <c r="BQ265" s="58" t="str">
        <f t="shared" si="553"/>
        <v/>
      </c>
      <c r="BR265" s="32"/>
      <c r="BS265" s="32"/>
      <c r="BT265" s="58" t="str">
        <f t="shared" si="554"/>
        <v/>
      </c>
      <c r="BU265" s="58" t="str">
        <f t="shared" si="555"/>
        <v/>
      </c>
      <c r="BV265" s="58" t="str">
        <f t="shared" si="556"/>
        <v/>
      </c>
      <c r="BW265" s="59" t="str">
        <f t="shared" si="557"/>
        <v/>
      </c>
      <c r="BX265" s="12"/>
      <c r="BY265" s="49"/>
      <c r="BZ265" s="49"/>
      <c r="CA265" s="61" t="str">
        <f>IF(_xlfn.XLOOKUP(BY265, AutoFill_classes!$A:$A, AutoFill_classes!$B:$B,"")=0,"",_xlfn.XLOOKUP(BY265, AutoFill_classes!$A:$A, AutoFill_classes!$B:$B,""))</f>
        <v/>
      </c>
      <c r="CB265" s="154"/>
      <c r="CC265" s="12"/>
      <c r="CD265" s="12"/>
      <c r="CE265" s="12"/>
      <c r="CF265" s="7"/>
      <c r="CG265" s="37"/>
      <c r="CH265" s="146"/>
      <c r="CI265" s="41"/>
      <c r="CJ265" s="60" t="str">
        <f t="shared" si="558"/>
        <v/>
      </c>
      <c r="CK265" s="32"/>
      <c r="CL265" s="32"/>
      <c r="CM265" s="32"/>
      <c r="CN265" s="32"/>
      <c r="CO265" s="58" t="str">
        <f t="shared" si="559"/>
        <v/>
      </c>
      <c r="CP265" s="20"/>
      <c r="CQ265" s="58" t="str">
        <f t="shared" si="560"/>
        <v/>
      </c>
      <c r="CR265" s="32"/>
      <c r="CS265" s="32"/>
      <c r="CT265" s="58" t="str">
        <f t="shared" si="561"/>
        <v/>
      </c>
      <c r="CU265" s="20"/>
      <c r="CV265" s="58" t="str">
        <f t="shared" si="562"/>
        <v/>
      </c>
      <c r="CW265" s="32"/>
      <c r="CX265" s="32"/>
      <c r="CY265" s="58" t="str">
        <f t="shared" si="563"/>
        <v/>
      </c>
      <c r="CZ265" s="58" t="str">
        <f t="shared" si="564"/>
        <v/>
      </c>
      <c r="DA265" s="58" t="str">
        <f t="shared" si="565"/>
        <v/>
      </c>
      <c r="DB265" s="59" t="str">
        <f t="shared" si="566"/>
        <v/>
      </c>
      <c r="DC265" s="12"/>
      <c r="DD265" s="146"/>
    </row>
    <row r="266" spans="1:108">
      <c r="A266" s="7"/>
      <c r="B266" s="23" t="str">
        <f>IF(_xlfn.XLOOKUP(A266, AutoFill_names!B:B, AutoFill_names!C:C,"")=0,"",_xlfn.XLOOKUP(A266, AutoFill_names!B:B, AutoFill_names!C:C,""))</f>
        <v/>
      </c>
      <c r="C266" s="23" t="str">
        <f>IF(_xlfn.XLOOKUP(A266, AutoFill_names!B:B, AutoFill_names!D:D,"")=0,"",_xlfn.XLOOKUP(A266, AutoFill_names!B:B, AutoFill_names!D:D,""))</f>
        <v/>
      </c>
      <c r="D266" s="23" t="str">
        <f>IF(_xlfn.XLOOKUP(A266, AutoFill_names!B:B, AutoFill_names!E:E,"")=0,"",_xlfn.XLOOKUP(A266, AutoFill_names!B:B, AutoFill_names!E:E,""))</f>
        <v/>
      </c>
      <c r="E266" s="23" t="str">
        <f>IF(_xlfn.XLOOKUP(A266, AutoFill_names!B:B, AutoFill_names!F:F,"")=0,"",_xlfn.XLOOKUP(A266, AutoFill_names!B:B, AutoFill_names!F:F,""))</f>
        <v/>
      </c>
      <c r="F266" s="4"/>
      <c r="G266" s="4"/>
      <c r="H266" s="4"/>
      <c r="I266" s="4"/>
      <c r="J266" s="23" t="str">
        <f>IF(_xlfn.XLOOKUP(A266, AutoFill_names!B:B, AutoFill_names!K:K,"")=0,"",_xlfn.XLOOKUP(A266, AutoFill_names!B:B, AutoFill_names!K:K,""))</f>
        <v/>
      </c>
      <c r="K266" s="23" t="str">
        <f>IF(_xlfn.XLOOKUP(A266, AutoFill_names!B:B, AutoFill_names!L:L,"")=0,"",_xlfn.XLOOKUP(A266, AutoFill_names!B:B, AutoFill_names!L:L,""))</f>
        <v/>
      </c>
      <c r="L266" s="8"/>
      <c r="M266" s="8"/>
      <c r="N266" s="61" t="str">
        <f>IF(_xlfn.XLOOKUP(L266, AutoFill_classes!A:A, AutoFill_classes!B:B,"")=0,"",_xlfn.XLOOKUP(L266, AutoFill_classes!A:A, AutoFill_classes!B:B,""))</f>
        <v/>
      </c>
      <c r="O266" s="154"/>
      <c r="P266" s="11"/>
      <c r="Q266" s="11"/>
      <c r="R266" s="11"/>
      <c r="S266" s="8"/>
      <c r="T266" s="8"/>
      <c r="U266" s="8"/>
      <c r="V266" s="7"/>
      <c r="W266" s="7"/>
      <c r="X266" s="146"/>
      <c r="Y266" s="37"/>
      <c r="Z266" s="60" t="str">
        <f t="shared" si="540"/>
        <v/>
      </c>
      <c r="AA266" s="40"/>
      <c r="AB266" s="40"/>
      <c r="AC266" s="40"/>
      <c r="AD266" s="40"/>
      <c r="AE266" s="58" t="str">
        <f t="shared" si="541"/>
        <v/>
      </c>
      <c r="AF266" s="12"/>
      <c r="AG266" s="58" t="str">
        <f t="shared" si="542"/>
        <v/>
      </c>
      <c r="AH266" s="40"/>
      <c r="AI266" s="40"/>
      <c r="AJ266" s="58" t="str">
        <f t="shared" si="543"/>
        <v/>
      </c>
      <c r="AK266" s="12"/>
      <c r="AL266" s="58" t="str">
        <f t="shared" si="544"/>
        <v/>
      </c>
      <c r="AM266" s="40"/>
      <c r="AN266" s="40"/>
      <c r="AO266" s="58" t="str">
        <f t="shared" si="545"/>
        <v/>
      </c>
      <c r="AP266" s="58" t="str">
        <f t="shared" si="546"/>
        <v/>
      </c>
      <c r="AQ266" s="58" t="str">
        <f t="shared" si="547"/>
        <v/>
      </c>
      <c r="AR266" s="59" t="str">
        <f t="shared" si="548"/>
        <v/>
      </c>
      <c r="AS266" s="12"/>
      <c r="AT266" s="49"/>
      <c r="AU266" s="49"/>
      <c r="AV266" s="61" t="str">
        <f>IF(_xlfn.XLOOKUP(AT266, AutoFill_classes!$A:$A, AutoFill_classes!$B:$B,"")=0,"",_xlfn.XLOOKUP(AT266, AutoFill_classes!$A:$A, AutoFill_classes!$B:$B,""))</f>
        <v/>
      </c>
      <c r="AW266" s="154"/>
      <c r="AX266" s="12"/>
      <c r="AY266" s="13"/>
      <c r="AZ266" s="12"/>
      <c r="BA266" s="13"/>
      <c r="BB266" s="13"/>
      <c r="BC266" s="146"/>
      <c r="BD266" s="37"/>
      <c r="BE266" s="60" t="str">
        <f t="shared" si="549"/>
        <v/>
      </c>
      <c r="BF266" s="32"/>
      <c r="BG266" s="32"/>
      <c r="BH266" s="32"/>
      <c r="BI266" s="32"/>
      <c r="BJ266" s="58" t="str">
        <f t="shared" si="550"/>
        <v/>
      </c>
      <c r="BK266" s="20"/>
      <c r="BL266" s="58" t="str">
        <f t="shared" si="551"/>
        <v/>
      </c>
      <c r="BM266" s="32"/>
      <c r="BN266" s="32"/>
      <c r="BO266" s="58" t="str">
        <f t="shared" si="552"/>
        <v/>
      </c>
      <c r="BP266" s="20"/>
      <c r="BQ266" s="58" t="str">
        <f t="shared" si="553"/>
        <v/>
      </c>
      <c r="BR266" s="32"/>
      <c r="BS266" s="32"/>
      <c r="BT266" s="58" t="str">
        <f t="shared" si="554"/>
        <v/>
      </c>
      <c r="BU266" s="58" t="str">
        <f t="shared" si="555"/>
        <v/>
      </c>
      <c r="BV266" s="58" t="str">
        <f t="shared" si="556"/>
        <v/>
      </c>
      <c r="BW266" s="59" t="str">
        <f t="shared" si="557"/>
        <v/>
      </c>
      <c r="BX266" s="12"/>
      <c r="BY266" s="49"/>
      <c r="BZ266" s="49"/>
      <c r="CA266" s="61" t="str">
        <f>IF(_xlfn.XLOOKUP(BY266, AutoFill_classes!$A:$A, AutoFill_classes!$B:$B,"")=0,"",_xlfn.XLOOKUP(BY266, AutoFill_classes!$A:$A, AutoFill_classes!$B:$B,""))</f>
        <v/>
      </c>
      <c r="CB266" s="154"/>
      <c r="CC266" s="12"/>
      <c r="CD266" s="12"/>
      <c r="CE266" s="12"/>
      <c r="CF266" s="7"/>
      <c r="CG266" s="37"/>
      <c r="CH266" s="146"/>
      <c r="CI266" s="41"/>
      <c r="CJ266" s="60" t="str">
        <f t="shared" si="558"/>
        <v/>
      </c>
      <c r="CK266" s="32"/>
      <c r="CL266" s="32"/>
      <c r="CM266" s="32"/>
      <c r="CN266" s="32"/>
      <c r="CO266" s="58" t="str">
        <f t="shared" si="559"/>
        <v/>
      </c>
      <c r="CP266" s="20"/>
      <c r="CQ266" s="58" t="str">
        <f t="shared" si="560"/>
        <v/>
      </c>
      <c r="CR266" s="32"/>
      <c r="CS266" s="32"/>
      <c r="CT266" s="58" t="str">
        <f t="shared" si="561"/>
        <v/>
      </c>
      <c r="CU266" s="20"/>
      <c r="CV266" s="58" t="str">
        <f t="shared" si="562"/>
        <v/>
      </c>
      <c r="CW266" s="32"/>
      <c r="CX266" s="32"/>
      <c r="CY266" s="58" t="str">
        <f t="shared" si="563"/>
        <v/>
      </c>
      <c r="CZ266" s="58" t="str">
        <f t="shared" si="564"/>
        <v/>
      </c>
      <c r="DA266" s="58" t="str">
        <f t="shared" si="565"/>
        <v/>
      </c>
      <c r="DB266" s="59" t="str">
        <f t="shared" si="566"/>
        <v/>
      </c>
      <c r="DC266" s="12"/>
      <c r="DD266" s="146"/>
    </row>
    <row r="267" spans="1:108">
      <c r="A267" s="7"/>
      <c r="B267" s="23" t="str">
        <f>IF(_xlfn.XLOOKUP(A267, AutoFill_names!B:B, AutoFill_names!C:C,"")=0,"",_xlfn.XLOOKUP(A267, AutoFill_names!B:B, AutoFill_names!C:C,""))</f>
        <v/>
      </c>
      <c r="C267" s="23" t="str">
        <f>IF(_xlfn.XLOOKUP(A267, AutoFill_names!B:B, AutoFill_names!D:D,"")=0,"",_xlfn.XLOOKUP(A267, AutoFill_names!B:B, AutoFill_names!D:D,""))</f>
        <v/>
      </c>
      <c r="D267" s="23" t="str">
        <f>IF(_xlfn.XLOOKUP(A267, AutoFill_names!B:B, AutoFill_names!E:E,"")=0,"",_xlfn.XLOOKUP(A267, AutoFill_names!B:B, AutoFill_names!E:E,""))</f>
        <v/>
      </c>
      <c r="E267" s="23" t="str">
        <f>IF(_xlfn.XLOOKUP(A267, AutoFill_names!B:B, AutoFill_names!F:F,"")=0,"",_xlfn.XLOOKUP(A267, AutoFill_names!B:B, AutoFill_names!F:F,""))</f>
        <v/>
      </c>
      <c r="F267" s="4"/>
      <c r="G267" s="4"/>
      <c r="H267" s="4"/>
      <c r="I267" s="4"/>
      <c r="J267" s="23" t="str">
        <f>IF(_xlfn.XLOOKUP(A267, AutoFill_names!B:B, AutoFill_names!K:K,"")=0,"",_xlfn.XLOOKUP(A267, AutoFill_names!B:B, AutoFill_names!K:K,""))</f>
        <v/>
      </c>
      <c r="K267" s="23" t="str">
        <f>IF(_xlfn.XLOOKUP(A267, AutoFill_names!B:B, AutoFill_names!L:L,"")=0,"",_xlfn.XLOOKUP(A267, AutoFill_names!B:B, AutoFill_names!L:L,""))</f>
        <v/>
      </c>
      <c r="L267" s="8"/>
      <c r="M267" s="8"/>
      <c r="N267" s="61" t="str">
        <f>IF(_xlfn.XLOOKUP(L267, AutoFill_classes!A:A, AutoFill_classes!B:B,"")=0,"",_xlfn.XLOOKUP(L267, AutoFill_classes!A:A, AutoFill_classes!B:B,""))</f>
        <v/>
      </c>
      <c r="O267" s="154"/>
      <c r="P267" s="11"/>
      <c r="Q267" s="11"/>
      <c r="R267" s="11"/>
      <c r="S267" s="8"/>
      <c r="T267" s="8"/>
      <c r="U267" s="8"/>
      <c r="V267" s="7"/>
      <c r="W267" s="7"/>
      <c r="X267" s="146"/>
      <c r="Y267" s="37"/>
      <c r="Z267" s="60" t="str">
        <f t="shared" si="540"/>
        <v/>
      </c>
      <c r="AA267" s="40"/>
      <c r="AB267" s="40"/>
      <c r="AC267" s="40"/>
      <c r="AD267" s="40"/>
      <c r="AE267" s="58" t="str">
        <f t="shared" si="541"/>
        <v/>
      </c>
      <c r="AF267" s="12"/>
      <c r="AG267" s="58" t="str">
        <f t="shared" si="542"/>
        <v/>
      </c>
      <c r="AH267" s="40"/>
      <c r="AI267" s="40"/>
      <c r="AJ267" s="58" t="str">
        <f t="shared" si="543"/>
        <v/>
      </c>
      <c r="AK267" s="12"/>
      <c r="AL267" s="58" t="str">
        <f t="shared" si="544"/>
        <v/>
      </c>
      <c r="AM267" s="40"/>
      <c r="AN267" s="40"/>
      <c r="AO267" s="58" t="str">
        <f t="shared" si="545"/>
        <v/>
      </c>
      <c r="AP267" s="58" t="str">
        <f t="shared" si="546"/>
        <v/>
      </c>
      <c r="AQ267" s="58" t="str">
        <f t="shared" si="547"/>
        <v/>
      </c>
      <c r="AR267" s="59" t="str">
        <f t="shared" si="548"/>
        <v/>
      </c>
      <c r="AS267" s="12"/>
      <c r="AT267" s="49"/>
      <c r="AU267" s="49"/>
      <c r="AV267" s="61" t="str">
        <f>IF(_xlfn.XLOOKUP(AT267, AutoFill_classes!$A:$A, AutoFill_classes!$B:$B,"")=0,"",_xlfn.XLOOKUP(AT267, AutoFill_classes!$A:$A, AutoFill_classes!$B:$B,""))</f>
        <v/>
      </c>
      <c r="AW267" s="154"/>
      <c r="AX267" s="12"/>
      <c r="AY267" s="13"/>
      <c r="AZ267" s="12"/>
      <c r="BA267" s="13"/>
      <c r="BB267" s="13"/>
      <c r="BC267" s="146"/>
      <c r="BD267" s="37"/>
      <c r="BE267" s="60" t="str">
        <f t="shared" si="549"/>
        <v/>
      </c>
      <c r="BF267" s="32"/>
      <c r="BG267" s="32"/>
      <c r="BH267" s="32"/>
      <c r="BI267" s="32"/>
      <c r="BJ267" s="58" t="str">
        <f t="shared" si="550"/>
        <v/>
      </c>
      <c r="BK267" s="20"/>
      <c r="BL267" s="58" t="str">
        <f t="shared" si="551"/>
        <v/>
      </c>
      <c r="BM267" s="32"/>
      <c r="BN267" s="32"/>
      <c r="BO267" s="58" t="str">
        <f t="shared" si="552"/>
        <v/>
      </c>
      <c r="BP267" s="20"/>
      <c r="BQ267" s="58" t="str">
        <f t="shared" si="553"/>
        <v/>
      </c>
      <c r="BR267" s="32"/>
      <c r="BS267" s="32"/>
      <c r="BT267" s="58" t="str">
        <f t="shared" si="554"/>
        <v/>
      </c>
      <c r="BU267" s="58" t="str">
        <f t="shared" si="555"/>
        <v/>
      </c>
      <c r="BV267" s="58" t="str">
        <f t="shared" si="556"/>
        <v/>
      </c>
      <c r="BW267" s="59" t="str">
        <f t="shared" si="557"/>
        <v/>
      </c>
      <c r="BX267" s="12"/>
      <c r="BY267" s="49"/>
      <c r="BZ267" s="49"/>
      <c r="CA267" s="61" t="str">
        <f>IF(_xlfn.XLOOKUP(BY267, AutoFill_classes!$A:$A, AutoFill_classes!$B:$B,"")=0,"",_xlfn.XLOOKUP(BY267, AutoFill_classes!$A:$A, AutoFill_classes!$B:$B,""))</f>
        <v/>
      </c>
      <c r="CB267" s="154"/>
      <c r="CC267" s="12"/>
      <c r="CD267" s="12"/>
      <c r="CE267" s="12"/>
      <c r="CF267" s="7"/>
      <c r="CG267" s="37"/>
      <c r="CH267" s="146"/>
      <c r="CI267" s="41"/>
      <c r="CJ267" s="60" t="str">
        <f t="shared" si="558"/>
        <v/>
      </c>
      <c r="CK267" s="32"/>
      <c r="CL267" s="32"/>
      <c r="CM267" s="32"/>
      <c r="CN267" s="32"/>
      <c r="CO267" s="58" t="str">
        <f t="shared" si="559"/>
        <v/>
      </c>
      <c r="CP267" s="20"/>
      <c r="CQ267" s="58" t="str">
        <f t="shared" si="560"/>
        <v/>
      </c>
      <c r="CR267" s="32"/>
      <c r="CS267" s="32"/>
      <c r="CT267" s="58" t="str">
        <f t="shared" si="561"/>
        <v/>
      </c>
      <c r="CU267" s="20"/>
      <c r="CV267" s="58" t="str">
        <f t="shared" si="562"/>
        <v/>
      </c>
      <c r="CW267" s="32"/>
      <c r="CX267" s="32"/>
      <c r="CY267" s="58" t="str">
        <f t="shared" si="563"/>
        <v/>
      </c>
      <c r="CZ267" s="58" t="str">
        <f t="shared" si="564"/>
        <v/>
      </c>
      <c r="DA267" s="58" t="str">
        <f t="shared" si="565"/>
        <v/>
      </c>
      <c r="DB267" s="59" t="str">
        <f t="shared" si="566"/>
        <v/>
      </c>
      <c r="DC267" s="12"/>
      <c r="DD267" s="146"/>
    </row>
    <row r="268" spans="1:108">
      <c r="A268" s="7"/>
      <c r="B268" s="23" t="str">
        <f>IF(_xlfn.XLOOKUP(A268, AutoFill_names!B:B, AutoFill_names!C:C,"")=0,"",_xlfn.XLOOKUP(A268, AutoFill_names!B:B, AutoFill_names!C:C,""))</f>
        <v/>
      </c>
      <c r="C268" s="23" t="str">
        <f>IF(_xlfn.XLOOKUP(A268, AutoFill_names!B:B, AutoFill_names!D:D,"")=0,"",_xlfn.XLOOKUP(A268, AutoFill_names!B:B, AutoFill_names!D:D,""))</f>
        <v/>
      </c>
      <c r="D268" s="23" t="str">
        <f>IF(_xlfn.XLOOKUP(A268, AutoFill_names!B:B, AutoFill_names!E:E,"")=0,"",_xlfn.XLOOKUP(A268, AutoFill_names!B:B, AutoFill_names!E:E,""))</f>
        <v/>
      </c>
      <c r="E268" s="23" t="str">
        <f>IF(_xlfn.XLOOKUP(A268, AutoFill_names!B:B, AutoFill_names!F:F,"")=0,"",_xlfn.XLOOKUP(A268, AutoFill_names!B:B, AutoFill_names!F:F,""))</f>
        <v/>
      </c>
      <c r="F268" s="4"/>
      <c r="G268" s="4"/>
      <c r="H268" s="4"/>
      <c r="I268" s="4"/>
      <c r="J268" s="23" t="str">
        <f>IF(_xlfn.XLOOKUP(A268, AutoFill_names!B:B, AutoFill_names!K:K,"")=0,"",_xlfn.XLOOKUP(A268, AutoFill_names!B:B, AutoFill_names!K:K,""))</f>
        <v/>
      </c>
      <c r="K268" s="23" t="str">
        <f>IF(_xlfn.XLOOKUP(A268, AutoFill_names!B:B, AutoFill_names!L:L,"")=0,"",_xlfn.XLOOKUP(A268, AutoFill_names!B:B, AutoFill_names!L:L,""))</f>
        <v/>
      </c>
      <c r="L268" s="8"/>
      <c r="M268" s="8"/>
      <c r="N268" s="61" t="str">
        <f>IF(_xlfn.XLOOKUP(L268, AutoFill_classes!A:A, AutoFill_classes!B:B,"")=0,"",_xlfn.XLOOKUP(L268, AutoFill_classes!A:A, AutoFill_classes!B:B,""))</f>
        <v/>
      </c>
      <c r="O268" s="154"/>
      <c r="P268" s="11"/>
      <c r="Q268" s="11"/>
      <c r="R268" s="11"/>
      <c r="S268" s="8"/>
      <c r="T268" s="8"/>
      <c r="U268" s="8"/>
      <c r="V268" s="7"/>
      <c r="W268" s="7"/>
      <c r="X268" s="146"/>
      <c r="Y268" s="37"/>
      <c r="Z268" s="60" t="str">
        <f t="shared" si="540"/>
        <v/>
      </c>
      <c r="AA268" s="40"/>
      <c r="AB268" s="40"/>
      <c r="AC268" s="40"/>
      <c r="AD268" s="40"/>
      <c r="AE268" s="58" t="str">
        <f t="shared" si="541"/>
        <v/>
      </c>
      <c r="AF268" s="12"/>
      <c r="AG268" s="58" t="str">
        <f t="shared" si="542"/>
        <v/>
      </c>
      <c r="AH268" s="40"/>
      <c r="AI268" s="40"/>
      <c r="AJ268" s="58" t="str">
        <f t="shared" si="543"/>
        <v/>
      </c>
      <c r="AK268" s="12"/>
      <c r="AL268" s="58" t="str">
        <f t="shared" si="544"/>
        <v/>
      </c>
      <c r="AM268" s="40"/>
      <c r="AN268" s="40"/>
      <c r="AO268" s="58" t="str">
        <f t="shared" si="545"/>
        <v/>
      </c>
      <c r="AP268" s="58" t="str">
        <f t="shared" si="546"/>
        <v/>
      </c>
      <c r="AQ268" s="58" t="str">
        <f t="shared" si="547"/>
        <v/>
      </c>
      <c r="AR268" s="59" t="str">
        <f t="shared" si="548"/>
        <v/>
      </c>
      <c r="AS268" s="12"/>
      <c r="AT268" s="49"/>
      <c r="AU268" s="49"/>
      <c r="AV268" s="61" t="str">
        <f>IF(_xlfn.XLOOKUP(AT268, AutoFill_classes!$A:$A, AutoFill_classes!$B:$B,"")=0,"",_xlfn.XLOOKUP(AT268, AutoFill_classes!$A:$A, AutoFill_classes!$B:$B,""))</f>
        <v/>
      </c>
      <c r="AW268" s="154"/>
      <c r="AX268" s="12"/>
      <c r="AY268" s="13"/>
      <c r="AZ268" s="12"/>
      <c r="BA268" s="13"/>
      <c r="BB268" s="13"/>
      <c r="BC268" s="146"/>
      <c r="BD268" s="37"/>
      <c r="BE268" s="60" t="str">
        <f t="shared" si="549"/>
        <v/>
      </c>
      <c r="BF268" s="32"/>
      <c r="BG268" s="32"/>
      <c r="BH268" s="32"/>
      <c r="BI268" s="32"/>
      <c r="BJ268" s="58" t="str">
        <f t="shared" si="550"/>
        <v/>
      </c>
      <c r="BK268" s="20"/>
      <c r="BL268" s="58" t="str">
        <f t="shared" si="551"/>
        <v/>
      </c>
      <c r="BM268" s="32"/>
      <c r="BN268" s="32"/>
      <c r="BO268" s="58" t="str">
        <f t="shared" si="552"/>
        <v/>
      </c>
      <c r="BP268" s="20"/>
      <c r="BQ268" s="58" t="str">
        <f t="shared" si="553"/>
        <v/>
      </c>
      <c r="BR268" s="32"/>
      <c r="BS268" s="32"/>
      <c r="BT268" s="58" t="str">
        <f t="shared" si="554"/>
        <v/>
      </c>
      <c r="BU268" s="58" t="str">
        <f t="shared" si="555"/>
        <v/>
      </c>
      <c r="BV268" s="58" t="str">
        <f t="shared" si="556"/>
        <v/>
      </c>
      <c r="BW268" s="59" t="str">
        <f t="shared" si="557"/>
        <v/>
      </c>
      <c r="BX268" s="12"/>
      <c r="BY268" s="49"/>
      <c r="BZ268" s="49"/>
      <c r="CA268" s="61" t="str">
        <f>IF(_xlfn.XLOOKUP(BY268, AutoFill_classes!$A:$A, AutoFill_classes!$B:$B,"")=0,"",_xlfn.XLOOKUP(BY268, AutoFill_classes!$A:$A, AutoFill_classes!$B:$B,""))</f>
        <v/>
      </c>
      <c r="CB268" s="154"/>
      <c r="CC268" s="12"/>
      <c r="CD268" s="12"/>
      <c r="CE268" s="12"/>
      <c r="CF268" s="7"/>
      <c r="CG268" s="37"/>
      <c r="CH268" s="146"/>
      <c r="CI268" s="41"/>
      <c r="CJ268" s="60" t="str">
        <f t="shared" si="558"/>
        <v/>
      </c>
      <c r="CK268" s="32"/>
      <c r="CL268" s="32"/>
      <c r="CM268" s="32"/>
      <c r="CN268" s="32"/>
      <c r="CO268" s="58" t="str">
        <f t="shared" si="559"/>
        <v/>
      </c>
      <c r="CP268" s="20"/>
      <c r="CQ268" s="58" t="str">
        <f t="shared" si="560"/>
        <v/>
      </c>
      <c r="CR268" s="32"/>
      <c r="CS268" s="32"/>
      <c r="CT268" s="58" t="str">
        <f t="shared" si="561"/>
        <v/>
      </c>
      <c r="CU268" s="20"/>
      <c r="CV268" s="58" t="str">
        <f t="shared" si="562"/>
        <v/>
      </c>
      <c r="CW268" s="32"/>
      <c r="CX268" s="32"/>
      <c r="CY268" s="58" t="str">
        <f t="shared" si="563"/>
        <v/>
      </c>
      <c r="CZ268" s="58" t="str">
        <f t="shared" si="564"/>
        <v/>
      </c>
      <c r="DA268" s="58" t="str">
        <f t="shared" si="565"/>
        <v/>
      </c>
      <c r="DB268" s="59" t="str">
        <f t="shared" si="566"/>
        <v/>
      </c>
      <c r="DC268" s="12"/>
      <c r="DD268" s="146"/>
    </row>
    <row r="269" spans="1:108">
      <c r="A269" s="7"/>
      <c r="B269" s="23" t="str">
        <f>IF(_xlfn.XLOOKUP(A269, AutoFill_names!B:B, AutoFill_names!C:C,"")=0,"",_xlfn.XLOOKUP(A269, AutoFill_names!B:B, AutoFill_names!C:C,""))</f>
        <v/>
      </c>
      <c r="C269" s="23" t="str">
        <f>IF(_xlfn.XLOOKUP(A269, AutoFill_names!B:B, AutoFill_names!D:D,"")=0,"",_xlfn.XLOOKUP(A269, AutoFill_names!B:B, AutoFill_names!D:D,""))</f>
        <v/>
      </c>
      <c r="D269" s="23" t="str">
        <f>IF(_xlfn.XLOOKUP(A269, AutoFill_names!B:B, AutoFill_names!E:E,"")=0,"",_xlfn.XLOOKUP(A269, AutoFill_names!B:B, AutoFill_names!E:E,""))</f>
        <v/>
      </c>
      <c r="E269" s="23" t="str">
        <f>IF(_xlfn.XLOOKUP(A269, AutoFill_names!B:B, AutoFill_names!F:F,"")=0,"",_xlfn.XLOOKUP(A269, AutoFill_names!B:B, AutoFill_names!F:F,""))</f>
        <v/>
      </c>
      <c r="F269" s="4"/>
      <c r="G269" s="4"/>
      <c r="H269" s="4"/>
      <c r="I269" s="4"/>
      <c r="J269" s="23" t="str">
        <f>IF(_xlfn.XLOOKUP(A269, AutoFill_names!B:B, AutoFill_names!K:K,"")=0,"",_xlfn.XLOOKUP(A269, AutoFill_names!B:B, AutoFill_names!K:K,""))</f>
        <v/>
      </c>
      <c r="K269" s="23" t="str">
        <f>IF(_xlfn.XLOOKUP(A269, AutoFill_names!B:B, AutoFill_names!L:L,"")=0,"",_xlfn.XLOOKUP(A269, AutoFill_names!B:B, AutoFill_names!L:L,""))</f>
        <v/>
      </c>
      <c r="L269" s="8"/>
      <c r="M269" s="8"/>
      <c r="N269" s="61" t="str">
        <f>IF(_xlfn.XLOOKUP(L269, AutoFill_classes!A:A, AutoFill_classes!B:B,"")=0,"",_xlfn.XLOOKUP(L269, AutoFill_classes!A:A, AutoFill_classes!B:B,""))</f>
        <v/>
      </c>
      <c r="O269" s="154"/>
      <c r="P269" s="11"/>
      <c r="Q269" s="11"/>
      <c r="R269" s="11"/>
      <c r="S269" s="8"/>
      <c r="T269" s="8"/>
      <c r="U269" s="8"/>
      <c r="V269" s="7"/>
      <c r="W269" s="7"/>
      <c r="X269" s="146"/>
      <c r="Y269" s="37"/>
      <c r="Z269" s="60" t="str">
        <f t="shared" si="540"/>
        <v/>
      </c>
      <c r="AA269" s="40"/>
      <c r="AB269" s="40"/>
      <c r="AC269" s="40"/>
      <c r="AD269" s="40"/>
      <c r="AE269" s="58" t="str">
        <f t="shared" si="541"/>
        <v/>
      </c>
      <c r="AF269" s="12"/>
      <c r="AG269" s="58" t="str">
        <f t="shared" si="542"/>
        <v/>
      </c>
      <c r="AH269" s="40"/>
      <c r="AI269" s="40"/>
      <c r="AJ269" s="58" t="str">
        <f t="shared" si="543"/>
        <v/>
      </c>
      <c r="AK269" s="12"/>
      <c r="AL269" s="58" t="str">
        <f t="shared" si="544"/>
        <v/>
      </c>
      <c r="AM269" s="40"/>
      <c r="AN269" s="40"/>
      <c r="AO269" s="58" t="str">
        <f t="shared" si="545"/>
        <v/>
      </c>
      <c r="AP269" s="58" t="str">
        <f t="shared" si="546"/>
        <v/>
      </c>
      <c r="AQ269" s="58" t="str">
        <f t="shared" si="547"/>
        <v/>
      </c>
      <c r="AR269" s="59" t="str">
        <f t="shared" si="548"/>
        <v/>
      </c>
      <c r="AS269" s="12"/>
      <c r="AT269" s="49"/>
      <c r="AU269" s="49"/>
      <c r="AV269" s="61" t="str">
        <f>IF(_xlfn.XLOOKUP(AT269, AutoFill_classes!$A:$A, AutoFill_classes!$B:$B,"")=0,"",_xlfn.XLOOKUP(AT269, AutoFill_classes!$A:$A, AutoFill_classes!$B:$B,""))</f>
        <v/>
      </c>
      <c r="AW269" s="154"/>
      <c r="AX269" s="12"/>
      <c r="AY269" s="13"/>
      <c r="AZ269" s="12"/>
      <c r="BA269" s="13"/>
      <c r="BB269" s="13"/>
      <c r="BC269" s="146"/>
      <c r="BD269" s="37"/>
      <c r="BE269" s="60" t="str">
        <f t="shared" si="549"/>
        <v/>
      </c>
      <c r="BF269" s="32"/>
      <c r="BG269" s="32"/>
      <c r="BH269" s="32"/>
      <c r="BI269" s="32"/>
      <c r="BJ269" s="58" t="str">
        <f t="shared" si="550"/>
        <v/>
      </c>
      <c r="BK269" s="20"/>
      <c r="BL269" s="58" t="str">
        <f t="shared" si="551"/>
        <v/>
      </c>
      <c r="BM269" s="32"/>
      <c r="BN269" s="32"/>
      <c r="BO269" s="58" t="str">
        <f t="shared" si="552"/>
        <v/>
      </c>
      <c r="BP269" s="20"/>
      <c r="BQ269" s="58" t="str">
        <f t="shared" si="553"/>
        <v/>
      </c>
      <c r="BR269" s="32"/>
      <c r="BS269" s="32"/>
      <c r="BT269" s="58" t="str">
        <f t="shared" si="554"/>
        <v/>
      </c>
      <c r="BU269" s="58" t="str">
        <f t="shared" si="555"/>
        <v/>
      </c>
      <c r="BV269" s="58" t="str">
        <f t="shared" si="556"/>
        <v/>
      </c>
      <c r="BW269" s="59" t="str">
        <f t="shared" si="557"/>
        <v/>
      </c>
      <c r="BX269" s="12"/>
      <c r="BY269" s="49"/>
      <c r="BZ269" s="49"/>
      <c r="CA269" s="61" t="str">
        <f>IF(_xlfn.XLOOKUP(BY269, AutoFill_classes!$A:$A, AutoFill_classes!$B:$B,"")=0,"",_xlfn.XLOOKUP(BY269, AutoFill_classes!$A:$A, AutoFill_classes!$B:$B,""))</f>
        <v/>
      </c>
      <c r="CB269" s="154"/>
      <c r="CC269" s="12"/>
      <c r="CD269" s="12"/>
      <c r="CE269" s="12"/>
      <c r="CF269" s="7"/>
      <c r="CG269" s="37"/>
      <c r="CH269" s="146"/>
      <c r="CI269" s="41"/>
      <c r="CJ269" s="60" t="str">
        <f t="shared" si="558"/>
        <v/>
      </c>
      <c r="CK269" s="32"/>
      <c r="CL269" s="32"/>
      <c r="CM269" s="32"/>
      <c r="CN269" s="32"/>
      <c r="CO269" s="58" t="str">
        <f t="shared" si="559"/>
        <v/>
      </c>
      <c r="CP269" s="20"/>
      <c r="CQ269" s="58" t="str">
        <f t="shared" si="560"/>
        <v/>
      </c>
      <c r="CR269" s="32"/>
      <c r="CS269" s="32"/>
      <c r="CT269" s="58" t="str">
        <f t="shared" si="561"/>
        <v/>
      </c>
      <c r="CU269" s="20"/>
      <c r="CV269" s="58" t="str">
        <f t="shared" si="562"/>
        <v/>
      </c>
      <c r="CW269" s="32"/>
      <c r="CX269" s="32"/>
      <c r="CY269" s="58" t="str">
        <f t="shared" si="563"/>
        <v/>
      </c>
      <c r="CZ269" s="58" t="str">
        <f t="shared" si="564"/>
        <v/>
      </c>
      <c r="DA269" s="58" t="str">
        <f t="shared" si="565"/>
        <v/>
      </c>
      <c r="DB269" s="59" t="str">
        <f t="shared" si="566"/>
        <v/>
      </c>
      <c r="DC269" s="12"/>
      <c r="DD269" s="146"/>
    </row>
    <row r="270" spans="1:108">
      <c r="A270" s="7"/>
      <c r="B270" s="23" t="str">
        <f>IF(_xlfn.XLOOKUP(A270, AutoFill_names!B:B, AutoFill_names!C:C,"")=0,"",_xlfn.XLOOKUP(A270, AutoFill_names!B:B, AutoFill_names!C:C,""))</f>
        <v/>
      </c>
      <c r="C270" s="23" t="str">
        <f>IF(_xlfn.XLOOKUP(A270, AutoFill_names!B:B, AutoFill_names!D:D,"")=0,"",_xlfn.XLOOKUP(A270, AutoFill_names!B:B, AutoFill_names!D:D,""))</f>
        <v/>
      </c>
      <c r="D270" s="23" t="str">
        <f>IF(_xlfn.XLOOKUP(A270, AutoFill_names!B:B, AutoFill_names!E:E,"")=0,"",_xlfn.XLOOKUP(A270, AutoFill_names!B:B, AutoFill_names!E:E,""))</f>
        <v/>
      </c>
      <c r="E270" s="23" t="str">
        <f>IF(_xlfn.XLOOKUP(A270, AutoFill_names!B:B, AutoFill_names!F:F,"")=0,"",_xlfn.XLOOKUP(A270, AutoFill_names!B:B, AutoFill_names!F:F,""))</f>
        <v/>
      </c>
      <c r="F270" s="4"/>
      <c r="G270" s="4"/>
      <c r="H270" s="4"/>
      <c r="I270" s="4"/>
      <c r="J270" s="23" t="str">
        <f>IF(_xlfn.XLOOKUP(A270, AutoFill_names!B:B, AutoFill_names!K:K,"")=0,"",_xlfn.XLOOKUP(A270, AutoFill_names!B:B, AutoFill_names!K:K,""))</f>
        <v/>
      </c>
      <c r="K270" s="23" t="str">
        <f>IF(_xlfn.XLOOKUP(A270, AutoFill_names!B:B, AutoFill_names!L:L,"")=0,"",_xlfn.XLOOKUP(A270, AutoFill_names!B:B, AutoFill_names!L:L,""))</f>
        <v/>
      </c>
      <c r="L270" s="8"/>
      <c r="M270" s="8"/>
      <c r="N270" s="61" t="str">
        <f>IF(_xlfn.XLOOKUP(L270, AutoFill_classes!A:A, AutoFill_classes!B:B,"")=0,"",_xlfn.XLOOKUP(L270, AutoFill_classes!A:A, AutoFill_classes!B:B,""))</f>
        <v/>
      </c>
      <c r="O270" s="154"/>
      <c r="P270" s="11"/>
      <c r="Q270" s="11"/>
      <c r="R270" s="11"/>
      <c r="S270" s="8"/>
      <c r="T270" s="8"/>
      <c r="U270" s="8"/>
      <c r="V270" s="7"/>
      <c r="W270" s="7"/>
      <c r="X270" s="146"/>
      <c r="Y270" s="37"/>
      <c r="Z270" s="60" t="str">
        <f t="shared" si="540"/>
        <v/>
      </c>
      <c r="AA270" s="40"/>
      <c r="AB270" s="40"/>
      <c r="AC270" s="40"/>
      <c r="AD270" s="40"/>
      <c r="AE270" s="58" t="str">
        <f t="shared" si="541"/>
        <v/>
      </c>
      <c r="AF270" s="12"/>
      <c r="AG270" s="58" t="str">
        <f t="shared" si="542"/>
        <v/>
      </c>
      <c r="AH270" s="40"/>
      <c r="AI270" s="40"/>
      <c r="AJ270" s="58" t="str">
        <f t="shared" si="543"/>
        <v/>
      </c>
      <c r="AK270" s="12"/>
      <c r="AL270" s="58" t="str">
        <f t="shared" si="544"/>
        <v/>
      </c>
      <c r="AM270" s="40"/>
      <c r="AN270" s="40"/>
      <c r="AO270" s="58" t="str">
        <f t="shared" si="545"/>
        <v/>
      </c>
      <c r="AP270" s="58" t="str">
        <f t="shared" si="546"/>
        <v/>
      </c>
      <c r="AQ270" s="58" t="str">
        <f t="shared" si="547"/>
        <v/>
      </c>
      <c r="AR270" s="59" t="str">
        <f t="shared" si="548"/>
        <v/>
      </c>
      <c r="AS270" s="12"/>
      <c r="AT270" s="49"/>
      <c r="AU270" s="49"/>
      <c r="AV270" s="61" t="str">
        <f>IF(_xlfn.XLOOKUP(AT270, AutoFill_classes!$A:$A, AutoFill_classes!$B:$B,"")=0,"",_xlfn.XLOOKUP(AT270, AutoFill_classes!$A:$A, AutoFill_classes!$B:$B,""))</f>
        <v/>
      </c>
      <c r="AW270" s="154"/>
      <c r="AX270" s="12"/>
      <c r="AY270" s="13"/>
      <c r="AZ270" s="12"/>
      <c r="BA270" s="13"/>
      <c r="BB270" s="13"/>
      <c r="BC270" s="146"/>
      <c r="BD270" s="37"/>
      <c r="BE270" s="60" t="str">
        <f t="shared" si="549"/>
        <v/>
      </c>
      <c r="BF270" s="32"/>
      <c r="BG270" s="32"/>
      <c r="BH270" s="32"/>
      <c r="BI270" s="32"/>
      <c r="BJ270" s="58" t="str">
        <f t="shared" si="550"/>
        <v/>
      </c>
      <c r="BK270" s="20"/>
      <c r="BL270" s="58" t="str">
        <f t="shared" si="551"/>
        <v/>
      </c>
      <c r="BM270" s="32"/>
      <c r="BN270" s="32"/>
      <c r="BO270" s="58" t="str">
        <f t="shared" si="552"/>
        <v/>
      </c>
      <c r="BP270" s="20"/>
      <c r="BQ270" s="58" t="str">
        <f t="shared" si="553"/>
        <v/>
      </c>
      <c r="BR270" s="32"/>
      <c r="BS270" s="32"/>
      <c r="BT270" s="58" t="str">
        <f t="shared" si="554"/>
        <v/>
      </c>
      <c r="BU270" s="58" t="str">
        <f t="shared" si="555"/>
        <v/>
      </c>
      <c r="BV270" s="58" t="str">
        <f t="shared" si="556"/>
        <v/>
      </c>
      <c r="BW270" s="59" t="str">
        <f t="shared" si="557"/>
        <v/>
      </c>
      <c r="BX270" s="12"/>
      <c r="BY270" s="49"/>
      <c r="BZ270" s="49"/>
      <c r="CA270" s="61" t="str">
        <f>IF(_xlfn.XLOOKUP(BY270, AutoFill_classes!$A:$A, AutoFill_classes!$B:$B,"")=0,"",_xlfn.XLOOKUP(BY270, AutoFill_classes!$A:$A, AutoFill_classes!$B:$B,""))</f>
        <v/>
      </c>
      <c r="CB270" s="154"/>
      <c r="CC270" s="12"/>
      <c r="CD270" s="12"/>
      <c r="CE270" s="12"/>
      <c r="CF270" s="7"/>
      <c r="CG270" s="37"/>
      <c r="CH270" s="146"/>
      <c r="CI270" s="41"/>
      <c r="CJ270" s="60" t="str">
        <f t="shared" si="558"/>
        <v/>
      </c>
      <c r="CK270" s="32"/>
      <c r="CL270" s="32"/>
      <c r="CM270" s="32"/>
      <c r="CN270" s="32"/>
      <c r="CO270" s="58" t="str">
        <f t="shared" si="559"/>
        <v/>
      </c>
      <c r="CP270" s="20"/>
      <c r="CQ270" s="58" t="str">
        <f t="shared" si="560"/>
        <v/>
      </c>
      <c r="CR270" s="32"/>
      <c r="CS270" s="32"/>
      <c r="CT270" s="58" t="str">
        <f t="shared" si="561"/>
        <v/>
      </c>
      <c r="CU270" s="20"/>
      <c r="CV270" s="58" t="str">
        <f t="shared" si="562"/>
        <v/>
      </c>
      <c r="CW270" s="32"/>
      <c r="CX270" s="32"/>
      <c r="CY270" s="58" t="str">
        <f t="shared" si="563"/>
        <v/>
      </c>
      <c r="CZ270" s="58" t="str">
        <f t="shared" si="564"/>
        <v/>
      </c>
      <c r="DA270" s="58" t="str">
        <f t="shared" si="565"/>
        <v/>
      </c>
      <c r="DB270" s="59" t="str">
        <f t="shared" si="566"/>
        <v/>
      </c>
      <c r="DC270" s="12"/>
      <c r="DD270" s="146"/>
    </row>
    <row r="271" spans="1:108">
      <c r="A271" s="7"/>
      <c r="B271" s="23" t="str">
        <f>IF(_xlfn.XLOOKUP(A271, AutoFill_names!B:B, AutoFill_names!C:C,"")=0,"",_xlfn.XLOOKUP(A271, AutoFill_names!B:B, AutoFill_names!C:C,""))</f>
        <v/>
      </c>
      <c r="C271" s="23" t="str">
        <f>IF(_xlfn.XLOOKUP(A271, AutoFill_names!B:B, AutoFill_names!D:D,"")=0,"",_xlfn.XLOOKUP(A271, AutoFill_names!B:B, AutoFill_names!D:D,""))</f>
        <v/>
      </c>
      <c r="D271" s="23" t="str">
        <f>IF(_xlfn.XLOOKUP(A271, AutoFill_names!B:B, AutoFill_names!E:E,"")=0,"",_xlfn.XLOOKUP(A271, AutoFill_names!B:B, AutoFill_names!E:E,""))</f>
        <v/>
      </c>
      <c r="E271" s="23" t="str">
        <f>IF(_xlfn.XLOOKUP(A271, AutoFill_names!B:B, AutoFill_names!F:F,"")=0,"",_xlfn.XLOOKUP(A271, AutoFill_names!B:B, AutoFill_names!F:F,""))</f>
        <v/>
      </c>
      <c r="F271" s="4"/>
      <c r="G271" s="4"/>
      <c r="H271" s="4"/>
      <c r="I271" s="4"/>
      <c r="J271" s="23" t="str">
        <f>IF(_xlfn.XLOOKUP(A271, AutoFill_names!B:B, AutoFill_names!K:K,"")=0,"",_xlfn.XLOOKUP(A271, AutoFill_names!B:B, AutoFill_names!K:K,""))</f>
        <v/>
      </c>
      <c r="K271" s="23" t="str">
        <f>IF(_xlfn.XLOOKUP(A271, AutoFill_names!B:B, AutoFill_names!L:L,"")=0,"",_xlfn.XLOOKUP(A271, AutoFill_names!B:B, AutoFill_names!L:L,""))</f>
        <v/>
      </c>
      <c r="L271" s="8"/>
      <c r="M271" s="8"/>
      <c r="N271" s="61" t="str">
        <f>IF(_xlfn.XLOOKUP(L271, AutoFill_classes!A:A, AutoFill_classes!B:B,"")=0,"",_xlfn.XLOOKUP(L271, AutoFill_classes!A:A, AutoFill_classes!B:B,""))</f>
        <v/>
      </c>
      <c r="O271" s="154"/>
      <c r="P271" s="11"/>
      <c r="Q271" s="11"/>
      <c r="R271" s="11"/>
      <c r="S271" s="8"/>
      <c r="T271" s="8"/>
      <c r="U271" s="8"/>
      <c r="V271" s="7"/>
      <c r="W271" s="7"/>
      <c r="X271" s="146"/>
      <c r="Y271" s="37"/>
      <c r="Z271" s="60" t="str">
        <f t="shared" si="540"/>
        <v/>
      </c>
      <c r="AA271" s="40"/>
      <c r="AB271" s="40"/>
      <c r="AC271" s="40"/>
      <c r="AD271" s="40"/>
      <c r="AE271" s="58" t="str">
        <f t="shared" si="541"/>
        <v/>
      </c>
      <c r="AF271" s="12"/>
      <c r="AG271" s="58" t="str">
        <f t="shared" si="542"/>
        <v/>
      </c>
      <c r="AH271" s="40"/>
      <c r="AI271" s="40"/>
      <c r="AJ271" s="58" t="str">
        <f t="shared" si="543"/>
        <v/>
      </c>
      <c r="AK271" s="12"/>
      <c r="AL271" s="58" t="str">
        <f t="shared" si="544"/>
        <v/>
      </c>
      <c r="AM271" s="40"/>
      <c r="AN271" s="40"/>
      <c r="AO271" s="58" t="str">
        <f t="shared" si="545"/>
        <v/>
      </c>
      <c r="AP271" s="58" t="str">
        <f t="shared" si="546"/>
        <v/>
      </c>
      <c r="AQ271" s="58" t="str">
        <f t="shared" si="547"/>
        <v/>
      </c>
      <c r="AR271" s="59" t="str">
        <f t="shared" si="548"/>
        <v/>
      </c>
      <c r="AS271" s="12"/>
      <c r="AT271" s="49"/>
      <c r="AU271" s="49"/>
      <c r="AV271" s="61" t="str">
        <f>IF(_xlfn.XLOOKUP(AT271, AutoFill_classes!$A:$A, AutoFill_classes!$B:$B,"")=0,"",_xlfn.XLOOKUP(AT271, AutoFill_classes!$A:$A, AutoFill_classes!$B:$B,""))</f>
        <v/>
      </c>
      <c r="AW271" s="154"/>
      <c r="AX271" s="12"/>
      <c r="AY271" s="13"/>
      <c r="AZ271" s="12"/>
      <c r="BA271" s="13"/>
      <c r="BB271" s="13"/>
      <c r="BC271" s="146"/>
      <c r="BD271" s="37"/>
      <c r="BE271" s="60" t="str">
        <f t="shared" si="549"/>
        <v/>
      </c>
      <c r="BF271" s="32"/>
      <c r="BG271" s="32"/>
      <c r="BH271" s="32"/>
      <c r="BI271" s="32"/>
      <c r="BJ271" s="58" t="str">
        <f t="shared" si="550"/>
        <v/>
      </c>
      <c r="BK271" s="20"/>
      <c r="BL271" s="58" t="str">
        <f t="shared" si="551"/>
        <v/>
      </c>
      <c r="BM271" s="32"/>
      <c r="BN271" s="32"/>
      <c r="BO271" s="58" t="str">
        <f t="shared" si="552"/>
        <v/>
      </c>
      <c r="BP271" s="20"/>
      <c r="BQ271" s="58" t="str">
        <f t="shared" si="553"/>
        <v/>
      </c>
      <c r="BR271" s="32"/>
      <c r="BS271" s="32"/>
      <c r="BT271" s="58" t="str">
        <f t="shared" si="554"/>
        <v/>
      </c>
      <c r="BU271" s="58" t="str">
        <f t="shared" si="555"/>
        <v/>
      </c>
      <c r="BV271" s="58" t="str">
        <f t="shared" si="556"/>
        <v/>
      </c>
      <c r="BW271" s="59" t="str">
        <f t="shared" si="557"/>
        <v/>
      </c>
      <c r="BX271" s="12"/>
      <c r="BY271" s="49"/>
      <c r="BZ271" s="49"/>
      <c r="CA271" s="61" t="str">
        <f>IF(_xlfn.XLOOKUP(BY271, AutoFill_classes!$A:$A, AutoFill_classes!$B:$B,"")=0,"",_xlfn.XLOOKUP(BY271, AutoFill_classes!$A:$A, AutoFill_classes!$B:$B,""))</f>
        <v/>
      </c>
      <c r="CB271" s="154"/>
      <c r="CC271" s="12"/>
      <c r="CD271" s="12"/>
      <c r="CE271" s="12"/>
      <c r="CF271" s="7"/>
      <c r="CG271" s="37"/>
      <c r="CH271" s="146"/>
      <c r="CI271" s="41"/>
      <c r="CJ271" s="60" t="str">
        <f t="shared" si="558"/>
        <v/>
      </c>
      <c r="CK271" s="32"/>
      <c r="CL271" s="32"/>
      <c r="CM271" s="32"/>
      <c r="CN271" s="32"/>
      <c r="CO271" s="58" t="str">
        <f t="shared" si="559"/>
        <v/>
      </c>
      <c r="CP271" s="20"/>
      <c r="CQ271" s="58" t="str">
        <f t="shared" si="560"/>
        <v/>
      </c>
      <c r="CR271" s="32"/>
      <c r="CS271" s="32"/>
      <c r="CT271" s="58" t="str">
        <f t="shared" si="561"/>
        <v/>
      </c>
      <c r="CU271" s="20"/>
      <c r="CV271" s="58" t="str">
        <f t="shared" si="562"/>
        <v/>
      </c>
      <c r="CW271" s="32"/>
      <c r="CX271" s="32"/>
      <c r="CY271" s="58" t="str">
        <f t="shared" si="563"/>
        <v/>
      </c>
      <c r="CZ271" s="58" t="str">
        <f t="shared" si="564"/>
        <v/>
      </c>
      <c r="DA271" s="58" t="str">
        <f t="shared" si="565"/>
        <v/>
      </c>
      <c r="DB271" s="59" t="str">
        <f t="shared" si="566"/>
        <v/>
      </c>
      <c r="DC271" s="12"/>
      <c r="DD271" s="146"/>
    </row>
    <row r="272" spans="1:108">
      <c r="A272" s="7"/>
      <c r="B272" s="23" t="str">
        <f>IF(_xlfn.XLOOKUP(A272, AutoFill_names!B:B, AutoFill_names!C:C,"")=0,"",_xlfn.XLOOKUP(A272, AutoFill_names!B:B, AutoFill_names!C:C,""))</f>
        <v/>
      </c>
      <c r="C272" s="23" t="str">
        <f>IF(_xlfn.XLOOKUP(A272, AutoFill_names!B:B, AutoFill_names!D:D,"")=0,"",_xlfn.XLOOKUP(A272, AutoFill_names!B:B, AutoFill_names!D:D,""))</f>
        <v/>
      </c>
      <c r="D272" s="23" t="str">
        <f>IF(_xlfn.XLOOKUP(A272, AutoFill_names!B:B, AutoFill_names!E:E,"")=0,"",_xlfn.XLOOKUP(A272, AutoFill_names!B:B, AutoFill_names!E:E,""))</f>
        <v/>
      </c>
      <c r="E272" s="23" t="str">
        <f>IF(_xlfn.XLOOKUP(A272, AutoFill_names!B:B, AutoFill_names!F:F,"")=0,"",_xlfn.XLOOKUP(A272, AutoFill_names!B:B, AutoFill_names!F:F,""))</f>
        <v/>
      </c>
      <c r="F272" s="4"/>
      <c r="G272" s="4"/>
      <c r="H272" s="4"/>
      <c r="I272" s="4"/>
      <c r="J272" s="23" t="str">
        <f>IF(_xlfn.XLOOKUP(A272, AutoFill_names!B:B, AutoFill_names!K:K,"")=0,"",_xlfn.XLOOKUP(A272, AutoFill_names!B:B, AutoFill_names!K:K,""))</f>
        <v/>
      </c>
      <c r="K272" s="23" t="str">
        <f>IF(_xlfn.XLOOKUP(A272, AutoFill_names!B:B, AutoFill_names!L:L,"")=0,"",_xlfn.XLOOKUP(A272, AutoFill_names!B:B, AutoFill_names!L:L,""))</f>
        <v/>
      </c>
      <c r="L272" s="8"/>
      <c r="M272" s="8"/>
      <c r="N272" s="61" t="str">
        <f>IF(_xlfn.XLOOKUP(L272, AutoFill_classes!A:A, AutoFill_classes!B:B,"")=0,"",_xlfn.XLOOKUP(L272, AutoFill_classes!A:A, AutoFill_classes!B:B,""))</f>
        <v/>
      </c>
      <c r="O272" s="154"/>
      <c r="P272" s="11"/>
      <c r="Q272" s="11"/>
      <c r="R272" s="11"/>
      <c r="S272" s="8"/>
      <c r="T272" s="8"/>
      <c r="U272" s="8"/>
      <c r="V272" s="7"/>
      <c r="W272" s="7"/>
      <c r="X272" s="146"/>
      <c r="Y272" s="37"/>
      <c r="Z272" s="60" t="str">
        <f t="shared" si="540"/>
        <v/>
      </c>
      <c r="AA272" s="40"/>
      <c r="AB272" s="40"/>
      <c r="AC272" s="40"/>
      <c r="AD272" s="40"/>
      <c r="AE272" s="58" t="str">
        <f t="shared" si="541"/>
        <v/>
      </c>
      <c r="AF272" s="12"/>
      <c r="AG272" s="58" t="str">
        <f t="shared" si="542"/>
        <v/>
      </c>
      <c r="AH272" s="40"/>
      <c r="AI272" s="40"/>
      <c r="AJ272" s="58" t="str">
        <f t="shared" si="543"/>
        <v/>
      </c>
      <c r="AK272" s="12"/>
      <c r="AL272" s="58" t="str">
        <f t="shared" si="544"/>
        <v/>
      </c>
      <c r="AM272" s="40"/>
      <c r="AN272" s="40"/>
      <c r="AO272" s="58" t="str">
        <f t="shared" si="545"/>
        <v/>
      </c>
      <c r="AP272" s="58" t="str">
        <f t="shared" si="546"/>
        <v/>
      </c>
      <c r="AQ272" s="58" t="str">
        <f t="shared" si="547"/>
        <v/>
      </c>
      <c r="AR272" s="59" t="str">
        <f t="shared" si="548"/>
        <v/>
      </c>
      <c r="AS272" s="12"/>
      <c r="AT272" s="49"/>
      <c r="AU272" s="49"/>
      <c r="AV272" s="61" t="str">
        <f>IF(_xlfn.XLOOKUP(AT272, AutoFill_classes!$A:$A, AutoFill_classes!$B:$B,"")=0,"",_xlfn.XLOOKUP(AT272, AutoFill_classes!$A:$A, AutoFill_classes!$B:$B,""))</f>
        <v/>
      </c>
      <c r="AW272" s="154"/>
      <c r="AX272" s="12"/>
      <c r="AY272" s="13"/>
      <c r="AZ272" s="12"/>
      <c r="BA272" s="13"/>
      <c r="BB272" s="13"/>
      <c r="BC272" s="146"/>
      <c r="BD272" s="37"/>
      <c r="BE272" s="60" t="str">
        <f t="shared" si="549"/>
        <v/>
      </c>
      <c r="BF272" s="32"/>
      <c r="BG272" s="32"/>
      <c r="BH272" s="32"/>
      <c r="BI272" s="32"/>
      <c r="BJ272" s="58" t="str">
        <f t="shared" si="550"/>
        <v/>
      </c>
      <c r="BK272" s="20"/>
      <c r="BL272" s="58" t="str">
        <f t="shared" si="551"/>
        <v/>
      </c>
      <c r="BM272" s="32"/>
      <c r="BN272" s="32"/>
      <c r="BO272" s="58" t="str">
        <f t="shared" si="552"/>
        <v/>
      </c>
      <c r="BP272" s="20"/>
      <c r="BQ272" s="58" t="str">
        <f t="shared" si="553"/>
        <v/>
      </c>
      <c r="BR272" s="32"/>
      <c r="BS272" s="32"/>
      <c r="BT272" s="58" t="str">
        <f t="shared" si="554"/>
        <v/>
      </c>
      <c r="BU272" s="58" t="str">
        <f t="shared" si="555"/>
        <v/>
      </c>
      <c r="BV272" s="58" t="str">
        <f t="shared" si="556"/>
        <v/>
      </c>
      <c r="BW272" s="59" t="str">
        <f t="shared" si="557"/>
        <v/>
      </c>
      <c r="BX272" s="12"/>
      <c r="BY272" s="49"/>
      <c r="BZ272" s="49"/>
      <c r="CA272" s="61" t="str">
        <f>IF(_xlfn.XLOOKUP(BY272, AutoFill_classes!$A:$A, AutoFill_classes!$B:$B,"")=0,"",_xlfn.XLOOKUP(BY272, AutoFill_classes!$A:$A, AutoFill_classes!$B:$B,""))</f>
        <v/>
      </c>
      <c r="CB272" s="154"/>
      <c r="CC272" s="12"/>
      <c r="CD272" s="12"/>
      <c r="CE272" s="12"/>
      <c r="CF272" s="7"/>
      <c r="CG272" s="37"/>
      <c r="CH272" s="146"/>
      <c r="CI272" s="41"/>
      <c r="CJ272" s="60" t="str">
        <f t="shared" si="558"/>
        <v/>
      </c>
      <c r="CK272" s="32"/>
      <c r="CL272" s="32"/>
      <c r="CM272" s="32"/>
      <c r="CN272" s="32"/>
      <c r="CO272" s="58" t="str">
        <f t="shared" si="559"/>
        <v/>
      </c>
      <c r="CP272" s="20"/>
      <c r="CQ272" s="58" t="str">
        <f t="shared" si="560"/>
        <v/>
      </c>
      <c r="CR272" s="32"/>
      <c r="CS272" s="32"/>
      <c r="CT272" s="58" t="str">
        <f t="shared" si="561"/>
        <v/>
      </c>
      <c r="CU272" s="20"/>
      <c r="CV272" s="58" t="str">
        <f t="shared" si="562"/>
        <v/>
      </c>
      <c r="CW272" s="32"/>
      <c r="CX272" s="32"/>
      <c r="CY272" s="58" t="str">
        <f t="shared" si="563"/>
        <v/>
      </c>
      <c r="CZ272" s="58" t="str">
        <f t="shared" si="564"/>
        <v/>
      </c>
      <c r="DA272" s="58" t="str">
        <f t="shared" si="565"/>
        <v/>
      </c>
      <c r="DB272" s="59" t="str">
        <f t="shared" si="566"/>
        <v/>
      </c>
      <c r="DC272" s="12"/>
      <c r="DD272" s="146"/>
    </row>
  </sheetData>
  <sheetProtection formatColumns="0" formatRows="0"/>
  <autoFilter ref="A1:DE272" xr:uid="{00000000-0009-0000-0000-000000000000}"/>
  <phoneticPr fontId="25" type="noConversion"/>
  <pageMargins left="0.7" right="0.7" top="0.75" bottom="0.75" header="0.3" footer="0.3"/>
  <pageSetup orientation="portrait" horizontalDpi="0" verticalDpi="0"/>
  <extLst>
    <ext xmlns:x14="http://schemas.microsoft.com/office/spreadsheetml/2009/9/main" uri="{CCE6A557-97BC-4b89-ADB6-D9C93CAAB3DF}">
      <x14:dataValidations xmlns:xm="http://schemas.microsoft.com/office/excel/2006/main" count="33">
        <x14:dataValidation type="list" allowBlank="1" xr:uid="{00000000-0002-0000-0000-00000B000000}">
          <x14:formula1>
            <xm:f>DropDown!$BZ$2:$BZ$5</xm:f>
          </x14:formula1>
          <xm:sqref>CE93 CC2:CC92 S2:S4999 CC94:CC4999 AX2:AX4999</xm:sqref>
        </x14:dataValidation>
        <x14:dataValidation type="list" allowBlank="1" xr:uid="{00000000-0002-0000-0000-000000000000}">
          <x14:formula1>
            <xm:f>DropDown!$A$2:$A$189</xm:f>
          </x14:formula1>
          <xm:sqref>A2:A4999</xm:sqref>
        </x14:dataValidation>
        <x14:dataValidation type="list" allowBlank="1" xr:uid="{00000000-0002-0000-0000-000001000000}">
          <x14:formula1>
            <xm:f>DropDown!$E$2:$E$4</xm:f>
          </x14:formula1>
          <xm:sqref>E2:E4999</xm:sqref>
        </x14:dataValidation>
        <x14:dataValidation type="list" allowBlank="1" xr:uid="{00000000-0002-0000-0000-000002000000}">
          <x14:formula1>
            <xm:f>DropDown!$F$2:$F$11</xm:f>
          </x14:formula1>
          <xm:sqref>F2:F4999</xm:sqref>
        </x14:dataValidation>
        <x14:dataValidation type="list" allowBlank="1" xr:uid="{00000000-0002-0000-0000-000003000000}">
          <x14:formula1>
            <xm:f>DropDown!$G$2:$G$4</xm:f>
          </x14:formula1>
          <xm:sqref>G2:G4999</xm:sqref>
        </x14:dataValidation>
        <x14:dataValidation type="list" allowBlank="1" xr:uid="{00000000-0002-0000-0000-000004000000}">
          <x14:formula1>
            <xm:f>DropDown!$H$2:$H$3</xm:f>
          </x14:formula1>
          <xm:sqref>H2:H4999</xm:sqref>
        </x14:dataValidation>
        <x14:dataValidation type="list" allowBlank="1" xr:uid="{00000000-0002-0000-0000-000005000000}">
          <x14:formula1>
            <xm:f>DropDown!$I$2:$I$3</xm:f>
          </x14:formula1>
          <xm:sqref>I2:I4999</xm:sqref>
        </x14:dataValidation>
        <x14:dataValidation type="list" allowBlank="1" xr:uid="{00000000-0002-0000-0000-000006000000}">
          <x14:formula1>
            <xm:f>DropDown!$L$2:$L$373</xm:f>
          </x14:formula1>
          <xm:sqref>L2:L4999</xm:sqref>
        </x14:dataValidation>
        <x14:dataValidation type="list" allowBlank="1" xr:uid="{00000000-0002-0000-0000-000007000000}">
          <x14:formula1>
            <xm:f>DropDown!$BX$2:$BX$62</xm:f>
          </x14:formula1>
          <xm:sqref>M2:M4999 BZ2:BZ4999 AU2:AU4999</xm:sqref>
        </x14:dataValidation>
        <x14:dataValidation type="list" allowBlank="1" xr:uid="{00000000-0002-0000-0000-000008000000}">
          <x14:formula1>
            <xm:f>DropDown!$O$2:$O$2</xm:f>
          </x14:formula1>
          <xm:sqref>P2:P4999</xm:sqref>
        </x14:dataValidation>
        <x14:dataValidation type="list" allowBlank="1" xr:uid="{00000000-0002-0000-0000-000009000000}">
          <x14:formula1>
            <xm:f>DropDown!$P$2:$P$2</xm:f>
          </x14:formula1>
          <xm:sqref>Q2:Q4999</xm:sqref>
        </x14:dataValidation>
        <x14:dataValidation type="list" allowBlank="1" xr:uid="{00000000-0002-0000-0000-00000A000000}">
          <x14:formula1>
            <xm:f>DropDown!$Q$2:$Q$2</xm:f>
          </x14:formula1>
          <xm:sqref>R2:R4999</xm:sqref>
        </x14:dataValidation>
        <x14:dataValidation type="list" allowBlank="1" xr:uid="{00000000-0002-0000-0000-00000C000000}">
          <x14:formula1>
            <xm:f>DropDown!$CA$2:$CA$16</xm:f>
          </x14:formula1>
          <xm:sqref>T2:T4999 CD2:CD4999 AY2:AY4999</xm:sqref>
        </x14:dataValidation>
        <x14:dataValidation type="list" allowBlank="1" xr:uid="{00000000-0002-0000-0000-00000D000000}">
          <x14:formula1>
            <xm:f>DropDown!$CB$2:$CB$20</xm:f>
          </x14:formula1>
          <xm:sqref>CE2:CE4999 AZ2:AZ4999 U2:U4999</xm:sqref>
        </x14:dataValidation>
        <x14:dataValidation type="list" allowBlank="1" xr:uid="{00000000-0002-0000-0000-00000E000000}">
          <x14:formula1>
            <xm:f>DropDown!$CC$2:$CC$3</xm:f>
          </x14:formula1>
          <xm:sqref>V2:V4999 CF2:CF4999 BA2:BA4999</xm:sqref>
        </x14:dataValidation>
        <x14:dataValidation type="list" allowBlank="1" xr:uid="{00000000-0002-0000-0000-00000F000000}">
          <x14:formula1>
            <xm:f>DropDown!$CD$2:$CD$3</xm:f>
          </x14:formula1>
          <xm:sqref>W2:W4999 CG2:CG4999 BB2:BB4999</xm:sqref>
        </x14:dataValidation>
        <x14:dataValidation type="list" allowBlank="1" xr:uid="{00000000-0002-0000-0000-000010000000}">
          <x14:formula1>
            <xm:f>DropDown!$CE$2:$CE$8</xm:f>
          </x14:formula1>
          <xm:sqref>X2:X4999 CH2:CH4999 BC2:BC4999</xm:sqref>
        </x14:dataValidation>
        <x14:dataValidation type="list" allowBlank="1" xr:uid="{00000000-0002-0000-0000-000011000000}">
          <x14:formula1>
            <xm:f>DropDown!$CF$2:$CF$3</xm:f>
          </x14:formula1>
          <xm:sqref>BD2:BD4999 CI2:CI4999 Y2:Y4999</xm:sqref>
        </x14:dataValidation>
        <x14:dataValidation type="list" allowBlank="1" xr:uid="{00000000-0002-0000-0000-000012000000}">
          <x14:formula1>
            <xm:f>DropDown!$CG$2:$CG$3</xm:f>
          </x14:formula1>
          <xm:sqref>Z2:Z4999 CJ2:CJ4999 BE2:BE4999</xm:sqref>
        </x14:dataValidation>
        <x14:dataValidation type="list" allowBlank="1" xr:uid="{00000000-0002-0000-0000-000013000000}">
          <x14:formula1>
            <xm:f>DropDown!$CL$2:$CL$2</xm:f>
          </x14:formula1>
          <xm:sqref>AE2:AE4999 CO2:CO4999 BJ2:BJ4999</xm:sqref>
        </x14:dataValidation>
        <x14:dataValidation type="list" allowBlank="1" xr:uid="{00000000-0002-0000-0000-000014000000}">
          <x14:formula1>
            <xm:f>DropDown!$CM$2:$CM$2</xm:f>
          </x14:formula1>
          <xm:sqref>AF2:AF4999 CP2:CP4999 BK2:BK4999</xm:sqref>
        </x14:dataValidation>
        <x14:dataValidation type="list" allowBlank="1" xr:uid="{00000000-0002-0000-0000-000015000000}">
          <x14:formula1>
            <xm:f>DropDown!$CN$2:$CN$2</xm:f>
          </x14:formula1>
          <xm:sqref>AG2:AG4999 CQ2:CQ4999 BL2:BL4999</xm:sqref>
        </x14:dataValidation>
        <x14:dataValidation type="list" allowBlank="1" xr:uid="{00000000-0002-0000-0000-000016000000}">
          <x14:formula1>
            <xm:f>DropDown!$CQ$2:$CQ$2</xm:f>
          </x14:formula1>
          <xm:sqref>AJ2:AJ4999 CT2:CT4999 BO2:BO4999</xm:sqref>
        </x14:dataValidation>
        <x14:dataValidation type="list" allowBlank="1" xr:uid="{00000000-0002-0000-0000-000017000000}">
          <x14:formula1>
            <xm:f>DropDown!$CR$2:$CR$2</xm:f>
          </x14:formula1>
          <xm:sqref>AK2:AK4999 CU2:CU4999 BP2:BP4999</xm:sqref>
        </x14:dataValidation>
        <x14:dataValidation type="list" allowBlank="1" xr:uid="{00000000-0002-0000-0000-000018000000}">
          <x14:formula1>
            <xm:f>DropDown!$CS$2:$CS$2</xm:f>
          </x14:formula1>
          <xm:sqref>AL2:AL4999 CV2:CV4999 BQ2:BQ4999</xm:sqref>
        </x14:dataValidation>
        <x14:dataValidation type="list" allowBlank="1" xr:uid="{00000000-0002-0000-0000-000019000000}">
          <x14:formula1>
            <xm:f>DropDown!$CV$2:$CV$2</xm:f>
          </x14:formula1>
          <xm:sqref>AO2:AO4999 CY2:CY4999 BT2:BT4999</xm:sqref>
        </x14:dataValidation>
        <x14:dataValidation type="list" allowBlank="1" xr:uid="{00000000-0002-0000-0000-00001A000000}">
          <x14:formula1>
            <xm:f>DropDown!$CW$2:$CW$2</xm:f>
          </x14:formula1>
          <xm:sqref>AP2:AP4999 CZ2:CZ4999 BU2:BU4999</xm:sqref>
        </x14:dataValidation>
        <x14:dataValidation type="list" allowBlank="1" xr:uid="{00000000-0002-0000-0000-00001B000000}">
          <x14:formula1>
            <xm:f>DropDown!$CX$2:$CX$2</xm:f>
          </x14:formula1>
          <xm:sqref>AQ2:AQ4999 DA2:DA4999 BV2:BV4999</xm:sqref>
        </x14:dataValidation>
        <x14:dataValidation type="list" allowBlank="1" xr:uid="{00000000-0002-0000-0000-00001C000000}">
          <x14:formula1>
            <xm:f>DropDown!$CY$2:$CY$2</xm:f>
          </x14:formula1>
          <xm:sqref>AR2:AR4999 DB2:DB4999 BW2:BW4999</xm:sqref>
        </x14:dataValidation>
        <x14:dataValidation type="list" allowBlank="1" xr:uid="{00000000-0002-0000-0000-00001D000000}">
          <x14:formula1>
            <xm:f>DropDown!$CZ$2:$CZ$2</xm:f>
          </x14:formula1>
          <xm:sqref>AS2:AS4999 DC2:DC4999 BX2:BX4999</xm:sqref>
        </x14:dataValidation>
        <x14:dataValidation type="list" allowBlank="1" xr:uid="{00000000-0002-0000-0000-00001E000000}">
          <x14:formula1>
            <xm:f>DropDown!$AS$2:$AS$373</xm:f>
          </x14:formula1>
          <xm:sqref>AT2:AT4999</xm:sqref>
        </x14:dataValidation>
        <x14:dataValidation type="list" allowBlank="1" xr:uid="{00000000-0002-0000-0000-000033000000}">
          <x14:formula1>
            <xm:f>DropDown!$BW$2:$BW$373</xm:f>
          </x14:formula1>
          <xm:sqref>BY2:BY4999</xm:sqref>
        </x14:dataValidation>
        <x14:dataValidation type="list" allowBlank="1" xr:uid="{00000000-0002-0000-0000-000048000000}">
          <x14:formula1>
            <xm:f>DropDown!$DB$2:$DB$369</xm:f>
          </x14:formula1>
          <xm:sqref>DE2:DE4999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B389"/>
  <sheetViews>
    <sheetView topLeftCell="M1" zoomScale="125" workbookViewId="0">
      <pane ySplit="1" topLeftCell="A2" activePane="bottomLeft" state="frozen"/>
      <selection pane="bottomLeft" activeCell="F23" sqref="F23"/>
    </sheetView>
  </sheetViews>
  <sheetFormatPr baseColWidth="10" defaultColWidth="11" defaultRowHeight="16"/>
  <cols>
    <col min="1" max="1" width="25.1640625" style="17" bestFit="1" customWidth="1"/>
    <col min="2" max="2" width="9" style="17" bestFit="1" customWidth="1"/>
    <col min="3" max="3" width="10.83203125" style="17" bestFit="1" customWidth="1"/>
    <col min="4" max="4" width="14.33203125" style="17" bestFit="1" customWidth="1"/>
    <col min="5" max="5" width="11.5" style="17" bestFit="1" customWidth="1"/>
    <col min="6" max="6" width="28.1640625" style="17" customWidth="1"/>
    <col min="7" max="7" width="16.6640625" style="17" bestFit="1" customWidth="1"/>
    <col min="8" max="8" width="27.6640625" style="17" bestFit="1" customWidth="1"/>
    <col min="9" max="9" width="22.83203125" style="17" bestFit="1" customWidth="1"/>
    <col min="10" max="10" width="22" style="17" bestFit="1" customWidth="1"/>
    <col min="11" max="11" width="20" style="17" bestFit="1" customWidth="1"/>
    <col min="12" max="12" width="21.5" style="17" bestFit="1" customWidth="1"/>
    <col min="13" max="13" width="16.1640625" style="57" bestFit="1" customWidth="1"/>
    <col min="14" max="14" width="14" style="17" bestFit="1" customWidth="1"/>
    <col min="15" max="17" width="9.1640625" style="17" bestFit="1" customWidth="1"/>
    <col min="18" max="18" width="10.6640625" style="17" bestFit="1" customWidth="1"/>
    <col min="19" max="19" width="13.33203125" style="17" bestFit="1" customWidth="1"/>
    <col min="20" max="20" width="24.5" style="54" bestFit="1" customWidth="1"/>
    <col min="21" max="21" width="17.5" style="17" bestFit="1" customWidth="1"/>
    <col min="22" max="22" width="16" style="17" bestFit="1" customWidth="1"/>
    <col min="23" max="23" width="8.6640625" style="55" bestFit="1" customWidth="1"/>
    <col min="24" max="24" width="17.83203125" style="56" bestFit="1" customWidth="1"/>
    <col min="25" max="25" width="24.33203125" style="56" bestFit="1" customWidth="1"/>
    <col min="26" max="26" width="12.6640625" style="17" bestFit="1" customWidth="1"/>
    <col min="27" max="27" width="11" style="17" customWidth="1"/>
    <col min="28" max="28" width="21" style="17" bestFit="1" customWidth="1"/>
    <col min="29" max="29" width="20" style="17" bestFit="1" customWidth="1"/>
    <col min="30" max="30" width="20.1640625" style="17" bestFit="1" customWidth="1"/>
    <col min="31" max="31" width="21.1640625" style="17" bestFit="1" customWidth="1"/>
    <col min="32" max="32" width="22" style="17" bestFit="1" customWidth="1"/>
    <col min="33" max="33" width="21.1640625" style="17" bestFit="1" customWidth="1"/>
    <col min="34" max="34" width="20.5" style="17" bestFit="1" customWidth="1"/>
    <col min="35" max="35" width="20.33203125" style="17" bestFit="1" customWidth="1"/>
    <col min="36" max="36" width="21.33203125" style="17" bestFit="1" customWidth="1"/>
    <col min="37" max="37" width="22.33203125" style="17" bestFit="1" customWidth="1"/>
    <col min="38" max="38" width="22" style="17" bestFit="1" customWidth="1"/>
    <col min="39" max="39" width="21" style="17" bestFit="1" customWidth="1"/>
    <col min="40" max="40" width="21.1640625" style="17" bestFit="1" customWidth="1"/>
    <col min="41" max="41" width="22.1640625" style="17" bestFit="1" customWidth="1"/>
    <col min="42" max="42" width="23" style="17" bestFit="1" customWidth="1"/>
    <col min="43" max="43" width="28" style="17" bestFit="1" customWidth="1"/>
    <col min="44" max="44" width="20" style="17" bestFit="1" customWidth="1"/>
    <col min="45" max="45" width="19.83203125" style="17" bestFit="1" customWidth="1"/>
    <col min="46" max="46" width="18.6640625" style="17" bestFit="1" customWidth="1"/>
    <col min="47" max="47" width="16.5" style="17" bestFit="1" customWidth="1"/>
    <col min="48" max="48" width="10.6640625" style="17" bestFit="1" customWidth="1"/>
    <col min="49" max="49" width="13.33203125" style="17" bestFit="1" customWidth="1"/>
    <col min="50" max="50" width="24.5" style="17" bestFit="1" customWidth="1"/>
    <col min="51" max="51" width="17.33203125" style="17" bestFit="1" customWidth="1"/>
    <col min="52" max="52" width="15.83203125" style="17" bestFit="1" customWidth="1"/>
    <col min="53" max="53" width="8.6640625" style="17" bestFit="1" customWidth="1"/>
    <col min="54" max="54" width="17.6640625" style="17" bestFit="1" customWidth="1"/>
    <col min="55" max="55" width="24.1640625" style="17" bestFit="1" customWidth="1"/>
    <col min="56" max="56" width="15.1640625" style="17" bestFit="1" customWidth="1"/>
    <col min="57" max="57" width="13.5" style="17" bestFit="1" customWidth="1"/>
    <col min="58" max="58" width="23.5" style="17" bestFit="1" customWidth="1"/>
    <col min="59" max="59" width="22.5" style="17" bestFit="1" customWidth="1"/>
    <col min="60" max="60" width="22.6640625" style="17" bestFit="1" customWidth="1"/>
    <col min="61" max="61" width="23.6640625" style="17" bestFit="1" customWidth="1"/>
    <col min="62" max="62" width="24.5" style="17" bestFit="1" customWidth="1"/>
    <col min="63" max="63" width="23.6640625" style="17" bestFit="1" customWidth="1"/>
    <col min="64" max="64" width="22.6640625" style="17" bestFit="1" customWidth="1"/>
    <col min="65" max="65" width="22.83203125" style="17" bestFit="1" customWidth="1"/>
    <col min="66" max="66" width="23.83203125" style="17" bestFit="1" customWidth="1"/>
    <col min="67" max="67" width="24.6640625" style="17" bestFit="1" customWidth="1"/>
    <col min="68" max="68" width="24.5" style="17" bestFit="1" customWidth="1"/>
    <col min="69" max="69" width="23.5" style="17" bestFit="1" customWidth="1"/>
    <col min="70" max="70" width="23.6640625" style="17" bestFit="1" customWidth="1"/>
    <col min="71" max="71" width="24.6640625" style="17" bestFit="1" customWidth="1"/>
    <col min="72" max="72" width="25.5" style="17" bestFit="1" customWidth="1"/>
    <col min="73" max="73" width="30.5" style="17" bestFit="1" customWidth="1"/>
    <col min="74" max="74" width="22.5" style="17" bestFit="1" customWidth="1"/>
    <col min="75" max="75" width="22.1640625" style="17" bestFit="1" customWidth="1"/>
    <col min="76" max="76" width="18.6640625" style="17" bestFit="1" customWidth="1"/>
    <col min="77" max="77" width="16.5" style="17" bestFit="1" customWidth="1"/>
    <col min="78" max="78" width="9" style="17" bestFit="1" customWidth="1"/>
    <col min="79" max="79" width="13.33203125" style="17" bestFit="1" customWidth="1"/>
    <col min="80" max="80" width="24.5" style="17" bestFit="1" customWidth="1"/>
    <col min="81" max="81" width="17.5" style="17" bestFit="1" customWidth="1"/>
    <col min="82" max="82" width="16" style="17" bestFit="1" customWidth="1"/>
    <col min="83" max="83" width="8.6640625" style="17" bestFit="1" customWidth="1"/>
    <col min="84" max="84" width="17.83203125" style="17" bestFit="1" customWidth="1"/>
    <col min="85" max="85" width="24.33203125" style="17" bestFit="1" customWidth="1"/>
    <col min="86" max="86" width="15" style="17" bestFit="1" customWidth="1"/>
    <col min="87" max="87" width="13.5" style="17" bestFit="1" customWidth="1"/>
    <col min="88" max="88" width="23.6640625" style="17" bestFit="1" customWidth="1"/>
    <col min="89" max="89" width="22.83203125" style="17" bestFit="1" customWidth="1"/>
    <col min="90" max="90" width="22.6640625" style="17" bestFit="1" customWidth="1"/>
    <col min="91" max="91" width="23.83203125" style="17" bestFit="1" customWidth="1"/>
    <col min="92" max="92" width="24.83203125" style="17" bestFit="1" customWidth="1"/>
    <col min="93" max="93" width="23.83203125" style="17" bestFit="1" customWidth="1"/>
    <col min="94" max="94" width="23.1640625" style="17" bestFit="1" customWidth="1"/>
    <col min="95" max="95" width="22.83203125" style="17" bestFit="1" customWidth="1"/>
    <col min="96" max="96" width="24" style="17" bestFit="1" customWidth="1"/>
    <col min="97" max="97" width="25" style="17" bestFit="1" customWidth="1"/>
    <col min="98" max="98" width="24.5" style="17" bestFit="1" customWidth="1"/>
    <col min="99" max="99" width="23.83203125" style="17" bestFit="1" customWidth="1"/>
    <col min="100" max="100" width="23.6640625" style="17" bestFit="1" customWidth="1"/>
    <col min="101" max="101" width="24.83203125" style="17" bestFit="1" customWidth="1"/>
    <col min="102" max="102" width="25.83203125" style="17" bestFit="1" customWidth="1"/>
    <col min="103" max="103" width="30.5" style="17" bestFit="1" customWidth="1"/>
    <col min="104" max="104" width="22.6640625" style="17" bestFit="1" customWidth="1"/>
    <col min="105" max="105" width="13" style="17" bestFit="1" customWidth="1"/>
    <col min="106" max="106" width="5.5" style="17" bestFit="1" customWidth="1"/>
    <col min="107" max="114" width="11" style="17" customWidth="1"/>
    <col min="115" max="16384" width="11" style="17"/>
  </cols>
  <sheetData>
    <row r="1" spans="1:106" s="26" customFormat="1">
      <c r="A1" s="24" t="s">
        <v>0</v>
      </c>
      <c r="B1" s="24" t="s">
        <v>1</v>
      </c>
      <c r="C1" s="24" t="s">
        <v>2</v>
      </c>
      <c r="D1" s="24" t="s">
        <v>3</v>
      </c>
      <c r="E1" s="24" t="s">
        <v>4</v>
      </c>
      <c r="F1" s="24" t="s">
        <v>5</v>
      </c>
      <c r="G1" s="24" t="s">
        <v>6</v>
      </c>
      <c r="H1" s="24" t="s">
        <v>7</v>
      </c>
      <c r="I1" s="24" t="s">
        <v>8</v>
      </c>
      <c r="J1" s="24" t="s">
        <v>9</v>
      </c>
      <c r="K1" s="24" t="s">
        <v>10</v>
      </c>
      <c r="L1" s="62" t="s">
        <v>11</v>
      </c>
      <c r="M1" s="62" t="s">
        <v>12</v>
      </c>
      <c r="N1" s="63" t="s">
        <v>13</v>
      </c>
      <c r="O1" s="64" t="s">
        <v>15</v>
      </c>
      <c r="P1" s="64" t="s">
        <v>16</v>
      </c>
      <c r="Q1" s="64" t="s">
        <v>17</v>
      </c>
      <c r="R1" s="62" t="s">
        <v>18</v>
      </c>
      <c r="S1" s="62" t="s">
        <v>19</v>
      </c>
      <c r="T1" s="62" t="s">
        <v>20</v>
      </c>
      <c r="U1" s="65" t="s">
        <v>21</v>
      </c>
      <c r="V1" s="65" t="s">
        <v>22</v>
      </c>
      <c r="W1" s="66" t="s">
        <v>23</v>
      </c>
      <c r="X1" s="67" t="s">
        <v>24</v>
      </c>
      <c r="Y1" s="68" t="s">
        <v>25</v>
      </c>
      <c r="Z1" s="69" t="s">
        <v>26</v>
      </c>
      <c r="AA1" s="69" t="s">
        <v>27</v>
      </c>
      <c r="AB1" s="69" t="s">
        <v>28</v>
      </c>
      <c r="AC1" s="69" t="s">
        <v>29</v>
      </c>
      <c r="AD1" s="70" t="s">
        <v>30</v>
      </c>
      <c r="AE1" s="64" t="s">
        <v>31</v>
      </c>
      <c r="AF1" s="70" t="s">
        <v>32</v>
      </c>
      <c r="AG1" s="69" t="s">
        <v>33</v>
      </c>
      <c r="AH1" s="69" t="s">
        <v>34</v>
      </c>
      <c r="AI1" s="70" t="s">
        <v>35</v>
      </c>
      <c r="AJ1" s="64" t="s">
        <v>36</v>
      </c>
      <c r="AK1" s="70" t="s">
        <v>37</v>
      </c>
      <c r="AL1" s="69" t="s">
        <v>38</v>
      </c>
      <c r="AM1" s="69" t="s">
        <v>39</v>
      </c>
      <c r="AN1" s="71" t="s">
        <v>40</v>
      </c>
      <c r="AO1" s="71" t="s">
        <v>41</v>
      </c>
      <c r="AP1" s="71" t="s">
        <v>42</v>
      </c>
      <c r="AQ1" s="71" t="s">
        <v>43</v>
      </c>
      <c r="AR1" s="72" t="s">
        <v>44</v>
      </c>
      <c r="AS1" s="73" t="s">
        <v>45</v>
      </c>
      <c r="AT1" s="73" t="s">
        <v>12</v>
      </c>
      <c r="AU1" s="74" t="s">
        <v>13</v>
      </c>
      <c r="AV1" s="73" t="s">
        <v>18</v>
      </c>
      <c r="AW1" s="73" t="s">
        <v>19</v>
      </c>
      <c r="AX1" s="73" t="s">
        <v>20</v>
      </c>
      <c r="AY1" s="73" t="s">
        <v>21</v>
      </c>
      <c r="AZ1" s="73" t="s">
        <v>22</v>
      </c>
      <c r="BA1" s="75" t="s">
        <v>23</v>
      </c>
      <c r="BB1" s="76" t="s">
        <v>24</v>
      </c>
      <c r="BC1" s="77" t="s">
        <v>25</v>
      </c>
      <c r="BD1" s="78" t="s">
        <v>26</v>
      </c>
      <c r="BE1" s="78" t="s">
        <v>27</v>
      </c>
      <c r="BF1" s="78" t="s">
        <v>28</v>
      </c>
      <c r="BG1" s="78" t="s">
        <v>29</v>
      </c>
      <c r="BH1" s="79" t="s">
        <v>30</v>
      </c>
      <c r="BI1" s="73" t="s">
        <v>31</v>
      </c>
      <c r="BJ1" s="79" t="s">
        <v>32</v>
      </c>
      <c r="BK1" s="78" t="s">
        <v>33</v>
      </c>
      <c r="BL1" s="78" t="s">
        <v>34</v>
      </c>
      <c r="BM1" s="79" t="s">
        <v>35</v>
      </c>
      <c r="BN1" s="73" t="s">
        <v>36</v>
      </c>
      <c r="BO1" s="79" t="s">
        <v>37</v>
      </c>
      <c r="BP1" s="78" t="s">
        <v>38</v>
      </c>
      <c r="BQ1" s="78" t="s">
        <v>39</v>
      </c>
      <c r="BR1" s="79" t="s">
        <v>40</v>
      </c>
      <c r="BS1" s="79" t="s">
        <v>41</v>
      </c>
      <c r="BT1" s="79" t="s">
        <v>42</v>
      </c>
      <c r="BU1" s="80" t="s">
        <v>43</v>
      </c>
      <c r="BV1" s="73" t="s">
        <v>44</v>
      </c>
      <c r="BW1" s="81" t="s">
        <v>46</v>
      </c>
      <c r="BX1" s="81" t="s">
        <v>12</v>
      </c>
      <c r="BY1" s="82" t="s">
        <v>13</v>
      </c>
      <c r="BZ1" s="81" t="s">
        <v>18</v>
      </c>
      <c r="CA1" s="81" t="s">
        <v>19</v>
      </c>
      <c r="CB1" s="81" t="s">
        <v>20</v>
      </c>
      <c r="CC1" s="83" t="s">
        <v>21</v>
      </c>
      <c r="CD1" s="84" t="s">
        <v>22</v>
      </c>
      <c r="CE1" s="85" t="s">
        <v>23</v>
      </c>
      <c r="CF1" s="84" t="s">
        <v>24</v>
      </c>
      <c r="CG1" s="86" t="s">
        <v>25</v>
      </c>
      <c r="CH1" s="87" t="s">
        <v>26</v>
      </c>
      <c r="CI1" s="87" t="s">
        <v>27</v>
      </c>
      <c r="CJ1" s="87" t="s">
        <v>28</v>
      </c>
      <c r="CK1" s="87" t="s">
        <v>29</v>
      </c>
      <c r="CL1" s="88" t="s">
        <v>30</v>
      </c>
      <c r="CM1" s="89" t="s">
        <v>31</v>
      </c>
      <c r="CN1" s="88" t="s">
        <v>32</v>
      </c>
      <c r="CO1" s="87" t="s">
        <v>33</v>
      </c>
      <c r="CP1" s="87" t="s">
        <v>34</v>
      </c>
      <c r="CQ1" s="88" t="s">
        <v>35</v>
      </c>
      <c r="CR1" s="89" t="s">
        <v>36</v>
      </c>
      <c r="CS1" s="88" t="s">
        <v>37</v>
      </c>
      <c r="CT1" s="87" t="s">
        <v>38</v>
      </c>
      <c r="CU1" s="87" t="s">
        <v>39</v>
      </c>
      <c r="CV1" s="88" t="s">
        <v>40</v>
      </c>
      <c r="CW1" s="88" t="s">
        <v>41</v>
      </c>
      <c r="CX1" s="88" t="s">
        <v>42</v>
      </c>
      <c r="CY1" s="90" t="s">
        <v>43</v>
      </c>
      <c r="CZ1" s="89" t="s">
        <v>44</v>
      </c>
      <c r="DA1" s="25" t="s">
        <v>47</v>
      </c>
      <c r="DB1" s="138" t="s">
        <v>48</v>
      </c>
    </row>
    <row r="2" spans="1:106">
      <c r="A2" s="17" t="s">
        <v>66</v>
      </c>
      <c r="E2" s="17" t="s">
        <v>67</v>
      </c>
      <c r="F2" s="17" t="s">
        <v>68</v>
      </c>
      <c r="G2" s="17" t="s">
        <v>51</v>
      </c>
      <c r="H2" s="17" t="s">
        <v>60</v>
      </c>
      <c r="I2" s="17" t="s">
        <v>60</v>
      </c>
      <c r="L2" s="18" t="s">
        <v>69</v>
      </c>
      <c r="M2" s="52" t="s">
        <v>70</v>
      </c>
      <c r="N2" s="53"/>
      <c r="O2" s="17" t="s">
        <v>55</v>
      </c>
      <c r="P2" s="17" t="s">
        <v>55</v>
      </c>
      <c r="Q2" s="17" t="s">
        <v>55</v>
      </c>
      <c r="R2" s="17" t="s">
        <v>56</v>
      </c>
      <c r="S2" s="17" t="s">
        <v>57</v>
      </c>
      <c r="T2" s="54" t="s">
        <v>58</v>
      </c>
      <c r="U2" s="17" t="s">
        <v>59</v>
      </c>
      <c r="V2" s="17" t="s">
        <v>60</v>
      </c>
      <c r="W2" s="17">
        <v>1</v>
      </c>
      <c r="X2" s="56">
        <v>1050</v>
      </c>
      <c r="Y2" s="56">
        <v>1050</v>
      </c>
      <c r="AD2" s="17">
        <v>1</v>
      </c>
      <c r="AE2" s="55">
        <v>1</v>
      </c>
      <c r="AF2" s="55">
        <v>1</v>
      </c>
      <c r="AI2" s="55">
        <v>1</v>
      </c>
      <c r="AJ2" s="17">
        <v>40</v>
      </c>
      <c r="AK2" s="55">
        <v>1</v>
      </c>
      <c r="AN2" s="55">
        <v>1</v>
      </c>
      <c r="AO2" s="55">
        <v>1</v>
      </c>
      <c r="AP2" s="55">
        <v>1</v>
      </c>
      <c r="AQ2" s="55">
        <v>1</v>
      </c>
      <c r="AR2" s="17">
        <v>109</v>
      </c>
      <c r="AS2" s="18" t="s">
        <v>69</v>
      </c>
      <c r="AT2" s="52" t="s">
        <v>70</v>
      </c>
      <c r="AU2" s="53"/>
      <c r="AV2" s="17" t="s">
        <v>56</v>
      </c>
      <c r="AW2" s="17" t="s">
        <v>57</v>
      </c>
      <c r="AX2" s="54" t="s">
        <v>58</v>
      </c>
      <c r="AY2" s="17" t="s">
        <v>59</v>
      </c>
      <c r="AZ2" s="17" t="s">
        <v>60</v>
      </c>
      <c r="BA2" s="17">
        <v>1</v>
      </c>
      <c r="BB2" s="56">
        <v>1050</v>
      </c>
      <c r="BC2" s="56">
        <v>1050</v>
      </c>
      <c r="BH2" s="17">
        <v>1</v>
      </c>
      <c r="BI2" s="55">
        <v>1</v>
      </c>
      <c r="BJ2" s="55">
        <v>1</v>
      </c>
      <c r="BM2" s="55">
        <v>1</v>
      </c>
      <c r="BN2" s="17">
        <v>40</v>
      </c>
      <c r="BO2" s="55">
        <v>1</v>
      </c>
      <c r="BR2" s="55">
        <v>1</v>
      </c>
      <c r="BS2" s="55">
        <v>1</v>
      </c>
      <c r="BT2" s="55">
        <v>1</v>
      </c>
      <c r="BU2" s="55">
        <v>1</v>
      </c>
      <c r="BV2" s="17">
        <v>144</v>
      </c>
      <c r="BW2" s="18" t="s">
        <v>69</v>
      </c>
      <c r="BX2" s="52" t="s">
        <v>70</v>
      </c>
      <c r="BY2" s="53"/>
      <c r="BZ2" s="139" t="s">
        <v>56</v>
      </c>
      <c r="CA2" s="139" t="s">
        <v>57</v>
      </c>
      <c r="CB2" s="139" t="s">
        <v>58</v>
      </c>
      <c r="CC2" s="139" t="s">
        <v>59</v>
      </c>
      <c r="CD2" s="139" t="s">
        <v>60</v>
      </c>
      <c r="CE2" s="139">
        <v>1</v>
      </c>
      <c r="CF2" s="140">
        <v>1050</v>
      </c>
      <c r="CG2" s="140">
        <v>1050</v>
      </c>
      <c r="CH2" s="139"/>
      <c r="CI2" s="139"/>
      <c r="CJ2" s="139"/>
      <c r="CK2" s="139"/>
      <c r="CL2" s="139">
        <v>1</v>
      </c>
      <c r="CM2" s="141">
        <v>1</v>
      </c>
      <c r="CN2" s="141">
        <v>1</v>
      </c>
      <c r="CO2" s="139"/>
      <c r="CP2" s="139"/>
      <c r="CQ2" s="141">
        <v>1</v>
      </c>
      <c r="CR2" s="139">
        <v>40</v>
      </c>
      <c r="CS2" s="141">
        <v>1</v>
      </c>
      <c r="CT2" s="139"/>
      <c r="CU2" s="139"/>
      <c r="CV2" s="141">
        <v>1</v>
      </c>
      <c r="CW2" s="141">
        <v>1</v>
      </c>
      <c r="CX2" s="141">
        <v>1</v>
      </c>
      <c r="CY2" s="141">
        <v>1</v>
      </c>
      <c r="CZ2" s="139">
        <v>144</v>
      </c>
      <c r="DB2" s="17">
        <v>1</v>
      </c>
    </row>
    <row r="3" spans="1:106">
      <c r="A3" s="17" t="s">
        <v>71</v>
      </c>
      <c r="E3" s="17" t="s">
        <v>72</v>
      </c>
      <c r="F3" s="17" t="s">
        <v>73</v>
      </c>
      <c r="G3" s="17" t="s">
        <v>74</v>
      </c>
      <c r="H3" s="17" t="s">
        <v>52</v>
      </c>
      <c r="I3" s="17" t="s">
        <v>52</v>
      </c>
      <c r="L3" s="18" t="s">
        <v>75</v>
      </c>
      <c r="M3" s="52" t="s">
        <v>54</v>
      </c>
      <c r="N3" s="53"/>
      <c r="R3" s="17" t="s">
        <v>76</v>
      </c>
      <c r="S3" s="17" t="s">
        <v>77</v>
      </c>
      <c r="T3" s="54" t="s">
        <v>78</v>
      </c>
      <c r="U3" s="17" t="s">
        <v>63</v>
      </c>
      <c r="V3" s="17" t="s">
        <v>52</v>
      </c>
      <c r="W3" s="17">
        <v>1.5</v>
      </c>
      <c r="X3" s="56">
        <v>1000</v>
      </c>
      <c r="Y3" s="56">
        <v>1000</v>
      </c>
      <c r="AS3" s="18" t="s">
        <v>75</v>
      </c>
      <c r="AT3" s="52" t="s">
        <v>54</v>
      </c>
      <c r="AU3" s="53"/>
      <c r="AV3" s="17" t="s">
        <v>76</v>
      </c>
      <c r="AW3" s="17" t="s">
        <v>77</v>
      </c>
      <c r="AX3" s="54" t="s">
        <v>78</v>
      </c>
      <c r="AY3" s="17" t="s">
        <v>63</v>
      </c>
      <c r="AZ3" s="17" t="s">
        <v>52</v>
      </c>
      <c r="BA3" s="17">
        <v>1.5</v>
      </c>
      <c r="BB3" s="56">
        <v>1000</v>
      </c>
      <c r="BC3" s="56">
        <v>1000</v>
      </c>
      <c r="BW3" s="18" t="s">
        <v>75</v>
      </c>
      <c r="BX3" s="52" t="s">
        <v>54</v>
      </c>
      <c r="BY3" s="53"/>
      <c r="BZ3" s="139" t="s">
        <v>76</v>
      </c>
      <c r="CA3" s="139" t="s">
        <v>77</v>
      </c>
      <c r="CB3" s="139" t="s">
        <v>78</v>
      </c>
      <c r="CC3" s="139" t="s">
        <v>63</v>
      </c>
      <c r="CD3" s="139" t="s">
        <v>52</v>
      </c>
      <c r="CE3" s="139">
        <v>1.5</v>
      </c>
      <c r="CF3" s="140">
        <v>1000</v>
      </c>
      <c r="CG3" s="140">
        <v>1000</v>
      </c>
      <c r="CH3" s="139"/>
      <c r="CI3" s="139"/>
      <c r="CJ3" s="139"/>
      <c r="CK3" s="139"/>
      <c r="CL3" s="139"/>
      <c r="CM3" s="139"/>
      <c r="CN3" s="139"/>
      <c r="CO3" s="139"/>
      <c r="CP3" s="139"/>
      <c r="CQ3" s="139"/>
      <c r="CR3" s="139"/>
      <c r="CS3" s="139"/>
      <c r="CT3" s="139"/>
      <c r="CU3" s="139"/>
      <c r="CV3" s="139"/>
      <c r="CW3" s="139"/>
      <c r="CX3" s="139"/>
      <c r="CY3" s="139"/>
      <c r="CZ3" s="139"/>
      <c r="DB3" s="17">
        <v>2</v>
      </c>
    </row>
    <row r="4" spans="1:106">
      <c r="A4" s="17" t="s">
        <v>79</v>
      </c>
      <c r="E4" s="17" t="s">
        <v>80</v>
      </c>
      <c r="F4" s="17" t="s">
        <v>81</v>
      </c>
      <c r="G4" s="17" t="s">
        <v>82</v>
      </c>
      <c r="L4" s="18" t="s">
        <v>83</v>
      </c>
      <c r="M4" s="52" t="s">
        <v>84</v>
      </c>
      <c r="N4" s="53"/>
      <c r="R4" s="17" t="s">
        <v>85</v>
      </c>
      <c r="S4" s="17" t="s">
        <v>86</v>
      </c>
      <c r="T4" s="54" t="s">
        <v>87</v>
      </c>
      <c r="W4" s="17">
        <v>2</v>
      </c>
      <c r="AS4" s="18" t="s">
        <v>83</v>
      </c>
      <c r="AT4" s="52" t="s">
        <v>84</v>
      </c>
      <c r="AU4" s="53"/>
      <c r="AV4" s="17" t="s">
        <v>85</v>
      </c>
      <c r="AW4" s="17" t="s">
        <v>86</v>
      </c>
      <c r="AX4" s="54" t="s">
        <v>87</v>
      </c>
      <c r="BA4" s="17">
        <v>2</v>
      </c>
      <c r="BB4" s="56"/>
      <c r="BC4" s="56"/>
      <c r="BW4" s="18" t="s">
        <v>83</v>
      </c>
      <c r="BX4" s="52" t="s">
        <v>84</v>
      </c>
      <c r="BY4" s="53"/>
      <c r="BZ4" s="139" t="s">
        <v>85</v>
      </c>
      <c r="CA4" s="139" t="s">
        <v>86</v>
      </c>
      <c r="CB4" s="139" t="s">
        <v>87</v>
      </c>
      <c r="CC4" s="139"/>
      <c r="CD4" s="139"/>
      <c r="CE4" s="139">
        <v>2</v>
      </c>
      <c r="CF4" s="140"/>
      <c r="CG4" s="140"/>
      <c r="CH4" s="139"/>
      <c r="CI4" s="139"/>
      <c r="CJ4" s="139"/>
      <c r="CK4" s="139"/>
      <c r="CL4" s="139"/>
      <c r="CM4" s="139"/>
      <c r="CN4" s="139"/>
      <c r="CO4" s="139"/>
      <c r="CP4" s="139"/>
      <c r="CQ4" s="139"/>
      <c r="CR4" s="139"/>
      <c r="CS4" s="139"/>
      <c r="CT4" s="139"/>
      <c r="CU4" s="139"/>
      <c r="CV4" s="139"/>
      <c r="CW4" s="139"/>
      <c r="CX4" s="139"/>
      <c r="CY4" s="139"/>
      <c r="CZ4" s="139"/>
      <c r="DB4" s="17">
        <v>3</v>
      </c>
    </row>
    <row r="5" spans="1:106">
      <c r="A5" s="17" t="s">
        <v>88</v>
      </c>
      <c r="F5" s="17" t="s">
        <v>89</v>
      </c>
      <c r="L5" s="18" t="s">
        <v>90</v>
      </c>
      <c r="M5" s="52" t="s">
        <v>91</v>
      </c>
      <c r="N5" s="53"/>
      <c r="R5" s="17" t="s">
        <v>92</v>
      </c>
      <c r="S5" s="17" t="s">
        <v>93</v>
      </c>
      <c r="T5" s="54" t="s">
        <v>94</v>
      </c>
      <c r="W5" s="17">
        <v>3</v>
      </c>
      <c r="AS5" s="18" t="s">
        <v>90</v>
      </c>
      <c r="AT5" s="52" t="s">
        <v>91</v>
      </c>
      <c r="AU5" s="53"/>
      <c r="AV5" s="17" t="s">
        <v>92</v>
      </c>
      <c r="AW5" s="17" t="s">
        <v>93</v>
      </c>
      <c r="AX5" s="54" t="s">
        <v>94</v>
      </c>
      <c r="BA5" s="17">
        <v>3</v>
      </c>
      <c r="BB5" s="56"/>
      <c r="BC5" s="56"/>
      <c r="BW5" s="18" t="s">
        <v>90</v>
      </c>
      <c r="BX5" s="52" t="s">
        <v>91</v>
      </c>
      <c r="BY5" s="53"/>
      <c r="BZ5" s="139" t="s">
        <v>92</v>
      </c>
      <c r="CA5" s="139" t="s">
        <v>93</v>
      </c>
      <c r="CB5" s="139" t="s">
        <v>94</v>
      </c>
      <c r="CC5" s="139"/>
      <c r="CD5" s="139"/>
      <c r="CE5" s="139">
        <v>3</v>
      </c>
      <c r="CF5" s="140"/>
      <c r="CG5" s="140"/>
      <c r="CH5" s="139"/>
      <c r="CI5" s="139"/>
      <c r="CJ5" s="139"/>
      <c r="CK5" s="139"/>
      <c r="CL5" s="139"/>
      <c r="CM5" s="139"/>
      <c r="CN5" s="139"/>
      <c r="CO5" s="139"/>
      <c r="CP5" s="139"/>
      <c r="CQ5" s="139"/>
      <c r="CR5" s="139"/>
      <c r="CS5" s="139"/>
      <c r="CT5" s="139"/>
      <c r="CU5" s="139"/>
      <c r="CV5" s="139"/>
      <c r="CW5" s="139"/>
      <c r="CX5" s="139"/>
      <c r="CY5" s="139"/>
      <c r="CZ5" s="139"/>
      <c r="DB5" s="17">
        <v>4</v>
      </c>
    </row>
    <row r="6" spans="1:106">
      <c r="A6" s="17" t="s">
        <v>95</v>
      </c>
      <c r="F6" s="17" t="s">
        <v>96</v>
      </c>
      <c r="L6" s="18" t="s">
        <v>97</v>
      </c>
      <c r="M6" s="52" t="s">
        <v>98</v>
      </c>
      <c r="N6" s="53"/>
      <c r="S6" s="17" t="s">
        <v>99</v>
      </c>
      <c r="T6" s="54" t="s">
        <v>100</v>
      </c>
      <c r="W6" s="17">
        <v>4</v>
      </c>
      <c r="AS6" s="18" t="s">
        <v>97</v>
      </c>
      <c r="AT6" s="52" t="s">
        <v>98</v>
      </c>
      <c r="AU6" s="53"/>
      <c r="AW6" s="17" t="s">
        <v>99</v>
      </c>
      <c r="AX6" s="54" t="s">
        <v>100</v>
      </c>
      <c r="BA6" s="17">
        <v>4</v>
      </c>
      <c r="BB6" s="56"/>
      <c r="BC6" s="56"/>
      <c r="BW6" s="18" t="s">
        <v>97</v>
      </c>
      <c r="BX6" s="52" t="s">
        <v>98</v>
      </c>
      <c r="BY6" s="53"/>
      <c r="BZ6" s="139"/>
      <c r="CA6" s="139" t="s">
        <v>99</v>
      </c>
      <c r="CB6" s="139" t="s">
        <v>100</v>
      </c>
      <c r="CC6" s="139"/>
      <c r="CD6" s="139"/>
      <c r="CE6" s="139">
        <v>4</v>
      </c>
      <c r="CF6" s="140"/>
      <c r="CG6" s="140"/>
      <c r="CH6" s="139"/>
      <c r="CI6" s="139"/>
      <c r="CJ6" s="139"/>
      <c r="CK6" s="139"/>
      <c r="CL6" s="139"/>
      <c r="CM6" s="139"/>
      <c r="CN6" s="139"/>
      <c r="CO6" s="139"/>
      <c r="CP6" s="139"/>
      <c r="CQ6" s="139"/>
      <c r="CR6" s="139"/>
      <c r="CS6" s="139"/>
      <c r="CT6" s="139"/>
      <c r="CU6" s="139"/>
      <c r="CV6" s="139"/>
      <c r="CW6" s="139"/>
      <c r="CX6" s="139"/>
      <c r="CY6" s="139"/>
      <c r="CZ6" s="139"/>
      <c r="DB6" s="17">
        <v>5</v>
      </c>
    </row>
    <row r="7" spans="1:106">
      <c r="A7" s="17" t="s">
        <v>101</v>
      </c>
      <c r="F7" s="17" t="s">
        <v>50</v>
      </c>
      <c r="L7" s="18" t="s">
        <v>102</v>
      </c>
      <c r="M7" s="52" t="s">
        <v>103</v>
      </c>
      <c r="N7" s="53"/>
      <c r="S7" s="17" t="s">
        <v>104</v>
      </c>
      <c r="T7" s="54" t="s">
        <v>105</v>
      </c>
      <c r="W7" s="17">
        <v>5</v>
      </c>
      <c r="AS7" s="18" t="s">
        <v>102</v>
      </c>
      <c r="AT7" s="52" t="s">
        <v>103</v>
      </c>
      <c r="AU7" s="53"/>
      <c r="AW7" s="17" t="s">
        <v>104</v>
      </c>
      <c r="AX7" s="54" t="s">
        <v>105</v>
      </c>
      <c r="BA7" s="17">
        <v>5</v>
      </c>
      <c r="BB7" s="56"/>
      <c r="BC7" s="56"/>
      <c r="BW7" s="18" t="s">
        <v>102</v>
      </c>
      <c r="BX7" s="52" t="s">
        <v>103</v>
      </c>
      <c r="BY7" s="53"/>
      <c r="BZ7" s="139"/>
      <c r="CA7" s="139" t="s">
        <v>104</v>
      </c>
      <c r="CB7" s="139" t="s">
        <v>105</v>
      </c>
      <c r="CC7" s="139"/>
      <c r="CD7" s="139"/>
      <c r="CE7" s="139">
        <v>5</v>
      </c>
      <c r="CF7" s="140"/>
      <c r="CG7" s="140"/>
      <c r="CH7" s="139"/>
      <c r="CI7" s="139"/>
      <c r="CJ7" s="139"/>
      <c r="CK7" s="139"/>
      <c r="CL7" s="139"/>
      <c r="CM7" s="139"/>
      <c r="CN7" s="139"/>
      <c r="CO7" s="139"/>
      <c r="CP7" s="139"/>
      <c r="CQ7" s="139"/>
      <c r="CR7" s="139"/>
      <c r="CS7" s="139"/>
      <c r="CT7" s="139"/>
      <c r="CU7" s="139"/>
      <c r="CV7" s="139"/>
      <c r="CW7" s="139"/>
      <c r="CX7" s="139"/>
      <c r="CY7" s="139"/>
      <c r="CZ7" s="139"/>
      <c r="DB7" s="17">
        <v>6</v>
      </c>
    </row>
    <row r="8" spans="1:106">
      <c r="A8" s="17" t="s">
        <v>106</v>
      </c>
      <c r="F8" s="17" t="s">
        <v>107</v>
      </c>
      <c r="L8" s="18" t="s">
        <v>108</v>
      </c>
      <c r="M8" s="52" t="s">
        <v>109</v>
      </c>
      <c r="N8" s="53"/>
      <c r="S8" s="17" t="s">
        <v>110</v>
      </c>
      <c r="T8" s="54" t="s">
        <v>111</v>
      </c>
      <c r="W8" s="55">
        <v>6</v>
      </c>
      <c r="AS8" s="18" t="s">
        <v>108</v>
      </c>
      <c r="AT8" s="52" t="s">
        <v>109</v>
      </c>
      <c r="AU8" s="53"/>
      <c r="AW8" s="17" t="s">
        <v>110</v>
      </c>
      <c r="AX8" s="54" t="s">
        <v>111</v>
      </c>
      <c r="BA8" s="55">
        <v>6</v>
      </c>
      <c r="BB8" s="56"/>
      <c r="BC8" s="56"/>
      <c r="BW8" s="18" t="s">
        <v>108</v>
      </c>
      <c r="BX8" s="52" t="s">
        <v>109</v>
      </c>
      <c r="BY8" s="53"/>
      <c r="BZ8" s="139"/>
      <c r="CA8" s="139" t="s">
        <v>110</v>
      </c>
      <c r="CB8" s="139" t="s">
        <v>111</v>
      </c>
      <c r="CC8" s="139"/>
      <c r="CD8" s="139"/>
      <c r="CE8" s="141">
        <v>6</v>
      </c>
      <c r="CF8" s="140"/>
      <c r="CG8" s="140"/>
      <c r="CH8" s="139"/>
      <c r="CI8" s="139"/>
      <c r="CJ8" s="139"/>
      <c r="CK8" s="139"/>
      <c r="CL8" s="139"/>
      <c r="CM8" s="139"/>
      <c r="CN8" s="139"/>
      <c r="CO8" s="139"/>
      <c r="CP8" s="139"/>
      <c r="CQ8" s="139"/>
      <c r="CR8" s="139"/>
      <c r="CS8" s="139"/>
      <c r="CT8" s="139"/>
      <c r="CU8" s="139"/>
      <c r="CV8" s="139"/>
      <c r="CW8" s="139"/>
      <c r="CX8" s="139"/>
      <c r="CY8" s="139"/>
      <c r="CZ8" s="139"/>
      <c r="DB8" s="17">
        <v>7</v>
      </c>
    </row>
    <row r="9" spans="1:106">
      <c r="A9" s="17" t="s">
        <v>112</v>
      </c>
      <c r="F9" s="17" t="s">
        <v>113</v>
      </c>
      <c r="L9" s="18" t="s">
        <v>114</v>
      </c>
      <c r="M9" s="52" t="s">
        <v>115</v>
      </c>
      <c r="N9" s="53"/>
      <c r="S9" s="17" t="s">
        <v>92</v>
      </c>
      <c r="T9" s="54" t="s">
        <v>116</v>
      </c>
      <c r="AS9" s="18" t="s">
        <v>114</v>
      </c>
      <c r="AT9" s="52" t="s">
        <v>115</v>
      </c>
      <c r="AU9" s="53"/>
      <c r="AW9" s="17" t="s">
        <v>92</v>
      </c>
      <c r="AX9" s="54" t="s">
        <v>116</v>
      </c>
      <c r="BA9" s="55"/>
      <c r="BB9" s="56"/>
      <c r="BC9" s="56"/>
      <c r="BW9" s="18" t="s">
        <v>114</v>
      </c>
      <c r="BX9" s="52" t="s">
        <v>115</v>
      </c>
      <c r="BY9" s="53"/>
      <c r="BZ9" s="139"/>
      <c r="CA9" s="139" t="s">
        <v>92</v>
      </c>
      <c r="CB9" s="139" t="s">
        <v>116</v>
      </c>
      <c r="CC9" s="139"/>
      <c r="CD9" s="139"/>
      <c r="CE9" s="141"/>
      <c r="CF9" s="140"/>
      <c r="CG9" s="140"/>
      <c r="CH9" s="139"/>
      <c r="CI9" s="139"/>
      <c r="CJ9" s="139"/>
      <c r="CK9" s="139"/>
      <c r="CL9" s="139"/>
      <c r="CM9" s="139"/>
      <c r="CN9" s="139"/>
      <c r="CO9" s="139"/>
      <c r="CP9" s="139"/>
      <c r="CQ9" s="139"/>
      <c r="CR9" s="139"/>
      <c r="CS9" s="139"/>
      <c r="CT9" s="139"/>
      <c r="CU9" s="139"/>
      <c r="CV9" s="139"/>
      <c r="CW9" s="139"/>
      <c r="CX9" s="139"/>
      <c r="CY9" s="139"/>
      <c r="CZ9" s="139"/>
      <c r="DB9" s="17">
        <v>8</v>
      </c>
    </row>
    <row r="10" spans="1:106">
      <c r="A10" s="17" t="s">
        <v>117</v>
      </c>
      <c r="F10" s="17" t="s">
        <v>118</v>
      </c>
      <c r="L10" s="18" t="s">
        <v>119</v>
      </c>
      <c r="M10" s="52" t="s">
        <v>120</v>
      </c>
      <c r="N10" s="53"/>
      <c r="S10" s="17" t="s">
        <v>121</v>
      </c>
      <c r="T10" s="54" t="s">
        <v>122</v>
      </c>
      <c r="AS10" s="18" t="s">
        <v>119</v>
      </c>
      <c r="AT10" s="52" t="s">
        <v>120</v>
      </c>
      <c r="AU10" s="53"/>
      <c r="AW10" s="17" t="s">
        <v>121</v>
      </c>
      <c r="AX10" s="54" t="s">
        <v>122</v>
      </c>
      <c r="BA10" s="55"/>
      <c r="BB10" s="56"/>
      <c r="BC10" s="56"/>
      <c r="BW10" s="18" t="s">
        <v>119</v>
      </c>
      <c r="BX10" s="52" t="s">
        <v>120</v>
      </c>
      <c r="BY10" s="53"/>
      <c r="BZ10" s="139"/>
      <c r="CA10" s="139" t="s">
        <v>121</v>
      </c>
      <c r="CB10" s="139" t="s">
        <v>122</v>
      </c>
      <c r="CC10" s="139"/>
      <c r="CD10" s="139"/>
      <c r="CE10" s="141"/>
      <c r="CF10" s="140"/>
      <c r="CG10" s="140"/>
      <c r="CH10" s="139"/>
      <c r="CI10" s="139"/>
      <c r="CJ10" s="139"/>
      <c r="CK10" s="139"/>
      <c r="CL10" s="139"/>
      <c r="CM10" s="139"/>
      <c r="CN10" s="139"/>
      <c r="CO10" s="139"/>
      <c r="CP10" s="139"/>
      <c r="CQ10" s="139"/>
      <c r="CR10" s="139"/>
      <c r="CS10" s="139"/>
      <c r="CT10" s="139"/>
      <c r="CU10" s="139"/>
      <c r="CV10" s="139"/>
      <c r="CW10" s="139"/>
      <c r="CX10" s="139"/>
      <c r="CY10" s="139"/>
      <c r="CZ10" s="139"/>
      <c r="DB10" s="17">
        <v>9</v>
      </c>
    </row>
    <row r="11" spans="1:106">
      <c r="A11" s="17" t="s">
        <v>123</v>
      </c>
      <c r="F11" s="17" t="s">
        <v>92</v>
      </c>
      <c r="L11" s="18" t="s">
        <v>124</v>
      </c>
      <c r="M11" s="52" t="s">
        <v>125</v>
      </c>
      <c r="N11" s="53"/>
      <c r="S11" s="17" t="s">
        <v>126</v>
      </c>
      <c r="T11" s="54" t="s">
        <v>127</v>
      </c>
      <c r="AS11" s="18" t="s">
        <v>124</v>
      </c>
      <c r="AT11" s="52" t="s">
        <v>125</v>
      </c>
      <c r="AU11" s="53"/>
      <c r="AW11" s="17" t="s">
        <v>126</v>
      </c>
      <c r="AX11" s="54" t="s">
        <v>127</v>
      </c>
      <c r="BA11" s="55"/>
      <c r="BB11" s="56"/>
      <c r="BC11" s="56"/>
      <c r="BW11" s="18" t="s">
        <v>124</v>
      </c>
      <c r="BX11" s="52" t="s">
        <v>125</v>
      </c>
      <c r="BY11" s="53"/>
      <c r="BZ11" s="139"/>
      <c r="CA11" s="139" t="s">
        <v>126</v>
      </c>
      <c r="CB11" s="139" t="s">
        <v>127</v>
      </c>
      <c r="CC11" s="139"/>
      <c r="CD11" s="139"/>
      <c r="CE11" s="141"/>
      <c r="CF11" s="140"/>
      <c r="CG11" s="140"/>
      <c r="CH11" s="139"/>
      <c r="CI11" s="139"/>
      <c r="CJ11" s="139"/>
      <c r="CK11" s="139"/>
      <c r="CL11" s="139"/>
      <c r="CM11" s="139"/>
      <c r="CN11" s="139"/>
      <c r="CO11" s="139"/>
      <c r="CP11" s="139"/>
      <c r="CQ11" s="139"/>
      <c r="CR11" s="139"/>
      <c r="CS11" s="139"/>
      <c r="CT11" s="139"/>
      <c r="CU11" s="139"/>
      <c r="CV11" s="139"/>
      <c r="CW11" s="139"/>
      <c r="CX11" s="139"/>
      <c r="CY11" s="139"/>
      <c r="CZ11" s="139"/>
      <c r="DB11" s="17">
        <v>10</v>
      </c>
    </row>
    <row r="12" spans="1:106">
      <c r="A12" s="17" t="s">
        <v>128</v>
      </c>
      <c r="L12" s="18" t="s">
        <v>129</v>
      </c>
      <c r="M12" s="52" t="s">
        <v>130</v>
      </c>
      <c r="N12" s="53"/>
      <c r="S12" s="17" t="s">
        <v>131</v>
      </c>
      <c r="T12" s="54" t="s">
        <v>132</v>
      </c>
      <c r="AS12" s="18" t="s">
        <v>129</v>
      </c>
      <c r="AT12" s="52" t="s">
        <v>130</v>
      </c>
      <c r="AU12" s="53"/>
      <c r="AW12" s="17" t="s">
        <v>131</v>
      </c>
      <c r="AX12" s="54" t="s">
        <v>132</v>
      </c>
      <c r="BA12" s="55"/>
      <c r="BB12" s="56"/>
      <c r="BC12" s="56"/>
      <c r="BW12" s="18" t="s">
        <v>129</v>
      </c>
      <c r="BX12" s="52" t="s">
        <v>130</v>
      </c>
      <c r="BY12" s="53"/>
      <c r="BZ12" s="139"/>
      <c r="CA12" s="139" t="s">
        <v>131</v>
      </c>
      <c r="CB12" s="139" t="s">
        <v>132</v>
      </c>
      <c r="CC12" s="139"/>
      <c r="CD12" s="139"/>
      <c r="CE12" s="141"/>
      <c r="CF12" s="140"/>
      <c r="CG12" s="140"/>
      <c r="CH12" s="139"/>
      <c r="CI12" s="139"/>
      <c r="CJ12" s="139"/>
      <c r="CK12" s="139"/>
      <c r="CL12" s="139"/>
      <c r="CM12" s="139"/>
      <c r="CN12" s="139"/>
      <c r="CO12" s="139"/>
      <c r="CP12" s="139"/>
      <c r="CQ12" s="139"/>
      <c r="CR12" s="139"/>
      <c r="CS12" s="139"/>
      <c r="CT12" s="139"/>
      <c r="CU12" s="139"/>
      <c r="CV12" s="139"/>
      <c r="CW12" s="139"/>
      <c r="CX12" s="139"/>
      <c r="CY12" s="139"/>
      <c r="CZ12" s="139"/>
      <c r="DB12" s="17">
        <v>11</v>
      </c>
    </row>
    <row r="13" spans="1:106">
      <c r="A13" s="17" t="s">
        <v>133</v>
      </c>
      <c r="L13" s="18" t="s">
        <v>134</v>
      </c>
      <c r="M13" s="52" t="s">
        <v>135</v>
      </c>
      <c r="N13" s="53"/>
      <c r="S13" s="17" t="s">
        <v>136</v>
      </c>
      <c r="T13" s="54" t="s">
        <v>137</v>
      </c>
      <c r="AS13" s="18" t="s">
        <v>134</v>
      </c>
      <c r="AT13" s="52" t="s">
        <v>135</v>
      </c>
      <c r="AU13" s="53"/>
      <c r="AW13" s="17" t="s">
        <v>136</v>
      </c>
      <c r="AX13" s="54" t="s">
        <v>137</v>
      </c>
      <c r="BA13" s="55"/>
      <c r="BB13" s="56"/>
      <c r="BC13" s="56"/>
      <c r="BW13" s="18" t="s">
        <v>134</v>
      </c>
      <c r="BX13" s="52" t="s">
        <v>135</v>
      </c>
      <c r="BY13" s="53"/>
      <c r="BZ13" s="139"/>
      <c r="CA13" s="139" t="s">
        <v>136</v>
      </c>
      <c r="CB13" s="139" t="s">
        <v>137</v>
      </c>
      <c r="CC13" s="139"/>
      <c r="CD13" s="139"/>
      <c r="CE13" s="141"/>
      <c r="CF13" s="140"/>
      <c r="CG13" s="140"/>
      <c r="CH13" s="139"/>
      <c r="CI13" s="139"/>
      <c r="CJ13" s="139"/>
      <c r="CK13" s="139"/>
      <c r="CL13" s="139"/>
      <c r="CM13" s="139"/>
      <c r="CN13" s="139"/>
      <c r="CO13" s="139"/>
      <c r="CP13" s="139"/>
      <c r="CQ13" s="139"/>
      <c r="CR13" s="139"/>
      <c r="CS13" s="139"/>
      <c r="CT13" s="139"/>
      <c r="CU13" s="139"/>
      <c r="CV13" s="139"/>
      <c r="CW13" s="139"/>
      <c r="CX13" s="139"/>
      <c r="CY13" s="139"/>
      <c r="CZ13" s="139"/>
      <c r="DB13" s="17">
        <v>12</v>
      </c>
    </row>
    <row r="14" spans="1:106">
      <c r="A14" s="17" t="s">
        <v>138</v>
      </c>
      <c r="L14" s="18" t="s">
        <v>139</v>
      </c>
      <c r="M14" s="52" t="s">
        <v>140</v>
      </c>
      <c r="N14" s="53"/>
      <c r="S14" s="17" t="s">
        <v>141</v>
      </c>
      <c r="T14" s="54" t="s">
        <v>142</v>
      </c>
      <c r="AS14" s="18" t="s">
        <v>139</v>
      </c>
      <c r="AT14" s="52" t="s">
        <v>140</v>
      </c>
      <c r="AU14" s="53"/>
      <c r="AW14" s="17" t="s">
        <v>141</v>
      </c>
      <c r="AX14" s="54" t="s">
        <v>142</v>
      </c>
      <c r="BA14" s="55"/>
      <c r="BB14" s="56"/>
      <c r="BC14" s="56"/>
      <c r="BW14" s="18" t="s">
        <v>139</v>
      </c>
      <c r="BX14" s="52" t="s">
        <v>140</v>
      </c>
      <c r="BY14" s="53"/>
      <c r="BZ14" s="139"/>
      <c r="CA14" s="139" t="s">
        <v>141</v>
      </c>
      <c r="CB14" s="139" t="s">
        <v>142</v>
      </c>
      <c r="CC14" s="139"/>
      <c r="CD14" s="139"/>
      <c r="CE14" s="141"/>
      <c r="CF14" s="140"/>
      <c r="CG14" s="140"/>
      <c r="CH14" s="139"/>
      <c r="CI14" s="139"/>
      <c r="CJ14" s="139"/>
      <c r="CK14" s="139"/>
      <c r="CL14" s="139"/>
      <c r="CM14" s="139"/>
      <c r="CN14" s="139"/>
      <c r="CO14" s="139"/>
      <c r="CP14" s="139"/>
      <c r="CQ14" s="139"/>
      <c r="CR14" s="139"/>
      <c r="CS14" s="139"/>
      <c r="CT14" s="139"/>
      <c r="CU14" s="139"/>
      <c r="CV14" s="139"/>
      <c r="CW14" s="139"/>
      <c r="CX14" s="139"/>
      <c r="CY14" s="139"/>
      <c r="CZ14" s="139"/>
      <c r="DB14" s="17">
        <v>13</v>
      </c>
    </row>
    <row r="15" spans="1:106">
      <c r="A15" s="17" t="s">
        <v>143</v>
      </c>
      <c r="L15" s="18" t="s">
        <v>144</v>
      </c>
      <c r="M15" s="52" t="s">
        <v>145</v>
      </c>
      <c r="N15" s="53"/>
      <c r="S15" s="17" t="s">
        <v>146</v>
      </c>
      <c r="T15" s="54" t="s">
        <v>147</v>
      </c>
      <c r="AS15" s="18" t="s">
        <v>144</v>
      </c>
      <c r="AT15" s="52" t="s">
        <v>145</v>
      </c>
      <c r="AU15" s="53"/>
      <c r="AW15" s="17" t="s">
        <v>146</v>
      </c>
      <c r="AX15" s="54" t="s">
        <v>147</v>
      </c>
      <c r="BA15" s="55"/>
      <c r="BB15" s="56"/>
      <c r="BC15" s="56"/>
      <c r="BW15" s="18" t="s">
        <v>144</v>
      </c>
      <c r="BX15" s="52" t="s">
        <v>145</v>
      </c>
      <c r="BY15" s="53"/>
      <c r="BZ15" s="139"/>
      <c r="CA15" s="139" t="s">
        <v>146</v>
      </c>
      <c r="CB15" s="139" t="s">
        <v>147</v>
      </c>
      <c r="CC15" s="139"/>
      <c r="CD15" s="139"/>
      <c r="CE15" s="141"/>
      <c r="CF15" s="140"/>
      <c r="CG15" s="140"/>
      <c r="CH15" s="139"/>
      <c r="CI15" s="139"/>
      <c r="CJ15" s="139"/>
      <c r="CK15" s="139"/>
      <c r="CL15" s="139"/>
      <c r="CM15" s="139"/>
      <c r="CN15" s="139"/>
      <c r="CO15" s="139"/>
      <c r="CP15" s="139"/>
      <c r="CQ15" s="139"/>
      <c r="CR15" s="139"/>
      <c r="CS15" s="139"/>
      <c r="CT15" s="139"/>
      <c r="CU15" s="139"/>
      <c r="CV15" s="139"/>
      <c r="CW15" s="139"/>
      <c r="CX15" s="139"/>
      <c r="CY15" s="139"/>
      <c r="CZ15" s="139"/>
      <c r="DB15" s="17">
        <v>14</v>
      </c>
    </row>
    <row r="16" spans="1:106">
      <c r="A16" s="17" t="s">
        <v>148</v>
      </c>
      <c r="L16" s="18" t="s">
        <v>149</v>
      </c>
      <c r="M16" s="52" t="s">
        <v>150</v>
      </c>
      <c r="N16" s="53"/>
      <c r="S16" s="17" t="s">
        <v>151</v>
      </c>
      <c r="T16" s="54" t="s">
        <v>152</v>
      </c>
      <c r="AS16" s="18" t="s">
        <v>149</v>
      </c>
      <c r="AT16" s="52" t="s">
        <v>150</v>
      </c>
      <c r="AU16" s="53"/>
      <c r="AW16" s="17" t="s">
        <v>151</v>
      </c>
      <c r="AX16" s="54" t="s">
        <v>152</v>
      </c>
      <c r="BA16" s="55"/>
      <c r="BB16" s="56"/>
      <c r="BC16" s="56"/>
      <c r="BW16" s="18" t="s">
        <v>149</v>
      </c>
      <c r="BX16" s="52" t="s">
        <v>150</v>
      </c>
      <c r="BY16" s="53"/>
      <c r="BZ16" s="139"/>
      <c r="CA16" s="139" t="s">
        <v>151</v>
      </c>
      <c r="CB16" s="139" t="s">
        <v>152</v>
      </c>
      <c r="CC16" s="139"/>
      <c r="CD16" s="139"/>
      <c r="CE16" s="141"/>
      <c r="CF16" s="140"/>
      <c r="CG16" s="140"/>
      <c r="CH16" s="139"/>
      <c r="CI16" s="139"/>
      <c r="CJ16" s="139"/>
      <c r="CK16" s="139"/>
      <c r="CL16" s="139"/>
      <c r="CM16" s="139"/>
      <c r="CN16" s="139"/>
      <c r="CO16" s="139"/>
      <c r="CP16" s="139"/>
      <c r="CQ16" s="139"/>
      <c r="CR16" s="139"/>
      <c r="CS16" s="139"/>
      <c r="CT16" s="139"/>
      <c r="CU16" s="139"/>
      <c r="CV16" s="139"/>
      <c r="CW16" s="139"/>
      <c r="CX16" s="139"/>
      <c r="CY16" s="139"/>
      <c r="CZ16" s="139"/>
      <c r="DB16" s="17">
        <v>15</v>
      </c>
    </row>
    <row r="17" spans="1:106">
      <c r="A17" s="17" t="s">
        <v>153</v>
      </c>
      <c r="L17" s="18" t="s">
        <v>154</v>
      </c>
      <c r="M17" s="52" t="s">
        <v>155</v>
      </c>
      <c r="N17" s="53"/>
      <c r="T17" s="54" t="s">
        <v>156</v>
      </c>
      <c r="AS17" s="18" t="s">
        <v>154</v>
      </c>
      <c r="AT17" s="52" t="s">
        <v>155</v>
      </c>
      <c r="AU17" s="53"/>
      <c r="AX17" s="54" t="s">
        <v>156</v>
      </c>
      <c r="BA17" s="55"/>
      <c r="BB17" s="56"/>
      <c r="BC17" s="56"/>
      <c r="BW17" s="18" t="s">
        <v>154</v>
      </c>
      <c r="BX17" s="52" t="s">
        <v>155</v>
      </c>
      <c r="BY17" s="53"/>
      <c r="BZ17" s="139"/>
      <c r="CA17" s="139"/>
      <c r="CB17" s="139" t="s">
        <v>156</v>
      </c>
      <c r="CC17" s="139"/>
      <c r="CD17" s="139"/>
      <c r="CE17" s="141"/>
      <c r="CF17" s="140"/>
      <c r="CG17" s="140"/>
      <c r="CH17" s="139"/>
      <c r="CI17" s="139"/>
      <c r="CJ17" s="139"/>
      <c r="CK17" s="139"/>
      <c r="CL17" s="139"/>
      <c r="CM17" s="139"/>
      <c r="CN17" s="139"/>
      <c r="CO17" s="139"/>
      <c r="CP17" s="139"/>
      <c r="CQ17" s="139"/>
      <c r="CR17" s="139"/>
      <c r="CS17" s="139"/>
      <c r="CT17" s="139"/>
      <c r="CU17" s="139"/>
      <c r="CV17" s="139"/>
      <c r="CW17" s="139"/>
      <c r="CX17" s="139"/>
      <c r="CY17" s="139"/>
      <c r="CZ17" s="139"/>
      <c r="DB17" s="17">
        <v>16</v>
      </c>
    </row>
    <row r="18" spans="1:106">
      <c r="A18" s="17" t="s">
        <v>157</v>
      </c>
      <c r="L18" s="18" t="s">
        <v>158</v>
      </c>
      <c r="M18" s="52" t="s">
        <v>159</v>
      </c>
      <c r="N18" s="53"/>
      <c r="T18" s="54" t="s">
        <v>160</v>
      </c>
      <c r="AS18" s="18" t="s">
        <v>158</v>
      </c>
      <c r="AT18" s="52" t="s">
        <v>159</v>
      </c>
      <c r="AU18" s="53"/>
      <c r="AX18" s="54" t="s">
        <v>160</v>
      </c>
      <c r="BA18" s="55"/>
      <c r="BB18" s="56"/>
      <c r="BC18" s="56"/>
      <c r="BW18" s="18" t="s">
        <v>158</v>
      </c>
      <c r="BX18" s="52" t="s">
        <v>159</v>
      </c>
      <c r="BY18" s="53"/>
      <c r="BZ18" s="139"/>
      <c r="CA18" s="139"/>
      <c r="CB18" s="139" t="s">
        <v>160</v>
      </c>
      <c r="CC18" s="139"/>
      <c r="CD18" s="139"/>
      <c r="CE18" s="141"/>
      <c r="CF18" s="140"/>
      <c r="CG18" s="140"/>
      <c r="CH18" s="139"/>
      <c r="CI18" s="139"/>
      <c r="CJ18" s="139"/>
      <c r="CK18" s="139"/>
      <c r="CL18" s="139"/>
      <c r="CM18" s="139"/>
      <c r="CN18" s="139"/>
      <c r="CO18" s="139"/>
      <c r="CP18" s="139"/>
      <c r="CQ18" s="139"/>
      <c r="CR18" s="139"/>
      <c r="CS18" s="139"/>
      <c r="CT18" s="139"/>
      <c r="CU18" s="139"/>
      <c r="CV18" s="139"/>
      <c r="CW18" s="139"/>
      <c r="CX18" s="139"/>
      <c r="CY18" s="139"/>
      <c r="CZ18" s="139"/>
      <c r="DB18" s="17">
        <v>17</v>
      </c>
    </row>
    <row r="19" spans="1:106">
      <c r="A19" s="17" t="s">
        <v>161</v>
      </c>
      <c r="L19" s="18" t="s">
        <v>162</v>
      </c>
      <c r="M19" s="52" t="s">
        <v>163</v>
      </c>
      <c r="N19" s="53"/>
      <c r="T19" s="54" t="s">
        <v>164</v>
      </c>
      <c r="AS19" s="18" t="s">
        <v>162</v>
      </c>
      <c r="AT19" s="52" t="s">
        <v>163</v>
      </c>
      <c r="AU19" s="53"/>
      <c r="AX19" s="54" t="s">
        <v>164</v>
      </c>
      <c r="BA19" s="55"/>
      <c r="BB19" s="56"/>
      <c r="BC19" s="56"/>
      <c r="BW19" s="18" t="s">
        <v>162</v>
      </c>
      <c r="BX19" s="52" t="s">
        <v>163</v>
      </c>
      <c r="BY19" s="53"/>
      <c r="BZ19" s="139"/>
      <c r="CA19" s="139"/>
      <c r="CB19" s="139" t="s">
        <v>164</v>
      </c>
      <c r="CC19" s="139"/>
      <c r="CD19" s="139"/>
      <c r="CE19" s="141"/>
      <c r="CF19" s="140"/>
      <c r="CG19" s="140"/>
      <c r="CH19" s="139"/>
      <c r="CI19" s="139"/>
      <c r="CJ19" s="139"/>
      <c r="CK19" s="139"/>
      <c r="CL19" s="139"/>
      <c r="CM19" s="139"/>
      <c r="CN19" s="139"/>
      <c r="CO19" s="139"/>
      <c r="CP19" s="139"/>
      <c r="CQ19" s="139"/>
      <c r="CR19" s="139"/>
      <c r="CS19" s="139"/>
      <c r="CT19" s="139"/>
      <c r="CU19" s="139"/>
      <c r="CV19" s="139"/>
      <c r="CW19" s="139"/>
      <c r="CX19" s="139"/>
      <c r="CY19" s="139"/>
      <c r="CZ19" s="139"/>
      <c r="DB19" s="17">
        <v>18</v>
      </c>
    </row>
    <row r="20" spans="1:106">
      <c r="A20" s="17" t="s">
        <v>165</v>
      </c>
      <c r="L20" s="18" t="s">
        <v>166</v>
      </c>
      <c r="M20" s="52" t="s">
        <v>167</v>
      </c>
      <c r="N20" s="53"/>
      <c r="T20" s="54" t="s">
        <v>168</v>
      </c>
      <c r="AS20" s="18" t="s">
        <v>166</v>
      </c>
      <c r="AT20" s="52" t="s">
        <v>167</v>
      </c>
      <c r="AU20" s="53"/>
      <c r="AX20" s="54" t="s">
        <v>168</v>
      </c>
      <c r="BA20" s="55"/>
      <c r="BB20" s="56"/>
      <c r="BC20" s="56"/>
      <c r="BW20" s="18" t="s">
        <v>166</v>
      </c>
      <c r="BX20" s="52" t="s">
        <v>167</v>
      </c>
      <c r="BY20" s="53"/>
      <c r="BZ20" s="139"/>
      <c r="CA20" s="139"/>
      <c r="CB20" s="139" t="s">
        <v>168</v>
      </c>
      <c r="CC20" s="139"/>
      <c r="CD20" s="139"/>
      <c r="CE20" s="141"/>
      <c r="CF20" s="140"/>
      <c r="CG20" s="140"/>
      <c r="CH20" s="139"/>
      <c r="CI20" s="139"/>
      <c r="CJ20" s="139"/>
      <c r="CK20" s="139"/>
      <c r="CL20" s="139"/>
      <c r="CM20" s="139"/>
      <c r="CN20" s="139"/>
      <c r="CO20" s="139"/>
      <c r="CP20" s="139"/>
      <c r="CQ20" s="139"/>
      <c r="CR20" s="139"/>
      <c r="CS20" s="139"/>
      <c r="CT20" s="139"/>
      <c r="CU20" s="139"/>
      <c r="CV20" s="139"/>
      <c r="CW20" s="139"/>
      <c r="CX20" s="139"/>
      <c r="CY20" s="139"/>
      <c r="CZ20" s="139"/>
      <c r="DB20" s="17">
        <v>19</v>
      </c>
    </row>
    <row r="21" spans="1:106">
      <c r="A21" s="17" t="s">
        <v>169</v>
      </c>
      <c r="L21" s="18" t="s">
        <v>170</v>
      </c>
      <c r="M21" s="52" t="s">
        <v>171</v>
      </c>
      <c r="N21" s="53"/>
      <c r="AS21" s="18" t="s">
        <v>170</v>
      </c>
      <c r="AT21" s="52" t="s">
        <v>171</v>
      </c>
      <c r="AU21" s="53"/>
      <c r="AX21" s="54"/>
      <c r="BA21" s="55"/>
      <c r="BB21" s="56"/>
      <c r="BC21" s="56"/>
      <c r="BW21" s="18" t="s">
        <v>170</v>
      </c>
      <c r="BX21" s="52" t="s">
        <v>171</v>
      </c>
      <c r="BY21" s="53"/>
      <c r="BZ21" s="139"/>
      <c r="CA21" s="139"/>
      <c r="CB21" s="139"/>
      <c r="CC21" s="139"/>
      <c r="CD21" s="139"/>
      <c r="CE21" s="141"/>
      <c r="CF21" s="140"/>
      <c r="CG21" s="140"/>
      <c r="CH21" s="139"/>
      <c r="CI21" s="139"/>
      <c r="CJ21" s="139"/>
      <c r="CK21" s="139"/>
      <c r="CL21" s="139"/>
      <c r="CM21" s="139"/>
      <c r="CN21" s="139"/>
      <c r="CO21" s="139"/>
      <c r="CP21" s="139"/>
      <c r="CQ21" s="139"/>
      <c r="CR21" s="139"/>
      <c r="CS21" s="139"/>
      <c r="CT21" s="139"/>
      <c r="CU21" s="139"/>
      <c r="CV21" s="139"/>
      <c r="CW21" s="139"/>
      <c r="CX21" s="139"/>
      <c r="CY21" s="139"/>
      <c r="CZ21" s="139"/>
      <c r="DB21" s="17">
        <v>20</v>
      </c>
    </row>
    <row r="22" spans="1:106">
      <c r="A22" s="17" t="s">
        <v>172</v>
      </c>
      <c r="L22" s="18" t="s">
        <v>173</v>
      </c>
      <c r="M22" s="52" t="s">
        <v>174</v>
      </c>
      <c r="N22" s="53"/>
      <c r="AS22" s="18" t="s">
        <v>173</v>
      </c>
      <c r="AT22" s="52" t="s">
        <v>174</v>
      </c>
      <c r="AU22" s="53"/>
      <c r="AX22" s="54"/>
      <c r="BA22" s="55"/>
      <c r="BB22" s="56"/>
      <c r="BC22" s="56"/>
      <c r="BW22" s="18" t="s">
        <v>173</v>
      </c>
      <c r="BX22" s="52" t="s">
        <v>174</v>
      </c>
      <c r="BY22" s="53"/>
      <c r="BZ22" s="139"/>
      <c r="CA22" s="139"/>
      <c r="CB22" s="139"/>
      <c r="CC22" s="139"/>
      <c r="CD22" s="139"/>
      <c r="CE22" s="141"/>
      <c r="CF22" s="140"/>
      <c r="CG22" s="140"/>
      <c r="CH22" s="139"/>
      <c r="CI22" s="139"/>
      <c r="CJ22" s="139"/>
      <c r="CK22" s="139"/>
      <c r="CL22" s="139"/>
      <c r="CM22" s="139"/>
      <c r="CN22" s="139"/>
      <c r="CO22" s="139"/>
      <c r="CP22" s="139"/>
      <c r="CQ22" s="139"/>
      <c r="CR22" s="139"/>
      <c r="CS22" s="139"/>
      <c r="CT22" s="139"/>
      <c r="CU22" s="139"/>
      <c r="CV22" s="139"/>
      <c r="CW22" s="139"/>
      <c r="CX22" s="139"/>
      <c r="CY22" s="139"/>
      <c r="CZ22" s="139"/>
      <c r="DB22" s="17">
        <v>21</v>
      </c>
    </row>
    <row r="23" spans="1:106">
      <c r="A23" s="17" t="s">
        <v>175</v>
      </c>
      <c r="L23" s="18" t="s">
        <v>176</v>
      </c>
      <c r="M23" s="52" t="s">
        <v>177</v>
      </c>
      <c r="N23" s="53"/>
      <c r="AS23" s="18" t="s">
        <v>176</v>
      </c>
      <c r="AT23" s="52" t="s">
        <v>177</v>
      </c>
      <c r="AU23" s="53"/>
      <c r="AX23" s="54"/>
      <c r="BA23" s="55"/>
      <c r="BB23" s="56"/>
      <c r="BC23" s="56"/>
      <c r="BW23" s="18" t="s">
        <v>176</v>
      </c>
      <c r="BX23" s="52" t="s">
        <v>177</v>
      </c>
      <c r="BY23" s="53"/>
      <c r="BZ23" s="139"/>
      <c r="CA23" s="139"/>
      <c r="CB23" s="139"/>
      <c r="CC23" s="139"/>
      <c r="CD23" s="139"/>
      <c r="CE23" s="141"/>
      <c r="CF23" s="140"/>
      <c r="CG23" s="140"/>
      <c r="CH23" s="139"/>
      <c r="CI23" s="139"/>
      <c r="CJ23" s="139"/>
      <c r="CK23" s="139"/>
      <c r="CL23" s="139"/>
      <c r="CM23" s="139"/>
      <c r="CN23" s="139"/>
      <c r="CO23" s="139"/>
      <c r="CP23" s="139"/>
      <c r="CQ23" s="139"/>
      <c r="CR23" s="139"/>
      <c r="CS23" s="139"/>
      <c r="CT23" s="139"/>
      <c r="CU23" s="139"/>
      <c r="CV23" s="139"/>
      <c r="CW23" s="139"/>
      <c r="CX23" s="139"/>
      <c r="CY23" s="139"/>
      <c r="CZ23" s="139"/>
      <c r="DB23" s="17">
        <v>22</v>
      </c>
    </row>
    <row r="24" spans="1:106">
      <c r="A24" s="17" t="s">
        <v>178</v>
      </c>
      <c r="L24" s="18" t="s">
        <v>179</v>
      </c>
      <c r="M24" s="52" t="s">
        <v>180</v>
      </c>
      <c r="N24" s="53"/>
      <c r="AS24" s="18" t="s">
        <v>179</v>
      </c>
      <c r="AT24" s="52" t="s">
        <v>180</v>
      </c>
      <c r="AU24" s="53"/>
      <c r="AX24" s="54"/>
      <c r="BA24" s="55"/>
      <c r="BB24" s="56"/>
      <c r="BC24" s="56"/>
      <c r="BW24" s="18" t="s">
        <v>179</v>
      </c>
      <c r="BX24" s="52" t="s">
        <v>180</v>
      </c>
      <c r="BY24" s="53"/>
      <c r="BZ24" s="139"/>
      <c r="CA24" s="139"/>
      <c r="CB24" s="139"/>
      <c r="CC24" s="139"/>
      <c r="CD24" s="139"/>
      <c r="CE24" s="141"/>
      <c r="CF24" s="140"/>
      <c r="CG24" s="140"/>
      <c r="CH24" s="139"/>
      <c r="CI24" s="139"/>
      <c r="CJ24" s="139"/>
      <c r="CK24" s="139"/>
      <c r="CL24" s="139"/>
      <c r="CM24" s="139"/>
      <c r="CN24" s="139"/>
      <c r="CO24" s="139"/>
      <c r="CP24" s="139"/>
      <c r="CQ24" s="139"/>
      <c r="CR24" s="139"/>
      <c r="CS24" s="139"/>
      <c r="CT24" s="139"/>
      <c r="CU24" s="139"/>
      <c r="CV24" s="139"/>
      <c r="CW24" s="139"/>
      <c r="CX24" s="139"/>
      <c r="CY24" s="139"/>
      <c r="CZ24" s="139"/>
      <c r="DB24" s="17">
        <v>23</v>
      </c>
    </row>
    <row r="25" spans="1:106">
      <c r="A25" s="17" t="s">
        <v>181</v>
      </c>
      <c r="L25" s="18" t="s">
        <v>182</v>
      </c>
      <c r="M25" s="52" t="s">
        <v>183</v>
      </c>
      <c r="N25" s="53"/>
      <c r="AS25" s="18" t="s">
        <v>182</v>
      </c>
      <c r="AT25" s="52" t="s">
        <v>183</v>
      </c>
      <c r="AU25" s="53"/>
      <c r="AX25" s="54"/>
      <c r="BA25" s="55"/>
      <c r="BB25" s="56"/>
      <c r="BC25" s="56"/>
      <c r="BW25" s="18" t="s">
        <v>182</v>
      </c>
      <c r="BX25" s="52" t="s">
        <v>183</v>
      </c>
      <c r="BY25" s="53"/>
      <c r="BZ25" s="139"/>
      <c r="CA25" s="139"/>
      <c r="CB25" s="139"/>
      <c r="CC25" s="139"/>
      <c r="CD25" s="139"/>
      <c r="CE25" s="141"/>
      <c r="CF25" s="140"/>
      <c r="CG25" s="140"/>
      <c r="CH25" s="139"/>
      <c r="CI25" s="139"/>
      <c r="CJ25" s="139"/>
      <c r="CK25" s="139"/>
      <c r="CL25" s="139"/>
      <c r="CM25" s="139"/>
      <c r="CN25" s="139"/>
      <c r="CO25" s="139"/>
      <c r="CP25" s="139"/>
      <c r="CQ25" s="139"/>
      <c r="CR25" s="139"/>
      <c r="CS25" s="139"/>
      <c r="CT25" s="139"/>
      <c r="CU25" s="139"/>
      <c r="CV25" s="139"/>
      <c r="CW25" s="139"/>
      <c r="CX25" s="139"/>
      <c r="CY25" s="139"/>
      <c r="CZ25" s="139"/>
      <c r="DB25" s="17">
        <v>24</v>
      </c>
    </row>
    <row r="26" spans="1:106">
      <c r="A26" s="17" t="s">
        <v>184</v>
      </c>
      <c r="L26" s="18" t="s">
        <v>185</v>
      </c>
      <c r="M26" s="52" t="s">
        <v>186</v>
      </c>
      <c r="N26" s="53"/>
      <c r="AS26" s="18" t="s">
        <v>185</v>
      </c>
      <c r="AT26" s="52" t="s">
        <v>186</v>
      </c>
      <c r="AU26" s="53"/>
      <c r="AX26" s="54"/>
      <c r="BA26" s="55"/>
      <c r="BB26" s="56"/>
      <c r="BC26" s="56"/>
      <c r="BW26" s="18" t="s">
        <v>185</v>
      </c>
      <c r="BX26" s="52" t="s">
        <v>186</v>
      </c>
      <c r="BY26" s="53"/>
      <c r="BZ26" s="139"/>
      <c r="CA26" s="139"/>
      <c r="CB26" s="139"/>
      <c r="CC26" s="139"/>
      <c r="CD26" s="139"/>
      <c r="CE26" s="141"/>
      <c r="CF26" s="140"/>
      <c r="CG26" s="140"/>
      <c r="CH26" s="139"/>
      <c r="CI26" s="139"/>
      <c r="CJ26" s="139"/>
      <c r="CK26" s="139"/>
      <c r="CL26" s="139"/>
      <c r="CM26" s="139"/>
      <c r="CN26" s="139"/>
      <c r="CO26" s="139"/>
      <c r="CP26" s="139"/>
      <c r="CQ26" s="139"/>
      <c r="CR26" s="139"/>
      <c r="CS26" s="139"/>
      <c r="CT26" s="139"/>
      <c r="CU26" s="139"/>
      <c r="CV26" s="139"/>
      <c r="CW26" s="139"/>
      <c r="CX26" s="139"/>
      <c r="CY26" s="139"/>
      <c r="CZ26" s="139"/>
      <c r="DB26" s="17">
        <v>25</v>
      </c>
    </row>
    <row r="27" spans="1:106">
      <c r="A27" s="17" t="s">
        <v>187</v>
      </c>
      <c r="L27" s="18" t="s">
        <v>188</v>
      </c>
      <c r="M27" s="52" t="s">
        <v>189</v>
      </c>
      <c r="N27" s="53"/>
      <c r="AS27" s="18" t="s">
        <v>188</v>
      </c>
      <c r="AT27" s="52" t="s">
        <v>189</v>
      </c>
      <c r="AU27" s="53"/>
      <c r="AX27" s="54"/>
      <c r="BA27" s="55"/>
      <c r="BB27" s="56"/>
      <c r="BC27" s="56"/>
      <c r="BW27" s="18" t="s">
        <v>188</v>
      </c>
      <c r="BX27" s="52" t="s">
        <v>189</v>
      </c>
      <c r="BY27" s="53"/>
      <c r="BZ27" s="139"/>
      <c r="CA27" s="139"/>
      <c r="CB27" s="139"/>
      <c r="CC27" s="139"/>
      <c r="CD27" s="139"/>
      <c r="CE27" s="141"/>
      <c r="CF27" s="140"/>
      <c r="CG27" s="140"/>
      <c r="CH27" s="139"/>
      <c r="CI27" s="139"/>
      <c r="CJ27" s="139"/>
      <c r="CK27" s="139"/>
      <c r="CL27" s="139"/>
      <c r="CM27" s="139"/>
      <c r="CN27" s="139"/>
      <c r="CO27" s="139"/>
      <c r="CP27" s="139"/>
      <c r="CQ27" s="139"/>
      <c r="CR27" s="139"/>
      <c r="CS27" s="139"/>
      <c r="CT27" s="139"/>
      <c r="CU27" s="139"/>
      <c r="CV27" s="139"/>
      <c r="CW27" s="139"/>
      <c r="CX27" s="139"/>
      <c r="CY27" s="139"/>
      <c r="CZ27" s="139"/>
      <c r="DB27" s="17">
        <v>26</v>
      </c>
    </row>
    <row r="28" spans="1:106">
      <c r="A28" s="17" t="s">
        <v>190</v>
      </c>
      <c r="L28" s="18" t="s">
        <v>191</v>
      </c>
      <c r="M28" s="52" t="s">
        <v>192</v>
      </c>
      <c r="N28" s="53"/>
      <c r="AS28" s="18" t="s">
        <v>191</v>
      </c>
      <c r="AT28" s="52" t="s">
        <v>192</v>
      </c>
      <c r="AU28" s="53"/>
      <c r="AX28" s="54"/>
      <c r="BA28" s="55"/>
      <c r="BB28" s="56"/>
      <c r="BC28" s="56"/>
      <c r="BW28" s="18" t="s">
        <v>191</v>
      </c>
      <c r="BX28" s="52" t="s">
        <v>192</v>
      </c>
      <c r="BY28" s="53"/>
      <c r="BZ28" s="139"/>
      <c r="CA28" s="139"/>
      <c r="CB28" s="139"/>
      <c r="CC28" s="139"/>
      <c r="CD28" s="139"/>
      <c r="CE28" s="141"/>
      <c r="CF28" s="140"/>
      <c r="CG28" s="140"/>
      <c r="CH28" s="139"/>
      <c r="CI28" s="139"/>
      <c r="CJ28" s="139"/>
      <c r="CK28" s="139"/>
      <c r="CL28" s="139"/>
      <c r="CM28" s="139"/>
      <c r="CN28" s="139"/>
      <c r="CO28" s="139"/>
      <c r="CP28" s="139"/>
      <c r="CQ28" s="139"/>
      <c r="CR28" s="139"/>
      <c r="CS28" s="139"/>
      <c r="CT28" s="139"/>
      <c r="CU28" s="139"/>
      <c r="CV28" s="139"/>
      <c r="CW28" s="139"/>
      <c r="CX28" s="139"/>
      <c r="CY28" s="139"/>
      <c r="CZ28" s="139"/>
      <c r="DB28" s="17">
        <v>27</v>
      </c>
    </row>
    <row r="29" spans="1:106">
      <c r="A29" s="17" t="s">
        <v>193</v>
      </c>
      <c r="L29" s="18" t="s">
        <v>194</v>
      </c>
      <c r="M29" s="52" t="s">
        <v>195</v>
      </c>
      <c r="N29" s="53"/>
      <c r="AS29" s="18" t="s">
        <v>194</v>
      </c>
      <c r="AT29" s="52" t="s">
        <v>195</v>
      </c>
      <c r="AU29" s="53"/>
      <c r="AX29" s="54"/>
      <c r="BA29" s="55"/>
      <c r="BB29" s="56"/>
      <c r="BC29" s="56"/>
      <c r="BW29" s="18" t="s">
        <v>194</v>
      </c>
      <c r="BX29" s="52" t="s">
        <v>195</v>
      </c>
      <c r="BY29" s="53"/>
      <c r="BZ29" s="139"/>
      <c r="CA29" s="139"/>
      <c r="CB29" s="139"/>
      <c r="CC29" s="139"/>
      <c r="CD29" s="139"/>
      <c r="CE29" s="141"/>
      <c r="CF29" s="140"/>
      <c r="CG29" s="140"/>
      <c r="CH29" s="139"/>
      <c r="CI29" s="139"/>
      <c r="CJ29" s="139"/>
      <c r="CK29" s="139"/>
      <c r="CL29" s="139"/>
      <c r="CM29" s="139"/>
      <c r="CN29" s="139"/>
      <c r="CO29" s="139"/>
      <c r="CP29" s="139"/>
      <c r="CQ29" s="139"/>
      <c r="CR29" s="139"/>
      <c r="CS29" s="139"/>
      <c r="CT29" s="139"/>
      <c r="CU29" s="139"/>
      <c r="CV29" s="139"/>
      <c r="CW29" s="139"/>
      <c r="CX29" s="139"/>
      <c r="CY29" s="139"/>
      <c r="CZ29" s="139"/>
      <c r="DB29" s="17">
        <v>28</v>
      </c>
    </row>
    <row r="30" spans="1:106">
      <c r="A30" s="17" t="s">
        <v>196</v>
      </c>
      <c r="L30" s="18" t="s">
        <v>197</v>
      </c>
      <c r="M30" s="52" t="s">
        <v>198</v>
      </c>
      <c r="N30" s="53"/>
      <c r="AS30" s="18" t="s">
        <v>197</v>
      </c>
      <c r="AT30" s="52" t="s">
        <v>198</v>
      </c>
      <c r="AU30" s="53"/>
      <c r="AX30" s="54"/>
      <c r="BA30" s="55"/>
      <c r="BB30" s="56"/>
      <c r="BC30" s="56"/>
      <c r="BW30" s="18" t="s">
        <v>197</v>
      </c>
      <c r="BX30" s="52" t="s">
        <v>198</v>
      </c>
      <c r="BY30" s="53"/>
      <c r="BZ30" s="139"/>
      <c r="CA30" s="139"/>
      <c r="CB30" s="139"/>
      <c r="CC30" s="139"/>
      <c r="CD30" s="139"/>
      <c r="CE30" s="141"/>
      <c r="CF30" s="140"/>
      <c r="CG30" s="140"/>
      <c r="CH30" s="139"/>
      <c r="CI30" s="139"/>
      <c r="CJ30" s="139"/>
      <c r="CK30" s="139"/>
      <c r="CL30" s="139"/>
      <c r="CM30" s="139"/>
      <c r="CN30" s="139"/>
      <c r="CO30" s="139"/>
      <c r="CP30" s="139"/>
      <c r="CQ30" s="139"/>
      <c r="CR30" s="139"/>
      <c r="CS30" s="139"/>
      <c r="CT30" s="139"/>
      <c r="CU30" s="139"/>
      <c r="CV30" s="139"/>
      <c r="CW30" s="139"/>
      <c r="CX30" s="139"/>
      <c r="CY30" s="139"/>
      <c r="CZ30" s="139"/>
      <c r="DB30" s="17">
        <v>29</v>
      </c>
    </row>
    <row r="31" spans="1:106">
      <c r="A31" s="17" t="s">
        <v>148</v>
      </c>
      <c r="L31" s="18" t="s">
        <v>199</v>
      </c>
      <c r="M31" s="52" t="s">
        <v>200</v>
      </c>
      <c r="N31" s="53"/>
      <c r="AS31" s="18" t="s">
        <v>199</v>
      </c>
      <c r="AT31" s="52" t="s">
        <v>200</v>
      </c>
      <c r="AU31" s="53"/>
      <c r="AX31" s="54"/>
      <c r="BA31" s="55"/>
      <c r="BB31" s="56"/>
      <c r="BC31" s="56"/>
      <c r="BW31" s="18" t="s">
        <v>199</v>
      </c>
      <c r="BX31" s="52" t="s">
        <v>200</v>
      </c>
      <c r="BY31" s="53"/>
      <c r="BZ31" s="139"/>
      <c r="CA31" s="139"/>
      <c r="CB31" s="139"/>
      <c r="CC31" s="139"/>
      <c r="CD31" s="139"/>
      <c r="CE31" s="141"/>
      <c r="CF31" s="140"/>
      <c r="CG31" s="140"/>
      <c r="CH31" s="139"/>
      <c r="CI31" s="139"/>
      <c r="CJ31" s="139"/>
      <c r="CK31" s="139"/>
      <c r="CL31" s="139"/>
      <c r="CM31" s="139"/>
      <c r="CN31" s="139"/>
      <c r="CO31" s="139"/>
      <c r="CP31" s="139"/>
      <c r="CQ31" s="139"/>
      <c r="CR31" s="139"/>
      <c r="CS31" s="139"/>
      <c r="CT31" s="139"/>
      <c r="CU31" s="139"/>
      <c r="CV31" s="139"/>
      <c r="CW31" s="139"/>
      <c r="CX31" s="139"/>
      <c r="CY31" s="139"/>
      <c r="CZ31" s="139"/>
      <c r="DB31" s="17">
        <v>30</v>
      </c>
    </row>
    <row r="32" spans="1:106">
      <c r="A32" s="17" t="s">
        <v>201</v>
      </c>
      <c r="L32" s="18" t="s">
        <v>202</v>
      </c>
      <c r="M32" s="52" t="s">
        <v>203</v>
      </c>
      <c r="N32" s="53"/>
      <c r="AS32" s="18" t="s">
        <v>202</v>
      </c>
      <c r="AT32" s="52" t="s">
        <v>203</v>
      </c>
      <c r="AU32" s="53"/>
      <c r="AX32" s="54"/>
      <c r="BA32" s="55"/>
      <c r="BB32" s="56"/>
      <c r="BC32" s="56"/>
      <c r="BW32" s="18" t="s">
        <v>202</v>
      </c>
      <c r="BX32" s="52" t="s">
        <v>203</v>
      </c>
      <c r="BY32" s="53"/>
      <c r="BZ32" s="139"/>
      <c r="CA32" s="139"/>
      <c r="CB32" s="139"/>
      <c r="CC32" s="139"/>
      <c r="CD32" s="139"/>
      <c r="CE32" s="141"/>
      <c r="CF32" s="140"/>
      <c r="CG32" s="140"/>
      <c r="CH32" s="139"/>
      <c r="CI32" s="139"/>
      <c r="CJ32" s="139"/>
      <c r="CK32" s="139"/>
      <c r="CL32" s="139"/>
      <c r="CM32" s="139"/>
      <c r="CN32" s="139"/>
      <c r="CO32" s="139"/>
      <c r="CP32" s="139"/>
      <c r="CQ32" s="139"/>
      <c r="CR32" s="139"/>
      <c r="CS32" s="139"/>
      <c r="CT32" s="139"/>
      <c r="CU32" s="139"/>
      <c r="CV32" s="139"/>
      <c r="CW32" s="139"/>
      <c r="CX32" s="139"/>
      <c r="CY32" s="139"/>
      <c r="CZ32" s="139"/>
      <c r="DB32" s="17">
        <v>31</v>
      </c>
    </row>
    <row r="33" spans="1:106">
      <c r="A33" s="17" t="s">
        <v>204</v>
      </c>
      <c r="L33" s="18" t="s">
        <v>205</v>
      </c>
      <c r="M33" s="52" t="s">
        <v>206</v>
      </c>
      <c r="N33" s="53"/>
      <c r="AS33" s="18" t="s">
        <v>205</v>
      </c>
      <c r="AT33" s="52" t="s">
        <v>206</v>
      </c>
      <c r="AU33" s="53"/>
      <c r="AX33" s="54"/>
      <c r="BA33" s="55"/>
      <c r="BB33" s="56"/>
      <c r="BC33" s="56"/>
      <c r="BW33" s="18" t="s">
        <v>205</v>
      </c>
      <c r="BX33" s="52" t="s">
        <v>206</v>
      </c>
      <c r="BY33" s="53"/>
      <c r="BZ33" s="139"/>
      <c r="CA33" s="139"/>
      <c r="CB33" s="139"/>
      <c r="CC33" s="139"/>
      <c r="CD33" s="139"/>
      <c r="CE33" s="141"/>
      <c r="CF33" s="140"/>
      <c r="CG33" s="140"/>
      <c r="CH33" s="139"/>
      <c r="CI33" s="139"/>
      <c r="CJ33" s="139"/>
      <c r="CK33" s="139"/>
      <c r="CL33" s="139"/>
      <c r="CM33" s="139"/>
      <c r="CN33" s="139"/>
      <c r="CO33" s="139"/>
      <c r="CP33" s="139"/>
      <c r="CQ33" s="139"/>
      <c r="CR33" s="139"/>
      <c r="CS33" s="139"/>
      <c r="CT33" s="139"/>
      <c r="CU33" s="139"/>
      <c r="CV33" s="139"/>
      <c r="CW33" s="139"/>
      <c r="CX33" s="139"/>
      <c r="CY33" s="139"/>
      <c r="CZ33" s="139"/>
      <c r="DB33" s="17">
        <v>32</v>
      </c>
    </row>
    <row r="34" spans="1:106">
      <c r="A34" s="17" t="s">
        <v>207</v>
      </c>
      <c r="L34" s="18" t="s">
        <v>208</v>
      </c>
      <c r="M34" s="52" t="s">
        <v>209</v>
      </c>
      <c r="N34" s="53"/>
      <c r="AS34" s="18" t="s">
        <v>208</v>
      </c>
      <c r="AT34" s="52" t="s">
        <v>209</v>
      </c>
      <c r="AU34" s="53"/>
      <c r="AX34" s="54"/>
      <c r="BA34" s="55"/>
      <c r="BB34" s="56"/>
      <c r="BC34" s="56"/>
      <c r="BW34" s="18" t="s">
        <v>208</v>
      </c>
      <c r="BX34" s="52" t="s">
        <v>209</v>
      </c>
      <c r="BY34" s="53"/>
      <c r="BZ34" s="139"/>
      <c r="CA34" s="139"/>
      <c r="CB34" s="139"/>
      <c r="CC34" s="139"/>
      <c r="CD34" s="139"/>
      <c r="CE34" s="141"/>
      <c r="CF34" s="140"/>
      <c r="CG34" s="140"/>
      <c r="CH34" s="139"/>
      <c r="CI34" s="139"/>
      <c r="CJ34" s="139"/>
      <c r="CK34" s="139"/>
      <c r="CL34" s="139"/>
      <c r="CM34" s="139"/>
      <c r="CN34" s="139"/>
      <c r="CO34" s="139"/>
      <c r="CP34" s="139"/>
      <c r="CQ34" s="139"/>
      <c r="CR34" s="139"/>
      <c r="CS34" s="139"/>
      <c r="CT34" s="139"/>
      <c r="CU34" s="139"/>
      <c r="CV34" s="139"/>
      <c r="CW34" s="139"/>
      <c r="CX34" s="139"/>
      <c r="CY34" s="139"/>
      <c r="CZ34" s="139"/>
      <c r="DB34" s="17">
        <v>33</v>
      </c>
    </row>
    <row r="35" spans="1:106">
      <c r="A35" s="17" t="s">
        <v>210</v>
      </c>
      <c r="L35" s="18" t="s">
        <v>211</v>
      </c>
      <c r="M35" s="52" t="s">
        <v>212</v>
      </c>
      <c r="N35" s="53"/>
      <c r="AS35" s="18" t="s">
        <v>211</v>
      </c>
      <c r="AT35" s="52" t="s">
        <v>212</v>
      </c>
      <c r="AU35" s="53"/>
      <c r="AX35" s="54"/>
      <c r="BA35" s="55"/>
      <c r="BB35" s="56"/>
      <c r="BC35" s="56"/>
      <c r="BW35" s="18" t="s">
        <v>211</v>
      </c>
      <c r="BX35" s="52" t="s">
        <v>212</v>
      </c>
      <c r="BY35" s="53"/>
      <c r="BZ35" s="139"/>
      <c r="CA35" s="139"/>
      <c r="CB35" s="139"/>
      <c r="CC35" s="139"/>
      <c r="CD35" s="139"/>
      <c r="CE35" s="141"/>
      <c r="CF35" s="140"/>
      <c r="CG35" s="140"/>
      <c r="CH35" s="139"/>
      <c r="CI35" s="139"/>
      <c r="CJ35" s="139"/>
      <c r="CK35" s="139"/>
      <c r="CL35" s="139"/>
      <c r="CM35" s="139"/>
      <c r="CN35" s="139"/>
      <c r="CO35" s="139"/>
      <c r="CP35" s="139"/>
      <c r="CQ35" s="139"/>
      <c r="CR35" s="139"/>
      <c r="CS35" s="139"/>
      <c r="CT35" s="139"/>
      <c r="CU35" s="139"/>
      <c r="CV35" s="139"/>
      <c r="CW35" s="139"/>
      <c r="CX35" s="139"/>
      <c r="CY35" s="139"/>
      <c r="CZ35" s="139"/>
      <c r="DB35" s="17">
        <v>34</v>
      </c>
    </row>
    <row r="36" spans="1:106">
      <c r="A36" s="17" t="s">
        <v>213</v>
      </c>
      <c r="L36" s="18" t="s">
        <v>214</v>
      </c>
      <c r="M36" s="52" t="s">
        <v>215</v>
      </c>
      <c r="N36" s="53"/>
      <c r="AS36" s="18" t="s">
        <v>214</v>
      </c>
      <c r="AT36" s="52" t="s">
        <v>215</v>
      </c>
      <c r="AU36" s="53"/>
      <c r="AX36" s="54"/>
      <c r="BA36" s="55"/>
      <c r="BB36" s="56"/>
      <c r="BC36" s="56"/>
      <c r="BW36" s="18" t="s">
        <v>214</v>
      </c>
      <c r="BX36" s="52" t="s">
        <v>215</v>
      </c>
      <c r="BY36" s="53"/>
      <c r="BZ36" s="139"/>
      <c r="CA36" s="139"/>
      <c r="CB36" s="139"/>
      <c r="CC36" s="139"/>
      <c r="CD36" s="139"/>
      <c r="CE36" s="141"/>
      <c r="CF36" s="140"/>
      <c r="CG36" s="140"/>
      <c r="CH36" s="139"/>
      <c r="CI36" s="139"/>
      <c r="CJ36" s="139"/>
      <c r="CK36" s="139"/>
      <c r="CL36" s="139"/>
      <c r="CM36" s="139"/>
      <c r="CN36" s="139"/>
      <c r="CO36" s="139"/>
      <c r="CP36" s="139"/>
      <c r="CQ36" s="139"/>
      <c r="CR36" s="139"/>
      <c r="CS36" s="139"/>
      <c r="CT36" s="139"/>
      <c r="CU36" s="139"/>
      <c r="CV36" s="139"/>
      <c r="CW36" s="139"/>
      <c r="CX36" s="139"/>
      <c r="CY36" s="139"/>
      <c r="CZ36" s="139"/>
      <c r="DB36" s="17">
        <v>35</v>
      </c>
    </row>
    <row r="37" spans="1:106">
      <c r="A37" s="17" t="s">
        <v>216</v>
      </c>
      <c r="L37" s="18" t="s">
        <v>217</v>
      </c>
      <c r="M37" s="52" t="s">
        <v>218</v>
      </c>
      <c r="N37" s="53"/>
      <c r="AS37" s="18" t="s">
        <v>217</v>
      </c>
      <c r="AT37" s="52" t="s">
        <v>218</v>
      </c>
      <c r="AU37" s="53"/>
      <c r="AX37" s="54"/>
      <c r="BA37" s="55"/>
      <c r="BB37" s="56"/>
      <c r="BC37" s="56"/>
      <c r="BW37" s="18" t="s">
        <v>217</v>
      </c>
      <c r="BX37" s="52" t="s">
        <v>218</v>
      </c>
      <c r="BY37" s="53"/>
      <c r="BZ37" s="139"/>
      <c r="CA37" s="139"/>
      <c r="CB37" s="139"/>
      <c r="CC37" s="139"/>
      <c r="CD37" s="139"/>
      <c r="CE37" s="141"/>
      <c r="CF37" s="140"/>
      <c r="CG37" s="140"/>
      <c r="CH37" s="139"/>
      <c r="CI37" s="139"/>
      <c r="CJ37" s="139"/>
      <c r="CK37" s="139"/>
      <c r="CL37" s="139"/>
      <c r="CM37" s="139"/>
      <c r="CN37" s="139"/>
      <c r="CO37" s="139"/>
      <c r="CP37" s="139"/>
      <c r="CQ37" s="139"/>
      <c r="CR37" s="139"/>
      <c r="CS37" s="139"/>
      <c r="CT37" s="139"/>
      <c r="CU37" s="139"/>
      <c r="CV37" s="139"/>
      <c r="CW37" s="139"/>
      <c r="CX37" s="139"/>
      <c r="CY37" s="139"/>
      <c r="CZ37" s="139"/>
      <c r="DB37" s="17">
        <v>36</v>
      </c>
    </row>
    <row r="38" spans="1:106">
      <c r="A38" s="17" t="s">
        <v>161</v>
      </c>
      <c r="L38" s="18" t="s">
        <v>219</v>
      </c>
      <c r="M38" s="52" t="s">
        <v>220</v>
      </c>
      <c r="N38" s="53"/>
      <c r="AS38" s="18" t="s">
        <v>219</v>
      </c>
      <c r="AT38" s="52" t="s">
        <v>220</v>
      </c>
      <c r="AU38" s="53"/>
      <c r="AX38" s="54"/>
      <c r="BA38" s="55"/>
      <c r="BB38" s="56"/>
      <c r="BC38" s="56"/>
      <c r="BW38" s="18" t="s">
        <v>219</v>
      </c>
      <c r="BX38" s="52" t="s">
        <v>220</v>
      </c>
      <c r="BY38" s="53"/>
      <c r="BZ38" s="139"/>
      <c r="CA38" s="139"/>
      <c r="CB38" s="139"/>
      <c r="CC38" s="139"/>
      <c r="CD38" s="139"/>
      <c r="CE38" s="141"/>
      <c r="CF38" s="140"/>
      <c r="CG38" s="140"/>
      <c r="CH38" s="139"/>
      <c r="CI38" s="139"/>
      <c r="CJ38" s="139"/>
      <c r="CK38" s="139"/>
      <c r="CL38" s="139"/>
      <c r="CM38" s="139"/>
      <c r="CN38" s="139"/>
      <c r="CO38" s="139"/>
      <c r="CP38" s="139"/>
      <c r="CQ38" s="139"/>
      <c r="CR38" s="139"/>
      <c r="CS38" s="139"/>
      <c r="CT38" s="139"/>
      <c r="CU38" s="139"/>
      <c r="CV38" s="139"/>
      <c r="CW38" s="139"/>
      <c r="CX38" s="139"/>
      <c r="CY38" s="139"/>
      <c r="CZ38" s="139"/>
      <c r="DB38" s="17">
        <v>37</v>
      </c>
    </row>
    <row r="39" spans="1:106">
      <c r="A39" s="17" t="s">
        <v>221</v>
      </c>
      <c r="L39" s="18" t="s">
        <v>222</v>
      </c>
      <c r="M39" s="52" t="s">
        <v>223</v>
      </c>
      <c r="N39" s="53"/>
      <c r="AS39" s="18" t="s">
        <v>222</v>
      </c>
      <c r="AT39" s="52" t="s">
        <v>223</v>
      </c>
      <c r="AU39" s="53"/>
      <c r="AX39" s="54"/>
      <c r="BA39" s="55"/>
      <c r="BB39" s="56"/>
      <c r="BC39" s="56"/>
      <c r="BW39" s="18" t="s">
        <v>222</v>
      </c>
      <c r="BX39" s="52" t="s">
        <v>223</v>
      </c>
      <c r="BY39" s="53"/>
      <c r="BZ39" s="139"/>
      <c r="CA39" s="139"/>
      <c r="CB39" s="139"/>
      <c r="CC39" s="139"/>
      <c r="CD39" s="139"/>
      <c r="CE39" s="141"/>
      <c r="CF39" s="140"/>
      <c r="CG39" s="140"/>
      <c r="CH39" s="139"/>
      <c r="CI39" s="139"/>
      <c r="CJ39" s="139"/>
      <c r="CK39" s="139"/>
      <c r="CL39" s="139"/>
      <c r="CM39" s="139"/>
      <c r="CN39" s="139"/>
      <c r="CO39" s="139"/>
      <c r="CP39" s="139"/>
      <c r="CQ39" s="139"/>
      <c r="CR39" s="139"/>
      <c r="CS39" s="139"/>
      <c r="CT39" s="139"/>
      <c r="CU39" s="139"/>
      <c r="CV39" s="139"/>
      <c r="CW39" s="139"/>
      <c r="CX39" s="139"/>
      <c r="CY39" s="139"/>
      <c r="CZ39" s="139"/>
      <c r="DB39" s="17">
        <v>38</v>
      </c>
    </row>
    <row r="40" spans="1:106">
      <c r="A40" s="17" t="s">
        <v>224</v>
      </c>
      <c r="L40" s="18" t="s">
        <v>225</v>
      </c>
      <c r="M40" s="52" t="s">
        <v>226</v>
      </c>
      <c r="N40" s="53"/>
      <c r="AS40" s="18" t="s">
        <v>225</v>
      </c>
      <c r="AT40" s="52" t="s">
        <v>226</v>
      </c>
      <c r="AU40" s="53"/>
      <c r="AX40" s="54"/>
      <c r="BA40" s="55"/>
      <c r="BB40" s="56"/>
      <c r="BC40" s="56"/>
      <c r="BW40" s="18" t="s">
        <v>225</v>
      </c>
      <c r="BX40" s="52" t="s">
        <v>226</v>
      </c>
      <c r="BY40" s="53"/>
      <c r="BZ40" s="139"/>
      <c r="CA40" s="139"/>
      <c r="CB40" s="139"/>
      <c r="CC40" s="139"/>
      <c r="CD40" s="139"/>
      <c r="CE40" s="141"/>
      <c r="CF40" s="140"/>
      <c r="CG40" s="140"/>
      <c r="CH40" s="139"/>
      <c r="CI40" s="139"/>
      <c r="CJ40" s="139"/>
      <c r="CK40" s="139"/>
      <c r="CL40" s="139"/>
      <c r="CM40" s="139"/>
      <c r="CN40" s="139"/>
      <c r="CO40" s="139"/>
      <c r="CP40" s="139"/>
      <c r="CQ40" s="139"/>
      <c r="CR40" s="139"/>
      <c r="CS40" s="139"/>
      <c r="CT40" s="139"/>
      <c r="CU40" s="139"/>
      <c r="CV40" s="139"/>
      <c r="CW40" s="139"/>
      <c r="CX40" s="139"/>
      <c r="CY40" s="139"/>
      <c r="CZ40" s="139"/>
      <c r="DB40" s="17">
        <v>39</v>
      </c>
    </row>
    <row r="41" spans="1:106">
      <c r="A41" s="17" t="s">
        <v>227</v>
      </c>
      <c r="L41" s="18" t="s">
        <v>228</v>
      </c>
      <c r="M41" s="52" t="s">
        <v>229</v>
      </c>
      <c r="N41" s="53"/>
      <c r="AS41" s="18" t="s">
        <v>228</v>
      </c>
      <c r="AT41" s="52" t="s">
        <v>229</v>
      </c>
      <c r="AU41" s="53"/>
      <c r="AX41" s="54"/>
      <c r="BA41" s="55"/>
      <c r="BB41" s="56"/>
      <c r="BC41" s="56"/>
      <c r="BW41" s="18" t="s">
        <v>228</v>
      </c>
      <c r="BX41" s="52" t="s">
        <v>229</v>
      </c>
      <c r="BY41" s="53"/>
      <c r="BZ41" s="139"/>
      <c r="CA41" s="139"/>
      <c r="CB41" s="139"/>
      <c r="CC41" s="139"/>
      <c r="CD41" s="139"/>
      <c r="CE41" s="141"/>
      <c r="CF41" s="140"/>
      <c r="CG41" s="140"/>
      <c r="CH41" s="139"/>
      <c r="CI41" s="139"/>
      <c r="CJ41" s="139"/>
      <c r="CK41" s="139"/>
      <c r="CL41" s="139"/>
      <c r="CM41" s="139"/>
      <c r="CN41" s="139"/>
      <c r="CO41" s="139"/>
      <c r="CP41" s="139"/>
      <c r="CQ41" s="139"/>
      <c r="CR41" s="139"/>
      <c r="CS41" s="139"/>
      <c r="CT41" s="139"/>
      <c r="CU41" s="139"/>
      <c r="CV41" s="139"/>
      <c r="CW41" s="139"/>
      <c r="CX41" s="139"/>
      <c r="CY41" s="139"/>
      <c r="CZ41" s="139"/>
      <c r="DB41" s="17">
        <v>40</v>
      </c>
    </row>
    <row r="42" spans="1:106">
      <c r="A42" s="17" t="s">
        <v>169</v>
      </c>
      <c r="L42" s="18" t="s">
        <v>230</v>
      </c>
      <c r="M42" s="52" t="s">
        <v>231</v>
      </c>
      <c r="N42" s="53"/>
      <c r="AS42" s="18" t="s">
        <v>230</v>
      </c>
      <c r="AT42" s="52" t="s">
        <v>231</v>
      </c>
      <c r="AU42" s="53"/>
      <c r="AX42" s="54"/>
      <c r="BA42" s="55"/>
      <c r="BB42" s="56"/>
      <c r="BC42" s="56"/>
      <c r="BW42" s="18" t="s">
        <v>230</v>
      </c>
      <c r="BX42" s="52" t="s">
        <v>231</v>
      </c>
      <c r="BY42" s="53"/>
      <c r="BZ42" s="139"/>
      <c r="CA42" s="139"/>
      <c r="CB42" s="139"/>
      <c r="CC42" s="139"/>
      <c r="CD42" s="139"/>
      <c r="CE42" s="141"/>
      <c r="CF42" s="140"/>
      <c r="CG42" s="140"/>
      <c r="CH42" s="139"/>
      <c r="CI42" s="139"/>
      <c r="CJ42" s="139"/>
      <c r="CK42" s="139"/>
      <c r="CL42" s="139"/>
      <c r="CM42" s="139"/>
      <c r="CN42" s="139"/>
      <c r="CO42" s="139"/>
      <c r="CP42" s="139"/>
      <c r="CQ42" s="139"/>
      <c r="CR42" s="139"/>
      <c r="CS42" s="139"/>
      <c r="CT42" s="139"/>
      <c r="CU42" s="139"/>
      <c r="CV42" s="139"/>
      <c r="CW42" s="139"/>
      <c r="CX42" s="139"/>
      <c r="CY42" s="139"/>
      <c r="CZ42" s="139"/>
      <c r="DB42" s="17">
        <v>41</v>
      </c>
    </row>
    <row r="43" spans="1:106">
      <c r="A43" s="17" t="s">
        <v>232</v>
      </c>
      <c r="L43" s="18" t="s">
        <v>233</v>
      </c>
      <c r="M43" s="52" t="s">
        <v>234</v>
      </c>
      <c r="N43" s="53"/>
      <c r="AS43" s="18" t="s">
        <v>233</v>
      </c>
      <c r="AT43" s="52" t="s">
        <v>234</v>
      </c>
      <c r="AU43" s="53"/>
      <c r="AX43" s="54"/>
      <c r="BA43" s="55"/>
      <c r="BB43" s="56"/>
      <c r="BC43" s="56"/>
      <c r="BW43" s="18" t="s">
        <v>233</v>
      </c>
      <c r="BX43" s="52" t="s">
        <v>234</v>
      </c>
      <c r="BY43" s="53"/>
      <c r="BZ43" s="139"/>
      <c r="CA43" s="139"/>
      <c r="CB43" s="139"/>
      <c r="CC43" s="139"/>
      <c r="CD43" s="139"/>
      <c r="CE43" s="141"/>
      <c r="CF43" s="140"/>
      <c r="CG43" s="140"/>
      <c r="CH43" s="139"/>
      <c r="CI43" s="139"/>
      <c r="CJ43" s="139"/>
      <c r="CK43" s="139"/>
      <c r="CL43" s="139"/>
      <c r="CM43" s="139"/>
      <c r="CN43" s="139"/>
      <c r="CO43" s="139"/>
      <c r="CP43" s="139"/>
      <c r="CQ43" s="139"/>
      <c r="CR43" s="139"/>
      <c r="CS43" s="139"/>
      <c r="CT43" s="139"/>
      <c r="CU43" s="139"/>
      <c r="CV43" s="139"/>
      <c r="CW43" s="139"/>
      <c r="CX43" s="139"/>
      <c r="CY43" s="139"/>
      <c r="CZ43" s="139"/>
      <c r="DB43" s="17">
        <v>42</v>
      </c>
    </row>
    <row r="44" spans="1:106">
      <c r="A44" s="17" t="s">
        <v>235</v>
      </c>
      <c r="L44" s="18" t="s">
        <v>236</v>
      </c>
      <c r="M44" s="52" t="s">
        <v>237</v>
      </c>
      <c r="N44" s="53"/>
      <c r="AS44" s="18" t="s">
        <v>236</v>
      </c>
      <c r="AT44" s="52" t="s">
        <v>237</v>
      </c>
      <c r="AU44" s="53"/>
      <c r="AX44" s="54"/>
      <c r="BA44" s="55"/>
      <c r="BB44" s="56"/>
      <c r="BC44" s="56"/>
      <c r="BW44" s="18" t="s">
        <v>236</v>
      </c>
      <c r="BX44" s="52" t="s">
        <v>237</v>
      </c>
      <c r="BY44" s="53"/>
      <c r="BZ44" s="139"/>
      <c r="CA44" s="139"/>
      <c r="CB44" s="139"/>
      <c r="CC44" s="139"/>
      <c r="CD44" s="139"/>
      <c r="CE44" s="141"/>
      <c r="CF44" s="140"/>
      <c r="CG44" s="140"/>
      <c r="CH44" s="139"/>
      <c r="CI44" s="139"/>
      <c r="CJ44" s="139"/>
      <c r="CK44" s="139"/>
      <c r="CL44" s="139"/>
      <c r="CM44" s="139"/>
      <c r="CN44" s="139"/>
      <c r="CO44" s="139"/>
      <c r="CP44" s="139"/>
      <c r="CQ44" s="139"/>
      <c r="CR44" s="139"/>
      <c r="CS44" s="139"/>
      <c r="CT44" s="139"/>
      <c r="CU44" s="139"/>
      <c r="CV44" s="139"/>
      <c r="CW44" s="139"/>
      <c r="CX44" s="139"/>
      <c r="CY44" s="139"/>
      <c r="CZ44" s="139"/>
      <c r="DB44" s="17">
        <v>43</v>
      </c>
    </row>
    <row r="45" spans="1:106">
      <c r="A45" s="17" t="s">
        <v>238</v>
      </c>
      <c r="L45" s="18" t="s">
        <v>239</v>
      </c>
      <c r="M45" s="52" t="s">
        <v>240</v>
      </c>
      <c r="N45" s="53"/>
      <c r="AS45" s="18" t="s">
        <v>239</v>
      </c>
      <c r="AT45" s="52" t="s">
        <v>240</v>
      </c>
      <c r="AU45" s="53"/>
      <c r="AX45" s="54"/>
      <c r="BA45" s="55"/>
      <c r="BB45" s="56"/>
      <c r="BC45" s="56"/>
      <c r="BW45" s="18" t="s">
        <v>239</v>
      </c>
      <c r="BX45" s="52" t="s">
        <v>240</v>
      </c>
      <c r="BY45" s="53"/>
      <c r="BZ45" s="139"/>
      <c r="CA45" s="139"/>
      <c r="CB45" s="139"/>
      <c r="CC45" s="139"/>
      <c r="CD45" s="139"/>
      <c r="CE45" s="141"/>
      <c r="CF45" s="140"/>
      <c r="CG45" s="140"/>
      <c r="CH45" s="139"/>
      <c r="CI45" s="139"/>
      <c r="CJ45" s="139"/>
      <c r="CK45" s="139"/>
      <c r="CL45" s="139"/>
      <c r="CM45" s="139"/>
      <c r="CN45" s="139"/>
      <c r="CO45" s="139"/>
      <c r="CP45" s="139"/>
      <c r="CQ45" s="139"/>
      <c r="CR45" s="139"/>
      <c r="CS45" s="139"/>
      <c r="CT45" s="139"/>
      <c r="CU45" s="139"/>
      <c r="CV45" s="139"/>
      <c r="CW45" s="139"/>
      <c r="CX45" s="139"/>
      <c r="CY45" s="139"/>
      <c r="CZ45" s="139"/>
      <c r="DB45" s="17">
        <v>44</v>
      </c>
    </row>
    <row r="46" spans="1:106">
      <c r="A46" s="17" t="s">
        <v>241</v>
      </c>
      <c r="L46" s="18" t="s">
        <v>242</v>
      </c>
      <c r="M46" s="52" t="s">
        <v>243</v>
      </c>
      <c r="N46" s="53"/>
      <c r="AS46" s="18" t="s">
        <v>242</v>
      </c>
      <c r="AT46" s="52" t="s">
        <v>243</v>
      </c>
      <c r="AU46" s="53"/>
      <c r="AX46" s="54"/>
      <c r="BA46" s="55"/>
      <c r="BB46" s="56"/>
      <c r="BC46" s="56"/>
      <c r="BW46" s="18" t="s">
        <v>242</v>
      </c>
      <c r="BX46" s="52" t="s">
        <v>243</v>
      </c>
      <c r="BY46" s="53"/>
      <c r="BZ46" s="139"/>
      <c r="CA46" s="139"/>
      <c r="CB46" s="139"/>
      <c r="CC46" s="139"/>
      <c r="CD46" s="139"/>
      <c r="CE46" s="141"/>
      <c r="CF46" s="140"/>
      <c r="CG46" s="140"/>
      <c r="CH46" s="139"/>
      <c r="CI46" s="139"/>
      <c r="CJ46" s="139"/>
      <c r="CK46" s="139"/>
      <c r="CL46" s="139"/>
      <c r="CM46" s="139"/>
      <c r="CN46" s="139"/>
      <c r="CO46" s="139"/>
      <c r="CP46" s="139"/>
      <c r="CQ46" s="139"/>
      <c r="CR46" s="139"/>
      <c r="CS46" s="139"/>
      <c r="CT46" s="139"/>
      <c r="CU46" s="139"/>
      <c r="CV46" s="139"/>
      <c r="CW46" s="139"/>
      <c r="CX46" s="139"/>
      <c r="CY46" s="139"/>
      <c r="CZ46" s="139"/>
      <c r="DB46" s="17">
        <v>45</v>
      </c>
    </row>
    <row r="47" spans="1:106">
      <c r="A47" s="17" t="s">
        <v>244</v>
      </c>
      <c r="L47" s="18" t="s">
        <v>245</v>
      </c>
      <c r="M47" s="52" t="s">
        <v>246</v>
      </c>
      <c r="N47" s="53"/>
      <c r="AS47" s="18" t="s">
        <v>245</v>
      </c>
      <c r="AT47" s="52" t="s">
        <v>246</v>
      </c>
      <c r="AU47" s="53"/>
      <c r="AX47" s="54"/>
      <c r="BA47" s="55"/>
      <c r="BB47" s="56"/>
      <c r="BC47" s="56"/>
      <c r="BW47" s="18" t="s">
        <v>245</v>
      </c>
      <c r="BX47" s="52" t="s">
        <v>246</v>
      </c>
      <c r="BY47" s="53"/>
      <c r="BZ47" s="139"/>
      <c r="CA47" s="139"/>
      <c r="CB47" s="139"/>
      <c r="CC47" s="139"/>
      <c r="CD47" s="139"/>
      <c r="CE47" s="141"/>
      <c r="CF47" s="140"/>
      <c r="CG47" s="140"/>
      <c r="CH47" s="139"/>
      <c r="CI47" s="139"/>
      <c r="CJ47" s="139"/>
      <c r="CK47" s="139"/>
      <c r="CL47" s="139"/>
      <c r="CM47" s="139"/>
      <c r="CN47" s="139"/>
      <c r="CO47" s="139"/>
      <c r="CP47" s="139"/>
      <c r="CQ47" s="139"/>
      <c r="CR47" s="139"/>
      <c r="CS47" s="139"/>
      <c r="CT47" s="139"/>
      <c r="CU47" s="139"/>
      <c r="CV47" s="139"/>
      <c r="CW47" s="139"/>
      <c r="CX47" s="139"/>
      <c r="CY47" s="139"/>
      <c r="CZ47" s="139"/>
      <c r="DB47" s="17">
        <v>46</v>
      </c>
    </row>
    <row r="48" spans="1:106">
      <c r="A48" s="17" t="s">
        <v>181</v>
      </c>
      <c r="L48" s="18" t="s">
        <v>247</v>
      </c>
      <c r="M48" s="52" t="s">
        <v>248</v>
      </c>
      <c r="N48" s="53"/>
      <c r="AS48" s="18" t="s">
        <v>247</v>
      </c>
      <c r="AT48" s="52" t="s">
        <v>248</v>
      </c>
      <c r="AU48" s="53"/>
      <c r="AX48" s="54"/>
      <c r="BA48" s="55"/>
      <c r="BB48" s="56"/>
      <c r="BC48" s="56"/>
      <c r="BW48" s="18" t="s">
        <v>247</v>
      </c>
      <c r="BX48" s="52" t="s">
        <v>248</v>
      </c>
      <c r="BY48" s="53"/>
      <c r="BZ48" s="139"/>
      <c r="CA48" s="139"/>
      <c r="CB48" s="139"/>
      <c r="CC48" s="139"/>
      <c r="CD48" s="139"/>
      <c r="CE48" s="141"/>
      <c r="CF48" s="140"/>
      <c r="CG48" s="140"/>
      <c r="CH48" s="139"/>
      <c r="CI48" s="139"/>
      <c r="CJ48" s="139"/>
      <c r="CK48" s="139"/>
      <c r="CL48" s="139"/>
      <c r="CM48" s="139"/>
      <c r="CN48" s="139"/>
      <c r="CO48" s="139"/>
      <c r="CP48" s="139"/>
      <c r="CQ48" s="139"/>
      <c r="CR48" s="139"/>
      <c r="CS48" s="139"/>
      <c r="CT48" s="139"/>
      <c r="CU48" s="139"/>
      <c r="CV48" s="139"/>
      <c r="CW48" s="139"/>
      <c r="CX48" s="139"/>
      <c r="CY48" s="139"/>
      <c r="CZ48" s="139"/>
      <c r="DB48" s="17">
        <v>47</v>
      </c>
    </row>
    <row r="49" spans="1:106">
      <c r="A49" s="17" t="s">
        <v>184</v>
      </c>
      <c r="L49" s="18" t="s">
        <v>249</v>
      </c>
      <c r="M49" s="52" t="s">
        <v>250</v>
      </c>
      <c r="N49" s="53"/>
      <c r="AS49" s="18" t="s">
        <v>249</v>
      </c>
      <c r="AT49" s="52" t="s">
        <v>250</v>
      </c>
      <c r="AU49" s="53"/>
      <c r="AX49" s="54"/>
      <c r="BA49" s="55"/>
      <c r="BB49" s="56"/>
      <c r="BC49" s="56"/>
      <c r="BW49" s="18" t="s">
        <v>249</v>
      </c>
      <c r="BX49" s="52" t="s">
        <v>250</v>
      </c>
      <c r="BY49" s="53"/>
      <c r="BZ49" s="139"/>
      <c r="CA49" s="139"/>
      <c r="CB49" s="139"/>
      <c r="CC49" s="139"/>
      <c r="CD49" s="139"/>
      <c r="CE49" s="141"/>
      <c r="CF49" s="140"/>
      <c r="CG49" s="140"/>
      <c r="CH49" s="139"/>
      <c r="CI49" s="139"/>
      <c r="CJ49" s="139"/>
      <c r="CK49" s="139"/>
      <c r="CL49" s="139"/>
      <c r="CM49" s="139"/>
      <c r="CN49" s="139"/>
      <c r="CO49" s="139"/>
      <c r="CP49" s="139"/>
      <c r="CQ49" s="139"/>
      <c r="CR49" s="139"/>
      <c r="CS49" s="139"/>
      <c r="CT49" s="139"/>
      <c r="CU49" s="139"/>
      <c r="CV49" s="139"/>
      <c r="CW49" s="139"/>
      <c r="CX49" s="139"/>
      <c r="CY49" s="139"/>
      <c r="CZ49" s="139"/>
      <c r="DB49" s="17">
        <v>48</v>
      </c>
    </row>
    <row r="50" spans="1:106">
      <c r="A50" s="17" t="s">
        <v>251</v>
      </c>
      <c r="L50" s="18" t="s">
        <v>252</v>
      </c>
      <c r="M50" s="52" t="s">
        <v>253</v>
      </c>
      <c r="N50" s="53"/>
      <c r="AS50" s="18" t="s">
        <v>252</v>
      </c>
      <c r="AT50" s="52" t="s">
        <v>253</v>
      </c>
      <c r="AU50" s="53"/>
      <c r="AX50" s="54"/>
      <c r="BA50" s="55"/>
      <c r="BB50" s="56"/>
      <c r="BC50" s="56"/>
      <c r="BW50" s="18" t="s">
        <v>252</v>
      </c>
      <c r="BX50" s="52" t="s">
        <v>253</v>
      </c>
      <c r="BY50" s="53"/>
      <c r="BZ50" s="139"/>
      <c r="CA50" s="139"/>
      <c r="CB50" s="139"/>
      <c r="CC50" s="139"/>
      <c r="CD50" s="139"/>
      <c r="CE50" s="141"/>
      <c r="CF50" s="140"/>
      <c r="CG50" s="140"/>
      <c r="CH50" s="139"/>
      <c r="CI50" s="139"/>
      <c r="CJ50" s="139"/>
      <c r="CK50" s="139"/>
      <c r="CL50" s="139"/>
      <c r="CM50" s="139"/>
      <c r="CN50" s="139"/>
      <c r="CO50" s="139"/>
      <c r="CP50" s="139"/>
      <c r="CQ50" s="139"/>
      <c r="CR50" s="139"/>
      <c r="CS50" s="139"/>
      <c r="CT50" s="139"/>
      <c r="CU50" s="139"/>
      <c r="CV50" s="139"/>
      <c r="CW50" s="139"/>
      <c r="CX50" s="139"/>
      <c r="CY50" s="139"/>
      <c r="CZ50" s="139"/>
      <c r="DB50" s="17">
        <v>49</v>
      </c>
    </row>
    <row r="51" spans="1:106">
      <c r="A51" s="17" t="s">
        <v>254</v>
      </c>
      <c r="L51" s="18" t="s">
        <v>255</v>
      </c>
      <c r="M51" s="52" t="s">
        <v>256</v>
      </c>
      <c r="N51" s="53"/>
      <c r="AS51" s="18" t="s">
        <v>255</v>
      </c>
      <c r="AT51" s="52" t="s">
        <v>256</v>
      </c>
      <c r="AU51" s="53"/>
      <c r="AX51" s="54"/>
      <c r="BA51" s="55"/>
      <c r="BB51" s="56"/>
      <c r="BC51" s="56"/>
      <c r="BW51" s="18" t="s">
        <v>255</v>
      </c>
      <c r="BX51" s="52" t="s">
        <v>256</v>
      </c>
      <c r="BY51" s="53"/>
      <c r="BZ51" s="139"/>
      <c r="CA51" s="139"/>
      <c r="CB51" s="139"/>
      <c r="CC51" s="139"/>
      <c r="CD51" s="139"/>
      <c r="CE51" s="141"/>
      <c r="CF51" s="140"/>
      <c r="CG51" s="140"/>
      <c r="CH51" s="139"/>
      <c r="CI51" s="139"/>
      <c r="CJ51" s="139"/>
      <c r="CK51" s="139"/>
      <c r="CL51" s="139"/>
      <c r="CM51" s="139"/>
      <c r="CN51" s="139"/>
      <c r="CO51" s="139"/>
      <c r="CP51" s="139"/>
      <c r="CQ51" s="139"/>
      <c r="CR51" s="139"/>
      <c r="CS51" s="139"/>
      <c r="CT51" s="139"/>
      <c r="CU51" s="139"/>
      <c r="CV51" s="139"/>
      <c r="CW51" s="139"/>
      <c r="CX51" s="139"/>
      <c r="CY51" s="139"/>
      <c r="CZ51" s="139"/>
      <c r="DB51" s="17">
        <v>50</v>
      </c>
    </row>
    <row r="52" spans="1:106">
      <c r="A52" s="17" t="s">
        <v>257</v>
      </c>
      <c r="L52" s="18" t="s">
        <v>258</v>
      </c>
      <c r="M52" s="52" t="s">
        <v>259</v>
      </c>
      <c r="N52" s="53"/>
      <c r="AS52" s="18" t="s">
        <v>258</v>
      </c>
      <c r="AT52" s="52" t="s">
        <v>259</v>
      </c>
      <c r="AU52" s="53"/>
      <c r="BW52" s="18" t="s">
        <v>258</v>
      </c>
      <c r="BX52" s="52" t="s">
        <v>259</v>
      </c>
      <c r="BY52" s="53"/>
      <c r="DB52" s="17">
        <v>51</v>
      </c>
    </row>
    <row r="53" spans="1:106">
      <c r="A53" s="17" t="s">
        <v>260</v>
      </c>
      <c r="L53" s="18" t="s">
        <v>261</v>
      </c>
      <c r="M53" s="52" t="s">
        <v>262</v>
      </c>
      <c r="N53" s="53"/>
      <c r="AS53" s="18" t="s">
        <v>261</v>
      </c>
      <c r="AT53" s="52" t="s">
        <v>262</v>
      </c>
      <c r="AU53" s="53"/>
      <c r="BW53" s="18" t="s">
        <v>261</v>
      </c>
      <c r="BX53" s="52" t="s">
        <v>262</v>
      </c>
      <c r="BY53" s="53"/>
      <c r="DB53" s="17">
        <v>52</v>
      </c>
    </row>
    <row r="54" spans="1:106">
      <c r="A54" s="17" t="s">
        <v>138</v>
      </c>
      <c r="L54" s="18" t="s">
        <v>263</v>
      </c>
      <c r="M54" s="52" t="s">
        <v>264</v>
      </c>
      <c r="N54" s="53"/>
      <c r="AS54" s="18" t="s">
        <v>263</v>
      </c>
      <c r="AT54" s="52" t="s">
        <v>264</v>
      </c>
      <c r="AU54" s="53"/>
      <c r="BW54" s="18" t="s">
        <v>263</v>
      </c>
      <c r="BX54" s="52" t="s">
        <v>264</v>
      </c>
      <c r="BY54" s="53"/>
      <c r="DB54" s="17">
        <v>53</v>
      </c>
    </row>
    <row r="55" spans="1:106">
      <c r="A55" s="17" t="s">
        <v>265</v>
      </c>
      <c r="L55" s="18" t="s">
        <v>266</v>
      </c>
      <c r="M55" s="52" t="s">
        <v>267</v>
      </c>
      <c r="N55" s="53"/>
      <c r="AS55" s="18" t="s">
        <v>266</v>
      </c>
      <c r="AT55" s="52" t="s">
        <v>267</v>
      </c>
      <c r="AU55" s="53"/>
      <c r="BW55" s="18" t="s">
        <v>266</v>
      </c>
      <c r="BX55" s="52" t="s">
        <v>267</v>
      </c>
      <c r="BY55" s="53"/>
      <c r="DB55" s="17">
        <v>54</v>
      </c>
    </row>
    <row r="56" spans="1:106">
      <c r="A56" s="17" t="s">
        <v>143</v>
      </c>
      <c r="L56" s="18" t="s">
        <v>268</v>
      </c>
      <c r="M56" s="52" t="s">
        <v>269</v>
      </c>
      <c r="N56" s="53"/>
      <c r="AS56" s="18" t="s">
        <v>268</v>
      </c>
      <c r="AT56" s="52" t="s">
        <v>269</v>
      </c>
      <c r="AU56" s="53"/>
      <c r="BW56" s="18" t="s">
        <v>268</v>
      </c>
      <c r="BX56" s="52" t="s">
        <v>269</v>
      </c>
      <c r="BY56" s="53"/>
      <c r="DB56" s="17">
        <v>55</v>
      </c>
    </row>
    <row r="57" spans="1:106">
      <c r="A57" s="17" t="s">
        <v>270</v>
      </c>
      <c r="L57" s="18" t="s">
        <v>271</v>
      </c>
      <c r="M57" s="52" t="s">
        <v>272</v>
      </c>
      <c r="N57" s="53"/>
      <c r="AS57" s="18" t="s">
        <v>271</v>
      </c>
      <c r="AT57" s="52" t="s">
        <v>272</v>
      </c>
      <c r="AU57" s="53"/>
      <c r="BW57" s="18" t="s">
        <v>271</v>
      </c>
      <c r="BX57" s="52" t="s">
        <v>272</v>
      </c>
      <c r="BY57" s="53"/>
      <c r="DB57" s="17">
        <v>56</v>
      </c>
    </row>
    <row r="58" spans="1:106">
      <c r="A58" s="17" t="s">
        <v>273</v>
      </c>
      <c r="L58" s="18" t="s">
        <v>274</v>
      </c>
      <c r="M58" s="52" t="s">
        <v>275</v>
      </c>
      <c r="N58" s="53"/>
      <c r="AS58" s="18" t="s">
        <v>274</v>
      </c>
      <c r="AT58" s="52" t="s">
        <v>275</v>
      </c>
      <c r="AU58" s="53"/>
      <c r="BW58" s="18" t="s">
        <v>274</v>
      </c>
      <c r="BX58" s="52" t="s">
        <v>275</v>
      </c>
      <c r="BY58" s="53"/>
      <c r="DB58" s="17">
        <v>57</v>
      </c>
    </row>
    <row r="59" spans="1:106">
      <c r="A59" s="17" t="s">
        <v>204</v>
      </c>
      <c r="L59" s="18" t="s">
        <v>276</v>
      </c>
      <c r="M59" s="52" t="s">
        <v>277</v>
      </c>
      <c r="N59" s="53"/>
      <c r="AS59" s="18" t="s">
        <v>276</v>
      </c>
      <c r="AT59" s="52" t="s">
        <v>277</v>
      </c>
      <c r="AU59" s="53"/>
      <c r="BW59" s="18" t="s">
        <v>276</v>
      </c>
      <c r="BX59" s="52" t="s">
        <v>277</v>
      </c>
      <c r="BY59" s="53"/>
      <c r="DB59" s="17">
        <v>58</v>
      </c>
    </row>
    <row r="60" spans="1:106">
      <c r="A60" s="17" t="s">
        <v>213</v>
      </c>
      <c r="L60" s="18" t="s">
        <v>278</v>
      </c>
      <c r="M60" s="52" t="s">
        <v>279</v>
      </c>
      <c r="N60" s="53"/>
      <c r="AS60" s="18" t="s">
        <v>278</v>
      </c>
      <c r="AT60" s="52" t="s">
        <v>279</v>
      </c>
      <c r="AU60" s="53"/>
      <c r="BW60" s="18" t="s">
        <v>278</v>
      </c>
      <c r="BX60" s="52" t="s">
        <v>279</v>
      </c>
      <c r="BY60" s="53"/>
      <c r="DB60" s="17">
        <v>59</v>
      </c>
    </row>
    <row r="61" spans="1:106">
      <c r="A61" s="17" t="s">
        <v>221</v>
      </c>
      <c r="L61" s="18" t="s">
        <v>280</v>
      </c>
      <c r="M61" s="52" t="s">
        <v>281</v>
      </c>
      <c r="N61" s="53"/>
      <c r="AS61" s="18" t="s">
        <v>280</v>
      </c>
      <c r="AT61" s="52" t="s">
        <v>281</v>
      </c>
      <c r="AU61" s="53"/>
      <c r="BW61" s="18" t="s">
        <v>280</v>
      </c>
      <c r="BX61" s="52" t="s">
        <v>281</v>
      </c>
      <c r="BY61" s="53"/>
      <c r="DB61" s="17">
        <v>60</v>
      </c>
    </row>
    <row r="62" spans="1:106">
      <c r="A62" s="17" t="s">
        <v>169</v>
      </c>
      <c r="L62" s="18" t="s">
        <v>282</v>
      </c>
      <c r="M62" s="52" t="s">
        <v>283</v>
      </c>
      <c r="N62" s="53"/>
      <c r="AS62" s="18" t="s">
        <v>282</v>
      </c>
      <c r="AT62" s="52" t="s">
        <v>283</v>
      </c>
      <c r="AU62" s="53"/>
      <c r="BW62" s="18" t="s">
        <v>282</v>
      </c>
      <c r="BX62" s="52" t="s">
        <v>283</v>
      </c>
      <c r="BY62" s="53"/>
      <c r="DB62" s="17">
        <v>61</v>
      </c>
    </row>
    <row r="63" spans="1:106">
      <c r="A63" s="17" t="s">
        <v>254</v>
      </c>
      <c r="L63" s="18" t="s">
        <v>284</v>
      </c>
      <c r="M63" s="52"/>
      <c r="N63" s="53"/>
      <c r="AS63" s="18" t="s">
        <v>284</v>
      </c>
      <c r="AT63" s="52"/>
      <c r="AU63" s="53"/>
      <c r="BW63" s="18" t="s">
        <v>284</v>
      </c>
      <c r="BX63" s="52"/>
      <c r="BY63" s="53"/>
      <c r="DB63" s="17">
        <v>62</v>
      </c>
    </row>
    <row r="64" spans="1:106">
      <c r="A64" s="17" t="s">
        <v>260</v>
      </c>
      <c r="L64" s="18" t="s">
        <v>285</v>
      </c>
      <c r="M64" s="52"/>
      <c r="N64" s="53"/>
      <c r="AS64" s="18" t="s">
        <v>285</v>
      </c>
      <c r="AT64" s="52"/>
      <c r="AU64" s="53"/>
      <c r="BW64" s="18" t="s">
        <v>285</v>
      </c>
      <c r="BX64" s="52"/>
      <c r="BY64" s="53"/>
      <c r="DB64" s="17">
        <v>63</v>
      </c>
    </row>
    <row r="65" spans="1:106">
      <c r="A65" s="17" t="s">
        <v>270</v>
      </c>
      <c r="L65" s="18" t="s">
        <v>286</v>
      </c>
      <c r="M65" s="52"/>
      <c r="N65" s="53"/>
      <c r="AS65" s="18" t="s">
        <v>286</v>
      </c>
      <c r="AT65" s="52"/>
      <c r="AU65" s="53"/>
      <c r="BW65" s="18" t="s">
        <v>286</v>
      </c>
      <c r="BX65" s="52"/>
      <c r="BY65" s="53"/>
      <c r="DB65" s="17">
        <v>64</v>
      </c>
    </row>
    <row r="66" spans="1:106">
      <c r="A66" s="17" t="s">
        <v>287</v>
      </c>
      <c r="L66" s="18" t="s">
        <v>288</v>
      </c>
      <c r="M66" s="52"/>
      <c r="N66" s="53"/>
      <c r="AS66" s="18" t="s">
        <v>288</v>
      </c>
      <c r="AT66" s="52"/>
      <c r="AU66" s="53"/>
      <c r="BW66" s="18" t="s">
        <v>288</v>
      </c>
      <c r="BX66" s="52"/>
      <c r="BY66" s="53"/>
      <c r="DB66" s="17">
        <v>65</v>
      </c>
    </row>
    <row r="67" spans="1:106">
      <c r="A67" s="17" t="s">
        <v>289</v>
      </c>
      <c r="L67" s="18" t="s">
        <v>290</v>
      </c>
      <c r="M67" s="52"/>
      <c r="N67" s="53"/>
      <c r="AS67" s="18" t="s">
        <v>290</v>
      </c>
      <c r="AT67" s="52"/>
      <c r="AU67" s="53"/>
      <c r="BW67" s="18" t="s">
        <v>290</v>
      </c>
      <c r="BX67" s="52"/>
      <c r="BY67" s="53"/>
      <c r="DB67" s="17">
        <v>66</v>
      </c>
    </row>
    <row r="68" spans="1:106">
      <c r="A68" s="17" t="s">
        <v>291</v>
      </c>
      <c r="L68" s="18" t="s">
        <v>292</v>
      </c>
      <c r="M68" s="52"/>
      <c r="N68" s="53"/>
      <c r="AS68" s="18" t="s">
        <v>292</v>
      </c>
      <c r="AT68" s="52"/>
      <c r="AU68" s="53"/>
      <c r="BW68" s="18" t="s">
        <v>292</v>
      </c>
      <c r="BX68" s="52"/>
      <c r="BY68" s="53"/>
      <c r="DB68" s="17">
        <v>67</v>
      </c>
    </row>
    <row r="69" spans="1:106">
      <c r="A69" s="17" t="s">
        <v>293</v>
      </c>
      <c r="L69" s="18" t="s">
        <v>294</v>
      </c>
      <c r="M69" s="52"/>
      <c r="N69" s="53"/>
      <c r="AS69" s="18" t="s">
        <v>294</v>
      </c>
      <c r="AT69" s="52"/>
      <c r="AU69" s="53"/>
      <c r="BW69" s="18" t="s">
        <v>294</v>
      </c>
      <c r="BX69" s="52"/>
      <c r="BY69" s="53"/>
      <c r="DB69" s="17">
        <v>68</v>
      </c>
    </row>
    <row r="70" spans="1:106">
      <c r="A70" s="17" t="s">
        <v>295</v>
      </c>
      <c r="L70" s="18" t="s">
        <v>296</v>
      </c>
      <c r="M70" s="52"/>
      <c r="N70" s="53"/>
      <c r="AS70" s="18" t="s">
        <v>296</v>
      </c>
      <c r="AT70" s="52"/>
      <c r="AU70" s="53"/>
      <c r="BW70" s="18" t="s">
        <v>296</v>
      </c>
      <c r="BX70" s="52"/>
      <c r="BY70" s="53"/>
      <c r="DB70" s="17">
        <v>69</v>
      </c>
    </row>
    <row r="71" spans="1:106">
      <c r="A71" s="17" t="s">
        <v>297</v>
      </c>
      <c r="L71" s="18" t="s">
        <v>298</v>
      </c>
      <c r="M71" s="52"/>
      <c r="N71" s="53"/>
      <c r="AS71" s="18" t="s">
        <v>298</v>
      </c>
      <c r="AT71" s="52"/>
      <c r="AU71" s="53"/>
      <c r="BW71" s="18" t="s">
        <v>298</v>
      </c>
      <c r="BX71" s="52"/>
      <c r="BY71" s="53"/>
      <c r="DB71" s="17">
        <v>70</v>
      </c>
    </row>
    <row r="72" spans="1:106">
      <c r="A72" s="17" t="s">
        <v>299</v>
      </c>
      <c r="L72" s="18" t="s">
        <v>300</v>
      </c>
      <c r="M72" s="52"/>
      <c r="N72" s="53"/>
      <c r="AS72" s="18" t="s">
        <v>300</v>
      </c>
      <c r="AT72" s="52"/>
      <c r="AU72" s="53"/>
      <c r="BW72" s="18" t="s">
        <v>300</v>
      </c>
      <c r="BX72" s="52"/>
      <c r="BY72" s="53"/>
      <c r="DB72" s="17">
        <v>71</v>
      </c>
    </row>
    <row r="73" spans="1:106">
      <c r="A73" s="17" t="s">
        <v>112</v>
      </c>
      <c r="L73" s="18" t="s">
        <v>301</v>
      </c>
      <c r="M73" s="52"/>
      <c r="N73" s="53"/>
      <c r="AS73" s="18" t="s">
        <v>301</v>
      </c>
      <c r="AT73" s="52"/>
      <c r="AU73" s="53"/>
      <c r="BW73" s="18" t="s">
        <v>301</v>
      </c>
      <c r="BX73" s="52"/>
      <c r="BY73" s="53"/>
      <c r="DB73" s="17">
        <v>72</v>
      </c>
    </row>
    <row r="74" spans="1:106">
      <c r="A74" s="17" t="s">
        <v>302</v>
      </c>
      <c r="L74" s="18" t="s">
        <v>303</v>
      </c>
      <c r="M74" s="52"/>
      <c r="N74" s="53"/>
      <c r="AS74" s="18" t="s">
        <v>303</v>
      </c>
      <c r="AT74" s="52"/>
      <c r="AU74" s="53"/>
      <c r="BW74" s="18" t="s">
        <v>303</v>
      </c>
      <c r="BX74" s="52"/>
      <c r="BY74" s="53"/>
      <c r="DB74" s="17">
        <v>73</v>
      </c>
    </row>
    <row r="75" spans="1:106">
      <c r="A75" s="17" t="s">
        <v>117</v>
      </c>
      <c r="L75" s="18" t="s">
        <v>304</v>
      </c>
      <c r="M75" s="52"/>
      <c r="N75" s="53"/>
      <c r="AS75" s="18" t="s">
        <v>304</v>
      </c>
      <c r="AT75" s="52"/>
      <c r="AU75" s="53"/>
      <c r="BW75" s="18" t="s">
        <v>304</v>
      </c>
      <c r="BX75" s="52"/>
      <c r="BY75" s="53"/>
      <c r="DB75" s="17">
        <v>74</v>
      </c>
    </row>
    <row r="76" spans="1:106">
      <c r="A76" s="17" t="s">
        <v>305</v>
      </c>
      <c r="L76" s="18" t="s">
        <v>306</v>
      </c>
      <c r="M76" s="52"/>
      <c r="N76" s="53"/>
      <c r="AS76" s="18" t="s">
        <v>306</v>
      </c>
      <c r="AT76" s="52"/>
      <c r="AU76" s="53"/>
      <c r="BW76" s="18" t="s">
        <v>306</v>
      </c>
      <c r="BX76" s="52"/>
      <c r="BY76" s="53"/>
      <c r="DB76" s="17">
        <v>75</v>
      </c>
    </row>
    <row r="77" spans="1:106">
      <c r="A77" s="17" t="s">
        <v>307</v>
      </c>
      <c r="L77" s="18" t="s">
        <v>308</v>
      </c>
      <c r="M77" s="52"/>
      <c r="N77" s="53"/>
      <c r="AS77" s="18" t="s">
        <v>308</v>
      </c>
      <c r="AT77" s="52"/>
      <c r="AU77" s="53"/>
      <c r="BW77" s="18" t="s">
        <v>308</v>
      </c>
      <c r="BX77" s="52"/>
      <c r="BY77" s="53"/>
      <c r="DB77" s="17">
        <v>76</v>
      </c>
    </row>
    <row r="78" spans="1:106">
      <c r="A78" s="17" t="s">
        <v>309</v>
      </c>
      <c r="L78" s="18" t="s">
        <v>310</v>
      </c>
      <c r="M78" s="52"/>
      <c r="N78" s="53"/>
      <c r="AS78" s="18" t="s">
        <v>310</v>
      </c>
      <c r="AT78" s="52"/>
      <c r="AU78" s="53"/>
      <c r="BW78" s="18" t="s">
        <v>310</v>
      </c>
      <c r="BX78" s="52"/>
      <c r="BY78" s="53"/>
      <c r="DB78" s="17">
        <v>77</v>
      </c>
    </row>
    <row r="79" spans="1:106">
      <c r="A79" s="17" t="s">
        <v>311</v>
      </c>
      <c r="L79" s="18" t="s">
        <v>312</v>
      </c>
      <c r="M79" s="52"/>
      <c r="N79" s="53"/>
      <c r="AS79" s="18" t="s">
        <v>312</v>
      </c>
      <c r="AT79" s="52"/>
      <c r="AU79" s="53"/>
      <c r="BW79" s="18" t="s">
        <v>312</v>
      </c>
      <c r="BX79" s="52"/>
      <c r="BY79" s="53"/>
      <c r="DB79" s="17">
        <v>78</v>
      </c>
    </row>
    <row r="80" spans="1:106">
      <c r="A80" s="17" t="s">
        <v>313</v>
      </c>
      <c r="L80" s="18" t="s">
        <v>314</v>
      </c>
      <c r="M80" s="52"/>
      <c r="N80" s="53"/>
      <c r="AS80" s="18" t="s">
        <v>314</v>
      </c>
      <c r="AT80" s="52"/>
      <c r="AU80" s="53"/>
      <c r="BW80" s="18" t="s">
        <v>314</v>
      </c>
      <c r="BX80" s="52"/>
      <c r="BY80" s="53"/>
      <c r="DB80" s="17">
        <v>79</v>
      </c>
    </row>
    <row r="81" spans="1:106">
      <c r="A81" s="17" t="s">
        <v>315</v>
      </c>
      <c r="L81" s="18" t="s">
        <v>316</v>
      </c>
      <c r="M81" s="52"/>
      <c r="N81" s="53"/>
      <c r="AS81" s="18" t="s">
        <v>316</v>
      </c>
      <c r="AT81" s="52"/>
      <c r="AU81" s="53"/>
      <c r="BW81" s="18" t="s">
        <v>316</v>
      </c>
      <c r="BX81" s="52"/>
      <c r="BY81" s="53"/>
      <c r="DB81" s="17">
        <v>80</v>
      </c>
    </row>
    <row r="82" spans="1:106">
      <c r="A82" s="17" t="s">
        <v>317</v>
      </c>
      <c r="L82" s="18" t="s">
        <v>318</v>
      </c>
      <c r="M82" s="52"/>
      <c r="N82" s="53"/>
      <c r="AS82" s="18" t="s">
        <v>318</v>
      </c>
      <c r="AT82" s="52"/>
      <c r="AU82" s="53"/>
      <c r="BW82" s="18" t="s">
        <v>318</v>
      </c>
      <c r="BX82" s="52"/>
      <c r="BY82" s="53"/>
      <c r="DB82" s="17">
        <v>81</v>
      </c>
    </row>
    <row r="83" spans="1:106">
      <c r="A83" s="17" t="s">
        <v>319</v>
      </c>
      <c r="L83" s="18" t="s">
        <v>320</v>
      </c>
      <c r="M83" s="52"/>
      <c r="N83" s="53"/>
      <c r="AS83" s="18" t="s">
        <v>320</v>
      </c>
      <c r="AT83" s="52"/>
      <c r="AU83" s="53"/>
      <c r="BW83" s="18" t="s">
        <v>320</v>
      </c>
      <c r="BX83" s="52"/>
      <c r="BY83" s="53"/>
      <c r="DB83" s="17">
        <v>82</v>
      </c>
    </row>
    <row r="84" spans="1:106">
      <c r="A84" s="17" t="s">
        <v>321</v>
      </c>
      <c r="L84" s="18" t="s">
        <v>322</v>
      </c>
      <c r="M84" s="52"/>
      <c r="N84" s="53"/>
      <c r="AS84" s="18" t="s">
        <v>322</v>
      </c>
      <c r="AT84" s="52"/>
      <c r="AU84" s="53"/>
      <c r="BW84" s="18" t="s">
        <v>322</v>
      </c>
      <c r="BX84" s="52"/>
      <c r="BY84" s="53"/>
      <c r="DB84" s="17">
        <v>83</v>
      </c>
    </row>
    <row r="85" spans="1:106">
      <c r="A85" s="17" t="s">
        <v>323</v>
      </c>
      <c r="L85" s="18" t="s">
        <v>324</v>
      </c>
      <c r="M85" s="52"/>
      <c r="N85" s="53"/>
      <c r="AS85" s="18" t="s">
        <v>324</v>
      </c>
      <c r="AT85" s="52"/>
      <c r="AU85" s="53"/>
      <c r="BW85" s="18" t="s">
        <v>324</v>
      </c>
      <c r="BX85" s="52"/>
      <c r="BY85" s="53"/>
      <c r="DB85" s="17">
        <v>84</v>
      </c>
    </row>
    <row r="86" spans="1:106">
      <c r="A86" s="17" t="s">
        <v>325</v>
      </c>
      <c r="L86" s="18" t="s">
        <v>326</v>
      </c>
      <c r="M86" s="52"/>
      <c r="N86" s="53"/>
      <c r="AS86" s="18" t="s">
        <v>326</v>
      </c>
      <c r="AT86" s="52"/>
      <c r="AU86" s="53"/>
      <c r="BW86" s="18" t="s">
        <v>326</v>
      </c>
      <c r="BX86" s="52"/>
      <c r="BY86" s="53"/>
      <c r="DB86" s="17">
        <v>85</v>
      </c>
    </row>
    <row r="87" spans="1:106">
      <c r="A87" s="17" t="s">
        <v>327</v>
      </c>
      <c r="L87" s="18" t="s">
        <v>328</v>
      </c>
      <c r="M87" s="52"/>
      <c r="N87" s="53"/>
      <c r="AS87" s="18" t="s">
        <v>328</v>
      </c>
      <c r="AT87" s="52"/>
      <c r="AU87" s="53"/>
      <c r="BW87" s="18" t="s">
        <v>328</v>
      </c>
      <c r="BX87" s="52"/>
      <c r="BY87" s="53"/>
      <c r="DB87" s="17">
        <v>86</v>
      </c>
    </row>
    <row r="88" spans="1:106">
      <c r="A88" s="17" t="s">
        <v>329</v>
      </c>
      <c r="L88" s="18" t="s">
        <v>330</v>
      </c>
      <c r="M88" s="52"/>
      <c r="N88" s="53"/>
      <c r="AS88" s="18" t="s">
        <v>330</v>
      </c>
      <c r="AT88" s="52"/>
      <c r="AU88" s="53"/>
      <c r="BW88" s="18" t="s">
        <v>330</v>
      </c>
      <c r="BX88" s="52"/>
      <c r="BY88" s="53"/>
      <c r="DB88" s="17">
        <v>87</v>
      </c>
    </row>
    <row r="89" spans="1:106">
      <c r="A89" s="17" t="s">
        <v>331</v>
      </c>
      <c r="L89" s="18" t="s">
        <v>332</v>
      </c>
      <c r="M89" s="52"/>
      <c r="N89" s="53"/>
      <c r="AS89" s="18" t="s">
        <v>332</v>
      </c>
      <c r="AT89" s="52"/>
      <c r="AU89" s="53"/>
      <c r="BW89" s="18" t="s">
        <v>332</v>
      </c>
      <c r="BX89" s="52"/>
      <c r="BY89" s="53"/>
      <c r="DB89" s="17">
        <v>88</v>
      </c>
    </row>
    <row r="90" spans="1:106">
      <c r="A90" s="17" t="s">
        <v>333</v>
      </c>
      <c r="L90" s="18" t="s">
        <v>334</v>
      </c>
      <c r="M90" s="52"/>
      <c r="N90" s="53"/>
      <c r="AS90" s="18" t="s">
        <v>334</v>
      </c>
      <c r="AT90" s="52"/>
      <c r="AU90" s="53"/>
      <c r="BW90" s="18" t="s">
        <v>334</v>
      </c>
      <c r="BX90" s="52"/>
      <c r="BY90" s="53"/>
      <c r="DB90" s="17">
        <v>89</v>
      </c>
    </row>
    <row r="91" spans="1:106">
      <c r="A91" s="17" t="s">
        <v>335</v>
      </c>
      <c r="L91" s="18" t="s">
        <v>336</v>
      </c>
      <c r="M91" s="52"/>
      <c r="N91" s="53"/>
      <c r="AS91" s="18" t="s">
        <v>336</v>
      </c>
      <c r="AT91" s="52"/>
      <c r="AU91" s="53"/>
      <c r="BW91" s="18" t="s">
        <v>336</v>
      </c>
      <c r="BX91" s="52"/>
      <c r="BY91" s="53"/>
      <c r="DB91" s="17">
        <v>90</v>
      </c>
    </row>
    <row r="92" spans="1:106">
      <c r="A92" s="17" t="s">
        <v>337</v>
      </c>
      <c r="L92" s="18" t="s">
        <v>338</v>
      </c>
      <c r="M92" s="52"/>
      <c r="N92" s="53"/>
      <c r="AS92" s="18" t="s">
        <v>338</v>
      </c>
      <c r="AT92" s="52"/>
      <c r="AU92" s="53"/>
      <c r="BW92" s="18" t="s">
        <v>338</v>
      </c>
      <c r="BX92" s="52"/>
      <c r="BY92" s="53"/>
      <c r="DB92" s="17">
        <v>91</v>
      </c>
    </row>
    <row r="93" spans="1:106">
      <c r="A93" s="17" t="s">
        <v>64</v>
      </c>
      <c r="L93" s="18" t="s">
        <v>339</v>
      </c>
      <c r="M93" s="52"/>
      <c r="N93" s="53"/>
      <c r="AS93" s="18" t="s">
        <v>339</v>
      </c>
      <c r="AT93" s="52"/>
      <c r="AU93" s="53"/>
      <c r="BW93" s="18" t="s">
        <v>339</v>
      </c>
      <c r="BX93" s="52"/>
      <c r="BY93" s="53"/>
      <c r="DB93" s="17">
        <v>92</v>
      </c>
    </row>
    <row r="94" spans="1:106">
      <c r="A94" s="17" t="s">
        <v>340</v>
      </c>
      <c r="L94" s="18" t="s">
        <v>341</v>
      </c>
      <c r="M94" s="52"/>
      <c r="N94" s="53"/>
      <c r="AS94" s="18" t="s">
        <v>341</v>
      </c>
      <c r="AT94" s="52"/>
      <c r="AU94" s="53"/>
      <c r="BW94" s="18" t="s">
        <v>341</v>
      </c>
      <c r="BX94" s="52"/>
      <c r="BY94" s="53"/>
      <c r="DB94" s="17">
        <v>93</v>
      </c>
    </row>
    <row r="95" spans="1:106">
      <c r="A95" s="17" t="s">
        <v>342</v>
      </c>
      <c r="L95" s="18" t="s">
        <v>343</v>
      </c>
      <c r="M95" s="52"/>
      <c r="N95" s="53"/>
      <c r="AS95" s="18" t="s">
        <v>343</v>
      </c>
      <c r="AT95" s="52"/>
      <c r="AU95" s="53"/>
      <c r="BW95" s="18" t="s">
        <v>343</v>
      </c>
      <c r="BX95" s="52"/>
      <c r="BY95" s="53"/>
      <c r="DB95" s="17">
        <v>94</v>
      </c>
    </row>
    <row r="96" spans="1:106">
      <c r="A96" s="17" t="s">
        <v>112</v>
      </c>
      <c r="L96" s="18" t="s">
        <v>344</v>
      </c>
      <c r="M96" s="52"/>
      <c r="N96" s="53"/>
      <c r="AS96" s="18" t="s">
        <v>344</v>
      </c>
      <c r="AT96" s="52"/>
      <c r="AU96" s="53"/>
      <c r="BW96" s="18" t="s">
        <v>344</v>
      </c>
      <c r="BX96" s="52"/>
      <c r="BY96" s="53"/>
      <c r="DB96" s="17">
        <v>95</v>
      </c>
    </row>
    <row r="97" spans="1:106">
      <c r="A97" s="17" t="s">
        <v>49</v>
      </c>
      <c r="L97" s="18" t="s">
        <v>345</v>
      </c>
      <c r="M97" s="52"/>
      <c r="N97" s="53"/>
      <c r="AS97" s="18" t="s">
        <v>345</v>
      </c>
      <c r="AT97" s="52"/>
      <c r="AU97" s="53"/>
      <c r="BW97" s="18" t="s">
        <v>345</v>
      </c>
      <c r="BX97" s="52"/>
      <c r="BY97" s="53"/>
      <c r="DB97" s="17">
        <v>96</v>
      </c>
    </row>
    <row r="98" spans="1:106">
      <c r="A98" s="17" t="s">
        <v>346</v>
      </c>
      <c r="L98" s="18" t="s">
        <v>347</v>
      </c>
      <c r="M98" s="52"/>
      <c r="N98" s="53"/>
      <c r="AS98" s="18" t="s">
        <v>347</v>
      </c>
      <c r="AT98" s="52"/>
      <c r="AU98" s="53"/>
      <c r="BW98" s="18" t="s">
        <v>347</v>
      </c>
      <c r="BX98" s="52"/>
      <c r="BY98" s="53"/>
      <c r="DB98" s="17">
        <v>97</v>
      </c>
    </row>
    <row r="99" spans="1:106">
      <c r="A99" s="17" t="s">
        <v>117</v>
      </c>
      <c r="L99" s="18" t="s">
        <v>348</v>
      </c>
      <c r="M99" s="52"/>
      <c r="N99" s="53"/>
      <c r="AS99" s="18" t="s">
        <v>348</v>
      </c>
      <c r="AT99" s="52"/>
      <c r="AU99" s="53"/>
      <c r="BW99" s="18" t="s">
        <v>348</v>
      </c>
      <c r="BX99" s="52"/>
      <c r="BY99" s="53"/>
      <c r="DB99" s="17">
        <v>98</v>
      </c>
    </row>
    <row r="100" spans="1:106">
      <c r="A100" s="17" t="s">
        <v>349</v>
      </c>
      <c r="L100" s="18" t="s">
        <v>350</v>
      </c>
      <c r="M100" s="52"/>
      <c r="N100" s="53"/>
      <c r="AS100" s="18" t="s">
        <v>350</v>
      </c>
      <c r="AT100" s="52"/>
      <c r="AU100" s="53"/>
      <c r="BW100" s="18" t="s">
        <v>350</v>
      </c>
      <c r="BX100" s="52"/>
      <c r="BY100" s="53"/>
      <c r="DB100" s="17">
        <v>99</v>
      </c>
    </row>
    <row r="101" spans="1:106">
      <c r="A101" s="17" t="s">
        <v>351</v>
      </c>
      <c r="L101" s="18" t="s">
        <v>352</v>
      </c>
      <c r="M101" s="52"/>
      <c r="N101" s="53"/>
      <c r="AS101" s="18" t="s">
        <v>352</v>
      </c>
      <c r="AT101" s="52"/>
      <c r="AU101" s="53"/>
      <c r="BW101" s="18" t="s">
        <v>352</v>
      </c>
      <c r="BX101" s="52"/>
      <c r="BY101" s="53"/>
      <c r="DB101" s="17">
        <v>100</v>
      </c>
    </row>
    <row r="102" spans="1:106">
      <c r="A102" s="17" t="s">
        <v>353</v>
      </c>
      <c r="L102" s="18" t="s">
        <v>354</v>
      </c>
      <c r="M102" s="52"/>
      <c r="N102" s="53"/>
      <c r="AS102" s="18" t="s">
        <v>354</v>
      </c>
      <c r="AT102" s="52"/>
      <c r="AU102" s="53"/>
      <c r="BW102" s="18" t="s">
        <v>354</v>
      </c>
      <c r="BX102" s="52"/>
      <c r="BY102" s="53"/>
      <c r="DB102" s="17">
        <v>101</v>
      </c>
    </row>
    <row r="103" spans="1:106">
      <c r="A103" s="17" t="s">
        <v>355</v>
      </c>
      <c r="L103" s="18" t="s">
        <v>356</v>
      </c>
      <c r="M103" s="52"/>
      <c r="N103" s="53"/>
      <c r="AS103" s="18" t="s">
        <v>356</v>
      </c>
      <c r="AT103" s="52"/>
      <c r="AU103" s="53"/>
      <c r="BW103" s="18" t="s">
        <v>356</v>
      </c>
      <c r="BX103" s="52"/>
      <c r="BY103" s="53"/>
      <c r="DB103" s="17">
        <v>102</v>
      </c>
    </row>
    <row r="104" spans="1:106">
      <c r="A104" s="17" t="s">
        <v>357</v>
      </c>
      <c r="L104" s="18" t="s">
        <v>358</v>
      </c>
      <c r="M104" s="52"/>
      <c r="N104" s="53"/>
      <c r="AS104" s="18" t="s">
        <v>358</v>
      </c>
      <c r="AT104" s="52"/>
      <c r="AU104" s="53"/>
      <c r="BW104" s="18" t="s">
        <v>358</v>
      </c>
      <c r="BX104" s="52"/>
      <c r="BY104" s="53"/>
      <c r="DB104" s="17">
        <v>103</v>
      </c>
    </row>
    <row r="105" spans="1:106">
      <c r="A105" s="17" t="s">
        <v>359</v>
      </c>
      <c r="L105" s="18" t="s">
        <v>360</v>
      </c>
      <c r="M105" s="52"/>
      <c r="N105" s="53"/>
      <c r="AS105" s="18" t="s">
        <v>360</v>
      </c>
      <c r="AT105" s="52"/>
      <c r="AU105" s="53"/>
      <c r="BW105" s="18" t="s">
        <v>360</v>
      </c>
      <c r="BX105" s="52"/>
      <c r="BY105" s="53"/>
      <c r="DB105" s="17">
        <v>104</v>
      </c>
    </row>
    <row r="106" spans="1:106">
      <c r="A106" s="17" t="s">
        <v>361</v>
      </c>
      <c r="L106" s="18" t="s">
        <v>362</v>
      </c>
      <c r="M106" s="52"/>
      <c r="N106" s="53"/>
      <c r="AS106" s="18" t="s">
        <v>362</v>
      </c>
      <c r="AT106" s="52"/>
      <c r="AU106" s="53"/>
      <c r="BW106" s="18" t="s">
        <v>362</v>
      </c>
      <c r="BX106" s="52"/>
      <c r="BY106" s="53"/>
      <c r="DB106" s="17">
        <v>105</v>
      </c>
    </row>
    <row r="107" spans="1:106">
      <c r="A107" s="17" t="s">
        <v>323</v>
      </c>
      <c r="L107" s="18" t="s">
        <v>363</v>
      </c>
      <c r="M107" s="52"/>
      <c r="N107" s="53"/>
      <c r="AS107" s="18" t="s">
        <v>363</v>
      </c>
      <c r="AT107" s="52"/>
      <c r="AU107" s="53"/>
      <c r="BW107" s="18" t="s">
        <v>363</v>
      </c>
      <c r="BX107" s="52"/>
      <c r="BY107" s="53"/>
      <c r="DB107" s="17">
        <v>106</v>
      </c>
    </row>
    <row r="108" spans="1:106">
      <c r="A108" s="17" t="s">
        <v>364</v>
      </c>
      <c r="L108" s="18" t="s">
        <v>365</v>
      </c>
      <c r="M108" s="52"/>
      <c r="N108" s="53"/>
      <c r="AS108" s="18" t="s">
        <v>365</v>
      </c>
      <c r="AT108" s="52"/>
      <c r="AU108" s="53"/>
      <c r="BW108" s="18" t="s">
        <v>365</v>
      </c>
      <c r="BX108" s="52"/>
      <c r="BY108" s="53"/>
      <c r="DB108" s="17">
        <v>107</v>
      </c>
    </row>
    <row r="109" spans="1:106">
      <c r="A109" s="17" t="s">
        <v>366</v>
      </c>
      <c r="L109" s="18" t="s">
        <v>367</v>
      </c>
      <c r="M109" s="52"/>
      <c r="N109" s="53"/>
      <c r="AS109" s="18" t="s">
        <v>367</v>
      </c>
      <c r="AT109" s="52"/>
      <c r="AU109" s="53"/>
      <c r="BW109" s="18" t="s">
        <v>367</v>
      </c>
      <c r="BX109" s="52"/>
      <c r="BY109" s="53"/>
      <c r="DB109" s="17">
        <v>108</v>
      </c>
    </row>
    <row r="110" spans="1:106">
      <c r="A110" s="17" t="s">
        <v>368</v>
      </c>
      <c r="L110" s="18" t="s">
        <v>369</v>
      </c>
      <c r="M110" s="52"/>
      <c r="N110" s="53"/>
      <c r="AS110" s="18" t="s">
        <v>369</v>
      </c>
      <c r="AT110" s="52"/>
      <c r="AU110" s="53"/>
      <c r="BW110" s="18" t="s">
        <v>369</v>
      </c>
      <c r="BX110" s="52"/>
      <c r="BY110" s="53"/>
      <c r="DB110" s="17">
        <v>109</v>
      </c>
    </row>
    <row r="111" spans="1:106">
      <c r="A111" s="17" t="s">
        <v>370</v>
      </c>
      <c r="L111" s="18" t="s">
        <v>371</v>
      </c>
      <c r="M111" s="52"/>
      <c r="N111" s="53"/>
      <c r="AS111" s="18" t="s">
        <v>371</v>
      </c>
      <c r="AT111" s="52"/>
      <c r="AU111" s="53"/>
      <c r="BW111" s="18" t="s">
        <v>371</v>
      </c>
      <c r="BX111" s="52"/>
      <c r="BY111" s="53"/>
      <c r="DB111" s="17">
        <v>110</v>
      </c>
    </row>
    <row r="112" spans="1:106">
      <c r="A112" s="17" t="s">
        <v>372</v>
      </c>
      <c r="L112" s="18" t="s">
        <v>373</v>
      </c>
      <c r="M112" s="52"/>
      <c r="N112" s="53"/>
      <c r="AS112" s="18" t="s">
        <v>373</v>
      </c>
      <c r="AT112" s="52"/>
      <c r="AU112" s="53"/>
      <c r="BW112" s="18" t="s">
        <v>373</v>
      </c>
      <c r="BX112" s="52"/>
      <c r="BY112" s="53"/>
      <c r="DB112" s="17">
        <v>111</v>
      </c>
    </row>
    <row r="113" spans="1:106">
      <c r="A113" s="17" t="s">
        <v>374</v>
      </c>
      <c r="L113" s="18" t="s">
        <v>375</v>
      </c>
      <c r="M113" s="52"/>
      <c r="N113" s="53"/>
      <c r="AS113" s="18" t="s">
        <v>375</v>
      </c>
      <c r="AT113" s="52"/>
      <c r="AU113" s="53"/>
      <c r="BW113" s="18" t="s">
        <v>375</v>
      </c>
      <c r="BX113" s="52"/>
      <c r="BY113" s="53"/>
      <c r="DB113" s="17">
        <v>112</v>
      </c>
    </row>
    <row r="114" spans="1:106">
      <c r="A114" s="17" t="s">
        <v>376</v>
      </c>
      <c r="L114" s="18" t="s">
        <v>377</v>
      </c>
      <c r="M114" s="52"/>
      <c r="N114" s="53"/>
      <c r="AS114" s="18" t="s">
        <v>377</v>
      </c>
      <c r="AT114" s="52"/>
      <c r="AU114" s="53"/>
      <c r="BW114" s="18" t="s">
        <v>377</v>
      </c>
      <c r="BX114" s="52"/>
      <c r="BY114" s="53"/>
      <c r="DB114" s="17">
        <v>113</v>
      </c>
    </row>
    <row r="115" spans="1:106">
      <c r="A115" s="17" t="s">
        <v>153</v>
      </c>
      <c r="L115" s="18" t="s">
        <v>378</v>
      </c>
      <c r="M115" s="52"/>
      <c r="N115" s="53"/>
      <c r="AS115" s="18" t="s">
        <v>378</v>
      </c>
      <c r="AT115" s="52"/>
      <c r="AU115" s="53"/>
      <c r="BW115" s="18" t="s">
        <v>378</v>
      </c>
      <c r="BX115" s="52"/>
      <c r="BY115" s="53"/>
      <c r="DB115" s="17">
        <v>114</v>
      </c>
    </row>
    <row r="116" spans="1:106">
      <c r="A116" s="17" t="s">
        <v>379</v>
      </c>
      <c r="L116" s="18" t="s">
        <v>380</v>
      </c>
      <c r="M116" s="52"/>
      <c r="N116" s="53"/>
      <c r="AS116" s="18" t="s">
        <v>380</v>
      </c>
      <c r="AT116" s="52"/>
      <c r="AU116" s="53"/>
      <c r="BW116" s="18" t="s">
        <v>380</v>
      </c>
      <c r="BX116" s="52"/>
      <c r="BY116" s="53"/>
      <c r="DB116" s="17">
        <v>115</v>
      </c>
    </row>
    <row r="117" spans="1:106">
      <c r="A117" s="17" t="s">
        <v>157</v>
      </c>
      <c r="L117" s="18" t="s">
        <v>381</v>
      </c>
      <c r="M117" s="52"/>
      <c r="N117" s="53"/>
      <c r="AS117" s="18" t="s">
        <v>381</v>
      </c>
      <c r="AT117" s="52"/>
      <c r="AU117" s="53"/>
      <c r="BW117" s="18" t="s">
        <v>381</v>
      </c>
      <c r="BX117" s="52"/>
      <c r="BY117" s="53"/>
      <c r="DB117" s="17">
        <v>116</v>
      </c>
    </row>
    <row r="118" spans="1:106">
      <c r="A118" s="17" t="s">
        <v>161</v>
      </c>
      <c r="L118" s="18" t="s">
        <v>382</v>
      </c>
      <c r="M118" s="52"/>
      <c r="N118" s="53"/>
      <c r="AS118" s="18" t="s">
        <v>382</v>
      </c>
      <c r="AT118" s="52"/>
      <c r="AU118" s="53"/>
      <c r="BW118" s="18" t="s">
        <v>382</v>
      </c>
      <c r="BX118" s="52"/>
      <c r="BY118" s="53"/>
      <c r="DB118" s="17">
        <v>117</v>
      </c>
    </row>
    <row r="119" spans="1:106">
      <c r="A119" s="17" t="s">
        <v>165</v>
      </c>
      <c r="L119" s="18" t="s">
        <v>383</v>
      </c>
      <c r="M119" s="52"/>
      <c r="N119" s="53"/>
      <c r="AS119" s="18" t="s">
        <v>383</v>
      </c>
      <c r="AT119" s="52"/>
      <c r="AU119" s="53"/>
      <c r="BW119" s="18" t="s">
        <v>383</v>
      </c>
      <c r="BX119" s="52"/>
      <c r="BY119" s="53"/>
      <c r="DB119" s="17">
        <v>118</v>
      </c>
    </row>
    <row r="120" spans="1:106">
      <c r="A120" s="17" t="s">
        <v>384</v>
      </c>
      <c r="L120" s="18" t="s">
        <v>385</v>
      </c>
      <c r="M120" s="52"/>
      <c r="N120" s="53"/>
      <c r="AS120" s="18" t="s">
        <v>385</v>
      </c>
      <c r="AT120" s="52"/>
      <c r="AU120" s="53"/>
      <c r="BW120" s="18" t="s">
        <v>385</v>
      </c>
      <c r="BX120" s="52"/>
      <c r="BY120" s="53"/>
      <c r="DB120" s="17">
        <v>119</v>
      </c>
    </row>
    <row r="121" spans="1:106">
      <c r="A121" s="17" t="s">
        <v>386</v>
      </c>
      <c r="L121" s="18" t="s">
        <v>387</v>
      </c>
      <c r="M121" s="52"/>
      <c r="N121" s="53"/>
      <c r="AS121" s="18" t="s">
        <v>387</v>
      </c>
      <c r="AT121" s="52"/>
      <c r="AU121" s="53"/>
      <c r="BW121" s="18" t="s">
        <v>387</v>
      </c>
      <c r="BX121" s="52"/>
      <c r="BY121" s="53"/>
      <c r="DB121" s="17">
        <v>120</v>
      </c>
    </row>
    <row r="122" spans="1:106">
      <c r="A122" s="17" t="s">
        <v>388</v>
      </c>
      <c r="L122" s="18" t="s">
        <v>389</v>
      </c>
      <c r="M122" s="52"/>
      <c r="N122" s="53"/>
      <c r="AS122" s="18" t="s">
        <v>389</v>
      </c>
      <c r="AT122" s="52"/>
      <c r="AU122" s="53"/>
      <c r="BW122" s="18" t="s">
        <v>389</v>
      </c>
      <c r="BX122" s="52"/>
      <c r="BY122" s="53"/>
      <c r="DB122" s="17">
        <v>121</v>
      </c>
    </row>
    <row r="123" spans="1:106">
      <c r="A123" s="17" t="s">
        <v>227</v>
      </c>
      <c r="L123" s="18" t="s">
        <v>390</v>
      </c>
      <c r="M123" s="52"/>
      <c r="N123" s="53"/>
      <c r="AS123" s="18" t="s">
        <v>390</v>
      </c>
      <c r="AT123" s="52"/>
      <c r="AU123" s="53"/>
      <c r="BW123" s="18" t="s">
        <v>390</v>
      </c>
      <c r="BX123" s="52"/>
      <c r="BY123" s="53"/>
      <c r="DB123" s="17">
        <v>122</v>
      </c>
    </row>
    <row r="124" spans="1:106">
      <c r="A124" s="17" t="s">
        <v>169</v>
      </c>
      <c r="L124" s="18" t="s">
        <v>391</v>
      </c>
      <c r="M124" s="52"/>
      <c r="N124" s="53"/>
      <c r="AS124" s="18" t="s">
        <v>391</v>
      </c>
      <c r="AT124" s="52"/>
      <c r="AU124" s="53"/>
      <c r="BW124" s="18" t="s">
        <v>391</v>
      </c>
      <c r="BX124" s="52"/>
      <c r="BY124" s="53"/>
      <c r="DB124" s="17">
        <v>123</v>
      </c>
    </row>
    <row r="125" spans="1:106">
      <c r="A125" s="17" t="s">
        <v>232</v>
      </c>
      <c r="L125" s="18" t="s">
        <v>392</v>
      </c>
      <c r="M125" s="52"/>
      <c r="N125" s="53"/>
      <c r="AS125" s="18" t="s">
        <v>392</v>
      </c>
      <c r="AT125" s="52"/>
      <c r="AU125" s="53"/>
      <c r="BW125" s="18" t="s">
        <v>392</v>
      </c>
      <c r="BX125" s="52"/>
      <c r="BY125" s="53"/>
      <c r="DB125" s="17">
        <v>124</v>
      </c>
    </row>
    <row r="126" spans="1:106">
      <c r="A126" s="17" t="s">
        <v>393</v>
      </c>
      <c r="L126" s="18" t="s">
        <v>394</v>
      </c>
      <c r="M126" s="52"/>
      <c r="N126" s="53"/>
      <c r="AS126" s="18" t="s">
        <v>394</v>
      </c>
      <c r="AT126" s="52"/>
      <c r="AU126" s="53"/>
      <c r="BW126" s="18" t="s">
        <v>394</v>
      </c>
      <c r="BX126" s="52"/>
      <c r="BY126" s="53"/>
      <c r="DB126" s="17">
        <v>125</v>
      </c>
    </row>
    <row r="127" spans="1:106">
      <c r="A127" s="17" t="s">
        <v>395</v>
      </c>
      <c r="L127" s="18" t="s">
        <v>396</v>
      </c>
      <c r="M127" s="52"/>
      <c r="N127" s="53"/>
      <c r="AS127" s="18" t="s">
        <v>396</v>
      </c>
      <c r="AT127" s="52"/>
      <c r="AU127" s="53"/>
      <c r="BW127" s="18" t="s">
        <v>396</v>
      </c>
      <c r="BX127" s="52"/>
      <c r="BY127" s="53"/>
      <c r="DB127" s="17">
        <v>126</v>
      </c>
    </row>
    <row r="128" spans="1:106">
      <c r="A128" s="17" t="s">
        <v>397</v>
      </c>
      <c r="L128" s="18" t="s">
        <v>398</v>
      </c>
      <c r="M128" s="52"/>
      <c r="N128" s="53"/>
      <c r="AS128" s="18" t="s">
        <v>398</v>
      </c>
      <c r="AT128" s="52"/>
      <c r="AU128" s="53"/>
      <c r="BW128" s="18" t="s">
        <v>398</v>
      </c>
      <c r="BX128" s="52"/>
      <c r="BY128" s="53"/>
      <c r="DB128" s="17">
        <v>127</v>
      </c>
    </row>
    <row r="129" spans="1:106">
      <c r="A129" s="17" t="s">
        <v>175</v>
      </c>
      <c r="L129" s="18" t="s">
        <v>399</v>
      </c>
      <c r="M129" s="52"/>
      <c r="N129" s="53"/>
      <c r="AS129" s="18" t="s">
        <v>399</v>
      </c>
      <c r="AT129" s="52"/>
      <c r="AU129" s="53"/>
      <c r="BW129" s="18" t="s">
        <v>399</v>
      </c>
      <c r="BX129" s="52"/>
      <c r="BY129" s="53"/>
      <c r="DB129" s="17">
        <v>128</v>
      </c>
    </row>
    <row r="130" spans="1:106">
      <c r="A130" s="17" t="s">
        <v>400</v>
      </c>
      <c r="L130" s="18" t="s">
        <v>401</v>
      </c>
      <c r="M130" s="52"/>
      <c r="N130" s="53"/>
      <c r="AS130" s="18" t="s">
        <v>401</v>
      </c>
      <c r="AT130" s="52"/>
      <c r="AU130" s="53"/>
      <c r="BW130" s="18" t="s">
        <v>401</v>
      </c>
      <c r="BX130" s="52"/>
      <c r="BY130" s="53"/>
      <c r="DB130" s="17">
        <v>129</v>
      </c>
    </row>
    <row r="131" spans="1:106">
      <c r="A131" s="17" t="s">
        <v>355</v>
      </c>
      <c r="L131" s="18" t="s">
        <v>402</v>
      </c>
      <c r="M131" s="52"/>
      <c r="N131" s="53"/>
      <c r="AS131" s="18" t="s">
        <v>402</v>
      </c>
      <c r="AT131" s="52"/>
      <c r="AU131" s="53"/>
      <c r="BW131" s="18" t="s">
        <v>402</v>
      </c>
      <c r="BX131" s="52"/>
      <c r="BY131" s="53"/>
      <c r="DB131" s="17">
        <v>130</v>
      </c>
    </row>
    <row r="132" spans="1:106">
      <c r="A132" s="17" t="s">
        <v>238</v>
      </c>
      <c r="L132" s="18" t="s">
        <v>403</v>
      </c>
      <c r="M132" s="52"/>
      <c r="N132" s="53"/>
      <c r="AS132" s="18" t="s">
        <v>403</v>
      </c>
      <c r="AT132" s="52"/>
      <c r="AU132" s="53"/>
      <c r="BW132" s="18" t="s">
        <v>403</v>
      </c>
      <c r="BX132" s="52"/>
      <c r="BY132" s="53"/>
      <c r="DB132" s="17">
        <v>131</v>
      </c>
    </row>
    <row r="133" spans="1:106">
      <c r="A133" s="17" t="s">
        <v>404</v>
      </c>
      <c r="L133" s="18" t="s">
        <v>405</v>
      </c>
      <c r="M133" s="52"/>
      <c r="N133" s="53"/>
      <c r="AS133" s="18" t="s">
        <v>405</v>
      </c>
      <c r="AT133" s="52"/>
      <c r="AU133" s="53"/>
      <c r="BW133" s="18" t="s">
        <v>405</v>
      </c>
      <c r="BX133" s="52"/>
      <c r="BY133" s="53"/>
      <c r="DB133" s="17">
        <v>132</v>
      </c>
    </row>
    <row r="134" spans="1:106">
      <c r="A134" s="17" t="s">
        <v>406</v>
      </c>
      <c r="L134" s="18" t="s">
        <v>407</v>
      </c>
      <c r="M134" s="52"/>
      <c r="N134" s="53"/>
      <c r="AS134" s="18" t="s">
        <v>407</v>
      </c>
      <c r="AT134" s="52"/>
      <c r="AU134" s="53"/>
      <c r="BW134" s="18" t="s">
        <v>407</v>
      </c>
      <c r="BX134" s="52"/>
      <c r="BY134" s="53"/>
      <c r="DB134" s="17">
        <v>133</v>
      </c>
    </row>
    <row r="135" spans="1:106">
      <c r="A135" s="17" t="s">
        <v>408</v>
      </c>
      <c r="L135" s="18" t="s">
        <v>409</v>
      </c>
      <c r="M135" s="52"/>
      <c r="N135" s="53"/>
      <c r="AS135" s="18" t="s">
        <v>409</v>
      </c>
      <c r="AT135" s="52"/>
      <c r="AU135" s="53"/>
      <c r="BW135" s="18" t="s">
        <v>409</v>
      </c>
      <c r="BX135" s="52"/>
      <c r="BY135" s="53"/>
      <c r="DB135" s="17">
        <v>134</v>
      </c>
    </row>
    <row r="136" spans="1:106">
      <c r="A136" s="17" t="s">
        <v>178</v>
      </c>
      <c r="L136" s="18" t="s">
        <v>410</v>
      </c>
      <c r="M136" s="52"/>
      <c r="N136" s="53"/>
      <c r="AS136" s="18" t="s">
        <v>410</v>
      </c>
      <c r="AT136" s="52"/>
      <c r="AU136" s="53"/>
      <c r="BW136" s="18" t="s">
        <v>410</v>
      </c>
      <c r="BX136" s="52"/>
      <c r="BY136" s="53"/>
      <c r="DB136" s="17">
        <v>135</v>
      </c>
    </row>
    <row r="137" spans="1:106">
      <c r="A137" s="17" t="s">
        <v>411</v>
      </c>
      <c r="L137" s="18" t="s">
        <v>412</v>
      </c>
      <c r="M137" s="52"/>
      <c r="N137" s="53"/>
      <c r="AS137" s="18" t="s">
        <v>412</v>
      </c>
      <c r="AT137" s="52"/>
      <c r="AU137" s="53"/>
      <c r="BW137" s="18" t="s">
        <v>412</v>
      </c>
      <c r="BX137" s="52"/>
      <c r="BY137" s="53"/>
      <c r="DB137" s="17">
        <v>136</v>
      </c>
    </row>
    <row r="138" spans="1:106">
      <c r="A138" s="17" t="s">
        <v>181</v>
      </c>
      <c r="L138" s="18" t="s">
        <v>413</v>
      </c>
      <c r="M138" s="52"/>
      <c r="N138" s="53"/>
      <c r="AS138" s="18" t="s">
        <v>413</v>
      </c>
      <c r="AT138" s="52"/>
      <c r="AU138" s="53"/>
      <c r="BW138" s="18" t="s">
        <v>413</v>
      </c>
      <c r="BX138" s="52"/>
      <c r="BY138" s="53"/>
      <c r="DB138" s="17">
        <v>137</v>
      </c>
    </row>
    <row r="139" spans="1:106">
      <c r="A139" s="17" t="s">
        <v>184</v>
      </c>
      <c r="L139" s="18" t="s">
        <v>414</v>
      </c>
      <c r="M139" s="52"/>
      <c r="N139" s="53"/>
      <c r="AS139" s="18" t="s">
        <v>414</v>
      </c>
      <c r="AT139" s="52"/>
      <c r="AU139" s="53"/>
      <c r="BW139" s="18" t="s">
        <v>414</v>
      </c>
      <c r="BX139" s="52"/>
      <c r="BY139" s="53"/>
      <c r="DB139" s="17">
        <v>138</v>
      </c>
    </row>
    <row r="140" spans="1:106">
      <c r="A140" s="17" t="s">
        <v>187</v>
      </c>
      <c r="L140" s="18" t="s">
        <v>415</v>
      </c>
      <c r="M140" s="52"/>
      <c r="N140" s="53"/>
      <c r="AS140" s="18" t="s">
        <v>415</v>
      </c>
      <c r="AT140" s="52"/>
      <c r="AU140" s="53"/>
      <c r="BW140" s="18" t="s">
        <v>415</v>
      </c>
      <c r="BX140" s="52"/>
      <c r="BY140" s="53"/>
      <c r="DB140" s="17">
        <v>139</v>
      </c>
    </row>
    <row r="141" spans="1:106">
      <c r="A141" s="17" t="s">
        <v>416</v>
      </c>
      <c r="L141" s="18" t="s">
        <v>417</v>
      </c>
      <c r="M141" s="52"/>
      <c r="N141" s="53"/>
      <c r="AS141" s="18" t="s">
        <v>417</v>
      </c>
      <c r="AT141" s="52"/>
      <c r="AU141" s="53"/>
      <c r="BW141" s="18" t="s">
        <v>417</v>
      </c>
      <c r="BX141" s="52"/>
      <c r="BY141" s="53"/>
      <c r="DB141" s="17">
        <v>140</v>
      </c>
    </row>
    <row r="142" spans="1:106">
      <c r="A142" s="17" t="s">
        <v>418</v>
      </c>
      <c r="L142" s="18" t="s">
        <v>419</v>
      </c>
      <c r="M142" s="52"/>
      <c r="N142" s="53"/>
      <c r="AS142" s="18" t="s">
        <v>419</v>
      </c>
      <c r="AT142" s="52"/>
      <c r="AU142" s="53"/>
      <c r="BW142" s="18" t="s">
        <v>419</v>
      </c>
      <c r="BX142" s="52"/>
      <c r="BY142" s="53"/>
      <c r="DB142" s="17">
        <v>141</v>
      </c>
    </row>
    <row r="143" spans="1:106">
      <c r="A143" s="17" t="s">
        <v>190</v>
      </c>
      <c r="L143" s="18" t="s">
        <v>420</v>
      </c>
      <c r="M143" s="52"/>
      <c r="N143" s="53"/>
      <c r="AS143" s="18" t="s">
        <v>420</v>
      </c>
      <c r="AT143" s="52"/>
      <c r="AU143" s="53"/>
      <c r="BW143" s="18" t="s">
        <v>420</v>
      </c>
      <c r="BX143" s="52"/>
      <c r="BY143" s="53"/>
      <c r="DB143" s="17">
        <v>142</v>
      </c>
    </row>
    <row r="144" spans="1:106">
      <c r="A144" s="17" t="s">
        <v>421</v>
      </c>
      <c r="L144" s="18" t="s">
        <v>422</v>
      </c>
      <c r="M144" s="52"/>
      <c r="N144" s="53"/>
      <c r="AS144" s="18" t="s">
        <v>422</v>
      </c>
      <c r="AT144" s="52"/>
      <c r="AU144" s="53"/>
      <c r="BW144" s="18" t="s">
        <v>422</v>
      </c>
      <c r="BX144" s="52"/>
      <c r="BY144" s="53"/>
      <c r="DB144" s="17">
        <v>143</v>
      </c>
    </row>
    <row r="145" spans="1:106">
      <c r="A145" s="17" t="s">
        <v>423</v>
      </c>
      <c r="L145" s="18" t="s">
        <v>424</v>
      </c>
      <c r="M145" s="52"/>
      <c r="N145" s="53"/>
      <c r="AS145" s="18" t="s">
        <v>424</v>
      </c>
      <c r="AT145" s="52"/>
      <c r="AU145" s="53"/>
      <c r="BW145" s="18" t="s">
        <v>424</v>
      </c>
      <c r="BX145" s="52"/>
      <c r="BY145" s="53"/>
      <c r="DB145" s="17">
        <v>144</v>
      </c>
    </row>
    <row r="146" spans="1:106">
      <c r="A146" s="17" t="s">
        <v>193</v>
      </c>
      <c r="L146" s="18" t="s">
        <v>425</v>
      </c>
      <c r="M146" s="52"/>
      <c r="N146" s="53"/>
      <c r="AS146" s="18" t="s">
        <v>425</v>
      </c>
      <c r="AT146" s="52"/>
      <c r="AU146" s="53"/>
      <c r="BW146" s="18" t="s">
        <v>425</v>
      </c>
      <c r="BX146" s="52"/>
      <c r="BY146" s="53"/>
      <c r="DB146" s="17">
        <v>145</v>
      </c>
    </row>
    <row r="147" spans="1:106">
      <c r="A147" s="17" t="s">
        <v>426</v>
      </c>
      <c r="L147" s="18" t="s">
        <v>427</v>
      </c>
      <c r="M147" s="52"/>
      <c r="N147" s="53"/>
      <c r="AS147" s="18" t="s">
        <v>427</v>
      </c>
      <c r="AT147" s="52"/>
      <c r="AU147" s="53"/>
      <c r="BW147" s="18" t="s">
        <v>427</v>
      </c>
      <c r="BX147" s="52"/>
      <c r="BY147" s="53"/>
      <c r="DB147" s="17">
        <v>146</v>
      </c>
    </row>
    <row r="148" spans="1:106">
      <c r="A148" s="17" t="s">
        <v>327</v>
      </c>
      <c r="L148" s="18" t="s">
        <v>428</v>
      </c>
      <c r="M148" s="52"/>
      <c r="N148" s="53"/>
      <c r="AS148" s="18" t="s">
        <v>428</v>
      </c>
      <c r="AT148" s="52"/>
      <c r="AU148" s="53"/>
      <c r="BW148" s="18" t="s">
        <v>428</v>
      </c>
      <c r="BX148" s="52"/>
      <c r="BY148" s="53"/>
      <c r="DB148" s="17">
        <v>147</v>
      </c>
    </row>
    <row r="149" spans="1:106">
      <c r="A149" s="17" t="s">
        <v>429</v>
      </c>
      <c r="L149" s="18" t="s">
        <v>430</v>
      </c>
      <c r="M149" s="52"/>
      <c r="N149" s="53"/>
      <c r="AS149" s="18" t="s">
        <v>430</v>
      </c>
      <c r="AT149" s="52"/>
      <c r="AU149" s="53"/>
      <c r="BW149" s="18" t="s">
        <v>430</v>
      </c>
      <c r="BX149" s="52"/>
      <c r="BY149" s="53"/>
      <c r="DB149" s="17">
        <v>148</v>
      </c>
    </row>
    <row r="150" spans="1:106">
      <c r="A150" s="17" t="s">
        <v>196</v>
      </c>
      <c r="L150" s="18" t="s">
        <v>431</v>
      </c>
      <c r="M150" s="52"/>
      <c r="N150" s="53"/>
      <c r="AS150" s="18" t="s">
        <v>431</v>
      </c>
      <c r="AT150" s="52"/>
      <c r="AU150" s="53"/>
      <c r="BW150" s="18" t="s">
        <v>431</v>
      </c>
      <c r="BX150" s="52"/>
      <c r="BY150" s="53"/>
      <c r="DB150" s="17">
        <v>149</v>
      </c>
    </row>
    <row r="151" spans="1:106">
      <c r="A151" s="17" t="s">
        <v>148</v>
      </c>
      <c r="L151" s="18" t="s">
        <v>432</v>
      </c>
      <c r="M151" s="52"/>
      <c r="N151" s="53"/>
      <c r="AS151" s="18" t="s">
        <v>432</v>
      </c>
      <c r="AT151" s="52"/>
      <c r="AU151" s="53"/>
      <c r="BW151" s="18" t="s">
        <v>432</v>
      </c>
      <c r="BX151" s="52"/>
      <c r="BY151" s="53"/>
      <c r="DB151" s="17">
        <v>150</v>
      </c>
    </row>
    <row r="152" spans="1:106">
      <c r="A152" s="17" t="s">
        <v>433</v>
      </c>
      <c r="L152" s="18" t="s">
        <v>65</v>
      </c>
      <c r="M152" s="52"/>
      <c r="N152" s="53"/>
      <c r="AS152" s="18" t="s">
        <v>65</v>
      </c>
      <c r="AT152" s="52"/>
      <c r="AU152" s="53"/>
      <c r="BW152" s="18" t="s">
        <v>65</v>
      </c>
      <c r="BX152" s="52"/>
      <c r="BY152" s="53"/>
      <c r="DB152" s="17">
        <v>151</v>
      </c>
    </row>
    <row r="153" spans="1:106">
      <c r="A153" s="17" t="s">
        <v>273</v>
      </c>
      <c r="L153" s="18" t="s">
        <v>434</v>
      </c>
      <c r="M153" s="52"/>
      <c r="N153" s="53"/>
      <c r="AS153" s="18" t="s">
        <v>434</v>
      </c>
      <c r="AT153" s="52"/>
      <c r="AU153" s="53"/>
      <c r="BW153" s="18" t="s">
        <v>434</v>
      </c>
      <c r="BX153" s="52"/>
      <c r="BY153" s="53"/>
      <c r="DB153" s="17">
        <v>152</v>
      </c>
    </row>
    <row r="154" spans="1:106">
      <c r="A154" s="17" t="s">
        <v>435</v>
      </c>
      <c r="L154" s="18" t="s">
        <v>436</v>
      </c>
      <c r="M154" s="52"/>
      <c r="N154" s="53"/>
      <c r="AS154" s="18" t="s">
        <v>436</v>
      </c>
      <c r="AT154" s="52"/>
      <c r="AU154" s="53"/>
      <c r="BW154" s="18" t="s">
        <v>436</v>
      </c>
      <c r="BX154" s="52"/>
      <c r="BY154" s="53"/>
      <c r="DB154" s="17">
        <v>153</v>
      </c>
    </row>
    <row r="155" spans="1:106">
      <c r="A155" s="17" t="s">
        <v>437</v>
      </c>
      <c r="L155" s="18" t="s">
        <v>438</v>
      </c>
      <c r="M155" s="52"/>
      <c r="N155" s="53"/>
      <c r="AS155" s="18" t="s">
        <v>438</v>
      </c>
      <c r="AT155" s="52"/>
      <c r="AU155" s="53"/>
      <c r="BW155" s="18" t="s">
        <v>438</v>
      </c>
      <c r="BX155" s="52"/>
      <c r="BY155" s="53"/>
      <c r="DB155" s="17">
        <v>154</v>
      </c>
    </row>
    <row r="156" spans="1:106">
      <c r="A156" s="17" t="s">
        <v>439</v>
      </c>
      <c r="L156" s="18" t="s">
        <v>440</v>
      </c>
      <c r="M156" s="52"/>
      <c r="N156" s="53"/>
      <c r="AS156" s="18" t="s">
        <v>440</v>
      </c>
      <c r="AT156" s="52"/>
      <c r="AU156" s="53"/>
      <c r="BW156" s="18" t="s">
        <v>440</v>
      </c>
      <c r="BX156" s="52"/>
      <c r="BY156" s="53"/>
      <c r="DB156" s="17">
        <v>155</v>
      </c>
    </row>
    <row r="157" spans="1:106">
      <c r="A157" s="17" t="s">
        <v>441</v>
      </c>
      <c r="L157" s="18" t="s">
        <v>442</v>
      </c>
      <c r="M157" s="52"/>
      <c r="N157" s="53"/>
      <c r="AS157" s="18" t="s">
        <v>442</v>
      </c>
      <c r="AT157" s="52"/>
      <c r="AU157" s="53"/>
      <c r="BW157" s="18" t="s">
        <v>442</v>
      </c>
      <c r="BX157" s="52"/>
      <c r="BY157" s="53"/>
      <c r="DB157" s="17">
        <v>156</v>
      </c>
    </row>
    <row r="158" spans="1:106">
      <c r="A158" s="17" t="s">
        <v>443</v>
      </c>
      <c r="L158" s="18" t="s">
        <v>444</v>
      </c>
      <c r="M158" s="52"/>
      <c r="N158" s="53"/>
      <c r="AS158" s="18" t="s">
        <v>444</v>
      </c>
      <c r="AT158" s="52"/>
      <c r="AU158" s="53"/>
      <c r="BW158" s="18" t="s">
        <v>444</v>
      </c>
      <c r="BX158" s="52"/>
      <c r="BY158" s="53"/>
      <c r="DB158" s="17">
        <v>157</v>
      </c>
    </row>
    <row r="159" spans="1:106">
      <c r="A159" s="17" t="s">
        <v>445</v>
      </c>
      <c r="L159" s="18" t="s">
        <v>446</v>
      </c>
      <c r="M159" s="52"/>
      <c r="N159" s="53"/>
      <c r="AS159" s="18" t="s">
        <v>446</v>
      </c>
      <c r="AT159" s="52"/>
      <c r="AU159" s="53"/>
      <c r="BW159" s="18" t="s">
        <v>446</v>
      </c>
      <c r="BX159" s="52"/>
      <c r="BY159" s="53"/>
      <c r="DB159" s="17">
        <v>158</v>
      </c>
    </row>
    <row r="160" spans="1:106">
      <c r="A160" s="17" t="s">
        <v>447</v>
      </c>
      <c r="L160" s="18" t="s">
        <v>448</v>
      </c>
      <c r="M160" s="52"/>
      <c r="N160" s="53"/>
      <c r="AS160" s="18" t="s">
        <v>448</v>
      </c>
      <c r="AT160" s="52"/>
      <c r="AU160" s="53"/>
      <c r="BW160" s="18" t="s">
        <v>448</v>
      </c>
      <c r="BX160" s="52"/>
      <c r="BY160" s="53"/>
      <c r="DB160" s="17">
        <v>159</v>
      </c>
    </row>
    <row r="161" spans="1:106">
      <c r="A161" s="17" t="s">
        <v>449</v>
      </c>
      <c r="L161" s="18" t="s">
        <v>450</v>
      </c>
      <c r="M161" s="52"/>
      <c r="N161" s="53"/>
      <c r="AS161" s="18" t="s">
        <v>450</v>
      </c>
      <c r="AT161" s="52"/>
      <c r="AU161" s="53"/>
      <c r="BW161" s="18" t="s">
        <v>450</v>
      </c>
      <c r="BX161" s="52"/>
      <c r="BY161" s="53"/>
      <c r="DB161" s="17">
        <v>160</v>
      </c>
    </row>
    <row r="162" spans="1:106">
      <c r="A162" s="17" t="s">
        <v>451</v>
      </c>
      <c r="L162" s="18" t="s">
        <v>452</v>
      </c>
      <c r="M162" s="52"/>
      <c r="N162" s="53"/>
      <c r="AS162" s="18" t="s">
        <v>452</v>
      </c>
      <c r="AT162" s="52"/>
      <c r="AU162" s="53"/>
      <c r="BW162" s="18" t="s">
        <v>452</v>
      </c>
      <c r="BX162" s="52"/>
      <c r="BY162" s="53"/>
      <c r="DB162" s="17">
        <v>161</v>
      </c>
    </row>
    <row r="163" spans="1:106">
      <c r="A163" s="17" t="s">
        <v>453</v>
      </c>
      <c r="L163" s="18" t="s">
        <v>454</v>
      </c>
      <c r="M163" s="52"/>
      <c r="N163" s="53"/>
      <c r="AS163" s="18" t="s">
        <v>454</v>
      </c>
      <c r="AT163" s="52"/>
      <c r="AU163" s="53"/>
      <c r="BW163" s="18" t="s">
        <v>454</v>
      </c>
      <c r="BX163" s="52"/>
      <c r="BY163" s="53"/>
      <c r="DB163" s="17">
        <v>162</v>
      </c>
    </row>
    <row r="164" spans="1:106">
      <c r="A164" s="17" t="s">
        <v>455</v>
      </c>
      <c r="L164" s="18" t="s">
        <v>456</v>
      </c>
      <c r="M164" s="52"/>
      <c r="N164" s="53"/>
      <c r="AS164" s="18" t="s">
        <v>456</v>
      </c>
      <c r="AT164" s="52"/>
      <c r="AU164" s="53"/>
      <c r="BW164" s="18" t="s">
        <v>456</v>
      </c>
      <c r="BX164" s="52"/>
      <c r="BY164" s="53"/>
      <c r="DB164" s="17">
        <v>163</v>
      </c>
    </row>
    <row r="165" spans="1:106">
      <c r="A165" s="17" t="s">
        <v>457</v>
      </c>
      <c r="L165" s="18" t="s">
        <v>458</v>
      </c>
      <c r="M165" s="52"/>
      <c r="N165" s="53"/>
      <c r="AS165" s="18" t="s">
        <v>458</v>
      </c>
      <c r="AT165" s="52"/>
      <c r="AU165" s="53"/>
      <c r="BW165" s="18" t="s">
        <v>458</v>
      </c>
      <c r="BX165" s="52"/>
      <c r="BY165" s="53"/>
      <c r="DB165" s="17">
        <v>164</v>
      </c>
    </row>
    <row r="166" spans="1:106">
      <c r="A166" s="17" t="s">
        <v>459</v>
      </c>
      <c r="L166" s="18" t="s">
        <v>460</v>
      </c>
      <c r="M166" s="52"/>
      <c r="N166" s="53"/>
      <c r="AS166" s="18" t="s">
        <v>460</v>
      </c>
      <c r="AT166" s="52"/>
      <c r="AU166" s="53"/>
      <c r="BW166" s="18" t="s">
        <v>460</v>
      </c>
      <c r="BX166" s="52"/>
      <c r="BY166" s="53"/>
      <c r="DB166" s="17">
        <v>165</v>
      </c>
    </row>
    <row r="167" spans="1:106">
      <c r="A167" s="17" t="s">
        <v>461</v>
      </c>
      <c r="L167" s="18" t="s">
        <v>462</v>
      </c>
      <c r="M167" s="52"/>
      <c r="N167" s="53"/>
      <c r="AS167" s="18" t="s">
        <v>462</v>
      </c>
      <c r="AT167" s="52"/>
      <c r="AU167" s="53"/>
      <c r="BW167" s="18" t="s">
        <v>462</v>
      </c>
      <c r="BX167" s="52"/>
      <c r="BY167" s="53"/>
      <c r="DB167" s="17">
        <v>166</v>
      </c>
    </row>
    <row r="168" spans="1:106">
      <c r="A168" s="17" t="s">
        <v>355</v>
      </c>
      <c r="L168" s="18" t="s">
        <v>463</v>
      </c>
      <c r="M168" s="52"/>
      <c r="N168" s="53"/>
      <c r="AS168" s="18" t="s">
        <v>463</v>
      </c>
      <c r="AT168" s="52"/>
      <c r="AU168" s="53"/>
      <c r="BW168" s="18" t="s">
        <v>463</v>
      </c>
      <c r="BX168" s="52"/>
      <c r="BY168" s="53"/>
      <c r="DB168" s="17">
        <v>167</v>
      </c>
    </row>
    <row r="169" spans="1:106">
      <c r="A169" s="17" t="s">
        <v>128</v>
      </c>
      <c r="L169" s="18" t="s">
        <v>464</v>
      </c>
      <c r="M169" s="52"/>
      <c r="N169" s="53"/>
      <c r="AS169" s="18" t="s">
        <v>464</v>
      </c>
      <c r="AT169" s="52"/>
      <c r="AU169" s="53"/>
      <c r="BW169" s="18" t="s">
        <v>464</v>
      </c>
      <c r="BX169" s="52"/>
      <c r="BY169" s="53"/>
      <c r="DB169" s="17">
        <v>168</v>
      </c>
    </row>
    <row r="170" spans="1:106">
      <c r="A170" s="17" t="s">
        <v>315</v>
      </c>
      <c r="L170" s="18" t="s">
        <v>465</v>
      </c>
      <c r="M170" s="52"/>
      <c r="N170" s="53"/>
      <c r="AS170" s="18" t="s">
        <v>465</v>
      </c>
      <c r="AT170" s="52"/>
      <c r="AU170" s="53"/>
      <c r="BW170" s="18" t="s">
        <v>465</v>
      </c>
      <c r="BX170" s="52"/>
      <c r="BY170" s="53"/>
      <c r="DB170" s="17">
        <v>169</v>
      </c>
    </row>
    <row r="171" spans="1:106">
      <c r="A171" s="17" t="s">
        <v>133</v>
      </c>
      <c r="L171" s="18" t="s">
        <v>466</v>
      </c>
      <c r="M171" s="52"/>
      <c r="N171" s="53"/>
      <c r="AS171" s="18" t="s">
        <v>466</v>
      </c>
      <c r="AT171" s="52"/>
      <c r="AU171" s="53"/>
      <c r="BW171" s="18" t="s">
        <v>466</v>
      </c>
      <c r="BX171" s="52"/>
      <c r="BY171" s="53"/>
      <c r="DB171" s="17">
        <v>170</v>
      </c>
    </row>
    <row r="172" spans="1:106">
      <c r="A172" s="17" t="s">
        <v>467</v>
      </c>
      <c r="L172" s="18" t="s">
        <v>468</v>
      </c>
      <c r="M172" s="52"/>
      <c r="N172" s="53"/>
      <c r="AS172" s="18" t="s">
        <v>468</v>
      </c>
      <c r="AT172" s="52"/>
      <c r="AU172" s="53"/>
      <c r="BW172" s="18" t="s">
        <v>468</v>
      </c>
      <c r="BX172" s="52"/>
      <c r="BY172" s="53"/>
      <c r="DB172" s="17">
        <v>171</v>
      </c>
    </row>
    <row r="173" spans="1:106">
      <c r="A173" s="17" t="s">
        <v>469</v>
      </c>
      <c r="L173" s="18" t="s">
        <v>470</v>
      </c>
      <c r="M173" s="52"/>
      <c r="N173" s="53"/>
      <c r="AS173" s="18" t="s">
        <v>470</v>
      </c>
      <c r="AT173" s="52"/>
      <c r="AU173" s="53"/>
      <c r="BW173" s="18" t="s">
        <v>470</v>
      </c>
      <c r="BX173" s="52"/>
      <c r="BY173" s="53"/>
      <c r="DB173" s="17">
        <v>172</v>
      </c>
    </row>
    <row r="174" spans="1:106">
      <c r="A174" s="17" t="s">
        <v>471</v>
      </c>
      <c r="L174" s="18" t="s">
        <v>472</v>
      </c>
      <c r="M174" s="52"/>
      <c r="N174" s="53"/>
      <c r="AS174" s="18" t="s">
        <v>472</v>
      </c>
      <c r="AT174" s="52"/>
      <c r="AU174" s="53"/>
      <c r="BW174" s="18" t="s">
        <v>472</v>
      </c>
      <c r="BX174" s="52"/>
      <c r="BY174" s="53"/>
      <c r="DB174" s="17">
        <v>173</v>
      </c>
    </row>
    <row r="175" spans="1:106">
      <c r="A175" s="17" t="s">
        <v>473</v>
      </c>
      <c r="L175" s="18" t="s">
        <v>474</v>
      </c>
      <c r="M175" s="52"/>
      <c r="N175" s="53"/>
      <c r="AS175" s="18" t="s">
        <v>474</v>
      </c>
      <c r="AT175" s="52"/>
      <c r="AU175" s="53"/>
      <c r="BW175" s="18" t="s">
        <v>474</v>
      </c>
      <c r="BX175" s="52"/>
      <c r="BY175" s="53"/>
      <c r="DB175" s="17">
        <v>174</v>
      </c>
    </row>
    <row r="176" spans="1:106">
      <c r="A176" s="17" t="s">
        <v>475</v>
      </c>
      <c r="L176" s="18" t="s">
        <v>476</v>
      </c>
      <c r="M176" s="52"/>
      <c r="N176" s="53"/>
      <c r="AS176" s="18" t="s">
        <v>476</v>
      </c>
      <c r="AT176" s="52"/>
      <c r="AU176" s="53"/>
      <c r="BW176" s="18" t="s">
        <v>476</v>
      </c>
      <c r="BX176" s="52"/>
      <c r="BY176" s="53"/>
      <c r="DB176" s="17">
        <v>175</v>
      </c>
    </row>
    <row r="177" spans="1:106">
      <c r="A177" s="17" t="s">
        <v>477</v>
      </c>
      <c r="L177" s="18" t="s">
        <v>478</v>
      </c>
      <c r="M177" s="52"/>
      <c r="N177" s="53"/>
      <c r="AS177" s="18" t="s">
        <v>478</v>
      </c>
      <c r="AT177" s="52"/>
      <c r="AU177" s="53"/>
      <c r="BW177" s="18" t="s">
        <v>478</v>
      </c>
      <c r="BX177" s="52"/>
      <c r="BY177" s="53"/>
      <c r="DB177" s="17">
        <v>176</v>
      </c>
    </row>
    <row r="178" spans="1:106">
      <c r="A178" s="17" t="s">
        <v>479</v>
      </c>
      <c r="L178" s="18" t="s">
        <v>480</v>
      </c>
      <c r="M178" s="52"/>
      <c r="N178" s="53"/>
      <c r="AS178" s="18" t="s">
        <v>480</v>
      </c>
      <c r="AT178" s="52"/>
      <c r="AU178" s="53"/>
      <c r="BW178" s="18" t="s">
        <v>480</v>
      </c>
      <c r="BX178" s="52"/>
      <c r="BY178" s="53"/>
      <c r="DB178" s="17">
        <v>177</v>
      </c>
    </row>
    <row r="179" spans="1:106">
      <c r="A179" s="17" t="s">
        <v>232</v>
      </c>
      <c r="L179" s="18" t="s">
        <v>481</v>
      </c>
      <c r="M179" s="52"/>
      <c r="N179" s="53"/>
      <c r="AS179" s="18" t="s">
        <v>481</v>
      </c>
      <c r="AT179" s="52"/>
      <c r="AU179" s="53"/>
      <c r="BW179" s="18" t="s">
        <v>481</v>
      </c>
      <c r="BX179" s="52"/>
      <c r="BY179" s="53"/>
      <c r="DB179" s="17">
        <v>178</v>
      </c>
    </row>
    <row r="180" spans="1:106">
      <c r="A180" s="17" t="s">
        <v>482</v>
      </c>
      <c r="L180" s="18" t="s">
        <v>483</v>
      </c>
      <c r="M180" s="52"/>
      <c r="N180" s="53"/>
      <c r="AS180" s="18" t="s">
        <v>483</v>
      </c>
      <c r="AT180" s="52"/>
      <c r="AU180" s="53"/>
      <c r="BW180" s="18" t="s">
        <v>483</v>
      </c>
      <c r="BX180" s="52"/>
      <c r="BY180" s="53"/>
      <c r="DB180" s="17">
        <v>179</v>
      </c>
    </row>
    <row r="181" spans="1:106">
      <c r="A181" s="17" t="s">
        <v>393</v>
      </c>
      <c r="L181" s="18" t="s">
        <v>484</v>
      </c>
      <c r="M181" s="52"/>
      <c r="N181" s="53"/>
      <c r="AS181" s="18" t="s">
        <v>484</v>
      </c>
      <c r="AT181" s="52"/>
      <c r="AU181" s="53"/>
      <c r="BW181" s="18" t="s">
        <v>484</v>
      </c>
      <c r="BX181" s="52"/>
      <c r="BY181" s="53"/>
      <c r="DB181" s="17">
        <v>180</v>
      </c>
    </row>
    <row r="182" spans="1:106">
      <c r="A182" s="17" t="s">
        <v>485</v>
      </c>
      <c r="L182" s="18" t="s">
        <v>486</v>
      </c>
      <c r="M182" s="52"/>
      <c r="N182" s="53"/>
      <c r="AS182" s="18" t="s">
        <v>486</v>
      </c>
      <c r="AT182" s="52"/>
      <c r="AU182" s="53"/>
      <c r="BW182" s="18" t="s">
        <v>486</v>
      </c>
      <c r="BX182" s="52"/>
      <c r="BY182" s="53"/>
      <c r="DB182" s="17">
        <v>181</v>
      </c>
    </row>
    <row r="183" spans="1:106">
      <c r="A183" s="17" t="s">
        <v>487</v>
      </c>
      <c r="L183" s="18" t="s">
        <v>488</v>
      </c>
      <c r="M183" s="52"/>
      <c r="N183" s="53"/>
      <c r="AS183" s="18" t="s">
        <v>488</v>
      </c>
      <c r="AT183" s="52"/>
      <c r="AU183" s="53"/>
      <c r="BW183" s="18" t="s">
        <v>488</v>
      </c>
      <c r="BX183" s="52"/>
      <c r="BY183" s="53"/>
      <c r="DB183" s="17">
        <v>182</v>
      </c>
    </row>
    <row r="184" spans="1:106">
      <c r="A184" s="17" t="s">
        <v>187</v>
      </c>
      <c r="L184" s="18" t="s">
        <v>489</v>
      </c>
      <c r="M184" s="52"/>
      <c r="N184" s="53"/>
      <c r="AS184" s="18" t="s">
        <v>489</v>
      </c>
      <c r="AT184" s="52"/>
      <c r="AU184" s="53"/>
      <c r="BW184" s="18" t="s">
        <v>489</v>
      </c>
      <c r="BX184" s="52"/>
      <c r="BY184" s="53"/>
      <c r="DB184" s="17">
        <v>183</v>
      </c>
    </row>
    <row r="185" spans="1:106">
      <c r="A185" s="17" t="s">
        <v>490</v>
      </c>
      <c r="L185" s="18" t="s">
        <v>491</v>
      </c>
      <c r="M185" s="52"/>
      <c r="N185" s="53"/>
      <c r="AS185" s="18" t="s">
        <v>491</v>
      </c>
      <c r="AT185" s="52"/>
      <c r="AU185" s="53"/>
      <c r="BW185" s="18" t="s">
        <v>491</v>
      </c>
      <c r="BX185" s="52"/>
      <c r="BY185" s="53"/>
      <c r="DB185" s="17">
        <v>184</v>
      </c>
    </row>
    <row r="186" spans="1:106">
      <c r="A186" s="17" t="s">
        <v>492</v>
      </c>
      <c r="L186" s="18" t="s">
        <v>493</v>
      </c>
      <c r="M186" s="52"/>
      <c r="N186" s="53"/>
      <c r="AS186" s="18" t="s">
        <v>493</v>
      </c>
      <c r="AT186" s="52"/>
      <c r="AU186" s="53"/>
      <c r="BW186" s="18" t="s">
        <v>493</v>
      </c>
      <c r="BX186" s="52"/>
      <c r="BY186" s="53"/>
      <c r="DB186" s="17">
        <v>185</v>
      </c>
    </row>
    <row r="187" spans="1:106">
      <c r="A187" s="17" t="s">
        <v>494</v>
      </c>
      <c r="L187" s="18" t="s">
        <v>495</v>
      </c>
      <c r="M187" s="52"/>
      <c r="N187" s="53"/>
      <c r="AS187" s="18" t="s">
        <v>495</v>
      </c>
      <c r="AT187" s="52"/>
      <c r="AU187" s="53"/>
      <c r="BW187" s="18" t="s">
        <v>495</v>
      </c>
      <c r="BX187" s="52"/>
      <c r="BY187" s="53"/>
      <c r="DB187" s="17">
        <v>186</v>
      </c>
    </row>
    <row r="188" spans="1:106">
      <c r="A188" s="17" t="s">
        <v>496</v>
      </c>
      <c r="L188" s="18" t="s">
        <v>497</v>
      </c>
      <c r="M188" s="52"/>
      <c r="N188" s="53"/>
      <c r="AS188" s="18" t="s">
        <v>497</v>
      </c>
      <c r="AT188" s="52"/>
      <c r="AU188" s="53"/>
      <c r="BW188" s="18" t="s">
        <v>497</v>
      </c>
      <c r="BX188" s="52"/>
      <c r="BY188" s="53"/>
      <c r="DB188" s="17">
        <v>187</v>
      </c>
    </row>
    <row r="189" spans="1:106">
      <c r="A189" s="17" t="s">
        <v>63</v>
      </c>
      <c r="L189" s="18" t="s">
        <v>498</v>
      </c>
      <c r="M189" s="52"/>
      <c r="N189" s="53"/>
      <c r="AS189" s="18" t="s">
        <v>498</v>
      </c>
      <c r="AT189" s="52"/>
      <c r="AU189" s="53"/>
      <c r="BW189" s="18" t="s">
        <v>498</v>
      </c>
      <c r="BX189" s="52"/>
      <c r="BY189" s="53"/>
      <c r="DB189" s="17">
        <v>188</v>
      </c>
    </row>
    <row r="190" spans="1:106">
      <c r="L190" s="18" t="s">
        <v>499</v>
      </c>
      <c r="M190" s="52"/>
      <c r="N190" s="53"/>
      <c r="AS190" s="18" t="s">
        <v>499</v>
      </c>
      <c r="AT190" s="52"/>
      <c r="AU190" s="53"/>
      <c r="BW190" s="18" t="s">
        <v>499</v>
      </c>
      <c r="BX190" s="52"/>
      <c r="BY190" s="53"/>
      <c r="DB190" s="17">
        <v>189</v>
      </c>
    </row>
    <row r="191" spans="1:106">
      <c r="L191" s="18" t="s">
        <v>500</v>
      </c>
      <c r="M191" s="52"/>
      <c r="N191" s="53"/>
      <c r="AS191" s="18" t="s">
        <v>500</v>
      </c>
      <c r="AT191" s="52"/>
      <c r="AU191" s="53"/>
      <c r="BW191" s="18" t="s">
        <v>500</v>
      </c>
      <c r="BX191" s="52"/>
      <c r="BY191" s="53"/>
      <c r="DB191" s="17">
        <v>190</v>
      </c>
    </row>
    <row r="192" spans="1:106">
      <c r="L192" s="18" t="s">
        <v>501</v>
      </c>
      <c r="M192" s="52"/>
      <c r="N192" s="53"/>
      <c r="AS192" s="18" t="s">
        <v>501</v>
      </c>
      <c r="AT192" s="52"/>
      <c r="AU192" s="53"/>
      <c r="BW192" s="18" t="s">
        <v>501</v>
      </c>
      <c r="BX192" s="52"/>
      <c r="BY192" s="53"/>
      <c r="DB192" s="17">
        <v>191</v>
      </c>
    </row>
    <row r="193" spans="12:106">
      <c r="L193" s="18" t="s">
        <v>502</v>
      </c>
      <c r="M193" s="52"/>
      <c r="N193" s="53"/>
      <c r="AS193" s="18" t="s">
        <v>502</v>
      </c>
      <c r="AT193" s="52"/>
      <c r="AU193" s="53"/>
      <c r="BW193" s="18" t="s">
        <v>502</v>
      </c>
      <c r="BX193" s="52"/>
      <c r="BY193" s="53"/>
      <c r="DB193" s="17">
        <v>192</v>
      </c>
    </row>
    <row r="194" spans="12:106">
      <c r="L194" s="18" t="s">
        <v>503</v>
      </c>
      <c r="M194" s="52"/>
      <c r="N194" s="53"/>
      <c r="AS194" s="18" t="s">
        <v>503</v>
      </c>
      <c r="AT194" s="52"/>
      <c r="AU194" s="53"/>
      <c r="BW194" s="18" t="s">
        <v>503</v>
      </c>
      <c r="BX194" s="52"/>
      <c r="BY194" s="53"/>
      <c r="DB194" s="17">
        <v>193</v>
      </c>
    </row>
    <row r="195" spans="12:106">
      <c r="L195" s="18" t="s">
        <v>504</v>
      </c>
      <c r="M195" s="52"/>
      <c r="N195" s="53"/>
      <c r="AS195" s="18" t="s">
        <v>504</v>
      </c>
      <c r="AT195" s="52"/>
      <c r="AU195" s="53"/>
      <c r="BW195" s="18" t="s">
        <v>504</v>
      </c>
      <c r="BX195" s="52"/>
      <c r="BY195" s="53"/>
      <c r="DB195" s="17">
        <v>194</v>
      </c>
    </row>
    <row r="196" spans="12:106">
      <c r="L196" s="18" t="s">
        <v>505</v>
      </c>
      <c r="M196" s="52"/>
      <c r="N196" s="53"/>
      <c r="AS196" s="18" t="s">
        <v>505</v>
      </c>
      <c r="AT196" s="52"/>
      <c r="AU196" s="53"/>
      <c r="BW196" s="18" t="s">
        <v>505</v>
      </c>
      <c r="BX196" s="52"/>
      <c r="BY196" s="53"/>
      <c r="DB196" s="17">
        <v>195</v>
      </c>
    </row>
    <row r="197" spans="12:106">
      <c r="L197" s="18" t="s">
        <v>506</v>
      </c>
      <c r="M197" s="52"/>
      <c r="N197" s="53"/>
      <c r="AS197" s="18" t="s">
        <v>506</v>
      </c>
      <c r="AT197" s="52"/>
      <c r="AU197" s="53"/>
      <c r="BW197" s="18" t="s">
        <v>506</v>
      </c>
      <c r="BX197" s="52"/>
      <c r="BY197" s="53"/>
      <c r="DB197" s="17">
        <v>196</v>
      </c>
    </row>
    <row r="198" spans="12:106">
      <c r="L198" s="18" t="s">
        <v>507</v>
      </c>
      <c r="M198" s="52"/>
      <c r="N198" s="53"/>
      <c r="AS198" s="18" t="s">
        <v>507</v>
      </c>
      <c r="AT198" s="52"/>
      <c r="AU198" s="53"/>
      <c r="BW198" s="18" t="s">
        <v>507</v>
      </c>
      <c r="BX198" s="52"/>
      <c r="BY198" s="53"/>
      <c r="DB198" s="17">
        <v>197</v>
      </c>
    </row>
    <row r="199" spans="12:106">
      <c r="L199" s="18" t="s">
        <v>508</v>
      </c>
      <c r="M199" s="52"/>
      <c r="N199" s="53"/>
      <c r="AS199" s="18" t="s">
        <v>508</v>
      </c>
      <c r="AT199" s="52"/>
      <c r="AU199" s="53"/>
      <c r="BW199" s="18" t="s">
        <v>508</v>
      </c>
      <c r="BX199" s="52"/>
      <c r="BY199" s="53"/>
      <c r="DB199" s="17">
        <v>198</v>
      </c>
    </row>
    <row r="200" spans="12:106">
      <c r="L200" s="18" t="s">
        <v>509</v>
      </c>
      <c r="M200" s="52"/>
      <c r="N200" s="53"/>
      <c r="AS200" s="18" t="s">
        <v>509</v>
      </c>
      <c r="AT200" s="52"/>
      <c r="AU200" s="53"/>
      <c r="BW200" s="18" t="s">
        <v>509</v>
      </c>
      <c r="BX200" s="52"/>
      <c r="BY200" s="53"/>
      <c r="DB200" s="17">
        <v>199</v>
      </c>
    </row>
    <row r="201" spans="12:106">
      <c r="L201" s="18" t="s">
        <v>510</v>
      </c>
      <c r="M201" s="52"/>
      <c r="N201" s="53"/>
      <c r="AS201" s="18" t="s">
        <v>510</v>
      </c>
      <c r="AT201" s="52"/>
      <c r="AU201" s="53"/>
      <c r="BW201" s="18" t="s">
        <v>510</v>
      </c>
      <c r="BX201" s="52"/>
      <c r="BY201" s="53"/>
      <c r="DB201" s="17">
        <v>200</v>
      </c>
    </row>
    <row r="202" spans="12:106">
      <c r="L202" s="18" t="s">
        <v>511</v>
      </c>
      <c r="M202" s="52"/>
      <c r="N202" s="53"/>
      <c r="AS202" s="18" t="s">
        <v>511</v>
      </c>
      <c r="AT202" s="52"/>
      <c r="AU202" s="53"/>
      <c r="BW202" s="18" t="s">
        <v>511</v>
      </c>
      <c r="BX202" s="52"/>
      <c r="BY202" s="53"/>
      <c r="DB202" s="17">
        <v>201</v>
      </c>
    </row>
    <row r="203" spans="12:106">
      <c r="L203" s="18" t="s">
        <v>512</v>
      </c>
      <c r="M203" s="52"/>
      <c r="N203" s="53"/>
      <c r="AS203" s="18" t="s">
        <v>512</v>
      </c>
      <c r="AT203" s="52"/>
      <c r="AU203" s="53"/>
      <c r="BW203" s="18" t="s">
        <v>512</v>
      </c>
      <c r="BX203" s="52"/>
      <c r="BY203" s="53"/>
      <c r="DB203" s="17">
        <v>202</v>
      </c>
    </row>
    <row r="204" spans="12:106">
      <c r="L204" s="18" t="s">
        <v>513</v>
      </c>
      <c r="M204" s="52"/>
      <c r="N204" s="53"/>
      <c r="AS204" s="18" t="s">
        <v>513</v>
      </c>
      <c r="AT204" s="52"/>
      <c r="AU204" s="53"/>
      <c r="BW204" s="18" t="s">
        <v>513</v>
      </c>
      <c r="BX204" s="52"/>
      <c r="BY204" s="53"/>
      <c r="DB204" s="17">
        <v>203</v>
      </c>
    </row>
    <row r="205" spans="12:106">
      <c r="L205" s="18" t="s">
        <v>514</v>
      </c>
      <c r="M205" s="52"/>
      <c r="N205" s="53"/>
      <c r="AS205" s="18" t="s">
        <v>514</v>
      </c>
      <c r="AT205" s="52"/>
      <c r="AU205" s="53"/>
      <c r="BW205" s="18" t="s">
        <v>514</v>
      </c>
      <c r="BX205" s="52"/>
      <c r="BY205" s="53"/>
      <c r="DB205" s="17">
        <v>204</v>
      </c>
    </row>
    <row r="206" spans="12:106">
      <c r="L206" s="18" t="s">
        <v>515</v>
      </c>
      <c r="M206" s="52"/>
      <c r="N206" s="53"/>
      <c r="AS206" s="18" t="s">
        <v>515</v>
      </c>
      <c r="AT206" s="52"/>
      <c r="AU206" s="53"/>
      <c r="BW206" s="18" t="s">
        <v>515</v>
      </c>
      <c r="BX206" s="52"/>
      <c r="BY206" s="53"/>
      <c r="DB206" s="17">
        <v>205</v>
      </c>
    </row>
    <row r="207" spans="12:106">
      <c r="L207" s="18" t="s">
        <v>516</v>
      </c>
      <c r="M207" s="52"/>
      <c r="N207" s="53"/>
      <c r="AS207" s="18" t="s">
        <v>516</v>
      </c>
      <c r="AT207" s="52"/>
      <c r="AU207" s="53"/>
      <c r="BW207" s="18" t="s">
        <v>516</v>
      </c>
      <c r="BX207" s="52"/>
      <c r="BY207" s="53"/>
      <c r="DB207" s="17">
        <v>206</v>
      </c>
    </row>
    <row r="208" spans="12:106">
      <c r="L208" s="18" t="s">
        <v>517</v>
      </c>
      <c r="M208" s="52"/>
      <c r="N208" s="53"/>
      <c r="AS208" s="18" t="s">
        <v>517</v>
      </c>
      <c r="AT208" s="52"/>
      <c r="AU208" s="53"/>
      <c r="BW208" s="18" t="s">
        <v>517</v>
      </c>
      <c r="BX208" s="52"/>
      <c r="BY208" s="53"/>
      <c r="DB208" s="17">
        <v>207</v>
      </c>
    </row>
    <row r="209" spans="12:106">
      <c r="L209" s="18" t="s">
        <v>518</v>
      </c>
      <c r="M209" s="52"/>
      <c r="N209" s="53"/>
      <c r="AS209" s="18" t="s">
        <v>518</v>
      </c>
      <c r="AT209" s="52"/>
      <c r="AU209" s="53"/>
      <c r="BW209" s="18" t="s">
        <v>518</v>
      </c>
      <c r="BX209" s="52"/>
      <c r="BY209" s="53"/>
      <c r="DB209" s="17">
        <v>208</v>
      </c>
    </row>
    <row r="210" spans="12:106">
      <c r="L210" s="18" t="s">
        <v>519</v>
      </c>
      <c r="M210" s="52"/>
      <c r="N210" s="53"/>
      <c r="AS210" s="18" t="s">
        <v>519</v>
      </c>
      <c r="AT210" s="52"/>
      <c r="AU210" s="53"/>
      <c r="BW210" s="18" t="s">
        <v>519</v>
      </c>
      <c r="BX210" s="52"/>
      <c r="BY210" s="53"/>
      <c r="DB210" s="17">
        <v>209</v>
      </c>
    </row>
    <row r="211" spans="12:106">
      <c r="L211" s="18" t="s">
        <v>520</v>
      </c>
      <c r="M211" s="52"/>
      <c r="N211" s="53"/>
      <c r="AS211" s="18" t="s">
        <v>520</v>
      </c>
      <c r="AT211" s="52"/>
      <c r="AU211" s="53"/>
      <c r="BW211" s="18" t="s">
        <v>520</v>
      </c>
      <c r="BX211" s="52"/>
      <c r="BY211" s="53"/>
      <c r="DB211" s="17">
        <v>210</v>
      </c>
    </row>
    <row r="212" spans="12:106">
      <c r="L212" s="18" t="s">
        <v>521</v>
      </c>
      <c r="M212" s="52"/>
      <c r="N212" s="53"/>
      <c r="AS212" s="18" t="s">
        <v>521</v>
      </c>
      <c r="AT212" s="52"/>
      <c r="AU212" s="53"/>
      <c r="BW212" s="18" t="s">
        <v>521</v>
      </c>
      <c r="BX212" s="52"/>
      <c r="BY212" s="53"/>
      <c r="DB212" s="17">
        <v>211</v>
      </c>
    </row>
    <row r="213" spans="12:106">
      <c r="L213" s="18" t="s">
        <v>522</v>
      </c>
      <c r="M213" s="52"/>
      <c r="N213" s="53"/>
      <c r="AS213" s="18" t="s">
        <v>522</v>
      </c>
      <c r="AT213" s="52"/>
      <c r="AU213" s="53"/>
      <c r="BW213" s="18" t="s">
        <v>522</v>
      </c>
      <c r="BX213" s="52"/>
      <c r="BY213" s="53"/>
      <c r="DB213" s="17">
        <v>212</v>
      </c>
    </row>
    <row r="214" spans="12:106">
      <c r="L214" s="18" t="s">
        <v>523</v>
      </c>
      <c r="M214" s="52"/>
      <c r="N214" s="53"/>
      <c r="AS214" s="18" t="s">
        <v>523</v>
      </c>
      <c r="AT214" s="52"/>
      <c r="AU214" s="53"/>
      <c r="BW214" s="18" t="s">
        <v>523</v>
      </c>
      <c r="BX214" s="52"/>
      <c r="BY214" s="53"/>
      <c r="DB214" s="17">
        <v>213</v>
      </c>
    </row>
    <row r="215" spans="12:106">
      <c r="L215" s="18" t="s">
        <v>524</v>
      </c>
      <c r="M215" s="52"/>
      <c r="N215" s="53"/>
      <c r="AS215" s="18" t="s">
        <v>524</v>
      </c>
      <c r="AT215" s="52"/>
      <c r="AU215" s="53"/>
      <c r="BW215" s="18" t="s">
        <v>524</v>
      </c>
      <c r="BX215" s="52"/>
      <c r="BY215" s="53"/>
      <c r="DB215" s="17">
        <v>214</v>
      </c>
    </row>
    <row r="216" spans="12:106">
      <c r="L216" s="18" t="s">
        <v>525</v>
      </c>
      <c r="M216" s="52"/>
      <c r="N216" s="53"/>
      <c r="AS216" s="18" t="s">
        <v>525</v>
      </c>
      <c r="AT216" s="52"/>
      <c r="AU216" s="53"/>
      <c r="BW216" s="18" t="s">
        <v>525</v>
      </c>
      <c r="BX216" s="52"/>
      <c r="BY216" s="53"/>
      <c r="DB216" s="17">
        <v>215</v>
      </c>
    </row>
    <row r="217" spans="12:106">
      <c r="L217" s="18" t="s">
        <v>526</v>
      </c>
      <c r="M217" s="52"/>
      <c r="N217" s="53"/>
      <c r="AS217" s="18" t="s">
        <v>526</v>
      </c>
      <c r="AT217" s="52"/>
      <c r="AU217" s="53"/>
      <c r="BW217" s="18" t="s">
        <v>526</v>
      </c>
      <c r="BX217" s="52"/>
      <c r="BY217" s="53"/>
      <c r="DB217" s="17">
        <v>216</v>
      </c>
    </row>
    <row r="218" spans="12:106">
      <c r="L218" s="18" t="s">
        <v>527</v>
      </c>
      <c r="M218" s="52"/>
      <c r="N218" s="53"/>
      <c r="AS218" s="18" t="s">
        <v>527</v>
      </c>
      <c r="AT218" s="52"/>
      <c r="AU218" s="53"/>
      <c r="BW218" s="18" t="s">
        <v>527</v>
      </c>
      <c r="BX218" s="52"/>
      <c r="BY218" s="53"/>
      <c r="DB218" s="17">
        <v>217</v>
      </c>
    </row>
    <row r="219" spans="12:106">
      <c r="L219" s="18" t="s">
        <v>528</v>
      </c>
      <c r="M219" s="52"/>
      <c r="N219" s="53"/>
      <c r="AS219" s="18" t="s">
        <v>528</v>
      </c>
      <c r="AT219" s="52"/>
      <c r="AU219" s="53"/>
      <c r="BW219" s="18" t="s">
        <v>528</v>
      </c>
      <c r="BX219" s="52"/>
      <c r="BY219" s="53"/>
      <c r="DB219" s="17">
        <v>218</v>
      </c>
    </row>
    <row r="220" spans="12:106">
      <c r="L220" s="18" t="s">
        <v>529</v>
      </c>
      <c r="M220" s="52"/>
      <c r="N220" s="53"/>
      <c r="AS220" s="18" t="s">
        <v>529</v>
      </c>
      <c r="AT220" s="52"/>
      <c r="AU220" s="53"/>
      <c r="BW220" s="18" t="s">
        <v>529</v>
      </c>
      <c r="BX220" s="52"/>
      <c r="BY220" s="53"/>
      <c r="DB220" s="17">
        <v>219</v>
      </c>
    </row>
    <row r="221" spans="12:106">
      <c r="L221" s="18" t="s">
        <v>530</v>
      </c>
      <c r="M221" s="52"/>
      <c r="N221" s="53"/>
      <c r="AS221" s="18" t="s">
        <v>530</v>
      </c>
      <c r="AT221" s="52"/>
      <c r="AU221" s="53"/>
      <c r="BW221" s="18" t="s">
        <v>530</v>
      </c>
      <c r="BX221" s="52"/>
      <c r="BY221" s="53"/>
      <c r="DB221" s="17">
        <v>220</v>
      </c>
    </row>
    <row r="222" spans="12:106">
      <c r="L222" s="18" t="s">
        <v>531</v>
      </c>
      <c r="M222" s="52"/>
      <c r="N222" s="53"/>
      <c r="AS222" s="18" t="s">
        <v>531</v>
      </c>
      <c r="AT222" s="52"/>
      <c r="AU222" s="53"/>
      <c r="BW222" s="18" t="s">
        <v>531</v>
      </c>
      <c r="BX222" s="52"/>
      <c r="BY222" s="53"/>
      <c r="DB222" s="17">
        <v>221</v>
      </c>
    </row>
    <row r="223" spans="12:106">
      <c r="L223" s="18" t="s">
        <v>532</v>
      </c>
      <c r="M223" s="52"/>
      <c r="N223" s="53"/>
      <c r="AS223" s="18" t="s">
        <v>532</v>
      </c>
      <c r="AT223" s="52"/>
      <c r="AU223" s="53"/>
      <c r="BW223" s="18" t="s">
        <v>532</v>
      </c>
      <c r="BX223" s="52"/>
      <c r="BY223" s="53"/>
      <c r="DB223" s="17">
        <v>222</v>
      </c>
    </row>
    <row r="224" spans="12:106">
      <c r="L224" s="18" t="s">
        <v>533</v>
      </c>
      <c r="M224" s="52"/>
      <c r="N224" s="53"/>
      <c r="AS224" s="18" t="s">
        <v>533</v>
      </c>
      <c r="AT224" s="52"/>
      <c r="AU224" s="53"/>
      <c r="BW224" s="18" t="s">
        <v>533</v>
      </c>
      <c r="BX224" s="52"/>
      <c r="BY224" s="53"/>
      <c r="DB224" s="17">
        <v>223</v>
      </c>
    </row>
    <row r="225" spans="12:106">
      <c r="L225" s="18" t="s">
        <v>534</v>
      </c>
      <c r="M225" s="52"/>
      <c r="N225" s="53"/>
      <c r="AS225" s="18" t="s">
        <v>534</v>
      </c>
      <c r="AT225" s="52"/>
      <c r="AU225" s="53"/>
      <c r="BW225" s="18" t="s">
        <v>534</v>
      </c>
      <c r="BX225" s="52"/>
      <c r="BY225" s="53"/>
      <c r="DB225" s="17">
        <v>224</v>
      </c>
    </row>
    <row r="226" spans="12:106">
      <c r="L226" s="18" t="s">
        <v>535</v>
      </c>
      <c r="M226" s="52"/>
      <c r="N226" s="53"/>
      <c r="AS226" s="18" t="s">
        <v>535</v>
      </c>
      <c r="AT226" s="52"/>
      <c r="AU226" s="53"/>
      <c r="BW226" s="18" t="s">
        <v>535</v>
      </c>
      <c r="BX226" s="52"/>
      <c r="BY226" s="53"/>
      <c r="DB226" s="17">
        <v>225</v>
      </c>
    </row>
    <row r="227" spans="12:106">
      <c r="L227" s="18" t="s">
        <v>536</v>
      </c>
      <c r="M227" s="52"/>
      <c r="N227" s="53"/>
      <c r="AS227" s="18" t="s">
        <v>536</v>
      </c>
      <c r="AT227" s="52"/>
      <c r="AU227" s="53"/>
      <c r="BW227" s="18" t="s">
        <v>536</v>
      </c>
      <c r="BX227" s="52"/>
      <c r="BY227" s="53"/>
      <c r="DB227" s="17">
        <v>226</v>
      </c>
    </row>
    <row r="228" spans="12:106">
      <c r="L228" s="18" t="s">
        <v>537</v>
      </c>
      <c r="M228" s="52"/>
      <c r="N228" s="53"/>
      <c r="AS228" s="18" t="s">
        <v>537</v>
      </c>
      <c r="AT228" s="52"/>
      <c r="AU228" s="53"/>
      <c r="BW228" s="18" t="s">
        <v>537</v>
      </c>
      <c r="BX228" s="52"/>
      <c r="BY228" s="53"/>
      <c r="DB228" s="17">
        <v>227</v>
      </c>
    </row>
    <row r="229" spans="12:106">
      <c r="L229" s="18" t="s">
        <v>538</v>
      </c>
      <c r="M229" s="52"/>
      <c r="N229" s="53"/>
      <c r="AS229" s="18" t="s">
        <v>538</v>
      </c>
      <c r="AT229" s="52"/>
      <c r="AU229" s="53"/>
      <c r="BW229" s="18" t="s">
        <v>538</v>
      </c>
      <c r="BX229" s="52"/>
      <c r="BY229" s="53"/>
      <c r="DB229" s="17">
        <v>228</v>
      </c>
    </row>
    <row r="230" spans="12:106">
      <c r="L230" s="18" t="s">
        <v>539</v>
      </c>
      <c r="M230" s="52"/>
      <c r="N230" s="53"/>
      <c r="AS230" s="18" t="s">
        <v>539</v>
      </c>
      <c r="AT230" s="52"/>
      <c r="AU230" s="53"/>
      <c r="BW230" s="18" t="s">
        <v>539</v>
      </c>
      <c r="BX230" s="52"/>
      <c r="BY230" s="53"/>
      <c r="DB230" s="17">
        <v>229</v>
      </c>
    </row>
    <row r="231" spans="12:106">
      <c r="L231" s="18" t="s">
        <v>540</v>
      </c>
      <c r="M231" s="52"/>
      <c r="N231" s="53"/>
      <c r="AS231" s="18" t="s">
        <v>540</v>
      </c>
      <c r="AT231" s="52"/>
      <c r="AU231" s="53"/>
      <c r="BW231" s="18" t="s">
        <v>540</v>
      </c>
      <c r="BX231" s="52"/>
      <c r="BY231" s="53"/>
      <c r="DB231" s="17">
        <v>230</v>
      </c>
    </row>
    <row r="232" spans="12:106">
      <c r="L232" s="18" t="s">
        <v>541</v>
      </c>
      <c r="M232" s="52"/>
      <c r="N232" s="53"/>
      <c r="AS232" s="18" t="s">
        <v>541</v>
      </c>
      <c r="AT232" s="52"/>
      <c r="AU232" s="53"/>
      <c r="BW232" s="18" t="s">
        <v>541</v>
      </c>
      <c r="BX232" s="52"/>
      <c r="BY232" s="53"/>
      <c r="DB232" s="17">
        <v>231</v>
      </c>
    </row>
    <row r="233" spans="12:106">
      <c r="L233" s="18" t="s">
        <v>542</v>
      </c>
      <c r="M233" s="52"/>
      <c r="N233" s="53"/>
      <c r="AS233" s="18" t="s">
        <v>542</v>
      </c>
      <c r="AT233" s="52"/>
      <c r="AU233" s="53"/>
      <c r="BW233" s="18" t="s">
        <v>542</v>
      </c>
      <c r="BX233" s="52"/>
      <c r="BY233" s="53"/>
      <c r="DB233" s="17">
        <v>232</v>
      </c>
    </row>
    <row r="234" spans="12:106">
      <c r="L234" s="18" t="s">
        <v>543</v>
      </c>
      <c r="M234" s="52"/>
      <c r="N234" s="53"/>
      <c r="AS234" s="18" t="s">
        <v>543</v>
      </c>
      <c r="AT234" s="52"/>
      <c r="AU234" s="53"/>
      <c r="BW234" s="18" t="s">
        <v>543</v>
      </c>
      <c r="BX234" s="52"/>
      <c r="BY234" s="53"/>
      <c r="DB234" s="17">
        <v>233</v>
      </c>
    </row>
    <row r="235" spans="12:106">
      <c r="L235" s="18" t="s">
        <v>544</v>
      </c>
      <c r="M235" s="52"/>
      <c r="N235" s="53"/>
      <c r="AS235" s="18" t="s">
        <v>544</v>
      </c>
      <c r="AT235" s="52"/>
      <c r="AU235" s="53"/>
      <c r="BW235" s="18" t="s">
        <v>544</v>
      </c>
      <c r="BX235" s="52"/>
      <c r="BY235" s="53"/>
      <c r="DB235" s="17">
        <v>234</v>
      </c>
    </row>
    <row r="236" spans="12:106">
      <c r="L236" s="18" t="s">
        <v>545</v>
      </c>
      <c r="M236" s="52"/>
      <c r="N236" s="53"/>
      <c r="AS236" s="18" t="s">
        <v>545</v>
      </c>
      <c r="AT236" s="52"/>
      <c r="AU236" s="53"/>
      <c r="BW236" s="18" t="s">
        <v>545</v>
      </c>
      <c r="BX236" s="52"/>
      <c r="BY236" s="53"/>
      <c r="DB236" s="17">
        <v>235</v>
      </c>
    </row>
    <row r="237" spans="12:106">
      <c r="L237" s="18" t="s">
        <v>546</v>
      </c>
      <c r="M237" s="52"/>
      <c r="N237" s="53"/>
      <c r="AS237" s="18" t="s">
        <v>546</v>
      </c>
      <c r="AT237" s="52"/>
      <c r="AU237" s="53"/>
      <c r="BW237" s="18" t="s">
        <v>546</v>
      </c>
      <c r="BX237" s="52"/>
      <c r="BY237" s="53"/>
      <c r="DB237" s="17">
        <v>236</v>
      </c>
    </row>
    <row r="238" spans="12:106">
      <c r="L238" s="18" t="s">
        <v>547</v>
      </c>
      <c r="M238" s="52"/>
      <c r="N238" s="53"/>
      <c r="AS238" s="18" t="s">
        <v>547</v>
      </c>
      <c r="AT238" s="52"/>
      <c r="AU238" s="53"/>
      <c r="BW238" s="18" t="s">
        <v>547</v>
      </c>
      <c r="BX238" s="52"/>
      <c r="BY238" s="53"/>
      <c r="DB238" s="17">
        <v>237</v>
      </c>
    </row>
    <row r="239" spans="12:106">
      <c r="L239" s="18" t="s">
        <v>548</v>
      </c>
      <c r="M239" s="52"/>
      <c r="N239" s="53"/>
      <c r="AS239" s="18" t="s">
        <v>548</v>
      </c>
      <c r="AT239" s="52"/>
      <c r="AU239" s="53"/>
      <c r="BW239" s="18" t="s">
        <v>548</v>
      </c>
      <c r="BX239" s="52"/>
      <c r="BY239" s="53"/>
      <c r="DB239" s="17">
        <v>238</v>
      </c>
    </row>
    <row r="240" spans="12:106">
      <c r="L240" s="18" t="s">
        <v>549</v>
      </c>
      <c r="M240" s="52"/>
      <c r="N240" s="53"/>
      <c r="AS240" s="18" t="s">
        <v>549</v>
      </c>
      <c r="AT240" s="52"/>
      <c r="AU240" s="53"/>
      <c r="BW240" s="18" t="s">
        <v>549</v>
      </c>
      <c r="BX240" s="52"/>
      <c r="BY240" s="53"/>
      <c r="DB240" s="17">
        <v>239</v>
      </c>
    </row>
    <row r="241" spans="12:106">
      <c r="L241" s="18" t="s">
        <v>550</v>
      </c>
      <c r="M241" s="52"/>
      <c r="N241" s="53"/>
      <c r="AS241" s="18" t="s">
        <v>550</v>
      </c>
      <c r="AT241" s="52"/>
      <c r="AU241" s="53"/>
      <c r="BW241" s="18" t="s">
        <v>550</v>
      </c>
      <c r="BX241" s="52"/>
      <c r="BY241" s="53"/>
      <c r="DB241" s="17">
        <v>240</v>
      </c>
    </row>
    <row r="242" spans="12:106">
      <c r="L242" s="18" t="s">
        <v>551</v>
      </c>
      <c r="M242" s="52"/>
      <c r="N242" s="53"/>
      <c r="AS242" s="18" t="s">
        <v>551</v>
      </c>
      <c r="AT242" s="52"/>
      <c r="AU242" s="53"/>
      <c r="BW242" s="18" t="s">
        <v>551</v>
      </c>
      <c r="BX242" s="52"/>
      <c r="BY242" s="53"/>
      <c r="DB242" s="17">
        <v>241</v>
      </c>
    </row>
    <row r="243" spans="12:106">
      <c r="L243" s="18" t="s">
        <v>552</v>
      </c>
      <c r="M243" s="52"/>
      <c r="N243" s="53"/>
      <c r="AS243" s="18" t="s">
        <v>552</v>
      </c>
      <c r="AT243" s="52"/>
      <c r="AU243" s="53"/>
      <c r="BW243" s="18" t="s">
        <v>552</v>
      </c>
      <c r="BX243" s="52"/>
      <c r="BY243" s="53"/>
      <c r="DB243" s="17">
        <v>242</v>
      </c>
    </row>
    <row r="244" spans="12:106">
      <c r="L244" s="18" t="s">
        <v>553</v>
      </c>
      <c r="M244" s="52"/>
      <c r="N244" s="53"/>
      <c r="AS244" s="18" t="s">
        <v>553</v>
      </c>
      <c r="AT244" s="52"/>
      <c r="AU244" s="53"/>
      <c r="BW244" s="18" t="s">
        <v>553</v>
      </c>
      <c r="BX244" s="52"/>
      <c r="BY244" s="53"/>
      <c r="DB244" s="17">
        <v>243</v>
      </c>
    </row>
    <row r="245" spans="12:106">
      <c r="L245" s="18" t="s">
        <v>554</v>
      </c>
      <c r="M245" s="52"/>
      <c r="N245" s="53"/>
      <c r="AS245" s="18" t="s">
        <v>554</v>
      </c>
      <c r="AT245" s="52"/>
      <c r="AU245" s="53"/>
      <c r="BW245" s="18" t="s">
        <v>554</v>
      </c>
      <c r="BX245" s="52"/>
      <c r="BY245" s="53"/>
      <c r="DB245" s="17">
        <v>244</v>
      </c>
    </row>
    <row r="246" spans="12:106">
      <c r="L246" s="18" t="s">
        <v>53</v>
      </c>
      <c r="M246" s="52"/>
      <c r="N246" s="53"/>
      <c r="AS246" s="18" t="s">
        <v>53</v>
      </c>
      <c r="AT246" s="52"/>
      <c r="AU246" s="53"/>
      <c r="BW246" s="18" t="s">
        <v>53</v>
      </c>
      <c r="BX246" s="52"/>
      <c r="BY246" s="53"/>
      <c r="DB246" s="17">
        <v>245</v>
      </c>
    </row>
    <row r="247" spans="12:106">
      <c r="L247" s="18" t="s">
        <v>555</v>
      </c>
      <c r="M247" s="52"/>
      <c r="N247" s="53"/>
      <c r="AS247" s="18" t="s">
        <v>555</v>
      </c>
      <c r="AT247" s="52"/>
      <c r="AU247" s="53"/>
      <c r="BW247" s="18" t="s">
        <v>555</v>
      </c>
      <c r="BX247" s="52"/>
      <c r="BY247" s="53"/>
      <c r="DB247" s="17">
        <v>246</v>
      </c>
    </row>
    <row r="248" spans="12:106">
      <c r="L248" s="18" t="s">
        <v>556</v>
      </c>
      <c r="M248" s="52"/>
      <c r="N248" s="53"/>
      <c r="AS248" s="18" t="s">
        <v>556</v>
      </c>
      <c r="AT248" s="52"/>
      <c r="AU248" s="53"/>
      <c r="BW248" s="18" t="s">
        <v>556</v>
      </c>
      <c r="BX248" s="52"/>
      <c r="BY248" s="53"/>
      <c r="DB248" s="17">
        <v>247</v>
      </c>
    </row>
    <row r="249" spans="12:106">
      <c r="L249" s="18" t="s">
        <v>557</v>
      </c>
      <c r="M249" s="52"/>
      <c r="N249" s="53"/>
      <c r="AS249" s="18" t="s">
        <v>557</v>
      </c>
      <c r="AT249" s="52"/>
      <c r="AU249" s="53"/>
      <c r="BW249" s="18" t="s">
        <v>557</v>
      </c>
      <c r="BX249" s="52"/>
      <c r="BY249" s="53"/>
      <c r="DB249" s="17">
        <v>248</v>
      </c>
    </row>
    <row r="250" spans="12:106">
      <c r="L250" s="18" t="s">
        <v>558</v>
      </c>
      <c r="M250" s="52"/>
      <c r="N250" s="53"/>
      <c r="AS250" s="18" t="s">
        <v>558</v>
      </c>
      <c r="AT250" s="52"/>
      <c r="AU250" s="53"/>
      <c r="BW250" s="18" t="s">
        <v>558</v>
      </c>
      <c r="BX250" s="52"/>
      <c r="BY250" s="53"/>
      <c r="DB250" s="17">
        <v>249</v>
      </c>
    </row>
    <row r="251" spans="12:106">
      <c r="L251" s="18" t="s">
        <v>559</v>
      </c>
      <c r="M251" s="52"/>
      <c r="N251" s="53"/>
      <c r="AS251" s="18" t="s">
        <v>559</v>
      </c>
      <c r="AT251" s="52"/>
      <c r="AU251" s="53"/>
      <c r="BW251" s="18" t="s">
        <v>559</v>
      </c>
      <c r="BX251" s="52"/>
      <c r="BY251" s="53"/>
      <c r="DB251" s="17">
        <v>250</v>
      </c>
    </row>
    <row r="252" spans="12:106">
      <c r="L252" s="18" t="s">
        <v>560</v>
      </c>
      <c r="M252" s="52"/>
      <c r="N252" s="53"/>
      <c r="AS252" s="18" t="s">
        <v>560</v>
      </c>
      <c r="AT252" s="52"/>
      <c r="AU252" s="53"/>
      <c r="BW252" s="18" t="s">
        <v>560</v>
      </c>
      <c r="BX252" s="52"/>
      <c r="BY252" s="53"/>
      <c r="DB252" s="17">
        <v>251</v>
      </c>
    </row>
    <row r="253" spans="12:106">
      <c r="L253" s="18" t="s">
        <v>561</v>
      </c>
      <c r="M253" s="52"/>
      <c r="N253" s="53"/>
      <c r="AS253" s="18" t="s">
        <v>561</v>
      </c>
      <c r="AT253" s="52"/>
      <c r="AU253" s="53"/>
      <c r="BW253" s="18" t="s">
        <v>561</v>
      </c>
      <c r="BX253" s="52"/>
      <c r="BY253" s="53"/>
      <c r="DB253" s="17">
        <v>252</v>
      </c>
    </row>
    <row r="254" spans="12:106">
      <c r="L254" s="18" t="s">
        <v>562</v>
      </c>
      <c r="M254" s="52"/>
      <c r="N254" s="53"/>
      <c r="AS254" s="18" t="s">
        <v>562</v>
      </c>
      <c r="AT254" s="52"/>
      <c r="AU254" s="53"/>
      <c r="BW254" s="18" t="s">
        <v>562</v>
      </c>
      <c r="BX254" s="52"/>
      <c r="BY254" s="53"/>
      <c r="DB254" s="17">
        <v>253</v>
      </c>
    </row>
    <row r="255" spans="12:106">
      <c r="L255" s="18" t="s">
        <v>563</v>
      </c>
      <c r="M255" s="52"/>
      <c r="N255" s="53"/>
      <c r="AS255" s="18" t="s">
        <v>563</v>
      </c>
      <c r="AT255" s="52"/>
      <c r="AU255" s="53"/>
      <c r="BW255" s="18" t="s">
        <v>563</v>
      </c>
      <c r="BX255" s="52"/>
      <c r="BY255" s="53"/>
      <c r="DB255" s="17">
        <v>254</v>
      </c>
    </row>
    <row r="256" spans="12:106">
      <c r="L256" s="18" t="s">
        <v>564</v>
      </c>
      <c r="M256" s="52"/>
      <c r="N256" s="53"/>
      <c r="AS256" s="18" t="s">
        <v>564</v>
      </c>
      <c r="AT256" s="52"/>
      <c r="AU256" s="53"/>
      <c r="BW256" s="18" t="s">
        <v>564</v>
      </c>
      <c r="BX256" s="52"/>
      <c r="BY256" s="53"/>
      <c r="DB256" s="17">
        <v>255</v>
      </c>
    </row>
    <row r="257" spans="12:106">
      <c r="L257" s="18" t="s">
        <v>565</v>
      </c>
      <c r="M257" s="52"/>
      <c r="N257" s="53"/>
      <c r="AS257" s="18" t="s">
        <v>565</v>
      </c>
      <c r="AT257" s="52"/>
      <c r="AU257" s="53"/>
      <c r="BW257" s="18" t="s">
        <v>565</v>
      </c>
      <c r="BX257" s="52"/>
      <c r="BY257" s="53"/>
      <c r="DB257" s="17">
        <v>256</v>
      </c>
    </row>
    <row r="258" spans="12:106">
      <c r="L258" s="18" t="s">
        <v>566</v>
      </c>
      <c r="M258" s="52"/>
      <c r="N258" s="53"/>
      <c r="AS258" s="18" t="s">
        <v>566</v>
      </c>
      <c r="AT258" s="52"/>
      <c r="AU258" s="53"/>
      <c r="BW258" s="18" t="s">
        <v>566</v>
      </c>
      <c r="BX258" s="52"/>
      <c r="BY258" s="53"/>
      <c r="DB258" s="17">
        <v>257</v>
      </c>
    </row>
    <row r="259" spans="12:106">
      <c r="L259" s="18" t="s">
        <v>567</v>
      </c>
      <c r="M259" s="52"/>
      <c r="N259" s="53"/>
      <c r="AS259" s="18" t="s">
        <v>567</v>
      </c>
      <c r="AT259" s="52"/>
      <c r="AU259" s="53"/>
      <c r="BW259" s="18" t="s">
        <v>567</v>
      </c>
      <c r="BX259" s="52"/>
      <c r="BY259" s="53"/>
      <c r="DB259" s="17">
        <v>258</v>
      </c>
    </row>
    <row r="260" spans="12:106">
      <c r="L260" s="18" t="s">
        <v>568</v>
      </c>
      <c r="M260" s="52"/>
      <c r="N260" s="53"/>
      <c r="AS260" s="18" t="s">
        <v>568</v>
      </c>
      <c r="AT260" s="52"/>
      <c r="AU260" s="53"/>
      <c r="BW260" s="18" t="s">
        <v>568</v>
      </c>
      <c r="BX260" s="52"/>
      <c r="BY260" s="53"/>
      <c r="DB260" s="17">
        <v>259</v>
      </c>
    </row>
    <row r="261" spans="12:106">
      <c r="L261" s="18" t="s">
        <v>569</v>
      </c>
      <c r="M261" s="52"/>
      <c r="N261" s="53"/>
      <c r="AS261" s="18" t="s">
        <v>569</v>
      </c>
      <c r="AT261" s="52"/>
      <c r="AU261" s="53"/>
      <c r="BW261" s="18" t="s">
        <v>569</v>
      </c>
      <c r="BX261" s="52"/>
      <c r="BY261" s="53"/>
      <c r="DB261" s="17">
        <v>260</v>
      </c>
    </row>
    <row r="262" spans="12:106">
      <c r="L262" s="18" t="s">
        <v>570</v>
      </c>
      <c r="M262" s="52"/>
      <c r="N262" s="53"/>
      <c r="AS262" s="18" t="s">
        <v>570</v>
      </c>
      <c r="AT262" s="52"/>
      <c r="AU262" s="53"/>
      <c r="BW262" s="18" t="s">
        <v>570</v>
      </c>
      <c r="BX262" s="52"/>
      <c r="BY262" s="53"/>
      <c r="DB262" s="17">
        <v>261</v>
      </c>
    </row>
    <row r="263" spans="12:106">
      <c r="L263" s="18" t="s">
        <v>571</v>
      </c>
      <c r="M263" s="52"/>
      <c r="N263" s="53"/>
      <c r="AS263" s="18" t="s">
        <v>571</v>
      </c>
      <c r="AT263" s="52"/>
      <c r="AU263" s="53"/>
      <c r="BW263" s="18" t="s">
        <v>571</v>
      </c>
      <c r="BX263" s="52"/>
      <c r="BY263" s="53"/>
      <c r="DB263" s="17">
        <v>262</v>
      </c>
    </row>
    <row r="264" spans="12:106">
      <c r="L264" s="18" t="s">
        <v>572</v>
      </c>
      <c r="M264" s="52"/>
      <c r="N264" s="53"/>
      <c r="AS264" s="18" t="s">
        <v>572</v>
      </c>
      <c r="AT264" s="52"/>
      <c r="AU264" s="53"/>
      <c r="BW264" s="18" t="s">
        <v>572</v>
      </c>
      <c r="BX264" s="52"/>
      <c r="BY264" s="53"/>
      <c r="DB264" s="17">
        <v>263</v>
      </c>
    </row>
    <row r="265" spans="12:106">
      <c r="L265" s="18" t="s">
        <v>573</v>
      </c>
      <c r="M265" s="52"/>
      <c r="N265" s="53"/>
      <c r="AS265" s="18" t="s">
        <v>573</v>
      </c>
      <c r="AT265" s="52"/>
      <c r="AU265" s="53"/>
      <c r="BW265" s="18" t="s">
        <v>573</v>
      </c>
      <c r="BX265" s="52"/>
      <c r="BY265" s="53"/>
      <c r="DB265" s="17">
        <v>264</v>
      </c>
    </row>
    <row r="266" spans="12:106">
      <c r="L266" s="18" t="s">
        <v>574</v>
      </c>
      <c r="M266" s="52"/>
      <c r="N266" s="53"/>
      <c r="AS266" s="18" t="s">
        <v>574</v>
      </c>
      <c r="AT266" s="52"/>
      <c r="AU266" s="53"/>
      <c r="BW266" s="18" t="s">
        <v>574</v>
      </c>
      <c r="BX266" s="52"/>
      <c r="BY266" s="53"/>
      <c r="DB266" s="17">
        <v>265</v>
      </c>
    </row>
    <row r="267" spans="12:106">
      <c r="L267" s="18" t="s">
        <v>575</v>
      </c>
      <c r="M267" s="52"/>
      <c r="N267" s="53"/>
      <c r="AS267" s="18" t="s">
        <v>575</v>
      </c>
      <c r="AT267" s="52"/>
      <c r="AU267" s="53"/>
      <c r="BW267" s="18" t="s">
        <v>575</v>
      </c>
      <c r="BX267" s="52"/>
      <c r="BY267" s="53"/>
      <c r="DB267" s="17">
        <v>266</v>
      </c>
    </row>
    <row r="268" spans="12:106">
      <c r="L268" s="18" t="s">
        <v>576</v>
      </c>
      <c r="M268" s="52"/>
      <c r="N268" s="53"/>
      <c r="AS268" s="18" t="s">
        <v>576</v>
      </c>
      <c r="AT268" s="52"/>
      <c r="AU268" s="53"/>
      <c r="BW268" s="18" t="s">
        <v>576</v>
      </c>
      <c r="BX268" s="52"/>
      <c r="BY268" s="53"/>
      <c r="DB268" s="17">
        <v>267</v>
      </c>
    </row>
    <row r="269" spans="12:106">
      <c r="L269" s="18" t="s">
        <v>577</v>
      </c>
      <c r="M269" s="52"/>
      <c r="N269" s="53"/>
      <c r="AS269" s="18" t="s">
        <v>577</v>
      </c>
      <c r="AT269" s="52"/>
      <c r="AU269" s="53"/>
      <c r="BW269" s="18" t="s">
        <v>577</v>
      </c>
      <c r="BX269" s="52"/>
      <c r="BY269" s="53"/>
      <c r="DB269" s="17">
        <v>268</v>
      </c>
    </row>
    <row r="270" spans="12:106">
      <c r="L270" s="18" t="s">
        <v>578</v>
      </c>
      <c r="M270" s="52"/>
      <c r="N270" s="53"/>
      <c r="AS270" s="18" t="s">
        <v>578</v>
      </c>
      <c r="AT270" s="52"/>
      <c r="AU270" s="53"/>
      <c r="BW270" s="18" t="s">
        <v>578</v>
      </c>
      <c r="BX270" s="52"/>
      <c r="BY270" s="53"/>
      <c r="DB270" s="17">
        <v>269</v>
      </c>
    </row>
    <row r="271" spans="12:106">
      <c r="L271" s="18" t="s">
        <v>579</v>
      </c>
      <c r="M271" s="52"/>
      <c r="N271" s="53"/>
      <c r="AS271" s="18" t="s">
        <v>579</v>
      </c>
      <c r="AT271" s="52"/>
      <c r="AU271" s="53"/>
      <c r="BW271" s="18" t="s">
        <v>579</v>
      </c>
      <c r="BX271" s="52"/>
      <c r="BY271" s="53"/>
      <c r="DB271" s="17">
        <v>270</v>
      </c>
    </row>
    <row r="272" spans="12:106">
      <c r="L272" s="18" t="s">
        <v>580</v>
      </c>
      <c r="M272" s="52"/>
      <c r="N272" s="53"/>
      <c r="AS272" s="18" t="s">
        <v>580</v>
      </c>
      <c r="AT272" s="52"/>
      <c r="AU272" s="53"/>
      <c r="BW272" s="18" t="s">
        <v>580</v>
      </c>
      <c r="BX272" s="52"/>
      <c r="BY272" s="53"/>
      <c r="DB272" s="17">
        <v>271</v>
      </c>
    </row>
    <row r="273" spans="12:106">
      <c r="L273" s="18" t="s">
        <v>581</v>
      </c>
      <c r="M273" s="52"/>
      <c r="N273" s="53"/>
      <c r="AS273" s="18" t="s">
        <v>581</v>
      </c>
      <c r="AT273" s="52"/>
      <c r="AU273" s="53"/>
      <c r="BW273" s="18" t="s">
        <v>581</v>
      </c>
      <c r="BX273" s="52"/>
      <c r="BY273" s="53"/>
      <c r="DB273" s="17">
        <v>272</v>
      </c>
    </row>
    <row r="274" spans="12:106">
      <c r="L274" s="18" t="s">
        <v>582</v>
      </c>
      <c r="M274" s="52"/>
      <c r="N274" s="53"/>
      <c r="AS274" s="18" t="s">
        <v>582</v>
      </c>
      <c r="AT274" s="52"/>
      <c r="AU274" s="53"/>
      <c r="BW274" s="18" t="s">
        <v>582</v>
      </c>
      <c r="BX274" s="52"/>
      <c r="BY274" s="53"/>
      <c r="DB274" s="17">
        <v>273</v>
      </c>
    </row>
    <row r="275" spans="12:106">
      <c r="L275" s="18" t="s">
        <v>583</v>
      </c>
      <c r="M275" s="52"/>
      <c r="N275" s="53"/>
      <c r="AS275" s="18" t="s">
        <v>583</v>
      </c>
      <c r="AT275" s="52"/>
      <c r="AU275" s="53"/>
      <c r="BW275" s="18" t="s">
        <v>583</v>
      </c>
      <c r="BX275" s="52"/>
      <c r="BY275" s="53"/>
      <c r="DB275" s="17">
        <v>274</v>
      </c>
    </row>
    <row r="276" spans="12:106">
      <c r="L276" s="18" t="s">
        <v>584</v>
      </c>
      <c r="M276" s="52"/>
      <c r="N276" s="53"/>
      <c r="AS276" s="18" t="s">
        <v>584</v>
      </c>
      <c r="AT276" s="52"/>
      <c r="AU276" s="53"/>
      <c r="BW276" s="18" t="s">
        <v>584</v>
      </c>
      <c r="BX276" s="52"/>
      <c r="BY276" s="53"/>
      <c r="DB276" s="17">
        <v>275</v>
      </c>
    </row>
    <row r="277" spans="12:106">
      <c r="L277" s="18" t="s">
        <v>585</v>
      </c>
      <c r="M277" s="52"/>
      <c r="N277" s="53"/>
      <c r="AS277" s="18" t="s">
        <v>585</v>
      </c>
      <c r="AT277" s="52"/>
      <c r="AU277" s="53"/>
      <c r="BW277" s="18" t="s">
        <v>585</v>
      </c>
      <c r="BX277" s="52"/>
      <c r="BY277" s="53"/>
      <c r="DB277" s="17">
        <v>276</v>
      </c>
    </row>
    <row r="278" spans="12:106">
      <c r="L278" s="18" t="s">
        <v>586</v>
      </c>
      <c r="M278" s="52"/>
      <c r="N278" s="53"/>
      <c r="AS278" s="18" t="s">
        <v>586</v>
      </c>
      <c r="AT278" s="52"/>
      <c r="AU278" s="53"/>
      <c r="BW278" s="18" t="s">
        <v>586</v>
      </c>
      <c r="BX278" s="52"/>
      <c r="BY278" s="53"/>
      <c r="DB278" s="17">
        <v>277</v>
      </c>
    </row>
    <row r="279" spans="12:106">
      <c r="L279" s="18" t="s">
        <v>587</v>
      </c>
      <c r="M279" s="52"/>
      <c r="N279" s="53"/>
      <c r="AS279" s="18" t="s">
        <v>587</v>
      </c>
      <c r="AT279" s="52"/>
      <c r="AU279" s="53"/>
      <c r="BW279" s="18" t="s">
        <v>587</v>
      </c>
      <c r="BX279" s="52"/>
      <c r="BY279" s="53"/>
      <c r="DB279" s="17">
        <v>278</v>
      </c>
    </row>
    <row r="280" spans="12:106">
      <c r="L280" s="18" t="s">
        <v>588</v>
      </c>
      <c r="M280" s="52"/>
      <c r="N280" s="53"/>
      <c r="AS280" s="18" t="s">
        <v>588</v>
      </c>
      <c r="AT280" s="52"/>
      <c r="AU280" s="53"/>
      <c r="BW280" s="18" t="s">
        <v>588</v>
      </c>
      <c r="BX280" s="52"/>
      <c r="BY280" s="53"/>
      <c r="DB280" s="17">
        <v>279</v>
      </c>
    </row>
    <row r="281" spans="12:106">
      <c r="L281" s="18" t="s">
        <v>589</v>
      </c>
      <c r="M281" s="52"/>
      <c r="N281" s="53"/>
      <c r="AS281" s="18" t="s">
        <v>589</v>
      </c>
      <c r="AT281" s="52"/>
      <c r="AU281" s="53"/>
      <c r="BW281" s="18" t="s">
        <v>589</v>
      </c>
      <c r="BX281" s="52"/>
      <c r="BY281" s="53"/>
      <c r="DB281" s="17">
        <v>280</v>
      </c>
    </row>
    <row r="282" spans="12:106">
      <c r="L282" s="18" t="s">
        <v>590</v>
      </c>
      <c r="M282" s="52"/>
      <c r="N282" s="53"/>
      <c r="AS282" s="18" t="s">
        <v>590</v>
      </c>
      <c r="AT282" s="52"/>
      <c r="AU282" s="53"/>
      <c r="BW282" s="18" t="s">
        <v>590</v>
      </c>
      <c r="BX282" s="52"/>
      <c r="BY282" s="53"/>
      <c r="DB282" s="17">
        <v>281</v>
      </c>
    </row>
    <row r="283" spans="12:106">
      <c r="L283" s="18" t="s">
        <v>591</v>
      </c>
      <c r="M283" s="52"/>
      <c r="N283" s="53"/>
      <c r="AS283" s="18" t="s">
        <v>591</v>
      </c>
      <c r="AT283" s="52"/>
      <c r="AU283" s="53"/>
      <c r="BW283" s="18" t="s">
        <v>591</v>
      </c>
      <c r="BX283" s="52"/>
      <c r="BY283" s="53"/>
      <c r="DB283" s="17">
        <v>282</v>
      </c>
    </row>
    <row r="284" spans="12:106">
      <c r="L284" s="18" t="s">
        <v>592</v>
      </c>
      <c r="M284" s="52"/>
      <c r="N284" s="53"/>
      <c r="AS284" s="18" t="s">
        <v>592</v>
      </c>
      <c r="AT284" s="52"/>
      <c r="AU284" s="53"/>
      <c r="BW284" s="18" t="s">
        <v>592</v>
      </c>
      <c r="BX284" s="52"/>
      <c r="BY284" s="53"/>
      <c r="DB284" s="17">
        <v>283</v>
      </c>
    </row>
    <row r="285" spans="12:106">
      <c r="L285" s="18" t="s">
        <v>593</v>
      </c>
      <c r="M285" s="52"/>
      <c r="N285" s="53"/>
      <c r="AS285" s="18" t="s">
        <v>593</v>
      </c>
      <c r="AT285" s="52"/>
      <c r="AU285" s="53"/>
      <c r="BW285" s="18" t="s">
        <v>593</v>
      </c>
      <c r="BX285" s="52"/>
      <c r="BY285" s="53"/>
      <c r="DB285" s="17">
        <v>284</v>
      </c>
    </row>
    <row r="286" spans="12:106">
      <c r="L286" s="18" t="s">
        <v>594</v>
      </c>
      <c r="M286" s="52"/>
      <c r="N286" s="53"/>
      <c r="AS286" s="18" t="s">
        <v>594</v>
      </c>
      <c r="AT286" s="52"/>
      <c r="AU286" s="53"/>
      <c r="BW286" s="18" t="s">
        <v>594</v>
      </c>
      <c r="BX286" s="52"/>
      <c r="BY286" s="53"/>
      <c r="DB286" s="17">
        <v>285</v>
      </c>
    </row>
    <row r="287" spans="12:106">
      <c r="L287" s="18" t="s">
        <v>595</v>
      </c>
      <c r="M287" s="52"/>
      <c r="N287" s="53"/>
      <c r="AS287" s="18" t="s">
        <v>595</v>
      </c>
      <c r="AT287" s="52"/>
      <c r="AU287" s="53"/>
      <c r="BW287" s="18" t="s">
        <v>595</v>
      </c>
      <c r="BX287" s="52"/>
      <c r="BY287" s="53"/>
      <c r="DB287" s="17">
        <v>286</v>
      </c>
    </row>
    <row r="288" spans="12:106">
      <c r="L288" s="18" t="s">
        <v>596</v>
      </c>
      <c r="M288" s="52"/>
      <c r="N288" s="53"/>
      <c r="AS288" s="18" t="s">
        <v>596</v>
      </c>
      <c r="AT288" s="52"/>
      <c r="AU288" s="53"/>
      <c r="BW288" s="18" t="s">
        <v>596</v>
      </c>
      <c r="BX288" s="52"/>
      <c r="BY288" s="53"/>
      <c r="DB288" s="17">
        <v>287</v>
      </c>
    </row>
    <row r="289" spans="12:106">
      <c r="L289" s="18" t="s">
        <v>597</v>
      </c>
      <c r="M289" s="52"/>
      <c r="N289" s="53"/>
      <c r="AS289" s="18" t="s">
        <v>597</v>
      </c>
      <c r="AT289" s="52"/>
      <c r="AU289" s="53"/>
      <c r="BW289" s="18" t="s">
        <v>597</v>
      </c>
      <c r="BX289" s="52"/>
      <c r="BY289" s="53"/>
      <c r="DB289" s="17">
        <v>288</v>
      </c>
    </row>
    <row r="290" spans="12:106">
      <c r="L290" s="18" t="s">
        <v>598</v>
      </c>
      <c r="M290" s="52"/>
      <c r="N290" s="53"/>
      <c r="AS290" s="18" t="s">
        <v>598</v>
      </c>
      <c r="AT290" s="52"/>
      <c r="AU290" s="53"/>
      <c r="BW290" s="18" t="s">
        <v>598</v>
      </c>
      <c r="BX290" s="52"/>
      <c r="BY290" s="53"/>
      <c r="DB290" s="17">
        <v>289</v>
      </c>
    </row>
    <row r="291" spans="12:106">
      <c r="L291" s="18" t="s">
        <v>599</v>
      </c>
      <c r="M291" s="52"/>
      <c r="N291" s="53"/>
      <c r="AS291" s="18" t="s">
        <v>599</v>
      </c>
      <c r="AT291" s="52"/>
      <c r="AU291" s="53"/>
      <c r="BW291" s="18" t="s">
        <v>599</v>
      </c>
      <c r="BX291" s="52"/>
      <c r="BY291" s="53"/>
      <c r="DB291" s="17">
        <v>290</v>
      </c>
    </row>
    <row r="292" spans="12:106">
      <c r="L292" s="18" t="s">
        <v>600</v>
      </c>
      <c r="M292" s="52"/>
      <c r="N292" s="53"/>
      <c r="AS292" s="18" t="s">
        <v>600</v>
      </c>
      <c r="AT292" s="52"/>
      <c r="AU292" s="53"/>
      <c r="BW292" s="18" t="s">
        <v>600</v>
      </c>
      <c r="BX292" s="52"/>
      <c r="BY292" s="53"/>
      <c r="DB292" s="17">
        <v>291</v>
      </c>
    </row>
    <row r="293" spans="12:106">
      <c r="L293" s="18" t="s">
        <v>601</v>
      </c>
      <c r="M293" s="52"/>
      <c r="N293" s="53"/>
      <c r="AS293" s="18" t="s">
        <v>601</v>
      </c>
      <c r="AT293" s="52"/>
      <c r="AU293" s="53"/>
      <c r="BW293" s="18" t="s">
        <v>601</v>
      </c>
      <c r="BX293" s="52"/>
      <c r="BY293" s="53"/>
      <c r="DB293" s="17">
        <v>292</v>
      </c>
    </row>
    <row r="294" spans="12:106">
      <c r="L294" s="18" t="s">
        <v>602</v>
      </c>
      <c r="M294" s="52"/>
      <c r="N294" s="53"/>
      <c r="AS294" s="18" t="s">
        <v>602</v>
      </c>
      <c r="AT294" s="52"/>
      <c r="AU294" s="53"/>
      <c r="BW294" s="18" t="s">
        <v>602</v>
      </c>
      <c r="BX294" s="52"/>
      <c r="BY294" s="53"/>
      <c r="DB294" s="17">
        <v>293</v>
      </c>
    </row>
    <row r="295" spans="12:106">
      <c r="L295" s="18" t="s">
        <v>603</v>
      </c>
      <c r="M295" s="52"/>
      <c r="N295" s="53"/>
      <c r="AS295" s="18" t="s">
        <v>603</v>
      </c>
      <c r="AT295" s="52"/>
      <c r="AU295" s="53"/>
      <c r="BW295" s="18" t="s">
        <v>603</v>
      </c>
      <c r="BX295" s="52"/>
      <c r="BY295" s="53"/>
      <c r="DB295" s="17">
        <v>294</v>
      </c>
    </row>
    <row r="296" spans="12:106">
      <c r="L296" s="18" t="s">
        <v>604</v>
      </c>
      <c r="M296" s="52"/>
      <c r="N296" s="53"/>
      <c r="AS296" s="18" t="s">
        <v>604</v>
      </c>
      <c r="AT296" s="52"/>
      <c r="AU296" s="53"/>
      <c r="BW296" s="18" t="s">
        <v>604</v>
      </c>
      <c r="BX296" s="52"/>
      <c r="BY296" s="53"/>
      <c r="DB296" s="17">
        <v>295</v>
      </c>
    </row>
    <row r="297" spans="12:106">
      <c r="L297" s="18" t="s">
        <v>605</v>
      </c>
      <c r="M297" s="52"/>
      <c r="N297" s="53"/>
      <c r="AS297" s="18" t="s">
        <v>605</v>
      </c>
      <c r="AT297" s="52"/>
      <c r="AU297" s="53"/>
      <c r="BW297" s="18" t="s">
        <v>605</v>
      </c>
      <c r="BX297" s="52"/>
      <c r="BY297" s="53"/>
      <c r="DB297" s="17">
        <v>296</v>
      </c>
    </row>
    <row r="298" spans="12:106">
      <c r="L298" s="18" t="s">
        <v>606</v>
      </c>
      <c r="M298" s="52"/>
      <c r="N298" s="53"/>
      <c r="AS298" s="18" t="s">
        <v>606</v>
      </c>
      <c r="AT298" s="52"/>
      <c r="AU298" s="53"/>
      <c r="BW298" s="18" t="s">
        <v>606</v>
      </c>
      <c r="BX298" s="52"/>
      <c r="BY298" s="53"/>
      <c r="DB298" s="17">
        <v>297</v>
      </c>
    </row>
    <row r="299" spans="12:106">
      <c r="L299" s="18" t="s">
        <v>607</v>
      </c>
      <c r="M299" s="52"/>
      <c r="N299" s="53"/>
      <c r="AS299" s="18" t="s">
        <v>607</v>
      </c>
      <c r="AT299" s="52"/>
      <c r="AU299" s="53"/>
      <c r="BW299" s="18" t="s">
        <v>607</v>
      </c>
      <c r="BX299" s="52"/>
      <c r="BY299" s="53"/>
      <c r="DB299" s="17">
        <v>298</v>
      </c>
    </row>
    <row r="300" spans="12:106">
      <c r="L300" s="18" t="s">
        <v>608</v>
      </c>
      <c r="M300" s="52"/>
      <c r="N300" s="53"/>
      <c r="AS300" s="18" t="s">
        <v>608</v>
      </c>
      <c r="AT300" s="52"/>
      <c r="AU300" s="53"/>
      <c r="BW300" s="18" t="s">
        <v>608</v>
      </c>
      <c r="BX300" s="52"/>
      <c r="BY300" s="53"/>
      <c r="DB300" s="17">
        <v>299</v>
      </c>
    </row>
    <row r="301" spans="12:106">
      <c r="L301" s="18" t="s">
        <v>609</v>
      </c>
      <c r="M301" s="52"/>
      <c r="N301" s="53"/>
      <c r="AS301" s="18" t="s">
        <v>609</v>
      </c>
      <c r="AT301" s="52"/>
      <c r="AU301" s="53"/>
      <c r="BW301" s="18" t="s">
        <v>609</v>
      </c>
      <c r="BX301" s="52"/>
      <c r="BY301" s="53"/>
      <c r="DB301" s="17">
        <v>300</v>
      </c>
    </row>
    <row r="302" spans="12:106">
      <c r="L302" s="18" t="s">
        <v>610</v>
      </c>
      <c r="M302" s="52"/>
      <c r="N302" s="53"/>
      <c r="AS302" s="18" t="s">
        <v>610</v>
      </c>
      <c r="AT302" s="52"/>
      <c r="AU302" s="53"/>
      <c r="BW302" s="18" t="s">
        <v>610</v>
      </c>
      <c r="BX302" s="52"/>
      <c r="BY302" s="53"/>
      <c r="DB302" s="17">
        <v>301</v>
      </c>
    </row>
    <row r="303" spans="12:106">
      <c r="L303" s="18" t="s">
        <v>611</v>
      </c>
      <c r="M303" s="52"/>
      <c r="N303" s="53"/>
      <c r="AS303" s="18" t="s">
        <v>611</v>
      </c>
      <c r="AT303" s="52"/>
      <c r="AU303" s="53"/>
      <c r="BW303" s="18" t="s">
        <v>611</v>
      </c>
      <c r="BX303" s="52"/>
      <c r="BY303" s="53"/>
      <c r="DB303" s="17">
        <v>302</v>
      </c>
    </row>
    <row r="304" spans="12:106">
      <c r="L304" s="18" t="s">
        <v>612</v>
      </c>
      <c r="M304" s="52"/>
      <c r="N304" s="53"/>
      <c r="AS304" s="18" t="s">
        <v>612</v>
      </c>
      <c r="AT304" s="52"/>
      <c r="AU304" s="53"/>
      <c r="BW304" s="18" t="s">
        <v>612</v>
      </c>
      <c r="BX304" s="52"/>
      <c r="BY304" s="53"/>
      <c r="DB304" s="17">
        <v>303</v>
      </c>
    </row>
    <row r="305" spans="12:106">
      <c r="L305" s="18" t="s">
        <v>613</v>
      </c>
      <c r="M305" s="52"/>
      <c r="N305" s="53"/>
      <c r="AS305" s="18" t="s">
        <v>613</v>
      </c>
      <c r="AT305" s="52"/>
      <c r="AU305" s="53"/>
      <c r="BW305" s="18" t="s">
        <v>613</v>
      </c>
      <c r="BX305" s="52"/>
      <c r="BY305" s="53"/>
      <c r="DB305" s="17">
        <v>304</v>
      </c>
    </row>
    <row r="306" spans="12:106">
      <c r="L306" s="18" t="s">
        <v>614</v>
      </c>
      <c r="M306" s="52"/>
      <c r="N306" s="53"/>
      <c r="AS306" s="18" t="s">
        <v>614</v>
      </c>
      <c r="AT306" s="52"/>
      <c r="AU306" s="53"/>
      <c r="BW306" s="18" t="s">
        <v>614</v>
      </c>
      <c r="BX306" s="52"/>
      <c r="BY306" s="53"/>
      <c r="DB306" s="17">
        <v>305</v>
      </c>
    </row>
    <row r="307" spans="12:106">
      <c r="L307" s="18" t="s">
        <v>615</v>
      </c>
      <c r="M307" s="52"/>
      <c r="N307" s="53"/>
      <c r="AS307" s="18" t="s">
        <v>615</v>
      </c>
      <c r="AT307" s="52"/>
      <c r="AU307" s="53"/>
      <c r="BW307" s="18" t="s">
        <v>615</v>
      </c>
      <c r="BX307" s="52"/>
      <c r="BY307" s="53"/>
      <c r="DB307" s="17">
        <v>306</v>
      </c>
    </row>
    <row r="308" spans="12:106">
      <c r="L308" s="18" t="s">
        <v>616</v>
      </c>
      <c r="M308" s="52"/>
      <c r="N308" s="53"/>
      <c r="AS308" s="18" t="s">
        <v>616</v>
      </c>
      <c r="AT308" s="52"/>
      <c r="AU308" s="53"/>
      <c r="BW308" s="18" t="s">
        <v>616</v>
      </c>
      <c r="BX308" s="52"/>
      <c r="BY308" s="53"/>
      <c r="DB308" s="17">
        <v>307</v>
      </c>
    </row>
    <row r="309" spans="12:106">
      <c r="L309" s="18" t="s">
        <v>617</v>
      </c>
      <c r="M309" s="52"/>
      <c r="N309" s="53"/>
      <c r="AS309" s="18" t="s">
        <v>617</v>
      </c>
      <c r="AT309" s="52"/>
      <c r="AU309" s="53"/>
      <c r="BW309" s="18" t="s">
        <v>617</v>
      </c>
      <c r="BX309" s="52"/>
      <c r="BY309" s="53"/>
      <c r="DB309" s="17">
        <v>308</v>
      </c>
    </row>
    <row r="310" spans="12:106">
      <c r="L310" s="18" t="s">
        <v>618</v>
      </c>
      <c r="M310" s="52"/>
      <c r="N310" s="53"/>
      <c r="AS310" s="18" t="s">
        <v>618</v>
      </c>
      <c r="AT310" s="52"/>
      <c r="AU310" s="53"/>
      <c r="BW310" s="18" t="s">
        <v>618</v>
      </c>
      <c r="BX310" s="52"/>
      <c r="BY310" s="53"/>
      <c r="DB310" s="17">
        <v>309</v>
      </c>
    </row>
    <row r="311" spans="12:106">
      <c r="L311" s="18" t="s">
        <v>619</v>
      </c>
      <c r="M311" s="52"/>
      <c r="N311" s="53"/>
      <c r="AS311" s="18" t="s">
        <v>619</v>
      </c>
      <c r="AT311" s="52"/>
      <c r="AU311" s="53"/>
      <c r="BW311" s="18" t="s">
        <v>619</v>
      </c>
      <c r="BX311" s="52"/>
      <c r="BY311" s="53"/>
      <c r="DB311" s="17">
        <v>310</v>
      </c>
    </row>
    <row r="312" spans="12:106">
      <c r="L312" s="18" t="s">
        <v>620</v>
      </c>
      <c r="M312" s="52"/>
      <c r="N312" s="53"/>
      <c r="AS312" s="18" t="s">
        <v>620</v>
      </c>
      <c r="AT312" s="52"/>
      <c r="AU312" s="53"/>
      <c r="BW312" s="18" t="s">
        <v>620</v>
      </c>
      <c r="BX312" s="52"/>
      <c r="BY312" s="53"/>
      <c r="DB312" s="17">
        <v>311</v>
      </c>
    </row>
    <row r="313" spans="12:106">
      <c r="L313" s="18" t="s">
        <v>621</v>
      </c>
      <c r="M313" s="52"/>
      <c r="N313" s="53"/>
      <c r="AS313" s="18" t="s">
        <v>621</v>
      </c>
      <c r="AT313" s="52"/>
      <c r="AU313" s="53"/>
      <c r="BW313" s="18" t="s">
        <v>621</v>
      </c>
      <c r="BX313" s="52"/>
      <c r="BY313" s="53"/>
      <c r="DB313" s="17">
        <v>312</v>
      </c>
    </row>
    <row r="314" spans="12:106">
      <c r="L314" s="18" t="s">
        <v>622</v>
      </c>
      <c r="M314" s="52"/>
      <c r="N314" s="53"/>
      <c r="AS314" s="18" t="s">
        <v>622</v>
      </c>
      <c r="AT314" s="52"/>
      <c r="AU314" s="53"/>
      <c r="BW314" s="18" t="s">
        <v>622</v>
      </c>
      <c r="BX314" s="52"/>
      <c r="BY314" s="53"/>
      <c r="DB314" s="17">
        <v>313</v>
      </c>
    </row>
    <row r="315" spans="12:106">
      <c r="L315" s="18" t="s">
        <v>623</v>
      </c>
      <c r="M315" s="52"/>
      <c r="N315" s="53"/>
      <c r="AS315" s="18" t="s">
        <v>623</v>
      </c>
      <c r="AT315" s="52"/>
      <c r="AU315" s="53"/>
      <c r="BW315" s="18" t="s">
        <v>623</v>
      </c>
      <c r="BX315" s="52"/>
      <c r="BY315" s="53"/>
      <c r="DB315" s="17">
        <v>314</v>
      </c>
    </row>
    <row r="316" spans="12:106">
      <c r="L316" s="18" t="s">
        <v>624</v>
      </c>
      <c r="M316" s="52"/>
      <c r="N316" s="53"/>
      <c r="AS316" s="18" t="s">
        <v>624</v>
      </c>
      <c r="AT316" s="52"/>
      <c r="AU316" s="53"/>
      <c r="BW316" s="18" t="s">
        <v>624</v>
      </c>
      <c r="BX316" s="52"/>
      <c r="BY316" s="53"/>
      <c r="DB316" s="17">
        <v>315</v>
      </c>
    </row>
    <row r="317" spans="12:106">
      <c r="L317" s="18" t="s">
        <v>625</v>
      </c>
      <c r="M317" s="52"/>
      <c r="N317" s="53"/>
      <c r="AS317" s="18" t="s">
        <v>625</v>
      </c>
      <c r="AT317" s="52"/>
      <c r="AU317" s="53"/>
      <c r="BW317" s="18" t="s">
        <v>625</v>
      </c>
      <c r="BX317" s="52"/>
      <c r="BY317" s="53"/>
      <c r="DB317" s="17">
        <v>316</v>
      </c>
    </row>
    <row r="318" spans="12:106">
      <c r="L318" s="18" t="s">
        <v>626</v>
      </c>
      <c r="M318" s="52"/>
      <c r="N318" s="53"/>
      <c r="AS318" s="18" t="s">
        <v>626</v>
      </c>
      <c r="AT318" s="52"/>
      <c r="AU318" s="53"/>
      <c r="BW318" s="18" t="s">
        <v>626</v>
      </c>
      <c r="BX318" s="52"/>
      <c r="BY318" s="53"/>
      <c r="DB318" s="17">
        <v>317</v>
      </c>
    </row>
    <row r="319" spans="12:106">
      <c r="L319" s="18" t="s">
        <v>627</v>
      </c>
      <c r="M319" s="52"/>
      <c r="N319" s="53"/>
      <c r="AS319" s="18" t="s">
        <v>627</v>
      </c>
      <c r="AT319" s="52"/>
      <c r="AU319" s="53"/>
      <c r="BW319" s="18" t="s">
        <v>627</v>
      </c>
      <c r="BX319" s="52"/>
      <c r="BY319" s="53"/>
      <c r="DB319" s="17">
        <v>318</v>
      </c>
    </row>
    <row r="320" spans="12:106">
      <c r="L320" s="18" t="s">
        <v>628</v>
      </c>
      <c r="M320" s="52"/>
      <c r="N320" s="53"/>
      <c r="AS320" s="18" t="s">
        <v>628</v>
      </c>
      <c r="AT320" s="52"/>
      <c r="AU320" s="53"/>
      <c r="BW320" s="18" t="s">
        <v>628</v>
      </c>
      <c r="BX320" s="52"/>
      <c r="BY320" s="53"/>
      <c r="DB320" s="17">
        <v>319</v>
      </c>
    </row>
    <row r="321" spans="12:106">
      <c r="L321" s="18" t="s">
        <v>629</v>
      </c>
      <c r="M321" s="52"/>
      <c r="N321" s="53"/>
      <c r="AS321" s="18" t="s">
        <v>629</v>
      </c>
      <c r="AT321" s="52"/>
      <c r="AU321" s="53"/>
      <c r="BW321" s="18" t="s">
        <v>629</v>
      </c>
      <c r="BX321" s="52"/>
      <c r="BY321" s="53"/>
      <c r="DB321" s="17">
        <v>320</v>
      </c>
    </row>
    <row r="322" spans="12:106">
      <c r="L322" s="18" t="s">
        <v>630</v>
      </c>
      <c r="M322" s="52"/>
      <c r="N322" s="53"/>
      <c r="AS322" s="18" t="s">
        <v>630</v>
      </c>
      <c r="AT322" s="52"/>
      <c r="AU322" s="53"/>
      <c r="BW322" s="18" t="s">
        <v>630</v>
      </c>
      <c r="BX322" s="52"/>
      <c r="BY322" s="53"/>
      <c r="DB322" s="17">
        <v>321</v>
      </c>
    </row>
    <row r="323" spans="12:106">
      <c r="L323" s="18" t="s">
        <v>631</v>
      </c>
      <c r="M323" s="52"/>
      <c r="N323" s="53"/>
      <c r="AS323" s="18" t="s">
        <v>631</v>
      </c>
      <c r="AT323" s="52"/>
      <c r="AU323" s="53"/>
      <c r="BW323" s="18" t="s">
        <v>631</v>
      </c>
      <c r="BX323" s="52"/>
      <c r="BY323" s="53"/>
      <c r="DB323" s="17">
        <v>322</v>
      </c>
    </row>
    <row r="324" spans="12:106">
      <c r="L324" s="18" t="s">
        <v>632</v>
      </c>
      <c r="M324" s="52"/>
      <c r="N324" s="53"/>
      <c r="AS324" s="18" t="s">
        <v>632</v>
      </c>
      <c r="AT324" s="52"/>
      <c r="AU324" s="53"/>
      <c r="BW324" s="18" t="s">
        <v>632</v>
      </c>
      <c r="BX324" s="52"/>
      <c r="BY324" s="53"/>
      <c r="DB324" s="17">
        <v>323</v>
      </c>
    </row>
    <row r="325" spans="12:106">
      <c r="L325" s="18" t="s">
        <v>633</v>
      </c>
      <c r="M325" s="52"/>
      <c r="N325" s="53"/>
      <c r="AS325" s="18" t="s">
        <v>633</v>
      </c>
      <c r="AT325" s="52"/>
      <c r="AU325" s="53"/>
      <c r="BW325" s="18" t="s">
        <v>633</v>
      </c>
      <c r="BX325" s="52"/>
      <c r="BY325" s="53"/>
      <c r="DB325" s="17">
        <v>324</v>
      </c>
    </row>
    <row r="326" spans="12:106">
      <c r="L326" s="18" t="s">
        <v>634</v>
      </c>
      <c r="M326" s="52"/>
      <c r="N326" s="53"/>
      <c r="AS326" s="18" t="s">
        <v>634</v>
      </c>
      <c r="AT326" s="52"/>
      <c r="AU326" s="53"/>
      <c r="BW326" s="18" t="s">
        <v>634</v>
      </c>
      <c r="BX326" s="52"/>
      <c r="BY326" s="53"/>
      <c r="DB326" s="17">
        <v>325</v>
      </c>
    </row>
    <row r="327" spans="12:106">
      <c r="L327" s="18" t="s">
        <v>635</v>
      </c>
      <c r="M327" s="52"/>
      <c r="N327" s="53"/>
      <c r="AS327" s="18" t="s">
        <v>635</v>
      </c>
      <c r="AT327" s="52"/>
      <c r="AU327" s="53"/>
      <c r="BW327" s="18" t="s">
        <v>635</v>
      </c>
      <c r="BX327" s="52"/>
      <c r="BY327" s="53"/>
      <c r="DB327" s="17">
        <v>326</v>
      </c>
    </row>
    <row r="328" spans="12:106">
      <c r="L328" s="18" t="s">
        <v>636</v>
      </c>
      <c r="M328" s="52"/>
      <c r="N328" s="53"/>
      <c r="AS328" s="18" t="s">
        <v>636</v>
      </c>
      <c r="AT328" s="52"/>
      <c r="AU328" s="53"/>
      <c r="BW328" s="18" t="s">
        <v>636</v>
      </c>
      <c r="BX328" s="52"/>
      <c r="BY328" s="53"/>
      <c r="DB328" s="17">
        <v>327</v>
      </c>
    </row>
    <row r="329" spans="12:106">
      <c r="L329" s="18" t="s">
        <v>637</v>
      </c>
      <c r="M329" s="52"/>
      <c r="N329" s="53"/>
      <c r="AS329" s="18" t="s">
        <v>637</v>
      </c>
      <c r="AT329" s="52"/>
      <c r="AU329" s="53"/>
      <c r="BW329" s="18" t="s">
        <v>637</v>
      </c>
      <c r="BX329" s="52"/>
      <c r="BY329" s="53"/>
      <c r="DB329" s="17">
        <v>328</v>
      </c>
    </row>
    <row r="330" spans="12:106">
      <c r="L330" s="18" t="s">
        <v>638</v>
      </c>
      <c r="M330" s="52"/>
      <c r="N330" s="53"/>
      <c r="AS330" s="18" t="s">
        <v>638</v>
      </c>
      <c r="AT330" s="52"/>
      <c r="AU330" s="53"/>
      <c r="BW330" s="18" t="s">
        <v>638</v>
      </c>
      <c r="BX330" s="52"/>
      <c r="BY330" s="53"/>
      <c r="DB330" s="17">
        <v>329</v>
      </c>
    </row>
    <row r="331" spans="12:106">
      <c r="L331" s="18" t="s">
        <v>639</v>
      </c>
      <c r="M331" s="52"/>
      <c r="N331" s="53"/>
      <c r="AS331" s="18" t="s">
        <v>639</v>
      </c>
      <c r="AT331" s="52"/>
      <c r="AU331" s="53"/>
      <c r="BW331" s="18" t="s">
        <v>639</v>
      </c>
      <c r="BX331" s="52"/>
      <c r="BY331" s="53"/>
      <c r="DB331" s="17">
        <v>330</v>
      </c>
    </row>
    <row r="332" spans="12:106">
      <c r="L332" s="18" t="s">
        <v>640</v>
      </c>
      <c r="M332" s="52"/>
      <c r="N332" s="53"/>
      <c r="AS332" s="18" t="s">
        <v>640</v>
      </c>
      <c r="AT332" s="52"/>
      <c r="AU332" s="53"/>
      <c r="BW332" s="18" t="s">
        <v>640</v>
      </c>
      <c r="BX332" s="52"/>
      <c r="BY332" s="53"/>
      <c r="DB332" s="17">
        <v>331</v>
      </c>
    </row>
    <row r="333" spans="12:106">
      <c r="L333" s="18" t="s">
        <v>641</v>
      </c>
      <c r="M333" s="52"/>
      <c r="N333" s="53"/>
      <c r="AS333" s="18" t="s">
        <v>641</v>
      </c>
      <c r="AT333" s="52"/>
      <c r="AU333" s="53"/>
      <c r="BW333" s="18" t="s">
        <v>641</v>
      </c>
      <c r="BX333" s="52"/>
      <c r="BY333" s="53"/>
      <c r="DB333" s="17">
        <v>332</v>
      </c>
    </row>
    <row r="334" spans="12:106">
      <c r="L334" s="18" t="s">
        <v>642</v>
      </c>
      <c r="M334" s="52"/>
      <c r="N334" s="53"/>
      <c r="AS334" s="18" t="s">
        <v>642</v>
      </c>
      <c r="AT334" s="52"/>
      <c r="AU334" s="53"/>
      <c r="BW334" s="18" t="s">
        <v>642</v>
      </c>
      <c r="BX334" s="52"/>
      <c r="BY334" s="53"/>
      <c r="DB334" s="17">
        <v>333</v>
      </c>
    </row>
    <row r="335" spans="12:106">
      <c r="L335" s="18" t="s">
        <v>643</v>
      </c>
      <c r="M335" s="52"/>
      <c r="N335" s="53"/>
      <c r="AS335" s="18" t="s">
        <v>643</v>
      </c>
      <c r="AT335" s="52"/>
      <c r="AU335" s="53"/>
      <c r="BW335" s="18" t="s">
        <v>643</v>
      </c>
      <c r="BX335" s="52"/>
      <c r="BY335" s="53"/>
      <c r="DB335" s="17">
        <v>334</v>
      </c>
    </row>
    <row r="336" spans="12:106">
      <c r="L336" s="18" t="s">
        <v>644</v>
      </c>
      <c r="M336" s="52"/>
      <c r="N336" s="53"/>
      <c r="AS336" s="18" t="s">
        <v>644</v>
      </c>
      <c r="AT336" s="52"/>
      <c r="AU336" s="53"/>
      <c r="BW336" s="18" t="s">
        <v>644</v>
      </c>
      <c r="BX336" s="52"/>
      <c r="BY336" s="53"/>
      <c r="DB336" s="17">
        <v>335</v>
      </c>
    </row>
    <row r="337" spans="12:106">
      <c r="L337" s="18" t="s">
        <v>645</v>
      </c>
      <c r="M337" s="52"/>
      <c r="N337" s="53"/>
      <c r="AS337" s="18" t="s">
        <v>645</v>
      </c>
      <c r="AT337" s="52"/>
      <c r="AU337" s="53"/>
      <c r="BW337" s="18" t="s">
        <v>645</v>
      </c>
      <c r="BX337" s="52"/>
      <c r="BY337" s="53"/>
      <c r="DB337" s="17">
        <v>336</v>
      </c>
    </row>
    <row r="338" spans="12:106">
      <c r="L338" s="18" t="s">
        <v>646</v>
      </c>
      <c r="M338" s="52"/>
      <c r="N338" s="53"/>
      <c r="AS338" s="18" t="s">
        <v>646</v>
      </c>
      <c r="AT338" s="52"/>
      <c r="AU338" s="53"/>
      <c r="BW338" s="18" t="s">
        <v>646</v>
      </c>
      <c r="BX338" s="52"/>
      <c r="BY338" s="53"/>
      <c r="DB338" s="17">
        <v>337</v>
      </c>
    </row>
    <row r="339" spans="12:106">
      <c r="L339" s="18" t="s">
        <v>647</v>
      </c>
      <c r="M339" s="52"/>
      <c r="N339" s="53"/>
      <c r="AS339" s="18" t="s">
        <v>647</v>
      </c>
      <c r="AT339" s="52"/>
      <c r="AU339" s="53"/>
      <c r="BW339" s="18" t="s">
        <v>647</v>
      </c>
      <c r="BX339" s="52"/>
      <c r="BY339" s="53"/>
      <c r="DB339" s="17">
        <v>338</v>
      </c>
    </row>
    <row r="340" spans="12:106">
      <c r="L340" s="18" t="s">
        <v>648</v>
      </c>
      <c r="M340" s="52"/>
      <c r="N340" s="53"/>
      <c r="AS340" s="18" t="s">
        <v>648</v>
      </c>
      <c r="AT340" s="52"/>
      <c r="AU340" s="53"/>
      <c r="BW340" s="18" t="s">
        <v>648</v>
      </c>
      <c r="BX340" s="52"/>
      <c r="BY340" s="53"/>
      <c r="DB340" s="17">
        <v>339</v>
      </c>
    </row>
    <row r="341" spans="12:106">
      <c r="L341" s="18" t="s">
        <v>649</v>
      </c>
      <c r="M341" s="52"/>
      <c r="N341" s="53"/>
      <c r="AS341" s="18" t="s">
        <v>649</v>
      </c>
      <c r="AT341" s="52"/>
      <c r="AU341" s="53"/>
      <c r="BW341" s="18" t="s">
        <v>649</v>
      </c>
      <c r="BX341" s="52"/>
      <c r="BY341" s="53"/>
      <c r="DB341" s="17">
        <v>340</v>
      </c>
    </row>
    <row r="342" spans="12:106">
      <c r="L342" s="18" t="s">
        <v>650</v>
      </c>
      <c r="M342" s="52"/>
      <c r="N342" s="53"/>
      <c r="AS342" s="18" t="s">
        <v>650</v>
      </c>
      <c r="AT342" s="52"/>
      <c r="AU342" s="53"/>
      <c r="BW342" s="18" t="s">
        <v>650</v>
      </c>
      <c r="BX342" s="52"/>
      <c r="BY342" s="53"/>
      <c r="DB342" s="17">
        <v>341</v>
      </c>
    </row>
    <row r="343" spans="12:106">
      <c r="L343" s="18" t="s">
        <v>651</v>
      </c>
      <c r="M343" s="52"/>
      <c r="N343" s="53"/>
      <c r="AS343" s="18" t="s">
        <v>651</v>
      </c>
      <c r="AT343" s="52"/>
      <c r="AU343" s="53"/>
      <c r="BW343" s="18" t="s">
        <v>651</v>
      </c>
      <c r="BX343" s="52"/>
      <c r="BY343" s="53"/>
      <c r="DB343" s="17">
        <v>342</v>
      </c>
    </row>
    <row r="344" spans="12:106">
      <c r="L344" s="18" t="s">
        <v>652</v>
      </c>
      <c r="M344" s="52"/>
      <c r="N344" s="53"/>
      <c r="AS344" s="18" t="s">
        <v>652</v>
      </c>
      <c r="AT344" s="52"/>
      <c r="AU344" s="53"/>
      <c r="BW344" s="18" t="s">
        <v>652</v>
      </c>
      <c r="BX344" s="52"/>
      <c r="BY344" s="53"/>
      <c r="DB344" s="17">
        <v>343</v>
      </c>
    </row>
    <row r="345" spans="12:106">
      <c r="L345" s="18" t="s">
        <v>653</v>
      </c>
      <c r="M345" s="52"/>
      <c r="N345" s="53"/>
      <c r="AS345" s="18" t="s">
        <v>653</v>
      </c>
      <c r="AT345" s="52"/>
      <c r="AU345" s="53"/>
      <c r="BW345" s="18" t="s">
        <v>653</v>
      </c>
      <c r="BX345" s="52"/>
      <c r="BY345" s="53"/>
      <c r="DB345" s="17">
        <v>344</v>
      </c>
    </row>
    <row r="346" spans="12:106">
      <c r="L346" s="18" t="s">
        <v>654</v>
      </c>
      <c r="M346" s="52"/>
      <c r="N346" s="53"/>
      <c r="AS346" s="18" t="s">
        <v>654</v>
      </c>
      <c r="AT346" s="52"/>
      <c r="AU346" s="53"/>
      <c r="BW346" s="18" t="s">
        <v>654</v>
      </c>
      <c r="BX346" s="52"/>
      <c r="BY346" s="53"/>
      <c r="DB346" s="17">
        <v>345</v>
      </c>
    </row>
    <row r="347" spans="12:106">
      <c r="L347" s="18" t="s">
        <v>655</v>
      </c>
      <c r="M347" s="52"/>
      <c r="N347" s="53"/>
      <c r="AS347" s="18" t="s">
        <v>655</v>
      </c>
      <c r="AT347" s="52"/>
      <c r="AU347" s="53"/>
      <c r="BW347" s="18" t="s">
        <v>655</v>
      </c>
      <c r="BX347" s="52"/>
      <c r="BY347" s="53"/>
      <c r="DB347" s="17">
        <v>346</v>
      </c>
    </row>
    <row r="348" spans="12:106">
      <c r="L348" s="18" t="s">
        <v>656</v>
      </c>
      <c r="M348" s="52"/>
      <c r="N348" s="53"/>
      <c r="AS348" s="18" t="s">
        <v>656</v>
      </c>
      <c r="AT348" s="52"/>
      <c r="AU348" s="53"/>
      <c r="BW348" s="18" t="s">
        <v>656</v>
      </c>
      <c r="BX348" s="52"/>
      <c r="BY348" s="53"/>
      <c r="DB348" s="17">
        <v>347</v>
      </c>
    </row>
    <row r="349" spans="12:106">
      <c r="L349" s="18" t="s">
        <v>657</v>
      </c>
      <c r="M349" s="52"/>
      <c r="N349" s="53"/>
      <c r="AS349" s="18" t="s">
        <v>657</v>
      </c>
      <c r="AT349" s="52"/>
      <c r="AU349" s="53"/>
      <c r="BW349" s="18" t="s">
        <v>657</v>
      </c>
      <c r="BX349" s="52"/>
      <c r="BY349" s="53"/>
      <c r="DB349" s="17">
        <v>348</v>
      </c>
    </row>
    <row r="350" spans="12:106">
      <c r="L350" s="18" t="s">
        <v>658</v>
      </c>
      <c r="M350" s="52"/>
      <c r="N350" s="53"/>
      <c r="AS350" s="18" t="s">
        <v>658</v>
      </c>
      <c r="AT350" s="52"/>
      <c r="AU350" s="53"/>
      <c r="BW350" s="18" t="s">
        <v>658</v>
      </c>
      <c r="BX350" s="52"/>
      <c r="BY350" s="53"/>
      <c r="DB350" s="17">
        <v>349</v>
      </c>
    </row>
    <row r="351" spans="12:106">
      <c r="L351" s="18" t="s">
        <v>659</v>
      </c>
      <c r="M351" s="52"/>
      <c r="N351" s="53"/>
      <c r="AS351" s="18" t="s">
        <v>659</v>
      </c>
      <c r="AT351" s="52"/>
      <c r="AU351" s="53"/>
      <c r="BW351" s="18" t="s">
        <v>659</v>
      </c>
      <c r="BX351" s="52"/>
      <c r="BY351" s="53"/>
      <c r="DB351" s="17">
        <v>350</v>
      </c>
    </row>
    <row r="352" spans="12:106">
      <c r="L352" s="18" t="s">
        <v>660</v>
      </c>
      <c r="M352" s="52"/>
      <c r="N352" s="53"/>
      <c r="AS352" s="18" t="s">
        <v>660</v>
      </c>
      <c r="AT352" s="52"/>
      <c r="AU352" s="53"/>
      <c r="BW352" s="18" t="s">
        <v>660</v>
      </c>
      <c r="BX352" s="52"/>
      <c r="BY352" s="53"/>
      <c r="DB352" s="17">
        <v>351</v>
      </c>
    </row>
    <row r="353" spans="12:106">
      <c r="L353" s="18" t="s">
        <v>661</v>
      </c>
      <c r="M353" s="52"/>
      <c r="N353" s="53"/>
      <c r="AS353" s="18" t="s">
        <v>661</v>
      </c>
      <c r="AT353" s="52"/>
      <c r="AU353" s="53"/>
      <c r="BW353" s="18" t="s">
        <v>661</v>
      </c>
      <c r="BX353" s="52"/>
      <c r="BY353" s="53"/>
      <c r="DB353" s="17">
        <v>352</v>
      </c>
    </row>
    <row r="354" spans="12:106">
      <c r="L354" s="18" t="s">
        <v>662</v>
      </c>
      <c r="M354" s="52"/>
      <c r="N354" s="53"/>
      <c r="AS354" s="18" t="s">
        <v>662</v>
      </c>
      <c r="AT354" s="52"/>
      <c r="AU354" s="53"/>
      <c r="BW354" s="18" t="s">
        <v>662</v>
      </c>
      <c r="BX354" s="52"/>
      <c r="BY354" s="53"/>
      <c r="DB354" s="17">
        <v>353</v>
      </c>
    </row>
    <row r="355" spans="12:106">
      <c r="L355" s="18" t="s">
        <v>663</v>
      </c>
      <c r="M355" s="52"/>
      <c r="N355" s="53"/>
      <c r="AS355" s="18" t="s">
        <v>663</v>
      </c>
      <c r="AT355" s="52"/>
      <c r="AU355" s="53"/>
      <c r="BW355" s="18" t="s">
        <v>663</v>
      </c>
      <c r="BX355" s="52"/>
      <c r="BY355" s="53"/>
      <c r="DB355" s="17">
        <v>354</v>
      </c>
    </row>
    <row r="356" spans="12:106">
      <c r="L356" s="18" t="s">
        <v>664</v>
      </c>
      <c r="M356" s="52"/>
      <c r="N356" s="53"/>
      <c r="AS356" s="18" t="s">
        <v>664</v>
      </c>
      <c r="AT356" s="52"/>
      <c r="AU356" s="53"/>
      <c r="BW356" s="18" t="s">
        <v>664</v>
      </c>
      <c r="BX356" s="52"/>
      <c r="BY356" s="53"/>
      <c r="DB356" s="17">
        <v>355</v>
      </c>
    </row>
    <row r="357" spans="12:106">
      <c r="L357" s="18" t="s">
        <v>665</v>
      </c>
      <c r="M357" s="52"/>
      <c r="N357" s="53"/>
      <c r="AS357" s="18" t="s">
        <v>665</v>
      </c>
      <c r="AT357" s="52"/>
      <c r="AU357" s="53"/>
      <c r="BW357" s="18" t="s">
        <v>665</v>
      </c>
      <c r="BX357" s="52"/>
      <c r="BY357" s="53"/>
      <c r="DB357" s="17">
        <v>356</v>
      </c>
    </row>
    <row r="358" spans="12:106">
      <c r="L358" s="18" t="s">
        <v>666</v>
      </c>
      <c r="M358" s="52"/>
      <c r="N358" s="53"/>
      <c r="AS358" s="18" t="s">
        <v>666</v>
      </c>
      <c r="AT358" s="52"/>
      <c r="AU358" s="53"/>
      <c r="BW358" s="18" t="s">
        <v>666</v>
      </c>
      <c r="BX358" s="52"/>
      <c r="BY358" s="53"/>
      <c r="DB358" s="17">
        <v>357</v>
      </c>
    </row>
    <row r="359" spans="12:106">
      <c r="L359" s="18" t="s">
        <v>667</v>
      </c>
      <c r="M359" s="52"/>
      <c r="N359" s="53"/>
      <c r="AS359" s="18" t="s">
        <v>667</v>
      </c>
      <c r="AT359" s="52"/>
      <c r="AU359" s="53"/>
      <c r="BW359" s="18" t="s">
        <v>667</v>
      </c>
      <c r="BX359" s="52"/>
      <c r="BY359" s="53"/>
      <c r="DB359" s="17">
        <v>358</v>
      </c>
    </row>
    <row r="360" spans="12:106">
      <c r="L360" s="18" t="s">
        <v>668</v>
      </c>
      <c r="M360" s="52"/>
      <c r="N360" s="53"/>
      <c r="AS360" s="18" t="s">
        <v>668</v>
      </c>
      <c r="AT360" s="52"/>
      <c r="AU360" s="53"/>
      <c r="BW360" s="18" t="s">
        <v>668</v>
      </c>
      <c r="BX360" s="52"/>
      <c r="BY360" s="53"/>
      <c r="DB360" s="17">
        <v>359</v>
      </c>
    </row>
    <row r="361" spans="12:106">
      <c r="L361" s="18" t="s">
        <v>669</v>
      </c>
      <c r="M361" s="52"/>
      <c r="N361" s="53"/>
      <c r="AS361" s="18" t="s">
        <v>669</v>
      </c>
      <c r="AT361" s="52"/>
      <c r="AU361" s="53"/>
      <c r="BW361" s="18" t="s">
        <v>669</v>
      </c>
      <c r="BX361" s="52"/>
      <c r="BY361" s="53"/>
      <c r="DB361" s="17">
        <v>360</v>
      </c>
    </row>
    <row r="362" spans="12:106">
      <c r="L362" s="18" t="s">
        <v>670</v>
      </c>
      <c r="M362" s="52"/>
      <c r="N362" s="53"/>
      <c r="AS362" s="18" t="s">
        <v>670</v>
      </c>
      <c r="AT362" s="52"/>
      <c r="AU362" s="53"/>
      <c r="BW362" s="18" t="s">
        <v>670</v>
      </c>
      <c r="BX362" s="52"/>
      <c r="BY362" s="53"/>
      <c r="DB362" s="17">
        <v>361</v>
      </c>
    </row>
    <row r="363" spans="12:106">
      <c r="L363" s="18" t="s">
        <v>671</v>
      </c>
      <c r="M363" s="52"/>
      <c r="N363" s="53"/>
      <c r="AS363" s="18" t="s">
        <v>671</v>
      </c>
      <c r="AT363" s="52"/>
      <c r="AU363" s="53"/>
      <c r="BW363" s="18" t="s">
        <v>671</v>
      </c>
      <c r="BX363" s="52"/>
      <c r="BY363" s="53"/>
      <c r="DB363" s="17">
        <v>362</v>
      </c>
    </row>
    <row r="364" spans="12:106">
      <c r="L364" s="18" t="s">
        <v>672</v>
      </c>
      <c r="M364" s="52"/>
      <c r="N364" s="53"/>
      <c r="AS364" s="18" t="s">
        <v>672</v>
      </c>
      <c r="AT364" s="52"/>
      <c r="AU364" s="53"/>
      <c r="BW364" s="18" t="s">
        <v>672</v>
      </c>
      <c r="BX364" s="52"/>
      <c r="BY364" s="53"/>
      <c r="DB364" s="17">
        <v>363</v>
      </c>
    </row>
    <row r="365" spans="12:106">
      <c r="L365" s="18" t="s">
        <v>673</v>
      </c>
      <c r="M365" s="52"/>
      <c r="N365" s="53"/>
      <c r="AS365" s="18" t="s">
        <v>673</v>
      </c>
      <c r="AT365" s="52"/>
      <c r="AU365" s="53"/>
      <c r="BW365" s="18" t="s">
        <v>673</v>
      </c>
      <c r="BX365" s="52"/>
      <c r="BY365" s="53"/>
      <c r="DB365" s="17">
        <v>364</v>
      </c>
    </row>
    <row r="366" spans="12:106">
      <c r="L366" s="18" t="s">
        <v>674</v>
      </c>
      <c r="M366" s="52"/>
      <c r="N366" s="53"/>
      <c r="AS366" s="18" t="s">
        <v>674</v>
      </c>
      <c r="AT366" s="52"/>
      <c r="AU366" s="53"/>
      <c r="BW366" s="18" t="s">
        <v>674</v>
      </c>
      <c r="BX366" s="52"/>
      <c r="BY366" s="53"/>
      <c r="DB366" s="17">
        <v>365</v>
      </c>
    </row>
    <row r="367" spans="12:106">
      <c r="L367" s="18" t="s">
        <v>675</v>
      </c>
      <c r="M367" s="52"/>
      <c r="N367" s="53"/>
      <c r="AS367" s="18" t="s">
        <v>675</v>
      </c>
      <c r="AT367" s="52"/>
      <c r="AU367" s="53"/>
      <c r="BW367" s="18" t="s">
        <v>675</v>
      </c>
      <c r="BX367" s="52"/>
      <c r="BY367" s="53"/>
      <c r="DB367" s="17">
        <v>366</v>
      </c>
    </row>
    <row r="368" spans="12:106">
      <c r="L368" s="18" t="s">
        <v>676</v>
      </c>
      <c r="M368" s="52"/>
      <c r="N368" s="53"/>
      <c r="AS368" s="18" t="s">
        <v>676</v>
      </c>
      <c r="AT368" s="52"/>
      <c r="AU368" s="53"/>
      <c r="BW368" s="18" t="s">
        <v>676</v>
      </c>
      <c r="BX368" s="52"/>
      <c r="BY368" s="53"/>
      <c r="DB368" s="17">
        <v>367</v>
      </c>
    </row>
    <row r="369" spans="12:106">
      <c r="L369" s="18" t="s">
        <v>677</v>
      </c>
      <c r="M369" s="52"/>
      <c r="N369" s="53"/>
      <c r="AS369" s="18" t="s">
        <v>677</v>
      </c>
      <c r="AT369" s="52"/>
      <c r="AU369" s="53"/>
      <c r="BW369" s="18" t="s">
        <v>677</v>
      </c>
      <c r="BX369" s="52"/>
      <c r="BY369" s="53"/>
      <c r="DB369" s="17">
        <v>368</v>
      </c>
    </row>
    <row r="370" spans="12:106">
      <c r="L370" s="18" t="s">
        <v>678</v>
      </c>
      <c r="AS370" s="18" t="s">
        <v>678</v>
      </c>
      <c r="AT370" s="57"/>
      <c r="BW370" s="18" t="s">
        <v>678</v>
      </c>
      <c r="BX370" s="57"/>
    </row>
    <row r="371" spans="12:106">
      <c r="L371" s="18" t="s">
        <v>679</v>
      </c>
      <c r="AS371" s="18" t="s">
        <v>679</v>
      </c>
      <c r="AT371" s="57"/>
      <c r="BW371" s="18" t="s">
        <v>679</v>
      </c>
      <c r="BX371" s="57"/>
    </row>
    <row r="372" spans="12:106">
      <c r="L372" s="18" t="s">
        <v>680</v>
      </c>
      <c r="AS372" s="18" t="s">
        <v>680</v>
      </c>
      <c r="AT372" s="57"/>
      <c r="BW372" s="18" t="s">
        <v>680</v>
      </c>
      <c r="BX372" s="57"/>
    </row>
    <row r="373" spans="12:106">
      <c r="L373" s="18" t="s">
        <v>681</v>
      </c>
      <c r="AS373" s="18" t="s">
        <v>681</v>
      </c>
      <c r="AT373" s="57"/>
      <c r="BW373" s="18" t="s">
        <v>681</v>
      </c>
      <c r="BX373" s="57"/>
    </row>
    <row r="374" spans="12:106">
      <c r="AT374" s="57"/>
      <c r="BX374" s="57"/>
    </row>
    <row r="375" spans="12:106">
      <c r="AT375" s="57"/>
      <c r="BX375" s="57"/>
    </row>
    <row r="376" spans="12:106">
      <c r="AT376" s="57"/>
      <c r="BX376" s="57"/>
    </row>
    <row r="377" spans="12:106">
      <c r="AT377" s="57"/>
      <c r="BX377" s="57"/>
    </row>
    <row r="378" spans="12:106">
      <c r="AT378" s="57"/>
      <c r="BX378" s="57"/>
    </row>
    <row r="379" spans="12:106">
      <c r="AT379" s="57"/>
      <c r="BX379" s="57"/>
    </row>
    <row r="380" spans="12:106">
      <c r="AT380" s="57"/>
      <c r="BX380" s="57"/>
    </row>
    <row r="381" spans="12:106">
      <c r="AT381" s="57"/>
      <c r="BX381" s="57"/>
    </row>
    <row r="382" spans="12:106">
      <c r="AT382" s="57"/>
      <c r="BX382" s="57"/>
    </row>
    <row r="383" spans="12:106">
      <c r="AT383" s="57"/>
      <c r="BX383" s="57"/>
    </row>
    <row r="384" spans="12:106">
      <c r="AT384" s="57"/>
      <c r="BX384" s="57"/>
    </row>
    <row r="385" spans="46:76">
      <c r="AT385" s="57"/>
      <c r="BX385" s="57"/>
    </row>
    <row r="386" spans="46:76">
      <c r="AT386" s="57"/>
      <c r="BX386" s="57"/>
    </row>
    <row r="387" spans="46:76">
      <c r="AT387" s="57"/>
      <c r="BX387" s="57"/>
    </row>
    <row r="388" spans="46:76">
      <c r="AT388" s="57"/>
      <c r="BX388" s="57"/>
    </row>
    <row r="389" spans="46:76">
      <c r="AT389" s="57"/>
      <c r="BX389" s="57"/>
    </row>
  </sheetData>
  <autoFilter ref="A1:DB370" xr:uid="{00000000-0009-0000-0000-000001000000}"/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86"/>
  <sheetViews>
    <sheetView workbookViewId="0">
      <pane ySplit="1" topLeftCell="A172" activePane="bottomLeft" state="frozen"/>
      <selection pane="bottomLeft" activeCell="B20" sqref="B20"/>
    </sheetView>
  </sheetViews>
  <sheetFormatPr baseColWidth="10" defaultColWidth="11" defaultRowHeight="16"/>
  <cols>
    <col min="2" max="2" width="22.6640625" customWidth="1"/>
    <col min="3" max="3" width="10.83203125" customWidth="1"/>
    <col min="4" max="5" width="30.33203125" customWidth="1"/>
    <col min="12" max="12" width="10.83203125" customWidth="1"/>
  </cols>
  <sheetData>
    <row r="1" spans="1:12">
      <c r="A1" s="1" t="s">
        <v>682</v>
      </c>
      <c r="B1" s="1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7</v>
      </c>
      <c r="H1" s="2" t="s">
        <v>8</v>
      </c>
      <c r="I1" s="2" t="s">
        <v>5</v>
      </c>
      <c r="J1" s="2" t="s">
        <v>6</v>
      </c>
      <c r="K1" s="2" t="s">
        <v>9</v>
      </c>
      <c r="L1" s="2" t="s">
        <v>10</v>
      </c>
    </row>
    <row r="2" spans="1:12">
      <c r="A2" t="s">
        <v>683</v>
      </c>
      <c r="B2" t="s">
        <v>79</v>
      </c>
      <c r="C2" t="s">
        <v>684</v>
      </c>
      <c r="D2" t="s">
        <v>685</v>
      </c>
      <c r="K2" t="s">
        <v>138</v>
      </c>
      <c r="L2" t="str">
        <f t="shared" ref="L2:L33" si="0">_xlfn.XLOOKUP(K2,B:B,C:C, "")</f>
        <v>000035762</v>
      </c>
    </row>
    <row r="3" spans="1:12">
      <c r="A3" t="s">
        <v>683</v>
      </c>
      <c r="B3" t="s">
        <v>88</v>
      </c>
      <c r="C3" t="s">
        <v>686</v>
      </c>
      <c r="D3" t="s">
        <v>687</v>
      </c>
      <c r="K3" t="s">
        <v>138</v>
      </c>
      <c r="L3" t="str">
        <f t="shared" si="0"/>
        <v>000035762</v>
      </c>
    </row>
    <row r="4" spans="1:12">
      <c r="A4" t="s">
        <v>683</v>
      </c>
      <c r="B4" t="s">
        <v>95</v>
      </c>
      <c r="C4" t="s">
        <v>688</v>
      </c>
      <c r="D4" t="s">
        <v>689</v>
      </c>
      <c r="K4" t="s">
        <v>138</v>
      </c>
      <c r="L4" t="str">
        <f t="shared" si="0"/>
        <v>000035762</v>
      </c>
    </row>
    <row r="5" spans="1:12">
      <c r="A5" t="s">
        <v>683</v>
      </c>
      <c r="B5" t="s">
        <v>106</v>
      </c>
      <c r="C5" t="s">
        <v>690</v>
      </c>
      <c r="D5" t="s">
        <v>691</v>
      </c>
      <c r="K5" t="s">
        <v>138</v>
      </c>
      <c r="L5" t="str">
        <f t="shared" si="0"/>
        <v>000035762</v>
      </c>
    </row>
    <row r="6" spans="1:12">
      <c r="A6" t="s">
        <v>683</v>
      </c>
      <c r="B6" t="s">
        <v>66</v>
      </c>
      <c r="C6" t="s">
        <v>692</v>
      </c>
      <c r="D6" t="s">
        <v>693</v>
      </c>
      <c r="K6" t="s">
        <v>138</v>
      </c>
      <c r="L6" t="str">
        <f t="shared" si="0"/>
        <v>000035762</v>
      </c>
    </row>
    <row r="7" spans="1:12">
      <c r="A7" t="s">
        <v>683</v>
      </c>
      <c r="B7" t="s">
        <v>71</v>
      </c>
      <c r="C7" t="s">
        <v>694</v>
      </c>
      <c r="D7" t="s">
        <v>695</v>
      </c>
      <c r="K7" t="s">
        <v>138</v>
      </c>
      <c r="L7" t="str">
        <f t="shared" si="0"/>
        <v>000035762</v>
      </c>
    </row>
    <row r="8" spans="1:12">
      <c r="A8" t="s">
        <v>683</v>
      </c>
      <c r="B8" t="s">
        <v>101</v>
      </c>
      <c r="C8" t="s">
        <v>696</v>
      </c>
      <c r="D8" t="s">
        <v>697</v>
      </c>
      <c r="K8" t="s">
        <v>138</v>
      </c>
      <c r="L8" t="str">
        <f t="shared" si="0"/>
        <v>000035762</v>
      </c>
    </row>
    <row r="9" spans="1:12">
      <c r="A9" t="s">
        <v>683</v>
      </c>
      <c r="B9" t="s">
        <v>128</v>
      </c>
      <c r="C9" t="s">
        <v>698</v>
      </c>
      <c r="D9" t="s">
        <v>699</v>
      </c>
      <c r="K9" t="s">
        <v>138</v>
      </c>
      <c r="L9" t="str">
        <f t="shared" si="0"/>
        <v>000035762</v>
      </c>
    </row>
    <row r="10" spans="1:12">
      <c r="A10" t="s">
        <v>683</v>
      </c>
      <c r="B10" t="s">
        <v>138</v>
      </c>
      <c r="C10" t="s">
        <v>700</v>
      </c>
      <c r="D10" t="s">
        <v>701</v>
      </c>
      <c r="K10" t="s">
        <v>138</v>
      </c>
      <c r="L10" t="str">
        <f t="shared" si="0"/>
        <v>000035762</v>
      </c>
    </row>
    <row r="11" spans="1:12">
      <c r="A11" t="s">
        <v>683</v>
      </c>
      <c r="B11" t="s">
        <v>133</v>
      </c>
      <c r="C11" t="s">
        <v>702</v>
      </c>
      <c r="D11" t="s">
        <v>703</v>
      </c>
      <c r="K11" t="s">
        <v>138</v>
      </c>
      <c r="L11" t="str">
        <f t="shared" si="0"/>
        <v>000035762</v>
      </c>
    </row>
    <row r="12" spans="1:12">
      <c r="A12" t="s">
        <v>683</v>
      </c>
      <c r="B12" t="s">
        <v>123</v>
      </c>
      <c r="C12" t="s">
        <v>704</v>
      </c>
      <c r="D12" t="s">
        <v>705</v>
      </c>
      <c r="K12" t="s">
        <v>138</v>
      </c>
      <c r="L12" t="str">
        <f t="shared" si="0"/>
        <v>000035762</v>
      </c>
    </row>
    <row r="13" spans="1:12">
      <c r="A13" t="s">
        <v>683</v>
      </c>
      <c r="B13" t="s">
        <v>117</v>
      </c>
      <c r="C13" t="s">
        <v>706</v>
      </c>
      <c r="D13" t="s">
        <v>707</v>
      </c>
      <c r="K13" t="s">
        <v>138</v>
      </c>
      <c r="L13" t="str">
        <f t="shared" si="0"/>
        <v>000035762</v>
      </c>
    </row>
    <row r="14" spans="1:12">
      <c r="A14" t="s">
        <v>683</v>
      </c>
      <c r="B14" t="s">
        <v>143</v>
      </c>
      <c r="C14" t="s">
        <v>708</v>
      </c>
      <c r="D14" t="s">
        <v>709</v>
      </c>
      <c r="K14" t="s">
        <v>138</v>
      </c>
      <c r="L14" t="str">
        <f t="shared" si="0"/>
        <v>000035762</v>
      </c>
    </row>
    <row r="15" spans="1:12">
      <c r="A15" t="s">
        <v>683</v>
      </c>
      <c r="B15" t="s">
        <v>148</v>
      </c>
      <c r="C15" t="s">
        <v>710</v>
      </c>
      <c r="D15" t="s">
        <v>711</v>
      </c>
      <c r="K15" t="s">
        <v>138</v>
      </c>
      <c r="L15" t="str">
        <f t="shared" si="0"/>
        <v>000035762</v>
      </c>
    </row>
    <row r="16" spans="1:12">
      <c r="A16" t="s">
        <v>712</v>
      </c>
      <c r="B16" t="s">
        <v>190</v>
      </c>
      <c r="C16" t="s">
        <v>713</v>
      </c>
      <c r="D16" t="s">
        <v>714</v>
      </c>
      <c r="L16">
        <f t="shared" si="0"/>
        <v>0</v>
      </c>
    </row>
    <row r="17" spans="1:12">
      <c r="A17" t="s">
        <v>712</v>
      </c>
      <c r="B17" t="s">
        <v>157</v>
      </c>
      <c r="C17" t="s">
        <v>715</v>
      </c>
      <c r="D17" t="s">
        <v>716</v>
      </c>
      <c r="L17">
        <f t="shared" si="0"/>
        <v>0</v>
      </c>
    </row>
    <row r="18" spans="1:12">
      <c r="A18" t="s">
        <v>712</v>
      </c>
      <c r="B18" t="s">
        <v>184</v>
      </c>
      <c r="C18" t="s">
        <v>717</v>
      </c>
      <c r="D18" t="s">
        <v>718</v>
      </c>
      <c r="F18" t="s">
        <v>72</v>
      </c>
      <c r="L18">
        <f t="shared" si="0"/>
        <v>0</v>
      </c>
    </row>
    <row r="19" spans="1:12">
      <c r="A19" t="s">
        <v>712</v>
      </c>
      <c r="B19" t="s">
        <v>161</v>
      </c>
      <c r="C19" t="s">
        <v>719</v>
      </c>
      <c r="D19" t="s">
        <v>720</v>
      </c>
      <c r="L19">
        <f t="shared" si="0"/>
        <v>0</v>
      </c>
    </row>
    <row r="20" spans="1:12">
      <c r="A20" t="s">
        <v>712</v>
      </c>
      <c r="B20" t="s">
        <v>169</v>
      </c>
      <c r="C20" t="s">
        <v>721</v>
      </c>
      <c r="D20" t="s">
        <v>722</v>
      </c>
      <c r="L20">
        <f t="shared" si="0"/>
        <v>0</v>
      </c>
    </row>
    <row r="21" spans="1:12">
      <c r="A21" t="s">
        <v>712</v>
      </c>
      <c r="B21" t="s">
        <v>172</v>
      </c>
      <c r="C21" t="s">
        <v>723</v>
      </c>
      <c r="D21" t="s">
        <v>724</v>
      </c>
      <c r="L21">
        <f t="shared" si="0"/>
        <v>0</v>
      </c>
    </row>
    <row r="22" spans="1:12">
      <c r="A22" t="s">
        <v>712</v>
      </c>
      <c r="B22" t="s">
        <v>175</v>
      </c>
      <c r="C22" t="s">
        <v>725</v>
      </c>
      <c r="D22" t="s">
        <v>726</v>
      </c>
      <c r="L22">
        <f t="shared" si="0"/>
        <v>0</v>
      </c>
    </row>
    <row r="23" spans="1:12">
      <c r="A23" t="s">
        <v>712</v>
      </c>
      <c r="B23" t="s">
        <v>181</v>
      </c>
      <c r="C23" t="s">
        <v>727</v>
      </c>
      <c r="D23" t="s">
        <v>728</v>
      </c>
      <c r="L23">
        <f t="shared" si="0"/>
        <v>0</v>
      </c>
    </row>
    <row r="24" spans="1:12">
      <c r="A24" t="s">
        <v>712</v>
      </c>
      <c r="B24" t="s">
        <v>178</v>
      </c>
      <c r="C24" t="s">
        <v>729</v>
      </c>
      <c r="D24" t="s">
        <v>730</v>
      </c>
      <c r="L24">
        <f t="shared" si="0"/>
        <v>0</v>
      </c>
    </row>
    <row r="25" spans="1:12">
      <c r="A25" t="s">
        <v>712</v>
      </c>
      <c r="B25" t="s">
        <v>187</v>
      </c>
      <c r="C25" t="s">
        <v>731</v>
      </c>
      <c r="D25" t="s">
        <v>732</v>
      </c>
      <c r="L25">
        <f t="shared" si="0"/>
        <v>0</v>
      </c>
    </row>
    <row r="26" spans="1:12">
      <c r="A26" t="s">
        <v>712</v>
      </c>
      <c r="B26" t="s">
        <v>153</v>
      </c>
      <c r="C26" t="s">
        <v>733</v>
      </c>
      <c r="D26" t="s">
        <v>734</v>
      </c>
      <c r="L26">
        <f t="shared" si="0"/>
        <v>0</v>
      </c>
    </row>
    <row r="27" spans="1:12">
      <c r="A27" t="s">
        <v>712</v>
      </c>
      <c r="B27" t="s">
        <v>193</v>
      </c>
      <c r="C27" t="s">
        <v>735</v>
      </c>
      <c r="D27" t="s">
        <v>736</v>
      </c>
      <c r="L27">
        <f t="shared" si="0"/>
        <v>0</v>
      </c>
    </row>
    <row r="28" spans="1:12">
      <c r="A28" t="s">
        <v>712</v>
      </c>
      <c r="B28" t="s">
        <v>196</v>
      </c>
      <c r="C28" t="s">
        <v>737</v>
      </c>
      <c r="D28" t="s">
        <v>738</v>
      </c>
      <c r="L28">
        <f t="shared" si="0"/>
        <v>0</v>
      </c>
    </row>
    <row r="29" spans="1:12">
      <c r="A29" t="s">
        <v>712</v>
      </c>
      <c r="B29" t="s">
        <v>148</v>
      </c>
      <c r="C29" t="s">
        <v>710</v>
      </c>
      <c r="D29" t="s">
        <v>711</v>
      </c>
      <c r="L29">
        <f t="shared" si="0"/>
        <v>0</v>
      </c>
    </row>
    <row r="30" spans="1:12">
      <c r="A30" t="s">
        <v>712</v>
      </c>
      <c r="B30" t="s">
        <v>165</v>
      </c>
      <c r="C30" t="s">
        <v>739</v>
      </c>
      <c r="D30" t="s">
        <v>740</v>
      </c>
      <c r="L30">
        <f t="shared" si="0"/>
        <v>0</v>
      </c>
    </row>
    <row r="31" spans="1:12">
      <c r="A31" t="s">
        <v>741</v>
      </c>
      <c r="B31" t="s">
        <v>201</v>
      </c>
      <c r="C31" t="s">
        <v>742</v>
      </c>
      <c r="D31" t="s">
        <v>743</v>
      </c>
      <c r="L31">
        <f t="shared" si="0"/>
        <v>0</v>
      </c>
    </row>
    <row r="32" spans="1:12">
      <c r="A32" t="s">
        <v>741</v>
      </c>
      <c r="B32" t="s">
        <v>204</v>
      </c>
      <c r="C32" t="s">
        <v>744</v>
      </c>
      <c r="D32" t="s">
        <v>745</v>
      </c>
      <c r="L32">
        <f t="shared" si="0"/>
        <v>0</v>
      </c>
    </row>
    <row r="33" spans="1:12">
      <c r="A33" t="s">
        <v>741</v>
      </c>
      <c r="B33" t="s">
        <v>207</v>
      </c>
      <c r="C33" t="s">
        <v>746</v>
      </c>
      <c r="D33" t="s">
        <v>747</v>
      </c>
      <c r="L33">
        <f t="shared" si="0"/>
        <v>0</v>
      </c>
    </row>
    <row r="34" spans="1:12">
      <c r="A34" t="s">
        <v>741</v>
      </c>
      <c r="B34" t="s">
        <v>210</v>
      </c>
      <c r="C34" t="s">
        <v>748</v>
      </c>
      <c r="D34" t="s">
        <v>749</v>
      </c>
      <c r="L34">
        <f t="shared" ref="L34:L65" si="1">_xlfn.XLOOKUP(K34,B:B,C:C, "")</f>
        <v>0</v>
      </c>
    </row>
    <row r="35" spans="1:12">
      <c r="A35" t="s">
        <v>741</v>
      </c>
      <c r="B35" t="s">
        <v>213</v>
      </c>
      <c r="C35" t="s">
        <v>750</v>
      </c>
      <c r="D35" t="s">
        <v>751</v>
      </c>
      <c r="L35">
        <f t="shared" si="1"/>
        <v>0</v>
      </c>
    </row>
    <row r="36" spans="1:12">
      <c r="A36" t="s">
        <v>741</v>
      </c>
      <c r="B36" t="s">
        <v>265</v>
      </c>
      <c r="C36" t="s">
        <v>752</v>
      </c>
      <c r="D36" t="s">
        <v>753</v>
      </c>
      <c r="L36">
        <f t="shared" si="1"/>
        <v>0</v>
      </c>
    </row>
    <row r="37" spans="1:12">
      <c r="A37" t="s">
        <v>741</v>
      </c>
      <c r="B37" t="s">
        <v>184</v>
      </c>
      <c r="C37" t="s">
        <v>717</v>
      </c>
      <c r="D37" t="s">
        <v>718</v>
      </c>
      <c r="F37" t="s">
        <v>72</v>
      </c>
      <c r="L37">
        <f t="shared" si="1"/>
        <v>0</v>
      </c>
    </row>
    <row r="38" spans="1:12">
      <c r="A38" t="s">
        <v>741</v>
      </c>
      <c r="B38" t="s">
        <v>232</v>
      </c>
      <c r="C38" t="s">
        <v>754</v>
      </c>
      <c r="D38" t="s">
        <v>755</v>
      </c>
      <c r="L38">
        <f t="shared" si="1"/>
        <v>0</v>
      </c>
    </row>
    <row r="39" spans="1:12">
      <c r="A39" t="s">
        <v>741</v>
      </c>
      <c r="B39" t="s">
        <v>227</v>
      </c>
      <c r="C39" t="s">
        <v>756</v>
      </c>
      <c r="D39" t="s">
        <v>757</v>
      </c>
      <c r="L39">
        <f t="shared" si="1"/>
        <v>0</v>
      </c>
    </row>
    <row r="40" spans="1:12">
      <c r="A40" t="s">
        <v>741</v>
      </c>
      <c r="B40" t="s">
        <v>216</v>
      </c>
      <c r="C40" t="s">
        <v>758</v>
      </c>
      <c r="D40" t="s">
        <v>759</v>
      </c>
      <c r="L40">
        <f t="shared" si="1"/>
        <v>0</v>
      </c>
    </row>
    <row r="41" spans="1:12">
      <c r="A41" t="s">
        <v>741</v>
      </c>
      <c r="B41" t="s">
        <v>161</v>
      </c>
      <c r="C41" t="s">
        <v>719</v>
      </c>
      <c r="D41" t="s">
        <v>720</v>
      </c>
      <c r="L41">
        <f t="shared" si="1"/>
        <v>0</v>
      </c>
    </row>
    <row r="42" spans="1:12">
      <c r="A42" t="s">
        <v>741</v>
      </c>
      <c r="B42" t="s">
        <v>169</v>
      </c>
      <c r="C42" t="s">
        <v>721</v>
      </c>
      <c r="D42" t="s">
        <v>722</v>
      </c>
      <c r="L42">
        <f t="shared" si="1"/>
        <v>0</v>
      </c>
    </row>
    <row r="43" spans="1:12">
      <c r="A43" t="s">
        <v>741</v>
      </c>
      <c r="B43" t="s">
        <v>235</v>
      </c>
      <c r="C43" t="s">
        <v>760</v>
      </c>
      <c r="D43" t="s">
        <v>761</v>
      </c>
      <c r="L43">
        <f t="shared" si="1"/>
        <v>0</v>
      </c>
    </row>
    <row r="44" spans="1:12">
      <c r="A44" t="s">
        <v>741</v>
      </c>
      <c r="B44" t="s">
        <v>221</v>
      </c>
      <c r="C44" t="s">
        <v>762</v>
      </c>
      <c r="D44" t="s">
        <v>763</v>
      </c>
      <c r="L44">
        <f t="shared" si="1"/>
        <v>0</v>
      </c>
    </row>
    <row r="45" spans="1:12">
      <c r="A45" t="s">
        <v>741</v>
      </c>
      <c r="B45" t="s">
        <v>224</v>
      </c>
      <c r="C45" t="s">
        <v>764</v>
      </c>
      <c r="D45" t="s">
        <v>765</v>
      </c>
      <c r="L45">
        <f t="shared" si="1"/>
        <v>0</v>
      </c>
    </row>
    <row r="46" spans="1:12">
      <c r="A46" t="s">
        <v>741</v>
      </c>
      <c r="B46" t="s">
        <v>181</v>
      </c>
      <c r="C46" t="s">
        <v>727</v>
      </c>
      <c r="D46" t="s">
        <v>728</v>
      </c>
      <c r="L46">
        <f t="shared" si="1"/>
        <v>0</v>
      </c>
    </row>
    <row r="47" spans="1:12">
      <c r="A47" t="s">
        <v>741</v>
      </c>
      <c r="B47" t="s">
        <v>138</v>
      </c>
      <c r="C47" t="s">
        <v>700</v>
      </c>
      <c r="D47" t="s">
        <v>701</v>
      </c>
      <c r="L47">
        <f t="shared" si="1"/>
        <v>0</v>
      </c>
    </row>
    <row r="48" spans="1:12">
      <c r="A48" t="s">
        <v>741</v>
      </c>
      <c r="B48" t="s">
        <v>238</v>
      </c>
      <c r="C48" t="s">
        <v>766</v>
      </c>
      <c r="D48" t="s">
        <v>767</v>
      </c>
      <c r="L48">
        <f t="shared" si="1"/>
        <v>0</v>
      </c>
    </row>
    <row r="49" spans="1:12">
      <c r="A49" t="s">
        <v>741</v>
      </c>
      <c r="B49" t="s">
        <v>251</v>
      </c>
      <c r="C49" t="s">
        <v>768</v>
      </c>
      <c r="D49" t="s">
        <v>769</v>
      </c>
      <c r="L49">
        <f t="shared" si="1"/>
        <v>0</v>
      </c>
    </row>
    <row r="50" spans="1:12">
      <c r="A50" t="s">
        <v>741</v>
      </c>
      <c r="B50" t="s">
        <v>241</v>
      </c>
      <c r="C50" t="s">
        <v>770</v>
      </c>
      <c r="D50" t="s">
        <v>771</v>
      </c>
      <c r="L50">
        <f t="shared" si="1"/>
        <v>0</v>
      </c>
    </row>
    <row r="51" spans="1:12">
      <c r="A51" t="s">
        <v>741</v>
      </c>
      <c r="B51" t="s">
        <v>244</v>
      </c>
      <c r="C51" t="s">
        <v>772</v>
      </c>
      <c r="D51" t="s">
        <v>773</v>
      </c>
      <c r="L51">
        <f t="shared" si="1"/>
        <v>0</v>
      </c>
    </row>
    <row r="52" spans="1:12">
      <c r="A52" t="s">
        <v>741</v>
      </c>
      <c r="B52" t="s">
        <v>254</v>
      </c>
      <c r="C52" t="s">
        <v>774</v>
      </c>
      <c r="D52" t="s">
        <v>775</v>
      </c>
      <c r="L52">
        <f t="shared" si="1"/>
        <v>0</v>
      </c>
    </row>
    <row r="53" spans="1:12">
      <c r="A53" t="s">
        <v>741</v>
      </c>
      <c r="B53" t="s">
        <v>257</v>
      </c>
      <c r="C53" t="s">
        <v>776</v>
      </c>
      <c r="D53" t="s">
        <v>777</v>
      </c>
      <c r="L53">
        <f t="shared" si="1"/>
        <v>0</v>
      </c>
    </row>
    <row r="54" spans="1:12">
      <c r="A54" t="s">
        <v>741</v>
      </c>
      <c r="B54" t="s">
        <v>143</v>
      </c>
      <c r="C54" t="s">
        <v>708</v>
      </c>
      <c r="D54" t="s">
        <v>709</v>
      </c>
      <c r="L54">
        <f t="shared" si="1"/>
        <v>0</v>
      </c>
    </row>
    <row r="55" spans="1:12">
      <c r="A55" t="s">
        <v>741</v>
      </c>
      <c r="B55" t="s">
        <v>270</v>
      </c>
      <c r="C55" t="s">
        <v>778</v>
      </c>
      <c r="D55" t="s">
        <v>779</v>
      </c>
      <c r="L55">
        <f t="shared" si="1"/>
        <v>0</v>
      </c>
    </row>
    <row r="56" spans="1:12">
      <c r="A56" t="s">
        <v>741</v>
      </c>
      <c r="B56" t="s">
        <v>260</v>
      </c>
      <c r="C56" t="s">
        <v>780</v>
      </c>
      <c r="D56" t="s">
        <v>781</v>
      </c>
      <c r="L56">
        <f t="shared" si="1"/>
        <v>0</v>
      </c>
    </row>
    <row r="57" spans="1:12">
      <c r="A57" t="s">
        <v>741</v>
      </c>
      <c r="B57" t="s">
        <v>273</v>
      </c>
      <c r="C57" t="s">
        <v>782</v>
      </c>
      <c r="D57" t="s">
        <v>783</v>
      </c>
      <c r="L57">
        <f t="shared" si="1"/>
        <v>0</v>
      </c>
    </row>
    <row r="58" spans="1:12">
      <c r="A58" t="s">
        <v>784</v>
      </c>
      <c r="B58" t="s">
        <v>204</v>
      </c>
      <c r="C58" t="s">
        <v>744</v>
      </c>
      <c r="D58" t="s">
        <v>745</v>
      </c>
      <c r="L58">
        <f t="shared" si="1"/>
        <v>0</v>
      </c>
    </row>
    <row r="59" spans="1:12">
      <c r="A59" t="s">
        <v>784</v>
      </c>
      <c r="B59" t="s">
        <v>213</v>
      </c>
      <c r="C59" t="s">
        <v>750</v>
      </c>
      <c r="D59" t="s">
        <v>751</v>
      </c>
      <c r="L59">
        <f t="shared" si="1"/>
        <v>0</v>
      </c>
    </row>
    <row r="60" spans="1:12">
      <c r="A60" t="s">
        <v>784</v>
      </c>
      <c r="B60" t="s">
        <v>169</v>
      </c>
      <c r="C60" t="s">
        <v>721</v>
      </c>
      <c r="D60" t="s">
        <v>722</v>
      </c>
      <c r="L60">
        <f t="shared" si="1"/>
        <v>0</v>
      </c>
    </row>
    <row r="61" spans="1:12">
      <c r="A61" t="s">
        <v>784</v>
      </c>
      <c r="B61" t="s">
        <v>221</v>
      </c>
      <c r="C61" t="s">
        <v>762</v>
      </c>
      <c r="D61" t="s">
        <v>763</v>
      </c>
      <c r="L61">
        <f t="shared" si="1"/>
        <v>0</v>
      </c>
    </row>
    <row r="62" spans="1:12">
      <c r="A62" t="s">
        <v>784</v>
      </c>
      <c r="B62" t="s">
        <v>254</v>
      </c>
      <c r="C62" t="s">
        <v>774</v>
      </c>
      <c r="D62" t="s">
        <v>775</v>
      </c>
      <c r="L62">
        <f t="shared" si="1"/>
        <v>0</v>
      </c>
    </row>
    <row r="63" spans="1:12">
      <c r="A63" t="s">
        <v>784</v>
      </c>
      <c r="B63" t="s">
        <v>270</v>
      </c>
      <c r="C63" t="s">
        <v>778</v>
      </c>
      <c r="D63" t="s">
        <v>779</v>
      </c>
      <c r="L63">
        <f t="shared" si="1"/>
        <v>0</v>
      </c>
    </row>
    <row r="64" spans="1:12">
      <c r="A64" t="s">
        <v>784</v>
      </c>
      <c r="B64" t="s">
        <v>260</v>
      </c>
      <c r="C64" t="s">
        <v>780</v>
      </c>
      <c r="D64" t="s">
        <v>781</v>
      </c>
      <c r="L64">
        <f t="shared" si="1"/>
        <v>0</v>
      </c>
    </row>
    <row r="65" spans="1:12">
      <c r="A65" t="s">
        <v>785</v>
      </c>
      <c r="B65" t="s">
        <v>287</v>
      </c>
      <c r="C65" t="s">
        <v>786</v>
      </c>
      <c r="D65" t="s">
        <v>787</v>
      </c>
      <c r="K65" t="s">
        <v>295</v>
      </c>
      <c r="L65" t="str">
        <f t="shared" si="1"/>
        <v>000036676</v>
      </c>
    </row>
    <row r="66" spans="1:12">
      <c r="A66" t="s">
        <v>785</v>
      </c>
      <c r="B66" t="s">
        <v>293</v>
      </c>
      <c r="C66" t="s">
        <v>788</v>
      </c>
      <c r="D66" t="s">
        <v>789</v>
      </c>
      <c r="K66" t="s">
        <v>295</v>
      </c>
      <c r="L66" t="str">
        <f t="shared" ref="L66:L97" si="2">_xlfn.XLOOKUP(K66,B:B,C:C, "")</f>
        <v>000036676</v>
      </c>
    </row>
    <row r="67" spans="1:12">
      <c r="A67" t="s">
        <v>785</v>
      </c>
      <c r="B67" t="s">
        <v>295</v>
      </c>
      <c r="C67" t="s">
        <v>790</v>
      </c>
      <c r="D67" t="s">
        <v>791</v>
      </c>
      <c r="K67" t="s">
        <v>295</v>
      </c>
      <c r="L67" t="str">
        <f t="shared" si="2"/>
        <v>000036676</v>
      </c>
    </row>
    <row r="68" spans="1:12">
      <c r="A68" t="s">
        <v>785</v>
      </c>
      <c r="B68" t="s">
        <v>299</v>
      </c>
      <c r="C68" t="s">
        <v>792</v>
      </c>
      <c r="D68" t="s">
        <v>793</v>
      </c>
      <c r="K68" t="s">
        <v>295</v>
      </c>
      <c r="L68" t="str">
        <f t="shared" si="2"/>
        <v>000036676</v>
      </c>
    </row>
    <row r="69" spans="1:12">
      <c r="A69" t="s">
        <v>785</v>
      </c>
      <c r="B69" t="s">
        <v>302</v>
      </c>
      <c r="C69" t="s">
        <v>794</v>
      </c>
      <c r="D69" t="s">
        <v>795</v>
      </c>
      <c r="K69" t="s">
        <v>295</v>
      </c>
      <c r="L69" t="str">
        <f t="shared" si="2"/>
        <v>000036676</v>
      </c>
    </row>
    <row r="70" spans="1:12">
      <c r="A70" t="s">
        <v>785</v>
      </c>
      <c r="B70" t="s">
        <v>291</v>
      </c>
      <c r="C70" t="s">
        <v>796</v>
      </c>
      <c r="D70" t="s">
        <v>797</v>
      </c>
      <c r="K70" t="s">
        <v>295</v>
      </c>
      <c r="L70" t="str">
        <f t="shared" si="2"/>
        <v>000036676</v>
      </c>
    </row>
    <row r="71" spans="1:12">
      <c r="A71" t="s">
        <v>785</v>
      </c>
      <c r="B71" t="s">
        <v>305</v>
      </c>
      <c r="C71" t="s">
        <v>798</v>
      </c>
      <c r="D71" t="s">
        <v>799</v>
      </c>
      <c r="K71" t="s">
        <v>295</v>
      </c>
      <c r="L71" t="str">
        <f t="shared" si="2"/>
        <v>000036676</v>
      </c>
    </row>
    <row r="72" spans="1:12">
      <c r="A72" t="s">
        <v>785</v>
      </c>
      <c r="B72" t="s">
        <v>289</v>
      </c>
      <c r="C72" t="s">
        <v>800</v>
      </c>
      <c r="D72" t="s">
        <v>801</v>
      </c>
      <c r="K72" t="s">
        <v>295</v>
      </c>
      <c r="L72" t="str">
        <f t="shared" si="2"/>
        <v>000036676</v>
      </c>
    </row>
    <row r="73" spans="1:12">
      <c r="A73" t="s">
        <v>785</v>
      </c>
      <c r="B73" t="s">
        <v>307</v>
      </c>
      <c r="C73" t="s">
        <v>802</v>
      </c>
      <c r="D73" t="s">
        <v>803</v>
      </c>
      <c r="K73" t="s">
        <v>295</v>
      </c>
      <c r="L73" t="str">
        <f t="shared" si="2"/>
        <v>000036676</v>
      </c>
    </row>
    <row r="74" spans="1:12">
      <c r="A74" t="s">
        <v>785</v>
      </c>
      <c r="B74" t="s">
        <v>311</v>
      </c>
      <c r="C74" t="s">
        <v>804</v>
      </c>
      <c r="D74" t="s">
        <v>805</v>
      </c>
      <c r="K74" t="s">
        <v>295</v>
      </c>
      <c r="L74" t="str">
        <f t="shared" si="2"/>
        <v>000036676</v>
      </c>
    </row>
    <row r="75" spans="1:12">
      <c r="A75" t="s">
        <v>785</v>
      </c>
      <c r="B75" t="s">
        <v>313</v>
      </c>
      <c r="C75" t="s">
        <v>806</v>
      </c>
      <c r="D75" t="s">
        <v>807</v>
      </c>
      <c r="K75" t="s">
        <v>295</v>
      </c>
      <c r="L75" t="str">
        <f t="shared" si="2"/>
        <v>000036676</v>
      </c>
    </row>
    <row r="76" spans="1:12">
      <c r="A76" t="s">
        <v>785</v>
      </c>
      <c r="B76" t="s">
        <v>315</v>
      </c>
      <c r="C76" t="s">
        <v>808</v>
      </c>
      <c r="D76" t="s">
        <v>809</v>
      </c>
      <c r="K76" t="s">
        <v>295</v>
      </c>
      <c r="L76" t="str">
        <f t="shared" si="2"/>
        <v>000036676</v>
      </c>
    </row>
    <row r="77" spans="1:12">
      <c r="A77" t="s">
        <v>785</v>
      </c>
      <c r="B77" t="s">
        <v>317</v>
      </c>
      <c r="C77" t="s">
        <v>810</v>
      </c>
      <c r="D77" t="s">
        <v>811</v>
      </c>
      <c r="K77" t="s">
        <v>295</v>
      </c>
      <c r="L77" t="str">
        <f t="shared" si="2"/>
        <v>000036676</v>
      </c>
    </row>
    <row r="78" spans="1:12">
      <c r="A78" t="s">
        <v>785</v>
      </c>
      <c r="B78" t="s">
        <v>319</v>
      </c>
      <c r="C78" t="s">
        <v>812</v>
      </c>
      <c r="D78" t="s">
        <v>813</v>
      </c>
      <c r="K78" t="s">
        <v>295</v>
      </c>
      <c r="L78" t="str">
        <f t="shared" si="2"/>
        <v>000036676</v>
      </c>
    </row>
    <row r="79" spans="1:12">
      <c r="A79" t="s">
        <v>785</v>
      </c>
      <c r="B79" t="s">
        <v>309</v>
      </c>
      <c r="C79" t="s">
        <v>814</v>
      </c>
      <c r="D79" t="s">
        <v>815</v>
      </c>
      <c r="K79" t="s">
        <v>295</v>
      </c>
      <c r="L79" t="str">
        <f t="shared" si="2"/>
        <v>000036676</v>
      </c>
    </row>
    <row r="80" spans="1:12">
      <c r="A80" t="s">
        <v>785</v>
      </c>
      <c r="B80" t="s">
        <v>323</v>
      </c>
      <c r="C80" t="s">
        <v>816</v>
      </c>
      <c r="D80" t="s">
        <v>817</v>
      </c>
      <c r="K80" t="s">
        <v>295</v>
      </c>
      <c r="L80" t="str">
        <f t="shared" si="2"/>
        <v>000036676</v>
      </c>
    </row>
    <row r="81" spans="1:12">
      <c r="A81" t="s">
        <v>785</v>
      </c>
      <c r="B81" t="s">
        <v>117</v>
      </c>
      <c r="C81" t="s">
        <v>706</v>
      </c>
      <c r="D81" t="s">
        <v>707</v>
      </c>
      <c r="K81" t="s">
        <v>295</v>
      </c>
      <c r="L81" t="str">
        <f t="shared" si="2"/>
        <v>000036676</v>
      </c>
    </row>
    <row r="82" spans="1:12">
      <c r="A82" t="s">
        <v>785</v>
      </c>
      <c r="B82" t="s">
        <v>325</v>
      </c>
      <c r="C82" t="s">
        <v>818</v>
      </c>
      <c r="D82" t="s">
        <v>819</v>
      </c>
      <c r="K82" t="s">
        <v>295</v>
      </c>
      <c r="L82" t="str">
        <f t="shared" si="2"/>
        <v>000036676</v>
      </c>
    </row>
    <row r="83" spans="1:12">
      <c r="A83" t="s">
        <v>785</v>
      </c>
      <c r="B83" t="s">
        <v>327</v>
      </c>
      <c r="C83" t="s">
        <v>820</v>
      </c>
      <c r="D83" t="s">
        <v>821</v>
      </c>
      <c r="K83" t="s">
        <v>295</v>
      </c>
      <c r="L83" t="str">
        <f t="shared" si="2"/>
        <v>000036676</v>
      </c>
    </row>
    <row r="84" spans="1:12">
      <c r="A84" t="s">
        <v>785</v>
      </c>
      <c r="B84" t="s">
        <v>321</v>
      </c>
      <c r="C84" t="s">
        <v>822</v>
      </c>
      <c r="D84" t="s">
        <v>823</v>
      </c>
      <c r="K84" t="s">
        <v>295</v>
      </c>
      <c r="L84" t="str">
        <f t="shared" si="2"/>
        <v>000036676</v>
      </c>
    </row>
    <row r="85" spans="1:12">
      <c r="A85" t="s">
        <v>785</v>
      </c>
      <c r="B85" t="s">
        <v>297</v>
      </c>
      <c r="C85" t="s">
        <v>824</v>
      </c>
      <c r="D85" t="s">
        <v>825</v>
      </c>
      <c r="K85" t="s">
        <v>295</v>
      </c>
      <c r="L85" t="str">
        <f t="shared" si="2"/>
        <v>000036676</v>
      </c>
    </row>
    <row r="86" spans="1:12">
      <c r="A86" t="s">
        <v>826</v>
      </c>
      <c r="B86" t="s">
        <v>331</v>
      </c>
      <c r="C86" t="s">
        <v>827</v>
      </c>
      <c r="D86" t="s">
        <v>828</v>
      </c>
      <c r="K86" t="s">
        <v>359</v>
      </c>
      <c r="L86" t="str">
        <f t="shared" si="2"/>
        <v>000052867</v>
      </c>
    </row>
    <row r="87" spans="1:12">
      <c r="A87" t="s">
        <v>826</v>
      </c>
      <c r="B87" t="s">
        <v>333</v>
      </c>
      <c r="C87" t="s">
        <v>829</v>
      </c>
      <c r="D87" t="s">
        <v>830</v>
      </c>
      <c r="K87" t="s">
        <v>359</v>
      </c>
      <c r="L87" t="str">
        <f t="shared" si="2"/>
        <v>000052867</v>
      </c>
    </row>
    <row r="88" spans="1:12">
      <c r="A88" t="s">
        <v>826</v>
      </c>
      <c r="B88" t="s">
        <v>366</v>
      </c>
      <c r="C88" t="s">
        <v>831</v>
      </c>
      <c r="D88" t="s">
        <v>832</v>
      </c>
      <c r="K88" t="s">
        <v>359</v>
      </c>
      <c r="L88" t="str">
        <f t="shared" si="2"/>
        <v>000052867</v>
      </c>
    </row>
    <row r="89" spans="1:12">
      <c r="A89" t="s">
        <v>826</v>
      </c>
      <c r="B89" t="s">
        <v>64</v>
      </c>
      <c r="C89" t="s">
        <v>833</v>
      </c>
      <c r="D89" t="s">
        <v>834</v>
      </c>
      <c r="K89" t="s">
        <v>359</v>
      </c>
      <c r="L89" t="str">
        <f t="shared" si="2"/>
        <v>000052867</v>
      </c>
    </row>
    <row r="90" spans="1:12">
      <c r="A90" t="s">
        <v>826</v>
      </c>
      <c r="B90" t="s">
        <v>340</v>
      </c>
      <c r="C90" t="s">
        <v>835</v>
      </c>
      <c r="D90" t="s">
        <v>836</v>
      </c>
      <c r="K90" t="s">
        <v>359</v>
      </c>
      <c r="L90" t="str">
        <f t="shared" si="2"/>
        <v>000052867</v>
      </c>
    </row>
    <row r="91" spans="1:12">
      <c r="A91" t="s">
        <v>826</v>
      </c>
      <c r="B91" t="s">
        <v>342</v>
      </c>
      <c r="C91" t="s">
        <v>837</v>
      </c>
      <c r="D91" t="s">
        <v>838</v>
      </c>
      <c r="K91" t="s">
        <v>359</v>
      </c>
      <c r="L91" t="str">
        <f t="shared" si="2"/>
        <v>000052867</v>
      </c>
    </row>
    <row r="92" spans="1:12">
      <c r="A92" t="s">
        <v>826</v>
      </c>
      <c r="B92" t="s">
        <v>335</v>
      </c>
      <c r="C92" t="s">
        <v>839</v>
      </c>
      <c r="D92" t="s">
        <v>840</v>
      </c>
      <c r="K92" t="s">
        <v>359</v>
      </c>
      <c r="L92" t="str">
        <f t="shared" si="2"/>
        <v>000052867</v>
      </c>
    </row>
    <row r="93" spans="1:12">
      <c r="A93" t="s">
        <v>826</v>
      </c>
      <c r="B93" t="s">
        <v>112</v>
      </c>
      <c r="C93" t="s">
        <v>841</v>
      </c>
      <c r="D93" t="s">
        <v>842</v>
      </c>
      <c r="F93" t="s">
        <v>72</v>
      </c>
      <c r="K93" t="s">
        <v>359</v>
      </c>
      <c r="L93" t="str">
        <f t="shared" si="2"/>
        <v>000052867</v>
      </c>
    </row>
    <row r="94" spans="1:12">
      <c r="A94" t="s">
        <v>826</v>
      </c>
      <c r="B94" t="s">
        <v>49</v>
      </c>
      <c r="C94" t="s">
        <v>843</v>
      </c>
      <c r="D94" t="s">
        <v>844</v>
      </c>
      <c r="E94" t="s">
        <v>845</v>
      </c>
      <c r="F94" t="s">
        <v>72</v>
      </c>
      <c r="K94" t="s">
        <v>359</v>
      </c>
      <c r="L94" t="str">
        <f t="shared" si="2"/>
        <v>000052867</v>
      </c>
    </row>
    <row r="95" spans="1:12">
      <c r="A95" t="s">
        <v>826</v>
      </c>
      <c r="B95" t="s">
        <v>337</v>
      </c>
      <c r="C95" t="s">
        <v>846</v>
      </c>
      <c r="D95" t="s">
        <v>847</v>
      </c>
      <c r="K95" t="s">
        <v>359</v>
      </c>
      <c r="L95" t="str">
        <f t="shared" si="2"/>
        <v>000052867</v>
      </c>
    </row>
    <row r="96" spans="1:12">
      <c r="A96" t="s">
        <v>826</v>
      </c>
      <c r="B96" t="s">
        <v>359</v>
      </c>
      <c r="C96" t="s">
        <v>848</v>
      </c>
      <c r="D96" t="s">
        <v>849</v>
      </c>
      <c r="K96" t="s">
        <v>359</v>
      </c>
      <c r="L96" t="str">
        <f t="shared" si="2"/>
        <v>000052867</v>
      </c>
    </row>
    <row r="97" spans="1:12">
      <c r="A97" t="s">
        <v>826</v>
      </c>
      <c r="B97" t="s">
        <v>346</v>
      </c>
      <c r="C97" t="s">
        <v>850</v>
      </c>
      <c r="D97" t="s">
        <v>851</v>
      </c>
      <c r="K97" t="s">
        <v>359</v>
      </c>
      <c r="L97" t="str">
        <f t="shared" si="2"/>
        <v>000052867</v>
      </c>
    </row>
    <row r="98" spans="1:12">
      <c r="A98" t="s">
        <v>826</v>
      </c>
      <c r="B98" t="s">
        <v>351</v>
      </c>
      <c r="C98" t="s">
        <v>852</v>
      </c>
      <c r="D98" t="s">
        <v>853</v>
      </c>
      <c r="K98" t="s">
        <v>359</v>
      </c>
      <c r="L98" t="str">
        <f t="shared" ref="L98:L129" si="3">_xlfn.XLOOKUP(K98,B:B,C:C, "")</f>
        <v>000052867</v>
      </c>
    </row>
    <row r="99" spans="1:12">
      <c r="A99" t="s">
        <v>826</v>
      </c>
      <c r="B99" t="s">
        <v>353</v>
      </c>
      <c r="C99" t="s">
        <v>854</v>
      </c>
      <c r="D99" t="s">
        <v>855</v>
      </c>
      <c r="K99" t="s">
        <v>359</v>
      </c>
      <c r="L99" t="str">
        <f t="shared" si="3"/>
        <v>000052867</v>
      </c>
    </row>
    <row r="100" spans="1:12">
      <c r="A100" t="s">
        <v>826</v>
      </c>
      <c r="B100" t="s">
        <v>355</v>
      </c>
      <c r="C100" t="s">
        <v>856</v>
      </c>
      <c r="D100" t="s">
        <v>857</v>
      </c>
      <c r="K100" t="s">
        <v>359</v>
      </c>
      <c r="L100" t="str">
        <f t="shared" si="3"/>
        <v>000052867</v>
      </c>
    </row>
    <row r="101" spans="1:12">
      <c r="A101" t="s">
        <v>826</v>
      </c>
      <c r="B101" t="s">
        <v>349</v>
      </c>
      <c r="C101" t="s">
        <v>858</v>
      </c>
      <c r="D101" t="s">
        <v>859</v>
      </c>
      <c r="K101" t="s">
        <v>359</v>
      </c>
      <c r="L101" t="str">
        <f t="shared" si="3"/>
        <v>000052867</v>
      </c>
    </row>
    <row r="102" spans="1:12">
      <c r="A102" t="s">
        <v>826</v>
      </c>
      <c r="B102" t="s">
        <v>496</v>
      </c>
      <c r="D102" s="3" t="s">
        <v>860</v>
      </c>
      <c r="K102" t="s">
        <v>359</v>
      </c>
      <c r="L102" t="str">
        <f t="shared" si="3"/>
        <v>000052867</v>
      </c>
    </row>
    <row r="103" spans="1:12">
      <c r="A103" t="s">
        <v>826</v>
      </c>
      <c r="B103" t="s">
        <v>357</v>
      </c>
      <c r="C103" t="s">
        <v>861</v>
      </c>
      <c r="D103" t="s">
        <v>862</v>
      </c>
      <c r="K103" t="s">
        <v>359</v>
      </c>
      <c r="L103" t="str">
        <f t="shared" si="3"/>
        <v>000052867</v>
      </c>
    </row>
    <row r="104" spans="1:12">
      <c r="A104" t="s">
        <v>826</v>
      </c>
      <c r="B104" t="s">
        <v>361</v>
      </c>
      <c r="C104" t="s">
        <v>863</v>
      </c>
      <c r="D104" t="s">
        <v>864</v>
      </c>
      <c r="K104" t="s">
        <v>359</v>
      </c>
      <c r="L104" t="str">
        <f t="shared" si="3"/>
        <v>000052867</v>
      </c>
    </row>
    <row r="105" spans="1:12">
      <c r="A105" t="s">
        <v>826</v>
      </c>
      <c r="B105" t="s">
        <v>323</v>
      </c>
      <c r="C105" t="s">
        <v>816</v>
      </c>
      <c r="D105" t="s">
        <v>817</v>
      </c>
      <c r="K105" t="s">
        <v>359</v>
      </c>
      <c r="L105" t="str">
        <f t="shared" si="3"/>
        <v>000052867</v>
      </c>
    </row>
    <row r="106" spans="1:12">
      <c r="A106" t="s">
        <v>826</v>
      </c>
      <c r="B106" t="s">
        <v>117</v>
      </c>
      <c r="C106" t="s">
        <v>706</v>
      </c>
      <c r="D106" t="s">
        <v>707</v>
      </c>
      <c r="K106" t="s">
        <v>359</v>
      </c>
      <c r="L106" t="str">
        <f t="shared" si="3"/>
        <v>000052867</v>
      </c>
    </row>
    <row r="107" spans="1:12">
      <c r="A107" t="s">
        <v>826</v>
      </c>
      <c r="B107" t="s">
        <v>329</v>
      </c>
      <c r="C107" t="s">
        <v>865</v>
      </c>
      <c r="D107" t="s">
        <v>866</v>
      </c>
      <c r="K107" t="s">
        <v>359</v>
      </c>
      <c r="L107" t="str">
        <f t="shared" si="3"/>
        <v>000052867</v>
      </c>
    </row>
    <row r="108" spans="1:12">
      <c r="A108" t="s">
        <v>826</v>
      </c>
      <c r="B108" t="s">
        <v>364</v>
      </c>
      <c r="C108" t="s">
        <v>867</v>
      </c>
      <c r="D108" t="s">
        <v>868</v>
      </c>
      <c r="K108" t="s">
        <v>359</v>
      </c>
      <c r="L108" t="str">
        <f t="shared" si="3"/>
        <v>000052867</v>
      </c>
    </row>
    <row r="109" spans="1:12">
      <c r="A109" t="s">
        <v>826</v>
      </c>
      <c r="B109" t="s">
        <v>368</v>
      </c>
      <c r="C109" t="s">
        <v>869</v>
      </c>
      <c r="D109" t="s">
        <v>870</v>
      </c>
      <c r="K109" t="s">
        <v>359</v>
      </c>
      <c r="L109" t="str">
        <f t="shared" si="3"/>
        <v>000052867</v>
      </c>
    </row>
    <row r="110" spans="1:12">
      <c r="A110" t="s">
        <v>871</v>
      </c>
      <c r="B110" t="s">
        <v>406</v>
      </c>
      <c r="C110" t="s">
        <v>872</v>
      </c>
      <c r="D110" t="s">
        <v>873</v>
      </c>
      <c r="L110">
        <f t="shared" si="3"/>
        <v>0</v>
      </c>
    </row>
    <row r="111" spans="1:12">
      <c r="A111" t="s">
        <v>871</v>
      </c>
      <c r="B111" t="s">
        <v>190</v>
      </c>
      <c r="C111" t="s">
        <v>713</v>
      </c>
      <c r="D111" t="s">
        <v>714</v>
      </c>
      <c r="L111">
        <f t="shared" si="3"/>
        <v>0</v>
      </c>
    </row>
    <row r="112" spans="1:12">
      <c r="A112" t="s">
        <v>871</v>
      </c>
      <c r="B112" t="s">
        <v>372</v>
      </c>
      <c r="C112" t="s">
        <v>874</v>
      </c>
      <c r="D112" t="s">
        <v>875</v>
      </c>
      <c r="L112">
        <f t="shared" si="3"/>
        <v>0</v>
      </c>
    </row>
    <row r="113" spans="1:12">
      <c r="A113" t="s">
        <v>871</v>
      </c>
      <c r="B113" t="s">
        <v>376</v>
      </c>
      <c r="C113" t="s">
        <v>876</v>
      </c>
      <c r="D113" t="s">
        <v>877</v>
      </c>
      <c r="L113">
        <f t="shared" si="3"/>
        <v>0</v>
      </c>
    </row>
    <row r="114" spans="1:12">
      <c r="A114" t="s">
        <v>871</v>
      </c>
      <c r="B114" t="s">
        <v>421</v>
      </c>
      <c r="C114" t="s">
        <v>878</v>
      </c>
      <c r="D114" t="s">
        <v>879</v>
      </c>
      <c r="L114">
        <f t="shared" si="3"/>
        <v>0</v>
      </c>
    </row>
    <row r="115" spans="1:12">
      <c r="A115" t="s">
        <v>871</v>
      </c>
      <c r="B115" t="s">
        <v>374</v>
      </c>
      <c r="C115" t="s">
        <v>880</v>
      </c>
      <c r="D115" t="s">
        <v>881</v>
      </c>
      <c r="L115">
        <f t="shared" si="3"/>
        <v>0</v>
      </c>
    </row>
    <row r="116" spans="1:12">
      <c r="A116" t="s">
        <v>871</v>
      </c>
      <c r="B116" t="s">
        <v>157</v>
      </c>
      <c r="C116" t="s">
        <v>715</v>
      </c>
      <c r="D116" t="s">
        <v>716</v>
      </c>
      <c r="L116">
        <f t="shared" si="3"/>
        <v>0</v>
      </c>
    </row>
    <row r="117" spans="1:12">
      <c r="A117" t="s">
        <v>871</v>
      </c>
      <c r="B117" t="s">
        <v>184</v>
      </c>
      <c r="C117" t="s">
        <v>717</v>
      </c>
      <c r="D117" t="s">
        <v>718</v>
      </c>
      <c r="F117" t="s">
        <v>72</v>
      </c>
      <c r="L117">
        <f t="shared" si="3"/>
        <v>0</v>
      </c>
    </row>
    <row r="118" spans="1:12">
      <c r="A118" t="s">
        <v>871</v>
      </c>
      <c r="B118" t="s">
        <v>232</v>
      </c>
      <c r="C118" t="s">
        <v>754</v>
      </c>
      <c r="D118" t="s">
        <v>755</v>
      </c>
      <c r="L118">
        <f t="shared" si="3"/>
        <v>0</v>
      </c>
    </row>
    <row r="119" spans="1:12">
      <c r="A119" t="s">
        <v>871</v>
      </c>
      <c r="B119" t="s">
        <v>384</v>
      </c>
      <c r="C119" t="s">
        <v>882</v>
      </c>
      <c r="D119" t="s">
        <v>883</v>
      </c>
      <c r="L119">
        <f t="shared" si="3"/>
        <v>0</v>
      </c>
    </row>
    <row r="120" spans="1:12">
      <c r="A120" t="s">
        <v>871</v>
      </c>
      <c r="B120" t="s">
        <v>370</v>
      </c>
      <c r="C120" t="s">
        <v>884</v>
      </c>
      <c r="D120" t="s">
        <v>885</v>
      </c>
      <c r="L120">
        <f t="shared" si="3"/>
        <v>0</v>
      </c>
    </row>
    <row r="121" spans="1:12">
      <c r="A121" t="s">
        <v>871</v>
      </c>
      <c r="B121" t="s">
        <v>227</v>
      </c>
      <c r="C121" t="s">
        <v>756</v>
      </c>
      <c r="D121" t="s">
        <v>757</v>
      </c>
      <c r="L121">
        <f t="shared" si="3"/>
        <v>0</v>
      </c>
    </row>
    <row r="122" spans="1:12">
      <c r="A122" t="s">
        <v>871</v>
      </c>
      <c r="B122" t="s">
        <v>161</v>
      </c>
      <c r="C122" t="s">
        <v>719</v>
      </c>
      <c r="D122" t="s">
        <v>720</v>
      </c>
      <c r="L122">
        <f t="shared" si="3"/>
        <v>0</v>
      </c>
    </row>
    <row r="123" spans="1:12">
      <c r="A123" t="s">
        <v>871</v>
      </c>
      <c r="B123" t="s">
        <v>169</v>
      </c>
      <c r="C123" t="s">
        <v>721</v>
      </c>
      <c r="D123" t="s">
        <v>722</v>
      </c>
      <c r="L123">
        <f t="shared" si="3"/>
        <v>0</v>
      </c>
    </row>
    <row r="124" spans="1:12">
      <c r="A124" t="s">
        <v>871</v>
      </c>
      <c r="B124" t="s">
        <v>379</v>
      </c>
      <c r="C124" t="s">
        <v>886</v>
      </c>
      <c r="D124" t="s">
        <v>887</v>
      </c>
      <c r="L124">
        <f t="shared" si="3"/>
        <v>0</v>
      </c>
    </row>
    <row r="125" spans="1:12">
      <c r="A125" t="s">
        <v>871</v>
      </c>
      <c r="B125" t="s">
        <v>393</v>
      </c>
      <c r="C125" t="s">
        <v>888</v>
      </c>
      <c r="D125" t="s">
        <v>889</v>
      </c>
      <c r="L125">
        <f t="shared" si="3"/>
        <v>0</v>
      </c>
    </row>
    <row r="126" spans="1:12">
      <c r="A126" t="s">
        <v>871</v>
      </c>
      <c r="B126" t="s">
        <v>386</v>
      </c>
      <c r="C126" t="s">
        <v>890</v>
      </c>
      <c r="D126" t="s">
        <v>891</v>
      </c>
      <c r="L126">
        <f t="shared" si="3"/>
        <v>0</v>
      </c>
    </row>
    <row r="127" spans="1:12">
      <c r="A127" t="s">
        <v>871</v>
      </c>
      <c r="B127" t="s">
        <v>395</v>
      </c>
      <c r="C127" t="s">
        <v>892</v>
      </c>
      <c r="D127" t="s">
        <v>893</v>
      </c>
      <c r="L127">
        <f t="shared" si="3"/>
        <v>0</v>
      </c>
    </row>
    <row r="128" spans="1:12">
      <c r="A128" t="s">
        <v>871</v>
      </c>
      <c r="B128" t="s">
        <v>397</v>
      </c>
      <c r="C128" t="s">
        <v>894</v>
      </c>
      <c r="D128" t="s">
        <v>895</v>
      </c>
      <c r="L128">
        <f t="shared" si="3"/>
        <v>0</v>
      </c>
    </row>
    <row r="129" spans="1:12">
      <c r="A129" t="s">
        <v>871</v>
      </c>
      <c r="B129" t="s">
        <v>175</v>
      </c>
      <c r="C129" t="s">
        <v>725</v>
      </c>
      <c r="D129" t="s">
        <v>726</v>
      </c>
      <c r="L129">
        <f t="shared" si="3"/>
        <v>0</v>
      </c>
    </row>
    <row r="130" spans="1:12">
      <c r="A130" t="s">
        <v>871</v>
      </c>
      <c r="B130" t="s">
        <v>400</v>
      </c>
      <c r="C130" t="s">
        <v>896</v>
      </c>
      <c r="D130" t="s">
        <v>897</v>
      </c>
      <c r="L130">
        <f t="shared" ref="L130:L161" si="4">_xlfn.XLOOKUP(K130,B:B,C:C, "")</f>
        <v>0</v>
      </c>
    </row>
    <row r="131" spans="1:12">
      <c r="A131" t="s">
        <v>871</v>
      </c>
      <c r="B131" t="s">
        <v>355</v>
      </c>
      <c r="C131" t="s">
        <v>856</v>
      </c>
      <c r="D131" t="s">
        <v>857</v>
      </c>
      <c r="L131">
        <f t="shared" si="4"/>
        <v>0</v>
      </c>
    </row>
    <row r="132" spans="1:12">
      <c r="A132" t="s">
        <v>871</v>
      </c>
      <c r="B132" t="s">
        <v>181</v>
      </c>
      <c r="C132" t="s">
        <v>727</v>
      </c>
      <c r="D132" t="s">
        <v>728</v>
      </c>
      <c r="L132">
        <f t="shared" si="4"/>
        <v>0</v>
      </c>
    </row>
    <row r="133" spans="1:12">
      <c r="A133" t="s">
        <v>871</v>
      </c>
      <c r="B133" t="s">
        <v>238</v>
      </c>
      <c r="C133" t="s">
        <v>766</v>
      </c>
      <c r="D133" t="s">
        <v>767</v>
      </c>
      <c r="L133">
        <f t="shared" si="4"/>
        <v>0</v>
      </c>
    </row>
    <row r="134" spans="1:12">
      <c r="A134" t="s">
        <v>871</v>
      </c>
      <c r="B134" t="s">
        <v>404</v>
      </c>
      <c r="C134" t="s">
        <v>898</v>
      </c>
      <c r="D134" t="s">
        <v>899</v>
      </c>
      <c r="L134">
        <f t="shared" si="4"/>
        <v>0</v>
      </c>
    </row>
    <row r="135" spans="1:12">
      <c r="A135" t="s">
        <v>871</v>
      </c>
      <c r="B135" t="s">
        <v>408</v>
      </c>
      <c r="C135" t="s">
        <v>900</v>
      </c>
      <c r="D135" t="s">
        <v>901</v>
      </c>
      <c r="L135">
        <f t="shared" si="4"/>
        <v>0</v>
      </c>
    </row>
    <row r="136" spans="1:12">
      <c r="A136" t="s">
        <v>871</v>
      </c>
      <c r="B136" t="s">
        <v>178</v>
      </c>
      <c r="C136" t="s">
        <v>729</v>
      </c>
      <c r="D136" t="s">
        <v>730</v>
      </c>
      <c r="L136">
        <f t="shared" si="4"/>
        <v>0</v>
      </c>
    </row>
    <row r="137" spans="1:12">
      <c r="A137" t="s">
        <v>871</v>
      </c>
      <c r="B137" t="s">
        <v>411</v>
      </c>
      <c r="C137" t="s">
        <v>902</v>
      </c>
      <c r="D137" t="s">
        <v>903</v>
      </c>
      <c r="L137">
        <f t="shared" si="4"/>
        <v>0</v>
      </c>
    </row>
    <row r="138" spans="1:12">
      <c r="A138" t="s">
        <v>871</v>
      </c>
      <c r="B138" t="s">
        <v>388</v>
      </c>
      <c r="C138" t="s">
        <v>904</v>
      </c>
      <c r="D138" t="s">
        <v>905</v>
      </c>
      <c r="L138">
        <f t="shared" si="4"/>
        <v>0</v>
      </c>
    </row>
    <row r="139" spans="1:12">
      <c r="A139" t="s">
        <v>871</v>
      </c>
      <c r="B139" t="s">
        <v>187</v>
      </c>
      <c r="C139" t="s">
        <v>731</v>
      </c>
      <c r="D139" t="s">
        <v>732</v>
      </c>
      <c r="L139">
        <f t="shared" si="4"/>
        <v>0</v>
      </c>
    </row>
    <row r="140" spans="1:12">
      <c r="A140" t="s">
        <v>871</v>
      </c>
      <c r="B140" t="s">
        <v>416</v>
      </c>
      <c r="C140" t="s">
        <v>906</v>
      </c>
      <c r="D140" t="s">
        <v>907</v>
      </c>
      <c r="L140">
        <f t="shared" si="4"/>
        <v>0</v>
      </c>
    </row>
    <row r="141" spans="1:12">
      <c r="A141" t="s">
        <v>871</v>
      </c>
      <c r="B141" t="s">
        <v>153</v>
      </c>
      <c r="C141" t="s">
        <v>733</v>
      </c>
      <c r="D141" t="s">
        <v>734</v>
      </c>
      <c r="L141">
        <f t="shared" si="4"/>
        <v>0</v>
      </c>
    </row>
    <row r="142" spans="1:12">
      <c r="A142" t="s">
        <v>871</v>
      </c>
      <c r="B142" t="s">
        <v>327</v>
      </c>
      <c r="C142" t="s">
        <v>820</v>
      </c>
      <c r="D142" t="s">
        <v>821</v>
      </c>
      <c r="L142">
        <f t="shared" si="4"/>
        <v>0</v>
      </c>
    </row>
    <row r="143" spans="1:12">
      <c r="A143" t="s">
        <v>871</v>
      </c>
      <c r="B143" t="s">
        <v>418</v>
      </c>
      <c r="C143" t="s">
        <v>908</v>
      </c>
      <c r="D143" t="s">
        <v>909</v>
      </c>
      <c r="L143">
        <f t="shared" si="4"/>
        <v>0</v>
      </c>
    </row>
    <row r="144" spans="1:12">
      <c r="A144" t="s">
        <v>871</v>
      </c>
      <c r="B144" t="s">
        <v>423</v>
      </c>
      <c r="C144" t="s">
        <v>910</v>
      </c>
      <c r="D144" t="s">
        <v>911</v>
      </c>
      <c r="L144">
        <f t="shared" si="4"/>
        <v>0</v>
      </c>
    </row>
    <row r="145" spans="1:12">
      <c r="A145" t="s">
        <v>871</v>
      </c>
      <c r="B145" t="s">
        <v>193</v>
      </c>
      <c r="C145" t="s">
        <v>735</v>
      </c>
      <c r="D145" t="s">
        <v>736</v>
      </c>
      <c r="L145">
        <f t="shared" si="4"/>
        <v>0</v>
      </c>
    </row>
    <row r="146" spans="1:12">
      <c r="A146" t="s">
        <v>871</v>
      </c>
      <c r="B146" t="s">
        <v>426</v>
      </c>
      <c r="C146" t="s">
        <v>912</v>
      </c>
      <c r="D146" t="s">
        <v>913</v>
      </c>
      <c r="L146">
        <f t="shared" si="4"/>
        <v>0</v>
      </c>
    </row>
    <row r="147" spans="1:12">
      <c r="A147" t="s">
        <v>871</v>
      </c>
      <c r="B147" t="s">
        <v>429</v>
      </c>
      <c r="C147" t="s">
        <v>914</v>
      </c>
      <c r="D147" t="s">
        <v>915</v>
      </c>
      <c r="L147">
        <f t="shared" si="4"/>
        <v>0</v>
      </c>
    </row>
    <row r="148" spans="1:12">
      <c r="A148" t="s">
        <v>871</v>
      </c>
      <c r="B148" t="s">
        <v>196</v>
      </c>
      <c r="C148" t="s">
        <v>737</v>
      </c>
      <c r="D148" t="s">
        <v>738</v>
      </c>
      <c r="L148">
        <f t="shared" si="4"/>
        <v>0</v>
      </c>
    </row>
    <row r="149" spans="1:12">
      <c r="A149" t="s">
        <v>871</v>
      </c>
      <c r="B149" t="s">
        <v>148</v>
      </c>
      <c r="C149" t="s">
        <v>710</v>
      </c>
      <c r="D149" t="s">
        <v>711</v>
      </c>
      <c r="L149">
        <f t="shared" si="4"/>
        <v>0</v>
      </c>
    </row>
    <row r="150" spans="1:12">
      <c r="A150" t="s">
        <v>871</v>
      </c>
      <c r="B150" t="s">
        <v>165</v>
      </c>
      <c r="C150" t="s">
        <v>739</v>
      </c>
      <c r="D150" t="s">
        <v>740</v>
      </c>
      <c r="L150">
        <f t="shared" si="4"/>
        <v>0</v>
      </c>
    </row>
    <row r="151" spans="1:12">
      <c r="A151" t="s">
        <v>871</v>
      </c>
      <c r="B151" t="s">
        <v>433</v>
      </c>
      <c r="C151" t="s">
        <v>916</v>
      </c>
      <c r="D151" t="s">
        <v>917</v>
      </c>
      <c r="L151">
        <f t="shared" si="4"/>
        <v>0</v>
      </c>
    </row>
    <row r="152" spans="1:12">
      <c r="A152" t="s">
        <v>871</v>
      </c>
      <c r="B152" t="s">
        <v>273</v>
      </c>
      <c r="C152" t="s">
        <v>782</v>
      </c>
      <c r="D152" t="s">
        <v>783</v>
      </c>
      <c r="L152">
        <f t="shared" si="4"/>
        <v>0</v>
      </c>
    </row>
    <row r="153" spans="1:12">
      <c r="A153" t="s">
        <v>918</v>
      </c>
      <c r="B153" t="s">
        <v>435</v>
      </c>
      <c r="C153" t="s">
        <v>919</v>
      </c>
      <c r="D153" t="s">
        <v>920</v>
      </c>
      <c r="K153" t="s">
        <v>455</v>
      </c>
      <c r="L153" t="str">
        <f t="shared" si="4"/>
        <v>000066942</v>
      </c>
    </row>
    <row r="154" spans="1:12">
      <c r="A154" t="s">
        <v>918</v>
      </c>
      <c r="B154" t="s">
        <v>437</v>
      </c>
      <c r="C154" t="s">
        <v>921</v>
      </c>
      <c r="D154" t="s">
        <v>922</v>
      </c>
      <c r="K154" t="s">
        <v>455</v>
      </c>
      <c r="L154" t="str">
        <f t="shared" si="4"/>
        <v>000066942</v>
      </c>
    </row>
    <row r="155" spans="1:12">
      <c r="A155" t="s">
        <v>918</v>
      </c>
      <c r="B155" t="s">
        <v>439</v>
      </c>
      <c r="C155" t="s">
        <v>923</v>
      </c>
      <c r="D155" t="s">
        <v>924</v>
      </c>
      <c r="K155" t="s">
        <v>455</v>
      </c>
      <c r="L155" t="str">
        <f t="shared" si="4"/>
        <v>000066942</v>
      </c>
    </row>
    <row r="156" spans="1:12">
      <c r="A156" t="s">
        <v>918</v>
      </c>
      <c r="B156" t="s">
        <v>453</v>
      </c>
      <c r="C156" t="s">
        <v>925</v>
      </c>
      <c r="D156" t="s">
        <v>926</v>
      </c>
      <c r="K156" t="s">
        <v>455</v>
      </c>
      <c r="L156" t="str">
        <f t="shared" si="4"/>
        <v>000066942</v>
      </c>
    </row>
    <row r="157" spans="1:12">
      <c r="A157" t="s">
        <v>918</v>
      </c>
      <c r="B157" t="s">
        <v>441</v>
      </c>
      <c r="C157" t="s">
        <v>927</v>
      </c>
      <c r="D157" t="s">
        <v>928</v>
      </c>
      <c r="K157" t="s">
        <v>455</v>
      </c>
      <c r="L157" t="str">
        <f t="shared" si="4"/>
        <v>000066942</v>
      </c>
    </row>
    <row r="158" spans="1:12">
      <c r="A158" t="s">
        <v>918</v>
      </c>
      <c r="B158" t="s">
        <v>443</v>
      </c>
      <c r="C158" t="s">
        <v>929</v>
      </c>
      <c r="D158" t="s">
        <v>930</v>
      </c>
      <c r="K158" t="s">
        <v>455</v>
      </c>
      <c r="L158" t="str">
        <f t="shared" si="4"/>
        <v>000066942</v>
      </c>
    </row>
    <row r="159" spans="1:12">
      <c r="A159" t="s">
        <v>918</v>
      </c>
      <c r="B159" t="s">
        <v>445</v>
      </c>
      <c r="C159" t="s">
        <v>931</v>
      </c>
      <c r="D159" t="s">
        <v>932</v>
      </c>
      <c r="K159" t="s">
        <v>455</v>
      </c>
      <c r="L159" t="str">
        <f t="shared" si="4"/>
        <v>000066942</v>
      </c>
    </row>
    <row r="160" spans="1:12">
      <c r="A160" t="s">
        <v>918</v>
      </c>
      <c r="B160" t="s">
        <v>449</v>
      </c>
      <c r="C160" t="s">
        <v>933</v>
      </c>
      <c r="D160" t="s">
        <v>934</v>
      </c>
      <c r="K160" t="s">
        <v>455</v>
      </c>
      <c r="L160" t="str">
        <f t="shared" si="4"/>
        <v>000066942</v>
      </c>
    </row>
    <row r="161" spans="1:12">
      <c r="A161" t="s">
        <v>918</v>
      </c>
      <c r="B161" t="s">
        <v>461</v>
      </c>
      <c r="C161" t="s">
        <v>935</v>
      </c>
      <c r="D161" t="s">
        <v>936</v>
      </c>
      <c r="K161" t="s">
        <v>455</v>
      </c>
      <c r="L161" t="str">
        <f t="shared" si="4"/>
        <v>000066942</v>
      </c>
    </row>
    <row r="162" spans="1:12">
      <c r="A162" t="s">
        <v>918</v>
      </c>
      <c r="B162" t="s">
        <v>451</v>
      </c>
      <c r="C162" t="s">
        <v>937</v>
      </c>
      <c r="D162" t="s">
        <v>938</v>
      </c>
      <c r="K162" t="s">
        <v>455</v>
      </c>
      <c r="L162" t="str">
        <f t="shared" ref="L162:L186" si="5">_xlfn.XLOOKUP(K162,B:B,C:C, "")</f>
        <v>000066942</v>
      </c>
    </row>
    <row r="163" spans="1:12">
      <c r="A163" t="s">
        <v>918</v>
      </c>
      <c r="B163" t="s">
        <v>455</v>
      </c>
      <c r="C163" t="s">
        <v>939</v>
      </c>
      <c r="D163" t="s">
        <v>940</v>
      </c>
      <c r="K163" t="s">
        <v>455</v>
      </c>
      <c r="L163" t="str">
        <f t="shared" si="5"/>
        <v>000066942</v>
      </c>
    </row>
    <row r="164" spans="1:12">
      <c r="A164" t="s">
        <v>918</v>
      </c>
      <c r="B164" t="s">
        <v>128</v>
      </c>
      <c r="C164" t="s">
        <v>698</v>
      </c>
      <c r="D164" t="s">
        <v>699</v>
      </c>
      <c r="K164" t="s">
        <v>455</v>
      </c>
      <c r="L164" t="str">
        <f t="shared" si="5"/>
        <v>000066942</v>
      </c>
    </row>
    <row r="165" spans="1:12">
      <c r="A165" t="s">
        <v>918</v>
      </c>
      <c r="B165" t="s">
        <v>457</v>
      </c>
      <c r="C165" t="s">
        <v>941</v>
      </c>
      <c r="D165" t="s">
        <v>942</v>
      </c>
      <c r="K165" t="s">
        <v>455</v>
      </c>
      <c r="L165" t="str">
        <f t="shared" si="5"/>
        <v>000066942</v>
      </c>
    </row>
    <row r="166" spans="1:12">
      <c r="A166" t="s">
        <v>918</v>
      </c>
      <c r="B166" t="s">
        <v>355</v>
      </c>
      <c r="C166" t="s">
        <v>856</v>
      </c>
      <c r="D166" t="s">
        <v>857</v>
      </c>
      <c r="K166" t="s">
        <v>455</v>
      </c>
      <c r="L166" t="str">
        <f t="shared" si="5"/>
        <v>000066942</v>
      </c>
    </row>
    <row r="167" spans="1:12">
      <c r="A167" t="s">
        <v>918</v>
      </c>
      <c r="B167" t="s">
        <v>315</v>
      </c>
      <c r="C167" t="s">
        <v>808</v>
      </c>
      <c r="D167" t="s">
        <v>809</v>
      </c>
      <c r="K167" t="s">
        <v>455</v>
      </c>
      <c r="L167" t="str">
        <f t="shared" si="5"/>
        <v>000066942</v>
      </c>
    </row>
    <row r="168" spans="1:12">
      <c r="A168" t="s">
        <v>918</v>
      </c>
      <c r="B168" t="s">
        <v>133</v>
      </c>
      <c r="C168" t="s">
        <v>702</v>
      </c>
      <c r="D168" t="s">
        <v>703</v>
      </c>
      <c r="K168" t="s">
        <v>455</v>
      </c>
      <c r="L168" t="str">
        <f t="shared" si="5"/>
        <v>000066942</v>
      </c>
    </row>
    <row r="169" spans="1:12">
      <c r="A169" t="s">
        <v>918</v>
      </c>
      <c r="B169" t="s">
        <v>459</v>
      </c>
      <c r="C169" t="s">
        <v>943</v>
      </c>
      <c r="D169" t="s">
        <v>944</v>
      </c>
      <c r="K169" t="s">
        <v>455</v>
      </c>
      <c r="L169" t="str">
        <f t="shared" si="5"/>
        <v>000066942</v>
      </c>
    </row>
    <row r="170" spans="1:12">
      <c r="A170" t="s">
        <v>918</v>
      </c>
      <c r="B170" t="s">
        <v>467</v>
      </c>
      <c r="C170" t="s">
        <v>945</v>
      </c>
      <c r="D170" t="s">
        <v>946</v>
      </c>
      <c r="K170" t="s">
        <v>455</v>
      </c>
      <c r="L170" t="str">
        <f t="shared" si="5"/>
        <v>000066942</v>
      </c>
    </row>
    <row r="171" spans="1:12">
      <c r="A171" t="s">
        <v>918</v>
      </c>
      <c r="B171" t="s">
        <v>447</v>
      </c>
      <c r="C171" t="s">
        <v>947</v>
      </c>
      <c r="D171" t="s">
        <v>948</v>
      </c>
      <c r="K171" t="s">
        <v>455</v>
      </c>
      <c r="L171" t="str">
        <f t="shared" si="5"/>
        <v>000066942</v>
      </c>
    </row>
    <row r="172" spans="1:12">
      <c r="A172" t="s">
        <v>949</v>
      </c>
      <c r="B172" t="s">
        <v>469</v>
      </c>
      <c r="C172" t="s">
        <v>950</v>
      </c>
      <c r="D172" t="s">
        <v>951</v>
      </c>
      <c r="K172" t="s">
        <v>187</v>
      </c>
      <c r="L172" t="str">
        <f t="shared" si="5"/>
        <v>000098144</v>
      </c>
    </row>
    <row r="173" spans="1:12">
      <c r="A173" t="s">
        <v>949</v>
      </c>
      <c r="B173" t="s">
        <v>471</v>
      </c>
      <c r="C173" t="s">
        <v>952</v>
      </c>
      <c r="D173" t="s">
        <v>953</v>
      </c>
      <c r="K173" t="s">
        <v>187</v>
      </c>
      <c r="L173" t="str">
        <f t="shared" si="5"/>
        <v>000098144</v>
      </c>
    </row>
    <row r="174" spans="1:12">
      <c r="A174" t="s">
        <v>949</v>
      </c>
      <c r="B174" t="s">
        <v>473</v>
      </c>
      <c r="C174" t="s">
        <v>954</v>
      </c>
      <c r="D174" t="s">
        <v>955</v>
      </c>
      <c r="K174" t="s">
        <v>187</v>
      </c>
      <c r="L174" t="str">
        <f t="shared" si="5"/>
        <v>000098144</v>
      </c>
    </row>
    <row r="175" spans="1:12">
      <c r="A175" t="s">
        <v>949</v>
      </c>
      <c r="B175" t="s">
        <v>475</v>
      </c>
      <c r="C175" t="s">
        <v>956</v>
      </c>
      <c r="D175" t="s">
        <v>957</v>
      </c>
      <c r="K175" t="s">
        <v>187</v>
      </c>
      <c r="L175" t="str">
        <f t="shared" si="5"/>
        <v>000098144</v>
      </c>
    </row>
    <row r="176" spans="1:12">
      <c r="A176" t="s">
        <v>949</v>
      </c>
      <c r="B176" t="s">
        <v>477</v>
      </c>
      <c r="C176" t="s">
        <v>958</v>
      </c>
      <c r="D176" t="s">
        <v>959</v>
      </c>
      <c r="K176" t="s">
        <v>187</v>
      </c>
      <c r="L176" t="str">
        <f t="shared" si="5"/>
        <v>000098144</v>
      </c>
    </row>
    <row r="177" spans="1:12">
      <c r="A177" t="s">
        <v>949</v>
      </c>
      <c r="B177" t="s">
        <v>232</v>
      </c>
      <c r="C177" t="s">
        <v>754</v>
      </c>
      <c r="D177" t="s">
        <v>755</v>
      </c>
      <c r="K177" t="s">
        <v>187</v>
      </c>
      <c r="L177" t="str">
        <f t="shared" si="5"/>
        <v>000098144</v>
      </c>
    </row>
    <row r="178" spans="1:12">
      <c r="A178" t="s">
        <v>949</v>
      </c>
      <c r="B178" t="s">
        <v>494</v>
      </c>
      <c r="C178" t="s">
        <v>960</v>
      </c>
      <c r="D178" t="s">
        <v>961</v>
      </c>
      <c r="K178" t="s">
        <v>187</v>
      </c>
      <c r="L178" t="str">
        <f t="shared" si="5"/>
        <v>000098144</v>
      </c>
    </row>
    <row r="179" spans="1:12">
      <c r="A179" t="s">
        <v>949</v>
      </c>
      <c r="B179" t="s">
        <v>485</v>
      </c>
      <c r="C179" t="s">
        <v>962</v>
      </c>
      <c r="D179" t="s">
        <v>963</v>
      </c>
      <c r="K179" t="s">
        <v>187</v>
      </c>
      <c r="L179" t="str">
        <f t="shared" si="5"/>
        <v>000098144</v>
      </c>
    </row>
    <row r="180" spans="1:12">
      <c r="A180" t="s">
        <v>949</v>
      </c>
      <c r="B180" t="s">
        <v>479</v>
      </c>
      <c r="C180" t="s">
        <v>964</v>
      </c>
      <c r="D180" t="s">
        <v>965</v>
      </c>
      <c r="K180" t="s">
        <v>187</v>
      </c>
      <c r="L180" t="str">
        <f t="shared" si="5"/>
        <v>000098144</v>
      </c>
    </row>
    <row r="181" spans="1:12">
      <c r="A181" t="s">
        <v>949</v>
      </c>
      <c r="B181" t="s">
        <v>482</v>
      </c>
      <c r="C181" t="s">
        <v>966</v>
      </c>
      <c r="D181" t="s">
        <v>967</v>
      </c>
      <c r="K181" t="s">
        <v>187</v>
      </c>
      <c r="L181" t="str">
        <f t="shared" si="5"/>
        <v>000098144</v>
      </c>
    </row>
    <row r="182" spans="1:12">
      <c r="A182" t="s">
        <v>949</v>
      </c>
      <c r="B182" t="s">
        <v>393</v>
      </c>
      <c r="C182" t="s">
        <v>888</v>
      </c>
      <c r="D182" t="s">
        <v>889</v>
      </c>
      <c r="K182" t="s">
        <v>187</v>
      </c>
      <c r="L182" t="str">
        <f t="shared" si="5"/>
        <v>000098144</v>
      </c>
    </row>
    <row r="183" spans="1:12">
      <c r="A183" t="s">
        <v>949</v>
      </c>
      <c r="B183" t="s">
        <v>490</v>
      </c>
      <c r="C183" t="s">
        <v>968</v>
      </c>
      <c r="D183" t="s">
        <v>969</v>
      </c>
      <c r="K183" t="s">
        <v>187</v>
      </c>
      <c r="L183" t="str">
        <f t="shared" si="5"/>
        <v>000098144</v>
      </c>
    </row>
    <row r="184" spans="1:12">
      <c r="A184" t="s">
        <v>949</v>
      </c>
      <c r="B184" t="s">
        <v>487</v>
      </c>
      <c r="C184" t="s">
        <v>970</v>
      </c>
      <c r="D184" t="s">
        <v>971</v>
      </c>
      <c r="K184" t="s">
        <v>187</v>
      </c>
      <c r="L184" t="str">
        <f t="shared" si="5"/>
        <v>000098144</v>
      </c>
    </row>
    <row r="185" spans="1:12">
      <c r="A185" t="s">
        <v>949</v>
      </c>
      <c r="B185" t="s">
        <v>187</v>
      </c>
      <c r="C185" t="s">
        <v>731</v>
      </c>
      <c r="D185" t="s">
        <v>732</v>
      </c>
      <c r="K185" t="s">
        <v>187</v>
      </c>
      <c r="L185" t="str">
        <f t="shared" si="5"/>
        <v>000098144</v>
      </c>
    </row>
    <row r="186" spans="1:12">
      <c r="A186" t="s">
        <v>949</v>
      </c>
      <c r="B186" t="s">
        <v>492</v>
      </c>
      <c r="C186" t="s">
        <v>972</v>
      </c>
      <c r="D186" t="s">
        <v>973</v>
      </c>
      <c r="K186" t="s">
        <v>187</v>
      </c>
      <c r="L186" t="str">
        <f t="shared" si="5"/>
        <v>000098144</v>
      </c>
    </row>
  </sheetData>
  <autoFilter ref="A1:L186" xr:uid="{00000000-0009-0000-0000-000002000000}">
    <sortState xmlns:xlrd2="http://schemas.microsoft.com/office/spreadsheetml/2017/richdata2" ref="A2:L186">
      <sortCondition ref="A1:A186"/>
    </sortState>
  </autoFilter>
  <hyperlinks>
    <hyperlink ref="D102" r:id="rId1" xr:uid="{00000000-0004-0000-0200-000000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69"/>
  <sheetViews>
    <sheetView topLeftCell="A329" workbookViewId="0">
      <selection activeCell="F369" sqref="F369"/>
    </sheetView>
  </sheetViews>
  <sheetFormatPr baseColWidth="10" defaultColWidth="10.83203125" defaultRowHeight="16"/>
  <cols>
    <col min="1" max="24" width="10.83203125" style="17" customWidth="1"/>
    <col min="25" max="16384" width="10.83203125" style="17"/>
  </cols>
  <sheetData>
    <row r="1" spans="1:2">
      <c r="A1" s="18" t="s">
        <v>974</v>
      </c>
      <c r="B1" s="18" t="s">
        <v>11</v>
      </c>
    </row>
    <row r="2" spans="1:2">
      <c r="A2" s="18" t="s">
        <v>69</v>
      </c>
      <c r="B2" s="18" t="s">
        <v>975</v>
      </c>
    </row>
    <row r="3" spans="1:2">
      <c r="A3" s="18" t="s">
        <v>75</v>
      </c>
      <c r="B3" s="18" t="s">
        <v>976</v>
      </c>
    </row>
    <row r="4" spans="1:2">
      <c r="A4" s="18" t="s">
        <v>83</v>
      </c>
      <c r="B4" s="18" t="s">
        <v>977</v>
      </c>
    </row>
    <row r="5" spans="1:2">
      <c r="A5" s="18" t="s">
        <v>90</v>
      </c>
      <c r="B5" s="18" t="s">
        <v>978</v>
      </c>
    </row>
    <row r="6" spans="1:2">
      <c r="A6" s="18" t="s">
        <v>97</v>
      </c>
      <c r="B6" s="18" t="s">
        <v>979</v>
      </c>
    </row>
    <row r="7" spans="1:2">
      <c r="A7" s="18" t="s">
        <v>102</v>
      </c>
      <c r="B7" s="18" t="s">
        <v>980</v>
      </c>
    </row>
    <row r="8" spans="1:2">
      <c r="A8" s="18" t="s">
        <v>108</v>
      </c>
      <c r="B8" s="18" t="s">
        <v>981</v>
      </c>
    </row>
    <row r="9" spans="1:2">
      <c r="A9" s="18" t="s">
        <v>114</v>
      </c>
      <c r="B9" s="18" t="s">
        <v>982</v>
      </c>
    </row>
    <row r="10" spans="1:2">
      <c r="A10" s="18" t="s">
        <v>119</v>
      </c>
      <c r="B10" s="18" t="s">
        <v>983</v>
      </c>
    </row>
    <row r="11" spans="1:2">
      <c r="A11" s="18" t="s">
        <v>124</v>
      </c>
      <c r="B11" s="18" t="s">
        <v>984</v>
      </c>
    </row>
    <row r="12" spans="1:2">
      <c r="A12" s="18" t="s">
        <v>129</v>
      </c>
      <c r="B12" s="18" t="s">
        <v>985</v>
      </c>
    </row>
    <row r="13" spans="1:2">
      <c r="A13" s="18" t="s">
        <v>134</v>
      </c>
      <c r="B13" s="18" t="s">
        <v>986</v>
      </c>
    </row>
    <row r="14" spans="1:2">
      <c r="A14" s="18" t="s">
        <v>144</v>
      </c>
      <c r="B14" s="18" t="s">
        <v>987</v>
      </c>
    </row>
    <row r="15" spans="1:2">
      <c r="A15" s="18" t="s">
        <v>149</v>
      </c>
      <c r="B15" s="18" t="s">
        <v>988</v>
      </c>
    </row>
    <row r="16" spans="1:2">
      <c r="A16" s="18" t="s">
        <v>154</v>
      </c>
      <c r="B16" s="18" t="s">
        <v>989</v>
      </c>
    </row>
    <row r="17" spans="1:2">
      <c r="A17" s="18" t="s">
        <v>158</v>
      </c>
      <c r="B17" s="18" t="s">
        <v>990</v>
      </c>
    </row>
    <row r="18" spans="1:2">
      <c r="A18" s="18" t="s">
        <v>162</v>
      </c>
      <c r="B18" s="18" t="s">
        <v>991</v>
      </c>
    </row>
    <row r="19" spans="1:2">
      <c r="A19" s="18" t="s">
        <v>166</v>
      </c>
      <c r="B19" s="18" t="s">
        <v>992</v>
      </c>
    </row>
    <row r="20" spans="1:2">
      <c r="A20" s="18" t="s">
        <v>170</v>
      </c>
      <c r="B20" s="18" t="s">
        <v>993</v>
      </c>
    </row>
    <row r="21" spans="1:2">
      <c r="A21" s="18" t="s">
        <v>173</v>
      </c>
      <c r="B21" s="18" t="s">
        <v>994</v>
      </c>
    </row>
    <row r="22" spans="1:2">
      <c r="A22" s="18" t="s">
        <v>176</v>
      </c>
      <c r="B22" s="18" t="s">
        <v>995</v>
      </c>
    </row>
    <row r="23" spans="1:2">
      <c r="A23" s="18" t="s">
        <v>179</v>
      </c>
      <c r="B23" s="18" t="s">
        <v>996</v>
      </c>
    </row>
    <row r="24" spans="1:2">
      <c r="A24" s="18" t="s">
        <v>182</v>
      </c>
      <c r="B24" s="18" t="s">
        <v>997</v>
      </c>
    </row>
    <row r="25" spans="1:2">
      <c r="A25" s="18" t="s">
        <v>185</v>
      </c>
      <c r="B25" s="18" t="s">
        <v>998</v>
      </c>
    </row>
    <row r="26" spans="1:2">
      <c r="A26" s="18" t="s">
        <v>188</v>
      </c>
      <c r="B26" s="18" t="s">
        <v>999</v>
      </c>
    </row>
    <row r="27" spans="1:2">
      <c r="A27" s="18" t="s">
        <v>194</v>
      </c>
      <c r="B27" s="18" t="s">
        <v>1000</v>
      </c>
    </row>
    <row r="28" spans="1:2">
      <c r="A28" s="18" t="s">
        <v>197</v>
      </c>
      <c r="B28" s="18" t="s">
        <v>1001</v>
      </c>
    </row>
    <row r="29" spans="1:2">
      <c r="A29" s="18" t="s">
        <v>199</v>
      </c>
      <c r="B29" s="18" t="s">
        <v>1002</v>
      </c>
    </row>
    <row r="30" spans="1:2">
      <c r="A30" s="18" t="s">
        <v>202</v>
      </c>
      <c r="B30" s="18" t="s">
        <v>1003</v>
      </c>
    </row>
    <row r="31" spans="1:2">
      <c r="A31" s="18" t="s">
        <v>208</v>
      </c>
      <c r="B31" s="18" t="s">
        <v>1004</v>
      </c>
    </row>
    <row r="32" spans="1:2">
      <c r="A32" s="18" t="s">
        <v>211</v>
      </c>
      <c r="B32" s="18" t="s">
        <v>1005</v>
      </c>
    </row>
    <row r="33" spans="1:2">
      <c r="A33" s="18" t="s">
        <v>214</v>
      </c>
      <c r="B33" s="18" t="s">
        <v>1006</v>
      </c>
    </row>
    <row r="34" spans="1:2">
      <c r="A34" s="18" t="s">
        <v>217</v>
      </c>
      <c r="B34" s="18" t="s">
        <v>1007</v>
      </c>
    </row>
    <row r="35" spans="1:2">
      <c r="A35" s="18" t="s">
        <v>219</v>
      </c>
      <c r="B35" s="18" t="s">
        <v>1008</v>
      </c>
    </row>
    <row r="36" spans="1:2">
      <c r="A36" s="18" t="s">
        <v>222</v>
      </c>
      <c r="B36" s="18" t="s">
        <v>1009</v>
      </c>
    </row>
    <row r="37" spans="1:2">
      <c r="A37" s="18" t="s">
        <v>225</v>
      </c>
      <c r="B37" s="18" t="s">
        <v>1010</v>
      </c>
    </row>
    <row r="38" spans="1:2">
      <c r="A38" s="18" t="s">
        <v>228</v>
      </c>
      <c r="B38" s="18" t="s">
        <v>1011</v>
      </c>
    </row>
    <row r="39" spans="1:2">
      <c r="A39" s="18" t="s">
        <v>230</v>
      </c>
      <c r="B39" s="18" t="s">
        <v>985</v>
      </c>
    </row>
    <row r="40" spans="1:2">
      <c r="A40" s="18" t="s">
        <v>233</v>
      </c>
      <c r="B40" s="18" t="s">
        <v>1012</v>
      </c>
    </row>
    <row r="41" spans="1:2">
      <c r="A41" s="18" t="s">
        <v>236</v>
      </c>
      <c r="B41" s="18" t="s">
        <v>1012</v>
      </c>
    </row>
    <row r="42" spans="1:2">
      <c r="A42" s="18" t="s">
        <v>239</v>
      </c>
      <c r="B42" s="18" t="s">
        <v>1013</v>
      </c>
    </row>
    <row r="43" spans="1:2">
      <c r="A43" s="18" t="s">
        <v>242</v>
      </c>
      <c r="B43" s="18" t="s">
        <v>1014</v>
      </c>
    </row>
    <row r="44" spans="1:2">
      <c r="A44" s="18" t="s">
        <v>245</v>
      </c>
      <c r="B44" s="18" t="s">
        <v>985</v>
      </c>
    </row>
    <row r="45" spans="1:2">
      <c r="A45" s="18" t="s">
        <v>247</v>
      </c>
      <c r="B45" s="18" t="s">
        <v>985</v>
      </c>
    </row>
    <row r="46" spans="1:2">
      <c r="A46" s="18" t="s">
        <v>249</v>
      </c>
      <c r="B46" s="18" t="s">
        <v>1015</v>
      </c>
    </row>
    <row r="47" spans="1:2">
      <c r="A47" s="18" t="s">
        <v>252</v>
      </c>
      <c r="B47" s="18" t="s">
        <v>1016</v>
      </c>
    </row>
    <row r="48" spans="1:2">
      <c r="A48" s="18" t="s">
        <v>255</v>
      </c>
      <c r="B48" s="18" t="s">
        <v>1017</v>
      </c>
    </row>
    <row r="49" spans="1:2">
      <c r="A49" s="18" t="s">
        <v>258</v>
      </c>
      <c r="B49" s="18" t="s">
        <v>1018</v>
      </c>
    </row>
    <row r="50" spans="1:2">
      <c r="A50" s="18" t="s">
        <v>261</v>
      </c>
      <c r="B50" s="18" t="s">
        <v>1019</v>
      </c>
    </row>
    <row r="51" spans="1:2">
      <c r="A51" s="18" t="s">
        <v>263</v>
      </c>
      <c r="B51" s="18" t="s">
        <v>1020</v>
      </c>
    </row>
    <row r="52" spans="1:2">
      <c r="A52" s="18" t="s">
        <v>266</v>
      </c>
      <c r="B52" s="18" t="s">
        <v>1021</v>
      </c>
    </row>
    <row r="53" spans="1:2">
      <c r="A53" s="18" t="s">
        <v>268</v>
      </c>
      <c r="B53" s="18" t="s">
        <v>1022</v>
      </c>
    </row>
    <row r="54" spans="1:2">
      <c r="A54" s="18" t="s">
        <v>271</v>
      </c>
      <c r="B54" s="18" t="s">
        <v>1023</v>
      </c>
    </row>
    <row r="55" spans="1:2">
      <c r="A55" s="18" t="s">
        <v>274</v>
      </c>
      <c r="B55" s="18" t="s">
        <v>1024</v>
      </c>
    </row>
    <row r="56" spans="1:2">
      <c r="A56" s="18" t="s">
        <v>276</v>
      </c>
      <c r="B56" s="18" t="s">
        <v>1025</v>
      </c>
    </row>
    <row r="57" spans="1:2">
      <c r="A57" s="18" t="s">
        <v>278</v>
      </c>
      <c r="B57" s="18" t="s">
        <v>1026</v>
      </c>
    </row>
    <row r="58" spans="1:2">
      <c r="A58" s="18" t="s">
        <v>280</v>
      </c>
      <c r="B58" s="18" t="s">
        <v>1027</v>
      </c>
    </row>
    <row r="59" spans="1:2">
      <c r="A59" s="18" t="s">
        <v>282</v>
      </c>
      <c r="B59" s="18" t="s">
        <v>1028</v>
      </c>
    </row>
    <row r="60" spans="1:2">
      <c r="A60" s="18" t="s">
        <v>284</v>
      </c>
      <c r="B60" s="18" t="s">
        <v>1029</v>
      </c>
    </row>
    <row r="61" spans="1:2">
      <c r="A61" s="18" t="s">
        <v>285</v>
      </c>
      <c r="B61" s="18" t="s">
        <v>1030</v>
      </c>
    </row>
    <row r="62" spans="1:2">
      <c r="A62" s="18" t="s">
        <v>286</v>
      </c>
      <c r="B62" s="18" t="s">
        <v>1031</v>
      </c>
    </row>
    <row r="63" spans="1:2">
      <c r="A63" s="18" t="s">
        <v>288</v>
      </c>
      <c r="B63" s="18" t="s">
        <v>1032</v>
      </c>
    </row>
    <row r="64" spans="1:2">
      <c r="A64" s="18" t="s">
        <v>290</v>
      </c>
      <c r="B64" s="18" t="s">
        <v>1033</v>
      </c>
    </row>
    <row r="65" spans="1:2">
      <c r="A65" s="18" t="s">
        <v>292</v>
      </c>
      <c r="B65" s="18" t="s">
        <v>1034</v>
      </c>
    </row>
    <row r="66" spans="1:2">
      <c r="A66" s="18" t="s">
        <v>294</v>
      </c>
      <c r="B66" s="18" t="s">
        <v>1035</v>
      </c>
    </row>
    <row r="67" spans="1:2">
      <c r="A67" s="18" t="s">
        <v>296</v>
      </c>
      <c r="B67" s="18" t="s">
        <v>1036</v>
      </c>
    </row>
    <row r="68" spans="1:2">
      <c r="A68" s="18" t="s">
        <v>298</v>
      </c>
      <c r="B68" s="18" t="s">
        <v>1037</v>
      </c>
    </row>
    <row r="69" spans="1:2">
      <c r="A69" s="18" t="s">
        <v>300</v>
      </c>
      <c r="B69" s="18" t="s">
        <v>1038</v>
      </c>
    </row>
    <row r="70" spans="1:2">
      <c r="A70" s="18" t="s">
        <v>301</v>
      </c>
      <c r="B70" s="18" t="s">
        <v>1039</v>
      </c>
    </row>
    <row r="71" spans="1:2">
      <c r="A71" s="18" t="s">
        <v>303</v>
      </c>
      <c r="B71" s="18" t="s">
        <v>1040</v>
      </c>
    </row>
    <row r="72" spans="1:2">
      <c r="A72" s="18" t="s">
        <v>304</v>
      </c>
      <c r="B72" s="18" t="s">
        <v>1041</v>
      </c>
    </row>
    <row r="73" spans="1:2">
      <c r="A73" s="18" t="s">
        <v>306</v>
      </c>
      <c r="B73" s="18" t="s">
        <v>1042</v>
      </c>
    </row>
    <row r="74" spans="1:2">
      <c r="A74" s="18" t="s">
        <v>308</v>
      </c>
      <c r="B74" s="18" t="s">
        <v>1043</v>
      </c>
    </row>
    <row r="75" spans="1:2">
      <c r="A75" s="18" t="s">
        <v>310</v>
      </c>
      <c r="B75" s="18" t="s">
        <v>1044</v>
      </c>
    </row>
    <row r="76" spans="1:2">
      <c r="A76" s="18" t="s">
        <v>312</v>
      </c>
      <c r="B76" s="18" t="s">
        <v>1045</v>
      </c>
    </row>
    <row r="77" spans="1:2">
      <c r="A77" s="18" t="s">
        <v>314</v>
      </c>
      <c r="B77" s="18" t="s">
        <v>1046</v>
      </c>
    </row>
    <row r="78" spans="1:2">
      <c r="A78" s="18" t="s">
        <v>316</v>
      </c>
      <c r="B78" s="18" t="s">
        <v>1047</v>
      </c>
    </row>
    <row r="79" spans="1:2">
      <c r="A79" s="18" t="s">
        <v>318</v>
      </c>
      <c r="B79" s="18" t="s">
        <v>1048</v>
      </c>
    </row>
    <row r="80" spans="1:2">
      <c r="A80" s="18" t="s">
        <v>320</v>
      </c>
      <c r="B80" s="18" t="s">
        <v>1049</v>
      </c>
    </row>
    <row r="81" spans="1:2">
      <c r="A81" s="18" t="s">
        <v>322</v>
      </c>
      <c r="B81" s="18" t="s">
        <v>1050</v>
      </c>
    </row>
    <row r="82" spans="1:2">
      <c r="A82" s="18" t="s">
        <v>324</v>
      </c>
      <c r="B82" s="18" t="s">
        <v>1051</v>
      </c>
    </row>
    <row r="83" spans="1:2">
      <c r="A83" s="18" t="s">
        <v>326</v>
      </c>
      <c r="B83" s="18" t="s">
        <v>1052</v>
      </c>
    </row>
    <row r="84" spans="1:2">
      <c r="A84" s="18" t="s">
        <v>328</v>
      </c>
      <c r="B84" s="18" t="s">
        <v>1053</v>
      </c>
    </row>
    <row r="85" spans="1:2">
      <c r="A85" s="18" t="s">
        <v>330</v>
      </c>
      <c r="B85" s="18" t="s">
        <v>1054</v>
      </c>
    </row>
    <row r="86" spans="1:2">
      <c r="A86" s="18" t="s">
        <v>332</v>
      </c>
      <c r="B86" s="18" t="s">
        <v>1055</v>
      </c>
    </row>
    <row r="87" spans="1:2">
      <c r="A87" s="18" t="s">
        <v>334</v>
      </c>
      <c r="B87" s="18" t="s">
        <v>1056</v>
      </c>
    </row>
    <row r="88" spans="1:2">
      <c r="A88" s="18" t="s">
        <v>336</v>
      </c>
      <c r="B88" s="18" t="s">
        <v>1057</v>
      </c>
    </row>
    <row r="89" spans="1:2">
      <c r="A89" s="18" t="s">
        <v>338</v>
      </c>
      <c r="B89" s="18" t="s">
        <v>1058</v>
      </c>
    </row>
    <row r="90" spans="1:2">
      <c r="A90" s="18" t="s">
        <v>339</v>
      </c>
      <c r="B90" s="18" t="s">
        <v>1059</v>
      </c>
    </row>
    <row r="91" spans="1:2">
      <c r="A91" s="18" t="s">
        <v>341</v>
      </c>
      <c r="B91" s="18" t="s">
        <v>1060</v>
      </c>
    </row>
    <row r="92" spans="1:2">
      <c r="A92" s="18" t="s">
        <v>343</v>
      </c>
      <c r="B92" s="18" t="s">
        <v>1061</v>
      </c>
    </row>
    <row r="93" spans="1:2">
      <c r="A93" s="18" t="s">
        <v>344</v>
      </c>
      <c r="B93" s="18" t="s">
        <v>1062</v>
      </c>
    </row>
    <row r="94" spans="1:2">
      <c r="A94" s="18" t="s">
        <v>345</v>
      </c>
      <c r="B94" s="18" t="s">
        <v>1063</v>
      </c>
    </row>
    <row r="95" spans="1:2">
      <c r="A95" s="18" t="s">
        <v>347</v>
      </c>
      <c r="B95" s="18" t="s">
        <v>1064</v>
      </c>
    </row>
    <row r="96" spans="1:2">
      <c r="A96" s="18" t="s">
        <v>348</v>
      </c>
      <c r="B96" s="18" t="s">
        <v>1065</v>
      </c>
    </row>
    <row r="97" spans="1:2">
      <c r="A97" s="18" t="s">
        <v>350</v>
      </c>
      <c r="B97" s="18" t="s">
        <v>1066</v>
      </c>
    </row>
    <row r="98" spans="1:2">
      <c r="A98" s="18" t="s">
        <v>352</v>
      </c>
      <c r="B98" s="18" t="s">
        <v>1067</v>
      </c>
    </row>
    <row r="99" spans="1:2">
      <c r="A99" s="18" t="s">
        <v>354</v>
      </c>
      <c r="B99" s="18" t="s">
        <v>1068</v>
      </c>
    </row>
    <row r="100" spans="1:2">
      <c r="A100" s="18" t="s">
        <v>356</v>
      </c>
      <c r="B100" s="18" t="s">
        <v>1069</v>
      </c>
    </row>
    <row r="101" spans="1:2">
      <c r="A101" s="18" t="s">
        <v>358</v>
      </c>
      <c r="B101" s="18" t="s">
        <v>1070</v>
      </c>
    </row>
    <row r="102" spans="1:2">
      <c r="A102" s="18" t="s">
        <v>360</v>
      </c>
      <c r="B102" s="18" t="s">
        <v>1071</v>
      </c>
    </row>
    <row r="103" spans="1:2">
      <c r="A103" s="18" t="s">
        <v>362</v>
      </c>
      <c r="B103" s="18" t="s">
        <v>1072</v>
      </c>
    </row>
    <row r="104" spans="1:2">
      <c r="A104" s="18" t="s">
        <v>363</v>
      </c>
      <c r="B104" s="18" t="s">
        <v>1073</v>
      </c>
    </row>
    <row r="105" spans="1:2">
      <c r="A105" s="18" t="s">
        <v>365</v>
      </c>
      <c r="B105" s="18" t="s">
        <v>1074</v>
      </c>
    </row>
    <row r="106" spans="1:2">
      <c r="A106" s="18" t="s">
        <v>367</v>
      </c>
      <c r="B106" s="18" t="s">
        <v>1075</v>
      </c>
    </row>
    <row r="107" spans="1:2">
      <c r="A107" s="18" t="s">
        <v>369</v>
      </c>
      <c r="B107" s="18" t="s">
        <v>1076</v>
      </c>
    </row>
    <row r="108" spans="1:2">
      <c r="A108" s="18" t="s">
        <v>371</v>
      </c>
      <c r="B108" s="18" t="s">
        <v>1077</v>
      </c>
    </row>
    <row r="109" spans="1:2">
      <c r="A109" s="18" t="s">
        <v>373</v>
      </c>
      <c r="B109" s="18" t="s">
        <v>985</v>
      </c>
    </row>
    <row r="110" spans="1:2">
      <c r="A110" s="18" t="s">
        <v>375</v>
      </c>
      <c r="B110" s="18" t="s">
        <v>1078</v>
      </c>
    </row>
    <row r="111" spans="1:2">
      <c r="A111" s="18" t="s">
        <v>377</v>
      </c>
      <c r="B111" s="18" t="s">
        <v>1079</v>
      </c>
    </row>
    <row r="112" spans="1:2">
      <c r="A112" s="18" t="s">
        <v>378</v>
      </c>
      <c r="B112" s="18" t="s">
        <v>1080</v>
      </c>
    </row>
    <row r="113" spans="1:2">
      <c r="A113" s="18" t="s">
        <v>380</v>
      </c>
      <c r="B113" s="18" t="s">
        <v>1081</v>
      </c>
    </row>
    <row r="114" spans="1:2">
      <c r="A114" s="18" t="s">
        <v>381</v>
      </c>
      <c r="B114" s="18" t="s">
        <v>1082</v>
      </c>
    </row>
    <row r="115" spans="1:2">
      <c r="A115" s="18" t="s">
        <v>382</v>
      </c>
      <c r="B115" s="18" t="s">
        <v>1083</v>
      </c>
    </row>
    <row r="116" spans="1:2">
      <c r="A116" s="18" t="s">
        <v>383</v>
      </c>
      <c r="B116" s="18" t="s">
        <v>1084</v>
      </c>
    </row>
    <row r="117" spans="1:2">
      <c r="A117" s="18" t="s">
        <v>385</v>
      </c>
      <c r="B117" s="18" t="s">
        <v>1085</v>
      </c>
    </row>
    <row r="118" spans="1:2">
      <c r="A118" s="18" t="s">
        <v>387</v>
      </c>
      <c r="B118" s="18" t="s">
        <v>1086</v>
      </c>
    </row>
    <row r="119" spans="1:2">
      <c r="A119" s="18" t="s">
        <v>389</v>
      </c>
      <c r="B119" s="18" t="s">
        <v>1087</v>
      </c>
    </row>
    <row r="120" spans="1:2">
      <c r="A120" s="18" t="s">
        <v>390</v>
      </c>
      <c r="B120" s="18" t="s">
        <v>1076</v>
      </c>
    </row>
    <row r="121" spans="1:2">
      <c r="A121" s="18" t="s">
        <v>391</v>
      </c>
      <c r="B121" s="18" t="s">
        <v>1088</v>
      </c>
    </row>
    <row r="122" spans="1:2">
      <c r="A122" s="18" t="s">
        <v>392</v>
      </c>
      <c r="B122" s="18" t="s">
        <v>1089</v>
      </c>
    </row>
    <row r="123" spans="1:2">
      <c r="A123" s="18" t="s">
        <v>394</v>
      </c>
      <c r="B123" s="18" t="s">
        <v>1090</v>
      </c>
    </row>
    <row r="124" spans="1:2">
      <c r="A124" s="18" t="s">
        <v>396</v>
      </c>
      <c r="B124" s="18" t="s">
        <v>1091</v>
      </c>
    </row>
    <row r="125" spans="1:2">
      <c r="A125" s="18" t="s">
        <v>398</v>
      </c>
      <c r="B125" s="18" t="s">
        <v>1092</v>
      </c>
    </row>
    <row r="126" spans="1:2">
      <c r="A126" s="18" t="s">
        <v>399</v>
      </c>
      <c r="B126" s="18" t="s">
        <v>1093</v>
      </c>
    </row>
    <row r="127" spans="1:2">
      <c r="A127" s="18" t="s">
        <v>401</v>
      </c>
      <c r="B127" s="18" t="s">
        <v>1045</v>
      </c>
    </row>
    <row r="128" spans="1:2">
      <c r="A128" s="18" t="s">
        <v>402</v>
      </c>
      <c r="B128" s="18" t="s">
        <v>1046</v>
      </c>
    </row>
    <row r="129" spans="1:2">
      <c r="A129" s="18" t="s">
        <v>403</v>
      </c>
      <c r="B129" s="18" t="s">
        <v>1047</v>
      </c>
    </row>
    <row r="130" spans="1:2">
      <c r="A130" s="18" t="s">
        <v>405</v>
      </c>
      <c r="B130" s="18" t="s">
        <v>1094</v>
      </c>
    </row>
    <row r="131" spans="1:2">
      <c r="A131" s="18" t="s">
        <v>407</v>
      </c>
      <c r="B131" s="18" t="s">
        <v>1050</v>
      </c>
    </row>
    <row r="132" spans="1:2">
      <c r="A132" s="18" t="s">
        <v>409</v>
      </c>
      <c r="B132" s="18" t="s">
        <v>1055</v>
      </c>
    </row>
    <row r="133" spans="1:2">
      <c r="A133" s="18" t="s">
        <v>410</v>
      </c>
      <c r="B133" s="18" t="s">
        <v>1056</v>
      </c>
    </row>
    <row r="134" spans="1:2">
      <c r="A134" s="18" t="s">
        <v>412</v>
      </c>
      <c r="B134" s="18" t="s">
        <v>1095</v>
      </c>
    </row>
    <row r="135" spans="1:2">
      <c r="A135" s="18" t="s">
        <v>413</v>
      </c>
      <c r="B135" s="18" t="s">
        <v>1096</v>
      </c>
    </row>
    <row r="136" spans="1:2">
      <c r="A136" s="18" t="s">
        <v>414</v>
      </c>
      <c r="B136" s="18" t="s">
        <v>1097</v>
      </c>
    </row>
    <row r="137" spans="1:2">
      <c r="A137" s="18" t="s">
        <v>415</v>
      </c>
      <c r="B137" s="18" t="s">
        <v>985</v>
      </c>
    </row>
    <row r="138" spans="1:2">
      <c r="A138" s="18" t="s">
        <v>417</v>
      </c>
      <c r="B138" s="18" t="s">
        <v>1080</v>
      </c>
    </row>
    <row r="139" spans="1:2">
      <c r="A139" s="18" t="s">
        <v>419</v>
      </c>
      <c r="B139" s="18" t="s">
        <v>1082</v>
      </c>
    </row>
    <row r="140" spans="1:2">
      <c r="A140" s="18" t="s">
        <v>420</v>
      </c>
      <c r="B140" s="18" t="s">
        <v>1084</v>
      </c>
    </row>
    <row r="141" spans="1:2">
      <c r="A141" s="18" t="s">
        <v>422</v>
      </c>
      <c r="B141" s="18" t="s">
        <v>1085</v>
      </c>
    </row>
    <row r="142" spans="1:2">
      <c r="A142" s="18" t="s">
        <v>424</v>
      </c>
      <c r="B142" s="18" t="s">
        <v>1086</v>
      </c>
    </row>
    <row r="143" spans="1:2">
      <c r="A143" s="18" t="s">
        <v>425</v>
      </c>
      <c r="B143" s="18" t="s">
        <v>1098</v>
      </c>
    </row>
    <row r="144" spans="1:2">
      <c r="A144" s="18" t="s">
        <v>427</v>
      </c>
      <c r="B144" s="18" t="s">
        <v>1099</v>
      </c>
    </row>
    <row r="145" spans="1:2">
      <c r="A145" s="18" t="s">
        <v>428</v>
      </c>
      <c r="B145" s="18" t="s">
        <v>1092</v>
      </c>
    </row>
    <row r="146" spans="1:2">
      <c r="A146" s="18" t="s">
        <v>430</v>
      </c>
      <c r="B146" s="18" t="s">
        <v>1100</v>
      </c>
    </row>
    <row r="147" spans="1:2">
      <c r="A147" s="18" t="s">
        <v>431</v>
      </c>
      <c r="B147" s="18" t="s">
        <v>1101</v>
      </c>
    </row>
    <row r="148" spans="1:2">
      <c r="A148" s="18" t="s">
        <v>432</v>
      </c>
      <c r="B148" s="18" t="s">
        <v>1102</v>
      </c>
    </row>
    <row r="149" spans="1:2">
      <c r="A149" s="18" t="s">
        <v>65</v>
      </c>
      <c r="B149" s="18" t="s">
        <v>1103</v>
      </c>
    </row>
    <row r="150" spans="1:2">
      <c r="A150" s="18" t="s">
        <v>434</v>
      </c>
      <c r="B150" s="18" t="s">
        <v>1104</v>
      </c>
    </row>
    <row r="151" spans="1:2">
      <c r="A151" s="18" t="s">
        <v>436</v>
      </c>
      <c r="B151" s="18" t="s">
        <v>1105</v>
      </c>
    </row>
    <row r="152" spans="1:2">
      <c r="A152" s="18" t="s">
        <v>438</v>
      </c>
      <c r="B152" s="18" t="s">
        <v>1106</v>
      </c>
    </row>
    <row r="153" spans="1:2">
      <c r="A153" s="18" t="s">
        <v>440</v>
      </c>
      <c r="B153" s="18" t="s">
        <v>1107</v>
      </c>
    </row>
    <row r="154" spans="1:2">
      <c r="A154" s="18" t="s">
        <v>442</v>
      </c>
      <c r="B154" s="18" t="s">
        <v>1108</v>
      </c>
    </row>
    <row r="155" spans="1:2">
      <c r="A155" s="18" t="s">
        <v>444</v>
      </c>
      <c r="B155" s="18" t="s">
        <v>1109</v>
      </c>
    </row>
    <row r="156" spans="1:2">
      <c r="A156" s="18" t="s">
        <v>446</v>
      </c>
      <c r="B156" s="18" t="s">
        <v>1110</v>
      </c>
    </row>
    <row r="157" spans="1:2">
      <c r="A157" s="18" t="s">
        <v>448</v>
      </c>
      <c r="B157" s="18" t="s">
        <v>1111</v>
      </c>
    </row>
    <row r="158" spans="1:2">
      <c r="A158" s="18" t="s">
        <v>450</v>
      </c>
      <c r="B158" s="18" t="s">
        <v>1112</v>
      </c>
    </row>
    <row r="159" spans="1:2">
      <c r="A159" s="18" t="s">
        <v>452</v>
      </c>
      <c r="B159" s="18" t="s">
        <v>1113</v>
      </c>
    </row>
    <row r="160" spans="1:2">
      <c r="A160" s="18" t="s">
        <v>454</v>
      </c>
      <c r="B160" s="18" t="s">
        <v>1114</v>
      </c>
    </row>
    <row r="161" spans="1:2">
      <c r="A161" s="18" t="s">
        <v>456</v>
      </c>
      <c r="B161" s="18" t="s">
        <v>1115</v>
      </c>
    </row>
    <row r="162" spans="1:2">
      <c r="A162" s="18" t="s">
        <v>458</v>
      </c>
      <c r="B162" s="18" t="s">
        <v>1116</v>
      </c>
    </row>
    <row r="163" spans="1:2">
      <c r="A163" s="18" t="s">
        <v>460</v>
      </c>
      <c r="B163" s="18" t="s">
        <v>1117</v>
      </c>
    </row>
    <row r="164" spans="1:2">
      <c r="A164" s="18" t="s">
        <v>462</v>
      </c>
      <c r="B164" s="18" t="s">
        <v>1118</v>
      </c>
    </row>
    <row r="165" spans="1:2">
      <c r="A165" s="18" t="s">
        <v>463</v>
      </c>
      <c r="B165" s="18" t="s">
        <v>1119</v>
      </c>
    </row>
    <row r="166" spans="1:2">
      <c r="A166" s="18" t="s">
        <v>464</v>
      </c>
      <c r="B166" s="18" t="s">
        <v>985</v>
      </c>
    </row>
    <row r="167" spans="1:2">
      <c r="A167" s="18" t="s">
        <v>465</v>
      </c>
      <c r="B167" s="18" t="s">
        <v>1120</v>
      </c>
    </row>
    <row r="168" spans="1:2">
      <c r="A168" s="18" t="s">
        <v>466</v>
      </c>
      <c r="B168" s="18" t="s">
        <v>1121</v>
      </c>
    </row>
    <row r="169" spans="1:2">
      <c r="A169" s="18" t="s">
        <v>468</v>
      </c>
      <c r="B169" s="18" t="s">
        <v>1122</v>
      </c>
    </row>
    <row r="170" spans="1:2">
      <c r="A170" s="18" t="s">
        <v>470</v>
      </c>
      <c r="B170" s="18" t="s">
        <v>1123</v>
      </c>
    </row>
    <row r="171" spans="1:2">
      <c r="A171" s="18" t="s">
        <v>472</v>
      </c>
      <c r="B171" s="18" t="s">
        <v>1124</v>
      </c>
    </row>
    <row r="172" spans="1:2">
      <c r="A172" s="18" t="s">
        <v>474</v>
      </c>
      <c r="B172" s="18" t="s">
        <v>1125</v>
      </c>
    </row>
    <row r="173" spans="1:2">
      <c r="A173" s="18" t="s">
        <v>476</v>
      </c>
      <c r="B173" s="18" t="s">
        <v>1126</v>
      </c>
    </row>
    <row r="174" spans="1:2">
      <c r="A174" s="18" t="s">
        <v>478</v>
      </c>
      <c r="B174" s="18" t="s">
        <v>1127</v>
      </c>
    </row>
    <row r="175" spans="1:2">
      <c r="A175" s="18" t="s">
        <v>480</v>
      </c>
      <c r="B175" s="18" t="s">
        <v>1128</v>
      </c>
    </row>
    <row r="176" spans="1:2">
      <c r="A176" s="18" t="s">
        <v>481</v>
      </c>
      <c r="B176" s="18" t="s">
        <v>1129</v>
      </c>
    </row>
    <row r="177" spans="1:2">
      <c r="A177" s="18" t="s">
        <v>483</v>
      </c>
      <c r="B177" s="18" t="s">
        <v>1130</v>
      </c>
    </row>
    <row r="178" spans="1:2">
      <c r="A178" s="18" t="s">
        <v>484</v>
      </c>
      <c r="B178" s="18" t="s">
        <v>1131</v>
      </c>
    </row>
    <row r="179" spans="1:2">
      <c r="A179" s="18" t="s">
        <v>486</v>
      </c>
      <c r="B179" s="18" t="s">
        <v>1132</v>
      </c>
    </row>
    <row r="180" spans="1:2">
      <c r="A180" s="18" t="s">
        <v>488</v>
      </c>
      <c r="B180" s="18" t="s">
        <v>1133</v>
      </c>
    </row>
    <row r="181" spans="1:2">
      <c r="A181" s="18" t="s">
        <v>489</v>
      </c>
      <c r="B181" s="18" t="s">
        <v>1134</v>
      </c>
    </row>
    <row r="182" spans="1:2">
      <c r="A182" s="18" t="s">
        <v>491</v>
      </c>
      <c r="B182" s="18" t="s">
        <v>1135</v>
      </c>
    </row>
    <row r="183" spans="1:2">
      <c r="A183" s="18" t="s">
        <v>493</v>
      </c>
      <c r="B183" s="18" t="s">
        <v>1136</v>
      </c>
    </row>
    <row r="184" spans="1:2">
      <c r="A184" s="18" t="s">
        <v>495</v>
      </c>
      <c r="B184" s="18" t="s">
        <v>1137</v>
      </c>
    </row>
    <row r="185" spans="1:2">
      <c r="A185" s="18" t="s">
        <v>497</v>
      </c>
      <c r="B185" s="18" t="s">
        <v>1138</v>
      </c>
    </row>
    <row r="186" spans="1:2">
      <c r="A186" s="18" t="s">
        <v>498</v>
      </c>
      <c r="B186" s="18" t="s">
        <v>985</v>
      </c>
    </row>
    <row r="187" spans="1:2">
      <c r="A187" s="18" t="s">
        <v>499</v>
      </c>
      <c r="B187" s="18" t="s">
        <v>1139</v>
      </c>
    </row>
    <row r="188" spans="1:2">
      <c r="A188" s="18" t="s">
        <v>500</v>
      </c>
      <c r="B188" s="18" t="s">
        <v>1140</v>
      </c>
    </row>
    <row r="189" spans="1:2">
      <c r="A189" s="18" t="s">
        <v>501</v>
      </c>
      <c r="B189" s="18" t="s">
        <v>1141</v>
      </c>
    </row>
    <row r="190" spans="1:2">
      <c r="A190" s="18" t="s">
        <v>502</v>
      </c>
      <c r="B190" s="18" t="s">
        <v>1142</v>
      </c>
    </row>
    <row r="191" spans="1:2">
      <c r="A191" s="18" t="s">
        <v>503</v>
      </c>
      <c r="B191" s="18" t="s">
        <v>1143</v>
      </c>
    </row>
    <row r="192" spans="1:2">
      <c r="A192" s="18" t="s">
        <v>504</v>
      </c>
      <c r="B192" s="18" t="s">
        <v>1144</v>
      </c>
    </row>
    <row r="193" spans="1:2">
      <c r="A193" s="18" t="s">
        <v>505</v>
      </c>
      <c r="B193" s="18" t="s">
        <v>1145</v>
      </c>
    </row>
    <row r="194" spans="1:2">
      <c r="A194" s="18" t="s">
        <v>506</v>
      </c>
      <c r="B194" s="18" t="s">
        <v>1146</v>
      </c>
    </row>
    <row r="195" spans="1:2">
      <c r="A195" s="18" t="s">
        <v>507</v>
      </c>
      <c r="B195" s="18" t="s">
        <v>1147</v>
      </c>
    </row>
    <row r="196" spans="1:2">
      <c r="A196" s="18" t="s">
        <v>508</v>
      </c>
      <c r="B196" s="18" t="s">
        <v>1148</v>
      </c>
    </row>
    <row r="197" spans="1:2">
      <c r="A197" s="18" t="s">
        <v>509</v>
      </c>
      <c r="B197" s="18" t="s">
        <v>1149</v>
      </c>
    </row>
    <row r="198" spans="1:2">
      <c r="A198" s="18" t="s">
        <v>510</v>
      </c>
      <c r="B198" s="18" t="s">
        <v>1150</v>
      </c>
    </row>
    <row r="199" spans="1:2">
      <c r="A199" s="18" t="s">
        <v>511</v>
      </c>
      <c r="B199" s="18" t="s">
        <v>1151</v>
      </c>
    </row>
    <row r="200" spans="1:2">
      <c r="A200" s="18" t="s">
        <v>512</v>
      </c>
      <c r="B200" s="18" t="s">
        <v>1152</v>
      </c>
    </row>
    <row r="201" spans="1:2">
      <c r="A201" s="18" t="s">
        <v>513</v>
      </c>
      <c r="B201" s="18" t="s">
        <v>1153</v>
      </c>
    </row>
    <row r="202" spans="1:2">
      <c r="A202" s="18" t="s">
        <v>514</v>
      </c>
      <c r="B202" s="18" t="s">
        <v>1154</v>
      </c>
    </row>
    <row r="203" spans="1:2">
      <c r="A203" s="18" t="s">
        <v>515</v>
      </c>
      <c r="B203" s="18" t="s">
        <v>1155</v>
      </c>
    </row>
    <row r="204" spans="1:2">
      <c r="A204" s="18" t="s">
        <v>516</v>
      </c>
      <c r="B204" s="18" t="s">
        <v>1156</v>
      </c>
    </row>
    <row r="205" spans="1:2">
      <c r="A205" s="18" t="s">
        <v>517</v>
      </c>
      <c r="B205" s="18" t="s">
        <v>985</v>
      </c>
    </row>
    <row r="206" spans="1:2">
      <c r="A206" s="18" t="s">
        <v>518</v>
      </c>
      <c r="B206" s="18" t="s">
        <v>1157</v>
      </c>
    </row>
    <row r="207" spans="1:2">
      <c r="A207" s="18" t="s">
        <v>519</v>
      </c>
      <c r="B207" s="18" t="s">
        <v>1158</v>
      </c>
    </row>
    <row r="208" spans="1:2">
      <c r="A208" s="18" t="s">
        <v>520</v>
      </c>
      <c r="B208" s="18" t="s">
        <v>1159</v>
      </c>
    </row>
    <row r="209" spans="1:2">
      <c r="A209" s="18" t="s">
        <v>521</v>
      </c>
      <c r="B209" s="18" t="s">
        <v>1160</v>
      </c>
    </row>
    <row r="210" spans="1:2">
      <c r="A210" s="18" t="s">
        <v>522</v>
      </c>
      <c r="B210" s="18" t="s">
        <v>1161</v>
      </c>
    </row>
    <row r="211" spans="1:2">
      <c r="A211" s="18" t="s">
        <v>523</v>
      </c>
      <c r="B211" s="18" t="s">
        <v>1162</v>
      </c>
    </row>
    <row r="212" spans="1:2">
      <c r="A212" s="18" t="s">
        <v>524</v>
      </c>
      <c r="B212" s="18" t="s">
        <v>1163</v>
      </c>
    </row>
    <row r="213" spans="1:2">
      <c r="A213" s="18" t="s">
        <v>525</v>
      </c>
      <c r="B213" s="18" t="s">
        <v>1164</v>
      </c>
    </row>
    <row r="214" spans="1:2">
      <c r="A214" s="18" t="s">
        <v>526</v>
      </c>
      <c r="B214" s="18" t="s">
        <v>1165</v>
      </c>
    </row>
    <row r="215" spans="1:2">
      <c r="A215" s="18" t="s">
        <v>527</v>
      </c>
      <c r="B215" s="18" t="s">
        <v>1166</v>
      </c>
    </row>
    <row r="216" spans="1:2">
      <c r="A216" s="18" t="s">
        <v>528</v>
      </c>
      <c r="B216" s="18" t="s">
        <v>1167</v>
      </c>
    </row>
    <row r="217" spans="1:2">
      <c r="A217" s="18" t="s">
        <v>529</v>
      </c>
      <c r="B217" s="18" t="s">
        <v>1168</v>
      </c>
    </row>
    <row r="218" spans="1:2">
      <c r="A218" s="18" t="s">
        <v>530</v>
      </c>
      <c r="B218" s="18" t="s">
        <v>1169</v>
      </c>
    </row>
    <row r="219" spans="1:2">
      <c r="A219" s="18" t="s">
        <v>531</v>
      </c>
      <c r="B219" s="18" t="s">
        <v>1170</v>
      </c>
    </row>
    <row r="220" spans="1:2">
      <c r="A220" s="18" t="s">
        <v>532</v>
      </c>
      <c r="B220" s="18" t="s">
        <v>1171</v>
      </c>
    </row>
    <row r="221" spans="1:2">
      <c r="A221" s="18" t="s">
        <v>533</v>
      </c>
      <c r="B221" s="18" t="s">
        <v>1172</v>
      </c>
    </row>
    <row r="222" spans="1:2">
      <c r="A222" s="18" t="s">
        <v>534</v>
      </c>
      <c r="B222" s="18" t="s">
        <v>1173</v>
      </c>
    </row>
    <row r="223" spans="1:2">
      <c r="A223" s="18" t="s">
        <v>535</v>
      </c>
      <c r="B223" s="18" t="s">
        <v>1174</v>
      </c>
    </row>
    <row r="224" spans="1:2">
      <c r="A224" s="18" t="s">
        <v>536</v>
      </c>
      <c r="B224" s="18" t="s">
        <v>1175</v>
      </c>
    </row>
    <row r="225" spans="1:2">
      <c r="A225" s="18" t="s">
        <v>537</v>
      </c>
      <c r="B225" s="18" t="s">
        <v>1176</v>
      </c>
    </row>
    <row r="226" spans="1:2">
      <c r="A226" s="18" t="s">
        <v>538</v>
      </c>
      <c r="B226" s="18" t="s">
        <v>1177</v>
      </c>
    </row>
    <row r="227" spans="1:2">
      <c r="A227" s="18" t="s">
        <v>539</v>
      </c>
      <c r="B227" s="18" t="s">
        <v>1178</v>
      </c>
    </row>
    <row r="228" spans="1:2">
      <c r="A228" s="18" t="s">
        <v>540</v>
      </c>
      <c r="B228" s="18" t="s">
        <v>1179</v>
      </c>
    </row>
    <row r="229" spans="1:2">
      <c r="A229" s="18" t="s">
        <v>541</v>
      </c>
      <c r="B229" s="18" t="s">
        <v>1180</v>
      </c>
    </row>
    <row r="230" spans="1:2">
      <c r="A230" s="18" t="s">
        <v>542</v>
      </c>
      <c r="B230" s="18" t="s">
        <v>1181</v>
      </c>
    </row>
    <row r="231" spans="1:2">
      <c r="A231" s="18" t="s">
        <v>543</v>
      </c>
      <c r="B231" s="18" t="s">
        <v>1182</v>
      </c>
    </row>
    <row r="232" spans="1:2">
      <c r="A232" s="18" t="s">
        <v>544</v>
      </c>
      <c r="B232" s="18" t="s">
        <v>1183</v>
      </c>
    </row>
    <row r="233" spans="1:2">
      <c r="A233" s="18" t="s">
        <v>545</v>
      </c>
      <c r="B233" s="18" t="s">
        <v>985</v>
      </c>
    </row>
    <row r="234" spans="1:2">
      <c r="A234" s="18" t="s">
        <v>546</v>
      </c>
      <c r="B234" s="18" t="s">
        <v>1184</v>
      </c>
    </row>
    <row r="235" spans="1:2">
      <c r="A235" s="18" t="s">
        <v>547</v>
      </c>
      <c r="B235" s="18" t="s">
        <v>1170</v>
      </c>
    </row>
    <row r="236" spans="1:2">
      <c r="A236" s="18" t="s">
        <v>548</v>
      </c>
      <c r="B236" s="18" t="s">
        <v>1013</v>
      </c>
    </row>
    <row r="237" spans="1:2">
      <c r="A237" s="18" t="s">
        <v>549</v>
      </c>
      <c r="B237" s="18" t="s">
        <v>1185</v>
      </c>
    </row>
    <row r="238" spans="1:2">
      <c r="A238" s="18" t="s">
        <v>550</v>
      </c>
      <c r="B238" s="18" t="s">
        <v>1186</v>
      </c>
    </row>
    <row r="239" spans="1:2">
      <c r="A239" s="18" t="s">
        <v>551</v>
      </c>
      <c r="B239" s="18" t="s">
        <v>1187</v>
      </c>
    </row>
    <row r="240" spans="1:2">
      <c r="A240" s="18" t="s">
        <v>552</v>
      </c>
      <c r="B240" s="18" t="s">
        <v>975</v>
      </c>
    </row>
    <row r="241" spans="1:2">
      <c r="A241" s="18" t="s">
        <v>553</v>
      </c>
      <c r="B241" s="18" t="s">
        <v>1188</v>
      </c>
    </row>
    <row r="242" spans="1:2">
      <c r="A242" s="18" t="s">
        <v>554</v>
      </c>
      <c r="B242" s="18" t="s">
        <v>1189</v>
      </c>
    </row>
    <row r="243" spans="1:2">
      <c r="A243" s="18" t="s">
        <v>53</v>
      </c>
      <c r="B243" s="18" t="s">
        <v>1190</v>
      </c>
    </row>
    <row r="244" spans="1:2">
      <c r="A244" s="18" t="s">
        <v>555</v>
      </c>
      <c r="B244" s="18" t="s">
        <v>1191</v>
      </c>
    </row>
    <row r="245" spans="1:2">
      <c r="A245" s="18" t="s">
        <v>556</v>
      </c>
      <c r="B245" s="18" t="s">
        <v>1192</v>
      </c>
    </row>
    <row r="246" spans="1:2">
      <c r="A246" s="18" t="s">
        <v>557</v>
      </c>
      <c r="B246" s="18" t="s">
        <v>1193</v>
      </c>
    </row>
    <row r="247" spans="1:2">
      <c r="A247" s="18" t="s">
        <v>558</v>
      </c>
      <c r="B247" s="18" t="s">
        <v>1194</v>
      </c>
    </row>
    <row r="248" spans="1:2">
      <c r="A248" s="18" t="s">
        <v>559</v>
      </c>
      <c r="B248" s="18" t="s">
        <v>1195</v>
      </c>
    </row>
    <row r="249" spans="1:2">
      <c r="A249" s="18" t="s">
        <v>560</v>
      </c>
      <c r="B249" s="18" t="s">
        <v>1196</v>
      </c>
    </row>
    <row r="250" spans="1:2">
      <c r="A250" s="18" t="s">
        <v>561</v>
      </c>
      <c r="B250" s="18" t="s">
        <v>977</v>
      </c>
    </row>
    <row r="251" spans="1:2">
      <c r="A251" s="18" t="s">
        <v>562</v>
      </c>
      <c r="B251" s="18" t="s">
        <v>1197</v>
      </c>
    </row>
    <row r="252" spans="1:2">
      <c r="A252" s="18" t="s">
        <v>563</v>
      </c>
      <c r="B252" s="18" t="s">
        <v>1198</v>
      </c>
    </row>
    <row r="253" spans="1:2">
      <c r="A253" s="18" t="s">
        <v>564</v>
      </c>
      <c r="B253" s="18" t="s">
        <v>1199</v>
      </c>
    </row>
    <row r="254" spans="1:2">
      <c r="A254" s="18" t="s">
        <v>565</v>
      </c>
      <c r="B254" s="18" t="s">
        <v>1200</v>
      </c>
    </row>
    <row r="255" spans="1:2">
      <c r="A255" s="18" t="s">
        <v>566</v>
      </c>
      <c r="B255" s="18" t="s">
        <v>1201</v>
      </c>
    </row>
    <row r="256" spans="1:2">
      <c r="A256" s="18" t="s">
        <v>567</v>
      </c>
      <c r="B256" s="18" t="s">
        <v>1202</v>
      </c>
    </row>
    <row r="257" spans="1:2">
      <c r="A257" s="18" t="s">
        <v>568</v>
      </c>
      <c r="B257" s="18" t="s">
        <v>1203</v>
      </c>
    </row>
    <row r="258" spans="1:2">
      <c r="A258" s="18" t="s">
        <v>569</v>
      </c>
      <c r="B258" s="18" t="s">
        <v>1204</v>
      </c>
    </row>
    <row r="259" spans="1:2">
      <c r="A259" s="18" t="s">
        <v>570</v>
      </c>
      <c r="B259" s="18" t="s">
        <v>1205</v>
      </c>
    </row>
    <row r="260" spans="1:2">
      <c r="A260" s="18" t="s">
        <v>571</v>
      </c>
      <c r="B260" s="18" t="s">
        <v>1206</v>
      </c>
    </row>
    <row r="261" spans="1:2">
      <c r="A261" s="18" t="s">
        <v>572</v>
      </c>
      <c r="B261" s="18" t="s">
        <v>1207</v>
      </c>
    </row>
    <row r="262" spans="1:2">
      <c r="A262" s="18" t="s">
        <v>573</v>
      </c>
      <c r="B262" s="18" t="s">
        <v>1208</v>
      </c>
    </row>
    <row r="263" spans="1:2">
      <c r="A263" s="18" t="s">
        <v>574</v>
      </c>
      <c r="B263" s="18" t="s">
        <v>1209</v>
      </c>
    </row>
    <row r="264" spans="1:2">
      <c r="A264" s="18" t="s">
        <v>575</v>
      </c>
      <c r="B264" s="18" t="s">
        <v>1210</v>
      </c>
    </row>
    <row r="265" spans="1:2">
      <c r="A265" s="18" t="s">
        <v>576</v>
      </c>
      <c r="B265" s="18" t="s">
        <v>1211</v>
      </c>
    </row>
    <row r="266" spans="1:2">
      <c r="A266" s="18" t="s">
        <v>577</v>
      </c>
      <c r="B266" s="18" t="s">
        <v>1212</v>
      </c>
    </row>
    <row r="267" spans="1:2">
      <c r="A267" s="18" t="s">
        <v>578</v>
      </c>
      <c r="B267" s="18" t="s">
        <v>1213</v>
      </c>
    </row>
    <row r="268" spans="1:2">
      <c r="A268" s="18" t="s">
        <v>579</v>
      </c>
      <c r="B268" s="18" t="s">
        <v>985</v>
      </c>
    </row>
    <row r="269" spans="1:2">
      <c r="A269" s="18" t="s">
        <v>580</v>
      </c>
      <c r="B269" s="18" t="s">
        <v>982</v>
      </c>
    </row>
    <row r="270" spans="1:2">
      <c r="A270" s="18" t="s">
        <v>581</v>
      </c>
      <c r="B270" s="18" t="s">
        <v>1203</v>
      </c>
    </row>
    <row r="271" spans="1:2">
      <c r="A271" s="18" t="s">
        <v>582</v>
      </c>
      <c r="B271" s="18" t="s">
        <v>1154</v>
      </c>
    </row>
    <row r="272" spans="1:2">
      <c r="A272" s="18" t="s">
        <v>583</v>
      </c>
      <c r="B272" s="18" t="s">
        <v>1214</v>
      </c>
    </row>
    <row r="273" spans="1:2">
      <c r="A273" s="18" t="s">
        <v>584</v>
      </c>
      <c r="B273" s="18" t="s">
        <v>1215</v>
      </c>
    </row>
    <row r="274" spans="1:2">
      <c r="A274" s="18" t="s">
        <v>585</v>
      </c>
      <c r="B274" s="18" t="s">
        <v>1216</v>
      </c>
    </row>
    <row r="275" spans="1:2">
      <c r="A275" s="18" t="s">
        <v>586</v>
      </c>
      <c r="B275" s="18" t="s">
        <v>1217</v>
      </c>
    </row>
    <row r="276" spans="1:2">
      <c r="A276" s="18" t="s">
        <v>587</v>
      </c>
      <c r="B276" s="18" t="s">
        <v>1019</v>
      </c>
    </row>
    <row r="277" spans="1:2">
      <c r="A277" s="18" t="s">
        <v>588</v>
      </c>
      <c r="B277" s="18" t="s">
        <v>1020</v>
      </c>
    </row>
    <row r="278" spans="1:2">
      <c r="A278" s="18" t="s">
        <v>589</v>
      </c>
      <c r="B278" s="18" t="s">
        <v>1218</v>
      </c>
    </row>
    <row r="279" spans="1:2">
      <c r="A279" s="18" t="s">
        <v>590</v>
      </c>
      <c r="B279" s="18" t="s">
        <v>1021</v>
      </c>
    </row>
    <row r="280" spans="1:2">
      <c r="A280" s="18" t="s">
        <v>591</v>
      </c>
      <c r="B280" s="18" t="s">
        <v>1022</v>
      </c>
    </row>
    <row r="281" spans="1:2">
      <c r="A281" s="18" t="s">
        <v>592</v>
      </c>
      <c r="B281" s="18" t="s">
        <v>1023</v>
      </c>
    </row>
    <row r="282" spans="1:2">
      <c r="A282" s="18" t="s">
        <v>593</v>
      </c>
      <c r="B282" s="18" t="s">
        <v>1219</v>
      </c>
    </row>
    <row r="283" spans="1:2">
      <c r="A283" s="18" t="s">
        <v>594</v>
      </c>
      <c r="B283" s="18" t="s">
        <v>1024</v>
      </c>
    </row>
    <row r="284" spans="1:2">
      <c r="A284" s="18" t="s">
        <v>595</v>
      </c>
      <c r="B284" s="18" t="s">
        <v>1025</v>
      </c>
    </row>
    <row r="285" spans="1:2">
      <c r="A285" s="18" t="s">
        <v>596</v>
      </c>
      <c r="B285" s="18" t="s">
        <v>1220</v>
      </c>
    </row>
    <row r="286" spans="1:2">
      <c r="A286" s="18" t="s">
        <v>597</v>
      </c>
      <c r="B286" s="18" t="s">
        <v>1221</v>
      </c>
    </row>
    <row r="287" spans="1:2">
      <c r="A287" s="18" t="s">
        <v>598</v>
      </c>
      <c r="B287" s="18" t="s">
        <v>1027</v>
      </c>
    </row>
    <row r="288" spans="1:2">
      <c r="A288" s="18" t="s">
        <v>599</v>
      </c>
      <c r="B288" s="18" t="s">
        <v>1028</v>
      </c>
    </row>
    <row r="289" spans="1:2">
      <c r="A289" s="18" t="s">
        <v>600</v>
      </c>
      <c r="B289" s="18" t="s">
        <v>1030</v>
      </c>
    </row>
    <row r="290" spans="1:2">
      <c r="A290" s="18" t="s">
        <v>601</v>
      </c>
      <c r="B290" s="18" t="s">
        <v>1222</v>
      </c>
    </row>
    <row r="291" spans="1:2">
      <c r="A291" s="18" t="s">
        <v>602</v>
      </c>
      <c r="B291" s="18" t="s">
        <v>1143</v>
      </c>
    </row>
    <row r="292" spans="1:2">
      <c r="A292" s="18" t="s">
        <v>603</v>
      </c>
      <c r="B292" s="18" t="s">
        <v>1223</v>
      </c>
    </row>
    <row r="293" spans="1:2">
      <c r="A293" s="18" t="s">
        <v>604</v>
      </c>
      <c r="B293" s="18" t="s">
        <v>1031</v>
      </c>
    </row>
    <row r="294" spans="1:2">
      <c r="A294" s="18" t="s">
        <v>605</v>
      </c>
      <c r="B294" s="18" t="s">
        <v>1224</v>
      </c>
    </row>
    <row r="295" spans="1:2">
      <c r="A295" s="18" t="s">
        <v>606</v>
      </c>
      <c r="B295" s="18" t="s">
        <v>1033</v>
      </c>
    </row>
    <row r="296" spans="1:2">
      <c r="A296" s="18" t="s">
        <v>607</v>
      </c>
      <c r="B296" s="18" t="s">
        <v>1034</v>
      </c>
    </row>
    <row r="297" spans="1:2">
      <c r="A297" s="18" t="s">
        <v>608</v>
      </c>
      <c r="B297" s="18" t="s">
        <v>1225</v>
      </c>
    </row>
    <row r="298" spans="1:2">
      <c r="A298" s="18" t="s">
        <v>609</v>
      </c>
      <c r="B298" s="18" t="s">
        <v>1226</v>
      </c>
    </row>
    <row r="299" spans="1:2">
      <c r="A299" s="18" t="s">
        <v>610</v>
      </c>
      <c r="B299" s="18" t="s">
        <v>1227</v>
      </c>
    </row>
    <row r="300" spans="1:2">
      <c r="A300" s="18" t="s">
        <v>611</v>
      </c>
      <c r="B300" s="18" t="s">
        <v>1035</v>
      </c>
    </row>
    <row r="301" spans="1:2">
      <c r="A301" s="18" t="s">
        <v>612</v>
      </c>
      <c r="B301" s="18" t="s">
        <v>1228</v>
      </c>
    </row>
    <row r="302" spans="1:2">
      <c r="A302" s="18" t="s">
        <v>613</v>
      </c>
      <c r="B302" s="18" t="s">
        <v>1229</v>
      </c>
    </row>
    <row r="303" spans="1:2">
      <c r="A303" s="18" t="s">
        <v>614</v>
      </c>
      <c r="B303" s="18" t="s">
        <v>1036</v>
      </c>
    </row>
    <row r="304" spans="1:2">
      <c r="A304" s="18" t="s">
        <v>615</v>
      </c>
      <c r="B304" s="18" t="s">
        <v>1230</v>
      </c>
    </row>
    <row r="305" spans="1:2">
      <c r="A305" s="18" t="s">
        <v>616</v>
      </c>
      <c r="B305" s="18" t="s">
        <v>1231</v>
      </c>
    </row>
    <row r="306" spans="1:2">
      <c r="A306" s="18" t="s">
        <v>617</v>
      </c>
      <c r="B306" s="18" t="s">
        <v>1232</v>
      </c>
    </row>
    <row r="307" spans="1:2">
      <c r="A307" s="18" t="s">
        <v>618</v>
      </c>
      <c r="B307" s="18" t="s">
        <v>1233</v>
      </c>
    </row>
    <row r="308" spans="1:2">
      <c r="A308" s="18" t="s">
        <v>619</v>
      </c>
      <c r="B308" s="18" t="s">
        <v>1234</v>
      </c>
    </row>
    <row r="309" spans="1:2">
      <c r="A309" s="18" t="s">
        <v>620</v>
      </c>
      <c r="B309" s="18" t="s">
        <v>1235</v>
      </c>
    </row>
    <row r="310" spans="1:2">
      <c r="A310" s="18" t="s">
        <v>621</v>
      </c>
      <c r="B310" s="18" t="s">
        <v>1037</v>
      </c>
    </row>
    <row r="311" spans="1:2">
      <c r="A311" s="18" t="s">
        <v>622</v>
      </c>
      <c r="B311" s="18" t="s">
        <v>1038</v>
      </c>
    </row>
    <row r="312" spans="1:2">
      <c r="A312" s="18" t="s">
        <v>623</v>
      </c>
      <c r="B312" s="18" t="s">
        <v>1236</v>
      </c>
    </row>
    <row r="313" spans="1:2">
      <c r="A313" s="18" t="s">
        <v>624</v>
      </c>
      <c r="B313" s="18" t="s">
        <v>1076</v>
      </c>
    </row>
    <row r="314" spans="1:2">
      <c r="A314" s="18" t="s">
        <v>625</v>
      </c>
      <c r="B314" s="18" t="s">
        <v>1237</v>
      </c>
    </row>
    <row r="315" spans="1:2">
      <c r="A315" s="18" t="s">
        <v>626</v>
      </c>
      <c r="B315" s="18" t="s">
        <v>1041</v>
      </c>
    </row>
    <row r="316" spans="1:2">
      <c r="A316" s="18" t="s">
        <v>627</v>
      </c>
      <c r="B316" s="18" t="s">
        <v>1238</v>
      </c>
    </row>
    <row r="317" spans="1:2">
      <c r="A317" s="18" t="s">
        <v>628</v>
      </c>
      <c r="B317" s="18" t="s">
        <v>1042</v>
      </c>
    </row>
    <row r="318" spans="1:2">
      <c r="A318" s="18" t="s">
        <v>629</v>
      </c>
      <c r="B318" s="18" t="s">
        <v>1239</v>
      </c>
    </row>
    <row r="319" spans="1:2">
      <c r="A319" s="18" t="s">
        <v>630</v>
      </c>
      <c r="B319" s="18" t="s">
        <v>1240</v>
      </c>
    </row>
    <row r="320" spans="1:2">
      <c r="A320" s="18" t="s">
        <v>631</v>
      </c>
      <c r="B320" s="18" t="s">
        <v>1241</v>
      </c>
    </row>
    <row r="321" spans="1:2">
      <c r="A321" s="18" t="s">
        <v>632</v>
      </c>
      <c r="B321" s="18" t="s">
        <v>1242</v>
      </c>
    </row>
    <row r="322" spans="1:2">
      <c r="A322" s="18" t="s">
        <v>633</v>
      </c>
      <c r="B322" s="18" t="s">
        <v>1243</v>
      </c>
    </row>
    <row r="323" spans="1:2">
      <c r="A323" s="18" t="s">
        <v>634</v>
      </c>
      <c r="B323" s="18" t="s">
        <v>1244</v>
      </c>
    </row>
    <row r="324" spans="1:2">
      <c r="A324" s="18" t="s">
        <v>635</v>
      </c>
      <c r="B324" s="18" t="s">
        <v>1245</v>
      </c>
    </row>
    <row r="325" spans="1:2">
      <c r="A325" s="18" t="s">
        <v>636</v>
      </c>
      <c r="B325" s="18" t="s">
        <v>1246</v>
      </c>
    </row>
    <row r="326" spans="1:2">
      <c r="A326" s="18" t="s">
        <v>637</v>
      </c>
      <c r="B326" s="18" t="s">
        <v>1043</v>
      </c>
    </row>
    <row r="327" spans="1:2">
      <c r="A327" s="18" t="s">
        <v>638</v>
      </c>
      <c r="B327" s="18" t="s">
        <v>1247</v>
      </c>
    </row>
    <row r="328" spans="1:2">
      <c r="A328" s="18" t="s">
        <v>639</v>
      </c>
      <c r="B328" s="18" t="s">
        <v>1248</v>
      </c>
    </row>
    <row r="329" spans="1:2">
      <c r="A329" s="18" t="s">
        <v>640</v>
      </c>
      <c r="B329" s="18" t="s">
        <v>1249</v>
      </c>
    </row>
    <row r="330" spans="1:2">
      <c r="A330" s="18" t="s">
        <v>641</v>
      </c>
      <c r="B330" s="18" t="s">
        <v>1250</v>
      </c>
    </row>
    <row r="331" spans="1:2">
      <c r="A331" s="18" t="s">
        <v>642</v>
      </c>
      <c r="B331" s="18" t="s">
        <v>1044</v>
      </c>
    </row>
    <row r="332" spans="1:2">
      <c r="A332" s="18" t="s">
        <v>643</v>
      </c>
      <c r="B332" s="18" t="s">
        <v>1251</v>
      </c>
    </row>
    <row r="333" spans="1:2">
      <c r="A333" s="18" t="s">
        <v>644</v>
      </c>
      <c r="B333" s="18" t="s">
        <v>1252</v>
      </c>
    </row>
    <row r="334" spans="1:2">
      <c r="A334" s="18" t="s">
        <v>645</v>
      </c>
      <c r="B334" s="18" t="s">
        <v>1253</v>
      </c>
    </row>
    <row r="335" spans="1:2">
      <c r="A335" s="18" t="s">
        <v>646</v>
      </c>
      <c r="B335" s="18" t="s">
        <v>1254</v>
      </c>
    </row>
    <row r="336" spans="1:2">
      <c r="A336" s="18" t="s">
        <v>647</v>
      </c>
      <c r="B336" s="18" t="s">
        <v>1255</v>
      </c>
    </row>
    <row r="337" spans="1:2">
      <c r="A337" s="18" t="s">
        <v>648</v>
      </c>
      <c r="B337" s="18" t="s">
        <v>1256</v>
      </c>
    </row>
    <row r="338" spans="1:2">
      <c r="A338" s="18" t="s">
        <v>649</v>
      </c>
      <c r="B338" s="18" t="s">
        <v>1257</v>
      </c>
    </row>
    <row r="339" spans="1:2">
      <c r="A339" s="18" t="s">
        <v>650</v>
      </c>
      <c r="B339" s="18" t="s">
        <v>1258</v>
      </c>
    </row>
    <row r="340" spans="1:2">
      <c r="A340" s="18" t="s">
        <v>651</v>
      </c>
      <c r="B340" s="18" t="s">
        <v>1259</v>
      </c>
    </row>
    <row r="341" spans="1:2">
      <c r="A341" s="18" t="s">
        <v>652</v>
      </c>
      <c r="B341" s="18" t="s">
        <v>1260</v>
      </c>
    </row>
    <row r="342" spans="1:2">
      <c r="A342" s="18" t="s">
        <v>653</v>
      </c>
      <c r="B342" s="18" t="s">
        <v>1261</v>
      </c>
    </row>
    <row r="343" spans="1:2">
      <c r="A343" s="18" t="s">
        <v>654</v>
      </c>
      <c r="B343" s="18" t="s">
        <v>1262</v>
      </c>
    </row>
    <row r="344" spans="1:2">
      <c r="A344" s="18" t="s">
        <v>655</v>
      </c>
      <c r="B344" s="18" t="s">
        <v>1263</v>
      </c>
    </row>
    <row r="345" spans="1:2">
      <c r="A345" s="18" t="s">
        <v>656</v>
      </c>
      <c r="B345" s="18" t="s">
        <v>1264</v>
      </c>
    </row>
    <row r="346" spans="1:2">
      <c r="A346" s="18" t="s">
        <v>657</v>
      </c>
      <c r="B346" s="18" t="s">
        <v>1265</v>
      </c>
    </row>
    <row r="347" spans="1:2">
      <c r="A347" s="18" t="s">
        <v>658</v>
      </c>
      <c r="B347" s="18" t="s">
        <v>1266</v>
      </c>
    </row>
    <row r="348" spans="1:2">
      <c r="A348" s="18" t="s">
        <v>659</v>
      </c>
      <c r="B348" s="18" t="s">
        <v>1267</v>
      </c>
    </row>
    <row r="349" spans="1:2">
      <c r="A349" s="18" t="s">
        <v>660</v>
      </c>
      <c r="B349" s="18" t="s">
        <v>1268</v>
      </c>
    </row>
    <row r="350" spans="1:2">
      <c r="A350" s="18" t="s">
        <v>661</v>
      </c>
      <c r="B350" s="18" t="s">
        <v>1269</v>
      </c>
    </row>
    <row r="351" spans="1:2">
      <c r="A351" s="18" t="s">
        <v>662</v>
      </c>
      <c r="B351" s="18" t="s">
        <v>1270</v>
      </c>
    </row>
    <row r="352" spans="1:2">
      <c r="A352" s="18" t="s">
        <v>663</v>
      </c>
      <c r="B352" s="18" t="s">
        <v>1271</v>
      </c>
    </row>
    <row r="353" spans="1:2">
      <c r="A353" s="18" t="s">
        <v>664</v>
      </c>
      <c r="B353" s="18" t="s">
        <v>1254</v>
      </c>
    </row>
    <row r="354" spans="1:2">
      <c r="A354" s="18" t="s">
        <v>665</v>
      </c>
      <c r="B354" s="18" t="s">
        <v>1272</v>
      </c>
    </row>
    <row r="355" spans="1:2">
      <c r="A355" s="18" t="s">
        <v>666</v>
      </c>
      <c r="B355" s="18" t="s">
        <v>1273</v>
      </c>
    </row>
    <row r="356" spans="1:2">
      <c r="A356" s="18" t="s">
        <v>667</v>
      </c>
      <c r="B356" s="18" t="s">
        <v>1274</v>
      </c>
    </row>
    <row r="357" spans="1:2">
      <c r="A357" s="18" t="s">
        <v>668</v>
      </c>
      <c r="B357" s="18" t="s">
        <v>1275</v>
      </c>
    </row>
    <row r="358" spans="1:2">
      <c r="A358" s="18" t="s">
        <v>669</v>
      </c>
      <c r="B358" s="18" t="s">
        <v>1276</v>
      </c>
    </row>
    <row r="359" spans="1:2">
      <c r="A359" s="18" t="s">
        <v>670</v>
      </c>
      <c r="B359" s="18" t="s">
        <v>1277</v>
      </c>
    </row>
    <row r="360" spans="1:2">
      <c r="A360" s="18" t="s">
        <v>671</v>
      </c>
      <c r="B360" s="18" t="s">
        <v>985</v>
      </c>
    </row>
    <row r="361" spans="1:2">
      <c r="A361" s="18" t="s">
        <v>672</v>
      </c>
      <c r="B361" s="18" t="s">
        <v>1278</v>
      </c>
    </row>
    <row r="362" spans="1:2">
      <c r="A362" s="18" t="s">
        <v>673</v>
      </c>
      <c r="B362" s="18" t="s">
        <v>1279</v>
      </c>
    </row>
    <row r="363" spans="1:2">
      <c r="A363" s="18" t="s">
        <v>674</v>
      </c>
      <c r="B363" s="18" t="s">
        <v>1072</v>
      </c>
    </row>
    <row r="364" spans="1:2">
      <c r="A364" s="18" t="s">
        <v>675</v>
      </c>
      <c r="B364" s="18" t="s">
        <v>1280</v>
      </c>
    </row>
    <row r="365" spans="1:2">
      <c r="A365" s="18" t="s">
        <v>676</v>
      </c>
      <c r="B365" s="18" t="s">
        <v>1281</v>
      </c>
    </row>
    <row r="366" spans="1:2">
      <c r="A366" s="18" t="s">
        <v>677</v>
      </c>
      <c r="B366" s="18" t="s">
        <v>1282</v>
      </c>
    </row>
    <row r="367" spans="1:2">
      <c r="A367" s="18" t="s">
        <v>678</v>
      </c>
      <c r="B367" s="18" t="s">
        <v>985</v>
      </c>
    </row>
    <row r="368" spans="1:2">
      <c r="A368" s="18" t="s">
        <v>679</v>
      </c>
      <c r="B368" s="18" t="s">
        <v>1283</v>
      </c>
    </row>
    <row r="369" spans="1:2">
      <c r="A369" s="18" t="s">
        <v>680</v>
      </c>
      <c r="B369" s="18" t="s">
        <v>1275</v>
      </c>
    </row>
  </sheetData>
  <sheetProtection algorithmName="SHA-512" hashValue="IVONZtkeTqkbbu4KVGbukjsjUN6u3OMhfiMFqSNUat+FjAnm4czeBaG30+cB5kpHil29XNOmPbCv2AH3c48vVw==" saltValue="UeGhh2W1ALZAHZJvlsV5TA==" spinCount="100000" sheet="1" objects="1" scenarios="1"/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contract-load_courses</vt:lpstr>
      <vt:lpstr>DropDown</vt:lpstr>
      <vt:lpstr>AutoFill_names</vt:lpstr>
      <vt:lpstr>AutoFill_classes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Oliver Glanz</dc:creator>
  <cp:lastModifiedBy>Oliver Glanz</cp:lastModifiedBy>
  <dcterms:created xsi:type="dcterms:W3CDTF">2025-11-18T19:33:41Z</dcterms:created>
  <dcterms:modified xsi:type="dcterms:W3CDTF">2026-02-20T17:07:07Z</dcterms:modified>
</cp:coreProperties>
</file>