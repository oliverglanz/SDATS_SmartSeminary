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2000" windowHeight="17400" tabRatio="600" firstSheet="0" activeTab="10" autoFilterDateGrouping="1"/>
  </bookViews>
  <sheets>
    <sheet xmlns:r="http://schemas.openxmlformats.org/officeDocument/2006/relationships" name="CHIS" sheetId="1" state="visible" r:id="rId1"/>
    <sheet xmlns:r="http://schemas.openxmlformats.org/officeDocument/2006/relationships" name="DSLE" sheetId="2" state="visible" r:id="rId2"/>
    <sheet xmlns:r="http://schemas.openxmlformats.org/officeDocument/2006/relationships" name="GSEM" sheetId="3" state="visible" r:id="rId3"/>
    <sheet xmlns:r="http://schemas.openxmlformats.org/officeDocument/2006/relationships" name="MSSN" sheetId="4" state="visible" r:id="rId4"/>
    <sheet xmlns:r="http://schemas.openxmlformats.org/officeDocument/2006/relationships" name="NTST" sheetId="5" state="visible" r:id="rId5"/>
    <sheet xmlns:r="http://schemas.openxmlformats.org/officeDocument/2006/relationships" name="OTST" sheetId="6" state="visible" r:id="rId6"/>
    <sheet xmlns:r="http://schemas.openxmlformats.org/officeDocument/2006/relationships" name="PATH" sheetId="7" state="visible" r:id="rId7"/>
    <sheet xmlns:r="http://schemas.openxmlformats.org/officeDocument/2006/relationships" name="THST" sheetId="8" state="visible" r:id="rId8"/>
    <sheet xmlns:r="http://schemas.openxmlformats.org/officeDocument/2006/relationships" name="MDivHISP_MAPmENGL_MAPmHISP" sheetId="9" state="visible" r:id="rId9"/>
    <sheet xmlns:r="http://schemas.openxmlformats.org/officeDocument/2006/relationships" name="MA_Religion" sheetId="10" state="visible" r:id="rId10"/>
    <sheet xmlns:r="http://schemas.openxmlformats.org/officeDocument/2006/relationships" name="DMIN" sheetId="11" state="visible" r:id="rId11"/>
    <sheet xmlns:r="http://schemas.openxmlformats.org/officeDocument/2006/relationships" name="InstructorMap" sheetId="12" state="hidden" r:id="rId12"/>
    <sheet xmlns:r="http://schemas.openxmlformats.org/officeDocument/2006/relationships" name="DropDownMenu" sheetId="13" state="hidden" r:id="rId13"/>
    <sheet xmlns:r="http://schemas.openxmlformats.org/officeDocument/2006/relationships" name="_names_lookup" sheetId="14" state="hidden" r:id="rId14"/>
    <sheet xmlns:r="http://schemas.openxmlformats.org/officeDocument/2006/relationships" name="_courses_lookup" sheetId="15" state="hidden" r:id="rId15"/>
  </sheets>
  <definedNames>
    <definedName name="_xlnm._FilterDatabase" localSheetId="0" hidden="1">'CHIS'!$A$1:$DR$18</definedName>
    <definedName name="_xlnm._FilterDatabase" localSheetId="1" hidden="1">'DSLE'!$A$1:$DQ$1</definedName>
    <definedName name="_xlnm._FilterDatabase" localSheetId="2" hidden="1">'GSEM'!$A$1:$DQ$1</definedName>
    <definedName name="_xlnm._FilterDatabase" localSheetId="3" hidden="1">'MSSN'!$A$1:$DQ$5</definedName>
    <definedName name="_xlnm._FilterDatabase" localSheetId="4" hidden="1">'NTST'!$A$1:$DQ$1</definedName>
    <definedName name="_xlnm._FilterDatabase" localSheetId="5" hidden="1">'OTST'!$A$1:$DQ$18</definedName>
    <definedName name="_xlnm._FilterDatabase" localSheetId="6" hidden="1">'PATH'!$A$1:$DQ$1</definedName>
    <definedName name="_xlnm._FilterDatabase" localSheetId="7" hidden="1">'THST'!$A$1:$DQ$7</definedName>
    <definedName name="_xlnm._FilterDatabase" localSheetId="8" hidden="1">'MDivHISP_MAPmENGL_MAPmHISP'!$A$1:$DQ$40</definedName>
    <definedName name="_xlnm._FilterDatabase" localSheetId="9" hidden="1">'MA_Religion'!$A$1:$DQ$40</definedName>
    <definedName name="_xlnm._FilterDatabase" localSheetId="10" hidden="1">'DMIN'!$A$1:$DQ$1</definedName>
    <definedName name="_xlnm._FilterDatabase" localSheetId="11" hidden="1">'InstructorMap'!$A$1:$C$258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Arial"/>
      <family val="2"/>
      <color theme="10"/>
      <sz val="10"/>
      <u val="single"/>
    </font>
    <font>
      <name val="Arial"/>
      <family val="2"/>
      <b val="1"/>
      <color rgb="FF26221F"/>
      <sz val="12"/>
    </font>
    <font>
      <name val="Arial"/>
      <family val="2"/>
      <color theme="1"/>
      <sz val="12"/>
    </font>
    <font>
      <name val="Arial"/>
      <b val="1"/>
      <color rgb="00000000"/>
      <sz val="10"/>
    </font>
    <font>
      <name val="Arial"/>
      <b val="1"/>
      <color rgb="00FF0000"/>
      <sz val="10"/>
    </font>
    <font>
      <name val="Arial"/>
      <color theme="1"/>
      <sz val="10"/>
    </font>
    <font>
      <name val="Arial"/>
      <b val="1"/>
      <color rgb="FF26221F"/>
      <sz val="10"/>
    </font>
    <font>
      <name val="Arial"/>
      <color rgb="FF000000"/>
      <sz val="10"/>
    </font>
    <font>
      <name val="Arial"/>
      <color theme="10"/>
      <sz val="10"/>
      <u val="single"/>
    </font>
    <font>
      <name val="Arial"/>
      <b val="1"/>
      <color rgb="FF26221F"/>
      <sz val="12"/>
    </font>
    <font>
      <name val="Arial"/>
      <color theme="1"/>
      <sz val="12"/>
    </font>
  </fonts>
  <fills count="8">
    <fill>
      <patternFill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DEBF7"/>
        <bgColor rgb="FFDDEBF7"/>
      </patternFill>
    </fill>
    <fill>
      <patternFill patternType="solid">
        <fgColor rgb="FF00B0F0"/>
        <bgColor rgb="FF00B0F0"/>
      </patternFill>
    </fill>
    <fill>
      <patternFill patternType="solid">
        <fgColor rgb="00D3D3D3"/>
        <bgColor rgb="00D3D3D3"/>
      </patternFill>
    </fill>
    <fill>
      <patternFill patternType="solid">
        <fgColor rgb="00DDEBF7"/>
        <bgColor rgb="00DDEBF7"/>
      </patternFill>
    </fill>
    <fill>
      <patternFill patternType="solid">
        <fgColor rgb="0000B0F0"/>
        <bgColor rgb="0000B0F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3">
    <xf numFmtId="0" fontId="3" fillId="0" borderId="0"/>
    <xf numFmtId="0" fontId="4" fillId="0" borderId="0"/>
    <xf numFmtId="0" fontId="3" fillId="0" borderId="0"/>
  </cellStyleXfs>
  <cellXfs count="76">
    <xf numFmtId="0" fontId="0" fillId="0" borderId="0" pivotButton="0" quotePrefix="0" xfId="0"/>
    <xf numFmtId="49" fontId="9" fillId="0" borderId="2" applyAlignment="1" pivotButton="0" quotePrefix="0" xfId="0">
      <alignment horizontal="center" vertical="center"/>
    </xf>
    <xf numFmtId="49" fontId="10" fillId="0" borderId="2" pivotButton="0" quotePrefix="0" xfId="0"/>
    <xf numFmtId="49" fontId="6" fillId="0" borderId="2" pivotButton="0" quotePrefix="0" xfId="0"/>
    <xf numFmtId="49" fontId="7" fillId="0" borderId="2" pivotButton="0" quotePrefix="0" xfId="0"/>
    <xf numFmtId="49" fontId="6" fillId="0" borderId="2" applyAlignment="1" pivotButton="0" quotePrefix="0" xfId="2">
      <alignment horizontal="left"/>
    </xf>
    <xf numFmtId="49" fontId="6" fillId="0" borderId="2" applyAlignment="1" pivotButton="0" quotePrefix="0" xfId="0">
      <alignment horizontal="left"/>
    </xf>
    <xf numFmtId="0" fontId="6" fillId="0" borderId="2" pivotButton="0" quotePrefix="0" xfId="0"/>
    <xf numFmtId="49" fontId="8" fillId="0" borderId="2" pivotButton="0" quotePrefix="0" xfId="1"/>
    <xf numFmtId="0" fontId="1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/>
    </xf>
    <xf numFmtId="0" fontId="10" fillId="0" borderId="2" pivotButton="0" quotePrefix="0" xfId="0"/>
    <xf numFmtId="0" fontId="5" fillId="2" borderId="0" applyAlignment="1" pivotButton="0" quotePrefix="0" xfId="0">
      <alignment horizontal="center" textRotation="90" wrapText="1"/>
    </xf>
    <xf numFmtId="0" fontId="1" fillId="3" borderId="1" applyAlignment="1" pivotButton="0" quotePrefix="0" xfId="0">
      <alignment horizontal="center" textRotation="90" wrapText="1"/>
    </xf>
    <xf numFmtId="0" fontId="2" fillId="3" borderId="1" applyAlignment="1" pivotButton="0" quotePrefix="0" xfId="0">
      <alignment horizontal="center" textRotation="90" wrapText="1"/>
    </xf>
    <xf numFmtId="0" fontId="1" fillId="4" borderId="1" applyAlignment="1" pivotButton="0" quotePrefix="0" xfId="0">
      <alignment horizontal="center" textRotation="90" wrapText="1"/>
    </xf>
    <xf numFmtId="0" fontId="1" fillId="2" borderId="1" applyAlignment="1" pivotButton="0" quotePrefix="0" xfId="0">
      <alignment horizontal="center" textRotation="90" wrapText="1"/>
    </xf>
    <xf numFmtId="0" fontId="1" fillId="3" borderId="1" applyAlignment="1" pivotButton="0" quotePrefix="0" xfId="0">
      <alignment horizontal="center" vertical="bottom" textRotation="90"/>
    </xf>
    <xf numFmtId="0" fontId="2" fillId="3" borderId="1" applyAlignment="1" pivotButton="0" quotePrefix="0" xfId="0">
      <alignment horizontal="center" vertical="bottom" textRotation="90"/>
    </xf>
    <xf numFmtId="0" fontId="1" fillId="4" borderId="1" applyAlignment="1" pivotButton="0" quotePrefix="0" xfId="0">
      <alignment horizontal="center" vertical="bottom" textRotation="90"/>
    </xf>
    <xf numFmtId="0" fontId="1" fillId="2" borderId="1" applyAlignment="1" pivotButton="0" quotePrefix="0" xfId="0">
      <alignment horizontal="center" vertical="bottom" textRotation="90"/>
    </xf>
    <xf numFmtId="0" fontId="0" fillId="0" borderId="0" applyAlignment="1" pivotButton="0" quotePrefix="0" xfId="0">
      <alignment horizontal="center" vertical="bottom" textRotation="90"/>
    </xf>
    <xf numFmtId="0" fontId="5" fillId="2" borderId="0" applyAlignment="1" pivotButton="0" quotePrefix="0" xfId="0">
      <alignment horizontal="center" vertical="bottom" textRotation="90"/>
    </xf>
    <xf numFmtId="0" fontId="11" fillId="6" borderId="1" applyAlignment="1" pivotButton="0" quotePrefix="0" xfId="0">
      <alignment horizontal="center" vertical="bottom" textRotation="90" wrapText="1"/>
    </xf>
    <xf numFmtId="0" fontId="12" fillId="6" borderId="1" applyAlignment="1" pivotButton="0" quotePrefix="0" xfId="0">
      <alignment horizontal="center" vertical="bottom" textRotation="90" wrapText="1"/>
    </xf>
    <xf numFmtId="0" fontId="11" fillId="7" borderId="1" applyAlignment="1" pivotButton="0" quotePrefix="0" xfId="0">
      <alignment horizontal="center" vertical="bottom" textRotation="90" wrapText="1"/>
    </xf>
    <xf numFmtId="0" fontId="11" fillId="5" borderId="1" applyAlignment="1" pivotButton="0" quotePrefix="0" xfId="0">
      <alignment horizontal="center" vertical="bottom" textRotation="90" wrapText="1"/>
    </xf>
    <xf numFmtId="0" fontId="13" fillId="0" borderId="0" applyAlignment="1" pivotButton="0" quotePrefix="0" xfId="0">
      <alignment horizontal="center" vertical="bottom" textRotation="90"/>
    </xf>
    <xf numFmtId="49" fontId="17" fillId="0" borderId="3" applyAlignment="1" pivotButton="0" quotePrefix="0" xfId="0">
      <alignment horizontal="center" vertical="center"/>
    </xf>
    <xf numFmtId="49" fontId="18" fillId="0" borderId="3" pivotButton="0" quotePrefix="0" xfId="0"/>
    <xf numFmtId="49" fontId="13" fillId="0" borderId="3" pivotButton="0" quotePrefix="0" xfId="0"/>
    <xf numFmtId="49" fontId="15" fillId="0" borderId="3" pivotButton="0" quotePrefix="0" xfId="0"/>
    <xf numFmtId="49" fontId="13" fillId="0" borderId="3" applyAlignment="1" pivotButton="0" quotePrefix="0" xfId="2">
      <alignment horizontal="left"/>
    </xf>
    <xf numFmtId="49" fontId="13" fillId="0" borderId="3" applyAlignment="1" pivotButton="0" quotePrefix="0" xfId="0">
      <alignment horizontal="left"/>
    </xf>
    <xf numFmtId="0" fontId="13" fillId="0" borderId="3" pivotButton="0" quotePrefix="0" xfId="0"/>
    <xf numFmtId="49" fontId="16" fillId="0" borderId="3" pivotButton="0" quotePrefix="0" xfId="1"/>
    <xf numFmtId="0" fontId="18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left"/>
    </xf>
    <xf numFmtId="0" fontId="18" fillId="0" borderId="3" pivotButton="0" quotePrefix="0" xfId="0"/>
    <xf numFmtId="0" fontId="11" fillId="5" borderId="0" applyAlignment="1" pivotButton="0" quotePrefix="0" xfId="0">
      <alignment horizontal="center" vertical="bottom" textRotation="90" wrapText="1"/>
    </xf>
    <xf numFmtId="0" fontId="11" fillId="6" borderId="1" applyAlignment="1" pivotButton="0" quotePrefix="0" xfId="0">
      <alignment horizontal="center" vertical="bottom" textRotation="90"/>
    </xf>
    <xf numFmtId="0" fontId="12" fillId="6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1" fillId="5" borderId="1" applyAlignment="1" pivotButton="0" quotePrefix="0" xfId="0">
      <alignment horizontal="center" vertical="bottom" textRotation="90"/>
    </xf>
    <xf numFmtId="0" fontId="13" fillId="0" borderId="0" applyAlignment="1" pivotButton="0" quotePrefix="0" xfId="0">
      <alignment horizontal="center" vertical="bottom" textRotation="90"/>
    </xf>
    <xf numFmtId="0" fontId="11" fillId="5" borderId="0" applyAlignment="1" pivotButton="0" quotePrefix="0" xfId="0">
      <alignment horizontal="center" vertical="bottom" textRotation="90"/>
    </xf>
    <xf numFmtId="0" fontId="11" fillId="6" borderId="1" applyAlignment="1" pivotButton="0" quotePrefix="0" xfId="0">
      <alignment horizontal="center" vertical="bottom" textRotation="90"/>
    </xf>
    <xf numFmtId="0" fontId="12" fillId="6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1" fillId="5" borderId="1" applyAlignment="1" pivotButton="0" quotePrefix="0" xfId="0">
      <alignment horizontal="center" vertical="bottom" textRotation="90"/>
    </xf>
    <xf numFmtId="0" fontId="13" fillId="0" borderId="0" applyAlignment="1" pivotButton="0" quotePrefix="0" xfId="0">
      <alignment horizontal="center" vertical="bottom" textRotation="90"/>
    </xf>
    <xf numFmtId="0" fontId="11" fillId="5" borderId="0" applyAlignment="1" pivotButton="0" quotePrefix="0" xfId="0">
      <alignment horizontal="center" vertical="bottom" textRotation="90"/>
    </xf>
    <xf numFmtId="0" fontId="11" fillId="6" borderId="1" applyAlignment="1" pivotButton="0" quotePrefix="0" xfId="0">
      <alignment horizontal="center" vertical="bottom" textRotation="90"/>
    </xf>
    <xf numFmtId="0" fontId="12" fillId="6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1" fillId="5" borderId="1" applyAlignment="1" pivotButton="0" quotePrefix="0" xfId="0">
      <alignment horizontal="center" vertical="bottom" textRotation="90"/>
    </xf>
    <xf numFmtId="0" fontId="13" fillId="0" borderId="0" applyAlignment="1" pivotButton="0" quotePrefix="0" xfId="0">
      <alignment horizontal="center" vertical="bottom" textRotation="90"/>
    </xf>
    <xf numFmtId="0" fontId="11" fillId="5" borderId="0" applyAlignment="1" pivotButton="0" quotePrefix="0" xfId="0">
      <alignment horizontal="center" vertical="bottom" textRotation="90"/>
    </xf>
    <xf numFmtId="0" fontId="11" fillId="6" borderId="1" applyAlignment="1" pivotButton="0" quotePrefix="0" xfId="0">
      <alignment horizontal="center" vertical="bottom" textRotation="90"/>
    </xf>
    <xf numFmtId="0" fontId="12" fillId="6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1" fillId="5" borderId="1" applyAlignment="1" pivotButton="0" quotePrefix="0" xfId="0">
      <alignment horizontal="center" vertical="bottom" textRotation="90"/>
    </xf>
    <xf numFmtId="0" fontId="13" fillId="0" borderId="0" applyAlignment="1" pivotButton="0" quotePrefix="0" xfId="0">
      <alignment horizontal="center" vertical="bottom" textRotation="90"/>
    </xf>
    <xf numFmtId="0" fontId="11" fillId="5" borderId="0" applyAlignment="1" pivotButton="0" quotePrefix="0" xfId="0">
      <alignment horizontal="center" vertical="bottom" textRotation="90"/>
    </xf>
    <xf numFmtId="0" fontId="11" fillId="6" borderId="1" applyAlignment="1" pivotButton="0" quotePrefix="0" xfId="0">
      <alignment horizontal="center" vertical="bottom" textRotation="90"/>
    </xf>
    <xf numFmtId="0" fontId="12" fillId="6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1" fillId="5" borderId="1" applyAlignment="1" pivotButton="0" quotePrefix="0" xfId="0">
      <alignment horizontal="center" vertical="bottom" textRotation="90"/>
    </xf>
    <xf numFmtId="0" fontId="13" fillId="0" borderId="0" applyAlignment="1" pivotButton="0" quotePrefix="0" xfId="0">
      <alignment horizontal="center" vertical="bottom" textRotation="90"/>
    </xf>
    <xf numFmtId="0" fontId="11" fillId="5" borderId="0" applyAlignment="1" pivotButton="0" quotePrefix="0" xfId="0">
      <alignment horizontal="center" vertical="bottom" textRotation="90"/>
    </xf>
    <xf numFmtId="0" fontId="11" fillId="6" borderId="1" applyAlignment="1" pivotButton="0" quotePrefix="0" xfId="0">
      <alignment horizontal="center" vertical="bottom" textRotation="90"/>
    </xf>
    <xf numFmtId="0" fontId="12" fillId="6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1" fillId="5" borderId="1" applyAlignment="1" pivotButton="0" quotePrefix="0" xfId="0">
      <alignment horizontal="center" vertical="bottom" textRotation="90"/>
    </xf>
    <xf numFmtId="0" fontId="13" fillId="0" borderId="0" applyAlignment="1" pivotButton="0" quotePrefix="0" xfId="0">
      <alignment horizontal="center" vertical="bottom" textRotation="90"/>
    </xf>
    <xf numFmtId="0" fontId="11" fillId="5" borderId="0" applyAlignment="1" pivotButton="0" quotePrefix="0" xfId="0">
      <alignment horizontal="center" vertical="bottom" textRotation="90"/>
    </xf>
  </cellXfs>
  <cellStyles count="3">
    <cellStyle name="Normal" xfId="0" builtinId="0"/>
    <cellStyle name="Hyperlink" xfId="1" builtinId="8"/>
    <cellStyle name="Normal 2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applyStyles="1" summaryBelow="1" summaryRight="0"/>
    <pageSetUpPr/>
  </sheetPr>
  <dimension ref="A1:DR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10" sqref="G10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  <col width="4" customWidth="1" min="122" max="122"/>
  </cols>
  <sheetData>
    <row r="1" ht="150" customHeight="1">
      <c r="A1" s="23" t="inlineStr">
        <is>
          <t>Don {not in Banner}</t>
        </is>
      </c>
      <c r="B1" s="23" t="inlineStr">
        <is>
          <t>Mismatching {not in Banner}</t>
        </is>
      </c>
      <c r="C1" s="23" t="inlineStr">
        <is>
          <t>Dept/Prog Admin {not in Banner}</t>
        </is>
      </c>
      <c r="D1" s="23" t="inlineStr">
        <is>
          <t>Mona {not in Banner}</t>
        </is>
      </c>
      <c r="E1" s="23" t="inlineStr">
        <is>
          <t>Karen {not in Banner}</t>
        </is>
      </c>
      <c r="F1" s="23" t="inlineStr">
        <is>
          <t>DONE {not in Banner}</t>
        </is>
      </c>
      <c r="G1" s="24" t="inlineStr">
        <is>
          <t>Notes {not in Banner}</t>
        </is>
      </c>
      <c r="H1" s="23" t="inlineStr">
        <is>
          <t>CRN sorted {not in Banner}</t>
        </is>
      </c>
      <c r="I1" s="23" t="inlineStr">
        <is>
          <t>CRN</t>
        </is>
      </c>
      <c r="J1" s="23" t="inlineStr">
        <is>
          <t>Attribute {not in Banner}</t>
        </is>
      </c>
      <c r="K1" s="23" t="inlineStr">
        <is>
          <t>Subject</t>
        </is>
      </c>
      <c r="L1" s="23" t="inlineStr">
        <is>
          <t>Course Number {Crse Num}</t>
        </is>
      </c>
      <c r="M1" s="23" t="inlineStr">
        <is>
          <t>Course Section {Seq Crse Num}</t>
        </is>
      </c>
      <c r="N1" s="23" t="inlineStr">
        <is>
          <t>Program {not in Banner}</t>
        </is>
      </c>
      <c r="O1" s="23" t="inlineStr">
        <is>
          <t>Catalog Title</t>
        </is>
      </c>
      <c r="P1" s="23" t="inlineStr">
        <is>
          <t>Section Title</t>
        </is>
      </c>
      <c r="Q1" s="23" t="inlineStr">
        <is>
          <t>Crosslist Details {not in Banner}</t>
        </is>
      </c>
      <c r="R1" s="23" t="inlineStr">
        <is>
          <t>X Lst</t>
        </is>
      </c>
      <c r="S1" s="23" t="inlineStr">
        <is>
          <t>Campus {Ssasect Campus}</t>
        </is>
      </c>
      <c r="T1" s="23" t="inlineStr">
        <is>
          <t>Campus Restriction {Camp Restr CC}</t>
        </is>
      </c>
      <c r="U1" s="23" t="inlineStr">
        <is>
          <t>Schedule Type {not in Banner}</t>
        </is>
      </c>
      <c r="V1" s="23" t="inlineStr">
        <is>
          <t>Instruction Method {Inst Method}</t>
        </is>
      </c>
      <c r="W1" s="23" t="inlineStr">
        <is>
          <t>Level {Level SC}</t>
        </is>
      </c>
      <c r="X1" s="23" t="inlineStr">
        <is>
          <t>Part-Of-Term</t>
        </is>
      </c>
      <c r="Y1" s="23" t="inlineStr">
        <is>
          <t>Credit Catalog {Cat Crs}</t>
        </is>
      </c>
      <c r="Z1" s="23" t="inlineStr">
        <is>
          <t>Credits {Sect Crs}</t>
        </is>
      </c>
      <c r="AA1" s="23" t="inlineStr">
        <is>
          <t>Faculty Load / Contract Credits {not in Banner}</t>
        </is>
      </c>
      <c r="AB1" s="23" t="inlineStr">
        <is>
          <t>Enrollment Cap {Max Enrl}</t>
        </is>
      </c>
      <c r="AC1" s="23" t="inlineStr">
        <is>
          <t>Meeting Type</t>
        </is>
      </c>
      <c r="AD1" s="23" t="inlineStr">
        <is>
          <t>Semester Start Date {Soaterm Start Date}</t>
        </is>
      </c>
      <c r="AE1" s="23" t="inlineStr">
        <is>
          <t>Pre-work Start Date {not in Banner}</t>
        </is>
      </c>
      <c r="AF1" s="23" t="inlineStr">
        <is>
          <t>Pre-work End Date {not in Banner}</t>
        </is>
      </c>
      <c r="AG1" s="25" t="inlineStr">
        <is>
          <t>pre-work # of weeks {not in Banner}</t>
        </is>
      </c>
      <c r="AH1" s="25" t="inlineStr">
        <is>
          <t>pre-work hours/week {not in Banner}</t>
        </is>
      </c>
      <c r="AI1" s="25" t="inlineStr">
        <is>
          <t>pre-work hours/period {not in Banner}</t>
        </is>
      </c>
      <c r="AJ1" s="23" t="inlineStr">
        <is>
          <t>Intensive Period Start Date {Meet Start Date}</t>
        </is>
      </c>
      <c r="AK1" s="23" t="inlineStr">
        <is>
          <t>Intensive Period End Date {Meet End Date}</t>
        </is>
      </c>
      <c r="AL1" s="25" t="inlineStr">
        <is>
          <t>intensive # of weeks {not in Banner}</t>
        </is>
      </c>
      <c r="AM1" s="25" t="inlineStr">
        <is>
          <t>intensive hours/week {not in Banner}</t>
        </is>
      </c>
      <c r="AN1" s="25" t="inlineStr">
        <is>
          <t>intensive hours/period {not in Banner}</t>
        </is>
      </c>
      <c r="AO1" s="23" t="inlineStr">
        <is>
          <t>Post-work Start Date {not in Banner}</t>
        </is>
      </c>
      <c r="AP1" s="23" t="inlineStr">
        <is>
          <t>Post-work End Date {not in Banner}</t>
        </is>
      </c>
      <c r="AQ1" s="25" t="inlineStr">
        <is>
          <t>post-work # of weeks {not in Banner}</t>
        </is>
      </c>
      <c r="AR1" s="25" t="inlineStr">
        <is>
          <t>post-work hours/week {not in Banner}</t>
        </is>
      </c>
      <c r="AS1" s="25" t="inlineStr">
        <is>
          <t>post-work hours/period {not in Banner}</t>
        </is>
      </c>
      <c r="AT1" s="25" t="inlineStr">
        <is>
          <t>sum of weeks (for check) {not in Banner}</t>
        </is>
      </c>
      <c r="AU1" s="25" t="inlineStr">
        <is>
          <t>total contract hours {not in Banner}</t>
        </is>
      </c>
      <c r="AV1" s="23" t="inlineStr">
        <is>
          <t>Semester End Date {Soaterm End Date}</t>
        </is>
      </c>
      <c r="AW1" s="23" t="inlineStr">
        <is>
          <t>Course Beginning Time {Meet Beg Time}</t>
        </is>
      </c>
      <c r="AX1" s="23" t="inlineStr">
        <is>
          <t>Course Ending Time {Meet End Time}</t>
        </is>
      </c>
      <c r="AY1" s="23" t="inlineStr">
        <is>
          <t>SUN</t>
        </is>
      </c>
      <c r="AZ1" s="23" t="inlineStr">
        <is>
          <t>MON</t>
        </is>
      </c>
      <c r="BA1" s="23" t="inlineStr">
        <is>
          <t>TUE</t>
        </is>
      </c>
      <c r="BB1" s="23" t="inlineStr">
        <is>
          <t>WED</t>
        </is>
      </c>
      <c r="BC1" s="23" t="inlineStr">
        <is>
          <t>THU</t>
        </is>
      </c>
      <c r="BD1" s="23" t="inlineStr">
        <is>
          <t>FRI</t>
        </is>
      </c>
      <c r="BE1" s="23" t="inlineStr">
        <is>
          <t>SAT</t>
        </is>
      </c>
      <c r="BF1" s="23" t="inlineStr">
        <is>
          <t>Weeks</t>
        </is>
      </c>
      <c r="BG1" s="23" t="inlineStr">
        <is>
          <t>Fiscal Year {not in Banner}</t>
        </is>
      </c>
      <c r="BH1" s="25" t="inlineStr">
        <is>
          <t>Semester {not in Banner}</t>
        </is>
      </c>
      <c r="BI1" s="23" t="inlineStr">
        <is>
          <t>Room {Meet Room}</t>
        </is>
      </c>
      <c r="BJ1" s="23" t="inlineStr">
        <is>
          <t>Building {Meet Bldg}</t>
        </is>
      </c>
      <c r="BK1" s="23" t="inlineStr">
        <is>
          <t>Instructor Name {Instr Name}</t>
        </is>
      </c>
      <c r="BL1" s="23" t="inlineStr">
        <is>
          <t>Instructor Email {Instr Email}</t>
        </is>
      </c>
      <c r="BM1" s="23" t="inlineStr">
        <is>
          <t>Instructor ID {Instr ID}</t>
        </is>
      </c>
      <c r="BN1" s="25" t="inlineStr">
        <is>
          <t>Remote Employee {not in Banner}</t>
        </is>
      </c>
      <c r="BO1" s="23" t="inlineStr">
        <is>
          <t>% Responsibility</t>
        </is>
      </c>
      <c r="BP1" s="23" t="inlineStr">
        <is>
          <t>load/contract {not in Banner}</t>
        </is>
      </c>
      <c r="BQ1" s="25" t="inlineStr">
        <is>
          <t>Reason for Contract {not in Banner}</t>
        </is>
      </c>
      <c r="BR1" s="25" t="inlineStr">
        <is>
          <t>costs per credit {not in Banner}</t>
        </is>
      </c>
      <c r="BS1" s="25" t="inlineStr">
        <is>
          <t>total costs {not in Banner}</t>
        </is>
      </c>
      <c r="BT1" s="25" t="inlineStr">
        <is>
          <t>dept budget {not in Banner}</t>
        </is>
      </c>
      <c r="BU1" s="25" t="inlineStr">
        <is>
          <t>account to be charged {not in Banner}</t>
        </is>
      </c>
      <c r="BV1" s="25" t="inlineStr">
        <is>
          <t>SEM Department {Scacrse Dept}</t>
        </is>
      </c>
      <c r="BW1" s="26" t="inlineStr">
        <is>
          <t>dean email</t>
        </is>
      </c>
      <c r="BX1" s="26" t="inlineStr">
        <is>
          <t>VP finance email</t>
        </is>
      </c>
      <c r="BY1" s="26" t="inlineStr">
        <is>
          <t>HR email</t>
        </is>
      </c>
      <c r="BZ1" s="26" t="inlineStr">
        <is>
          <t>Fee Amount {Fees Amt}</t>
        </is>
      </c>
      <c r="CA1" s="26" t="inlineStr">
        <is>
          <t>Fee Code {Detl Code}</t>
        </is>
      </c>
      <c r="CB1" s="26" t="inlineStr">
        <is>
          <t>Fee Type</t>
        </is>
      </c>
      <c r="CC1" s="26" t="inlineStr">
        <is>
          <t>Fee Level</t>
        </is>
      </c>
      <c r="CD1" s="26" t="inlineStr">
        <is>
          <t>Fee Ind</t>
        </is>
      </c>
      <c r="CE1" s="26" t="inlineStr">
        <is>
          <t>Fee Term</t>
        </is>
      </c>
      <c r="CF1" s="26" t="inlineStr">
        <is>
          <t>Activity Date</t>
        </is>
      </c>
      <c r="CG1" s="26" t="inlineStr">
        <is>
          <t>Status</t>
        </is>
      </c>
      <c r="CH1" s="26" t="inlineStr">
        <is>
          <t>Bill Hrs</t>
        </is>
      </c>
      <c r="CI1" s="26" t="inlineStr">
        <is>
          <t>Sect Sch Type</t>
        </is>
      </c>
      <c r="CJ1" s="26" t="inlineStr">
        <is>
          <t>Prerequisites {Preq Areas}</t>
        </is>
      </c>
      <c r="CK1" s="26" t="inlineStr">
        <is>
          <t>Link Ind</t>
        </is>
      </c>
      <c r="CL1" s="26" t="inlineStr">
        <is>
          <t>Integration Code</t>
        </is>
      </c>
      <c r="CM1" s="26" t="inlineStr">
        <is>
          <t>Link Conn</t>
        </is>
      </c>
      <c r="CN1" s="26" t="inlineStr">
        <is>
          <t>Crs Attr</t>
        </is>
      </c>
      <c r="CO1" s="26" t="inlineStr">
        <is>
          <t>Comments</t>
        </is>
      </c>
      <c r="CP1" s="26" t="inlineStr">
        <is>
          <t>Major Restr</t>
        </is>
      </c>
      <c r="CQ1" s="26" t="inlineStr">
        <is>
          <t>Scacrse College</t>
        </is>
      </c>
      <c r="CR1" s="26" t="inlineStr">
        <is>
          <t>Enrolled</t>
        </is>
      </c>
      <c r="CS1" s="26" t="inlineStr">
        <is>
          <t>Waitlist Capacity</t>
        </is>
      </c>
      <c r="CT1" s="26" t="inlineStr">
        <is>
          <t>Primary Ind</t>
        </is>
      </c>
      <c r="CU1" s="26" t="inlineStr">
        <is>
          <t>Override</t>
        </is>
      </c>
      <c r="CV1" s="26" t="inlineStr">
        <is>
          <t>1st Date Reg Opens</t>
        </is>
      </c>
      <c r="CW1" s="26" t="inlineStr">
        <is>
          <t>Last Date Reg Opens</t>
        </is>
      </c>
      <c r="CX1" s="26" t="inlineStr">
        <is>
          <t>OL Range From Date</t>
        </is>
      </c>
      <c r="CY1" s="26" t="inlineStr">
        <is>
          <t>OL Range To Date</t>
        </is>
      </c>
      <c r="CZ1" s="26" t="inlineStr">
        <is>
          <t>OL Numb Units</t>
        </is>
      </c>
      <c r="DA1" s="26" t="inlineStr">
        <is>
          <t>OL Duration Code</t>
        </is>
      </c>
      <c r="DB1" s="26" t="inlineStr">
        <is>
          <t>Grade Mode</t>
        </is>
      </c>
      <c r="DC1" s="26" t="inlineStr">
        <is>
          <t>Gradable Ind</t>
        </is>
      </c>
      <c r="DD1" s="26" t="inlineStr">
        <is>
          <t>Tuit Waiver</t>
        </is>
      </c>
      <c r="DE1" s="26" t="inlineStr">
        <is>
          <t>Course Override {Meet Override}</t>
        </is>
      </c>
      <c r="DF1" s="26" t="inlineStr">
        <is>
          <t>Lvl Res Ind</t>
        </is>
      </c>
      <c r="DG1" s="26" t="inlineStr">
        <is>
          <t>Cmp Res Ind</t>
        </is>
      </c>
      <c r="DH1" s="26" t="inlineStr">
        <is>
          <t>Rate Code</t>
        </is>
      </c>
      <c r="DI1" s="26" t="inlineStr">
        <is>
          <t>Cohort Code</t>
        </is>
      </c>
      <c r="DJ1" s="26" t="inlineStr">
        <is>
          <t>St Attr Code</t>
        </is>
      </c>
      <c r="DK1" s="26" t="inlineStr">
        <is>
          <t>Coll SC</t>
        </is>
      </c>
      <c r="DL1" s="26" t="inlineStr">
        <is>
          <t>DegC SC</t>
        </is>
      </c>
      <c r="DM1" s="26" t="inlineStr">
        <is>
          <t>Prog SC</t>
        </is>
      </c>
      <c r="DN1" s="26" t="inlineStr">
        <is>
          <t>FOS Type</t>
        </is>
      </c>
      <c r="DO1" s="26" t="inlineStr">
        <is>
          <t>Special Approval {Special Apvl}</t>
        </is>
      </c>
      <c r="DP1" s="26" t="inlineStr">
        <is>
          <t>Term Code</t>
        </is>
      </c>
      <c r="DQ1" s="26" t="inlineStr">
        <is>
          <t>Camp SC</t>
        </is>
      </c>
      <c r="DR1" s="74" t="n"/>
    </row>
    <row r="2" ht="16" customHeight="1">
      <c r="A2" s="28" t="n"/>
      <c r="B2" s="28" t="n"/>
      <c r="C2" s="28" t="n"/>
      <c r="D2" s="28" t="n"/>
      <c r="E2" s="28" t="n"/>
      <c r="F2" s="28" t="n"/>
      <c r="G2" s="29" t="n"/>
      <c r="H2" s="30" t="n"/>
      <c r="I2" s="30" t="n"/>
      <c r="J2" s="30" t="n"/>
      <c r="K2" s="30" t="n"/>
      <c r="L2" s="30" t="n"/>
      <c r="M2" s="30" t="n"/>
      <c r="N2" s="30" t="n"/>
      <c r="O2" s="31">
        <f>IFERROR(INDEX('_courses_lookup'!$C:$C,MATCH(K2&amp;L2,'_courses_lookup'!$E:$E,0)),"")</f>
        <v/>
      </c>
      <c r="P2" s="30">
        <f>IFERROR(INDEX('_courses_lookup'!$D:$D,MATCH(K2&amp;L2,'_courses_lookup'!$E:$E,0)),"")</f>
        <v/>
      </c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  <c r="AA2" s="30" t="n"/>
      <c r="AB2" s="30" t="n"/>
      <c r="AC2" s="30" t="n"/>
      <c r="AD2" s="30" t="n"/>
      <c r="AE2" s="30" t="n"/>
      <c r="AF2" s="30" t="n"/>
      <c r="AG2" s="30">
        <f>IF(AND(AE2&lt;&gt;"",AF2&lt;&gt;""),ROUNDUP((AF2-AE2)/7,0),"")</f>
        <v/>
      </c>
      <c r="AH2" s="30" t="n"/>
      <c r="AI2" s="30">
        <f>IFERROR(IF(AG2*AH2=0,"",AG2*AH2),"")</f>
        <v/>
      </c>
      <c r="AJ2" s="30" t="n"/>
      <c r="AK2" s="30" t="n"/>
      <c r="AL2" s="30">
        <f>IF(AND(AJ2&lt;&gt;"",AK2&lt;&gt;""),ROUNDUP((AK2-AJ2)/7,0),"")</f>
        <v/>
      </c>
      <c r="AM2" s="30" t="n"/>
      <c r="AN2" s="30">
        <f>IFERROR(IF(AL2*AM2=0,"",AL2*AM2),"")</f>
        <v/>
      </c>
      <c r="AO2" s="30" t="n"/>
      <c r="AP2" s="30" t="n"/>
      <c r="AQ2" s="30">
        <f>IF(AND(AO2&lt;&gt;"",AP2&lt;&gt;""),ROUNDUP((AP2-AO2)/7,0),"")</f>
        <v/>
      </c>
      <c r="AR2" s="30">
        <f>IFERROR(IF((AU2-(AI2+AN2))/AQ2=0,"",ROUNDUP((AU2-(AI2+AN2))/AQ2,0)),"")</f>
        <v/>
      </c>
      <c r="AS2" s="30">
        <f>IFERROR(IF((AU2-(AI2+AN2))=0,"",(AU2-(AI2+AN2))),"")</f>
        <v/>
      </c>
      <c r="AT2" s="30">
        <f>IF(AND(AG2="",AQ2=""),AL2,IF(SUM(AG2,AL2,AQ2)=0,"",SUM(AG2,AL2,AQ2)))</f>
        <v/>
      </c>
      <c r="AU2" s="30" t="n"/>
      <c r="AV2" s="30" t="n"/>
      <c r="AW2" s="30" t="n"/>
      <c r="AX2" s="30" t="n"/>
      <c r="AY2" s="30" t="n"/>
      <c r="AZ2" s="30" t="n"/>
      <c r="BA2" s="30" t="n"/>
      <c r="BB2" s="30" t="n"/>
      <c r="BC2" s="30" t="n"/>
      <c r="BD2" s="30" t="n"/>
      <c r="BE2" s="30" t="n"/>
      <c r="BF2" s="30" t="n"/>
      <c r="BG2" s="30">
        <f>IF(AD2="","",YEAR(AD2)+IF(MONTH(AD2)&gt;=5,1,0))</f>
        <v/>
      </c>
      <c r="BH2" s="30">
        <f>IF(AD2="","",IF(AND(MONTH(AD2)=8,DAY(AD2)&gt;=15),"Fall",IF(MONTH(AD2)&gt;8,"Fall",IF(MONTH(AD2)=5,"Summer",IF(MONTH(AD2)=1,"Spring","")))))</f>
        <v/>
      </c>
      <c r="BI2" s="30" t="n"/>
      <c r="BJ2" s="30" t="n"/>
      <c r="BK2" s="30" t="n"/>
      <c r="BL2" s="32">
        <f>IFERROR(INDEX('_names_lookup'!$C:$C,MATCH(BK2,'_names_lookup'!$A:$A,0)),"")</f>
        <v/>
      </c>
      <c r="BM2" s="32">
        <f>IFERROR(INDEX('_names_lookup'!$B:$B,MATCH(BK2,'_names_lookup'!$A:$A,0)),"")</f>
        <v/>
      </c>
      <c r="BN2" s="33" t="n"/>
      <c r="BO2" s="33" t="n"/>
      <c r="BP2" s="30" t="n"/>
      <c r="BQ2" s="30" t="n"/>
      <c r="BR2" s="30" t="n"/>
      <c r="BS2" s="30">
        <f>IFERROR(IF(BR2*AA2=0,"",BR2*AA2),"")</f>
        <v/>
      </c>
      <c r="BT2" s="34" t="n"/>
      <c r="BU2" s="30" t="n"/>
      <c r="BV2" s="30" t="n"/>
      <c r="BW2" s="30" t="n"/>
      <c r="BX2" s="35" t="n"/>
      <c r="BY2" s="35" t="n"/>
      <c r="BZ2" s="35" t="n"/>
      <c r="CA2" s="30" t="n"/>
      <c r="CB2" s="30" t="n"/>
      <c r="CC2" s="30" t="n"/>
      <c r="CD2" s="30" t="n"/>
      <c r="CE2" s="30" t="n"/>
      <c r="CF2" s="30" t="n"/>
      <c r="CG2" s="30" t="n"/>
      <c r="CH2" s="30" t="n"/>
      <c r="CI2" s="30" t="n"/>
      <c r="CJ2" s="30" t="n"/>
      <c r="CK2" s="30" t="n"/>
      <c r="CL2" s="30" t="n"/>
      <c r="CM2" s="30" t="n"/>
      <c r="CN2" s="30" t="n"/>
      <c r="CO2" s="30" t="n"/>
      <c r="CP2" s="30" t="n"/>
      <c r="CQ2" s="30" t="n"/>
      <c r="CR2" s="30" t="n"/>
      <c r="CS2" s="30" t="n"/>
      <c r="CT2" s="30" t="n"/>
      <c r="CU2" s="30" t="n"/>
      <c r="CV2" s="30" t="n"/>
      <c r="CW2" s="30" t="n"/>
      <c r="CX2" s="30" t="n"/>
      <c r="CY2" s="30" t="n"/>
      <c r="CZ2" s="30" t="n"/>
      <c r="DA2" s="30" t="n"/>
      <c r="DB2" s="30" t="n"/>
      <c r="DC2" s="30" t="n"/>
      <c r="DD2" s="30" t="n"/>
      <c r="DE2" s="30" t="n"/>
      <c r="DF2" s="30" t="n"/>
      <c r="DG2" s="34" t="n"/>
      <c r="DH2" s="34" t="n"/>
      <c r="DI2" s="30" t="n"/>
      <c r="DJ2" s="30" t="n"/>
      <c r="DK2" s="30" t="n"/>
      <c r="DL2" s="30" t="n"/>
      <c r="DM2" s="30" t="n"/>
      <c r="DN2" s="30" t="n"/>
      <c r="DO2" s="30" t="n"/>
      <c r="DP2" s="30" t="n"/>
      <c r="DQ2" s="30" t="n"/>
      <c r="DR2" s="30" t="n"/>
    </row>
    <row r="3" ht="16" customHeight="1">
      <c r="A3" s="28" t="n"/>
      <c r="B3" s="28" t="n"/>
      <c r="C3" s="28" t="n"/>
      <c r="D3" s="28" t="n"/>
      <c r="E3" s="28" t="n"/>
      <c r="F3" s="28" t="n"/>
      <c r="G3" s="29" t="n"/>
      <c r="H3" s="30" t="n"/>
      <c r="I3" s="30" t="n"/>
      <c r="J3" s="30" t="n"/>
      <c r="K3" s="30" t="n"/>
      <c r="L3" s="30" t="n"/>
      <c r="M3" s="30" t="n"/>
      <c r="N3" s="30" t="n"/>
      <c r="O3" s="31">
        <f>IFERROR(INDEX('_courses_lookup'!$C:$C,MATCH(K3&amp;L3,'_courses_lookup'!$E:$E,0)),"")</f>
        <v/>
      </c>
      <c r="P3" s="30">
        <f>IFERROR(INDEX('_courses_lookup'!$D:$D,MATCH(K3&amp;L3,'_courses_lookup'!$E:$E,0)),"")</f>
        <v/>
      </c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0" t="n"/>
      <c r="AF3" s="30" t="n"/>
      <c r="AG3" s="30">
        <f>IF(AND(AE3&lt;&gt;"",AF3&lt;&gt;""),ROUNDUP((AF3-AE3)/7,0),"")</f>
        <v/>
      </c>
      <c r="AH3" s="30" t="n"/>
      <c r="AI3" s="30">
        <f>IFERROR(IF(AG3*AH3=0,"",AG3*AH3),"")</f>
        <v/>
      </c>
      <c r="AJ3" s="30" t="n"/>
      <c r="AK3" s="30" t="n"/>
      <c r="AL3" s="30">
        <f>IF(AND(AJ3&lt;&gt;"",AK3&lt;&gt;""),ROUNDUP((AK3-AJ3)/7,0),"")</f>
        <v/>
      </c>
      <c r="AM3" s="30" t="n"/>
      <c r="AN3" s="30">
        <f>IFERROR(IF(AL3*AM3=0,"",AL3*AM3),"")</f>
        <v/>
      </c>
      <c r="AO3" s="30" t="n"/>
      <c r="AP3" s="30" t="n"/>
      <c r="AQ3" s="30">
        <f>IF(AND(AO3&lt;&gt;"",AP3&lt;&gt;""),ROUNDUP((AP3-AO3)/7,0),"")</f>
        <v/>
      </c>
      <c r="AR3" s="30">
        <f>IFERROR(IF((AU3-(AI3+AN3))/AQ3=0,"",ROUNDUP((AU3-(AI3+AN3))/AQ3,0)),"")</f>
        <v/>
      </c>
      <c r="AS3" s="30">
        <f>IFERROR(IF((AU3-(AI3+AN3))=0,"",(AU3-(AI3+AN3))),"")</f>
        <v/>
      </c>
      <c r="AT3" s="30">
        <f>IF(AND(AG3="",AQ3=""),AL3,IF(SUM(AG3,AL3,AQ3)=0,"",SUM(AG3,AL3,AQ3)))</f>
        <v/>
      </c>
      <c r="AU3" s="30" t="n"/>
      <c r="AV3" s="30" t="n"/>
      <c r="AW3" s="30" t="n"/>
      <c r="AX3" s="30" t="n"/>
      <c r="AY3" s="30" t="n"/>
      <c r="AZ3" s="30" t="n"/>
      <c r="BA3" s="30" t="n"/>
      <c r="BB3" s="30" t="n"/>
      <c r="BC3" s="30" t="n"/>
      <c r="BD3" s="30" t="n"/>
      <c r="BE3" s="30" t="n"/>
      <c r="BF3" s="30" t="n"/>
      <c r="BG3" s="30">
        <f>IF(AD3="","",YEAR(AD3)+IF(MONTH(AD3)&gt;=5,1,0))</f>
        <v/>
      </c>
      <c r="BH3" s="30">
        <f>IF(AD3="","",IF(AND(MONTH(AD3)=8,DAY(AD3)&gt;=15),"Fall",IF(MONTH(AD3)&gt;8,"Fall",IF(MONTH(AD3)=5,"Summer",IF(MONTH(AD3)=1,"Spring","")))))</f>
        <v/>
      </c>
      <c r="BI3" s="30" t="n"/>
      <c r="BJ3" s="30" t="n"/>
      <c r="BK3" s="30" t="n"/>
      <c r="BL3" s="32">
        <f>IFERROR(INDEX('_names_lookup'!$C:$C,MATCH(BK3,'_names_lookup'!$A:$A,0)),"")</f>
        <v/>
      </c>
      <c r="BM3" s="32">
        <f>IFERROR(INDEX('_names_lookup'!$B:$B,MATCH(BK3,'_names_lookup'!$A:$A,0)),"")</f>
        <v/>
      </c>
      <c r="BN3" s="33" t="n"/>
      <c r="BO3" s="33" t="n"/>
      <c r="BP3" s="30" t="n"/>
      <c r="BQ3" s="30" t="n"/>
      <c r="BR3" s="30" t="n"/>
      <c r="BS3" s="30">
        <f>IFERROR(IF(BR3*AA3=0,"",BR3*AA3),"")</f>
        <v/>
      </c>
      <c r="BT3" s="34" t="n"/>
      <c r="BU3" s="30" t="n"/>
      <c r="BV3" s="30" t="n"/>
      <c r="BW3" s="30" t="n"/>
      <c r="BX3" s="34" t="n"/>
      <c r="BY3" s="34" t="n"/>
      <c r="BZ3" s="34" t="n"/>
      <c r="CA3" s="30" t="n"/>
      <c r="CB3" s="30" t="n"/>
      <c r="CC3" s="30" t="n"/>
      <c r="CD3" s="30" t="n"/>
      <c r="CE3" s="30" t="n"/>
      <c r="CF3" s="30" t="n"/>
      <c r="CG3" s="30" t="n"/>
      <c r="CH3" s="30" t="n"/>
      <c r="CI3" s="30" t="n"/>
      <c r="CJ3" s="30" t="n"/>
      <c r="CK3" s="30" t="n"/>
      <c r="CL3" s="30" t="n"/>
      <c r="CM3" s="30" t="n"/>
      <c r="CN3" s="30" t="n"/>
      <c r="CO3" s="30" t="n"/>
      <c r="CP3" s="30" t="n"/>
      <c r="CQ3" s="30" t="n"/>
      <c r="CR3" s="30" t="n"/>
      <c r="CS3" s="30" t="n"/>
      <c r="CT3" s="30" t="n"/>
      <c r="CU3" s="30" t="n"/>
      <c r="CV3" s="30" t="n"/>
      <c r="CW3" s="30" t="n"/>
      <c r="CX3" s="30" t="n"/>
      <c r="CY3" s="30" t="n"/>
      <c r="CZ3" s="30" t="n"/>
      <c r="DA3" s="30" t="n"/>
      <c r="DB3" s="30" t="n"/>
      <c r="DC3" s="30" t="n"/>
      <c r="DD3" s="30" t="n"/>
      <c r="DE3" s="30" t="n"/>
      <c r="DF3" s="30" t="n"/>
      <c r="DG3" s="30" t="n"/>
      <c r="DH3" s="30" t="n"/>
      <c r="DI3" s="30" t="n"/>
      <c r="DJ3" s="30" t="n"/>
      <c r="DK3" s="30" t="n"/>
      <c r="DL3" s="30" t="n"/>
      <c r="DM3" s="30" t="n"/>
      <c r="DN3" s="30" t="n"/>
      <c r="DO3" s="30" t="n"/>
      <c r="DP3" s="30" t="n"/>
      <c r="DQ3" s="30" t="n"/>
      <c r="DR3" s="30" t="n"/>
    </row>
    <row r="4" ht="16" customHeight="1">
      <c r="A4" s="36" t="n"/>
      <c r="B4" s="36" t="n"/>
      <c r="C4" s="36" t="n"/>
      <c r="D4" s="36" t="n"/>
      <c r="E4" s="36" t="n"/>
      <c r="F4" s="36" t="n"/>
      <c r="G4" s="29" t="n"/>
      <c r="H4" s="30" t="n"/>
      <c r="I4" s="30" t="n"/>
      <c r="J4" s="30" t="n"/>
      <c r="K4" s="30" t="n"/>
      <c r="L4" s="30" t="n"/>
      <c r="M4" s="30" t="n"/>
      <c r="N4" s="30" t="n"/>
      <c r="O4" s="31">
        <f>IFERROR(INDEX('_courses_lookup'!$C:$C,MATCH(K4&amp;L4,'_courses_lookup'!$E:$E,0)),"")</f>
        <v/>
      </c>
      <c r="P4" s="30">
        <f>IFERROR(INDEX('_courses_lookup'!$D:$D,MATCH(K4&amp;L4,'_courses_lookup'!$E:$E,0)),"")</f>
        <v/>
      </c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  <c r="AA4" s="30" t="n"/>
      <c r="AB4" s="30" t="n"/>
      <c r="AC4" s="30" t="n"/>
      <c r="AD4" s="30" t="n"/>
      <c r="AE4" s="30" t="n"/>
      <c r="AF4" s="30" t="n"/>
      <c r="AG4" s="30">
        <f>IF(AND(AE4&lt;&gt;"",AF4&lt;&gt;""),ROUNDUP((AF4-AE4)/7,0),"")</f>
        <v/>
      </c>
      <c r="AH4" s="30" t="n"/>
      <c r="AI4" s="30">
        <f>IFERROR(IF(AG4*AH4=0,"",AG4*AH4),"")</f>
        <v/>
      </c>
      <c r="AJ4" s="30" t="n"/>
      <c r="AK4" s="30" t="n"/>
      <c r="AL4" s="30">
        <f>IF(AND(AJ4&lt;&gt;"",AK4&lt;&gt;""),ROUNDUP((AK4-AJ4)/7,0),"")</f>
        <v/>
      </c>
      <c r="AM4" s="30" t="n"/>
      <c r="AN4" s="30">
        <f>IFERROR(IF(AL4*AM4=0,"",AL4*AM4),"")</f>
        <v/>
      </c>
      <c r="AO4" s="30" t="n"/>
      <c r="AP4" s="30" t="n"/>
      <c r="AQ4" s="30">
        <f>IF(AND(AO4&lt;&gt;"",AP4&lt;&gt;""),ROUNDUP((AP4-AO4)/7,0),"")</f>
        <v/>
      </c>
      <c r="AR4" s="30">
        <f>IFERROR(IF((AU4-(AI4+AN4))/AQ4=0,"",ROUNDUP((AU4-(AI4+AN4))/AQ4,0)),"")</f>
        <v/>
      </c>
      <c r="AS4" s="30">
        <f>IFERROR(IF((AU4-(AI4+AN4))=0,"",(AU4-(AI4+AN4))),"")</f>
        <v/>
      </c>
      <c r="AT4" s="30">
        <f>IF(AND(AG4="",AQ4=""),AL4,IF(SUM(AG4,AL4,AQ4)=0,"",SUM(AG4,AL4,AQ4)))</f>
        <v/>
      </c>
      <c r="AU4" s="30" t="n"/>
      <c r="AV4" s="30" t="n"/>
      <c r="AW4" s="30" t="n"/>
      <c r="AX4" s="30" t="n"/>
      <c r="AY4" s="30" t="n"/>
      <c r="AZ4" s="30" t="n"/>
      <c r="BA4" s="30" t="n"/>
      <c r="BB4" s="30" t="n"/>
      <c r="BC4" s="30" t="n"/>
      <c r="BD4" s="30" t="n"/>
      <c r="BE4" s="30" t="n"/>
      <c r="BF4" s="30" t="n"/>
      <c r="BG4" s="30">
        <f>IF(AD4="","",YEAR(AD4)+IF(MONTH(AD4)&gt;=5,1,0))</f>
        <v/>
      </c>
      <c r="BH4" s="30">
        <f>IF(AD4="","",IF(AND(MONTH(AD4)=8,DAY(AD4)&gt;=15),"Fall",IF(MONTH(AD4)&gt;8,"Fall",IF(MONTH(AD4)=5,"Summer",IF(MONTH(AD4)=1,"Spring","")))))</f>
        <v/>
      </c>
      <c r="BI4" s="30" t="n"/>
      <c r="BJ4" s="30" t="n"/>
      <c r="BK4" s="30" t="n"/>
      <c r="BL4" s="32">
        <f>IFERROR(INDEX('_names_lookup'!$C:$C,MATCH(BK4,'_names_lookup'!$A:$A,0)),"")</f>
        <v/>
      </c>
      <c r="BM4" s="32">
        <f>IFERROR(INDEX('_names_lookup'!$B:$B,MATCH(BK4,'_names_lookup'!$A:$A,0)),"")</f>
        <v/>
      </c>
      <c r="BN4" s="33" t="n"/>
      <c r="BO4" s="37" t="n"/>
      <c r="BP4" s="30" t="n"/>
      <c r="BQ4" s="30" t="n"/>
      <c r="BR4" s="30" t="n"/>
      <c r="BS4" s="34">
        <f>IFERROR(IF(BR4*AA4=0,"",BR4*AA4),"")</f>
        <v/>
      </c>
      <c r="BT4" s="34" t="n"/>
      <c r="BU4" s="34" t="n"/>
      <c r="BV4" s="30" t="n"/>
      <c r="BW4" s="30" t="n"/>
      <c r="BX4" s="34" t="n"/>
      <c r="BY4" s="34" t="n"/>
      <c r="BZ4" s="34" t="n"/>
      <c r="CA4" s="30" t="n"/>
      <c r="CB4" s="30" t="n"/>
      <c r="CC4" s="30" t="n"/>
      <c r="CD4" s="30" t="n"/>
      <c r="CE4" s="30" t="n"/>
      <c r="CF4" s="30" t="n"/>
      <c r="CG4" s="30" t="n"/>
      <c r="CH4" s="30" t="n"/>
      <c r="CI4" s="30" t="n"/>
      <c r="CJ4" s="30" t="n"/>
      <c r="CK4" s="30" t="n"/>
      <c r="CL4" s="30" t="n"/>
      <c r="CM4" s="30" t="n"/>
      <c r="CN4" s="30" t="n"/>
      <c r="CO4" s="30" t="n"/>
      <c r="CP4" s="30" t="n"/>
      <c r="CQ4" s="30" t="n"/>
      <c r="CR4" s="30" t="n"/>
      <c r="CS4" s="30" t="n"/>
      <c r="CT4" s="30" t="n"/>
      <c r="CU4" s="30" t="n"/>
      <c r="CV4" s="30" t="n"/>
      <c r="CW4" s="30" t="n"/>
      <c r="CX4" s="30" t="n"/>
      <c r="CY4" s="30" t="n"/>
      <c r="CZ4" s="30" t="n"/>
      <c r="DA4" s="30" t="n"/>
      <c r="DB4" s="30" t="n"/>
      <c r="DC4" s="30" t="n"/>
      <c r="DD4" s="30" t="n"/>
      <c r="DE4" s="30" t="n"/>
      <c r="DF4" s="30" t="n"/>
      <c r="DG4" s="30" t="n"/>
      <c r="DH4" s="30" t="n"/>
      <c r="DI4" s="30" t="n"/>
      <c r="DJ4" s="30" t="n"/>
      <c r="DK4" s="30" t="n"/>
      <c r="DL4" s="30" t="n"/>
      <c r="DM4" s="30" t="n"/>
      <c r="DN4" s="30" t="n"/>
      <c r="DO4" s="30" t="n"/>
      <c r="DP4" s="30" t="n"/>
      <c r="DQ4" s="34" t="n"/>
      <c r="DR4" s="34" t="n"/>
    </row>
    <row r="5" ht="16" customHeight="1">
      <c r="A5" s="36" t="n"/>
      <c r="B5" s="36" t="n"/>
      <c r="C5" s="36" t="n"/>
      <c r="D5" s="36" t="n"/>
      <c r="E5" s="36" t="n"/>
      <c r="F5" s="36" t="n"/>
      <c r="G5" s="29" t="n"/>
      <c r="H5" s="30" t="n"/>
      <c r="I5" s="30" t="n"/>
      <c r="J5" s="30" t="n"/>
      <c r="K5" s="30" t="n"/>
      <c r="L5" s="30" t="n"/>
      <c r="M5" s="30" t="n"/>
      <c r="N5" s="30" t="n"/>
      <c r="O5" s="31">
        <f>IFERROR(INDEX('_courses_lookup'!$C:$C,MATCH(K5&amp;L5,'_courses_lookup'!$E:$E,0)),"")</f>
        <v/>
      </c>
      <c r="P5" s="30">
        <f>IFERROR(INDEX('_courses_lookup'!$D:$D,MATCH(K5&amp;L5,'_courses_lookup'!$E:$E,0)),"")</f>
        <v/>
      </c>
      <c r="Q5" s="30" t="n"/>
      <c r="R5" s="30" t="n"/>
      <c r="S5" s="30" t="n"/>
      <c r="T5" s="30" t="n"/>
      <c r="U5" s="30" t="n"/>
      <c r="V5" s="30" t="n"/>
      <c r="W5" s="30" t="n"/>
      <c r="X5" s="34" t="n"/>
      <c r="Y5" s="30" t="n"/>
      <c r="Z5" s="30" t="n"/>
      <c r="AA5" s="30" t="n"/>
      <c r="AB5" s="30" t="n"/>
      <c r="AC5" s="30" t="n"/>
      <c r="AD5" s="30" t="n"/>
      <c r="AE5" s="30" t="n"/>
      <c r="AF5" s="30" t="n"/>
      <c r="AG5" s="30">
        <f>IF(AND(AE5&lt;&gt;"",AF5&lt;&gt;""),ROUNDUP((AF5-AE5)/7,0),"")</f>
        <v/>
      </c>
      <c r="AH5" s="30" t="n"/>
      <c r="AI5" s="30">
        <f>IFERROR(IF(AG5*AH5=0,"",AG5*AH5),"")</f>
        <v/>
      </c>
      <c r="AJ5" s="30" t="n"/>
      <c r="AK5" s="30" t="n"/>
      <c r="AL5" s="30">
        <f>IF(AND(AJ5&lt;&gt;"",AK5&lt;&gt;""),ROUNDUP((AK5-AJ5)/7,0),"")</f>
        <v/>
      </c>
      <c r="AM5" s="30" t="n"/>
      <c r="AN5" s="30">
        <f>IFERROR(IF(AL5*AM5=0,"",AL5*AM5),"")</f>
        <v/>
      </c>
      <c r="AO5" s="30" t="n"/>
      <c r="AP5" s="30" t="n"/>
      <c r="AQ5" s="30">
        <f>IF(AND(AO5&lt;&gt;"",AP5&lt;&gt;""),ROUNDUP((AP5-AO5)/7,0),"")</f>
        <v/>
      </c>
      <c r="AR5" s="30">
        <f>IFERROR(IF((AU5-(AI5+AN5))/AQ5=0,"",ROUNDUP((AU5-(AI5+AN5))/AQ5,0)),"")</f>
        <v/>
      </c>
      <c r="AS5" s="30">
        <f>IFERROR(IF((AU5-(AI5+AN5))=0,"",(AU5-(AI5+AN5))),"")</f>
        <v/>
      </c>
      <c r="AT5" s="30">
        <f>IF(AND(AG5="",AQ5=""),AL5,IF(SUM(AG5,AL5,AQ5)=0,"",SUM(AG5,AL5,AQ5)))</f>
        <v/>
      </c>
      <c r="AU5" s="30" t="n"/>
      <c r="AV5" s="30" t="n"/>
      <c r="AW5" s="30" t="n"/>
      <c r="AX5" s="30" t="n"/>
      <c r="AY5" s="30" t="n"/>
      <c r="AZ5" s="30" t="n"/>
      <c r="BA5" s="30" t="n"/>
      <c r="BB5" s="30" t="n"/>
      <c r="BC5" s="30" t="n"/>
      <c r="BD5" s="30" t="n"/>
      <c r="BE5" s="30" t="n"/>
      <c r="BF5" s="30" t="n"/>
      <c r="BG5" s="30">
        <f>IF(AD5="","",YEAR(AD5)+IF(MONTH(AD5)&gt;=5,1,0))</f>
        <v/>
      </c>
      <c r="BH5" s="30">
        <f>IF(AD5="","",IF(AND(MONTH(AD5)=8,DAY(AD5)&gt;=15),"Fall",IF(MONTH(AD5)&gt;8,"Fall",IF(MONTH(AD5)=5,"Summer",IF(MONTH(AD5)=1,"Spring","")))))</f>
        <v/>
      </c>
      <c r="BI5" s="34" t="n"/>
      <c r="BJ5" s="30" t="n"/>
      <c r="BK5" s="30" t="n"/>
      <c r="BL5" s="32">
        <f>IFERROR(INDEX('_names_lookup'!$C:$C,MATCH(BK5,'_names_lookup'!$A:$A,0)),"")</f>
        <v/>
      </c>
      <c r="BM5" s="32">
        <f>IFERROR(INDEX('_names_lookup'!$B:$B,MATCH(BK5,'_names_lookup'!$A:$A,0)),"")</f>
        <v/>
      </c>
      <c r="BN5" s="33" t="n"/>
      <c r="BO5" s="37" t="n"/>
      <c r="BP5" s="34" t="n"/>
      <c r="BQ5" s="30" t="n"/>
      <c r="BR5" s="34" t="n"/>
      <c r="BS5" s="34">
        <f>IFERROR(IF(BR5*AA5=0,"",BR5*AA5),"")</f>
        <v/>
      </c>
      <c r="BT5" s="34" t="n"/>
      <c r="BU5" s="34" t="n"/>
      <c r="BV5" s="30" t="n"/>
      <c r="BW5" s="30" t="n"/>
      <c r="BX5" s="34" t="n"/>
      <c r="BY5" s="34" t="n"/>
      <c r="BZ5" s="34" t="n"/>
      <c r="CA5" s="30" t="n"/>
      <c r="CB5" s="30" t="n"/>
      <c r="CC5" s="30" t="n"/>
      <c r="CD5" s="30" t="n"/>
      <c r="CE5" s="30" t="n"/>
      <c r="CF5" s="30" t="n"/>
      <c r="CG5" s="30" t="n"/>
      <c r="CH5" s="30" t="n"/>
      <c r="CI5" s="30" t="n"/>
      <c r="CJ5" s="30" t="n"/>
      <c r="CK5" s="30" t="n"/>
      <c r="CL5" s="30" t="n"/>
      <c r="CM5" s="30" t="n"/>
      <c r="CN5" s="30" t="n"/>
      <c r="CO5" s="30" t="n"/>
      <c r="CP5" s="30" t="n"/>
      <c r="CQ5" s="30" t="n"/>
      <c r="CR5" s="30" t="n"/>
      <c r="CS5" s="30" t="n"/>
      <c r="CT5" s="30" t="n"/>
      <c r="CU5" s="30" t="n"/>
      <c r="CV5" s="30" t="n"/>
      <c r="CW5" s="30" t="n"/>
      <c r="CX5" s="30" t="n"/>
      <c r="CY5" s="30" t="n"/>
      <c r="CZ5" s="30" t="n"/>
      <c r="DA5" s="30" t="n"/>
      <c r="DB5" s="30" t="n"/>
      <c r="DC5" s="30" t="n"/>
      <c r="DD5" s="30" t="n"/>
      <c r="DE5" s="30" t="n"/>
      <c r="DF5" s="30" t="n"/>
      <c r="DG5" s="30" t="n"/>
      <c r="DH5" s="30" t="n"/>
      <c r="DI5" s="30" t="n"/>
      <c r="DJ5" s="30" t="n"/>
      <c r="DK5" s="30" t="n"/>
      <c r="DL5" s="30" t="n"/>
      <c r="DM5" s="30" t="n"/>
      <c r="DN5" s="30" t="n"/>
      <c r="DO5" s="30" t="n"/>
      <c r="DP5" s="30" t="n"/>
      <c r="DQ5" s="34" t="n"/>
      <c r="DR5" s="34" t="n"/>
    </row>
    <row r="6" ht="16" customHeight="1">
      <c r="A6" s="36" t="n"/>
      <c r="B6" s="36" t="n"/>
      <c r="C6" s="36" t="n"/>
      <c r="D6" s="36" t="n"/>
      <c r="E6" s="36" t="n"/>
      <c r="F6" s="36" t="n"/>
      <c r="G6" s="29" t="n"/>
      <c r="H6" s="30" t="n"/>
      <c r="I6" s="30" t="n"/>
      <c r="J6" s="30" t="n"/>
      <c r="K6" s="30" t="n"/>
      <c r="L6" s="30" t="n"/>
      <c r="M6" s="30" t="n"/>
      <c r="N6" s="30" t="n"/>
      <c r="O6" s="31">
        <f>IFERROR(INDEX('_courses_lookup'!$C:$C,MATCH(K6&amp;L6,'_courses_lookup'!$E:$E,0)),"")</f>
        <v/>
      </c>
      <c r="P6" s="30">
        <f>IFERROR(INDEX('_courses_lookup'!$D:$D,MATCH(K6&amp;L6,'_courses_lookup'!$E:$E,0)),"")</f>
        <v/>
      </c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  <c r="AG6" s="30">
        <f>IF(AND(AE6&lt;&gt;"",AF6&lt;&gt;""),ROUNDUP((AF6-AE6)/7,0),"")</f>
        <v/>
      </c>
      <c r="AH6" s="30" t="n"/>
      <c r="AI6" s="30">
        <f>IFERROR(IF(AG6*AH6=0,"",AG6*AH6),"")</f>
        <v/>
      </c>
      <c r="AJ6" s="30" t="n"/>
      <c r="AK6" s="30" t="n"/>
      <c r="AL6" s="30">
        <f>IF(AND(AJ6&lt;&gt;"",AK6&lt;&gt;""),ROUNDUP((AK6-AJ6)/7,0),"")</f>
        <v/>
      </c>
      <c r="AM6" s="30" t="n"/>
      <c r="AN6" s="30">
        <f>IFERROR(IF(AL6*AM6=0,"",AL6*AM6),"")</f>
        <v/>
      </c>
      <c r="AO6" s="30" t="n"/>
      <c r="AP6" s="30" t="n"/>
      <c r="AQ6" s="30">
        <f>IF(AND(AO6&lt;&gt;"",AP6&lt;&gt;""),ROUNDUP((AP6-AO6)/7,0),"")</f>
        <v/>
      </c>
      <c r="AR6" s="30">
        <f>IFERROR(IF((AU6-(AI6+AN6))/AQ6=0,"",ROUNDUP((AU6-(AI6+AN6))/AQ6,0)),"")</f>
        <v/>
      </c>
      <c r="AS6" s="30">
        <f>IFERROR(IF((AU6-(AI6+AN6))=0,"",(AU6-(AI6+AN6))),"")</f>
        <v/>
      </c>
      <c r="AT6" s="30">
        <f>IF(AND(AG6="",AQ6=""),AL6,IF(SUM(AG6,AL6,AQ6)=0,"",SUM(AG6,AL6,AQ6)))</f>
        <v/>
      </c>
      <c r="AU6" s="30" t="n"/>
      <c r="AV6" s="30" t="n"/>
      <c r="AW6" s="30" t="n"/>
      <c r="AX6" s="30" t="n"/>
      <c r="AY6" s="30" t="n"/>
      <c r="AZ6" s="30" t="n"/>
      <c r="BA6" s="30" t="n"/>
      <c r="BB6" s="30" t="n"/>
      <c r="BC6" s="30" t="n"/>
      <c r="BD6" s="30" t="n"/>
      <c r="BE6" s="30" t="n"/>
      <c r="BF6" s="30" t="n"/>
      <c r="BG6" s="30">
        <f>IF(AD6="","",YEAR(AD6)+IF(MONTH(AD6)&gt;=5,1,0))</f>
        <v/>
      </c>
      <c r="BH6" s="30">
        <f>IF(AD6="","",IF(AND(MONTH(AD6)=8,DAY(AD6)&gt;=15),"Fall",IF(MONTH(AD6)&gt;8,"Fall",IF(MONTH(AD6)=5,"Summer",IF(MONTH(AD6)=1,"Spring","")))))</f>
        <v/>
      </c>
      <c r="BI6" s="34" t="n"/>
      <c r="BJ6" s="30" t="n"/>
      <c r="BK6" s="30" t="n"/>
      <c r="BL6" s="32">
        <f>IFERROR(INDEX('_names_lookup'!$C:$C,MATCH(BK6,'_names_lookup'!$A:$A,0)),"")</f>
        <v/>
      </c>
      <c r="BM6" s="32">
        <f>IFERROR(INDEX('_names_lookup'!$B:$B,MATCH(BK6,'_names_lookup'!$A:$A,0)),"")</f>
        <v/>
      </c>
      <c r="BN6" s="33" t="n"/>
      <c r="BO6" s="37" t="n"/>
      <c r="BP6" s="34" t="n"/>
      <c r="BQ6" s="33" t="n"/>
      <c r="BR6" s="34" t="n"/>
      <c r="BS6" s="34">
        <f>IFERROR(IF(BR6*AA6=0,"",BR6*AA6),"")</f>
        <v/>
      </c>
      <c r="BT6" s="34" t="n"/>
      <c r="BU6" s="34" t="n"/>
      <c r="BV6" s="30" t="n"/>
      <c r="BW6" s="30" t="n"/>
      <c r="BX6" s="34" t="n"/>
      <c r="BY6" s="34" t="n"/>
      <c r="BZ6" s="34" t="n"/>
      <c r="CA6" s="30" t="n"/>
      <c r="CB6" s="30" t="n"/>
      <c r="CC6" s="30" t="n"/>
      <c r="CD6" s="30" t="n"/>
      <c r="CE6" s="30" t="n"/>
      <c r="CF6" s="30" t="n"/>
      <c r="CG6" s="30" t="n"/>
      <c r="CH6" s="30" t="n"/>
      <c r="CI6" s="30" t="n"/>
      <c r="CJ6" s="30" t="n"/>
      <c r="CK6" s="30" t="n"/>
      <c r="CL6" s="30" t="n"/>
      <c r="CM6" s="30" t="n"/>
      <c r="CN6" s="30" t="n"/>
      <c r="CO6" s="30" t="n"/>
      <c r="CP6" s="30" t="n"/>
      <c r="CQ6" s="30" t="n"/>
      <c r="CR6" s="30" t="n"/>
      <c r="CS6" s="30" t="n"/>
      <c r="CT6" s="30" t="n"/>
      <c r="CU6" s="30" t="n"/>
      <c r="CV6" s="30" t="n"/>
      <c r="CW6" s="30" t="n"/>
      <c r="CX6" s="30" t="n"/>
      <c r="CY6" s="30" t="n"/>
      <c r="CZ6" s="30" t="n"/>
      <c r="DA6" s="30" t="n"/>
      <c r="DB6" s="30" t="n"/>
      <c r="DC6" s="30" t="n"/>
      <c r="DD6" s="30" t="n"/>
      <c r="DE6" s="30" t="n"/>
      <c r="DF6" s="30" t="n"/>
      <c r="DG6" s="30" t="n"/>
      <c r="DH6" s="30" t="n"/>
      <c r="DI6" s="30" t="n"/>
      <c r="DJ6" s="30" t="n"/>
      <c r="DK6" s="30" t="n"/>
      <c r="DL6" s="30" t="n"/>
      <c r="DM6" s="30" t="n"/>
      <c r="DN6" s="30" t="n"/>
      <c r="DO6" s="30" t="n"/>
      <c r="DP6" s="30" t="n"/>
      <c r="DQ6" s="34" t="n"/>
      <c r="DR6" s="34" t="n"/>
    </row>
    <row r="7" ht="16" customHeight="1">
      <c r="A7" s="36" t="n"/>
      <c r="B7" s="36" t="n"/>
      <c r="C7" s="36" t="n"/>
      <c r="D7" s="36" t="n"/>
      <c r="E7" s="36" t="n"/>
      <c r="F7" s="36" t="n"/>
      <c r="G7" s="29" t="n"/>
      <c r="H7" s="30" t="n"/>
      <c r="I7" s="30" t="n"/>
      <c r="J7" s="30" t="n"/>
      <c r="K7" s="30" t="n"/>
      <c r="L7" s="30" t="n"/>
      <c r="M7" s="30" t="n"/>
      <c r="N7" s="30" t="n"/>
      <c r="O7" s="31">
        <f>IFERROR(INDEX('_courses_lookup'!$C:$C,MATCH(K7&amp;L7,'_courses_lookup'!$E:$E,0)),"")</f>
        <v/>
      </c>
      <c r="P7" s="30">
        <f>IFERROR(INDEX('_courses_lookup'!$D:$D,MATCH(K7&amp;L7,'_courses_lookup'!$E:$E,0)),"")</f>
        <v/>
      </c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0">
        <f>IF(AND(AE7&lt;&gt;"",AF7&lt;&gt;""),ROUNDUP((AF7-AE7)/7,0),"")</f>
        <v/>
      </c>
      <c r="AH7" s="30" t="n"/>
      <c r="AI7" s="30">
        <f>IFERROR(IF(AG7*AH7=0,"",AG7*AH7),"")</f>
        <v/>
      </c>
      <c r="AJ7" s="30" t="n"/>
      <c r="AK7" s="30" t="n"/>
      <c r="AL7" s="30">
        <f>IF(AND(AJ7&lt;&gt;"",AK7&lt;&gt;""),ROUNDUP((AK7-AJ7)/7,0),"")</f>
        <v/>
      </c>
      <c r="AM7" s="30" t="n"/>
      <c r="AN7" s="30">
        <f>IFERROR(IF(AL7*AM7=0,"",AL7*AM7),"")</f>
        <v/>
      </c>
      <c r="AO7" s="30" t="n"/>
      <c r="AP7" s="30" t="n"/>
      <c r="AQ7" s="30">
        <f>IF(AND(AO7&lt;&gt;"",AP7&lt;&gt;""),ROUNDUP((AP7-AO7)/7,0),"")</f>
        <v/>
      </c>
      <c r="AR7" s="30">
        <f>IFERROR(IF((AU7-(AI7+AN7))/AQ7=0,"",ROUNDUP((AU7-(AI7+AN7))/AQ7,0)),"")</f>
        <v/>
      </c>
      <c r="AS7" s="30">
        <f>IFERROR(IF((AU7-(AI7+AN7))=0,"",(AU7-(AI7+AN7))),"")</f>
        <v/>
      </c>
      <c r="AT7" s="30">
        <f>IF(AND(AG7="",AQ7=""),AL7,IF(SUM(AG7,AL7,AQ7)=0,"",SUM(AG7,AL7,AQ7)))</f>
        <v/>
      </c>
      <c r="AU7" s="30" t="n"/>
      <c r="AV7" s="30" t="n"/>
      <c r="AW7" s="30" t="n"/>
      <c r="AX7" s="30" t="n"/>
      <c r="AY7" s="30" t="n"/>
      <c r="AZ7" s="30" t="n"/>
      <c r="BA7" s="30" t="n"/>
      <c r="BB7" s="30" t="n"/>
      <c r="BC7" s="30" t="n"/>
      <c r="BD7" s="30" t="n"/>
      <c r="BE7" s="30" t="n"/>
      <c r="BF7" s="30" t="n"/>
      <c r="BG7" s="30">
        <f>IF(AD7="","",YEAR(AD7)+IF(MONTH(AD7)&gt;=5,1,0))</f>
        <v/>
      </c>
      <c r="BH7" s="30">
        <f>IF(AD7="","",IF(AND(MONTH(AD7)=8,DAY(AD7)&gt;=15),"Fall",IF(MONTH(AD7)&gt;8,"Fall",IF(MONTH(AD7)=5,"Summer",IF(MONTH(AD7)=1,"Spring","")))))</f>
        <v/>
      </c>
      <c r="BI7" s="34" t="n"/>
      <c r="BJ7" s="30" t="n"/>
      <c r="BK7" s="30" t="n"/>
      <c r="BL7" s="32">
        <f>IFERROR(INDEX('_names_lookup'!$C:$C,MATCH(BK7,'_names_lookup'!$A:$A,0)),"")</f>
        <v/>
      </c>
      <c r="BM7" s="32">
        <f>IFERROR(INDEX('_names_lookup'!$B:$B,MATCH(BK7,'_names_lookup'!$A:$A,0)),"")</f>
        <v/>
      </c>
      <c r="BN7" s="33" t="n"/>
      <c r="BO7" s="37" t="n"/>
      <c r="BP7" s="34" t="n"/>
      <c r="BQ7" s="34" t="n"/>
      <c r="BR7" s="34" t="n"/>
      <c r="BS7" s="34">
        <f>IFERROR(IF(BR7*AA7=0,"",BR7*AA7),"")</f>
        <v/>
      </c>
      <c r="BT7" s="34" t="n"/>
      <c r="BU7" s="34" t="n"/>
      <c r="BV7" s="30" t="n"/>
      <c r="BW7" s="30" t="n"/>
      <c r="BX7" s="34" t="n"/>
      <c r="BY7" s="34" t="n"/>
      <c r="BZ7" s="34" t="n"/>
      <c r="CA7" s="30" t="n"/>
      <c r="CB7" s="30" t="n"/>
      <c r="CC7" s="30" t="n"/>
      <c r="CD7" s="30" t="n"/>
      <c r="CE7" s="30" t="n"/>
      <c r="CF7" s="30" t="n"/>
      <c r="CG7" s="30" t="n"/>
      <c r="CH7" s="30" t="n"/>
      <c r="CI7" s="30" t="n"/>
      <c r="CJ7" s="30" t="n"/>
      <c r="CK7" s="30" t="n"/>
      <c r="CL7" s="30" t="n"/>
      <c r="CM7" s="30" t="n"/>
      <c r="CN7" s="30" t="n"/>
      <c r="CO7" s="30" t="n"/>
      <c r="CP7" s="30" t="n"/>
      <c r="CQ7" s="30" t="n"/>
      <c r="CR7" s="30" t="n"/>
      <c r="CS7" s="30" t="n"/>
      <c r="CT7" s="30" t="n"/>
      <c r="CU7" s="30" t="n"/>
      <c r="CV7" s="30" t="n"/>
      <c r="CW7" s="30" t="n"/>
      <c r="CX7" s="30" t="n"/>
      <c r="CY7" s="30" t="n"/>
      <c r="CZ7" s="30" t="n"/>
      <c r="DA7" s="30" t="n"/>
      <c r="DB7" s="30" t="n"/>
      <c r="DC7" s="30" t="n"/>
      <c r="DD7" s="30" t="n"/>
      <c r="DE7" s="30" t="n"/>
      <c r="DF7" s="30" t="n"/>
      <c r="DG7" s="30" t="n"/>
      <c r="DH7" s="30" t="n"/>
      <c r="DI7" s="30" t="n"/>
      <c r="DJ7" s="30" t="n"/>
      <c r="DK7" s="30" t="n"/>
      <c r="DL7" s="30" t="n"/>
      <c r="DM7" s="30" t="n"/>
      <c r="DN7" s="30" t="n"/>
      <c r="DO7" s="30" t="n"/>
      <c r="DP7" s="30" t="n"/>
      <c r="DQ7" s="34" t="n"/>
      <c r="DR7" s="34" t="n"/>
    </row>
    <row r="8" ht="16" customHeight="1">
      <c r="A8" s="36" t="n"/>
      <c r="B8" s="36" t="n"/>
      <c r="C8" s="36" t="n"/>
      <c r="D8" s="36" t="n"/>
      <c r="E8" s="36" t="n"/>
      <c r="F8" s="36" t="n"/>
      <c r="G8" s="29" t="n"/>
      <c r="H8" s="30" t="n"/>
      <c r="I8" s="30" t="n"/>
      <c r="J8" s="30" t="n"/>
      <c r="K8" s="30" t="n"/>
      <c r="L8" s="30" t="n"/>
      <c r="M8" s="30" t="n"/>
      <c r="N8" s="30" t="n"/>
      <c r="O8" s="31">
        <f>IFERROR(INDEX('_courses_lookup'!$C:$C,MATCH(K8&amp;L8,'_courses_lookup'!$E:$E,0)),"")</f>
        <v/>
      </c>
      <c r="P8" s="30">
        <f>IFERROR(INDEX('_courses_lookup'!$D:$D,MATCH(K8&amp;L8,'_courses_lookup'!$E:$E,0)),"")</f>
        <v/>
      </c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0" t="n"/>
      <c r="AE8" s="30" t="n"/>
      <c r="AF8" s="30" t="n"/>
      <c r="AG8" s="30">
        <f>IF(AND(AE8&lt;&gt;"",AF8&lt;&gt;""),ROUNDUP((AF8-AE8)/7,0),"")</f>
        <v/>
      </c>
      <c r="AH8" s="30" t="n"/>
      <c r="AI8" s="30">
        <f>IFERROR(IF(AG8*AH8=0,"",AG8*AH8),"")</f>
        <v/>
      </c>
      <c r="AJ8" s="30" t="n"/>
      <c r="AK8" s="30" t="n"/>
      <c r="AL8" s="30">
        <f>IF(AND(AJ8&lt;&gt;"",AK8&lt;&gt;""),ROUNDUP((AK8-AJ8)/7,0),"")</f>
        <v/>
      </c>
      <c r="AM8" s="30" t="n"/>
      <c r="AN8" s="30">
        <f>IFERROR(IF(AL8*AM8=0,"",AL8*AM8),"")</f>
        <v/>
      </c>
      <c r="AO8" s="30" t="n"/>
      <c r="AP8" s="30" t="n"/>
      <c r="AQ8" s="30">
        <f>IF(AND(AO8&lt;&gt;"",AP8&lt;&gt;""),ROUNDUP((AP8-AO8)/7,0),"")</f>
        <v/>
      </c>
      <c r="AR8" s="30">
        <f>IFERROR(IF((AU8-(AI8+AN8))/AQ8=0,"",ROUNDUP((AU8-(AI8+AN8))/AQ8,0)),"")</f>
        <v/>
      </c>
      <c r="AS8" s="30">
        <f>IFERROR(IF((AU8-(AI8+AN8))=0,"",(AU8-(AI8+AN8))),"")</f>
        <v/>
      </c>
      <c r="AT8" s="30">
        <f>IF(AND(AG8="",AQ8=""),AL8,IF(SUM(AG8,AL8,AQ8)=0,"",SUM(AG8,AL8,AQ8)))</f>
        <v/>
      </c>
      <c r="AU8" s="30" t="n"/>
      <c r="AV8" s="30" t="n"/>
      <c r="AW8" s="30" t="n"/>
      <c r="AX8" s="30" t="n"/>
      <c r="AY8" s="30" t="n"/>
      <c r="AZ8" s="30" t="n"/>
      <c r="BA8" s="30" t="n"/>
      <c r="BB8" s="30" t="n"/>
      <c r="BC8" s="30" t="n"/>
      <c r="BD8" s="30" t="n"/>
      <c r="BE8" s="30" t="n"/>
      <c r="BF8" s="30" t="n"/>
      <c r="BG8" s="30">
        <f>IF(AD8="","",YEAR(AD8)+IF(MONTH(AD8)&gt;=5,1,0))</f>
        <v/>
      </c>
      <c r="BH8" s="30">
        <f>IF(AD8="","",IF(AND(MONTH(AD8)=8,DAY(AD8)&gt;=15),"Fall",IF(MONTH(AD8)&gt;8,"Fall",IF(MONTH(AD8)=5,"Summer",IF(MONTH(AD8)=1,"Spring","")))))</f>
        <v/>
      </c>
      <c r="BI8" s="34" t="n"/>
      <c r="BJ8" s="30" t="n"/>
      <c r="BK8" s="30" t="n"/>
      <c r="BL8" s="32">
        <f>IFERROR(INDEX('_names_lookup'!$C:$C,MATCH(BK8,'_names_lookup'!$A:$A,0)),"")</f>
        <v/>
      </c>
      <c r="BM8" s="32">
        <f>IFERROR(INDEX('_names_lookup'!$B:$B,MATCH(BK8,'_names_lookup'!$A:$A,0)),"")</f>
        <v/>
      </c>
      <c r="BN8" s="33" t="n"/>
      <c r="BO8" s="37" t="n"/>
      <c r="BP8" s="34" t="n"/>
      <c r="BQ8" s="34" t="n"/>
      <c r="BR8" s="34" t="n"/>
      <c r="BS8" s="34">
        <f>IFERROR(IF(BR8*AA8=0,"",BR8*AA8),"")</f>
        <v/>
      </c>
      <c r="BT8" s="34" t="n"/>
      <c r="BU8" s="34" t="n"/>
      <c r="BV8" s="30" t="n"/>
      <c r="BW8" s="30" t="n"/>
      <c r="BX8" s="34" t="n"/>
      <c r="BY8" s="34" t="n"/>
      <c r="BZ8" s="34" t="n"/>
      <c r="CA8" s="30" t="n"/>
      <c r="CB8" s="30" t="n"/>
      <c r="CC8" s="30" t="n"/>
      <c r="CD8" s="30" t="n"/>
      <c r="CE8" s="30" t="n"/>
      <c r="CF8" s="30" t="n"/>
      <c r="CG8" s="30" t="n"/>
      <c r="CH8" s="30" t="n"/>
      <c r="CI8" s="30" t="n"/>
      <c r="CJ8" s="30" t="n"/>
      <c r="CK8" s="30" t="n"/>
      <c r="CL8" s="30" t="n"/>
      <c r="CM8" s="30" t="n"/>
      <c r="CN8" s="30" t="n"/>
      <c r="CO8" s="30" t="n"/>
      <c r="CP8" s="30" t="n"/>
      <c r="CQ8" s="30" t="n"/>
      <c r="CR8" s="30" t="n"/>
      <c r="CS8" s="30" t="n"/>
      <c r="CT8" s="30" t="n"/>
      <c r="CU8" s="30" t="n"/>
      <c r="CV8" s="30" t="n"/>
      <c r="CW8" s="30" t="n"/>
      <c r="CX8" s="30" t="n"/>
      <c r="CY8" s="30" t="n"/>
      <c r="CZ8" s="30" t="n"/>
      <c r="DA8" s="30" t="n"/>
      <c r="DB8" s="30" t="n"/>
      <c r="DC8" s="30" t="n"/>
      <c r="DD8" s="30" t="n"/>
      <c r="DE8" s="30" t="n"/>
      <c r="DF8" s="30" t="n"/>
      <c r="DG8" s="30" t="n"/>
      <c r="DH8" s="30" t="n"/>
      <c r="DI8" s="30" t="n"/>
      <c r="DJ8" s="30" t="n"/>
      <c r="DK8" s="30" t="n"/>
      <c r="DL8" s="30" t="n"/>
      <c r="DM8" s="30" t="n"/>
      <c r="DN8" s="30" t="n"/>
      <c r="DO8" s="30" t="n"/>
      <c r="DP8" s="30" t="n"/>
      <c r="DQ8" s="34" t="n"/>
      <c r="DR8" s="34" t="n"/>
    </row>
    <row r="9" ht="16" customHeight="1">
      <c r="A9" s="36" t="n"/>
      <c r="B9" s="36" t="n"/>
      <c r="C9" s="36" t="n"/>
      <c r="D9" s="36" t="n"/>
      <c r="E9" s="36" t="n"/>
      <c r="F9" s="36" t="n"/>
      <c r="G9" s="29" t="n"/>
      <c r="H9" s="30" t="n"/>
      <c r="I9" s="30" t="n"/>
      <c r="J9" s="30" t="n"/>
      <c r="K9" s="30" t="n"/>
      <c r="L9" s="30" t="n"/>
      <c r="M9" s="30" t="n"/>
      <c r="N9" s="30" t="n"/>
      <c r="O9" s="31">
        <f>IFERROR(INDEX('_courses_lookup'!$C:$C,MATCH(K9&amp;L9,'_courses_lookup'!$E:$E,0)),"")</f>
        <v/>
      </c>
      <c r="P9" s="30">
        <f>IFERROR(INDEX('_courses_lookup'!$D:$D,MATCH(K9&amp;L9,'_courses_lookup'!$E:$E,0)),"")</f>
        <v/>
      </c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0" t="n"/>
      <c r="AE9" s="30" t="n"/>
      <c r="AF9" s="30" t="n"/>
      <c r="AG9" s="30">
        <f>IF(AND(AE9&lt;&gt;"",AF9&lt;&gt;""),ROUNDUP((AF9-AE9)/7,0),"")</f>
        <v/>
      </c>
      <c r="AH9" s="30" t="n"/>
      <c r="AI9" s="30">
        <f>IFERROR(IF(AG9*AH9=0,"",AG9*AH9),"")</f>
        <v/>
      </c>
      <c r="AJ9" s="30" t="n"/>
      <c r="AK9" s="30" t="n"/>
      <c r="AL9" s="30">
        <f>IF(AND(AJ9&lt;&gt;"",AK9&lt;&gt;""),ROUNDUP((AK9-AJ9)/7,0),"")</f>
        <v/>
      </c>
      <c r="AM9" s="30" t="n"/>
      <c r="AN9" s="30">
        <f>IFERROR(IF(AL9*AM9=0,"",AL9*AM9),"")</f>
        <v/>
      </c>
      <c r="AO9" s="30" t="n"/>
      <c r="AP9" s="30" t="n"/>
      <c r="AQ9" s="30">
        <f>IF(AND(AO9&lt;&gt;"",AP9&lt;&gt;""),ROUNDUP((AP9-AO9)/7,0),"")</f>
        <v/>
      </c>
      <c r="AR9" s="30">
        <f>IFERROR(IF((AU9-(AI9+AN9))/AQ9=0,"",ROUNDUP((AU9-(AI9+AN9))/AQ9,0)),"")</f>
        <v/>
      </c>
      <c r="AS9" s="30">
        <f>IFERROR(IF((AU9-(AI9+AN9))=0,"",(AU9-(AI9+AN9))),"")</f>
        <v/>
      </c>
      <c r="AT9" s="30">
        <f>IF(AND(AG9="",AQ9=""),AL9,IF(SUM(AG9,AL9,AQ9)=0,"",SUM(AG9,AL9,AQ9)))</f>
        <v/>
      </c>
      <c r="AU9" s="30" t="n"/>
      <c r="AV9" s="30" t="n"/>
      <c r="AW9" s="30" t="n"/>
      <c r="AX9" s="30" t="n"/>
      <c r="AY9" s="30" t="n"/>
      <c r="AZ9" s="30" t="n"/>
      <c r="BA9" s="30" t="n"/>
      <c r="BB9" s="30" t="n"/>
      <c r="BC9" s="30" t="n"/>
      <c r="BD9" s="30" t="n"/>
      <c r="BE9" s="30" t="n"/>
      <c r="BF9" s="30" t="n"/>
      <c r="BG9" s="30">
        <f>IF(AD9="","",YEAR(AD9)+IF(MONTH(AD9)&gt;=5,1,0))</f>
        <v/>
      </c>
      <c r="BH9" s="30">
        <f>IF(AD9="","",IF(AND(MONTH(AD9)=8,DAY(AD9)&gt;=15),"Fall",IF(MONTH(AD9)&gt;8,"Fall",IF(MONTH(AD9)=5,"Summer",IF(MONTH(AD9)=1,"Spring","")))))</f>
        <v/>
      </c>
      <c r="BI9" s="34" t="n"/>
      <c r="BJ9" s="30" t="n"/>
      <c r="BK9" s="30" t="n"/>
      <c r="BL9" s="32">
        <f>IFERROR(INDEX('_names_lookup'!$C:$C,MATCH(BK9,'_names_lookup'!$A:$A,0)),"")</f>
        <v/>
      </c>
      <c r="BM9" s="32">
        <f>IFERROR(INDEX('_names_lookup'!$B:$B,MATCH(BK9,'_names_lookup'!$A:$A,0)),"")</f>
        <v/>
      </c>
      <c r="BN9" s="33" t="n"/>
      <c r="BO9" s="37" t="n"/>
      <c r="BP9" s="34" t="n"/>
      <c r="BQ9" s="34" t="n"/>
      <c r="BR9" s="34" t="n"/>
      <c r="BS9" s="34">
        <f>IFERROR(IF(BR9*AA9=0,"",BR9*AA9),"")</f>
        <v/>
      </c>
      <c r="BT9" s="34" t="n"/>
      <c r="BU9" s="34" t="n"/>
      <c r="BV9" s="30" t="n"/>
      <c r="BW9" s="30" t="n"/>
      <c r="BX9" s="34" t="n"/>
      <c r="BY9" s="34" t="n"/>
      <c r="BZ9" s="34" t="n"/>
      <c r="CA9" s="30" t="n"/>
      <c r="CB9" s="30" t="n"/>
      <c r="CC9" s="30" t="n"/>
      <c r="CD9" s="30" t="n"/>
      <c r="CE9" s="30" t="n"/>
      <c r="CF9" s="30" t="n"/>
      <c r="CG9" s="30" t="n"/>
      <c r="CH9" s="30" t="n"/>
      <c r="CI9" s="30" t="n"/>
      <c r="CJ9" s="30" t="n"/>
      <c r="CK9" s="30" t="n"/>
      <c r="CL9" s="30" t="n"/>
      <c r="CM9" s="30" t="n"/>
      <c r="CN9" s="30" t="n"/>
      <c r="CO9" s="30" t="n"/>
      <c r="CP9" s="30" t="n"/>
      <c r="CQ9" s="30" t="n"/>
      <c r="CR9" s="30" t="n"/>
      <c r="CS9" s="30" t="n"/>
      <c r="CT9" s="30" t="n"/>
      <c r="CU9" s="30" t="n"/>
      <c r="CV9" s="30" t="n"/>
      <c r="CW9" s="30" t="n"/>
      <c r="CX9" s="30" t="n"/>
      <c r="CY9" s="30" t="n"/>
      <c r="CZ9" s="30" t="n"/>
      <c r="DA9" s="30" t="n"/>
      <c r="DB9" s="30" t="n"/>
      <c r="DC9" s="30" t="n"/>
      <c r="DD9" s="30" t="n"/>
      <c r="DE9" s="30" t="n"/>
      <c r="DF9" s="30" t="n"/>
      <c r="DG9" s="30" t="n"/>
      <c r="DH9" s="30" t="n"/>
      <c r="DI9" s="30" t="n"/>
      <c r="DJ9" s="30" t="n"/>
      <c r="DK9" s="30" t="n"/>
      <c r="DL9" s="30" t="n"/>
      <c r="DM9" s="30" t="n"/>
      <c r="DN9" s="30" t="n"/>
      <c r="DO9" s="30" t="n"/>
      <c r="DP9" s="30" t="n"/>
      <c r="DQ9" s="34" t="n"/>
      <c r="DR9" s="34" t="n"/>
    </row>
    <row r="10" ht="16" customHeight="1">
      <c r="A10" s="36" t="n"/>
      <c r="B10" s="36" t="n"/>
      <c r="C10" s="36" t="n"/>
      <c r="D10" s="36" t="n"/>
      <c r="E10" s="36" t="n"/>
      <c r="F10" s="36" t="n"/>
      <c r="G10" s="29" t="n"/>
      <c r="H10" s="30" t="n"/>
      <c r="I10" s="30" t="n"/>
      <c r="J10" s="30" t="n"/>
      <c r="K10" s="30" t="n"/>
      <c r="L10" s="30" t="n"/>
      <c r="M10" s="30" t="n"/>
      <c r="N10" s="30" t="n"/>
      <c r="O10" s="31">
        <f>IFERROR(INDEX('_courses_lookup'!$C:$C,MATCH(K10&amp;L10,'_courses_lookup'!$E:$E,0)),"")</f>
        <v/>
      </c>
      <c r="P10" s="30">
        <f>IFERROR(INDEX('_courses_lookup'!$D:$D,MATCH(K10&amp;L10,'_courses_lookup'!$E:$E,0)),"")</f>
        <v/>
      </c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0" t="n"/>
      <c r="AE10" s="30" t="n"/>
      <c r="AF10" s="30" t="n"/>
      <c r="AG10" s="30">
        <f>IF(AND(AE10&lt;&gt;"",AF10&lt;&gt;""),ROUNDUP((AF10-AE10)/7,0),"")</f>
        <v/>
      </c>
      <c r="AH10" s="30" t="n"/>
      <c r="AI10" s="30">
        <f>IFERROR(IF(AG10*AH10=0,"",AG10*AH10),"")</f>
        <v/>
      </c>
      <c r="AJ10" s="30" t="n"/>
      <c r="AK10" s="30" t="n"/>
      <c r="AL10" s="30">
        <f>IF(AND(AJ10&lt;&gt;"",AK10&lt;&gt;""),ROUNDUP((AK10-AJ10)/7,0),"")</f>
        <v/>
      </c>
      <c r="AM10" s="30" t="n"/>
      <c r="AN10" s="30">
        <f>IFERROR(IF(AL10*AM10=0,"",AL10*AM10),"")</f>
        <v/>
      </c>
      <c r="AO10" s="30" t="n"/>
      <c r="AP10" s="30" t="n"/>
      <c r="AQ10" s="30">
        <f>IF(AND(AO10&lt;&gt;"",AP10&lt;&gt;""),ROUNDUP((AP10-AO10)/7,0),"")</f>
        <v/>
      </c>
      <c r="AR10" s="30">
        <f>IFERROR(IF((AU10-(AI10+AN10))/AQ10=0,"",ROUNDUP((AU10-(AI10+AN10))/AQ10,0)),"")</f>
        <v/>
      </c>
      <c r="AS10" s="30">
        <f>IFERROR(IF((AU10-(AI10+AN10))=0,"",(AU10-(AI10+AN10))),"")</f>
        <v/>
      </c>
      <c r="AT10" s="30">
        <f>IF(AND(AG10="",AQ10=""),AL10,IF(SUM(AG10,AL10,AQ10)=0,"",SUM(AG10,AL10,AQ10)))</f>
        <v/>
      </c>
      <c r="AU10" s="30" t="n"/>
      <c r="AV10" s="30" t="n"/>
      <c r="AW10" s="30" t="n"/>
      <c r="AX10" s="30" t="n"/>
      <c r="AY10" s="30" t="n"/>
      <c r="AZ10" s="30" t="n"/>
      <c r="BA10" s="30" t="n"/>
      <c r="BB10" s="30" t="n"/>
      <c r="BC10" s="30" t="n"/>
      <c r="BD10" s="30" t="n"/>
      <c r="BE10" s="30" t="n"/>
      <c r="BF10" s="30" t="n"/>
      <c r="BG10" s="30">
        <f>IF(AD10="","",YEAR(AD10)+IF(MONTH(AD10)&gt;=5,1,0))</f>
        <v/>
      </c>
      <c r="BH10" s="30">
        <f>IF(AD10="","",IF(AND(MONTH(AD10)=8,DAY(AD10)&gt;=15),"Fall",IF(MONTH(AD10)&gt;8,"Fall",IF(MONTH(AD10)=5,"Summer",IF(MONTH(AD10)=1,"Spring","")))))</f>
        <v/>
      </c>
      <c r="BI10" s="34" t="n"/>
      <c r="BJ10" s="30" t="n"/>
      <c r="BK10" s="30" t="n"/>
      <c r="BL10" s="32">
        <f>IFERROR(INDEX('_names_lookup'!$C:$C,MATCH(BK10,'_names_lookup'!$A:$A,0)),"")</f>
        <v/>
      </c>
      <c r="BM10" s="32">
        <f>IFERROR(INDEX('_names_lookup'!$B:$B,MATCH(BK10,'_names_lookup'!$A:$A,0)),"")</f>
        <v/>
      </c>
      <c r="BN10" s="33" t="n"/>
      <c r="BO10" s="37" t="n"/>
      <c r="BP10" s="34" t="n"/>
      <c r="BQ10" s="34" t="n"/>
      <c r="BR10" s="34" t="n"/>
      <c r="BS10" s="34">
        <f>IFERROR(IF(BR10*AA10=0,"",BR10*AA10),"")</f>
        <v/>
      </c>
      <c r="BT10" s="34" t="n"/>
      <c r="BU10" s="34" t="n"/>
      <c r="BV10" s="30" t="n"/>
      <c r="BW10" s="30" t="n"/>
      <c r="BX10" s="34" t="n"/>
      <c r="BY10" s="34" t="n"/>
      <c r="BZ10" s="34" t="n"/>
      <c r="CA10" s="30" t="n"/>
      <c r="CB10" s="30" t="n"/>
      <c r="CC10" s="30" t="n"/>
      <c r="CD10" s="30" t="n"/>
      <c r="CE10" s="30" t="n"/>
      <c r="CF10" s="30" t="n"/>
      <c r="CG10" s="30" t="n"/>
      <c r="CH10" s="30" t="n"/>
      <c r="CI10" s="30" t="n"/>
      <c r="CJ10" s="30" t="n"/>
      <c r="CK10" s="30" t="n"/>
      <c r="CL10" s="30" t="n"/>
      <c r="CM10" s="30" t="n"/>
      <c r="CN10" s="30" t="n"/>
      <c r="CO10" s="30" t="n"/>
      <c r="CP10" s="30" t="n"/>
      <c r="CQ10" s="30" t="n"/>
      <c r="CR10" s="30" t="n"/>
      <c r="CS10" s="30" t="n"/>
      <c r="CT10" s="30" t="n"/>
      <c r="CU10" s="30" t="n"/>
      <c r="CV10" s="30" t="n"/>
      <c r="CW10" s="30" t="n"/>
      <c r="CX10" s="30" t="n"/>
      <c r="CY10" s="30" t="n"/>
      <c r="CZ10" s="30" t="n"/>
      <c r="DA10" s="30" t="n"/>
      <c r="DB10" s="30" t="n"/>
      <c r="DC10" s="30" t="n"/>
      <c r="DD10" s="30" t="n"/>
      <c r="DE10" s="30" t="n"/>
      <c r="DF10" s="30" t="n"/>
      <c r="DG10" s="30" t="n"/>
      <c r="DH10" s="30" t="n"/>
      <c r="DI10" s="30" t="n"/>
      <c r="DJ10" s="30" t="n"/>
      <c r="DK10" s="30" t="n"/>
      <c r="DL10" s="30" t="n"/>
      <c r="DM10" s="30" t="n"/>
      <c r="DN10" s="30" t="n"/>
      <c r="DO10" s="30" t="n"/>
      <c r="DP10" s="30" t="n"/>
      <c r="DQ10" s="34" t="n"/>
      <c r="DR10" s="34" t="n"/>
    </row>
    <row r="11" ht="16" customHeight="1">
      <c r="A11" s="36" t="n"/>
      <c r="B11" s="36" t="n"/>
      <c r="C11" s="36" t="n"/>
      <c r="D11" s="36" t="n"/>
      <c r="E11" s="36" t="n"/>
      <c r="F11" s="36" t="n"/>
      <c r="G11" s="29" t="n"/>
      <c r="H11" s="30" t="n"/>
      <c r="I11" s="30" t="n"/>
      <c r="J11" s="30" t="n"/>
      <c r="K11" s="30" t="n"/>
      <c r="L11" s="30" t="n"/>
      <c r="M11" s="30" t="n"/>
      <c r="N11" s="30" t="n"/>
      <c r="O11" s="31">
        <f>IFERROR(INDEX('_courses_lookup'!$C:$C,MATCH(K11&amp;L11,'_courses_lookup'!$E:$E,0)),"")</f>
        <v/>
      </c>
      <c r="P11" s="30">
        <f>IFERROR(INDEX('_courses_lookup'!$D:$D,MATCH(K11&amp;L11,'_courses_lookup'!$E:$E,0)),"")</f>
        <v/>
      </c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0" t="n"/>
      <c r="AE11" s="30" t="n"/>
      <c r="AF11" s="30" t="n"/>
      <c r="AG11" s="30">
        <f>IF(AND(AE11&lt;&gt;"",AF11&lt;&gt;""),ROUNDUP((AF11-AE11)/7,0),"")</f>
        <v/>
      </c>
      <c r="AH11" s="30" t="n"/>
      <c r="AI11" s="30">
        <f>IFERROR(IF(AG11*AH11=0,"",AG11*AH11),"")</f>
        <v/>
      </c>
      <c r="AJ11" s="30" t="n"/>
      <c r="AK11" s="30" t="n"/>
      <c r="AL11" s="30">
        <f>IF(AND(AJ11&lt;&gt;"",AK11&lt;&gt;""),ROUNDUP((AK11-AJ11)/7,0),"")</f>
        <v/>
      </c>
      <c r="AM11" s="30" t="n"/>
      <c r="AN11" s="30">
        <f>IFERROR(IF(AL11*AM11=0,"",AL11*AM11),"")</f>
        <v/>
      </c>
      <c r="AO11" s="30" t="n"/>
      <c r="AP11" s="30" t="n"/>
      <c r="AQ11" s="30">
        <f>IF(AND(AO11&lt;&gt;"",AP11&lt;&gt;""),ROUNDUP((AP11-AO11)/7,0),"")</f>
        <v/>
      </c>
      <c r="AR11" s="30">
        <f>IFERROR(IF((AU11-(AI11+AN11))/AQ11=0,"",ROUNDUP((AU11-(AI11+AN11))/AQ11,0)),"")</f>
        <v/>
      </c>
      <c r="AS11" s="30">
        <f>IFERROR(IF((AU11-(AI11+AN11))=0,"",(AU11-(AI11+AN11))),"")</f>
        <v/>
      </c>
      <c r="AT11" s="30">
        <f>IF(AND(AG11="",AQ11=""),AL11,IF(SUM(AG11,AL11,AQ11)=0,"",SUM(AG11,AL11,AQ11)))</f>
        <v/>
      </c>
      <c r="AU11" s="30" t="n"/>
      <c r="AV11" s="30" t="n"/>
      <c r="AW11" s="30" t="n"/>
      <c r="AX11" s="30" t="n"/>
      <c r="AY11" s="30" t="n"/>
      <c r="AZ11" s="30" t="n"/>
      <c r="BA11" s="30" t="n"/>
      <c r="BB11" s="30" t="n"/>
      <c r="BC11" s="30" t="n"/>
      <c r="BD11" s="30" t="n"/>
      <c r="BE11" s="30" t="n"/>
      <c r="BF11" s="30" t="n"/>
      <c r="BG11" s="30">
        <f>IF(AD11="","",YEAR(AD11)+IF(MONTH(AD11)&gt;=5,1,0))</f>
        <v/>
      </c>
      <c r="BH11" s="30">
        <f>IF(AD11="","",IF(AND(MONTH(AD11)=8,DAY(AD11)&gt;=15),"Fall",IF(MONTH(AD11)&gt;8,"Fall",IF(MONTH(AD11)=5,"Summer",IF(MONTH(AD11)=1,"Spring","")))))</f>
        <v/>
      </c>
      <c r="BI11" s="34" t="n"/>
      <c r="BJ11" s="30" t="n"/>
      <c r="BK11" s="30" t="n"/>
      <c r="BL11" s="32">
        <f>IFERROR(INDEX('_names_lookup'!$C:$C,MATCH(BK11,'_names_lookup'!$A:$A,0)),"")</f>
        <v/>
      </c>
      <c r="BM11" s="32">
        <f>IFERROR(INDEX('_names_lookup'!$B:$B,MATCH(BK11,'_names_lookup'!$A:$A,0)),"")</f>
        <v/>
      </c>
      <c r="BN11" s="33" t="n"/>
      <c r="BO11" s="37" t="n"/>
      <c r="BP11" s="34" t="n"/>
      <c r="BQ11" s="34" t="n"/>
      <c r="BR11" s="34" t="n"/>
      <c r="BS11" s="34">
        <f>IFERROR(IF(BR11*AA11=0,"",BR11*AA11),"")</f>
        <v/>
      </c>
      <c r="BT11" s="34" t="n"/>
      <c r="BU11" s="34" t="n"/>
      <c r="BV11" s="30" t="n"/>
      <c r="BW11" s="30" t="n"/>
      <c r="BX11" s="34" t="n"/>
      <c r="BY11" s="34" t="n"/>
      <c r="BZ11" s="34" t="n"/>
      <c r="CA11" s="30" t="n"/>
      <c r="CB11" s="30" t="n"/>
      <c r="CC11" s="30" t="n"/>
      <c r="CD11" s="30" t="n"/>
      <c r="CE11" s="30" t="n"/>
      <c r="CF11" s="30" t="n"/>
      <c r="CG11" s="30" t="n"/>
      <c r="CH11" s="30" t="n"/>
      <c r="CI11" s="30" t="n"/>
      <c r="CJ11" s="30" t="n"/>
      <c r="CK11" s="30" t="n"/>
      <c r="CL11" s="30" t="n"/>
      <c r="CM11" s="30" t="n"/>
      <c r="CN11" s="30" t="n"/>
      <c r="CO11" s="30" t="n"/>
      <c r="CP11" s="30" t="n"/>
      <c r="CQ11" s="30" t="n"/>
      <c r="CR11" s="30" t="n"/>
      <c r="CS11" s="30" t="n"/>
      <c r="CT11" s="30" t="n"/>
      <c r="CU11" s="30" t="n"/>
      <c r="CV11" s="30" t="n"/>
      <c r="CW11" s="30" t="n"/>
      <c r="CX11" s="30" t="n"/>
      <c r="CY11" s="30" t="n"/>
      <c r="CZ11" s="30" t="n"/>
      <c r="DA11" s="30" t="n"/>
      <c r="DB11" s="30" t="n"/>
      <c r="DC11" s="30" t="n"/>
      <c r="DD11" s="30" t="n"/>
      <c r="DE11" s="30" t="n"/>
      <c r="DF11" s="30" t="n"/>
      <c r="DG11" s="30" t="n"/>
      <c r="DH11" s="30" t="n"/>
      <c r="DI11" s="30" t="n"/>
      <c r="DJ11" s="30" t="n"/>
      <c r="DK11" s="30" t="n"/>
      <c r="DL11" s="30" t="n"/>
      <c r="DM11" s="30" t="n"/>
      <c r="DN11" s="30" t="n"/>
      <c r="DO11" s="30" t="n"/>
      <c r="DP11" s="30" t="n"/>
      <c r="DQ11" s="34" t="n"/>
      <c r="DR11" s="34" t="n"/>
    </row>
    <row r="12" ht="16" customHeight="1">
      <c r="A12" s="36" t="n"/>
      <c r="B12" s="36" t="n"/>
      <c r="C12" s="36" t="n"/>
      <c r="D12" s="36" t="n"/>
      <c r="E12" s="36" t="n"/>
      <c r="F12" s="36" t="n"/>
      <c r="G12" s="29" t="n"/>
      <c r="H12" s="30" t="n"/>
      <c r="I12" s="30" t="n"/>
      <c r="J12" s="30" t="n"/>
      <c r="K12" s="30" t="n"/>
      <c r="L12" s="30" t="n"/>
      <c r="M12" s="30" t="n"/>
      <c r="N12" s="30" t="n"/>
      <c r="O12" s="31">
        <f>IFERROR(INDEX('_courses_lookup'!$C:$C,MATCH(K12&amp;L12,'_courses_lookup'!$E:$E,0)),"")</f>
        <v/>
      </c>
      <c r="P12" s="30">
        <f>IFERROR(INDEX('_courses_lookup'!$D:$D,MATCH(K12&amp;L12,'_courses_lookup'!$E:$E,0)),"")</f>
        <v/>
      </c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>
        <f>IF(AND(AE12&lt;&gt;"",AF12&lt;&gt;""),ROUNDUP((AF12-AE12)/7,0),"")</f>
        <v/>
      </c>
      <c r="AH12" s="30" t="n"/>
      <c r="AI12" s="30">
        <f>IFERROR(IF(AG12*AH12=0,"",AG12*AH12),"")</f>
        <v/>
      </c>
      <c r="AJ12" s="30" t="n"/>
      <c r="AK12" s="30" t="n"/>
      <c r="AL12" s="30">
        <f>IF(AND(AJ12&lt;&gt;"",AK12&lt;&gt;""),ROUNDUP((AK12-AJ12)/7,0),"")</f>
        <v/>
      </c>
      <c r="AM12" s="30" t="n"/>
      <c r="AN12" s="30">
        <f>IFERROR(IF(AL12*AM12=0,"",AL12*AM12),"")</f>
        <v/>
      </c>
      <c r="AO12" s="30" t="n"/>
      <c r="AP12" s="30" t="n"/>
      <c r="AQ12" s="30">
        <f>IF(AND(AO12&lt;&gt;"",AP12&lt;&gt;""),ROUNDUP((AP12-AO12)/7,0),"")</f>
        <v/>
      </c>
      <c r="AR12" s="30">
        <f>IFERROR(IF((AU12-(AI12+AN12))/AQ12=0,"",ROUNDUP((AU12-(AI12+AN12))/AQ12,0)),"")</f>
        <v/>
      </c>
      <c r="AS12" s="30">
        <f>IFERROR(IF((AU12-(AI12+AN12))=0,"",(AU12-(AI12+AN12))),"")</f>
        <v/>
      </c>
      <c r="AT12" s="30">
        <f>IF(AND(AG12="",AQ12=""),AL12,IF(SUM(AG12,AL12,AQ12)=0,"",SUM(AG12,AL12,AQ12)))</f>
        <v/>
      </c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>
        <f>IF(AD12="","",YEAR(AD12)+IF(MONTH(AD12)&gt;=5,1,0))</f>
        <v/>
      </c>
      <c r="BH12" s="30">
        <f>IF(AD12="","",IF(AND(MONTH(AD12)=8,DAY(AD12)&gt;=15),"Fall",IF(MONTH(AD12)&gt;8,"Fall",IF(MONTH(AD12)=5,"Summer",IF(MONTH(AD12)=1,"Spring","")))))</f>
        <v/>
      </c>
      <c r="BI12" s="34" t="n"/>
      <c r="BJ12" s="30" t="n"/>
      <c r="BK12" s="30" t="n"/>
      <c r="BL12" s="32">
        <f>IFERROR(INDEX('_names_lookup'!$C:$C,MATCH(BK12,'_names_lookup'!$A:$A,0)),"")</f>
        <v/>
      </c>
      <c r="BM12" s="32">
        <f>IFERROR(INDEX('_names_lookup'!$B:$B,MATCH(BK12,'_names_lookup'!$A:$A,0)),"")</f>
        <v/>
      </c>
      <c r="BN12" s="33" t="n"/>
      <c r="BO12" s="37" t="n"/>
      <c r="BP12" s="34" t="n"/>
      <c r="BQ12" s="34" t="n"/>
      <c r="BR12" s="34" t="n"/>
      <c r="BS12" s="34">
        <f>IFERROR(IF(BR12*AA12=0,"",BR12*AA12),"")</f>
        <v/>
      </c>
      <c r="BT12" s="34" t="n"/>
      <c r="BU12" s="34" t="n"/>
      <c r="BV12" s="34" t="n"/>
      <c r="BW12" s="30" t="n"/>
      <c r="BX12" s="34" t="n"/>
      <c r="BY12" s="34" t="n"/>
      <c r="BZ12" s="34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  <c r="CL12" s="30" t="n"/>
      <c r="CM12" s="30" t="n"/>
      <c r="CN12" s="30" t="n"/>
      <c r="CO12" s="30" t="n"/>
      <c r="CP12" s="30" t="n"/>
      <c r="CQ12" s="30" t="n"/>
      <c r="CR12" s="30" t="n"/>
      <c r="CS12" s="30" t="n"/>
      <c r="CT12" s="30" t="n"/>
      <c r="CU12" s="30" t="n"/>
      <c r="CV12" s="30" t="n"/>
      <c r="CW12" s="30" t="n"/>
      <c r="CX12" s="30" t="n"/>
      <c r="CY12" s="30" t="n"/>
      <c r="CZ12" s="30" t="n"/>
      <c r="DA12" s="30" t="n"/>
      <c r="DB12" s="30" t="n"/>
      <c r="DC12" s="30" t="n"/>
      <c r="DD12" s="30" t="n"/>
      <c r="DE12" s="30" t="n"/>
      <c r="DF12" s="30" t="n"/>
      <c r="DG12" s="30" t="n"/>
      <c r="DH12" s="30" t="n"/>
      <c r="DI12" s="30" t="n"/>
      <c r="DJ12" s="30" t="n"/>
      <c r="DK12" s="30" t="n"/>
      <c r="DL12" s="30" t="n"/>
      <c r="DM12" s="30" t="n"/>
      <c r="DN12" s="30" t="n"/>
      <c r="DO12" s="30" t="n"/>
      <c r="DP12" s="30" t="n"/>
      <c r="DQ12" s="34" t="n"/>
      <c r="DR12" s="34" t="n"/>
    </row>
    <row r="13" ht="16" customHeight="1">
      <c r="A13" s="36" t="n"/>
      <c r="B13" s="36" t="n"/>
      <c r="C13" s="36" t="n"/>
      <c r="D13" s="36" t="n"/>
      <c r="E13" s="36" t="n"/>
      <c r="F13" s="36" t="n"/>
      <c r="G13" s="29" t="n"/>
      <c r="H13" s="30" t="n"/>
      <c r="I13" s="30" t="n"/>
      <c r="J13" s="30" t="n"/>
      <c r="K13" s="30" t="n"/>
      <c r="L13" s="30" t="n"/>
      <c r="M13" s="30" t="n"/>
      <c r="N13" s="30" t="n"/>
      <c r="O13" s="31">
        <f>IFERROR(INDEX('_courses_lookup'!$C:$C,MATCH(K13&amp;L13,'_courses_lookup'!$E:$E,0)),"")</f>
        <v/>
      </c>
      <c r="P13" s="30">
        <f>IFERROR(INDEX('_courses_lookup'!$D:$D,MATCH(K13&amp;L13,'_courses_lookup'!$E:$E,0)),"")</f>
        <v/>
      </c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0" t="n"/>
      <c r="AG13" s="30">
        <f>IF(AND(AE13&lt;&gt;"",AF13&lt;&gt;""),ROUNDUP((AF13-AE13)/7,0),"")</f>
        <v/>
      </c>
      <c r="AH13" s="30" t="n"/>
      <c r="AI13" s="30">
        <f>IFERROR(IF(AG13*AH13=0,"",AG13*AH13),"")</f>
        <v/>
      </c>
      <c r="AJ13" s="30" t="n"/>
      <c r="AK13" s="30" t="n"/>
      <c r="AL13" s="30">
        <f>IF(AND(AJ13&lt;&gt;"",AK13&lt;&gt;""),ROUNDUP((AK13-AJ13)/7,0),"")</f>
        <v/>
      </c>
      <c r="AM13" s="30" t="n"/>
      <c r="AN13" s="30">
        <f>IFERROR(IF(AL13*AM13=0,"",AL13*AM13),"")</f>
        <v/>
      </c>
      <c r="AO13" s="30" t="n"/>
      <c r="AP13" s="30" t="n"/>
      <c r="AQ13" s="30">
        <f>IF(AND(AO13&lt;&gt;"",AP13&lt;&gt;""),ROUNDUP((AP13-AO13)/7,0),"")</f>
        <v/>
      </c>
      <c r="AR13" s="30">
        <f>IFERROR(IF((AU13-(AI13+AN13))/AQ13=0,"",ROUNDUP((AU13-(AI13+AN13))/AQ13,0)),"")</f>
        <v/>
      </c>
      <c r="AS13" s="30">
        <f>IFERROR(IF((AU13-(AI13+AN13))=0,"",(AU13-(AI13+AN13))),"")</f>
        <v/>
      </c>
      <c r="AT13" s="30">
        <f>IF(AND(AG13="",AQ13=""),AL13,IF(SUM(AG13,AL13,AQ13)=0,"",SUM(AG13,AL13,AQ13)))</f>
        <v/>
      </c>
      <c r="AU13" s="30" t="n"/>
      <c r="AV13" s="30" t="n"/>
      <c r="AW13" s="30" t="n"/>
      <c r="AX13" s="30" t="n"/>
      <c r="AY13" s="30" t="n"/>
      <c r="AZ13" s="30" t="n"/>
      <c r="BA13" s="30" t="n"/>
      <c r="BB13" s="30" t="n"/>
      <c r="BC13" s="30" t="n"/>
      <c r="BD13" s="30" t="n"/>
      <c r="BE13" s="30" t="n"/>
      <c r="BF13" s="30" t="n"/>
      <c r="BG13" s="30">
        <f>IF(AD13="","",YEAR(AD13)+IF(MONTH(AD13)&gt;=5,1,0))</f>
        <v/>
      </c>
      <c r="BH13" s="30">
        <f>IF(AD13="","",IF(AND(MONTH(AD13)=8,DAY(AD13)&gt;=15),"Fall",IF(MONTH(AD13)&gt;8,"Fall",IF(MONTH(AD13)=5,"Summer",IF(MONTH(AD13)=1,"Spring","")))))</f>
        <v/>
      </c>
      <c r="BI13" s="34" t="n"/>
      <c r="BJ13" s="30" t="n"/>
      <c r="BK13" s="30" t="n"/>
      <c r="BL13" s="32">
        <f>IFERROR(INDEX('_names_lookup'!$C:$C,MATCH(BK13,'_names_lookup'!$A:$A,0)),"")</f>
        <v/>
      </c>
      <c r="BM13" s="32">
        <f>IFERROR(INDEX('_names_lookup'!$B:$B,MATCH(BK13,'_names_lookup'!$A:$A,0)),"")</f>
        <v/>
      </c>
      <c r="BN13" s="33" t="n"/>
      <c r="BO13" s="37" t="n"/>
      <c r="BP13" s="34" t="n"/>
      <c r="BQ13" s="34" t="n"/>
      <c r="BR13" s="34" t="n"/>
      <c r="BS13" s="34">
        <f>IFERROR(IF(BR13*AA13=0,"",BR13*AA13),"")</f>
        <v/>
      </c>
      <c r="BT13" s="34" t="n"/>
      <c r="BU13" s="34" t="n"/>
      <c r="BV13" s="34" t="n"/>
      <c r="BW13" s="30" t="n"/>
      <c r="BX13" s="34" t="n"/>
      <c r="BY13" s="34" t="n"/>
      <c r="BZ13" s="34" t="n"/>
      <c r="CA13" s="30" t="n"/>
      <c r="CB13" s="30" t="n"/>
      <c r="CC13" s="30" t="n"/>
      <c r="CD13" s="30" t="n"/>
      <c r="CE13" s="30" t="n"/>
      <c r="CF13" s="30" t="n"/>
      <c r="CG13" s="30" t="n"/>
      <c r="CH13" s="30" t="n"/>
      <c r="CI13" s="30" t="n"/>
      <c r="CJ13" s="30" t="n"/>
      <c r="CK13" s="30" t="n"/>
      <c r="CL13" s="30" t="n"/>
      <c r="CM13" s="30" t="n"/>
      <c r="CN13" s="30" t="n"/>
      <c r="CO13" s="30" t="n"/>
      <c r="CP13" s="30" t="n"/>
      <c r="CQ13" s="30" t="n"/>
      <c r="CR13" s="30" t="n"/>
      <c r="CS13" s="30" t="n"/>
      <c r="CT13" s="30" t="n"/>
      <c r="CU13" s="30" t="n"/>
      <c r="CV13" s="30" t="n"/>
      <c r="CW13" s="30" t="n"/>
      <c r="CX13" s="30" t="n"/>
      <c r="CY13" s="30" t="n"/>
      <c r="CZ13" s="30" t="n"/>
      <c r="DA13" s="30" t="n"/>
      <c r="DB13" s="30" t="n"/>
      <c r="DC13" s="30" t="n"/>
      <c r="DD13" s="30" t="n"/>
      <c r="DE13" s="30" t="n"/>
      <c r="DF13" s="30" t="n"/>
      <c r="DG13" s="30" t="n"/>
      <c r="DH13" s="30" t="n"/>
      <c r="DI13" s="30" t="n"/>
      <c r="DJ13" s="30" t="n"/>
      <c r="DK13" s="30" t="n"/>
      <c r="DL13" s="30" t="n"/>
      <c r="DM13" s="30" t="n"/>
      <c r="DN13" s="30" t="n"/>
      <c r="DO13" s="30" t="n"/>
      <c r="DP13" s="30" t="n"/>
      <c r="DQ13" s="34" t="n"/>
      <c r="DR13" s="34" t="n"/>
    </row>
    <row r="14" ht="16" customHeight="1">
      <c r="A14" s="36" t="n"/>
      <c r="B14" s="36" t="n"/>
      <c r="C14" s="36" t="n"/>
      <c r="D14" s="36" t="n"/>
      <c r="E14" s="36" t="n"/>
      <c r="F14" s="36" t="n"/>
      <c r="G14" s="29" t="n"/>
      <c r="H14" s="30" t="n"/>
      <c r="I14" s="30" t="n"/>
      <c r="J14" s="30" t="n"/>
      <c r="K14" s="30" t="n"/>
      <c r="L14" s="30" t="n"/>
      <c r="M14" s="30" t="n"/>
      <c r="N14" s="30" t="n"/>
      <c r="O14" s="31">
        <f>IFERROR(INDEX('_courses_lookup'!$C:$C,MATCH(K14&amp;L14,'_courses_lookup'!$E:$E,0)),"")</f>
        <v/>
      </c>
      <c r="P14" s="30">
        <f>IFERROR(INDEX('_courses_lookup'!$D:$D,MATCH(K14&amp;L14,'_courses_lookup'!$E:$E,0)),"")</f>
        <v/>
      </c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0" t="n"/>
      <c r="AE14" s="30" t="n"/>
      <c r="AF14" s="30" t="n"/>
      <c r="AG14" s="30">
        <f>IF(AND(AE14&lt;&gt;"",AF14&lt;&gt;""),ROUNDUP((AF14-AE14)/7,0),"")</f>
        <v/>
      </c>
      <c r="AH14" s="30" t="n"/>
      <c r="AI14" s="30">
        <f>IFERROR(IF(AG14*AH14=0,"",AG14*AH14),"")</f>
        <v/>
      </c>
      <c r="AJ14" s="30" t="n"/>
      <c r="AK14" s="30" t="n"/>
      <c r="AL14" s="30">
        <f>IF(AND(AJ14&lt;&gt;"",AK14&lt;&gt;""),ROUNDUP((AK14-AJ14)/7,0),"")</f>
        <v/>
      </c>
      <c r="AM14" s="30" t="n"/>
      <c r="AN14" s="30">
        <f>IFERROR(IF(AL14*AM14=0,"",AL14*AM14),"")</f>
        <v/>
      </c>
      <c r="AO14" s="30" t="n"/>
      <c r="AP14" s="30" t="n"/>
      <c r="AQ14" s="30">
        <f>IF(AND(AO14&lt;&gt;"",AP14&lt;&gt;""),ROUNDUP((AP14-AO14)/7,0),"")</f>
        <v/>
      </c>
      <c r="AR14" s="30">
        <f>IFERROR(IF((AU14-(AI14+AN14))/AQ14=0,"",ROUNDUP((AU14-(AI14+AN14))/AQ14,0)),"")</f>
        <v/>
      </c>
      <c r="AS14" s="30">
        <f>IFERROR(IF((AU14-(AI14+AN14))=0,"",(AU14-(AI14+AN14))),"")</f>
        <v/>
      </c>
      <c r="AT14" s="30">
        <f>IF(AND(AG14="",AQ14=""),AL14,IF(SUM(AG14,AL14,AQ14)=0,"",SUM(AG14,AL14,AQ14)))</f>
        <v/>
      </c>
      <c r="AU14" s="30" t="n"/>
      <c r="AV14" s="30" t="n"/>
      <c r="AW14" s="30" t="n"/>
      <c r="AX14" s="30" t="n"/>
      <c r="AY14" s="30" t="n"/>
      <c r="AZ14" s="30" t="n"/>
      <c r="BA14" s="30" t="n"/>
      <c r="BB14" s="30" t="n"/>
      <c r="BC14" s="30" t="n"/>
      <c r="BD14" s="30" t="n"/>
      <c r="BE14" s="30" t="n"/>
      <c r="BF14" s="30" t="n"/>
      <c r="BG14" s="30">
        <f>IF(AD14="","",YEAR(AD14)+IF(MONTH(AD14)&gt;=5,1,0))</f>
        <v/>
      </c>
      <c r="BH14" s="30">
        <f>IF(AD14="","",IF(AND(MONTH(AD14)=8,DAY(AD14)&gt;=15),"Fall",IF(MONTH(AD14)&gt;8,"Fall",IF(MONTH(AD14)=5,"Summer",IF(MONTH(AD14)=1,"Spring","")))))</f>
        <v/>
      </c>
      <c r="BI14" s="34" t="n"/>
      <c r="BJ14" s="30" t="n"/>
      <c r="BK14" s="30" t="n"/>
      <c r="BL14" s="32">
        <f>IFERROR(INDEX('_names_lookup'!$C:$C,MATCH(BK14,'_names_lookup'!$A:$A,0)),"")</f>
        <v/>
      </c>
      <c r="BM14" s="32">
        <f>IFERROR(INDEX('_names_lookup'!$B:$B,MATCH(BK14,'_names_lookup'!$A:$A,0)),"")</f>
        <v/>
      </c>
      <c r="BN14" s="33" t="n"/>
      <c r="BO14" s="37" t="n"/>
      <c r="BP14" s="34" t="n"/>
      <c r="BQ14" s="34" t="n"/>
      <c r="BR14" s="34" t="n"/>
      <c r="BS14" s="34">
        <f>IFERROR(IF(BR14*AA14=0,"",BR14*AA14),"")</f>
        <v/>
      </c>
      <c r="BT14" s="34" t="n"/>
      <c r="BU14" s="34" t="n"/>
      <c r="BV14" s="34" t="n"/>
      <c r="BW14" s="30" t="n"/>
      <c r="BX14" s="34" t="n"/>
      <c r="BY14" s="34" t="n"/>
      <c r="BZ14" s="34" t="n"/>
      <c r="CA14" s="30" t="n"/>
      <c r="CB14" s="30" t="n"/>
      <c r="CC14" s="30" t="n"/>
      <c r="CD14" s="30" t="n"/>
      <c r="CE14" s="30" t="n"/>
      <c r="CF14" s="30" t="n"/>
      <c r="CG14" s="30" t="n"/>
      <c r="CH14" s="30" t="n"/>
      <c r="CI14" s="30" t="n"/>
      <c r="CJ14" s="30" t="n"/>
      <c r="CK14" s="30" t="n"/>
      <c r="CL14" s="30" t="n"/>
      <c r="CM14" s="30" t="n"/>
      <c r="CN14" s="30" t="n"/>
      <c r="CO14" s="30" t="n"/>
      <c r="CP14" s="30" t="n"/>
      <c r="CQ14" s="30" t="n"/>
      <c r="CR14" s="30" t="n"/>
      <c r="CS14" s="30" t="n"/>
      <c r="CT14" s="30" t="n"/>
      <c r="CU14" s="30" t="n"/>
      <c r="CV14" s="30" t="n"/>
      <c r="CW14" s="30" t="n"/>
      <c r="CX14" s="30" t="n"/>
      <c r="CY14" s="30" t="n"/>
      <c r="CZ14" s="30" t="n"/>
      <c r="DA14" s="30" t="n"/>
      <c r="DB14" s="30" t="n"/>
      <c r="DC14" s="30" t="n"/>
      <c r="DD14" s="30" t="n"/>
      <c r="DE14" s="30" t="n"/>
      <c r="DF14" s="30" t="n"/>
      <c r="DG14" s="30" t="n"/>
      <c r="DH14" s="30" t="n"/>
      <c r="DI14" s="30" t="n"/>
      <c r="DJ14" s="30" t="n"/>
      <c r="DK14" s="30" t="n"/>
      <c r="DL14" s="30" t="n"/>
      <c r="DM14" s="30" t="n"/>
      <c r="DN14" s="30" t="n"/>
      <c r="DO14" s="30" t="n"/>
      <c r="DP14" s="30" t="n"/>
      <c r="DQ14" s="34" t="n"/>
      <c r="DR14" s="34" t="n"/>
    </row>
    <row r="15" ht="16" customHeight="1">
      <c r="A15" s="36" t="n"/>
      <c r="B15" s="36" t="n"/>
      <c r="C15" s="36" t="n"/>
      <c r="D15" s="36" t="n"/>
      <c r="E15" s="36" t="n"/>
      <c r="F15" s="36" t="n"/>
      <c r="G15" s="29" t="n"/>
      <c r="H15" s="30" t="n"/>
      <c r="I15" s="30" t="n"/>
      <c r="J15" s="30" t="n"/>
      <c r="K15" s="30" t="n"/>
      <c r="L15" s="30" t="n"/>
      <c r="M15" s="30" t="n"/>
      <c r="N15" s="30" t="n"/>
      <c r="O15" s="31">
        <f>IFERROR(INDEX('_courses_lookup'!$C:$C,MATCH(K15&amp;L15,'_courses_lookup'!$E:$E,0)),"")</f>
        <v/>
      </c>
      <c r="P15" s="30">
        <f>IFERROR(INDEX('_courses_lookup'!$D:$D,MATCH(K15&amp;L15,'_courses_lookup'!$E:$E,0)),"")</f>
        <v/>
      </c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0" t="n"/>
      <c r="AE15" s="30" t="n"/>
      <c r="AF15" s="30" t="n"/>
      <c r="AG15" s="30">
        <f>IF(AND(AE15&lt;&gt;"",AF15&lt;&gt;""),ROUNDUP((AF15-AE15)/7,0),"")</f>
        <v/>
      </c>
      <c r="AH15" s="30" t="n"/>
      <c r="AI15" s="30">
        <f>IFERROR(IF(AG15*AH15=0,"",AG15*AH15),"")</f>
        <v/>
      </c>
      <c r="AJ15" s="30" t="n"/>
      <c r="AK15" s="30" t="n"/>
      <c r="AL15" s="30">
        <f>IF(AND(AJ15&lt;&gt;"",AK15&lt;&gt;""),ROUNDUP((AK15-AJ15)/7,0),"")</f>
        <v/>
      </c>
      <c r="AM15" s="30" t="n"/>
      <c r="AN15" s="30">
        <f>IFERROR(IF(AL15*AM15=0,"",AL15*AM15),"")</f>
        <v/>
      </c>
      <c r="AO15" s="30" t="n"/>
      <c r="AP15" s="30" t="n"/>
      <c r="AQ15" s="30">
        <f>IF(AND(AO15&lt;&gt;"",AP15&lt;&gt;""),ROUNDUP((AP15-AO15)/7,0),"")</f>
        <v/>
      </c>
      <c r="AR15" s="30">
        <f>IFERROR(IF((AU15-(AI15+AN15))/AQ15=0,"",ROUNDUP((AU15-(AI15+AN15))/AQ15,0)),"")</f>
        <v/>
      </c>
      <c r="AS15" s="30">
        <f>IFERROR(IF((AU15-(AI15+AN15))=0,"",(AU15-(AI15+AN15))),"")</f>
        <v/>
      </c>
      <c r="AT15" s="30">
        <f>IF(AND(AG15="",AQ15=""),AL15,IF(SUM(AG15,AL15,AQ15)=0,"",SUM(AG15,AL15,AQ15)))</f>
        <v/>
      </c>
      <c r="AU15" s="30" t="n"/>
      <c r="AV15" s="30" t="n"/>
      <c r="AW15" s="30" t="n"/>
      <c r="AX15" s="30" t="n"/>
      <c r="AY15" s="30" t="n"/>
      <c r="AZ15" s="30" t="n"/>
      <c r="BA15" s="30" t="n"/>
      <c r="BB15" s="30" t="n"/>
      <c r="BC15" s="30" t="n"/>
      <c r="BD15" s="30" t="n"/>
      <c r="BE15" s="30" t="n"/>
      <c r="BF15" s="30" t="n"/>
      <c r="BG15" s="30">
        <f>IF(AD15="","",YEAR(AD15)+IF(MONTH(AD15)&gt;=5,1,0))</f>
        <v/>
      </c>
      <c r="BH15" s="30">
        <f>IF(AD15="","",IF(AND(MONTH(AD15)=8,DAY(AD15)&gt;=15),"Fall",IF(MONTH(AD15)&gt;8,"Fall",IF(MONTH(AD15)=5,"Summer",IF(MONTH(AD15)=1,"Spring","")))))</f>
        <v/>
      </c>
      <c r="BI15" s="34" t="n"/>
      <c r="BJ15" s="30" t="n"/>
      <c r="BK15" s="30" t="n"/>
      <c r="BL15" s="32">
        <f>IFERROR(INDEX('_names_lookup'!$C:$C,MATCH(BK15,'_names_lookup'!$A:$A,0)),"")</f>
        <v/>
      </c>
      <c r="BM15" s="32">
        <f>IFERROR(INDEX('_names_lookup'!$B:$B,MATCH(BK15,'_names_lookup'!$A:$A,0)),"")</f>
        <v/>
      </c>
      <c r="BN15" s="33" t="n"/>
      <c r="BO15" s="37" t="n"/>
      <c r="BP15" s="34" t="n"/>
      <c r="BQ15" s="34" t="n"/>
      <c r="BR15" s="34" t="n"/>
      <c r="BS15" s="34">
        <f>IFERROR(IF(BR15*AA15=0,"",BR15*AA15),"")</f>
        <v/>
      </c>
      <c r="BT15" s="34" t="n"/>
      <c r="BU15" s="34" t="n"/>
      <c r="BV15" s="34" t="n"/>
      <c r="BW15" s="30" t="n"/>
      <c r="BX15" s="34" t="n"/>
      <c r="BY15" s="34" t="n"/>
      <c r="BZ15" s="34" t="n"/>
      <c r="CA15" s="30" t="n"/>
      <c r="CB15" s="30" t="n"/>
      <c r="CC15" s="30" t="n"/>
      <c r="CD15" s="30" t="n"/>
      <c r="CE15" s="30" t="n"/>
      <c r="CF15" s="30" t="n"/>
      <c r="CG15" s="30" t="n"/>
      <c r="CH15" s="30" t="n"/>
      <c r="CI15" s="30" t="n"/>
      <c r="CJ15" s="30" t="n"/>
      <c r="CK15" s="30" t="n"/>
      <c r="CL15" s="30" t="n"/>
      <c r="CM15" s="30" t="n"/>
      <c r="CN15" s="30" t="n"/>
      <c r="CO15" s="30" t="n"/>
      <c r="CP15" s="30" t="n"/>
      <c r="CQ15" s="30" t="n"/>
      <c r="CR15" s="30" t="n"/>
      <c r="CS15" s="30" t="n"/>
      <c r="CT15" s="30" t="n"/>
      <c r="CU15" s="30" t="n"/>
      <c r="CV15" s="30" t="n"/>
      <c r="CW15" s="30" t="n"/>
      <c r="CX15" s="30" t="n"/>
      <c r="CY15" s="30" t="n"/>
      <c r="CZ15" s="30" t="n"/>
      <c r="DA15" s="30" t="n"/>
      <c r="DB15" s="30" t="n"/>
      <c r="DC15" s="30" t="n"/>
      <c r="DD15" s="30" t="n"/>
      <c r="DE15" s="30" t="n"/>
      <c r="DF15" s="30" t="n"/>
      <c r="DG15" s="30" t="n"/>
      <c r="DH15" s="30" t="n"/>
      <c r="DI15" s="30" t="n"/>
      <c r="DJ15" s="30" t="n"/>
      <c r="DK15" s="30" t="n"/>
      <c r="DL15" s="30" t="n"/>
      <c r="DM15" s="30" t="n"/>
      <c r="DN15" s="30" t="n"/>
      <c r="DO15" s="30" t="n"/>
      <c r="DP15" s="30" t="n"/>
      <c r="DQ15" s="34" t="n"/>
      <c r="DR15" s="34" t="n"/>
    </row>
    <row r="16" ht="16" customHeight="1">
      <c r="A16" s="36" t="n"/>
      <c r="B16" s="36" t="n"/>
      <c r="C16" s="36" t="n"/>
      <c r="D16" s="36" t="n"/>
      <c r="E16" s="36" t="n"/>
      <c r="F16" s="36" t="n"/>
      <c r="G16" s="29" t="n"/>
      <c r="H16" s="30" t="n"/>
      <c r="I16" s="30" t="n"/>
      <c r="J16" s="30" t="n"/>
      <c r="K16" s="30" t="n"/>
      <c r="L16" s="30" t="n"/>
      <c r="M16" s="30" t="n"/>
      <c r="N16" s="30" t="n"/>
      <c r="O16" s="34">
        <f>IFERROR(INDEX('_courses_lookup'!$C:$C,MATCH(K16&amp;L16,'_courses_lookup'!$E:$E,0)),"")</f>
        <v/>
      </c>
      <c r="P16" s="30">
        <f>IFERROR(INDEX('_courses_lookup'!$D:$D,MATCH(K16&amp;L16,'_courses_lookup'!$E:$E,0)),"")</f>
        <v/>
      </c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0" t="n"/>
      <c r="AE16" s="30" t="n"/>
      <c r="AF16" s="30" t="n"/>
      <c r="AG16" s="30">
        <f>IF(AND(AE16&lt;&gt;"",AF16&lt;&gt;""),ROUNDUP((AF16-AE16)/7,0),"")</f>
        <v/>
      </c>
      <c r="AH16" s="30" t="n"/>
      <c r="AI16" s="30">
        <f>IFERROR(IF(AG16*AH16=0,"",AG16*AH16),"")</f>
        <v/>
      </c>
      <c r="AJ16" s="30" t="n"/>
      <c r="AK16" s="30" t="n"/>
      <c r="AL16" s="30">
        <f>IF(AND(AJ16&lt;&gt;"",AK16&lt;&gt;""),ROUNDUP((AK16-AJ16)/7,0),"")</f>
        <v/>
      </c>
      <c r="AM16" s="30" t="n"/>
      <c r="AN16" s="30">
        <f>IFERROR(IF(AL16*AM16=0,"",AL16*AM16),"")</f>
        <v/>
      </c>
      <c r="AO16" s="30" t="n"/>
      <c r="AP16" s="30" t="n"/>
      <c r="AQ16" s="30">
        <f>IF(AND(AO16&lt;&gt;"",AP16&lt;&gt;""),ROUNDUP((AP16-AO16)/7,0),"")</f>
        <v/>
      </c>
      <c r="AR16" s="30">
        <f>IFERROR(IF((AU16-(AI16+AN16))/AQ16=0,"",ROUNDUP((AU16-(AI16+AN16))/AQ16,0)),"")</f>
        <v/>
      </c>
      <c r="AS16" s="30">
        <f>IFERROR(IF((AU16-(AI16+AN16))=0,"",(AU16-(AI16+AN16))),"")</f>
        <v/>
      </c>
      <c r="AT16" s="30">
        <f>IF(AND(AG16="",AQ16=""),AL16,IF(SUM(AG16,AL16,AQ16)=0,"",SUM(AG16,AL16,AQ16)))</f>
        <v/>
      </c>
      <c r="AU16" s="30" t="n"/>
      <c r="AV16" s="30" t="n"/>
      <c r="AW16" s="30" t="n"/>
      <c r="AX16" s="30" t="n"/>
      <c r="AY16" s="30" t="n"/>
      <c r="AZ16" s="30" t="n"/>
      <c r="BA16" s="30" t="n"/>
      <c r="BB16" s="30" t="n"/>
      <c r="BC16" s="30" t="n"/>
      <c r="BD16" s="30" t="n"/>
      <c r="BE16" s="30" t="n"/>
      <c r="BF16" s="30" t="n"/>
      <c r="BG16" s="30">
        <f>IF(AD16="","",YEAR(AD16)+IF(MONTH(AD16)&gt;=5,1,0))</f>
        <v/>
      </c>
      <c r="BH16" s="30">
        <f>IF(AD16="","",IF(AND(MONTH(AD16)=8,DAY(AD16)&gt;=15),"Fall",IF(MONTH(AD16)&gt;8,"Fall",IF(MONTH(AD16)=5,"Summer",IF(MONTH(AD16)=1,"Spring","")))))</f>
        <v/>
      </c>
      <c r="BI16" s="34" t="n"/>
      <c r="BJ16" s="30" t="n"/>
      <c r="BK16" s="30" t="n"/>
      <c r="BL16" s="32">
        <f>IFERROR(INDEX('_names_lookup'!$C:$C,MATCH(BK16,'_names_lookup'!$A:$A,0)),"")</f>
        <v/>
      </c>
      <c r="BM16" s="32">
        <f>IFERROR(INDEX('_names_lookup'!$B:$B,MATCH(BK16,'_names_lookup'!$A:$A,0)),"")</f>
        <v/>
      </c>
      <c r="BN16" s="33" t="n"/>
      <c r="BO16" s="37" t="n"/>
      <c r="BP16" s="34" t="n"/>
      <c r="BQ16" s="34" t="n"/>
      <c r="BR16" s="34" t="n"/>
      <c r="BS16" s="34">
        <f>IFERROR(IF(BR16*AA16=0,"",BR16*AA16),"")</f>
        <v/>
      </c>
      <c r="BT16" s="34" t="n"/>
      <c r="BU16" s="34" t="n"/>
      <c r="BV16" s="34" t="n"/>
      <c r="BW16" s="30" t="n"/>
      <c r="BX16" s="34" t="n"/>
      <c r="BY16" s="34" t="n"/>
      <c r="BZ16" s="34" t="n"/>
      <c r="CA16" s="30" t="n"/>
      <c r="CB16" s="30" t="n"/>
      <c r="CC16" s="30" t="n"/>
      <c r="CD16" s="30" t="n"/>
      <c r="CE16" s="30" t="n"/>
      <c r="CF16" s="30" t="n"/>
      <c r="CG16" s="30" t="n"/>
      <c r="CH16" s="30" t="n"/>
      <c r="CI16" s="30" t="n"/>
      <c r="CJ16" s="30" t="n"/>
      <c r="CK16" s="30" t="n"/>
      <c r="CL16" s="30" t="n"/>
      <c r="CM16" s="30" t="n"/>
      <c r="CN16" s="30" t="n"/>
      <c r="CO16" s="30" t="n"/>
      <c r="CP16" s="30" t="n"/>
      <c r="CQ16" s="30" t="n"/>
      <c r="CR16" s="30" t="n"/>
      <c r="CS16" s="30" t="n"/>
      <c r="CT16" s="30" t="n"/>
      <c r="CU16" s="30" t="n"/>
      <c r="CV16" s="30" t="n"/>
      <c r="CW16" s="30" t="n"/>
      <c r="CX16" s="30" t="n"/>
      <c r="CY16" s="30" t="n"/>
      <c r="CZ16" s="30" t="n"/>
      <c r="DA16" s="30" t="n"/>
      <c r="DB16" s="30" t="n"/>
      <c r="DC16" s="30" t="n"/>
      <c r="DD16" s="30" t="n"/>
      <c r="DE16" s="30" t="n"/>
      <c r="DF16" s="30" t="n"/>
      <c r="DG16" s="30" t="n"/>
      <c r="DH16" s="30" t="n"/>
      <c r="DI16" s="30" t="n"/>
      <c r="DJ16" s="30" t="n"/>
      <c r="DK16" s="30" t="n"/>
      <c r="DL16" s="30" t="n"/>
      <c r="DM16" s="30" t="n"/>
      <c r="DN16" s="30" t="n"/>
      <c r="DO16" s="30" t="n"/>
      <c r="DP16" s="30" t="n"/>
      <c r="DQ16" s="34" t="n"/>
      <c r="DR16" s="34" t="n"/>
    </row>
    <row r="17" ht="16" customHeight="1">
      <c r="A17" s="36" t="n"/>
      <c r="B17" s="36" t="n"/>
      <c r="C17" s="36" t="n"/>
      <c r="D17" s="36" t="n"/>
      <c r="E17" s="36" t="n"/>
      <c r="F17" s="36" t="n"/>
      <c r="G17" s="29" t="n"/>
      <c r="H17" s="30" t="n"/>
      <c r="I17" s="30" t="n"/>
      <c r="J17" s="30" t="n"/>
      <c r="K17" s="30" t="n"/>
      <c r="L17" s="30" t="n"/>
      <c r="M17" s="30" t="n"/>
      <c r="N17" s="30" t="n"/>
      <c r="O17" s="30">
        <f>IFERROR(INDEX('_courses_lookup'!$C:$C,MATCH(K17&amp;L17,'_courses_lookup'!$E:$E,0)),"")</f>
        <v/>
      </c>
      <c r="P17" s="30">
        <f>IFERROR(INDEX('_courses_lookup'!$D:$D,MATCH(K17&amp;L17,'_courses_lookup'!$E:$E,0)),"")</f>
        <v/>
      </c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0">
        <f>IF(AND(AE17&lt;&gt;"",AF17&lt;&gt;""),ROUNDUP((AF17-AE17)/7,0),"")</f>
        <v/>
      </c>
      <c r="AH17" s="30" t="n"/>
      <c r="AI17" s="30">
        <f>IFERROR(IF(AG17*AH17=0,"",AG17*AH17),"")</f>
        <v/>
      </c>
      <c r="AJ17" s="30" t="n"/>
      <c r="AK17" s="30" t="n"/>
      <c r="AL17" s="30">
        <f>IF(AND(AJ17&lt;&gt;"",AK17&lt;&gt;""),ROUNDUP((AK17-AJ17)/7,0),"")</f>
        <v/>
      </c>
      <c r="AM17" s="30" t="n"/>
      <c r="AN17" s="30">
        <f>IFERROR(IF(AL17*AM17=0,"",AL17*AM17),"")</f>
        <v/>
      </c>
      <c r="AO17" s="30" t="n"/>
      <c r="AP17" s="30" t="n"/>
      <c r="AQ17" s="30">
        <f>IF(AND(AO17&lt;&gt;"",AP17&lt;&gt;""),ROUNDUP((AP17-AO17)/7,0),"")</f>
        <v/>
      </c>
      <c r="AR17" s="30">
        <f>IFERROR(IF((AU17-(AI17+AN17))/AQ17=0,"",ROUNDUP((AU17-(AI17+AN17))/AQ17,0)),"")</f>
        <v/>
      </c>
      <c r="AS17" s="30">
        <f>IFERROR(IF((AU17-(AI17+AN17))=0,"",(AU17-(AI17+AN17))),"")</f>
        <v/>
      </c>
      <c r="AT17" s="30">
        <f>IF(AND(AG17="",AQ17=""),AL17,IF(SUM(AG17,AL17,AQ17)=0,"",SUM(AG17,AL17,AQ17)))</f>
        <v/>
      </c>
      <c r="AU17" s="30" t="n"/>
      <c r="AV17" s="30" t="n"/>
      <c r="AW17" s="30" t="n"/>
      <c r="AX17" s="30" t="n"/>
      <c r="AY17" s="30" t="n"/>
      <c r="AZ17" s="30" t="n"/>
      <c r="BA17" s="30" t="n"/>
      <c r="BB17" s="30" t="n"/>
      <c r="BC17" s="30" t="n"/>
      <c r="BD17" s="30" t="n"/>
      <c r="BE17" s="30" t="n"/>
      <c r="BF17" s="30" t="n"/>
      <c r="BG17" s="30">
        <f>IF(AD17="","",YEAR(AD17)+IF(MONTH(AD17)&gt;=5,1,0))</f>
        <v/>
      </c>
      <c r="BH17" s="30">
        <f>IF(AD17="","",IF(AND(MONTH(AD17)=8,DAY(AD17)&gt;=15),"Fall",IF(MONTH(AD17)&gt;8,"Fall",IF(MONTH(AD17)=5,"Summer",IF(MONTH(AD17)=1,"Spring","")))))</f>
        <v/>
      </c>
      <c r="BI17" s="34" t="n"/>
      <c r="BJ17" s="30" t="n"/>
      <c r="BK17" s="30" t="n"/>
      <c r="BL17" s="32">
        <f>IFERROR(INDEX('_names_lookup'!$C:$C,MATCH(BK17,'_names_lookup'!$A:$A,0)),"")</f>
        <v/>
      </c>
      <c r="BM17" s="32">
        <f>IFERROR(INDEX('_names_lookup'!$B:$B,MATCH(BK17,'_names_lookup'!$A:$A,0)),"")</f>
        <v/>
      </c>
      <c r="BN17" s="33" t="n"/>
      <c r="BO17" s="37" t="n"/>
      <c r="BP17" s="34" t="n"/>
      <c r="BQ17" s="34" t="n"/>
      <c r="BR17" s="34" t="n"/>
      <c r="BS17" s="34">
        <f>IFERROR(IF(BR17*AA17=0,"",BR17*AA17),"")</f>
        <v/>
      </c>
      <c r="BT17" s="34" t="n"/>
      <c r="BU17" s="34" t="n"/>
      <c r="BV17" s="34" t="n"/>
      <c r="BW17" s="30" t="n"/>
      <c r="BX17" s="34" t="n"/>
      <c r="BY17" s="34" t="n"/>
      <c r="BZ17" s="34" t="n"/>
      <c r="CA17" s="30" t="n"/>
      <c r="CB17" s="30" t="n"/>
      <c r="CC17" s="30" t="n"/>
      <c r="CD17" s="30" t="n"/>
      <c r="CE17" s="30" t="n"/>
      <c r="CF17" s="30" t="n"/>
      <c r="CG17" s="30" t="n"/>
      <c r="CH17" s="30" t="n"/>
      <c r="CI17" s="30" t="n"/>
      <c r="CJ17" s="30" t="n"/>
      <c r="CK17" s="30" t="n"/>
      <c r="CL17" s="30" t="n"/>
      <c r="CM17" s="30" t="n"/>
      <c r="CN17" s="30" t="n"/>
      <c r="CO17" s="30" t="n"/>
      <c r="CP17" s="30" t="n"/>
      <c r="CQ17" s="30" t="n"/>
      <c r="CR17" s="30" t="n"/>
      <c r="CS17" s="30" t="n"/>
      <c r="CT17" s="30" t="n"/>
      <c r="CU17" s="30" t="n"/>
      <c r="CV17" s="30" t="n"/>
      <c r="CW17" s="30" t="n"/>
      <c r="CX17" s="30" t="n"/>
      <c r="CY17" s="30" t="n"/>
      <c r="CZ17" s="30" t="n"/>
      <c r="DA17" s="30" t="n"/>
      <c r="DB17" s="30" t="n"/>
      <c r="DC17" s="30" t="n"/>
      <c r="DD17" s="30" t="n"/>
      <c r="DE17" s="30" t="n"/>
      <c r="DF17" s="30" t="n"/>
      <c r="DG17" s="30" t="n"/>
      <c r="DH17" s="30" t="n"/>
      <c r="DI17" s="30" t="n"/>
      <c r="DJ17" s="30" t="n"/>
      <c r="DK17" s="30" t="n"/>
      <c r="DL17" s="30" t="n"/>
      <c r="DM17" s="30" t="n"/>
      <c r="DN17" s="30" t="n"/>
      <c r="DO17" s="30" t="n"/>
      <c r="DP17" s="30" t="n"/>
      <c r="DQ17" s="34" t="n"/>
      <c r="DR17" s="34" t="n"/>
    </row>
    <row r="18" ht="16" customHeight="1">
      <c r="A18" s="36" t="n"/>
      <c r="B18" s="36" t="n"/>
      <c r="C18" s="36" t="n"/>
      <c r="D18" s="36" t="n"/>
      <c r="E18" s="36" t="n"/>
      <c r="F18" s="36" t="n"/>
      <c r="G18" s="29" t="n"/>
      <c r="H18" s="30" t="n"/>
      <c r="I18" s="30" t="n"/>
      <c r="J18" s="30" t="n"/>
      <c r="K18" s="30" t="n"/>
      <c r="L18" s="30" t="n"/>
      <c r="M18" s="30" t="n"/>
      <c r="N18" s="30" t="n"/>
      <c r="O18" s="30">
        <f>IFERROR(INDEX('_courses_lookup'!$C:$C,MATCH(K18&amp;L18,'_courses_lookup'!$E:$E,0)),"")</f>
        <v/>
      </c>
      <c r="P18" s="30">
        <f>IFERROR(INDEX('_courses_lookup'!$D:$D,MATCH(K18&amp;L18,'_courses_lookup'!$E:$E,0)),"")</f>
        <v/>
      </c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30" t="n"/>
      <c r="AC18" s="30" t="n"/>
      <c r="AD18" s="30" t="n"/>
      <c r="AE18" s="30" t="n"/>
      <c r="AF18" s="30" t="n"/>
      <c r="AG18" s="30">
        <f>IF(AND(AE18&lt;&gt;"",AF18&lt;&gt;""),ROUNDUP((AF18-AE18)/7,0),"")</f>
        <v/>
      </c>
      <c r="AH18" s="30" t="n"/>
      <c r="AI18" s="30">
        <f>IFERROR(IF(AG18*AH18=0,"",AG18*AH18),"")</f>
        <v/>
      </c>
      <c r="AJ18" s="30" t="n"/>
      <c r="AK18" s="30" t="n"/>
      <c r="AL18" s="30">
        <f>IF(AND(AJ18&lt;&gt;"",AK18&lt;&gt;""),ROUNDUP((AK18-AJ18)/7,0),"")</f>
        <v/>
      </c>
      <c r="AM18" s="30" t="n"/>
      <c r="AN18" s="30">
        <f>IFERROR(IF(AL18*AM18=0,"",AL18*AM18),"")</f>
        <v/>
      </c>
      <c r="AO18" s="30" t="n"/>
      <c r="AP18" s="30" t="n"/>
      <c r="AQ18" s="30">
        <f>IF(AND(AO18&lt;&gt;"",AP18&lt;&gt;""),ROUNDUP((AP18-AO18)/7,0),"")</f>
        <v/>
      </c>
      <c r="AR18" s="30">
        <f>IFERROR(IF((AU18-(AI18+AN18))/AQ18=0,"",ROUNDUP((AU18-(AI18+AN18))/AQ18,0)),"")</f>
        <v/>
      </c>
      <c r="AS18" s="30">
        <f>IFERROR(IF((AU18-(AI18+AN18))=0,"",(AU18-(AI18+AN18))),"")</f>
        <v/>
      </c>
      <c r="AT18" s="30">
        <f>IF(AND(AG18="",AQ18=""),AL18,IF(SUM(AG18,AL18,AQ18)=0,"",SUM(AG18,AL18,AQ18)))</f>
        <v/>
      </c>
      <c r="AU18" s="30" t="n"/>
      <c r="AV18" s="30" t="n"/>
      <c r="AW18" s="30" t="n"/>
      <c r="AX18" s="30" t="n"/>
      <c r="AY18" s="30" t="n"/>
      <c r="AZ18" s="30" t="n"/>
      <c r="BA18" s="30" t="n"/>
      <c r="BB18" s="30" t="n"/>
      <c r="BC18" s="30" t="n"/>
      <c r="BD18" s="30" t="n"/>
      <c r="BE18" s="30" t="n"/>
      <c r="BF18" s="30" t="n"/>
      <c r="BG18" s="30">
        <f>IF(AD18="","",YEAR(AD18)+IF(MONTH(AD18)&gt;=5,1,0))</f>
        <v/>
      </c>
      <c r="BH18" s="30">
        <f>IF(AD18="","",IF(AND(MONTH(AD18)=8,DAY(AD18)&gt;=15),"Fall",IF(MONTH(AD18)&gt;8,"Fall",IF(MONTH(AD18)=5,"Summer",IF(MONTH(AD18)=1,"Spring","")))))</f>
        <v/>
      </c>
      <c r="BI18" s="34" t="n"/>
      <c r="BJ18" s="30" t="n"/>
      <c r="BK18" s="30" t="n"/>
      <c r="BL18" s="32">
        <f>IFERROR(INDEX('_names_lookup'!$C:$C,MATCH(BK18,'_names_lookup'!$A:$A,0)),"")</f>
        <v/>
      </c>
      <c r="BM18" s="32">
        <f>IFERROR(INDEX('_names_lookup'!$B:$B,MATCH(BK18,'_names_lookup'!$A:$A,0)),"")</f>
        <v/>
      </c>
      <c r="BN18" s="33" t="n"/>
      <c r="BO18" s="37" t="n"/>
      <c r="BP18" s="34" t="n"/>
      <c r="BQ18" s="34" t="n"/>
      <c r="BR18" s="34" t="n"/>
      <c r="BS18" s="34">
        <f>IFERROR(IF(BR18*AA18=0,"",BR18*AA18),"")</f>
        <v/>
      </c>
      <c r="BT18" s="34" t="n"/>
      <c r="BU18" s="34" t="n"/>
      <c r="BV18" s="34" t="n"/>
      <c r="BW18" s="30" t="n"/>
      <c r="BX18" s="34" t="n"/>
      <c r="BY18" s="34" t="n"/>
      <c r="BZ18" s="34" t="n"/>
      <c r="CA18" s="30" t="n"/>
      <c r="CB18" s="30" t="n"/>
      <c r="CC18" s="30" t="n"/>
      <c r="CD18" s="30" t="n"/>
      <c r="CE18" s="30" t="n"/>
      <c r="CF18" s="30" t="n"/>
      <c r="CG18" s="30" t="n"/>
      <c r="CH18" s="30" t="n"/>
      <c r="CI18" s="30" t="n"/>
      <c r="CJ18" s="30" t="n"/>
      <c r="CK18" s="30" t="n"/>
      <c r="CL18" s="30" t="n"/>
      <c r="CM18" s="30" t="n"/>
      <c r="CN18" s="30" t="n"/>
      <c r="CO18" s="30" t="n"/>
      <c r="CP18" s="30" t="n"/>
      <c r="CQ18" s="30" t="n"/>
      <c r="CR18" s="30" t="n"/>
      <c r="CS18" s="30" t="n"/>
      <c r="CT18" s="30" t="n"/>
      <c r="CU18" s="30" t="n"/>
      <c r="CV18" s="30" t="n"/>
      <c r="CW18" s="30" t="n"/>
      <c r="CX18" s="30" t="n"/>
      <c r="CY18" s="30" t="n"/>
      <c r="CZ18" s="30" t="n"/>
      <c r="DA18" s="30" t="n"/>
      <c r="DB18" s="30" t="n"/>
      <c r="DC18" s="30" t="n"/>
      <c r="DD18" s="30" t="n"/>
      <c r="DE18" s="30" t="n"/>
      <c r="DF18" s="30" t="n"/>
      <c r="DG18" s="30" t="n"/>
      <c r="DH18" s="30" t="n"/>
      <c r="DI18" s="30" t="n"/>
      <c r="DJ18" s="30" t="n"/>
      <c r="DK18" s="30" t="n"/>
      <c r="DL18" s="30" t="n"/>
      <c r="DM18" s="30" t="n"/>
      <c r="DN18" s="30" t="n"/>
      <c r="DO18" s="30" t="n"/>
      <c r="DP18" s="30" t="n"/>
      <c r="DQ18" s="34" t="n"/>
      <c r="DR18" s="34" t="n"/>
    </row>
    <row r="19">
      <c r="O19">
        <f>IFERROR(INDEX('_courses_lookup'!$C:$C,MATCH(K19&amp;L19,'_courses_lookup'!$E:$E,0)),"")</f>
        <v/>
      </c>
      <c r="P19">
        <f>IFERROR(INDEX('_courses_lookup'!$D:$D,MATCH(K19&amp;L19,'_courses_lookup'!$E:$E,0)),"")</f>
        <v/>
      </c>
      <c r="AG19">
        <f>IF(AND(AE19&lt;&gt;"",AF19&lt;&gt;""),ROUNDUP((AF19-AE19)/7,0),"")</f>
        <v/>
      </c>
      <c r="AI19">
        <f>IFERROR(IF(AG19*AH19=0,"",AG19*AH19),"")</f>
        <v/>
      </c>
      <c r="AL19">
        <f>IF(AND(AJ19&lt;&gt;"",AK19&lt;&gt;""),ROUNDUP((AK19-AJ19)/7,0),"")</f>
        <v/>
      </c>
      <c r="AN19">
        <f>IFERROR(IF(AL19*AM19=0,"",AL19*AM19),"")</f>
        <v/>
      </c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L19">
        <f>IFERROR(INDEX('_names_lookup'!$C:$C,MATCH(BK19,'_names_lookup'!$A:$A,0)),"")</f>
        <v/>
      </c>
      <c r="BM19">
        <f>IFERROR(INDEX('_names_lookup'!$B:$B,MATCH(BK19,'_names_lookup'!$A:$A,0)),"")</f>
        <v/>
      </c>
      <c r="BS19">
        <f>IFERROR(IF(BR19*AA19=0,"",BR19*AA19),"")</f>
        <v/>
      </c>
    </row>
    <row r="20">
      <c r="O20">
        <f>IFERROR(INDEX('_courses_lookup'!$C:$C,MATCH(K20&amp;L20,'_courses_lookup'!$E:$E,0)),"")</f>
        <v/>
      </c>
      <c r="P20">
        <f>IFERROR(INDEX('_courses_lookup'!$D:$D,MATCH(K20&amp;L20,'_courses_lookup'!$E:$E,0)),"")</f>
        <v/>
      </c>
      <c r="AG20">
        <f>IF(AND(AE20&lt;&gt;"",AF20&lt;&gt;""),ROUNDUP((AF20-AE20)/7,0),"")</f>
        <v/>
      </c>
      <c r="AI20">
        <f>IFERROR(IF(AG20*AH20=0,"",AG20*AH20),"")</f>
        <v/>
      </c>
      <c r="AL20">
        <f>IF(AND(AJ20&lt;&gt;"",AK20&lt;&gt;""),ROUNDUP((AK20-AJ20)/7,0),"")</f>
        <v/>
      </c>
      <c r="AN20">
        <f>IFERROR(IF(AL20*AM20=0,"",AL20*AM20),"")</f>
        <v/>
      </c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L20">
        <f>IFERROR(INDEX('_names_lookup'!$C:$C,MATCH(BK20,'_names_lookup'!$A:$A,0)),"")</f>
        <v/>
      </c>
      <c r="BM20">
        <f>IFERROR(INDEX('_names_lookup'!$B:$B,MATCH(BK20,'_names_lookup'!$A:$A,0)),"")</f>
        <v/>
      </c>
      <c r="BS20">
        <f>IFERROR(IF(BR20*AA20=0,"",BR20*AA20),"")</f>
        <v/>
      </c>
    </row>
    <row r="21">
      <c r="O21">
        <f>IFERROR(INDEX('_courses_lookup'!$C:$C,MATCH(K21&amp;L21,'_courses_lookup'!$E:$E,0)),"")</f>
        <v/>
      </c>
      <c r="P21">
        <f>IFERROR(INDEX('_courses_lookup'!$D:$D,MATCH(K21&amp;L21,'_courses_lookup'!$E:$E,0)),"")</f>
        <v/>
      </c>
      <c r="AG21">
        <f>IF(AND(AE21&lt;&gt;"",AF21&lt;&gt;""),ROUNDUP((AF21-AE21)/7,0),"")</f>
        <v/>
      </c>
      <c r="AI21">
        <f>IFERROR(IF(AG21*AH21=0,"",AG21*AH21),"")</f>
        <v/>
      </c>
      <c r="AL21">
        <f>IF(AND(AJ21&lt;&gt;"",AK21&lt;&gt;""),ROUNDUP((AK21-AJ21)/7,0),"")</f>
        <v/>
      </c>
      <c r="AN21">
        <f>IFERROR(IF(AL21*AM21=0,"",AL21*AM21),"")</f>
        <v/>
      </c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L21">
        <f>IFERROR(INDEX('_names_lookup'!$C:$C,MATCH(BK21,'_names_lookup'!$A:$A,0)),"")</f>
        <v/>
      </c>
      <c r="BM21">
        <f>IFERROR(INDEX('_names_lookup'!$B:$B,MATCH(BK21,'_names_lookup'!$A:$A,0)),"")</f>
        <v/>
      </c>
      <c r="BS21">
        <f>IFERROR(IF(BR21*AA21=0,"",BR21*AA21),"")</f>
        <v/>
      </c>
    </row>
    <row r="22">
      <c r="O22">
        <f>IFERROR(INDEX('_courses_lookup'!$C:$C,MATCH(K22&amp;L22,'_courses_lookup'!$E:$E,0)),"")</f>
        <v/>
      </c>
      <c r="P22">
        <f>IFERROR(INDEX('_courses_lookup'!$D:$D,MATCH(K22&amp;L22,'_courses_lookup'!$E:$E,0)),"")</f>
        <v/>
      </c>
      <c r="AG22">
        <f>IF(AND(AE22&lt;&gt;"",AF22&lt;&gt;""),ROUNDUP((AF22-AE22)/7,0),"")</f>
        <v/>
      </c>
      <c r="AI22">
        <f>IFERROR(IF(AG22*AH22=0,"",AG22*AH22),"")</f>
        <v/>
      </c>
      <c r="AL22">
        <f>IF(AND(AJ22&lt;&gt;"",AK22&lt;&gt;""),ROUNDUP((AK22-AJ22)/7,0),"")</f>
        <v/>
      </c>
      <c r="AN22">
        <f>IFERROR(IF(AL22*AM22=0,"",AL22*AM22),"")</f>
        <v/>
      </c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L22">
        <f>IFERROR(INDEX('_names_lookup'!$C:$C,MATCH(BK22,'_names_lookup'!$A:$A,0)),"")</f>
        <v/>
      </c>
      <c r="BM22">
        <f>IFERROR(INDEX('_names_lookup'!$B:$B,MATCH(BK22,'_names_lookup'!$A:$A,0)),"")</f>
        <v/>
      </c>
      <c r="BS22">
        <f>IFERROR(IF(BR22*AA22=0,"",BR22*AA22),"")</f>
        <v/>
      </c>
    </row>
    <row r="23">
      <c r="O23">
        <f>IFERROR(INDEX('_courses_lookup'!$C:$C,MATCH(K23&amp;L23,'_courses_lookup'!$E:$E,0)),"")</f>
        <v/>
      </c>
      <c r="P23">
        <f>IFERROR(INDEX('_courses_lookup'!$D:$D,MATCH(K23&amp;L23,'_courses_lookup'!$E:$E,0)),"")</f>
        <v/>
      </c>
      <c r="AG23">
        <f>IF(AND(AE23&lt;&gt;"",AF23&lt;&gt;""),ROUNDUP((AF23-AE23)/7,0),"")</f>
        <v/>
      </c>
      <c r="AI23">
        <f>IFERROR(IF(AG23*AH23=0,"",AG23*AH23),"")</f>
        <v/>
      </c>
      <c r="AL23">
        <f>IF(AND(AJ23&lt;&gt;"",AK23&lt;&gt;""),ROUNDUP((AK23-AJ23)/7,0),"")</f>
        <v/>
      </c>
      <c r="AN23">
        <f>IFERROR(IF(AL23*AM23=0,"",AL23*AM23),"")</f>
        <v/>
      </c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L23">
        <f>IFERROR(INDEX('_names_lookup'!$C:$C,MATCH(BK23,'_names_lookup'!$A:$A,0)),"")</f>
        <v/>
      </c>
      <c r="BM23">
        <f>IFERROR(INDEX('_names_lookup'!$B:$B,MATCH(BK23,'_names_lookup'!$A:$A,0)),"")</f>
        <v/>
      </c>
      <c r="BS23">
        <f>IFERROR(IF(BR23*AA23=0,"",BR23*AA23),"")</f>
        <v/>
      </c>
    </row>
    <row r="24">
      <c r="O24">
        <f>IFERROR(INDEX('_courses_lookup'!$C:$C,MATCH(K24&amp;L24,'_courses_lookup'!$E:$E,0)),"")</f>
        <v/>
      </c>
      <c r="P24">
        <f>IFERROR(INDEX('_courses_lookup'!$D:$D,MATCH(K24&amp;L24,'_courses_lookup'!$E:$E,0)),"")</f>
        <v/>
      </c>
      <c r="AG24">
        <f>IF(AND(AE24&lt;&gt;"",AF24&lt;&gt;""),ROUNDUP((AF24-AE24)/7,0),"")</f>
        <v/>
      </c>
      <c r="AI24">
        <f>IFERROR(IF(AG24*AH24=0,"",AG24*AH24),"")</f>
        <v/>
      </c>
      <c r="AL24">
        <f>IF(AND(AJ24&lt;&gt;"",AK24&lt;&gt;""),ROUNDUP((AK24-AJ24)/7,0),"")</f>
        <v/>
      </c>
      <c r="AN24">
        <f>IFERROR(IF(AL24*AM24=0,"",AL24*AM24),"")</f>
        <v/>
      </c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L24">
        <f>IFERROR(INDEX('_names_lookup'!$C:$C,MATCH(BK24,'_names_lookup'!$A:$A,0)),"")</f>
        <v/>
      </c>
      <c r="BM24">
        <f>IFERROR(INDEX('_names_lookup'!$B:$B,MATCH(BK24,'_names_lookup'!$A:$A,0)),"")</f>
        <v/>
      </c>
      <c r="BS24">
        <f>IFERROR(IF(BR24*AA24=0,"",BR24*AA24),"")</f>
        <v/>
      </c>
    </row>
    <row r="25">
      <c r="O25">
        <f>IFERROR(INDEX('_courses_lookup'!$C:$C,MATCH(K25&amp;L25,'_courses_lookup'!$E:$E,0)),"")</f>
        <v/>
      </c>
      <c r="P25">
        <f>IFERROR(INDEX('_courses_lookup'!$D:$D,MATCH(K25&amp;L25,'_courses_lookup'!$E:$E,0)),"")</f>
        <v/>
      </c>
      <c r="AG25">
        <f>IF(AND(AE25&lt;&gt;"",AF25&lt;&gt;""),ROUNDUP((AF25-AE25)/7,0),"")</f>
        <v/>
      </c>
      <c r="AI25">
        <f>IFERROR(IF(AG25*AH25=0,"",AG25*AH25),"")</f>
        <v/>
      </c>
      <c r="AL25">
        <f>IF(AND(AJ25&lt;&gt;"",AK25&lt;&gt;""),ROUNDUP((AK25-AJ25)/7,0),"")</f>
        <v/>
      </c>
      <c r="AN25">
        <f>IFERROR(IF(AL25*AM25=0,"",AL25*AM25),"")</f>
        <v/>
      </c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L25">
        <f>IFERROR(INDEX('_names_lookup'!$C:$C,MATCH(BK25,'_names_lookup'!$A:$A,0)),"")</f>
        <v/>
      </c>
      <c r="BM25">
        <f>IFERROR(INDEX('_names_lookup'!$B:$B,MATCH(BK25,'_names_lookup'!$A:$A,0)),"")</f>
        <v/>
      </c>
      <c r="BS25">
        <f>IFERROR(IF(BR25*AA25=0,"",BR25*AA25),"")</f>
        <v/>
      </c>
    </row>
    <row r="26">
      <c r="O26">
        <f>IFERROR(INDEX('_courses_lookup'!$C:$C,MATCH(K26&amp;L26,'_courses_lookup'!$E:$E,0)),"")</f>
        <v/>
      </c>
      <c r="P26">
        <f>IFERROR(INDEX('_courses_lookup'!$D:$D,MATCH(K26&amp;L26,'_courses_lookup'!$E:$E,0)),"")</f>
        <v/>
      </c>
      <c r="AG26">
        <f>IF(AND(AE26&lt;&gt;"",AF26&lt;&gt;""),ROUNDUP((AF26-AE26)/7,0),"")</f>
        <v/>
      </c>
      <c r="AI26">
        <f>IFERROR(IF(AG26*AH26=0,"",AG26*AH26),"")</f>
        <v/>
      </c>
      <c r="AL26">
        <f>IF(AND(AJ26&lt;&gt;"",AK26&lt;&gt;""),ROUNDUP((AK26-AJ26)/7,0),"")</f>
        <v/>
      </c>
      <c r="AN26">
        <f>IFERROR(IF(AL26*AM26=0,"",AL26*AM26),"")</f>
        <v/>
      </c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L26">
        <f>IFERROR(INDEX('_names_lookup'!$C:$C,MATCH(BK26,'_names_lookup'!$A:$A,0)),"")</f>
        <v/>
      </c>
      <c r="BM26">
        <f>IFERROR(INDEX('_names_lookup'!$B:$B,MATCH(BK26,'_names_lookup'!$A:$A,0)),"")</f>
        <v/>
      </c>
      <c r="BS26">
        <f>IFERROR(IF(BR26*AA26=0,"",BR26*AA26),"")</f>
        <v/>
      </c>
    </row>
    <row r="27">
      <c r="O27">
        <f>IFERROR(INDEX('_courses_lookup'!$C:$C,MATCH(K27&amp;L27,'_courses_lookup'!$E:$E,0)),"")</f>
        <v/>
      </c>
      <c r="P27">
        <f>IFERROR(INDEX('_courses_lookup'!$D:$D,MATCH(K27&amp;L27,'_courses_lookup'!$E:$E,0)),"")</f>
        <v/>
      </c>
      <c r="AG27">
        <f>IF(AND(AE27&lt;&gt;"",AF27&lt;&gt;""),ROUNDUP((AF27-AE27)/7,0),"")</f>
        <v/>
      </c>
      <c r="AI27">
        <f>IFERROR(IF(AG27*AH27=0,"",AG27*AH27),"")</f>
        <v/>
      </c>
      <c r="AL27">
        <f>IF(AND(AJ27&lt;&gt;"",AK27&lt;&gt;""),ROUNDUP((AK27-AJ27)/7,0),"")</f>
        <v/>
      </c>
      <c r="AN27">
        <f>IFERROR(IF(AL27*AM27=0,"",AL27*AM27),"")</f>
        <v/>
      </c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L27">
        <f>IFERROR(INDEX('_names_lookup'!$C:$C,MATCH(BK27,'_names_lookup'!$A:$A,0)),"")</f>
        <v/>
      </c>
      <c r="BM27">
        <f>IFERROR(INDEX('_names_lookup'!$B:$B,MATCH(BK27,'_names_lookup'!$A:$A,0)),"")</f>
        <v/>
      </c>
      <c r="BS27">
        <f>IFERROR(IF(BR27*AA27=0,"",BR27*AA27),"")</f>
        <v/>
      </c>
    </row>
    <row r="28">
      <c r="O28">
        <f>IFERROR(INDEX('_courses_lookup'!$C:$C,MATCH(K28&amp;L28,'_courses_lookup'!$E:$E,0)),"")</f>
        <v/>
      </c>
      <c r="P28">
        <f>IFERROR(INDEX('_courses_lookup'!$D:$D,MATCH(K28&amp;L28,'_courses_lookup'!$E:$E,0)),"")</f>
        <v/>
      </c>
      <c r="AG28">
        <f>IF(AND(AE28&lt;&gt;"",AF28&lt;&gt;""),ROUNDUP((AF28-AE28)/7,0),"")</f>
        <v/>
      </c>
      <c r="AI28">
        <f>IFERROR(IF(AG28*AH28=0,"",AG28*AH28),"")</f>
        <v/>
      </c>
      <c r="AL28">
        <f>IF(AND(AJ28&lt;&gt;"",AK28&lt;&gt;""),ROUNDUP((AK28-AJ28)/7,0),"")</f>
        <v/>
      </c>
      <c r="AN28">
        <f>IFERROR(IF(AL28*AM28=0,"",AL28*AM28),"")</f>
        <v/>
      </c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L28">
        <f>IFERROR(INDEX('_names_lookup'!$C:$C,MATCH(BK28,'_names_lookup'!$A:$A,0)),"")</f>
        <v/>
      </c>
      <c r="BM28">
        <f>IFERROR(INDEX('_names_lookup'!$B:$B,MATCH(BK28,'_names_lookup'!$A:$A,0)),"")</f>
        <v/>
      </c>
      <c r="BS28">
        <f>IFERROR(IF(BR28*AA28=0,"",BR28*AA28),"")</f>
        <v/>
      </c>
    </row>
    <row r="29">
      <c r="O29">
        <f>IFERROR(INDEX('_courses_lookup'!$C:$C,MATCH(K29&amp;L29,'_courses_lookup'!$E:$E,0)),"")</f>
        <v/>
      </c>
      <c r="P29">
        <f>IFERROR(INDEX('_courses_lookup'!$D:$D,MATCH(K29&amp;L29,'_courses_lookup'!$E:$E,0)),"")</f>
        <v/>
      </c>
      <c r="AG29">
        <f>IF(AND(AE29&lt;&gt;"",AF29&lt;&gt;""),ROUNDUP((AF29-AE29)/7,0),"")</f>
        <v/>
      </c>
      <c r="AI29">
        <f>IFERROR(IF(AG29*AH29=0,"",AG29*AH29),"")</f>
        <v/>
      </c>
      <c r="AL29">
        <f>IF(AND(AJ29&lt;&gt;"",AK29&lt;&gt;""),ROUNDUP((AK29-AJ29)/7,0),"")</f>
        <v/>
      </c>
      <c r="AN29">
        <f>IFERROR(IF(AL29*AM29=0,"",AL29*AM29),"")</f>
        <v/>
      </c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L29">
        <f>IFERROR(INDEX('_names_lookup'!$C:$C,MATCH(BK29,'_names_lookup'!$A:$A,0)),"")</f>
        <v/>
      </c>
      <c r="BM29">
        <f>IFERROR(INDEX('_names_lookup'!$B:$B,MATCH(BK29,'_names_lookup'!$A:$A,0)),"")</f>
        <v/>
      </c>
      <c r="BS29">
        <f>IFERROR(IF(BR29*AA29=0,"",BR29*AA29),"")</f>
        <v/>
      </c>
    </row>
    <row r="30">
      <c r="O30">
        <f>IFERROR(INDEX('_courses_lookup'!$C:$C,MATCH(K30&amp;L30,'_courses_lookup'!$E:$E,0)),"")</f>
        <v/>
      </c>
      <c r="P30">
        <f>IFERROR(INDEX('_courses_lookup'!$D:$D,MATCH(K30&amp;L30,'_courses_lookup'!$E:$E,0)),"")</f>
        <v/>
      </c>
      <c r="AG30">
        <f>IF(AND(AE30&lt;&gt;"",AF30&lt;&gt;""),ROUNDUP((AF30-AE30)/7,0),"")</f>
        <v/>
      </c>
      <c r="AI30">
        <f>IFERROR(IF(AG30*AH30=0,"",AG30*AH30),"")</f>
        <v/>
      </c>
      <c r="AL30">
        <f>IF(AND(AJ30&lt;&gt;"",AK30&lt;&gt;""),ROUNDUP((AK30-AJ30)/7,0),"")</f>
        <v/>
      </c>
      <c r="AN30">
        <f>IFERROR(IF(AL30*AM30=0,"",AL30*AM30),"")</f>
        <v/>
      </c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L30">
        <f>IFERROR(INDEX('_names_lookup'!$C:$C,MATCH(BK30,'_names_lookup'!$A:$A,0)),"")</f>
        <v/>
      </c>
      <c r="BM30">
        <f>IFERROR(INDEX('_names_lookup'!$B:$B,MATCH(BK30,'_names_lookup'!$A:$A,0)),"")</f>
        <v/>
      </c>
      <c r="BS30">
        <f>IFERROR(IF(BR30*AA30=0,"",BR30*AA30),"")</f>
        <v/>
      </c>
    </row>
    <row r="31">
      <c r="O31">
        <f>IFERROR(INDEX('_courses_lookup'!$C:$C,MATCH(K31&amp;L31,'_courses_lookup'!$E:$E,0)),"")</f>
        <v/>
      </c>
      <c r="P31">
        <f>IFERROR(INDEX('_courses_lookup'!$D:$D,MATCH(K31&amp;L31,'_courses_lookup'!$E:$E,0)),"")</f>
        <v/>
      </c>
      <c r="AG31">
        <f>IF(AND(AE31&lt;&gt;"",AF31&lt;&gt;""),ROUNDUP((AF31-AE31)/7,0),"")</f>
        <v/>
      </c>
      <c r="AI31">
        <f>IFERROR(IF(AG31*AH31=0,"",AG31*AH31),"")</f>
        <v/>
      </c>
      <c r="AL31">
        <f>IF(AND(AJ31&lt;&gt;"",AK31&lt;&gt;""),ROUNDUP((AK31-AJ31)/7,0),"")</f>
        <v/>
      </c>
      <c r="AN31">
        <f>IFERROR(IF(AL31*AM31=0,"",AL31*AM31),"")</f>
        <v/>
      </c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L31">
        <f>IFERROR(INDEX('_names_lookup'!$C:$C,MATCH(BK31,'_names_lookup'!$A:$A,0)),"")</f>
        <v/>
      </c>
      <c r="BM31">
        <f>IFERROR(INDEX('_names_lookup'!$B:$B,MATCH(BK31,'_names_lookup'!$A:$A,0)),"")</f>
        <v/>
      </c>
      <c r="BS31">
        <f>IFERROR(IF(BR31*AA31=0,"",BR31*AA31),"")</f>
        <v/>
      </c>
    </row>
    <row r="32">
      <c r="O32">
        <f>IFERROR(INDEX('_courses_lookup'!$C:$C,MATCH(K32&amp;L32,'_courses_lookup'!$E:$E,0)),"")</f>
        <v/>
      </c>
      <c r="P32">
        <f>IFERROR(INDEX('_courses_lookup'!$D:$D,MATCH(K32&amp;L32,'_courses_lookup'!$E:$E,0)),"")</f>
        <v/>
      </c>
      <c r="AG32">
        <f>IF(AND(AE32&lt;&gt;"",AF32&lt;&gt;""),ROUNDUP((AF32-AE32)/7,0),"")</f>
        <v/>
      </c>
      <c r="AI32">
        <f>IFERROR(IF(AG32*AH32=0,"",AG32*AH32),"")</f>
        <v/>
      </c>
      <c r="AL32">
        <f>IF(AND(AJ32&lt;&gt;"",AK32&lt;&gt;""),ROUNDUP((AK32-AJ32)/7,0),"")</f>
        <v/>
      </c>
      <c r="AN32">
        <f>IFERROR(IF(AL32*AM32=0,"",AL32*AM32),"")</f>
        <v/>
      </c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L32">
        <f>IFERROR(INDEX('_names_lookup'!$C:$C,MATCH(BK32,'_names_lookup'!$A:$A,0)),"")</f>
        <v/>
      </c>
      <c r="BM32">
        <f>IFERROR(INDEX('_names_lookup'!$B:$B,MATCH(BK32,'_names_lookup'!$A:$A,0)),"")</f>
        <v/>
      </c>
      <c r="BS32">
        <f>IFERROR(IF(BR32*AA32=0,"",BR32*AA32),"")</f>
        <v/>
      </c>
    </row>
    <row r="33">
      <c r="O33">
        <f>IFERROR(INDEX('_courses_lookup'!$C:$C,MATCH(K33&amp;L33,'_courses_lookup'!$E:$E,0)),"")</f>
        <v/>
      </c>
      <c r="P33">
        <f>IFERROR(INDEX('_courses_lookup'!$D:$D,MATCH(K33&amp;L33,'_courses_lookup'!$E:$E,0)),"")</f>
        <v/>
      </c>
      <c r="AG33">
        <f>IF(AND(AE33&lt;&gt;"",AF33&lt;&gt;""),ROUNDUP((AF33-AE33)/7,0),"")</f>
        <v/>
      </c>
      <c r="AI33">
        <f>IFERROR(IF(AG33*AH33=0,"",AG33*AH33),"")</f>
        <v/>
      </c>
      <c r="AL33">
        <f>IF(AND(AJ33&lt;&gt;"",AK33&lt;&gt;""),ROUNDUP((AK33-AJ33)/7,0),"")</f>
        <v/>
      </c>
      <c r="AN33">
        <f>IFERROR(IF(AL33*AM33=0,"",AL33*AM33),"")</f>
        <v/>
      </c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L33">
        <f>IFERROR(INDEX('_names_lookup'!$C:$C,MATCH(BK33,'_names_lookup'!$A:$A,0)),"")</f>
        <v/>
      </c>
      <c r="BM33">
        <f>IFERROR(INDEX('_names_lookup'!$B:$B,MATCH(BK33,'_names_lookup'!$A:$A,0)),"")</f>
        <v/>
      </c>
      <c r="BS33">
        <f>IFERROR(IF(BR33*AA33=0,"",BR33*AA33),"")</f>
        <v/>
      </c>
    </row>
    <row r="34">
      <c r="O34">
        <f>IFERROR(INDEX('_courses_lookup'!$C:$C,MATCH(K34&amp;L34,'_courses_lookup'!$E:$E,0)),"")</f>
        <v/>
      </c>
      <c r="P34">
        <f>IFERROR(INDEX('_courses_lookup'!$D:$D,MATCH(K34&amp;L34,'_courses_lookup'!$E:$E,0)),"")</f>
        <v/>
      </c>
      <c r="AG34">
        <f>IF(AND(AE34&lt;&gt;"",AF34&lt;&gt;""),ROUNDUP((AF34-AE34)/7,0),"")</f>
        <v/>
      </c>
      <c r="AI34">
        <f>IFERROR(IF(AG34*AH34=0,"",AG34*AH34),"")</f>
        <v/>
      </c>
      <c r="AL34">
        <f>IF(AND(AJ34&lt;&gt;"",AK34&lt;&gt;""),ROUNDUP((AK34-AJ34)/7,0),"")</f>
        <v/>
      </c>
      <c r="AN34">
        <f>IFERROR(IF(AL34*AM34=0,"",AL34*AM34),"")</f>
        <v/>
      </c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L34">
        <f>IFERROR(INDEX('_names_lookup'!$C:$C,MATCH(BK34,'_names_lookup'!$A:$A,0)),"")</f>
        <v/>
      </c>
      <c r="BM34">
        <f>IFERROR(INDEX('_names_lookup'!$B:$B,MATCH(BK34,'_names_lookup'!$A:$A,0)),"")</f>
        <v/>
      </c>
      <c r="BS34">
        <f>IFERROR(IF(BR34*AA34=0,"",BR34*AA34),"")</f>
        <v/>
      </c>
    </row>
    <row r="35">
      <c r="O35">
        <f>IFERROR(INDEX('_courses_lookup'!$C:$C,MATCH(K35&amp;L35,'_courses_lookup'!$E:$E,0)),"")</f>
        <v/>
      </c>
      <c r="P35">
        <f>IFERROR(INDEX('_courses_lookup'!$D:$D,MATCH(K35&amp;L35,'_courses_lookup'!$E:$E,0)),"")</f>
        <v/>
      </c>
      <c r="AG35">
        <f>IF(AND(AE35&lt;&gt;"",AF35&lt;&gt;""),ROUNDUP((AF35-AE35)/7,0),"")</f>
        <v/>
      </c>
      <c r="AI35">
        <f>IFERROR(IF(AG35*AH35=0,"",AG35*AH35),"")</f>
        <v/>
      </c>
      <c r="AL35">
        <f>IF(AND(AJ35&lt;&gt;"",AK35&lt;&gt;""),ROUNDUP((AK35-AJ35)/7,0),"")</f>
        <v/>
      </c>
      <c r="AN35">
        <f>IFERROR(IF(AL35*AM35=0,"",AL35*AM35),"")</f>
        <v/>
      </c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L35">
        <f>IFERROR(INDEX('_names_lookup'!$C:$C,MATCH(BK35,'_names_lookup'!$A:$A,0)),"")</f>
        <v/>
      </c>
      <c r="BM35">
        <f>IFERROR(INDEX('_names_lookup'!$B:$B,MATCH(BK35,'_names_lookup'!$A:$A,0)),"")</f>
        <v/>
      </c>
      <c r="BS35">
        <f>IFERROR(IF(BR35*AA35=0,"",BR35*AA35),"")</f>
        <v/>
      </c>
    </row>
    <row r="36">
      <c r="O36">
        <f>IFERROR(INDEX('_courses_lookup'!$C:$C,MATCH(K36&amp;L36,'_courses_lookup'!$E:$E,0)),"")</f>
        <v/>
      </c>
      <c r="P36">
        <f>IFERROR(INDEX('_courses_lookup'!$D:$D,MATCH(K36&amp;L36,'_courses_lookup'!$E:$E,0)),"")</f>
        <v/>
      </c>
      <c r="AG36">
        <f>IF(AND(AE36&lt;&gt;"",AF36&lt;&gt;""),ROUNDUP((AF36-AE36)/7,0),"")</f>
        <v/>
      </c>
      <c r="AI36">
        <f>IFERROR(IF(AG36*AH36=0,"",AG36*AH36),"")</f>
        <v/>
      </c>
      <c r="AL36">
        <f>IF(AND(AJ36&lt;&gt;"",AK36&lt;&gt;""),ROUNDUP((AK36-AJ36)/7,0),"")</f>
        <v/>
      </c>
      <c r="AN36">
        <f>IFERROR(IF(AL36*AM36=0,"",AL36*AM36),"")</f>
        <v/>
      </c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L36">
        <f>IFERROR(INDEX('_names_lookup'!$C:$C,MATCH(BK36,'_names_lookup'!$A:$A,0)),"")</f>
        <v/>
      </c>
      <c r="BM36">
        <f>IFERROR(INDEX('_names_lookup'!$B:$B,MATCH(BK36,'_names_lookup'!$A:$A,0)),"")</f>
        <v/>
      </c>
      <c r="BS36">
        <f>IFERROR(IF(BR36*AA36=0,"",BR36*AA36),"")</f>
        <v/>
      </c>
    </row>
    <row r="37">
      <c r="O37">
        <f>IFERROR(INDEX('_courses_lookup'!$C:$C,MATCH(K37&amp;L37,'_courses_lookup'!$E:$E,0)),"")</f>
        <v/>
      </c>
      <c r="P37">
        <f>IFERROR(INDEX('_courses_lookup'!$D:$D,MATCH(K37&amp;L37,'_courses_lookup'!$E:$E,0)),"")</f>
        <v/>
      </c>
      <c r="AG37">
        <f>IF(AND(AE37&lt;&gt;"",AF37&lt;&gt;""),ROUNDUP((AF37-AE37)/7,0),"")</f>
        <v/>
      </c>
      <c r="AI37">
        <f>IFERROR(IF(AG37*AH37=0,"",AG37*AH37),"")</f>
        <v/>
      </c>
      <c r="AL37">
        <f>IF(AND(AJ37&lt;&gt;"",AK37&lt;&gt;""),ROUNDUP((AK37-AJ37)/7,0),"")</f>
        <v/>
      </c>
      <c r="AN37">
        <f>IFERROR(IF(AL37*AM37=0,"",AL37*AM37),"")</f>
        <v/>
      </c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L37">
        <f>IFERROR(INDEX('_names_lookup'!$C:$C,MATCH(BK37,'_names_lookup'!$A:$A,0)),"")</f>
        <v/>
      </c>
      <c r="BM37">
        <f>IFERROR(INDEX('_names_lookup'!$B:$B,MATCH(BK37,'_names_lookup'!$A:$A,0)),"")</f>
        <v/>
      </c>
      <c r="BS37">
        <f>IFERROR(IF(BR37*AA37=0,"",BR37*AA37),"")</f>
        <v/>
      </c>
    </row>
    <row r="38">
      <c r="O38">
        <f>IFERROR(INDEX('_courses_lookup'!$C:$C,MATCH(K38&amp;L38,'_courses_lookup'!$E:$E,0)),"")</f>
        <v/>
      </c>
      <c r="P38">
        <f>IFERROR(INDEX('_courses_lookup'!$D:$D,MATCH(K38&amp;L38,'_courses_lookup'!$E:$E,0)),"")</f>
        <v/>
      </c>
      <c r="AG38">
        <f>IF(AND(AE38&lt;&gt;"",AF38&lt;&gt;""),ROUNDUP((AF38-AE38)/7,0),"")</f>
        <v/>
      </c>
      <c r="AI38">
        <f>IFERROR(IF(AG38*AH38=0,"",AG38*AH38),"")</f>
        <v/>
      </c>
      <c r="AL38">
        <f>IF(AND(AJ38&lt;&gt;"",AK38&lt;&gt;""),ROUNDUP((AK38-AJ38)/7,0),"")</f>
        <v/>
      </c>
      <c r="AN38">
        <f>IFERROR(IF(AL38*AM38=0,"",AL38*AM38),"")</f>
        <v/>
      </c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L38">
        <f>IFERROR(INDEX('_names_lookup'!$C:$C,MATCH(BK38,'_names_lookup'!$A:$A,0)),"")</f>
        <v/>
      </c>
      <c r="BM38">
        <f>IFERROR(INDEX('_names_lookup'!$B:$B,MATCH(BK38,'_names_lookup'!$A:$A,0)),"")</f>
        <v/>
      </c>
      <c r="BS38">
        <f>IFERROR(IF(BR38*AA38=0,"",BR38*AA38),"")</f>
        <v/>
      </c>
    </row>
    <row r="39">
      <c r="O39">
        <f>IFERROR(INDEX('_courses_lookup'!$C:$C,MATCH(K39&amp;L39,'_courses_lookup'!$E:$E,0)),"")</f>
        <v/>
      </c>
      <c r="P39">
        <f>IFERROR(INDEX('_courses_lookup'!$D:$D,MATCH(K39&amp;L39,'_courses_lookup'!$E:$E,0)),"")</f>
        <v/>
      </c>
      <c r="AG39">
        <f>IF(AND(AE39&lt;&gt;"",AF39&lt;&gt;""),ROUNDUP((AF39-AE39)/7,0),"")</f>
        <v/>
      </c>
      <c r="AI39">
        <f>IFERROR(IF(AG39*AH39=0,"",AG39*AH39),"")</f>
        <v/>
      </c>
      <c r="AL39">
        <f>IF(AND(AJ39&lt;&gt;"",AK39&lt;&gt;""),ROUNDUP((AK39-AJ39)/7,0),"")</f>
        <v/>
      </c>
      <c r="AN39">
        <f>IFERROR(IF(AL39*AM39=0,"",AL39*AM39),"")</f>
        <v/>
      </c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L39">
        <f>IFERROR(INDEX('_names_lookup'!$C:$C,MATCH(BK39,'_names_lookup'!$A:$A,0)),"")</f>
        <v/>
      </c>
      <c r="BM39">
        <f>IFERROR(INDEX('_names_lookup'!$B:$B,MATCH(BK39,'_names_lookup'!$A:$A,0)),"")</f>
        <v/>
      </c>
      <c r="BS39">
        <f>IFERROR(IF(BR39*AA39=0,"",BR39*AA39),"")</f>
        <v/>
      </c>
    </row>
    <row r="40">
      <c r="O40">
        <f>IFERROR(INDEX('_courses_lookup'!$C:$C,MATCH(K40&amp;L40,'_courses_lookup'!$E:$E,0)),"")</f>
        <v/>
      </c>
      <c r="P40">
        <f>IFERROR(INDEX('_courses_lookup'!$D:$D,MATCH(K40&amp;L40,'_courses_lookup'!$E:$E,0)),"")</f>
        <v/>
      </c>
      <c r="AG40">
        <f>IF(AND(AE40&lt;&gt;"",AF40&lt;&gt;""),ROUNDUP((AF40-AE40)/7,0),"")</f>
        <v/>
      </c>
      <c r="AI40">
        <f>IFERROR(IF(AG40*AH40=0,"",AG40*AH40),"")</f>
        <v/>
      </c>
      <c r="AL40">
        <f>IF(AND(AJ40&lt;&gt;"",AK40&lt;&gt;""),ROUNDUP((AK40-AJ40)/7,0),"")</f>
        <v/>
      </c>
      <c r="AN40">
        <f>IFERROR(IF(AL40*AM40=0,"",AL40*AM40),"")</f>
        <v/>
      </c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L40">
        <f>IFERROR(INDEX('_names_lookup'!$C:$C,MATCH(BK40,'_names_lookup'!$A:$A,0)),"")</f>
        <v/>
      </c>
      <c r="BM40">
        <f>IFERROR(INDEX('_names_lookup'!$B:$B,MATCH(BK40,'_names_lookup'!$A:$A,0)),"")</f>
        <v/>
      </c>
      <c r="BS40">
        <f>IFERROR(IF(BR40*AA40=0,"",BR40*AA40),"")</f>
        <v/>
      </c>
    </row>
    <row r="41">
      <c r="O41">
        <f>IFERROR(INDEX('_courses_lookup'!$C:$C,MATCH(K41&amp;L41,'_courses_lookup'!$E:$E,0)),"")</f>
        <v/>
      </c>
      <c r="P41">
        <f>IFERROR(INDEX('_courses_lookup'!$D:$D,MATCH(K41&amp;L41,'_courses_lookup'!$E:$E,0)),"")</f>
        <v/>
      </c>
      <c r="AG41">
        <f>IF(AND(AE41&lt;&gt;"",AF41&lt;&gt;""),ROUNDUP((AF41-AE41)/7,0),"")</f>
        <v/>
      </c>
      <c r="AI41">
        <f>IFERROR(IF(AG41*AH41=0,"",AG41*AH41),"")</f>
        <v/>
      </c>
      <c r="AL41">
        <f>IF(AND(AJ41&lt;&gt;"",AK41&lt;&gt;""),ROUNDUP((AK41-AJ41)/7,0),"")</f>
        <v/>
      </c>
      <c r="AN41">
        <f>IFERROR(IF(AL41*AM41=0,"",AL41*AM41),"")</f>
        <v/>
      </c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L41">
        <f>IFERROR(INDEX('_names_lookup'!$C:$C,MATCH(BK41,'_names_lookup'!$A:$A,0)),"")</f>
        <v/>
      </c>
      <c r="BM41">
        <f>IFERROR(INDEX('_names_lookup'!$B:$B,MATCH(BK41,'_names_lookup'!$A:$A,0)),"")</f>
        <v/>
      </c>
      <c r="BS41">
        <f>IFERROR(IF(BR41*AA41=0,"",BR41*AA41),"")</f>
        <v/>
      </c>
    </row>
    <row r="42">
      <c r="O42">
        <f>IFERROR(INDEX('_courses_lookup'!$C:$C,MATCH(K42&amp;L42,'_courses_lookup'!$E:$E,0)),"")</f>
        <v/>
      </c>
      <c r="P42">
        <f>IFERROR(INDEX('_courses_lookup'!$D:$D,MATCH(K42&amp;L42,'_courses_lookup'!$E:$E,0)),"")</f>
        <v/>
      </c>
      <c r="AG42">
        <f>IF(AND(AE42&lt;&gt;"",AF42&lt;&gt;""),ROUNDUP((AF42-AE42)/7,0),"")</f>
        <v/>
      </c>
      <c r="AI42">
        <f>IFERROR(IF(AG42*AH42=0,"",AG42*AH42),"")</f>
        <v/>
      </c>
      <c r="AL42">
        <f>IF(AND(AJ42&lt;&gt;"",AK42&lt;&gt;""),ROUNDUP((AK42-AJ42)/7,0),"")</f>
        <v/>
      </c>
      <c r="AN42">
        <f>IFERROR(IF(AL42*AM42=0,"",AL42*AM42),"")</f>
        <v/>
      </c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L42">
        <f>IFERROR(INDEX('_names_lookup'!$C:$C,MATCH(BK42,'_names_lookup'!$A:$A,0)),"")</f>
        <v/>
      </c>
      <c r="BM42">
        <f>IFERROR(INDEX('_names_lookup'!$B:$B,MATCH(BK42,'_names_lookup'!$A:$A,0)),"")</f>
        <v/>
      </c>
      <c r="BS42">
        <f>IFERROR(IF(BR42*AA42=0,"",BR42*AA42),"")</f>
        <v/>
      </c>
    </row>
    <row r="43">
      <c r="O43">
        <f>IFERROR(INDEX('_courses_lookup'!$C:$C,MATCH(K43&amp;L43,'_courses_lookup'!$E:$E,0)),"")</f>
        <v/>
      </c>
      <c r="P43">
        <f>IFERROR(INDEX('_courses_lookup'!$D:$D,MATCH(K43&amp;L43,'_courses_lookup'!$E:$E,0)),"")</f>
        <v/>
      </c>
      <c r="AG43">
        <f>IF(AND(AE43&lt;&gt;"",AF43&lt;&gt;""),ROUNDUP((AF43-AE43)/7,0),"")</f>
        <v/>
      </c>
      <c r="AI43">
        <f>IFERROR(IF(AG43*AH43=0,"",AG43*AH43),"")</f>
        <v/>
      </c>
      <c r="AL43">
        <f>IF(AND(AJ43&lt;&gt;"",AK43&lt;&gt;""),ROUNDUP((AK43-AJ43)/7,0),"")</f>
        <v/>
      </c>
      <c r="AN43">
        <f>IFERROR(IF(AL43*AM43=0,"",AL43*AM43),"")</f>
        <v/>
      </c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L43">
        <f>IFERROR(INDEX('_names_lookup'!$C:$C,MATCH(BK43,'_names_lookup'!$A:$A,0)),"")</f>
        <v/>
      </c>
      <c r="BM43">
        <f>IFERROR(INDEX('_names_lookup'!$B:$B,MATCH(BK43,'_names_lookup'!$A:$A,0)),"")</f>
        <v/>
      </c>
      <c r="BS43">
        <f>IFERROR(IF(BR43*AA43=0,"",BR43*AA43),"")</f>
        <v/>
      </c>
    </row>
    <row r="44">
      <c r="O44">
        <f>IFERROR(INDEX('_courses_lookup'!$C:$C,MATCH(K44&amp;L44,'_courses_lookup'!$E:$E,0)),"")</f>
        <v/>
      </c>
      <c r="P44">
        <f>IFERROR(INDEX('_courses_lookup'!$D:$D,MATCH(K44&amp;L44,'_courses_lookup'!$E:$E,0)),"")</f>
        <v/>
      </c>
      <c r="AG44">
        <f>IF(AND(AE44&lt;&gt;"",AF44&lt;&gt;""),ROUNDUP((AF44-AE44)/7,0),"")</f>
        <v/>
      </c>
      <c r="AI44">
        <f>IFERROR(IF(AG44*AH44=0,"",AG44*AH44),"")</f>
        <v/>
      </c>
      <c r="AL44">
        <f>IF(AND(AJ44&lt;&gt;"",AK44&lt;&gt;""),ROUNDUP((AK44-AJ44)/7,0),"")</f>
        <v/>
      </c>
      <c r="AN44">
        <f>IFERROR(IF(AL44*AM44=0,"",AL44*AM44),"")</f>
        <v/>
      </c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L44">
        <f>IFERROR(INDEX('_names_lookup'!$C:$C,MATCH(BK44,'_names_lookup'!$A:$A,0)),"")</f>
        <v/>
      </c>
      <c r="BM44">
        <f>IFERROR(INDEX('_names_lookup'!$B:$B,MATCH(BK44,'_names_lookup'!$A:$A,0)),"")</f>
        <v/>
      </c>
      <c r="BS44">
        <f>IFERROR(IF(BR44*AA44=0,"",BR44*AA44),"")</f>
        <v/>
      </c>
    </row>
    <row r="45">
      <c r="O45">
        <f>IFERROR(INDEX('_courses_lookup'!$C:$C,MATCH(K45&amp;L45,'_courses_lookup'!$E:$E,0)),"")</f>
        <v/>
      </c>
      <c r="P45">
        <f>IFERROR(INDEX('_courses_lookup'!$D:$D,MATCH(K45&amp;L45,'_courses_lookup'!$E:$E,0)),"")</f>
        <v/>
      </c>
      <c r="AG45">
        <f>IF(AND(AE45&lt;&gt;"",AF45&lt;&gt;""),ROUNDUP((AF45-AE45)/7,0),"")</f>
        <v/>
      </c>
      <c r="AI45">
        <f>IFERROR(IF(AG45*AH45=0,"",AG45*AH45),"")</f>
        <v/>
      </c>
      <c r="AL45">
        <f>IF(AND(AJ45&lt;&gt;"",AK45&lt;&gt;""),ROUNDUP((AK45-AJ45)/7,0),"")</f>
        <v/>
      </c>
      <c r="AN45">
        <f>IFERROR(IF(AL45*AM45=0,"",AL45*AM45),"")</f>
        <v/>
      </c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L45">
        <f>IFERROR(INDEX('_names_lookup'!$C:$C,MATCH(BK45,'_names_lookup'!$A:$A,0)),"")</f>
        <v/>
      </c>
      <c r="BM45">
        <f>IFERROR(INDEX('_names_lookup'!$B:$B,MATCH(BK45,'_names_lookup'!$A:$A,0)),"")</f>
        <v/>
      </c>
      <c r="BS45">
        <f>IFERROR(IF(BR45*AA45=0,"",BR45*AA45),"")</f>
        <v/>
      </c>
    </row>
    <row r="46">
      <c r="O46">
        <f>IFERROR(INDEX('_courses_lookup'!$C:$C,MATCH(K46&amp;L46,'_courses_lookup'!$E:$E,0)),"")</f>
        <v/>
      </c>
      <c r="P46">
        <f>IFERROR(INDEX('_courses_lookup'!$D:$D,MATCH(K46&amp;L46,'_courses_lookup'!$E:$E,0)),"")</f>
        <v/>
      </c>
      <c r="AG46">
        <f>IF(AND(AE46&lt;&gt;"",AF46&lt;&gt;""),ROUNDUP((AF46-AE46)/7,0),"")</f>
        <v/>
      </c>
      <c r="AI46">
        <f>IFERROR(IF(AG46*AH46=0,"",AG46*AH46),"")</f>
        <v/>
      </c>
      <c r="AL46">
        <f>IF(AND(AJ46&lt;&gt;"",AK46&lt;&gt;""),ROUNDUP((AK46-AJ46)/7,0),"")</f>
        <v/>
      </c>
      <c r="AN46">
        <f>IFERROR(IF(AL46*AM46=0,"",AL46*AM46),"")</f>
        <v/>
      </c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L46">
        <f>IFERROR(INDEX('_names_lookup'!$C:$C,MATCH(BK46,'_names_lookup'!$A:$A,0)),"")</f>
        <v/>
      </c>
      <c r="BM46">
        <f>IFERROR(INDEX('_names_lookup'!$B:$B,MATCH(BK46,'_names_lookup'!$A:$A,0)),"")</f>
        <v/>
      </c>
      <c r="BS46">
        <f>IFERROR(IF(BR46*AA46=0,"",BR46*AA46),"")</f>
        <v/>
      </c>
    </row>
    <row r="47">
      <c r="O47">
        <f>IFERROR(INDEX('_courses_lookup'!$C:$C,MATCH(K47&amp;L47,'_courses_lookup'!$E:$E,0)),"")</f>
        <v/>
      </c>
      <c r="P47">
        <f>IFERROR(INDEX('_courses_lookup'!$D:$D,MATCH(K47&amp;L47,'_courses_lookup'!$E:$E,0)),"")</f>
        <v/>
      </c>
      <c r="AG47">
        <f>IF(AND(AE47&lt;&gt;"",AF47&lt;&gt;""),ROUNDUP((AF47-AE47)/7,0),"")</f>
        <v/>
      </c>
      <c r="AI47">
        <f>IFERROR(IF(AG47*AH47=0,"",AG47*AH47),"")</f>
        <v/>
      </c>
      <c r="AL47">
        <f>IF(AND(AJ47&lt;&gt;"",AK47&lt;&gt;""),ROUNDUP((AK47-AJ47)/7,0),"")</f>
        <v/>
      </c>
      <c r="AN47">
        <f>IFERROR(IF(AL47*AM47=0,"",AL47*AM47),"")</f>
        <v/>
      </c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L47">
        <f>IFERROR(INDEX('_names_lookup'!$C:$C,MATCH(BK47,'_names_lookup'!$A:$A,0)),"")</f>
        <v/>
      </c>
      <c r="BM47">
        <f>IFERROR(INDEX('_names_lookup'!$B:$B,MATCH(BK47,'_names_lookup'!$A:$A,0)),"")</f>
        <v/>
      </c>
      <c r="BS47">
        <f>IFERROR(IF(BR47*AA47=0,"",BR47*AA47),"")</f>
        <v/>
      </c>
    </row>
    <row r="48">
      <c r="O48">
        <f>IFERROR(INDEX('_courses_lookup'!$C:$C,MATCH(K48&amp;L48,'_courses_lookup'!$E:$E,0)),"")</f>
        <v/>
      </c>
      <c r="P48">
        <f>IFERROR(INDEX('_courses_lookup'!$D:$D,MATCH(K48&amp;L48,'_courses_lookup'!$E:$E,0)),"")</f>
        <v/>
      </c>
      <c r="AG48">
        <f>IF(AND(AE48&lt;&gt;"",AF48&lt;&gt;""),ROUNDUP((AF48-AE48)/7,0),"")</f>
        <v/>
      </c>
      <c r="AI48">
        <f>IFERROR(IF(AG48*AH48=0,"",AG48*AH48),"")</f>
        <v/>
      </c>
      <c r="AL48">
        <f>IF(AND(AJ48&lt;&gt;"",AK48&lt;&gt;""),ROUNDUP((AK48-AJ48)/7,0),"")</f>
        <v/>
      </c>
      <c r="AN48">
        <f>IFERROR(IF(AL48*AM48=0,"",AL48*AM48),"")</f>
        <v/>
      </c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L48">
        <f>IFERROR(INDEX('_names_lookup'!$C:$C,MATCH(BK48,'_names_lookup'!$A:$A,0)),"")</f>
        <v/>
      </c>
      <c r="BM48">
        <f>IFERROR(INDEX('_names_lookup'!$B:$B,MATCH(BK48,'_names_lookup'!$A:$A,0)),"")</f>
        <v/>
      </c>
      <c r="BS48">
        <f>IFERROR(IF(BR48*AA48=0,"",BR48*AA48),"")</f>
        <v/>
      </c>
    </row>
    <row r="49">
      <c r="O49">
        <f>IFERROR(INDEX('_courses_lookup'!$C:$C,MATCH(K49&amp;L49,'_courses_lookup'!$E:$E,0)),"")</f>
        <v/>
      </c>
      <c r="P49">
        <f>IFERROR(INDEX('_courses_lookup'!$D:$D,MATCH(K49&amp;L49,'_courses_lookup'!$E:$E,0)),"")</f>
        <v/>
      </c>
      <c r="AG49">
        <f>IF(AND(AE49&lt;&gt;"",AF49&lt;&gt;""),ROUNDUP((AF49-AE49)/7,0),"")</f>
        <v/>
      </c>
      <c r="AI49">
        <f>IFERROR(IF(AG49*AH49=0,"",AG49*AH49),"")</f>
        <v/>
      </c>
      <c r="AL49">
        <f>IF(AND(AJ49&lt;&gt;"",AK49&lt;&gt;""),ROUNDUP((AK49-AJ49)/7,0),"")</f>
        <v/>
      </c>
      <c r="AN49">
        <f>IFERROR(IF(AL49*AM49=0,"",AL49*AM49),"")</f>
        <v/>
      </c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L49">
        <f>IFERROR(INDEX('_names_lookup'!$C:$C,MATCH(BK49,'_names_lookup'!$A:$A,0)),"")</f>
        <v/>
      </c>
      <c r="BM49">
        <f>IFERROR(INDEX('_names_lookup'!$B:$B,MATCH(BK49,'_names_lookup'!$A:$A,0)),"")</f>
        <v/>
      </c>
      <c r="BS49">
        <f>IFERROR(IF(BR49*AA49=0,"",BR49*AA49),"")</f>
        <v/>
      </c>
    </row>
    <row r="50">
      <c r="O50">
        <f>IFERROR(INDEX('_courses_lookup'!$C:$C,MATCH(K50&amp;L50,'_courses_lookup'!$E:$E,0)),"")</f>
        <v/>
      </c>
      <c r="P50">
        <f>IFERROR(INDEX('_courses_lookup'!$D:$D,MATCH(K50&amp;L50,'_courses_lookup'!$E:$E,0)),"")</f>
        <v/>
      </c>
      <c r="AG50">
        <f>IF(AND(AE50&lt;&gt;"",AF50&lt;&gt;""),ROUNDUP((AF50-AE50)/7,0),"")</f>
        <v/>
      </c>
      <c r="AI50">
        <f>IFERROR(IF(AG50*AH50=0,"",AG50*AH50),"")</f>
        <v/>
      </c>
      <c r="AL50">
        <f>IF(AND(AJ50&lt;&gt;"",AK50&lt;&gt;""),ROUNDUP((AK50-AJ50)/7,0),"")</f>
        <v/>
      </c>
      <c r="AN50">
        <f>IFERROR(IF(AL50*AM50=0,"",AL50*AM50),"")</f>
        <v/>
      </c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L50">
        <f>IFERROR(INDEX('_names_lookup'!$C:$C,MATCH(BK50,'_names_lookup'!$A:$A,0)),"")</f>
        <v/>
      </c>
      <c r="BM50">
        <f>IFERROR(INDEX('_names_lookup'!$B:$B,MATCH(BK50,'_names_lookup'!$A:$A,0)),"")</f>
        <v/>
      </c>
      <c r="BS50">
        <f>IFERROR(IF(BR50*AA50=0,"",BR50*AA50),"")</f>
        <v/>
      </c>
    </row>
    <row r="51">
      <c r="O51">
        <f>IFERROR(INDEX('_courses_lookup'!$C:$C,MATCH(K51&amp;L51,'_courses_lookup'!$E:$E,0)),"")</f>
        <v/>
      </c>
      <c r="P51">
        <f>IFERROR(INDEX('_courses_lookup'!$D:$D,MATCH(K51&amp;L51,'_courses_lookup'!$E:$E,0)),"")</f>
        <v/>
      </c>
      <c r="AG51">
        <f>IF(AND(AE51&lt;&gt;"",AF51&lt;&gt;""),ROUNDUP((AF51-AE51)/7,0),"")</f>
        <v/>
      </c>
      <c r="AI51">
        <f>IFERROR(IF(AG51*AH51=0,"",AG51*AH51),"")</f>
        <v/>
      </c>
      <c r="AL51">
        <f>IF(AND(AJ51&lt;&gt;"",AK51&lt;&gt;""),ROUNDUP((AK51-AJ51)/7,0),"")</f>
        <v/>
      </c>
      <c r="AN51">
        <f>IFERROR(IF(AL51*AM51=0,"",AL51*AM51),"")</f>
        <v/>
      </c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L51">
        <f>IFERROR(INDEX('_names_lookup'!$C:$C,MATCH(BK51,'_names_lookup'!$A:$A,0)),"")</f>
        <v/>
      </c>
      <c r="BM51">
        <f>IFERROR(INDEX('_names_lookup'!$B:$B,MATCH(BK51,'_names_lookup'!$A:$A,0)),"")</f>
        <v/>
      </c>
      <c r="BS51">
        <f>IFERROR(IF(BR51*AA51=0,"",BR51*AA51),"")</f>
        <v/>
      </c>
    </row>
    <row r="52">
      <c r="O52">
        <f>IFERROR(INDEX('_courses_lookup'!$C:$C,MATCH(K52&amp;L52,'_courses_lookup'!$E:$E,0)),"")</f>
        <v/>
      </c>
      <c r="P52">
        <f>IFERROR(INDEX('_courses_lookup'!$D:$D,MATCH(K52&amp;L52,'_courses_lookup'!$E:$E,0)),"")</f>
        <v/>
      </c>
      <c r="AG52">
        <f>IF(AND(AE52&lt;&gt;"",AF52&lt;&gt;""),ROUNDUP((AF52-AE52)/7,0),"")</f>
        <v/>
      </c>
      <c r="AI52">
        <f>IFERROR(IF(AG52*AH52=0,"",AG52*AH52),"")</f>
        <v/>
      </c>
      <c r="AL52">
        <f>IF(AND(AJ52&lt;&gt;"",AK52&lt;&gt;""),ROUNDUP((AK52-AJ52)/7,0),"")</f>
        <v/>
      </c>
      <c r="AN52">
        <f>IFERROR(IF(AL52*AM52=0,"",AL52*AM52),"")</f>
        <v/>
      </c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L52">
        <f>IFERROR(INDEX('_names_lookup'!$C:$C,MATCH(BK52,'_names_lookup'!$A:$A,0)),"")</f>
        <v/>
      </c>
      <c r="BM52">
        <f>IFERROR(INDEX('_names_lookup'!$B:$B,MATCH(BK52,'_names_lookup'!$A:$A,0)),"")</f>
        <v/>
      </c>
      <c r="BS52">
        <f>IFERROR(IF(BR52*AA52=0,"",BR52*AA52),"")</f>
        <v/>
      </c>
    </row>
    <row r="53">
      <c r="O53">
        <f>IFERROR(INDEX('_courses_lookup'!$C:$C,MATCH(K53&amp;L53,'_courses_lookup'!$E:$E,0)),"")</f>
        <v/>
      </c>
      <c r="P53">
        <f>IFERROR(INDEX('_courses_lookup'!$D:$D,MATCH(K53&amp;L53,'_courses_lookup'!$E:$E,0)),"")</f>
        <v/>
      </c>
      <c r="AG53">
        <f>IF(AND(AE53&lt;&gt;"",AF53&lt;&gt;""),ROUNDUP((AF53-AE53)/7,0),"")</f>
        <v/>
      </c>
      <c r="AI53">
        <f>IFERROR(IF(AG53*AH53=0,"",AG53*AH53),"")</f>
        <v/>
      </c>
      <c r="AL53">
        <f>IF(AND(AJ53&lt;&gt;"",AK53&lt;&gt;""),ROUNDUP((AK53-AJ53)/7,0),"")</f>
        <v/>
      </c>
      <c r="AN53">
        <f>IFERROR(IF(AL53*AM53=0,"",AL53*AM53),"")</f>
        <v/>
      </c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L53">
        <f>IFERROR(INDEX('_names_lookup'!$C:$C,MATCH(BK53,'_names_lookup'!$A:$A,0)),"")</f>
        <v/>
      </c>
      <c r="BM53">
        <f>IFERROR(INDEX('_names_lookup'!$B:$B,MATCH(BK53,'_names_lookup'!$A:$A,0)),"")</f>
        <v/>
      </c>
      <c r="BS53">
        <f>IFERROR(IF(BR53*AA53=0,"",BR53*AA53),"")</f>
        <v/>
      </c>
    </row>
    <row r="54">
      <c r="O54">
        <f>IFERROR(INDEX('_courses_lookup'!$C:$C,MATCH(K54&amp;L54,'_courses_lookup'!$E:$E,0)),"")</f>
        <v/>
      </c>
      <c r="P54">
        <f>IFERROR(INDEX('_courses_lookup'!$D:$D,MATCH(K54&amp;L54,'_courses_lookup'!$E:$E,0)),"")</f>
        <v/>
      </c>
      <c r="AG54">
        <f>IF(AND(AE54&lt;&gt;"",AF54&lt;&gt;""),ROUNDUP((AF54-AE54)/7,0),"")</f>
        <v/>
      </c>
      <c r="AI54">
        <f>IFERROR(IF(AG54*AH54=0,"",AG54*AH54),"")</f>
        <v/>
      </c>
      <c r="AL54">
        <f>IF(AND(AJ54&lt;&gt;"",AK54&lt;&gt;""),ROUNDUP((AK54-AJ54)/7,0),"")</f>
        <v/>
      </c>
      <c r="AN54">
        <f>IFERROR(IF(AL54*AM54=0,"",AL54*AM54),"")</f>
        <v/>
      </c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L54">
        <f>IFERROR(INDEX('_names_lookup'!$C:$C,MATCH(BK54,'_names_lookup'!$A:$A,0)),"")</f>
        <v/>
      </c>
      <c r="BM54">
        <f>IFERROR(INDEX('_names_lookup'!$B:$B,MATCH(BK54,'_names_lookup'!$A:$A,0)),"")</f>
        <v/>
      </c>
      <c r="BS54">
        <f>IFERROR(IF(BR54*AA54=0,"",BR54*AA54),"")</f>
        <v/>
      </c>
    </row>
    <row r="55">
      <c r="O55">
        <f>IFERROR(INDEX('_courses_lookup'!$C:$C,MATCH(K55&amp;L55,'_courses_lookup'!$E:$E,0)),"")</f>
        <v/>
      </c>
      <c r="P55">
        <f>IFERROR(INDEX('_courses_lookup'!$D:$D,MATCH(K55&amp;L55,'_courses_lookup'!$E:$E,0)),"")</f>
        <v/>
      </c>
      <c r="AG55">
        <f>IF(AND(AE55&lt;&gt;"",AF55&lt;&gt;""),ROUNDUP((AF55-AE55)/7,0),"")</f>
        <v/>
      </c>
      <c r="AI55">
        <f>IFERROR(IF(AG55*AH55=0,"",AG55*AH55),"")</f>
        <v/>
      </c>
      <c r="AL55">
        <f>IF(AND(AJ55&lt;&gt;"",AK55&lt;&gt;""),ROUNDUP((AK55-AJ55)/7,0),"")</f>
        <v/>
      </c>
      <c r="AN55">
        <f>IFERROR(IF(AL55*AM55=0,"",AL55*AM55),"")</f>
        <v/>
      </c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L55">
        <f>IFERROR(INDEX('_names_lookup'!$C:$C,MATCH(BK55,'_names_lookup'!$A:$A,0)),"")</f>
        <v/>
      </c>
      <c r="BM55">
        <f>IFERROR(INDEX('_names_lookup'!$B:$B,MATCH(BK55,'_names_lookup'!$A:$A,0)),"")</f>
        <v/>
      </c>
      <c r="BS55">
        <f>IFERROR(IF(BR55*AA55=0,"",BR55*AA55),"")</f>
        <v/>
      </c>
    </row>
    <row r="56">
      <c r="O56">
        <f>IFERROR(INDEX('_courses_lookup'!$C:$C,MATCH(K56&amp;L56,'_courses_lookup'!$E:$E,0)),"")</f>
        <v/>
      </c>
      <c r="P56">
        <f>IFERROR(INDEX('_courses_lookup'!$D:$D,MATCH(K56&amp;L56,'_courses_lookup'!$E:$E,0)),"")</f>
        <v/>
      </c>
      <c r="AG56">
        <f>IF(AND(AE56&lt;&gt;"",AF56&lt;&gt;""),ROUNDUP((AF56-AE56)/7,0),"")</f>
        <v/>
      </c>
      <c r="AI56">
        <f>IFERROR(IF(AG56*AH56=0,"",AG56*AH56),"")</f>
        <v/>
      </c>
      <c r="AL56">
        <f>IF(AND(AJ56&lt;&gt;"",AK56&lt;&gt;""),ROUNDUP((AK56-AJ56)/7,0),"")</f>
        <v/>
      </c>
      <c r="AN56">
        <f>IFERROR(IF(AL56*AM56=0,"",AL56*AM56),"")</f>
        <v/>
      </c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L56">
        <f>IFERROR(INDEX('_names_lookup'!$C:$C,MATCH(BK56,'_names_lookup'!$A:$A,0)),"")</f>
        <v/>
      </c>
      <c r="BM56">
        <f>IFERROR(INDEX('_names_lookup'!$B:$B,MATCH(BK56,'_names_lookup'!$A:$A,0)),"")</f>
        <v/>
      </c>
      <c r="BS56">
        <f>IFERROR(IF(BR56*AA56=0,"",BR56*AA56),"")</f>
        <v/>
      </c>
    </row>
    <row r="57">
      <c r="O57">
        <f>IFERROR(INDEX('_courses_lookup'!$C:$C,MATCH(K57&amp;L57,'_courses_lookup'!$E:$E,0)),"")</f>
        <v/>
      </c>
      <c r="P57">
        <f>IFERROR(INDEX('_courses_lookup'!$D:$D,MATCH(K57&amp;L57,'_courses_lookup'!$E:$E,0)),"")</f>
        <v/>
      </c>
      <c r="AG57">
        <f>IF(AND(AE57&lt;&gt;"",AF57&lt;&gt;""),ROUNDUP((AF57-AE57)/7,0),"")</f>
        <v/>
      </c>
      <c r="AI57">
        <f>IFERROR(IF(AG57*AH57=0,"",AG57*AH57),"")</f>
        <v/>
      </c>
      <c r="AL57">
        <f>IF(AND(AJ57&lt;&gt;"",AK57&lt;&gt;""),ROUNDUP((AK57-AJ57)/7,0),"")</f>
        <v/>
      </c>
      <c r="AN57">
        <f>IFERROR(IF(AL57*AM57=0,"",AL57*AM57),"")</f>
        <v/>
      </c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L57">
        <f>IFERROR(INDEX('_names_lookup'!$C:$C,MATCH(BK57,'_names_lookup'!$A:$A,0)),"")</f>
        <v/>
      </c>
      <c r="BM57">
        <f>IFERROR(INDEX('_names_lookup'!$B:$B,MATCH(BK57,'_names_lookup'!$A:$A,0)),"")</f>
        <v/>
      </c>
      <c r="BS57">
        <f>IFERROR(IF(BR57*AA57=0,"",BR57*AA57),"")</f>
        <v/>
      </c>
    </row>
    <row r="58">
      <c r="O58">
        <f>IFERROR(INDEX('_courses_lookup'!$C:$C,MATCH(K58&amp;L58,'_courses_lookup'!$E:$E,0)),"")</f>
        <v/>
      </c>
      <c r="P58">
        <f>IFERROR(INDEX('_courses_lookup'!$D:$D,MATCH(K58&amp;L58,'_courses_lookup'!$E:$E,0)),"")</f>
        <v/>
      </c>
      <c r="AG58">
        <f>IF(AND(AE58&lt;&gt;"",AF58&lt;&gt;""),ROUNDUP((AF58-AE58)/7,0),"")</f>
        <v/>
      </c>
      <c r="AI58">
        <f>IFERROR(IF(AG58*AH58=0,"",AG58*AH58),"")</f>
        <v/>
      </c>
      <c r="AL58">
        <f>IF(AND(AJ58&lt;&gt;"",AK58&lt;&gt;""),ROUNDUP((AK58-AJ58)/7,0),"")</f>
        <v/>
      </c>
      <c r="AN58">
        <f>IFERROR(IF(AL58*AM58=0,"",AL58*AM58),"")</f>
        <v/>
      </c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L58">
        <f>IFERROR(INDEX('_names_lookup'!$C:$C,MATCH(BK58,'_names_lookup'!$A:$A,0)),"")</f>
        <v/>
      </c>
      <c r="BM58">
        <f>IFERROR(INDEX('_names_lookup'!$B:$B,MATCH(BK58,'_names_lookup'!$A:$A,0)),"")</f>
        <v/>
      </c>
      <c r="BS58">
        <f>IFERROR(IF(BR58*AA58=0,"",BR58*AA58),"")</f>
        <v/>
      </c>
    </row>
    <row r="59">
      <c r="O59">
        <f>IFERROR(INDEX('_courses_lookup'!$C:$C,MATCH(K59&amp;L59,'_courses_lookup'!$E:$E,0)),"")</f>
        <v/>
      </c>
      <c r="P59">
        <f>IFERROR(INDEX('_courses_lookup'!$D:$D,MATCH(K59&amp;L59,'_courses_lookup'!$E:$E,0)),"")</f>
        <v/>
      </c>
      <c r="AG59">
        <f>IF(AND(AE59&lt;&gt;"",AF59&lt;&gt;""),ROUNDUP((AF59-AE59)/7,0),"")</f>
        <v/>
      </c>
      <c r="AI59">
        <f>IFERROR(IF(AG59*AH59=0,"",AG59*AH59),"")</f>
        <v/>
      </c>
      <c r="AL59">
        <f>IF(AND(AJ59&lt;&gt;"",AK59&lt;&gt;""),ROUNDUP((AK59-AJ59)/7,0),"")</f>
        <v/>
      </c>
      <c r="AN59">
        <f>IFERROR(IF(AL59*AM59=0,"",AL59*AM59),"")</f>
        <v/>
      </c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L59">
        <f>IFERROR(INDEX('_names_lookup'!$C:$C,MATCH(BK59,'_names_lookup'!$A:$A,0)),"")</f>
        <v/>
      </c>
      <c r="BM59">
        <f>IFERROR(INDEX('_names_lookup'!$B:$B,MATCH(BK59,'_names_lookup'!$A:$A,0)),"")</f>
        <v/>
      </c>
      <c r="BS59">
        <f>IFERROR(IF(BR59*AA59=0,"",BR59*AA59),"")</f>
        <v/>
      </c>
    </row>
    <row r="60">
      <c r="O60">
        <f>IFERROR(INDEX('_courses_lookup'!$C:$C,MATCH(K60&amp;L60,'_courses_lookup'!$E:$E,0)),"")</f>
        <v/>
      </c>
      <c r="P60">
        <f>IFERROR(INDEX('_courses_lookup'!$D:$D,MATCH(K60&amp;L60,'_courses_lookup'!$E:$E,0)),"")</f>
        <v/>
      </c>
      <c r="AG60">
        <f>IF(AND(AE60&lt;&gt;"",AF60&lt;&gt;""),ROUNDUP((AF60-AE60)/7,0),"")</f>
        <v/>
      </c>
      <c r="AI60">
        <f>IFERROR(IF(AG60*AH60=0,"",AG60*AH60),"")</f>
        <v/>
      </c>
      <c r="AL60">
        <f>IF(AND(AJ60&lt;&gt;"",AK60&lt;&gt;""),ROUNDUP((AK60-AJ60)/7,0),"")</f>
        <v/>
      </c>
      <c r="AN60">
        <f>IFERROR(IF(AL60*AM60=0,"",AL60*AM60),"")</f>
        <v/>
      </c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L60">
        <f>IFERROR(INDEX('_names_lookup'!$C:$C,MATCH(BK60,'_names_lookup'!$A:$A,0)),"")</f>
        <v/>
      </c>
      <c r="BM60">
        <f>IFERROR(INDEX('_names_lookup'!$B:$B,MATCH(BK60,'_names_lookup'!$A:$A,0)),"")</f>
        <v/>
      </c>
      <c r="BS60">
        <f>IFERROR(IF(BR60*AA60=0,"",BR60*AA60),"")</f>
        <v/>
      </c>
    </row>
    <row r="61">
      <c r="O61">
        <f>IFERROR(INDEX('_courses_lookup'!$C:$C,MATCH(K61&amp;L61,'_courses_lookup'!$E:$E,0)),"")</f>
        <v/>
      </c>
      <c r="P61">
        <f>IFERROR(INDEX('_courses_lookup'!$D:$D,MATCH(K61&amp;L61,'_courses_lookup'!$E:$E,0)),"")</f>
        <v/>
      </c>
      <c r="AG61">
        <f>IF(AND(AE61&lt;&gt;"",AF61&lt;&gt;""),ROUNDUP((AF61-AE61)/7,0),"")</f>
        <v/>
      </c>
      <c r="AI61">
        <f>IFERROR(IF(AG61*AH61=0,"",AG61*AH61),"")</f>
        <v/>
      </c>
      <c r="AL61">
        <f>IF(AND(AJ61&lt;&gt;"",AK61&lt;&gt;""),ROUNDUP((AK61-AJ61)/7,0),"")</f>
        <v/>
      </c>
      <c r="AN61">
        <f>IFERROR(IF(AL61*AM61=0,"",AL61*AM61),"")</f>
        <v/>
      </c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L61">
        <f>IFERROR(INDEX('_names_lookup'!$C:$C,MATCH(BK61,'_names_lookup'!$A:$A,0)),"")</f>
        <v/>
      </c>
      <c r="BM61">
        <f>IFERROR(INDEX('_names_lookup'!$B:$B,MATCH(BK61,'_names_lookup'!$A:$A,0)),"")</f>
        <v/>
      </c>
      <c r="BS61">
        <f>IFERROR(IF(BR61*AA61=0,"",BR61*AA61),"")</f>
        <v/>
      </c>
    </row>
    <row r="62">
      <c r="O62">
        <f>IFERROR(INDEX('_courses_lookup'!$C:$C,MATCH(K62&amp;L62,'_courses_lookup'!$E:$E,0)),"")</f>
        <v/>
      </c>
      <c r="P62">
        <f>IFERROR(INDEX('_courses_lookup'!$D:$D,MATCH(K62&amp;L62,'_courses_lookup'!$E:$E,0)),"")</f>
        <v/>
      </c>
      <c r="AG62">
        <f>IF(AND(AE62&lt;&gt;"",AF62&lt;&gt;""),ROUNDUP((AF62-AE62)/7,0),"")</f>
        <v/>
      </c>
      <c r="AI62">
        <f>IFERROR(IF(AG62*AH62=0,"",AG62*AH62),"")</f>
        <v/>
      </c>
      <c r="AL62">
        <f>IF(AND(AJ62&lt;&gt;"",AK62&lt;&gt;""),ROUNDUP((AK62-AJ62)/7,0),"")</f>
        <v/>
      </c>
      <c r="AN62">
        <f>IFERROR(IF(AL62*AM62=0,"",AL62*AM62),"")</f>
        <v/>
      </c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L62">
        <f>IFERROR(INDEX('_names_lookup'!$C:$C,MATCH(BK62,'_names_lookup'!$A:$A,0)),"")</f>
        <v/>
      </c>
      <c r="BM62">
        <f>IFERROR(INDEX('_names_lookup'!$B:$B,MATCH(BK62,'_names_lookup'!$A:$A,0)),"")</f>
        <v/>
      </c>
      <c r="BS62">
        <f>IFERROR(IF(BR62*AA62=0,"",BR62*AA62),"")</f>
        <v/>
      </c>
    </row>
    <row r="63">
      <c r="O63">
        <f>IFERROR(INDEX('_courses_lookup'!$C:$C,MATCH(K63&amp;L63,'_courses_lookup'!$E:$E,0)),"")</f>
        <v/>
      </c>
      <c r="P63">
        <f>IFERROR(INDEX('_courses_lookup'!$D:$D,MATCH(K63&amp;L63,'_courses_lookup'!$E:$E,0)),"")</f>
        <v/>
      </c>
      <c r="AG63">
        <f>IF(AND(AE63&lt;&gt;"",AF63&lt;&gt;""),ROUNDUP((AF63-AE63)/7,0),"")</f>
        <v/>
      </c>
      <c r="AI63">
        <f>IFERROR(IF(AG63*AH63=0,"",AG63*AH63),"")</f>
        <v/>
      </c>
      <c r="AL63">
        <f>IF(AND(AJ63&lt;&gt;"",AK63&lt;&gt;""),ROUNDUP((AK63-AJ63)/7,0),"")</f>
        <v/>
      </c>
      <c r="AN63">
        <f>IFERROR(IF(AL63*AM63=0,"",AL63*AM63),"")</f>
        <v/>
      </c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L63">
        <f>IFERROR(INDEX('_names_lookup'!$C:$C,MATCH(BK63,'_names_lookup'!$A:$A,0)),"")</f>
        <v/>
      </c>
      <c r="BM63">
        <f>IFERROR(INDEX('_names_lookup'!$B:$B,MATCH(BK63,'_names_lookup'!$A:$A,0)),"")</f>
        <v/>
      </c>
      <c r="BS63">
        <f>IFERROR(IF(BR63*AA63=0,"",BR63*AA63),"")</f>
        <v/>
      </c>
    </row>
    <row r="64">
      <c r="O64">
        <f>IFERROR(INDEX('_courses_lookup'!$C:$C,MATCH(K64&amp;L64,'_courses_lookup'!$E:$E,0)),"")</f>
        <v/>
      </c>
      <c r="P64">
        <f>IFERROR(INDEX('_courses_lookup'!$D:$D,MATCH(K64&amp;L64,'_courses_lookup'!$E:$E,0)),"")</f>
        <v/>
      </c>
      <c r="AG64">
        <f>IF(AND(AE64&lt;&gt;"",AF64&lt;&gt;""),ROUNDUP((AF64-AE64)/7,0),"")</f>
        <v/>
      </c>
      <c r="AI64">
        <f>IFERROR(IF(AG64*AH64=0,"",AG64*AH64),"")</f>
        <v/>
      </c>
      <c r="AL64">
        <f>IF(AND(AJ64&lt;&gt;"",AK64&lt;&gt;""),ROUNDUP((AK64-AJ64)/7,0),"")</f>
        <v/>
      </c>
      <c r="AN64">
        <f>IFERROR(IF(AL64*AM64=0,"",AL64*AM64),"")</f>
        <v/>
      </c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L64">
        <f>IFERROR(INDEX('_names_lookup'!$C:$C,MATCH(BK64,'_names_lookup'!$A:$A,0)),"")</f>
        <v/>
      </c>
      <c r="BM64">
        <f>IFERROR(INDEX('_names_lookup'!$B:$B,MATCH(BK64,'_names_lookup'!$A:$A,0)),"")</f>
        <v/>
      </c>
      <c r="BS64">
        <f>IFERROR(IF(BR64*AA64=0,"",BR64*AA64),"")</f>
        <v/>
      </c>
    </row>
    <row r="65">
      <c r="O65">
        <f>IFERROR(INDEX('_courses_lookup'!$C:$C,MATCH(K65&amp;L65,'_courses_lookup'!$E:$E,0)),"")</f>
        <v/>
      </c>
      <c r="P65">
        <f>IFERROR(INDEX('_courses_lookup'!$D:$D,MATCH(K65&amp;L65,'_courses_lookup'!$E:$E,0)),"")</f>
        <v/>
      </c>
      <c r="AG65">
        <f>IF(AND(AE65&lt;&gt;"",AF65&lt;&gt;""),ROUNDUP((AF65-AE65)/7,0),"")</f>
        <v/>
      </c>
      <c r="AI65">
        <f>IFERROR(IF(AG65*AH65=0,"",AG65*AH65),"")</f>
        <v/>
      </c>
      <c r="AL65">
        <f>IF(AND(AJ65&lt;&gt;"",AK65&lt;&gt;""),ROUNDUP((AK65-AJ65)/7,0),"")</f>
        <v/>
      </c>
      <c r="AN65">
        <f>IFERROR(IF(AL65*AM65=0,"",AL65*AM65),"")</f>
        <v/>
      </c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L65">
        <f>IFERROR(INDEX('_names_lookup'!$C:$C,MATCH(BK65,'_names_lookup'!$A:$A,0)),"")</f>
        <v/>
      </c>
      <c r="BM65">
        <f>IFERROR(INDEX('_names_lookup'!$B:$B,MATCH(BK65,'_names_lookup'!$A:$A,0)),"")</f>
        <v/>
      </c>
      <c r="BS65">
        <f>IFERROR(IF(BR65*AA65=0,"",BR65*AA65),"")</f>
        <v/>
      </c>
    </row>
    <row r="66">
      <c r="O66">
        <f>IFERROR(INDEX('_courses_lookup'!$C:$C,MATCH(K66&amp;L66,'_courses_lookup'!$E:$E,0)),"")</f>
        <v/>
      </c>
      <c r="P66">
        <f>IFERROR(INDEX('_courses_lookup'!$D:$D,MATCH(K66&amp;L66,'_courses_lookup'!$E:$E,0)),"")</f>
        <v/>
      </c>
      <c r="AG66">
        <f>IF(AND(AE66&lt;&gt;"",AF66&lt;&gt;""),ROUNDUP((AF66-AE66)/7,0),"")</f>
        <v/>
      </c>
      <c r="AI66">
        <f>IFERROR(IF(AG66*AH66=0,"",AG66*AH66),"")</f>
        <v/>
      </c>
      <c r="AL66">
        <f>IF(AND(AJ66&lt;&gt;"",AK66&lt;&gt;""),ROUNDUP((AK66-AJ66)/7,0),"")</f>
        <v/>
      </c>
      <c r="AN66">
        <f>IFERROR(IF(AL66*AM66=0,"",AL66*AM66),"")</f>
        <v/>
      </c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L66">
        <f>IFERROR(INDEX('_names_lookup'!$C:$C,MATCH(BK66,'_names_lookup'!$A:$A,0)),"")</f>
        <v/>
      </c>
      <c r="BM66">
        <f>IFERROR(INDEX('_names_lookup'!$B:$B,MATCH(BK66,'_names_lookup'!$A:$A,0)),"")</f>
        <v/>
      </c>
      <c r="BS66">
        <f>IFERROR(IF(BR66*AA66=0,"",BR66*AA66),"")</f>
        <v/>
      </c>
    </row>
    <row r="67">
      <c r="O67">
        <f>IFERROR(INDEX('_courses_lookup'!$C:$C,MATCH(K67&amp;L67,'_courses_lookup'!$E:$E,0)),"")</f>
        <v/>
      </c>
      <c r="P67">
        <f>IFERROR(INDEX('_courses_lookup'!$D:$D,MATCH(K67&amp;L67,'_courses_lookup'!$E:$E,0)),"")</f>
        <v/>
      </c>
      <c r="AG67">
        <f>IF(AND(AE67&lt;&gt;"",AF67&lt;&gt;""),ROUNDUP((AF67-AE67)/7,0),"")</f>
        <v/>
      </c>
      <c r="AI67">
        <f>IFERROR(IF(AG67*AH67=0,"",AG67*AH67),"")</f>
        <v/>
      </c>
      <c r="AL67">
        <f>IF(AND(AJ67&lt;&gt;"",AK67&lt;&gt;""),ROUNDUP((AK67-AJ67)/7,0),"")</f>
        <v/>
      </c>
      <c r="AN67">
        <f>IFERROR(IF(AL67*AM67=0,"",AL67*AM67),"")</f>
        <v/>
      </c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L67">
        <f>IFERROR(INDEX('_names_lookup'!$C:$C,MATCH(BK67,'_names_lookup'!$A:$A,0)),"")</f>
        <v/>
      </c>
      <c r="BM67">
        <f>IFERROR(INDEX('_names_lookup'!$B:$B,MATCH(BK67,'_names_lookup'!$A:$A,0)),"")</f>
        <v/>
      </c>
      <c r="BS67">
        <f>IFERROR(IF(BR67*AA67=0,"",BR67*AA67),"")</f>
        <v/>
      </c>
    </row>
    <row r="68">
      <c r="O68">
        <f>IFERROR(INDEX('_courses_lookup'!$C:$C,MATCH(K68&amp;L68,'_courses_lookup'!$E:$E,0)),"")</f>
        <v/>
      </c>
      <c r="P68">
        <f>IFERROR(INDEX('_courses_lookup'!$D:$D,MATCH(K68&amp;L68,'_courses_lookup'!$E:$E,0)),"")</f>
        <v/>
      </c>
      <c r="AG68">
        <f>IF(AND(AE68&lt;&gt;"",AF68&lt;&gt;""),ROUNDUP((AF68-AE68)/7,0),"")</f>
        <v/>
      </c>
      <c r="AI68">
        <f>IFERROR(IF(AG68*AH68=0,"",AG68*AH68),"")</f>
        <v/>
      </c>
      <c r="AL68">
        <f>IF(AND(AJ68&lt;&gt;"",AK68&lt;&gt;""),ROUNDUP((AK68-AJ68)/7,0),"")</f>
        <v/>
      </c>
      <c r="AN68">
        <f>IFERROR(IF(AL68*AM68=0,"",AL68*AM68),"")</f>
        <v/>
      </c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L68">
        <f>IFERROR(INDEX('_names_lookup'!$C:$C,MATCH(BK68,'_names_lookup'!$A:$A,0)),"")</f>
        <v/>
      </c>
      <c r="BM68">
        <f>IFERROR(INDEX('_names_lookup'!$B:$B,MATCH(BK68,'_names_lookup'!$A:$A,0)),"")</f>
        <v/>
      </c>
      <c r="BS68">
        <f>IFERROR(IF(BR68*AA68=0,"",BR68*AA68),"")</f>
        <v/>
      </c>
    </row>
    <row r="69">
      <c r="O69">
        <f>IFERROR(INDEX('_courses_lookup'!$C:$C,MATCH(K69&amp;L69,'_courses_lookup'!$E:$E,0)),"")</f>
        <v/>
      </c>
      <c r="P69">
        <f>IFERROR(INDEX('_courses_lookup'!$D:$D,MATCH(K69&amp;L69,'_courses_lookup'!$E:$E,0)),"")</f>
        <v/>
      </c>
      <c r="AG69">
        <f>IF(AND(AE69&lt;&gt;"",AF69&lt;&gt;""),ROUNDUP((AF69-AE69)/7,0),"")</f>
        <v/>
      </c>
      <c r="AI69">
        <f>IFERROR(IF(AG69*AH69=0,"",AG69*AH69),"")</f>
        <v/>
      </c>
      <c r="AL69">
        <f>IF(AND(AJ69&lt;&gt;"",AK69&lt;&gt;""),ROUNDUP((AK69-AJ69)/7,0),"")</f>
        <v/>
      </c>
      <c r="AN69">
        <f>IFERROR(IF(AL69*AM69=0,"",AL69*AM69),"")</f>
        <v/>
      </c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L69">
        <f>IFERROR(INDEX('_names_lookup'!$C:$C,MATCH(BK69,'_names_lookup'!$A:$A,0)),"")</f>
        <v/>
      </c>
      <c r="BM69">
        <f>IFERROR(INDEX('_names_lookup'!$B:$B,MATCH(BK69,'_names_lookup'!$A:$A,0)),"")</f>
        <v/>
      </c>
      <c r="BS69">
        <f>IFERROR(IF(BR69*AA69=0,"",BR69*AA69),"")</f>
        <v/>
      </c>
    </row>
    <row r="70">
      <c r="O70">
        <f>IFERROR(INDEX('_courses_lookup'!$C:$C,MATCH(K70&amp;L70,'_courses_lookup'!$E:$E,0)),"")</f>
        <v/>
      </c>
      <c r="P70">
        <f>IFERROR(INDEX('_courses_lookup'!$D:$D,MATCH(K70&amp;L70,'_courses_lookup'!$E:$E,0)),"")</f>
        <v/>
      </c>
      <c r="AG70">
        <f>IF(AND(AE70&lt;&gt;"",AF70&lt;&gt;""),ROUNDUP((AF70-AE70)/7,0),"")</f>
        <v/>
      </c>
      <c r="AI70">
        <f>IFERROR(IF(AG70*AH70=0,"",AG70*AH70),"")</f>
        <v/>
      </c>
      <c r="AL70">
        <f>IF(AND(AJ70&lt;&gt;"",AK70&lt;&gt;""),ROUNDUP((AK70-AJ70)/7,0),"")</f>
        <v/>
      </c>
      <c r="AN70">
        <f>IFERROR(IF(AL70*AM70=0,"",AL70*AM70),"")</f>
        <v/>
      </c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L70">
        <f>IFERROR(INDEX('_names_lookup'!$C:$C,MATCH(BK70,'_names_lookup'!$A:$A,0)),"")</f>
        <v/>
      </c>
      <c r="BM70">
        <f>IFERROR(INDEX('_names_lookup'!$B:$B,MATCH(BK70,'_names_lookup'!$A:$A,0)),"")</f>
        <v/>
      </c>
      <c r="BS70">
        <f>IFERROR(IF(BR70*AA70=0,"",BR70*AA70),"")</f>
        <v/>
      </c>
    </row>
    <row r="71">
      <c r="O71">
        <f>IFERROR(INDEX('_courses_lookup'!$C:$C,MATCH(K71&amp;L71,'_courses_lookup'!$E:$E,0)),"")</f>
        <v/>
      </c>
      <c r="P71">
        <f>IFERROR(INDEX('_courses_lookup'!$D:$D,MATCH(K71&amp;L71,'_courses_lookup'!$E:$E,0)),"")</f>
        <v/>
      </c>
      <c r="AG71">
        <f>IF(AND(AE71&lt;&gt;"",AF71&lt;&gt;""),ROUNDUP((AF71-AE71)/7,0),"")</f>
        <v/>
      </c>
      <c r="AI71">
        <f>IFERROR(IF(AG71*AH71=0,"",AG71*AH71),"")</f>
        <v/>
      </c>
      <c r="AL71">
        <f>IF(AND(AJ71&lt;&gt;"",AK71&lt;&gt;""),ROUNDUP((AK71-AJ71)/7,0),"")</f>
        <v/>
      </c>
      <c r="AN71">
        <f>IFERROR(IF(AL71*AM71=0,"",AL71*AM71),"")</f>
        <v/>
      </c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L71">
        <f>IFERROR(INDEX('_names_lookup'!$C:$C,MATCH(BK71,'_names_lookup'!$A:$A,0)),"")</f>
        <v/>
      </c>
      <c r="BM71">
        <f>IFERROR(INDEX('_names_lookup'!$B:$B,MATCH(BK71,'_names_lookup'!$A:$A,0)),"")</f>
        <v/>
      </c>
      <c r="BS71">
        <f>IFERROR(IF(BR71*AA71=0,"",BR71*AA71),"")</f>
        <v/>
      </c>
    </row>
    <row r="72">
      <c r="O72">
        <f>IFERROR(INDEX('_courses_lookup'!$C:$C,MATCH(K72&amp;L72,'_courses_lookup'!$E:$E,0)),"")</f>
        <v/>
      </c>
      <c r="P72">
        <f>IFERROR(INDEX('_courses_lookup'!$D:$D,MATCH(K72&amp;L72,'_courses_lookup'!$E:$E,0)),"")</f>
        <v/>
      </c>
      <c r="AG72">
        <f>IF(AND(AE72&lt;&gt;"",AF72&lt;&gt;""),ROUNDUP((AF72-AE72)/7,0),"")</f>
        <v/>
      </c>
      <c r="AI72">
        <f>IFERROR(IF(AG72*AH72=0,"",AG72*AH72),"")</f>
        <v/>
      </c>
      <c r="AL72">
        <f>IF(AND(AJ72&lt;&gt;"",AK72&lt;&gt;""),ROUNDUP((AK72-AJ72)/7,0),"")</f>
        <v/>
      </c>
      <c r="AN72">
        <f>IFERROR(IF(AL72*AM72=0,"",AL72*AM72),"")</f>
        <v/>
      </c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L72">
        <f>IFERROR(INDEX('_names_lookup'!$C:$C,MATCH(BK72,'_names_lookup'!$A:$A,0)),"")</f>
        <v/>
      </c>
      <c r="BM72">
        <f>IFERROR(INDEX('_names_lookup'!$B:$B,MATCH(BK72,'_names_lookup'!$A:$A,0)),"")</f>
        <v/>
      </c>
      <c r="BS72">
        <f>IFERROR(IF(BR72*AA72=0,"",BR72*AA72),"")</f>
        <v/>
      </c>
    </row>
    <row r="73">
      <c r="O73">
        <f>IFERROR(INDEX('_courses_lookup'!$C:$C,MATCH(K73&amp;L73,'_courses_lookup'!$E:$E,0)),"")</f>
        <v/>
      </c>
      <c r="P73">
        <f>IFERROR(INDEX('_courses_lookup'!$D:$D,MATCH(K73&amp;L73,'_courses_lookup'!$E:$E,0)),"")</f>
        <v/>
      </c>
      <c r="AG73">
        <f>IF(AND(AE73&lt;&gt;"",AF73&lt;&gt;""),ROUNDUP((AF73-AE73)/7,0),"")</f>
        <v/>
      </c>
      <c r="AI73">
        <f>IFERROR(IF(AG73*AH73=0,"",AG73*AH73),"")</f>
        <v/>
      </c>
      <c r="AL73">
        <f>IF(AND(AJ73&lt;&gt;"",AK73&lt;&gt;""),ROUNDUP((AK73-AJ73)/7,0),"")</f>
        <v/>
      </c>
      <c r="AN73">
        <f>IFERROR(IF(AL73*AM73=0,"",AL73*AM73),"")</f>
        <v/>
      </c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L73">
        <f>IFERROR(INDEX('_names_lookup'!$C:$C,MATCH(BK73,'_names_lookup'!$A:$A,0)),"")</f>
        <v/>
      </c>
      <c r="BM73">
        <f>IFERROR(INDEX('_names_lookup'!$B:$B,MATCH(BK73,'_names_lookup'!$A:$A,0)),"")</f>
        <v/>
      </c>
      <c r="BS73">
        <f>IFERROR(IF(BR73*AA73=0,"",BR73*AA73),"")</f>
        <v/>
      </c>
    </row>
    <row r="74">
      <c r="O74">
        <f>IFERROR(INDEX('_courses_lookup'!$C:$C,MATCH(K74&amp;L74,'_courses_lookup'!$E:$E,0)),"")</f>
        <v/>
      </c>
      <c r="P74">
        <f>IFERROR(INDEX('_courses_lookup'!$D:$D,MATCH(K74&amp;L74,'_courses_lookup'!$E:$E,0)),"")</f>
        <v/>
      </c>
      <c r="AG74">
        <f>IF(AND(AE74&lt;&gt;"",AF74&lt;&gt;""),ROUNDUP((AF74-AE74)/7,0),"")</f>
        <v/>
      </c>
      <c r="AI74">
        <f>IFERROR(IF(AG74*AH74=0,"",AG74*AH74),"")</f>
        <v/>
      </c>
      <c r="AL74">
        <f>IF(AND(AJ74&lt;&gt;"",AK74&lt;&gt;""),ROUNDUP((AK74-AJ74)/7,0),"")</f>
        <v/>
      </c>
      <c r="AN74">
        <f>IFERROR(IF(AL74*AM74=0,"",AL74*AM74),"")</f>
        <v/>
      </c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L74">
        <f>IFERROR(INDEX('_names_lookup'!$C:$C,MATCH(BK74,'_names_lookup'!$A:$A,0)),"")</f>
        <v/>
      </c>
      <c r="BM74">
        <f>IFERROR(INDEX('_names_lookup'!$B:$B,MATCH(BK74,'_names_lookup'!$A:$A,0)),"")</f>
        <v/>
      </c>
      <c r="BS74">
        <f>IFERROR(IF(BR74*AA74=0,"",BR74*AA74),"")</f>
        <v/>
      </c>
    </row>
    <row r="75">
      <c r="O75">
        <f>IFERROR(INDEX('_courses_lookup'!$C:$C,MATCH(K75&amp;L75,'_courses_lookup'!$E:$E,0)),"")</f>
        <v/>
      </c>
      <c r="P75">
        <f>IFERROR(INDEX('_courses_lookup'!$D:$D,MATCH(K75&amp;L75,'_courses_lookup'!$E:$E,0)),"")</f>
        <v/>
      </c>
      <c r="AG75">
        <f>IF(AND(AE75&lt;&gt;"",AF75&lt;&gt;""),ROUNDUP((AF75-AE75)/7,0),"")</f>
        <v/>
      </c>
      <c r="AI75">
        <f>IFERROR(IF(AG75*AH75=0,"",AG75*AH75),"")</f>
        <v/>
      </c>
      <c r="AL75">
        <f>IF(AND(AJ75&lt;&gt;"",AK75&lt;&gt;""),ROUNDUP((AK75-AJ75)/7,0),"")</f>
        <v/>
      </c>
      <c r="AN75">
        <f>IFERROR(IF(AL75*AM75=0,"",AL75*AM75),"")</f>
        <v/>
      </c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L75">
        <f>IFERROR(INDEX('_names_lookup'!$C:$C,MATCH(BK75,'_names_lookup'!$A:$A,0)),"")</f>
        <v/>
      </c>
      <c r="BM75">
        <f>IFERROR(INDEX('_names_lookup'!$B:$B,MATCH(BK75,'_names_lookup'!$A:$A,0)),"")</f>
        <v/>
      </c>
      <c r="BS75">
        <f>IFERROR(IF(BR75*AA75=0,"",BR75*AA75),"")</f>
        <v/>
      </c>
    </row>
    <row r="76">
      <c r="O76">
        <f>IFERROR(INDEX('_courses_lookup'!$C:$C,MATCH(K76&amp;L76,'_courses_lookup'!$E:$E,0)),"")</f>
        <v/>
      </c>
      <c r="P76">
        <f>IFERROR(INDEX('_courses_lookup'!$D:$D,MATCH(K76&amp;L76,'_courses_lookup'!$E:$E,0)),"")</f>
        <v/>
      </c>
      <c r="AG76">
        <f>IF(AND(AE76&lt;&gt;"",AF76&lt;&gt;""),ROUNDUP((AF76-AE76)/7,0),"")</f>
        <v/>
      </c>
      <c r="AI76">
        <f>IFERROR(IF(AG76*AH76=0,"",AG76*AH76),"")</f>
        <v/>
      </c>
      <c r="AL76">
        <f>IF(AND(AJ76&lt;&gt;"",AK76&lt;&gt;""),ROUNDUP((AK76-AJ76)/7,0),"")</f>
        <v/>
      </c>
      <c r="AN76">
        <f>IFERROR(IF(AL76*AM76=0,"",AL76*AM76),"")</f>
        <v/>
      </c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L76">
        <f>IFERROR(INDEX('_names_lookup'!$C:$C,MATCH(BK76,'_names_lookup'!$A:$A,0)),"")</f>
        <v/>
      </c>
      <c r="BM76">
        <f>IFERROR(INDEX('_names_lookup'!$B:$B,MATCH(BK76,'_names_lookup'!$A:$A,0)),"")</f>
        <v/>
      </c>
      <c r="BS76">
        <f>IFERROR(IF(BR76*AA76=0,"",BR76*AA76),"")</f>
        <v/>
      </c>
    </row>
    <row r="77">
      <c r="O77">
        <f>IFERROR(INDEX('_courses_lookup'!$C:$C,MATCH(K77&amp;L77,'_courses_lookup'!$E:$E,0)),"")</f>
        <v/>
      </c>
      <c r="P77">
        <f>IFERROR(INDEX('_courses_lookup'!$D:$D,MATCH(K77&amp;L77,'_courses_lookup'!$E:$E,0)),"")</f>
        <v/>
      </c>
      <c r="AG77">
        <f>IF(AND(AE77&lt;&gt;"",AF77&lt;&gt;""),ROUNDUP((AF77-AE77)/7,0),"")</f>
        <v/>
      </c>
      <c r="AI77">
        <f>IFERROR(IF(AG77*AH77=0,"",AG77*AH77),"")</f>
        <v/>
      </c>
      <c r="AL77">
        <f>IF(AND(AJ77&lt;&gt;"",AK77&lt;&gt;""),ROUNDUP((AK77-AJ77)/7,0),"")</f>
        <v/>
      </c>
      <c r="AN77">
        <f>IFERROR(IF(AL77*AM77=0,"",AL77*AM77),"")</f>
        <v/>
      </c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L77">
        <f>IFERROR(INDEX('_names_lookup'!$C:$C,MATCH(BK77,'_names_lookup'!$A:$A,0)),"")</f>
        <v/>
      </c>
      <c r="BM77">
        <f>IFERROR(INDEX('_names_lookup'!$B:$B,MATCH(BK77,'_names_lookup'!$A:$A,0)),"")</f>
        <v/>
      </c>
      <c r="BS77">
        <f>IFERROR(IF(BR77*AA77=0,"",BR77*AA77),"")</f>
        <v/>
      </c>
    </row>
    <row r="78">
      <c r="O78">
        <f>IFERROR(INDEX('_courses_lookup'!$C:$C,MATCH(K78&amp;L78,'_courses_lookup'!$E:$E,0)),"")</f>
        <v/>
      </c>
      <c r="P78">
        <f>IFERROR(INDEX('_courses_lookup'!$D:$D,MATCH(K78&amp;L78,'_courses_lookup'!$E:$E,0)),"")</f>
        <v/>
      </c>
      <c r="AG78">
        <f>IF(AND(AE78&lt;&gt;"",AF78&lt;&gt;""),ROUNDUP((AF78-AE78)/7,0),"")</f>
        <v/>
      </c>
      <c r="AI78">
        <f>IFERROR(IF(AG78*AH78=0,"",AG78*AH78),"")</f>
        <v/>
      </c>
      <c r="AL78">
        <f>IF(AND(AJ78&lt;&gt;"",AK78&lt;&gt;""),ROUNDUP((AK78-AJ78)/7,0),"")</f>
        <v/>
      </c>
      <c r="AN78">
        <f>IFERROR(IF(AL78*AM78=0,"",AL78*AM78),"")</f>
        <v/>
      </c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L78">
        <f>IFERROR(INDEX('_names_lookup'!$C:$C,MATCH(BK78,'_names_lookup'!$A:$A,0)),"")</f>
        <v/>
      </c>
      <c r="BM78">
        <f>IFERROR(INDEX('_names_lookup'!$B:$B,MATCH(BK78,'_names_lookup'!$A:$A,0)),"")</f>
        <v/>
      </c>
      <c r="BS78">
        <f>IFERROR(IF(BR78*AA78=0,"",BR78*AA78),"")</f>
        <v/>
      </c>
    </row>
    <row r="79">
      <c r="O79">
        <f>IFERROR(INDEX('_courses_lookup'!$C:$C,MATCH(K79&amp;L79,'_courses_lookup'!$E:$E,0)),"")</f>
        <v/>
      </c>
      <c r="P79">
        <f>IFERROR(INDEX('_courses_lookup'!$D:$D,MATCH(K79&amp;L79,'_courses_lookup'!$E:$E,0)),"")</f>
        <v/>
      </c>
      <c r="AG79">
        <f>IF(AND(AE79&lt;&gt;"",AF79&lt;&gt;""),ROUNDUP((AF79-AE79)/7,0),"")</f>
        <v/>
      </c>
      <c r="AI79">
        <f>IFERROR(IF(AG79*AH79=0,"",AG79*AH79),"")</f>
        <v/>
      </c>
      <c r="AL79">
        <f>IF(AND(AJ79&lt;&gt;"",AK79&lt;&gt;""),ROUNDUP((AK79-AJ79)/7,0),"")</f>
        <v/>
      </c>
      <c r="AN79">
        <f>IFERROR(IF(AL79*AM79=0,"",AL79*AM79),"")</f>
        <v/>
      </c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L79">
        <f>IFERROR(INDEX('_names_lookup'!$C:$C,MATCH(BK79,'_names_lookup'!$A:$A,0)),"")</f>
        <v/>
      </c>
      <c r="BM79">
        <f>IFERROR(INDEX('_names_lookup'!$B:$B,MATCH(BK79,'_names_lookup'!$A:$A,0)),"")</f>
        <v/>
      </c>
      <c r="BS79">
        <f>IFERROR(IF(BR79*AA79=0,"",BR79*AA79),"")</f>
        <v/>
      </c>
    </row>
    <row r="80">
      <c r="O80">
        <f>IFERROR(INDEX('_courses_lookup'!$C:$C,MATCH(K80&amp;L80,'_courses_lookup'!$E:$E,0)),"")</f>
        <v/>
      </c>
      <c r="P80">
        <f>IFERROR(INDEX('_courses_lookup'!$D:$D,MATCH(K80&amp;L80,'_courses_lookup'!$E:$E,0)),"")</f>
        <v/>
      </c>
      <c r="AG80">
        <f>IF(AND(AE80&lt;&gt;"",AF80&lt;&gt;""),ROUNDUP((AF80-AE80)/7,0),"")</f>
        <v/>
      </c>
      <c r="AI80">
        <f>IFERROR(IF(AG80*AH80=0,"",AG80*AH80),"")</f>
        <v/>
      </c>
      <c r="AL80">
        <f>IF(AND(AJ80&lt;&gt;"",AK80&lt;&gt;""),ROUNDUP((AK80-AJ80)/7,0),"")</f>
        <v/>
      </c>
      <c r="AN80">
        <f>IFERROR(IF(AL80*AM80=0,"",AL80*AM80),"")</f>
        <v/>
      </c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L80">
        <f>IFERROR(INDEX('_names_lookup'!$C:$C,MATCH(BK80,'_names_lookup'!$A:$A,0)),"")</f>
        <v/>
      </c>
      <c r="BM80">
        <f>IFERROR(INDEX('_names_lookup'!$B:$B,MATCH(BK80,'_names_lookup'!$A:$A,0)),"")</f>
        <v/>
      </c>
      <c r="BS80">
        <f>IFERROR(IF(BR80*AA80=0,"",BR80*AA80),"")</f>
        <v/>
      </c>
    </row>
    <row r="81">
      <c r="O81">
        <f>IFERROR(INDEX('_courses_lookup'!$C:$C,MATCH(K81&amp;L81,'_courses_lookup'!$E:$E,0)),"")</f>
        <v/>
      </c>
      <c r="P81">
        <f>IFERROR(INDEX('_courses_lookup'!$D:$D,MATCH(K81&amp;L81,'_courses_lookup'!$E:$E,0)),"")</f>
        <v/>
      </c>
      <c r="AG81">
        <f>IF(AND(AE81&lt;&gt;"",AF81&lt;&gt;""),ROUNDUP((AF81-AE81)/7,0),"")</f>
        <v/>
      </c>
      <c r="AI81">
        <f>IFERROR(IF(AG81*AH81=0,"",AG81*AH81),"")</f>
        <v/>
      </c>
      <c r="AL81">
        <f>IF(AND(AJ81&lt;&gt;"",AK81&lt;&gt;""),ROUNDUP((AK81-AJ81)/7,0),"")</f>
        <v/>
      </c>
      <c r="AN81">
        <f>IFERROR(IF(AL81*AM81=0,"",AL81*AM81),"")</f>
        <v/>
      </c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L81">
        <f>IFERROR(INDEX('_names_lookup'!$C:$C,MATCH(BK81,'_names_lookup'!$A:$A,0)),"")</f>
        <v/>
      </c>
      <c r="BM81">
        <f>IFERROR(INDEX('_names_lookup'!$B:$B,MATCH(BK81,'_names_lookup'!$A:$A,0)),"")</f>
        <v/>
      </c>
      <c r="BS81">
        <f>IFERROR(IF(BR81*AA81=0,"",BR81*AA81),"")</f>
        <v/>
      </c>
    </row>
    <row r="82">
      <c r="O82">
        <f>IFERROR(INDEX('_courses_lookup'!$C:$C,MATCH(K82&amp;L82,'_courses_lookup'!$E:$E,0)),"")</f>
        <v/>
      </c>
      <c r="P82">
        <f>IFERROR(INDEX('_courses_lookup'!$D:$D,MATCH(K82&amp;L82,'_courses_lookup'!$E:$E,0)),"")</f>
        <v/>
      </c>
      <c r="AG82">
        <f>IF(AND(AE82&lt;&gt;"",AF82&lt;&gt;""),ROUNDUP((AF82-AE82)/7,0),"")</f>
        <v/>
      </c>
      <c r="AI82">
        <f>IFERROR(IF(AG82*AH82=0,"",AG82*AH82),"")</f>
        <v/>
      </c>
      <c r="AL82">
        <f>IF(AND(AJ82&lt;&gt;"",AK82&lt;&gt;""),ROUNDUP((AK82-AJ82)/7,0),"")</f>
        <v/>
      </c>
      <c r="AN82">
        <f>IFERROR(IF(AL82*AM82=0,"",AL82*AM82),"")</f>
        <v/>
      </c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L82">
        <f>IFERROR(INDEX('_names_lookup'!$C:$C,MATCH(BK82,'_names_lookup'!$A:$A,0)),"")</f>
        <v/>
      </c>
      <c r="BM82">
        <f>IFERROR(INDEX('_names_lookup'!$B:$B,MATCH(BK82,'_names_lookup'!$A:$A,0)),"")</f>
        <v/>
      </c>
      <c r="BS82">
        <f>IFERROR(IF(BR82*AA82=0,"",BR82*AA82),"")</f>
        <v/>
      </c>
    </row>
    <row r="83">
      <c r="O83">
        <f>IFERROR(INDEX('_courses_lookup'!$C:$C,MATCH(K83&amp;L83,'_courses_lookup'!$E:$E,0)),"")</f>
        <v/>
      </c>
      <c r="P83">
        <f>IFERROR(INDEX('_courses_lookup'!$D:$D,MATCH(K83&amp;L83,'_courses_lookup'!$E:$E,0)),"")</f>
        <v/>
      </c>
      <c r="AG83">
        <f>IF(AND(AE83&lt;&gt;"",AF83&lt;&gt;""),ROUNDUP((AF83-AE83)/7,0),"")</f>
        <v/>
      </c>
      <c r="AI83">
        <f>IFERROR(IF(AG83*AH83=0,"",AG83*AH83),"")</f>
        <v/>
      </c>
      <c r="AL83">
        <f>IF(AND(AJ83&lt;&gt;"",AK83&lt;&gt;""),ROUNDUP((AK83-AJ83)/7,0),"")</f>
        <v/>
      </c>
      <c r="AN83">
        <f>IFERROR(IF(AL83*AM83=0,"",AL83*AM83),"")</f>
        <v/>
      </c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L83">
        <f>IFERROR(INDEX('_names_lookup'!$C:$C,MATCH(BK83,'_names_lookup'!$A:$A,0)),"")</f>
        <v/>
      </c>
      <c r="BM83">
        <f>IFERROR(INDEX('_names_lookup'!$B:$B,MATCH(BK83,'_names_lookup'!$A:$A,0)),"")</f>
        <v/>
      </c>
      <c r="BS83">
        <f>IFERROR(IF(BR83*AA83=0,"",BR83*AA83),"")</f>
        <v/>
      </c>
    </row>
    <row r="84">
      <c r="O84">
        <f>IFERROR(INDEX('_courses_lookup'!$C:$C,MATCH(K84&amp;L84,'_courses_lookup'!$E:$E,0)),"")</f>
        <v/>
      </c>
      <c r="P84">
        <f>IFERROR(INDEX('_courses_lookup'!$D:$D,MATCH(K84&amp;L84,'_courses_lookup'!$E:$E,0)),"")</f>
        <v/>
      </c>
      <c r="AG84">
        <f>IF(AND(AE84&lt;&gt;"",AF84&lt;&gt;""),ROUNDUP((AF84-AE84)/7,0),"")</f>
        <v/>
      </c>
      <c r="AI84">
        <f>IFERROR(IF(AG84*AH84=0,"",AG84*AH84),"")</f>
        <v/>
      </c>
      <c r="AL84">
        <f>IF(AND(AJ84&lt;&gt;"",AK84&lt;&gt;""),ROUNDUP((AK84-AJ84)/7,0),"")</f>
        <v/>
      </c>
      <c r="AN84">
        <f>IFERROR(IF(AL84*AM84=0,"",AL84*AM84),"")</f>
        <v/>
      </c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L84">
        <f>IFERROR(INDEX('_names_lookup'!$C:$C,MATCH(BK84,'_names_lookup'!$A:$A,0)),"")</f>
        <v/>
      </c>
      <c r="BM84">
        <f>IFERROR(INDEX('_names_lookup'!$B:$B,MATCH(BK84,'_names_lookup'!$A:$A,0)),"")</f>
        <v/>
      </c>
      <c r="BS84">
        <f>IFERROR(IF(BR84*AA84=0,"",BR84*AA84),"")</f>
        <v/>
      </c>
    </row>
    <row r="85">
      <c r="O85">
        <f>IFERROR(INDEX('_courses_lookup'!$C:$C,MATCH(K85&amp;L85,'_courses_lookup'!$E:$E,0)),"")</f>
        <v/>
      </c>
      <c r="P85">
        <f>IFERROR(INDEX('_courses_lookup'!$D:$D,MATCH(K85&amp;L85,'_courses_lookup'!$E:$E,0)),"")</f>
        <v/>
      </c>
      <c r="AG85">
        <f>IF(AND(AE85&lt;&gt;"",AF85&lt;&gt;""),ROUNDUP((AF85-AE85)/7,0),"")</f>
        <v/>
      </c>
      <c r="AI85">
        <f>IFERROR(IF(AG85*AH85=0,"",AG85*AH85),"")</f>
        <v/>
      </c>
      <c r="AL85">
        <f>IF(AND(AJ85&lt;&gt;"",AK85&lt;&gt;""),ROUNDUP((AK85-AJ85)/7,0),"")</f>
        <v/>
      </c>
      <c r="AN85">
        <f>IFERROR(IF(AL85*AM85=0,"",AL85*AM85),"")</f>
        <v/>
      </c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L85">
        <f>IFERROR(INDEX('_names_lookup'!$C:$C,MATCH(BK85,'_names_lookup'!$A:$A,0)),"")</f>
        <v/>
      </c>
      <c r="BM85">
        <f>IFERROR(INDEX('_names_lookup'!$B:$B,MATCH(BK85,'_names_lookup'!$A:$A,0)),"")</f>
        <v/>
      </c>
      <c r="BS85">
        <f>IFERROR(IF(BR85*AA85=0,"",BR85*AA85),"")</f>
        <v/>
      </c>
    </row>
    <row r="86">
      <c r="O86">
        <f>IFERROR(INDEX('_courses_lookup'!$C:$C,MATCH(K86&amp;L86,'_courses_lookup'!$E:$E,0)),"")</f>
        <v/>
      </c>
      <c r="P86">
        <f>IFERROR(INDEX('_courses_lookup'!$D:$D,MATCH(K86&amp;L86,'_courses_lookup'!$E:$E,0)),"")</f>
        <v/>
      </c>
      <c r="AG86">
        <f>IF(AND(AE86&lt;&gt;"",AF86&lt;&gt;""),ROUNDUP((AF86-AE86)/7,0),"")</f>
        <v/>
      </c>
      <c r="AI86">
        <f>IFERROR(IF(AG86*AH86=0,"",AG86*AH86),"")</f>
        <v/>
      </c>
      <c r="AL86">
        <f>IF(AND(AJ86&lt;&gt;"",AK86&lt;&gt;""),ROUNDUP((AK86-AJ86)/7,0),"")</f>
        <v/>
      </c>
      <c r="AN86">
        <f>IFERROR(IF(AL86*AM86=0,"",AL86*AM86),"")</f>
        <v/>
      </c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L86">
        <f>IFERROR(INDEX('_names_lookup'!$C:$C,MATCH(BK86,'_names_lookup'!$A:$A,0)),"")</f>
        <v/>
      </c>
      <c r="BM86">
        <f>IFERROR(INDEX('_names_lookup'!$B:$B,MATCH(BK86,'_names_lookup'!$A:$A,0)),"")</f>
        <v/>
      </c>
      <c r="BS86">
        <f>IFERROR(IF(BR86*AA86=0,"",BR86*AA86),"")</f>
        <v/>
      </c>
    </row>
    <row r="87">
      <c r="O87">
        <f>IFERROR(INDEX('_courses_lookup'!$C:$C,MATCH(K87&amp;L87,'_courses_lookup'!$E:$E,0)),"")</f>
        <v/>
      </c>
      <c r="P87">
        <f>IFERROR(INDEX('_courses_lookup'!$D:$D,MATCH(K87&amp;L87,'_courses_lookup'!$E:$E,0)),"")</f>
        <v/>
      </c>
      <c r="AG87">
        <f>IF(AND(AE87&lt;&gt;"",AF87&lt;&gt;""),ROUNDUP((AF87-AE87)/7,0),"")</f>
        <v/>
      </c>
      <c r="AI87">
        <f>IFERROR(IF(AG87*AH87=0,"",AG87*AH87),"")</f>
        <v/>
      </c>
      <c r="AL87">
        <f>IF(AND(AJ87&lt;&gt;"",AK87&lt;&gt;""),ROUNDUP((AK87-AJ87)/7,0),"")</f>
        <v/>
      </c>
      <c r="AN87">
        <f>IFERROR(IF(AL87*AM87=0,"",AL87*AM87),"")</f>
        <v/>
      </c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L87">
        <f>IFERROR(INDEX('_names_lookup'!$C:$C,MATCH(BK87,'_names_lookup'!$A:$A,0)),"")</f>
        <v/>
      </c>
      <c r="BM87">
        <f>IFERROR(INDEX('_names_lookup'!$B:$B,MATCH(BK87,'_names_lookup'!$A:$A,0)),"")</f>
        <v/>
      </c>
      <c r="BS87">
        <f>IFERROR(IF(BR87*AA87=0,"",BR87*AA87),"")</f>
        <v/>
      </c>
    </row>
    <row r="88">
      <c r="O88">
        <f>IFERROR(INDEX('_courses_lookup'!$C:$C,MATCH(K88&amp;L88,'_courses_lookup'!$E:$E,0)),"")</f>
        <v/>
      </c>
      <c r="P88">
        <f>IFERROR(INDEX('_courses_lookup'!$D:$D,MATCH(K88&amp;L88,'_courses_lookup'!$E:$E,0)),"")</f>
        <v/>
      </c>
      <c r="AG88">
        <f>IF(AND(AE88&lt;&gt;"",AF88&lt;&gt;""),ROUNDUP((AF88-AE88)/7,0),"")</f>
        <v/>
      </c>
      <c r="AI88">
        <f>IFERROR(IF(AG88*AH88=0,"",AG88*AH88),"")</f>
        <v/>
      </c>
      <c r="AL88">
        <f>IF(AND(AJ88&lt;&gt;"",AK88&lt;&gt;""),ROUNDUP((AK88-AJ88)/7,0),"")</f>
        <v/>
      </c>
      <c r="AN88">
        <f>IFERROR(IF(AL88*AM88=0,"",AL88*AM88),"")</f>
        <v/>
      </c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L88">
        <f>IFERROR(INDEX('_names_lookup'!$C:$C,MATCH(BK88,'_names_lookup'!$A:$A,0)),"")</f>
        <v/>
      </c>
      <c r="BM88">
        <f>IFERROR(INDEX('_names_lookup'!$B:$B,MATCH(BK88,'_names_lookup'!$A:$A,0)),"")</f>
        <v/>
      </c>
      <c r="BS88">
        <f>IFERROR(IF(BR88*AA88=0,"",BR88*AA88),"")</f>
        <v/>
      </c>
    </row>
    <row r="89">
      <c r="O89">
        <f>IFERROR(INDEX('_courses_lookup'!$C:$C,MATCH(K89&amp;L89,'_courses_lookup'!$E:$E,0)),"")</f>
        <v/>
      </c>
      <c r="P89">
        <f>IFERROR(INDEX('_courses_lookup'!$D:$D,MATCH(K89&amp;L89,'_courses_lookup'!$E:$E,0)),"")</f>
        <v/>
      </c>
      <c r="AG89">
        <f>IF(AND(AE89&lt;&gt;"",AF89&lt;&gt;""),ROUNDUP((AF89-AE89)/7,0),"")</f>
        <v/>
      </c>
      <c r="AI89">
        <f>IFERROR(IF(AG89*AH89=0,"",AG89*AH89),"")</f>
        <v/>
      </c>
      <c r="AL89">
        <f>IF(AND(AJ89&lt;&gt;"",AK89&lt;&gt;""),ROUNDUP((AK89-AJ89)/7,0),"")</f>
        <v/>
      </c>
      <c r="AN89">
        <f>IFERROR(IF(AL89*AM89=0,"",AL89*AM89),"")</f>
        <v/>
      </c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L89">
        <f>IFERROR(INDEX('_names_lookup'!$C:$C,MATCH(BK89,'_names_lookup'!$A:$A,0)),"")</f>
        <v/>
      </c>
      <c r="BM89">
        <f>IFERROR(INDEX('_names_lookup'!$B:$B,MATCH(BK89,'_names_lookup'!$A:$A,0)),"")</f>
        <v/>
      </c>
      <c r="BS89">
        <f>IFERROR(IF(BR89*AA89=0,"",BR89*AA89),"")</f>
        <v/>
      </c>
    </row>
    <row r="90">
      <c r="O90">
        <f>IFERROR(INDEX('_courses_lookup'!$C:$C,MATCH(K90&amp;L90,'_courses_lookup'!$E:$E,0)),"")</f>
        <v/>
      </c>
      <c r="P90">
        <f>IFERROR(INDEX('_courses_lookup'!$D:$D,MATCH(K90&amp;L90,'_courses_lookup'!$E:$E,0)),"")</f>
        <v/>
      </c>
      <c r="AG90">
        <f>IF(AND(AE90&lt;&gt;"",AF90&lt;&gt;""),ROUNDUP((AF90-AE90)/7,0),"")</f>
        <v/>
      </c>
      <c r="AI90">
        <f>IFERROR(IF(AG90*AH90=0,"",AG90*AH90),"")</f>
        <v/>
      </c>
      <c r="AL90">
        <f>IF(AND(AJ90&lt;&gt;"",AK90&lt;&gt;""),ROUNDUP((AK90-AJ90)/7,0),"")</f>
        <v/>
      </c>
      <c r="AN90">
        <f>IFERROR(IF(AL90*AM90=0,"",AL90*AM90),"")</f>
        <v/>
      </c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L90">
        <f>IFERROR(INDEX('_names_lookup'!$C:$C,MATCH(BK90,'_names_lookup'!$A:$A,0)),"")</f>
        <v/>
      </c>
      <c r="BM90">
        <f>IFERROR(INDEX('_names_lookup'!$B:$B,MATCH(BK90,'_names_lookup'!$A:$A,0)),"")</f>
        <v/>
      </c>
      <c r="BS90">
        <f>IFERROR(IF(BR90*AA90=0,"",BR90*AA90),"")</f>
        <v/>
      </c>
    </row>
    <row r="91">
      <c r="O91">
        <f>IFERROR(INDEX('_courses_lookup'!$C:$C,MATCH(K91&amp;L91,'_courses_lookup'!$E:$E,0)),"")</f>
        <v/>
      </c>
      <c r="P91">
        <f>IFERROR(INDEX('_courses_lookup'!$D:$D,MATCH(K91&amp;L91,'_courses_lookup'!$E:$E,0)),"")</f>
        <v/>
      </c>
      <c r="AG91">
        <f>IF(AND(AE91&lt;&gt;"",AF91&lt;&gt;""),ROUNDUP((AF91-AE91)/7,0),"")</f>
        <v/>
      </c>
      <c r="AI91">
        <f>IFERROR(IF(AG91*AH91=0,"",AG91*AH91),"")</f>
        <v/>
      </c>
      <c r="AL91">
        <f>IF(AND(AJ91&lt;&gt;"",AK91&lt;&gt;""),ROUNDUP((AK91-AJ91)/7,0),"")</f>
        <v/>
      </c>
      <c r="AN91">
        <f>IFERROR(IF(AL91*AM91=0,"",AL91*AM91),"")</f>
        <v/>
      </c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L91">
        <f>IFERROR(INDEX('_names_lookup'!$C:$C,MATCH(BK91,'_names_lookup'!$A:$A,0)),"")</f>
        <v/>
      </c>
      <c r="BM91">
        <f>IFERROR(INDEX('_names_lookup'!$B:$B,MATCH(BK91,'_names_lookup'!$A:$A,0)),"")</f>
        <v/>
      </c>
      <c r="BS91">
        <f>IFERROR(IF(BR91*AA91=0,"",BR91*AA91),"")</f>
        <v/>
      </c>
    </row>
    <row r="92">
      <c r="O92">
        <f>IFERROR(INDEX('_courses_lookup'!$C:$C,MATCH(K92&amp;L92,'_courses_lookup'!$E:$E,0)),"")</f>
        <v/>
      </c>
      <c r="P92">
        <f>IFERROR(INDEX('_courses_lookup'!$D:$D,MATCH(K92&amp;L92,'_courses_lookup'!$E:$E,0)),"")</f>
        <v/>
      </c>
      <c r="AG92">
        <f>IF(AND(AE92&lt;&gt;"",AF92&lt;&gt;""),ROUNDUP((AF92-AE92)/7,0),"")</f>
        <v/>
      </c>
      <c r="AI92">
        <f>IFERROR(IF(AG92*AH92=0,"",AG92*AH92),"")</f>
        <v/>
      </c>
      <c r="AL92">
        <f>IF(AND(AJ92&lt;&gt;"",AK92&lt;&gt;""),ROUNDUP((AK92-AJ92)/7,0),"")</f>
        <v/>
      </c>
      <c r="AN92">
        <f>IFERROR(IF(AL92*AM92=0,"",AL92*AM92),"")</f>
        <v/>
      </c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L92">
        <f>IFERROR(INDEX('_names_lookup'!$C:$C,MATCH(BK92,'_names_lookup'!$A:$A,0)),"")</f>
        <v/>
      </c>
      <c r="BM92">
        <f>IFERROR(INDEX('_names_lookup'!$B:$B,MATCH(BK92,'_names_lookup'!$A:$A,0)),"")</f>
        <v/>
      </c>
      <c r="BS92">
        <f>IFERROR(IF(BR92*AA92=0,"",BR92*AA92),"")</f>
        <v/>
      </c>
    </row>
    <row r="93">
      <c r="O93">
        <f>IFERROR(INDEX('_courses_lookup'!$C:$C,MATCH(K93&amp;L93,'_courses_lookup'!$E:$E,0)),"")</f>
        <v/>
      </c>
      <c r="P93">
        <f>IFERROR(INDEX('_courses_lookup'!$D:$D,MATCH(K93&amp;L93,'_courses_lookup'!$E:$E,0)),"")</f>
        <v/>
      </c>
      <c r="AG93">
        <f>IF(AND(AE93&lt;&gt;"",AF93&lt;&gt;""),ROUNDUP((AF93-AE93)/7,0),"")</f>
        <v/>
      </c>
      <c r="AI93">
        <f>IFERROR(IF(AG93*AH93=0,"",AG93*AH93),"")</f>
        <v/>
      </c>
      <c r="AL93">
        <f>IF(AND(AJ93&lt;&gt;"",AK93&lt;&gt;""),ROUNDUP((AK93-AJ93)/7,0),"")</f>
        <v/>
      </c>
      <c r="AN93">
        <f>IFERROR(IF(AL93*AM93=0,"",AL93*AM93),"")</f>
        <v/>
      </c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L93">
        <f>IFERROR(INDEX('_names_lookup'!$C:$C,MATCH(BK93,'_names_lookup'!$A:$A,0)),"")</f>
        <v/>
      </c>
      <c r="BM93">
        <f>IFERROR(INDEX('_names_lookup'!$B:$B,MATCH(BK93,'_names_lookup'!$A:$A,0)),"")</f>
        <v/>
      </c>
      <c r="BS93">
        <f>IFERROR(IF(BR93*AA93=0,"",BR93*AA93),"")</f>
        <v/>
      </c>
    </row>
    <row r="94">
      <c r="O94">
        <f>IFERROR(INDEX('_courses_lookup'!$C:$C,MATCH(K94&amp;L94,'_courses_lookup'!$E:$E,0)),"")</f>
        <v/>
      </c>
      <c r="P94">
        <f>IFERROR(INDEX('_courses_lookup'!$D:$D,MATCH(K94&amp;L94,'_courses_lookup'!$E:$E,0)),"")</f>
        <v/>
      </c>
      <c r="AG94">
        <f>IF(AND(AE94&lt;&gt;"",AF94&lt;&gt;""),ROUNDUP((AF94-AE94)/7,0),"")</f>
        <v/>
      </c>
      <c r="AI94">
        <f>IFERROR(IF(AG94*AH94=0,"",AG94*AH94),"")</f>
        <v/>
      </c>
      <c r="AL94">
        <f>IF(AND(AJ94&lt;&gt;"",AK94&lt;&gt;""),ROUNDUP((AK94-AJ94)/7,0),"")</f>
        <v/>
      </c>
      <c r="AN94">
        <f>IFERROR(IF(AL94*AM94=0,"",AL94*AM94),"")</f>
        <v/>
      </c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L94">
        <f>IFERROR(INDEX('_names_lookup'!$C:$C,MATCH(BK94,'_names_lookup'!$A:$A,0)),"")</f>
        <v/>
      </c>
      <c r="BM94">
        <f>IFERROR(INDEX('_names_lookup'!$B:$B,MATCH(BK94,'_names_lookup'!$A:$A,0)),"")</f>
        <v/>
      </c>
      <c r="BS94">
        <f>IFERROR(IF(BR94*AA94=0,"",BR94*AA94),"")</f>
        <v/>
      </c>
    </row>
    <row r="95">
      <c r="O95">
        <f>IFERROR(INDEX('_courses_lookup'!$C:$C,MATCH(K95&amp;L95,'_courses_lookup'!$E:$E,0)),"")</f>
        <v/>
      </c>
      <c r="P95">
        <f>IFERROR(INDEX('_courses_lookup'!$D:$D,MATCH(K95&amp;L95,'_courses_lookup'!$E:$E,0)),"")</f>
        <v/>
      </c>
      <c r="AG95">
        <f>IF(AND(AE95&lt;&gt;"",AF95&lt;&gt;""),ROUNDUP((AF95-AE95)/7,0),"")</f>
        <v/>
      </c>
      <c r="AI95">
        <f>IFERROR(IF(AG95*AH95=0,"",AG95*AH95),"")</f>
        <v/>
      </c>
      <c r="AL95">
        <f>IF(AND(AJ95&lt;&gt;"",AK95&lt;&gt;""),ROUNDUP((AK95-AJ95)/7,0),"")</f>
        <v/>
      </c>
      <c r="AN95">
        <f>IFERROR(IF(AL95*AM95=0,"",AL95*AM95),"")</f>
        <v/>
      </c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L95">
        <f>IFERROR(INDEX('_names_lookup'!$C:$C,MATCH(BK95,'_names_lookup'!$A:$A,0)),"")</f>
        <v/>
      </c>
      <c r="BM95">
        <f>IFERROR(INDEX('_names_lookup'!$B:$B,MATCH(BK95,'_names_lookup'!$A:$A,0)),"")</f>
        <v/>
      </c>
      <c r="BS95">
        <f>IFERROR(IF(BR95*AA95=0,"",BR95*AA95),"")</f>
        <v/>
      </c>
    </row>
    <row r="96">
      <c r="O96">
        <f>IFERROR(INDEX('_courses_lookup'!$C:$C,MATCH(K96&amp;L96,'_courses_lookup'!$E:$E,0)),"")</f>
        <v/>
      </c>
      <c r="P96">
        <f>IFERROR(INDEX('_courses_lookup'!$D:$D,MATCH(K96&amp;L96,'_courses_lookup'!$E:$E,0)),"")</f>
        <v/>
      </c>
      <c r="AG96">
        <f>IF(AND(AE96&lt;&gt;"",AF96&lt;&gt;""),ROUNDUP((AF96-AE96)/7,0),"")</f>
        <v/>
      </c>
      <c r="AI96">
        <f>IFERROR(IF(AG96*AH96=0,"",AG96*AH96),"")</f>
        <v/>
      </c>
      <c r="AL96">
        <f>IF(AND(AJ96&lt;&gt;"",AK96&lt;&gt;""),ROUNDUP((AK96-AJ96)/7,0),"")</f>
        <v/>
      </c>
      <c r="AN96">
        <f>IFERROR(IF(AL96*AM96=0,"",AL96*AM96),"")</f>
        <v/>
      </c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L96">
        <f>IFERROR(INDEX('_names_lookup'!$C:$C,MATCH(BK96,'_names_lookup'!$A:$A,0)),"")</f>
        <v/>
      </c>
      <c r="BM96">
        <f>IFERROR(INDEX('_names_lookup'!$B:$B,MATCH(BK96,'_names_lookup'!$A:$A,0)),"")</f>
        <v/>
      </c>
      <c r="BS96">
        <f>IFERROR(IF(BR96*AA96=0,"",BR96*AA96),"")</f>
        <v/>
      </c>
    </row>
    <row r="97">
      <c r="O97">
        <f>IFERROR(INDEX('_courses_lookup'!$C:$C,MATCH(K97&amp;L97,'_courses_lookup'!$E:$E,0)),"")</f>
        <v/>
      </c>
      <c r="P97">
        <f>IFERROR(INDEX('_courses_lookup'!$D:$D,MATCH(K97&amp;L97,'_courses_lookup'!$E:$E,0)),"")</f>
        <v/>
      </c>
      <c r="AG97">
        <f>IF(AND(AE97&lt;&gt;"",AF97&lt;&gt;""),ROUNDUP((AF97-AE97)/7,0),"")</f>
        <v/>
      </c>
      <c r="AI97">
        <f>IFERROR(IF(AG97*AH97=0,"",AG97*AH97),"")</f>
        <v/>
      </c>
      <c r="AL97">
        <f>IF(AND(AJ97&lt;&gt;"",AK97&lt;&gt;""),ROUNDUP((AK97-AJ97)/7,0),"")</f>
        <v/>
      </c>
      <c r="AN97">
        <f>IFERROR(IF(AL97*AM97=0,"",AL97*AM97),"")</f>
        <v/>
      </c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L97">
        <f>IFERROR(INDEX('_names_lookup'!$C:$C,MATCH(BK97,'_names_lookup'!$A:$A,0)),"")</f>
        <v/>
      </c>
      <c r="BM97">
        <f>IFERROR(INDEX('_names_lookup'!$B:$B,MATCH(BK97,'_names_lookup'!$A:$A,0)),"")</f>
        <v/>
      </c>
      <c r="BS97">
        <f>IFERROR(IF(BR97*AA97=0,"",BR97*AA97),"")</f>
        <v/>
      </c>
    </row>
    <row r="98">
      <c r="O98">
        <f>IFERROR(INDEX('_courses_lookup'!$C:$C,MATCH(K98&amp;L98,'_courses_lookup'!$E:$E,0)),"")</f>
        <v/>
      </c>
      <c r="P98">
        <f>IFERROR(INDEX('_courses_lookup'!$D:$D,MATCH(K98&amp;L98,'_courses_lookup'!$E:$E,0)),"")</f>
        <v/>
      </c>
      <c r="AG98">
        <f>IF(AND(AE98&lt;&gt;"",AF98&lt;&gt;""),ROUNDUP((AF98-AE98)/7,0),"")</f>
        <v/>
      </c>
      <c r="AI98">
        <f>IFERROR(IF(AG98*AH98=0,"",AG98*AH98),"")</f>
        <v/>
      </c>
      <c r="AL98">
        <f>IF(AND(AJ98&lt;&gt;"",AK98&lt;&gt;""),ROUNDUP((AK98-AJ98)/7,0),"")</f>
        <v/>
      </c>
      <c r="AN98">
        <f>IFERROR(IF(AL98*AM98=0,"",AL98*AM98),"")</f>
        <v/>
      </c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L98">
        <f>IFERROR(INDEX('_names_lookup'!$C:$C,MATCH(BK98,'_names_lookup'!$A:$A,0)),"")</f>
        <v/>
      </c>
      <c r="BM98">
        <f>IFERROR(INDEX('_names_lookup'!$B:$B,MATCH(BK98,'_names_lookup'!$A:$A,0)),"")</f>
        <v/>
      </c>
      <c r="BS98">
        <f>IFERROR(IF(BR98*AA98=0,"",BR98*AA98),"")</f>
        <v/>
      </c>
    </row>
    <row r="99">
      <c r="O99">
        <f>IFERROR(INDEX('_courses_lookup'!$C:$C,MATCH(K99&amp;L99,'_courses_lookup'!$E:$E,0)),"")</f>
        <v/>
      </c>
      <c r="P99">
        <f>IFERROR(INDEX('_courses_lookup'!$D:$D,MATCH(K99&amp;L99,'_courses_lookup'!$E:$E,0)),"")</f>
        <v/>
      </c>
      <c r="AG99">
        <f>IF(AND(AE99&lt;&gt;"",AF99&lt;&gt;""),ROUNDUP((AF99-AE99)/7,0),"")</f>
        <v/>
      </c>
      <c r="AI99">
        <f>IFERROR(IF(AG99*AH99=0,"",AG99*AH99),"")</f>
        <v/>
      </c>
      <c r="AL99">
        <f>IF(AND(AJ99&lt;&gt;"",AK99&lt;&gt;""),ROUNDUP((AK99-AJ99)/7,0),"")</f>
        <v/>
      </c>
      <c r="AN99">
        <f>IFERROR(IF(AL99*AM99=0,"",AL99*AM99),"")</f>
        <v/>
      </c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L99">
        <f>IFERROR(INDEX('_names_lookup'!$C:$C,MATCH(BK99,'_names_lookup'!$A:$A,0)),"")</f>
        <v/>
      </c>
      <c r="BM99">
        <f>IFERROR(INDEX('_names_lookup'!$B:$B,MATCH(BK99,'_names_lookup'!$A:$A,0)),"")</f>
        <v/>
      </c>
      <c r="BS99">
        <f>IFERROR(IF(BR99*AA99=0,"",BR99*AA99),"")</f>
        <v/>
      </c>
    </row>
    <row r="100">
      <c r="O100">
        <f>IFERROR(INDEX('_courses_lookup'!$C:$C,MATCH(K100&amp;L100,'_courses_lookup'!$E:$E,0)),"")</f>
        <v/>
      </c>
      <c r="P100">
        <f>IFERROR(INDEX('_courses_lookup'!$D:$D,MATCH(K100&amp;L100,'_courses_lookup'!$E:$E,0)),"")</f>
        <v/>
      </c>
      <c r="AG100">
        <f>IF(AND(AE100&lt;&gt;"",AF100&lt;&gt;""),ROUNDUP((AF100-AE100)/7,0),"")</f>
        <v/>
      </c>
      <c r="AI100">
        <f>IFERROR(IF(AG100*AH100=0,"",AG100*AH100),"")</f>
        <v/>
      </c>
      <c r="AL100">
        <f>IF(AND(AJ100&lt;&gt;"",AK100&lt;&gt;""),ROUNDUP((AK100-AJ100)/7,0),"")</f>
        <v/>
      </c>
      <c r="AN100">
        <f>IFERROR(IF(AL100*AM100=0,"",AL100*AM100),"")</f>
        <v/>
      </c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L100">
        <f>IFERROR(INDEX('_names_lookup'!$C:$C,MATCH(BK100,'_names_lookup'!$A:$A,0)),"")</f>
        <v/>
      </c>
      <c r="BM100">
        <f>IFERROR(INDEX('_names_lookup'!$B:$B,MATCH(BK100,'_names_lookup'!$A:$A,0)),"")</f>
        <v/>
      </c>
      <c r="BS100">
        <f>IFERROR(IF(BR100*AA100=0,"",BR100*AA100),"")</f>
        <v/>
      </c>
    </row>
    <row r="101">
      <c r="O101">
        <f>IFERROR(INDEX('_courses_lookup'!$C:$C,MATCH(K101&amp;L101,'_courses_lookup'!$E:$E,0)),"")</f>
        <v/>
      </c>
      <c r="P101">
        <f>IFERROR(INDEX('_courses_lookup'!$D:$D,MATCH(K101&amp;L101,'_courses_lookup'!$E:$E,0)),"")</f>
        <v/>
      </c>
      <c r="AG101">
        <f>IF(AND(AE101&lt;&gt;"",AF101&lt;&gt;""),ROUNDUP((AF101-AE101)/7,0),"")</f>
        <v/>
      </c>
      <c r="AI101">
        <f>IFERROR(IF(AG101*AH101=0,"",AG101*AH101),"")</f>
        <v/>
      </c>
      <c r="AL101">
        <f>IF(AND(AJ101&lt;&gt;"",AK101&lt;&gt;""),ROUNDUP((AK101-AJ101)/7,0),"")</f>
        <v/>
      </c>
      <c r="AN101">
        <f>IFERROR(IF(AL101*AM101=0,"",AL101*AM101),"")</f>
        <v/>
      </c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L101">
        <f>IFERROR(INDEX('_names_lookup'!$C:$C,MATCH(BK101,'_names_lookup'!$A:$A,0)),"")</f>
        <v/>
      </c>
      <c r="BM101">
        <f>IFERROR(INDEX('_names_lookup'!$B:$B,MATCH(BK101,'_names_lookup'!$A:$A,0)),"")</f>
        <v/>
      </c>
      <c r="BS101">
        <f>IFERROR(IF(BR101*AA101=0,"",BR101*AA101),"")</f>
        <v/>
      </c>
    </row>
    <row r="102">
      <c r="O102">
        <f>IFERROR(INDEX('_courses_lookup'!$C:$C,MATCH(K102&amp;L102,'_courses_lookup'!$E:$E,0)),"")</f>
        <v/>
      </c>
      <c r="P102">
        <f>IFERROR(INDEX('_courses_lookup'!$D:$D,MATCH(K102&amp;L102,'_courses_lookup'!$E:$E,0)),"")</f>
        <v/>
      </c>
      <c r="AG102">
        <f>IF(AND(AE102&lt;&gt;"",AF102&lt;&gt;""),ROUNDUP((AF102-AE102)/7,0),"")</f>
        <v/>
      </c>
      <c r="AI102">
        <f>IFERROR(IF(AG102*AH102=0,"",AG102*AH102),"")</f>
        <v/>
      </c>
      <c r="AL102">
        <f>IF(AND(AJ102&lt;&gt;"",AK102&lt;&gt;""),ROUNDUP((AK102-AJ102)/7,0),"")</f>
        <v/>
      </c>
      <c r="AN102">
        <f>IFERROR(IF(AL102*AM102=0,"",AL102*AM102),"")</f>
        <v/>
      </c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L102">
        <f>IFERROR(INDEX('_names_lookup'!$C:$C,MATCH(BK102,'_names_lookup'!$A:$A,0)),"")</f>
        <v/>
      </c>
      <c r="BM102">
        <f>IFERROR(INDEX('_names_lookup'!$B:$B,MATCH(BK102,'_names_lookup'!$A:$A,0)),"")</f>
        <v/>
      </c>
      <c r="BS102">
        <f>IFERROR(IF(BR102*AA102=0,"",BR102*AA102),"")</f>
        <v/>
      </c>
    </row>
    <row r="103">
      <c r="O103">
        <f>IFERROR(INDEX('_courses_lookup'!$C:$C,MATCH(K103&amp;L103,'_courses_lookup'!$E:$E,0)),"")</f>
        <v/>
      </c>
      <c r="P103">
        <f>IFERROR(INDEX('_courses_lookup'!$D:$D,MATCH(K103&amp;L103,'_courses_lookup'!$E:$E,0)),"")</f>
        <v/>
      </c>
      <c r="AG103">
        <f>IF(AND(AE103&lt;&gt;"",AF103&lt;&gt;""),ROUNDUP((AF103-AE103)/7,0),"")</f>
        <v/>
      </c>
      <c r="AI103">
        <f>IFERROR(IF(AG103*AH103=0,"",AG103*AH103),"")</f>
        <v/>
      </c>
      <c r="AL103">
        <f>IF(AND(AJ103&lt;&gt;"",AK103&lt;&gt;""),ROUNDUP((AK103-AJ103)/7,0),"")</f>
        <v/>
      </c>
      <c r="AN103">
        <f>IFERROR(IF(AL103*AM103=0,"",AL103*AM103),"")</f>
        <v/>
      </c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L103">
        <f>IFERROR(INDEX('_names_lookup'!$C:$C,MATCH(BK103,'_names_lookup'!$A:$A,0)),"")</f>
        <v/>
      </c>
      <c r="BM103">
        <f>IFERROR(INDEX('_names_lookup'!$B:$B,MATCH(BK103,'_names_lookup'!$A:$A,0)),"")</f>
        <v/>
      </c>
      <c r="BS103">
        <f>IFERROR(IF(BR103*AA103=0,"",BR103*AA103),"")</f>
        <v/>
      </c>
    </row>
    <row r="104">
      <c r="O104">
        <f>IFERROR(INDEX('_courses_lookup'!$C:$C,MATCH(K104&amp;L104,'_courses_lookup'!$E:$E,0)),"")</f>
        <v/>
      </c>
      <c r="P104">
        <f>IFERROR(INDEX('_courses_lookup'!$D:$D,MATCH(K104&amp;L104,'_courses_lookup'!$E:$E,0)),"")</f>
        <v/>
      </c>
      <c r="AG104">
        <f>IF(AND(AE104&lt;&gt;"",AF104&lt;&gt;""),ROUNDUP((AF104-AE104)/7,0),"")</f>
        <v/>
      </c>
      <c r="AI104">
        <f>IFERROR(IF(AG104*AH104=0,"",AG104*AH104),"")</f>
        <v/>
      </c>
      <c r="AL104">
        <f>IF(AND(AJ104&lt;&gt;"",AK104&lt;&gt;""),ROUNDUP((AK104-AJ104)/7,0),"")</f>
        <v/>
      </c>
      <c r="AN104">
        <f>IFERROR(IF(AL104*AM104=0,"",AL104*AM104),"")</f>
        <v/>
      </c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L104">
        <f>IFERROR(INDEX('_names_lookup'!$C:$C,MATCH(BK104,'_names_lookup'!$A:$A,0)),"")</f>
        <v/>
      </c>
      <c r="BM104">
        <f>IFERROR(INDEX('_names_lookup'!$B:$B,MATCH(BK104,'_names_lookup'!$A:$A,0)),"")</f>
        <v/>
      </c>
      <c r="BS104">
        <f>IFERROR(IF(BR104*AA104=0,"",BR104*AA104),"")</f>
        <v/>
      </c>
    </row>
    <row r="105">
      <c r="O105">
        <f>IFERROR(INDEX('_courses_lookup'!$C:$C,MATCH(K105&amp;L105,'_courses_lookup'!$E:$E,0)),"")</f>
        <v/>
      </c>
      <c r="P105">
        <f>IFERROR(INDEX('_courses_lookup'!$D:$D,MATCH(K105&amp;L105,'_courses_lookup'!$E:$E,0)),"")</f>
        <v/>
      </c>
      <c r="AG105">
        <f>IF(AND(AE105&lt;&gt;"",AF105&lt;&gt;""),ROUNDUP((AF105-AE105)/7,0),"")</f>
        <v/>
      </c>
      <c r="AI105">
        <f>IFERROR(IF(AG105*AH105=0,"",AG105*AH105),"")</f>
        <v/>
      </c>
      <c r="AL105">
        <f>IF(AND(AJ105&lt;&gt;"",AK105&lt;&gt;""),ROUNDUP((AK105-AJ105)/7,0),"")</f>
        <v/>
      </c>
      <c r="AN105">
        <f>IFERROR(IF(AL105*AM105=0,"",AL105*AM105),"")</f>
        <v/>
      </c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L105">
        <f>IFERROR(INDEX('_names_lookup'!$C:$C,MATCH(BK105,'_names_lookup'!$A:$A,0)),"")</f>
        <v/>
      </c>
      <c r="BM105">
        <f>IFERROR(INDEX('_names_lookup'!$B:$B,MATCH(BK105,'_names_lookup'!$A:$A,0)),"")</f>
        <v/>
      </c>
      <c r="BS105">
        <f>IFERROR(IF(BR105*AA105=0,"",BR105*AA105),"")</f>
        <v/>
      </c>
    </row>
    <row r="106">
      <c r="O106">
        <f>IFERROR(INDEX('_courses_lookup'!$C:$C,MATCH(K106&amp;L106,'_courses_lookup'!$E:$E,0)),"")</f>
        <v/>
      </c>
      <c r="P106">
        <f>IFERROR(INDEX('_courses_lookup'!$D:$D,MATCH(K106&amp;L106,'_courses_lookup'!$E:$E,0)),"")</f>
        <v/>
      </c>
      <c r="AG106">
        <f>IF(AND(AE106&lt;&gt;"",AF106&lt;&gt;""),ROUNDUP((AF106-AE106)/7,0),"")</f>
        <v/>
      </c>
      <c r="AI106">
        <f>IFERROR(IF(AG106*AH106=0,"",AG106*AH106),"")</f>
        <v/>
      </c>
      <c r="AL106">
        <f>IF(AND(AJ106&lt;&gt;"",AK106&lt;&gt;""),ROUNDUP((AK106-AJ106)/7,0),"")</f>
        <v/>
      </c>
      <c r="AN106">
        <f>IFERROR(IF(AL106*AM106=0,"",AL106*AM106),"")</f>
        <v/>
      </c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L106">
        <f>IFERROR(INDEX('_names_lookup'!$C:$C,MATCH(BK106,'_names_lookup'!$A:$A,0)),"")</f>
        <v/>
      </c>
      <c r="BM106">
        <f>IFERROR(INDEX('_names_lookup'!$B:$B,MATCH(BK106,'_names_lookup'!$A:$A,0)),"")</f>
        <v/>
      </c>
      <c r="BS106">
        <f>IFERROR(IF(BR106*AA106=0,"",BR106*AA106),"")</f>
        <v/>
      </c>
    </row>
    <row r="107">
      <c r="O107">
        <f>IFERROR(INDEX('_courses_lookup'!$C:$C,MATCH(K107&amp;L107,'_courses_lookup'!$E:$E,0)),"")</f>
        <v/>
      </c>
      <c r="P107">
        <f>IFERROR(INDEX('_courses_lookup'!$D:$D,MATCH(K107&amp;L107,'_courses_lookup'!$E:$E,0)),"")</f>
        <v/>
      </c>
      <c r="AG107">
        <f>IF(AND(AE107&lt;&gt;"",AF107&lt;&gt;""),ROUNDUP((AF107-AE107)/7,0),"")</f>
        <v/>
      </c>
      <c r="AI107">
        <f>IFERROR(IF(AG107*AH107=0,"",AG107*AH107),"")</f>
        <v/>
      </c>
      <c r="AL107">
        <f>IF(AND(AJ107&lt;&gt;"",AK107&lt;&gt;""),ROUNDUP((AK107-AJ107)/7,0),"")</f>
        <v/>
      </c>
      <c r="AN107">
        <f>IFERROR(IF(AL107*AM107=0,"",AL107*AM107),"")</f>
        <v/>
      </c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L107">
        <f>IFERROR(INDEX('_names_lookup'!$C:$C,MATCH(BK107,'_names_lookup'!$A:$A,0)),"")</f>
        <v/>
      </c>
      <c r="BM107">
        <f>IFERROR(INDEX('_names_lookup'!$B:$B,MATCH(BK107,'_names_lookup'!$A:$A,0)),"")</f>
        <v/>
      </c>
      <c r="BS107">
        <f>IFERROR(IF(BR107*AA107=0,"",BR107*AA107),"")</f>
        <v/>
      </c>
    </row>
    <row r="108">
      <c r="O108">
        <f>IFERROR(INDEX('_courses_lookup'!$C:$C,MATCH(K108&amp;L108,'_courses_lookup'!$E:$E,0)),"")</f>
        <v/>
      </c>
      <c r="P108">
        <f>IFERROR(INDEX('_courses_lookup'!$D:$D,MATCH(K108&amp;L108,'_courses_lookup'!$E:$E,0)),"")</f>
        <v/>
      </c>
      <c r="AG108">
        <f>IF(AND(AE108&lt;&gt;"",AF108&lt;&gt;""),ROUNDUP((AF108-AE108)/7,0),"")</f>
        <v/>
      </c>
      <c r="AI108">
        <f>IFERROR(IF(AG108*AH108=0,"",AG108*AH108),"")</f>
        <v/>
      </c>
      <c r="AL108">
        <f>IF(AND(AJ108&lt;&gt;"",AK108&lt;&gt;""),ROUNDUP((AK108-AJ108)/7,0),"")</f>
        <v/>
      </c>
      <c r="AN108">
        <f>IFERROR(IF(AL108*AM108=0,"",AL108*AM108),"")</f>
        <v/>
      </c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L108">
        <f>IFERROR(INDEX('_names_lookup'!$C:$C,MATCH(BK108,'_names_lookup'!$A:$A,0)),"")</f>
        <v/>
      </c>
      <c r="BM108">
        <f>IFERROR(INDEX('_names_lookup'!$B:$B,MATCH(BK108,'_names_lookup'!$A:$A,0)),"")</f>
        <v/>
      </c>
      <c r="BS108">
        <f>IFERROR(IF(BR108*AA108=0,"",BR108*AA108),"")</f>
        <v/>
      </c>
    </row>
    <row r="109">
      <c r="O109">
        <f>IFERROR(INDEX('_courses_lookup'!$C:$C,MATCH(K109&amp;L109,'_courses_lookup'!$E:$E,0)),"")</f>
        <v/>
      </c>
      <c r="P109">
        <f>IFERROR(INDEX('_courses_lookup'!$D:$D,MATCH(K109&amp;L109,'_courses_lookup'!$E:$E,0)),"")</f>
        <v/>
      </c>
      <c r="AG109">
        <f>IF(AND(AE109&lt;&gt;"",AF109&lt;&gt;""),ROUNDUP((AF109-AE109)/7,0),"")</f>
        <v/>
      </c>
      <c r="AI109">
        <f>IFERROR(IF(AG109*AH109=0,"",AG109*AH109),"")</f>
        <v/>
      </c>
      <c r="AL109">
        <f>IF(AND(AJ109&lt;&gt;"",AK109&lt;&gt;""),ROUNDUP((AK109-AJ109)/7,0),"")</f>
        <v/>
      </c>
      <c r="AN109">
        <f>IFERROR(IF(AL109*AM109=0,"",AL109*AM109),"")</f>
        <v/>
      </c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L109">
        <f>IFERROR(INDEX('_names_lookup'!$C:$C,MATCH(BK109,'_names_lookup'!$A:$A,0)),"")</f>
        <v/>
      </c>
      <c r="BM109">
        <f>IFERROR(INDEX('_names_lookup'!$B:$B,MATCH(BK109,'_names_lookup'!$A:$A,0)),"")</f>
        <v/>
      </c>
      <c r="BS109">
        <f>IFERROR(IF(BR109*AA109=0,"",BR109*AA109),"")</f>
        <v/>
      </c>
    </row>
    <row r="110">
      <c r="O110">
        <f>IFERROR(INDEX('_courses_lookup'!$C:$C,MATCH(K110&amp;L110,'_courses_lookup'!$E:$E,0)),"")</f>
        <v/>
      </c>
      <c r="P110">
        <f>IFERROR(INDEX('_courses_lookup'!$D:$D,MATCH(K110&amp;L110,'_courses_lookup'!$E:$E,0)),"")</f>
        <v/>
      </c>
      <c r="AG110">
        <f>IF(AND(AE110&lt;&gt;"",AF110&lt;&gt;""),ROUNDUP((AF110-AE110)/7,0),"")</f>
        <v/>
      </c>
      <c r="AI110">
        <f>IFERROR(IF(AG110*AH110=0,"",AG110*AH110),"")</f>
        <v/>
      </c>
      <c r="AL110">
        <f>IF(AND(AJ110&lt;&gt;"",AK110&lt;&gt;""),ROUNDUP((AK110-AJ110)/7,0),"")</f>
        <v/>
      </c>
      <c r="AN110">
        <f>IFERROR(IF(AL110*AM110=0,"",AL110*AM110),"")</f>
        <v/>
      </c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L110">
        <f>IFERROR(INDEX('_names_lookup'!$C:$C,MATCH(BK110,'_names_lookup'!$A:$A,0)),"")</f>
        <v/>
      </c>
      <c r="BM110">
        <f>IFERROR(INDEX('_names_lookup'!$B:$B,MATCH(BK110,'_names_lookup'!$A:$A,0)),"")</f>
        <v/>
      </c>
      <c r="BS110">
        <f>IFERROR(IF(BR110*AA110=0,"",BR110*AA110),"")</f>
        <v/>
      </c>
    </row>
    <row r="111">
      <c r="O111">
        <f>IFERROR(INDEX('_courses_lookup'!$C:$C,MATCH(K111&amp;L111,'_courses_lookup'!$E:$E,0)),"")</f>
        <v/>
      </c>
      <c r="P111">
        <f>IFERROR(INDEX('_courses_lookup'!$D:$D,MATCH(K111&amp;L111,'_courses_lookup'!$E:$E,0)),"")</f>
        <v/>
      </c>
      <c r="AG111">
        <f>IF(AND(AE111&lt;&gt;"",AF111&lt;&gt;""),ROUNDUP((AF111-AE111)/7,0),"")</f>
        <v/>
      </c>
      <c r="AI111">
        <f>IFERROR(IF(AG111*AH111=0,"",AG111*AH111),"")</f>
        <v/>
      </c>
      <c r="AL111">
        <f>IF(AND(AJ111&lt;&gt;"",AK111&lt;&gt;""),ROUNDUP((AK111-AJ111)/7,0),"")</f>
        <v/>
      </c>
      <c r="AN111">
        <f>IFERROR(IF(AL111*AM111=0,"",AL111*AM111),"")</f>
        <v/>
      </c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L111">
        <f>IFERROR(INDEX('_names_lookup'!$C:$C,MATCH(BK111,'_names_lookup'!$A:$A,0)),"")</f>
        <v/>
      </c>
      <c r="BM111">
        <f>IFERROR(INDEX('_names_lookup'!$B:$B,MATCH(BK111,'_names_lookup'!$A:$A,0)),"")</f>
        <v/>
      </c>
      <c r="BS111">
        <f>IFERROR(IF(BR111*AA111=0,"",BR111*AA111),"")</f>
        <v/>
      </c>
    </row>
    <row r="112">
      <c r="O112">
        <f>IFERROR(INDEX('_courses_lookup'!$C:$C,MATCH(K112&amp;L112,'_courses_lookup'!$E:$E,0)),"")</f>
        <v/>
      </c>
      <c r="P112">
        <f>IFERROR(INDEX('_courses_lookup'!$D:$D,MATCH(K112&amp;L112,'_courses_lookup'!$E:$E,0)),"")</f>
        <v/>
      </c>
      <c r="AG112">
        <f>IF(AND(AE112&lt;&gt;"",AF112&lt;&gt;""),ROUNDUP((AF112-AE112)/7,0),"")</f>
        <v/>
      </c>
      <c r="AI112">
        <f>IFERROR(IF(AG112*AH112=0,"",AG112*AH112),"")</f>
        <v/>
      </c>
      <c r="AL112">
        <f>IF(AND(AJ112&lt;&gt;"",AK112&lt;&gt;""),ROUNDUP((AK112-AJ112)/7,0),"")</f>
        <v/>
      </c>
      <c r="AN112">
        <f>IFERROR(IF(AL112*AM112=0,"",AL112*AM112),"")</f>
        <v/>
      </c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L112">
        <f>IFERROR(INDEX('_names_lookup'!$C:$C,MATCH(BK112,'_names_lookup'!$A:$A,0)),"")</f>
        <v/>
      </c>
      <c r="BM112">
        <f>IFERROR(INDEX('_names_lookup'!$B:$B,MATCH(BK112,'_names_lookup'!$A:$A,0)),"")</f>
        <v/>
      </c>
      <c r="BS112">
        <f>IFERROR(IF(BR112*AA112=0,"",BR112*AA112),"")</f>
        <v/>
      </c>
    </row>
    <row r="113">
      <c r="O113">
        <f>IFERROR(INDEX('_courses_lookup'!$C:$C,MATCH(K113&amp;L113,'_courses_lookup'!$E:$E,0)),"")</f>
        <v/>
      </c>
      <c r="P113">
        <f>IFERROR(INDEX('_courses_lookup'!$D:$D,MATCH(K113&amp;L113,'_courses_lookup'!$E:$E,0)),"")</f>
        <v/>
      </c>
      <c r="AG113">
        <f>IF(AND(AE113&lt;&gt;"",AF113&lt;&gt;""),ROUNDUP((AF113-AE113)/7,0),"")</f>
        <v/>
      </c>
      <c r="AI113">
        <f>IFERROR(IF(AG113*AH113=0,"",AG113*AH113),"")</f>
        <v/>
      </c>
      <c r="AL113">
        <f>IF(AND(AJ113&lt;&gt;"",AK113&lt;&gt;""),ROUNDUP((AK113-AJ113)/7,0),"")</f>
        <v/>
      </c>
      <c r="AN113">
        <f>IFERROR(IF(AL113*AM113=0,"",AL113*AM113),"")</f>
        <v/>
      </c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L113">
        <f>IFERROR(INDEX('_names_lookup'!$C:$C,MATCH(BK113,'_names_lookup'!$A:$A,0)),"")</f>
        <v/>
      </c>
      <c r="BM113">
        <f>IFERROR(INDEX('_names_lookup'!$B:$B,MATCH(BK113,'_names_lookup'!$A:$A,0)),"")</f>
        <v/>
      </c>
      <c r="BS113">
        <f>IFERROR(IF(BR113*AA113=0,"",BR113*AA113),"")</f>
        <v/>
      </c>
    </row>
    <row r="114">
      <c r="O114">
        <f>IFERROR(INDEX('_courses_lookup'!$C:$C,MATCH(K114&amp;L114,'_courses_lookup'!$E:$E,0)),"")</f>
        <v/>
      </c>
      <c r="P114">
        <f>IFERROR(INDEX('_courses_lookup'!$D:$D,MATCH(K114&amp;L114,'_courses_lookup'!$E:$E,0)),"")</f>
        <v/>
      </c>
      <c r="AG114">
        <f>IF(AND(AE114&lt;&gt;"",AF114&lt;&gt;""),ROUNDUP((AF114-AE114)/7,0),"")</f>
        <v/>
      </c>
      <c r="AI114">
        <f>IFERROR(IF(AG114*AH114=0,"",AG114*AH114),"")</f>
        <v/>
      </c>
      <c r="AL114">
        <f>IF(AND(AJ114&lt;&gt;"",AK114&lt;&gt;""),ROUNDUP((AK114-AJ114)/7,0),"")</f>
        <v/>
      </c>
      <c r="AN114">
        <f>IFERROR(IF(AL114*AM114=0,"",AL114*AM114),"")</f>
        <v/>
      </c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L114">
        <f>IFERROR(INDEX('_names_lookup'!$C:$C,MATCH(BK114,'_names_lookup'!$A:$A,0)),"")</f>
        <v/>
      </c>
      <c r="BM114">
        <f>IFERROR(INDEX('_names_lookup'!$B:$B,MATCH(BK114,'_names_lookup'!$A:$A,0)),"")</f>
        <v/>
      </c>
      <c r="BS114">
        <f>IFERROR(IF(BR114*AA114=0,"",BR114*AA114),"")</f>
        <v/>
      </c>
    </row>
    <row r="115">
      <c r="O115">
        <f>IFERROR(INDEX('_courses_lookup'!$C:$C,MATCH(K115&amp;L115,'_courses_lookup'!$E:$E,0)),"")</f>
        <v/>
      </c>
      <c r="P115">
        <f>IFERROR(INDEX('_courses_lookup'!$D:$D,MATCH(K115&amp;L115,'_courses_lookup'!$E:$E,0)),"")</f>
        <v/>
      </c>
      <c r="AG115">
        <f>IF(AND(AE115&lt;&gt;"",AF115&lt;&gt;""),ROUNDUP((AF115-AE115)/7,0),"")</f>
        <v/>
      </c>
      <c r="AI115">
        <f>IFERROR(IF(AG115*AH115=0,"",AG115*AH115),"")</f>
        <v/>
      </c>
      <c r="AL115">
        <f>IF(AND(AJ115&lt;&gt;"",AK115&lt;&gt;""),ROUNDUP((AK115-AJ115)/7,0),"")</f>
        <v/>
      </c>
      <c r="AN115">
        <f>IFERROR(IF(AL115*AM115=0,"",AL115*AM115),"")</f>
        <v/>
      </c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L115">
        <f>IFERROR(INDEX('_names_lookup'!$C:$C,MATCH(BK115,'_names_lookup'!$A:$A,0)),"")</f>
        <v/>
      </c>
      <c r="BM115">
        <f>IFERROR(INDEX('_names_lookup'!$B:$B,MATCH(BK115,'_names_lookup'!$A:$A,0)),"")</f>
        <v/>
      </c>
      <c r="BS115">
        <f>IFERROR(IF(BR115*AA115=0,"",BR115*AA115),"")</f>
        <v/>
      </c>
    </row>
    <row r="116">
      <c r="O116">
        <f>IFERROR(INDEX('_courses_lookup'!$C:$C,MATCH(K116&amp;L116,'_courses_lookup'!$E:$E,0)),"")</f>
        <v/>
      </c>
      <c r="P116">
        <f>IFERROR(INDEX('_courses_lookup'!$D:$D,MATCH(K116&amp;L116,'_courses_lookup'!$E:$E,0)),"")</f>
        <v/>
      </c>
      <c r="AG116">
        <f>IF(AND(AE116&lt;&gt;"",AF116&lt;&gt;""),ROUNDUP((AF116-AE116)/7,0),"")</f>
        <v/>
      </c>
      <c r="AI116">
        <f>IFERROR(IF(AG116*AH116=0,"",AG116*AH116),"")</f>
        <v/>
      </c>
      <c r="AL116">
        <f>IF(AND(AJ116&lt;&gt;"",AK116&lt;&gt;""),ROUNDUP((AK116-AJ116)/7,0),"")</f>
        <v/>
      </c>
      <c r="AN116">
        <f>IFERROR(IF(AL116*AM116=0,"",AL116*AM116),"")</f>
        <v/>
      </c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L116">
        <f>IFERROR(INDEX('_names_lookup'!$C:$C,MATCH(BK116,'_names_lookup'!$A:$A,0)),"")</f>
        <v/>
      </c>
      <c r="BM116">
        <f>IFERROR(INDEX('_names_lookup'!$B:$B,MATCH(BK116,'_names_lookup'!$A:$A,0)),"")</f>
        <v/>
      </c>
      <c r="BS116">
        <f>IFERROR(IF(BR116*AA116=0,"",BR116*AA116),"")</f>
        <v/>
      </c>
    </row>
    <row r="117">
      <c r="O117">
        <f>IFERROR(INDEX('_courses_lookup'!$C:$C,MATCH(K117&amp;L117,'_courses_lookup'!$E:$E,0)),"")</f>
        <v/>
      </c>
      <c r="P117">
        <f>IFERROR(INDEX('_courses_lookup'!$D:$D,MATCH(K117&amp;L117,'_courses_lookup'!$E:$E,0)),"")</f>
        <v/>
      </c>
      <c r="AG117">
        <f>IF(AND(AE117&lt;&gt;"",AF117&lt;&gt;""),ROUNDUP((AF117-AE117)/7,0),"")</f>
        <v/>
      </c>
      <c r="AI117">
        <f>IFERROR(IF(AG117*AH117=0,"",AG117*AH117),"")</f>
        <v/>
      </c>
      <c r="AL117">
        <f>IF(AND(AJ117&lt;&gt;"",AK117&lt;&gt;""),ROUNDUP((AK117-AJ117)/7,0),"")</f>
        <v/>
      </c>
      <c r="AN117">
        <f>IFERROR(IF(AL117*AM117=0,"",AL117*AM117),"")</f>
        <v/>
      </c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L117">
        <f>IFERROR(INDEX('_names_lookup'!$C:$C,MATCH(BK117,'_names_lookup'!$A:$A,0)),"")</f>
        <v/>
      </c>
      <c r="BM117">
        <f>IFERROR(INDEX('_names_lookup'!$B:$B,MATCH(BK117,'_names_lookup'!$A:$A,0)),"")</f>
        <v/>
      </c>
      <c r="BS117">
        <f>IFERROR(IF(BR117*AA117=0,"",BR117*AA117),"")</f>
        <v/>
      </c>
    </row>
    <row r="118">
      <c r="O118">
        <f>IFERROR(INDEX('_courses_lookup'!$C:$C,MATCH(K118&amp;L118,'_courses_lookup'!$E:$E,0)),"")</f>
        <v/>
      </c>
      <c r="P118">
        <f>IFERROR(INDEX('_courses_lookup'!$D:$D,MATCH(K118&amp;L118,'_courses_lookup'!$E:$E,0)),"")</f>
        <v/>
      </c>
      <c r="AG118">
        <f>IF(AND(AE118&lt;&gt;"",AF118&lt;&gt;""),ROUNDUP((AF118-AE118)/7,0),"")</f>
        <v/>
      </c>
      <c r="AI118">
        <f>IFERROR(IF(AG118*AH118=0,"",AG118*AH118),"")</f>
        <v/>
      </c>
      <c r="AL118">
        <f>IF(AND(AJ118&lt;&gt;"",AK118&lt;&gt;""),ROUNDUP((AK118-AJ118)/7,0),"")</f>
        <v/>
      </c>
      <c r="AN118">
        <f>IFERROR(IF(AL118*AM118=0,"",AL118*AM118),"")</f>
        <v/>
      </c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L118">
        <f>IFERROR(INDEX('_names_lookup'!$C:$C,MATCH(BK118,'_names_lookup'!$A:$A,0)),"")</f>
        <v/>
      </c>
      <c r="BM118">
        <f>IFERROR(INDEX('_names_lookup'!$B:$B,MATCH(BK118,'_names_lookup'!$A:$A,0)),"")</f>
        <v/>
      </c>
      <c r="BS118">
        <f>IFERROR(IF(BR118*AA118=0,"",BR118*AA118),"")</f>
        <v/>
      </c>
    </row>
    <row r="119">
      <c r="O119">
        <f>IFERROR(INDEX('_courses_lookup'!$C:$C,MATCH(K119&amp;L119,'_courses_lookup'!$E:$E,0)),"")</f>
        <v/>
      </c>
      <c r="P119">
        <f>IFERROR(INDEX('_courses_lookup'!$D:$D,MATCH(K119&amp;L119,'_courses_lookup'!$E:$E,0)),"")</f>
        <v/>
      </c>
      <c r="AG119">
        <f>IF(AND(AE119&lt;&gt;"",AF119&lt;&gt;""),ROUNDUP((AF119-AE119)/7,0),"")</f>
        <v/>
      </c>
      <c r="AI119">
        <f>IFERROR(IF(AG119*AH119=0,"",AG119*AH119),"")</f>
        <v/>
      </c>
      <c r="AL119">
        <f>IF(AND(AJ119&lt;&gt;"",AK119&lt;&gt;""),ROUNDUP((AK119-AJ119)/7,0),"")</f>
        <v/>
      </c>
      <c r="AN119">
        <f>IFERROR(IF(AL119*AM119=0,"",AL119*AM119),"")</f>
        <v/>
      </c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L119">
        <f>IFERROR(INDEX('_names_lookup'!$C:$C,MATCH(BK119,'_names_lookup'!$A:$A,0)),"")</f>
        <v/>
      </c>
      <c r="BM119">
        <f>IFERROR(INDEX('_names_lookup'!$B:$B,MATCH(BK119,'_names_lookup'!$A:$A,0)),"")</f>
        <v/>
      </c>
      <c r="BS119">
        <f>IFERROR(IF(BR119*AA119=0,"",BR119*AA119),"")</f>
        <v/>
      </c>
    </row>
    <row r="120">
      <c r="O120">
        <f>IFERROR(INDEX('_courses_lookup'!$C:$C,MATCH(K120&amp;L120,'_courses_lookup'!$E:$E,0)),"")</f>
        <v/>
      </c>
      <c r="P120">
        <f>IFERROR(INDEX('_courses_lookup'!$D:$D,MATCH(K120&amp;L120,'_courses_lookup'!$E:$E,0)),"")</f>
        <v/>
      </c>
      <c r="AG120">
        <f>IF(AND(AE120&lt;&gt;"",AF120&lt;&gt;""),ROUNDUP((AF120-AE120)/7,0),"")</f>
        <v/>
      </c>
      <c r="AI120">
        <f>IFERROR(IF(AG120*AH120=0,"",AG120*AH120),"")</f>
        <v/>
      </c>
      <c r="AL120">
        <f>IF(AND(AJ120&lt;&gt;"",AK120&lt;&gt;""),ROUNDUP((AK120-AJ120)/7,0),"")</f>
        <v/>
      </c>
      <c r="AN120">
        <f>IFERROR(IF(AL120*AM120=0,"",AL120*AM120),"")</f>
        <v/>
      </c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L120">
        <f>IFERROR(INDEX('_names_lookup'!$C:$C,MATCH(BK120,'_names_lookup'!$A:$A,0)),"")</f>
        <v/>
      </c>
      <c r="BM120">
        <f>IFERROR(INDEX('_names_lookup'!$B:$B,MATCH(BK120,'_names_lookup'!$A:$A,0)),"")</f>
        <v/>
      </c>
      <c r="BS120">
        <f>IFERROR(IF(BR120*AA120=0,"",BR120*AA120),"")</f>
        <v/>
      </c>
    </row>
    <row r="121">
      <c r="O121">
        <f>IFERROR(INDEX('_courses_lookup'!$C:$C,MATCH(K121&amp;L121,'_courses_lookup'!$E:$E,0)),"")</f>
        <v/>
      </c>
      <c r="P121">
        <f>IFERROR(INDEX('_courses_lookup'!$D:$D,MATCH(K121&amp;L121,'_courses_lookup'!$E:$E,0)),"")</f>
        <v/>
      </c>
      <c r="AG121">
        <f>IF(AND(AE121&lt;&gt;"",AF121&lt;&gt;""),ROUNDUP((AF121-AE121)/7,0),"")</f>
        <v/>
      </c>
      <c r="AI121">
        <f>IFERROR(IF(AG121*AH121=0,"",AG121*AH121),"")</f>
        <v/>
      </c>
      <c r="AL121">
        <f>IF(AND(AJ121&lt;&gt;"",AK121&lt;&gt;""),ROUNDUP((AK121-AJ121)/7,0),"")</f>
        <v/>
      </c>
      <c r="AN121">
        <f>IFERROR(IF(AL121*AM121=0,"",AL121*AM121),"")</f>
        <v/>
      </c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L121">
        <f>IFERROR(INDEX('_names_lookup'!$C:$C,MATCH(BK121,'_names_lookup'!$A:$A,0)),"")</f>
        <v/>
      </c>
      <c r="BM121">
        <f>IFERROR(INDEX('_names_lookup'!$B:$B,MATCH(BK121,'_names_lookup'!$A:$A,0)),"")</f>
        <v/>
      </c>
      <c r="BS121">
        <f>IFERROR(IF(BR121*AA121=0,"",BR121*AA121),"")</f>
        <v/>
      </c>
    </row>
    <row r="122">
      <c r="O122">
        <f>IFERROR(INDEX('_courses_lookup'!$C:$C,MATCH(K122&amp;L122,'_courses_lookup'!$E:$E,0)),"")</f>
        <v/>
      </c>
      <c r="P122">
        <f>IFERROR(INDEX('_courses_lookup'!$D:$D,MATCH(K122&amp;L122,'_courses_lookup'!$E:$E,0)),"")</f>
        <v/>
      </c>
      <c r="AG122">
        <f>IF(AND(AE122&lt;&gt;"",AF122&lt;&gt;""),ROUNDUP((AF122-AE122)/7,0),"")</f>
        <v/>
      </c>
      <c r="AI122">
        <f>IFERROR(IF(AG122*AH122=0,"",AG122*AH122),"")</f>
        <v/>
      </c>
      <c r="AL122">
        <f>IF(AND(AJ122&lt;&gt;"",AK122&lt;&gt;""),ROUNDUP((AK122-AJ122)/7,0),"")</f>
        <v/>
      </c>
      <c r="AN122">
        <f>IFERROR(IF(AL122*AM122=0,"",AL122*AM122),"")</f>
        <v/>
      </c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L122">
        <f>IFERROR(INDEX('_names_lookup'!$C:$C,MATCH(BK122,'_names_lookup'!$A:$A,0)),"")</f>
        <v/>
      </c>
      <c r="BM122">
        <f>IFERROR(INDEX('_names_lookup'!$B:$B,MATCH(BK122,'_names_lookup'!$A:$A,0)),"")</f>
        <v/>
      </c>
      <c r="BS122">
        <f>IFERROR(IF(BR122*AA122=0,"",BR122*AA122),"")</f>
        <v/>
      </c>
    </row>
    <row r="123">
      <c r="O123">
        <f>IFERROR(INDEX('_courses_lookup'!$C:$C,MATCH(K123&amp;L123,'_courses_lookup'!$E:$E,0)),"")</f>
        <v/>
      </c>
      <c r="P123">
        <f>IFERROR(INDEX('_courses_lookup'!$D:$D,MATCH(K123&amp;L123,'_courses_lookup'!$E:$E,0)),"")</f>
        <v/>
      </c>
      <c r="AG123">
        <f>IF(AND(AE123&lt;&gt;"",AF123&lt;&gt;""),ROUNDUP((AF123-AE123)/7,0),"")</f>
        <v/>
      </c>
      <c r="AI123">
        <f>IFERROR(IF(AG123*AH123=0,"",AG123*AH123),"")</f>
        <v/>
      </c>
      <c r="AL123">
        <f>IF(AND(AJ123&lt;&gt;"",AK123&lt;&gt;""),ROUNDUP((AK123-AJ123)/7,0),"")</f>
        <v/>
      </c>
      <c r="AN123">
        <f>IFERROR(IF(AL123*AM123=0,"",AL123*AM123),"")</f>
        <v/>
      </c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L123">
        <f>IFERROR(INDEX('_names_lookup'!$C:$C,MATCH(BK123,'_names_lookup'!$A:$A,0)),"")</f>
        <v/>
      </c>
      <c r="BM123">
        <f>IFERROR(INDEX('_names_lookup'!$B:$B,MATCH(BK123,'_names_lookup'!$A:$A,0)),"")</f>
        <v/>
      </c>
      <c r="BS123">
        <f>IFERROR(IF(BR123*AA123=0,"",BR123*AA123),"")</f>
        <v/>
      </c>
    </row>
    <row r="124">
      <c r="O124">
        <f>IFERROR(INDEX('_courses_lookup'!$C:$C,MATCH(K124&amp;L124,'_courses_lookup'!$E:$E,0)),"")</f>
        <v/>
      </c>
      <c r="P124">
        <f>IFERROR(INDEX('_courses_lookup'!$D:$D,MATCH(K124&amp;L124,'_courses_lookup'!$E:$E,0)),"")</f>
        <v/>
      </c>
      <c r="AG124">
        <f>IF(AND(AE124&lt;&gt;"",AF124&lt;&gt;""),ROUNDUP((AF124-AE124)/7,0),"")</f>
        <v/>
      </c>
      <c r="AI124">
        <f>IFERROR(IF(AG124*AH124=0,"",AG124*AH124),"")</f>
        <v/>
      </c>
      <c r="AL124">
        <f>IF(AND(AJ124&lt;&gt;"",AK124&lt;&gt;""),ROUNDUP((AK124-AJ124)/7,0),"")</f>
        <v/>
      </c>
      <c r="AN124">
        <f>IFERROR(IF(AL124*AM124=0,"",AL124*AM124),"")</f>
        <v/>
      </c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L124">
        <f>IFERROR(INDEX('_names_lookup'!$C:$C,MATCH(BK124,'_names_lookup'!$A:$A,0)),"")</f>
        <v/>
      </c>
      <c r="BM124">
        <f>IFERROR(INDEX('_names_lookup'!$B:$B,MATCH(BK124,'_names_lookup'!$A:$A,0)),"")</f>
        <v/>
      </c>
      <c r="BS124">
        <f>IFERROR(IF(BR124*AA124=0,"",BR124*AA124),"")</f>
        <v/>
      </c>
    </row>
    <row r="125">
      <c r="O125">
        <f>IFERROR(INDEX('_courses_lookup'!$C:$C,MATCH(K125&amp;L125,'_courses_lookup'!$E:$E,0)),"")</f>
        <v/>
      </c>
      <c r="P125">
        <f>IFERROR(INDEX('_courses_lookup'!$D:$D,MATCH(K125&amp;L125,'_courses_lookup'!$E:$E,0)),"")</f>
        <v/>
      </c>
      <c r="AG125">
        <f>IF(AND(AE125&lt;&gt;"",AF125&lt;&gt;""),ROUNDUP((AF125-AE125)/7,0),"")</f>
        <v/>
      </c>
      <c r="AI125">
        <f>IFERROR(IF(AG125*AH125=0,"",AG125*AH125),"")</f>
        <v/>
      </c>
      <c r="AL125">
        <f>IF(AND(AJ125&lt;&gt;"",AK125&lt;&gt;""),ROUNDUP((AK125-AJ125)/7,0),"")</f>
        <v/>
      </c>
      <c r="AN125">
        <f>IFERROR(IF(AL125*AM125=0,"",AL125*AM125),"")</f>
        <v/>
      </c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L125">
        <f>IFERROR(INDEX('_names_lookup'!$C:$C,MATCH(BK125,'_names_lookup'!$A:$A,0)),"")</f>
        <v/>
      </c>
      <c r="BM125">
        <f>IFERROR(INDEX('_names_lookup'!$B:$B,MATCH(BK125,'_names_lookup'!$A:$A,0)),"")</f>
        <v/>
      </c>
      <c r="BS125">
        <f>IFERROR(IF(BR125*AA125=0,"",BR125*AA125),"")</f>
        <v/>
      </c>
    </row>
    <row r="126">
      <c r="O126">
        <f>IFERROR(INDEX('_courses_lookup'!$C:$C,MATCH(K126&amp;L126,'_courses_lookup'!$E:$E,0)),"")</f>
        <v/>
      </c>
      <c r="P126">
        <f>IFERROR(INDEX('_courses_lookup'!$D:$D,MATCH(K126&amp;L126,'_courses_lookup'!$E:$E,0)),"")</f>
        <v/>
      </c>
      <c r="AG126">
        <f>IF(AND(AE126&lt;&gt;"",AF126&lt;&gt;""),ROUNDUP((AF126-AE126)/7,0),"")</f>
        <v/>
      </c>
      <c r="AI126">
        <f>IFERROR(IF(AG126*AH126=0,"",AG126*AH126),"")</f>
        <v/>
      </c>
      <c r="AL126">
        <f>IF(AND(AJ126&lt;&gt;"",AK126&lt;&gt;""),ROUNDUP((AK126-AJ126)/7,0),"")</f>
        <v/>
      </c>
      <c r="AN126">
        <f>IFERROR(IF(AL126*AM126=0,"",AL126*AM126),"")</f>
        <v/>
      </c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L126">
        <f>IFERROR(INDEX('_names_lookup'!$C:$C,MATCH(BK126,'_names_lookup'!$A:$A,0)),"")</f>
        <v/>
      </c>
      <c r="BM126">
        <f>IFERROR(INDEX('_names_lookup'!$B:$B,MATCH(BK126,'_names_lookup'!$A:$A,0)),"")</f>
        <v/>
      </c>
      <c r="BS126">
        <f>IFERROR(IF(BR126*AA126=0,"",BR126*AA126),"")</f>
        <v/>
      </c>
    </row>
    <row r="127">
      <c r="O127">
        <f>IFERROR(INDEX('_courses_lookup'!$C:$C,MATCH(K127&amp;L127,'_courses_lookup'!$E:$E,0)),"")</f>
        <v/>
      </c>
      <c r="P127">
        <f>IFERROR(INDEX('_courses_lookup'!$D:$D,MATCH(K127&amp;L127,'_courses_lookup'!$E:$E,0)),"")</f>
        <v/>
      </c>
      <c r="AG127">
        <f>IF(AND(AE127&lt;&gt;"",AF127&lt;&gt;""),ROUNDUP((AF127-AE127)/7,0),"")</f>
        <v/>
      </c>
      <c r="AI127">
        <f>IFERROR(IF(AG127*AH127=0,"",AG127*AH127),"")</f>
        <v/>
      </c>
      <c r="AL127">
        <f>IF(AND(AJ127&lt;&gt;"",AK127&lt;&gt;""),ROUNDUP((AK127-AJ127)/7,0),"")</f>
        <v/>
      </c>
      <c r="AN127">
        <f>IFERROR(IF(AL127*AM127=0,"",AL127*AM127),"")</f>
        <v/>
      </c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L127">
        <f>IFERROR(INDEX('_names_lookup'!$C:$C,MATCH(BK127,'_names_lookup'!$A:$A,0)),"")</f>
        <v/>
      </c>
      <c r="BM127">
        <f>IFERROR(INDEX('_names_lookup'!$B:$B,MATCH(BK127,'_names_lookup'!$A:$A,0)),"")</f>
        <v/>
      </c>
      <c r="BS127">
        <f>IFERROR(IF(BR127*AA127=0,"",BR127*AA127),"")</f>
        <v/>
      </c>
    </row>
    <row r="128">
      <c r="O128">
        <f>IFERROR(INDEX('_courses_lookup'!$C:$C,MATCH(K128&amp;L128,'_courses_lookup'!$E:$E,0)),"")</f>
        <v/>
      </c>
      <c r="P128">
        <f>IFERROR(INDEX('_courses_lookup'!$D:$D,MATCH(K128&amp;L128,'_courses_lookup'!$E:$E,0)),"")</f>
        <v/>
      </c>
      <c r="AG128">
        <f>IF(AND(AE128&lt;&gt;"",AF128&lt;&gt;""),ROUNDUP((AF128-AE128)/7,0),"")</f>
        <v/>
      </c>
      <c r="AI128">
        <f>IFERROR(IF(AG128*AH128=0,"",AG128*AH128),"")</f>
        <v/>
      </c>
      <c r="AL128">
        <f>IF(AND(AJ128&lt;&gt;"",AK128&lt;&gt;""),ROUNDUP((AK128-AJ128)/7,0),"")</f>
        <v/>
      </c>
      <c r="AN128">
        <f>IFERROR(IF(AL128*AM128=0,"",AL128*AM128),"")</f>
        <v/>
      </c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L128">
        <f>IFERROR(INDEX('_names_lookup'!$C:$C,MATCH(BK128,'_names_lookup'!$A:$A,0)),"")</f>
        <v/>
      </c>
      <c r="BM128">
        <f>IFERROR(INDEX('_names_lookup'!$B:$B,MATCH(BK128,'_names_lookup'!$A:$A,0)),"")</f>
        <v/>
      </c>
      <c r="BS128">
        <f>IFERROR(IF(BR128*AA128=0,"",BR128*AA128),"")</f>
        <v/>
      </c>
    </row>
    <row r="129">
      <c r="O129">
        <f>IFERROR(INDEX('_courses_lookup'!$C:$C,MATCH(K129&amp;L129,'_courses_lookup'!$E:$E,0)),"")</f>
        <v/>
      </c>
      <c r="P129">
        <f>IFERROR(INDEX('_courses_lookup'!$D:$D,MATCH(K129&amp;L129,'_courses_lookup'!$E:$E,0)),"")</f>
        <v/>
      </c>
      <c r="AG129">
        <f>IF(AND(AE129&lt;&gt;"",AF129&lt;&gt;""),ROUNDUP((AF129-AE129)/7,0),"")</f>
        <v/>
      </c>
      <c r="AI129">
        <f>IFERROR(IF(AG129*AH129=0,"",AG129*AH129),"")</f>
        <v/>
      </c>
      <c r="AL129">
        <f>IF(AND(AJ129&lt;&gt;"",AK129&lt;&gt;""),ROUNDUP((AK129-AJ129)/7,0),"")</f>
        <v/>
      </c>
      <c r="AN129">
        <f>IFERROR(IF(AL129*AM129=0,"",AL129*AM129),"")</f>
        <v/>
      </c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L129">
        <f>IFERROR(INDEX('_names_lookup'!$C:$C,MATCH(BK129,'_names_lookup'!$A:$A,0)),"")</f>
        <v/>
      </c>
      <c r="BM129">
        <f>IFERROR(INDEX('_names_lookup'!$B:$B,MATCH(BK129,'_names_lookup'!$A:$A,0)),"")</f>
        <v/>
      </c>
      <c r="BS129">
        <f>IFERROR(IF(BR129*AA129=0,"",BR129*AA129),"")</f>
        <v/>
      </c>
    </row>
    <row r="130">
      <c r="O130">
        <f>IFERROR(INDEX('_courses_lookup'!$C:$C,MATCH(K130&amp;L130,'_courses_lookup'!$E:$E,0)),"")</f>
        <v/>
      </c>
      <c r="P130">
        <f>IFERROR(INDEX('_courses_lookup'!$D:$D,MATCH(K130&amp;L130,'_courses_lookup'!$E:$E,0)),"")</f>
        <v/>
      </c>
      <c r="AG130">
        <f>IF(AND(AE130&lt;&gt;"",AF130&lt;&gt;""),ROUNDUP((AF130-AE130)/7,0),"")</f>
        <v/>
      </c>
      <c r="AI130">
        <f>IFERROR(IF(AG130*AH130=0,"",AG130*AH130),"")</f>
        <v/>
      </c>
      <c r="AL130">
        <f>IF(AND(AJ130&lt;&gt;"",AK130&lt;&gt;""),ROUNDUP((AK130-AJ130)/7,0),"")</f>
        <v/>
      </c>
      <c r="AN130">
        <f>IFERROR(IF(AL130*AM130=0,"",AL130*AM130),"")</f>
        <v/>
      </c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L130">
        <f>IFERROR(INDEX('_names_lookup'!$C:$C,MATCH(BK130,'_names_lookup'!$A:$A,0)),"")</f>
        <v/>
      </c>
      <c r="BM130">
        <f>IFERROR(INDEX('_names_lookup'!$B:$B,MATCH(BK130,'_names_lookup'!$A:$A,0)),"")</f>
        <v/>
      </c>
      <c r="BS130">
        <f>IFERROR(IF(BR130*AA130=0,"",BR130*AA130),"")</f>
        <v/>
      </c>
    </row>
    <row r="131">
      <c r="O131">
        <f>IFERROR(INDEX('_courses_lookup'!$C:$C,MATCH(K131&amp;L131,'_courses_lookup'!$E:$E,0)),"")</f>
        <v/>
      </c>
      <c r="P131">
        <f>IFERROR(INDEX('_courses_lookup'!$D:$D,MATCH(K131&amp;L131,'_courses_lookup'!$E:$E,0)),"")</f>
        <v/>
      </c>
      <c r="AG131">
        <f>IF(AND(AE131&lt;&gt;"",AF131&lt;&gt;""),ROUNDUP((AF131-AE131)/7,0),"")</f>
        <v/>
      </c>
      <c r="AI131">
        <f>IFERROR(IF(AG131*AH131=0,"",AG131*AH131),"")</f>
        <v/>
      </c>
      <c r="AL131">
        <f>IF(AND(AJ131&lt;&gt;"",AK131&lt;&gt;""),ROUNDUP((AK131-AJ131)/7,0),"")</f>
        <v/>
      </c>
      <c r="AN131">
        <f>IFERROR(IF(AL131*AM131=0,"",AL131*AM131),"")</f>
        <v/>
      </c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L131">
        <f>IFERROR(INDEX('_names_lookup'!$C:$C,MATCH(BK131,'_names_lookup'!$A:$A,0)),"")</f>
        <v/>
      </c>
      <c r="BM131">
        <f>IFERROR(INDEX('_names_lookup'!$B:$B,MATCH(BK131,'_names_lookup'!$A:$A,0)),"")</f>
        <v/>
      </c>
      <c r="BS131">
        <f>IFERROR(IF(BR131*AA131=0,"",BR131*AA131),"")</f>
        <v/>
      </c>
    </row>
    <row r="132">
      <c r="O132">
        <f>IFERROR(INDEX('_courses_lookup'!$C:$C,MATCH(K132&amp;L132,'_courses_lookup'!$E:$E,0)),"")</f>
        <v/>
      </c>
      <c r="P132">
        <f>IFERROR(INDEX('_courses_lookup'!$D:$D,MATCH(K132&amp;L132,'_courses_lookup'!$E:$E,0)),"")</f>
        <v/>
      </c>
      <c r="AG132">
        <f>IF(AND(AE132&lt;&gt;"",AF132&lt;&gt;""),ROUNDUP((AF132-AE132)/7,0),"")</f>
        <v/>
      </c>
      <c r="AI132">
        <f>IFERROR(IF(AG132*AH132=0,"",AG132*AH132),"")</f>
        <v/>
      </c>
      <c r="AL132">
        <f>IF(AND(AJ132&lt;&gt;"",AK132&lt;&gt;""),ROUNDUP((AK132-AJ132)/7,0),"")</f>
        <v/>
      </c>
      <c r="AN132">
        <f>IFERROR(IF(AL132*AM132=0,"",AL132*AM132),"")</f>
        <v/>
      </c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L132">
        <f>IFERROR(INDEX('_names_lookup'!$C:$C,MATCH(BK132,'_names_lookup'!$A:$A,0)),"")</f>
        <v/>
      </c>
      <c r="BM132">
        <f>IFERROR(INDEX('_names_lookup'!$B:$B,MATCH(BK132,'_names_lookup'!$A:$A,0)),"")</f>
        <v/>
      </c>
      <c r="BS132">
        <f>IFERROR(IF(BR132*AA132=0,"",BR132*AA132),"")</f>
        <v/>
      </c>
    </row>
    <row r="133">
      <c r="O133">
        <f>IFERROR(INDEX('_courses_lookup'!$C:$C,MATCH(K133&amp;L133,'_courses_lookup'!$E:$E,0)),"")</f>
        <v/>
      </c>
      <c r="P133">
        <f>IFERROR(INDEX('_courses_lookup'!$D:$D,MATCH(K133&amp;L133,'_courses_lookup'!$E:$E,0)),"")</f>
        <v/>
      </c>
      <c r="AG133">
        <f>IF(AND(AE133&lt;&gt;"",AF133&lt;&gt;""),ROUNDUP((AF133-AE133)/7,0),"")</f>
        <v/>
      </c>
      <c r="AI133">
        <f>IFERROR(IF(AG133*AH133=0,"",AG133*AH133),"")</f>
        <v/>
      </c>
      <c r="AL133">
        <f>IF(AND(AJ133&lt;&gt;"",AK133&lt;&gt;""),ROUNDUP((AK133-AJ133)/7,0),"")</f>
        <v/>
      </c>
      <c r="AN133">
        <f>IFERROR(IF(AL133*AM133=0,"",AL133*AM133),"")</f>
        <v/>
      </c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L133">
        <f>IFERROR(INDEX('_names_lookup'!$C:$C,MATCH(BK133,'_names_lookup'!$A:$A,0)),"")</f>
        <v/>
      </c>
      <c r="BM133">
        <f>IFERROR(INDEX('_names_lookup'!$B:$B,MATCH(BK133,'_names_lookup'!$A:$A,0)),"")</f>
        <v/>
      </c>
      <c r="BS133">
        <f>IFERROR(IF(BR133*AA133=0,"",BR133*AA133),"")</f>
        <v/>
      </c>
    </row>
    <row r="134">
      <c r="O134">
        <f>IFERROR(INDEX('_courses_lookup'!$C:$C,MATCH(K134&amp;L134,'_courses_lookup'!$E:$E,0)),"")</f>
        <v/>
      </c>
      <c r="P134">
        <f>IFERROR(INDEX('_courses_lookup'!$D:$D,MATCH(K134&amp;L134,'_courses_lookup'!$E:$E,0)),"")</f>
        <v/>
      </c>
      <c r="AG134">
        <f>IF(AND(AE134&lt;&gt;"",AF134&lt;&gt;""),ROUNDUP((AF134-AE134)/7,0),"")</f>
        <v/>
      </c>
      <c r="AI134">
        <f>IFERROR(IF(AG134*AH134=0,"",AG134*AH134),"")</f>
        <v/>
      </c>
      <c r="AL134">
        <f>IF(AND(AJ134&lt;&gt;"",AK134&lt;&gt;""),ROUNDUP((AK134-AJ134)/7,0),"")</f>
        <v/>
      </c>
      <c r="AN134">
        <f>IFERROR(IF(AL134*AM134=0,"",AL134*AM134),"")</f>
        <v/>
      </c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L134">
        <f>IFERROR(INDEX('_names_lookup'!$C:$C,MATCH(BK134,'_names_lookup'!$A:$A,0)),"")</f>
        <v/>
      </c>
      <c r="BM134">
        <f>IFERROR(INDEX('_names_lookup'!$B:$B,MATCH(BK134,'_names_lookup'!$A:$A,0)),"")</f>
        <v/>
      </c>
      <c r="BS134">
        <f>IFERROR(IF(BR134*AA134=0,"",BR134*AA134),"")</f>
        <v/>
      </c>
    </row>
    <row r="135">
      <c r="O135">
        <f>IFERROR(INDEX('_courses_lookup'!$C:$C,MATCH(K135&amp;L135,'_courses_lookup'!$E:$E,0)),"")</f>
        <v/>
      </c>
      <c r="P135">
        <f>IFERROR(INDEX('_courses_lookup'!$D:$D,MATCH(K135&amp;L135,'_courses_lookup'!$E:$E,0)),"")</f>
        <v/>
      </c>
      <c r="AG135">
        <f>IF(AND(AE135&lt;&gt;"",AF135&lt;&gt;""),ROUNDUP((AF135-AE135)/7,0),"")</f>
        <v/>
      </c>
      <c r="AI135">
        <f>IFERROR(IF(AG135*AH135=0,"",AG135*AH135),"")</f>
        <v/>
      </c>
      <c r="AL135">
        <f>IF(AND(AJ135&lt;&gt;"",AK135&lt;&gt;""),ROUNDUP((AK135-AJ135)/7,0),"")</f>
        <v/>
      </c>
      <c r="AN135">
        <f>IFERROR(IF(AL135*AM135=0,"",AL135*AM135),"")</f>
        <v/>
      </c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L135">
        <f>IFERROR(INDEX('_names_lookup'!$C:$C,MATCH(BK135,'_names_lookup'!$A:$A,0)),"")</f>
        <v/>
      </c>
      <c r="BM135">
        <f>IFERROR(INDEX('_names_lookup'!$B:$B,MATCH(BK135,'_names_lookup'!$A:$A,0)),"")</f>
        <v/>
      </c>
      <c r="BS135">
        <f>IFERROR(IF(BR135*AA135=0,"",BR135*AA135),"")</f>
        <v/>
      </c>
    </row>
    <row r="136">
      <c r="O136">
        <f>IFERROR(INDEX('_courses_lookup'!$C:$C,MATCH(K136&amp;L136,'_courses_lookup'!$E:$E,0)),"")</f>
        <v/>
      </c>
      <c r="P136">
        <f>IFERROR(INDEX('_courses_lookup'!$D:$D,MATCH(K136&amp;L136,'_courses_lookup'!$E:$E,0)),"")</f>
        <v/>
      </c>
      <c r="AG136">
        <f>IF(AND(AE136&lt;&gt;"",AF136&lt;&gt;""),ROUNDUP((AF136-AE136)/7,0),"")</f>
        <v/>
      </c>
      <c r="AI136">
        <f>IFERROR(IF(AG136*AH136=0,"",AG136*AH136),"")</f>
        <v/>
      </c>
      <c r="AL136">
        <f>IF(AND(AJ136&lt;&gt;"",AK136&lt;&gt;""),ROUNDUP((AK136-AJ136)/7,0),"")</f>
        <v/>
      </c>
      <c r="AN136">
        <f>IFERROR(IF(AL136*AM136=0,"",AL136*AM136),"")</f>
        <v/>
      </c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L136">
        <f>IFERROR(INDEX('_names_lookup'!$C:$C,MATCH(BK136,'_names_lookup'!$A:$A,0)),"")</f>
        <v/>
      </c>
      <c r="BM136">
        <f>IFERROR(INDEX('_names_lookup'!$B:$B,MATCH(BK136,'_names_lookup'!$A:$A,0)),"")</f>
        <v/>
      </c>
      <c r="BS136">
        <f>IFERROR(IF(BR136*AA136=0,"",BR136*AA136),"")</f>
        <v/>
      </c>
    </row>
    <row r="137">
      <c r="O137">
        <f>IFERROR(INDEX('_courses_lookup'!$C:$C,MATCH(K137&amp;L137,'_courses_lookup'!$E:$E,0)),"")</f>
        <v/>
      </c>
      <c r="P137">
        <f>IFERROR(INDEX('_courses_lookup'!$D:$D,MATCH(K137&amp;L137,'_courses_lookup'!$E:$E,0)),"")</f>
        <v/>
      </c>
      <c r="AG137">
        <f>IF(AND(AE137&lt;&gt;"",AF137&lt;&gt;""),ROUNDUP((AF137-AE137)/7,0),"")</f>
        <v/>
      </c>
      <c r="AI137">
        <f>IFERROR(IF(AG137*AH137=0,"",AG137*AH137),"")</f>
        <v/>
      </c>
      <c r="AL137">
        <f>IF(AND(AJ137&lt;&gt;"",AK137&lt;&gt;""),ROUNDUP((AK137-AJ137)/7,0),"")</f>
        <v/>
      </c>
      <c r="AN137">
        <f>IFERROR(IF(AL137*AM137=0,"",AL137*AM137),"")</f>
        <v/>
      </c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L137">
        <f>IFERROR(INDEX('_names_lookup'!$C:$C,MATCH(BK137,'_names_lookup'!$A:$A,0)),"")</f>
        <v/>
      </c>
      <c r="BM137">
        <f>IFERROR(INDEX('_names_lookup'!$B:$B,MATCH(BK137,'_names_lookup'!$A:$A,0)),"")</f>
        <v/>
      </c>
      <c r="BS137">
        <f>IFERROR(IF(BR137*AA137=0,"",BR137*AA137),"")</f>
        <v/>
      </c>
    </row>
    <row r="138">
      <c r="O138">
        <f>IFERROR(INDEX('_courses_lookup'!$C:$C,MATCH(K138&amp;L138,'_courses_lookup'!$E:$E,0)),"")</f>
        <v/>
      </c>
      <c r="P138">
        <f>IFERROR(INDEX('_courses_lookup'!$D:$D,MATCH(K138&amp;L138,'_courses_lookup'!$E:$E,0)),"")</f>
        <v/>
      </c>
      <c r="AG138">
        <f>IF(AND(AE138&lt;&gt;"",AF138&lt;&gt;""),ROUNDUP((AF138-AE138)/7,0),"")</f>
        <v/>
      </c>
      <c r="AI138">
        <f>IFERROR(IF(AG138*AH138=0,"",AG138*AH138),"")</f>
        <v/>
      </c>
      <c r="AL138">
        <f>IF(AND(AJ138&lt;&gt;"",AK138&lt;&gt;""),ROUNDUP((AK138-AJ138)/7,0),"")</f>
        <v/>
      </c>
      <c r="AN138">
        <f>IFERROR(IF(AL138*AM138=0,"",AL138*AM138),"")</f>
        <v/>
      </c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L138">
        <f>IFERROR(INDEX('_names_lookup'!$C:$C,MATCH(BK138,'_names_lookup'!$A:$A,0)),"")</f>
        <v/>
      </c>
      <c r="BM138">
        <f>IFERROR(INDEX('_names_lookup'!$B:$B,MATCH(BK138,'_names_lookup'!$A:$A,0)),"")</f>
        <v/>
      </c>
      <c r="BS138">
        <f>IFERROR(IF(BR138*AA138=0,"",BR138*AA138),"")</f>
        <v/>
      </c>
    </row>
    <row r="139">
      <c r="O139">
        <f>IFERROR(INDEX('_courses_lookup'!$C:$C,MATCH(K139&amp;L139,'_courses_lookup'!$E:$E,0)),"")</f>
        <v/>
      </c>
      <c r="P139">
        <f>IFERROR(INDEX('_courses_lookup'!$D:$D,MATCH(K139&amp;L139,'_courses_lookup'!$E:$E,0)),"")</f>
        <v/>
      </c>
      <c r="AG139">
        <f>IF(AND(AE139&lt;&gt;"",AF139&lt;&gt;""),ROUNDUP((AF139-AE139)/7,0),"")</f>
        <v/>
      </c>
      <c r="AI139">
        <f>IFERROR(IF(AG139*AH139=0,"",AG139*AH139),"")</f>
        <v/>
      </c>
      <c r="AL139">
        <f>IF(AND(AJ139&lt;&gt;"",AK139&lt;&gt;""),ROUNDUP((AK139-AJ139)/7,0),"")</f>
        <v/>
      </c>
      <c r="AN139">
        <f>IFERROR(IF(AL139*AM139=0,"",AL139*AM139),"")</f>
        <v/>
      </c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L139">
        <f>IFERROR(INDEX('_names_lookup'!$C:$C,MATCH(BK139,'_names_lookup'!$A:$A,0)),"")</f>
        <v/>
      </c>
      <c r="BM139">
        <f>IFERROR(INDEX('_names_lookup'!$B:$B,MATCH(BK139,'_names_lookup'!$A:$A,0)),"")</f>
        <v/>
      </c>
      <c r="BS139">
        <f>IFERROR(IF(BR139*AA139=0,"",BR139*AA139),"")</f>
        <v/>
      </c>
    </row>
    <row r="140">
      <c r="O140">
        <f>IFERROR(INDEX('_courses_lookup'!$C:$C,MATCH(K140&amp;L140,'_courses_lookup'!$E:$E,0)),"")</f>
        <v/>
      </c>
      <c r="P140">
        <f>IFERROR(INDEX('_courses_lookup'!$D:$D,MATCH(K140&amp;L140,'_courses_lookup'!$E:$E,0)),"")</f>
        <v/>
      </c>
      <c r="AG140">
        <f>IF(AND(AE140&lt;&gt;"",AF140&lt;&gt;""),ROUNDUP((AF140-AE140)/7,0),"")</f>
        <v/>
      </c>
      <c r="AI140">
        <f>IFERROR(IF(AG140*AH140=0,"",AG140*AH140),"")</f>
        <v/>
      </c>
      <c r="AL140">
        <f>IF(AND(AJ140&lt;&gt;"",AK140&lt;&gt;""),ROUNDUP((AK140-AJ140)/7,0),"")</f>
        <v/>
      </c>
      <c r="AN140">
        <f>IFERROR(IF(AL140*AM140=0,"",AL140*AM140),"")</f>
        <v/>
      </c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L140">
        <f>IFERROR(INDEX('_names_lookup'!$C:$C,MATCH(BK140,'_names_lookup'!$A:$A,0)),"")</f>
        <v/>
      </c>
      <c r="BM140">
        <f>IFERROR(INDEX('_names_lookup'!$B:$B,MATCH(BK140,'_names_lookup'!$A:$A,0)),"")</f>
        <v/>
      </c>
      <c r="BS140">
        <f>IFERROR(IF(BR140*AA140=0,"",BR140*AA140),"")</f>
        <v/>
      </c>
    </row>
    <row r="141">
      <c r="O141">
        <f>IFERROR(INDEX('_courses_lookup'!$C:$C,MATCH(K141&amp;L141,'_courses_lookup'!$E:$E,0)),"")</f>
        <v/>
      </c>
      <c r="P141">
        <f>IFERROR(INDEX('_courses_lookup'!$D:$D,MATCH(K141&amp;L141,'_courses_lookup'!$E:$E,0)),"")</f>
        <v/>
      </c>
      <c r="AG141">
        <f>IF(AND(AE141&lt;&gt;"",AF141&lt;&gt;""),ROUNDUP((AF141-AE141)/7,0),"")</f>
        <v/>
      </c>
      <c r="AI141">
        <f>IFERROR(IF(AG141*AH141=0,"",AG141*AH141),"")</f>
        <v/>
      </c>
      <c r="AL141">
        <f>IF(AND(AJ141&lt;&gt;"",AK141&lt;&gt;""),ROUNDUP((AK141-AJ141)/7,0),"")</f>
        <v/>
      </c>
      <c r="AN141">
        <f>IFERROR(IF(AL141*AM141=0,"",AL141*AM141),"")</f>
        <v/>
      </c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L141">
        <f>IFERROR(INDEX('_names_lookup'!$C:$C,MATCH(BK141,'_names_lookup'!$A:$A,0)),"")</f>
        <v/>
      </c>
      <c r="BM141">
        <f>IFERROR(INDEX('_names_lookup'!$B:$B,MATCH(BK141,'_names_lookup'!$A:$A,0)),"")</f>
        <v/>
      </c>
      <c r="BS141">
        <f>IFERROR(IF(BR141*AA141=0,"",BR141*AA141),"")</f>
        <v/>
      </c>
    </row>
    <row r="142">
      <c r="O142">
        <f>IFERROR(INDEX('_courses_lookup'!$C:$C,MATCH(K142&amp;L142,'_courses_lookup'!$E:$E,0)),"")</f>
        <v/>
      </c>
      <c r="P142">
        <f>IFERROR(INDEX('_courses_lookup'!$D:$D,MATCH(K142&amp;L142,'_courses_lookup'!$E:$E,0)),"")</f>
        <v/>
      </c>
      <c r="AG142">
        <f>IF(AND(AE142&lt;&gt;"",AF142&lt;&gt;""),ROUNDUP((AF142-AE142)/7,0),"")</f>
        <v/>
      </c>
      <c r="AI142">
        <f>IFERROR(IF(AG142*AH142=0,"",AG142*AH142),"")</f>
        <v/>
      </c>
      <c r="AL142">
        <f>IF(AND(AJ142&lt;&gt;"",AK142&lt;&gt;""),ROUNDUP((AK142-AJ142)/7,0),"")</f>
        <v/>
      </c>
      <c r="AN142">
        <f>IFERROR(IF(AL142*AM142=0,"",AL142*AM142),"")</f>
        <v/>
      </c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L142">
        <f>IFERROR(INDEX('_names_lookup'!$C:$C,MATCH(BK142,'_names_lookup'!$A:$A,0)),"")</f>
        <v/>
      </c>
      <c r="BM142">
        <f>IFERROR(INDEX('_names_lookup'!$B:$B,MATCH(BK142,'_names_lookup'!$A:$A,0)),"")</f>
        <v/>
      </c>
      <c r="BS142">
        <f>IFERROR(IF(BR142*AA142=0,"",BR142*AA142),"")</f>
        <v/>
      </c>
    </row>
    <row r="143">
      <c r="O143">
        <f>IFERROR(INDEX('_courses_lookup'!$C:$C,MATCH(K143&amp;L143,'_courses_lookup'!$E:$E,0)),"")</f>
        <v/>
      </c>
      <c r="P143">
        <f>IFERROR(INDEX('_courses_lookup'!$D:$D,MATCH(K143&amp;L143,'_courses_lookup'!$E:$E,0)),"")</f>
        <v/>
      </c>
      <c r="AG143">
        <f>IF(AND(AE143&lt;&gt;"",AF143&lt;&gt;""),ROUNDUP((AF143-AE143)/7,0),"")</f>
        <v/>
      </c>
      <c r="AI143">
        <f>IFERROR(IF(AG143*AH143=0,"",AG143*AH143),"")</f>
        <v/>
      </c>
      <c r="AL143">
        <f>IF(AND(AJ143&lt;&gt;"",AK143&lt;&gt;""),ROUNDUP((AK143-AJ143)/7,0),"")</f>
        <v/>
      </c>
      <c r="AN143">
        <f>IFERROR(IF(AL143*AM143=0,"",AL143*AM143),"")</f>
        <v/>
      </c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L143">
        <f>IFERROR(INDEX('_names_lookup'!$C:$C,MATCH(BK143,'_names_lookup'!$A:$A,0)),"")</f>
        <v/>
      </c>
      <c r="BM143">
        <f>IFERROR(INDEX('_names_lookup'!$B:$B,MATCH(BK143,'_names_lookup'!$A:$A,0)),"")</f>
        <v/>
      </c>
      <c r="BS143">
        <f>IFERROR(IF(BR143*AA143=0,"",BR143*AA143),"")</f>
        <v/>
      </c>
    </row>
    <row r="144">
      <c r="O144">
        <f>IFERROR(INDEX('_courses_lookup'!$C:$C,MATCH(K144&amp;L144,'_courses_lookup'!$E:$E,0)),"")</f>
        <v/>
      </c>
      <c r="P144">
        <f>IFERROR(INDEX('_courses_lookup'!$D:$D,MATCH(K144&amp;L144,'_courses_lookup'!$E:$E,0)),"")</f>
        <v/>
      </c>
      <c r="AG144">
        <f>IF(AND(AE144&lt;&gt;"",AF144&lt;&gt;""),ROUNDUP((AF144-AE144)/7,0),"")</f>
        <v/>
      </c>
      <c r="AI144">
        <f>IFERROR(IF(AG144*AH144=0,"",AG144*AH144),"")</f>
        <v/>
      </c>
      <c r="AL144">
        <f>IF(AND(AJ144&lt;&gt;"",AK144&lt;&gt;""),ROUNDUP((AK144-AJ144)/7,0),"")</f>
        <v/>
      </c>
      <c r="AN144">
        <f>IFERROR(IF(AL144*AM144=0,"",AL144*AM144),"")</f>
        <v/>
      </c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L144">
        <f>IFERROR(INDEX('_names_lookup'!$C:$C,MATCH(BK144,'_names_lookup'!$A:$A,0)),"")</f>
        <v/>
      </c>
      <c r="BM144">
        <f>IFERROR(INDEX('_names_lookup'!$B:$B,MATCH(BK144,'_names_lookup'!$A:$A,0)),"")</f>
        <v/>
      </c>
      <c r="BS144">
        <f>IFERROR(IF(BR144*AA144=0,"",BR144*AA144),"")</f>
        <v/>
      </c>
    </row>
    <row r="145">
      <c r="O145">
        <f>IFERROR(INDEX('_courses_lookup'!$C:$C,MATCH(K145&amp;L145,'_courses_lookup'!$E:$E,0)),"")</f>
        <v/>
      </c>
      <c r="P145">
        <f>IFERROR(INDEX('_courses_lookup'!$D:$D,MATCH(K145&amp;L145,'_courses_lookup'!$E:$E,0)),"")</f>
        <v/>
      </c>
      <c r="AG145">
        <f>IF(AND(AE145&lt;&gt;"",AF145&lt;&gt;""),ROUNDUP((AF145-AE145)/7,0),"")</f>
        <v/>
      </c>
      <c r="AI145">
        <f>IFERROR(IF(AG145*AH145=0,"",AG145*AH145),"")</f>
        <v/>
      </c>
      <c r="AL145">
        <f>IF(AND(AJ145&lt;&gt;"",AK145&lt;&gt;""),ROUNDUP((AK145-AJ145)/7,0),"")</f>
        <v/>
      </c>
      <c r="AN145">
        <f>IFERROR(IF(AL145*AM145=0,"",AL145*AM145),"")</f>
        <v/>
      </c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L145">
        <f>IFERROR(INDEX('_names_lookup'!$C:$C,MATCH(BK145,'_names_lookup'!$A:$A,0)),"")</f>
        <v/>
      </c>
      <c r="BM145">
        <f>IFERROR(INDEX('_names_lookup'!$B:$B,MATCH(BK145,'_names_lookup'!$A:$A,0)),"")</f>
        <v/>
      </c>
      <c r="BS145">
        <f>IFERROR(IF(BR145*AA145=0,"",BR145*AA145),"")</f>
        <v/>
      </c>
    </row>
    <row r="146">
      <c r="O146">
        <f>IFERROR(INDEX('_courses_lookup'!$C:$C,MATCH(K146&amp;L146,'_courses_lookup'!$E:$E,0)),"")</f>
        <v/>
      </c>
      <c r="P146">
        <f>IFERROR(INDEX('_courses_lookup'!$D:$D,MATCH(K146&amp;L146,'_courses_lookup'!$E:$E,0)),"")</f>
        <v/>
      </c>
      <c r="AG146">
        <f>IF(AND(AE146&lt;&gt;"",AF146&lt;&gt;""),ROUNDUP((AF146-AE146)/7,0),"")</f>
        <v/>
      </c>
      <c r="AI146">
        <f>IFERROR(IF(AG146*AH146=0,"",AG146*AH146),"")</f>
        <v/>
      </c>
      <c r="AL146">
        <f>IF(AND(AJ146&lt;&gt;"",AK146&lt;&gt;""),ROUNDUP((AK146-AJ146)/7,0),"")</f>
        <v/>
      </c>
      <c r="AN146">
        <f>IFERROR(IF(AL146*AM146=0,"",AL146*AM146),"")</f>
        <v/>
      </c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L146">
        <f>IFERROR(INDEX('_names_lookup'!$C:$C,MATCH(BK146,'_names_lookup'!$A:$A,0)),"")</f>
        <v/>
      </c>
      <c r="BM146">
        <f>IFERROR(INDEX('_names_lookup'!$B:$B,MATCH(BK146,'_names_lookup'!$A:$A,0)),"")</f>
        <v/>
      </c>
      <c r="BS146">
        <f>IFERROR(IF(BR146*AA146=0,"",BR146*AA146),"")</f>
        <v/>
      </c>
    </row>
    <row r="147">
      <c r="O147">
        <f>IFERROR(INDEX('_courses_lookup'!$C:$C,MATCH(K147&amp;L147,'_courses_lookup'!$E:$E,0)),"")</f>
        <v/>
      </c>
      <c r="P147">
        <f>IFERROR(INDEX('_courses_lookup'!$D:$D,MATCH(K147&amp;L147,'_courses_lookup'!$E:$E,0)),"")</f>
        <v/>
      </c>
      <c r="AG147">
        <f>IF(AND(AE147&lt;&gt;"",AF147&lt;&gt;""),ROUNDUP((AF147-AE147)/7,0),"")</f>
        <v/>
      </c>
      <c r="AI147">
        <f>IFERROR(IF(AG147*AH147=0,"",AG147*AH147),"")</f>
        <v/>
      </c>
      <c r="AL147">
        <f>IF(AND(AJ147&lt;&gt;"",AK147&lt;&gt;""),ROUNDUP((AK147-AJ147)/7,0),"")</f>
        <v/>
      </c>
      <c r="AN147">
        <f>IFERROR(IF(AL147*AM147=0,"",AL147*AM147),"")</f>
        <v/>
      </c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L147">
        <f>IFERROR(INDEX('_names_lookup'!$C:$C,MATCH(BK147,'_names_lookup'!$A:$A,0)),"")</f>
        <v/>
      </c>
      <c r="BM147">
        <f>IFERROR(INDEX('_names_lookup'!$B:$B,MATCH(BK147,'_names_lookup'!$A:$A,0)),"")</f>
        <v/>
      </c>
      <c r="BS147">
        <f>IFERROR(IF(BR147*AA147=0,"",BR147*AA147),"")</f>
        <v/>
      </c>
    </row>
    <row r="148">
      <c r="O148">
        <f>IFERROR(INDEX('_courses_lookup'!$C:$C,MATCH(K148&amp;L148,'_courses_lookup'!$E:$E,0)),"")</f>
        <v/>
      </c>
      <c r="P148">
        <f>IFERROR(INDEX('_courses_lookup'!$D:$D,MATCH(K148&amp;L148,'_courses_lookup'!$E:$E,0)),"")</f>
        <v/>
      </c>
      <c r="AG148">
        <f>IF(AND(AE148&lt;&gt;"",AF148&lt;&gt;""),ROUNDUP((AF148-AE148)/7,0),"")</f>
        <v/>
      </c>
      <c r="AI148">
        <f>IFERROR(IF(AG148*AH148=0,"",AG148*AH148),"")</f>
        <v/>
      </c>
      <c r="AL148">
        <f>IF(AND(AJ148&lt;&gt;"",AK148&lt;&gt;""),ROUNDUP((AK148-AJ148)/7,0),"")</f>
        <v/>
      </c>
      <c r="AN148">
        <f>IFERROR(IF(AL148*AM148=0,"",AL148*AM148),"")</f>
        <v/>
      </c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L148">
        <f>IFERROR(INDEX('_names_lookup'!$C:$C,MATCH(BK148,'_names_lookup'!$A:$A,0)),"")</f>
        <v/>
      </c>
      <c r="BM148">
        <f>IFERROR(INDEX('_names_lookup'!$B:$B,MATCH(BK148,'_names_lookup'!$A:$A,0)),"")</f>
        <v/>
      </c>
      <c r="BS148">
        <f>IFERROR(IF(BR148*AA148=0,"",BR148*AA148),"")</f>
        <v/>
      </c>
    </row>
    <row r="149">
      <c r="O149">
        <f>IFERROR(INDEX('_courses_lookup'!$C:$C,MATCH(K149&amp;L149,'_courses_lookup'!$E:$E,0)),"")</f>
        <v/>
      </c>
      <c r="P149">
        <f>IFERROR(INDEX('_courses_lookup'!$D:$D,MATCH(K149&amp;L149,'_courses_lookup'!$E:$E,0)),"")</f>
        <v/>
      </c>
      <c r="AG149">
        <f>IF(AND(AE149&lt;&gt;"",AF149&lt;&gt;""),ROUNDUP((AF149-AE149)/7,0),"")</f>
        <v/>
      </c>
      <c r="AI149">
        <f>IFERROR(IF(AG149*AH149=0,"",AG149*AH149),"")</f>
        <v/>
      </c>
      <c r="AL149">
        <f>IF(AND(AJ149&lt;&gt;"",AK149&lt;&gt;""),ROUNDUP((AK149-AJ149)/7,0),"")</f>
        <v/>
      </c>
      <c r="AN149">
        <f>IFERROR(IF(AL149*AM149=0,"",AL149*AM149),"")</f>
        <v/>
      </c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L149">
        <f>IFERROR(INDEX('_names_lookup'!$C:$C,MATCH(BK149,'_names_lookup'!$A:$A,0)),"")</f>
        <v/>
      </c>
      <c r="BM149">
        <f>IFERROR(INDEX('_names_lookup'!$B:$B,MATCH(BK149,'_names_lookup'!$A:$A,0)),"")</f>
        <v/>
      </c>
      <c r="BS149">
        <f>IFERROR(IF(BR149*AA149=0,"",BR149*AA149),"")</f>
        <v/>
      </c>
    </row>
    <row r="150">
      <c r="O150">
        <f>IFERROR(INDEX('_courses_lookup'!$C:$C,MATCH(K150&amp;L150,'_courses_lookup'!$E:$E,0)),"")</f>
        <v/>
      </c>
      <c r="P150">
        <f>IFERROR(INDEX('_courses_lookup'!$D:$D,MATCH(K150&amp;L150,'_courses_lookup'!$E:$E,0)),"")</f>
        <v/>
      </c>
      <c r="AG150">
        <f>IF(AND(AE150&lt;&gt;"",AF150&lt;&gt;""),ROUNDUP((AF150-AE150)/7,0),"")</f>
        <v/>
      </c>
      <c r="AI150">
        <f>IFERROR(IF(AG150*AH150=0,"",AG150*AH150),"")</f>
        <v/>
      </c>
      <c r="AL150">
        <f>IF(AND(AJ150&lt;&gt;"",AK150&lt;&gt;""),ROUNDUP((AK150-AJ150)/7,0),"")</f>
        <v/>
      </c>
      <c r="AN150">
        <f>IFERROR(IF(AL150*AM150=0,"",AL150*AM150),"")</f>
        <v/>
      </c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L150">
        <f>IFERROR(INDEX('_names_lookup'!$C:$C,MATCH(BK150,'_names_lookup'!$A:$A,0)),"")</f>
        <v/>
      </c>
      <c r="BM150">
        <f>IFERROR(INDEX('_names_lookup'!$B:$B,MATCH(BK150,'_names_lookup'!$A:$A,0)),"")</f>
        <v/>
      </c>
      <c r="BS150">
        <f>IFERROR(IF(BR150*AA150=0,"",BR150*AA150),"")</f>
        <v/>
      </c>
    </row>
    <row r="151">
      <c r="O151">
        <f>IFERROR(INDEX('_courses_lookup'!$C:$C,MATCH(K151&amp;L151,'_courses_lookup'!$E:$E,0)),"")</f>
        <v/>
      </c>
      <c r="P151">
        <f>IFERROR(INDEX('_courses_lookup'!$D:$D,MATCH(K151&amp;L151,'_courses_lookup'!$E:$E,0)),"")</f>
        <v/>
      </c>
      <c r="AG151">
        <f>IF(AND(AE151&lt;&gt;"",AF151&lt;&gt;""),ROUNDUP((AF151-AE151)/7,0),"")</f>
        <v/>
      </c>
      <c r="AI151">
        <f>IFERROR(IF(AG151*AH151=0,"",AG151*AH151),"")</f>
        <v/>
      </c>
      <c r="AL151">
        <f>IF(AND(AJ151&lt;&gt;"",AK151&lt;&gt;""),ROUNDUP((AK151-AJ151)/7,0),"")</f>
        <v/>
      </c>
      <c r="AN151">
        <f>IFERROR(IF(AL151*AM151=0,"",AL151*AM151),"")</f>
        <v/>
      </c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L151">
        <f>IFERROR(INDEX('_names_lookup'!$C:$C,MATCH(BK151,'_names_lookup'!$A:$A,0)),"")</f>
        <v/>
      </c>
      <c r="BM151">
        <f>IFERROR(INDEX('_names_lookup'!$B:$B,MATCH(BK151,'_names_lookup'!$A:$A,0)),"")</f>
        <v/>
      </c>
      <c r="BS151">
        <f>IFERROR(IF(BR151*AA151=0,"",BR151*AA151),"")</f>
        <v/>
      </c>
    </row>
    <row r="152">
      <c r="O152">
        <f>IFERROR(INDEX('_courses_lookup'!$C:$C,MATCH(K152&amp;L152,'_courses_lookup'!$E:$E,0)),"")</f>
        <v/>
      </c>
      <c r="P152">
        <f>IFERROR(INDEX('_courses_lookup'!$D:$D,MATCH(K152&amp;L152,'_courses_lookup'!$E:$E,0)),"")</f>
        <v/>
      </c>
      <c r="AG152">
        <f>IF(AND(AE152&lt;&gt;"",AF152&lt;&gt;""),ROUNDUP((AF152-AE152)/7,0),"")</f>
        <v/>
      </c>
      <c r="AI152">
        <f>IFERROR(IF(AG152*AH152=0,"",AG152*AH152),"")</f>
        <v/>
      </c>
      <c r="AL152">
        <f>IF(AND(AJ152&lt;&gt;"",AK152&lt;&gt;""),ROUNDUP((AK152-AJ152)/7,0),"")</f>
        <v/>
      </c>
      <c r="AN152">
        <f>IFERROR(IF(AL152*AM152=0,"",AL152*AM152),"")</f>
        <v/>
      </c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L152">
        <f>IFERROR(INDEX('_names_lookup'!$C:$C,MATCH(BK152,'_names_lookup'!$A:$A,0)),"")</f>
        <v/>
      </c>
      <c r="BM152">
        <f>IFERROR(INDEX('_names_lookup'!$B:$B,MATCH(BK152,'_names_lookup'!$A:$A,0)),"")</f>
        <v/>
      </c>
      <c r="BS152">
        <f>IFERROR(IF(BR152*AA152=0,"",BR152*AA152),"")</f>
        <v/>
      </c>
    </row>
    <row r="153">
      <c r="O153">
        <f>IFERROR(INDEX('_courses_lookup'!$C:$C,MATCH(K153&amp;L153,'_courses_lookup'!$E:$E,0)),"")</f>
        <v/>
      </c>
      <c r="P153">
        <f>IFERROR(INDEX('_courses_lookup'!$D:$D,MATCH(K153&amp;L153,'_courses_lookup'!$E:$E,0)),"")</f>
        <v/>
      </c>
      <c r="AG153">
        <f>IF(AND(AE153&lt;&gt;"",AF153&lt;&gt;""),ROUNDUP((AF153-AE153)/7,0),"")</f>
        <v/>
      </c>
      <c r="AI153">
        <f>IFERROR(IF(AG153*AH153=0,"",AG153*AH153),"")</f>
        <v/>
      </c>
      <c r="AL153">
        <f>IF(AND(AJ153&lt;&gt;"",AK153&lt;&gt;""),ROUNDUP((AK153-AJ153)/7,0),"")</f>
        <v/>
      </c>
      <c r="AN153">
        <f>IFERROR(IF(AL153*AM153=0,"",AL153*AM153),"")</f>
        <v/>
      </c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L153">
        <f>IFERROR(INDEX('_names_lookup'!$C:$C,MATCH(BK153,'_names_lookup'!$A:$A,0)),"")</f>
        <v/>
      </c>
      <c r="BM153">
        <f>IFERROR(INDEX('_names_lookup'!$B:$B,MATCH(BK153,'_names_lookup'!$A:$A,0)),"")</f>
        <v/>
      </c>
      <c r="BS153">
        <f>IFERROR(IF(BR153*AA153=0,"",BR153*AA153),"")</f>
        <v/>
      </c>
    </row>
    <row r="154">
      <c r="O154">
        <f>IFERROR(INDEX('_courses_lookup'!$C:$C,MATCH(K154&amp;L154,'_courses_lookup'!$E:$E,0)),"")</f>
        <v/>
      </c>
      <c r="P154">
        <f>IFERROR(INDEX('_courses_lookup'!$D:$D,MATCH(K154&amp;L154,'_courses_lookup'!$E:$E,0)),"")</f>
        <v/>
      </c>
      <c r="AG154">
        <f>IF(AND(AE154&lt;&gt;"",AF154&lt;&gt;""),ROUNDUP((AF154-AE154)/7,0),"")</f>
        <v/>
      </c>
      <c r="AI154">
        <f>IFERROR(IF(AG154*AH154=0,"",AG154*AH154),"")</f>
        <v/>
      </c>
      <c r="AL154">
        <f>IF(AND(AJ154&lt;&gt;"",AK154&lt;&gt;""),ROUNDUP((AK154-AJ154)/7,0),"")</f>
        <v/>
      </c>
      <c r="AN154">
        <f>IFERROR(IF(AL154*AM154=0,"",AL154*AM154),"")</f>
        <v/>
      </c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L154">
        <f>IFERROR(INDEX('_names_lookup'!$C:$C,MATCH(BK154,'_names_lookup'!$A:$A,0)),"")</f>
        <v/>
      </c>
      <c r="BM154">
        <f>IFERROR(INDEX('_names_lookup'!$B:$B,MATCH(BK154,'_names_lookup'!$A:$A,0)),"")</f>
        <v/>
      </c>
      <c r="BS154">
        <f>IFERROR(IF(BR154*AA154=0,"",BR154*AA154),"")</f>
        <v/>
      </c>
    </row>
    <row r="155">
      <c r="O155">
        <f>IFERROR(INDEX('_courses_lookup'!$C:$C,MATCH(K155&amp;L155,'_courses_lookup'!$E:$E,0)),"")</f>
        <v/>
      </c>
      <c r="P155">
        <f>IFERROR(INDEX('_courses_lookup'!$D:$D,MATCH(K155&amp;L155,'_courses_lookup'!$E:$E,0)),"")</f>
        <v/>
      </c>
      <c r="AG155">
        <f>IF(AND(AE155&lt;&gt;"",AF155&lt;&gt;""),ROUNDUP((AF155-AE155)/7,0),"")</f>
        <v/>
      </c>
      <c r="AI155">
        <f>IFERROR(IF(AG155*AH155=0,"",AG155*AH155),"")</f>
        <v/>
      </c>
      <c r="AL155">
        <f>IF(AND(AJ155&lt;&gt;"",AK155&lt;&gt;""),ROUNDUP((AK155-AJ155)/7,0),"")</f>
        <v/>
      </c>
      <c r="AN155">
        <f>IFERROR(IF(AL155*AM155=0,"",AL155*AM155),"")</f>
        <v/>
      </c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L155">
        <f>IFERROR(INDEX('_names_lookup'!$C:$C,MATCH(BK155,'_names_lookup'!$A:$A,0)),"")</f>
        <v/>
      </c>
      <c r="BM155">
        <f>IFERROR(INDEX('_names_lookup'!$B:$B,MATCH(BK155,'_names_lookup'!$A:$A,0)),"")</f>
        <v/>
      </c>
      <c r="BS155">
        <f>IFERROR(IF(BR155*AA155=0,"",BR155*AA155),"")</f>
        <v/>
      </c>
    </row>
    <row r="156">
      <c r="O156">
        <f>IFERROR(INDEX('_courses_lookup'!$C:$C,MATCH(K156&amp;L156,'_courses_lookup'!$E:$E,0)),"")</f>
        <v/>
      </c>
      <c r="P156">
        <f>IFERROR(INDEX('_courses_lookup'!$D:$D,MATCH(K156&amp;L156,'_courses_lookup'!$E:$E,0)),"")</f>
        <v/>
      </c>
      <c r="AG156">
        <f>IF(AND(AE156&lt;&gt;"",AF156&lt;&gt;""),ROUNDUP((AF156-AE156)/7,0),"")</f>
        <v/>
      </c>
      <c r="AI156">
        <f>IFERROR(IF(AG156*AH156=0,"",AG156*AH156),"")</f>
        <v/>
      </c>
      <c r="AL156">
        <f>IF(AND(AJ156&lt;&gt;"",AK156&lt;&gt;""),ROUNDUP((AK156-AJ156)/7,0),"")</f>
        <v/>
      </c>
      <c r="AN156">
        <f>IFERROR(IF(AL156*AM156=0,"",AL156*AM156),"")</f>
        <v/>
      </c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L156">
        <f>IFERROR(INDEX('_names_lookup'!$C:$C,MATCH(BK156,'_names_lookup'!$A:$A,0)),"")</f>
        <v/>
      </c>
      <c r="BM156">
        <f>IFERROR(INDEX('_names_lookup'!$B:$B,MATCH(BK156,'_names_lookup'!$A:$A,0)),"")</f>
        <v/>
      </c>
      <c r="BS156">
        <f>IFERROR(IF(BR156*AA156=0,"",BR156*AA156),"")</f>
        <v/>
      </c>
    </row>
    <row r="157">
      <c r="O157">
        <f>IFERROR(INDEX('_courses_lookup'!$C:$C,MATCH(K157&amp;L157,'_courses_lookup'!$E:$E,0)),"")</f>
        <v/>
      </c>
      <c r="P157">
        <f>IFERROR(INDEX('_courses_lookup'!$D:$D,MATCH(K157&amp;L157,'_courses_lookup'!$E:$E,0)),"")</f>
        <v/>
      </c>
      <c r="AG157">
        <f>IF(AND(AE157&lt;&gt;"",AF157&lt;&gt;""),ROUNDUP((AF157-AE157)/7,0),"")</f>
        <v/>
      </c>
      <c r="AI157">
        <f>IFERROR(IF(AG157*AH157=0,"",AG157*AH157),"")</f>
        <v/>
      </c>
      <c r="AL157">
        <f>IF(AND(AJ157&lt;&gt;"",AK157&lt;&gt;""),ROUNDUP((AK157-AJ157)/7,0),"")</f>
        <v/>
      </c>
      <c r="AN157">
        <f>IFERROR(IF(AL157*AM157=0,"",AL157*AM157),"")</f>
        <v/>
      </c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L157">
        <f>IFERROR(INDEX('_names_lookup'!$C:$C,MATCH(BK157,'_names_lookup'!$A:$A,0)),"")</f>
        <v/>
      </c>
      <c r="BM157">
        <f>IFERROR(INDEX('_names_lookup'!$B:$B,MATCH(BK157,'_names_lookup'!$A:$A,0)),"")</f>
        <v/>
      </c>
      <c r="BS157">
        <f>IFERROR(IF(BR157*AA157=0,"",BR157*AA157),"")</f>
        <v/>
      </c>
    </row>
    <row r="158">
      <c r="O158">
        <f>IFERROR(INDEX('_courses_lookup'!$C:$C,MATCH(K158&amp;L158,'_courses_lookup'!$E:$E,0)),"")</f>
        <v/>
      </c>
      <c r="P158">
        <f>IFERROR(INDEX('_courses_lookup'!$D:$D,MATCH(K158&amp;L158,'_courses_lookup'!$E:$E,0)),"")</f>
        <v/>
      </c>
      <c r="AG158">
        <f>IF(AND(AE158&lt;&gt;"",AF158&lt;&gt;""),ROUNDUP((AF158-AE158)/7,0),"")</f>
        <v/>
      </c>
      <c r="AI158">
        <f>IFERROR(IF(AG158*AH158=0,"",AG158*AH158),"")</f>
        <v/>
      </c>
      <c r="AL158">
        <f>IF(AND(AJ158&lt;&gt;"",AK158&lt;&gt;""),ROUNDUP((AK158-AJ158)/7,0),"")</f>
        <v/>
      </c>
      <c r="AN158">
        <f>IFERROR(IF(AL158*AM158=0,"",AL158*AM158),"")</f>
        <v/>
      </c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L158">
        <f>IFERROR(INDEX('_names_lookup'!$C:$C,MATCH(BK158,'_names_lookup'!$A:$A,0)),"")</f>
        <v/>
      </c>
      <c r="BM158">
        <f>IFERROR(INDEX('_names_lookup'!$B:$B,MATCH(BK158,'_names_lookup'!$A:$A,0)),"")</f>
        <v/>
      </c>
      <c r="BS158">
        <f>IFERROR(IF(BR158*AA158=0,"",BR158*AA158),"")</f>
        <v/>
      </c>
    </row>
    <row r="159">
      <c r="O159">
        <f>IFERROR(INDEX('_courses_lookup'!$C:$C,MATCH(K159&amp;L159,'_courses_lookup'!$E:$E,0)),"")</f>
        <v/>
      </c>
      <c r="P159">
        <f>IFERROR(INDEX('_courses_lookup'!$D:$D,MATCH(K159&amp;L159,'_courses_lookup'!$E:$E,0)),"")</f>
        <v/>
      </c>
      <c r="AG159">
        <f>IF(AND(AE159&lt;&gt;"",AF159&lt;&gt;""),ROUNDUP((AF159-AE159)/7,0),"")</f>
        <v/>
      </c>
      <c r="AI159">
        <f>IFERROR(IF(AG159*AH159=0,"",AG159*AH159),"")</f>
        <v/>
      </c>
      <c r="AL159">
        <f>IF(AND(AJ159&lt;&gt;"",AK159&lt;&gt;""),ROUNDUP((AK159-AJ159)/7,0),"")</f>
        <v/>
      </c>
      <c r="AN159">
        <f>IFERROR(IF(AL159*AM159=0,"",AL159*AM159),"")</f>
        <v/>
      </c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L159">
        <f>IFERROR(INDEX('_names_lookup'!$C:$C,MATCH(BK159,'_names_lookup'!$A:$A,0)),"")</f>
        <v/>
      </c>
      <c r="BM159">
        <f>IFERROR(INDEX('_names_lookup'!$B:$B,MATCH(BK159,'_names_lookup'!$A:$A,0)),"")</f>
        <v/>
      </c>
      <c r="BS159">
        <f>IFERROR(IF(BR159*AA159=0,"",BR159*AA159),"")</f>
        <v/>
      </c>
    </row>
    <row r="160">
      <c r="O160">
        <f>IFERROR(INDEX('_courses_lookup'!$C:$C,MATCH(K160&amp;L160,'_courses_lookup'!$E:$E,0)),"")</f>
        <v/>
      </c>
      <c r="P160">
        <f>IFERROR(INDEX('_courses_lookup'!$D:$D,MATCH(K160&amp;L160,'_courses_lookup'!$E:$E,0)),"")</f>
        <v/>
      </c>
      <c r="AG160">
        <f>IF(AND(AE160&lt;&gt;"",AF160&lt;&gt;""),ROUNDUP((AF160-AE160)/7,0),"")</f>
        <v/>
      </c>
      <c r="AI160">
        <f>IFERROR(IF(AG160*AH160=0,"",AG160*AH160),"")</f>
        <v/>
      </c>
      <c r="AL160">
        <f>IF(AND(AJ160&lt;&gt;"",AK160&lt;&gt;""),ROUNDUP((AK160-AJ160)/7,0),"")</f>
        <v/>
      </c>
      <c r="AN160">
        <f>IFERROR(IF(AL160*AM160=0,"",AL160*AM160),"")</f>
        <v/>
      </c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L160">
        <f>IFERROR(INDEX('_names_lookup'!$C:$C,MATCH(BK160,'_names_lookup'!$A:$A,0)),"")</f>
        <v/>
      </c>
      <c r="BM160">
        <f>IFERROR(INDEX('_names_lookup'!$B:$B,MATCH(BK160,'_names_lookup'!$A:$A,0)),"")</f>
        <v/>
      </c>
      <c r="BS160">
        <f>IFERROR(IF(BR160*AA160=0,"",BR160*AA160),"")</f>
        <v/>
      </c>
    </row>
    <row r="161">
      <c r="O161">
        <f>IFERROR(INDEX('_courses_lookup'!$C:$C,MATCH(K161&amp;L161,'_courses_lookup'!$E:$E,0)),"")</f>
        <v/>
      </c>
      <c r="P161">
        <f>IFERROR(INDEX('_courses_lookup'!$D:$D,MATCH(K161&amp;L161,'_courses_lookup'!$E:$E,0)),"")</f>
        <v/>
      </c>
      <c r="AG161">
        <f>IF(AND(AE161&lt;&gt;"",AF161&lt;&gt;""),ROUNDUP((AF161-AE161)/7,0),"")</f>
        <v/>
      </c>
      <c r="AI161">
        <f>IFERROR(IF(AG161*AH161=0,"",AG161*AH161),"")</f>
        <v/>
      </c>
      <c r="AL161">
        <f>IF(AND(AJ161&lt;&gt;"",AK161&lt;&gt;""),ROUNDUP((AK161-AJ161)/7,0),"")</f>
        <v/>
      </c>
      <c r="AN161">
        <f>IFERROR(IF(AL161*AM161=0,"",AL161*AM161),"")</f>
        <v/>
      </c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L161">
        <f>IFERROR(INDEX('_names_lookup'!$C:$C,MATCH(BK161,'_names_lookup'!$A:$A,0)),"")</f>
        <v/>
      </c>
      <c r="BM161">
        <f>IFERROR(INDEX('_names_lookup'!$B:$B,MATCH(BK161,'_names_lookup'!$A:$A,0)),"")</f>
        <v/>
      </c>
      <c r="BS161">
        <f>IFERROR(IF(BR161*AA161=0,"",BR161*AA161),"")</f>
        <v/>
      </c>
    </row>
    <row r="162">
      <c r="O162">
        <f>IFERROR(INDEX('_courses_lookup'!$C:$C,MATCH(K162&amp;L162,'_courses_lookup'!$E:$E,0)),"")</f>
        <v/>
      </c>
      <c r="P162">
        <f>IFERROR(INDEX('_courses_lookup'!$D:$D,MATCH(K162&amp;L162,'_courses_lookup'!$E:$E,0)),"")</f>
        <v/>
      </c>
      <c r="AG162">
        <f>IF(AND(AE162&lt;&gt;"",AF162&lt;&gt;""),ROUNDUP((AF162-AE162)/7,0),"")</f>
        <v/>
      </c>
      <c r="AI162">
        <f>IFERROR(IF(AG162*AH162=0,"",AG162*AH162),"")</f>
        <v/>
      </c>
      <c r="AL162">
        <f>IF(AND(AJ162&lt;&gt;"",AK162&lt;&gt;""),ROUNDUP((AK162-AJ162)/7,0),"")</f>
        <v/>
      </c>
      <c r="AN162">
        <f>IFERROR(IF(AL162*AM162=0,"",AL162*AM162),"")</f>
        <v/>
      </c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L162">
        <f>IFERROR(INDEX('_names_lookup'!$C:$C,MATCH(BK162,'_names_lookup'!$A:$A,0)),"")</f>
        <v/>
      </c>
      <c r="BM162">
        <f>IFERROR(INDEX('_names_lookup'!$B:$B,MATCH(BK162,'_names_lookup'!$A:$A,0)),"")</f>
        <v/>
      </c>
      <c r="BS162">
        <f>IFERROR(IF(BR162*AA162=0,"",BR162*AA162),"")</f>
        <v/>
      </c>
    </row>
    <row r="163">
      <c r="O163">
        <f>IFERROR(INDEX('_courses_lookup'!$C:$C,MATCH(K163&amp;L163,'_courses_lookup'!$E:$E,0)),"")</f>
        <v/>
      </c>
      <c r="P163">
        <f>IFERROR(INDEX('_courses_lookup'!$D:$D,MATCH(K163&amp;L163,'_courses_lookup'!$E:$E,0)),"")</f>
        <v/>
      </c>
      <c r="AG163">
        <f>IF(AND(AE163&lt;&gt;"",AF163&lt;&gt;""),ROUNDUP((AF163-AE163)/7,0),"")</f>
        <v/>
      </c>
      <c r="AI163">
        <f>IFERROR(IF(AG163*AH163=0,"",AG163*AH163),"")</f>
        <v/>
      </c>
      <c r="AL163">
        <f>IF(AND(AJ163&lt;&gt;"",AK163&lt;&gt;""),ROUNDUP((AK163-AJ163)/7,0),"")</f>
        <v/>
      </c>
      <c r="AN163">
        <f>IFERROR(IF(AL163*AM163=0,"",AL163*AM163),"")</f>
        <v/>
      </c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L163">
        <f>IFERROR(INDEX('_names_lookup'!$C:$C,MATCH(BK163,'_names_lookup'!$A:$A,0)),"")</f>
        <v/>
      </c>
      <c r="BM163">
        <f>IFERROR(INDEX('_names_lookup'!$B:$B,MATCH(BK163,'_names_lookup'!$A:$A,0)),"")</f>
        <v/>
      </c>
      <c r="BS163">
        <f>IFERROR(IF(BR163*AA163=0,"",BR163*AA163),"")</f>
        <v/>
      </c>
    </row>
    <row r="164">
      <c r="O164">
        <f>IFERROR(INDEX('_courses_lookup'!$C:$C,MATCH(K164&amp;L164,'_courses_lookup'!$E:$E,0)),"")</f>
        <v/>
      </c>
      <c r="P164">
        <f>IFERROR(INDEX('_courses_lookup'!$D:$D,MATCH(K164&amp;L164,'_courses_lookup'!$E:$E,0)),"")</f>
        <v/>
      </c>
      <c r="AG164">
        <f>IF(AND(AE164&lt;&gt;"",AF164&lt;&gt;""),ROUNDUP((AF164-AE164)/7,0),"")</f>
        <v/>
      </c>
      <c r="AI164">
        <f>IFERROR(IF(AG164*AH164=0,"",AG164*AH164),"")</f>
        <v/>
      </c>
      <c r="AL164">
        <f>IF(AND(AJ164&lt;&gt;"",AK164&lt;&gt;""),ROUNDUP((AK164-AJ164)/7,0),"")</f>
        <v/>
      </c>
      <c r="AN164">
        <f>IFERROR(IF(AL164*AM164=0,"",AL164*AM164),"")</f>
        <v/>
      </c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L164">
        <f>IFERROR(INDEX('_names_lookup'!$C:$C,MATCH(BK164,'_names_lookup'!$A:$A,0)),"")</f>
        <v/>
      </c>
      <c r="BM164">
        <f>IFERROR(INDEX('_names_lookup'!$B:$B,MATCH(BK164,'_names_lookup'!$A:$A,0)),"")</f>
        <v/>
      </c>
      <c r="BS164">
        <f>IFERROR(IF(BR164*AA164=0,"",BR164*AA164),"")</f>
        <v/>
      </c>
    </row>
    <row r="165">
      <c r="O165">
        <f>IFERROR(INDEX('_courses_lookup'!$C:$C,MATCH(K165&amp;L165,'_courses_lookup'!$E:$E,0)),"")</f>
        <v/>
      </c>
      <c r="P165">
        <f>IFERROR(INDEX('_courses_lookup'!$D:$D,MATCH(K165&amp;L165,'_courses_lookup'!$E:$E,0)),"")</f>
        <v/>
      </c>
      <c r="AG165">
        <f>IF(AND(AE165&lt;&gt;"",AF165&lt;&gt;""),ROUNDUP((AF165-AE165)/7,0),"")</f>
        <v/>
      </c>
      <c r="AI165">
        <f>IFERROR(IF(AG165*AH165=0,"",AG165*AH165),"")</f>
        <v/>
      </c>
      <c r="AL165">
        <f>IF(AND(AJ165&lt;&gt;"",AK165&lt;&gt;""),ROUNDUP((AK165-AJ165)/7,0),"")</f>
        <v/>
      </c>
      <c r="AN165">
        <f>IFERROR(IF(AL165*AM165=0,"",AL165*AM165),"")</f>
        <v/>
      </c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L165">
        <f>IFERROR(INDEX('_names_lookup'!$C:$C,MATCH(BK165,'_names_lookup'!$A:$A,0)),"")</f>
        <v/>
      </c>
      <c r="BM165">
        <f>IFERROR(INDEX('_names_lookup'!$B:$B,MATCH(BK165,'_names_lookup'!$A:$A,0)),"")</f>
        <v/>
      </c>
      <c r="BS165">
        <f>IFERROR(IF(BR165*AA165=0,"",BR165*AA165),"")</f>
        <v/>
      </c>
    </row>
    <row r="166">
      <c r="O166">
        <f>IFERROR(INDEX('_courses_lookup'!$C:$C,MATCH(K166&amp;L166,'_courses_lookup'!$E:$E,0)),"")</f>
        <v/>
      </c>
      <c r="P166">
        <f>IFERROR(INDEX('_courses_lookup'!$D:$D,MATCH(K166&amp;L166,'_courses_lookup'!$E:$E,0)),"")</f>
        <v/>
      </c>
      <c r="AG166">
        <f>IF(AND(AE166&lt;&gt;"",AF166&lt;&gt;""),ROUNDUP((AF166-AE166)/7,0),"")</f>
        <v/>
      </c>
      <c r="AI166">
        <f>IFERROR(IF(AG166*AH166=0,"",AG166*AH166),"")</f>
        <v/>
      </c>
      <c r="AL166">
        <f>IF(AND(AJ166&lt;&gt;"",AK166&lt;&gt;""),ROUNDUP((AK166-AJ166)/7,0),"")</f>
        <v/>
      </c>
      <c r="AN166">
        <f>IFERROR(IF(AL166*AM166=0,"",AL166*AM166),"")</f>
        <v/>
      </c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L166">
        <f>IFERROR(INDEX('_names_lookup'!$C:$C,MATCH(BK166,'_names_lookup'!$A:$A,0)),"")</f>
        <v/>
      </c>
      <c r="BM166">
        <f>IFERROR(INDEX('_names_lookup'!$B:$B,MATCH(BK166,'_names_lookup'!$A:$A,0)),"")</f>
        <v/>
      </c>
      <c r="BS166">
        <f>IFERROR(IF(BR166*AA166=0,"",BR166*AA166),"")</f>
        <v/>
      </c>
    </row>
    <row r="167">
      <c r="O167">
        <f>IFERROR(INDEX('_courses_lookup'!$C:$C,MATCH(K167&amp;L167,'_courses_lookup'!$E:$E,0)),"")</f>
        <v/>
      </c>
      <c r="P167">
        <f>IFERROR(INDEX('_courses_lookup'!$D:$D,MATCH(K167&amp;L167,'_courses_lookup'!$E:$E,0)),"")</f>
        <v/>
      </c>
      <c r="AG167">
        <f>IF(AND(AE167&lt;&gt;"",AF167&lt;&gt;""),ROUNDUP((AF167-AE167)/7,0),"")</f>
        <v/>
      </c>
      <c r="AI167">
        <f>IFERROR(IF(AG167*AH167=0,"",AG167*AH167),"")</f>
        <v/>
      </c>
      <c r="AL167">
        <f>IF(AND(AJ167&lt;&gt;"",AK167&lt;&gt;""),ROUNDUP((AK167-AJ167)/7,0),"")</f>
        <v/>
      </c>
      <c r="AN167">
        <f>IFERROR(IF(AL167*AM167=0,"",AL167*AM167),"")</f>
        <v/>
      </c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L167">
        <f>IFERROR(INDEX('_names_lookup'!$C:$C,MATCH(BK167,'_names_lookup'!$A:$A,0)),"")</f>
        <v/>
      </c>
      <c r="BM167">
        <f>IFERROR(INDEX('_names_lookup'!$B:$B,MATCH(BK167,'_names_lookup'!$A:$A,0)),"")</f>
        <v/>
      </c>
      <c r="BS167">
        <f>IFERROR(IF(BR167*AA167=0,"",BR167*AA167),"")</f>
        <v/>
      </c>
    </row>
    <row r="168">
      <c r="O168">
        <f>IFERROR(INDEX('_courses_lookup'!$C:$C,MATCH(K168&amp;L168,'_courses_lookup'!$E:$E,0)),"")</f>
        <v/>
      </c>
      <c r="P168">
        <f>IFERROR(INDEX('_courses_lookup'!$D:$D,MATCH(K168&amp;L168,'_courses_lookup'!$E:$E,0)),"")</f>
        <v/>
      </c>
      <c r="AG168">
        <f>IF(AND(AE168&lt;&gt;"",AF168&lt;&gt;""),ROUNDUP((AF168-AE168)/7,0),"")</f>
        <v/>
      </c>
      <c r="AI168">
        <f>IFERROR(IF(AG168*AH168=0,"",AG168*AH168),"")</f>
        <v/>
      </c>
      <c r="AL168">
        <f>IF(AND(AJ168&lt;&gt;"",AK168&lt;&gt;""),ROUNDUP((AK168-AJ168)/7,0),"")</f>
        <v/>
      </c>
      <c r="AN168">
        <f>IFERROR(IF(AL168*AM168=0,"",AL168*AM168),"")</f>
        <v/>
      </c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L168">
        <f>IFERROR(INDEX('_names_lookup'!$C:$C,MATCH(BK168,'_names_lookup'!$A:$A,0)),"")</f>
        <v/>
      </c>
      <c r="BM168">
        <f>IFERROR(INDEX('_names_lookup'!$B:$B,MATCH(BK168,'_names_lookup'!$A:$A,0)),"")</f>
        <v/>
      </c>
      <c r="BS168">
        <f>IFERROR(IF(BR168*AA168=0,"",BR168*AA168),"")</f>
        <v/>
      </c>
    </row>
    <row r="169">
      <c r="O169">
        <f>IFERROR(INDEX('_courses_lookup'!$C:$C,MATCH(K169&amp;L169,'_courses_lookup'!$E:$E,0)),"")</f>
        <v/>
      </c>
      <c r="P169">
        <f>IFERROR(INDEX('_courses_lookup'!$D:$D,MATCH(K169&amp;L169,'_courses_lookup'!$E:$E,0)),"")</f>
        <v/>
      </c>
      <c r="AG169">
        <f>IF(AND(AE169&lt;&gt;"",AF169&lt;&gt;""),ROUNDUP((AF169-AE169)/7,0),"")</f>
        <v/>
      </c>
      <c r="AI169">
        <f>IFERROR(IF(AG169*AH169=0,"",AG169*AH169),"")</f>
        <v/>
      </c>
      <c r="AL169">
        <f>IF(AND(AJ169&lt;&gt;"",AK169&lt;&gt;""),ROUNDUP((AK169-AJ169)/7,0),"")</f>
        <v/>
      </c>
      <c r="AN169">
        <f>IFERROR(IF(AL169*AM169=0,"",AL169*AM169),"")</f>
        <v/>
      </c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L169">
        <f>IFERROR(INDEX('_names_lookup'!$C:$C,MATCH(BK169,'_names_lookup'!$A:$A,0)),"")</f>
        <v/>
      </c>
      <c r="BM169">
        <f>IFERROR(INDEX('_names_lookup'!$B:$B,MATCH(BK169,'_names_lookup'!$A:$A,0)),"")</f>
        <v/>
      </c>
      <c r="BS169">
        <f>IFERROR(IF(BR169*AA169=0,"",BR169*AA169),"")</f>
        <v/>
      </c>
    </row>
    <row r="170">
      <c r="O170">
        <f>IFERROR(INDEX('_courses_lookup'!$C:$C,MATCH(K170&amp;L170,'_courses_lookup'!$E:$E,0)),"")</f>
        <v/>
      </c>
      <c r="P170">
        <f>IFERROR(INDEX('_courses_lookup'!$D:$D,MATCH(K170&amp;L170,'_courses_lookup'!$E:$E,0)),"")</f>
        <v/>
      </c>
      <c r="AG170">
        <f>IF(AND(AE170&lt;&gt;"",AF170&lt;&gt;""),ROUNDUP((AF170-AE170)/7,0),"")</f>
        <v/>
      </c>
      <c r="AI170">
        <f>IFERROR(IF(AG170*AH170=0,"",AG170*AH170),"")</f>
        <v/>
      </c>
      <c r="AL170">
        <f>IF(AND(AJ170&lt;&gt;"",AK170&lt;&gt;""),ROUNDUP((AK170-AJ170)/7,0),"")</f>
        <v/>
      </c>
      <c r="AN170">
        <f>IFERROR(IF(AL170*AM170=0,"",AL170*AM170),"")</f>
        <v/>
      </c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L170">
        <f>IFERROR(INDEX('_names_lookup'!$C:$C,MATCH(BK170,'_names_lookup'!$A:$A,0)),"")</f>
        <v/>
      </c>
      <c r="BM170">
        <f>IFERROR(INDEX('_names_lookup'!$B:$B,MATCH(BK170,'_names_lookup'!$A:$A,0)),"")</f>
        <v/>
      </c>
      <c r="BS170">
        <f>IFERROR(IF(BR170*AA170=0,"",BR170*AA170),"")</f>
        <v/>
      </c>
    </row>
    <row r="171">
      <c r="O171">
        <f>IFERROR(INDEX('_courses_lookup'!$C:$C,MATCH(K171&amp;L171,'_courses_lookup'!$E:$E,0)),"")</f>
        <v/>
      </c>
      <c r="P171">
        <f>IFERROR(INDEX('_courses_lookup'!$D:$D,MATCH(K171&amp;L171,'_courses_lookup'!$E:$E,0)),"")</f>
        <v/>
      </c>
      <c r="AG171">
        <f>IF(AND(AE171&lt;&gt;"",AF171&lt;&gt;""),ROUNDUP((AF171-AE171)/7,0),"")</f>
        <v/>
      </c>
      <c r="AI171">
        <f>IFERROR(IF(AG171*AH171=0,"",AG171*AH171),"")</f>
        <v/>
      </c>
      <c r="AL171">
        <f>IF(AND(AJ171&lt;&gt;"",AK171&lt;&gt;""),ROUNDUP((AK171-AJ171)/7,0),"")</f>
        <v/>
      </c>
      <c r="AN171">
        <f>IFERROR(IF(AL171*AM171=0,"",AL171*AM171),"")</f>
        <v/>
      </c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L171">
        <f>IFERROR(INDEX('_names_lookup'!$C:$C,MATCH(BK171,'_names_lookup'!$A:$A,0)),"")</f>
        <v/>
      </c>
      <c r="BM171">
        <f>IFERROR(INDEX('_names_lookup'!$B:$B,MATCH(BK171,'_names_lookup'!$A:$A,0)),"")</f>
        <v/>
      </c>
      <c r="BS171">
        <f>IFERROR(IF(BR171*AA171=0,"",BR171*AA171),"")</f>
        <v/>
      </c>
    </row>
    <row r="172">
      <c r="O172">
        <f>IFERROR(INDEX('_courses_lookup'!$C:$C,MATCH(K172&amp;L172,'_courses_lookup'!$E:$E,0)),"")</f>
        <v/>
      </c>
      <c r="P172">
        <f>IFERROR(INDEX('_courses_lookup'!$D:$D,MATCH(K172&amp;L172,'_courses_lookup'!$E:$E,0)),"")</f>
        <v/>
      </c>
      <c r="AG172">
        <f>IF(AND(AE172&lt;&gt;"",AF172&lt;&gt;""),ROUNDUP((AF172-AE172)/7,0),"")</f>
        <v/>
      </c>
      <c r="AI172">
        <f>IFERROR(IF(AG172*AH172=0,"",AG172*AH172),"")</f>
        <v/>
      </c>
      <c r="AL172">
        <f>IF(AND(AJ172&lt;&gt;"",AK172&lt;&gt;""),ROUNDUP((AK172-AJ172)/7,0),"")</f>
        <v/>
      </c>
      <c r="AN172">
        <f>IFERROR(IF(AL172*AM172=0,"",AL172*AM172),"")</f>
        <v/>
      </c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L172">
        <f>IFERROR(INDEX('_names_lookup'!$C:$C,MATCH(BK172,'_names_lookup'!$A:$A,0)),"")</f>
        <v/>
      </c>
      <c r="BM172">
        <f>IFERROR(INDEX('_names_lookup'!$B:$B,MATCH(BK172,'_names_lookup'!$A:$A,0)),"")</f>
        <v/>
      </c>
      <c r="BS172">
        <f>IFERROR(IF(BR172*AA172=0,"",BR172*AA172),"")</f>
        <v/>
      </c>
    </row>
    <row r="173">
      <c r="O173">
        <f>IFERROR(INDEX('_courses_lookup'!$C:$C,MATCH(K173&amp;L173,'_courses_lookup'!$E:$E,0)),"")</f>
        <v/>
      </c>
      <c r="P173">
        <f>IFERROR(INDEX('_courses_lookup'!$D:$D,MATCH(K173&amp;L173,'_courses_lookup'!$E:$E,0)),"")</f>
        <v/>
      </c>
      <c r="AG173">
        <f>IF(AND(AE173&lt;&gt;"",AF173&lt;&gt;""),ROUNDUP((AF173-AE173)/7,0),"")</f>
        <v/>
      </c>
      <c r="AI173">
        <f>IFERROR(IF(AG173*AH173=0,"",AG173*AH173),"")</f>
        <v/>
      </c>
      <c r="AL173">
        <f>IF(AND(AJ173&lt;&gt;"",AK173&lt;&gt;""),ROUNDUP((AK173-AJ173)/7,0),"")</f>
        <v/>
      </c>
      <c r="AN173">
        <f>IFERROR(IF(AL173*AM173=0,"",AL173*AM173),"")</f>
        <v/>
      </c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L173">
        <f>IFERROR(INDEX('_names_lookup'!$C:$C,MATCH(BK173,'_names_lookup'!$A:$A,0)),"")</f>
        <v/>
      </c>
      <c r="BM173">
        <f>IFERROR(INDEX('_names_lookup'!$B:$B,MATCH(BK173,'_names_lookup'!$A:$A,0)),"")</f>
        <v/>
      </c>
      <c r="BS173">
        <f>IFERROR(IF(BR173*AA173=0,"",BR173*AA173),"")</f>
        <v/>
      </c>
    </row>
    <row r="174">
      <c r="O174">
        <f>IFERROR(INDEX('_courses_lookup'!$C:$C,MATCH(K174&amp;L174,'_courses_lookup'!$E:$E,0)),"")</f>
        <v/>
      </c>
      <c r="P174">
        <f>IFERROR(INDEX('_courses_lookup'!$D:$D,MATCH(K174&amp;L174,'_courses_lookup'!$E:$E,0)),"")</f>
        <v/>
      </c>
      <c r="AG174">
        <f>IF(AND(AE174&lt;&gt;"",AF174&lt;&gt;""),ROUNDUP((AF174-AE174)/7,0),"")</f>
        <v/>
      </c>
      <c r="AI174">
        <f>IFERROR(IF(AG174*AH174=0,"",AG174*AH174),"")</f>
        <v/>
      </c>
      <c r="AL174">
        <f>IF(AND(AJ174&lt;&gt;"",AK174&lt;&gt;""),ROUNDUP((AK174-AJ174)/7,0),"")</f>
        <v/>
      </c>
      <c r="AN174">
        <f>IFERROR(IF(AL174*AM174=0,"",AL174*AM174),"")</f>
        <v/>
      </c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L174">
        <f>IFERROR(INDEX('_names_lookup'!$C:$C,MATCH(BK174,'_names_lookup'!$A:$A,0)),"")</f>
        <v/>
      </c>
      <c r="BM174">
        <f>IFERROR(INDEX('_names_lookup'!$B:$B,MATCH(BK174,'_names_lookup'!$A:$A,0)),"")</f>
        <v/>
      </c>
      <c r="BS174">
        <f>IFERROR(IF(BR174*AA174=0,"",BR174*AA174),"")</f>
        <v/>
      </c>
    </row>
    <row r="175">
      <c r="O175">
        <f>IFERROR(INDEX('_courses_lookup'!$C:$C,MATCH(K175&amp;L175,'_courses_lookup'!$E:$E,0)),"")</f>
        <v/>
      </c>
      <c r="P175">
        <f>IFERROR(INDEX('_courses_lookup'!$D:$D,MATCH(K175&amp;L175,'_courses_lookup'!$E:$E,0)),"")</f>
        <v/>
      </c>
      <c r="AG175">
        <f>IF(AND(AE175&lt;&gt;"",AF175&lt;&gt;""),ROUNDUP((AF175-AE175)/7,0),"")</f>
        <v/>
      </c>
      <c r="AI175">
        <f>IFERROR(IF(AG175*AH175=0,"",AG175*AH175),"")</f>
        <v/>
      </c>
      <c r="AL175">
        <f>IF(AND(AJ175&lt;&gt;"",AK175&lt;&gt;""),ROUNDUP((AK175-AJ175)/7,0),"")</f>
        <v/>
      </c>
      <c r="AN175">
        <f>IFERROR(IF(AL175*AM175=0,"",AL175*AM175),"")</f>
        <v/>
      </c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L175">
        <f>IFERROR(INDEX('_names_lookup'!$C:$C,MATCH(BK175,'_names_lookup'!$A:$A,0)),"")</f>
        <v/>
      </c>
      <c r="BM175">
        <f>IFERROR(INDEX('_names_lookup'!$B:$B,MATCH(BK175,'_names_lookup'!$A:$A,0)),"")</f>
        <v/>
      </c>
      <c r="BS175">
        <f>IFERROR(IF(BR175*AA175=0,"",BR175*AA175),"")</f>
        <v/>
      </c>
    </row>
    <row r="176">
      <c r="O176">
        <f>IFERROR(INDEX('_courses_lookup'!$C:$C,MATCH(K176&amp;L176,'_courses_lookup'!$E:$E,0)),"")</f>
        <v/>
      </c>
      <c r="P176">
        <f>IFERROR(INDEX('_courses_lookup'!$D:$D,MATCH(K176&amp;L176,'_courses_lookup'!$E:$E,0)),"")</f>
        <v/>
      </c>
      <c r="AG176">
        <f>IF(AND(AE176&lt;&gt;"",AF176&lt;&gt;""),ROUNDUP((AF176-AE176)/7,0),"")</f>
        <v/>
      </c>
      <c r="AI176">
        <f>IFERROR(IF(AG176*AH176=0,"",AG176*AH176),"")</f>
        <v/>
      </c>
      <c r="AL176">
        <f>IF(AND(AJ176&lt;&gt;"",AK176&lt;&gt;""),ROUNDUP((AK176-AJ176)/7,0),"")</f>
        <v/>
      </c>
      <c r="AN176">
        <f>IFERROR(IF(AL176*AM176=0,"",AL176*AM176),"")</f>
        <v/>
      </c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L176">
        <f>IFERROR(INDEX('_names_lookup'!$C:$C,MATCH(BK176,'_names_lookup'!$A:$A,0)),"")</f>
        <v/>
      </c>
      <c r="BM176">
        <f>IFERROR(INDEX('_names_lookup'!$B:$B,MATCH(BK176,'_names_lookup'!$A:$A,0)),"")</f>
        <v/>
      </c>
      <c r="BS176">
        <f>IFERROR(IF(BR176*AA176=0,"",BR176*AA176),"")</f>
        <v/>
      </c>
    </row>
    <row r="177">
      <c r="O177">
        <f>IFERROR(INDEX('_courses_lookup'!$C:$C,MATCH(K177&amp;L177,'_courses_lookup'!$E:$E,0)),"")</f>
        <v/>
      </c>
      <c r="P177">
        <f>IFERROR(INDEX('_courses_lookup'!$D:$D,MATCH(K177&amp;L177,'_courses_lookup'!$E:$E,0)),"")</f>
        <v/>
      </c>
      <c r="AG177">
        <f>IF(AND(AE177&lt;&gt;"",AF177&lt;&gt;""),ROUNDUP((AF177-AE177)/7,0),"")</f>
        <v/>
      </c>
      <c r="AI177">
        <f>IFERROR(IF(AG177*AH177=0,"",AG177*AH177),"")</f>
        <v/>
      </c>
      <c r="AL177">
        <f>IF(AND(AJ177&lt;&gt;"",AK177&lt;&gt;""),ROUNDUP((AK177-AJ177)/7,0),"")</f>
        <v/>
      </c>
      <c r="AN177">
        <f>IFERROR(IF(AL177*AM177=0,"",AL177*AM177),"")</f>
        <v/>
      </c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L177">
        <f>IFERROR(INDEX('_names_lookup'!$C:$C,MATCH(BK177,'_names_lookup'!$A:$A,0)),"")</f>
        <v/>
      </c>
      <c r="BM177">
        <f>IFERROR(INDEX('_names_lookup'!$B:$B,MATCH(BK177,'_names_lookup'!$A:$A,0)),"")</f>
        <v/>
      </c>
      <c r="BS177">
        <f>IFERROR(IF(BR177*AA177=0,"",BR177*AA177),"")</f>
        <v/>
      </c>
    </row>
    <row r="178">
      <c r="O178">
        <f>IFERROR(INDEX('_courses_lookup'!$C:$C,MATCH(K178&amp;L178,'_courses_lookup'!$E:$E,0)),"")</f>
        <v/>
      </c>
      <c r="P178">
        <f>IFERROR(INDEX('_courses_lookup'!$D:$D,MATCH(K178&amp;L178,'_courses_lookup'!$E:$E,0)),"")</f>
        <v/>
      </c>
      <c r="AG178">
        <f>IF(AND(AE178&lt;&gt;"",AF178&lt;&gt;""),ROUNDUP((AF178-AE178)/7,0),"")</f>
        <v/>
      </c>
      <c r="AI178">
        <f>IFERROR(IF(AG178*AH178=0,"",AG178*AH178),"")</f>
        <v/>
      </c>
      <c r="AL178">
        <f>IF(AND(AJ178&lt;&gt;"",AK178&lt;&gt;""),ROUNDUP((AK178-AJ178)/7,0),"")</f>
        <v/>
      </c>
      <c r="AN178">
        <f>IFERROR(IF(AL178*AM178=0,"",AL178*AM178),"")</f>
        <v/>
      </c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L178">
        <f>IFERROR(INDEX('_names_lookup'!$C:$C,MATCH(BK178,'_names_lookup'!$A:$A,0)),"")</f>
        <v/>
      </c>
      <c r="BM178">
        <f>IFERROR(INDEX('_names_lookup'!$B:$B,MATCH(BK178,'_names_lookup'!$A:$A,0)),"")</f>
        <v/>
      </c>
      <c r="BS178">
        <f>IFERROR(IF(BR178*AA178=0,"",BR178*AA178),"")</f>
        <v/>
      </c>
    </row>
    <row r="179">
      <c r="O179">
        <f>IFERROR(INDEX('_courses_lookup'!$C:$C,MATCH(K179&amp;L179,'_courses_lookup'!$E:$E,0)),"")</f>
        <v/>
      </c>
      <c r="P179">
        <f>IFERROR(INDEX('_courses_lookup'!$D:$D,MATCH(K179&amp;L179,'_courses_lookup'!$E:$E,0)),"")</f>
        <v/>
      </c>
      <c r="AG179">
        <f>IF(AND(AE179&lt;&gt;"",AF179&lt;&gt;""),ROUNDUP((AF179-AE179)/7,0),"")</f>
        <v/>
      </c>
      <c r="AI179">
        <f>IFERROR(IF(AG179*AH179=0,"",AG179*AH179),"")</f>
        <v/>
      </c>
      <c r="AL179">
        <f>IF(AND(AJ179&lt;&gt;"",AK179&lt;&gt;""),ROUNDUP((AK179-AJ179)/7,0),"")</f>
        <v/>
      </c>
      <c r="AN179">
        <f>IFERROR(IF(AL179*AM179=0,"",AL179*AM179),"")</f>
        <v/>
      </c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L179">
        <f>IFERROR(INDEX('_names_lookup'!$C:$C,MATCH(BK179,'_names_lookup'!$A:$A,0)),"")</f>
        <v/>
      </c>
      <c r="BM179">
        <f>IFERROR(INDEX('_names_lookup'!$B:$B,MATCH(BK179,'_names_lookup'!$A:$A,0)),"")</f>
        <v/>
      </c>
      <c r="BS179">
        <f>IFERROR(IF(BR179*AA179=0,"",BR179*AA179),"")</f>
        <v/>
      </c>
    </row>
    <row r="180">
      <c r="O180">
        <f>IFERROR(INDEX('_courses_lookup'!$C:$C,MATCH(K180&amp;L180,'_courses_lookup'!$E:$E,0)),"")</f>
        <v/>
      </c>
      <c r="P180">
        <f>IFERROR(INDEX('_courses_lookup'!$D:$D,MATCH(K180&amp;L180,'_courses_lookup'!$E:$E,0)),"")</f>
        <v/>
      </c>
      <c r="AG180">
        <f>IF(AND(AE180&lt;&gt;"",AF180&lt;&gt;""),ROUNDUP((AF180-AE180)/7,0),"")</f>
        <v/>
      </c>
      <c r="AI180">
        <f>IFERROR(IF(AG180*AH180=0,"",AG180*AH180),"")</f>
        <v/>
      </c>
      <c r="AL180">
        <f>IF(AND(AJ180&lt;&gt;"",AK180&lt;&gt;""),ROUNDUP((AK180-AJ180)/7,0),"")</f>
        <v/>
      </c>
      <c r="AN180">
        <f>IFERROR(IF(AL180*AM180=0,"",AL180*AM180),"")</f>
        <v/>
      </c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L180">
        <f>IFERROR(INDEX('_names_lookup'!$C:$C,MATCH(BK180,'_names_lookup'!$A:$A,0)),"")</f>
        <v/>
      </c>
      <c r="BM180">
        <f>IFERROR(INDEX('_names_lookup'!$B:$B,MATCH(BK180,'_names_lookup'!$A:$A,0)),"")</f>
        <v/>
      </c>
      <c r="BS180">
        <f>IFERROR(IF(BR180*AA180=0,"",BR180*AA180),"")</f>
        <v/>
      </c>
    </row>
    <row r="181">
      <c r="O181">
        <f>IFERROR(INDEX('_courses_lookup'!$C:$C,MATCH(K181&amp;L181,'_courses_lookup'!$E:$E,0)),"")</f>
        <v/>
      </c>
      <c r="P181">
        <f>IFERROR(INDEX('_courses_lookup'!$D:$D,MATCH(K181&amp;L181,'_courses_lookup'!$E:$E,0)),"")</f>
        <v/>
      </c>
      <c r="AG181">
        <f>IF(AND(AE181&lt;&gt;"",AF181&lt;&gt;""),ROUNDUP((AF181-AE181)/7,0),"")</f>
        <v/>
      </c>
      <c r="AI181">
        <f>IFERROR(IF(AG181*AH181=0,"",AG181*AH181),"")</f>
        <v/>
      </c>
      <c r="AL181">
        <f>IF(AND(AJ181&lt;&gt;"",AK181&lt;&gt;""),ROUNDUP((AK181-AJ181)/7,0),"")</f>
        <v/>
      </c>
      <c r="AN181">
        <f>IFERROR(IF(AL181*AM181=0,"",AL181*AM181),"")</f>
        <v/>
      </c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L181">
        <f>IFERROR(INDEX('_names_lookup'!$C:$C,MATCH(BK181,'_names_lookup'!$A:$A,0)),"")</f>
        <v/>
      </c>
      <c r="BM181">
        <f>IFERROR(INDEX('_names_lookup'!$B:$B,MATCH(BK181,'_names_lookup'!$A:$A,0)),"")</f>
        <v/>
      </c>
      <c r="BS181">
        <f>IFERROR(IF(BR181*AA181=0,"",BR181*AA181),"")</f>
        <v/>
      </c>
    </row>
    <row r="182">
      <c r="O182">
        <f>IFERROR(INDEX('_courses_lookup'!$C:$C,MATCH(K182&amp;L182,'_courses_lookup'!$E:$E,0)),"")</f>
        <v/>
      </c>
      <c r="P182">
        <f>IFERROR(INDEX('_courses_lookup'!$D:$D,MATCH(K182&amp;L182,'_courses_lookup'!$E:$E,0)),"")</f>
        <v/>
      </c>
      <c r="AG182">
        <f>IF(AND(AE182&lt;&gt;"",AF182&lt;&gt;""),ROUNDUP((AF182-AE182)/7,0),"")</f>
        <v/>
      </c>
      <c r="AI182">
        <f>IFERROR(IF(AG182*AH182=0,"",AG182*AH182),"")</f>
        <v/>
      </c>
      <c r="AL182">
        <f>IF(AND(AJ182&lt;&gt;"",AK182&lt;&gt;""),ROUNDUP((AK182-AJ182)/7,0),"")</f>
        <v/>
      </c>
      <c r="AN182">
        <f>IFERROR(IF(AL182*AM182=0,"",AL182*AM182),"")</f>
        <v/>
      </c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L182">
        <f>IFERROR(INDEX('_names_lookup'!$C:$C,MATCH(BK182,'_names_lookup'!$A:$A,0)),"")</f>
        <v/>
      </c>
      <c r="BM182">
        <f>IFERROR(INDEX('_names_lookup'!$B:$B,MATCH(BK182,'_names_lookup'!$A:$A,0)),"")</f>
        <v/>
      </c>
      <c r="BS182">
        <f>IFERROR(IF(BR182*AA182=0,"",BR182*AA182),"")</f>
        <v/>
      </c>
    </row>
    <row r="183">
      <c r="O183">
        <f>IFERROR(INDEX('_courses_lookup'!$C:$C,MATCH(K183&amp;L183,'_courses_lookup'!$E:$E,0)),"")</f>
        <v/>
      </c>
      <c r="P183">
        <f>IFERROR(INDEX('_courses_lookup'!$D:$D,MATCH(K183&amp;L183,'_courses_lookup'!$E:$E,0)),"")</f>
        <v/>
      </c>
      <c r="AG183">
        <f>IF(AND(AE183&lt;&gt;"",AF183&lt;&gt;""),ROUNDUP((AF183-AE183)/7,0),"")</f>
        <v/>
      </c>
      <c r="AI183">
        <f>IFERROR(IF(AG183*AH183=0,"",AG183*AH183),"")</f>
        <v/>
      </c>
      <c r="AL183">
        <f>IF(AND(AJ183&lt;&gt;"",AK183&lt;&gt;""),ROUNDUP((AK183-AJ183)/7,0),"")</f>
        <v/>
      </c>
      <c r="AN183">
        <f>IFERROR(IF(AL183*AM183=0,"",AL183*AM183),"")</f>
        <v/>
      </c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L183">
        <f>IFERROR(INDEX('_names_lookup'!$C:$C,MATCH(BK183,'_names_lookup'!$A:$A,0)),"")</f>
        <v/>
      </c>
      <c r="BM183">
        <f>IFERROR(INDEX('_names_lookup'!$B:$B,MATCH(BK183,'_names_lookup'!$A:$A,0)),"")</f>
        <v/>
      </c>
      <c r="BS183">
        <f>IFERROR(IF(BR183*AA183=0,"",BR183*AA183),"")</f>
        <v/>
      </c>
    </row>
    <row r="184">
      <c r="O184">
        <f>IFERROR(INDEX('_courses_lookup'!$C:$C,MATCH(K184&amp;L184,'_courses_lookup'!$E:$E,0)),"")</f>
        <v/>
      </c>
      <c r="P184">
        <f>IFERROR(INDEX('_courses_lookup'!$D:$D,MATCH(K184&amp;L184,'_courses_lookup'!$E:$E,0)),"")</f>
        <v/>
      </c>
      <c r="AG184">
        <f>IF(AND(AE184&lt;&gt;"",AF184&lt;&gt;""),ROUNDUP((AF184-AE184)/7,0),"")</f>
        <v/>
      </c>
      <c r="AI184">
        <f>IFERROR(IF(AG184*AH184=0,"",AG184*AH184),"")</f>
        <v/>
      </c>
      <c r="AL184">
        <f>IF(AND(AJ184&lt;&gt;"",AK184&lt;&gt;""),ROUNDUP((AK184-AJ184)/7,0),"")</f>
        <v/>
      </c>
      <c r="AN184">
        <f>IFERROR(IF(AL184*AM184=0,"",AL184*AM184),"")</f>
        <v/>
      </c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L184">
        <f>IFERROR(INDEX('_names_lookup'!$C:$C,MATCH(BK184,'_names_lookup'!$A:$A,0)),"")</f>
        <v/>
      </c>
      <c r="BM184">
        <f>IFERROR(INDEX('_names_lookup'!$B:$B,MATCH(BK184,'_names_lookup'!$A:$A,0)),"")</f>
        <v/>
      </c>
      <c r="BS184">
        <f>IFERROR(IF(BR184*AA184=0,"",BR184*AA184),"")</f>
        <v/>
      </c>
    </row>
    <row r="185">
      <c r="O185">
        <f>IFERROR(INDEX('_courses_lookup'!$C:$C,MATCH(K185&amp;L185,'_courses_lookup'!$E:$E,0)),"")</f>
        <v/>
      </c>
      <c r="P185">
        <f>IFERROR(INDEX('_courses_lookup'!$D:$D,MATCH(K185&amp;L185,'_courses_lookup'!$E:$E,0)),"")</f>
        <v/>
      </c>
      <c r="AG185">
        <f>IF(AND(AE185&lt;&gt;"",AF185&lt;&gt;""),ROUNDUP((AF185-AE185)/7,0),"")</f>
        <v/>
      </c>
      <c r="AI185">
        <f>IFERROR(IF(AG185*AH185=0,"",AG185*AH185),"")</f>
        <v/>
      </c>
      <c r="AL185">
        <f>IF(AND(AJ185&lt;&gt;"",AK185&lt;&gt;""),ROUNDUP((AK185-AJ185)/7,0),"")</f>
        <v/>
      </c>
      <c r="AN185">
        <f>IFERROR(IF(AL185*AM185=0,"",AL185*AM185),"")</f>
        <v/>
      </c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L185">
        <f>IFERROR(INDEX('_names_lookup'!$C:$C,MATCH(BK185,'_names_lookup'!$A:$A,0)),"")</f>
        <v/>
      </c>
      <c r="BM185">
        <f>IFERROR(INDEX('_names_lookup'!$B:$B,MATCH(BK185,'_names_lookup'!$A:$A,0)),"")</f>
        <v/>
      </c>
      <c r="BS185">
        <f>IFERROR(IF(BR185*AA185=0,"",BR185*AA185),"")</f>
        <v/>
      </c>
    </row>
    <row r="186">
      <c r="O186">
        <f>IFERROR(INDEX('_courses_lookup'!$C:$C,MATCH(K186&amp;L186,'_courses_lookup'!$E:$E,0)),"")</f>
        <v/>
      </c>
      <c r="P186">
        <f>IFERROR(INDEX('_courses_lookup'!$D:$D,MATCH(K186&amp;L186,'_courses_lookup'!$E:$E,0)),"")</f>
        <v/>
      </c>
      <c r="AG186">
        <f>IF(AND(AE186&lt;&gt;"",AF186&lt;&gt;""),ROUNDUP((AF186-AE186)/7,0),"")</f>
        <v/>
      </c>
      <c r="AI186">
        <f>IFERROR(IF(AG186*AH186=0,"",AG186*AH186),"")</f>
        <v/>
      </c>
      <c r="AL186">
        <f>IF(AND(AJ186&lt;&gt;"",AK186&lt;&gt;""),ROUNDUP((AK186-AJ186)/7,0),"")</f>
        <v/>
      </c>
      <c r="AN186">
        <f>IFERROR(IF(AL186*AM186=0,"",AL186*AM186),"")</f>
        <v/>
      </c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L186">
        <f>IFERROR(INDEX('_names_lookup'!$C:$C,MATCH(BK186,'_names_lookup'!$A:$A,0)),"")</f>
        <v/>
      </c>
      <c r="BM186">
        <f>IFERROR(INDEX('_names_lookup'!$B:$B,MATCH(BK186,'_names_lookup'!$A:$A,0)),"")</f>
        <v/>
      </c>
      <c r="BS186">
        <f>IFERROR(IF(BR186*AA186=0,"",BR186*AA186),"")</f>
        <v/>
      </c>
    </row>
    <row r="187">
      <c r="O187">
        <f>IFERROR(INDEX('_courses_lookup'!$C:$C,MATCH(K187&amp;L187,'_courses_lookup'!$E:$E,0)),"")</f>
        <v/>
      </c>
      <c r="P187">
        <f>IFERROR(INDEX('_courses_lookup'!$D:$D,MATCH(K187&amp;L187,'_courses_lookup'!$E:$E,0)),"")</f>
        <v/>
      </c>
      <c r="AG187">
        <f>IF(AND(AE187&lt;&gt;"",AF187&lt;&gt;""),ROUNDUP((AF187-AE187)/7,0),"")</f>
        <v/>
      </c>
      <c r="AI187">
        <f>IFERROR(IF(AG187*AH187=0,"",AG187*AH187),"")</f>
        <v/>
      </c>
      <c r="AL187">
        <f>IF(AND(AJ187&lt;&gt;"",AK187&lt;&gt;""),ROUNDUP((AK187-AJ187)/7,0),"")</f>
        <v/>
      </c>
      <c r="AN187">
        <f>IFERROR(IF(AL187*AM187=0,"",AL187*AM187),"")</f>
        <v/>
      </c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L187">
        <f>IFERROR(INDEX('_names_lookup'!$C:$C,MATCH(BK187,'_names_lookup'!$A:$A,0)),"")</f>
        <v/>
      </c>
      <c r="BM187">
        <f>IFERROR(INDEX('_names_lookup'!$B:$B,MATCH(BK187,'_names_lookup'!$A:$A,0)),"")</f>
        <v/>
      </c>
      <c r="BS187">
        <f>IFERROR(IF(BR187*AA187=0,"",BR187*AA187),"")</f>
        <v/>
      </c>
    </row>
    <row r="188">
      <c r="O188">
        <f>IFERROR(INDEX('_courses_lookup'!$C:$C,MATCH(K188&amp;L188,'_courses_lookup'!$E:$E,0)),"")</f>
        <v/>
      </c>
      <c r="P188">
        <f>IFERROR(INDEX('_courses_lookup'!$D:$D,MATCH(K188&amp;L188,'_courses_lookup'!$E:$E,0)),"")</f>
        <v/>
      </c>
      <c r="AG188">
        <f>IF(AND(AE188&lt;&gt;"",AF188&lt;&gt;""),ROUNDUP((AF188-AE188)/7,0),"")</f>
        <v/>
      </c>
      <c r="AI188">
        <f>IFERROR(IF(AG188*AH188=0,"",AG188*AH188),"")</f>
        <v/>
      </c>
      <c r="AL188">
        <f>IF(AND(AJ188&lt;&gt;"",AK188&lt;&gt;""),ROUNDUP((AK188-AJ188)/7,0),"")</f>
        <v/>
      </c>
      <c r="AN188">
        <f>IFERROR(IF(AL188*AM188=0,"",AL188*AM188),"")</f>
        <v/>
      </c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L188">
        <f>IFERROR(INDEX('_names_lookup'!$C:$C,MATCH(BK188,'_names_lookup'!$A:$A,0)),"")</f>
        <v/>
      </c>
      <c r="BM188">
        <f>IFERROR(INDEX('_names_lookup'!$B:$B,MATCH(BK188,'_names_lookup'!$A:$A,0)),"")</f>
        <v/>
      </c>
      <c r="BS188">
        <f>IFERROR(IF(BR188*AA188=0,"",BR188*AA188),"")</f>
        <v/>
      </c>
    </row>
    <row r="189">
      <c r="O189">
        <f>IFERROR(INDEX('_courses_lookup'!$C:$C,MATCH(K189&amp;L189,'_courses_lookup'!$E:$E,0)),"")</f>
        <v/>
      </c>
      <c r="P189">
        <f>IFERROR(INDEX('_courses_lookup'!$D:$D,MATCH(K189&amp;L189,'_courses_lookup'!$E:$E,0)),"")</f>
        <v/>
      </c>
      <c r="AG189">
        <f>IF(AND(AE189&lt;&gt;"",AF189&lt;&gt;""),ROUNDUP((AF189-AE189)/7,0),"")</f>
        <v/>
      </c>
      <c r="AI189">
        <f>IFERROR(IF(AG189*AH189=0,"",AG189*AH189),"")</f>
        <v/>
      </c>
      <c r="AL189">
        <f>IF(AND(AJ189&lt;&gt;"",AK189&lt;&gt;""),ROUNDUP((AK189-AJ189)/7,0),"")</f>
        <v/>
      </c>
      <c r="AN189">
        <f>IFERROR(IF(AL189*AM189=0,"",AL189*AM189),"")</f>
        <v/>
      </c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L189">
        <f>IFERROR(INDEX('_names_lookup'!$C:$C,MATCH(BK189,'_names_lookup'!$A:$A,0)),"")</f>
        <v/>
      </c>
      <c r="BM189">
        <f>IFERROR(INDEX('_names_lookup'!$B:$B,MATCH(BK189,'_names_lookup'!$A:$A,0)),"")</f>
        <v/>
      </c>
      <c r="BS189">
        <f>IFERROR(IF(BR189*AA189=0,"",BR189*AA189),"")</f>
        <v/>
      </c>
    </row>
    <row r="190">
      <c r="O190">
        <f>IFERROR(INDEX('_courses_lookup'!$C:$C,MATCH(K190&amp;L190,'_courses_lookup'!$E:$E,0)),"")</f>
        <v/>
      </c>
      <c r="P190">
        <f>IFERROR(INDEX('_courses_lookup'!$D:$D,MATCH(K190&amp;L190,'_courses_lookup'!$E:$E,0)),"")</f>
        <v/>
      </c>
      <c r="AG190">
        <f>IF(AND(AE190&lt;&gt;"",AF190&lt;&gt;""),ROUNDUP((AF190-AE190)/7,0),"")</f>
        <v/>
      </c>
      <c r="AI190">
        <f>IFERROR(IF(AG190*AH190=0,"",AG190*AH190),"")</f>
        <v/>
      </c>
      <c r="AL190">
        <f>IF(AND(AJ190&lt;&gt;"",AK190&lt;&gt;""),ROUNDUP((AK190-AJ190)/7,0),"")</f>
        <v/>
      </c>
      <c r="AN190">
        <f>IFERROR(IF(AL190*AM190=0,"",AL190*AM190),"")</f>
        <v/>
      </c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L190">
        <f>IFERROR(INDEX('_names_lookup'!$C:$C,MATCH(BK190,'_names_lookup'!$A:$A,0)),"")</f>
        <v/>
      </c>
      <c r="BM190">
        <f>IFERROR(INDEX('_names_lookup'!$B:$B,MATCH(BK190,'_names_lookup'!$A:$A,0)),"")</f>
        <v/>
      </c>
      <c r="BS190">
        <f>IFERROR(IF(BR190*AA190=0,"",BR190*AA190),"")</f>
        <v/>
      </c>
    </row>
    <row r="191">
      <c r="O191">
        <f>IFERROR(INDEX('_courses_lookup'!$C:$C,MATCH(K191&amp;L191,'_courses_lookup'!$E:$E,0)),"")</f>
        <v/>
      </c>
      <c r="P191">
        <f>IFERROR(INDEX('_courses_lookup'!$D:$D,MATCH(K191&amp;L191,'_courses_lookup'!$E:$E,0)),"")</f>
        <v/>
      </c>
      <c r="AG191">
        <f>IF(AND(AE191&lt;&gt;"",AF191&lt;&gt;""),ROUNDUP((AF191-AE191)/7,0),"")</f>
        <v/>
      </c>
      <c r="AI191">
        <f>IFERROR(IF(AG191*AH191=0,"",AG191*AH191),"")</f>
        <v/>
      </c>
      <c r="AL191">
        <f>IF(AND(AJ191&lt;&gt;"",AK191&lt;&gt;""),ROUNDUP((AK191-AJ191)/7,0),"")</f>
        <v/>
      </c>
      <c r="AN191">
        <f>IFERROR(IF(AL191*AM191=0,"",AL191*AM191),"")</f>
        <v/>
      </c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L191">
        <f>IFERROR(INDEX('_names_lookup'!$C:$C,MATCH(BK191,'_names_lookup'!$A:$A,0)),"")</f>
        <v/>
      </c>
      <c r="BM191">
        <f>IFERROR(INDEX('_names_lookup'!$B:$B,MATCH(BK191,'_names_lookup'!$A:$A,0)),"")</f>
        <v/>
      </c>
      <c r="BS191">
        <f>IFERROR(IF(BR191*AA191=0,"",BR191*AA191),"")</f>
        <v/>
      </c>
    </row>
    <row r="192">
      <c r="O192">
        <f>IFERROR(INDEX('_courses_lookup'!$C:$C,MATCH(K192&amp;L192,'_courses_lookup'!$E:$E,0)),"")</f>
        <v/>
      </c>
      <c r="P192">
        <f>IFERROR(INDEX('_courses_lookup'!$D:$D,MATCH(K192&amp;L192,'_courses_lookup'!$E:$E,0)),"")</f>
        <v/>
      </c>
      <c r="AG192">
        <f>IF(AND(AE192&lt;&gt;"",AF192&lt;&gt;""),ROUNDUP((AF192-AE192)/7,0),"")</f>
        <v/>
      </c>
      <c r="AI192">
        <f>IFERROR(IF(AG192*AH192=0,"",AG192*AH192),"")</f>
        <v/>
      </c>
      <c r="AL192">
        <f>IF(AND(AJ192&lt;&gt;"",AK192&lt;&gt;""),ROUNDUP((AK192-AJ192)/7,0),"")</f>
        <v/>
      </c>
      <c r="AN192">
        <f>IFERROR(IF(AL192*AM192=0,"",AL192*AM192),"")</f>
        <v/>
      </c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L192">
        <f>IFERROR(INDEX('_names_lookup'!$C:$C,MATCH(BK192,'_names_lookup'!$A:$A,0)),"")</f>
        <v/>
      </c>
      <c r="BM192">
        <f>IFERROR(INDEX('_names_lookup'!$B:$B,MATCH(BK192,'_names_lookup'!$A:$A,0)),"")</f>
        <v/>
      </c>
      <c r="BS192">
        <f>IFERROR(IF(BR192*AA192=0,"",BR192*AA192),"")</f>
        <v/>
      </c>
    </row>
    <row r="193">
      <c r="O193">
        <f>IFERROR(INDEX('_courses_lookup'!$C:$C,MATCH(K193&amp;L193,'_courses_lookup'!$E:$E,0)),"")</f>
        <v/>
      </c>
      <c r="P193">
        <f>IFERROR(INDEX('_courses_lookup'!$D:$D,MATCH(K193&amp;L193,'_courses_lookup'!$E:$E,0)),"")</f>
        <v/>
      </c>
      <c r="AG193">
        <f>IF(AND(AE193&lt;&gt;"",AF193&lt;&gt;""),ROUNDUP((AF193-AE193)/7,0),"")</f>
        <v/>
      </c>
      <c r="AI193">
        <f>IFERROR(IF(AG193*AH193=0,"",AG193*AH193),"")</f>
        <v/>
      </c>
      <c r="AL193">
        <f>IF(AND(AJ193&lt;&gt;"",AK193&lt;&gt;""),ROUNDUP((AK193-AJ193)/7,0),"")</f>
        <v/>
      </c>
      <c r="AN193">
        <f>IFERROR(IF(AL193*AM193=0,"",AL193*AM193),"")</f>
        <v/>
      </c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L193">
        <f>IFERROR(INDEX('_names_lookup'!$C:$C,MATCH(BK193,'_names_lookup'!$A:$A,0)),"")</f>
        <v/>
      </c>
      <c r="BM193">
        <f>IFERROR(INDEX('_names_lookup'!$B:$B,MATCH(BK193,'_names_lookup'!$A:$A,0)),"")</f>
        <v/>
      </c>
      <c r="BS193">
        <f>IFERROR(IF(BR193*AA193=0,"",BR193*AA193),"")</f>
        <v/>
      </c>
    </row>
    <row r="194">
      <c r="O194">
        <f>IFERROR(INDEX('_courses_lookup'!$C:$C,MATCH(K194&amp;L194,'_courses_lookup'!$E:$E,0)),"")</f>
        <v/>
      </c>
      <c r="P194">
        <f>IFERROR(INDEX('_courses_lookup'!$D:$D,MATCH(K194&amp;L194,'_courses_lookup'!$E:$E,0)),"")</f>
        <v/>
      </c>
      <c r="AG194">
        <f>IF(AND(AE194&lt;&gt;"",AF194&lt;&gt;""),ROUNDUP((AF194-AE194)/7,0),"")</f>
        <v/>
      </c>
      <c r="AI194">
        <f>IFERROR(IF(AG194*AH194=0,"",AG194*AH194),"")</f>
        <v/>
      </c>
      <c r="AL194">
        <f>IF(AND(AJ194&lt;&gt;"",AK194&lt;&gt;""),ROUNDUP((AK194-AJ194)/7,0),"")</f>
        <v/>
      </c>
      <c r="AN194">
        <f>IFERROR(IF(AL194*AM194=0,"",AL194*AM194),"")</f>
        <v/>
      </c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L194">
        <f>IFERROR(INDEX('_names_lookup'!$C:$C,MATCH(BK194,'_names_lookup'!$A:$A,0)),"")</f>
        <v/>
      </c>
      <c r="BM194">
        <f>IFERROR(INDEX('_names_lookup'!$B:$B,MATCH(BK194,'_names_lookup'!$A:$A,0)),"")</f>
        <v/>
      </c>
      <c r="BS194">
        <f>IFERROR(IF(BR194*AA194=0,"",BR194*AA194),"")</f>
        <v/>
      </c>
    </row>
    <row r="195">
      <c r="O195">
        <f>IFERROR(INDEX('_courses_lookup'!$C:$C,MATCH(K195&amp;L195,'_courses_lookup'!$E:$E,0)),"")</f>
        <v/>
      </c>
      <c r="P195">
        <f>IFERROR(INDEX('_courses_lookup'!$D:$D,MATCH(K195&amp;L195,'_courses_lookup'!$E:$E,0)),"")</f>
        <v/>
      </c>
      <c r="AG195">
        <f>IF(AND(AE195&lt;&gt;"",AF195&lt;&gt;""),ROUNDUP((AF195-AE195)/7,0),"")</f>
        <v/>
      </c>
      <c r="AI195">
        <f>IFERROR(IF(AG195*AH195=0,"",AG195*AH195),"")</f>
        <v/>
      </c>
      <c r="AL195">
        <f>IF(AND(AJ195&lt;&gt;"",AK195&lt;&gt;""),ROUNDUP((AK195-AJ195)/7,0),"")</f>
        <v/>
      </c>
      <c r="AN195">
        <f>IFERROR(IF(AL195*AM195=0,"",AL195*AM195),"")</f>
        <v/>
      </c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L195">
        <f>IFERROR(INDEX('_names_lookup'!$C:$C,MATCH(BK195,'_names_lookup'!$A:$A,0)),"")</f>
        <v/>
      </c>
      <c r="BM195">
        <f>IFERROR(INDEX('_names_lookup'!$B:$B,MATCH(BK195,'_names_lookup'!$A:$A,0)),"")</f>
        <v/>
      </c>
      <c r="BS195">
        <f>IFERROR(IF(BR195*AA195=0,"",BR195*AA195),"")</f>
        <v/>
      </c>
    </row>
    <row r="196">
      <c r="O196">
        <f>IFERROR(INDEX('_courses_lookup'!$C:$C,MATCH(K196&amp;L196,'_courses_lookup'!$E:$E,0)),"")</f>
        <v/>
      </c>
      <c r="P196">
        <f>IFERROR(INDEX('_courses_lookup'!$D:$D,MATCH(K196&amp;L196,'_courses_lookup'!$E:$E,0)),"")</f>
        <v/>
      </c>
      <c r="AG196">
        <f>IF(AND(AE196&lt;&gt;"",AF196&lt;&gt;""),ROUNDUP((AF196-AE196)/7,0),"")</f>
        <v/>
      </c>
      <c r="AI196">
        <f>IFERROR(IF(AG196*AH196=0,"",AG196*AH196),"")</f>
        <v/>
      </c>
      <c r="AL196">
        <f>IF(AND(AJ196&lt;&gt;"",AK196&lt;&gt;""),ROUNDUP((AK196-AJ196)/7,0),"")</f>
        <v/>
      </c>
      <c r="AN196">
        <f>IFERROR(IF(AL196*AM196=0,"",AL196*AM196),"")</f>
        <v/>
      </c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L196">
        <f>IFERROR(INDEX('_names_lookup'!$C:$C,MATCH(BK196,'_names_lookup'!$A:$A,0)),"")</f>
        <v/>
      </c>
      <c r="BM196">
        <f>IFERROR(INDEX('_names_lookup'!$B:$B,MATCH(BK196,'_names_lookup'!$A:$A,0)),"")</f>
        <v/>
      </c>
      <c r="BS196">
        <f>IFERROR(IF(BR196*AA196=0,"",BR196*AA196),"")</f>
        <v/>
      </c>
    </row>
    <row r="197">
      <c r="O197">
        <f>IFERROR(INDEX('_courses_lookup'!$C:$C,MATCH(K197&amp;L197,'_courses_lookup'!$E:$E,0)),"")</f>
        <v/>
      </c>
      <c r="P197">
        <f>IFERROR(INDEX('_courses_lookup'!$D:$D,MATCH(K197&amp;L197,'_courses_lookup'!$E:$E,0)),"")</f>
        <v/>
      </c>
      <c r="AG197">
        <f>IF(AND(AE197&lt;&gt;"",AF197&lt;&gt;""),ROUNDUP((AF197-AE197)/7,0),"")</f>
        <v/>
      </c>
      <c r="AI197">
        <f>IFERROR(IF(AG197*AH197=0,"",AG197*AH197),"")</f>
        <v/>
      </c>
      <c r="AL197">
        <f>IF(AND(AJ197&lt;&gt;"",AK197&lt;&gt;""),ROUNDUP((AK197-AJ197)/7,0),"")</f>
        <v/>
      </c>
      <c r="AN197">
        <f>IFERROR(IF(AL197*AM197=0,"",AL197*AM197),"")</f>
        <v/>
      </c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L197">
        <f>IFERROR(INDEX('_names_lookup'!$C:$C,MATCH(BK197,'_names_lookup'!$A:$A,0)),"")</f>
        <v/>
      </c>
      <c r="BM197">
        <f>IFERROR(INDEX('_names_lookup'!$B:$B,MATCH(BK197,'_names_lookup'!$A:$A,0)),"")</f>
        <v/>
      </c>
      <c r="BS197">
        <f>IFERROR(IF(BR197*AA197=0,"",BR197*AA197),"")</f>
        <v/>
      </c>
    </row>
    <row r="198">
      <c r="O198">
        <f>IFERROR(INDEX('_courses_lookup'!$C:$C,MATCH(K198&amp;L198,'_courses_lookup'!$E:$E,0)),"")</f>
        <v/>
      </c>
      <c r="P198">
        <f>IFERROR(INDEX('_courses_lookup'!$D:$D,MATCH(K198&amp;L198,'_courses_lookup'!$E:$E,0)),"")</f>
        <v/>
      </c>
      <c r="AG198">
        <f>IF(AND(AE198&lt;&gt;"",AF198&lt;&gt;""),ROUNDUP((AF198-AE198)/7,0),"")</f>
        <v/>
      </c>
      <c r="AI198">
        <f>IFERROR(IF(AG198*AH198=0,"",AG198*AH198),"")</f>
        <v/>
      </c>
      <c r="AL198">
        <f>IF(AND(AJ198&lt;&gt;"",AK198&lt;&gt;""),ROUNDUP((AK198-AJ198)/7,0),"")</f>
        <v/>
      </c>
      <c r="AN198">
        <f>IFERROR(IF(AL198*AM198=0,"",AL198*AM198),"")</f>
        <v/>
      </c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L198">
        <f>IFERROR(INDEX('_names_lookup'!$C:$C,MATCH(BK198,'_names_lookup'!$A:$A,0)),"")</f>
        <v/>
      </c>
      <c r="BM198">
        <f>IFERROR(INDEX('_names_lookup'!$B:$B,MATCH(BK198,'_names_lookup'!$A:$A,0)),"")</f>
        <v/>
      </c>
      <c r="BS198">
        <f>IFERROR(IF(BR198*AA198=0,"",BR198*AA198),"")</f>
        <v/>
      </c>
    </row>
    <row r="199">
      <c r="O199">
        <f>IFERROR(INDEX('_courses_lookup'!$C:$C,MATCH(K199&amp;L199,'_courses_lookup'!$E:$E,0)),"")</f>
        <v/>
      </c>
      <c r="P199">
        <f>IFERROR(INDEX('_courses_lookup'!$D:$D,MATCH(K199&amp;L199,'_courses_lookup'!$E:$E,0)),"")</f>
        <v/>
      </c>
      <c r="AG199">
        <f>IF(AND(AE199&lt;&gt;"",AF199&lt;&gt;""),ROUNDUP((AF199-AE199)/7,0),"")</f>
        <v/>
      </c>
      <c r="AI199">
        <f>IFERROR(IF(AG199*AH199=0,"",AG199*AH199),"")</f>
        <v/>
      </c>
      <c r="AL199">
        <f>IF(AND(AJ199&lt;&gt;"",AK199&lt;&gt;""),ROUNDUP((AK199-AJ199)/7,0),"")</f>
        <v/>
      </c>
      <c r="AN199">
        <f>IFERROR(IF(AL199*AM199=0,"",AL199*AM199),"")</f>
        <v/>
      </c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L199">
        <f>IFERROR(INDEX('_names_lookup'!$C:$C,MATCH(BK199,'_names_lookup'!$A:$A,0)),"")</f>
        <v/>
      </c>
      <c r="BM199">
        <f>IFERROR(INDEX('_names_lookup'!$B:$B,MATCH(BK199,'_names_lookup'!$A:$A,0)),"")</f>
        <v/>
      </c>
      <c r="BS199">
        <f>IFERROR(IF(BR199*AA199=0,"",BR199*AA199),"")</f>
        <v/>
      </c>
    </row>
    <row r="200">
      <c r="O200">
        <f>IFERROR(INDEX('_courses_lookup'!$C:$C,MATCH(K200&amp;L200,'_courses_lookup'!$E:$E,0)),"")</f>
        <v/>
      </c>
      <c r="P200">
        <f>IFERROR(INDEX('_courses_lookup'!$D:$D,MATCH(K200&amp;L200,'_courses_lookup'!$E:$E,0)),"")</f>
        <v/>
      </c>
      <c r="AG200">
        <f>IF(AND(AE200&lt;&gt;"",AF200&lt;&gt;""),ROUNDUP((AF200-AE200)/7,0),"")</f>
        <v/>
      </c>
      <c r="AI200">
        <f>IFERROR(IF(AG200*AH200=0,"",AG200*AH200),"")</f>
        <v/>
      </c>
      <c r="AL200">
        <f>IF(AND(AJ200&lt;&gt;"",AK200&lt;&gt;""),ROUNDUP((AK200-AJ200)/7,0),"")</f>
        <v/>
      </c>
      <c r="AN200">
        <f>IFERROR(IF(AL200*AM200=0,"",AL200*AM200),"")</f>
        <v/>
      </c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L200">
        <f>IFERROR(INDEX('_names_lookup'!$C:$C,MATCH(BK200,'_names_lookup'!$A:$A,0)),"")</f>
        <v/>
      </c>
      <c r="BM200">
        <f>IFERROR(INDEX('_names_lookup'!$B:$B,MATCH(BK200,'_names_lookup'!$A:$A,0)),"")</f>
        <v/>
      </c>
      <c r="BS200">
        <f>IFERROR(IF(BR200*AA200=0,"",BR200*AA200),"")</f>
        <v/>
      </c>
    </row>
    <row r="201">
      <c r="O201">
        <f>IFERROR(INDEX('_courses_lookup'!$C:$C,MATCH(K201&amp;L201,'_courses_lookup'!$E:$E,0)),"")</f>
        <v/>
      </c>
      <c r="P201">
        <f>IFERROR(INDEX('_courses_lookup'!$D:$D,MATCH(K201&amp;L201,'_courses_lookup'!$E:$E,0)),"")</f>
        <v/>
      </c>
      <c r="AG201">
        <f>IF(AND(AE201&lt;&gt;"",AF201&lt;&gt;""),ROUNDUP((AF201-AE201)/7,0),"")</f>
        <v/>
      </c>
      <c r="AI201">
        <f>IFERROR(IF(AG201*AH201=0,"",AG201*AH201),"")</f>
        <v/>
      </c>
      <c r="AL201">
        <f>IF(AND(AJ201&lt;&gt;"",AK201&lt;&gt;""),ROUNDUP((AK201-AJ201)/7,0),"")</f>
        <v/>
      </c>
      <c r="AN201">
        <f>IFERROR(IF(AL201*AM201=0,"",AL201*AM201),"")</f>
        <v/>
      </c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L201">
        <f>IFERROR(INDEX('_names_lookup'!$C:$C,MATCH(BK201,'_names_lookup'!$A:$A,0)),"")</f>
        <v/>
      </c>
      <c r="BM201">
        <f>IFERROR(INDEX('_names_lookup'!$B:$B,MATCH(BK201,'_names_lookup'!$A:$A,0)),"")</f>
        <v/>
      </c>
      <c r="BS201">
        <f>IFERROR(IF(BR201*AA201=0,"",BR201*AA201),"")</f>
        <v/>
      </c>
    </row>
    <row r="202">
      <c r="O202">
        <f>IFERROR(INDEX('_courses_lookup'!$C:$C,MATCH(K202&amp;L202,'_courses_lookup'!$E:$E,0)),"")</f>
        <v/>
      </c>
      <c r="P202">
        <f>IFERROR(INDEX('_courses_lookup'!$D:$D,MATCH(K202&amp;L202,'_courses_lookup'!$E:$E,0)),"")</f>
        <v/>
      </c>
      <c r="AG202">
        <f>IF(AND(AE202&lt;&gt;"",AF202&lt;&gt;""),ROUNDUP((AF202-AE202)/7,0),"")</f>
        <v/>
      </c>
      <c r="AI202">
        <f>IFERROR(IF(AG202*AH202=0,"",AG202*AH202),"")</f>
        <v/>
      </c>
      <c r="AL202">
        <f>IF(AND(AJ202&lt;&gt;"",AK202&lt;&gt;""),ROUNDUP((AK202-AJ202)/7,0),"")</f>
        <v/>
      </c>
      <c r="AN202">
        <f>IFERROR(IF(AL202*AM202=0,"",AL202*AM202),"")</f>
        <v/>
      </c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L202">
        <f>IFERROR(INDEX('_names_lookup'!$C:$C,MATCH(BK202,'_names_lookup'!$A:$A,0)),"")</f>
        <v/>
      </c>
      <c r="BM202">
        <f>IFERROR(INDEX('_names_lookup'!$B:$B,MATCH(BK202,'_names_lookup'!$A:$A,0)),"")</f>
        <v/>
      </c>
      <c r="BS202">
        <f>IFERROR(IF(BR202*AA202=0,"",BR202*AA202),"")</f>
        <v/>
      </c>
    </row>
    <row r="203">
      <c r="O203">
        <f>IFERROR(INDEX('_courses_lookup'!$C:$C,MATCH(K203&amp;L203,'_courses_lookup'!$E:$E,0)),"")</f>
        <v/>
      </c>
      <c r="P203">
        <f>IFERROR(INDEX('_courses_lookup'!$D:$D,MATCH(K203&amp;L203,'_courses_lookup'!$E:$E,0)),"")</f>
        <v/>
      </c>
      <c r="AG203">
        <f>IF(AND(AE203&lt;&gt;"",AF203&lt;&gt;""),ROUNDUP((AF203-AE203)/7,0),"")</f>
        <v/>
      </c>
      <c r="AI203">
        <f>IFERROR(IF(AG203*AH203=0,"",AG203*AH203),"")</f>
        <v/>
      </c>
      <c r="AL203">
        <f>IF(AND(AJ203&lt;&gt;"",AK203&lt;&gt;""),ROUNDUP((AK203-AJ203)/7,0),"")</f>
        <v/>
      </c>
      <c r="AN203">
        <f>IFERROR(IF(AL203*AM203=0,"",AL203*AM203),"")</f>
        <v/>
      </c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L203">
        <f>IFERROR(INDEX('_names_lookup'!$C:$C,MATCH(BK203,'_names_lookup'!$A:$A,0)),"")</f>
        <v/>
      </c>
      <c r="BM203">
        <f>IFERROR(INDEX('_names_lookup'!$B:$B,MATCH(BK203,'_names_lookup'!$A:$A,0)),"")</f>
        <v/>
      </c>
      <c r="BS203">
        <f>IFERROR(IF(BR203*AA203=0,"",BR203*AA203),"")</f>
        <v/>
      </c>
    </row>
    <row r="204">
      <c r="O204">
        <f>IFERROR(INDEX('_courses_lookup'!$C:$C,MATCH(K204&amp;L204,'_courses_lookup'!$E:$E,0)),"")</f>
        <v/>
      </c>
      <c r="P204">
        <f>IFERROR(INDEX('_courses_lookup'!$D:$D,MATCH(K204&amp;L204,'_courses_lookup'!$E:$E,0)),"")</f>
        <v/>
      </c>
      <c r="AG204">
        <f>IF(AND(AE204&lt;&gt;"",AF204&lt;&gt;""),ROUNDUP((AF204-AE204)/7,0),"")</f>
        <v/>
      </c>
      <c r="AI204">
        <f>IFERROR(IF(AG204*AH204=0,"",AG204*AH204),"")</f>
        <v/>
      </c>
      <c r="AL204">
        <f>IF(AND(AJ204&lt;&gt;"",AK204&lt;&gt;""),ROUNDUP((AK204-AJ204)/7,0),"")</f>
        <v/>
      </c>
      <c r="AN204">
        <f>IFERROR(IF(AL204*AM204=0,"",AL204*AM204),"")</f>
        <v/>
      </c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L204">
        <f>IFERROR(INDEX('_names_lookup'!$C:$C,MATCH(BK204,'_names_lookup'!$A:$A,0)),"")</f>
        <v/>
      </c>
      <c r="BM204">
        <f>IFERROR(INDEX('_names_lookup'!$B:$B,MATCH(BK204,'_names_lookup'!$A:$A,0)),"")</f>
        <v/>
      </c>
      <c r="BS204">
        <f>IFERROR(IF(BR204*AA204=0,"",BR204*AA204),"")</f>
        <v/>
      </c>
    </row>
    <row r="205">
      <c r="O205">
        <f>IFERROR(INDEX('_courses_lookup'!$C:$C,MATCH(K205&amp;L205,'_courses_lookup'!$E:$E,0)),"")</f>
        <v/>
      </c>
      <c r="P205">
        <f>IFERROR(INDEX('_courses_lookup'!$D:$D,MATCH(K205&amp;L205,'_courses_lookup'!$E:$E,0)),"")</f>
        <v/>
      </c>
      <c r="AG205">
        <f>IF(AND(AE205&lt;&gt;"",AF205&lt;&gt;""),ROUNDUP((AF205-AE205)/7,0),"")</f>
        <v/>
      </c>
      <c r="AI205">
        <f>IFERROR(IF(AG205*AH205=0,"",AG205*AH205),"")</f>
        <v/>
      </c>
      <c r="AL205">
        <f>IF(AND(AJ205&lt;&gt;"",AK205&lt;&gt;""),ROUNDUP((AK205-AJ205)/7,0),"")</f>
        <v/>
      </c>
      <c r="AN205">
        <f>IFERROR(IF(AL205*AM205=0,"",AL205*AM205),"")</f>
        <v/>
      </c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L205">
        <f>IFERROR(INDEX('_names_lookup'!$C:$C,MATCH(BK205,'_names_lookup'!$A:$A,0)),"")</f>
        <v/>
      </c>
      <c r="BM205">
        <f>IFERROR(INDEX('_names_lookup'!$B:$B,MATCH(BK205,'_names_lookup'!$A:$A,0)),"")</f>
        <v/>
      </c>
      <c r="BS205">
        <f>IFERROR(IF(BR205*AA205=0,"",BR205*AA205),"")</f>
        <v/>
      </c>
    </row>
    <row r="206">
      <c r="O206">
        <f>IFERROR(INDEX('_courses_lookup'!$C:$C,MATCH(K206&amp;L206,'_courses_lookup'!$E:$E,0)),"")</f>
        <v/>
      </c>
      <c r="P206">
        <f>IFERROR(INDEX('_courses_lookup'!$D:$D,MATCH(K206&amp;L206,'_courses_lookup'!$E:$E,0)),"")</f>
        <v/>
      </c>
      <c r="AG206">
        <f>IF(AND(AE206&lt;&gt;"",AF206&lt;&gt;""),ROUNDUP((AF206-AE206)/7,0),"")</f>
        <v/>
      </c>
      <c r="AI206">
        <f>IFERROR(IF(AG206*AH206=0,"",AG206*AH206),"")</f>
        <v/>
      </c>
      <c r="AL206">
        <f>IF(AND(AJ206&lt;&gt;"",AK206&lt;&gt;""),ROUNDUP((AK206-AJ206)/7,0),"")</f>
        <v/>
      </c>
      <c r="AN206">
        <f>IFERROR(IF(AL206*AM206=0,"",AL206*AM206),"")</f>
        <v/>
      </c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L206">
        <f>IFERROR(INDEX('_names_lookup'!$C:$C,MATCH(BK206,'_names_lookup'!$A:$A,0)),"")</f>
        <v/>
      </c>
      <c r="BM206">
        <f>IFERROR(INDEX('_names_lookup'!$B:$B,MATCH(BK206,'_names_lookup'!$A:$A,0)),"")</f>
        <v/>
      </c>
      <c r="BS206">
        <f>IFERROR(IF(BR206*AA206=0,"",BR206*AA206),"")</f>
        <v/>
      </c>
    </row>
    <row r="207">
      <c r="O207">
        <f>IFERROR(INDEX('_courses_lookup'!$C:$C,MATCH(K207&amp;L207,'_courses_lookup'!$E:$E,0)),"")</f>
        <v/>
      </c>
      <c r="P207">
        <f>IFERROR(INDEX('_courses_lookup'!$D:$D,MATCH(K207&amp;L207,'_courses_lookup'!$E:$E,0)),"")</f>
        <v/>
      </c>
      <c r="AG207">
        <f>IF(AND(AE207&lt;&gt;"",AF207&lt;&gt;""),ROUNDUP((AF207-AE207)/7,0),"")</f>
        <v/>
      </c>
      <c r="AI207">
        <f>IFERROR(IF(AG207*AH207=0,"",AG207*AH207),"")</f>
        <v/>
      </c>
      <c r="AL207">
        <f>IF(AND(AJ207&lt;&gt;"",AK207&lt;&gt;""),ROUNDUP((AK207-AJ207)/7,0),"")</f>
        <v/>
      </c>
      <c r="AN207">
        <f>IFERROR(IF(AL207*AM207=0,"",AL207*AM207),"")</f>
        <v/>
      </c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L207">
        <f>IFERROR(INDEX('_names_lookup'!$C:$C,MATCH(BK207,'_names_lookup'!$A:$A,0)),"")</f>
        <v/>
      </c>
      <c r="BM207">
        <f>IFERROR(INDEX('_names_lookup'!$B:$B,MATCH(BK207,'_names_lookup'!$A:$A,0)),"")</f>
        <v/>
      </c>
      <c r="BS207">
        <f>IFERROR(IF(BR207*AA207=0,"",BR207*AA207),"")</f>
        <v/>
      </c>
    </row>
    <row r="208">
      <c r="O208">
        <f>IFERROR(INDEX('_courses_lookup'!$C:$C,MATCH(K208&amp;L208,'_courses_lookup'!$E:$E,0)),"")</f>
        <v/>
      </c>
      <c r="P208">
        <f>IFERROR(INDEX('_courses_lookup'!$D:$D,MATCH(K208&amp;L208,'_courses_lookup'!$E:$E,0)),"")</f>
        <v/>
      </c>
      <c r="AG208">
        <f>IF(AND(AE208&lt;&gt;"",AF208&lt;&gt;""),ROUNDUP((AF208-AE208)/7,0),"")</f>
        <v/>
      </c>
      <c r="AI208">
        <f>IFERROR(IF(AG208*AH208=0,"",AG208*AH208),"")</f>
        <v/>
      </c>
      <c r="AL208">
        <f>IF(AND(AJ208&lt;&gt;"",AK208&lt;&gt;""),ROUNDUP((AK208-AJ208)/7,0),"")</f>
        <v/>
      </c>
      <c r="AN208">
        <f>IFERROR(IF(AL208*AM208=0,"",AL208*AM208),"")</f>
        <v/>
      </c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L208">
        <f>IFERROR(INDEX('_names_lookup'!$C:$C,MATCH(BK208,'_names_lookup'!$A:$A,0)),"")</f>
        <v/>
      </c>
      <c r="BM208">
        <f>IFERROR(INDEX('_names_lookup'!$B:$B,MATCH(BK208,'_names_lookup'!$A:$A,0)),"")</f>
        <v/>
      </c>
      <c r="BS208">
        <f>IFERROR(IF(BR208*AA208=0,"",BR208*AA208),"")</f>
        <v/>
      </c>
    </row>
    <row r="209">
      <c r="O209">
        <f>IFERROR(INDEX('_courses_lookup'!$C:$C,MATCH(K209&amp;L209,'_courses_lookup'!$E:$E,0)),"")</f>
        <v/>
      </c>
      <c r="P209">
        <f>IFERROR(INDEX('_courses_lookup'!$D:$D,MATCH(K209&amp;L209,'_courses_lookup'!$E:$E,0)),"")</f>
        <v/>
      </c>
      <c r="AG209">
        <f>IF(AND(AE209&lt;&gt;"",AF209&lt;&gt;""),ROUNDUP((AF209-AE209)/7,0),"")</f>
        <v/>
      </c>
      <c r="AI209">
        <f>IFERROR(IF(AG209*AH209=0,"",AG209*AH209),"")</f>
        <v/>
      </c>
      <c r="AL209">
        <f>IF(AND(AJ209&lt;&gt;"",AK209&lt;&gt;""),ROUNDUP((AK209-AJ209)/7,0),"")</f>
        <v/>
      </c>
      <c r="AN209">
        <f>IFERROR(IF(AL209*AM209=0,"",AL209*AM209),"")</f>
        <v/>
      </c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L209">
        <f>IFERROR(INDEX('_names_lookup'!$C:$C,MATCH(BK209,'_names_lookup'!$A:$A,0)),"")</f>
        <v/>
      </c>
      <c r="BM209">
        <f>IFERROR(INDEX('_names_lookup'!$B:$B,MATCH(BK209,'_names_lookup'!$A:$A,0)),"")</f>
        <v/>
      </c>
      <c r="BS209">
        <f>IFERROR(IF(BR209*AA209=0,"",BR209*AA209),"")</f>
        <v/>
      </c>
    </row>
    <row r="210">
      <c r="O210">
        <f>IFERROR(INDEX('_courses_lookup'!$C:$C,MATCH(K210&amp;L210,'_courses_lookup'!$E:$E,0)),"")</f>
        <v/>
      </c>
      <c r="P210">
        <f>IFERROR(INDEX('_courses_lookup'!$D:$D,MATCH(K210&amp;L210,'_courses_lookup'!$E:$E,0)),"")</f>
        <v/>
      </c>
      <c r="AG210">
        <f>IF(AND(AE210&lt;&gt;"",AF210&lt;&gt;""),ROUNDUP((AF210-AE210)/7,0),"")</f>
        <v/>
      </c>
      <c r="AI210">
        <f>IFERROR(IF(AG210*AH210=0,"",AG210*AH210),"")</f>
        <v/>
      </c>
      <c r="AL210">
        <f>IF(AND(AJ210&lt;&gt;"",AK210&lt;&gt;""),ROUNDUP((AK210-AJ210)/7,0),"")</f>
        <v/>
      </c>
      <c r="AN210">
        <f>IFERROR(IF(AL210*AM210=0,"",AL210*AM210),"")</f>
        <v/>
      </c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L210">
        <f>IFERROR(INDEX('_names_lookup'!$C:$C,MATCH(BK210,'_names_lookup'!$A:$A,0)),"")</f>
        <v/>
      </c>
      <c r="BM210">
        <f>IFERROR(INDEX('_names_lookup'!$B:$B,MATCH(BK210,'_names_lookup'!$A:$A,0)),"")</f>
        <v/>
      </c>
      <c r="BS210">
        <f>IFERROR(IF(BR210*AA210=0,"",BR210*AA210),"")</f>
        <v/>
      </c>
    </row>
    <row r="211">
      <c r="O211">
        <f>IFERROR(INDEX('_courses_lookup'!$C:$C,MATCH(K211&amp;L211,'_courses_lookup'!$E:$E,0)),"")</f>
        <v/>
      </c>
      <c r="P211">
        <f>IFERROR(INDEX('_courses_lookup'!$D:$D,MATCH(K211&amp;L211,'_courses_lookup'!$E:$E,0)),"")</f>
        <v/>
      </c>
      <c r="AG211">
        <f>IF(AND(AE211&lt;&gt;"",AF211&lt;&gt;""),ROUNDUP((AF211-AE211)/7,0),"")</f>
        <v/>
      </c>
      <c r="AI211">
        <f>IFERROR(IF(AG211*AH211=0,"",AG211*AH211),"")</f>
        <v/>
      </c>
      <c r="AL211">
        <f>IF(AND(AJ211&lt;&gt;"",AK211&lt;&gt;""),ROUNDUP((AK211-AJ211)/7,0),"")</f>
        <v/>
      </c>
      <c r="AN211">
        <f>IFERROR(IF(AL211*AM211=0,"",AL211*AM211),"")</f>
        <v/>
      </c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L211">
        <f>IFERROR(INDEX('_names_lookup'!$C:$C,MATCH(BK211,'_names_lookup'!$A:$A,0)),"")</f>
        <v/>
      </c>
      <c r="BM211">
        <f>IFERROR(INDEX('_names_lookup'!$B:$B,MATCH(BK211,'_names_lookup'!$A:$A,0)),"")</f>
        <v/>
      </c>
      <c r="BS211">
        <f>IFERROR(IF(BR211*AA211=0,"",BR211*AA211),"")</f>
        <v/>
      </c>
    </row>
    <row r="212">
      <c r="O212">
        <f>IFERROR(INDEX('_courses_lookup'!$C:$C,MATCH(K212&amp;L212,'_courses_lookup'!$E:$E,0)),"")</f>
        <v/>
      </c>
      <c r="P212">
        <f>IFERROR(INDEX('_courses_lookup'!$D:$D,MATCH(K212&amp;L212,'_courses_lookup'!$E:$E,0)),"")</f>
        <v/>
      </c>
      <c r="AG212">
        <f>IF(AND(AE212&lt;&gt;"",AF212&lt;&gt;""),ROUNDUP((AF212-AE212)/7,0),"")</f>
        <v/>
      </c>
      <c r="AI212">
        <f>IFERROR(IF(AG212*AH212=0,"",AG212*AH212),"")</f>
        <v/>
      </c>
      <c r="AL212">
        <f>IF(AND(AJ212&lt;&gt;"",AK212&lt;&gt;""),ROUNDUP((AK212-AJ212)/7,0),"")</f>
        <v/>
      </c>
      <c r="AN212">
        <f>IFERROR(IF(AL212*AM212=0,"",AL212*AM212),"")</f>
        <v/>
      </c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L212">
        <f>IFERROR(INDEX('_names_lookup'!$C:$C,MATCH(BK212,'_names_lookup'!$A:$A,0)),"")</f>
        <v/>
      </c>
      <c r="BM212">
        <f>IFERROR(INDEX('_names_lookup'!$B:$B,MATCH(BK212,'_names_lookup'!$A:$A,0)),"")</f>
        <v/>
      </c>
      <c r="BS212">
        <f>IFERROR(IF(BR212*AA212=0,"",BR212*AA212),"")</f>
        <v/>
      </c>
    </row>
    <row r="213">
      <c r="O213">
        <f>IFERROR(INDEX('_courses_lookup'!$C:$C,MATCH(K213&amp;L213,'_courses_lookup'!$E:$E,0)),"")</f>
        <v/>
      </c>
      <c r="P213">
        <f>IFERROR(INDEX('_courses_lookup'!$D:$D,MATCH(K213&amp;L213,'_courses_lookup'!$E:$E,0)),"")</f>
        <v/>
      </c>
      <c r="AG213">
        <f>IF(AND(AE213&lt;&gt;"",AF213&lt;&gt;""),ROUNDUP((AF213-AE213)/7,0),"")</f>
        <v/>
      </c>
      <c r="AI213">
        <f>IFERROR(IF(AG213*AH213=0,"",AG213*AH213),"")</f>
        <v/>
      </c>
      <c r="AL213">
        <f>IF(AND(AJ213&lt;&gt;"",AK213&lt;&gt;""),ROUNDUP((AK213-AJ213)/7,0),"")</f>
        <v/>
      </c>
      <c r="AN213">
        <f>IFERROR(IF(AL213*AM213=0,"",AL213*AM213),"")</f>
        <v/>
      </c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L213">
        <f>IFERROR(INDEX('_names_lookup'!$C:$C,MATCH(BK213,'_names_lookup'!$A:$A,0)),"")</f>
        <v/>
      </c>
      <c r="BM213">
        <f>IFERROR(INDEX('_names_lookup'!$B:$B,MATCH(BK213,'_names_lookup'!$A:$A,0)),"")</f>
        <v/>
      </c>
      <c r="BS213">
        <f>IFERROR(IF(BR213*AA213=0,"",BR213*AA213),"")</f>
        <v/>
      </c>
    </row>
    <row r="214">
      <c r="O214">
        <f>IFERROR(INDEX('_courses_lookup'!$C:$C,MATCH(K214&amp;L214,'_courses_lookup'!$E:$E,0)),"")</f>
        <v/>
      </c>
      <c r="P214">
        <f>IFERROR(INDEX('_courses_lookup'!$D:$D,MATCH(K214&amp;L214,'_courses_lookup'!$E:$E,0)),"")</f>
        <v/>
      </c>
      <c r="AG214">
        <f>IF(AND(AE214&lt;&gt;"",AF214&lt;&gt;""),ROUNDUP((AF214-AE214)/7,0),"")</f>
        <v/>
      </c>
      <c r="AI214">
        <f>IFERROR(IF(AG214*AH214=0,"",AG214*AH214),"")</f>
        <v/>
      </c>
      <c r="AL214">
        <f>IF(AND(AJ214&lt;&gt;"",AK214&lt;&gt;""),ROUNDUP((AK214-AJ214)/7,0),"")</f>
        <v/>
      </c>
      <c r="AN214">
        <f>IFERROR(IF(AL214*AM214=0,"",AL214*AM214),"")</f>
        <v/>
      </c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L214">
        <f>IFERROR(INDEX('_names_lookup'!$C:$C,MATCH(BK214,'_names_lookup'!$A:$A,0)),"")</f>
        <v/>
      </c>
      <c r="BM214">
        <f>IFERROR(INDEX('_names_lookup'!$B:$B,MATCH(BK214,'_names_lookup'!$A:$A,0)),"")</f>
        <v/>
      </c>
      <c r="BS214">
        <f>IFERROR(IF(BR214*AA214=0,"",BR214*AA214),"")</f>
        <v/>
      </c>
    </row>
    <row r="215">
      <c r="O215">
        <f>IFERROR(INDEX('_courses_lookup'!$C:$C,MATCH(K215&amp;L215,'_courses_lookup'!$E:$E,0)),"")</f>
        <v/>
      </c>
      <c r="P215">
        <f>IFERROR(INDEX('_courses_lookup'!$D:$D,MATCH(K215&amp;L215,'_courses_lookup'!$E:$E,0)),"")</f>
        <v/>
      </c>
      <c r="AG215">
        <f>IF(AND(AE215&lt;&gt;"",AF215&lt;&gt;""),ROUNDUP((AF215-AE215)/7,0),"")</f>
        <v/>
      </c>
      <c r="AI215">
        <f>IFERROR(IF(AG215*AH215=0,"",AG215*AH215),"")</f>
        <v/>
      </c>
      <c r="AL215">
        <f>IF(AND(AJ215&lt;&gt;"",AK215&lt;&gt;""),ROUNDUP((AK215-AJ215)/7,0),"")</f>
        <v/>
      </c>
      <c r="AN215">
        <f>IFERROR(IF(AL215*AM215=0,"",AL215*AM215),"")</f>
        <v/>
      </c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L215">
        <f>IFERROR(INDEX('_names_lookup'!$C:$C,MATCH(BK215,'_names_lookup'!$A:$A,0)),"")</f>
        <v/>
      </c>
      <c r="BM215">
        <f>IFERROR(INDEX('_names_lookup'!$B:$B,MATCH(BK215,'_names_lookup'!$A:$A,0)),"")</f>
        <v/>
      </c>
      <c r="BS215">
        <f>IFERROR(IF(BR215*AA215=0,"",BR215*AA215),"")</f>
        <v/>
      </c>
    </row>
    <row r="216">
      <c r="O216">
        <f>IFERROR(INDEX('_courses_lookup'!$C:$C,MATCH(K216&amp;L216,'_courses_lookup'!$E:$E,0)),"")</f>
        <v/>
      </c>
      <c r="P216">
        <f>IFERROR(INDEX('_courses_lookup'!$D:$D,MATCH(K216&amp;L216,'_courses_lookup'!$E:$E,0)),"")</f>
        <v/>
      </c>
      <c r="AG216">
        <f>IF(AND(AE216&lt;&gt;"",AF216&lt;&gt;""),ROUNDUP((AF216-AE216)/7,0),"")</f>
        <v/>
      </c>
      <c r="AI216">
        <f>IFERROR(IF(AG216*AH216=0,"",AG216*AH216),"")</f>
        <v/>
      </c>
      <c r="AL216">
        <f>IF(AND(AJ216&lt;&gt;"",AK216&lt;&gt;""),ROUNDUP((AK216-AJ216)/7,0),"")</f>
        <v/>
      </c>
      <c r="AN216">
        <f>IFERROR(IF(AL216*AM216=0,"",AL216*AM216),"")</f>
        <v/>
      </c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L216">
        <f>IFERROR(INDEX('_names_lookup'!$C:$C,MATCH(BK216,'_names_lookup'!$A:$A,0)),"")</f>
        <v/>
      </c>
      <c r="BM216">
        <f>IFERROR(INDEX('_names_lookup'!$B:$B,MATCH(BK216,'_names_lookup'!$A:$A,0)),"")</f>
        <v/>
      </c>
      <c r="BS216">
        <f>IFERROR(IF(BR216*AA216=0,"",BR216*AA216),"")</f>
        <v/>
      </c>
    </row>
    <row r="217">
      <c r="O217">
        <f>IFERROR(INDEX('_courses_lookup'!$C:$C,MATCH(K217&amp;L217,'_courses_lookup'!$E:$E,0)),"")</f>
        <v/>
      </c>
      <c r="P217">
        <f>IFERROR(INDEX('_courses_lookup'!$D:$D,MATCH(K217&amp;L217,'_courses_lookup'!$E:$E,0)),"")</f>
        <v/>
      </c>
      <c r="AG217">
        <f>IF(AND(AE217&lt;&gt;"",AF217&lt;&gt;""),ROUNDUP((AF217-AE217)/7,0),"")</f>
        <v/>
      </c>
      <c r="AI217">
        <f>IFERROR(IF(AG217*AH217=0,"",AG217*AH217),"")</f>
        <v/>
      </c>
      <c r="AL217">
        <f>IF(AND(AJ217&lt;&gt;"",AK217&lt;&gt;""),ROUNDUP((AK217-AJ217)/7,0),"")</f>
        <v/>
      </c>
      <c r="AN217">
        <f>IFERROR(IF(AL217*AM217=0,"",AL217*AM217),"")</f>
        <v/>
      </c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L217">
        <f>IFERROR(INDEX('_names_lookup'!$C:$C,MATCH(BK217,'_names_lookup'!$A:$A,0)),"")</f>
        <v/>
      </c>
      <c r="BM217">
        <f>IFERROR(INDEX('_names_lookup'!$B:$B,MATCH(BK217,'_names_lookup'!$A:$A,0)),"")</f>
        <v/>
      </c>
      <c r="BS217">
        <f>IFERROR(IF(BR217*AA217=0,"",BR217*AA217),"")</f>
        <v/>
      </c>
    </row>
    <row r="218">
      <c r="O218">
        <f>IFERROR(INDEX('_courses_lookup'!$C:$C,MATCH(K218&amp;L218,'_courses_lookup'!$E:$E,0)),"")</f>
        <v/>
      </c>
      <c r="P218">
        <f>IFERROR(INDEX('_courses_lookup'!$D:$D,MATCH(K218&amp;L218,'_courses_lookup'!$E:$E,0)),"")</f>
        <v/>
      </c>
      <c r="AG218">
        <f>IF(AND(AE218&lt;&gt;"",AF218&lt;&gt;""),ROUNDUP((AF218-AE218)/7,0),"")</f>
        <v/>
      </c>
      <c r="AI218">
        <f>IFERROR(IF(AG218*AH218=0,"",AG218*AH218),"")</f>
        <v/>
      </c>
      <c r="AL218">
        <f>IF(AND(AJ218&lt;&gt;"",AK218&lt;&gt;""),ROUNDUP((AK218-AJ218)/7,0),"")</f>
        <v/>
      </c>
      <c r="AN218">
        <f>IFERROR(IF(AL218*AM218=0,"",AL218*AM218),"")</f>
        <v/>
      </c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L218">
        <f>IFERROR(INDEX('_names_lookup'!$C:$C,MATCH(BK218,'_names_lookup'!$A:$A,0)),"")</f>
        <v/>
      </c>
      <c r="BM218">
        <f>IFERROR(INDEX('_names_lookup'!$B:$B,MATCH(BK218,'_names_lookup'!$A:$A,0)),"")</f>
        <v/>
      </c>
      <c r="BS218">
        <f>IFERROR(IF(BR218*AA218=0,"",BR218*AA218),"")</f>
        <v/>
      </c>
    </row>
    <row r="219">
      <c r="O219">
        <f>IFERROR(INDEX('_courses_lookup'!$C:$C,MATCH(K219&amp;L219,'_courses_lookup'!$E:$E,0)),"")</f>
        <v/>
      </c>
      <c r="P219">
        <f>IFERROR(INDEX('_courses_lookup'!$D:$D,MATCH(K219&amp;L219,'_courses_lookup'!$E:$E,0)),"")</f>
        <v/>
      </c>
      <c r="AG219">
        <f>IF(AND(AE219&lt;&gt;"",AF219&lt;&gt;""),ROUNDUP((AF219-AE219)/7,0),"")</f>
        <v/>
      </c>
      <c r="AI219">
        <f>IFERROR(IF(AG219*AH219=0,"",AG219*AH219),"")</f>
        <v/>
      </c>
      <c r="AL219">
        <f>IF(AND(AJ219&lt;&gt;"",AK219&lt;&gt;""),ROUNDUP((AK219-AJ219)/7,0),"")</f>
        <v/>
      </c>
      <c r="AN219">
        <f>IFERROR(IF(AL219*AM219=0,"",AL219*AM219),"")</f>
        <v/>
      </c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L219">
        <f>IFERROR(INDEX('_names_lookup'!$C:$C,MATCH(BK219,'_names_lookup'!$A:$A,0)),"")</f>
        <v/>
      </c>
      <c r="BM219">
        <f>IFERROR(INDEX('_names_lookup'!$B:$B,MATCH(BK219,'_names_lookup'!$A:$A,0)),"")</f>
        <v/>
      </c>
      <c r="BS219">
        <f>IFERROR(IF(BR219*AA219=0,"",BR219*AA219),"")</f>
        <v/>
      </c>
    </row>
    <row r="220">
      <c r="O220">
        <f>IFERROR(INDEX('_courses_lookup'!$C:$C,MATCH(K220&amp;L220,'_courses_lookup'!$E:$E,0)),"")</f>
        <v/>
      </c>
      <c r="P220">
        <f>IFERROR(INDEX('_courses_lookup'!$D:$D,MATCH(K220&amp;L220,'_courses_lookup'!$E:$E,0)),"")</f>
        <v/>
      </c>
      <c r="AG220">
        <f>IF(AND(AE220&lt;&gt;"",AF220&lt;&gt;""),ROUNDUP((AF220-AE220)/7,0),"")</f>
        <v/>
      </c>
      <c r="AI220">
        <f>IFERROR(IF(AG220*AH220=0,"",AG220*AH220),"")</f>
        <v/>
      </c>
      <c r="AL220">
        <f>IF(AND(AJ220&lt;&gt;"",AK220&lt;&gt;""),ROUNDUP((AK220-AJ220)/7,0),"")</f>
        <v/>
      </c>
      <c r="AN220">
        <f>IFERROR(IF(AL220*AM220=0,"",AL220*AM220),"")</f>
        <v/>
      </c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L220">
        <f>IFERROR(INDEX('_names_lookup'!$C:$C,MATCH(BK220,'_names_lookup'!$A:$A,0)),"")</f>
        <v/>
      </c>
      <c r="BM220">
        <f>IFERROR(INDEX('_names_lookup'!$B:$B,MATCH(BK220,'_names_lookup'!$A:$A,0)),"")</f>
        <v/>
      </c>
      <c r="BS220">
        <f>IFERROR(IF(BR220*AA220=0,"",BR220*AA220),"")</f>
        <v/>
      </c>
    </row>
    <row r="221">
      <c r="O221">
        <f>IFERROR(INDEX('_courses_lookup'!$C:$C,MATCH(K221&amp;L221,'_courses_lookup'!$E:$E,0)),"")</f>
        <v/>
      </c>
      <c r="P221">
        <f>IFERROR(INDEX('_courses_lookup'!$D:$D,MATCH(K221&amp;L221,'_courses_lookup'!$E:$E,0)),"")</f>
        <v/>
      </c>
      <c r="AG221">
        <f>IF(AND(AE221&lt;&gt;"",AF221&lt;&gt;""),ROUNDUP((AF221-AE221)/7,0),"")</f>
        <v/>
      </c>
      <c r="AI221">
        <f>IFERROR(IF(AG221*AH221=0,"",AG221*AH221),"")</f>
        <v/>
      </c>
      <c r="AL221">
        <f>IF(AND(AJ221&lt;&gt;"",AK221&lt;&gt;""),ROUNDUP((AK221-AJ221)/7,0),"")</f>
        <v/>
      </c>
      <c r="AN221">
        <f>IFERROR(IF(AL221*AM221=0,"",AL221*AM221),"")</f>
        <v/>
      </c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L221">
        <f>IFERROR(INDEX('_names_lookup'!$C:$C,MATCH(BK221,'_names_lookup'!$A:$A,0)),"")</f>
        <v/>
      </c>
      <c r="BM221">
        <f>IFERROR(INDEX('_names_lookup'!$B:$B,MATCH(BK221,'_names_lookup'!$A:$A,0)),"")</f>
        <v/>
      </c>
      <c r="BS221">
        <f>IFERROR(IF(BR221*AA221=0,"",BR221*AA221),"")</f>
        <v/>
      </c>
    </row>
    <row r="222">
      <c r="O222">
        <f>IFERROR(INDEX('_courses_lookup'!$C:$C,MATCH(K222&amp;L222,'_courses_lookup'!$E:$E,0)),"")</f>
        <v/>
      </c>
      <c r="P222">
        <f>IFERROR(INDEX('_courses_lookup'!$D:$D,MATCH(K222&amp;L222,'_courses_lookup'!$E:$E,0)),"")</f>
        <v/>
      </c>
      <c r="AG222">
        <f>IF(AND(AE222&lt;&gt;"",AF222&lt;&gt;""),ROUNDUP((AF222-AE222)/7,0),"")</f>
        <v/>
      </c>
      <c r="AI222">
        <f>IFERROR(IF(AG222*AH222=0,"",AG222*AH222),"")</f>
        <v/>
      </c>
      <c r="AL222">
        <f>IF(AND(AJ222&lt;&gt;"",AK222&lt;&gt;""),ROUNDUP((AK222-AJ222)/7,0),"")</f>
        <v/>
      </c>
      <c r="AN222">
        <f>IFERROR(IF(AL222*AM222=0,"",AL222*AM222),"")</f>
        <v/>
      </c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L222">
        <f>IFERROR(INDEX('_names_lookup'!$C:$C,MATCH(BK222,'_names_lookup'!$A:$A,0)),"")</f>
        <v/>
      </c>
      <c r="BM222">
        <f>IFERROR(INDEX('_names_lookup'!$B:$B,MATCH(BK222,'_names_lookup'!$A:$A,0)),"")</f>
        <v/>
      </c>
      <c r="BS222">
        <f>IFERROR(IF(BR222*AA222=0,"",BR222*AA222),"")</f>
        <v/>
      </c>
    </row>
    <row r="223">
      <c r="O223">
        <f>IFERROR(INDEX('_courses_lookup'!$C:$C,MATCH(K223&amp;L223,'_courses_lookup'!$E:$E,0)),"")</f>
        <v/>
      </c>
      <c r="P223">
        <f>IFERROR(INDEX('_courses_lookup'!$D:$D,MATCH(K223&amp;L223,'_courses_lookup'!$E:$E,0)),"")</f>
        <v/>
      </c>
      <c r="AG223">
        <f>IF(AND(AE223&lt;&gt;"",AF223&lt;&gt;""),ROUNDUP((AF223-AE223)/7,0),"")</f>
        <v/>
      </c>
      <c r="AI223">
        <f>IFERROR(IF(AG223*AH223=0,"",AG223*AH223),"")</f>
        <v/>
      </c>
      <c r="AL223">
        <f>IF(AND(AJ223&lt;&gt;"",AK223&lt;&gt;""),ROUNDUP((AK223-AJ223)/7,0),"")</f>
        <v/>
      </c>
      <c r="AN223">
        <f>IFERROR(IF(AL223*AM223=0,"",AL223*AM223),"")</f>
        <v/>
      </c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L223">
        <f>IFERROR(INDEX('_names_lookup'!$C:$C,MATCH(BK223,'_names_lookup'!$A:$A,0)),"")</f>
        <v/>
      </c>
      <c r="BM223">
        <f>IFERROR(INDEX('_names_lookup'!$B:$B,MATCH(BK223,'_names_lookup'!$A:$A,0)),"")</f>
        <v/>
      </c>
      <c r="BS223">
        <f>IFERROR(IF(BR223*AA223=0,"",BR223*AA223),"")</f>
        <v/>
      </c>
    </row>
    <row r="224">
      <c r="O224">
        <f>IFERROR(INDEX('_courses_lookup'!$C:$C,MATCH(K224&amp;L224,'_courses_lookup'!$E:$E,0)),"")</f>
        <v/>
      </c>
      <c r="P224">
        <f>IFERROR(INDEX('_courses_lookup'!$D:$D,MATCH(K224&amp;L224,'_courses_lookup'!$E:$E,0)),"")</f>
        <v/>
      </c>
      <c r="AG224">
        <f>IF(AND(AE224&lt;&gt;"",AF224&lt;&gt;""),ROUNDUP((AF224-AE224)/7,0),"")</f>
        <v/>
      </c>
      <c r="AI224">
        <f>IFERROR(IF(AG224*AH224=0,"",AG224*AH224),"")</f>
        <v/>
      </c>
      <c r="AL224">
        <f>IF(AND(AJ224&lt;&gt;"",AK224&lt;&gt;""),ROUNDUP((AK224-AJ224)/7,0),"")</f>
        <v/>
      </c>
      <c r="AN224">
        <f>IFERROR(IF(AL224*AM224=0,"",AL224*AM224),"")</f>
        <v/>
      </c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L224">
        <f>IFERROR(INDEX('_names_lookup'!$C:$C,MATCH(BK224,'_names_lookup'!$A:$A,0)),"")</f>
        <v/>
      </c>
      <c r="BM224">
        <f>IFERROR(INDEX('_names_lookup'!$B:$B,MATCH(BK224,'_names_lookup'!$A:$A,0)),"")</f>
        <v/>
      </c>
      <c r="BS224">
        <f>IFERROR(IF(BR224*AA224=0,"",BR224*AA224),"")</f>
        <v/>
      </c>
    </row>
    <row r="225">
      <c r="O225">
        <f>IFERROR(INDEX('_courses_lookup'!$C:$C,MATCH(K225&amp;L225,'_courses_lookup'!$E:$E,0)),"")</f>
        <v/>
      </c>
      <c r="P225">
        <f>IFERROR(INDEX('_courses_lookup'!$D:$D,MATCH(K225&amp;L225,'_courses_lookup'!$E:$E,0)),"")</f>
        <v/>
      </c>
      <c r="AG225">
        <f>IF(AND(AE225&lt;&gt;"",AF225&lt;&gt;""),ROUNDUP((AF225-AE225)/7,0),"")</f>
        <v/>
      </c>
      <c r="AI225">
        <f>IFERROR(IF(AG225*AH225=0,"",AG225*AH225),"")</f>
        <v/>
      </c>
      <c r="AL225">
        <f>IF(AND(AJ225&lt;&gt;"",AK225&lt;&gt;""),ROUNDUP((AK225-AJ225)/7,0),"")</f>
        <v/>
      </c>
      <c r="AN225">
        <f>IFERROR(IF(AL225*AM225=0,"",AL225*AM225),"")</f>
        <v/>
      </c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L225">
        <f>IFERROR(INDEX('_names_lookup'!$C:$C,MATCH(BK225,'_names_lookup'!$A:$A,0)),"")</f>
        <v/>
      </c>
      <c r="BM225">
        <f>IFERROR(INDEX('_names_lookup'!$B:$B,MATCH(BK225,'_names_lookup'!$A:$A,0)),"")</f>
        <v/>
      </c>
      <c r="BS225">
        <f>IFERROR(IF(BR225*AA225=0,"",BR225*AA225),"")</f>
        <v/>
      </c>
    </row>
    <row r="226">
      <c r="O226">
        <f>IFERROR(INDEX('_courses_lookup'!$C:$C,MATCH(K226&amp;L226,'_courses_lookup'!$E:$E,0)),"")</f>
        <v/>
      </c>
      <c r="P226">
        <f>IFERROR(INDEX('_courses_lookup'!$D:$D,MATCH(K226&amp;L226,'_courses_lookup'!$E:$E,0)),"")</f>
        <v/>
      </c>
      <c r="AG226">
        <f>IF(AND(AE226&lt;&gt;"",AF226&lt;&gt;""),ROUNDUP((AF226-AE226)/7,0),"")</f>
        <v/>
      </c>
      <c r="AI226">
        <f>IFERROR(IF(AG226*AH226=0,"",AG226*AH226),"")</f>
        <v/>
      </c>
      <c r="AL226">
        <f>IF(AND(AJ226&lt;&gt;"",AK226&lt;&gt;""),ROUNDUP((AK226-AJ226)/7,0),"")</f>
        <v/>
      </c>
      <c r="AN226">
        <f>IFERROR(IF(AL226*AM226=0,"",AL226*AM226),"")</f>
        <v/>
      </c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L226">
        <f>IFERROR(INDEX('_names_lookup'!$C:$C,MATCH(BK226,'_names_lookup'!$A:$A,0)),"")</f>
        <v/>
      </c>
      <c r="BM226">
        <f>IFERROR(INDEX('_names_lookup'!$B:$B,MATCH(BK226,'_names_lookup'!$A:$A,0)),"")</f>
        <v/>
      </c>
      <c r="BS226">
        <f>IFERROR(IF(BR226*AA226=0,"",BR226*AA226),"")</f>
        <v/>
      </c>
    </row>
    <row r="227">
      <c r="O227">
        <f>IFERROR(INDEX('_courses_lookup'!$C:$C,MATCH(K227&amp;L227,'_courses_lookup'!$E:$E,0)),"")</f>
        <v/>
      </c>
      <c r="P227">
        <f>IFERROR(INDEX('_courses_lookup'!$D:$D,MATCH(K227&amp;L227,'_courses_lookup'!$E:$E,0)),"")</f>
        <v/>
      </c>
      <c r="AG227">
        <f>IF(AND(AE227&lt;&gt;"",AF227&lt;&gt;""),ROUNDUP((AF227-AE227)/7,0),"")</f>
        <v/>
      </c>
      <c r="AI227">
        <f>IFERROR(IF(AG227*AH227=0,"",AG227*AH227),"")</f>
        <v/>
      </c>
      <c r="AL227">
        <f>IF(AND(AJ227&lt;&gt;"",AK227&lt;&gt;""),ROUNDUP((AK227-AJ227)/7,0),"")</f>
        <v/>
      </c>
      <c r="AN227">
        <f>IFERROR(IF(AL227*AM227=0,"",AL227*AM227),"")</f>
        <v/>
      </c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L227">
        <f>IFERROR(INDEX('_names_lookup'!$C:$C,MATCH(BK227,'_names_lookup'!$A:$A,0)),"")</f>
        <v/>
      </c>
      <c r="BM227">
        <f>IFERROR(INDEX('_names_lookup'!$B:$B,MATCH(BK227,'_names_lookup'!$A:$A,0)),"")</f>
        <v/>
      </c>
      <c r="BS227">
        <f>IFERROR(IF(BR227*AA227=0,"",BR227*AA227),"")</f>
        <v/>
      </c>
    </row>
    <row r="228">
      <c r="O228">
        <f>IFERROR(INDEX('_courses_lookup'!$C:$C,MATCH(K228&amp;L228,'_courses_lookup'!$E:$E,0)),"")</f>
        <v/>
      </c>
      <c r="P228">
        <f>IFERROR(INDEX('_courses_lookup'!$D:$D,MATCH(K228&amp;L228,'_courses_lookup'!$E:$E,0)),"")</f>
        <v/>
      </c>
      <c r="AG228">
        <f>IF(AND(AE228&lt;&gt;"",AF228&lt;&gt;""),ROUNDUP((AF228-AE228)/7,0),"")</f>
        <v/>
      </c>
      <c r="AI228">
        <f>IFERROR(IF(AG228*AH228=0,"",AG228*AH228),"")</f>
        <v/>
      </c>
      <c r="AL228">
        <f>IF(AND(AJ228&lt;&gt;"",AK228&lt;&gt;""),ROUNDUP((AK228-AJ228)/7,0),"")</f>
        <v/>
      </c>
      <c r="AN228">
        <f>IFERROR(IF(AL228*AM228=0,"",AL228*AM228),"")</f>
        <v/>
      </c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L228">
        <f>IFERROR(INDEX('_names_lookup'!$C:$C,MATCH(BK228,'_names_lookup'!$A:$A,0)),"")</f>
        <v/>
      </c>
      <c r="BM228">
        <f>IFERROR(INDEX('_names_lookup'!$B:$B,MATCH(BK228,'_names_lookup'!$A:$A,0)),"")</f>
        <v/>
      </c>
      <c r="BS228">
        <f>IFERROR(IF(BR228*AA228=0,"",BR228*AA228),"")</f>
        <v/>
      </c>
    </row>
    <row r="229">
      <c r="O229">
        <f>IFERROR(INDEX('_courses_lookup'!$C:$C,MATCH(K229&amp;L229,'_courses_lookup'!$E:$E,0)),"")</f>
        <v/>
      </c>
      <c r="P229">
        <f>IFERROR(INDEX('_courses_lookup'!$D:$D,MATCH(K229&amp;L229,'_courses_lookup'!$E:$E,0)),"")</f>
        <v/>
      </c>
      <c r="AG229">
        <f>IF(AND(AE229&lt;&gt;"",AF229&lt;&gt;""),ROUNDUP((AF229-AE229)/7,0),"")</f>
        <v/>
      </c>
      <c r="AI229">
        <f>IFERROR(IF(AG229*AH229=0,"",AG229*AH229),"")</f>
        <v/>
      </c>
      <c r="AL229">
        <f>IF(AND(AJ229&lt;&gt;"",AK229&lt;&gt;""),ROUNDUP((AK229-AJ229)/7,0),"")</f>
        <v/>
      </c>
      <c r="AN229">
        <f>IFERROR(IF(AL229*AM229=0,"",AL229*AM229),"")</f>
        <v/>
      </c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L229">
        <f>IFERROR(INDEX('_names_lookup'!$C:$C,MATCH(BK229,'_names_lookup'!$A:$A,0)),"")</f>
        <v/>
      </c>
      <c r="BM229">
        <f>IFERROR(INDEX('_names_lookup'!$B:$B,MATCH(BK229,'_names_lookup'!$A:$A,0)),"")</f>
        <v/>
      </c>
      <c r="BS229">
        <f>IFERROR(IF(BR229*AA229=0,"",BR229*AA229),"")</f>
        <v/>
      </c>
    </row>
    <row r="230">
      <c r="O230">
        <f>IFERROR(INDEX('_courses_lookup'!$C:$C,MATCH(K230&amp;L230,'_courses_lookup'!$E:$E,0)),"")</f>
        <v/>
      </c>
      <c r="P230">
        <f>IFERROR(INDEX('_courses_lookup'!$D:$D,MATCH(K230&amp;L230,'_courses_lookup'!$E:$E,0)),"")</f>
        <v/>
      </c>
      <c r="AG230">
        <f>IF(AND(AE230&lt;&gt;"",AF230&lt;&gt;""),ROUNDUP((AF230-AE230)/7,0),"")</f>
        <v/>
      </c>
      <c r="AI230">
        <f>IFERROR(IF(AG230*AH230=0,"",AG230*AH230),"")</f>
        <v/>
      </c>
      <c r="AL230">
        <f>IF(AND(AJ230&lt;&gt;"",AK230&lt;&gt;""),ROUNDUP((AK230-AJ230)/7,0),"")</f>
        <v/>
      </c>
      <c r="AN230">
        <f>IFERROR(IF(AL230*AM230=0,"",AL230*AM230),"")</f>
        <v/>
      </c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L230">
        <f>IFERROR(INDEX('_names_lookup'!$C:$C,MATCH(BK230,'_names_lookup'!$A:$A,0)),"")</f>
        <v/>
      </c>
      <c r="BM230">
        <f>IFERROR(INDEX('_names_lookup'!$B:$B,MATCH(BK230,'_names_lookup'!$A:$A,0)),"")</f>
        <v/>
      </c>
      <c r="BS230">
        <f>IFERROR(IF(BR230*AA230=0,"",BR230*AA230),"")</f>
        <v/>
      </c>
    </row>
    <row r="231">
      <c r="O231">
        <f>IFERROR(INDEX('_courses_lookup'!$C:$C,MATCH(K231&amp;L231,'_courses_lookup'!$E:$E,0)),"")</f>
        <v/>
      </c>
      <c r="P231">
        <f>IFERROR(INDEX('_courses_lookup'!$D:$D,MATCH(K231&amp;L231,'_courses_lookup'!$E:$E,0)),"")</f>
        <v/>
      </c>
      <c r="AG231">
        <f>IF(AND(AE231&lt;&gt;"",AF231&lt;&gt;""),ROUNDUP((AF231-AE231)/7,0),"")</f>
        <v/>
      </c>
      <c r="AI231">
        <f>IFERROR(IF(AG231*AH231=0,"",AG231*AH231),"")</f>
        <v/>
      </c>
      <c r="AL231">
        <f>IF(AND(AJ231&lt;&gt;"",AK231&lt;&gt;""),ROUNDUP((AK231-AJ231)/7,0),"")</f>
        <v/>
      </c>
      <c r="AN231">
        <f>IFERROR(IF(AL231*AM231=0,"",AL231*AM231),"")</f>
        <v/>
      </c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L231">
        <f>IFERROR(INDEX('_names_lookup'!$C:$C,MATCH(BK231,'_names_lookup'!$A:$A,0)),"")</f>
        <v/>
      </c>
      <c r="BM231">
        <f>IFERROR(INDEX('_names_lookup'!$B:$B,MATCH(BK231,'_names_lookup'!$A:$A,0)),"")</f>
        <v/>
      </c>
      <c r="BS231">
        <f>IFERROR(IF(BR231*AA231=0,"",BR231*AA231),"")</f>
        <v/>
      </c>
    </row>
    <row r="232">
      <c r="O232">
        <f>IFERROR(INDEX('_courses_lookup'!$C:$C,MATCH(K232&amp;L232,'_courses_lookup'!$E:$E,0)),"")</f>
        <v/>
      </c>
      <c r="P232">
        <f>IFERROR(INDEX('_courses_lookup'!$D:$D,MATCH(K232&amp;L232,'_courses_lookup'!$E:$E,0)),"")</f>
        <v/>
      </c>
      <c r="AG232">
        <f>IF(AND(AE232&lt;&gt;"",AF232&lt;&gt;""),ROUNDUP((AF232-AE232)/7,0),"")</f>
        <v/>
      </c>
      <c r="AI232">
        <f>IFERROR(IF(AG232*AH232=0,"",AG232*AH232),"")</f>
        <v/>
      </c>
      <c r="AL232">
        <f>IF(AND(AJ232&lt;&gt;"",AK232&lt;&gt;""),ROUNDUP((AK232-AJ232)/7,0),"")</f>
        <v/>
      </c>
      <c r="AN232">
        <f>IFERROR(IF(AL232*AM232=0,"",AL232*AM232),"")</f>
        <v/>
      </c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L232">
        <f>IFERROR(INDEX('_names_lookup'!$C:$C,MATCH(BK232,'_names_lookup'!$A:$A,0)),"")</f>
        <v/>
      </c>
      <c r="BM232">
        <f>IFERROR(INDEX('_names_lookup'!$B:$B,MATCH(BK232,'_names_lookup'!$A:$A,0)),"")</f>
        <v/>
      </c>
      <c r="BS232">
        <f>IFERROR(IF(BR232*AA232=0,"",BR232*AA232),"")</f>
        <v/>
      </c>
    </row>
    <row r="233">
      <c r="O233">
        <f>IFERROR(INDEX('_courses_lookup'!$C:$C,MATCH(K233&amp;L233,'_courses_lookup'!$E:$E,0)),"")</f>
        <v/>
      </c>
      <c r="P233">
        <f>IFERROR(INDEX('_courses_lookup'!$D:$D,MATCH(K233&amp;L233,'_courses_lookup'!$E:$E,0)),"")</f>
        <v/>
      </c>
      <c r="AG233">
        <f>IF(AND(AE233&lt;&gt;"",AF233&lt;&gt;""),ROUNDUP((AF233-AE233)/7,0),"")</f>
        <v/>
      </c>
      <c r="AI233">
        <f>IFERROR(IF(AG233*AH233=0,"",AG233*AH233),"")</f>
        <v/>
      </c>
      <c r="AL233">
        <f>IF(AND(AJ233&lt;&gt;"",AK233&lt;&gt;""),ROUNDUP((AK233-AJ233)/7,0),"")</f>
        <v/>
      </c>
      <c r="AN233">
        <f>IFERROR(IF(AL233*AM233=0,"",AL233*AM233),"")</f>
        <v/>
      </c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L233">
        <f>IFERROR(INDEX('_names_lookup'!$C:$C,MATCH(BK233,'_names_lookup'!$A:$A,0)),"")</f>
        <v/>
      </c>
      <c r="BM233">
        <f>IFERROR(INDEX('_names_lookup'!$B:$B,MATCH(BK233,'_names_lookup'!$A:$A,0)),"")</f>
        <v/>
      </c>
      <c r="BS233">
        <f>IFERROR(IF(BR233*AA233=0,"",BR233*AA233),"")</f>
        <v/>
      </c>
    </row>
    <row r="234">
      <c r="O234">
        <f>IFERROR(INDEX('_courses_lookup'!$C:$C,MATCH(K234&amp;L234,'_courses_lookup'!$E:$E,0)),"")</f>
        <v/>
      </c>
      <c r="P234">
        <f>IFERROR(INDEX('_courses_lookup'!$D:$D,MATCH(K234&amp;L234,'_courses_lookup'!$E:$E,0)),"")</f>
        <v/>
      </c>
      <c r="AG234">
        <f>IF(AND(AE234&lt;&gt;"",AF234&lt;&gt;""),ROUNDUP((AF234-AE234)/7,0),"")</f>
        <v/>
      </c>
      <c r="AI234">
        <f>IFERROR(IF(AG234*AH234=0,"",AG234*AH234),"")</f>
        <v/>
      </c>
      <c r="AL234">
        <f>IF(AND(AJ234&lt;&gt;"",AK234&lt;&gt;""),ROUNDUP((AK234-AJ234)/7,0),"")</f>
        <v/>
      </c>
      <c r="AN234">
        <f>IFERROR(IF(AL234*AM234=0,"",AL234*AM234),"")</f>
        <v/>
      </c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L234">
        <f>IFERROR(INDEX('_names_lookup'!$C:$C,MATCH(BK234,'_names_lookup'!$A:$A,0)),"")</f>
        <v/>
      </c>
      <c r="BM234">
        <f>IFERROR(INDEX('_names_lookup'!$B:$B,MATCH(BK234,'_names_lookup'!$A:$A,0)),"")</f>
        <v/>
      </c>
      <c r="BS234">
        <f>IFERROR(IF(BR234*AA234=0,"",BR234*AA234),"")</f>
        <v/>
      </c>
    </row>
    <row r="235">
      <c r="O235">
        <f>IFERROR(INDEX('_courses_lookup'!$C:$C,MATCH(K235&amp;L235,'_courses_lookup'!$E:$E,0)),"")</f>
        <v/>
      </c>
      <c r="P235">
        <f>IFERROR(INDEX('_courses_lookup'!$D:$D,MATCH(K235&amp;L235,'_courses_lookup'!$E:$E,0)),"")</f>
        <v/>
      </c>
      <c r="AG235">
        <f>IF(AND(AE235&lt;&gt;"",AF235&lt;&gt;""),ROUNDUP((AF235-AE235)/7,0),"")</f>
        <v/>
      </c>
      <c r="AI235">
        <f>IFERROR(IF(AG235*AH235=0,"",AG235*AH235),"")</f>
        <v/>
      </c>
      <c r="AL235">
        <f>IF(AND(AJ235&lt;&gt;"",AK235&lt;&gt;""),ROUNDUP((AK235-AJ235)/7,0),"")</f>
        <v/>
      </c>
      <c r="AN235">
        <f>IFERROR(IF(AL235*AM235=0,"",AL235*AM235),"")</f>
        <v/>
      </c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L235">
        <f>IFERROR(INDEX('_names_lookup'!$C:$C,MATCH(BK235,'_names_lookup'!$A:$A,0)),"")</f>
        <v/>
      </c>
      <c r="BM235">
        <f>IFERROR(INDEX('_names_lookup'!$B:$B,MATCH(BK235,'_names_lookup'!$A:$A,0)),"")</f>
        <v/>
      </c>
      <c r="BS235">
        <f>IFERROR(IF(BR235*AA235=0,"",BR235*AA235),"")</f>
        <v/>
      </c>
    </row>
    <row r="236">
      <c r="O236">
        <f>IFERROR(INDEX('_courses_lookup'!$C:$C,MATCH(K236&amp;L236,'_courses_lookup'!$E:$E,0)),"")</f>
        <v/>
      </c>
      <c r="P236">
        <f>IFERROR(INDEX('_courses_lookup'!$D:$D,MATCH(K236&amp;L236,'_courses_lookup'!$E:$E,0)),"")</f>
        <v/>
      </c>
      <c r="AG236">
        <f>IF(AND(AE236&lt;&gt;"",AF236&lt;&gt;""),ROUNDUP((AF236-AE236)/7,0),"")</f>
        <v/>
      </c>
      <c r="AI236">
        <f>IFERROR(IF(AG236*AH236=0,"",AG236*AH236),"")</f>
        <v/>
      </c>
      <c r="AL236">
        <f>IF(AND(AJ236&lt;&gt;"",AK236&lt;&gt;""),ROUNDUP((AK236-AJ236)/7,0),"")</f>
        <v/>
      </c>
      <c r="AN236">
        <f>IFERROR(IF(AL236*AM236=0,"",AL236*AM236),"")</f>
        <v/>
      </c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L236">
        <f>IFERROR(INDEX('_names_lookup'!$C:$C,MATCH(BK236,'_names_lookup'!$A:$A,0)),"")</f>
        <v/>
      </c>
      <c r="BM236">
        <f>IFERROR(INDEX('_names_lookup'!$B:$B,MATCH(BK236,'_names_lookup'!$A:$A,0)),"")</f>
        <v/>
      </c>
      <c r="BS236">
        <f>IFERROR(IF(BR236*AA236=0,"",BR236*AA236),"")</f>
        <v/>
      </c>
    </row>
    <row r="237">
      <c r="O237">
        <f>IFERROR(INDEX('_courses_lookup'!$C:$C,MATCH(K237&amp;L237,'_courses_lookup'!$E:$E,0)),"")</f>
        <v/>
      </c>
      <c r="P237">
        <f>IFERROR(INDEX('_courses_lookup'!$D:$D,MATCH(K237&amp;L237,'_courses_lookup'!$E:$E,0)),"")</f>
        <v/>
      </c>
      <c r="AG237">
        <f>IF(AND(AE237&lt;&gt;"",AF237&lt;&gt;""),ROUNDUP((AF237-AE237)/7,0),"")</f>
        <v/>
      </c>
      <c r="AI237">
        <f>IFERROR(IF(AG237*AH237=0,"",AG237*AH237),"")</f>
        <v/>
      </c>
      <c r="AL237">
        <f>IF(AND(AJ237&lt;&gt;"",AK237&lt;&gt;""),ROUNDUP((AK237-AJ237)/7,0),"")</f>
        <v/>
      </c>
      <c r="AN237">
        <f>IFERROR(IF(AL237*AM237=0,"",AL237*AM237),"")</f>
        <v/>
      </c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L237">
        <f>IFERROR(INDEX('_names_lookup'!$C:$C,MATCH(BK237,'_names_lookup'!$A:$A,0)),"")</f>
        <v/>
      </c>
      <c r="BM237">
        <f>IFERROR(INDEX('_names_lookup'!$B:$B,MATCH(BK237,'_names_lookup'!$A:$A,0)),"")</f>
        <v/>
      </c>
      <c r="BS237">
        <f>IFERROR(IF(BR237*AA237=0,"",BR237*AA237),"")</f>
        <v/>
      </c>
    </row>
    <row r="238">
      <c r="O238">
        <f>IFERROR(INDEX('_courses_lookup'!$C:$C,MATCH(K238&amp;L238,'_courses_lookup'!$E:$E,0)),"")</f>
        <v/>
      </c>
      <c r="P238">
        <f>IFERROR(INDEX('_courses_lookup'!$D:$D,MATCH(K238&amp;L238,'_courses_lookup'!$E:$E,0)),"")</f>
        <v/>
      </c>
      <c r="AG238">
        <f>IF(AND(AE238&lt;&gt;"",AF238&lt;&gt;""),ROUNDUP((AF238-AE238)/7,0),"")</f>
        <v/>
      </c>
      <c r="AI238">
        <f>IFERROR(IF(AG238*AH238=0,"",AG238*AH238),"")</f>
        <v/>
      </c>
      <c r="AL238">
        <f>IF(AND(AJ238&lt;&gt;"",AK238&lt;&gt;""),ROUNDUP((AK238-AJ238)/7,0),"")</f>
        <v/>
      </c>
      <c r="AN238">
        <f>IFERROR(IF(AL238*AM238=0,"",AL238*AM238),"")</f>
        <v/>
      </c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L238">
        <f>IFERROR(INDEX('_names_lookup'!$C:$C,MATCH(BK238,'_names_lookup'!$A:$A,0)),"")</f>
        <v/>
      </c>
      <c r="BM238">
        <f>IFERROR(INDEX('_names_lookup'!$B:$B,MATCH(BK238,'_names_lookup'!$A:$A,0)),"")</f>
        <v/>
      </c>
      <c r="BS238">
        <f>IFERROR(IF(BR238*AA238=0,"",BR238*AA238),"")</f>
        <v/>
      </c>
    </row>
    <row r="239">
      <c r="O239">
        <f>IFERROR(INDEX('_courses_lookup'!$C:$C,MATCH(K239&amp;L239,'_courses_lookup'!$E:$E,0)),"")</f>
        <v/>
      </c>
      <c r="P239">
        <f>IFERROR(INDEX('_courses_lookup'!$D:$D,MATCH(K239&amp;L239,'_courses_lookup'!$E:$E,0)),"")</f>
        <v/>
      </c>
      <c r="AG239">
        <f>IF(AND(AE239&lt;&gt;"",AF239&lt;&gt;""),ROUNDUP((AF239-AE239)/7,0),"")</f>
        <v/>
      </c>
      <c r="AI239">
        <f>IFERROR(IF(AG239*AH239=0,"",AG239*AH239),"")</f>
        <v/>
      </c>
      <c r="AL239">
        <f>IF(AND(AJ239&lt;&gt;"",AK239&lt;&gt;""),ROUNDUP((AK239-AJ239)/7,0),"")</f>
        <v/>
      </c>
      <c r="AN239">
        <f>IFERROR(IF(AL239*AM239=0,"",AL239*AM239),"")</f>
        <v/>
      </c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L239">
        <f>IFERROR(INDEX('_names_lookup'!$C:$C,MATCH(BK239,'_names_lookup'!$A:$A,0)),"")</f>
        <v/>
      </c>
      <c r="BM239">
        <f>IFERROR(INDEX('_names_lookup'!$B:$B,MATCH(BK239,'_names_lookup'!$A:$A,0)),"")</f>
        <v/>
      </c>
      <c r="BS239">
        <f>IFERROR(IF(BR239*AA239=0,"",BR239*AA239),"")</f>
        <v/>
      </c>
    </row>
    <row r="240">
      <c r="O240">
        <f>IFERROR(INDEX('_courses_lookup'!$C:$C,MATCH(K240&amp;L240,'_courses_lookup'!$E:$E,0)),"")</f>
        <v/>
      </c>
      <c r="P240">
        <f>IFERROR(INDEX('_courses_lookup'!$D:$D,MATCH(K240&amp;L240,'_courses_lookup'!$E:$E,0)),"")</f>
        <v/>
      </c>
      <c r="AG240">
        <f>IF(AND(AE240&lt;&gt;"",AF240&lt;&gt;""),ROUNDUP((AF240-AE240)/7,0),"")</f>
        <v/>
      </c>
      <c r="AI240">
        <f>IFERROR(IF(AG240*AH240=0,"",AG240*AH240),"")</f>
        <v/>
      </c>
      <c r="AL240">
        <f>IF(AND(AJ240&lt;&gt;"",AK240&lt;&gt;""),ROUNDUP((AK240-AJ240)/7,0),"")</f>
        <v/>
      </c>
      <c r="AN240">
        <f>IFERROR(IF(AL240*AM240=0,"",AL240*AM240),"")</f>
        <v/>
      </c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L240">
        <f>IFERROR(INDEX('_names_lookup'!$C:$C,MATCH(BK240,'_names_lookup'!$A:$A,0)),"")</f>
        <v/>
      </c>
      <c r="BM240">
        <f>IFERROR(INDEX('_names_lookup'!$B:$B,MATCH(BK240,'_names_lookup'!$A:$A,0)),"")</f>
        <v/>
      </c>
      <c r="BS240">
        <f>IFERROR(IF(BR240*AA240=0,"",BR240*AA240),"")</f>
        <v/>
      </c>
    </row>
    <row r="241">
      <c r="O241">
        <f>IFERROR(INDEX('_courses_lookup'!$C:$C,MATCH(K241&amp;L241,'_courses_lookup'!$E:$E,0)),"")</f>
        <v/>
      </c>
      <c r="P241">
        <f>IFERROR(INDEX('_courses_lookup'!$D:$D,MATCH(K241&amp;L241,'_courses_lookup'!$E:$E,0)),"")</f>
        <v/>
      </c>
      <c r="AG241">
        <f>IF(AND(AE241&lt;&gt;"",AF241&lt;&gt;""),ROUNDUP((AF241-AE241)/7,0),"")</f>
        <v/>
      </c>
      <c r="AI241">
        <f>IFERROR(IF(AG241*AH241=0,"",AG241*AH241),"")</f>
        <v/>
      </c>
      <c r="AL241">
        <f>IF(AND(AJ241&lt;&gt;"",AK241&lt;&gt;""),ROUNDUP((AK241-AJ241)/7,0),"")</f>
        <v/>
      </c>
      <c r="AN241">
        <f>IFERROR(IF(AL241*AM241=0,"",AL241*AM241),"")</f>
        <v/>
      </c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L241">
        <f>IFERROR(INDEX('_names_lookup'!$C:$C,MATCH(BK241,'_names_lookup'!$A:$A,0)),"")</f>
        <v/>
      </c>
      <c r="BM241">
        <f>IFERROR(INDEX('_names_lookup'!$B:$B,MATCH(BK241,'_names_lookup'!$A:$A,0)),"")</f>
        <v/>
      </c>
      <c r="BS241">
        <f>IFERROR(IF(BR241*AA241=0,"",BR241*AA241),"")</f>
        <v/>
      </c>
    </row>
    <row r="242">
      <c r="O242">
        <f>IFERROR(INDEX('_courses_lookup'!$C:$C,MATCH(K242&amp;L242,'_courses_lookup'!$E:$E,0)),"")</f>
        <v/>
      </c>
      <c r="P242">
        <f>IFERROR(INDEX('_courses_lookup'!$D:$D,MATCH(K242&amp;L242,'_courses_lookup'!$E:$E,0)),"")</f>
        <v/>
      </c>
      <c r="AG242">
        <f>IF(AND(AE242&lt;&gt;"",AF242&lt;&gt;""),ROUNDUP((AF242-AE242)/7,0),"")</f>
        <v/>
      </c>
      <c r="AI242">
        <f>IFERROR(IF(AG242*AH242=0,"",AG242*AH242),"")</f>
        <v/>
      </c>
      <c r="AL242">
        <f>IF(AND(AJ242&lt;&gt;"",AK242&lt;&gt;""),ROUNDUP((AK242-AJ242)/7,0),"")</f>
        <v/>
      </c>
      <c r="AN242">
        <f>IFERROR(IF(AL242*AM242=0,"",AL242*AM242),"")</f>
        <v/>
      </c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L242">
        <f>IFERROR(INDEX('_names_lookup'!$C:$C,MATCH(BK242,'_names_lookup'!$A:$A,0)),"")</f>
        <v/>
      </c>
      <c r="BM242">
        <f>IFERROR(INDEX('_names_lookup'!$B:$B,MATCH(BK242,'_names_lookup'!$A:$A,0)),"")</f>
        <v/>
      </c>
      <c r="BS242">
        <f>IFERROR(IF(BR242*AA242=0,"",BR242*AA242),"")</f>
        <v/>
      </c>
    </row>
    <row r="243">
      <c r="O243">
        <f>IFERROR(INDEX('_courses_lookup'!$C:$C,MATCH(K243&amp;L243,'_courses_lookup'!$E:$E,0)),"")</f>
        <v/>
      </c>
      <c r="P243">
        <f>IFERROR(INDEX('_courses_lookup'!$D:$D,MATCH(K243&amp;L243,'_courses_lookup'!$E:$E,0)),"")</f>
        <v/>
      </c>
      <c r="AG243">
        <f>IF(AND(AE243&lt;&gt;"",AF243&lt;&gt;""),ROUNDUP((AF243-AE243)/7,0),"")</f>
        <v/>
      </c>
      <c r="AI243">
        <f>IFERROR(IF(AG243*AH243=0,"",AG243*AH243),"")</f>
        <v/>
      </c>
      <c r="AL243">
        <f>IF(AND(AJ243&lt;&gt;"",AK243&lt;&gt;""),ROUNDUP((AK243-AJ243)/7,0),"")</f>
        <v/>
      </c>
      <c r="AN243">
        <f>IFERROR(IF(AL243*AM243=0,"",AL243*AM243),"")</f>
        <v/>
      </c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L243">
        <f>IFERROR(INDEX('_names_lookup'!$C:$C,MATCH(BK243,'_names_lookup'!$A:$A,0)),"")</f>
        <v/>
      </c>
      <c r="BM243">
        <f>IFERROR(INDEX('_names_lookup'!$B:$B,MATCH(BK243,'_names_lookup'!$A:$A,0)),"")</f>
        <v/>
      </c>
      <c r="BS243">
        <f>IFERROR(IF(BR243*AA243=0,"",BR243*AA243),"")</f>
        <v/>
      </c>
    </row>
    <row r="244">
      <c r="O244">
        <f>IFERROR(INDEX('_courses_lookup'!$C:$C,MATCH(K244&amp;L244,'_courses_lookup'!$E:$E,0)),"")</f>
        <v/>
      </c>
      <c r="P244">
        <f>IFERROR(INDEX('_courses_lookup'!$D:$D,MATCH(K244&amp;L244,'_courses_lookup'!$E:$E,0)),"")</f>
        <v/>
      </c>
      <c r="AG244">
        <f>IF(AND(AE244&lt;&gt;"",AF244&lt;&gt;""),ROUNDUP((AF244-AE244)/7,0),"")</f>
        <v/>
      </c>
      <c r="AI244">
        <f>IFERROR(IF(AG244*AH244=0,"",AG244*AH244),"")</f>
        <v/>
      </c>
      <c r="AL244">
        <f>IF(AND(AJ244&lt;&gt;"",AK244&lt;&gt;""),ROUNDUP((AK244-AJ244)/7,0),"")</f>
        <v/>
      </c>
      <c r="AN244">
        <f>IFERROR(IF(AL244*AM244=0,"",AL244*AM244),"")</f>
        <v/>
      </c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L244">
        <f>IFERROR(INDEX('_names_lookup'!$C:$C,MATCH(BK244,'_names_lookup'!$A:$A,0)),"")</f>
        <v/>
      </c>
      <c r="BM244">
        <f>IFERROR(INDEX('_names_lookup'!$B:$B,MATCH(BK244,'_names_lookup'!$A:$A,0)),"")</f>
        <v/>
      </c>
      <c r="BS244">
        <f>IFERROR(IF(BR244*AA244=0,"",BR244*AA244),"")</f>
        <v/>
      </c>
    </row>
    <row r="245">
      <c r="O245">
        <f>IFERROR(INDEX('_courses_lookup'!$C:$C,MATCH(K245&amp;L245,'_courses_lookup'!$E:$E,0)),"")</f>
        <v/>
      </c>
      <c r="P245">
        <f>IFERROR(INDEX('_courses_lookup'!$D:$D,MATCH(K245&amp;L245,'_courses_lookup'!$E:$E,0)),"")</f>
        <v/>
      </c>
      <c r="AG245">
        <f>IF(AND(AE245&lt;&gt;"",AF245&lt;&gt;""),ROUNDUP((AF245-AE245)/7,0),"")</f>
        <v/>
      </c>
      <c r="AI245">
        <f>IFERROR(IF(AG245*AH245=0,"",AG245*AH245),"")</f>
        <v/>
      </c>
      <c r="AL245">
        <f>IF(AND(AJ245&lt;&gt;"",AK245&lt;&gt;""),ROUNDUP((AK245-AJ245)/7,0),"")</f>
        <v/>
      </c>
      <c r="AN245">
        <f>IFERROR(IF(AL245*AM245=0,"",AL245*AM245),"")</f>
        <v/>
      </c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L245">
        <f>IFERROR(INDEX('_names_lookup'!$C:$C,MATCH(BK245,'_names_lookup'!$A:$A,0)),"")</f>
        <v/>
      </c>
      <c r="BM245">
        <f>IFERROR(INDEX('_names_lookup'!$B:$B,MATCH(BK245,'_names_lookup'!$A:$A,0)),"")</f>
        <v/>
      </c>
      <c r="BS245">
        <f>IFERROR(IF(BR245*AA245=0,"",BR245*AA245),"")</f>
        <v/>
      </c>
    </row>
    <row r="246">
      <c r="O246">
        <f>IFERROR(INDEX('_courses_lookup'!$C:$C,MATCH(K246&amp;L246,'_courses_lookup'!$E:$E,0)),"")</f>
        <v/>
      </c>
      <c r="P246">
        <f>IFERROR(INDEX('_courses_lookup'!$D:$D,MATCH(K246&amp;L246,'_courses_lookup'!$E:$E,0)),"")</f>
        <v/>
      </c>
      <c r="AG246">
        <f>IF(AND(AE246&lt;&gt;"",AF246&lt;&gt;""),ROUNDUP((AF246-AE246)/7,0),"")</f>
        <v/>
      </c>
      <c r="AI246">
        <f>IFERROR(IF(AG246*AH246=0,"",AG246*AH246),"")</f>
        <v/>
      </c>
      <c r="AL246">
        <f>IF(AND(AJ246&lt;&gt;"",AK246&lt;&gt;""),ROUNDUP((AK246-AJ246)/7,0),"")</f>
        <v/>
      </c>
      <c r="AN246">
        <f>IFERROR(IF(AL246*AM246=0,"",AL246*AM246),"")</f>
        <v/>
      </c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L246">
        <f>IFERROR(INDEX('_names_lookup'!$C:$C,MATCH(BK246,'_names_lookup'!$A:$A,0)),"")</f>
        <v/>
      </c>
      <c r="BM246">
        <f>IFERROR(INDEX('_names_lookup'!$B:$B,MATCH(BK246,'_names_lookup'!$A:$A,0)),"")</f>
        <v/>
      </c>
      <c r="BS246">
        <f>IFERROR(IF(BR246*AA246=0,"",BR246*AA246),"")</f>
        <v/>
      </c>
    </row>
    <row r="247">
      <c r="O247">
        <f>IFERROR(INDEX('_courses_lookup'!$C:$C,MATCH(K247&amp;L247,'_courses_lookup'!$E:$E,0)),"")</f>
        <v/>
      </c>
      <c r="P247">
        <f>IFERROR(INDEX('_courses_lookup'!$D:$D,MATCH(K247&amp;L247,'_courses_lookup'!$E:$E,0)),"")</f>
        <v/>
      </c>
      <c r="AG247">
        <f>IF(AND(AE247&lt;&gt;"",AF247&lt;&gt;""),ROUNDUP((AF247-AE247)/7,0),"")</f>
        <v/>
      </c>
      <c r="AI247">
        <f>IFERROR(IF(AG247*AH247=0,"",AG247*AH247),"")</f>
        <v/>
      </c>
      <c r="AL247">
        <f>IF(AND(AJ247&lt;&gt;"",AK247&lt;&gt;""),ROUNDUP((AK247-AJ247)/7,0),"")</f>
        <v/>
      </c>
      <c r="AN247">
        <f>IFERROR(IF(AL247*AM247=0,"",AL247*AM247),"")</f>
        <v/>
      </c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L247">
        <f>IFERROR(INDEX('_names_lookup'!$C:$C,MATCH(BK247,'_names_lookup'!$A:$A,0)),"")</f>
        <v/>
      </c>
      <c r="BM247">
        <f>IFERROR(INDEX('_names_lookup'!$B:$B,MATCH(BK247,'_names_lookup'!$A:$A,0)),"")</f>
        <v/>
      </c>
      <c r="BS247">
        <f>IFERROR(IF(BR247*AA247=0,"",BR247*AA247),"")</f>
        <v/>
      </c>
    </row>
    <row r="248">
      <c r="O248">
        <f>IFERROR(INDEX('_courses_lookup'!$C:$C,MATCH(K248&amp;L248,'_courses_lookup'!$E:$E,0)),"")</f>
        <v/>
      </c>
      <c r="P248">
        <f>IFERROR(INDEX('_courses_lookup'!$D:$D,MATCH(K248&amp;L248,'_courses_lookup'!$E:$E,0)),"")</f>
        <v/>
      </c>
      <c r="AG248">
        <f>IF(AND(AE248&lt;&gt;"",AF248&lt;&gt;""),ROUNDUP((AF248-AE248)/7,0),"")</f>
        <v/>
      </c>
      <c r="AI248">
        <f>IFERROR(IF(AG248*AH248=0,"",AG248*AH248),"")</f>
        <v/>
      </c>
      <c r="AL248">
        <f>IF(AND(AJ248&lt;&gt;"",AK248&lt;&gt;""),ROUNDUP((AK248-AJ248)/7,0),"")</f>
        <v/>
      </c>
      <c r="AN248">
        <f>IFERROR(IF(AL248*AM248=0,"",AL248*AM248),"")</f>
        <v/>
      </c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L248">
        <f>IFERROR(INDEX('_names_lookup'!$C:$C,MATCH(BK248,'_names_lookup'!$A:$A,0)),"")</f>
        <v/>
      </c>
      <c r="BM248">
        <f>IFERROR(INDEX('_names_lookup'!$B:$B,MATCH(BK248,'_names_lookup'!$A:$A,0)),"")</f>
        <v/>
      </c>
      <c r="BS248">
        <f>IFERROR(IF(BR248*AA248=0,"",BR248*AA248),"")</f>
        <v/>
      </c>
    </row>
    <row r="249">
      <c r="O249">
        <f>IFERROR(INDEX('_courses_lookup'!$C:$C,MATCH(K249&amp;L249,'_courses_lookup'!$E:$E,0)),"")</f>
        <v/>
      </c>
      <c r="P249">
        <f>IFERROR(INDEX('_courses_lookup'!$D:$D,MATCH(K249&amp;L249,'_courses_lookup'!$E:$E,0)),"")</f>
        <v/>
      </c>
      <c r="AG249">
        <f>IF(AND(AE249&lt;&gt;"",AF249&lt;&gt;""),ROUNDUP((AF249-AE249)/7,0),"")</f>
        <v/>
      </c>
      <c r="AI249">
        <f>IFERROR(IF(AG249*AH249=0,"",AG249*AH249),"")</f>
        <v/>
      </c>
      <c r="AL249">
        <f>IF(AND(AJ249&lt;&gt;"",AK249&lt;&gt;""),ROUNDUP((AK249-AJ249)/7,0),"")</f>
        <v/>
      </c>
      <c r="AN249">
        <f>IFERROR(IF(AL249*AM249=0,"",AL249*AM249),"")</f>
        <v/>
      </c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L249">
        <f>IFERROR(INDEX('_names_lookup'!$C:$C,MATCH(BK249,'_names_lookup'!$A:$A,0)),"")</f>
        <v/>
      </c>
      <c r="BM249">
        <f>IFERROR(INDEX('_names_lookup'!$B:$B,MATCH(BK249,'_names_lookup'!$A:$A,0)),"")</f>
        <v/>
      </c>
      <c r="BS249">
        <f>IFERROR(IF(BR249*AA249=0,"",BR249*AA249),"")</f>
        <v/>
      </c>
    </row>
    <row r="250">
      <c r="O250">
        <f>IFERROR(INDEX('_courses_lookup'!$C:$C,MATCH(K250&amp;L250,'_courses_lookup'!$E:$E,0)),"")</f>
        <v/>
      </c>
      <c r="P250">
        <f>IFERROR(INDEX('_courses_lookup'!$D:$D,MATCH(K250&amp;L250,'_courses_lookup'!$E:$E,0)),"")</f>
        <v/>
      </c>
      <c r="AG250">
        <f>IF(AND(AE250&lt;&gt;"",AF250&lt;&gt;""),ROUNDUP((AF250-AE250)/7,0),"")</f>
        <v/>
      </c>
      <c r="AI250">
        <f>IFERROR(IF(AG250*AH250=0,"",AG250*AH250),"")</f>
        <v/>
      </c>
      <c r="AL250">
        <f>IF(AND(AJ250&lt;&gt;"",AK250&lt;&gt;""),ROUNDUP((AK250-AJ250)/7,0),"")</f>
        <v/>
      </c>
      <c r="AN250">
        <f>IFERROR(IF(AL250*AM250=0,"",AL250*AM250),"")</f>
        <v/>
      </c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L250">
        <f>IFERROR(INDEX('_names_lookup'!$C:$C,MATCH(BK250,'_names_lookup'!$A:$A,0)),"")</f>
        <v/>
      </c>
      <c r="BM250">
        <f>IFERROR(INDEX('_names_lookup'!$B:$B,MATCH(BK250,'_names_lookup'!$A:$A,0)),"")</f>
        <v/>
      </c>
      <c r="BS250">
        <f>IFERROR(IF(BR250*AA250=0,"",BR250*AA250),"")</f>
        <v/>
      </c>
    </row>
    <row r="251">
      <c r="O251">
        <f>IFERROR(INDEX('_courses_lookup'!$C:$C,MATCH(K251&amp;L251,'_courses_lookup'!$E:$E,0)),"")</f>
        <v/>
      </c>
      <c r="P251">
        <f>IFERROR(INDEX('_courses_lookup'!$D:$D,MATCH(K251&amp;L251,'_courses_lookup'!$E:$E,0)),"")</f>
        <v/>
      </c>
      <c r="AG251">
        <f>IF(AND(AE251&lt;&gt;"",AF251&lt;&gt;""),ROUNDUP((AF251-AE251)/7,0),"")</f>
        <v/>
      </c>
      <c r="AI251">
        <f>IFERROR(IF(AG251*AH251=0,"",AG251*AH251),"")</f>
        <v/>
      </c>
      <c r="AL251">
        <f>IF(AND(AJ251&lt;&gt;"",AK251&lt;&gt;""),ROUNDUP((AK251-AJ251)/7,0),"")</f>
        <v/>
      </c>
      <c r="AN251">
        <f>IFERROR(IF(AL251*AM251=0,"",AL251*AM251),"")</f>
        <v/>
      </c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L251">
        <f>IFERROR(INDEX('_names_lookup'!$C:$C,MATCH(BK251,'_names_lookup'!$A:$A,0)),"")</f>
        <v/>
      </c>
      <c r="BM251">
        <f>IFERROR(INDEX('_names_lookup'!$B:$B,MATCH(BK251,'_names_lookup'!$A:$A,0)),"")</f>
        <v/>
      </c>
      <c r="BS251">
        <f>IFERROR(IF(BR251*AA251=0,"",BR251*AA251),"")</f>
        <v/>
      </c>
    </row>
    <row r="252">
      <c r="O252">
        <f>IFERROR(INDEX('_courses_lookup'!$C:$C,MATCH(K252&amp;L252,'_courses_lookup'!$E:$E,0)),"")</f>
        <v/>
      </c>
      <c r="P252">
        <f>IFERROR(INDEX('_courses_lookup'!$D:$D,MATCH(K252&amp;L252,'_courses_lookup'!$E:$E,0)),"")</f>
        <v/>
      </c>
      <c r="AG252">
        <f>IF(AND(AE252&lt;&gt;"",AF252&lt;&gt;""),ROUNDUP((AF252-AE252)/7,0),"")</f>
        <v/>
      </c>
      <c r="AI252">
        <f>IFERROR(IF(AG252*AH252=0,"",AG252*AH252),"")</f>
        <v/>
      </c>
      <c r="AL252">
        <f>IF(AND(AJ252&lt;&gt;"",AK252&lt;&gt;""),ROUNDUP((AK252-AJ252)/7,0),"")</f>
        <v/>
      </c>
      <c r="AN252">
        <f>IFERROR(IF(AL252*AM252=0,"",AL252*AM252),"")</f>
        <v/>
      </c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L252">
        <f>IFERROR(INDEX('_names_lookup'!$C:$C,MATCH(BK252,'_names_lookup'!$A:$A,0)),"")</f>
        <v/>
      </c>
      <c r="BM252">
        <f>IFERROR(INDEX('_names_lookup'!$B:$B,MATCH(BK252,'_names_lookup'!$A:$A,0)),"")</f>
        <v/>
      </c>
      <c r="BS252">
        <f>IFERROR(IF(BR252*AA252=0,"",BR252*AA252),"")</f>
        <v/>
      </c>
    </row>
    <row r="253">
      <c r="O253">
        <f>IFERROR(INDEX('_courses_lookup'!$C:$C,MATCH(K253&amp;L253,'_courses_lookup'!$E:$E,0)),"")</f>
        <v/>
      </c>
      <c r="P253">
        <f>IFERROR(INDEX('_courses_lookup'!$D:$D,MATCH(K253&amp;L253,'_courses_lookup'!$E:$E,0)),"")</f>
        <v/>
      </c>
      <c r="AG253">
        <f>IF(AND(AE253&lt;&gt;"",AF253&lt;&gt;""),ROUNDUP((AF253-AE253)/7,0),"")</f>
        <v/>
      </c>
      <c r="AI253">
        <f>IFERROR(IF(AG253*AH253=0,"",AG253*AH253),"")</f>
        <v/>
      </c>
      <c r="AL253">
        <f>IF(AND(AJ253&lt;&gt;"",AK253&lt;&gt;""),ROUNDUP((AK253-AJ253)/7,0),"")</f>
        <v/>
      </c>
      <c r="AN253">
        <f>IFERROR(IF(AL253*AM253=0,"",AL253*AM253),"")</f>
        <v/>
      </c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L253">
        <f>IFERROR(INDEX('_names_lookup'!$C:$C,MATCH(BK253,'_names_lookup'!$A:$A,0)),"")</f>
        <v/>
      </c>
      <c r="BM253">
        <f>IFERROR(INDEX('_names_lookup'!$B:$B,MATCH(BK253,'_names_lookup'!$A:$A,0)),"")</f>
        <v/>
      </c>
      <c r="BS253">
        <f>IFERROR(IF(BR253*AA253=0,"",BR253*AA253),"")</f>
        <v/>
      </c>
    </row>
    <row r="254">
      <c r="O254">
        <f>IFERROR(INDEX('_courses_lookup'!$C:$C,MATCH(K254&amp;L254,'_courses_lookup'!$E:$E,0)),"")</f>
        <v/>
      </c>
      <c r="P254">
        <f>IFERROR(INDEX('_courses_lookup'!$D:$D,MATCH(K254&amp;L254,'_courses_lookup'!$E:$E,0)),"")</f>
        <v/>
      </c>
      <c r="AG254">
        <f>IF(AND(AE254&lt;&gt;"",AF254&lt;&gt;""),ROUNDUP((AF254-AE254)/7,0),"")</f>
        <v/>
      </c>
      <c r="AI254">
        <f>IFERROR(IF(AG254*AH254=0,"",AG254*AH254),"")</f>
        <v/>
      </c>
      <c r="AL254">
        <f>IF(AND(AJ254&lt;&gt;"",AK254&lt;&gt;""),ROUNDUP((AK254-AJ254)/7,0),"")</f>
        <v/>
      </c>
      <c r="AN254">
        <f>IFERROR(IF(AL254*AM254=0,"",AL254*AM254),"")</f>
        <v/>
      </c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L254">
        <f>IFERROR(INDEX('_names_lookup'!$C:$C,MATCH(BK254,'_names_lookup'!$A:$A,0)),"")</f>
        <v/>
      </c>
      <c r="BM254">
        <f>IFERROR(INDEX('_names_lookup'!$B:$B,MATCH(BK254,'_names_lookup'!$A:$A,0)),"")</f>
        <v/>
      </c>
      <c r="BS254">
        <f>IFERROR(IF(BR254*AA254=0,"",BR254*AA254),"")</f>
        <v/>
      </c>
    </row>
    <row r="255">
      <c r="O255">
        <f>IFERROR(INDEX('_courses_lookup'!$C:$C,MATCH(K255&amp;L255,'_courses_lookup'!$E:$E,0)),"")</f>
        <v/>
      </c>
      <c r="P255">
        <f>IFERROR(INDEX('_courses_lookup'!$D:$D,MATCH(K255&amp;L255,'_courses_lookup'!$E:$E,0)),"")</f>
        <v/>
      </c>
      <c r="AG255">
        <f>IF(AND(AE255&lt;&gt;"",AF255&lt;&gt;""),ROUNDUP((AF255-AE255)/7,0),"")</f>
        <v/>
      </c>
      <c r="AI255">
        <f>IFERROR(IF(AG255*AH255=0,"",AG255*AH255),"")</f>
        <v/>
      </c>
      <c r="AL255">
        <f>IF(AND(AJ255&lt;&gt;"",AK255&lt;&gt;""),ROUNDUP((AK255-AJ255)/7,0),"")</f>
        <v/>
      </c>
      <c r="AN255">
        <f>IFERROR(IF(AL255*AM255=0,"",AL255*AM255),"")</f>
        <v/>
      </c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L255">
        <f>IFERROR(INDEX('_names_lookup'!$C:$C,MATCH(BK255,'_names_lookup'!$A:$A,0)),"")</f>
        <v/>
      </c>
      <c r="BM255">
        <f>IFERROR(INDEX('_names_lookup'!$B:$B,MATCH(BK255,'_names_lookup'!$A:$A,0)),"")</f>
        <v/>
      </c>
      <c r="BS255">
        <f>IFERROR(IF(BR255*AA255=0,"",BR255*AA255),"")</f>
        <v/>
      </c>
    </row>
    <row r="256">
      <c r="O256">
        <f>IFERROR(INDEX('_courses_lookup'!$C:$C,MATCH(K256&amp;L256,'_courses_lookup'!$E:$E,0)),"")</f>
        <v/>
      </c>
      <c r="P256">
        <f>IFERROR(INDEX('_courses_lookup'!$D:$D,MATCH(K256&amp;L256,'_courses_lookup'!$E:$E,0)),"")</f>
        <v/>
      </c>
      <c r="AG256">
        <f>IF(AND(AE256&lt;&gt;"",AF256&lt;&gt;""),ROUNDUP((AF256-AE256)/7,0),"")</f>
        <v/>
      </c>
      <c r="AI256">
        <f>IFERROR(IF(AG256*AH256=0,"",AG256*AH256),"")</f>
        <v/>
      </c>
      <c r="AL256">
        <f>IF(AND(AJ256&lt;&gt;"",AK256&lt;&gt;""),ROUNDUP((AK256-AJ256)/7,0),"")</f>
        <v/>
      </c>
      <c r="AN256">
        <f>IFERROR(IF(AL256*AM256=0,"",AL256*AM256),"")</f>
        <v/>
      </c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L256">
        <f>IFERROR(INDEX('_names_lookup'!$C:$C,MATCH(BK256,'_names_lookup'!$A:$A,0)),"")</f>
        <v/>
      </c>
      <c r="BM256">
        <f>IFERROR(INDEX('_names_lookup'!$B:$B,MATCH(BK256,'_names_lookup'!$A:$A,0)),"")</f>
        <v/>
      </c>
      <c r="BS256">
        <f>IFERROR(IF(BR256*AA256=0,"",BR256*AA256),"")</f>
        <v/>
      </c>
    </row>
    <row r="257">
      <c r="O257">
        <f>IFERROR(INDEX('_courses_lookup'!$C:$C,MATCH(K257&amp;L257,'_courses_lookup'!$E:$E,0)),"")</f>
        <v/>
      </c>
      <c r="P257">
        <f>IFERROR(INDEX('_courses_lookup'!$D:$D,MATCH(K257&amp;L257,'_courses_lookup'!$E:$E,0)),"")</f>
        <v/>
      </c>
      <c r="AG257">
        <f>IF(AND(AE257&lt;&gt;"",AF257&lt;&gt;""),ROUNDUP((AF257-AE257)/7,0),"")</f>
        <v/>
      </c>
      <c r="AI257">
        <f>IFERROR(IF(AG257*AH257=0,"",AG257*AH257),"")</f>
        <v/>
      </c>
      <c r="AL257">
        <f>IF(AND(AJ257&lt;&gt;"",AK257&lt;&gt;""),ROUNDUP((AK257-AJ257)/7,0),"")</f>
        <v/>
      </c>
      <c r="AN257">
        <f>IFERROR(IF(AL257*AM257=0,"",AL257*AM257),"")</f>
        <v/>
      </c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L257">
        <f>IFERROR(INDEX('_names_lookup'!$C:$C,MATCH(BK257,'_names_lookup'!$A:$A,0)),"")</f>
        <v/>
      </c>
      <c r="BM257">
        <f>IFERROR(INDEX('_names_lookup'!$B:$B,MATCH(BK257,'_names_lookup'!$A:$A,0)),"")</f>
        <v/>
      </c>
      <c r="BS257">
        <f>IFERROR(IF(BR257*AA257=0,"",BR257*AA257),"")</f>
        <v/>
      </c>
    </row>
    <row r="258">
      <c r="O258">
        <f>IFERROR(INDEX('_courses_lookup'!$C:$C,MATCH(K258&amp;L258,'_courses_lookup'!$E:$E,0)),"")</f>
        <v/>
      </c>
      <c r="P258">
        <f>IFERROR(INDEX('_courses_lookup'!$D:$D,MATCH(K258&amp;L258,'_courses_lookup'!$E:$E,0)),"")</f>
        <v/>
      </c>
      <c r="AG258">
        <f>IF(AND(AE258&lt;&gt;"",AF258&lt;&gt;""),ROUNDUP((AF258-AE258)/7,0),"")</f>
        <v/>
      </c>
      <c r="AI258">
        <f>IFERROR(IF(AG258*AH258=0,"",AG258*AH258),"")</f>
        <v/>
      </c>
      <c r="AL258">
        <f>IF(AND(AJ258&lt;&gt;"",AK258&lt;&gt;""),ROUNDUP((AK258-AJ258)/7,0),"")</f>
        <v/>
      </c>
      <c r="AN258">
        <f>IFERROR(IF(AL258*AM258=0,"",AL258*AM258),"")</f>
        <v/>
      </c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L258">
        <f>IFERROR(INDEX('_names_lookup'!$C:$C,MATCH(BK258,'_names_lookup'!$A:$A,0)),"")</f>
        <v/>
      </c>
      <c r="BM258">
        <f>IFERROR(INDEX('_names_lookup'!$B:$B,MATCH(BK258,'_names_lookup'!$A:$A,0)),"")</f>
        <v/>
      </c>
      <c r="BS258">
        <f>IFERROR(IF(BR258*AA258=0,"",BR258*AA258),"")</f>
        <v/>
      </c>
    </row>
    <row r="259">
      <c r="O259">
        <f>IFERROR(INDEX('_courses_lookup'!$C:$C,MATCH(K259&amp;L259,'_courses_lookup'!$E:$E,0)),"")</f>
        <v/>
      </c>
      <c r="P259">
        <f>IFERROR(INDEX('_courses_lookup'!$D:$D,MATCH(K259&amp;L259,'_courses_lookup'!$E:$E,0)),"")</f>
        <v/>
      </c>
      <c r="AG259">
        <f>IF(AND(AE259&lt;&gt;"",AF259&lt;&gt;""),ROUNDUP((AF259-AE259)/7,0),"")</f>
        <v/>
      </c>
      <c r="AI259">
        <f>IFERROR(IF(AG259*AH259=0,"",AG259*AH259),"")</f>
        <v/>
      </c>
      <c r="AL259">
        <f>IF(AND(AJ259&lt;&gt;"",AK259&lt;&gt;""),ROUNDUP((AK259-AJ259)/7,0),"")</f>
        <v/>
      </c>
      <c r="AN259">
        <f>IFERROR(IF(AL259*AM259=0,"",AL259*AM259),"")</f>
        <v/>
      </c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L259">
        <f>IFERROR(INDEX('_names_lookup'!$C:$C,MATCH(BK259,'_names_lookup'!$A:$A,0)),"")</f>
        <v/>
      </c>
      <c r="BM259">
        <f>IFERROR(INDEX('_names_lookup'!$B:$B,MATCH(BK259,'_names_lookup'!$A:$A,0)),"")</f>
        <v/>
      </c>
      <c r="BS259">
        <f>IFERROR(IF(BR259*AA259=0,"",BR259*AA259),"")</f>
        <v/>
      </c>
    </row>
    <row r="260">
      <c r="O260">
        <f>IFERROR(INDEX('_courses_lookup'!$C:$C,MATCH(K260&amp;L260,'_courses_lookup'!$E:$E,0)),"")</f>
        <v/>
      </c>
      <c r="P260">
        <f>IFERROR(INDEX('_courses_lookup'!$D:$D,MATCH(K260&amp;L260,'_courses_lookup'!$E:$E,0)),"")</f>
        <v/>
      </c>
      <c r="AG260">
        <f>IF(AND(AE260&lt;&gt;"",AF260&lt;&gt;""),ROUNDUP((AF260-AE260)/7,0),"")</f>
        <v/>
      </c>
      <c r="AI260">
        <f>IFERROR(IF(AG260*AH260=0,"",AG260*AH260),"")</f>
        <v/>
      </c>
      <c r="AL260">
        <f>IF(AND(AJ260&lt;&gt;"",AK260&lt;&gt;""),ROUNDUP((AK260-AJ260)/7,0),"")</f>
        <v/>
      </c>
      <c r="AN260">
        <f>IFERROR(IF(AL260*AM260=0,"",AL260*AM260),"")</f>
        <v/>
      </c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L260">
        <f>IFERROR(INDEX('_names_lookup'!$C:$C,MATCH(BK260,'_names_lookup'!$A:$A,0)),"")</f>
        <v/>
      </c>
      <c r="BM260">
        <f>IFERROR(INDEX('_names_lookup'!$B:$B,MATCH(BK260,'_names_lookup'!$A:$A,0)),"")</f>
        <v/>
      </c>
      <c r="BS260">
        <f>IFERROR(IF(BR260*AA260=0,"",BR260*AA260),"")</f>
        <v/>
      </c>
    </row>
    <row r="261">
      <c r="O261">
        <f>IFERROR(INDEX('_courses_lookup'!$C:$C,MATCH(K261&amp;L261,'_courses_lookup'!$E:$E,0)),"")</f>
        <v/>
      </c>
      <c r="P261">
        <f>IFERROR(INDEX('_courses_lookup'!$D:$D,MATCH(K261&amp;L261,'_courses_lookup'!$E:$E,0)),"")</f>
        <v/>
      </c>
      <c r="AG261">
        <f>IF(AND(AE261&lt;&gt;"",AF261&lt;&gt;""),ROUNDUP((AF261-AE261)/7,0),"")</f>
        <v/>
      </c>
      <c r="AI261">
        <f>IFERROR(IF(AG261*AH261=0,"",AG261*AH261),"")</f>
        <v/>
      </c>
      <c r="AL261">
        <f>IF(AND(AJ261&lt;&gt;"",AK261&lt;&gt;""),ROUNDUP((AK261-AJ261)/7,0),"")</f>
        <v/>
      </c>
      <c r="AN261">
        <f>IFERROR(IF(AL261*AM261=0,"",AL261*AM261),"")</f>
        <v/>
      </c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L261">
        <f>IFERROR(INDEX('_names_lookup'!$C:$C,MATCH(BK261,'_names_lookup'!$A:$A,0)),"")</f>
        <v/>
      </c>
      <c r="BM261">
        <f>IFERROR(INDEX('_names_lookup'!$B:$B,MATCH(BK261,'_names_lookup'!$A:$A,0)),"")</f>
        <v/>
      </c>
      <c r="BS261">
        <f>IFERROR(IF(BR261*AA261=0,"",BR261*AA261),"")</f>
        <v/>
      </c>
    </row>
    <row r="262">
      <c r="O262">
        <f>IFERROR(INDEX('_courses_lookup'!$C:$C,MATCH(K262&amp;L262,'_courses_lookup'!$E:$E,0)),"")</f>
        <v/>
      </c>
      <c r="P262">
        <f>IFERROR(INDEX('_courses_lookup'!$D:$D,MATCH(K262&amp;L262,'_courses_lookup'!$E:$E,0)),"")</f>
        <v/>
      </c>
      <c r="AG262">
        <f>IF(AND(AE262&lt;&gt;"",AF262&lt;&gt;""),ROUNDUP((AF262-AE262)/7,0),"")</f>
        <v/>
      </c>
      <c r="AI262">
        <f>IFERROR(IF(AG262*AH262=0,"",AG262*AH262),"")</f>
        <v/>
      </c>
      <c r="AL262">
        <f>IF(AND(AJ262&lt;&gt;"",AK262&lt;&gt;""),ROUNDUP((AK262-AJ262)/7,0),"")</f>
        <v/>
      </c>
      <c r="AN262">
        <f>IFERROR(IF(AL262*AM262=0,"",AL262*AM262),"")</f>
        <v/>
      </c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L262">
        <f>IFERROR(INDEX('_names_lookup'!$C:$C,MATCH(BK262,'_names_lookup'!$A:$A,0)),"")</f>
        <v/>
      </c>
      <c r="BM262">
        <f>IFERROR(INDEX('_names_lookup'!$B:$B,MATCH(BK262,'_names_lookup'!$A:$A,0)),"")</f>
        <v/>
      </c>
      <c r="BS262">
        <f>IFERROR(IF(BR262*AA262=0,"",BR262*AA262),"")</f>
        <v/>
      </c>
    </row>
    <row r="263">
      <c r="O263">
        <f>IFERROR(INDEX('_courses_lookup'!$C:$C,MATCH(K263&amp;L263,'_courses_lookup'!$E:$E,0)),"")</f>
        <v/>
      </c>
      <c r="P263">
        <f>IFERROR(INDEX('_courses_lookup'!$D:$D,MATCH(K263&amp;L263,'_courses_lookup'!$E:$E,0)),"")</f>
        <v/>
      </c>
      <c r="AG263">
        <f>IF(AND(AE263&lt;&gt;"",AF263&lt;&gt;""),ROUNDUP((AF263-AE263)/7,0),"")</f>
        <v/>
      </c>
      <c r="AI263">
        <f>IFERROR(IF(AG263*AH263=0,"",AG263*AH263),"")</f>
        <v/>
      </c>
      <c r="AL263">
        <f>IF(AND(AJ263&lt;&gt;"",AK263&lt;&gt;""),ROUNDUP((AK263-AJ263)/7,0),"")</f>
        <v/>
      </c>
      <c r="AN263">
        <f>IFERROR(IF(AL263*AM263=0,"",AL263*AM263),"")</f>
        <v/>
      </c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L263">
        <f>IFERROR(INDEX('_names_lookup'!$C:$C,MATCH(BK263,'_names_lookup'!$A:$A,0)),"")</f>
        <v/>
      </c>
      <c r="BM263">
        <f>IFERROR(INDEX('_names_lookup'!$B:$B,MATCH(BK263,'_names_lookup'!$A:$A,0)),"")</f>
        <v/>
      </c>
      <c r="BS263">
        <f>IFERROR(IF(BR263*AA263=0,"",BR263*AA263),"")</f>
        <v/>
      </c>
    </row>
    <row r="264">
      <c r="O264">
        <f>IFERROR(INDEX('_courses_lookup'!$C:$C,MATCH(K264&amp;L264,'_courses_lookup'!$E:$E,0)),"")</f>
        <v/>
      </c>
      <c r="P264">
        <f>IFERROR(INDEX('_courses_lookup'!$D:$D,MATCH(K264&amp;L264,'_courses_lookup'!$E:$E,0)),"")</f>
        <v/>
      </c>
      <c r="AG264">
        <f>IF(AND(AE264&lt;&gt;"",AF264&lt;&gt;""),ROUNDUP((AF264-AE264)/7,0),"")</f>
        <v/>
      </c>
      <c r="AI264">
        <f>IFERROR(IF(AG264*AH264=0,"",AG264*AH264),"")</f>
        <v/>
      </c>
      <c r="AL264">
        <f>IF(AND(AJ264&lt;&gt;"",AK264&lt;&gt;""),ROUNDUP((AK264-AJ264)/7,0),"")</f>
        <v/>
      </c>
      <c r="AN264">
        <f>IFERROR(IF(AL264*AM264=0,"",AL264*AM264),"")</f>
        <v/>
      </c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L264">
        <f>IFERROR(INDEX('_names_lookup'!$C:$C,MATCH(BK264,'_names_lookup'!$A:$A,0)),"")</f>
        <v/>
      </c>
      <c r="BM264">
        <f>IFERROR(INDEX('_names_lookup'!$B:$B,MATCH(BK264,'_names_lookup'!$A:$A,0)),"")</f>
        <v/>
      </c>
      <c r="BS264">
        <f>IFERROR(IF(BR264*AA264=0,"",BR264*AA264),"")</f>
        <v/>
      </c>
    </row>
    <row r="265">
      <c r="O265">
        <f>IFERROR(INDEX('_courses_lookup'!$C:$C,MATCH(K265&amp;L265,'_courses_lookup'!$E:$E,0)),"")</f>
        <v/>
      </c>
      <c r="P265">
        <f>IFERROR(INDEX('_courses_lookup'!$D:$D,MATCH(K265&amp;L265,'_courses_lookup'!$E:$E,0)),"")</f>
        <v/>
      </c>
      <c r="AG265">
        <f>IF(AND(AE265&lt;&gt;"",AF265&lt;&gt;""),ROUNDUP((AF265-AE265)/7,0),"")</f>
        <v/>
      </c>
      <c r="AI265">
        <f>IFERROR(IF(AG265*AH265=0,"",AG265*AH265),"")</f>
        <v/>
      </c>
      <c r="AL265">
        <f>IF(AND(AJ265&lt;&gt;"",AK265&lt;&gt;""),ROUNDUP((AK265-AJ265)/7,0),"")</f>
        <v/>
      </c>
      <c r="AN265">
        <f>IFERROR(IF(AL265*AM265=0,"",AL265*AM265),"")</f>
        <v/>
      </c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L265">
        <f>IFERROR(INDEX('_names_lookup'!$C:$C,MATCH(BK265,'_names_lookup'!$A:$A,0)),"")</f>
        <v/>
      </c>
      <c r="BM265">
        <f>IFERROR(INDEX('_names_lookup'!$B:$B,MATCH(BK265,'_names_lookup'!$A:$A,0)),"")</f>
        <v/>
      </c>
      <c r="BS265">
        <f>IFERROR(IF(BR265*AA265=0,"",BR265*AA265),"")</f>
        <v/>
      </c>
    </row>
    <row r="266">
      <c r="O266">
        <f>IFERROR(INDEX('_courses_lookup'!$C:$C,MATCH(K266&amp;L266,'_courses_lookup'!$E:$E,0)),"")</f>
        <v/>
      </c>
      <c r="P266">
        <f>IFERROR(INDEX('_courses_lookup'!$D:$D,MATCH(K266&amp;L266,'_courses_lookup'!$E:$E,0)),"")</f>
        <v/>
      </c>
      <c r="AG266">
        <f>IF(AND(AE266&lt;&gt;"",AF266&lt;&gt;""),ROUNDUP((AF266-AE266)/7,0),"")</f>
        <v/>
      </c>
      <c r="AI266">
        <f>IFERROR(IF(AG266*AH266=0,"",AG266*AH266),"")</f>
        <v/>
      </c>
      <c r="AL266">
        <f>IF(AND(AJ266&lt;&gt;"",AK266&lt;&gt;""),ROUNDUP((AK266-AJ266)/7,0),"")</f>
        <v/>
      </c>
      <c r="AN266">
        <f>IFERROR(IF(AL266*AM266=0,"",AL266*AM266),"")</f>
        <v/>
      </c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L266">
        <f>IFERROR(INDEX('_names_lookup'!$C:$C,MATCH(BK266,'_names_lookup'!$A:$A,0)),"")</f>
        <v/>
      </c>
      <c r="BM266">
        <f>IFERROR(INDEX('_names_lookup'!$B:$B,MATCH(BK266,'_names_lookup'!$A:$A,0)),"")</f>
        <v/>
      </c>
      <c r="BS266">
        <f>IFERROR(IF(BR266*AA266=0,"",BR266*AA266),"")</f>
        <v/>
      </c>
    </row>
    <row r="267">
      <c r="O267">
        <f>IFERROR(INDEX('_courses_lookup'!$C:$C,MATCH(K267&amp;L267,'_courses_lookup'!$E:$E,0)),"")</f>
        <v/>
      </c>
      <c r="P267">
        <f>IFERROR(INDEX('_courses_lookup'!$D:$D,MATCH(K267&amp;L267,'_courses_lookup'!$E:$E,0)),"")</f>
        <v/>
      </c>
      <c r="AG267">
        <f>IF(AND(AE267&lt;&gt;"",AF267&lt;&gt;""),ROUNDUP((AF267-AE267)/7,0),"")</f>
        <v/>
      </c>
      <c r="AI267">
        <f>IFERROR(IF(AG267*AH267=0,"",AG267*AH267),"")</f>
        <v/>
      </c>
      <c r="AL267">
        <f>IF(AND(AJ267&lt;&gt;"",AK267&lt;&gt;""),ROUNDUP((AK267-AJ267)/7,0),"")</f>
        <v/>
      </c>
      <c r="AN267">
        <f>IFERROR(IF(AL267*AM267=0,"",AL267*AM267),"")</f>
        <v/>
      </c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L267">
        <f>IFERROR(INDEX('_names_lookup'!$C:$C,MATCH(BK267,'_names_lookup'!$A:$A,0)),"")</f>
        <v/>
      </c>
      <c r="BM267">
        <f>IFERROR(INDEX('_names_lookup'!$B:$B,MATCH(BK267,'_names_lookup'!$A:$A,0)),"")</f>
        <v/>
      </c>
      <c r="BS267">
        <f>IFERROR(IF(BR267*AA267=0,"",BR267*AA267),"")</f>
        <v/>
      </c>
    </row>
    <row r="268">
      <c r="O268">
        <f>IFERROR(INDEX('_courses_lookup'!$C:$C,MATCH(K268&amp;L268,'_courses_lookup'!$E:$E,0)),"")</f>
        <v/>
      </c>
      <c r="P268">
        <f>IFERROR(INDEX('_courses_lookup'!$D:$D,MATCH(K268&amp;L268,'_courses_lookup'!$E:$E,0)),"")</f>
        <v/>
      </c>
      <c r="AG268">
        <f>IF(AND(AE268&lt;&gt;"",AF268&lt;&gt;""),ROUNDUP((AF268-AE268)/7,0),"")</f>
        <v/>
      </c>
      <c r="AI268">
        <f>IFERROR(IF(AG268*AH268=0,"",AG268*AH268),"")</f>
        <v/>
      </c>
      <c r="AL268">
        <f>IF(AND(AJ268&lt;&gt;"",AK268&lt;&gt;""),ROUNDUP((AK268-AJ268)/7,0),"")</f>
        <v/>
      </c>
      <c r="AN268">
        <f>IFERROR(IF(AL268*AM268=0,"",AL268*AM268),"")</f>
        <v/>
      </c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L268">
        <f>IFERROR(INDEX('_names_lookup'!$C:$C,MATCH(BK268,'_names_lookup'!$A:$A,0)),"")</f>
        <v/>
      </c>
      <c r="BM268">
        <f>IFERROR(INDEX('_names_lookup'!$B:$B,MATCH(BK268,'_names_lookup'!$A:$A,0)),"")</f>
        <v/>
      </c>
      <c r="BS268">
        <f>IFERROR(IF(BR268*AA268=0,"",BR268*AA268),"")</f>
        <v/>
      </c>
    </row>
    <row r="269">
      <c r="O269">
        <f>IFERROR(INDEX('_courses_lookup'!$C:$C,MATCH(K269&amp;L269,'_courses_lookup'!$E:$E,0)),"")</f>
        <v/>
      </c>
      <c r="P269">
        <f>IFERROR(INDEX('_courses_lookup'!$D:$D,MATCH(K269&amp;L269,'_courses_lookup'!$E:$E,0)),"")</f>
        <v/>
      </c>
      <c r="AG269">
        <f>IF(AND(AE269&lt;&gt;"",AF269&lt;&gt;""),ROUNDUP((AF269-AE269)/7,0),"")</f>
        <v/>
      </c>
      <c r="AI269">
        <f>IFERROR(IF(AG269*AH269=0,"",AG269*AH269),"")</f>
        <v/>
      </c>
      <c r="AL269">
        <f>IF(AND(AJ269&lt;&gt;"",AK269&lt;&gt;""),ROUNDUP((AK269-AJ269)/7,0),"")</f>
        <v/>
      </c>
      <c r="AN269">
        <f>IFERROR(IF(AL269*AM269=0,"",AL269*AM269),"")</f>
        <v/>
      </c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L269">
        <f>IFERROR(INDEX('_names_lookup'!$C:$C,MATCH(BK269,'_names_lookup'!$A:$A,0)),"")</f>
        <v/>
      </c>
      <c r="BM269">
        <f>IFERROR(INDEX('_names_lookup'!$B:$B,MATCH(BK269,'_names_lookup'!$A:$A,0)),"")</f>
        <v/>
      </c>
      <c r="BS269">
        <f>IFERROR(IF(BR269*AA269=0,"",BR269*AA269),"")</f>
        <v/>
      </c>
    </row>
    <row r="270">
      <c r="O270">
        <f>IFERROR(INDEX('_courses_lookup'!$C:$C,MATCH(K270&amp;L270,'_courses_lookup'!$E:$E,0)),"")</f>
        <v/>
      </c>
      <c r="P270">
        <f>IFERROR(INDEX('_courses_lookup'!$D:$D,MATCH(K270&amp;L270,'_courses_lookup'!$E:$E,0)),"")</f>
        <v/>
      </c>
      <c r="AG270">
        <f>IF(AND(AE270&lt;&gt;"",AF270&lt;&gt;""),ROUNDUP((AF270-AE270)/7,0),"")</f>
        <v/>
      </c>
      <c r="AI270">
        <f>IFERROR(IF(AG270*AH270=0,"",AG270*AH270),"")</f>
        <v/>
      </c>
      <c r="AL270">
        <f>IF(AND(AJ270&lt;&gt;"",AK270&lt;&gt;""),ROUNDUP((AK270-AJ270)/7,0),"")</f>
        <v/>
      </c>
      <c r="AN270">
        <f>IFERROR(IF(AL270*AM270=0,"",AL270*AM270),"")</f>
        <v/>
      </c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L270">
        <f>IFERROR(INDEX('_names_lookup'!$C:$C,MATCH(BK270,'_names_lookup'!$A:$A,0)),"")</f>
        <v/>
      </c>
      <c r="BM270">
        <f>IFERROR(INDEX('_names_lookup'!$B:$B,MATCH(BK270,'_names_lookup'!$A:$A,0)),"")</f>
        <v/>
      </c>
      <c r="BS270">
        <f>IFERROR(IF(BR270*AA270=0,"",BR270*AA270),"")</f>
        <v/>
      </c>
    </row>
    <row r="271">
      <c r="O271">
        <f>IFERROR(INDEX('_courses_lookup'!$C:$C,MATCH(K271&amp;L271,'_courses_lookup'!$E:$E,0)),"")</f>
        <v/>
      </c>
      <c r="P271">
        <f>IFERROR(INDEX('_courses_lookup'!$D:$D,MATCH(K271&amp;L271,'_courses_lookup'!$E:$E,0)),"")</f>
        <v/>
      </c>
      <c r="AG271">
        <f>IF(AND(AE271&lt;&gt;"",AF271&lt;&gt;""),ROUNDUP((AF271-AE271)/7,0),"")</f>
        <v/>
      </c>
      <c r="AI271">
        <f>IFERROR(IF(AG271*AH271=0,"",AG271*AH271),"")</f>
        <v/>
      </c>
      <c r="AL271">
        <f>IF(AND(AJ271&lt;&gt;"",AK271&lt;&gt;""),ROUNDUP((AK271-AJ271)/7,0),"")</f>
        <v/>
      </c>
      <c r="AN271">
        <f>IFERROR(IF(AL271*AM271=0,"",AL271*AM271),"")</f>
        <v/>
      </c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L271">
        <f>IFERROR(INDEX('_names_lookup'!$C:$C,MATCH(BK271,'_names_lookup'!$A:$A,0)),"")</f>
        <v/>
      </c>
      <c r="BM271">
        <f>IFERROR(INDEX('_names_lookup'!$B:$B,MATCH(BK271,'_names_lookup'!$A:$A,0)),"")</f>
        <v/>
      </c>
      <c r="BS271">
        <f>IFERROR(IF(BR271*AA271=0,"",BR271*AA271),"")</f>
        <v/>
      </c>
    </row>
    <row r="272">
      <c r="O272">
        <f>IFERROR(INDEX('_courses_lookup'!$C:$C,MATCH(K272&amp;L272,'_courses_lookup'!$E:$E,0)),"")</f>
        <v/>
      </c>
      <c r="P272">
        <f>IFERROR(INDEX('_courses_lookup'!$D:$D,MATCH(K272&amp;L272,'_courses_lookup'!$E:$E,0)),"")</f>
        <v/>
      </c>
      <c r="AG272">
        <f>IF(AND(AE272&lt;&gt;"",AF272&lt;&gt;""),ROUNDUP((AF272-AE272)/7,0),"")</f>
        <v/>
      </c>
      <c r="AI272">
        <f>IFERROR(IF(AG272*AH272=0,"",AG272*AH272),"")</f>
        <v/>
      </c>
      <c r="AL272">
        <f>IF(AND(AJ272&lt;&gt;"",AK272&lt;&gt;""),ROUNDUP((AK272-AJ272)/7,0),"")</f>
        <v/>
      </c>
      <c r="AN272">
        <f>IFERROR(IF(AL272*AM272=0,"",AL272*AM272),"")</f>
        <v/>
      </c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L272">
        <f>IFERROR(INDEX('_names_lookup'!$C:$C,MATCH(BK272,'_names_lookup'!$A:$A,0)),"")</f>
        <v/>
      </c>
      <c r="BM272">
        <f>IFERROR(INDEX('_names_lookup'!$B:$B,MATCH(BK272,'_names_lookup'!$A:$A,0)),"")</f>
        <v/>
      </c>
      <c r="BS272">
        <f>IFERROR(IF(BR272*AA272=0,"",BR272*AA272),"")</f>
        <v/>
      </c>
    </row>
    <row r="273">
      <c r="O273">
        <f>IFERROR(INDEX('_courses_lookup'!$C:$C,MATCH(K273&amp;L273,'_courses_lookup'!$E:$E,0)),"")</f>
        <v/>
      </c>
      <c r="P273">
        <f>IFERROR(INDEX('_courses_lookup'!$D:$D,MATCH(K273&amp;L273,'_courses_lookup'!$E:$E,0)),"")</f>
        <v/>
      </c>
      <c r="AG273">
        <f>IF(AND(AE273&lt;&gt;"",AF273&lt;&gt;""),ROUNDUP((AF273-AE273)/7,0),"")</f>
        <v/>
      </c>
      <c r="AI273">
        <f>IFERROR(IF(AG273*AH273=0,"",AG273*AH273),"")</f>
        <v/>
      </c>
      <c r="AL273">
        <f>IF(AND(AJ273&lt;&gt;"",AK273&lt;&gt;""),ROUNDUP((AK273-AJ273)/7,0),"")</f>
        <v/>
      </c>
      <c r="AN273">
        <f>IFERROR(IF(AL273*AM273=0,"",AL273*AM273),"")</f>
        <v/>
      </c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L273">
        <f>IFERROR(INDEX('_names_lookup'!$C:$C,MATCH(BK273,'_names_lookup'!$A:$A,0)),"")</f>
        <v/>
      </c>
      <c r="BM273">
        <f>IFERROR(INDEX('_names_lookup'!$B:$B,MATCH(BK273,'_names_lookup'!$A:$A,0)),"")</f>
        <v/>
      </c>
      <c r="BS273">
        <f>IFERROR(IF(BR273*AA273=0,"",BR273*AA273),"")</f>
        <v/>
      </c>
    </row>
    <row r="274">
      <c r="O274">
        <f>IFERROR(INDEX('_courses_lookup'!$C:$C,MATCH(K274&amp;L274,'_courses_lookup'!$E:$E,0)),"")</f>
        <v/>
      </c>
      <c r="P274">
        <f>IFERROR(INDEX('_courses_lookup'!$D:$D,MATCH(K274&amp;L274,'_courses_lookup'!$E:$E,0)),"")</f>
        <v/>
      </c>
      <c r="AG274">
        <f>IF(AND(AE274&lt;&gt;"",AF274&lt;&gt;""),ROUNDUP((AF274-AE274)/7,0),"")</f>
        <v/>
      </c>
      <c r="AI274">
        <f>IFERROR(IF(AG274*AH274=0,"",AG274*AH274),"")</f>
        <v/>
      </c>
      <c r="AL274">
        <f>IF(AND(AJ274&lt;&gt;"",AK274&lt;&gt;""),ROUNDUP((AK274-AJ274)/7,0),"")</f>
        <v/>
      </c>
      <c r="AN274">
        <f>IFERROR(IF(AL274*AM274=0,"",AL274*AM274),"")</f>
        <v/>
      </c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L274">
        <f>IFERROR(INDEX('_names_lookup'!$C:$C,MATCH(BK274,'_names_lookup'!$A:$A,0)),"")</f>
        <v/>
      </c>
      <c r="BM274">
        <f>IFERROR(INDEX('_names_lookup'!$B:$B,MATCH(BK274,'_names_lookup'!$A:$A,0)),"")</f>
        <v/>
      </c>
      <c r="BS274">
        <f>IFERROR(IF(BR274*AA274=0,"",BR274*AA274),"")</f>
        <v/>
      </c>
    </row>
    <row r="275">
      <c r="O275">
        <f>IFERROR(INDEX('_courses_lookup'!$C:$C,MATCH(K275&amp;L275,'_courses_lookup'!$E:$E,0)),"")</f>
        <v/>
      </c>
      <c r="P275">
        <f>IFERROR(INDEX('_courses_lookup'!$D:$D,MATCH(K275&amp;L275,'_courses_lookup'!$E:$E,0)),"")</f>
        <v/>
      </c>
      <c r="AG275">
        <f>IF(AND(AE275&lt;&gt;"",AF275&lt;&gt;""),ROUNDUP((AF275-AE275)/7,0),"")</f>
        <v/>
      </c>
      <c r="AI275">
        <f>IFERROR(IF(AG275*AH275=0,"",AG275*AH275),"")</f>
        <v/>
      </c>
      <c r="AL275">
        <f>IF(AND(AJ275&lt;&gt;"",AK275&lt;&gt;""),ROUNDUP((AK275-AJ275)/7,0),"")</f>
        <v/>
      </c>
      <c r="AN275">
        <f>IFERROR(IF(AL275*AM275=0,"",AL275*AM275),"")</f>
        <v/>
      </c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L275">
        <f>IFERROR(INDEX('_names_lookup'!$C:$C,MATCH(BK275,'_names_lookup'!$A:$A,0)),"")</f>
        <v/>
      </c>
      <c r="BM275">
        <f>IFERROR(INDEX('_names_lookup'!$B:$B,MATCH(BK275,'_names_lookup'!$A:$A,0)),"")</f>
        <v/>
      </c>
      <c r="BS275">
        <f>IFERROR(IF(BR275*AA275=0,"",BR275*AA275),"")</f>
        <v/>
      </c>
    </row>
    <row r="276">
      <c r="O276">
        <f>IFERROR(INDEX('_courses_lookup'!$C:$C,MATCH(K276&amp;L276,'_courses_lookup'!$E:$E,0)),"")</f>
        <v/>
      </c>
      <c r="P276">
        <f>IFERROR(INDEX('_courses_lookup'!$D:$D,MATCH(K276&amp;L276,'_courses_lookup'!$E:$E,0)),"")</f>
        <v/>
      </c>
      <c r="AG276">
        <f>IF(AND(AE276&lt;&gt;"",AF276&lt;&gt;""),ROUNDUP((AF276-AE276)/7,0),"")</f>
        <v/>
      </c>
      <c r="AI276">
        <f>IFERROR(IF(AG276*AH276=0,"",AG276*AH276),"")</f>
        <v/>
      </c>
      <c r="AL276">
        <f>IF(AND(AJ276&lt;&gt;"",AK276&lt;&gt;""),ROUNDUP((AK276-AJ276)/7,0),"")</f>
        <v/>
      </c>
      <c r="AN276">
        <f>IFERROR(IF(AL276*AM276=0,"",AL276*AM276),"")</f>
        <v/>
      </c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L276">
        <f>IFERROR(INDEX('_names_lookup'!$C:$C,MATCH(BK276,'_names_lookup'!$A:$A,0)),"")</f>
        <v/>
      </c>
      <c r="BM276">
        <f>IFERROR(INDEX('_names_lookup'!$B:$B,MATCH(BK276,'_names_lookup'!$A:$A,0)),"")</f>
        <v/>
      </c>
      <c r="BS276">
        <f>IFERROR(IF(BR276*AA276=0,"",BR276*AA276),"")</f>
        <v/>
      </c>
    </row>
    <row r="277">
      <c r="O277">
        <f>IFERROR(INDEX('_courses_lookup'!$C:$C,MATCH(K277&amp;L277,'_courses_lookup'!$E:$E,0)),"")</f>
        <v/>
      </c>
      <c r="P277">
        <f>IFERROR(INDEX('_courses_lookup'!$D:$D,MATCH(K277&amp;L277,'_courses_lookup'!$E:$E,0)),"")</f>
        <v/>
      </c>
      <c r="AG277">
        <f>IF(AND(AE277&lt;&gt;"",AF277&lt;&gt;""),ROUNDUP((AF277-AE277)/7,0),"")</f>
        <v/>
      </c>
      <c r="AI277">
        <f>IFERROR(IF(AG277*AH277=0,"",AG277*AH277),"")</f>
        <v/>
      </c>
      <c r="AL277">
        <f>IF(AND(AJ277&lt;&gt;"",AK277&lt;&gt;""),ROUNDUP((AK277-AJ277)/7,0),"")</f>
        <v/>
      </c>
      <c r="AN277">
        <f>IFERROR(IF(AL277*AM277=0,"",AL277*AM277),"")</f>
        <v/>
      </c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L277">
        <f>IFERROR(INDEX('_names_lookup'!$C:$C,MATCH(BK277,'_names_lookup'!$A:$A,0)),"")</f>
        <v/>
      </c>
      <c r="BM277">
        <f>IFERROR(INDEX('_names_lookup'!$B:$B,MATCH(BK277,'_names_lookup'!$A:$A,0)),"")</f>
        <v/>
      </c>
      <c r="BS277">
        <f>IFERROR(IF(BR277*AA277=0,"",BR277*AA277),"")</f>
        <v/>
      </c>
    </row>
    <row r="278">
      <c r="O278">
        <f>IFERROR(INDEX('_courses_lookup'!$C:$C,MATCH(K278&amp;L278,'_courses_lookup'!$E:$E,0)),"")</f>
        <v/>
      </c>
      <c r="P278">
        <f>IFERROR(INDEX('_courses_lookup'!$D:$D,MATCH(K278&amp;L278,'_courses_lookup'!$E:$E,0)),"")</f>
        <v/>
      </c>
      <c r="AG278">
        <f>IF(AND(AE278&lt;&gt;"",AF278&lt;&gt;""),ROUNDUP((AF278-AE278)/7,0),"")</f>
        <v/>
      </c>
      <c r="AI278">
        <f>IFERROR(IF(AG278*AH278=0,"",AG278*AH278),"")</f>
        <v/>
      </c>
      <c r="AL278">
        <f>IF(AND(AJ278&lt;&gt;"",AK278&lt;&gt;""),ROUNDUP((AK278-AJ278)/7,0),"")</f>
        <v/>
      </c>
      <c r="AN278">
        <f>IFERROR(IF(AL278*AM278=0,"",AL278*AM278),"")</f>
        <v/>
      </c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L278">
        <f>IFERROR(INDEX('_names_lookup'!$C:$C,MATCH(BK278,'_names_lookup'!$A:$A,0)),"")</f>
        <v/>
      </c>
      <c r="BM278">
        <f>IFERROR(INDEX('_names_lookup'!$B:$B,MATCH(BK278,'_names_lookup'!$A:$A,0)),"")</f>
        <v/>
      </c>
      <c r="BS278">
        <f>IFERROR(IF(BR278*AA278=0,"",BR278*AA278),"")</f>
        <v/>
      </c>
    </row>
    <row r="279">
      <c r="O279">
        <f>IFERROR(INDEX('_courses_lookup'!$C:$C,MATCH(K279&amp;L279,'_courses_lookup'!$E:$E,0)),"")</f>
        <v/>
      </c>
      <c r="P279">
        <f>IFERROR(INDEX('_courses_lookup'!$D:$D,MATCH(K279&amp;L279,'_courses_lookup'!$E:$E,0)),"")</f>
        <v/>
      </c>
      <c r="AG279">
        <f>IF(AND(AE279&lt;&gt;"",AF279&lt;&gt;""),ROUNDUP((AF279-AE279)/7,0),"")</f>
        <v/>
      </c>
      <c r="AI279">
        <f>IFERROR(IF(AG279*AH279=0,"",AG279*AH279),"")</f>
        <v/>
      </c>
      <c r="AL279">
        <f>IF(AND(AJ279&lt;&gt;"",AK279&lt;&gt;""),ROUNDUP((AK279-AJ279)/7,0),"")</f>
        <v/>
      </c>
      <c r="AN279">
        <f>IFERROR(IF(AL279*AM279=0,"",AL279*AM279),"")</f>
        <v/>
      </c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L279">
        <f>IFERROR(INDEX('_names_lookup'!$C:$C,MATCH(BK279,'_names_lookup'!$A:$A,0)),"")</f>
        <v/>
      </c>
      <c r="BM279">
        <f>IFERROR(INDEX('_names_lookup'!$B:$B,MATCH(BK279,'_names_lookup'!$A:$A,0)),"")</f>
        <v/>
      </c>
      <c r="BS279">
        <f>IFERROR(IF(BR279*AA279=0,"",BR279*AA279),"")</f>
        <v/>
      </c>
    </row>
    <row r="280">
      <c r="O280">
        <f>IFERROR(INDEX('_courses_lookup'!$C:$C,MATCH(K280&amp;L280,'_courses_lookup'!$E:$E,0)),"")</f>
        <v/>
      </c>
      <c r="P280">
        <f>IFERROR(INDEX('_courses_lookup'!$D:$D,MATCH(K280&amp;L280,'_courses_lookup'!$E:$E,0)),"")</f>
        <v/>
      </c>
      <c r="AG280">
        <f>IF(AND(AE280&lt;&gt;"",AF280&lt;&gt;""),ROUNDUP((AF280-AE280)/7,0),"")</f>
        <v/>
      </c>
      <c r="AI280">
        <f>IFERROR(IF(AG280*AH280=0,"",AG280*AH280),"")</f>
        <v/>
      </c>
      <c r="AL280">
        <f>IF(AND(AJ280&lt;&gt;"",AK280&lt;&gt;""),ROUNDUP((AK280-AJ280)/7,0),"")</f>
        <v/>
      </c>
      <c r="AN280">
        <f>IFERROR(IF(AL280*AM280=0,"",AL280*AM280),"")</f>
        <v/>
      </c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L280">
        <f>IFERROR(INDEX('_names_lookup'!$C:$C,MATCH(BK280,'_names_lookup'!$A:$A,0)),"")</f>
        <v/>
      </c>
      <c r="BM280">
        <f>IFERROR(INDEX('_names_lookup'!$B:$B,MATCH(BK280,'_names_lookup'!$A:$A,0)),"")</f>
        <v/>
      </c>
      <c r="BS280">
        <f>IFERROR(IF(BR280*AA280=0,"",BR280*AA280),"")</f>
        <v/>
      </c>
    </row>
    <row r="281">
      <c r="O281">
        <f>IFERROR(INDEX('_courses_lookup'!$C:$C,MATCH(K281&amp;L281,'_courses_lookup'!$E:$E,0)),"")</f>
        <v/>
      </c>
      <c r="P281">
        <f>IFERROR(INDEX('_courses_lookup'!$D:$D,MATCH(K281&amp;L281,'_courses_lookup'!$E:$E,0)),"")</f>
        <v/>
      </c>
      <c r="AG281">
        <f>IF(AND(AE281&lt;&gt;"",AF281&lt;&gt;""),ROUNDUP((AF281-AE281)/7,0),"")</f>
        <v/>
      </c>
      <c r="AI281">
        <f>IFERROR(IF(AG281*AH281=0,"",AG281*AH281),"")</f>
        <v/>
      </c>
      <c r="AL281">
        <f>IF(AND(AJ281&lt;&gt;"",AK281&lt;&gt;""),ROUNDUP((AK281-AJ281)/7,0),"")</f>
        <v/>
      </c>
      <c r="AN281">
        <f>IFERROR(IF(AL281*AM281=0,"",AL281*AM281),"")</f>
        <v/>
      </c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L281">
        <f>IFERROR(INDEX('_names_lookup'!$C:$C,MATCH(BK281,'_names_lookup'!$A:$A,0)),"")</f>
        <v/>
      </c>
      <c r="BM281">
        <f>IFERROR(INDEX('_names_lookup'!$B:$B,MATCH(BK281,'_names_lookup'!$A:$A,0)),"")</f>
        <v/>
      </c>
      <c r="BS281">
        <f>IFERROR(IF(BR281*AA281=0,"",BR281*AA281),"")</f>
        <v/>
      </c>
    </row>
    <row r="282">
      <c r="O282">
        <f>IFERROR(INDEX('_courses_lookup'!$C:$C,MATCH(K282&amp;L282,'_courses_lookup'!$E:$E,0)),"")</f>
        <v/>
      </c>
      <c r="P282">
        <f>IFERROR(INDEX('_courses_lookup'!$D:$D,MATCH(K282&amp;L282,'_courses_lookup'!$E:$E,0)),"")</f>
        <v/>
      </c>
      <c r="AG282">
        <f>IF(AND(AE282&lt;&gt;"",AF282&lt;&gt;""),ROUNDUP((AF282-AE282)/7,0),"")</f>
        <v/>
      </c>
      <c r="AI282">
        <f>IFERROR(IF(AG282*AH282=0,"",AG282*AH282),"")</f>
        <v/>
      </c>
      <c r="AL282">
        <f>IF(AND(AJ282&lt;&gt;"",AK282&lt;&gt;""),ROUNDUP((AK282-AJ282)/7,0),"")</f>
        <v/>
      </c>
      <c r="AN282">
        <f>IFERROR(IF(AL282*AM282=0,"",AL282*AM282),"")</f>
        <v/>
      </c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L282">
        <f>IFERROR(INDEX('_names_lookup'!$C:$C,MATCH(BK282,'_names_lookup'!$A:$A,0)),"")</f>
        <v/>
      </c>
      <c r="BM282">
        <f>IFERROR(INDEX('_names_lookup'!$B:$B,MATCH(BK282,'_names_lookup'!$A:$A,0)),"")</f>
        <v/>
      </c>
      <c r="BS282">
        <f>IFERROR(IF(BR282*AA282=0,"",BR282*AA282),"")</f>
        <v/>
      </c>
    </row>
    <row r="283">
      <c r="O283">
        <f>IFERROR(INDEX('_courses_lookup'!$C:$C,MATCH(K283&amp;L283,'_courses_lookup'!$E:$E,0)),"")</f>
        <v/>
      </c>
      <c r="P283">
        <f>IFERROR(INDEX('_courses_lookup'!$D:$D,MATCH(K283&amp;L283,'_courses_lookup'!$E:$E,0)),"")</f>
        <v/>
      </c>
      <c r="AG283">
        <f>IF(AND(AE283&lt;&gt;"",AF283&lt;&gt;""),ROUNDUP((AF283-AE283)/7,0),"")</f>
        <v/>
      </c>
      <c r="AI283">
        <f>IFERROR(IF(AG283*AH283=0,"",AG283*AH283),"")</f>
        <v/>
      </c>
      <c r="AL283">
        <f>IF(AND(AJ283&lt;&gt;"",AK283&lt;&gt;""),ROUNDUP((AK283-AJ283)/7,0),"")</f>
        <v/>
      </c>
      <c r="AN283">
        <f>IFERROR(IF(AL283*AM283=0,"",AL283*AM283),"")</f>
        <v/>
      </c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L283">
        <f>IFERROR(INDEX('_names_lookup'!$C:$C,MATCH(BK283,'_names_lookup'!$A:$A,0)),"")</f>
        <v/>
      </c>
      <c r="BM283">
        <f>IFERROR(INDEX('_names_lookup'!$B:$B,MATCH(BK283,'_names_lookup'!$A:$A,0)),"")</f>
        <v/>
      </c>
      <c r="BS283">
        <f>IFERROR(IF(BR283*AA283=0,"",BR283*AA283),"")</f>
        <v/>
      </c>
    </row>
    <row r="284">
      <c r="O284">
        <f>IFERROR(INDEX('_courses_lookup'!$C:$C,MATCH(K284&amp;L284,'_courses_lookup'!$E:$E,0)),"")</f>
        <v/>
      </c>
      <c r="P284">
        <f>IFERROR(INDEX('_courses_lookup'!$D:$D,MATCH(K284&amp;L284,'_courses_lookup'!$E:$E,0)),"")</f>
        <v/>
      </c>
      <c r="AG284">
        <f>IF(AND(AE284&lt;&gt;"",AF284&lt;&gt;""),ROUNDUP((AF284-AE284)/7,0),"")</f>
        <v/>
      </c>
      <c r="AI284">
        <f>IFERROR(IF(AG284*AH284=0,"",AG284*AH284),"")</f>
        <v/>
      </c>
      <c r="AL284">
        <f>IF(AND(AJ284&lt;&gt;"",AK284&lt;&gt;""),ROUNDUP((AK284-AJ284)/7,0),"")</f>
        <v/>
      </c>
      <c r="AN284">
        <f>IFERROR(IF(AL284*AM284=0,"",AL284*AM284),"")</f>
        <v/>
      </c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L284">
        <f>IFERROR(INDEX('_names_lookup'!$C:$C,MATCH(BK284,'_names_lookup'!$A:$A,0)),"")</f>
        <v/>
      </c>
      <c r="BM284">
        <f>IFERROR(INDEX('_names_lookup'!$B:$B,MATCH(BK284,'_names_lookup'!$A:$A,0)),"")</f>
        <v/>
      </c>
      <c r="BS284">
        <f>IFERROR(IF(BR284*AA284=0,"",BR284*AA284),"")</f>
        <v/>
      </c>
    </row>
    <row r="285">
      <c r="O285">
        <f>IFERROR(INDEX('_courses_lookup'!$C:$C,MATCH(K285&amp;L285,'_courses_lookup'!$E:$E,0)),"")</f>
        <v/>
      </c>
      <c r="P285">
        <f>IFERROR(INDEX('_courses_lookup'!$D:$D,MATCH(K285&amp;L285,'_courses_lookup'!$E:$E,0)),"")</f>
        <v/>
      </c>
      <c r="AG285">
        <f>IF(AND(AE285&lt;&gt;"",AF285&lt;&gt;""),ROUNDUP((AF285-AE285)/7,0),"")</f>
        <v/>
      </c>
      <c r="AI285">
        <f>IFERROR(IF(AG285*AH285=0,"",AG285*AH285),"")</f>
        <v/>
      </c>
      <c r="AL285">
        <f>IF(AND(AJ285&lt;&gt;"",AK285&lt;&gt;""),ROUNDUP((AK285-AJ285)/7,0),"")</f>
        <v/>
      </c>
      <c r="AN285">
        <f>IFERROR(IF(AL285*AM285=0,"",AL285*AM285),"")</f>
        <v/>
      </c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L285">
        <f>IFERROR(INDEX('_names_lookup'!$C:$C,MATCH(BK285,'_names_lookup'!$A:$A,0)),"")</f>
        <v/>
      </c>
      <c r="BM285">
        <f>IFERROR(INDEX('_names_lookup'!$B:$B,MATCH(BK285,'_names_lookup'!$A:$A,0)),"")</f>
        <v/>
      </c>
      <c r="BS285">
        <f>IFERROR(IF(BR285*AA285=0,"",BR285*AA285),"")</f>
        <v/>
      </c>
    </row>
    <row r="286">
      <c r="O286">
        <f>IFERROR(INDEX('_courses_lookup'!$C:$C,MATCH(K286&amp;L286,'_courses_lookup'!$E:$E,0)),"")</f>
        <v/>
      </c>
      <c r="P286">
        <f>IFERROR(INDEX('_courses_lookup'!$D:$D,MATCH(K286&amp;L286,'_courses_lookup'!$E:$E,0)),"")</f>
        <v/>
      </c>
      <c r="AG286">
        <f>IF(AND(AE286&lt;&gt;"",AF286&lt;&gt;""),ROUNDUP((AF286-AE286)/7,0),"")</f>
        <v/>
      </c>
      <c r="AI286">
        <f>IFERROR(IF(AG286*AH286=0,"",AG286*AH286),"")</f>
        <v/>
      </c>
      <c r="AL286">
        <f>IF(AND(AJ286&lt;&gt;"",AK286&lt;&gt;""),ROUNDUP((AK286-AJ286)/7,0),"")</f>
        <v/>
      </c>
      <c r="AN286">
        <f>IFERROR(IF(AL286*AM286=0,"",AL286*AM286),"")</f>
        <v/>
      </c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L286">
        <f>IFERROR(INDEX('_names_lookup'!$C:$C,MATCH(BK286,'_names_lookup'!$A:$A,0)),"")</f>
        <v/>
      </c>
      <c r="BM286">
        <f>IFERROR(INDEX('_names_lookup'!$B:$B,MATCH(BK286,'_names_lookup'!$A:$A,0)),"")</f>
        <v/>
      </c>
      <c r="BS286">
        <f>IFERROR(IF(BR286*AA286=0,"",BR286*AA286),"")</f>
        <v/>
      </c>
    </row>
    <row r="287">
      <c r="O287">
        <f>IFERROR(INDEX('_courses_lookup'!$C:$C,MATCH(K287&amp;L287,'_courses_lookup'!$E:$E,0)),"")</f>
        <v/>
      </c>
      <c r="P287">
        <f>IFERROR(INDEX('_courses_lookup'!$D:$D,MATCH(K287&amp;L287,'_courses_lookup'!$E:$E,0)),"")</f>
        <v/>
      </c>
      <c r="AG287">
        <f>IF(AND(AE287&lt;&gt;"",AF287&lt;&gt;""),ROUNDUP((AF287-AE287)/7,0),"")</f>
        <v/>
      </c>
      <c r="AI287">
        <f>IFERROR(IF(AG287*AH287=0,"",AG287*AH287),"")</f>
        <v/>
      </c>
      <c r="AL287">
        <f>IF(AND(AJ287&lt;&gt;"",AK287&lt;&gt;""),ROUNDUP((AK287-AJ287)/7,0),"")</f>
        <v/>
      </c>
      <c r="AN287">
        <f>IFERROR(IF(AL287*AM287=0,"",AL287*AM287),"")</f>
        <v/>
      </c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L287">
        <f>IFERROR(INDEX('_names_lookup'!$C:$C,MATCH(BK287,'_names_lookup'!$A:$A,0)),"")</f>
        <v/>
      </c>
      <c r="BM287">
        <f>IFERROR(INDEX('_names_lookup'!$B:$B,MATCH(BK287,'_names_lookup'!$A:$A,0)),"")</f>
        <v/>
      </c>
      <c r="BS287">
        <f>IFERROR(IF(BR287*AA287=0,"",BR287*AA287),"")</f>
        <v/>
      </c>
    </row>
    <row r="288">
      <c r="O288">
        <f>IFERROR(INDEX('_courses_lookup'!$C:$C,MATCH(K288&amp;L288,'_courses_lookup'!$E:$E,0)),"")</f>
        <v/>
      </c>
      <c r="P288">
        <f>IFERROR(INDEX('_courses_lookup'!$D:$D,MATCH(K288&amp;L288,'_courses_lookup'!$E:$E,0)),"")</f>
        <v/>
      </c>
      <c r="AG288">
        <f>IF(AND(AE288&lt;&gt;"",AF288&lt;&gt;""),ROUNDUP((AF288-AE288)/7,0),"")</f>
        <v/>
      </c>
      <c r="AI288">
        <f>IFERROR(IF(AG288*AH288=0,"",AG288*AH288),"")</f>
        <v/>
      </c>
      <c r="AL288">
        <f>IF(AND(AJ288&lt;&gt;"",AK288&lt;&gt;""),ROUNDUP((AK288-AJ288)/7,0),"")</f>
        <v/>
      </c>
      <c r="AN288">
        <f>IFERROR(IF(AL288*AM288=0,"",AL288*AM288),"")</f>
        <v/>
      </c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L288">
        <f>IFERROR(INDEX('_names_lookup'!$C:$C,MATCH(BK288,'_names_lookup'!$A:$A,0)),"")</f>
        <v/>
      </c>
      <c r="BM288">
        <f>IFERROR(INDEX('_names_lookup'!$B:$B,MATCH(BK288,'_names_lookup'!$A:$A,0)),"")</f>
        <v/>
      </c>
      <c r="BS288">
        <f>IFERROR(IF(BR288*AA288=0,"",BR288*AA288),"")</f>
        <v/>
      </c>
    </row>
    <row r="289">
      <c r="O289">
        <f>IFERROR(INDEX('_courses_lookup'!$C:$C,MATCH(K289&amp;L289,'_courses_lookup'!$E:$E,0)),"")</f>
        <v/>
      </c>
      <c r="P289">
        <f>IFERROR(INDEX('_courses_lookup'!$D:$D,MATCH(K289&amp;L289,'_courses_lookup'!$E:$E,0)),"")</f>
        <v/>
      </c>
      <c r="AG289">
        <f>IF(AND(AE289&lt;&gt;"",AF289&lt;&gt;""),ROUNDUP((AF289-AE289)/7,0),"")</f>
        <v/>
      </c>
      <c r="AI289">
        <f>IFERROR(IF(AG289*AH289=0,"",AG289*AH289),"")</f>
        <v/>
      </c>
      <c r="AL289">
        <f>IF(AND(AJ289&lt;&gt;"",AK289&lt;&gt;""),ROUNDUP((AK289-AJ289)/7,0),"")</f>
        <v/>
      </c>
      <c r="AN289">
        <f>IFERROR(IF(AL289*AM289=0,"",AL289*AM289),"")</f>
        <v/>
      </c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L289">
        <f>IFERROR(INDEX('_names_lookup'!$C:$C,MATCH(BK289,'_names_lookup'!$A:$A,0)),"")</f>
        <v/>
      </c>
      <c r="BM289">
        <f>IFERROR(INDEX('_names_lookup'!$B:$B,MATCH(BK289,'_names_lookup'!$A:$A,0)),"")</f>
        <v/>
      </c>
      <c r="BS289">
        <f>IFERROR(IF(BR289*AA289=0,"",BR289*AA289),"")</f>
        <v/>
      </c>
    </row>
    <row r="290">
      <c r="O290">
        <f>IFERROR(INDEX('_courses_lookup'!$C:$C,MATCH(K290&amp;L290,'_courses_lookup'!$E:$E,0)),"")</f>
        <v/>
      </c>
      <c r="P290">
        <f>IFERROR(INDEX('_courses_lookup'!$D:$D,MATCH(K290&amp;L290,'_courses_lookup'!$E:$E,0)),"")</f>
        <v/>
      </c>
      <c r="AG290">
        <f>IF(AND(AE290&lt;&gt;"",AF290&lt;&gt;""),ROUNDUP((AF290-AE290)/7,0),"")</f>
        <v/>
      </c>
      <c r="AI290">
        <f>IFERROR(IF(AG290*AH290=0,"",AG290*AH290),"")</f>
        <v/>
      </c>
      <c r="AL290">
        <f>IF(AND(AJ290&lt;&gt;"",AK290&lt;&gt;""),ROUNDUP((AK290-AJ290)/7,0),"")</f>
        <v/>
      </c>
      <c r="AN290">
        <f>IFERROR(IF(AL290*AM290=0,"",AL290*AM290),"")</f>
        <v/>
      </c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L290">
        <f>IFERROR(INDEX('_names_lookup'!$C:$C,MATCH(BK290,'_names_lookup'!$A:$A,0)),"")</f>
        <v/>
      </c>
      <c r="BM290">
        <f>IFERROR(INDEX('_names_lookup'!$B:$B,MATCH(BK290,'_names_lookup'!$A:$A,0)),"")</f>
        <v/>
      </c>
      <c r="BS290">
        <f>IFERROR(IF(BR290*AA290=0,"",BR290*AA290),"")</f>
        <v/>
      </c>
    </row>
    <row r="291">
      <c r="O291">
        <f>IFERROR(INDEX('_courses_lookup'!$C:$C,MATCH(K291&amp;L291,'_courses_lookup'!$E:$E,0)),"")</f>
        <v/>
      </c>
      <c r="P291">
        <f>IFERROR(INDEX('_courses_lookup'!$D:$D,MATCH(K291&amp;L291,'_courses_lookup'!$E:$E,0)),"")</f>
        <v/>
      </c>
      <c r="AG291">
        <f>IF(AND(AE291&lt;&gt;"",AF291&lt;&gt;""),ROUNDUP((AF291-AE291)/7,0),"")</f>
        <v/>
      </c>
      <c r="AI291">
        <f>IFERROR(IF(AG291*AH291=0,"",AG291*AH291),"")</f>
        <v/>
      </c>
      <c r="AL291">
        <f>IF(AND(AJ291&lt;&gt;"",AK291&lt;&gt;""),ROUNDUP((AK291-AJ291)/7,0),"")</f>
        <v/>
      </c>
      <c r="AN291">
        <f>IFERROR(IF(AL291*AM291=0,"",AL291*AM291),"")</f>
        <v/>
      </c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L291">
        <f>IFERROR(INDEX('_names_lookup'!$C:$C,MATCH(BK291,'_names_lookup'!$A:$A,0)),"")</f>
        <v/>
      </c>
      <c r="BM291">
        <f>IFERROR(INDEX('_names_lookup'!$B:$B,MATCH(BK291,'_names_lookup'!$A:$A,0)),"")</f>
        <v/>
      </c>
      <c r="BS291">
        <f>IFERROR(IF(BR291*AA291=0,"",BR291*AA291),"")</f>
        <v/>
      </c>
    </row>
    <row r="292">
      <c r="O292">
        <f>IFERROR(INDEX('_courses_lookup'!$C:$C,MATCH(K292&amp;L292,'_courses_lookup'!$E:$E,0)),"")</f>
        <v/>
      </c>
      <c r="P292">
        <f>IFERROR(INDEX('_courses_lookup'!$D:$D,MATCH(K292&amp;L292,'_courses_lookup'!$E:$E,0)),"")</f>
        <v/>
      </c>
      <c r="AG292">
        <f>IF(AND(AE292&lt;&gt;"",AF292&lt;&gt;""),ROUNDUP((AF292-AE292)/7,0),"")</f>
        <v/>
      </c>
      <c r="AI292">
        <f>IFERROR(IF(AG292*AH292=0,"",AG292*AH292),"")</f>
        <v/>
      </c>
      <c r="AL292">
        <f>IF(AND(AJ292&lt;&gt;"",AK292&lt;&gt;""),ROUNDUP((AK292-AJ292)/7,0),"")</f>
        <v/>
      </c>
      <c r="AN292">
        <f>IFERROR(IF(AL292*AM292=0,"",AL292*AM292),"")</f>
        <v/>
      </c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L292">
        <f>IFERROR(INDEX('_names_lookup'!$C:$C,MATCH(BK292,'_names_lookup'!$A:$A,0)),"")</f>
        <v/>
      </c>
      <c r="BM292">
        <f>IFERROR(INDEX('_names_lookup'!$B:$B,MATCH(BK292,'_names_lookup'!$A:$A,0)),"")</f>
        <v/>
      </c>
      <c r="BS292">
        <f>IFERROR(IF(BR292*AA292=0,"",BR292*AA292),"")</f>
        <v/>
      </c>
    </row>
    <row r="293">
      <c r="O293">
        <f>IFERROR(INDEX('_courses_lookup'!$C:$C,MATCH(K293&amp;L293,'_courses_lookup'!$E:$E,0)),"")</f>
        <v/>
      </c>
      <c r="P293">
        <f>IFERROR(INDEX('_courses_lookup'!$D:$D,MATCH(K293&amp;L293,'_courses_lookup'!$E:$E,0)),"")</f>
        <v/>
      </c>
      <c r="AG293">
        <f>IF(AND(AE293&lt;&gt;"",AF293&lt;&gt;""),ROUNDUP((AF293-AE293)/7,0),"")</f>
        <v/>
      </c>
      <c r="AI293">
        <f>IFERROR(IF(AG293*AH293=0,"",AG293*AH293),"")</f>
        <v/>
      </c>
      <c r="AL293">
        <f>IF(AND(AJ293&lt;&gt;"",AK293&lt;&gt;""),ROUNDUP((AK293-AJ293)/7,0),"")</f>
        <v/>
      </c>
      <c r="AN293">
        <f>IFERROR(IF(AL293*AM293=0,"",AL293*AM293),"")</f>
        <v/>
      </c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L293">
        <f>IFERROR(INDEX('_names_lookup'!$C:$C,MATCH(BK293,'_names_lookup'!$A:$A,0)),"")</f>
        <v/>
      </c>
      <c r="BM293">
        <f>IFERROR(INDEX('_names_lookup'!$B:$B,MATCH(BK293,'_names_lookup'!$A:$A,0)),"")</f>
        <v/>
      </c>
      <c r="BS293">
        <f>IFERROR(IF(BR293*AA293=0,"",BR293*AA293),"")</f>
        <v/>
      </c>
    </row>
    <row r="294">
      <c r="O294">
        <f>IFERROR(INDEX('_courses_lookup'!$C:$C,MATCH(K294&amp;L294,'_courses_lookup'!$E:$E,0)),"")</f>
        <v/>
      </c>
      <c r="P294">
        <f>IFERROR(INDEX('_courses_lookup'!$D:$D,MATCH(K294&amp;L294,'_courses_lookup'!$E:$E,0)),"")</f>
        <v/>
      </c>
      <c r="AG294">
        <f>IF(AND(AE294&lt;&gt;"",AF294&lt;&gt;""),ROUNDUP((AF294-AE294)/7,0),"")</f>
        <v/>
      </c>
      <c r="AI294">
        <f>IFERROR(IF(AG294*AH294=0,"",AG294*AH294),"")</f>
        <v/>
      </c>
      <c r="AL294">
        <f>IF(AND(AJ294&lt;&gt;"",AK294&lt;&gt;""),ROUNDUP((AK294-AJ294)/7,0),"")</f>
        <v/>
      </c>
      <c r="AN294">
        <f>IFERROR(IF(AL294*AM294=0,"",AL294*AM294),"")</f>
        <v/>
      </c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L294">
        <f>IFERROR(INDEX('_names_lookup'!$C:$C,MATCH(BK294,'_names_lookup'!$A:$A,0)),"")</f>
        <v/>
      </c>
      <c r="BM294">
        <f>IFERROR(INDEX('_names_lookup'!$B:$B,MATCH(BK294,'_names_lookup'!$A:$A,0)),"")</f>
        <v/>
      </c>
      <c r="BS294">
        <f>IFERROR(IF(BR294*AA294=0,"",BR294*AA294),"")</f>
        <v/>
      </c>
    </row>
    <row r="295">
      <c r="O295">
        <f>IFERROR(INDEX('_courses_lookup'!$C:$C,MATCH(K295&amp;L295,'_courses_lookup'!$E:$E,0)),"")</f>
        <v/>
      </c>
      <c r="P295">
        <f>IFERROR(INDEX('_courses_lookup'!$D:$D,MATCH(K295&amp;L295,'_courses_lookup'!$E:$E,0)),"")</f>
        <v/>
      </c>
      <c r="AG295">
        <f>IF(AND(AE295&lt;&gt;"",AF295&lt;&gt;""),ROUNDUP((AF295-AE295)/7,0),"")</f>
        <v/>
      </c>
      <c r="AI295">
        <f>IFERROR(IF(AG295*AH295=0,"",AG295*AH295),"")</f>
        <v/>
      </c>
      <c r="AL295">
        <f>IF(AND(AJ295&lt;&gt;"",AK295&lt;&gt;""),ROUNDUP((AK295-AJ295)/7,0),"")</f>
        <v/>
      </c>
      <c r="AN295">
        <f>IFERROR(IF(AL295*AM295=0,"",AL295*AM295),"")</f>
        <v/>
      </c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L295">
        <f>IFERROR(INDEX('_names_lookup'!$C:$C,MATCH(BK295,'_names_lookup'!$A:$A,0)),"")</f>
        <v/>
      </c>
      <c r="BM295">
        <f>IFERROR(INDEX('_names_lookup'!$B:$B,MATCH(BK295,'_names_lookup'!$A:$A,0)),"")</f>
        <v/>
      </c>
      <c r="BS295">
        <f>IFERROR(IF(BR295*AA295=0,"",BR295*AA295),"")</f>
        <v/>
      </c>
    </row>
    <row r="296">
      <c r="O296">
        <f>IFERROR(INDEX('_courses_lookup'!$C:$C,MATCH(K296&amp;L296,'_courses_lookup'!$E:$E,0)),"")</f>
        <v/>
      </c>
      <c r="P296">
        <f>IFERROR(INDEX('_courses_lookup'!$D:$D,MATCH(K296&amp;L296,'_courses_lookup'!$E:$E,0)),"")</f>
        <v/>
      </c>
      <c r="AG296">
        <f>IF(AND(AE296&lt;&gt;"",AF296&lt;&gt;""),ROUNDUP((AF296-AE296)/7,0),"")</f>
        <v/>
      </c>
      <c r="AI296">
        <f>IFERROR(IF(AG296*AH296=0,"",AG296*AH296),"")</f>
        <v/>
      </c>
      <c r="AL296">
        <f>IF(AND(AJ296&lt;&gt;"",AK296&lt;&gt;""),ROUNDUP((AK296-AJ296)/7,0),"")</f>
        <v/>
      </c>
      <c r="AN296">
        <f>IFERROR(IF(AL296*AM296=0,"",AL296*AM296),"")</f>
        <v/>
      </c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L296">
        <f>IFERROR(INDEX('_names_lookup'!$C:$C,MATCH(BK296,'_names_lookup'!$A:$A,0)),"")</f>
        <v/>
      </c>
      <c r="BM296">
        <f>IFERROR(INDEX('_names_lookup'!$B:$B,MATCH(BK296,'_names_lookup'!$A:$A,0)),"")</f>
        <v/>
      </c>
      <c r="BS296">
        <f>IFERROR(IF(BR296*AA296=0,"",BR296*AA296),"")</f>
        <v/>
      </c>
    </row>
    <row r="297">
      <c r="O297">
        <f>IFERROR(INDEX('_courses_lookup'!$C:$C,MATCH(K297&amp;L297,'_courses_lookup'!$E:$E,0)),"")</f>
        <v/>
      </c>
      <c r="P297">
        <f>IFERROR(INDEX('_courses_lookup'!$D:$D,MATCH(K297&amp;L297,'_courses_lookup'!$E:$E,0)),"")</f>
        <v/>
      </c>
      <c r="AG297">
        <f>IF(AND(AE297&lt;&gt;"",AF297&lt;&gt;""),ROUNDUP((AF297-AE297)/7,0),"")</f>
        <v/>
      </c>
      <c r="AI297">
        <f>IFERROR(IF(AG297*AH297=0,"",AG297*AH297),"")</f>
        <v/>
      </c>
      <c r="AL297">
        <f>IF(AND(AJ297&lt;&gt;"",AK297&lt;&gt;""),ROUNDUP((AK297-AJ297)/7,0),"")</f>
        <v/>
      </c>
      <c r="AN297">
        <f>IFERROR(IF(AL297*AM297=0,"",AL297*AM297),"")</f>
        <v/>
      </c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L297">
        <f>IFERROR(INDEX('_names_lookup'!$C:$C,MATCH(BK297,'_names_lookup'!$A:$A,0)),"")</f>
        <v/>
      </c>
      <c r="BM297">
        <f>IFERROR(INDEX('_names_lookup'!$B:$B,MATCH(BK297,'_names_lookup'!$A:$A,0)),"")</f>
        <v/>
      </c>
      <c r="BS297">
        <f>IFERROR(IF(BR297*AA297=0,"",BR297*AA297),"")</f>
        <v/>
      </c>
    </row>
    <row r="298">
      <c r="O298">
        <f>IFERROR(INDEX('_courses_lookup'!$C:$C,MATCH(K298&amp;L298,'_courses_lookup'!$E:$E,0)),"")</f>
        <v/>
      </c>
      <c r="P298">
        <f>IFERROR(INDEX('_courses_lookup'!$D:$D,MATCH(K298&amp;L298,'_courses_lookup'!$E:$E,0)),"")</f>
        <v/>
      </c>
      <c r="AG298">
        <f>IF(AND(AE298&lt;&gt;"",AF298&lt;&gt;""),ROUNDUP((AF298-AE298)/7,0),"")</f>
        <v/>
      </c>
      <c r="AI298">
        <f>IFERROR(IF(AG298*AH298=0,"",AG298*AH298),"")</f>
        <v/>
      </c>
      <c r="AL298">
        <f>IF(AND(AJ298&lt;&gt;"",AK298&lt;&gt;""),ROUNDUP((AK298-AJ298)/7,0),"")</f>
        <v/>
      </c>
      <c r="AN298">
        <f>IFERROR(IF(AL298*AM298=0,"",AL298*AM298),"")</f>
        <v/>
      </c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L298">
        <f>IFERROR(INDEX('_names_lookup'!$C:$C,MATCH(BK298,'_names_lookup'!$A:$A,0)),"")</f>
        <v/>
      </c>
      <c r="BM298">
        <f>IFERROR(INDEX('_names_lookup'!$B:$B,MATCH(BK298,'_names_lookup'!$A:$A,0)),"")</f>
        <v/>
      </c>
      <c r="BS298">
        <f>IFERROR(IF(BR298*AA298=0,"",BR298*AA298),"")</f>
        <v/>
      </c>
    </row>
    <row r="299">
      <c r="O299">
        <f>IFERROR(INDEX('_courses_lookup'!$C:$C,MATCH(K299&amp;L299,'_courses_lookup'!$E:$E,0)),"")</f>
        <v/>
      </c>
      <c r="P299">
        <f>IFERROR(INDEX('_courses_lookup'!$D:$D,MATCH(K299&amp;L299,'_courses_lookup'!$E:$E,0)),"")</f>
        <v/>
      </c>
      <c r="AG299">
        <f>IF(AND(AE299&lt;&gt;"",AF299&lt;&gt;""),ROUNDUP((AF299-AE299)/7,0),"")</f>
        <v/>
      </c>
      <c r="AI299">
        <f>IFERROR(IF(AG299*AH299=0,"",AG299*AH299),"")</f>
        <v/>
      </c>
      <c r="AL299">
        <f>IF(AND(AJ299&lt;&gt;"",AK299&lt;&gt;""),ROUNDUP((AK299-AJ299)/7,0),"")</f>
        <v/>
      </c>
      <c r="AN299">
        <f>IFERROR(IF(AL299*AM299=0,"",AL299*AM299),"")</f>
        <v/>
      </c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L299">
        <f>IFERROR(INDEX('_names_lookup'!$C:$C,MATCH(BK299,'_names_lookup'!$A:$A,0)),"")</f>
        <v/>
      </c>
      <c r="BM299">
        <f>IFERROR(INDEX('_names_lookup'!$B:$B,MATCH(BK299,'_names_lookup'!$A:$A,0)),"")</f>
        <v/>
      </c>
      <c r="BS299">
        <f>IFERROR(IF(BR299*AA299=0,"",BR299*AA299),"")</f>
        <v/>
      </c>
    </row>
    <row r="300">
      <c r="O300">
        <f>IFERROR(INDEX('_courses_lookup'!$C:$C,MATCH(K300&amp;L300,'_courses_lookup'!$E:$E,0)),"")</f>
        <v/>
      </c>
      <c r="P300">
        <f>IFERROR(INDEX('_courses_lookup'!$D:$D,MATCH(K300&amp;L300,'_courses_lookup'!$E:$E,0)),"")</f>
        <v/>
      </c>
      <c r="AG300">
        <f>IF(AND(AE300&lt;&gt;"",AF300&lt;&gt;""),ROUNDUP((AF300-AE300)/7,0),"")</f>
        <v/>
      </c>
      <c r="AI300">
        <f>IFERROR(IF(AG300*AH300=0,"",AG300*AH300),"")</f>
        <v/>
      </c>
      <c r="AL300">
        <f>IF(AND(AJ300&lt;&gt;"",AK300&lt;&gt;""),ROUNDUP((AK300-AJ300)/7,0),"")</f>
        <v/>
      </c>
      <c r="AN300">
        <f>IFERROR(IF(AL300*AM300=0,"",AL300*AM300),"")</f>
        <v/>
      </c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L300">
        <f>IFERROR(INDEX('_names_lookup'!$C:$C,MATCH(BK300,'_names_lookup'!$A:$A,0)),"")</f>
        <v/>
      </c>
      <c r="BM300">
        <f>IFERROR(INDEX('_names_lookup'!$B:$B,MATCH(BK300,'_names_lookup'!$A:$A,0)),"")</f>
        <v/>
      </c>
      <c r="BS300">
        <f>IFERROR(IF(BR300*AA300=0,"",BR300*AA300),"")</f>
        <v/>
      </c>
    </row>
  </sheetData>
  <autoFilter ref="A1:DR18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='DropDownMenu'!$BC$2:$BC$259</formula1>
    </dataValidation>
    <dataValidation sqref="BL2:BL5000" showDropDown="0" showInputMessage="0" showErrorMessage="0" allowBlank="1" type="list">
      <formula1>='DropDownMenu'!$BD$2:$BD$253</formula1>
    </dataValidation>
    <dataValidation sqref="BM2:BM5000" showDropDown="0" showInputMessage="0" showErrorMessage="0" allowBlank="1" type="list">
      <formula1>='DropDownMenu'!$BE$2:$BE$259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15" sqref="G15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23" t="inlineStr">
        <is>
          <t>Don {not in Banner}</t>
        </is>
      </c>
      <c r="B1" s="23" t="inlineStr">
        <is>
          <t>Mismatching {not in Banner}</t>
        </is>
      </c>
      <c r="C1" s="23" t="inlineStr">
        <is>
          <t>Dept/Prog Admin {not in Banner}</t>
        </is>
      </c>
      <c r="D1" s="23" t="inlineStr">
        <is>
          <t>Mona {not in Banner}</t>
        </is>
      </c>
      <c r="E1" s="23" t="inlineStr">
        <is>
          <t>Karen {not in Banner}</t>
        </is>
      </c>
      <c r="F1" s="23" t="inlineStr">
        <is>
          <t>DONE {not in Banner}</t>
        </is>
      </c>
      <c r="G1" s="24" t="inlineStr">
        <is>
          <t>Notes {not in Banner}</t>
        </is>
      </c>
      <c r="H1" s="23" t="inlineStr">
        <is>
          <t>CRN sorted {not in Banner}</t>
        </is>
      </c>
      <c r="I1" s="23" t="inlineStr">
        <is>
          <t>CRN</t>
        </is>
      </c>
      <c r="J1" s="23" t="inlineStr">
        <is>
          <t>Attribute {not in Banner}</t>
        </is>
      </c>
      <c r="K1" s="23" t="inlineStr">
        <is>
          <t>Subject</t>
        </is>
      </c>
      <c r="L1" s="23" t="inlineStr">
        <is>
          <t>Course Number {Crse Num}</t>
        </is>
      </c>
      <c r="M1" s="23" t="inlineStr">
        <is>
          <t>Course Section {Seq Crse Num}</t>
        </is>
      </c>
      <c r="N1" s="23" t="inlineStr">
        <is>
          <t>Program {not in Banner}</t>
        </is>
      </c>
      <c r="O1" s="23" t="inlineStr">
        <is>
          <t>Catalog Title</t>
        </is>
      </c>
      <c r="P1" s="23" t="inlineStr">
        <is>
          <t>Section Title</t>
        </is>
      </c>
      <c r="Q1" s="23" t="inlineStr">
        <is>
          <t>Crosslist Details {not in Banner}</t>
        </is>
      </c>
      <c r="R1" s="23" t="inlineStr">
        <is>
          <t>X Lst</t>
        </is>
      </c>
      <c r="S1" s="23" t="inlineStr">
        <is>
          <t>Campus {Ssasect Campus}</t>
        </is>
      </c>
      <c r="T1" s="23" t="inlineStr">
        <is>
          <t>Campus Restriction {Camp Restr CC}</t>
        </is>
      </c>
      <c r="U1" s="23" t="inlineStr">
        <is>
          <t>Schedule Type {not in Banner}</t>
        </is>
      </c>
      <c r="V1" s="23" t="inlineStr">
        <is>
          <t>Instruction Method {Inst Method}</t>
        </is>
      </c>
      <c r="W1" s="23" t="inlineStr">
        <is>
          <t>Level {Level SC}</t>
        </is>
      </c>
      <c r="X1" s="23" t="inlineStr">
        <is>
          <t>Part-Of-Term</t>
        </is>
      </c>
      <c r="Y1" s="23" t="inlineStr">
        <is>
          <t>Credit Catalog {Cat Crs}</t>
        </is>
      </c>
      <c r="Z1" s="23" t="inlineStr">
        <is>
          <t>Credits {Sect Crs}</t>
        </is>
      </c>
      <c r="AA1" s="23" t="inlineStr">
        <is>
          <t>Faculty Load / Contract Credits {not in Banner}</t>
        </is>
      </c>
      <c r="AB1" s="23" t="inlineStr">
        <is>
          <t>Enrollment Cap {Max Enrl}</t>
        </is>
      </c>
      <c r="AC1" s="23" t="inlineStr">
        <is>
          <t>Meeting Type</t>
        </is>
      </c>
      <c r="AD1" s="23" t="inlineStr">
        <is>
          <t>Semester Start Date {Soaterm Start Date}</t>
        </is>
      </c>
      <c r="AE1" s="23" t="inlineStr">
        <is>
          <t>Pre-work Start Date {not in Banner}</t>
        </is>
      </c>
      <c r="AF1" s="23" t="inlineStr">
        <is>
          <t>Pre-work End Date {not in Banner}</t>
        </is>
      </c>
      <c r="AG1" s="25" t="inlineStr">
        <is>
          <t>pre-work # of weeks {not in Banner}</t>
        </is>
      </c>
      <c r="AH1" s="25" t="inlineStr">
        <is>
          <t>pre-work hours/week {not in Banner}</t>
        </is>
      </c>
      <c r="AI1" s="25" t="inlineStr">
        <is>
          <t>pre-work hours/period {not in Banner}</t>
        </is>
      </c>
      <c r="AJ1" s="23" t="inlineStr">
        <is>
          <t>Intensive Period Start Date {Meet Start Date}</t>
        </is>
      </c>
      <c r="AK1" s="23" t="inlineStr">
        <is>
          <t>Intensive Period End Date {Meet End Date}</t>
        </is>
      </c>
      <c r="AL1" s="25" t="inlineStr">
        <is>
          <t>intensive # of weeks {not in Banner}</t>
        </is>
      </c>
      <c r="AM1" s="25" t="inlineStr">
        <is>
          <t>intensive hours/week {not in Banner}</t>
        </is>
      </c>
      <c r="AN1" s="25" t="inlineStr">
        <is>
          <t>intensive hours/period {not in Banner}</t>
        </is>
      </c>
      <c r="AO1" s="23" t="inlineStr">
        <is>
          <t>Post-work Start Date {not in Banner}</t>
        </is>
      </c>
      <c r="AP1" s="23" t="inlineStr">
        <is>
          <t>Post-work End Date {not in Banner}</t>
        </is>
      </c>
      <c r="AQ1" s="25" t="inlineStr">
        <is>
          <t>post-work # of weeks {not in Banner}</t>
        </is>
      </c>
      <c r="AR1" s="25" t="inlineStr">
        <is>
          <t>post-work hours/week {not in Banner}</t>
        </is>
      </c>
      <c r="AS1" s="25" t="inlineStr">
        <is>
          <t>post-work hours/period {not in Banner}</t>
        </is>
      </c>
      <c r="AT1" s="25" t="inlineStr">
        <is>
          <t>sum of weeks (for check) {not in Banner}</t>
        </is>
      </c>
      <c r="AU1" s="25" t="inlineStr">
        <is>
          <t>total contract hours {not in Banner}</t>
        </is>
      </c>
      <c r="AV1" s="23" t="inlineStr">
        <is>
          <t>Semester End Date {Soaterm End Date}</t>
        </is>
      </c>
      <c r="AW1" s="23" t="inlineStr">
        <is>
          <t>Course Beginning Time {Meet Beg Time}</t>
        </is>
      </c>
      <c r="AX1" s="23" t="inlineStr">
        <is>
          <t>Course Ending Time {Meet End Time}</t>
        </is>
      </c>
      <c r="AY1" s="23" t="inlineStr">
        <is>
          <t>SUN</t>
        </is>
      </c>
      <c r="AZ1" s="23" t="inlineStr">
        <is>
          <t>MON</t>
        </is>
      </c>
      <c r="BA1" s="23" t="inlineStr">
        <is>
          <t>TUE</t>
        </is>
      </c>
      <c r="BB1" s="23" t="inlineStr">
        <is>
          <t>WED</t>
        </is>
      </c>
      <c r="BC1" s="23" t="inlineStr">
        <is>
          <t>THU</t>
        </is>
      </c>
      <c r="BD1" s="23" t="inlineStr">
        <is>
          <t>FRI</t>
        </is>
      </c>
      <c r="BE1" s="23" t="inlineStr">
        <is>
          <t>SAT</t>
        </is>
      </c>
      <c r="BF1" s="23" t="inlineStr">
        <is>
          <t>Weeks</t>
        </is>
      </c>
      <c r="BG1" s="23" t="inlineStr">
        <is>
          <t>Fiscal Year {not in Banner}</t>
        </is>
      </c>
      <c r="BH1" s="25" t="inlineStr">
        <is>
          <t>Semester {not in Banner}</t>
        </is>
      </c>
      <c r="BI1" s="23" t="inlineStr">
        <is>
          <t>Room {Meet Room}</t>
        </is>
      </c>
      <c r="BJ1" s="23" t="inlineStr">
        <is>
          <t>Building {Meet Bldg}</t>
        </is>
      </c>
      <c r="BK1" s="23" t="inlineStr">
        <is>
          <t>Instructor Name {Instr Name}</t>
        </is>
      </c>
      <c r="BL1" s="23" t="inlineStr">
        <is>
          <t>Instructor Email {Instr Email}</t>
        </is>
      </c>
      <c r="BM1" s="23" t="inlineStr">
        <is>
          <t>Instructor ID {Instr ID}</t>
        </is>
      </c>
      <c r="BN1" s="25" t="inlineStr">
        <is>
          <t>Remote Employee {not in Banner}</t>
        </is>
      </c>
      <c r="BO1" s="23" t="inlineStr">
        <is>
          <t>% Responsibility</t>
        </is>
      </c>
      <c r="BP1" s="23" t="inlineStr">
        <is>
          <t>load/contract {not in Banner}</t>
        </is>
      </c>
      <c r="BQ1" s="25" t="inlineStr">
        <is>
          <t>Reason for Contract {not in Banner}</t>
        </is>
      </c>
      <c r="BR1" s="25" t="inlineStr">
        <is>
          <t>costs per credit {not in Banner}</t>
        </is>
      </c>
      <c r="BS1" s="25" t="inlineStr">
        <is>
          <t>total costs {not in Banner}</t>
        </is>
      </c>
      <c r="BT1" s="25" t="inlineStr">
        <is>
          <t>dept budget {not in Banner}</t>
        </is>
      </c>
      <c r="BU1" s="25" t="inlineStr">
        <is>
          <t>account to be charged {not in Banner}</t>
        </is>
      </c>
      <c r="BV1" s="25" t="inlineStr">
        <is>
          <t>SEM Department {Scacrse Dept}</t>
        </is>
      </c>
      <c r="BW1" s="26" t="inlineStr">
        <is>
          <t>dean email</t>
        </is>
      </c>
      <c r="BX1" s="26" t="inlineStr">
        <is>
          <t>VP finance email</t>
        </is>
      </c>
      <c r="BY1" s="26" t="inlineStr">
        <is>
          <t>HR email</t>
        </is>
      </c>
      <c r="BZ1" s="26" t="inlineStr">
        <is>
          <t>Fee Amount {Fees Amt}</t>
        </is>
      </c>
      <c r="CA1" s="26" t="inlineStr">
        <is>
          <t>Fee Code {Detl Code}</t>
        </is>
      </c>
      <c r="CB1" s="26" t="inlineStr">
        <is>
          <t>Fee Type</t>
        </is>
      </c>
      <c r="CC1" s="26" t="inlineStr">
        <is>
          <t>Fee Level</t>
        </is>
      </c>
      <c r="CD1" s="26" t="inlineStr">
        <is>
          <t>Fee Ind</t>
        </is>
      </c>
      <c r="CE1" s="26" t="inlineStr">
        <is>
          <t>Fee Term</t>
        </is>
      </c>
      <c r="CF1" s="26" t="inlineStr">
        <is>
          <t>Activity Date</t>
        </is>
      </c>
      <c r="CG1" s="26" t="inlineStr">
        <is>
          <t>Status</t>
        </is>
      </c>
      <c r="CH1" s="26" t="inlineStr">
        <is>
          <t>Bill Hrs</t>
        </is>
      </c>
      <c r="CI1" s="26" t="inlineStr">
        <is>
          <t>Sect Sch Type</t>
        </is>
      </c>
      <c r="CJ1" s="26" t="inlineStr">
        <is>
          <t>Prerequisites {Preq Areas}</t>
        </is>
      </c>
      <c r="CK1" s="26" t="inlineStr">
        <is>
          <t>Link Ind</t>
        </is>
      </c>
      <c r="CL1" s="26" t="inlineStr">
        <is>
          <t>Integration Code</t>
        </is>
      </c>
      <c r="CM1" s="26" t="inlineStr">
        <is>
          <t>Link Conn</t>
        </is>
      </c>
      <c r="CN1" s="26" t="inlineStr">
        <is>
          <t>Crs Attr</t>
        </is>
      </c>
      <c r="CO1" s="26" t="inlineStr">
        <is>
          <t>Comments</t>
        </is>
      </c>
      <c r="CP1" s="26" t="inlineStr">
        <is>
          <t>Major Restr</t>
        </is>
      </c>
      <c r="CQ1" s="26" t="inlineStr">
        <is>
          <t>Scacrse College</t>
        </is>
      </c>
      <c r="CR1" s="26" t="inlineStr">
        <is>
          <t>Enrolled</t>
        </is>
      </c>
      <c r="CS1" s="26" t="inlineStr">
        <is>
          <t>Waitlist Capacity</t>
        </is>
      </c>
      <c r="CT1" s="26" t="inlineStr">
        <is>
          <t>Primary Ind</t>
        </is>
      </c>
      <c r="CU1" s="26" t="inlineStr">
        <is>
          <t>Override</t>
        </is>
      </c>
      <c r="CV1" s="26" t="inlineStr">
        <is>
          <t>1st Date Reg Opens</t>
        </is>
      </c>
      <c r="CW1" s="26" t="inlineStr">
        <is>
          <t>Last Date Reg Opens</t>
        </is>
      </c>
      <c r="CX1" s="26" t="inlineStr">
        <is>
          <t>OL Range From Date</t>
        </is>
      </c>
      <c r="CY1" s="26" t="inlineStr">
        <is>
          <t>OL Range To Date</t>
        </is>
      </c>
      <c r="CZ1" s="26" t="inlineStr">
        <is>
          <t>OL Numb Units</t>
        </is>
      </c>
      <c r="DA1" s="26" t="inlineStr">
        <is>
          <t>OL Duration Code</t>
        </is>
      </c>
      <c r="DB1" s="26" t="inlineStr">
        <is>
          <t>Grade Mode</t>
        </is>
      </c>
      <c r="DC1" s="26" t="inlineStr">
        <is>
          <t>Gradable Ind</t>
        </is>
      </c>
      <c r="DD1" s="26" t="inlineStr">
        <is>
          <t>Tuit Waiver</t>
        </is>
      </c>
      <c r="DE1" s="26" t="inlineStr">
        <is>
          <t>Course Override {Meet Override}</t>
        </is>
      </c>
      <c r="DF1" s="26" t="inlineStr">
        <is>
          <t>Lvl Res Ind</t>
        </is>
      </c>
      <c r="DG1" s="26" t="inlineStr">
        <is>
          <t>Cmp Res Ind</t>
        </is>
      </c>
      <c r="DH1" s="26" t="inlineStr">
        <is>
          <t>Rate Code</t>
        </is>
      </c>
      <c r="DI1" s="26" t="inlineStr">
        <is>
          <t>Cohort Code</t>
        </is>
      </c>
      <c r="DJ1" s="26" t="inlineStr">
        <is>
          <t>St Attr Code</t>
        </is>
      </c>
      <c r="DK1" s="26" t="inlineStr">
        <is>
          <t>Coll SC</t>
        </is>
      </c>
      <c r="DL1" s="26" t="inlineStr">
        <is>
          <t>DegC SC</t>
        </is>
      </c>
      <c r="DM1" s="26" t="inlineStr">
        <is>
          <t>Prog SC</t>
        </is>
      </c>
      <c r="DN1" s="26" t="inlineStr">
        <is>
          <t>FOS Type</t>
        </is>
      </c>
      <c r="DO1" s="26" t="inlineStr">
        <is>
          <t>Special Approval {Special Apvl}</t>
        </is>
      </c>
      <c r="DP1" s="26" t="inlineStr">
        <is>
          <t>Term Code</t>
        </is>
      </c>
      <c r="DQ1" s="26" t="inlineStr">
        <is>
          <t>Camp SC</t>
        </is>
      </c>
    </row>
    <row r="2">
      <c r="O2">
        <f>IFERROR(INDEX('_courses_lookup'!$C:$C,MATCH(K2&amp;L2,'_courses_lookup'!$E:$E,0)),"")</f>
        <v/>
      </c>
      <c r="P2">
        <f>IFERROR(INDEX('_courses_lookup'!$D:$D,MATCH(K2&amp;L2,'_courses_lookup'!$E:$E,0)),"")</f>
        <v/>
      </c>
      <c r="AG2">
        <f>IF(AND(AE2&lt;&gt;"",AF2&lt;&gt;""),ROUNDUP((AF2-AE2)/7,0),"")</f>
        <v/>
      </c>
      <c r="AI2">
        <f>IFERROR(IF(AG2*AH2=0,"",AG2*AH2),"")</f>
        <v/>
      </c>
      <c r="AL2">
        <f>IF(AND(AJ2&lt;&gt;"",AK2&lt;&gt;""),ROUNDUP((AK2-AJ2)/7,0),"")</f>
        <v/>
      </c>
      <c r="AN2">
        <f>IFERROR(IF(AL2*AM2=0,"",AL2*AM2),"")</f>
        <v/>
      </c>
      <c r="AQ2">
        <f>IF(AND(AO2&lt;&gt;"",AP2&lt;&gt;""),ROUNDUP((AP2-AO2)/7,0),"")</f>
        <v/>
      </c>
      <c r="AR2">
        <f>IFERROR(IF((AU2-(AI2+AN2))/AQ2=0,"",ROUNDUP((AU2-(AI2+AN2))/AQ2,0)),"")</f>
        <v/>
      </c>
      <c r="AS2">
        <f>IFERROR(IF((AU2-(AI2+AN2))=0,"",(AU2-(AI2+AN2))),"")</f>
        <v/>
      </c>
      <c r="AT2">
        <f>IF(AND(AG2="",AQ2=""),AL2,IF(SUM(AG2,AL2,AQ2)=0,"",SUM(AG2,AL2,AQ2)))</f>
        <v/>
      </c>
      <c r="BG2">
        <f>IF(AD2="","",YEAR(AD2)+IF(MONTH(AD2)&gt;=5,1,0))</f>
        <v/>
      </c>
      <c r="BH2">
        <f>IF(AD2="","",IF(AND(MONTH(AD2)=8,DAY(AD2)&gt;=15),"Fall",IF(MONTH(AD2)&gt;8,"Fall",IF(MONTH(AD2)=5,"Summer",IF(MONTH(AD2)=1,"Spring","")))))</f>
        <v/>
      </c>
      <c r="BL2">
        <f>IFERROR(INDEX('_names_lookup'!$C:$C,MATCH(BK2,'_names_lookup'!$A:$A,0)),"")</f>
        <v/>
      </c>
      <c r="BM2">
        <f>IFERROR(INDEX('_names_lookup'!$B:$B,MATCH(BK2,'_names_lookup'!$A:$A,0)),"")</f>
        <v/>
      </c>
      <c r="BS2">
        <f>IFERROR(IF(BR2*AA2=0,"",BR2*AA2),"")</f>
        <v/>
      </c>
    </row>
    <row r="3">
      <c r="O3">
        <f>IFERROR(INDEX('_courses_lookup'!$C:$C,MATCH(K3&amp;L3,'_courses_lookup'!$E:$E,0)),"")</f>
        <v/>
      </c>
      <c r="P3">
        <f>IFERROR(INDEX('_courses_lookup'!$D:$D,MATCH(K3&amp;L3,'_courses_lookup'!$E:$E,0)),"")</f>
        <v/>
      </c>
      <c r="AG3">
        <f>IF(AND(AE3&lt;&gt;"",AF3&lt;&gt;""),ROUNDUP((AF3-AE3)/7,0),"")</f>
        <v/>
      </c>
      <c r="AI3">
        <f>IFERROR(IF(AG3*AH3=0,"",AG3*AH3),"")</f>
        <v/>
      </c>
      <c r="AL3">
        <f>IF(AND(AJ3&lt;&gt;"",AK3&lt;&gt;""),ROUNDUP((AK3-AJ3)/7,0),"")</f>
        <v/>
      </c>
      <c r="AN3">
        <f>IFERROR(IF(AL3*AM3=0,"",AL3*AM3),"")</f>
        <v/>
      </c>
      <c r="AQ3">
        <f>IF(AND(AO3&lt;&gt;"",AP3&lt;&gt;""),ROUNDUP((AP3-AO3)/7,0),"")</f>
        <v/>
      </c>
      <c r="AR3">
        <f>IFERROR(IF((AU3-(AI3+AN3))/AQ3=0,"",ROUNDUP((AU3-(AI3+AN3))/AQ3,0)),"")</f>
        <v/>
      </c>
      <c r="AS3">
        <f>IFERROR(IF((AU3-(AI3+AN3))=0,"",(AU3-(AI3+AN3))),"")</f>
        <v/>
      </c>
      <c r="AT3">
        <f>IF(AND(AG3="",AQ3=""),AL3,IF(SUM(AG3,AL3,AQ3)=0,"",SUM(AG3,AL3,AQ3)))</f>
        <v/>
      </c>
      <c r="BG3">
        <f>IF(AD3="","",YEAR(AD3)+IF(MONTH(AD3)&gt;=5,1,0))</f>
        <v/>
      </c>
      <c r="BH3">
        <f>IF(AD3="","",IF(AND(MONTH(AD3)=8,DAY(AD3)&gt;=15),"Fall",IF(MONTH(AD3)&gt;8,"Fall",IF(MONTH(AD3)=5,"Summer",IF(MONTH(AD3)=1,"Spring","")))))</f>
        <v/>
      </c>
      <c r="BL3">
        <f>IFERROR(INDEX('_names_lookup'!$C:$C,MATCH(BK3,'_names_lookup'!$A:$A,0)),"")</f>
        <v/>
      </c>
      <c r="BM3">
        <f>IFERROR(INDEX('_names_lookup'!$B:$B,MATCH(BK3,'_names_lookup'!$A:$A,0)),"")</f>
        <v/>
      </c>
      <c r="BS3">
        <f>IFERROR(IF(BR3*AA3=0,"",BR3*AA3),"")</f>
        <v/>
      </c>
    </row>
    <row r="4">
      <c r="O4">
        <f>IFERROR(INDEX('_courses_lookup'!$C:$C,MATCH(K4&amp;L4,'_courses_lookup'!$E:$E,0)),"")</f>
        <v/>
      </c>
      <c r="P4">
        <f>IFERROR(INDEX('_courses_lookup'!$D:$D,MATCH(K4&amp;L4,'_courses_lookup'!$E:$E,0)),"")</f>
        <v/>
      </c>
      <c r="AG4">
        <f>IF(AND(AE4&lt;&gt;"",AF4&lt;&gt;""),ROUNDUP((AF4-AE4)/7,0),"")</f>
        <v/>
      </c>
      <c r="AI4">
        <f>IFERROR(IF(AG4*AH4=0,"",AG4*AH4),"")</f>
        <v/>
      </c>
      <c r="AL4">
        <f>IF(AND(AJ4&lt;&gt;"",AK4&lt;&gt;""),ROUNDUP((AK4-AJ4)/7,0),"")</f>
        <v/>
      </c>
      <c r="AN4">
        <f>IFERROR(IF(AL4*AM4=0,"",AL4*AM4),"")</f>
        <v/>
      </c>
      <c r="AQ4">
        <f>IF(AND(AO4&lt;&gt;"",AP4&lt;&gt;""),ROUNDUP((AP4-AO4)/7,0),"")</f>
        <v/>
      </c>
      <c r="AR4">
        <f>IFERROR(IF((AU4-(AI4+AN4))/AQ4=0,"",ROUNDUP((AU4-(AI4+AN4))/AQ4,0)),"")</f>
        <v/>
      </c>
      <c r="AS4">
        <f>IFERROR(IF((AU4-(AI4+AN4))=0,"",(AU4-(AI4+AN4))),"")</f>
        <v/>
      </c>
      <c r="AT4">
        <f>IF(AND(AG4="",AQ4=""),AL4,IF(SUM(AG4,AL4,AQ4)=0,"",SUM(AG4,AL4,AQ4)))</f>
        <v/>
      </c>
      <c r="BG4">
        <f>IF(AD4="","",YEAR(AD4)+IF(MONTH(AD4)&gt;=5,1,0))</f>
        <v/>
      </c>
      <c r="BH4">
        <f>IF(AD4="","",IF(AND(MONTH(AD4)=8,DAY(AD4)&gt;=15),"Fall",IF(MONTH(AD4)&gt;8,"Fall",IF(MONTH(AD4)=5,"Summer",IF(MONTH(AD4)=1,"Spring","")))))</f>
        <v/>
      </c>
      <c r="BL4">
        <f>IFERROR(INDEX('_names_lookup'!$C:$C,MATCH(BK4,'_names_lookup'!$A:$A,0)),"")</f>
        <v/>
      </c>
      <c r="BM4">
        <f>IFERROR(INDEX('_names_lookup'!$B:$B,MATCH(BK4,'_names_lookup'!$A:$A,0)),"")</f>
        <v/>
      </c>
      <c r="BS4">
        <f>IFERROR(IF(BR4*AA4=0,"",BR4*AA4),"")</f>
        <v/>
      </c>
    </row>
    <row r="5">
      <c r="O5">
        <f>IFERROR(INDEX('_courses_lookup'!$C:$C,MATCH(K5&amp;L5,'_courses_lookup'!$E:$E,0)),"")</f>
        <v/>
      </c>
      <c r="P5">
        <f>IFERROR(INDEX('_courses_lookup'!$D:$D,MATCH(K5&amp;L5,'_courses_lookup'!$E:$E,0)),"")</f>
        <v/>
      </c>
      <c r="AG5">
        <f>IF(AND(AE5&lt;&gt;"",AF5&lt;&gt;""),ROUNDUP((AF5-AE5)/7,0),"")</f>
        <v/>
      </c>
      <c r="AI5">
        <f>IFERROR(IF(AG5*AH5=0,"",AG5*AH5),"")</f>
        <v/>
      </c>
      <c r="AL5">
        <f>IF(AND(AJ5&lt;&gt;"",AK5&lt;&gt;""),ROUNDUP((AK5-AJ5)/7,0),"")</f>
        <v/>
      </c>
      <c r="AN5">
        <f>IFERROR(IF(AL5*AM5=0,"",AL5*AM5),"")</f>
        <v/>
      </c>
      <c r="AQ5">
        <f>IF(AND(AO5&lt;&gt;"",AP5&lt;&gt;""),ROUNDUP((AP5-AO5)/7,0),"")</f>
        <v/>
      </c>
      <c r="AR5">
        <f>IFERROR(IF((AU5-(AI5+AN5))/AQ5=0,"",ROUNDUP((AU5-(AI5+AN5))/AQ5,0)),"")</f>
        <v/>
      </c>
      <c r="AS5">
        <f>IFERROR(IF((AU5-(AI5+AN5))=0,"",(AU5-(AI5+AN5))),"")</f>
        <v/>
      </c>
      <c r="AT5">
        <f>IF(AND(AG5="",AQ5=""),AL5,IF(SUM(AG5,AL5,AQ5)=0,"",SUM(AG5,AL5,AQ5)))</f>
        <v/>
      </c>
      <c r="BG5">
        <f>IF(AD5="","",YEAR(AD5)+IF(MONTH(AD5)&gt;=5,1,0))</f>
        <v/>
      </c>
      <c r="BH5">
        <f>IF(AD5="","",IF(AND(MONTH(AD5)=8,DAY(AD5)&gt;=15),"Fall",IF(MONTH(AD5)&gt;8,"Fall",IF(MONTH(AD5)=5,"Summer",IF(MONTH(AD5)=1,"Spring","")))))</f>
        <v/>
      </c>
      <c r="BL5">
        <f>IFERROR(INDEX('_names_lookup'!$C:$C,MATCH(BK5,'_names_lookup'!$A:$A,0)),"")</f>
        <v/>
      </c>
      <c r="BM5">
        <f>IFERROR(INDEX('_names_lookup'!$B:$B,MATCH(BK5,'_names_lookup'!$A:$A,0)),"")</f>
        <v/>
      </c>
      <c r="BS5">
        <f>IFERROR(IF(BR5*AA5=0,"",BR5*AA5),"")</f>
        <v/>
      </c>
    </row>
    <row r="6">
      <c r="O6">
        <f>IFERROR(INDEX('_courses_lookup'!$C:$C,MATCH(K6&amp;L6,'_courses_lookup'!$E:$E,0)),"")</f>
        <v/>
      </c>
      <c r="P6">
        <f>IFERROR(INDEX('_courses_lookup'!$D:$D,MATCH(K6&amp;L6,'_courses_lookup'!$E:$E,0)),"")</f>
        <v/>
      </c>
      <c r="AG6">
        <f>IF(AND(AE6&lt;&gt;"",AF6&lt;&gt;""),ROUNDUP((AF6-AE6)/7,0),"")</f>
        <v/>
      </c>
      <c r="AI6">
        <f>IFERROR(IF(AG6*AH6=0,"",AG6*AH6),"")</f>
        <v/>
      </c>
      <c r="AL6">
        <f>IF(AND(AJ6&lt;&gt;"",AK6&lt;&gt;""),ROUNDUP((AK6-AJ6)/7,0),"")</f>
        <v/>
      </c>
      <c r="AN6">
        <f>IFERROR(IF(AL6*AM6=0,"",AL6*AM6),"")</f>
        <v/>
      </c>
      <c r="AQ6">
        <f>IF(AND(AO6&lt;&gt;"",AP6&lt;&gt;""),ROUNDUP((AP6-AO6)/7,0),"")</f>
        <v/>
      </c>
      <c r="AR6">
        <f>IFERROR(IF((AU6-(AI6+AN6))/AQ6=0,"",ROUNDUP((AU6-(AI6+AN6))/AQ6,0)),"")</f>
        <v/>
      </c>
      <c r="AS6">
        <f>IFERROR(IF((AU6-(AI6+AN6))=0,"",(AU6-(AI6+AN6))),"")</f>
        <v/>
      </c>
      <c r="AT6">
        <f>IF(AND(AG6="",AQ6=""),AL6,IF(SUM(AG6,AL6,AQ6)=0,"",SUM(AG6,AL6,AQ6)))</f>
        <v/>
      </c>
      <c r="BG6">
        <f>IF(AD6="","",YEAR(AD6)+IF(MONTH(AD6)&gt;=5,1,0))</f>
        <v/>
      </c>
      <c r="BH6">
        <f>IF(AD6="","",IF(AND(MONTH(AD6)=8,DAY(AD6)&gt;=15),"Fall",IF(MONTH(AD6)&gt;8,"Fall",IF(MONTH(AD6)=5,"Summer",IF(MONTH(AD6)=1,"Spring","")))))</f>
        <v/>
      </c>
      <c r="BL6">
        <f>IFERROR(INDEX('_names_lookup'!$C:$C,MATCH(BK6,'_names_lookup'!$A:$A,0)),"")</f>
        <v/>
      </c>
      <c r="BM6">
        <f>IFERROR(INDEX('_names_lookup'!$B:$B,MATCH(BK6,'_names_lookup'!$A:$A,0)),"")</f>
        <v/>
      </c>
      <c r="BS6">
        <f>IFERROR(IF(BR6*AA6=0,"",BR6*AA6),"")</f>
        <v/>
      </c>
    </row>
    <row r="7">
      <c r="O7">
        <f>IFERROR(INDEX('_courses_lookup'!$C:$C,MATCH(K7&amp;L7,'_courses_lookup'!$E:$E,0)),"")</f>
        <v/>
      </c>
      <c r="P7">
        <f>IFERROR(INDEX('_courses_lookup'!$D:$D,MATCH(K7&amp;L7,'_courses_lookup'!$E:$E,0)),"")</f>
        <v/>
      </c>
      <c r="AG7">
        <f>IF(AND(AE7&lt;&gt;"",AF7&lt;&gt;""),ROUNDUP((AF7-AE7)/7,0),"")</f>
        <v/>
      </c>
      <c r="AI7">
        <f>IFERROR(IF(AG7*AH7=0,"",AG7*AH7),"")</f>
        <v/>
      </c>
      <c r="AL7">
        <f>IF(AND(AJ7&lt;&gt;"",AK7&lt;&gt;""),ROUNDUP((AK7-AJ7)/7,0),"")</f>
        <v/>
      </c>
      <c r="AN7">
        <f>IFERROR(IF(AL7*AM7=0,"",AL7*AM7),"")</f>
        <v/>
      </c>
      <c r="AQ7">
        <f>IF(AND(AO7&lt;&gt;"",AP7&lt;&gt;""),ROUNDUP((AP7-AO7)/7,0),"")</f>
        <v/>
      </c>
      <c r="AR7">
        <f>IFERROR(IF((AU7-(AI7+AN7))/AQ7=0,"",ROUNDUP((AU7-(AI7+AN7))/AQ7,0)),"")</f>
        <v/>
      </c>
      <c r="AS7">
        <f>IFERROR(IF((AU7-(AI7+AN7))=0,"",(AU7-(AI7+AN7))),"")</f>
        <v/>
      </c>
      <c r="AT7">
        <f>IF(AND(AG7="",AQ7=""),AL7,IF(SUM(AG7,AL7,AQ7)=0,"",SUM(AG7,AL7,AQ7)))</f>
        <v/>
      </c>
      <c r="BG7">
        <f>IF(AD7="","",YEAR(AD7)+IF(MONTH(AD7)&gt;=5,1,0))</f>
        <v/>
      </c>
      <c r="BH7">
        <f>IF(AD7="","",IF(AND(MONTH(AD7)=8,DAY(AD7)&gt;=15),"Fall",IF(MONTH(AD7)&gt;8,"Fall",IF(MONTH(AD7)=5,"Summer",IF(MONTH(AD7)=1,"Spring","")))))</f>
        <v/>
      </c>
      <c r="BL7">
        <f>IFERROR(INDEX('_names_lookup'!$C:$C,MATCH(BK7,'_names_lookup'!$A:$A,0)),"")</f>
        <v/>
      </c>
      <c r="BM7">
        <f>IFERROR(INDEX('_names_lookup'!$B:$B,MATCH(BK7,'_names_lookup'!$A:$A,0)),"")</f>
        <v/>
      </c>
      <c r="BS7">
        <f>IFERROR(IF(BR7*AA7=0,"",BR7*AA7),"")</f>
        <v/>
      </c>
    </row>
    <row r="8">
      <c r="O8">
        <f>IFERROR(INDEX('_courses_lookup'!$C:$C,MATCH(K8&amp;L8,'_courses_lookup'!$E:$E,0)),"")</f>
        <v/>
      </c>
      <c r="P8">
        <f>IFERROR(INDEX('_courses_lookup'!$D:$D,MATCH(K8&amp;L8,'_courses_lookup'!$E:$E,0)),"")</f>
        <v/>
      </c>
      <c r="AG8">
        <f>IF(AND(AE8&lt;&gt;"",AF8&lt;&gt;""),ROUNDUP((AF8-AE8)/7,0),"")</f>
        <v/>
      </c>
      <c r="AI8">
        <f>IFERROR(IF(AG8*AH8=0,"",AG8*AH8),"")</f>
        <v/>
      </c>
      <c r="AL8">
        <f>IF(AND(AJ8&lt;&gt;"",AK8&lt;&gt;""),ROUNDUP((AK8-AJ8)/7,0),"")</f>
        <v/>
      </c>
      <c r="AN8">
        <f>IFERROR(IF(AL8*AM8=0,"",AL8*AM8),"")</f>
        <v/>
      </c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L8">
        <f>IFERROR(INDEX('_names_lookup'!$C:$C,MATCH(BK8,'_names_lookup'!$A:$A,0)),"")</f>
        <v/>
      </c>
      <c r="BM8">
        <f>IFERROR(INDEX('_names_lookup'!$B:$B,MATCH(BK8,'_names_lookup'!$A:$A,0)),"")</f>
        <v/>
      </c>
      <c r="BS8">
        <f>IFERROR(IF(BR8*AA8=0,"",BR8*AA8),"")</f>
        <v/>
      </c>
    </row>
    <row r="9">
      <c r="O9">
        <f>IFERROR(INDEX('_courses_lookup'!$C:$C,MATCH(K9&amp;L9,'_courses_lookup'!$E:$E,0)),"")</f>
        <v/>
      </c>
      <c r="P9">
        <f>IFERROR(INDEX('_courses_lookup'!$D:$D,MATCH(K9&amp;L9,'_courses_lookup'!$E:$E,0)),"")</f>
        <v/>
      </c>
      <c r="AG9">
        <f>IF(AND(AE9&lt;&gt;"",AF9&lt;&gt;""),ROUNDUP((AF9-AE9)/7,0),"")</f>
        <v/>
      </c>
      <c r="AI9">
        <f>IFERROR(IF(AG9*AH9=0,"",AG9*AH9),"")</f>
        <v/>
      </c>
      <c r="AL9">
        <f>IF(AND(AJ9&lt;&gt;"",AK9&lt;&gt;""),ROUNDUP((AK9-AJ9)/7,0),"")</f>
        <v/>
      </c>
      <c r="AN9">
        <f>IFERROR(IF(AL9*AM9=0,"",AL9*AM9),"")</f>
        <v/>
      </c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L9">
        <f>IFERROR(INDEX('_names_lookup'!$C:$C,MATCH(BK9,'_names_lookup'!$A:$A,0)),"")</f>
        <v/>
      </c>
      <c r="BM9">
        <f>IFERROR(INDEX('_names_lookup'!$B:$B,MATCH(BK9,'_names_lookup'!$A:$A,0)),"")</f>
        <v/>
      </c>
      <c r="BS9">
        <f>IFERROR(IF(BR9*AA9=0,"",BR9*AA9),"")</f>
        <v/>
      </c>
    </row>
    <row r="10">
      <c r="O10">
        <f>IFERROR(INDEX('_courses_lookup'!$C:$C,MATCH(K10&amp;L10,'_courses_lookup'!$E:$E,0)),"")</f>
        <v/>
      </c>
      <c r="P10">
        <f>IFERROR(INDEX('_courses_lookup'!$D:$D,MATCH(K10&amp;L10,'_courses_lookup'!$E:$E,0)),"")</f>
        <v/>
      </c>
      <c r="AG10">
        <f>IF(AND(AE10&lt;&gt;"",AF10&lt;&gt;""),ROUNDUP((AF10-AE10)/7,0),"")</f>
        <v/>
      </c>
      <c r="AI10">
        <f>IFERROR(IF(AG10*AH10=0,"",AG10*AH10),"")</f>
        <v/>
      </c>
      <c r="AL10">
        <f>IF(AND(AJ10&lt;&gt;"",AK10&lt;&gt;""),ROUNDUP((AK10-AJ10)/7,0),"")</f>
        <v/>
      </c>
      <c r="AN10">
        <f>IFERROR(IF(AL10*AM10=0,"",AL10*AM10),"")</f>
        <v/>
      </c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L10">
        <f>IFERROR(INDEX('_names_lookup'!$C:$C,MATCH(BK10,'_names_lookup'!$A:$A,0)),"")</f>
        <v/>
      </c>
      <c r="BM10">
        <f>IFERROR(INDEX('_names_lookup'!$B:$B,MATCH(BK10,'_names_lookup'!$A:$A,0)),"")</f>
        <v/>
      </c>
      <c r="BS10">
        <f>IFERROR(IF(BR10*AA10=0,"",BR10*AA10),"")</f>
        <v/>
      </c>
    </row>
    <row r="11">
      <c r="O11">
        <f>IFERROR(INDEX('_courses_lookup'!$C:$C,MATCH(K11&amp;L11,'_courses_lookup'!$E:$E,0)),"")</f>
        <v/>
      </c>
      <c r="P11">
        <f>IFERROR(INDEX('_courses_lookup'!$D:$D,MATCH(K11&amp;L11,'_courses_lookup'!$E:$E,0)),"")</f>
        <v/>
      </c>
      <c r="AG11">
        <f>IF(AND(AE11&lt;&gt;"",AF11&lt;&gt;""),ROUNDUP((AF11-AE11)/7,0),"")</f>
        <v/>
      </c>
      <c r="AI11">
        <f>IFERROR(IF(AG11*AH11=0,"",AG11*AH11),"")</f>
        <v/>
      </c>
      <c r="AL11">
        <f>IF(AND(AJ11&lt;&gt;"",AK11&lt;&gt;""),ROUNDUP((AK11-AJ11)/7,0),"")</f>
        <v/>
      </c>
      <c r="AN11">
        <f>IFERROR(IF(AL11*AM11=0,"",AL11*AM11),"")</f>
        <v/>
      </c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L11">
        <f>IFERROR(INDEX('_names_lookup'!$C:$C,MATCH(BK11,'_names_lookup'!$A:$A,0)),"")</f>
        <v/>
      </c>
      <c r="BM11">
        <f>IFERROR(INDEX('_names_lookup'!$B:$B,MATCH(BK11,'_names_lookup'!$A:$A,0)),"")</f>
        <v/>
      </c>
      <c r="BS11">
        <f>IFERROR(IF(BR11*AA11=0,"",BR11*AA11),"")</f>
        <v/>
      </c>
    </row>
    <row r="12">
      <c r="O12">
        <f>IFERROR(INDEX('_courses_lookup'!$C:$C,MATCH(K12&amp;L12,'_courses_lookup'!$E:$E,0)),"")</f>
        <v/>
      </c>
      <c r="P12">
        <f>IFERROR(INDEX('_courses_lookup'!$D:$D,MATCH(K12&amp;L12,'_courses_lookup'!$E:$E,0)),"")</f>
        <v/>
      </c>
      <c r="AG12">
        <f>IF(AND(AE12&lt;&gt;"",AF12&lt;&gt;""),ROUNDUP((AF12-AE12)/7,0),"")</f>
        <v/>
      </c>
      <c r="AI12">
        <f>IFERROR(IF(AG12*AH12=0,"",AG12*AH12),"")</f>
        <v/>
      </c>
      <c r="AL12">
        <f>IF(AND(AJ12&lt;&gt;"",AK12&lt;&gt;""),ROUNDUP((AK12-AJ12)/7,0),"")</f>
        <v/>
      </c>
      <c r="AN12">
        <f>IFERROR(IF(AL12*AM12=0,"",AL12*AM12),"")</f>
        <v/>
      </c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L12">
        <f>IFERROR(INDEX('_names_lookup'!$C:$C,MATCH(BK12,'_names_lookup'!$A:$A,0)),"")</f>
        <v/>
      </c>
      <c r="BM12">
        <f>IFERROR(INDEX('_names_lookup'!$B:$B,MATCH(BK12,'_names_lookup'!$A:$A,0)),"")</f>
        <v/>
      </c>
      <c r="BS12">
        <f>IFERROR(IF(BR12*AA12=0,"",BR12*AA12),"")</f>
        <v/>
      </c>
    </row>
    <row r="13">
      <c r="O13">
        <f>IFERROR(INDEX('_courses_lookup'!$C:$C,MATCH(K13&amp;L13,'_courses_lookup'!$E:$E,0)),"")</f>
        <v/>
      </c>
      <c r="P13">
        <f>IFERROR(INDEX('_courses_lookup'!$D:$D,MATCH(K13&amp;L13,'_courses_lookup'!$E:$E,0)),"")</f>
        <v/>
      </c>
      <c r="AG13">
        <f>IF(AND(AE13&lt;&gt;"",AF13&lt;&gt;""),ROUNDUP((AF13-AE13)/7,0),"")</f>
        <v/>
      </c>
      <c r="AI13">
        <f>IFERROR(IF(AG13*AH13=0,"",AG13*AH13),"")</f>
        <v/>
      </c>
      <c r="AL13">
        <f>IF(AND(AJ13&lt;&gt;"",AK13&lt;&gt;""),ROUNDUP((AK13-AJ13)/7,0),"")</f>
        <v/>
      </c>
      <c r="AN13">
        <f>IFERROR(IF(AL13*AM13=0,"",AL13*AM13),"")</f>
        <v/>
      </c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L13">
        <f>IFERROR(INDEX('_names_lookup'!$C:$C,MATCH(BK13,'_names_lookup'!$A:$A,0)),"")</f>
        <v/>
      </c>
      <c r="BM13">
        <f>IFERROR(INDEX('_names_lookup'!$B:$B,MATCH(BK13,'_names_lookup'!$A:$A,0)),"")</f>
        <v/>
      </c>
      <c r="BS13">
        <f>IFERROR(IF(BR13*AA13=0,"",BR13*AA13),"")</f>
        <v/>
      </c>
    </row>
    <row r="14">
      <c r="O14">
        <f>IFERROR(INDEX('_courses_lookup'!$C:$C,MATCH(K14&amp;L14,'_courses_lookup'!$E:$E,0)),"")</f>
        <v/>
      </c>
      <c r="P14">
        <f>IFERROR(INDEX('_courses_lookup'!$D:$D,MATCH(K14&amp;L14,'_courses_lookup'!$E:$E,0)),"")</f>
        <v/>
      </c>
      <c r="AG14">
        <f>IF(AND(AE14&lt;&gt;"",AF14&lt;&gt;""),ROUNDUP((AF14-AE14)/7,0),"")</f>
        <v/>
      </c>
      <c r="AI14">
        <f>IFERROR(IF(AG14*AH14=0,"",AG14*AH14),"")</f>
        <v/>
      </c>
      <c r="AL14">
        <f>IF(AND(AJ14&lt;&gt;"",AK14&lt;&gt;""),ROUNDUP((AK14-AJ14)/7,0),"")</f>
        <v/>
      </c>
      <c r="AN14">
        <f>IFERROR(IF(AL14*AM14=0,"",AL14*AM14),"")</f>
        <v/>
      </c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L14">
        <f>IFERROR(INDEX('_names_lookup'!$C:$C,MATCH(BK14,'_names_lookup'!$A:$A,0)),"")</f>
        <v/>
      </c>
      <c r="BM14">
        <f>IFERROR(INDEX('_names_lookup'!$B:$B,MATCH(BK14,'_names_lookup'!$A:$A,0)),"")</f>
        <v/>
      </c>
      <c r="BS14">
        <f>IFERROR(IF(BR14*AA14=0,"",BR14*AA14),"")</f>
        <v/>
      </c>
    </row>
    <row r="15">
      <c r="O15">
        <f>IFERROR(INDEX('_courses_lookup'!$C:$C,MATCH(K15&amp;L15,'_courses_lookup'!$E:$E,0)),"")</f>
        <v/>
      </c>
      <c r="P15">
        <f>IFERROR(INDEX('_courses_lookup'!$D:$D,MATCH(K15&amp;L15,'_courses_lookup'!$E:$E,0)),"")</f>
        <v/>
      </c>
      <c r="AG15">
        <f>IF(AND(AE15&lt;&gt;"",AF15&lt;&gt;""),ROUNDUP((AF15-AE15)/7,0),"")</f>
        <v/>
      </c>
      <c r="AI15">
        <f>IFERROR(IF(AG15*AH15=0,"",AG15*AH15),"")</f>
        <v/>
      </c>
      <c r="AL15">
        <f>IF(AND(AJ15&lt;&gt;"",AK15&lt;&gt;""),ROUNDUP((AK15-AJ15)/7,0),"")</f>
        <v/>
      </c>
      <c r="AN15">
        <f>IFERROR(IF(AL15*AM15=0,"",AL15*AM15),"")</f>
        <v/>
      </c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L15">
        <f>IFERROR(INDEX('_names_lookup'!$C:$C,MATCH(BK15,'_names_lookup'!$A:$A,0)),"")</f>
        <v/>
      </c>
      <c r="BM15">
        <f>IFERROR(INDEX('_names_lookup'!$B:$B,MATCH(BK15,'_names_lookup'!$A:$A,0)),"")</f>
        <v/>
      </c>
      <c r="BS15">
        <f>IFERROR(IF(BR15*AA15=0,"",BR15*AA15),"")</f>
        <v/>
      </c>
    </row>
    <row r="16">
      <c r="O16">
        <f>IFERROR(INDEX('_courses_lookup'!$C:$C,MATCH(K16&amp;L16,'_courses_lookup'!$E:$E,0)),"")</f>
        <v/>
      </c>
      <c r="P16">
        <f>IFERROR(INDEX('_courses_lookup'!$D:$D,MATCH(K16&amp;L16,'_courses_lookup'!$E:$E,0)),"")</f>
        <v/>
      </c>
      <c r="AG16">
        <f>IF(AND(AE16&lt;&gt;"",AF16&lt;&gt;""),ROUNDUP((AF16-AE16)/7,0),"")</f>
        <v/>
      </c>
      <c r="AI16">
        <f>IFERROR(IF(AG16*AH16=0,"",AG16*AH16),"")</f>
        <v/>
      </c>
      <c r="AL16">
        <f>IF(AND(AJ16&lt;&gt;"",AK16&lt;&gt;""),ROUNDUP((AK16-AJ16)/7,0),"")</f>
        <v/>
      </c>
      <c r="AN16">
        <f>IFERROR(IF(AL16*AM16=0,"",AL16*AM16),"")</f>
        <v/>
      </c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L16">
        <f>IFERROR(INDEX('_names_lookup'!$C:$C,MATCH(BK16,'_names_lookup'!$A:$A,0)),"")</f>
        <v/>
      </c>
      <c r="BM16">
        <f>IFERROR(INDEX('_names_lookup'!$B:$B,MATCH(BK16,'_names_lookup'!$A:$A,0)),"")</f>
        <v/>
      </c>
      <c r="BS16">
        <f>IFERROR(IF(BR16*AA16=0,"",BR16*AA16),"")</f>
        <v/>
      </c>
    </row>
    <row r="17">
      <c r="O17">
        <f>IFERROR(INDEX('_courses_lookup'!$C:$C,MATCH(K17&amp;L17,'_courses_lookup'!$E:$E,0)),"")</f>
        <v/>
      </c>
      <c r="P17">
        <f>IFERROR(INDEX('_courses_lookup'!$D:$D,MATCH(K17&amp;L17,'_courses_lookup'!$E:$E,0)),"")</f>
        <v/>
      </c>
      <c r="AG17">
        <f>IF(AND(AE17&lt;&gt;"",AF17&lt;&gt;""),ROUNDUP((AF17-AE17)/7,0),"")</f>
        <v/>
      </c>
      <c r="AI17">
        <f>IFERROR(IF(AG17*AH17=0,"",AG17*AH17),"")</f>
        <v/>
      </c>
      <c r="AL17">
        <f>IF(AND(AJ17&lt;&gt;"",AK17&lt;&gt;""),ROUNDUP((AK17-AJ17)/7,0),"")</f>
        <v/>
      </c>
      <c r="AN17">
        <f>IFERROR(IF(AL17*AM17=0,"",AL17*AM17),"")</f>
        <v/>
      </c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L17">
        <f>IFERROR(INDEX('_names_lookup'!$C:$C,MATCH(BK17,'_names_lookup'!$A:$A,0)),"")</f>
        <v/>
      </c>
      <c r="BM17">
        <f>IFERROR(INDEX('_names_lookup'!$B:$B,MATCH(BK17,'_names_lookup'!$A:$A,0)),"")</f>
        <v/>
      </c>
      <c r="BS17">
        <f>IFERROR(IF(BR17*AA17=0,"",BR17*AA17),"")</f>
        <v/>
      </c>
    </row>
    <row r="18">
      <c r="O18">
        <f>IFERROR(INDEX('_courses_lookup'!$C:$C,MATCH(K18&amp;L18,'_courses_lookup'!$E:$E,0)),"")</f>
        <v/>
      </c>
      <c r="P18">
        <f>IFERROR(INDEX('_courses_lookup'!$D:$D,MATCH(K18&amp;L18,'_courses_lookup'!$E:$E,0)),"")</f>
        <v/>
      </c>
      <c r="AG18">
        <f>IF(AND(AE18&lt;&gt;"",AF18&lt;&gt;""),ROUNDUP((AF18-AE18)/7,0),"")</f>
        <v/>
      </c>
      <c r="AI18">
        <f>IFERROR(IF(AG18*AH18=0,"",AG18*AH18),"")</f>
        <v/>
      </c>
      <c r="AL18">
        <f>IF(AND(AJ18&lt;&gt;"",AK18&lt;&gt;""),ROUNDUP((AK18-AJ18)/7,0),"")</f>
        <v/>
      </c>
      <c r="AN18">
        <f>IFERROR(IF(AL18*AM18=0,"",AL18*AM18),"")</f>
        <v/>
      </c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L18">
        <f>IFERROR(INDEX('_names_lookup'!$C:$C,MATCH(BK18,'_names_lookup'!$A:$A,0)),"")</f>
        <v/>
      </c>
      <c r="BM18">
        <f>IFERROR(INDEX('_names_lookup'!$B:$B,MATCH(BK18,'_names_lookup'!$A:$A,0)),"")</f>
        <v/>
      </c>
      <c r="BS18">
        <f>IFERROR(IF(BR18*AA18=0,"",BR18*AA18),"")</f>
        <v/>
      </c>
    </row>
    <row r="19">
      <c r="O19">
        <f>IFERROR(INDEX('_courses_lookup'!$C:$C,MATCH(K19&amp;L19,'_courses_lookup'!$E:$E,0)),"")</f>
        <v/>
      </c>
      <c r="P19">
        <f>IFERROR(INDEX('_courses_lookup'!$D:$D,MATCH(K19&amp;L19,'_courses_lookup'!$E:$E,0)),"")</f>
        <v/>
      </c>
      <c r="AG19">
        <f>IF(AND(AE19&lt;&gt;"",AF19&lt;&gt;""),ROUNDUP((AF19-AE19)/7,0),"")</f>
        <v/>
      </c>
      <c r="AI19">
        <f>IFERROR(IF(AG19*AH19=0,"",AG19*AH19),"")</f>
        <v/>
      </c>
      <c r="AL19">
        <f>IF(AND(AJ19&lt;&gt;"",AK19&lt;&gt;""),ROUNDUP((AK19-AJ19)/7,0),"")</f>
        <v/>
      </c>
      <c r="AN19">
        <f>IFERROR(IF(AL19*AM19=0,"",AL19*AM19),"")</f>
        <v/>
      </c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L19">
        <f>IFERROR(INDEX('_names_lookup'!$C:$C,MATCH(BK19,'_names_lookup'!$A:$A,0)),"")</f>
        <v/>
      </c>
      <c r="BM19">
        <f>IFERROR(INDEX('_names_lookup'!$B:$B,MATCH(BK19,'_names_lookup'!$A:$A,0)),"")</f>
        <v/>
      </c>
      <c r="BS19">
        <f>IFERROR(IF(BR19*AA19=0,"",BR19*AA19),"")</f>
        <v/>
      </c>
    </row>
    <row r="20">
      <c r="O20">
        <f>IFERROR(INDEX('_courses_lookup'!$C:$C,MATCH(K20&amp;L20,'_courses_lookup'!$E:$E,0)),"")</f>
        <v/>
      </c>
      <c r="P20">
        <f>IFERROR(INDEX('_courses_lookup'!$D:$D,MATCH(K20&amp;L20,'_courses_lookup'!$E:$E,0)),"")</f>
        <v/>
      </c>
      <c r="AG20">
        <f>IF(AND(AE20&lt;&gt;"",AF20&lt;&gt;""),ROUNDUP((AF20-AE20)/7,0),"")</f>
        <v/>
      </c>
      <c r="AI20">
        <f>IFERROR(IF(AG20*AH20=0,"",AG20*AH20),"")</f>
        <v/>
      </c>
      <c r="AL20">
        <f>IF(AND(AJ20&lt;&gt;"",AK20&lt;&gt;""),ROUNDUP((AK20-AJ20)/7,0),"")</f>
        <v/>
      </c>
      <c r="AN20">
        <f>IFERROR(IF(AL20*AM20=0,"",AL20*AM20),"")</f>
        <v/>
      </c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L20">
        <f>IFERROR(INDEX('_names_lookup'!$C:$C,MATCH(BK20,'_names_lookup'!$A:$A,0)),"")</f>
        <v/>
      </c>
      <c r="BM20">
        <f>IFERROR(INDEX('_names_lookup'!$B:$B,MATCH(BK20,'_names_lookup'!$A:$A,0)),"")</f>
        <v/>
      </c>
      <c r="BS20">
        <f>IFERROR(IF(BR20*AA20=0,"",BR20*AA20),"")</f>
        <v/>
      </c>
    </row>
    <row r="21">
      <c r="O21">
        <f>IFERROR(INDEX('_courses_lookup'!$C:$C,MATCH(K21&amp;L21,'_courses_lookup'!$E:$E,0)),"")</f>
        <v/>
      </c>
      <c r="P21">
        <f>IFERROR(INDEX('_courses_lookup'!$D:$D,MATCH(K21&amp;L21,'_courses_lookup'!$E:$E,0)),"")</f>
        <v/>
      </c>
      <c r="AG21">
        <f>IF(AND(AE21&lt;&gt;"",AF21&lt;&gt;""),ROUNDUP((AF21-AE21)/7,0),"")</f>
        <v/>
      </c>
      <c r="AI21">
        <f>IFERROR(IF(AG21*AH21=0,"",AG21*AH21),"")</f>
        <v/>
      </c>
      <c r="AL21">
        <f>IF(AND(AJ21&lt;&gt;"",AK21&lt;&gt;""),ROUNDUP((AK21-AJ21)/7,0),"")</f>
        <v/>
      </c>
      <c r="AN21">
        <f>IFERROR(IF(AL21*AM21=0,"",AL21*AM21),"")</f>
        <v/>
      </c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L21">
        <f>IFERROR(INDEX('_names_lookup'!$C:$C,MATCH(BK21,'_names_lookup'!$A:$A,0)),"")</f>
        <v/>
      </c>
      <c r="BM21">
        <f>IFERROR(INDEX('_names_lookup'!$B:$B,MATCH(BK21,'_names_lookup'!$A:$A,0)),"")</f>
        <v/>
      </c>
      <c r="BS21">
        <f>IFERROR(IF(BR21*AA21=0,"",BR21*AA21),"")</f>
        <v/>
      </c>
    </row>
    <row r="22">
      <c r="O22">
        <f>IFERROR(INDEX('_courses_lookup'!$C:$C,MATCH(K22&amp;L22,'_courses_lookup'!$E:$E,0)),"")</f>
        <v/>
      </c>
      <c r="P22">
        <f>IFERROR(INDEX('_courses_lookup'!$D:$D,MATCH(K22&amp;L22,'_courses_lookup'!$E:$E,0)),"")</f>
        <v/>
      </c>
      <c r="AG22">
        <f>IF(AND(AE22&lt;&gt;"",AF22&lt;&gt;""),ROUNDUP((AF22-AE22)/7,0),"")</f>
        <v/>
      </c>
      <c r="AI22">
        <f>IFERROR(IF(AG22*AH22=0,"",AG22*AH22),"")</f>
        <v/>
      </c>
      <c r="AL22">
        <f>IF(AND(AJ22&lt;&gt;"",AK22&lt;&gt;""),ROUNDUP((AK22-AJ22)/7,0),"")</f>
        <v/>
      </c>
      <c r="AN22">
        <f>IFERROR(IF(AL22*AM22=0,"",AL22*AM22),"")</f>
        <v/>
      </c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L22">
        <f>IFERROR(INDEX('_names_lookup'!$C:$C,MATCH(BK22,'_names_lookup'!$A:$A,0)),"")</f>
        <v/>
      </c>
      <c r="BM22">
        <f>IFERROR(INDEX('_names_lookup'!$B:$B,MATCH(BK22,'_names_lookup'!$A:$A,0)),"")</f>
        <v/>
      </c>
      <c r="BS22">
        <f>IFERROR(IF(BR22*AA22=0,"",BR22*AA22),"")</f>
        <v/>
      </c>
    </row>
    <row r="23">
      <c r="O23">
        <f>IFERROR(INDEX('_courses_lookup'!$C:$C,MATCH(K23&amp;L23,'_courses_lookup'!$E:$E,0)),"")</f>
        <v/>
      </c>
      <c r="P23">
        <f>IFERROR(INDEX('_courses_lookup'!$D:$D,MATCH(K23&amp;L23,'_courses_lookup'!$E:$E,0)),"")</f>
        <v/>
      </c>
      <c r="AG23">
        <f>IF(AND(AE23&lt;&gt;"",AF23&lt;&gt;""),ROUNDUP((AF23-AE23)/7,0),"")</f>
        <v/>
      </c>
      <c r="AI23">
        <f>IFERROR(IF(AG23*AH23=0,"",AG23*AH23),"")</f>
        <v/>
      </c>
      <c r="AL23">
        <f>IF(AND(AJ23&lt;&gt;"",AK23&lt;&gt;""),ROUNDUP((AK23-AJ23)/7,0),"")</f>
        <v/>
      </c>
      <c r="AN23">
        <f>IFERROR(IF(AL23*AM23=0,"",AL23*AM23),"")</f>
        <v/>
      </c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L23">
        <f>IFERROR(INDEX('_names_lookup'!$C:$C,MATCH(BK23,'_names_lookup'!$A:$A,0)),"")</f>
        <v/>
      </c>
      <c r="BM23">
        <f>IFERROR(INDEX('_names_lookup'!$B:$B,MATCH(BK23,'_names_lookup'!$A:$A,0)),"")</f>
        <v/>
      </c>
      <c r="BS23">
        <f>IFERROR(IF(BR23*AA23=0,"",BR23*AA23),"")</f>
        <v/>
      </c>
    </row>
    <row r="24">
      <c r="O24">
        <f>IFERROR(INDEX('_courses_lookup'!$C:$C,MATCH(K24&amp;L24,'_courses_lookup'!$E:$E,0)),"")</f>
        <v/>
      </c>
      <c r="P24">
        <f>IFERROR(INDEX('_courses_lookup'!$D:$D,MATCH(K24&amp;L24,'_courses_lookup'!$E:$E,0)),"")</f>
        <v/>
      </c>
      <c r="AG24">
        <f>IF(AND(AE24&lt;&gt;"",AF24&lt;&gt;""),ROUNDUP((AF24-AE24)/7,0),"")</f>
        <v/>
      </c>
      <c r="AI24">
        <f>IFERROR(IF(AG24*AH24=0,"",AG24*AH24),"")</f>
        <v/>
      </c>
      <c r="AL24">
        <f>IF(AND(AJ24&lt;&gt;"",AK24&lt;&gt;""),ROUNDUP((AK24-AJ24)/7,0),"")</f>
        <v/>
      </c>
      <c r="AN24">
        <f>IFERROR(IF(AL24*AM24=0,"",AL24*AM24),"")</f>
        <v/>
      </c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L24">
        <f>IFERROR(INDEX('_names_lookup'!$C:$C,MATCH(BK24,'_names_lookup'!$A:$A,0)),"")</f>
        <v/>
      </c>
      <c r="BM24">
        <f>IFERROR(INDEX('_names_lookup'!$B:$B,MATCH(BK24,'_names_lookup'!$A:$A,0)),"")</f>
        <v/>
      </c>
      <c r="BS24">
        <f>IFERROR(IF(BR24*AA24=0,"",BR24*AA24),"")</f>
        <v/>
      </c>
    </row>
    <row r="25">
      <c r="O25">
        <f>IFERROR(INDEX('_courses_lookup'!$C:$C,MATCH(K25&amp;L25,'_courses_lookup'!$E:$E,0)),"")</f>
        <v/>
      </c>
      <c r="P25">
        <f>IFERROR(INDEX('_courses_lookup'!$D:$D,MATCH(K25&amp;L25,'_courses_lookup'!$E:$E,0)),"")</f>
        <v/>
      </c>
      <c r="AG25">
        <f>IF(AND(AE25&lt;&gt;"",AF25&lt;&gt;""),ROUNDUP((AF25-AE25)/7,0),"")</f>
        <v/>
      </c>
      <c r="AI25">
        <f>IFERROR(IF(AG25*AH25=0,"",AG25*AH25),"")</f>
        <v/>
      </c>
      <c r="AL25">
        <f>IF(AND(AJ25&lt;&gt;"",AK25&lt;&gt;""),ROUNDUP((AK25-AJ25)/7,0),"")</f>
        <v/>
      </c>
      <c r="AN25">
        <f>IFERROR(IF(AL25*AM25=0,"",AL25*AM25),"")</f>
        <v/>
      </c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L25">
        <f>IFERROR(INDEX('_names_lookup'!$C:$C,MATCH(BK25,'_names_lookup'!$A:$A,0)),"")</f>
        <v/>
      </c>
      <c r="BM25">
        <f>IFERROR(INDEX('_names_lookup'!$B:$B,MATCH(BK25,'_names_lookup'!$A:$A,0)),"")</f>
        <v/>
      </c>
      <c r="BS25">
        <f>IFERROR(IF(BR25*AA25=0,"",BR25*AA25),"")</f>
        <v/>
      </c>
    </row>
    <row r="26">
      <c r="O26">
        <f>IFERROR(INDEX('_courses_lookup'!$C:$C,MATCH(K26&amp;L26,'_courses_lookup'!$E:$E,0)),"")</f>
        <v/>
      </c>
      <c r="P26">
        <f>IFERROR(INDEX('_courses_lookup'!$D:$D,MATCH(K26&amp;L26,'_courses_lookup'!$E:$E,0)),"")</f>
        <v/>
      </c>
      <c r="AG26">
        <f>IF(AND(AE26&lt;&gt;"",AF26&lt;&gt;""),ROUNDUP((AF26-AE26)/7,0),"")</f>
        <v/>
      </c>
      <c r="AI26">
        <f>IFERROR(IF(AG26*AH26=0,"",AG26*AH26),"")</f>
        <v/>
      </c>
      <c r="AL26">
        <f>IF(AND(AJ26&lt;&gt;"",AK26&lt;&gt;""),ROUNDUP((AK26-AJ26)/7,0),"")</f>
        <v/>
      </c>
      <c r="AN26">
        <f>IFERROR(IF(AL26*AM26=0,"",AL26*AM26),"")</f>
        <v/>
      </c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L26">
        <f>IFERROR(INDEX('_names_lookup'!$C:$C,MATCH(BK26,'_names_lookup'!$A:$A,0)),"")</f>
        <v/>
      </c>
      <c r="BM26">
        <f>IFERROR(INDEX('_names_lookup'!$B:$B,MATCH(BK26,'_names_lookup'!$A:$A,0)),"")</f>
        <v/>
      </c>
      <c r="BS26">
        <f>IFERROR(IF(BR26*AA26=0,"",BR26*AA26),"")</f>
        <v/>
      </c>
    </row>
    <row r="27">
      <c r="O27">
        <f>IFERROR(INDEX('_courses_lookup'!$C:$C,MATCH(K27&amp;L27,'_courses_lookup'!$E:$E,0)),"")</f>
        <v/>
      </c>
      <c r="P27">
        <f>IFERROR(INDEX('_courses_lookup'!$D:$D,MATCH(K27&amp;L27,'_courses_lookup'!$E:$E,0)),"")</f>
        <v/>
      </c>
      <c r="AG27">
        <f>IF(AND(AE27&lt;&gt;"",AF27&lt;&gt;""),ROUNDUP((AF27-AE27)/7,0),"")</f>
        <v/>
      </c>
      <c r="AI27">
        <f>IFERROR(IF(AG27*AH27=0,"",AG27*AH27),"")</f>
        <v/>
      </c>
      <c r="AL27">
        <f>IF(AND(AJ27&lt;&gt;"",AK27&lt;&gt;""),ROUNDUP((AK27-AJ27)/7,0),"")</f>
        <v/>
      </c>
      <c r="AN27">
        <f>IFERROR(IF(AL27*AM27=0,"",AL27*AM27),"")</f>
        <v/>
      </c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L27">
        <f>IFERROR(INDEX('_names_lookup'!$C:$C,MATCH(BK27,'_names_lookup'!$A:$A,0)),"")</f>
        <v/>
      </c>
      <c r="BM27">
        <f>IFERROR(INDEX('_names_lookup'!$B:$B,MATCH(BK27,'_names_lookup'!$A:$A,0)),"")</f>
        <v/>
      </c>
      <c r="BS27">
        <f>IFERROR(IF(BR27*AA27=0,"",BR27*AA27),"")</f>
        <v/>
      </c>
    </row>
    <row r="28">
      <c r="O28">
        <f>IFERROR(INDEX('_courses_lookup'!$C:$C,MATCH(K28&amp;L28,'_courses_lookup'!$E:$E,0)),"")</f>
        <v/>
      </c>
      <c r="P28">
        <f>IFERROR(INDEX('_courses_lookup'!$D:$D,MATCH(K28&amp;L28,'_courses_lookup'!$E:$E,0)),"")</f>
        <v/>
      </c>
      <c r="AG28">
        <f>IF(AND(AE28&lt;&gt;"",AF28&lt;&gt;""),ROUNDUP((AF28-AE28)/7,0),"")</f>
        <v/>
      </c>
      <c r="AI28">
        <f>IFERROR(IF(AG28*AH28=0,"",AG28*AH28),"")</f>
        <v/>
      </c>
      <c r="AL28">
        <f>IF(AND(AJ28&lt;&gt;"",AK28&lt;&gt;""),ROUNDUP((AK28-AJ28)/7,0),"")</f>
        <v/>
      </c>
      <c r="AN28">
        <f>IFERROR(IF(AL28*AM28=0,"",AL28*AM28),"")</f>
        <v/>
      </c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L28">
        <f>IFERROR(INDEX('_names_lookup'!$C:$C,MATCH(BK28,'_names_lookup'!$A:$A,0)),"")</f>
        <v/>
      </c>
      <c r="BM28">
        <f>IFERROR(INDEX('_names_lookup'!$B:$B,MATCH(BK28,'_names_lookup'!$A:$A,0)),"")</f>
        <v/>
      </c>
      <c r="BS28">
        <f>IFERROR(IF(BR28*AA28=0,"",BR28*AA28),"")</f>
        <v/>
      </c>
    </row>
    <row r="29">
      <c r="O29">
        <f>IFERROR(INDEX('_courses_lookup'!$C:$C,MATCH(K29&amp;L29,'_courses_lookup'!$E:$E,0)),"")</f>
        <v/>
      </c>
      <c r="P29">
        <f>IFERROR(INDEX('_courses_lookup'!$D:$D,MATCH(K29&amp;L29,'_courses_lookup'!$E:$E,0)),"")</f>
        <v/>
      </c>
      <c r="AG29">
        <f>IF(AND(AE29&lt;&gt;"",AF29&lt;&gt;""),ROUNDUP((AF29-AE29)/7,0),"")</f>
        <v/>
      </c>
      <c r="AI29">
        <f>IFERROR(IF(AG29*AH29=0,"",AG29*AH29),"")</f>
        <v/>
      </c>
      <c r="AL29">
        <f>IF(AND(AJ29&lt;&gt;"",AK29&lt;&gt;""),ROUNDUP((AK29-AJ29)/7,0),"")</f>
        <v/>
      </c>
      <c r="AN29">
        <f>IFERROR(IF(AL29*AM29=0,"",AL29*AM29),"")</f>
        <v/>
      </c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L29">
        <f>IFERROR(INDEX('_names_lookup'!$C:$C,MATCH(BK29,'_names_lookup'!$A:$A,0)),"")</f>
        <v/>
      </c>
      <c r="BM29">
        <f>IFERROR(INDEX('_names_lookup'!$B:$B,MATCH(BK29,'_names_lookup'!$A:$A,0)),"")</f>
        <v/>
      </c>
      <c r="BS29">
        <f>IFERROR(IF(BR29*AA29=0,"",BR29*AA29),"")</f>
        <v/>
      </c>
    </row>
    <row r="30">
      <c r="O30">
        <f>IFERROR(INDEX('_courses_lookup'!$C:$C,MATCH(K30&amp;L30,'_courses_lookup'!$E:$E,0)),"")</f>
        <v/>
      </c>
      <c r="P30">
        <f>IFERROR(INDEX('_courses_lookup'!$D:$D,MATCH(K30&amp;L30,'_courses_lookup'!$E:$E,0)),"")</f>
        <v/>
      </c>
      <c r="AG30">
        <f>IF(AND(AE30&lt;&gt;"",AF30&lt;&gt;""),ROUNDUP((AF30-AE30)/7,0),"")</f>
        <v/>
      </c>
      <c r="AI30">
        <f>IFERROR(IF(AG30*AH30=0,"",AG30*AH30),"")</f>
        <v/>
      </c>
      <c r="AL30">
        <f>IF(AND(AJ30&lt;&gt;"",AK30&lt;&gt;""),ROUNDUP((AK30-AJ30)/7,0),"")</f>
        <v/>
      </c>
      <c r="AN30">
        <f>IFERROR(IF(AL30*AM30=0,"",AL30*AM30),"")</f>
        <v/>
      </c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L30">
        <f>IFERROR(INDEX('_names_lookup'!$C:$C,MATCH(BK30,'_names_lookup'!$A:$A,0)),"")</f>
        <v/>
      </c>
      <c r="BM30">
        <f>IFERROR(INDEX('_names_lookup'!$B:$B,MATCH(BK30,'_names_lookup'!$A:$A,0)),"")</f>
        <v/>
      </c>
      <c r="BS30">
        <f>IFERROR(IF(BR30*AA30=0,"",BR30*AA30),"")</f>
        <v/>
      </c>
    </row>
    <row r="31">
      <c r="O31">
        <f>IFERROR(INDEX('_courses_lookup'!$C:$C,MATCH(K31&amp;L31,'_courses_lookup'!$E:$E,0)),"")</f>
        <v/>
      </c>
      <c r="P31">
        <f>IFERROR(INDEX('_courses_lookup'!$D:$D,MATCH(K31&amp;L31,'_courses_lookup'!$E:$E,0)),"")</f>
        <v/>
      </c>
      <c r="AG31">
        <f>IF(AND(AE31&lt;&gt;"",AF31&lt;&gt;""),ROUNDUP((AF31-AE31)/7,0),"")</f>
        <v/>
      </c>
      <c r="AI31">
        <f>IFERROR(IF(AG31*AH31=0,"",AG31*AH31),"")</f>
        <v/>
      </c>
      <c r="AL31">
        <f>IF(AND(AJ31&lt;&gt;"",AK31&lt;&gt;""),ROUNDUP((AK31-AJ31)/7,0),"")</f>
        <v/>
      </c>
      <c r="AN31">
        <f>IFERROR(IF(AL31*AM31=0,"",AL31*AM31),"")</f>
        <v/>
      </c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L31">
        <f>IFERROR(INDEX('_names_lookup'!$C:$C,MATCH(BK31,'_names_lookup'!$A:$A,0)),"")</f>
        <v/>
      </c>
      <c r="BM31">
        <f>IFERROR(INDEX('_names_lookup'!$B:$B,MATCH(BK31,'_names_lookup'!$A:$A,0)),"")</f>
        <v/>
      </c>
      <c r="BS31">
        <f>IFERROR(IF(BR31*AA31=0,"",BR31*AA31),"")</f>
        <v/>
      </c>
    </row>
    <row r="32">
      <c r="O32">
        <f>IFERROR(INDEX('_courses_lookup'!$C:$C,MATCH(K32&amp;L32,'_courses_lookup'!$E:$E,0)),"")</f>
        <v/>
      </c>
      <c r="P32">
        <f>IFERROR(INDEX('_courses_lookup'!$D:$D,MATCH(K32&amp;L32,'_courses_lookup'!$E:$E,0)),"")</f>
        <v/>
      </c>
      <c r="AG32">
        <f>IF(AND(AE32&lt;&gt;"",AF32&lt;&gt;""),ROUNDUP((AF32-AE32)/7,0),"")</f>
        <v/>
      </c>
      <c r="AI32">
        <f>IFERROR(IF(AG32*AH32=0,"",AG32*AH32),"")</f>
        <v/>
      </c>
      <c r="AL32">
        <f>IF(AND(AJ32&lt;&gt;"",AK32&lt;&gt;""),ROUNDUP((AK32-AJ32)/7,0),"")</f>
        <v/>
      </c>
      <c r="AN32">
        <f>IFERROR(IF(AL32*AM32=0,"",AL32*AM32),"")</f>
        <v/>
      </c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L32">
        <f>IFERROR(INDEX('_names_lookup'!$C:$C,MATCH(BK32,'_names_lookup'!$A:$A,0)),"")</f>
        <v/>
      </c>
      <c r="BM32">
        <f>IFERROR(INDEX('_names_lookup'!$B:$B,MATCH(BK32,'_names_lookup'!$A:$A,0)),"")</f>
        <v/>
      </c>
      <c r="BS32">
        <f>IFERROR(IF(BR32*AA32=0,"",BR32*AA32),"")</f>
        <v/>
      </c>
    </row>
    <row r="33">
      <c r="O33">
        <f>IFERROR(INDEX('_courses_lookup'!$C:$C,MATCH(K33&amp;L33,'_courses_lookup'!$E:$E,0)),"")</f>
        <v/>
      </c>
      <c r="P33">
        <f>IFERROR(INDEX('_courses_lookup'!$D:$D,MATCH(K33&amp;L33,'_courses_lookup'!$E:$E,0)),"")</f>
        <v/>
      </c>
      <c r="AG33">
        <f>IF(AND(AE33&lt;&gt;"",AF33&lt;&gt;""),ROUNDUP((AF33-AE33)/7,0),"")</f>
        <v/>
      </c>
      <c r="AI33">
        <f>IFERROR(IF(AG33*AH33=0,"",AG33*AH33),"")</f>
        <v/>
      </c>
      <c r="AL33">
        <f>IF(AND(AJ33&lt;&gt;"",AK33&lt;&gt;""),ROUNDUP((AK33-AJ33)/7,0),"")</f>
        <v/>
      </c>
      <c r="AN33">
        <f>IFERROR(IF(AL33*AM33=0,"",AL33*AM33),"")</f>
        <v/>
      </c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L33">
        <f>IFERROR(INDEX('_names_lookup'!$C:$C,MATCH(BK33,'_names_lookup'!$A:$A,0)),"")</f>
        <v/>
      </c>
      <c r="BM33">
        <f>IFERROR(INDEX('_names_lookup'!$B:$B,MATCH(BK33,'_names_lookup'!$A:$A,0)),"")</f>
        <v/>
      </c>
      <c r="BS33">
        <f>IFERROR(IF(BR33*AA33=0,"",BR33*AA33),"")</f>
        <v/>
      </c>
    </row>
    <row r="34">
      <c r="O34">
        <f>IFERROR(INDEX('_courses_lookup'!$C:$C,MATCH(K34&amp;L34,'_courses_lookup'!$E:$E,0)),"")</f>
        <v/>
      </c>
      <c r="P34">
        <f>IFERROR(INDEX('_courses_lookup'!$D:$D,MATCH(K34&amp;L34,'_courses_lookup'!$E:$E,0)),"")</f>
        <v/>
      </c>
      <c r="AG34">
        <f>IF(AND(AE34&lt;&gt;"",AF34&lt;&gt;""),ROUNDUP((AF34-AE34)/7,0),"")</f>
        <v/>
      </c>
      <c r="AI34">
        <f>IFERROR(IF(AG34*AH34=0,"",AG34*AH34),"")</f>
        <v/>
      </c>
      <c r="AL34">
        <f>IF(AND(AJ34&lt;&gt;"",AK34&lt;&gt;""),ROUNDUP((AK34-AJ34)/7,0),"")</f>
        <v/>
      </c>
      <c r="AN34">
        <f>IFERROR(IF(AL34*AM34=0,"",AL34*AM34),"")</f>
        <v/>
      </c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L34">
        <f>IFERROR(INDEX('_names_lookup'!$C:$C,MATCH(BK34,'_names_lookup'!$A:$A,0)),"")</f>
        <v/>
      </c>
      <c r="BM34">
        <f>IFERROR(INDEX('_names_lookup'!$B:$B,MATCH(BK34,'_names_lookup'!$A:$A,0)),"")</f>
        <v/>
      </c>
      <c r="BS34">
        <f>IFERROR(IF(BR34*AA34=0,"",BR34*AA34),"")</f>
        <v/>
      </c>
    </row>
    <row r="35">
      <c r="O35">
        <f>IFERROR(INDEX('_courses_lookup'!$C:$C,MATCH(K35&amp;L35,'_courses_lookup'!$E:$E,0)),"")</f>
        <v/>
      </c>
      <c r="P35">
        <f>IFERROR(INDEX('_courses_lookup'!$D:$D,MATCH(K35&amp;L35,'_courses_lookup'!$E:$E,0)),"")</f>
        <v/>
      </c>
      <c r="AG35">
        <f>IF(AND(AE35&lt;&gt;"",AF35&lt;&gt;""),ROUNDUP((AF35-AE35)/7,0),"")</f>
        <v/>
      </c>
      <c r="AI35">
        <f>IFERROR(IF(AG35*AH35=0,"",AG35*AH35),"")</f>
        <v/>
      </c>
      <c r="AL35">
        <f>IF(AND(AJ35&lt;&gt;"",AK35&lt;&gt;""),ROUNDUP((AK35-AJ35)/7,0),"")</f>
        <v/>
      </c>
      <c r="AN35">
        <f>IFERROR(IF(AL35*AM35=0,"",AL35*AM35),"")</f>
        <v/>
      </c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L35">
        <f>IFERROR(INDEX('_names_lookup'!$C:$C,MATCH(BK35,'_names_lookup'!$A:$A,0)),"")</f>
        <v/>
      </c>
      <c r="BM35">
        <f>IFERROR(INDEX('_names_lookup'!$B:$B,MATCH(BK35,'_names_lookup'!$A:$A,0)),"")</f>
        <v/>
      </c>
      <c r="BS35">
        <f>IFERROR(IF(BR35*AA35=0,"",BR35*AA35),"")</f>
        <v/>
      </c>
    </row>
    <row r="36">
      <c r="O36">
        <f>IFERROR(INDEX('_courses_lookup'!$C:$C,MATCH(K36&amp;L36,'_courses_lookup'!$E:$E,0)),"")</f>
        <v/>
      </c>
      <c r="P36">
        <f>IFERROR(INDEX('_courses_lookup'!$D:$D,MATCH(K36&amp;L36,'_courses_lookup'!$E:$E,0)),"")</f>
        <v/>
      </c>
      <c r="AG36">
        <f>IF(AND(AE36&lt;&gt;"",AF36&lt;&gt;""),ROUNDUP((AF36-AE36)/7,0),"")</f>
        <v/>
      </c>
      <c r="AI36">
        <f>IFERROR(IF(AG36*AH36=0,"",AG36*AH36),"")</f>
        <v/>
      </c>
      <c r="AL36">
        <f>IF(AND(AJ36&lt;&gt;"",AK36&lt;&gt;""),ROUNDUP((AK36-AJ36)/7,0),"")</f>
        <v/>
      </c>
      <c r="AN36">
        <f>IFERROR(IF(AL36*AM36=0,"",AL36*AM36),"")</f>
        <v/>
      </c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L36">
        <f>IFERROR(INDEX('_names_lookup'!$C:$C,MATCH(BK36,'_names_lookup'!$A:$A,0)),"")</f>
        <v/>
      </c>
      <c r="BM36">
        <f>IFERROR(INDEX('_names_lookup'!$B:$B,MATCH(BK36,'_names_lookup'!$A:$A,0)),"")</f>
        <v/>
      </c>
      <c r="BS36">
        <f>IFERROR(IF(BR36*AA36=0,"",BR36*AA36),"")</f>
        <v/>
      </c>
    </row>
    <row r="37">
      <c r="O37">
        <f>IFERROR(INDEX('_courses_lookup'!$C:$C,MATCH(K37&amp;L37,'_courses_lookup'!$E:$E,0)),"")</f>
        <v/>
      </c>
      <c r="P37">
        <f>IFERROR(INDEX('_courses_lookup'!$D:$D,MATCH(K37&amp;L37,'_courses_lookup'!$E:$E,0)),"")</f>
        <v/>
      </c>
      <c r="AG37">
        <f>IF(AND(AE37&lt;&gt;"",AF37&lt;&gt;""),ROUNDUP((AF37-AE37)/7,0),"")</f>
        <v/>
      </c>
      <c r="AI37">
        <f>IFERROR(IF(AG37*AH37=0,"",AG37*AH37),"")</f>
        <v/>
      </c>
      <c r="AL37">
        <f>IF(AND(AJ37&lt;&gt;"",AK37&lt;&gt;""),ROUNDUP((AK37-AJ37)/7,0),"")</f>
        <v/>
      </c>
      <c r="AN37">
        <f>IFERROR(IF(AL37*AM37=0,"",AL37*AM37),"")</f>
        <v/>
      </c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L37">
        <f>IFERROR(INDEX('_names_lookup'!$C:$C,MATCH(BK37,'_names_lookup'!$A:$A,0)),"")</f>
        <v/>
      </c>
      <c r="BM37">
        <f>IFERROR(INDEX('_names_lookup'!$B:$B,MATCH(BK37,'_names_lookup'!$A:$A,0)),"")</f>
        <v/>
      </c>
      <c r="BS37">
        <f>IFERROR(IF(BR37*AA37=0,"",BR37*AA37),"")</f>
        <v/>
      </c>
    </row>
    <row r="38">
      <c r="O38">
        <f>IFERROR(INDEX('_courses_lookup'!$C:$C,MATCH(K38&amp;L38,'_courses_lookup'!$E:$E,0)),"")</f>
        <v/>
      </c>
      <c r="P38">
        <f>IFERROR(INDEX('_courses_lookup'!$D:$D,MATCH(K38&amp;L38,'_courses_lookup'!$E:$E,0)),"")</f>
        <v/>
      </c>
      <c r="AG38">
        <f>IF(AND(AE38&lt;&gt;"",AF38&lt;&gt;""),ROUNDUP((AF38-AE38)/7,0),"")</f>
        <v/>
      </c>
      <c r="AI38">
        <f>IFERROR(IF(AG38*AH38=0,"",AG38*AH38),"")</f>
        <v/>
      </c>
      <c r="AL38">
        <f>IF(AND(AJ38&lt;&gt;"",AK38&lt;&gt;""),ROUNDUP((AK38-AJ38)/7,0),"")</f>
        <v/>
      </c>
      <c r="AN38">
        <f>IFERROR(IF(AL38*AM38=0,"",AL38*AM38),"")</f>
        <v/>
      </c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L38">
        <f>IFERROR(INDEX('_names_lookup'!$C:$C,MATCH(BK38,'_names_lookup'!$A:$A,0)),"")</f>
        <v/>
      </c>
      <c r="BM38">
        <f>IFERROR(INDEX('_names_lookup'!$B:$B,MATCH(BK38,'_names_lookup'!$A:$A,0)),"")</f>
        <v/>
      </c>
      <c r="BS38">
        <f>IFERROR(IF(BR38*AA38=0,"",BR38*AA38),"")</f>
        <v/>
      </c>
    </row>
    <row r="39">
      <c r="O39">
        <f>IFERROR(INDEX('_courses_lookup'!$C:$C,MATCH(K39&amp;L39,'_courses_lookup'!$E:$E,0)),"")</f>
        <v/>
      </c>
      <c r="P39">
        <f>IFERROR(INDEX('_courses_lookup'!$D:$D,MATCH(K39&amp;L39,'_courses_lookup'!$E:$E,0)),"")</f>
        <v/>
      </c>
      <c r="AG39">
        <f>IF(AND(AE39&lt;&gt;"",AF39&lt;&gt;""),ROUNDUP((AF39-AE39)/7,0),"")</f>
        <v/>
      </c>
      <c r="AI39">
        <f>IFERROR(IF(AG39*AH39=0,"",AG39*AH39),"")</f>
        <v/>
      </c>
      <c r="AL39">
        <f>IF(AND(AJ39&lt;&gt;"",AK39&lt;&gt;""),ROUNDUP((AK39-AJ39)/7,0),"")</f>
        <v/>
      </c>
      <c r="AN39">
        <f>IFERROR(IF(AL39*AM39=0,"",AL39*AM39),"")</f>
        <v/>
      </c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L39">
        <f>IFERROR(INDEX('_names_lookup'!$C:$C,MATCH(BK39,'_names_lookup'!$A:$A,0)),"")</f>
        <v/>
      </c>
      <c r="BM39">
        <f>IFERROR(INDEX('_names_lookup'!$B:$B,MATCH(BK39,'_names_lookup'!$A:$A,0)),"")</f>
        <v/>
      </c>
      <c r="BS39">
        <f>IFERROR(IF(BR39*AA39=0,"",BR39*AA39),"")</f>
        <v/>
      </c>
    </row>
    <row r="40">
      <c r="O40">
        <f>IFERROR(INDEX('_courses_lookup'!$C:$C,MATCH(K40&amp;L40,'_courses_lookup'!$E:$E,0)),"")</f>
        <v/>
      </c>
      <c r="P40">
        <f>IFERROR(INDEX('_courses_lookup'!$D:$D,MATCH(K40&amp;L40,'_courses_lookup'!$E:$E,0)),"")</f>
        <v/>
      </c>
      <c r="AG40">
        <f>IF(AND(AE40&lt;&gt;"",AF40&lt;&gt;""),ROUNDUP((AF40-AE40)/7,0),"")</f>
        <v/>
      </c>
      <c r="AI40">
        <f>IFERROR(IF(AG40*AH40=0,"",AG40*AH40),"")</f>
        <v/>
      </c>
      <c r="AL40">
        <f>IF(AND(AJ40&lt;&gt;"",AK40&lt;&gt;""),ROUNDUP((AK40-AJ40)/7,0),"")</f>
        <v/>
      </c>
      <c r="AN40">
        <f>IFERROR(IF(AL40*AM40=0,"",AL40*AM40),"")</f>
        <v/>
      </c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L40">
        <f>IFERROR(INDEX('_names_lookup'!$C:$C,MATCH(BK40,'_names_lookup'!$A:$A,0)),"")</f>
        <v/>
      </c>
      <c r="BM40">
        <f>IFERROR(INDEX('_names_lookup'!$B:$B,MATCH(BK40,'_names_lookup'!$A:$A,0)),"")</f>
        <v/>
      </c>
      <c r="BS40">
        <f>IFERROR(IF(BR40*AA40=0,"",BR40*AA40),"")</f>
        <v/>
      </c>
    </row>
    <row r="41">
      <c r="O41">
        <f>IFERROR(INDEX('_courses_lookup'!$C:$C,MATCH(K41&amp;L41,'_courses_lookup'!$E:$E,0)),"")</f>
        <v/>
      </c>
      <c r="P41">
        <f>IFERROR(INDEX('_courses_lookup'!$D:$D,MATCH(K41&amp;L41,'_courses_lookup'!$E:$E,0)),"")</f>
        <v/>
      </c>
      <c r="AG41">
        <f>IF(AND(AE41&lt;&gt;"",AF41&lt;&gt;""),ROUNDUP((AF41-AE41)/7,0),"")</f>
        <v/>
      </c>
      <c r="AI41">
        <f>IFERROR(IF(AG41*AH41=0,"",AG41*AH41),"")</f>
        <v/>
      </c>
      <c r="AL41">
        <f>IF(AND(AJ41&lt;&gt;"",AK41&lt;&gt;""),ROUNDUP((AK41-AJ41)/7,0),"")</f>
        <v/>
      </c>
      <c r="AN41">
        <f>IFERROR(IF(AL41*AM41=0,"",AL41*AM41),"")</f>
        <v/>
      </c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L41">
        <f>IFERROR(INDEX('_names_lookup'!$C:$C,MATCH(BK41,'_names_lookup'!$A:$A,0)),"")</f>
        <v/>
      </c>
      <c r="BM41">
        <f>IFERROR(INDEX('_names_lookup'!$B:$B,MATCH(BK41,'_names_lookup'!$A:$A,0)),"")</f>
        <v/>
      </c>
      <c r="BS41">
        <f>IFERROR(IF(BR41*AA41=0,"",BR41*AA41),"")</f>
        <v/>
      </c>
    </row>
    <row r="42">
      <c r="O42">
        <f>IFERROR(INDEX('_courses_lookup'!$C:$C,MATCH(K42&amp;L42,'_courses_lookup'!$E:$E,0)),"")</f>
        <v/>
      </c>
      <c r="P42">
        <f>IFERROR(INDEX('_courses_lookup'!$D:$D,MATCH(K42&amp;L42,'_courses_lookup'!$E:$E,0)),"")</f>
        <v/>
      </c>
      <c r="AG42">
        <f>IF(AND(AE42&lt;&gt;"",AF42&lt;&gt;""),ROUNDUP((AF42-AE42)/7,0),"")</f>
        <v/>
      </c>
      <c r="AI42">
        <f>IFERROR(IF(AG42*AH42=0,"",AG42*AH42),"")</f>
        <v/>
      </c>
      <c r="AL42">
        <f>IF(AND(AJ42&lt;&gt;"",AK42&lt;&gt;""),ROUNDUP((AK42-AJ42)/7,0),"")</f>
        <v/>
      </c>
      <c r="AN42">
        <f>IFERROR(IF(AL42*AM42=0,"",AL42*AM42),"")</f>
        <v/>
      </c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L42">
        <f>IFERROR(INDEX('_names_lookup'!$C:$C,MATCH(BK42,'_names_lookup'!$A:$A,0)),"")</f>
        <v/>
      </c>
      <c r="BM42">
        <f>IFERROR(INDEX('_names_lookup'!$B:$B,MATCH(BK42,'_names_lookup'!$A:$A,0)),"")</f>
        <v/>
      </c>
      <c r="BS42">
        <f>IFERROR(IF(BR42*AA42=0,"",BR42*AA42),"")</f>
        <v/>
      </c>
    </row>
    <row r="43">
      <c r="O43">
        <f>IFERROR(INDEX('_courses_lookup'!$C:$C,MATCH(K43&amp;L43,'_courses_lookup'!$E:$E,0)),"")</f>
        <v/>
      </c>
      <c r="P43">
        <f>IFERROR(INDEX('_courses_lookup'!$D:$D,MATCH(K43&amp;L43,'_courses_lookup'!$E:$E,0)),"")</f>
        <v/>
      </c>
      <c r="AG43">
        <f>IF(AND(AE43&lt;&gt;"",AF43&lt;&gt;""),ROUNDUP((AF43-AE43)/7,0),"")</f>
        <v/>
      </c>
      <c r="AI43">
        <f>IFERROR(IF(AG43*AH43=0,"",AG43*AH43),"")</f>
        <v/>
      </c>
      <c r="AL43">
        <f>IF(AND(AJ43&lt;&gt;"",AK43&lt;&gt;""),ROUNDUP((AK43-AJ43)/7,0),"")</f>
        <v/>
      </c>
      <c r="AN43">
        <f>IFERROR(IF(AL43*AM43=0,"",AL43*AM43),"")</f>
        <v/>
      </c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L43">
        <f>IFERROR(INDEX('_names_lookup'!$C:$C,MATCH(BK43,'_names_lookup'!$A:$A,0)),"")</f>
        <v/>
      </c>
      <c r="BM43">
        <f>IFERROR(INDEX('_names_lookup'!$B:$B,MATCH(BK43,'_names_lookup'!$A:$A,0)),"")</f>
        <v/>
      </c>
      <c r="BS43">
        <f>IFERROR(IF(BR43*AA43=0,"",BR43*AA43),"")</f>
        <v/>
      </c>
    </row>
    <row r="44">
      <c r="O44">
        <f>IFERROR(INDEX('_courses_lookup'!$C:$C,MATCH(K44&amp;L44,'_courses_lookup'!$E:$E,0)),"")</f>
        <v/>
      </c>
      <c r="P44">
        <f>IFERROR(INDEX('_courses_lookup'!$D:$D,MATCH(K44&amp;L44,'_courses_lookup'!$E:$E,0)),"")</f>
        <v/>
      </c>
      <c r="AG44">
        <f>IF(AND(AE44&lt;&gt;"",AF44&lt;&gt;""),ROUNDUP((AF44-AE44)/7,0),"")</f>
        <v/>
      </c>
      <c r="AI44">
        <f>IFERROR(IF(AG44*AH44=0,"",AG44*AH44),"")</f>
        <v/>
      </c>
      <c r="AL44">
        <f>IF(AND(AJ44&lt;&gt;"",AK44&lt;&gt;""),ROUNDUP((AK44-AJ44)/7,0),"")</f>
        <v/>
      </c>
      <c r="AN44">
        <f>IFERROR(IF(AL44*AM44=0,"",AL44*AM44),"")</f>
        <v/>
      </c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L44">
        <f>IFERROR(INDEX('_names_lookup'!$C:$C,MATCH(BK44,'_names_lookup'!$A:$A,0)),"")</f>
        <v/>
      </c>
      <c r="BM44">
        <f>IFERROR(INDEX('_names_lookup'!$B:$B,MATCH(BK44,'_names_lookup'!$A:$A,0)),"")</f>
        <v/>
      </c>
      <c r="BS44">
        <f>IFERROR(IF(BR44*AA44=0,"",BR44*AA44),"")</f>
        <v/>
      </c>
    </row>
    <row r="45">
      <c r="O45">
        <f>IFERROR(INDEX('_courses_lookup'!$C:$C,MATCH(K45&amp;L45,'_courses_lookup'!$E:$E,0)),"")</f>
        <v/>
      </c>
      <c r="P45">
        <f>IFERROR(INDEX('_courses_lookup'!$D:$D,MATCH(K45&amp;L45,'_courses_lookup'!$E:$E,0)),"")</f>
        <v/>
      </c>
      <c r="AG45">
        <f>IF(AND(AE45&lt;&gt;"",AF45&lt;&gt;""),ROUNDUP((AF45-AE45)/7,0),"")</f>
        <v/>
      </c>
      <c r="AI45">
        <f>IFERROR(IF(AG45*AH45=0,"",AG45*AH45),"")</f>
        <v/>
      </c>
      <c r="AL45">
        <f>IF(AND(AJ45&lt;&gt;"",AK45&lt;&gt;""),ROUNDUP((AK45-AJ45)/7,0),"")</f>
        <v/>
      </c>
      <c r="AN45">
        <f>IFERROR(IF(AL45*AM45=0,"",AL45*AM45),"")</f>
        <v/>
      </c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L45">
        <f>IFERROR(INDEX('_names_lookup'!$C:$C,MATCH(BK45,'_names_lookup'!$A:$A,0)),"")</f>
        <v/>
      </c>
      <c r="BM45">
        <f>IFERROR(INDEX('_names_lookup'!$B:$B,MATCH(BK45,'_names_lookup'!$A:$A,0)),"")</f>
        <v/>
      </c>
      <c r="BS45">
        <f>IFERROR(IF(BR45*AA45=0,"",BR45*AA45),"")</f>
        <v/>
      </c>
    </row>
    <row r="46">
      <c r="O46">
        <f>IFERROR(INDEX('_courses_lookup'!$C:$C,MATCH(K46&amp;L46,'_courses_lookup'!$E:$E,0)),"")</f>
        <v/>
      </c>
      <c r="P46">
        <f>IFERROR(INDEX('_courses_lookup'!$D:$D,MATCH(K46&amp;L46,'_courses_lookup'!$E:$E,0)),"")</f>
        <v/>
      </c>
      <c r="AG46">
        <f>IF(AND(AE46&lt;&gt;"",AF46&lt;&gt;""),ROUNDUP((AF46-AE46)/7,0),"")</f>
        <v/>
      </c>
      <c r="AI46">
        <f>IFERROR(IF(AG46*AH46=0,"",AG46*AH46),"")</f>
        <v/>
      </c>
      <c r="AL46">
        <f>IF(AND(AJ46&lt;&gt;"",AK46&lt;&gt;""),ROUNDUP((AK46-AJ46)/7,0),"")</f>
        <v/>
      </c>
      <c r="AN46">
        <f>IFERROR(IF(AL46*AM46=0,"",AL46*AM46),"")</f>
        <v/>
      </c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L46">
        <f>IFERROR(INDEX('_names_lookup'!$C:$C,MATCH(BK46,'_names_lookup'!$A:$A,0)),"")</f>
        <v/>
      </c>
      <c r="BM46">
        <f>IFERROR(INDEX('_names_lookup'!$B:$B,MATCH(BK46,'_names_lookup'!$A:$A,0)),"")</f>
        <v/>
      </c>
      <c r="BS46">
        <f>IFERROR(IF(BR46*AA46=0,"",BR46*AA46),"")</f>
        <v/>
      </c>
    </row>
    <row r="47">
      <c r="O47">
        <f>IFERROR(INDEX('_courses_lookup'!$C:$C,MATCH(K47&amp;L47,'_courses_lookup'!$E:$E,0)),"")</f>
        <v/>
      </c>
      <c r="P47">
        <f>IFERROR(INDEX('_courses_lookup'!$D:$D,MATCH(K47&amp;L47,'_courses_lookup'!$E:$E,0)),"")</f>
        <v/>
      </c>
      <c r="AG47">
        <f>IF(AND(AE47&lt;&gt;"",AF47&lt;&gt;""),ROUNDUP((AF47-AE47)/7,0),"")</f>
        <v/>
      </c>
      <c r="AI47">
        <f>IFERROR(IF(AG47*AH47=0,"",AG47*AH47),"")</f>
        <v/>
      </c>
      <c r="AL47">
        <f>IF(AND(AJ47&lt;&gt;"",AK47&lt;&gt;""),ROUNDUP((AK47-AJ47)/7,0),"")</f>
        <v/>
      </c>
      <c r="AN47">
        <f>IFERROR(IF(AL47*AM47=0,"",AL47*AM47),"")</f>
        <v/>
      </c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L47">
        <f>IFERROR(INDEX('_names_lookup'!$C:$C,MATCH(BK47,'_names_lookup'!$A:$A,0)),"")</f>
        <v/>
      </c>
      <c r="BM47">
        <f>IFERROR(INDEX('_names_lookup'!$B:$B,MATCH(BK47,'_names_lookup'!$A:$A,0)),"")</f>
        <v/>
      </c>
      <c r="BS47">
        <f>IFERROR(IF(BR47*AA47=0,"",BR47*AA47),"")</f>
        <v/>
      </c>
    </row>
    <row r="48">
      <c r="O48">
        <f>IFERROR(INDEX('_courses_lookup'!$C:$C,MATCH(K48&amp;L48,'_courses_lookup'!$E:$E,0)),"")</f>
        <v/>
      </c>
      <c r="P48">
        <f>IFERROR(INDEX('_courses_lookup'!$D:$D,MATCH(K48&amp;L48,'_courses_lookup'!$E:$E,0)),"")</f>
        <v/>
      </c>
      <c r="AG48">
        <f>IF(AND(AE48&lt;&gt;"",AF48&lt;&gt;""),ROUNDUP((AF48-AE48)/7,0),"")</f>
        <v/>
      </c>
      <c r="AI48">
        <f>IFERROR(IF(AG48*AH48=0,"",AG48*AH48),"")</f>
        <v/>
      </c>
      <c r="AL48">
        <f>IF(AND(AJ48&lt;&gt;"",AK48&lt;&gt;""),ROUNDUP((AK48-AJ48)/7,0),"")</f>
        <v/>
      </c>
      <c r="AN48">
        <f>IFERROR(IF(AL48*AM48=0,"",AL48*AM48),"")</f>
        <v/>
      </c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L48">
        <f>IFERROR(INDEX('_names_lookup'!$C:$C,MATCH(BK48,'_names_lookup'!$A:$A,0)),"")</f>
        <v/>
      </c>
      <c r="BM48">
        <f>IFERROR(INDEX('_names_lookup'!$B:$B,MATCH(BK48,'_names_lookup'!$A:$A,0)),"")</f>
        <v/>
      </c>
      <c r="BS48">
        <f>IFERROR(IF(BR48*AA48=0,"",BR48*AA48),"")</f>
        <v/>
      </c>
    </row>
    <row r="49">
      <c r="O49">
        <f>IFERROR(INDEX('_courses_lookup'!$C:$C,MATCH(K49&amp;L49,'_courses_lookup'!$E:$E,0)),"")</f>
        <v/>
      </c>
      <c r="P49">
        <f>IFERROR(INDEX('_courses_lookup'!$D:$D,MATCH(K49&amp;L49,'_courses_lookup'!$E:$E,0)),"")</f>
        <v/>
      </c>
      <c r="AG49">
        <f>IF(AND(AE49&lt;&gt;"",AF49&lt;&gt;""),ROUNDUP((AF49-AE49)/7,0),"")</f>
        <v/>
      </c>
      <c r="AI49">
        <f>IFERROR(IF(AG49*AH49=0,"",AG49*AH49),"")</f>
        <v/>
      </c>
      <c r="AL49">
        <f>IF(AND(AJ49&lt;&gt;"",AK49&lt;&gt;""),ROUNDUP((AK49-AJ49)/7,0),"")</f>
        <v/>
      </c>
      <c r="AN49">
        <f>IFERROR(IF(AL49*AM49=0,"",AL49*AM49),"")</f>
        <v/>
      </c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L49">
        <f>IFERROR(INDEX('_names_lookup'!$C:$C,MATCH(BK49,'_names_lookup'!$A:$A,0)),"")</f>
        <v/>
      </c>
      <c r="BM49">
        <f>IFERROR(INDEX('_names_lookup'!$B:$B,MATCH(BK49,'_names_lookup'!$A:$A,0)),"")</f>
        <v/>
      </c>
      <c r="BS49">
        <f>IFERROR(IF(BR49*AA49=0,"",BR49*AA49),"")</f>
        <v/>
      </c>
    </row>
    <row r="50">
      <c r="O50">
        <f>IFERROR(INDEX('_courses_lookup'!$C:$C,MATCH(K50&amp;L50,'_courses_lookup'!$E:$E,0)),"")</f>
        <v/>
      </c>
      <c r="P50">
        <f>IFERROR(INDEX('_courses_lookup'!$D:$D,MATCH(K50&amp;L50,'_courses_lookup'!$E:$E,0)),"")</f>
        <v/>
      </c>
      <c r="AG50">
        <f>IF(AND(AE50&lt;&gt;"",AF50&lt;&gt;""),ROUNDUP((AF50-AE50)/7,0),"")</f>
        <v/>
      </c>
      <c r="AI50">
        <f>IFERROR(IF(AG50*AH50=0,"",AG50*AH50),"")</f>
        <v/>
      </c>
      <c r="AL50">
        <f>IF(AND(AJ50&lt;&gt;"",AK50&lt;&gt;""),ROUNDUP((AK50-AJ50)/7,0),"")</f>
        <v/>
      </c>
      <c r="AN50">
        <f>IFERROR(IF(AL50*AM50=0,"",AL50*AM50),"")</f>
        <v/>
      </c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L50">
        <f>IFERROR(INDEX('_names_lookup'!$C:$C,MATCH(BK50,'_names_lookup'!$A:$A,0)),"")</f>
        <v/>
      </c>
      <c r="BM50">
        <f>IFERROR(INDEX('_names_lookup'!$B:$B,MATCH(BK50,'_names_lookup'!$A:$A,0)),"")</f>
        <v/>
      </c>
      <c r="BS50">
        <f>IFERROR(IF(BR50*AA50=0,"",BR50*AA50),"")</f>
        <v/>
      </c>
    </row>
    <row r="51">
      <c r="O51">
        <f>IFERROR(INDEX('_courses_lookup'!$C:$C,MATCH(K51&amp;L51,'_courses_lookup'!$E:$E,0)),"")</f>
        <v/>
      </c>
      <c r="P51">
        <f>IFERROR(INDEX('_courses_lookup'!$D:$D,MATCH(K51&amp;L51,'_courses_lookup'!$E:$E,0)),"")</f>
        <v/>
      </c>
      <c r="AG51">
        <f>IF(AND(AE51&lt;&gt;"",AF51&lt;&gt;""),ROUNDUP((AF51-AE51)/7,0),"")</f>
        <v/>
      </c>
      <c r="AI51">
        <f>IFERROR(IF(AG51*AH51=0,"",AG51*AH51),"")</f>
        <v/>
      </c>
      <c r="AL51">
        <f>IF(AND(AJ51&lt;&gt;"",AK51&lt;&gt;""),ROUNDUP((AK51-AJ51)/7,0),"")</f>
        <v/>
      </c>
      <c r="AN51">
        <f>IFERROR(IF(AL51*AM51=0,"",AL51*AM51),"")</f>
        <v/>
      </c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L51">
        <f>IFERROR(INDEX('_names_lookup'!$C:$C,MATCH(BK51,'_names_lookup'!$A:$A,0)),"")</f>
        <v/>
      </c>
      <c r="BM51">
        <f>IFERROR(INDEX('_names_lookup'!$B:$B,MATCH(BK51,'_names_lookup'!$A:$A,0)),"")</f>
        <v/>
      </c>
      <c r="BS51">
        <f>IFERROR(IF(BR51*AA51=0,"",BR51*AA51),"")</f>
        <v/>
      </c>
    </row>
    <row r="52">
      <c r="O52">
        <f>IFERROR(INDEX('_courses_lookup'!$C:$C,MATCH(K52&amp;L52,'_courses_lookup'!$E:$E,0)),"")</f>
        <v/>
      </c>
      <c r="P52">
        <f>IFERROR(INDEX('_courses_lookup'!$D:$D,MATCH(K52&amp;L52,'_courses_lookup'!$E:$E,0)),"")</f>
        <v/>
      </c>
      <c r="AG52">
        <f>IF(AND(AE52&lt;&gt;"",AF52&lt;&gt;""),ROUNDUP((AF52-AE52)/7,0),"")</f>
        <v/>
      </c>
      <c r="AI52">
        <f>IFERROR(IF(AG52*AH52=0,"",AG52*AH52),"")</f>
        <v/>
      </c>
      <c r="AL52">
        <f>IF(AND(AJ52&lt;&gt;"",AK52&lt;&gt;""),ROUNDUP((AK52-AJ52)/7,0),"")</f>
        <v/>
      </c>
      <c r="AN52">
        <f>IFERROR(IF(AL52*AM52=0,"",AL52*AM52),"")</f>
        <v/>
      </c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L52">
        <f>IFERROR(INDEX('_names_lookup'!$C:$C,MATCH(BK52,'_names_lookup'!$A:$A,0)),"")</f>
        <v/>
      </c>
      <c r="BM52">
        <f>IFERROR(INDEX('_names_lookup'!$B:$B,MATCH(BK52,'_names_lookup'!$A:$A,0)),"")</f>
        <v/>
      </c>
      <c r="BS52">
        <f>IFERROR(IF(BR52*AA52=0,"",BR52*AA52),"")</f>
        <v/>
      </c>
    </row>
    <row r="53">
      <c r="O53">
        <f>IFERROR(INDEX('_courses_lookup'!$C:$C,MATCH(K53&amp;L53,'_courses_lookup'!$E:$E,0)),"")</f>
        <v/>
      </c>
      <c r="P53">
        <f>IFERROR(INDEX('_courses_lookup'!$D:$D,MATCH(K53&amp;L53,'_courses_lookup'!$E:$E,0)),"")</f>
        <v/>
      </c>
      <c r="AG53">
        <f>IF(AND(AE53&lt;&gt;"",AF53&lt;&gt;""),ROUNDUP((AF53-AE53)/7,0),"")</f>
        <v/>
      </c>
      <c r="AI53">
        <f>IFERROR(IF(AG53*AH53=0,"",AG53*AH53),"")</f>
        <v/>
      </c>
      <c r="AL53">
        <f>IF(AND(AJ53&lt;&gt;"",AK53&lt;&gt;""),ROUNDUP((AK53-AJ53)/7,0),"")</f>
        <v/>
      </c>
      <c r="AN53">
        <f>IFERROR(IF(AL53*AM53=0,"",AL53*AM53),"")</f>
        <v/>
      </c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L53">
        <f>IFERROR(INDEX('_names_lookup'!$C:$C,MATCH(BK53,'_names_lookup'!$A:$A,0)),"")</f>
        <v/>
      </c>
      <c r="BM53">
        <f>IFERROR(INDEX('_names_lookup'!$B:$B,MATCH(BK53,'_names_lookup'!$A:$A,0)),"")</f>
        <v/>
      </c>
      <c r="BS53">
        <f>IFERROR(IF(BR53*AA53=0,"",BR53*AA53),"")</f>
        <v/>
      </c>
    </row>
    <row r="54">
      <c r="O54">
        <f>IFERROR(INDEX('_courses_lookup'!$C:$C,MATCH(K54&amp;L54,'_courses_lookup'!$E:$E,0)),"")</f>
        <v/>
      </c>
      <c r="P54">
        <f>IFERROR(INDEX('_courses_lookup'!$D:$D,MATCH(K54&amp;L54,'_courses_lookup'!$E:$E,0)),"")</f>
        <v/>
      </c>
      <c r="AG54">
        <f>IF(AND(AE54&lt;&gt;"",AF54&lt;&gt;""),ROUNDUP((AF54-AE54)/7,0),"")</f>
        <v/>
      </c>
      <c r="AI54">
        <f>IFERROR(IF(AG54*AH54=0,"",AG54*AH54),"")</f>
        <v/>
      </c>
      <c r="AL54">
        <f>IF(AND(AJ54&lt;&gt;"",AK54&lt;&gt;""),ROUNDUP((AK54-AJ54)/7,0),"")</f>
        <v/>
      </c>
      <c r="AN54">
        <f>IFERROR(IF(AL54*AM54=0,"",AL54*AM54),"")</f>
        <v/>
      </c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L54">
        <f>IFERROR(INDEX('_names_lookup'!$C:$C,MATCH(BK54,'_names_lookup'!$A:$A,0)),"")</f>
        <v/>
      </c>
      <c r="BM54">
        <f>IFERROR(INDEX('_names_lookup'!$B:$B,MATCH(BK54,'_names_lookup'!$A:$A,0)),"")</f>
        <v/>
      </c>
      <c r="BS54">
        <f>IFERROR(IF(BR54*AA54=0,"",BR54*AA54),"")</f>
        <v/>
      </c>
    </row>
    <row r="55">
      <c r="O55">
        <f>IFERROR(INDEX('_courses_lookup'!$C:$C,MATCH(K55&amp;L55,'_courses_lookup'!$E:$E,0)),"")</f>
        <v/>
      </c>
      <c r="P55">
        <f>IFERROR(INDEX('_courses_lookup'!$D:$D,MATCH(K55&amp;L55,'_courses_lookup'!$E:$E,0)),"")</f>
        <v/>
      </c>
      <c r="AG55">
        <f>IF(AND(AE55&lt;&gt;"",AF55&lt;&gt;""),ROUNDUP((AF55-AE55)/7,0),"")</f>
        <v/>
      </c>
      <c r="AI55">
        <f>IFERROR(IF(AG55*AH55=0,"",AG55*AH55),"")</f>
        <v/>
      </c>
      <c r="AL55">
        <f>IF(AND(AJ55&lt;&gt;"",AK55&lt;&gt;""),ROUNDUP((AK55-AJ55)/7,0),"")</f>
        <v/>
      </c>
      <c r="AN55">
        <f>IFERROR(IF(AL55*AM55=0,"",AL55*AM55),"")</f>
        <v/>
      </c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L55">
        <f>IFERROR(INDEX('_names_lookup'!$C:$C,MATCH(BK55,'_names_lookup'!$A:$A,0)),"")</f>
        <v/>
      </c>
      <c r="BM55">
        <f>IFERROR(INDEX('_names_lookup'!$B:$B,MATCH(BK55,'_names_lookup'!$A:$A,0)),"")</f>
        <v/>
      </c>
      <c r="BS55">
        <f>IFERROR(IF(BR55*AA55=0,"",BR55*AA55),"")</f>
        <v/>
      </c>
    </row>
    <row r="56">
      <c r="O56">
        <f>IFERROR(INDEX('_courses_lookup'!$C:$C,MATCH(K56&amp;L56,'_courses_lookup'!$E:$E,0)),"")</f>
        <v/>
      </c>
      <c r="P56">
        <f>IFERROR(INDEX('_courses_lookup'!$D:$D,MATCH(K56&amp;L56,'_courses_lookup'!$E:$E,0)),"")</f>
        <v/>
      </c>
      <c r="AG56">
        <f>IF(AND(AE56&lt;&gt;"",AF56&lt;&gt;""),ROUNDUP((AF56-AE56)/7,0),"")</f>
        <v/>
      </c>
      <c r="AI56">
        <f>IFERROR(IF(AG56*AH56=0,"",AG56*AH56),"")</f>
        <v/>
      </c>
      <c r="AL56">
        <f>IF(AND(AJ56&lt;&gt;"",AK56&lt;&gt;""),ROUNDUP((AK56-AJ56)/7,0),"")</f>
        <v/>
      </c>
      <c r="AN56">
        <f>IFERROR(IF(AL56*AM56=0,"",AL56*AM56),"")</f>
        <v/>
      </c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L56">
        <f>IFERROR(INDEX('_names_lookup'!$C:$C,MATCH(BK56,'_names_lookup'!$A:$A,0)),"")</f>
        <v/>
      </c>
      <c r="BM56">
        <f>IFERROR(INDEX('_names_lookup'!$B:$B,MATCH(BK56,'_names_lookup'!$A:$A,0)),"")</f>
        <v/>
      </c>
      <c r="BS56">
        <f>IFERROR(IF(BR56*AA56=0,"",BR56*AA56),"")</f>
        <v/>
      </c>
    </row>
    <row r="57">
      <c r="O57">
        <f>IFERROR(INDEX('_courses_lookup'!$C:$C,MATCH(K57&amp;L57,'_courses_lookup'!$E:$E,0)),"")</f>
        <v/>
      </c>
      <c r="P57">
        <f>IFERROR(INDEX('_courses_lookup'!$D:$D,MATCH(K57&amp;L57,'_courses_lookup'!$E:$E,0)),"")</f>
        <v/>
      </c>
      <c r="AG57">
        <f>IF(AND(AE57&lt;&gt;"",AF57&lt;&gt;""),ROUNDUP((AF57-AE57)/7,0),"")</f>
        <v/>
      </c>
      <c r="AI57">
        <f>IFERROR(IF(AG57*AH57=0,"",AG57*AH57),"")</f>
        <v/>
      </c>
      <c r="AL57">
        <f>IF(AND(AJ57&lt;&gt;"",AK57&lt;&gt;""),ROUNDUP((AK57-AJ57)/7,0),"")</f>
        <v/>
      </c>
      <c r="AN57">
        <f>IFERROR(IF(AL57*AM57=0,"",AL57*AM57),"")</f>
        <v/>
      </c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L57">
        <f>IFERROR(INDEX('_names_lookup'!$C:$C,MATCH(BK57,'_names_lookup'!$A:$A,0)),"")</f>
        <v/>
      </c>
      <c r="BM57">
        <f>IFERROR(INDEX('_names_lookup'!$B:$B,MATCH(BK57,'_names_lookup'!$A:$A,0)),"")</f>
        <v/>
      </c>
      <c r="BS57">
        <f>IFERROR(IF(BR57*AA57=0,"",BR57*AA57),"")</f>
        <v/>
      </c>
    </row>
    <row r="58">
      <c r="O58">
        <f>IFERROR(INDEX('_courses_lookup'!$C:$C,MATCH(K58&amp;L58,'_courses_lookup'!$E:$E,0)),"")</f>
        <v/>
      </c>
      <c r="P58">
        <f>IFERROR(INDEX('_courses_lookup'!$D:$D,MATCH(K58&amp;L58,'_courses_lookup'!$E:$E,0)),"")</f>
        <v/>
      </c>
      <c r="AG58">
        <f>IF(AND(AE58&lt;&gt;"",AF58&lt;&gt;""),ROUNDUP((AF58-AE58)/7,0),"")</f>
        <v/>
      </c>
      <c r="AI58">
        <f>IFERROR(IF(AG58*AH58=0,"",AG58*AH58),"")</f>
        <v/>
      </c>
      <c r="AL58">
        <f>IF(AND(AJ58&lt;&gt;"",AK58&lt;&gt;""),ROUNDUP((AK58-AJ58)/7,0),"")</f>
        <v/>
      </c>
      <c r="AN58">
        <f>IFERROR(IF(AL58*AM58=0,"",AL58*AM58),"")</f>
        <v/>
      </c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L58">
        <f>IFERROR(INDEX('_names_lookup'!$C:$C,MATCH(BK58,'_names_lookup'!$A:$A,0)),"")</f>
        <v/>
      </c>
      <c r="BM58">
        <f>IFERROR(INDEX('_names_lookup'!$B:$B,MATCH(BK58,'_names_lookup'!$A:$A,0)),"")</f>
        <v/>
      </c>
      <c r="BS58">
        <f>IFERROR(IF(BR58*AA58=0,"",BR58*AA58),"")</f>
        <v/>
      </c>
    </row>
    <row r="59">
      <c r="O59">
        <f>IFERROR(INDEX('_courses_lookup'!$C:$C,MATCH(K59&amp;L59,'_courses_lookup'!$E:$E,0)),"")</f>
        <v/>
      </c>
      <c r="P59">
        <f>IFERROR(INDEX('_courses_lookup'!$D:$D,MATCH(K59&amp;L59,'_courses_lookup'!$E:$E,0)),"")</f>
        <v/>
      </c>
      <c r="AG59">
        <f>IF(AND(AE59&lt;&gt;"",AF59&lt;&gt;""),ROUNDUP((AF59-AE59)/7,0),"")</f>
        <v/>
      </c>
      <c r="AI59">
        <f>IFERROR(IF(AG59*AH59=0,"",AG59*AH59),"")</f>
        <v/>
      </c>
      <c r="AL59">
        <f>IF(AND(AJ59&lt;&gt;"",AK59&lt;&gt;""),ROUNDUP((AK59-AJ59)/7,0),"")</f>
        <v/>
      </c>
      <c r="AN59">
        <f>IFERROR(IF(AL59*AM59=0,"",AL59*AM59),"")</f>
        <v/>
      </c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L59">
        <f>IFERROR(INDEX('_names_lookup'!$C:$C,MATCH(BK59,'_names_lookup'!$A:$A,0)),"")</f>
        <v/>
      </c>
      <c r="BM59">
        <f>IFERROR(INDEX('_names_lookup'!$B:$B,MATCH(BK59,'_names_lookup'!$A:$A,0)),"")</f>
        <v/>
      </c>
      <c r="BS59">
        <f>IFERROR(IF(BR59*AA59=0,"",BR59*AA59),"")</f>
        <v/>
      </c>
    </row>
    <row r="60">
      <c r="O60">
        <f>IFERROR(INDEX('_courses_lookup'!$C:$C,MATCH(K60&amp;L60,'_courses_lookup'!$E:$E,0)),"")</f>
        <v/>
      </c>
      <c r="P60">
        <f>IFERROR(INDEX('_courses_lookup'!$D:$D,MATCH(K60&amp;L60,'_courses_lookup'!$E:$E,0)),"")</f>
        <v/>
      </c>
      <c r="AG60">
        <f>IF(AND(AE60&lt;&gt;"",AF60&lt;&gt;""),ROUNDUP((AF60-AE60)/7,0),"")</f>
        <v/>
      </c>
      <c r="AI60">
        <f>IFERROR(IF(AG60*AH60=0,"",AG60*AH60),"")</f>
        <v/>
      </c>
      <c r="AL60">
        <f>IF(AND(AJ60&lt;&gt;"",AK60&lt;&gt;""),ROUNDUP((AK60-AJ60)/7,0),"")</f>
        <v/>
      </c>
      <c r="AN60">
        <f>IFERROR(IF(AL60*AM60=0,"",AL60*AM60),"")</f>
        <v/>
      </c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L60">
        <f>IFERROR(INDEX('_names_lookup'!$C:$C,MATCH(BK60,'_names_lookup'!$A:$A,0)),"")</f>
        <v/>
      </c>
      <c r="BM60">
        <f>IFERROR(INDEX('_names_lookup'!$B:$B,MATCH(BK60,'_names_lookup'!$A:$A,0)),"")</f>
        <v/>
      </c>
      <c r="BS60">
        <f>IFERROR(IF(BR60*AA60=0,"",BR60*AA60),"")</f>
        <v/>
      </c>
    </row>
    <row r="61">
      <c r="O61">
        <f>IFERROR(INDEX('_courses_lookup'!$C:$C,MATCH(K61&amp;L61,'_courses_lookup'!$E:$E,0)),"")</f>
        <v/>
      </c>
      <c r="P61">
        <f>IFERROR(INDEX('_courses_lookup'!$D:$D,MATCH(K61&amp;L61,'_courses_lookup'!$E:$E,0)),"")</f>
        <v/>
      </c>
      <c r="AG61">
        <f>IF(AND(AE61&lt;&gt;"",AF61&lt;&gt;""),ROUNDUP((AF61-AE61)/7,0),"")</f>
        <v/>
      </c>
      <c r="AI61">
        <f>IFERROR(IF(AG61*AH61=0,"",AG61*AH61),"")</f>
        <v/>
      </c>
      <c r="AL61">
        <f>IF(AND(AJ61&lt;&gt;"",AK61&lt;&gt;""),ROUNDUP((AK61-AJ61)/7,0),"")</f>
        <v/>
      </c>
      <c r="AN61">
        <f>IFERROR(IF(AL61*AM61=0,"",AL61*AM61),"")</f>
        <v/>
      </c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L61">
        <f>IFERROR(INDEX('_names_lookup'!$C:$C,MATCH(BK61,'_names_lookup'!$A:$A,0)),"")</f>
        <v/>
      </c>
      <c r="BM61">
        <f>IFERROR(INDEX('_names_lookup'!$B:$B,MATCH(BK61,'_names_lookup'!$A:$A,0)),"")</f>
        <v/>
      </c>
      <c r="BS61">
        <f>IFERROR(IF(BR61*AA61=0,"",BR61*AA61),"")</f>
        <v/>
      </c>
    </row>
    <row r="62">
      <c r="O62">
        <f>IFERROR(INDEX('_courses_lookup'!$C:$C,MATCH(K62&amp;L62,'_courses_lookup'!$E:$E,0)),"")</f>
        <v/>
      </c>
      <c r="P62">
        <f>IFERROR(INDEX('_courses_lookup'!$D:$D,MATCH(K62&amp;L62,'_courses_lookup'!$E:$E,0)),"")</f>
        <v/>
      </c>
      <c r="AG62">
        <f>IF(AND(AE62&lt;&gt;"",AF62&lt;&gt;""),ROUNDUP((AF62-AE62)/7,0),"")</f>
        <v/>
      </c>
      <c r="AI62">
        <f>IFERROR(IF(AG62*AH62=0,"",AG62*AH62),"")</f>
        <v/>
      </c>
      <c r="AL62">
        <f>IF(AND(AJ62&lt;&gt;"",AK62&lt;&gt;""),ROUNDUP((AK62-AJ62)/7,0),"")</f>
        <v/>
      </c>
      <c r="AN62">
        <f>IFERROR(IF(AL62*AM62=0,"",AL62*AM62),"")</f>
        <v/>
      </c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L62">
        <f>IFERROR(INDEX('_names_lookup'!$C:$C,MATCH(BK62,'_names_lookup'!$A:$A,0)),"")</f>
        <v/>
      </c>
      <c r="BM62">
        <f>IFERROR(INDEX('_names_lookup'!$B:$B,MATCH(BK62,'_names_lookup'!$A:$A,0)),"")</f>
        <v/>
      </c>
      <c r="BS62">
        <f>IFERROR(IF(BR62*AA62=0,"",BR62*AA62),"")</f>
        <v/>
      </c>
    </row>
    <row r="63">
      <c r="O63">
        <f>IFERROR(INDEX('_courses_lookup'!$C:$C,MATCH(K63&amp;L63,'_courses_lookup'!$E:$E,0)),"")</f>
        <v/>
      </c>
      <c r="P63">
        <f>IFERROR(INDEX('_courses_lookup'!$D:$D,MATCH(K63&amp;L63,'_courses_lookup'!$E:$E,0)),"")</f>
        <v/>
      </c>
      <c r="AG63">
        <f>IF(AND(AE63&lt;&gt;"",AF63&lt;&gt;""),ROUNDUP((AF63-AE63)/7,0),"")</f>
        <v/>
      </c>
      <c r="AI63">
        <f>IFERROR(IF(AG63*AH63=0,"",AG63*AH63),"")</f>
        <v/>
      </c>
      <c r="AL63">
        <f>IF(AND(AJ63&lt;&gt;"",AK63&lt;&gt;""),ROUNDUP((AK63-AJ63)/7,0),"")</f>
        <v/>
      </c>
      <c r="AN63">
        <f>IFERROR(IF(AL63*AM63=0,"",AL63*AM63),"")</f>
        <v/>
      </c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L63">
        <f>IFERROR(INDEX('_names_lookup'!$C:$C,MATCH(BK63,'_names_lookup'!$A:$A,0)),"")</f>
        <v/>
      </c>
      <c r="BM63">
        <f>IFERROR(INDEX('_names_lookup'!$B:$B,MATCH(BK63,'_names_lookup'!$A:$A,0)),"")</f>
        <v/>
      </c>
      <c r="BS63">
        <f>IFERROR(IF(BR63*AA63=0,"",BR63*AA63),"")</f>
        <v/>
      </c>
    </row>
    <row r="64">
      <c r="O64">
        <f>IFERROR(INDEX('_courses_lookup'!$C:$C,MATCH(K64&amp;L64,'_courses_lookup'!$E:$E,0)),"")</f>
        <v/>
      </c>
      <c r="P64">
        <f>IFERROR(INDEX('_courses_lookup'!$D:$D,MATCH(K64&amp;L64,'_courses_lookup'!$E:$E,0)),"")</f>
        <v/>
      </c>
      <c r="AG64">
        <f>IF(AND(AE64&lt;&gt;"",AF64&lt;&gt;""),ROUNDUP((AF64-AE64)/7,0),"")</f>
        <v/>
      </c>
      <c r="AI64">
        <f>IFERROR(IF(AG64*AH64=0,"",AG64*AH64),"")</f>
        <v/>
      </c>
      <c r="AL64">
        <f>IF(AND(AJ64&lt;&gt;"",AK64&lt;&gt;""),ROUNDUP((AK64-AJ64)/7,0),"")</f>
        <v/>
      </c>
      <c r="AN64">
        <f>IFERROR(IF(AL64*AM64=0,"",AL64*AM64),"")</f>
        <v/>
      </c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L64">
        <f>IFERROR(INDEX('_names_lookup'!$C:$C,MATCH(BK64,'_names_lookup'!$A:$A,0)),"")</f>
        <v/>
      </c>
      <c r="BM64">
        <f>IFERROR(INDEX('_names_lookup'!$B:$B,MATCH(BK64,'_names_lookup'!$A:$A,0)),"")</f>
        <v/>
      </c>
      <c r="BS64">
        <f>IFERROR(IF(BR64*AA64=0,"",BR64*AA64),"")</f>
        <v/>
      </c>
    </row>
    <row r="65">
      <c r="O65">
        <f>IFERROR(INDEX('_courses_lookup'!$C:$C,MATCH(K65&amp;L65,'_courses_lookup'!$E:$E,0)),"")</f>
        <v/>
      </c>
      <c r="P65">
        <f>IFERROR(INDEX('_courses_lookup'!$D:$D,MATCH(K65&amp;L65,'_courses_lookup'!$E:$E,0)),"")</f>
        <v/>
      </c>
      <c r="AG65">
        <f>IF(AND(AE65&lt;&gt;"",AF65&lt;&gt;""),ROUNDUP((AF65-AE65)/7,0),"")</f>
        <v/>
      </c>
      <c r="AI65">
        <f>IFERROR(IF(AG65*AH65=0,"",AG65*AH65),"")</f>
        <v/>
      </c>
      <c r="AL65">
        <f>IF(AND(AJ65&lt;&gt;"",AK65&lt;&gt;""),ROUNDUP((AK65-AJ65)/7,0),"")</f>
        <v/>
      </c>
      <c r="AN65">
        <f>IFERROR(IF(AL65*AM65=0,"",AL65*AM65),"")</f>
        <v/>
      </c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L65">
        <f>IFERROR(INDEX('_names_lookup'!$C:$C,MATCH(BK65,'_names_lookup'!$A:$A,0)),"")</f>
        <v/>
      </c>
      <c r="BM65">
        <f>IFERROR(INDEX('_names_lookup'!$B:$B,MATCH(BK65,'_names_lookup'!$A:$A,0)),"")</f>
        <v/>
      </c>
      <c r="BS65">
        <f>IFERROR(IF(BR65*AA65=0,"",BR65*AA65),"")</f>
        <v/>
      </c>
    </row>
    <row r="66">
      <c r="O66">
        <f>IFERROR(INDEX('_courses_lookup'!$C:$C,MATCH(K66&amp;L66,'_courses_lookup'!$E:$E,0)),"")</f>
        <v/>
      </c>
      <c r="P66">
        <f>IFERROR(INDEX('_courses_lookup'!$D:$D,MATCH(K66&amp;L66,'_courses_lookup'!$E:$E,0)),"")</f>
        <v/>
      </c>
      <c r="AG66">
        <f>IF(AND(AE66&lt;&gt;"",AF66&lt;&gt;""),ROUNDUP((AF66-AE66)/7,0),"")</f>
        <v/>
      </c>
      <c r="AI66">
        <f>IFERROR(IF(AG66*AH66=0,"",AG66*AH66),"")</f>
        <v/>
      </c>
      <c r="AL66">
        <f>IF(AND(AJ66&lt;&gt;"",AK66&lt;&gt;""),ROUNDUP((AK66-AJ66)/7,0),"")</f>
        <v/>
      </c>
      <c r="AN66">
        <f>IFERROR(IF(AL66*AM66=0,"",AL66*AM66),"")</f>
        <v/>
      </c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L66">
        <f>IFERROR(INDEX('_names_lookup'!$C:$C,MATCH(BK66,'_names_lookup'!$A:$A,0)),"")</f>
        <v/>
      </c>
      <c r="BM66">
        <f>IFERROR(INDEX('_names_lookup'!$B:$B,MATCH(BK66,'_names_lookup'!$A:$A,0)),"")</f>
        <v/>
      </c>
      <c r="BS66">
        <f>IFERROR(IF(BR66*AA66=0,"",BR66*AA66),"")</f>
        <v/>
      </c>
    </row>
    <row r="67">
      <c r="O67">
        <f>IFERROR(INDEX('_courses_lookup'!$C:$C,MATCH(K67&amp;L67,'_courses_lookup'!$E:$E,0)),"")</f>
        <v/>
      </c>
      <c r="P67">
        <f>IFERROR(INDEX('_courses_lookup'!$D:$D,MATCH(K67&amp;L67,'_courses_lookup'!$E:$E,0)),"")</f>
        <v/>
      </c>
      <c r="AG67">
        <f>IF(AND(AE67&lt;&gt;"",AF67&lt;&gt;""),ROUNDUP((AF67-AE67)/7,0),"")</f>
        <v/>
      </c>
      <c r="AI67">
        <f>IFERROR(IF(AG67*AH67=0,"",AG67*AH67),"")</f>
        <v/>
      </c>
      <c r="AL67">
        <f>IF(AND(AJ67&lt;&gt;"",AK67&lt;&gt;""),ROUNDUP((AK67-AJ67)/7,0),"")</f>
        <v/>
      </c>
      <c r="AN67">
        <f>IFERROR(IF(AL67*AM67=0,"",AL67*AM67),"")</f>
        <v/>
      </c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L67">
        <f>IFERROR(INDEX('_names_lookup'!$C:$C,MATCH(BK67,'_names_lookup'!$A:$A,0)),"")</f>
        <v/>
      </c>
      <c r="BM67">
        <f>IFERROR(INDEX('_names_lookup'!$B:$B,MATCH(BK67,'_names_lookup'!$A:$A,0)),"")</f>
        <v/>
      </c>
      <c r="BS67">
        <f>IFERROR(IF(BR67*AA67=0,"",BR67*AA67),"")</f>
        <v/>
      </c>
    </row>
    <row r="68">
      <c r="O68">
        <f>IFERROR(INDEX('_courses_lookup'!$C:$C,MATCH(K68&amp;L68,'_courses_lookup'!$E:$E,0)),"")</f>
        <v/>
      </c>
      <c r="P68">
        <f>IFERROR(INDEX('_courses_lookup'!$D:$D,MATCH(K68&amp;L68,'_courses_lookup'!$E:$E,0)),"")</f>
        <v/>
      </c>
      <c r="AG68">
        <f>IF(AND(AE68&lt;&gt;"",AF68&lt;&gt;""),ROUNDUP((AF68-AE68)/7,0),"")</f>
        <v/>
      </c>
      <c r="AI68">
        <f>IFERROR(IF(AG68*AH68=0,"",AG68*AH68),"")</f>
        <v/>
      </c>
      <c r="AL68">
        <f>IF(AND(AJ68&lt;&gt;"",AK68&lt;&gt;""),ROUNDUP((AK68-AJ68)/7,0),"")</f>
        <v/>
      </c>
      <c r="AN68">
        <f>IFERROR(IF(AL68*AM68=0,"",AL68*AM68),"")</f>
        <v/>
      </c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L68">
        <f>IFERROR(INDEX('_names_lookup'!$C:$C,MATCH(BK68,'_names_lookup'!$A:$A,0)),"")</f>
        <v/>
      </c>
      <c r="BM68">
        <f>IFERROR(INDEX('_names_lookup'!$B:$B,MATCH(BK68,'_names_lookup'!$A:$A,0)),"")</f>
        <v/>
      </c>
      <c r="BS68">
        <f>IFERROR(IF(BR68*AA68=0,"",BR68*AA68),"")</f>
        <v/>
      </c>
    </row>
    <row r="69">
      <c r="O69">
        <f>IFERROR(INDEX('_courses_lookup'!$C:$C,MATCH(K69&amp;L69,'_courses_lookup'!$E:$E,0)),"")</f>
        <v/>
      </c>
      <c r="P69">
        <f>IFERROR(INDEX('_courses_lookup'!$D:$D,MATCH(K69&amp;L69,'_courses_lookup'!$E:$E,0)),"")</f>
        <v/>
      </c>
      <c r="AG69">
        <f>IF(AND(AE69&lt;&gt;"",AF69&lt;&gt;""),ROUNDUP((AF69-AE69)/7,0),"")</f>
        <v/>
      </c>
      <c r="AI69">
        <f>IFERROR(IF(AG69*AH69=0,"",AG69*AH69),"")</f>
        <v/>
      </c>
      <c r="AL69">
        <f>IF(AND(AJ69&lt;&gt;"",AK69&lt;&gt;""),ROUNDUP((AK69-AJ69)/7,0),"")</f>
        <v/>
      </c>
      <c r="AN69">
        <f>IFERROR(IF(AL69*AM69=0,"",AL69*AM69),"")</f>
        <v/>
      </c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L69">
        <f>IFERROR(INDEX('_names_lookup'!$C:$C,MATCH(BK69,'_names_lookup'!$A:$A,0)),"")</f>
        <v/>
      </c>
      <c r="BM69">
        <f>IFERROR(INDEX('_names_lookup'!$B:$B,MATCH(BK69,'_names_lookup'!$A:$A,0)),"")</f>
        <v/>
      </c>
      <c r="BS69">
        <f>IFERROR(IF(BR69*AA69=0,"",BR69*AA69),"")</f>
        <v/>
      </c>
    </row>
    <row r="70">
      <c r="O70">
        <f>IFERROR(INDEX('_courses_lookup'!$C:$C,MATCH(K70&amp;L70,'_courses_lookup'!$E:$E,0)),"")</f>
        <v/>
      </c>
      <c r="P70">
        <f>IFERROR(INDEX('_courses_lookup'!$D:$D,MATCH(K70&amp;L70,'_courses_lookup'!$E:$E,0)),"")</f>
        <v/>
      </c>
      <c r="AG70">
        <f>IF(AND(AE70&lt;&gt;"",AF70&lt;&gt;""),ROUNDUP((AF70-AE70)/7,0),"")</f>
        <v/>
      </c>
      <c r="AI70">
        <f>IFERROR(IF(AG70*AH70=0,"",AG70*AH70),"")</f>
        <v/>
      </c>
      <c r="AL70">
        <f>IF(AND(AJ70&lt;&gt;"",AK70&lt;&gt;""),ROUNDUP((AK70-AJ70)/7,0),"")</f>
        <v/>
      </c>
      <c r="AN70">
        <f>IFERROR(IF(AL70*AM70=0,"",AL70*AM70),"")</f>
        <v/>
      </c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L70">
        <f>IFERROR(INDEX('_names_lookup'!$C:$C,MATCH(BK70,'_names_lookup'!$A:$A,0)),"")</f>
        <v/>
      </c>
      <c r="BM70">
        <f>IFERROR(INDEX('_names_lookup'!$B:$B,MATCH(BK70,'_names_lookup'!$A:$A,0)),"")</f>
        <v/>
      </c>
      <c r="BS70">
        <f>IFERROR(IF(BR70*AA70=0,"",BR70*AA70),"")</f>
        <v/>
      </c>
    </row>
    <row r="71">
      <c r="O71">
        <f>IFERROR(INDEX('_courses_lookup'!$C:$C,MATCH(K71&amp;L71,'_courses_lookup'!$E:$E,0)),"")</f>
        <v/>
      </c>
      <c r="P71">
        <f>IFERROR(INDEX('_courses_lookup'!$D:$D,MATCH(K71&amp;L71,'_courses_lookup'!$E:$E,0)),"")</f>
        <v/>
      </c>
      <c r="AG71">
        <f>IF(AND(AE71&lt;&gt;"",AF71&lt;&gt;""),ROUNDUP((AF71-AE71)/7,0),"")</f>
        <v/>
      </c>
      <c r="AI71">
        <f>IFERROR(IF(AG71*AH71=0,"",AG71*AH71),"")</f>
        <v/>
      </c>
      <c r="AL71">
        <f>IF(AND(AJ71&lt;&gt;"",AK71&lt;&gt;""),ROUNDUP((AK71-AJ71)/7,0),"")</f>
        <v/>
      </c>
      <c r="AN71">
        <f>IFERROR(IF(AL71*AM71=0,"",AL71*AM71),"")</f>
        <v/>
      </c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L71">
        <f>IFERROR(INDEX('_names_lookup'!$C:$C,MATCH(BK71,'_names_lookup'!$A:$A,0)),"")</f>
        <v/>
      </c>
      <c r="BM71">
        <f>IFERROR(INDEX('_names_lookup'!$B:$B,MATCH(BK71,'_names_lookup'!$A:$A,0)),"")</f>
        <v/>
      </c>
      <c r="BS71">
        <f>IFERROR(IF(BR71*AA71=0,"",BR71*AA71),"")</f>
        <v/>
      </c>
    </row>
    <row r="72">
      <c r="O72">
        <f>IFERROR(INDEX('_courses_lookup'!$C:$C,MATCH(K72&amp;L72,'_courses_lookup'!$E:$E,0)),"")</f>
        <v/>
      </c>
      <c r="P72">
        <f>IFERROR(INDEX('_courses_lookup'!$D:$D,MATCH(K72&amp;L72,'_courses_lookup'!$E:$E,0)),"")</f>
        <v/>
      </c>
      <c r="AG72">
        <f>IF(AND(AE72&lt;&gt;"",AF72&lt;&gt;""),ROUNDUP((AF72-AE72)/7,0),"")</f>
        <v/>
      </c>
      <c r="AI72">
        <f>IFERROR(IF(AG72*AH72=0,"",AG72*AH72),"")</f>
        <v/>
      </c>
      <c r="AL72">
        <f>IF(AND(AJ72&lt;&gt;"",AK72&lt;&gt;""),ROUNDUP((AK72-AJ72)/7,0),"")</f>
        <v/>
      </c>
      <c r="AN72">
        <f>IFERROR(IF(AL72*AM72=0,"",AL72*AM72),"")</f>
        <v/>
      </c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L72">
        <f>IFERROR(INDEX('_names_lookup'!$C:$C,MATCH(BK72,'_names_lookup'!$A:$A,0)),"")</f>
        <v/>
      </c>
      <c r="BM72">
        <f>IFERROR(INDEX('_names_lookup'!$B:$B,MATCH(BK72,'_names_lookup'!$A:$A,0)),"")</f>
        <v/>
      </c>
      <c r="BS72">
        <f>IFERROR(IF(BR72*AA72=0,"",BR72*AA72),"")</f>
        <v/>
      </c>
    </row>
    <row r="73">
      <c r="O73">
        <f>IFERROR(INDEX('_courses_lookup'!$C:$C,MATCH(K73&amp;L73,'_courses_lookup'!$E:$E,0)),"")</f>
        <v/>
      </c>
      <c r="P73">
        <f>IFERROR(INDEX('_courses_lookup'!$D:$D,MATCH(K73&amp;L73,'_courses_lookup'!$E:$E,0)),"")</f>
        <v/>
      </c>
      <c r="AG73">
        <f>IF(AND(AE73&lt;&gt;"",AF73&lt;&gt;""),ROUNDUP((AF73-AE73)/7,0),"")</f>
        <v/>
      </c>
      <c r="AI73">
        <f>IFERROR(IF(AG73*AH73=0,"",AG73*AH73),"")</f>
        <v/>
      </c>
      <c r="AL73">
        <f>IF(AND(AJ73&lt;&gt;"",AK73&lt;&gt;""),ROUNDUP((AK73-AJ73)/7,0),"")</f>
        <v/>
      </c>
      <c r="AN73">
        <f>IFERROR(IF(AL73*AM73=0,"",AL73*AM73),"")</f>
        <v/>
      </c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L73">
        <f>IFERROR(INDEX('_names_lookup'!$C:$C,MATCH(BK73,'_names_lookup'!$A:$A,0)),"")</f>
        <v/>
      </c>
      <c r="BM73">
        <f>IFERROR(INDEX('_names_lookup'!$B:$B,MATCH(BK73,'_names_lookup'!$A:$A,0)),"")</f>
        <v/>
      </c>
      <c r="BS73">
        <f>IFERROR(IF(BR73*AA73=0,"",BR73*AA73),"")</f>
        <v/>
      </c>
    </row>
    <row r="74">
      <c r="O74">
        <f>IFERROR(INDEX('_courses_lookup'!$C:$C,MATCH(K74&amp;L74,'_courses_lookup'!$E:$E,0)),"")</f>
        <v/>
      </c>
      <c r="P74">
        <f>IFERROR(INDEX('_courses_lookup'!$D:$D,MATCH(K74&amp;L74,'_courses_lookup'!$E:$E,0)),"")</f>
        <v/>
      </c>
      <c r="AG74">
        <f>IF(AND(AE74&lt;&gt;"",AF74&lt;&gt;""),ROUNDUP((AF74-AE74)/7,0),"")</f>
        <v/>
      </c>
      <c r="AI74">
        <f>IFERROR(IF(AG74*AH74=0,"",AG74*AH74),"")</f>
        <v/>
      </c>
      <c r="AL74">
        <f>IF(AND(AJ74&lt;&gt;"",AK74&lt;&gt;""),ROUNDUP((AK74-AJ74)/7,0),"")</f>
        <v/>
      </c>
      <c r="AN74">
        <f>IFERROR(IF(AL74*AM74=0,"",AL74*AM74),"")</f>
        <v/>
      </c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L74">
        <f>IFERROR(INDEX('_names_lookup'!$C:$C,MATCH(BK74,'_names_lookup'!$A:$A,0)),"")</f>
        <v/>
      </c>
      <c r="BM74">
        <f>IFERROR(INDEX('_names_lookup'!$B:$B,MATCH(BK74,'_names_lookup'!$A:$A,0)),"")</f>
        <v/>
      </c>
      <c r="BS74">
        <f>IFERROR(IF(BR74*AA74=0,"",BR74*AA74),"")</f>
        <v/>
      </c>
    </row>
    <row r="75">
      <c r="O75">
        <f>IFERROR(INDEX('_courses_lookup'!$C:$C,MATCH(K75&amp;L75,'_courses_lookup'!$E:$E,0)),"")</f>
        <v/>
      </c>
      <c r="P75">
        <f>IFERROR(INDEX('_courses_lookup'!$D:$D,MATCH(K75&amp;L75,'_courses_lookup'!$E:$E,0)),"")</f>
        <v/>
      </c>
      <c r="AG75">
        <f>IF(AND(AE75&lt;&gt;"",AF75&lt;&gt;""),ROUNDUP((AF75-AE75)/7,0),"")</f>
        <v/>
      </c>
      <c r="AI75">
        <f>IFERROR(IF(AG75*AH75=0,"",AG75*AH75),"")</f>
        <v/>
      </c>
      <c r="AL75">
        <f>IF(AND(AJ75&lt;&gt;"",AK75&lt;&gt;""),ROUNDUP((AK75-AJ75)/7,0),"")</f>
        <v/>
      </c>
      <c r="AN75">
        <f>IFERROR(IF(AL75*AM75=0,"",AL75*AM75),"")</f>
        <v/>
      </c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L75">
        <f>IFERROR(INDEX('_names_lookup'!$C:$C,MATCH(BK75,'_names_lookup'!$A:$A,0)),"")</f>
        <v/>
      </c>
      <c r="BM75">
        <f>IFERROR(INDEX('_names_lookup'!$B:$B,MATCH(BK75,'_names_lookup'!$A:$A,0)),"")</f>
        <v/>
      </c>
      <c r="BS75">
        <f>IFERROR(IF(BR75*AA75=0,"",BR75*AA75),"")</f>
        <v/>
      </c>
    </row>
    <row r="76">
      <c r="O76">
        <f>IFERROR(INDEX('_courses_lookup'!$C:$C,MATCH(K76&amp;L76,'_courses_lookup'!$E:$E,0)),"")</f>
        <v/>
      </c>
      <c r="P76">
        <f>IFERROR(INDEX('_courses_lookup'!$D:$D,MATCH(K76&amp;L76,'_courses_lookup'!$E:$E,0)),"")</f>
        <v/>
      </c>
      <c r="AG76">
        <f>IF(AND(AE76&lt;&gt;"",AF76&lt;&gt;""),ROUNDUP((AF76-AE76)/7,0),"")</f>
        <v/>
      </c>
      <c r="AI76">
        <f>IFERROR(IF(AG76*AH76=0,"",AG76*AH76),"")</f>
        <v/>
      </c>
      <c r="AL76">
        <f>IF(AND(AJ76&lt;&gt;"",AK76&lt;&gt;""),ROUNDUP((AK76-AJ76)/7,0),"")</f>
        <v/>
      </c>
      <c r="AN76">
        <f>IFERROR(IF(AL76*AM76=0,"",AL76*AM76),"")</f>
        <v/>
      </c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L76">
        <f>IFERROR(INDEX('_names_lookup'!$C:$C,MATCH(BK76,'_names_lookup'!$A:$A,0)),"")</f>
        <v/>
      </c>
      <c r="BM76">
        <f>IFERROR(INDEX('_names_lookup'!$B:$B,MATCH(BK76,'_names_lookup'!$A:$A,0)),"")</f>
        <v/>
      </c>
      <c r="BS76">
        <f>IFERROR(IF(BR76*AA76=0,"",BR76*AA76),"")</f>
        <v/>
      </c>
    </row>
    <row r="77">
      <c r="O77">
        <f>IFERROR(INDEX('_courses_lookup'!$C:$C,MATCH(K77&amp;L77,'_courses_lookup'!$E:$E,0)),"")</f>
        <v/>
      </c>
      <c r="P77">
        <f>IFERROR(INDEX('_courses_lookup'!$D:$D,MATCH(K77&amp;L77,'_courses_lookup'!$E:$E,0)),"")</f>
        <v/>
      </c>
      <c r="AG77">
        <f>IF(AND(AE77&lt;&gt;"",AF77&lt;&gt;""),ROUNDUP((AF77-AE77)/7,0),"")</f>
        <v/>
      </c>
      <c r="AI77">
        <f>IFERROR(IF(AG77*AH77=0,"",AG77*AH77),"")</f>
        <v/>
      </c>
      <c r="AL77">
        <f>IF(AND(AJ77&lt;&gt;"",AK77&lt;&gt;""),ROUNDUP((AK77-AJ77)/7,0),"")</f>
        <v/>
      </c>
      <c r="AN77">
        <f>IFERROR(IF(AL77*AM77=0,"",AL77*AM77),"")</f>
        <v/>
      </c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L77">
        <f>IFERROR(INDEX('_names_lookup'!$C:$C,MATCH(BK77,'_names_lookup'!$A:$A,0)),"")</f>
        <v/>
      </c>
      <c r="BM77">
        <f>IFERROR(INDEX('_names_lookup'!$B:$B,MATCH(BK77,'_names_lookup'!$A:$A,0)),"")</f>
        <v/>
      </c>
      <c r="BS77">
        <f>IFERROR(IF(BR77*AA77=0,"",BR77*AA77),"")</f>
        <v/>
      </c>
    </row>
    <row r="78">
      <c r="O78">
        <f>IFERROR(INDEX('_courses_lookup'!$C:$C,MATCH(K78&amp;L78,'_courses_lookup'!$E:$E,0)),"")</f>
        <v/>
      </c>
      <c r="P78">
        <f>IFERROR(INDEX('_courses_lookup'!$D:$D,MATCH(K78&amp;L78,'_courses_lookup'!$E:$E,0)),"")</f>
        <v/>
      </c>
      <c r="AG78">
        <f>IF(AND(AE78&lt;&gt;"",AF78&lt;&gt;""),ROUNDUP((AF78-AE78)/7,0),"")</f>
        <v/>
      </c>
      <c r="AI78">
        <f>IFERROR(IF(AG78*AH78=0,"",AG78*AH78),"")</f>
        <v/>
      </c>
      <c r="AL78">
        <f>IF(AND(AJ78&lt;&gt;"",AK78&lt;&gt;""),ROUNDUP((AK78-AJ78)/7,0),"")</f>
        <v/>
      </c>
      <c r="AN78">
        <f>IFERROR(IF(AL78*AM78=0,"",AL78*AM78),"")</f>
        <v/>
      </c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L78">
        <f>IFERROR(INDEX('_names_lookup'!$C:$C,MATCH(BK78,'_names_lookup'!$A:$A,0)),"")</f>
        <v/>
      </c>
      <c r="BM78">
        <f>IFERROR(INDEX('_names_lookup'!$B:$B,MATCH(BK78,'_names_lookup'!$A:$A,0)),"")</f>
        <v/>
      </c>
      <c r="BS78">
        <f>IFERROR(IF(BR78*AA78=0,"",BR78*AA78),"")</f>
        <v/>
      </c>
    </row>
    <row r="79">
      <c r="O79">
        <f>IFERROR(INDEX('_courses_lookup'!$C:$C,MATCH(K79&amp;L79,'_courses_lookup'!$E:$E,0)),"")</f>
        <v/>
      </c>
      <c r="P79">
        <f>IFERROR(INDEX('_courses_lookup'!$D:$D,MATCH(K79&amp;L79,'_courses_lookup'!$E:$E,0)),"")</f>
        <v/>
      </c>
      <c r="AG79">
        <f>IF(AND(AE79&lt;&gt;"",AF79&lt;&gt;""),ROUNDUP((AF79-AE79)/7,0),"")</f>
        <v/>
      </c>
      <c r="AI79">
        <f>IFERROR(IF(AG79*AH79=0,"",AG79*AH79),"")</f>
        <v/>
      </c>
      <c r="AL79">
        <f>IF(AND(AJ79&lt;&gt;"",AK79&lt;&gt;""),ROUNDUP((AK79-AJ79)/7,0),"")</f>
        <v/>
      </c>
      <c r="AN79">
        <f>IFERROR(IF(AL79*AM79=0,"",AL79*AM79),"")</f>
        <v/>
      </c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L79">
        <f>IFERROR(INDEX('_names_lookup'!$C:$C,MATCH(BK79,'_names_lookup'!$A:$A,0)),"")</f>
        <v/>
      </c>
      <c r="BM79">
        <f>IFERROR(INDEX('_names_lookup'!$B:$B,MATCH(BK79,'_names_lookup'!$A:$A,0)),"")</f>
        <v/>
      </c>
      <c r="BS79">
        <f>IFERROR(IF(BR79*AA79=0,"",BR79*AA79),"")</f>
        <v/>
      </c>
    </row>
    <row r="80">
      <c r="O80">
        <f>IFERROR(INDEX('_courses_lookup'!$C:$C,MATCH(K80&amp;L80,'_courses_lookup'!$E:$E,0)),"")</f>
        <v/>
      </c>
      <c r="P80">
        <f>IFERROR(INDEX('_courses_lookup'!$D:$D,MATCH(K80&amp;L80,'_courses_lookup'!$E:$E,0)),"")</f>
        <v/>
      </c>
      <c r="AG80">
        <f>IF(AND(AE80&lt;&gt;"",AF80&lt;&gt;""),ROUNDUP((AF80-AE80)/7,0),"")</f>
        <v/>
      </c>
      <c r="AI80">
        <f>IFERROR(IF(AG80*AH80=0,"",AG80*AH80),"")</f>
        <v/>
      </c>
      <c r="AL80">
        <f>IF(AND(AJ80&lt;&gt;"",AK80&lt;&gt;""),ROUNDUP((AK80-AJ80)/7,0),"")</f>
        <v/>
      </c>
      <c r="AN80">
        <f>IFERROR(IF(AL80*AM80=0,"",AL80*AM80),"")</f>
        <v/>
      </c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L80">
        <f>IFERROR(INDEX('_names_lookup'!$C:$C,MATCH(BK80,'_names_lookup'!$A:$A,0)),"")</f>
        <v/>
      </c>
      <c r="BM80">
        <f>IFERROR(INDEX('_names_lookup'!$B:$B,MATCH(BK80,'_names_lookup'!$A:$A,0)),"")</f>
        <v/>
      </c>
      <c r="BS80">
        <f>IFERROR(IF(BR80*AA80=0,"",BR80*AA80),"")</f>
        <v/>
      </c>
    </row>
    <row r="81">
      <c r="O81">
        <f>IFERROR(INDEX('_courses_lookup'!$C:$C,MATCH(K81&amp;L81,'_courses_lookup'!$E:$E,0)),"")</f>
        <v/>
      </c>
      <c r="P81">
        <f>IFERROR(INDEX('_courses_lookup'!$D:$D,MATCH(K81&amp;L81,'_courses_lookup'!$E:$E,0)),"")</f>
        <v/>
      </c>
      <c r="AG81">
        <f>IF(AND(AE81&lt;&gt;"",AF81&lt;&gt;""),ROUNDUP((AF81-AE81)/7,0),"")</f>
        <v/>
      </c>
      <c r="AI81">
        <f>IFERROR(IF(AG81*AH81=0,"",AG81*AH81),"")</f>
        <v/>
      </c>
      <c r="AL81">
        <f>IF(AND(AJ81&lt;&gt;"",AK81&lt;&gt;""),ROUNDUP((AK81-AJ81)/7,0),"")</f>
        <v/>
      </c>
      <c r="AN81">
        <f>IFERROR(IF(AL81*AM81=0,"",AL81*AM81),"")</f>
        <v/>
      </c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L81">
        <f>IFERROR(INDEX('_names_lookup'!$C:$C,MATCH(BK81,'_names_lookup'!$A:$A,0)),"")</f>
        <v/>
      </c>
      <c r="BM81">
        <f>IFERROR(INDEX('_names_lookup'!$B:$B,MATCH(BK81,'_names_lookup'!$A:$A,0)),"")</f>
        <v/>
      </c>
      <c r="BS81">
        <f>IFERROR(IF(BR81*AA81=0,"",BR81*AA81),"")</f>
        <v/>
      </c>
    </row>
    <row r="82">
      <c r="O82">
        <f>IFERROR(INDEX('_courses_lookup'!$C:$C,MATCH(K82&amp;L82,'_courses_lookup'!$E:$E,0)),"")</f>
        <v/>
      </c>
      <c r="P82">
        <f>IFERROR(INDEX('_courses_lookup'!$D:$D,MATCH(K82&amp;L82,'_courses_lookup'!$E:$E,0)),"")</f>
        <v/>
      </c>
      <c r="AG82">
        <f>IF(AND(AE82&lt;&gt;"",AF82&lt;&gt;""),ROUNDUP((AF82-AE82)/7,0),"")</f>
        <v/>
      </c>
      <c r="AI82">
        <f>IFERROR(IF(AG82*AH82=0,"",AG82*AH82),"")</f>
        <v/>
      </c>
      <c r="AL82">
        <f>IF(AND(AJ82&lt;&gt;"",AK82&lt;&gt;""),ROUNDUP((AK82-AJ82)/7,0),"")</f>
        <v/>
      </c>
      <c r="AN82">
        <f>IFERROR(IF(AL82*AM82=0,"",AL82*AM82),"")</f>
        <v/>
      </c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L82">
        <f>IFERROR(INDEX('_names_lookup'!$C:$C,MATCH(BK82,'_names_lookup'!$A:$A,0)),"")</f>
        <v/>
      </c>
      <c r="BM82">
        <f>IFERROR(INDEX('_names_lookup'!$B:$B,MATCH(BK82,'_names_lookup'!$A:$A,0)),"")</f>
        <v/>
      </c>
      <c r="BS82">
        <f>IFERROR(IF(BR82*AA82=0,"",BR82*AA82),"")</f>
        <v/>
      </c>
    </row>
    <row r="83">
      <c r="O83">
        <f>IFERROR(INDEX('_courses_lookup'!$C:$C,MATCH(K83&amp;L83,'_courses_lookup'!$E:$E,0)),"")</f>
        <v/>
      </c>
      <c r="P83">
        <f>IFERROR(INDEX('_courses_lookup'!$D:$D,MATCH(K83&amp;L83,'_courses_lookup'!$E:$E,0)),"")</f>
        <v/>
      </c>
      <c r="AG83">
        <f>IF(AND(AE83&lt;&gt;"",AF83&lt;&gt;""),ROUNDUP((AF83-AE83)/7,0),"")</f>
        <v/>
      </c>
      <c r="AI83">
        <f>IFERROR(IF(AG83*AH83=0,"",AG83*AH83),"")</f>
        <v/>
      </c>
      <c r="AL83">
        <f>IF(AND(AJ83&lt;&gt;"",AK83&lt;&gt;""),ROUNDUP((AK83-AJ83)/7,0),"")</f>
        <v/>
      </c>
      <c r="AN83">
        <f>IFERROR(IF(AL83*AM83=0,"",AL83*AM83),"")</f>
        <v/>
      </c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L83">
        <f>IFERROR(INDEX('_names_lookup'!$C:$C,MATCH(BK83,'_names_lookup'!$A:$A,0)),"")</f>
        <v/>
      </c>
      <c r="BM83">
        <f>IFERROR(INDEX('_names_lookup'!$B:$B,MATCH(BK83,'_names_lookup'!$A:$A,0)),"")</f>
        <v/>
      </c>
      <c r="BS83">
        <f>IFERROR(IF(BR83*AA83=0,"",BR83*AA83),"")</f>
        <v/>
      </c>
    </row>
    <row r="84">
      <c r="O84">
        <f>IFERROR(INDEX('_courses_lookup'!$C:$C,MATCH(K84&amp;L84,'_courses_lookup'!$E:$E,0)),"")</f>
        <v/>
      </c>
      <c r="P84">
        <f>IFERROR(INDEX('_courses_lookup'!$D:$D,MATCH(K84&amp;L84,'_courses_lookup'!$E:$E,0)),"")</f>
        <v/>
      </c>
      <c r="AG84">
        <f>IF(AND(AE84&lt;&gt;"",AF84&lt;&gt;""),ROUNDUP((AF84-AE84)/7,0),"")</f>
        <v/>
      </c>
      <c r="AI84">
        <f>IFERROR(IF(AG84*AH84=0,"",AG84*AH84),"")</f>
        <v/>
      </c>
      <c r="AL84">
        <f>IF(AND(AJ84&lt;&gt;"",AK84&lt;&gt;""),ROUNDUP((AK84-AJ84)/7,0),"")</f>
        <v/>
      </c>
      <c r="AN84">
        <f>IFERROR(IF(AL84*AM84=0,"",AL84*AM84),"")</f>
        <v/>
      </c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L84">
        <f>IFERROR(INDEX('_names_lookup'!$C:$C,MATCH(BK84,'_names_lookup'!$A:$A,0)),"")</f>
        <v/>
      </c>
      <c r="BM84">
        <f>IFERROR(INDEX('_names_lookup'!$B:$B,MATCH(BK84,'_names_lookup'!$A:$A,0)),"")</f>
        <v/>
      </c>
      <c r="BS84">
        <f>IFERROR(IF(BR84*AA84=0,"",BR84*AA84),"")</f>
        <v/>
      </c>
    </row>
    <row r="85">
      <c r="O85">
        <f>IFERROR(INDEX('_courses_lookup'!$C:$C,MATCH(K85&amp;L85,'_courses_lookup'!$E:$E,0)),"")</f>
        <v/>
      </c>
      <c r="P85">
        <f>IFERROR(INDEX('_courses_lookup'!$D:$D,MATCH(K85&amp;L85,'_courses_lookup'!$E:$E,0)),"")</f>
        <v/>
      </c>
      <c r="AG85">
        <f>IF(AND(AE85&lt;&gt;"",AF85&lt;&gt;""),ROUNDUP((AF85-AE85)/7,0),"")</f>
        <v/>
      </c>
      <c r="AI85">
        <f>IFERROR(IF(AG85*AH85=0,"",AG85*AH85),"")</f>
        <v/>
      </c>
      <c r="AL85">
        <f>IF(AND(AJ85&lt;&gt;"",AK85&lt;&gt;""),ROUNDUP((AK85-AJ85)/7,0),"")</f>
        <v/>
      </c>
      <c r="AN85">
        <f>IFERROR(IF(AL85*AM85=0,"",AL85*AM85),"")</f>
        <v/>
      </c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L85">
        <f>IFERROR(INDEX('_names_lookup'!$C:$C,MATCH(BK85,'_names_lookup'!$A:$A,0)),"")</f>
        <v/>
      </c>
      <c r="BM85">
        <f>IFERROR(INDEX('_names_lookup'!$B:$B,MATCH(BK85,'_names_lookup'!$A:$A,0)),"")</f>
        <v/>
      </c>
      <c r="BS85">
        <f>IFERROR(IF(BR85*AA85=0,"",BR85*AA85),"")</f>
        <v/>
      </c>
    </row>
    <row r="86">
      <c r="O86">
        <f>IFERROR(INDEX('_courses_lookup'!$C:$C,MATCH(K86&amp;L86,'_courses_lookup'!$E:$E,0)),"")</f>
        <v/>
      </c>
      <c r="P86">
        <f>IFERROR(INDEX('_courses_lookup'!$D:$D,MATCH(K86&amp;L86,'_courses_lookup'!$E:$E,0)),"")</f>
        <v/>
      </c>
      <c r="AG86">
        <f>IF(AND(AE86&lt;&gt;"",AF86&lt;&gt;""),ROUNDUP((AF86-AE86)/7,0),"")</f>
        <v/>
      </c>
      <c r="AI86">
        <f>IFERROR(IF(AG86*AH86=0,"",AG86*AH86),"")</f>
        <v/>
      </c>
      <c r="AL86">
        <f>IF(AND(AJ86&lt;&gt;"",AK86&lt;&gt;""),ROUNDUP((AK86-AJ86)/7,0),"")</f>
        <v/>
      </c>
      <c r="AN86">
        <f>IFERROR(IF(AL86*AM86=0,"",AL86*AM86),"")</f>
        <v/>
      </c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L86">
        <f>IFERROR(INDEX('_names_lookup'!$C:$C,MATCH(BK86,'_names_lookup'!$A:$A,0)),"")</f>
        <v/>
      </c>
      <c r="BM86">
        <f>IFERROR(INDEX('_names_lookup'!$B:$B,MATCH(BK86,'_names_lookup'!$A:$A,0)),"")</f>
        <v/>
      </c>
      <c r="BS86">
        <f>IFERROR(IF(BR86*AA86=0,"",BR86*AA86),"")</f>
        <v/>
      </c>
    </row>
    <row r="87">
      <c r="O87">
        <f>IFERROR(INDEX('_courses_lookup'!$C:$C,MATCH(K87&amp;L87,'_courses_lookup'!$E:$E,0)),"")</f>
        <v/>
      </c>
      <c r="P87">
        <f>IFERROR(INDEX('_courses_lookup'!$D:$D,MATCH(K87&amp;L87,'_courses_lookup'!$E:$E,0)),"")</f>
        <v/>
      </c>
      <c r="AG87">
        <f>IF(AND(AE87&lt;&gt;"",AF87&lt;&gt;""),ROUNDUP((AF87-AE87)/7,0),"")</f>
        <v/>
      </c>
      <c r="AI87">
        <f>IFERROR(IF(AG87*AH87=0,"",AG87*AH87),"")</f>
        <v/>
      </c>
      <c r="AL87">
        <f>IF(AND(AJ87&lt;&gt;"",AK87&lt;&gt;""),ROUNDUP((AK87-AJ87)/7,0),"")</f>
        <v/>
      </c>
      <c r="AN87">
        <f>IFERROR(IF(AL87*AM87=0,"",AL87*AM87),"")</f>
        <v/>
      </c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L87">
        <f>IFERROR(INDEX('_names_lookup'!$C:$C,MATCH(BK87,'_names_lookup'!$A:$A,0)),"")</f>
        <v/>
      </c>
      <c r="BM87">
        <f>IFERROR(INDEX('_names_lookup'!$B:$B,MATCH(BK87,'_names_lookup'!$A:$A,0)),"")</f>
        <v/>
      </c>
      <c r="BS87">
        <f>IFERROR(IF(BR87*AA87=0,"",BR87*AA87),"")</f>
        <v/>
      </c>
    </row>
    <row r="88">
      <c r="O88">
        <f>IFERROR(INDEX('_courses_lookup'!$C:$C,MATCH(K88&amp;L88,'_courses_lookup'!$E:$E,0)),"")</f>
        <v/>
      </c>
      <c r="P88">
        <f>IFERROR(INDEX('_courses_lookup'!$D:$D,MATCH(K88&amp;L88,'_courses_lookup'!$E:$E,0)),"")</f>
        <v/>
      </c>
      <c r="AG88">
        <f>IF(AND(AE88&lt;&gt;"",AF88&lt;&gt;""),ROUNDUP((AF88-AE88)/7,0),"")</f>
        <v/>
      </c>
      <c r="AI88">
        <f>IFERROR(IF(AG88*AH88=0,"",AG88*AH88),"")</f>
        <v/>
      </c>
      <c r="AL88">
        <f>IF(AND(AJ88&lt;&gt;"",AK88&lt;&gt;""),ROUNDUP((AK88-AJ88)/7,0),"")</f>
        <v/>
      </c>
      <c r="AN88">
        <f>IFERROR(IF(AL88*AM88=0,"",AL88*AM88),"")</f>
        <v/>
      </c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L88">
        <f>IFERROR(INDEX('_names_lookup'!$C:$C,MATCH(BK88,'_names_lookup'!$A:$A,0)),"")</f>
        <v/>
      </c>
      <c r="BM88">
        <f>IFERROR(INDEX('_names_lookup'!$B:$B,MATCH(BK88,'_names_lookup'!$A:$A,0)),"")</f>
        <v/>
      </c>
      <c r="BS88">
        <f>IFERROR(IF(BR88*AA88=0,"",BR88*AA88),"")</f>
        <v/>
      </c>
    </row>
    <row r="89">
      <c r="O89">
        <f>IFERROR(INDEX('_courses_lookup'!$C:$C,MATCH(K89&amp;L89,'_courses_lookup'!$E:$E,0)),"")</f>
        <v/>
      </c>
      <c r="P89">
        <f>IFERROR(INDEX('_courses_lookup'!$D:$D,MATCH(K89&amp;L89,'_courses_lookup'!$E:$E,0)),"")</f>
        <v/>
      </c>
      <c r="AG89">
        <f>IF(AND(AE89&lt;&gt;"",AF89&lt;&gt;""),ROUNDUP((AF89-AE89)/7,0),"")</f>
        <v/>
      </c>
      <c r="AI89">
        <f>IFERROR(IF(AG89*AH89=0,"",AG89*AH89),"")</f>
        <v/>
      </c>
      <c r="AL89">
        <f>IF(AND(AJ89&lt;&gt;"",AK89&lt;&gt;""),ROUNDUP((AK89-AJ89)/7,0),"")</f>
        <v/>
      </c>
      <c r="AN89">
        <f>IFERROR(IF(AL89*AM89=0,"",AL89*AM89),"")</f>
        <v/>
      </c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L89">
        <f>IFERROR(INDEX('_names_lookup'!$C:$C,MATCH(BK89,'_names_lookup'!$A:$A,0)),"")</f>
        <v/>
      </c>
      <c r="BM89">
        <f>IFERROR(INDEX('_names_lookup'!$B:$B,MATCH(BK89,'_names_lookup'!$A:$A,0)),"")</f>
        <v/>
      </c>
      <c r="BS89">
        <f>IFERROR(IF(BR89*AA89=0,"",BR89*AA89),"")</f>
        <v/>
      </c>
    </row>
    <row r="90">
      <c r="O90">
        <f>IFERROR(INDEX('_courses_lookup'!$C:$C,MATCH(K90&amp;L90,'_courses_lookup'!$E:$E,0)),"")</f>
        <v/>
      </c>
      <c r="P90">
        <f>IFERROR(INDEX('_courses_lookup'!$D:$D,MATCH(K90&amp;L90,'_courses_lookup'!$E:$E,0)),"")</f>
        <v/>
      </c>
      <c r="AG90">
        <f>IF(AND(AE90&lt;&gt;"",AF90&lt;&gt;""),ROUNDUP((AF90-AE90)/7,0),"")</f>
        <v/>
      </c>
      <c r="AI90">
        <f>IFERROR(IF(AG90*AH90=0,"",AG90*AH90),"")</f>
        <v/>
      </c>
      <c r="AL90">
        <f>IF(AND(AJ90&lt;&gt;"",AK90&lt;&gt;""),ROUNDUP((AK90-AJ90)/7,0),"")</f>
        <v/>
      </c>
      <c r="AN90">
        <f>IFERROR(IF(AL90*AM90=0,"",AL90*AM90),"")</f>
        <v/>
      </c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L90">
        <f>IFERROR(INDEX('_names_lookup'!$C:$C,MATCH(BK90,'_names_lookup'!$A:$A,0)),"")</f>
        <v/>
      </c>
      <c r="BM90">
        <f>IFERROR(INDEX('_names_lookup'!$B:$B,MATCH(BK90,'_names_lookup'!$A:$A,0)),"")</f>
        <v/>
      </c>
      <c r="BS90">
        <f>IFERROR(IF(BR90*AA90=0,"",BR90*AA90),"")</f>
        <v/>
      </c>
    </row>
    <row r="91">
      <c r="O91">
        <f>IFERROR(INDEX('_courses_lookup'!$C:$C,MATCH(K91&amp;L91,'_courses_lookup'!$E:$E,0)),"")</f>
        <v/>
      </c>
      <c r="P91">
        <f>IFERROR(INDEX('_courses_lookup'!$D:$D,MATCH(K91&amp;L91,'_courses_lookup'!$E:$E,0)),"")</f>
        <v/>
      </c>
      <c r="AG91">
        <f>IF(AND(AE91&lt;&gt;"",AF91&lt;&gt;""),ROUNDUP((AF91-AE91)/7,0),"")</f>
        <v/>
      </c>
      <c r="AI91">
        <f>IFERROR(IF(AG91*AH91=0,"",AG91*AH91),"")</f>
        <v/>
      </c>
      <c r="AL91">
        <f>IF(AND(AJ91&lt;&gt;"",AK91&lt;&gt;""),ROUNDUP((AK91-AJ91)/7,0),"")</f>
        <v/>
      </c>
      <c r="AN91">
        <f>IFERROR(IF(AL91*AM91=0,"",AL91*AM91),"")</f>
        <v/>
      </c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L91">
        <f>IFERROR(INDEX('_names_lookup'!$C:$C,MATCH(BK91,'_names_lookup'!$A:$A,0)),"")</f>
        <v/>
      </c>
      <c r="BM91">
        <f>IFERROR(INDEX('_names_lookup'!$B:$B,MATCH(BK91,'_names_lookup'!$A:$A,0)),"")</f>
        <v/>
      </c>
      <c r="BS91">
        <f>IFERROR(IF(BR91*AA91=0,"",BR91*AA91),"")</f>
        <v/>
      </c>
    </row>
    <row r="92">
      <c r="O92">
        <f>IFERROR(INDEX('_courses_lookup'!$C:$C,MATCH(K92&amp;L92,'_courses_lookup'!$E:$E,0)),"")</f>
        <v/>
      </c>
      <c r="P92">
        <f>IFERROR(INDEX('_courses_lookup'!$D:$D,MATCH(K92&amp;L92,'_courses_lookup'!$E:$E,0)),"")</f>
        <v/>
      </c>
      <c r="AG92">
        <f>IF(AND(AE92&lt;&gt;"",AF92&lt;&gt;""),ROUNDUP((AF92-AE92)/7,0),"")</f>
        <v/>
      </c>
      <c r="AI92">
        <f>IFERROR(IF(AG92*AH92=0,"",AG92*AH92),"")</f>
        <v/>
      </c>
      <c r="AL92">
        <f>IF(AND(AJ92&lt;&gt;"",AK92&lt;&gt;""),ROUNDUP((AK92-AJ92)/7,0),"")</f>
        <v/>
      </c>
      <c r="AN92">
        <f>IFERROR(IF(AL92*AM92=0,"",AL92*AM92),"")</f>
        <v/>
      </c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L92">
        <f>IFERROR(INDEX('_names_lookup'!$C:$C,MATCH(BK92,'_names_lookup'!$A:$A,0)),"")</f>
        <v/>
      </c>
      <c r="BM92">
        <f>IFERROR(INDEX('_names_lookup'!$B:$B,MATCH(BK92,'_names_lookup'!$A:$A,0)),"")</f>
        <v/>
      </c>
      <c r="BS92">
        <f>IFERROR(IF(BR92*AA92=0,"",BR92*AA92),"")</f>
        <v/>
      </c>
    </row>
    <row r="93">
      <c r="O93">
        <f>IFERROR(INDEX('_courses_lookup'!$C:$C,MATCH(K93&amp;L93,'_courses_lookup'!$E:$E,0)),"")</f>
        <v/>
      </c>
      <c r="P93">
        <f>IFERROR(INDEX('_courses_lookup'!$D:$D,MATCH(K93&amp;L93,'_courses_lookup'!$E:$E,0)),"")</f>
        <v/>
      </c>
      <c r="AG93">
        <f>IF(AND(AE93&lt;&gt;"",AF93&lt;&gt;""),ROUNDUP((AF93-AE93)/7,0),"")</f>
        <v/>
      </c>
      <c r="AI93">
        <f>IFERROR(IF(AG93*AH93=0,"",AG93*AH93),"")</f>
        <v/>
      </c>
      <c r="AL93">
        <f>IF(AND(AJ93&lt;&gt;"",AK93&lt;&gt;""),ROUNDUP((AK93-AJ93)/7,0),"")</f>
        <v/>
      </c>
      <c r="AN93">
        <f>IFERROR(IF(AL93*AM93=0,"",AL93*AM93),"")</f>
        <v/>
      </c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L93">
        <f>IFERROR(INDEX('_names_lookup'!$C:$C,MATCH(BK93,'_names_lookup'!$A:$A,0)),"")</f>
        <v/>
      </c>
      <c r="BM93">
        <f>IFERROR(INDEX('_names_lookup'!$B:$B,MATCH(BK93,'_names_lookup'!$A:$A,0)),"")</f>
        <v/>
      </c>
      <c r="BS93">
        <f>IFERROR(IF(BR93*AA93=0,"",BR93*AA93),"")</f>
        <v/>
      </c>
    </row>
    <row r="94">
      <c r="O94">
        <f>IFERROR(INDEX('_courses_lookup'!$C:$C,MATCH(K94&amp;L94,'_courses_lookup'!$E:$E,0)),"")</f>
        <v/>
      </c>
      <c r="P94">
        <f>IFERROR(INDEX('_courses_lookup'!$D:$D,MATCH(K94&amp;L94,'_courses_lookup'!$E:$E,0)),"")</f>
        <v/>
      </c>
      <c r="AG94">
        <f>IF(AND(AE94&lt;&gt;"",AF94&lt;&gt;""),ROUNDUP((AF94-AE94)/7,0),"")</f>
        <v/>
      </c>
      <c r="AI94">
        <f>IFERROR(IF(AG94*AH94=0,"",AG94*AH94),"")</f>
        <v/>
      </c>
      <c r="AL94">
        <f>IF(AND(AJ94&lt;&gt;"",AK94&lt;&gt;""),ROUNDUP((AK94-AJ94)/7,0),"")</f>
        <v/>
      </c>
      <c r="AN94">
        <f>IFERROR(IF(AL94*AM94=0,"",AL94*AM94),"")</f>
        <v/>
      </c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L94">
        <f>IFERROR(INDEX('_names_lookup'!$C:$C,MATCH(BK94,'_names_lookup'!$A:$A,0)),"")</f>
        <v/>
      </c>
      <c r="BM94">
        <f>IFERROR(INDEX('_names_lookup'!$B:$B,MATCH(BK94,'_names_lookup'!$A:$A,0)),"")</f>
        <v/>
      </c>
      <c r="BS94">
        <f>IFERROR(IF(BR94*AA94=0,"",BR94*AA94),"")</f>
        <v/>
      </c>
    </row>
    <row r="95">
      <c r="O95">
        <f>IFERROR(INDEX('_courses_lookup'!$C:$C,MATCH(K95&amp;L95,'_courses_lookup'!$E:$E,0)),"")</f>
        <v/>
      </c>
      <c r="P95">
        <f>IFERROR(INDEX('_courses_lookup'!$D:$D,MATCH(K95&amp;L95,'_courses_lookup'!$E:$E,0)),"")</f>
        <v/>
      </c>
      <c r="AG95">
        <f>IF(AND(AE95&lt;&gt;"",AF95&lt;&gt;""),ROUNDUP((AF95-AE95)/7,0),"")</f>
        <v/>
      </c>
      <c r="AI95">
        <f>IFERROR(IF(AG95*AH95=0,"",AG95*AH95),"")</f>
        <v/>
      </c>
      <c r="AL95">
        <f>IF(AND(AJ95&lt;&gt;"",AK95&lt;&gt;""),ROUNDUP((AK95-AJ95)/7,0),"")</f>
        <v/>
      </c>
      <c r="AN95">
        <f>IFERROR(IF(AL95*AM95=0,"",AL95*AM95),"")</f>
        <v/>
      </c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L95">
        <f>IFERROR(INDEX('_names_lookup'!$C:$C,MATCH(BK95,'_names_lookup'!$A:$A,0)),"")</f>
        <v/>
      </c>
      <c r="BM95">
        <f>IFERROR(INDEX('_names_lookup'!$B:$B,MATCH(BK95,'_names_lookup'!$A:$A,0)),"")</f>
        <v/>
      </c>
      <c r="BS95">
        <f>IFERROR(IF(BR95*AA95=0,"",BR95*AA95),"")</f>
        <v/>
      </c>
    </row>
    <row r="96">
      <c r="O96">
        <f>IFERROR(INDEX('_courses_lookup'!$C:$C,MATCH(K96&amp;L96,'_courses_lookup'!$E:$E,0)),"")</f>
        <v/>
      </c>
      <c r="P96">
        <f>IFERROR(INDEX('_courses_lookup'!$D:$D,MATCH(K96&amp;L96,'_courses_lookup'!$E:$E,0)),"")</f>
        <v/>
      </c>
      <c r="AG96">
        <f>IF(AND(AE96&lt;&gt;"",AF96&lt;&gt;""),ROUNDUP((AF96-AE96)/7,0),"")</f>
        <v/>
      </c>
      <c r="AI96">
        <f>IFERROR(IF(AG96*AH96=0,"",AG96*AH96),"")</f>
        <v/>
      </c>
      <c r="AL96">
        <f>IF(AND(AJ96&lt;&gt;"",AK96&lt;&gt;""),ROUNDUP((AK96-AJ96)/7,0),"")</f>
        <v/>
      </c>
      <c r="AN96">
        <f>IFERROR(IF(AL96*AM96=0,"",AL96*AM96),"")</f>
        <v/>
      </c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L96">
        <f>IFERROR(INDEX('_names_lookup'!$C:$C,MATCH(BK96,'_names_lookup'!$A:$A,0)),"")</f>
        <v/>
      </c>
      <c r="BM96">
        <f>IFERROR(INDEX('_names_lookup'!$B:$B,MATCH(BK96,'_names_lookup'!$A:$A,0)),"")</f>
        <v/>
      </c>
      <c r="BS96">
        <f>IFERROR(IF(BR96*AA96=0,"",BR96*AA96),"")</f>
        <v/>
      </c>
    </row>
    <row r="97">
      <c r="O97">
        <f>IFERROR(INDEX('_courses_lookup'!$C:$C,MATCH(K97&amp;L97,'_courses_lookup'!$E:$E,0)),"")</f>
        <v/>
      </c>
      <c r="P97">
        <f>IFERROR(INDEX('_courses_lookup'!$D:$D,MATCH(K97&amp;L97,'_courses_lookup'!$E:$E,0)),"")</f>
        <v/>
      </c>
      <c r="AG97">
        <f>IF(AND(AE97&lt;&gt;"",AF97&lt;&gt;""),ROUNDUP((AF97-AE97)/7,0),"")</f>
        <v/>
      </c>
      <c r="AI97">
        <f>IFERROR(IF(AG97*AH97=0,"",AG97*AH97),"")</f>
        <v/>
      </c>
      <c r="AL97">
        <f>IF(AND(AJ97&lt;&gt;"",AK97&lt;&gt;""),ROUNDUP((AK97-AJ97)/7,0),"")</f>
        <v/>
      </c>
      <c r="AN97">
        <f>IFERROR(IF(AL97*AM97=0,"",AL97*AM97),"")</f>
        <v/>
      </c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L97">
        <f>IFERROR(INDEX('_names_lookup'!$C:$C,MATCH(BK97,'_names_lookup'!$A:$A,0)),"")</f>
        <v/>
      </c>
      <c r="BM97">
        <f>IFERROR(INDEX('_names_lookup'!$B:$B,MATCH(BK97,'_names_lookup'!$A:$A,0)),"")</f>
        <v/>
      </c>
      <c r="BS97">
        <f>IFERROR(IF(BR97*AA97=0,"",BR97*AA97),"")</f>
        <v/>
      </c>
    </row>
    <row r="98">
      <c r="O98">
        <f>IFERROR(INDEX('_courses_lookup'!$C:$C,MATCH(K98&amp;L98,'_courses_lookup'!$E:$E,0)),"")</f>
        <v/>
      </c>
      <c r="P98">
        <f>IFERROR(INDEX('_courses_lookup'!$D:$D,MATCH(K98&amp;L98,'_courses_lookup'!$E:$E,0)),"")</f>
        <v/>
      </c>
      <c r="AG98">
        <f>IF(AND(AE98&lt;&gt;"",AF98&lt;&gt;""),ROUNDUP((AF98-AE98)/7,0),"")</f>
        <v/>
      </c>
      <c r="AI98">
        <f>IFERROR(IF(AG98*AH98=0,"",AG98*AH98),"")</f>
        <v/>
      </c>
      <c r="AL98">
        <f>IF(AND(AJ98&lt;&gt;"",AK98&lt;&gt;""),ROUNDUP((AK98-AJ98)/7,0),"")</f>
        <v/>
      </c>
      <c r="AN98">
        <f>IFERROR(IF(AL98*AM98=0,"",AL98*AM98),"")</f>
        <v/>
      </c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L98">
        <f>IFERROR(INDEX('_names_lookup'!$C:$C,MATCH(BK98,'_names_lookup'!$A:$A,0)),"")</f>
        <v/>
      </c>
      <c r="BM98">
        <f>IFERROR(INDEX('_names_lookup'!$B:$B,MATCH(BK98,'_names_lookup'!$A:$A,0)),"")</f>
        <v/>
      </c>
      <c r="BS98">
        <f>IFERROR(IF(BR98*AA98=0,"",BR98*AA98),"")</f>
        <v/>
      </c>
    </row>
    <row r="99">
      <c r="O99">
        <f>IFERROR(INDEX('_courses_lookup'!$C:$C,MATCH(K99&amp;L99,'_courses_lookup'!$E:$E,0)),"")</f>
        <v/>
      </c>
      <c r="P99">
        <f>IFERROR(INDEX('_courses_lookup'!$D:$D,MATCH(K99&amp;L99,'_courses_lookup'!$E:$E,0)),"")</f>
        <v/>
      </c>
      <c r="AG99">
        <f>IF(AND(AE99&lt;&gt;"",AF99&lt;&gt;""),ROUNDUP((AF99-AE99)/7,0),"")</f>
        <v/>
      </c>
      <c r="AI99">
        <f>IFERROR(IF(AG99*AH99=0,"",AG99*AH99),"")</f>
        <v/>
      </c>
      <c r="AL99">
        <f>IF(AND(AJ99&lt;&gt;"",AK99&lt;&gt;""),ROUNDUP((AK99-AJ99)/7,0),"")</f>
        <v/>
      </c>
      <c r="AN99">
        <f>IFERROR(IF(AL99*AM99=0,"",AL99*AM99),"")</f>
        <v/>
      </c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L99">
        <f>IFERROR(INDEX('_names_lookup'!$C:$C,MATCH(BK99,'_names_lookup'!$A:$A,0)),"")</f>
        <v/>
      </c>
      <c r="BM99">
        <f>IFERROR(INDEX('_names_lookup'!$B:$B,MATCH(BK99,'_names_lookup'!$A:$A,0)),"")</f>
        <v/>
      </c>
      <c r="BS99">
        <f>IFERROR(IF(BR99*AA99=0,"",BR99*AA99),"")</f>
        <v/>
      </c>
    </row>
    <row r="100">
      <c r="O100">
        <f>IFERROR(INDEX('_courses_lookup'!$C:$C,MATCH(K100&amp;L100,'_courses_lookup'!$E:$E,0)),"")</f>
        <v/>
      </c>
      <c r="P100">
        <f>IFERROR(INDEX('_courses_lookup'!$D:$D,MATCH(K100&amp;L100,'_courses_lookup'!$E:$E,0)),"")</f>
        <v/>
      </c>
      <c r="AG100">
        <f>IF(AND(AE100&lt;&gt;"",AF100&lt;&gt;""),ROUNDUP((AF100-AE100)/7,0),"")</f>
        <v/>
      </c>
      <c r="AI100">
        <f>IFERROR(IF(AG100*AH100=0,"",AG100*AH100),"")</f>
        <v/>
      </c>
      <c r="AL100">
        <f>IF(AND(AJ100&lt;&gt;"",AK100&lt;&gt;""),ROUNDUP((AK100-AJ100)/7,0),"")</f>
        <v/>
      </c>
      <c r="AN100">
        <f>IFERROR(IF(AL100*AM100=0,"",AL100*AM100),"")</f>
        <v/>
      </c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L100">
        <f>IFERROR(INDEX('_names_lookup'!$C:$C,MATCH(BK100,'_names_lookup'!$A:$A,0)),"")</f>
        <v/>
      </c>
      <c r="BM100">
        <f>IFERROR(INDEX('_names_lookup'!$B:$B,MATCH(BK100,'_names_lookup'!$A:$A,0)),"")</f>
        <v/>
      </c>
      <c r="BS100">
        <f>IFERROR(IF(BR100*AA100=0,"",BR100*AA100),"")</f>
        <v/>
      </c>
    </row>
    <row r="101">
      <c r="O101">
        <f>IFERROR(INDEX('_courses_lookup'!$C:$C,MATCH(K101&amp;L101,'_courses_lookup'!$E:$E,0)),"")</f>
        <v/>
      </c>
      <c r="P101">
        <f>IFERROR(INDEX('_courses_lookup'!$D:$D,MATCH(K101&amp;L101,'_courses_lookup'!$E:$E,0)),"")</f>
        <v/>
      </c>
      <c r="AG101">
        <f>IF(AND(AE101&lt;&gt;"",AF101&lt;&gt;""),ROUNDUP((AF101-AE101)/7,0),"")</f>
        <v/>
      </c>
      <c r="AI101">
        <f>IFERROR(IF(AG101*AH101=0,"",AG101*AH101),"")</f>
        <v/>
      </c>
      <c r="AL101">
        <f>IF(AND(AJ101&lt;&gt;"",AK101&lt;&gt;""),ROUNDUP((AK101-AJ101)/7,0),"")</f>
        <v/>
      </c>
      <c r="AN101">
        <f>IFERROR(IF(AL101*AM101=0,"",AL101*AM101),"")</f>
        <v/>
      </c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L101">
        <f>IFERROR(INDEX('_names_lookup'!$C:$C,MATCH(BK101,'_names_lookup'!$A:$A,0)),"")</f>
        <v/>
      </c>
      <c r="BM101">
        <f>IFERROR(INDEX('_names_lookup'!$B:$B,MATCH(BK101,'_names_lookup'!$A:$A,0)),"")</f>
        <v/>
      </c>
      <c r="BS101">
        <f>IFERROR(IF(BR101*AA101=0,"",BR101*AA101),"")</f>
        <v/>
      </c>
    </row>
    <row r="102">
      <c r="O102">
        <f>IFERROR(INDEX('_courses_lookup'!$C:$C,MATCH(K102&amp;L102,'_courses_lookup'!$E:$E,0)),"")</f>
        <v/>
      </c>
      <c r="P102">
        <f>IFERROR(INDEX('_courses_lookup'!$D:$D,MATCH(K102&amp;L102,'_courses_lookup'!$E:$E,0)),"")</f>
        <v/>
      </c>
      <c r="AG102">
        <f>IF(AND(AE102&lt;&gt;"",AF102&lt;&gt;""),ROUNDUP((AF102-AE102)/7,0),"")</f>
        <v/>
      </c>
      <c r="AI102">
        <f>IFERROR(IF(AG102*AH102=0,"",AG102*AH102),"")</f>
        <v/>
      </c>
      <c r="AL102">
        <f>IF(AND(AJ102&lt;&gt;"",AK102&lt;&gt;""),ROUNDUP((AK102-AJ102)/7,0),"")</f>
        <v/>
      </c>
      <c r="AN102">
        <f>IFERROR(IF(AL102*AM102=0,"",AL102*AM102),"")</f>
        <v/>
      </c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L102">
        <f>IFERROR(INDEX('_names_lookup'!$C:$C,MATCH(BK102,'_names_lookup'!$A:$A,0)),"")</f>
        <v/>
      </c>
      <c r="BM102">
        <f>IFERROR(INDEX('_names_lookup'!$B:$B,MATCH(BK102,'_names_lookup'!$A:$A,0)),"")</f>
        <v/>
      </c>
      <c r="BS102">
        <f>IFERROR(IF(BR102*AA102=0,"",BR102*AA102),"")</f>
        <v/>
      </c>
    </row>
    <row r="103">
      <c r="O103">
        <f>IFERROR(INDEX('_courses_lookup'!$C:$C,MATCH(K103&amp;L103,'_courses_lookup'!$E:$E,0)),"")</f>
        <v/>
      </c>
      <c r="P103">
        <f>IFERROR(INDEX('_courses_lookup'!$D:$D,MATCH(K103&amp;L103,'_courses_lookup'!$E:$E,0)),"")</f>
        <v/>
      </c>
      <c r="AG103">
        <f>IF(AND(AE103&lt;&gt;"",AF103&lt;&gt;""),ROUNDUP((AF103-AE103)/7,0),"")</f>
        <v/>
      </c>
      <c r="AI103">
        <f>IFERROR(IF(AG103*AH103=0,"",AG103*AH103),"")</f>
        <v/>
      </c>
      <c r="AL103">
        <f>IF(AND(AJ103&lt;&gt;"",AK103&lt;&gt;""),ROUNDUP((AK103-AJ103)/7,0),"")</f>
        <v/>
      </c>
      <c r="AN103">
        <f>IFERROR(IF(AL103*AM103=0,"",AL103*AM103),"")</f>
        <v/>
      </c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L103">
        <f>IFERROR(INDEX('_names_lookup'!$C:$C,MATCH(BK103,'_names_lookup'!$A:$A,0)),"")</f>
        <v/>
      </c>
      <c r="BM103">
        <f>IFERROR(INDEX('_names_lookup'!$B:$B,MATCH(BK103,'_names_lookup'!$A:$A,0)),"")</f>
        <v/>
      </c>
      <c r="BS103">
        <f>IFERROR(IF(BR103*AA103=0,"",BR103*AA103),"")</f>
        <v/>
      </c>
    </row>
    <row r="104">
      <c r="O104">
        <f>IFERROR(INDEX('_courses_lookup'!$C:$C,MATCH(K104&amp;L104,'_courses_lookup'!$E:$E,0)),"")</f>
        <v/>
      </c>
      <c r="P104">
        <f>IFERROR(INDEX('_courses_lookup'!$D:$D,MATCH(K104&amp;L104,'_courses_lookup'!$E:$E,0)),"")</f>
        <v/>
      </c>
      <c r="AG104">
        <f>IF(AND(AE104&lt;&gt;"",AF104&lt;&gt;""),ROUNDUP((AF104-AE104)/7,0),"")</f>
        <v/>
      </c>
      <c r="AI104">
        <f>IFERROR(IF(AG104*AH104=0,"",AG104*AH104),"")</f>
        <v/>
      </c>
      <c r="AL104">
        <f>IF(AND(AJ104&lt;&gt;"",AK104&lt;&gt;""),ROUNDUP((AK104-AJ104)/7,0),"")</f>
        <v/>
      </c>
      <c r="AN104">
        <f>IFERROR(IF(AL104*AM104=0,"",AL104*AM104),"")</f>
        <v/>
      </c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L104">
        <f>IFERROR(INDEX('_names_lookup'!$C:$C,MATCH(BK104,'_names_lookup'!$A:$A,0)),"")</f>
        <v/>
      </c>
      <c r="BM104">
        <f>IFERROR(INDEX('_names_lookup'!$B:$B,MATCH(BK104,'_names_lookup'!$A:$A,0)),"")</f>
        <v/>
      </c>
      <c r="BS104">
        <f>IFERROR(IF(BR104*AA104=0,"",BR104*AA104),"")</f>
        <v/>
      </c>
    </row>
    <row r="105">
      <c r="O105">
        <f>IFERROR(INDEX('_courses_lookup'!$C:$C,MATCH(K105&amp;L105,'_courses_lookup'!$E:$E,0)),"")</f>
        <v/>
      </c>
      <c r="P105">
        <f>IFERROR(INDEX('_courses_lookup'!$D:$D,MATCH(K105&amp;L105,'_courses_lookup'!$E:$E,0)),"")</f>
        <v/>
      </c>
      <c r="AG105">
        <f>IF(AND(AE105&lt;&gt;"",AF105&lt;&gt;""),ROUNDUP((AF105-AE105)/7,0),"")</f>
        <v/>
      </c>
      <c r="AI105">
        <f>IFERROR(IF(AG105*AH105=0,"",AG105*AH105),"")</f>
        <v/>
      </c>
      <c r="AL105">
        <f>IF(AND(AJ105&lt;&gt;"",AK105&lt;&gt;""),ROUNDUP((AK105-AJ105)/7,0),"")</f>
        <v/>
      </c>
      <c r="AN105">
        <f>IFERROR(IF(AL105*AM105=0,"",AL105*AM105),"")</f>
        <v/>
      </c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L105">
        <f>IFERROR(INDEX('_names_lookup'!$C:$C,MATCH(BK105,'_names_lookup'!$A:$A,0)),"")</f>
        <v/>
      </c>
      <c r="BM105">
        <f>IFERROR(INDEX('_names_lookup'!$B:$B,MATCH(BK105,'_names_lookup'!$A:$A,0)),"")</f>
        <v/>
      </c>
      <c r="BS105">
        <f>IFERROR(IF(BR105*AA105=0,"",BR105*AA105),"")</f>
        <v/>
      </c>
    </row>
    <row r="106">
      <c r="O106">
        <f>IFERROR(INDEX('_courses_lookup'!$C:$C,MATCH(K106&amp;L106,'_courses_lookup'!$E:$E,0)),"")</f>
        <v/>
      </c>
      <c r="P106">
        <f>IFERROR(INDEX('_courses_lookup'!$D:$D,MATCH(K106&amp;L106,'_courses_lookup'!$E:$E,0)),"")</f>
        <v/>
      </c>
      <c r="AG106">
        <f>IF(AND(AE106&lt;&gt;"",AF106&lt;&gt;""),ROUNDUP((AF106-AE106)/7,0),"")</f>
        <v/>
      </c>
      <c r="AI106">
        <f>IFERROR(IF(AG106*AH106=0,"",AG106*AH106),"")</f>
        <v/>
      </c>
      <c r="AL106">
        <f>IF(AND(AJ106&lt;&gt;"",AK106&lt;&gt;""),ROUNDUP((AK106-AJ106)/7,0),"")</f>
        <v/>
      </c>
      <c r="AN106">
        <f>IFERROR(IF(AL106*AM106=0,"",AL106*AM106),"")</f>
        <v/>
      </c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L106">
        <f>IFERROR(INDEX('_names_lookup'!$C:$C,MATCH(BK106,'_names_lookup'!$A:$A,0)),"")</f>
        <v/>
      </c>
      <c r="BM106">
        <f>IFERROR(INDEX('_names_lookup'!$B:$B,MATCH(BK106,'_names_lookup'!$A:$A,0)),"")</f>
        <v/>
      </c>
      <c r="BS106">
        <f>IFERROR(IF(BR106*AA106=0,"",BR106*AA106),"")</f>
        <v/>
      </c>
    </row>
    <row r="107">
      <c r="O107">
        <f>IFERROR(INDEX('_courses_lookup'!$C:$C,MATCH(K107&amp;L107,'_courses_lookup'!$E:$E,0)),"")</f>
        <v/>
      </c>
      <c r="P107">
        <f>IFERROR(INDEX('_courses_lookup'!$D:$D,MATCH(K107&amp;L107,'_courses_lookup'!$E:$E,0)),"")</f>
        <v/>
      </c>
      <c r="AG107">
        <f>IF(AND(AE107&lt;&gt;"",AF107&lt;&gt;""),ROUNDUP((AF107-AE107)/7,0),"")</f>
        <v/>
      </c>
      <c r="AI107">
        <f>IFERROR(IF(AG107*AH107=0,"",AG107*AH107),"")</f>
        <v/>
      </c>
      <c r="AL107">
        <f>IF(AND(AJ107&lt;&gt;"",AK107&lt;&gt;""),ROUNDUP((AK107-AJ107)/7,0),"")</f>
        <v/>
      </c>
      <c r="AN107">
        <f>IFERROR(IF(AL107*AM107=0,"",AL107*AM107),"")</f>
        <v/>
      </c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L107">
        <f>IFERROR(INDEX('_names_lookup'!$C:$C,MATCH(BK107,'_names_lookup'!$A:$A,0)),"")</f>
        <v/>
      </c>
      <c r="BM107">
        <f>IFERROR(INDEX('_names_lookup'!$B:$B,MATCH(BK107,'_names_lookup'!$A:$A,0)),"")</f>
        <v/>
      </c>
      <c r="BS107">
        <f>IFERROR(IF(BR107*AA107=0,"",BR107*AA107),"")</f>
        <v/>
      </c>
    </row>
    <row r="108">
      <c r="O108">
        <f>IFERROR(INDEX('_courses_lookup'!$C:$C,MATCH(K108&amp;L108,'_courses_lookup'!$E:$E,0)),"")</f>
        <v/>
      </c>
      <c r="P108">
        <f>IFERROR(INDEX('_courses_lookup'!$D:$D,MATCH(K108&amp;L108,'_courses_lookup'!$E:$E,0)),"")</f>
        <v/>
      </c>
      <c r="AG108">
        <f>IF(AND(AE108&lt;&gt;"",AF108&lt;&gt;""),ROUNDUP((AF108-AE108)/7,0),"")</f>
        <v/>
      </c>
      <c r="AI108">
        <f>IFERROR(IF(AG108*AH108=0,"",AG108*AH108),"")</f>
        <v/>
      </c>
      <c r="AL108">
        <f>IF(AND(AJ108&lt;&gt;"",AK108&lt;&gt;""),ROUNDUP((AK108-AJ108)/7,0),"")</f>
        <v/>
      </c>
      <c r="AN108">
        <f>IFERROR(IF(AL108*AM108=0,"",AL108*AM108),"")</f>
        <v/>
      </c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L108">
        <f>IFERROR(INDEX('_names_lookup'!$C:$C,MATCH(BK108,'_names_lookup'!$A:$A,0)),"")</f>
        <v/>
      </c>
      <c r="BM108">
        <f>IFERROR(INDEX('_names_lookup'!$B:$B,MATCH(BK108,'_names_lookup'!$A:$A,0)),"")</f>
        <v/>
      </c>
      <c r="BS108">
        <f>IFERROR(IF(BR108*AA108=0,"",BR108*AA108),"")</f>
        <v/>
      </c>
    </row>
    <row r="109">
      <c r="O109">
        <f>IFERROR(INDEX('_courses_lookup'!$C:$C,MATCH(K109&amp;L109,'_courses_lookup'!$E:$E,0)),"")</f>
        <v/>
      </c>
      <c r="P109">
        <f>IFERROR(INDEX('_courses_lookup'!$D:$D,MATCH(K109&amp;L109,'_courses_lookup'!$E:$E,0)),"")</f>
        <v/>
      </c>
      <c r="AG109">
        <f>IF(AND(AE109&lt;&gt;"",AF109&lt;&gt;""),ROUNDUP((AF109-AE109)/7,0),"")</f>
        <v/>
      </c>
      <c r="AI109">
        <f>IFERROR(IF(AG109*AH109=0,"",AG109*AH109),"")</f>
        <v/>
      </c>
      <c r="AL109">
        <f>IF(AND(AJ109&lt;&gt;"",AK109&lt;&gt;""),ROUNDUP((AK109-AJ109)/7,0),"")</f>
        <v/>
      </c>
      <c r="AN109">
        <f>IFERROR(IF(AL109*AM109=0,"",AL109*AM109),"")</f>
        <v/>
      </c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L109">
        <f>IFERROR(INDEX('_names_lookup'!$C:$C,MATCH(BK109,'_names_lookup'!$A:$A,0)),"")</f>
        <v/>
      </c>
      <c r="BM109">
        <f>IFERROR(INDEX('_names_lookup'!$B:$B,MATCH(BK109,'_names_lookup'!$A:$A,0)),"")</f>
        <v/>
      </c>
      <c r="BS109">
        <f>IFERROR(IF(BR109*AA109=0,"",BR109*AA109),"")</f>
        <v/>
      </c>
    </row>
    <row r="110">
      <c r="O110">
        <f>IFERROR(INDEX('_courses_lookup'!$C:$C,MATCH(K110&amp;L110,'_courses_lookup'!$E:$E,0)),"")</f>
        <v/>
      </c>
      <c r="P110">
        <f>IFERROR(INDEX('_courses_lookup'!$D:$D,MATCH(K110&amp;L110,'_courses_lookup'!$E:$E,0)),"")</f>
        <v/>
      </c>
      <c r="AG110">
        <f>IF(AND(AE110&lt;&gt;"",AF110&lt;&gt;""),ROUNDUP((AF110-AE110)/7,0),"")</f>
        <v/>
      </c>
      <c r="AI110">
        <f>IFERROR(IF(AG110*AH110=0,"",AG110*AH110),"")</f>
        <v/>
      </c>
      <c r="AL110">
        <f>IF(AND(AJ110&lt;&gt;"",AK110&lt;&gt;""),ROUNDUP((AK110-AJ110)/7,0),"")</f>
        <v/>
      </c>
      <c r="AN110">
        <f>IFERROR(IF(AL110*AM110=0,"",AL110*AM110),"")</f>
        <v/>
      </c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L110">
        <f>IFERROR(INDEX('_names_lookup'!$C:$C,MATCH(BK110,'_names_lookup'!$A:$A,0)),"")</f>
        <v/>
      </c>
      <c r="BM110">
        <f>IFERROR(INDEX('_names_lookup'!$B:$B,MATCH(BK110,'_names_lookup'!$A:$A,0)),"")</f>
        <v/>
      </c>
      <c r="BS110">
        <f>IFERROR(IF(BR110*AA110=0,"",BR110*AA110),"")</f>
        <v/>
      </c>
    </row>
    <row r="111">
      <c r="O111">
        <f>IFERROR(INDEX('_courses_lookup'!$C:$C,MATCH(K111&amp;L111,'_courses_lookup'!$E:$E,0)),"")</f>
        <v/>
      </c>
      <c r="P111">
        <f>IFERROR(INDEX('_courses_lookup'!$D:$D,MATCH(K111&amp;L111,'_courses_lookup'!$E:$E,0)),"")</f>
        <v/>
      </c>
      <c r="AG111">
        <f>IF(AND(AE111&lt;&gt;"",AF111&lt;&gt;""),ROUNDUP((AF111-AE111)/7,0),"")</f>
        <v/>
      </c>
      <c r="AI111">
        <f>IFERROR(IF(AG111*AH111=0,"",AG111*AH111),"")</f>
        <v/>
      </c>
      <c r="AL111">
        <f>IF(AND(AJ111&lt;&gt;"",AK111&lt;&gt;""),ROUNDUP((AK111-AJ111)/7,0),"")</f>
        <v/>
      </c>
      <c r="AN111">
        <f>IFERROR(IF(AL111*AM111=0,"",AL111*AM111),"")</f>
        <v/>
      </c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L111">
        <f>IFERROR(INDEX('_names_lookup'!$C:$C,MATCH(BK111,'_names_lookup'!$A:$A,0)),"")</f>
        <v/>
      </c>
      <c r="BM111">
        <f>IFERROR(INDEX('_names_lookup'!$B:$B,MATCH(BK111,'_names_lookup'!$A:$A,0)),"")</f>
        <v/>
      </c>
      <c r="BS111">
        <f>IFERROR(IF(BR111*AA111=0,"",BR111*AA111),"")</f>
        <v/>
      </c>
    </row>
    <row r="112">
      <c r="O112">
        <f>IFERROR(INDEX('_courses_lookup'!$C:$C,MATCH(K112&amp;L112,'_courses_lookup'!$E:$E,0)),"")</f>
        <v/>
      </c>
      <c r="P112">
        <f>IFERROR(INDEX('_courses_lookup'!$D:$D,MATCH(K112&amp;L112,'_courses_lookup'!$E:$E,0)),"")</f>
        <v/>
      </c>
      <c r="AG112">
        <f>IF(AND(AE112&lt;&gt;"",AF112&lt;&gt;""),ROUNDUP((AF112-AE112)/7,0),"")</f>
        <v/>
      </c>
      <c r="AI112">
        <f>IFERROR(IF(AG112*AH112=0,"",AG112*AH112),"")</f>
        <v/>
      </c>
      <c r="AL112">
        <f>IF(AND(AJ112&lt;&gt;"",AK112&lt;&gt;""),ROUNDUP((AK112-AJ112)/7,0),"")</f>
        <v/>
      </c>
      <c r="AN112">
        <f>IFERROR(IF(AL112*AM112=0,"",AL112*AM112),"")</f>
        <v/>
      </c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L112">
        <f>IFERROR(INDEX('_names_lookup'!$C:$C,MATCH(BK112,'_names_lookup'!$A:$A,0)),"")</f>
        <v/>
      </c>
      <c r="BM112">
        <f>IFERROR(INDEX('_names_lookup'!$B:$B,MATCH(BK112,'_names_lookup'!$A:$A,0)),"")</f>
        <v/>
      </c>
      <c r="BS112">
        <f>IFERROR(IF(BR112*AA112=0,"",BR112*AA112),"")</f>
        <v/>
      </c>
    </row>
    <row r="113">
      <c r="O113">
        <f>IFERROR(INDEX('_courses_lookup'!$C:$C,MATCH(K113&amp;L113,'_courses_lookup'!$E:$E,0)),"")</f>
        <v/>
      </c>
      <c r="P113">
        <f>IFERROR(INDEX('_courses_lookup'!$D:$D,MATCH(K113&amp;L113,'_courses_lookup'!$E:$E,0)),"")</f>
        <v/>
      </c>
      <c r="AG113">
        <f>IF(AND(AE113&lt;&gt;"",AF113&lt;&gt;""),ROUNDUP((AF113-AE113)/7,0),"")</f>
        <v/>
      </c>
      <c r="AI113">
        <f>IFERROR(IF(AG113*AH113=0,"",AG113*AH113),"")</f>
        <v/>
      </c>
      <c r="AL113">
        <f>IF(AND(AJ113&lt;&gt;"",AK113&lt;&gt;""),ROUNDUP((AK113-AJ113)/7,0),"")</f>
        <v/>
      </c>
      <c r="AN113">
        <f>IFERROR(IF(AL113*AM113=0,"",AL113*AM113),"")</f>
        <v/>
      </c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L113">
        <f>IFERROR(INDEX('_names_lookup'!$C:$C,MATCH(BK113,'_names_lookup'!$A:$A,0)),"")</f>
        <v/>
      </c>
      <c r="BM113">
        <f>IFERROR(INDEX('_names_lookup'!$B:$B,MATCH(BK113,'_names_lookup'!$A:$A,0)),"")</f>
        <v/>
      </c>
      <c r="BS113">
        <f>IFERROR(IF(BR113*AA113=0,"",BR113*AA113),"")</f>
        <v/>
      </c>
    </row>
    <row r="114">
      <c r="O114">
        <f>IFERROR(INDEX('_courses_lookup'!$C:$C,MATCH(K114&amp;L114,'_courses_lookup'!$E:$E,0)),"")</f>
        <v/>
      </c>
      <c r="P114">
        <f>IFERROR(INDEX('_courses_lookup'!$D:$D,MATCH(K114&amp;L114,'_courses_lookup'!$E:$E,0)),"")</f>
        <v/>
      </c>
      <c r="AG114">
        <f>IF(AND(AE114&lt;&gt;"",AF114&lt;&gt;""),ROUNDUP((AF114-AE114)/7,0),"")</f>
        <v/>
      </c>
      <c r="AI114">
        <f>IFERROR(IF(AG114*AH114=0,"",AG114*AH114),"")</f>
        <v/>
      </c>
      <c r="AL114">
        <f>IF(AND(AJ114&lt;&gt;"",AK114&lt;&gt;""),ROUNDUP((AK114-AJ114)/7,0),"")</f>
        <v/>
      </c>
      <c r="AN114">
        <f>IFERROR(IF(AL114*AM114=0,"",AL114*AM114),"")</f>
        <v/>
      </c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L114">
        <f>IFERROR(INDEX('_names_lookup'!$C:$C,MATCH(BK114,'_names_lookup'!$A:$A,0)),"")</f>
        <v/>
      </c>
      <c r="BM114">
        <f>IFERROR(INDEX('_names_lookup'!$B:$B,MATCH(BK114,'_names_lookup'!$A:$A,0)),"")</f>
        <v/>
      </c>
      <c r="BS114">
        <f>IFERROR(IF(BR114*AA114=0,"",BR114*AA114),"")</f>
        <v/>
      </c>
    </row>
    <row r="115">
      <c r="O115">
        <f>IFERROR(INDEX('_courses_lookup'!$C:$C,MATCH(K115&amp;L115,'_courses_lookup'!$E:$E,0)),"")</f>
        <v/>
      </c>
      <c r="P115">
        <f>IFERROR(INDEX('_courses_lookup'!$D:$D,MATCH(K115&amp;L115,'_courses_lookup'!$E:$E,0)),"")</f>
        <v/>
      </c>
      <c r="AG115">
        <f>IF(AND(AE115&lt;&gt;"",AF115&lt;&gt;""),ROUNDUP((AF115-AE115)/7,0),"")</f>
        <v/>
      </c>
      <c r="AI115">
        <f>IFERROR(IF(AG115*AH115=0,"",AG115*AH115),"")</f>
        <v/>
      </c>
      <c r="AL115">
        <f>IF(AND(AJ115&lt;&gt;"",AK115&lt;&gt;""),ROUNDUP((AK115-AJ115)/7,0),"")</f>
        <v/>
      </c>
      <c r="AN115">
        <f>IFERROR(IF(AL115*AM115=0,"",AL115*AM115),"")</f>
        <v/>
      </c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L115">
        <f>IFERROR(INDEX('_names_lookup'!$C:$C,MATCH(BK115,'_names_lookup'!$A:$A,0)),"")</f>
        <v/>
      </c>
      <c r="BM115">
        <f>IFERROR(INDEX('_names_lookup'!$B:$B,MATCH(BK115,'_names_lookup'!$A:$A,0)),"")</f>
        <v/>
      </c>
      <c r="BS115">
        <f>IFERROR(IF(BR115*AA115=0,"",BR115*AA115),"")</f>
        <v/>
      </c>
    </row>
    <row r="116">
      <c r="O116">
        <f>IFERROR(INDEX('_courses_lookup'!$C:$C,MATCH(K116&amp;L116,'_courses_lookup'!$E:$E,0)),"")</f>
        <v/>
      </c>
      <c r="P116">
        <f>IFERROR(INDEX('_courses_lookup'!$D:$D,MATCH(K116&amp;L116,'_courses_lookup'!$E:$E,0)),"")</f>
        <v/>
      </c>
      <c r="AG116">
        <f>IF(AND(AE116&lt;&gt;"",AF116&lt;&gt;""),ROUNDUP((AF116-AE116)/7,0),"")</f>
        <v/>
      </c>
      <c r="AI116">
        <f>IFERROR(IF(AG116*AH116=0,"",AG116*AH116),"")</f>
        <v/>
      </c>
      <c r="AL116">
        <f>IF(AND(AJ116&lt;&gt;"",AK116&lt;&gt;""),ROUNDUP((AK116-AJ116)/7,0),"")</f>
        <v/>
      </c>
      <c r="AN116">
        <f>IFERROR(IF(AL116*AM116=0,"",AL116*AM116),"")</f>
        <v/>
      </c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L116">
        <f>IFERROR(INDEX('_names_lookup'!$C:$C,MATCH(BK116,'_names_lookup'!$A:$A,0)),"")</f>
        <v/>
      </c>
      <c r="BM116">
        <f>IFERROR(INDEX('_names_lookup'!$B:$B,MATCH(BK116,'_names_lookup'!$A:$A,0)),"")</f>
        <v/>
      </c>
      <c r="BS116">
        <f>IFERROR(IF(BR116*AA116=0,"",BR116*AA116),"")</f>
        <v/>
      </c>
    </row>
    <row r="117">
      <c r="O117">
        <f>IFERROR(INDEX('_courses_lookup'!$C:$C,MATCH(K117&amp;L117,'_courses_lookup'!$E:$E,0)),"")</f>
        <v/>
      </c>
      <c r="P117">
        <f>IFERROR(INDEX('_courses_lookup'!$D:$D,MATCH(K117&amp;L117,'_courses_lookup'!$E:$E,0)),"")</f>
        <v/>
      </c>
      <c r="AG117">
        <f>IF(AND(AE117&lt;&gt;"",AF117&lt;&gt;""),ROUNDUP((AF117-AE117)/7,0),"")</f>
        <v/>
      </c>
      <c r="AI117">
        <f>IFERROR(IF(AG117*AH117=0,"",AG117*AH117),"")</f>
        <v/>
      </c>
      <c r="AL117">
        <f>IF(AND(AJ117&lt;&gt;"",AK117&lt;&gt;""),ROUNDUP((AK117-AJ117)/7,0),"")</f>
        <v/>
      </c>
      <c r="AN117">
        <f>IFERROR(IF(AL117*AM117=0,"",AL117*AM117),"")</f>
        <v/>
      </c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L117">
        <f>IFERROR(INDEX('_names_lookup'!$C:$C,MATCH(BK117,'_names_lookup'!$A:$A,0)),"")</f>
        <v/>
      </c>
      <c r="BM117">
        <f>IFERROR(INDEX('_names_lookup'!$B:$B,MATCH(BK117,'_names_lookup'!$A:$A,0)),"")</f>
        <v/>
      </c>
      <c r="BS117">
        <f>IFERROR(IF(BR117*AA117=0,"",BR117*AA117),"")</f>
        <v/>
      </c>
    </row>
    <row r="118">
      <c r="O118">
        <f>IFERROR(INDEX('_courses_lookup'!$C:$C,MATCH(K118&amp;L118,'_courses_lookup'!$E:$E,0)),"")</f>
        <v/>
      </c>
      <c r="P118">
        <f>IFERROR(INDEX('_courses_lookup'!$D:$D,MATCH(K118&amp;L118,'_courses_lookup'!$E:$E,0)),"")</f>
        <v/>
      </c>
      <c r="AG118">
        <f>IF(AND(AE118&lt;&gt;"",AF118&lt;&gt;""),ROUNDUP((AF118-AE118)/7,0),"")</f>
        <v/>
      </c>
      <c r="AI118">
        <f>IFERROR(IF(AG118*AH118=0,"",AG118*AH118),"")</f>
        <v/>
      </c>
      <c r="AL118">
        <f>IF(AND(AJ118&lt;&gt;"",AK118&lt;&gt;""),ROUNDUP((AK118-AJ118)/7,0),"")</f>
        <v/>
      </c>
      <c r="AN118">
        <f>IFERROR(IF(AL118*AM118=0,"",AL118*AM118),"")</f>
        <v/>
      </c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L118">
        <f>IFERROR(INDEX('_names_lookup'!$C:$C,MATCH(BK118,'_names_lookup'!$A:$A,0)),"")</f>
        <v/>
      </c>
      <c r="BM118">
        <f>IFERROR(INDEX('_names_lookup'!$B:$B,MATCH(BK118,'_names_lookup'!$A:$A,0)),"")</f>
        <v/>
      </c>
      <c r="BS118">
        <f>IFERROR(IF(BR118*AA118=0,"",BR118*AA118),"")</f>
        <v/>
      </c>
    </row>
    <row r="119">
      <c r="O119">
        <f>IFERROR(INDEX('_courses_lookup'!$C:$C,MATCH(K119&amp;L119,'_courses_lookup'!$E:$E,0)),"")</f>
        <v/>
      </c>
      <c r="P119">
        <f>IFERROR(INDEX('_courses_lookup'!$D:$D,MATCH(K119&amp;L119,'_courses_lookup'!$E:$E,0)),"")</f>
        <v/>
      </c>
      <c r="AG119">
        <f>IF(AND(AE119&lt;&gt;"",AF119&lt;&gt;""),ROUNDUP((AF119-AE119)/7,0),"")</f>
        <v/>
      </c>
      <c r="AI119">
        <f>IFERROR(IF(AG119*AH119=0,"",AG119*AH119),"")</f>
        <v/>
      </c>
      <c r="AL119">
        <f>IF(AND(AJ119&lt;&gt;"",AK119&lt;&gt;""),ROUNDUP((AK119-AJ119)/7,0),"")</f>
        <v/>
      </c>
      <c r="AN119">
        <f>IFERROR(IF(AL119*AM119=0,"",AL119*AM119),"")</f>
        <v/>
      </c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L119">
        <f>IFERROR(INDEX('_names_lookup'!$C:$C,MATCH(BK119,'_names_lookup'!$A:$A,0)),"")</f>
        <v/>
      </c>
      <c r="BM119">
        <f>IFERROR(INDEX('_names_lookup'!$B:$B,MATCH(BK119,'_names_lookup'!$A:$A,0)),"")</f>
        <v/>
      </c>
      <c r="BS119">
        <f>IFERROR(IF(BR119*AA119=0,"",BR119*AA119),"")</f>
        <v/>
      </c>
    </row>
    <row r="120">
      <c r="O120">
        <f>IFERROR(INDEX('_courses_lookup'!$C:$C,MATCH(K120&amp;L120,'_courses_lookup'!$E:$E,0)),"")</f>
        <v/>
      </c>
      <c r="P120">
        <f>IFERROR(INDEX('_courses_lookup'!$D:$D,MATCH(K120&amp;L120,'_courses_lookup'!$E:$E,0)),"")</f>
        <v/>
      </c>
      <c r="AG120">
        <f>IF(AND(AE120&lt;&gt;"",AF120&lt;&gt;""),ROUNDUP((AF120-AE120)/7,0),"")</f>
        <v/>
      </c>
      <c r="AI120">
        <f>IFERROR(IF(AG120*AH120=0,"",AG120*AH120),"")</f>
        <v/>
      </c>
      <c r="AL120">
        <f>IF(AND(AJ120&lt;&gt;"",AK120&lt;&gt;""),ROUNDUP((AK120-AJ120)/7,0),"")</f>
        <v/>
      </c>
      <c r="AN120">
        <f>IFERROR(IF(AL120*AM120=0,"",AL120*AM120),"")</f>
        <v/>
      </c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L120">
        <f>IFERROR(INDEX('_names_lookup'!$C:$C,MATCH(BK120,'_names_lookup'!$A:$A,0)),"")</f>
        <v/>
      </c>
      <c r="BM120">
        <f>IFERROR(INDEX('_names_lookup'!$B:$B,MATCH(BK120,'_names_lookup'!$A:$A,0)),"")</f>
        <v/>
      </c>
      <c r="BS120">
        <f>IFERROR(IF(BR120*AA120=0,"",BR120*AA120),"")</f>
        <v/>
      </c>
    </row>
    <row r="121">
      <c r="O121">
        <f>IFERROR(INDEX('_courses_lookup'!$C:$C,MATCH(K121&amp;L121,'_courses_lookup'!$E:$E,0)),"")</f>
        <v/>
      </c>
      <c r="P121">
        <f>IFERROR(INDEX('_courses_lookup'!$D:$D,MATCH(K121&amp;L121,'_courses_lookup'!$E:$E,0)),"")</f>
        <v/>
      </c>
      <c r="AG121">
        <f>IF(AND(AE121&lt;&gt;"",AF121&lt;&gt;""),ROUNDUP((AF121-AE121)/7,0),"")</f>
        <v/>
      </c>
      <c r="AI121">
        <f>IFERROR(IF(AG121*AH121=0,"",AG121*AH121),"")</f>
        <v/>
      </c>
      <c r="AL121">
        <f>IF(AND(AJ121&lt;&gt;"",AK121&lt;&gt;""),ROUNDUP((AK121-AJ121)/7,0),"")</f>
        <v/>
      </c>
      <c r="AN121">
        <f>IFERROR(IF(AL121*AM121=0,"",AL121*AM121),"")</f>
        <v/>
      </c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L121">
        <f>IFERROR(INDEX('_names_lookup'!$C:$C,MATCH(BK121,'_names_lookup'!$A:$A,0)),"")</f>
        <v/>
      </c>
      <c r="BM121">
        <f>IFERROR(INDEX('_names_lookup'!$B:$B,MATCH(BK121,'_names_lookup'!$A:$A,0)),"")</f>
        <v/>
      </c>
      <c r="BS121">
        <f>IFERROR(IF(BR121*AA121=0,"",BR121*AA121),"")</f>
        <v/>
      </c>
    </row>
    <row r="122">
      <c r="O122">
        <f>IFERROR(INDEX('_courses_lookup'!$C:$C,MATCH(K122&amp;L122,'_courses_lookup'!$E:$E,0)),"")</f>
        <v/>
      </c>
      <c r="P122">
        <f>IFERROR(INDEX('_courses_lookup'!$D:$D,MATCH(K122&amp;L122,'_courses_lookup'!$E:$E,0)),"")</f>
        <v/>
      </c>
      <c r="AG122">
        <f>IF(AND(AE122&lt;&gt;"",AF122&lt;&gt;""),ROUNDUP((AF122-AE122)/7,0),"")</f>
        <v/>
      </c>
      <c r="AI122">
        <f>IFERROR(IF(AG122*AH122=0,"",AG122*AH122),"")</f>
        <v/>
      </c>
      <c r="AL122">
        <f>IF(AND(AJ122&lt;&gt;"",AK122&lt;&gt;""),ROUNDUP((AK122-AJ122)/7,0),"")</f>
        <v/>
      </c>
      <c r="AN122">
        <f>IFERROR(IF(AL122*AM122=0,"",AL122*AM122),"")</f>
        <v/>
      </c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L122">
        <f>IFERROR(INDEX('_names_lookup'!$C:$C,MATCH(BK122,'_names_lookup'!$A:$A,0)),"")</f>
        <v/>
      </c>
      <c r="BM122">
        <f>IFERROR(INDEX('_names_lookup'!$B:$B,MATCH(BK122,'_names_lookup'!$A:$A,0)),"")</f>
        <v/>
      </c>
      <c r="BS122">
        <f>IFERROR(IF(BR122*AA122=0,"",BR122*AA122),"")</f>
        <v/>
      </c>
    </row>
    <row r="123">
      <c r="O123">
        <f>IFERROR(INDEX('_courses_lookup'!$C:$C,MATCH(K123&amp;L123,'_courses_lookup'!$E:$E,0)),"")</f>
        <v/>
      </c>
      <c r="P123">
        <f>IFERROR(INDEX('_courses_lookup'!$D:$D,MATCH(K123&amp;L123,'_courses_lookup'!$E:$E,0)),"")</f>
        <v/>
      </c>
      <c r="AG123">
        <f>IF(AND(AE123&lt;&gt;"",AF123&lt;&gt;""),ROUNDUP((AF123-AE123)/7,0),"")</f>
        <v/>
      </c>
      <c r="AI123">
        <f>IFERROR(IF(AG123*AH123=0,"",AG123*AH123),"")</f>
        <v/>
      </c>
      <c r="AL123">
        <f>IF(AND(AJ123&lt;&gt;"",AK123&lt;&gt;""),ROUNDUP((AK123-AJ123)/7,0),"")</f>
        <v/>
      </c>
      <c r="AN123">
        <f>IFERROR(IF(AL123*AM123=0,"",AL123*AM123),"")</f>
        <v/>
      </c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L123">
        <f>IFERROR(INDEX('_names_lookup'!$C:$C,MATCH(BK123,'_names_lookup'!$A:$A,0)),"")</f>
        <v/>
      </c>
      <c r="BM123">
        <f>IFERROR(INDEX('_names_lookup'!$B:$B,MATCH(BK123,'_names_lookup'!$A:$A,0)),"")</f>
        <v/>
      </c>
      <c r="BS123">
        <f>IFERROR(IF(BR123*AA123=0,"",BR123*AA123),"")</f>
        <v/>
      </c>
    </row>
    <row r="124">
      <c r="O124">
        <f>IFERROR(INDEX('_courses_lookup'!$C:$C,MATCH(K124&amp;L124,'_courses_lookup'!$E:$E,0)),"")</f>
        <v/>
      </c>
      <c r="P124">
        <f>IFERROR(INDEX('_courses_lookup'!$D:$D,MATCH(K124&amp;L124,'_courses_lookup'!$E:$E,0)),"")</f>
        <v/>
      </c>
      <c r="AG124">
        <f>IF(AND(AE124&lt;&gt;"",AF124&lt;&gt;""),ROUNDUP((AF124-AE124)/7,0),"")</f>
        <v/>
      </c>
      <c r="AI124">
        <f>IFERROR(IF(AG124*AH124=0,"",AG124*AH124),"")</f>
        <v/>
      </c>
      <c r="AL124">
        <f>IF(AND(AJ124&lt;&gt;"",AK124&lt;&gt;""),ROUNDUP((AK124-AJ124)/7,0),"")</f>
        <v/>
      </c>
      <c r="AN124">
        <f>IFERROR(IF(AL124*AM124=0,"",AL124*AM124),"")</f>
        <v/>
      </c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L124">
        <f>IFERROR(INDEX('_names_lookup'!$C:$C,MATCH(BK124,'_names_lookup'!$A:$A,0)),"")</f>
        <v/>
      </c>
      <c r="BM124">
        <f>IFERROR(INDEX('_names_lookup'!$B:$B,MATCH(BK124,'_names_lookup'!$A:$A,0)),"")</f>
        <v/>
      </c>
      <c r="BS124">
        <f>IFERROR(IF(BR124*AA124=0,"",BR124*AA124),"")</f>
        <v/>
      </c>
    </row>
    <row r="125">
      <c r="O125">
        <f>IFERROR(INDEX('_courses_lookup'!$C:$C,MATCH(K125&amp;L125,'_courses_lookup'!$E:$E,0)),"")</f>
        <v/>
      </c>
      <c r="P125">
        <f>IFERROR(INDEX('_courses_lookup'!$D:$D,MATCH(K125&amp;L125,'_courses_lookup'!$E:$E,0)),"")</f>
        <v/>
      </c>
      <c r="AG125">
        <f>IF(AND(AE125&lt;&gt;"",AF125&lt;&gt;""),ROUNDUP((AF125-AE125)/7,0),"")</f>
        <v/>
      </c>
      <c r="AI125">
        <f>IFERROR(IF(AG125*AH125=0,"",AG125*AH125),"")</f>
        <v/>
      </c>
      <c r="AL125">
        <f>IF(AND(AJ125&lt;&gt;"",AK125&lt;&gt;""),ROUNDUP((AK125-AJ125)/7,0),"")</f>
        <v/>
      </c>
      <c r="AN125">
        <f>IFERROR(IF(AL125*AM125=0,"",AL125*AM125),"")</f>
        <v/>
      </c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L125">
        <f>IFERROR(INDEX('_names_lookup'!$C:$C,MATCH(BK125,'_names_lookup'!$A:$A,0)),"")</f>
        <v/>
      </c>
      <c r="BM125">
        <f>IFERROR(INDEX('_names_lookup'!$B:$B,MATCH(BK125,'_names_lookup'!$A:$A,0)),"")</f>
        <v/>
      </c>
      <c r="BS125">
        <f>IFERROR(IF(BR125*AA125=0,"",BR125*AA125),"")</f>
        <v/>
      </c>
    </row>
    <row r="126">
      <c r="O126">
        <f>IFERROR(INDEX('_courses_lookup'!$C:$C,MATCH(K126&amp;L126,'_courses_lookup'!$E:$E,0)),"")</f>
        <v/>
      </c>
      <c r="P126">
        <f>IFERROR(INDEX('_courses_lookup'!$D:$D,MATCH(K126&amp;L126,'_courses_lookup'!$E:$E,0)),"")</f>
        <v/>
      </c>
      <c r="AG126">
        <f>IF(AND(AE126&lt;&gt;"",AF126&lt;&gt;""),ROUNDUP((AF126-AE126)/7,0),"")</f>
        <v/>
      </c>
      <c r="AI126">
        <f>IFERROR(IF(AG126*AH126=0,"",AG126*AH126),"")</f>
        <v/>
      </c>
      <c r="AL126">
        <f>IF(AND(AJ126&lt;&gt;"",AK126&lt;&gt;""),ROUNDUP((AK126-AJ126)/7,0),"")</f>
        <v/>
      </c>
      <c r="AN126">
        <f>IFERROR(IF(AL126*AM126=0,"",AL126*AM126),"")</f>
        <v/>
      </c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L126">
        <f>IFERROR(INDEX('_names_lookup'!$C:$C,MATCH(BK126,'_names_lookup'!$A:$A,0)),"")</f>
        <v/>
      </c>
      <c r="BM126">
        <f>IFERROR(INDEX('_names_lookup'!$B:$B,MATCH(BK126,'_names_lookup'!$A:$A,0)),"")</f>
        <v/>
      </c>
      <c r="BS126">
        <f>IFERROR(IF(BR126*AA126=0,"",BR126*AA126),"")</f>
        <v/>
      </c>
    </row>
    <row r="127">
      <c r="O127">
        <f>IFERROR(INDEX('_courses_lookup'!$C:$C,MATCH(K127&amp;L127,'_courses_lookup'!$E:$E,0)),"")</f>
        <v/>
      </c>
      <c r="P127">
        <f>IFERROR(INDEX('_courses_lookup'!$D:$D,MATCH(K127&amp;L127,'_courses_lookup'!$E:$E,0)),"")</f>
        <v/>
      </c>
      <c r="AG127">
        <f>IF(AND(AE127&lt;&gt;"",AF127&lt;&gt;""),ROUNDUP((AF127-AE127)/7,0),"")</f>
        <v/>
      </c>
      <c r="AI127">
        <f>IFERROR(IF(AG127*AH127=0,"",AG127*AH127),"")</f>
        <v/>
      </c>
      <c r="AL127">
        <f>IF(AND(AJ127&lt;&gt;"",AK127&lt;&gt;""),ROUNDUP((AK127-AJ127)/7,0),"")</f>
        <v/>
      </c>
      <c r="AN127">
        <f>IFERROR(IF(AL127*AM127=0,"",AL127*AM127),"")</f>
        <v/>
      </c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L127">
        <f>IFERROR(INDEX('_names_lookup'!$C:$C,MATCH(BK127,'_names_lookup'!$A:$A,0)),"")</f>
        <v/>
      </c>
      <c r="BM127">
        <f>IFERROR(INDEX('_names_lookup'!$B:$B,MATCH(BK127,'_names_lookup'!$A:$A,0)),"")</f>
        <v/>
      </c>
      <c r="BS127">
        <f>IFERROR(IF(BR127*AA127=0,"",BR127*AA127),"")</f>
        <v/>
      </c>
    </row>
    <row r="128">
      <c r="O128">
        <f>IFERROR(INDEX('_courses_lookup'!$C:$C,MATCH(K128&amp;L128,'_courses_lookup'!$E:$E,0)),"")</f>
        <v/>
      </c>
      <c r="P128">
        <f>IFERROR(INDEX('_courses_lookup'!$D:$D,MATCH(K128&amp;L128,'_courses_lookup'!$E:$E,0)),"")</f>
        <v/>
      </c>
      <c r="AG128">
        <f>IF(AND(AE128&lt;&gt;"",AF128&lt;&gt;""),ROUNDUP((AF128-AE128)/7,0),"")</f>
        <v/>
      </c>
      <c r="AI128">
        <f>IFERROR(IF(AG128*AH128=0,"",AG128*AH128),"")</f>
        <v/>
      </c>
      <c r="AL128">
        <f>IF(AND(AJ128&lt;&gt;"",AK128&lt;&gt;""),ROUNDUP((AK128-AJ128)/7,0),"")</f>
        <v/>
      </c>
      <c r="AN128">
        <f>IFERROR(IF(AL128*AM128=0,"",AL128*AM128),"")</f>
        <v/>
      </c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L128">
        <f>IFERROR(INDEX('_names_lookup'!$C:$C,MATCH(BK128,'_names_lookup'!$A:$A,0)),"")</f>
        <v/>
      </c>
      <c r="BM128">
        <f>IFERROR(INDEX('_names_lookup'!$B:$B,MATCH(BK128,'_names_lookup'!$A:$A,0)),"")</f>
        <v/>
      </c>
      <c r="BS128">
        <f>IFERROR(IF(BR128*AA128=0,"",BR128*AA128),"")</f>
        <v/>
      </c>
    </row>
    <row r="129">
      <c r="O129">
        <f>IFERROR(INDEX('_courses_lookup'!$C:$C,MATCH(K129&amp;L129,'_courses_lookup'!$E:$E,0)),"")</f>
        <v/>
      </c>
      <c r="P129">
        <f>IFERROR(INDEX('_courses_lookup'!$D:$D,MATCH(K129&amp;L129,'_courses_lookup'!$E:$E,0)),"")</f>
        <v/>
      </c>
      <c r="AG129">
        <f>IF(AND(AE129&lt;&gt;"",AF129&lt;&gt;""),ROUNDUP((AF129-AE129)/7,0),"")</f>
        <v/>
      </c>
      <c r="AI129">
        <f>IFERROR(IF(AG129*AH129=0,"",AG129*AH129),"")</f>
        <v/>
      </c>
      <c r="AL129">
        <f>IF(AND(AJ129&lt;&gt;"",AK129&lt;&gt;""),ROUNDUP((AK129-AJ129)/7,0),"")</f>
        <v/>
      </c>
      <c r="AN129">
        <f>IFERROR(IF(AL129*AM129=0,"",AL129*AM129),"")</f>
        <v/>
      </c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L129">
        <f>IFERROR(INDEX('_names_lookup'!$C:$C,MATCH(BK129,'_names_lookup'!$A:$A,0)),"")</f>
        <v/>
      </c>
      <c r="BM129">
        <f>IFERROR(INDEX('_names_lookup'!$B:$B,MATCH(BK129,'_names_lookup'!$A:$A,0)),"")</f>
        <v/>
      </c>
      <c r="BS129">
        <f>IFERROR(IF(BR129*AA129=0,"",BR129*AA129),"")</f>
        <v/>
      </c>
    </row>
    <row r="130">
      <c r="O130">
        <f>IFERROR(INDEX('_courses_lookup'!$C:$C,MATCH(K130&amp;L130,'_courses_lookup'!$E:$E,0)),"")</f>
        <v/>
      </c>
      <c r="P130">
        <f>IFERROR(INDEX('_courses_lookup'!$D:$D,MATCH(K130&amp;L130,'_courses_lookup'!$E:$E,0)),"")</f>
        <v/>
      </c>
      <c r="AG130">
        <f>IF(AND(AE130&lt;&gt;"",AF130&lt;&gt;""),ROUNDUP((AF130-AE130)/7,0),"")</f>
        <v/>
      </c>
      <c r="AI130">
        <f>IFERROR(IF(AG130*AH130=0,"",AG130*AH130),"")</f>
        <v/>
      </c>
      <c r="AL130">
        <f>IF(AND(AJ130&lt;&gt;"",AK130&lt;&gt;""),ROUNDUP((AK130-AJ130)/7,0),"")</f>
        <v/>
      </c>
      <c r="AN130">
        <f>IFERROR(IF(AL130*AM130=0,"",AL130*AM130),"")</f>
        <v/>
      </c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L130">
        <f>IFERROR(INDEX('_names_lookup'!$C:$C,MATCH(BK130,'_names_lookup'!$A:$A,0)),"")</f>
        <v/>
      </c>
      <c r="BM130">
        <f>IFERROR(INDEX('_names_lookup'!$B:$B,MATCH(BK130,'_names_lookup'!$A:$A,0)),"")</f>
        <v/>
      </c>
      <c r="BS130">
        <f>IFERROR(IF(BR130*AA130=0,"",BR130*AA130),"")</f>
        <v/>
      </c>
    </row>
    <row r="131">
      <c r="O131">
        <f>IFERROR(INDEX('_courses_lookup'!$C:$C,MATCH(K131&amp;L131,'_courses_lookup'!$E:$E,0)),"")</f>
        <v/>
      </c>
      <c r="P131">
        <f>IFERROR(INDEX('_courses_lookup'!$D:$D,MATCH(K131&amp;L131,'_courses_lookup'!$E:$E,0)),"")</f>
        <v/>
      </c>
      <c r="AG131">
        <f>IF(AND(AE131&lt;&gt;"",AF131&lt;&gt;""),ROUNDUP((AF131-AE131)/7,0),"")</f>
        <v/>
      </c>
      <c r="AI131">
        <f>IFERROR(IF(AG131*AH131=0,"",AG131*AH131),"")</f>
        <v/>
      </c>
      <c r="AL131">
        <f>IF(AND(AJ131&lt;&gt;"",AK131&lt;&gt;""),ROUNDUP((AK131-AJ131)/7,0),"")</f>
        <v/>
      </c>
      <c r="AN131">
        <f>IFERROR(IF(AL131*AM131=0,"",AL131*AM131),"")</f>
        <v/>
      </c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L131">
        <f>IFERROR(INDEX('_names_lookup'!$C:$C,MATCH(BK131,'_names_lookup'!$A:$A,0)),"")</f>
        <v/>
      </c>
      <c r="BM131">
        <f>IFERROR(INDEX('_names_lookup'!$B:$B,MATCH(BK131,'_names_lookup'!$A:$A,0)),"")</f>
        <v/>
      </c>
      <c r="BS131">
        <f>IFERROR(IF(BR131*AA131=0,"",BR131*AA131),"")</f>
        <v/>
      </c>
    </row>
    <row r="132">
      <c r="O132">
        <f>IFERROR(INDEX('_courses_lookup'!$C:$C,MATCH(K132&amp;L132,'_courses_lookup'!$E:$E,0)),"")</f>
        <v/>
      </c>
      <c r="P132">
        <f>IFERROR(INDEX('_courses_lookup'!$D:$D,MATCH(K132&amp;L132,'_courses_lookup'!$E:$E,0)),"")</f>
        <v/>
      </c>
      <c r="AG132">
        <f>IF(AND(AE132&lt;&gt;"",AF132&lt;&gt;""),ROUNDUP((AF132-AE132)/7,0),"")</f>
        <v/>
      </c>
      <c r="AI132">
        <f>IFERROR(IF(AG132*AH132=0,"",AG132*AH132),"")</f>
        <v/>
      </c>
      <c r="AL132">
        <f>IF(AND(AJ132&lt;&gt;"",AK132&lt;&gt;""),ROUNDUP((AK132-AJ132)/7,0),"")</f>
        <v/>
      </c>
      <c r="AN132">
        <f>IFERROR(IF(AL132*AM132=0,"",AL132*AM132),"")</f>
        <v/>
      </c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L132">
        <f>IFERROR(INDEX('_names_lookup'!$C:$C,MATCH(BK132,'_names_lookup'!$A:$A,0)),"")</f>
        <v/>
      </c>
      <c r="BM132">
        <f>IFERROR(INDEX('_names_lookup'!$B:$B,MATCH(BK132,'_names_lookup'!$A:$A,0)),"")</f>
        <v/>
      </c>
      <c r="BS132">
        <f>IFERROR(IF(BR132*AA132=0,"",BR132*AA132),"")</f>
        <v/>
      </c>
    </row>
    <row r="133">
      <c r="O133">
        <f>IFERROR(INDEX('_courses_lookup'!$C:$C,MATCH(K133&amp;L133,'_courses_lookup'!$E:$E,0)),"")</f>
        <v/>
      </c>
      <c r="P133">
        <f>IFERROR(INDEX('_courses_lookup'!$D:$D,MATCH(K133&amp;L133,'_courses_lookup'!$E:$E,0)),"")</f>
        <v/>
      </c>
      <c r="AG133">
        <f>IF(AND(AE133&lt;&gt;"",AF133&lt;&gt;""),ROUNDUP((AF133-AE133)/7,0),"")</f>
        <v/>
      </c>
      <c r="AI133">
        <f>IFERROR(IF(AG133*AH133=0,"",AG133*AH133),"")</f>
        <v/>
      </c>
      <c r="AL133">
        <f>IF(AND(AJ133&lt;&gt;"",AK133&lt;&gt;""),ROUNDUP((AK133-AJ133)/7,0),"")</f>
        <v/>
      </c>
      <c r="AN133">
        <f>IFERROR(IF(AL133*AM133=0,"",AL133*AM133),"")</f>
        <v/>
      </c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L133">
        <f>IFERROR(INDEX('_names_lookup'!$C:$C,MATCH(BK133,'_names_lookup'!$A:$A,0)),"")</f>
        <v/>
      </c>
      <c r="BM133">
        <f>IFERROR(INDEX('_names_lookup'!$B:$B,MATCH(BK133,'_names_lookup'!$A:$A,0)),"")</f>
        <v/>
      </c>
      <c r="BS133">
        <f>IFERROR(IF(BR133*AA133=0,"",BR133*AA133),"")</f>
        <v/>
      </c>
    </row>
    <row r="134">
      <c r="O134">
        <f>IFERROR(INDEX('_courses_lookup'!$C:$C,MATCH(K134&amp;L134,'_courses_lookup'!$E:$E,0)),"")</f>
        <v/>
      </c>
      <c r="P134">
        <f>IFERROR(INDEX('_courses_lookup'!$D:$D,MATCH(K134&amp;L134,'_courses_lookup'!$E:$E,0)),"")</f>
        <v/>
      </c>
      <c r="AG134">
        <f>IF(AND(AE134&lt;&gt;"",AF134&lt;&gt;""),ROUNDUP((AF134-AE134)/7,0),"")</f>
        <v/>
      </c>
      <c r="AI134">
        <f>IFERROR(IF(AG134*AH134=0,"",AG134*AH134),"")</f>
        <v/>
      </c>
      <c r="AL134">
        <f>IF(AND(AJ134&lt;&gt;"",AK134&lt;&gt;""),ROUNDUP((AK134-AJ134)/7,0),"")</f>
        <v/>
      </c>
      <c r="AN134">
        <f>IFERROR(IF(AL134*AM134=0,"",AL134*AM134),"")</f>
        <v/>
      </c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L134">
        <f>IFERROR(INDEX('_names_lookup'!$C:$C,MATCH(BK134,'_names_lookup'!$A:$A,0)),"")</f>
        <v/>
      </c>
      <c r="BM134">
        <f>IFERROR(INDEX('_names_lookup'!$B:$B,MATCH(BK134,'_names_lookup'!$A:$A,0)),"")</f>
        <v/>
      </c>
      <c r="BS134">
        <f>IFERROR(IF(BR134*AA134=0,"",BR134*AA134),"")</f>
        <v/>
      </c>
    </row>
    <row r="135">
      <c r="O135">
        <f>IFERROR(INDEX('_courses_lookup'!$C:$C,MATCH(K135&amp;L135,'_courses_lookup'!$E:$E,0)),"")</f>
        <v/>
      </c>
      <c r="P135">
        <f>IFERROR(INDEX('_courses_lookup'!$D:$D,MATCH(K135&amp;L135,'_courses_lookup'!$E:$E,0)),"")</f>
        <v/>
      </c>
      <c r="AG135">
        <f>IF(AND(AE135&lt;&gt;"",AF135&lt;&gt;""),ROUNDUP((AF135-AE135)/7,0),"")</f>
        <v/>
      </c>
      <c r="AI135">
        <f>IFERROR(IF(AG135*AH135=0,"",AG135*AH135),"")</f>
        <v/>
      </c>
      <c r="AL135">
        <f>IF(AND(AJ135&lt;&gt;"",AK135&lt;&gt;""),ROUNDUP((AK135-AJ135)/7,0),"")</f>
        <v/>
      </c>
      <c r="AN135">
        <f>IFERROR(IF(AL135*AM135=0,"",AL135*AM135),"")</f>
        <v/>
      </c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L135">
        <f>IFERROR(INDEX('_names_lookup'!$C:$C,MATCH(BK135,'_names_lookup'!$A:$A,0)),"")</f>
        <v/>
      </c>
      <c r="BM135">
        <f>IFERROR(INDEX('_names_lookup'!$B:$B,MATCH(BK135,'_names_lookup'!$A:$A,0)),"")</f>
        <v/>
      </c>
      <c r="BS135">
        <f>IFERROR(IF(BR135*AA135=0,"",BR135*AA135),"")</f>
        <v/>
      </c>
    </row>
    <row r="136">
      <c r="O136">
        <f>IFERROR(INDEX('_courses_lookup'!$C:$C,MATCH(K136&amp;L136,'_courses_lookup'!$E:$E,0)),"")</f>
        <v/>
      </c>
      <c r="P136">
        <f>IFERROR(INDEX('_courses_lookup'!$D:$D,MATCH(K136&amp;L136,'_courses_lookup'!$E:$E,0)),"")</f>
        <v/>
      </c>
      <c r="AG136">
        <f>IF(AND(AE136&lt;&gt;"",AF136&lt;&gt;""),ROUNDUP((AF136-AE136)/7,0),"")</f>
        <v/>
      </c>
      <c r="AI136">
        <f>IFERROR(IF(AG136*AH136=0,"",AG136*AH136),"")</f>
        <v/>
      </c>
      <c r="AL136">
        <f>IF(AND(AJ136&lt;&gt;"",AK136&lt;&gt;""),ROUNDUP((AK136-AJ136)/7,0),"")</f>
        <v/>
      </c>
      <c r="AN136">
        <f>IFERROR(IF(AL136*AM136=0,"",AL136*AM136),"")</f>
        <v/>
      </c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L136">
        <f>IFERROR(INDEX('_names_lookup'!$C:$C,MATCH(BK136,'_names_lookup'!$A:$A,0)),"")</f>
        <v/>
      </c>
      <c r="BM136">
        <f>IFERROR(INDEX('_names_lookup'!$B:$B,MATCH(BK136,'_names_lookup'!$A:$A,0)),"")</f>
        <v/>
      </c>
      <c r="BS136">
        <f>IFERROR(IF(BR136*AA136=0,"",BR136*AA136),"")</f>
        <v/>
      </c>
    </row>
    <row r="137">
      <c r="O137">
        <f>IFERROR(INDEX('_courses_lookup'!$C:$C,MATCH(K137&amp;L137,'_courses_lookup'!$E:$E,0)),"")</f>
        <v/>
      </c>
      <c r="P137">
        <f>IFERROR(INDEX('_courses_lookup'!$D:$D,MATCH(K137&amp;L137,'_courses_lookup'!$E:$E,0)),"")</f>
        <v/>
      </c>
      <c r="AG137">
        <f>IF(AND(AE137&lt;&gt;"",AF137&lt;&gt;""),ROUNDUP((AF137-AE137)/7,0),"")</f>
        <v/>
      </c>
      <c r="AI137">
        <f>IFERROR(IF(AG137*AH137=0,"",AG137*AH137),"")</f>
        <v/>
      </c>
      <c r="AL137">
        <f>IF(AND(AJ137&lt;&gt;"",AK137&lt;&gt;""),ROUNDUP((AK137-AJ137)/7,0),"")</f>
        <v/>
      </c>
      <c r="AN137">
        <f>IFERROR(IF(AL137*AM137=0,"",AL137*AM137),"")</f>
        <v/>
      </c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L137">
        <f>IFERROR(INDEX('_names_lookup'!$C:$C,MATCH(BK137,'_names_lookup'!$A:$A,0)),"")</f>
        <v/>
      </c>
      <c r="BM137">
        <f>IFERROR(INDEX('_names_lookup'!$B:$B,MATCH(BK137,'_names_lookup'!$A:$A,0)),"")</f>
        <v/>
      </c>
      <c r="BS137">
        <f>IFERROR(IF(BR137*AA137=0,"",BR137*AA137),"")</f>
        <v/>
      </c>
    </row>
    <row r="138">
      <c r="O138">
        <f>IFERROR(INDEX('_courses_lookup'!$C:$C,MATCH(K138&amp;L138,'_courses_lookup'!$E:$E,0)),"")</f>
        <v/>
      </c>
      <c r="P138">
        <f>IFERROR(INDEX('_courses_lookup'!$D:$D,MATCH(K138&amp;L138,'_courses_lookup'!$E:$E,0)),"")</f>
        <v/>
      </c>
      <c r="AG138">
        <f>IF(AND(AE138&lt;&gt;"",AF138&lt;&gt;""),ROUNDUP((AF138-AE138)/7,0),"")</f>
        <v/>
      </c>
      <c r="AI138">
        <f>IFERROR(IF(AG138*AH138=0,"",AG138*AH138),"")</f>
        <v/>
      </c>
      <c r="AL138">
        <f>IF(AND(AJ138&lt;&gt;"",AK138&lt;&gt;""),ROUNDUP((AK138-AJ138)/7,0),"")</f>
        <v/>
      </c>
      <c r="AN138">
        <f>IFERROR(IF(AL138*AM138=0,"",AL138*AM138),"")</f>
        <v/>
      </c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L138">
        <f>IFERROR(INDEX('_names_lookup'!$C:$C,MATCH(BK138,'_names_lookup'!$A:$A,0)),"")</f>
        <v/>
      </c>
      <c r="BM138">
        <f>IFERROR(INDEX('_names_lookup'!$B:$B,MATCH(BK138,'_names_lookup'!$A:$A,0)),"")</f>
        <v/>
      </c>
      <c r="BS138">
        <f>IFERROR(IF(BR138*AA138=0,"",BR138*AA138),"")</f>
        <v/>
      </c>
    </row>
    <row r="139">
      <c r="O139">
        <f>IFERROR(INDEX('_courses_lookup'!$C:$C,MATCH(K139&amp;L139,'_courses_lookup'!$E:$E,0)),"")</f>
        <v/>
      </c>
      <c r="P139">
        <f>IFERROR(INDEX('_courses_lookup'!$D:$D,MATCH(K139&amp;L139,'_courses_lookup'!$E:$E,0)),"")</f>
        <v/>
      </c>
      <c r="AG139">
        <f>IF(AND(AE139&lt;&gt;"",AF139&lt;&gt;""),ROUNDUP((AF139-AE139)/7,0),"")</f>
        <v/>
      </c>
      <c r="AI139">
        <f>IFERROR(IF(AG139*AH139=0,"",AG139*AH139),"")</f>
        <v/>
      </c>
      <c r="AL139">
        <f>IF(AND(AJ139&lt;&gt;"",AK139&lt;&gt;""),ROUNDUP((AK139-AJ139)/7,0),"")</f>
        <v/>
      </c>
      <c r="AN139">
        <f>IFERROR(IF(AL139*AM139=0,"",AL139*AM139),"")</f>
        <v/>
      </c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L139">
        <f>IFERROR(INDEX('_names_lookup'!$C:$C,MATCH(BK139,'_names_lookup'!$A:$A,0)),"")</f>
        <v/>
      </c>
      <c r="BM139">
        <f>IFERROR(INDEX('_names_lookup'!$B:$B,MATCH(BK139,'_names_lookup'!$A:$A,0)),"")</f>
        <v/>
      </c>
      <c r="BS139">
        <f>IFERROR(IF(BR139*AA139=0,"",BR139*AA139),"")</f>
        <v/>
      </c>
    </row>
    <row r="140">
      <c r="O140">
        <f>IFERROR(INDEX('_courses_lookup'!$C:$C,MATCH(K140&amp;L140,'_courses_lookup'!$E:$E,0)),"")</f>
        <v/>
      </c>
      <c r="P140">
        <f>IFERROR(INDEX('_courses_lookup'!$D:$D,MATCH(K140&amp;L140,'_courses_lookup'!$E:$E,0)),"")</f>
        <v/>
      </c>
      <c r="AG140">
        <f>IF(AND(AE140&lt;&gt;"",AF140&lt;&gt;""),ROUNDUP((AF140-AE140)/7,0),"")</f>
        <v/>
      </c>
      <c r="AI140">
        <f>IFERROR(IF(AG140*AH140=0,"",AG140*AH140),"")</f>
        <v/>
      </c>
      <c r="AL140">
        <f>IF(AND(AJ140&lt;&gt;"",AK140&lt;&gt;""),ROUNDUP((AK140-AJ140)/7,0),"")</f>
        <v/>
      </c>
      <c r="AN140">
        <f>IFERROR(IF(AL140*AM140=0,"",AL140*AM140),"")</f>
        <v/>
      </c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L140">
        <f>IFERROR(INDEX('_names_lookup'!$C:$C,MATCH(BK140,'_names_lookup'!$A:$A,0)),"")</f>
        <v/>
      </c>
      <c r="BM140">
        <f>IFERROR(INDEX('_names_lookup'!$B:$B,MATCH(BK140,'_names_lookup'!$A:$A,0)),"")</f>
        <v/>
      </c>
      <c r="BS140">
        <f>IFERROR(IF(BR140*AA140=0,"",BR140*AA140),"")</f>
        <v/>
      </c>
    </row>
    <row r="141">
      <c r="O141">
        <f>IFERROR(INDEX('_courses_lookup'!$C:$C,MATCH(K141&amp;L141,'_courses_lookup'!$E:$E,0)),"")</f>
        <v/>
      </c>
      <c r="P141">
        <f>IFERROR(INDEX('_courses_lookup'!$D:$D,MATCH(K141&amp;L141,'_courses_lookup'!$E:$E,0)),"")</f>
        <v/>
      </c>
      <c r="AG141">
        <f>IF(AND(AE141&lt;&gt;"",AF141&lt;&gt;""),ROUNDUP((AF141-AE141)/7,0),"")</f>
        <v/>
      </c>
      <c r="AI141">
        <f>IFERROR(IF(AG141*AH141=0,"",AG141*AH141),"")</f>
        <v/>
      </c>
      <c r="AL141">
        <f>IF(AND(AJ141&lt;&gt;"",AK141&lt;&gt;""),ROUNDUP((AK141-AJ141)/7,0),"")</f>
        <v/>
      </c>
      <c r="AN141">
        <f>IFERROR(IF(AL141*AM141=0,"",AL141*AM141),"")</f>
        <v/>
      </c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L141">
        <f>IFERROR(INDEX('_names_lookup'!$C:$C,MATCH(BK141,'_names_lookup'!$A:$A,0)),"")</f>
        <v/>
      </c>
      <c r="BM141">
        <f>IFERROR(INDEX('_names_lookup'!$B:$B,MATCH(BK141,'_names_lookup'!$A:$A,0)),"")</f>
        <v/>
      </c>
      <c r="BS141">
        <f>IFERROR(IF(BR141*AA141=0,"",BR141*AA141),"")</f>
        <v/>
      </c>
    </row>
    <row r="142">
      <c r="O142">
        <f>IFERROR(INDEX('_courses_lookup'!$C:$C,MATCH(K142&amp;L142,'_courses_lookup'!$E:$E,0)),"")</f>
        <v/>
      </c>
      <c r="P142">
        <f>IFERROR(INDEX('_courses_lookup'!$D:$D,MATCH(K142&amp;L142,'_courses_lookup'!$E:$E,0)),"")</f>
        <v/>
      </c>
      <c r="AG142">
        <f>IF(AND(AE142&lt;&gt;"",AF142&lt;&gt;""),ROUNDUP((AF142-AE142)/7,0),"")</f>
        <v/>
      </c>
      <c r="AI142">
        <f>IFERROR(IF(AG142*AH142=0,"",AG142*AH142),"")</f>
        <v/>
      </c>
      <c r="AL142">
        <f>IF(AND(AJ142&lt;&gt;"",AK142&lt;&gt;""),ROUNDUP((AK142-AJ142)/7,0),"")</f>
        <v/>
      </c>
      <c r="AN142">
        <f>IFERROR(IF(AL142*AM142=0,"",AL142*AM142),"")</f>
        <v/>
      </c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L142">
        <f>IFERROR(INDEX('_names_lookup'!$C:$C,MATCH(BK142,'_names_lookup'!$A:$A,0)),"")</f>
        <v/>
      </c>
      <c r="BM142">
        <f>IFERROR(INDEX('_names_lookup'!$B:$B,MATCH(BK142,'_names_lookup'!$A:$A,0)),"")</f>
        <v/>
      </c>
      <c r="BS142">
        <f>IFERROR(IF(BR142*AA142=0,"",BR142*AA142),"")</f>
        <v/>
      </c>
    </row>
    <row r="143">
      <c r="O143">
        <f>IFERROR(INDEX('_courses_lookup'!$C:$C,MATCH(K143&amp;L143,'_courses_lookup'!$E:$E,0)),"")</f>
        <v/>
      </c>
      <c r="P143">
        <f>IFERROR(INDEX('_courses_lookup'!$D:$D,MATCH(K143&amp;L143,'_courses_lookup'!$E:$E,0)),"")</f>
        <v/>
      </c>
      <c r="AG143">
        <f>IF(AND(AE143&lt;&gt;"",AF143&lt;&gt;""),ROUNDUP((AF143-AE143)/7,0),"")</f>
        <v/>
      </c>
      <c r="AI143">
        <f>IFERROR(IF(AG143*AH143=0,"",AG143*AH143),"")</f>
        <v/>
      </c>
      <c r="AL143">
        <f>IF(AND(AJ143&lt;&gt;"",AK143&lt;&gt;""),ROUNDUP((AK143-AJ143)/7,0),"")</f>
        <v/>
      </c>
      <c r="AN143">
        <f>IFERROR(IF(AL143*AM143=0,"",AL143*AM143),"")</f>
        <v/>
      </c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L143">
        <f>IFERROR(INDEX('_names_lookup'!$C:$C,MATCH(BK143,'_names_lookup'!$A:$A,0)),"")</f>
        <v/>
      </c>
      <c r="BM143">
        <f>IFERROR(INDEX('_names_lookup'!$B:$B,MATCH(BK143,'_names_lookup'!$A:$A,0)),"")</f>
        <v/>
      </c>
      <c r="BS143">
        <f>IFERROR(IF(BR143*AA143=0,"",BR143*AA143),"")</f>
        <v/>
      </c>
    </row>
    <row r="144">
      <c r="O144">
        <f>IFERROR(INDEX('_courses_lookup'!$C:$C,MATCH(K144&amp;L144,'_courses_lookup'!$E:$E,0)),"")</f>
        <v/>
      </c>
      <c r="P144">
        <f>IFERROR(INDEX('_courses_lookup'!$D:$D,MATCH(K144&amp;L144,'_courses_lookup'!$E:$E,0)),"")</f>
        <v/>
      </c>
      <c r="AG144">
        <f>IF(AND(AE144&lt;&gt;"",AF144&lt;&gt;""),ROUNDUP((AF144-AE144)/7,0),"")</f>
        <v/>
      </c>
      <c r="AI144">
        <f>IFERROR(IF(AG144*AH144=0,"",AG144*AH144),"")</f>
        <v/>
      </c>
      <c r="AL144">
        <f>IF(AND(AJ144&lt;&gt;"",AK144&lt;&gt;""),ROUNDUP((AK144-AJ144)/7,0),"")</f>
        <v/>
      </c>
      <c r="AN144">
        <f>IFERROR(IF(AL144*AM144=0,"",AL144*AM144),"")</f>
        <v/>
      </c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L144">
        <f>IFERROR(INDEX('_names_lookup'!$C:$C,MATCH(BK144,'_names_lookup'!$A:$A,0)),"")</f>
        <v/>
      </c>
      <c r="BM144">
        <f>IFERROR(INDEX('_names_lookup'!$B:$B,MATCH(BK144,'_names_lookup'!$A:$A,0)),"")</f>
        <v/>
      </c>
      <c r="BS144">
        <f>IFERROR(IF(BR144*AA144=0,"",BR144*AA144),"")</f>
        <v/>
      </c>
    </row>
    <row r="145">
      <c r="O145">
        <f>IFERROR(INDEX('_courses_lookup'!$C:$C,MATCH(K145&amp;L145,'_courses_lookup'!$E:$E,0)),"")</f>
        <v/>
      </c>
      <c r="P145">
        <f>IFERROR(INDEX('_courses_lookup'!$D:$D,MATCH(K145&amp;L145,'_courses_lookup'!$E:$E,0)),"")</f>
        <v/>
      </c>
      <c r="AG145">
        <f>IF(AND(AE145&lt;&gt;"",AF145&lt;&gt;""),ROUNDUP((AF145-AE145)/7,0),"")</f>
        <v/>
      </c>
      <c r="AI145">
        <f>IFERROR(IF(AG145*AH145=0,"",AG145*AH145),"")</f>
        <v/>
      </c>
      <c r="AL145">
        <f>IF(AND(AJ145&lt;&gt;"",AK145&lt;&gt;""),ROUNDUP((AK145-AJ145)/7,0),"")</f>
        <v/>
      </c>
      <c r="AN145">
        <f>IFERROR(IF(AL145*AM145=0,"",AL145*AM145),"")</f>
        <v/>
      </c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L145">
        <f>IFERROR(INDEX('_names_lookup'!$C:$C,MATCH(BK145,'_names_lookup'!$A:$A,0)),"")</f>
        <v/>
      </c>
      <c r="BM145">
        <f>IFERROR(INDEX('_names_lookup'!$B:$B,MATCH(BK145,'_names_lookup'!$A:$A,0)),"")</f>
        <v/>
      </c>
      <c r="BS145">
        <f>IFERROR(IF(BR145*AA145=0,"",BR145*AA145),"")</f>
        <v/>
      </c>
    </row>
    <row r="146">
      <c r="O146">
        <f>IFERROR(INDEX('_courses_lookup'!$C:$C,MATCH(K146&amp;L146,'_courses_lookup'!$E:$E,0)),"")</f>
        <v/>
      </c>
      <c r="P146">
        <f>IFERROR(INDEX('_courses_lookup'!$D:$D,MATCH(K146&amp;L146,'_courses_lookup'!$E:$E,0)),"")</f>
        <v/>
      </c>
      <c r="AG146">
        <f>IF(AND(AE146&lt;&gt;"",AF146&lt;&gt;""),ROUNDUP((AF146-AE146)/7,0),"")</f>
        <v/>
      </c>
      <c r="AI146">
        <f>IFERROR(IF(AG146*AH146=0,"",AG146*AH146),"")</f>
        <v/>
      </c>
      <c r="AL146">
        <f>IF(AND(AJ146&lt;&gt;"",AK146&lt;&gt;""),ROUNDUP((AK146-AJ146)/7,0),"")</f>
        <v/>
      </c>
      <c r="AN146">
        <f>IFERROR(IF(AL146*AM146=0,"",AL146*AM146),"")</f>
        <v/>
      </c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L146">
        <f>IFERROR(INDEX('_names_lookup'!$C:$C,MATCH(BK146,'_names_lookup'!$A:$A,0)),"")</f>
        <v/>
      </c>
      <c r="BM146">
        <f>IFERROR(INDEX('_names_lookup'!$B:$B,MATCH(BK146,'_names_lookup'!$A:$A,0)),"")</f>
        <v/>
      </c>
      <c r="BS146">
        <f>IFERROR(IF(BR146*AA146=0,"",BR146*AA146),"")</f>
        <v/>
      </c>
    </row>
    <row r="147">
      <c r="O147">
        <f>IFERROR(INDEX('_courses_lookup'!$C:$C,MATCH(K147&amp;L147,'_courses_lookup'!$E:$E,0)),"")</f>
        <v/>
      </c>
      <c r="P147">
        <f>IFERROR(INDEX('_courses_lookup'!$D:$D,MATCH(K147&amp;L147,'_courses_lookup'!$E:$E,0)),"")</f>
        <v/>
      </c>
      <c r="AG147">
        <f>IF(AND(AE147&lt;&gt;"",AF147&lt;&gt;""),ROUNDUP((AF147-AE147)/7,0),"")</f>
        <v/>
      </c>
      <c r="AI147">
        <f>IFERROR(IF(AG147*AH147=0,"",AG147*AH147),"")</f>
        <v/>
      </c>
      <c r="AL147">
        <f>IF(AND(AJ147&lt;&gt;"",AK147&lt;&gt;""),ROUNDUP((AK147-AJ147)/7,0),"")</f>
        <v/>
      </c>
      <c r="AN147">
        <f>IFERROR(IF(AL147*AM147=0,"",AL147*AM147),"")</f>
        <v/>
      </c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L147">
        <f>IFERROR(INDEX('_names_lookup'!$C:$C,MATCH(BK147,'_names_lookup'!$A:$A,0)),"")</f>
        <v/>
      </c>
      <c r="BM147">
        <f>IFERROR(INDEX('_names_lookup'!$B:$B,MATCH(BK147,'_names_lookup'!$A:$A,0)),"")</f>
        <v/>
      </c>
      <c r="BS147">
        <f>IFERROR(IF(BR147*AA147=0,"",BR147*AA147),"")</f>
        <v/>
      </c>
    </row>
    <row r="148">
      <c r="O148">
        <f>IFERROR(INDEX('_courses_lookup'!$C:$C,MATCH(K148&amp;L148,'_courses_lookup'!$E:$E,0)),"")</f>
        <v/>
      </c>
      <c r="P148">
        <f>IFERROR(INDEX('_courses_lookup'!$D:$D,MATCH(K148&amp;L148,'_courses_lookup'!$E:$E,0)),"")</f>
        <v/>
      </c>
      <c r="AG148">
        <f>IF(AND(AE148&lt;&gt;"",AF148&lt;&gt;""),ROUNDUP((AF148-AE148)/7,0),"")</f>
        <v/>
      </c>
      <c r="AI148">
        <f>IFERROR(IF(AG148*AH148=0,"",AG148*AH148),"")</f>
        <v/>
      </c>
      <c r="AL148">
        <f>IF(AND(AJ148&lt;&gt;"",AK148&lt;&gt;""),ROUNDUP((AK148-AJ148)/7,0),"")</f>
        <v/>
      </c>
      <c r="AN148">
        <f>IFERROR(IF(AL148*AM148=0,"",AL148*AM148),"")</f>
        <v/>
      </c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L148">
        <f>IFERROR(INDEX('_names_lookup'!$C:$C,MATCH(BK148,'_names_lookup'!$A:$A,0)),"")</f>
        <v/>
      </c>
      <c r="BM148">
        <f>IFERROR(INDEX('_names_lookup'!$B:$B,MATCH(BK148,'_names_lookup'!$A:$A,0)),"")</f>
        <v/>
      </c>
      <c r="BS148">
        <f>IFERROR(IF(BR148*AA148=0,"",BR148*AA148),"")</f>
        <v/>
      </c>
    </row>
    <row r="149">
      <c r="O149">
        <f>IFERROR(INDEX('_courses_lookup'!$C:$C,MATCH(K149&amp;L149,'_courses_lookup'!$E:$E,0)),"")</f>
        <v/>
      </c>
      <c r="P149">
        <f>IFERROR(INDEX('_courses_lookup'!$D:$D,MATCH(K149&amp;L149,'_courses_lookup'!$E:$E,0)),"")</f>
        <v/>
      </c>
      <c r="AG149">
        <f>IF(AND(AE149&lt;&gt;"",AF149&lt;&gt;""),ROUNDUP((AF149-AE149)/7,0),"")</f>
        <v/>
      </c>
      <c r="AI149">
        <f>IFERROR(IF(AG149*AH149=0,"",AG149*AH149),"")</f>
        <v/>
      </c>
      <c r="AL149">
        <f>IF(AND(AJ149&lt;&gt;"",AK149&lt;&gt;""),ROUNDUP((AK149-AJ149)/7,0),"")</f>
        <v/>
      </c>
      <c r="AN149">
        <f>IFERROR(IF(AL149*AM149=0,"",AL149*AM149),"")</f>
        <v/>
      </c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L149">
        <f>IFERROR(INDEX('_names_lookup'!$C:$C,MATCH(BK149,'_names_lookup'!$A:$A,0)),"")</f>
        <v/>
      </c>
      <c r="BM149">
        <f>IFERROR(INDEX('_names_lookup'!$B:$B,MATCH(BK149,'_names_lookup'!$A:$A,0)),"")</f>
        <v/>
      </c>
      <c r="BS149">
        <f>IFERROR(IF(BR149*AA149=0,"",BR149*AA149),"")</f>
        <v/>
      </c>
    </row>
    <row r="150">
      <c r="O150">
        <f>IFERROR(INDEX('_courses_lookup'!$C:$C,MATCH(K150&amp;L150,'_courses_lookup'!$E:$E,0)),"")</f>
        <v/>
      </c>
      <c r="P150">
        <f>IFERROR(INDEX('_courses_lookup'!$D:$D,MATCH(K150&amp;L150,'_courses_lookup'!$E:$E,0)),"")</f>
        <v/>
      </c>
      <c r="AG150">
        <f>IF(AND(AE150&lt;&gt;"",AF150&lt;&gt;""),ROUNDUP((AF150-AE150)/7,0),"")</f>
        <v/>
      </c>
      <c r="AI150">
        <f>IFERROR(IF(AG150*AH150=0,"",AG150*AH150),"")</f>
        <v/>
      </c>
      <c r="AL150">
        <f>IF(AND(AJ150&lt;&gt;"",AK150&lt;&gt;""),ROUNDUP((AK150-AJ150)/7,0),"")</f>
        <v/>
      </c>
      <c r="AN150">
        <f>IFERROR(IF(AL150*AM150=0,"",AL150*AM150),"")</f>
        <v/>
      </c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L150">
        <f>IFERROR(INDEX('_names_lookup'!$C:$C,MATCH(BK150,'_names_lookup'!$A:$A,0)),"")</f>
        <v/>
      </c>
      <c r="BM150">
        <f>IFERROR(INDEX('_names_lookup'!$B:$B,MATCH(BK150,'_names_lookup'!$A:$A,0)),"")</f>
        <v/>
      </c>
      <c r="BS150">
        <f>IFERROR(IF(BR150*AA150=0,"",BR150*AA150),"")</f>
        <v/>
      </c>
    </row>
    <row r="151">
      <c r="O151">
        <f>IFERROR(INDEX('_courses_lookup'!$C:$C,MATCH(K151&amp;L151,'_courses_lookup'!$E:$E,0)),"")</f>
        <v/>
      </c>
      <c r="P151">
        <f>IFERROR(INDEX('_courses_lookup'!$D:$D,MATCH(K151&amp;L151,'_courses_lookup'!$E:$E,0)),"")</f>
        <v/>
      </c>
      <c r="AG151">
        <f>IF(AND(AE151&lt;&gt;"",AF151&lt;&gt;""),ROUNDUP((AF151-AE151)/7,0),"")</f>
        <v/>
      </c>
      <c r="AI151">
        <f>IFERROR(IF(AG151*AH151=0,"",AG151*AH151),"")</f>
        <v/>
      </c>
      <c r="AL151">
        <f>IF(AND(AJ151&lt;&gt;"",AK151&lt;&gt;""),ROUNDUP((AK151-AJ151)/7,0),"")</f>
        <v/>
      </c>
      <c r="AN151">
        <f>IFERROR(IF(AL151*AM151=0,"",AL151*AM151),"")</f>
        <v/>
      </c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L151">
        <f>IFERROR(INDEX('_names_lookup'!$C:$C,MATCH(BK151,'_names_lookup'!$A:$A,0)),"")</f>
        <v/>
      </c>
      <c r="BM151">
        <f>IFERROR(INDEX('_names_lookup'!$B:$B,MATCH(BK151,'_names_lookup'!$A:$A,0)),"")</f>
        <v/>
      </c>
      <c r="BS151">
        <f>IFERROR(IF(BR151*AA151=0,"",BR151*AA151),"")</f>
        <v/>
      </c>
    </row>
    <row r="152">
      <c r="O152">
        <f>IFERROR(INDEX('_courses_lookup'!$C:$C,MATCH(K152&amp;L152,'_courses_lookup'!$E:$E,0)),"")</f>
        <v/>
      </c>
      <c r="P152">
        <f>IFERROR(INDEX('_courses_lookup'!$D:$D,MATCH(K152&amp;L152,'_courses_lookup'!$E:$E,0)),"")</f>
        <v/>
      </c>
      <c r="AG152">
        <f>IF(AND(AE152&lt;&gt;"",AF152&lt;&gt;""),ROUNDUP((AF152-AE152)/7,0),"")</f>
        <v/>
      </c>
      <c r="AI152">
        <f>IFERROR(IF(AG152*AH152=0,"",AG152*AH152),"")</f>
        <v/>
      </c>
      <c r="AL152">
        <f>IF(AND(AJ152&lt;&gt;"",AK152&lt;&gt;""),ROUNDUP((AK152-AJ152)/7,0),"")</f>
        <v/>
      </c>
      <c r="AN152">
        <f>IFERROR(IF(AL152*AM152=0,"",AL152*AM152),"")</f>
        <v/>
      </c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L152">
        <f>IFERROR(INDEX('_names_lookup'!$C:$C,MATCH(BK152,'_names_lookup'!$A:$A,0)),"")</f>
        <v/>
      </c>
      <c r="BM152">
        <f>IFERROR(INDEX('_names_lookup'!$B:$B,MATCH(BK152,'_names_lookup'!$A:$A,0)),"")</f>
        <v/>
      </c>
      <c r="BS152">
        <f>IFERROR(IF(BR152*AA152=0,"",BR152*AA152),"")</f>
        <v/>
      </c>
    </row>
    <row r="153">
      <c r="O153">
        <f>IFERROR(INDEX('_courses_lookup'!$C:$C,MATCH(K153&amp;L153,'_courses_lookup'!$E:$E,0)),"")</f>
        <v/>
      </c>
      <c r="P153">
        <f>IFERROR(INDEX('_courses_lookup'!$D:$D,MATCH(K153&amp;L153,'_courses_lookup'!$E:$E,0)),"")</f>
        <v/>
      </c>
      <c r="AG153">
        <f>IF(AND(AE153&lt;&gt;"",AF153&lt;&gt;""),ROUNDUP((AF153-AE153)/7,0),"")</f>
        <v/>
      </c>
      <c r="AI153">
        <f>IFERROR(IF(AG153*AH153=0,"",AG153*AH153),"")</f>
        <v/>
      </c>
      <c r="AL153">
        <f>IF(AND(AJ153&lt;&gt;"",AK153&lt;&gt;""),ROUNDUP((AK153-AJ153)/7,0),"")</f>
        <v/>
      </c>
      <c r="AN153">
        <f>IFERROR(IF(AL153*AM153=0,"",AL153*AM153),"")</f>
        <v/>
      </c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L153">
        <f>IFERROR(INDEX('_names_lookup'!$C:$C,MATCH(BK153,'_names_lookup'!$A:$A,0)),"")</f>
        <v/>
      </c>
      <c r="BM153">
        <f>IFERROR(INDEX('_names_lookup'!$B:$B,MATCH(BK153,'_names_lookup'!$A:$A,0)),"")</f>
        <v/>
      </c>
      <c r="BS153">
        <f>IFERROR(IF(BR153*AA153=0,"",BR153*AA153),"")</f>
        <v/>
      </c>
    </row>
    <row r="154">
      <c r="O154">
        <f>IFERROR(INDEX('_courses_lookup'!$C:$C,MATCH(K154&amp;L154,'_courses_lookup'!$E:$E,0)),"")</f>
        <v/>
      </c>
      <c r="P154">
        <f>IFERROR(INDEX('_courses_lookup'!$D:$D,MATCH(K154&amp;L154,'_courses_lookup'!$E:$E,0)),"")</f>
        <v/>
      </c>
      <c r="AG154">
        <f>IF(AND(AE154&lt;&gt;"",AF154&lt;&gt;""),ROUNDUP((AF154-AE154)/7,0),"")</f>
        <v/>
      </c>
      <c r="AI154">
        <f>IFERROR(IF(AG154*AH154=0,"",AG154*AH154),"")</f>
        <v/>
      </c>
      <c r="AL154">
        <f>IF(AND(AJ154&lt;&gt;"",AK154&lt;&gt;""),ROUNDUP((AK154-AJ154)/7,0),"")</f>
        <v/>
      </c>
      <c r="AN154">
        <f>IFERROR(IF(AL154*AM154=0,"",AL154*AM154),"")</f>
        <v/>
      </c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L154">
        <f>IFERROR(INDEX('_names_lookup'!$C:$C,MATCH(BK154,'_names_lookup'!$A:$A,0)),"")</f>
        <v/>
      </c>
      <c r="BM154">
        <f>IFERROR(INDEX('_names_lookup'!$B:$B,MATCH(BK154,'_names_lookup'!$A:$A,0)),"")</f>
        <v/>
      </c>
      <c r="BS154">
        <f>IFERROR(IF(BR154*AA154=0,"",BR154*AA154),"")</f>
        <v/>
      </c>
    </row>
    <row r="155">
      <c r="O155">
        <f>IFERROR(INDEX('_courses_lookup'!$C:$C,MATCH(K155&amp;L155,'_courses_lookup'!$E:$E,0)),"")</f>
        <v/>
      </c>
      <c r="P155">
        <f>IFERROR(INDEX('_courses_lookup'!$D:$D,MATCH(K155&amp;L155,'_courses_lookup'!$E:$E,0)),"")</f>
        <v/>
      </c>
      <c r="AG155">
        <f>IF(AND(AE155&lt;&gt;"",AF155&lt;&gt;""),ROUNDUP((AF155-AE155)/7,0),"")</f>
        <v/>
      </c>
      <c r="AI155">
        <f>IFERROR(IF(AG155*AH155=0,"",AG155*AH155),"")</f>
        <v/>
      </c>
      <c r="AL155">
        <f>IF(AND(AJ155&lt;&gt;"",AK155&lt;&gt;""),ROUNDUP((AK155-AJ155)/7,0),"")</f>
        <v/>
      </c>
      <c r="AN155">
        <f>IFERROR(IF(AL155*AM155=0,"",AL155*AM155),"")</f>
        <v/>
      </c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L155">
        <f>IFERROR(INDEX('_names_lookup'!$C:$C,MATCH(BK155,'_names_lookup'!$A:$A,0)),"")</f>
        <v/>
      </c>
      <c r="BM155">
        <f>IFERROR(INDEX('_names_lookup'!$B:$B,MATCH(BK155,'_names_lookup'!$A:$A,0)),"")</f>
        <v/>
      </c>
      <c r="BS155">
        <f>IFERROR(IF(BR155*AA155=0,"",BR155*AA155),"")</f>
        <v/>
      </c>
    </row>
    <row r="156">
      <c r="O156">
        <f>IFERROR(INDEX('_courses_lookup'!$C:$C,MATCH(K156&amp;L156,'_courses_lookup'!$E:$E,0)),"")</f>
        <v/>
      </c>
      <c r="P156">
        <f>IFERROR(INDEX('_courses_lookup'!$D:$D,MATCH(K156&amp;L156,'_courses_lookup'!$E:$E,0)),"")</f>
        <v/>
      </c>
      <c r="AG156">
        <f>IF(AND(AE156&lt;&gt;"",AF156&lt;&gt;""),ROUNDUP((AF156-AE156)/7,0),"")</f>
        <v/>
      </c>
      <c r="AI156">
        <f>IFERROR(IF(AG156*AH156=0,"",AG156*AH156),"")</f>
        <v/>
      </c>
      <c r="AL156">
        <f>IF(AND(AJ156&lt;&gt;"",AK156&lt;&gt;""),ROUNDUP((AK156-AJ156)/7,0),"")</f>
        <v/>
      </c>
      <c r="AN156">
        <f>IFERROR(IF(AL156*AM156=0,"",AL156*AM156),"")</f>
        <v/>
      </c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L156">
        <f>IFERROR(INDEX('_names_lookup'!$C:$C,MATCH(BK156,'_names_lookup'!$A:$A,0)),"")</f>
        <v/>
      </c>
      <c r="BM156">
        <f>IFERROR(INDEX('_names_lookup'!$B:$B,MATCH(BK156,'_names_lookup'!$A:$A,0)),"")</f>
        <v/>
      </c>
      <c r="BS156">
        <f>IFERROR(IF(BR156*AA156=0,"",BR156*AA156),"")</f>
        <v/>
      </c>
    </row>
    <row r="157">
      <c r="O157">
        <f>IFERROR(INDEX('_courses_lookup'!$C:$C,MATCH(K157&amp;L157,'_courses_lookup'!$E:$E,0)),"")</f>
        <v/>
      </c>
      <c r="P157">
        <f>IFERROR(INDEX('_courses_lookup'!$D:$D,MATCH(K157&amp;L157,'_courses_lookup'!$E:$E,0)),"")</f>
        <v/>
      </c>
      <c r="AG157">
        <f>IF(AND(AE157&lt;&gt;"",AF157&lt;&gt;""),ROUNDUP((AF157-AE157)/7,0),"")</f>
        <v/>
      </c>
      <c r="AI157">
        <f>IFERROR(IF(AG157*AH157=0,"",AG157*AH157),"")</f>
        <v/>
      </c>
      <c r="AL157">
        <f>IF(AND(AJ157&lt;&gt;"",AK157&lt;&gt;""),ROUNDUP((AK157-AJ157)/7,0),"")</f>
        <v/>
      </c>
      <c r="AN157">
        <f>IFERROR(IF(AL157*AM157=0,"",AL157*AM157),"")</f>
        <v/>
      </c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L157">
        <f>IFERROR(INDEX('_names_lookup'!$C:$C,MATCH(BK157,'_names_lookup'!$A:$A,0)),"")</f>
        <v/>
      </c>
      <c r="BM157">
        <f>IFERROR(INDEX('_names_lookup'!$B:$B,MATCH(BK157,'_names_lookup'!$A:$A,0)),"")</f>
        <v/>
      </c>
      <c r="BS157">
        <f>IFERROR(IF(BR157*AA157=0,"",BR157*AA157),"")</f>
        <v/>
      </c>
    </row>
    <row r="158">
      <c r="O158">
        <f>IFERROR(INDEX('_courses_lookup'!$C:$C,MATCH(K158&amp;L158,'_courses_lookup'!$E:$E,0)),"")</f>
        <v/>
      </c>
      <c r="P158">
        <f>IFERROR(INDEX('_courses_lookup'!$D:$D,MATCH(K158&amp;L158,'_courses_lookup'!$E:$E,0)),"")</f>
        <v/>
      </c>
      <c r="AG158">
        <f>IF(AND(AE158&lt;&gt;"",AF158&lt;&gt;""),ROUNDUP((AF158-AE158)/7,0),"")</f>
        <v/>
      </c>
      <c r="AI158">
        <f>IFERROR(IF(AG158*AH158=0,"",AG158*AH158),"")</f>
        <v/>
      </c>
      <c r="AL158">
        <f>IF(AND(AJ158&lt;&gt;"",AK158&lt;&gt;""),ROUNDUP((AK158-AJ158)/7,0),"")</f>
        <v/>
      </c>
      <c r="AN158">
        <f>IFERROR(IF(AL158*AM158=0,"",AL158*AM158),"")</f>
        <v/>
      </c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L158">
        <f>IFERROR(INDEX('_names_lookup'!$C:$C,MATCH(BK158,'_names_lookup'!$A:$A,0)),"")</f>
        <v/>
      </c>
      <c r="BM158">
        <f>IFERROR(INDEX('_names_lookup'!$B:$B,MATCH(BK158,'_names_lookup'!$A:$A,0)),"")</f>
        <v/>
      </c>
      <c r="BS158">
        <f>IFERROR(IF(BR158*AA158=0,"",BR158*AA158),"")</f>
        <v/>
      </c>
    </row>
    <row r="159">
      <c r="O159">
        <f>IFERROR(INDEX('_courses_lookup'!$C:$C,MATCH(K159&amp;L159,'_courses_lookup'!$E:$E,0)),"")</f>
        <v/>
      </c>
      <c r="P159">
        <f>IFERROR(INDEX('_courses_lookup'!$D:$D,MATCH(K159&amp;L159,'_courses_lookup'!$E:$E,0)),"")</f>
        <v/>
      </c>
      <c r="AG159">
        <f>IF(AND(AE159&lt;&gt;"",AF159&lt;&gt;""),ROUNDUP((AF159-AE159)/7,0),"")</f>
        <v/>
      </c>
      <c r="AI159">
        <f>IFERROR(IF(AG159*AH159=0,"",AG159*AH159),"")</f>
        <v/>
      </c>
      <c r="AL159">
        <f>IF(AND(AJ159&lt;&gt;"",AK159&lt;&gt;""),ROUNDUP((AK159-AJ159)/7,0),"")</f>
        <v/>
      </c>
      <c r="AN159">
        <f>IFERROR(IF(AL159*AM159=0,"",AL159*AM159),"")</f>
        <v/>
      </c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L159">
        <f>IFERROR(INDEX('_names_lookup'!$C:$C,MATCH(BK159,'_names_lookup'!$A:$A,0)),"")</f>
        <v/>
      </c>
      <c r="BM159">
        <f>IFERROR(INDEX('_names_lookup'!$B:$B,MATCH(BK159,'_names_lookup'!$A:$A,0)),"")</f>
        <v/>
      </c>
      <c r="BS159">
        <f>IFERROR(IF(BR159*AA159=0,"",BR159*AA159),"")</f>
        <v/>
      </c>
    </row>
    <row r="160">
      <c r="O160">
        <f>IFERROR(INDEX('_courses_lookup'!$C:$C,MATCH(K160&amp;L160,'_courses_lookup'!$E:$E,0)),"")</f>
        <v/>
      </c>
      <c r="P160">
        <f>IFERROR(INDEX('_courses_lookup'!$D:$D,MATCH(K160&amp;L160,'_courses_lookup'!$E:$E,0)),"")</f>
        <v/>
      </c>
      <c r="AG160">
        <f>IF(AND(AE160&lt;&gt;"",AF160&lt;&gt;""),ROUNDUP((AF160-AE160)/7,0),"")</f>
        <v/>
      </c>
      <c r="AI160">
        <f>IFERROR(IF(AG160*AH160=0,"",AG160*AH160),"")</f>
        <v/>
      </c>
      <c r="AL160">
        <f>IF(AND(AJ160&lt;&gt;"",AK160&lt;&gt;""),ROUNDUP((AK160-AJ160)/7,0),"")</f>
        <v/>
      </c>
      <c r="AN160">
        <f>IFERROR(IF(AL160*AM160=0,"",AL160*AM160),"")</f>
        <v/>
      </c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L160">
        <f>IFERROR(INDEX('_names_lookup'!$C:$C,MATCH(BK160,'_names_lookup'!$A:$A,0)),"")</f>
        <v/>
      </c>
      <c r="BM160">
        <f>IFERROR(INDEX('_names_lookup'!$B:$B,MATCH(BK160,'_names_lookup'!$A:$A,0)),"")</f>
        <v/>
      </c>
      <c r="BS160">
        <f>IFERROR(IF(BR160*AA160=0,"",BR160*AA160),"")</f>
        <v/>
      </c>
    </row>
    <row r="161">
      <c r="O161">
        <f>IFERROR(INDEX('_courses_lookup'!$C:$C,MATCH(K161&amp;L161,'_courses_lookup'!$E:$E,0)),"")</f>
        <v/>
      </c>
      <c r="P161">
        <f>IFERROR(INDEX('_courses_lookup'!$D:$D,MATCH(K161&amp;L161,'_courses_lookup'!$E:$E,0)),"")</f>
        <v/>
      </c>
      <c r="AG161">
        <f>IF(AND(AE161&lt;&gt;"",AF161&lt;&gt;""),ROUNDUP((AF161-AE161)/7,0),"")</f>
        <v/>
      </c>
      <c r="AI161">
        <f>IFERROR(IF(AG161*AH161=0,"",AG161*AH161),"")</f>
        <v/>
      </c>
      <c r="AL161">
        <f>IF(AND(AJ161&lt;&gt;"",AK161&lt;&gt;""),ROUNDUP((AK161-AJ161)/7,0),"")</f>
        <v/>
      </c>
      <c r="AN161">
        <f>IFERROR(IF(AL161*AM161=0,"",AL161*AM161),"")</f>
        <v/>
      </c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L161">
        <f>IFERROR(INDEX('_names_lookup'!$C:$C,MATCH(BK161,'_names_lookup'!$A:$A,0)),"")</f>
        <v/>
      </c>
      <c r="BM161">
        <f>IFERROR(INDEX('_names_lookup'!$B:$B,MATCH(BK161,'_names_lookup'!$A:$A,0)),"")</f>
        <v/>
      </c>
      <c r="BS161">
        <f>IFERROR(IF(BR161*AA161=0,"",BR161*AA161),"")</f>
        <v/>
      </c>
    </row>
    <row r="162">
      <c r="O162">
        <f>IFERROR(INDEX('_courses_lookup'!$C:$C,MATCH(K162&amp;L162,'_courses_lookup'!$E:$E,0)),"")</f>
        <v/>
      </c>
      <c r="P162">
        <f>IFERROR(INDEX('_courses_lookup'!$D:$D,MATCH(K162&amp;L162,'_courses_lookup'!$E:$E,0)),"")</f>
        <v/>
      </c>
      <c r="AG162">
        <f>IF(AND(AE162&lt;&gt;"",AF162&lt;&gt;""),ROUNDUP((AF162-AE162)/7,0),"")</f>
        <v/>
      </c>
      <c r="AI162">
        <f>IFERROR(IF(AG162*AH162=0,"",AG162*AH162),"")</f>
        <v/>
      </c>
      <c r="AL162">
        <f>IF(AND(AJ162&lt;&gt;"",AK162&lt;&gt;""),ROUNDUP((AK162-AJ162)/7,0),"")</f>
        <v/>
      </c>
      <c r="AN162">
        <f>IFERROR(IF(AL162*AM162=0,"",AL162*AM162),"")</f>
        <v/>
      </c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L162">
        <f>IFERROR(INDEX('_names_lookup'!$C:$C,MATCH(BK162,'_names_lookup'!$A:$A,0)),"")</f>
        <v/>
      </c>
      <c r="BM162">
        <f>IFERROR(INDEX('_names_lookup'!$B:$B,MATCH(BK162,'_names_lookup'!$A:$A,0)),"")</f>
        <v/>
      </c>
      <c r="BS162">
        <f>IFERROR(IF(BR162*AA162=0,"",BR162*AA162),"")</f>
        <v/>
      </c>
    </row>
    <row r="163">
      <c r="O163">
        <f>IFERROR(INDEX('_courses_lookup'!$C:$C,MATCH(K163&amp;L163,'_courses_lookup'!$E:$E,0)),"")</f>
        <v/>
      </c>
      <c r="P163">
        <f>IFERROR(INDEX('_courses_lookup'!$D:$D,MATCH(K163&amp;L163,'_courses_lookup'!$E:$E,0)),"")</f>
        <v/>
      </c>
      <c r="AG163">
        <f>IF(AND(AE163&lt;&gt;"",AF163&lt;&gt;""),ROUNDUP((AF163-AE163)/7,0),"")</f>
        <v/>
      </c>
      <c r="AI163">
        <f>IFERROR(IF(AG163*AH163=0,"",AG163*AH163),"")</f>
        <v/>
      </c>
      <c r="AL163">
        <f>IF(AND(AJ163&lt;&gt;"",AK163&lt;&gt;""),ROUNDUP((AK163-AJ163)/7,0),"")</f>
        <v/>
      </c>
      <c r="AN163">
        <f>IFERROR(IF(AL163*AM163=0,"",AL163*AM163),"")</f>
        <v/>
      </c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L163">
        <f>IFERROR(INDEX('_names_lookup'!$C:$C,MATCH(BK163,'_names_lookup'!$A:$A,0)),"")</f>
        <v/>
      </c>
      <c r="BM163">
        <f>IFERROR(INDEX('_names_lookup'!$B:$B,MATCH(BK163,'_names_lookup'!$A:$A,0)),"")</f>
        <v/>
      </c>
      <c r="BS163">
        <f>IFERROR(IF(BR163*AA163=0,"",BR163*AA163),"")</f>
        <v/>
      </c>
    </row>
    <row r="164">
      <c r="O164">
        <f>IFERROR(INDEX('_courses_lookup'!$C:$C,MATCH(K164&amp;L164,'_courses_lookup'!$E:$E,0)),"")</f>
        <v/>
      </c>
      <c r="P164">
        <f>IFERROR(INDEX('_courses_lookup'!$D:$D,MATCH(K164&amp;L164,'_courses_lookup'!$E:$E,0)),"")</f>
        <v/>
      </c>
      <c r="AG164">
        <f>IF(AND(AE164&lt;&gt;"",AF164&lt;&gt;""),ROUNDUP((AF164-AE164)/7,0),"")</f>
        <v/>
      </c>
      <c r="AI164">
        <f>IFERROR(IF(AG164*AH164=0,"",AG164*AH164),"")</f>
        <v/>
      </c>
      <c r="AL164">
        <f>IF(AND(AJ164&lt;&gt;"",AK164&lt;&gt;""),ROUNDUP((AK164-AJ164)/7,0),"")</f>
        <v/>
      </c>
      <c r="AN164">
        <f>IFERROR(IF(AL164*AM164=0,"",AL164*AM164),"")</f>
        <v/>
      </c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L164">
        <f>IFERROR(INDEX('_names_lookup'!$C:$C,MATCH(BK164,'_names_lookup'!$A:$A,0)),"")</f>
        <v/>
      </c>
      <c r="BM164">
        <f>IFERROR(INDEX('_names_lookup'!$B:$B,MATCH(BK164,'_names_lookup'!$A:$A,0)),"")</f>
        <v/>
      </c>
      <c r="BS164">
        <f>IFERROR(IF(BR164*AA164=0,"",BR164*AA164),"")</f>
        <v/>
      </c>
    </row>
    <row r="165">
      <c r="O165">
        <f>IFERROR(INDEX('_courses_lookup'!$C:$C,MATCH(K165&amp;L165,'_courses_lookup'!$E:$E,0)),"")</f>
        <v/>
      </c>
      <c r="P165">
        <f>IFERROR(INDEX('_courses_lookup'!$D:$D,MATCH(K165&amp;L165,'_courses_lookup'!$E:$E,0)),"")</f>
        <v/>
      </c>
      <c r="AG165">
        <f>IF(AND(AE165&lt;&gt;"",AF165&lt;&gt;""),ROUNDUP((AF165-AE165)/7,0),"")</f>
        <v/>
      </c>
      <c r="AI165">
        <f>IFERROR(IF(AG165*AH165=0,"",AG165*AH165),"")</f>
        <v/>
      </c>
      <c r="AL165">
        <f>IF(AND(AJ165&lt;&gt;"",AK165&lt;&gt;""),ROUNDUP((AK165-AJ165)/7,0),"")</f>
        <v/>
      </c>
      <c r="AN165">
        <f>IFERROR(IF(AL165*AM165=0,"",AL165*AM165),"")</f>
        <v/>
      </c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L165">
        <f>IFERROR(INDEX('_names_lookup'!$C:$C,MATCH(BK165,'_names_lookup'!$A:$A,0)),"")</f>
        <v/>
      </c>
      <c r="BM165">
        <f>IFERROR(INDEX('_names_lookup'!$B:$B,MATCH(BK165,'_names_lookup'!$A:$A,0)),"")</f>
        <v/>
      </c>
      <c r="BS165">
        <f>IFERROR(IF(BR165*AA165=0,"",BR165*AA165),"")</f>
        <v/>
      </c>
    </row>
    <row r="166">
      <c r="O166">
        <f>IFERROR(INDEX('_courses_lookup'!$C:$C,MATCH(K166&amp;L166,'_courses_lookup'!$E:$E,0)),"")</f>
        <v/>
      </c>
      <c r="P166">
        <f>IFERROR(INDEX('_courses_lookup'!$D:$D,MATCH(K166&amp;L166,'_courses_lookup'!$E:$E,0)),"")</f>
        <v/>
      </c>
      <c r="AG166">
        <f>IF(AND(AE166&lt;&gt;"",AF166&lt;&gt;""),ROUNDUP((AF166-AE166)/7,0),"")</f>
        <v/>
      </c>
      <c r="AI166">
        <f>IFERROR(IF(AG166*AH166=0,"",AG166*AH166),"")</f>
        <v/>
      </c>
      <c r="AL166">
        <f>IF(AND(AJ166&lt;&gt;"",AK166&lt;&gt;""),ROUNDUP((AK166-AJ166)/7,0),"")</f>
        <v/>
      </c>
      <c r="AN166">
        <f>IFERROR(IF(AL166*AM166=0,"",AL166*AM166),"")</f>
        <v/>
      </c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L166">
        <f>IFERROR(INDEX('_names_lookup'!$C:$C,MATCH(BK166,'_names_lookup'!$A:$A,0)),"")</f>
        <v/>
      </c>
      <c r="BM166">
        <f>IFERROR(INDEX('_names_lookup'!$B:$B,MATCH(BK166,'_names_lookup'!$A:$A,0)),"")</f>
        <v/>
      </c>
      <c r="BS166">
        <f>IFERROR(IF(BR166*AA166=0,"",BR166*AA166),"")</f>
        <v/>
      </c>
    </row>
    <row r="167">
      <c r="O167">
        <f>IFERROR(INDEX('_courses_lookup'!$C:$C,MATCH(K167&amp;L167,'_courses_lookup'!$E:$E,0)),"")</f>
        <v/>
      </c>
      <c r="P167">
        <f>IFERROR(INDEX('_courses_lookup'!$D:$D,MATCH(K167&amp;L167,'_courses_lookup'!$E:$E,0)),"")</f>
        <v/>
      </c>
      <c r="AG167">
        <f>IF(AND(AE167&lt;&gt;"",AF167&lt;&gt;""),ROUNDUP((AF167-AE167)/7,0),"")</f>
        <v/>
      </c>
      <c r="AI167">
        <f>IFERROR(IF(AG167*AH167=0,"",AG167*AH167),"")</f>
        <v/>
      </c>
      <c r="AL167">
        <f>IF(AND(AJ167&lt;&gt;"",AK167&lt;&gt;""),ROUNDUP((AK167-AJ167)/7,0),"")</f>
        <v/>
      </c>
      <c r="AN167">
        <f>IFERROR(IF(AL167*AM167=0,"",AL167*AM167),"")</f>
        <v/>
      </c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L167">
        <f>IFERROR(INDEX('_names_lookup'!$C:$C,MATCH(BK167,'_names_lookup'!$A:$A,0)),"")</f>
        <v/>
      </c>
      <c r="BM167">
        <f>IFERROR(INDEX('_names_lookup'!$B:$B,MATCH(BK167,'_names_lookup'!$A:$A,0)),"")</f>
        <v/>
      </c>
      <c r="BS167">
        <f>IFERROR(IF(BR167*AA167=0,"",BR167*AA167),"")</f>
        <v/>
      </c>
    </row>
    <row r="168">
      <c r="O168">
        <f>IFERROR(INDEX('_courses_lookup'!$C:$C,MATCH(K168&amp;L168,'_courses_lookup'!$E:$E,0)),"")</f>
        <v/>
      </c>
      <c r="P168">
        <f>IFERROR(INDEX('_courses_lookup'!$D:$D,MATCH(K168&amp;L168,'_courses_lookup'!$E:$E,0)),"")</f>
        <v/>
      </c>
      <c r="AG168">
        <f>IF(AND(AE168&lt;&gt;"",AF168&lt;&gt;""),ROUNDUP((AF168-AE168)/7,0),"")</f>
        <v/>
      </c>
      <c r="AI168">
        <f>IFERROR(IF(AG168*AH168=0,"",AG168*AH168),"")</f>
        <v/>
      </c>
      <c r="AL168">
        <f>IF(AND(AJ168&lt;&gt;"",AK168&lt;&gt;""),ROUNDUP((AK168-AJ168)/7,0),"")</f>
        <v/>
      </c>
      <c r="AN168">
        <f>IFERROR(IF(AL168*AM168=0,"",AL168*AM168),"")</f>
        <v/>
      </c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L168">
        <f>IFERROR(INDEX('_names_lookup'!$C:$C,MATCH(BK168,'_names_lookup'!$A:$A,0)),"")</f>
        <v/>
      </c>
      <c r="BM168">
        <f>IFERROR(INDEX('_names_lookup'!$B:$B,MATCH(BK168,'_names_lookup'!$A:$A,0)),"")</f>
        <v/>
      </c>
      <c r="BS168">
        <f>IFERROR(IF(BR168*AA168=0,"",BR168*AA168),"")</f>
        <v/>
      </c>
    </row>
    <row r="169">
      <c r="O169">
        <f>IFERROR(INDEX('_courses_lookup'!$C:$C,MATCH(K169&amp;L169,'_courses_lookup'!$E:$E,0)),"")</f>
        <v/>
      </c>
      <c r="P169">
        <f>IFERROR(INDEX('_courses_lookup'!$D:$D,MATCH(K169&amp;L169,'_courses_lookup'!$E:$E,0)),"")</f>
        <v/>
      </c>
      <c r="AG169">
        <f>IF(AND(AE169&lt;&gt;"",AF169&lt;&gt;""),ROUNDUP((AF169-AE169)/7,0),"")</f>
        <v/>
      </c>
      <c r="AI169">
        <f>IFERROR(IF(AG169*AH169=0,"",AG169*AH169),"")</f>
        <v/>
      </c>
      <c r="AL169">
        <f>IF(AND(AJ169&lt;&gt;"",AK169&lt;&gt;""),ROUNDUP((AK169-AJ169)/7,0),"")</f>
        <v/>
      </c>
      <c r="AN169">
        <f>IFERROR(IF(AL169*AM169=0,"",AL169*AM169),"")</f>
        <v/>
      </c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L169">
        <f>IFERROR(INDEX('_names_lookup'!$C:$C,MATCH(BK169,'_names_lookup'!$A:$A,0)),"")</f>
        <v/>
      </c>
      <c r="BM169">
        <f>IFERROR(INDEX('_names_lookup'!$B:$B,MATCH(BK169,'_names_lookup'!$A:$A,0)),"")</f>
        <v/>
      </c>
      <c r="BS169">
        <f>IFERROR(IF(BR169*AA169=0,"",BR169*AA169),"")</f>
        <v/>
      </c>
    </row>
    <row r="170">
      <c r="O170">
        <f>IFERROR(INDEX('_courses_lookup'!$C:$C,MATCH(K170&amp;L170,'_courses_lookup'!$E:$E,0)),"")</f>
        <v/>
      </c>
      <c r="P170">
        <f>IFERROR(INDEX('_courses_lookup'!$D:$D,MATCH(K170&amp;L170,'_courses_lookup'!$E:$E,0)),"")</f>
        <v/>
      </c>
      <c r="AG170">
        <f>IF(AND(AE170&lt;&gt;"",AF170&lt;&gt;""),ROUNDUP((AF170-AE170)/7,0),"")</f>
        <v/>
      </c>
      <c r="AI170">
        <f>IFERROR(IF(AG170*AH170=0,"",AG170*AH170),"")</f>
        <v/>
      </c>
      <c r="AL170">
        <f>IF(AND(AJ170&lt;&gt;"",AK170&lt;&gt;""),ROUNDUP((AK170-AJ170)/7,0),"")</f>
        <v/>
      </c>
      <c r="AN170">
        <f>IFERROR(IF(AL170*AM170=0,"",AL170*AM170),"")</f>
        <v/>
      </c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L170">
        <f>IFERROR(INDEX('_names_lookup'!$C:$C,MATCH(BK170,'_names_lookup'!$A:$A,0)),"")</f>
        <v/>
      </c>
      <c r="BM170">
        <f>IFERROR(INDEX('_names_lookup'!$B:$B,MATCH(BK170,'_names_lookup'!$A:$A,0)),"")</f>
        <v/>
      </c>
      <c r="BS170">
        <f>IFERROR(IF(BR170*AA170=0,"",BR170*AA170),"")</f>
        <v/>
      </c>
    </row>
    <row r="171">
      <c r="O171">
        <f>IFERROR(INDEX('_courses_lookup'!$C:$C,MATCH(K171&amp;L171,'_courses_lookup'!$E:$E,0)),"")</f>
        <v/>
      </c>
      <c r="P171">
        <f>IFERROR(INDEX('_courses_lookup'!$D:$D,MATCH(K171&amp;L171,'_courses_lookup'!$E:$E,0)),"")</f>
        <v/>
      </c>
      <c r="AG171">
        <f>IF(AND(AE171&lt;&gt;"",AF171&lt;&gt;""),ROUNDUP((AF171-AE171)/7,0),"")</f>
        <v/>
      </c>
      <c r="AI171">
        <f>IFERROR(IF(AG171*AH171=0,"",AG171*AH171),"")</f>
        <v/>
      </c>
      <c r="AL171">
        <f>IF(AND(AJ171&lt;&gt;"",AK171&lt;&gt;""),ROUNDUP((AK171-AJ171)/7,0),"")</f>
        <v/>
      </c>
      <c r="AN171">
        <f>IFERROR(IF(AL171*AM171=0,"",AL171*AM171),"")</f>
        <v/>
      </c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L171">
        <f>IFERROR(INDEX('_names_lookup'!$C:$C,MATCH(BK171,'_names_lookup'!$A:$A,0)),"")</f>
        <v/>
      </c>
      <c r="BM171">
        <f>IFERROR(INDEX('_names_lookup'!$B:$B,MATCH(BK171,'_names_lookup'!$A:$A,0)),"")</f>
        <v/>
      </c>
      <c r="BS171">
        <f>IFERROR(IF(BR171*AA171=0,"",BR171*AA171),"")</f>
        <v/>
      </c>
    </row>
    <row r="172">
      <c r="O172">
        <f>IFERROR(INDEX('_courses_lookup'!$C:$C,MATCH(K172&amp;L172,'_courses_lookup'!$E:$E,0)),"")</f>
        <v/>
      </c>
      <c r="P172">
        <f>IFERROR(INDEX('_courses_lookup'!$D:$D,MATCH(K172&amp;L172,'_courses_lookup'!$E:$E,0)),"")</f>
        <v/>
      </c>
      <c r="AG172">
        <f>IF(AND(AE172&lt;&gt;"",AF172&lt;&gt;""),ROUNDUP((AF172-AE172)/7,0),"")</f>
        <v/>
      </c>
      <c r="AI172">
        <f>IFERROR(IF(AG172*AH172=0,"",AG172*AH172),"")</f>
        <v/>
      </c>
      <c r="AL172">
        <f>IF(AND(AJ172&lt;&gt;"",AK172&lt;&gt;""),ROUNDUP((AK172-AJ172)/7,0),"")</f>
        <v/>
      </c>
      <c r="AN172">
        <f>IFERROR(IF(AL172*AM172=0,"",AL172*AM172),"")</f>
        <v/>
      </c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L172">
        <f>IFERROR(INDEX('_names_lookup'!$C:$C,MATCH(BK172,'_names_lookup'!$A:$A,0)),"")</f>
        <v/>
      </c>
      <c r="BM172">
        <f>IFERROR(INDEX('_names_lookup'!$B:$B,MATCH(BK172,'_names_lookup'!$A:$A,0)),"")</f>
        <v/>
      </c>
      <c r="BS172">
        <f>IFERROR(IF(BR172*AA172=0,"",BR172*AA172),"")</f>
        <v/>
      </c>
    </row>
    <row r="173">
      <c r="O173">
        <f>IFERROR(INDEX('_courses_lookup'!$C:$C,MATCH(K173&amp;L173,'_courses_lookup'!$E:$E,0)),"")</f>
        <v/>
      </c>
      <c r="P173">
        <f>IFERROR(INDEX('_courses_lookup'!$D:$D,MATCH(K173&amp;L173,'_courses_lookup'!$E:$E,0)),"")</f>
        <v/>
      </c>
      <c r="AG173">
        <f>IF(AND(AE173&lt;&gt;"",AF173&lt;&gt;""),ROUNDUP((AF173-AE173)/7,0),"")</f>
        <v/>
      </c>
      <c r="AI173">
        <f>IFERROR(IF(AG173*AH173=0,"",AG173*AH173),"")</f>
        <v/>
      </c>
      <c r="AL173">
        <f>IF(AND(AJ173&lt;&gt;"",AK173&lt;&gt;""),ROUNDUP((AK173-AJ173)/7,0),"")</f>
        <v/>
      </c>
      <c r="AN173">
        <f>IFERROR(IF(AL173*AM173=0,"",AL173*AM173),"")</f>
        <v/>
      </c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L173">
        <f>IFERROR(INDEX('_names_lookup'!$C:$C,MATCH(BK173,'_names_lookup'!$A:$A,0)),"")</f>
        <v/>
      </c>
      <c r="BM173">
        <f>IFERROR(INDEX('_names_lookup'!$B:$B,MATCH(BK173,'_names_lookup'!$A:$A,0)),"")</f>
        <v/>
      </c>
      <c r="BS173">
        <f>IFERROR(IF(BR173*AA173=0,"",BR173*AA173),"")</f>
        <v/>
      </c>
    </row>
    <row r="174">
      <c r="O174">
        <f>IFERROR(INDEX('_courses_lookup'!$C:$C,MATCH(K174&amp;L174,'_courses_lookup'!$E:$E,0)),"")</f>
        <v/>
      </c>
      <c r="P174">
        <f>IFERROR(INDEX('_courses_lookup'!$D:$D,MATCH(K174&amp;L174,'_courses_lookup'!$E:$E,0)),"")</f>
        <v/>
      </c>
      <c r="AG174">
        <f>IF(AND(AE174&lt;&gt;"",AF174&lt;&gt;""),ROUNDUP((AF174-AE174)/7,0),"")</f>
        <v/>
      </c>
      <c r="AI174">
        <f>IFERROR(IF(AG174*AH174=0,"",AG174*AH174),"")</f>
        <v/>
      </c>
      <c r="AL174">
        <f>IF(AND(AJ174&lt;&gt;"",AK174&lt;&gt;""),ROUNDUP((AK174-AJ174)/7,0),"")</f>
        <v/>
      </c>
      <c r="AN174">
        <f>IFERROR(IF(AL174*AM174=0,"",AL174*AM174),"")</f>
        <v/>
      </c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L174">
        <f>IFERROR(INDEX('_names_lookup'!$C:$C,MATCH(BK174,'_names_lookup'!$A:$A,0)),"")</f>
        <v/>
      </c>
      <c r="BM174">
        <f>IFERROR(INDEX('_names_lookup'!$B:$B,MATCH(BK174,'_names_lookup'!$A:$A,0)),"")</f>
        <v/>
      </c>
      <c r="BS174">
        <f>IFERROR(IF(BR174*AA174=0,"",BR174*AA174),"")</f>
        <v/>
      </c>
    </row>
    <row r="175">
      <c r="O175">
        <f>IFERROR(INDEX('_courses_lookup'!$C:$C,MATCH(K175&amp;L175,'_courses_lookup'!$E:$E,0)),"")</f>
        <v/>
      </c>
      <c r="P175">
        <f>IFERROR(INDEX('_courses_lookup'!$D:$D,MATCH(K175&amp;L175,'_courses_lookup'!$E:$E,0)),"")</f>
        <v/>
      </c>
      <c r="AG175">
        <f>IF(AND(AE175&lt;&gt;"",AF175&lt;&gt;""),ROUNDUP((AF175-AE175)/7,0),"")</f>
        <v/>
      </c>
      <c r="AI175">
        <f>IFERROR(IF(AG175*AH175=0,"",AG175*AH175),"")</f>
        <v/>
      </c>
      <c r="AL175">
        <f>IF(AND(AJ175&lt;&gt;"",AK175&lt;&gt;""),ROUNDUP((AK175-AJ175)/7,0),"")</f>
        <v/>
      </c>
      <c r="AN175">
        <f>IFERROR(IF(AL175*AM175=0,"",AL175*AM175),"")</f>
        <v/>
      </c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L175">
        <f>IFERROR(INDEX('_names_lookup'!$C:$C,MATCH(BK175,'_names_lookup'!$A:$A,0)),"")</f>
        <v/>
      </c>
      <c r="BM175">
        <f>IFERROR(INDEX('_names_lookup'!$B:$B,MATCH(BK175,'_names_lookup'!$A:$A,0)),"")</f>
        <v/>
      </c>
      <c r="BS175">
        <f>IFERROR(IF(BR175*AA175=0,"",BR175*AA175),"")</f>
        <v/>
      </c>
    </row>
    <row r="176">
      <c r="O176">
        <f>IFERROR(INDEX('_courses_lookup'!$C:$C,MATCH(K176&amp;L176,'_courses_lookup'!$E:$E,0)),"")</f>
        <v/>
      </c>
      <c r="P176">
        <f>IFERROR(INDEX('_courses_lookup'!$D:$D,MATCH(K176&amp;L176,'_courses_lookup'!$E:$E,0)),"")</f>
        <v/>
      </c>
      <c r="AG176">
        <f>IF(AND(AE176&lt;&gt;"",AF176&lt;&gt;""),ROUNDUP((AF176-AE176)/7,0),"")</f>
        <v/>
      </c>
      <c r="AI176">
        <f>IFERROR(IF(AG176*AH176=0,"",AG176*AH176),"")</f>
        <v/>
      </c>
      <c r="AL176">
        <f>IF(AND(AJ176&lt;&gt;"",AK176&lt;&gt;""),ROUNDUP((AK176-AJ176)/7,0),"")</f>
        <v/>
      </c>
      <c r="AN176">
        <f>IFERROR(IF(AL176*AM176=0,"",AL176*AM176),"")</f>
        <v/>
      </c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L176">
        <f>IFERROR(INDEX('_names_lookup'!$C:$C,MATCH(BK176,'_names_lookup'!$A:$A,0)),"")</f>
        <v/>
      </c>
      <c r="BM176">
        <f>IFERROR(INDEX('_names_lookup'!$B:$B,MATCH(BK176,'_names_lookup'!$A:$A,0)),"")</f>
        <v/>
      </c>
      <c r="BS176">
        <f>IFERROR(IF(BR176*AA176=0,"",BR176*AA176),"")</f>
        <v/>
      </c>
    </row>
    <row r="177">
      <c r="O177">
        <f>IFERROR(INDEX('_courses_lookup'!$C:$C,MATCH(K177&amp;L177,'_courses_lookup'!$E:$E,0)),"")</f>
        <v/>
      </c>
      <c r="P177">
        <f>IFERROR(INDEX('_courses_lookup'!$D:$D,MATCH(K177&amp;L177,'_courses_lookup'!$E:$E,0)),"")</f>
        <v/>
      </c>
      <c r="AG177">
        <f>IF(AND(AE177&lt;&gt;"",AF177&lt;&gt;""),ROUNDUP((AF177-AE177)/7,0),"")</f>
        <v/>
      </c>
      <c r="AI177">
        <f>IFERROR(IF(AG177*AH177=0,"",AG177*AH177),"")</f>
        <v/>
      </c>
      <c r="AL177">
        <f>IF(AND(AJ177&lt;&gt;"",AK177&lt;&gt;""),ROUNDUP((AK177-AJ177)/7,0),"")</f>
        <v/>
      </c>
      <c r="AN177">
        <f>IFERROR(IF(AL177*AM177=0,"",AL177*AM177),"")</f>
        <v/>
      </c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L177">
        <f>IFERROR(INDEX('_names_lookup'!$C:$C,MATCH(BK177,'_names_lookup'!$A:$A,0)),"")</f>
        <v/>
      </c>
      <c r="BM177">
        <f>IFERROR(INDEX('_names_lookup'!$B:$B,MATCH(BK177,'_names_lookup'!$A:$A,0)),"")</f>
        <v/>
      </c>
      <c r="BS177">
        <f>IFERROR(IF(BR177*AA177=0,"",BR177*AA177),"")</f>
        <v/>
      </c>
    </row>
    <row r="178">
      <c r="O178">
        <f>IFERROR(INDEX('_courses_lookup'!$C:$C,MATCH(K178&amp;L178,'_courses_lookup'!$E:$E,0)),"")</f>
        <v/>
      </c>
      <c r="P178">
        <f>IFERROR(INDEX('_courses_lookup'!$D:$D,MATCH(K178&amp;L178,'_courses_lookup'!$E:$E,0)),"")</f>
        <v/>
      </c>
      <c r="AG178">
        <f>IF(AND(AE178&lt;&gt;"",AF178&lt;&gt;""),ROUNDUP((AF178-AE178)/7,0),"")</f>
        <v/>
      </c>
      <c r="AI178">
        <f>IFERROR(IF(AG178*AH178=0,"",AG178*AH178),"")</f>
        <v/>
      </c>
      <c r="AL178">
        <f>IF(AND(AJ178&lt;&gt;"",AK178&lt;&gt;""),ROUNDUP((AK178-AJ178)/7,0),"")</f>
        <v/>
      </c>
      <c r="AN178">
        <f>IFERROR(IF(AL178*AM178=0,"",AL178*AM178),"")</f>
        <v/>
      </c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L178">
        <f>IFERROR(INDEX('_names_lookup'!$C:$C,MATCH(BK178,'_names_lookup'!$A:$A,0)),"")</f>
        <v/>
      </c>
      <c r="BM178">
        <f>IFERROR(INDEX('_names_lookup'!$B:$B,MATCH(BK178,'_names_lookup'!$A:$A,0)),"")</f>
        <v/>
      </c>
      <c r="BS178">
        <f>IFERROR(IF(BR178*AA178=0,"",BR178*AA178),"")</f>
        <v/>
      </c>
    </row>
    <row r="179">
      <c r="O179">
        <f>IFERROR(INDEX('_courses_lookup'!$C:$C,MATCH(K179&amp;L179,'_courses_lookup'!$E:$E,0)),"")</f>
        <v/>
      </c>
      <c r="P179">
        <f>IFERROR(INDEX('_courses_lookup'!$D:$D,MATCH(K179&amp;L179,'_courses_lookup'!$E:$E,0)),"")</f>
        <v/>
      </c>
      <c r="AG179">
        <f>IF(AND(AE179&lt;&gt;"",AF179&lt;&gt;""),ROUNDUP((AF179-AE179)/7,0),"")</f>
        <v/>
      </c>
      <c r="AI179">
        <f>IFERROR(IF(AG179*AH179=0,"",AG179*AH179),"")</f>
        <v/>
      </c>
      <c r="AL179">
        <f>IF(AND(AJ179&lt;&gt;"",AK179&lt;&gt;""),ROUNDUP((AK179-AJ179)/7,0),"")</f>
        <v/>
      </c>
      <c r="AN179">
        <f>IFERROR(IF(AL179*AM179=0,"",AL179*AM179),"")</f>
        <v/>
      </c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L179">
        <f>IFERROR(INDEX('_names_lookup'!$C:$C,MATCH(BK179,'_names_lookup'!$A:$A,0)),"")</f>
        <v/>
      </c>
      <c r="BM179">
        <f>IFERROR(INDEX('_names_lookup'!$B:$B,MATCH(BK179,'_names_lookup'!$A:$A,0)),"")</f>
        <v/>
      </c>
      <c r="BS179">
        <f>IFERROR(IF(BR179*AA179=0,"",BR179*AA179),"")</f>
        <v/>
      </c>
    </row>
    <row r="180">
      <c r="O180">
        <f>IFERROR(INDEX('_courses_lookup'!$C:$C,MATCH(K180&amp;L180,'_courses_lookup'!$E:$E,0)),"")</f>
        <v/>
      </c>
      <c r="P180">
        <f>IFERROR(INDEX('_courses_lookup'!$D:$D,MATCH(K180&amp;L180,'_courses_lookup'!$E:$E,0)),"")</f>
        <v/>
      </c>
      <c r="AG180">
        <f>IF(AND(AE180&lt;&gt;"",AF180&lt;&gt;""),ROUNDUP((AF180-AE180)/7,0),"")</f>
        <v/>
      </c>
      <c r="AI180">
        <f>IFERROR(IF(AG180*AH180=0,"",AG180*AH180),"")</f>
        <v/>
      </c>
      <c r="AL180">
        <f>IF(AND(AJ180&lt;&gt;"",AK180&lt;&gt;""),ROUNDUP((AK180-AJ180)/7,0),"")</f>
        <v/>
      </c>
      <c r="AN180">
        <f>IFERROR(IF(AL180*AM180=0,"",AL180*AM180),"")</f>
        <v/>
      </c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L180">
        <f>IFERROR(INDEX('_names_lookup'!$C:$C,MATCH(BK180,'_names_lookup'!$A:$A,0)),"")</f>
        <v/>
      </c>
      <c r="BM180">
        <f>IFERROR(INDEX('_names_lookup'!$B:$B,MATCH(BK180,'_names_lookup'!$A:$A,0)),"")</f>
        <v/>
      </c>
      <c r="BS180">
        <f>IFERROR(IF(BR180*AA180=0,"",BR180*AA180),"")</f>
        <v/>
      </c>
    </row>
    <row r="181">
      <c r="O181">
        <f>IFERROR(INDEX('_courses_lookup'!$C:$C,MATCH(K181&amp;L181,'_courses_lookup'!$E:$E,0)),"")</f>
        <v/>
      </c>
      <c r="P181">
        <f>IFERROR(INDEX('_courses_lookup'!$D:$D,MATCH(K181&amp;L181,'_courses_lookup'!$E:$E,0)),"")</f>
        <v/>
      </c>
      <c r="AG181">
        <f>IF(AND(AE181&lt;&gt;"",AF181&lt;&gt;""),ROUNDUP((AF181-AE181)/7,0),"")</f>
        <v/>
      </c>
      <c r="AI181">
        <f>IFERROR(IF(AG181*AH181=0,"",AG181*AH181),"")</f>
        <v/>
      </c>
      <c r="AL181">
        <f>IF(AND(AJ181&lt;&gt;"",AK181&lt;&gt;""),ROUNDUP((AK181-AJ181)/7,0),"")</f>
        <v/>
      </c>
      <c r="AN181">
        <f>IFERROR(IF(AL181*AM181=0,"",AL181*AM181),"")</f>
        <v/>
      </c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L181">
        <f>IFERROR(INDEX('_names_lookup'!$C:$C,MATCH(BK181,'_names_lookup'!$A:$A,0)),"")</f>
        <v/>
      </c>
      <c r="BM181">
        <f>IFERROR(INDEX('_names_lookup'!$B:$B,MATCH(BK181,'_names_lookup'!$A:$A,0)),"")</f>
        <v/>
      </c>
      <c r="BS181">
        <f>IFERROR(IF(BR181*AA181=0,"",BR181*AA181),"")</f>
        <v/>
      </c>
    </row>
    <row r="182">
      <c r="O182">
        <f>IFERROR(INDEX('_courses_lookup'!$C:$C,MATCH(K182&amp;L182,'_courses_lookup'!$E:$E,0)),"")</f>
        <v/>
      </c>
      <c r="P182">
        <f>IFERROR(INDEX('_courses_lookup'!$D:$D,MATCH(K182&amp;L182,'_courses_lookup'!$E:$E,0)),"")</f>
        <v/>
      </c>
      <c r="AG182">
        <f>IF(AND(AE182&lt;&gt;"",AF182&lt;&gt;""),ROUNDUP((AF182-AE182)/7,0),"")</f>
        <v/>
      </c>
      <c r="AI182">
        <f>IFERROR(IF(AG182*AH182=0,"",AG182*AH182),"")</f>
        <v/>
      </c>
      <c r="AL182">
        <f>IF(AND(AJ182&lt;&gt;"",AK182&lt;&gt;""),ROUNDUP((AK182-AJ182)/7,0),"")</f>
        <v/>
      </c>
      <c r="AN182">
        <f>IFERROR(IF(AL182*AM182=0,"",AL182*AM182),"")</f>
        <v/>
      </c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L182">
        <f>IFERROR(INDEX('_names_lookup'!$C:$C,MATCH(BK182,'_names_lookup'!$A:$A,0)),"")</f>
        <v/>
      </c>
      <c r="BM182">
        <f>IFERROR(INDEX('_names_lookup'!$B:$B,MATCH(BK182,'_names_lookup'!$A:$A,0)),"")</f>
        <v/>
      </c>
      <c r="BS182">
        <f>IFERROR(IF(BR182*AA182=0,"",BR182*AA182),"")</f>
        <v/>
      </c>
    </row>
    <row r="183">
      <c r="O183">
        <f>IFERROR(INDEX('_courses_lookup'!$C:$C,MATCH(K183&amp;L183,'_courses_lookup'!$E:$E,0)),"")</f>
        <v/>
      </c>
      <c r="P183">
        <f>IFERROR(INDEX('_courses_lookup'!$D:$D,MATCH(K183&amp;L183,'_courses_lookup'!$E:$E,0)),"")</f>
        <v/>
      </c>
      <c r="AG183">
        <f>IF(AND(AE183&lt;&gt;"",AF183&lt;&gt;""),ROUNDUP((AF183-AE183)/7,0),"")</f>
        <v/>
      </c>
      <c r="AI183">
        <f>IFERROR(IF(AG183*AH183=0,"",AG183*AH183),"")</f>
        <v/>
      </c>
      <c r="AL183">
        <f>IF(AND(AJ183&lt;&gt;"",AK183&lt;&gt;""),ROUNDUP((AK183-AJ183)/7,0),"")</f>
        <v/>
      </c>
      <c r="AN183">
        <f>IFERROR(IF(AL183*AM183=0,"",AL183*AM183),"")</f>
        <v/>
      </c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L183">
        <f>IFERROR(INDEX('_names_lookup'!$C:$C,MATCH(BK183,'_names_lookup'!$A:$A,0)),"")</f>
        <v/>
      </c>
      <c r="BM183">
        <f>IFERROR(INDEX('_names_lookup'!$B:$B,MATCH(BK183,'_names_lookup'!$A:$A,0)),"")</f>
        <v/>
      </c>
      <c r="BS183">
        <f>IFERROR(IF(BR183*AA183=0,"",BR183*AA183),"")</f>
        <v/>
      </c>
    </row>
    <row r="184">
      <c r="O184">
        <f>IFERROR(INDEX('_courses_lookup'!$C:$C,MATCH(K184&amp;L184,'_courses_lookup'!$E:$E,0)),"")</f>
        <v/>
      </c>
      <c r="P184">
        <f>IFERROR(INDEX('_courses_lookup'!$D:$D,MATCH(K184&amp;L184,'_courses_lookup'!$E:$E,0)),"")</f>
        <v/>
      </c>
      <c r="AG184">
        <f>IF(AND(AE184&lt;&gt;"",AF184&lt;&gt;""),ROUNDUP((AF184-AE184)/7,0),"")</f>
        <v/>
      </c>
      <c r="AI184">
        <f>IFERROR(IF(AG184*AH184=0,"",AG184*AH184),"")</f>
        <v/>
      </c>
      <c r="AL184">
        <f>IF(AND(AJ184&lt;&gt;"",AK184&lt;&gt;""),ROUNDUP((AK184-AJ184)/7,0),"")</f>
        <v/>
      </c>
      <c r="AN184">
        <f>IFERROR(IF(AL184*AM184=0,"",AL184*AM184),"")</f>
        <v/>
      </c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L184">
        <f>IFERROR(INDEX('_names_lookup'!$C:$C,MATCH(BK184,'_names_lookup'!$A:$A,0)),"")</f>
        <v/>
      </c>
      <c r="BM184">
        <f>IFERROR(INDEX('_names_lookup'!$B:$B,MATCH(BK184,'_names_lookup'!$A:$A,0)),"")</f>
        <v/>
      </c>
      <c r="BS184">
        <f>IFERROR(IF(BR184*AA184=0,"",BR184*AA184),"")</f>
        <v/>
      </c>
    </row>
    <row r="185">
      <c r="O185">
        <f>IFERROR(INDEX('_courses_lookup'!$C:$C,MATCH(K185&amp;L185,'_courses_lookup'!$E:$E,0)),"")</f>
        <v/>
      </c>
      <c r="P185">
        <f>IFERROR(INDEX('_courses_lookup'!$D:$D,MATCH(K185&amp;L185,'_courses_lookup'!$E:$E,0)),"")</f>
        <v/>
      </c>
      <c r="AG185">
        <f>IF(AND(AE185&lt;&gt;"",AF185&lt;&gt;""),ROUNDUP((AF185-AE185)/7,0),"")</f>
        <v/>
      </c>
      <c r="AI185">
        <f>IFERROR(IF(AG185*AH185=0,"",AG185*AH185),"")</f>
        <v/>
      </c>
      <c r="AL185">
        <f>IF(AND(AJ185&lt;&gt;"",AK185&lt;&gt;""),ROUNDUP((AK185-AJ185)/7,0),"")</f>
        <v/>
      </c>
      <c r="AN185">
        <f>IFERROR(IF(AL185*AM185=0,"",AL185*AM185),"")</f>
        <v/>
      </c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L185">
        <f>IFERROR(INDEX('_names_lookup'!$C:$C,MATCH(BK185,'_names_lookup'!$A:$A,0)),"")</f>
        <v/>
      </c>
      <c r="BM185">
        <f>IFERROR(INDEX('_names_lookup'!$B:$B,MATCH(BK185,'_names_lookup'!$A:$A,0)),"")</f>
        <v/>
      </c>
      <c r="BS185">
        <f>IFERROR(IF(BR185*AA185=0,"",BR185*AA185),"")</f>
        <v/>
      </c>
    </row>
    <row r="186">
      <c r="O186">
        <f>IFERROR(INDEX('_courses_lookup'!$C:$C,MATCH(K186&amp;L186,'_courses_lookup'!$E:$E,0)),"")</f>
        <v/>
      </c>
      <c r="P186">
        <f>IFERROR(INDEX('_courses_lookup'!$D:$D,MATCH(K186&amp;L186,'_courses_lookup'!$E:$E,0)),"")</f>
        <v/>
      </c>
      <c r="AG186">
        <f>IF(AND(AE186&lt;&gt;"",AF186&lt;&gt;""),ROUNDUP((AF186-AE186)/7,0),"")</f>
        <v/>
      </c>
      <c r="AI186">
        <f>IFERROR(IF(AG186*AH186=0,"",AG186*AH186),"")</f>
        <v/>
      </c>
      <c r="AL186">
        <f>IF(AND(AJ186&lt;&gt;"",AK186&lt;&gt;""),ROUNDUP((AK186-AJ186)/7,0),"")</f>
        <v/>
      </c>
      <c r="AN186">
        <f>IFERROR(IF(AL186*AM186=0,"",AL186*AM186),"")</f>
        <v/>
      </c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L186">
        <f>IFERROR(INDEX('_names_lookup'!$C:$C,MATCH(BK186,'_names_lookup'!$A:$A,0)),"")</f>
        <v/>
      </c>
      <c r="BM186">
        <f>IFERROR(INDEX('_names_lookup'!$B:$B,MATCH(BK186,'_names_lookup'!$A:$A,0)),"")</f>
        <v/>
      </c>
      <c r="BS186">
        <f>IFERROR(IF(BR186*AA186=0,"",BR186*AA186),"")</f>
        <v/>
      </c>
    </row>
    <row r="187">
      <c r="O187">
        <f>IFERROR(INDEX('_courses_lookup'!$C:$C,MATCH(K187&amp;L187,'_courses_lookup'!$E:$E,0)),"")</f>
        <v/>
      </c>
      <c r="P187">
        <f>IFERROR(INDEX('_courses_lookup'!$D:$D,MATCH(K187&amp;L187,'_courses_lookup'!$E:$E,0)),"")</f>
        <v/>
      </c>
      <c r="AG187">
        <f>IF(AND(AE187&lt;&gt;"",AF187&lt;&gt;""),ROUNDUP((AF187-AE187)/7,0),"")</f>
        <v/>
      </c>
      <c r="AI187">
        <f>IFERROR(IF(AG187*AH187=0,"",AG187*AH187),"")</f>
        <v/>
      </c>
      <c r="AL187">
        <f>IF(AND(AJ187&lt;&gt;"",AK187&lt;&gt;""),ROUNDUP((AK187-AJ187)/7,0),"")</f>
        <v/>
      </c>
      <c r="AN187">
        <f>IFERROR(IF(AL187*AM187=0,"",AL187*AM187),"")</f>
        <v/>
      </c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L187">
        <f>IFERROR(INDEX('_names_lookup'!$C:$C,MATCH(BK187,'_names_lookup'!$A:$A,0)),"")</f>
        <v/>
      </c>
      <c r="BM187">
        <f>IFERROR(INDEX('_names_lookup'!$B:$B,MATCH(BK187,'_names_lookup'!$A:$A,0)),"")</f>
        <v/>
      </c>
      <c r="BS187">
        <f>IFERROR(IF(BR187*AA187=0,"",BR187*AA187),"")</f>
        <v/>
      </c>
    </row>
    <row r="188">
      <c r="O188">
        <f>IFERROR(INDEX('_courses_lookup'!$C:$C,MATCH(K188&amp;L188,'_courses_lookup'!$E:$E,0)),"")</f>
        <v/>
      </c>
      <c r="P188">
        <f>IFERROR(INDEX('_courses_lookup'!$D:$D,MATCH(K188&amp;L188,'_courses_lookup'!$E:$E,0)),"")</f>
        <v/>
      </c>
      <c r="AG188">
        <f>IF(AND(AE188&lt;&gt;"",AF188&lt;&gt;""),ROUNDUP((AF188-AE188)/7,0),"")</f>
        <v/>
      </c>
      <c r="AI188">
        <f>IFERROR(IF(AG188*AH188=0,"",AG188*AH188),"")</f>
        <v/>
      </c>
      <c r="AL188">
        <f>IF(AND(AJ188&lt;&gt;"",AK188&lt;&gt;""),ROUNDUP((AK188-AJ188)/7,0),"")</f>
        <v/>
      </c>
      <c r="AN188">
        <f>IFERROR(IF(AL188*AM188=0,"",AL188*AM188),"")</f>
        <v/>
      </c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L188">
        <f>IFERROR(INDEX('_names_lookup'!$C:$C,MATCH(BK188,'_names_lookup'!$A:$A,0)),"")</f>
        <v/>
      </c>
      <c r="BM188">
        <f>IFERROR(INDEX('_names_lookup'!$B:$B,MATCH(BK188,'_names_lookup'!$A:$A,0)),"")</f>
        <v/>
      </c>
      <c r="BS188">
        <f>IFERROR(IF(BR188*AA188=0,"",BR188*AA188),"")</f>
        <v/>
      </c>
    </row>
    <row r="189">
      <c r="O189">
        <f>IFERROR(INDEX('_courses_lookup'!$C:$C,MATCH(K189&amp;L189,'_courses_lookup'!$E:$E,0)),"")</f>
        <v/>
      </c>
      <c r="P189">
        <f>IFERROR(INDEX('_courses_lookup'!$D:$D,MATCH(K189&amp;L189,'_courses_lookup'!$E:$E,0)),"")</f>
        <v/>
      </c>
      <c r="AG189">
        <f>IF(AND(AE189&lt;&gt;"",AF189&lt;&gt;""),ROUNDUP((AF189-AE189)/7,0),"")</f>
        <v/>
      </c>
      <c r="AI189">
        <f>IFERROR(IF(AG189*AH189=0,"",AG189*AH189),"")</f>
        <v/>
      </c>
      <c r="AL189">
        <f>IF(AND(AJ189&lt;&gt;"",AK189&lt;&gt;""),ROUNDUP((AK189-AJ189)/7,0),"")</f>
        <v/>
      </c>
      <c r="AN189">
        <f>IFERROR(IF(AL189*AM189=0,"",AL189*AM189),"")</f>
        <v/>
      </c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L189">
        <f>IFERROR(INDEX('_names_lookup'!$C:$C,MATCH(BK189,'_names_lookup'!$A:$A,0)),"")</f>
        <v/>
      </c>
      <c r="BM189">
        <f>IFERROR(INDEX('_names_lookup'!$B:$B,MATCH(BK189,'_names_lookup'!$A:$A,0)),"")</f>
        <v/>
      </c>
      <c r="BS189">
        <f>IFERROR(IF(BR189*AA189=0,"",BR189*AA189),"")</f>
        <v/>
      </c>
    </row>
    <row r="190">
      <c r="O190">
        <f>IFERROR(INDEX('_courses_lookup'!$C:$C,MATCH(K190&amp;L190,'_courses_lookup'!$E:$E,0)),"")</f>
        <v/>
      </c>
      <c r="P190">
        <f>IFERROR(INDEX('_courses_lookup'!$D:$D,MATCH(K190&amp;L190,'_courses_lookup'!$E:$E,0)),"")</f>
        <v/>
      </c>
      <c r="AG190">
        <f>IF(AND(AE190&lt;&gt;"",AF190&lt;&gt;""),ROUNDUP((AF190-AE190)/7,0),"")</f>
        <v/>
      </c>
      <c r="AI190">
        <f>IFERROR(IF(AG190*AH190=0,"",AG190*AH190),"")</f>
        <v/>
      </c>
      <c r="AL190">
        <f>IF(AND(AJ190&lt;&gt;"",AK190&lt;&gt;""),ROUNDUP((AK190-AJ190)/7,0),"")</f>
        <v/>
      </c>
      <c r="AN190">
        <f>IFERROR(IF(AL190*AM190=0,"",AL190*AM190),"")</f>
        <v/>
      </c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L190">
        <f>IFERROR(INDEX('_names_lookup'!$C:$C,MATCH(BK190,'_names_lookup'!$A:$A,0)),"")</f>
        <v/>
      </c>
      <c r="BM190">
        <f>IFERROR(INDEX('_names_lookup'!$B:$B,MATCH(BK190,'_names_lookup'!$A:$A,0)),"")</f>
        <v/>
      </c>
      <c r="BS190">
        <f>IFERROR(IF(BR190*AA190=0,"",BR190*AA190),"")</f>
        <v/>
      </c>
    </row>
    <row r="191">
      <c r="O191">
        <f>IFERROR(INDEX('_courses_lookup'!$C:$C,MATCH(K191&amp;L191,'_courses_lookup'!$E:$E,0)),"")</f>
        <v/>
      </c>
      <c r="P191">
        <f>IFERROR(INDEX('_courses_lookup'!$D:$D,MATCH(K191&amp;L191,'_courses_lookup'!$E:$E,0)),"")</f>
        <v/>
      </c>
      <c r="AG191">
        <f>IF(AND(AE191&lt;&gt;"",AF191&lt;&gt;""),ROUNDUP((AF191-AE191)/7,0),"")</f>
        <v/>
      </c>
      <c r="AI191">
        <f>IFERROR(IF(AG191*AH191=0,"",AG191*AH191),"")</f>
        <v/>
      </c>
      <c r="AL191">
        <f>IF(AND(AJ191&lt;&gt;"",AK191&lt;&gt;""),ROUNDUP((AK191-AJ191)/7,0),"")</f>
        <v/>
      </c>
      <c r="AN191">
        <f>IFERROR(IF(AL191*AM191=0,"",AL191*AM191),"")</f>
        <v/>
      </c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L191">
        <f>IFERROR(INDEX('_names_lookup'!$C:$C,MATCH(BK191,'_names_lookup'!$A:$A,0)),"")</f>
        <v/>
      </c>
      <c r="BM191">
        <f>IFERROR(INDEX('_names_lookup'!$B:$B,MATCH(BK191,'_names_lookup'!$A:$A,0)),"")</f>
        <v/>
      </c>
      <c r="BS191">
        <f>IFERROR(IF(BR191*AA191=0,"",BR191*AA191),"")</f>
        <v/>
      </c>
    </row>
    <row r="192">
      <c r="O192">
        <f>IFERROR(INDEX('_courses_lookup'!$C:$C,MATCH(K192&amp;L192,'_courses_lookup'!$E:$E,0)),"")</f>
        <v/>
      </c>
      <c r="P192">
        <f>IFERROR(INDEX('_courses_lookup'!$D:$D,MATCH(K192&amp;L192,'_courses_lookup'!$E:$E,0)),"")</f>
        <v/>
      </c>
      <c r="AG192">
        <f>IF(AND(AE192&lt;&gt;"",AF192&lt;&gt;""),ROUNDUP((AF192-AE192)/7,0),"")</f>
        <v/>
      </c>
      <c r="AI192">
        <f>IFERROR(IF(AG192*AH192=0,"",AG192*AH192),"")</f>
        <v/>
      </c>
      <c r="AL192">
        <f>IF(AND(AJ192&lt;&gt;"",AK192&lt;&gt;""),ROUNDUP((AK192-AJ192)/7,0),"")</f>
        <v/>
      </c>
      <c r="AN192">
        <f>IFERROR(IF(AL192*AM192=0,"",AL192*AM192),"")</f>
        <v/>
      </c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L192">
        <f>IFERROR(INDEX('_names_lookup'!$C:$C,MATCH(BK192,'_names_lookup'!$A:$A,0)),"")</f>
        <v/>
      </c>
      <c r="BM192">
        <f>IFERROR(INDEX('_names_lookup'!$B:$B,MATCH(BK192,'_names_lookup'!$A:$A,0)),"")</f>
        <v/>
      </c>
      <c r="BS192">
        <f>IFERROR(IF(BR192*AA192=0,"",BR192*AA192),"")</f>
        <v/>
      </c>
    </row>
    <row r="193">
      <c r="O193">
        <f>IFERROR(INDEX('_courses_lookup'!$C:$C,MATCH(K193&amp;L193,'_courses_lookup'!$E:$E,0)),"")</f>
        <v/>
      </c>
      <c r="P193">
        <f>IFERROR(INDEX('_courses_lookup'!$D:$D,MATCH(K193&amp;L193,'_courses_lookup'!$E:$E,0)),"")</f>
        <v/>
      </c>
      <c r="AG193">
        <f>IF(AND(AE193&lt;&gt;"",AF193&lt;&gt;""),ROUNDUP((AF193-AE193)/7,0),"")</f>
        <v/>
      </c>
      <c r="AI193">
        <f>IFERROR(IF(AG193*AH193=0,"",AG193*AH193),"")</f>
        <v/>
      </c>
      <c r="AL193">
        <f>IF(AND(AJ193&lt;&gt;"",AK193&lt;&gt;""),ROUNDUP((AK193-AJ193)/7,0),"")</f>
        <v/>
      </c>
      <c r="AN193">
        <f>IFERROR(IF(AL193*AM193=0,"",AL193*AM193),"")</f>
        <v/>
      </c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L193">
        <f>IFERROR(INDEX('_names_lookup'!$C:$C,MATCH(BK193,'_names_lookup'!$A:$A,0)),"")</f>
        <v/>
      </c>
      <c r="BM193">
        <f>IFERROR(INDEX('_names_lookup'!$B:$B,MATCH(BK193,'_names_lookup'!$A:$A,0)),"")</f>
        <v/>
      </c>
      <c r="BS193">
        <f>IFERROR(IF(BR193*AA193=0,"",BR193*AA193),"")</f>
        <v/>
      </c>
    </row>
    <row r="194">
      <c r="O194">
        <f>IFERROR(INDEX('_courses_lookup'!$C:$C,MATCH(K194&amp;L194,'_courses_lookup'!$E:$E,0)),"")</f>
        <v/>
      </c>
      <c r="P194">
        <f>IFERROR(INDEX('_courses_lookup'!$D:$D,MATCH(K194&amp;L194,'_courses_lookup'!$E:$E,0)),"")</f>
        <v/>
      </c>
      <c r="AG194">
        <f>IF(AND(AE194&lt;&gt;"",AF194&lt;&gt;""),ROUNDUP((AF194-AE194)/7,0),"")</f>
        <v/>
      </c>
      <c r="AI194">
        <f>IFERROR(IF(AG194*AH194=0,"",AG194*AH194),"")</f>
        <v/>
      </c>
      <c r="AL194">
        <f>IF(AND(AJ194&lt;&gt;"",AK194&lt;&gt;""),ROUNDUP((AK194-AJ194)/7,0),"")</f>
        <v/>
      </c>
      <c r="AN194">
        <f>IFERROR(IF(AL194*AM194=0,"",AL194*AM194),"")</f>
        <v/>
      </c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L194">
        <f>IFERROR(INDEX('_names_lookup'!$C:$C,MATCH(BK194,'_names_lookup'!$A:$A,0)),"")</f>
        <v/>
      </c>
      <c r="BM194">
        <f>IFERROR(INDEX('_names_lookup'!$B:$B,MATCH(BK194,'_names_lookup'!$A:$A,0)),"")</f>
        <v/>
      </c>
      <c r="BS194">
        <f>IFERROR(IF(BR194*AA194=0,"",BR194*AA194),"")</f>
        <v/>
      </c>
    </row>
    <row r="195">
      <c r="O195">
        <f>IFERROR(INDEX('_courses_lookup'!$C:$C,MATCH(K195&amp;L195,'_courses_lookup'!$E:$E,0)),"")</f>
        <v/>
      </c>
      <c r="P195">
        <f>IFERROR(INDEX('_courses_lookup'!$D:$D,MATCH(K195&amp;L195,'_courses_lookup'!$E:$E,0)),"")</f>
        <v/>
      </c>
      <c r="AG195">
        <f>IF(AND(AE195&lt;&gt;"",AF195&lt;&gt;""),ROUNDUP((AF195-AE195)/7,0),"")</f>
        <v/>
      </c>
      <c r="AI195">
        <f>IFERROR(IF(AG195*AH195=0,"",AG195*AH195),"")</f>
        <v/>
      </c>
      <c r="AL195">
        <f>IF(AND(AJ195&lt;&gt;"",AK195&lt;&gt;""),ROUNDUP((AK195-AJ195)/7,0),"")</f>
        <v/>
      </c>
      <c r="AN195">
        <f>IFERROR(IF(AL195*AM195=0,"",AL195*AM195),"")</f>
        <v/>
      </c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L195">
        <f>IFERROR(INDEX('_names_lookup'!$C:$C,MATCH(BK195,'_names_lookup'!$A:$A,0)),"")</f>
        <v/>
      </c>
      <c r="BM195">
        <f>IFERROR(INDEX('_names_lookup'!$B:$B,MATCH(BK195,'_names_lookup'!$A:$A,0)),"")</f>
        <v/>
      </c>
      <c r="BS195">
        <f>IFERROR(IF(BR195*AA195=0,"",BR195*AA195),"")</f>
        <v/>
      </c>
    </row>
    <row r="196">
      <c r="O196">
        <f>IFERROR(INDEX('_courses_lookup'!$C:$C,MATCH(K196&amp;L196,'_courses_lookup'!$E:$E,0)),"")</f>
        <v/>
      </c>
      <c r="P196">
        <f>IFERROR(INDEX('_courses_lookup'!$D:$D,MATCH(K196&amp;L196,'_courses_lookup'!$E:$E,0)),"")</f>
        <v/>
      </c>
      <c r="AG196">
        <f>IF(AND(AE196&lt;&gt;"",AF196&lt;&gt;""),ROUNDUP((AF196-AE196)/7,0),"")</f>
        <v/>
      </c>
      <c r="AI196">
        <f>IFERROR(IF(AG196*AH196=0,"",AG196*AH196),"")</f>
        <v/>
      </c>
      <c r="AL196">
        <f>IF(AND(AJ196&lt;&gt;"",AK196&lt;&gt;""),ROUNDUP((AK196-AJ196)/7,0),"")</f>
        <v/>
      </c>
      <c r="AN196">
        <f>IFERROR(IF(AL196*AM196=0,"",AL196*AM196),"")</f>
        <v/>
      </c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L196">
        <f>IFERROR(INDEX('_names_lookup'!$C:$C,MATCH(BK196,'_names_lookup'!$A:$A,0)),"")</f>
        <v/>
      </c>
      <c r="BM196">
        <f>IFERROR(INDEX('_names_lookup'!$B:$B,MATCH(BK196,'_names_lookup'!$A:$A,0)),"")</f>
        <v/>
      </c>
      <c r="BS196">
        <f>IFERROR(IF(BR196*AA196=0,"",BR196*AA196),"")</f>
        <v/>
      </c>
    </row>
    <row r="197">
      <c r="O197">
        <f>IFERROR(INDEX('_courses_lookup'!$C:$C,MATCH(K197&amp;L197,'_courses_lookup'!$E:$E,0)),"")</f>
        <v/>
      </c>
      <c r="P197">
        <f>IFERROR(INDEX('_courses_lookup'!$D:$D,MATCH(K197&amp;L197,'_courses_lookup'!$E:$E,0)),"")</f>
        <v/>
      </c>
      <c r="AG197">
        <f>IF(AND(AE197&lt;&gt;"",AF197&lt;&gt;""),ROUNDUP((AF197-AE197)/7,0),"")</f>
        <v/>
      </c>
      <c r="AI197">
        <f>IFERROR(IF(AG197*AH197=0,"",AG197*AH197),"")</f>
        <v/>
      </c>
      <c r="AL197">
        <f>IF(AND(AJ197&lt;&gt;"",AK197&lt;&gt;""),ROUNDUP((AK197-AJ197)/7,0),"")</f>
        <v/>
      </c>
      <c r="AN197">
        <f>IFERROR(IF(AL197*AM197=0,"",AL197*AM197),"")</f>
        <v/>
      </c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L197">
        <f>IFERROR(INDEX('_names_lookup'!$C:$C,MATCH(BK197,'_names_lookup'!$A:$A,0)),"")</f>
        <v/>
      </c>
      <c r="BM197">
        <f>IFERROR(INDEX('_names_lookup'!$B:$B,MATCH(BK197,'_names_lookup'!$A:$A,0)),"")</f>
        <v/>
      </c>
      <c r="BS197">
        <f>IFERROR(IF(BR197*AA197=0,"",BR197*AA197),"")</f>
        <v/>
      </c>
    </row>
    <row r="198">
      <c r="O198">
        <f>IFERROR(INDEX('_courses_lookup'!$C:$C,MATCH(K198&amp;L198,'_courses_lookup'!$E:$E,0)),"")</f>
        <v/>
      </c>
      <c r="P198">
        <f>IFERROR(INDEX('_courses_lookup'!$D:$D,MATCH(K198&amp;L198,'_courses_lookup'!$E:$E,0)),"")</f>
        <v/>
      </c>
      <c r="AG198">
        <f>IF(AND(AE198&lt;&gt;"",AF198&lt;&gt;""),ROUNDUP((AF198-AE198)/7,0),"")</f>
        <v/>
      </c>
      <c r="AI198">
        <f>IFERROR(IF(AG198*AH198=0,"",AG198*AH198),"")</f>
        <v/>
      </c>
      <c r="AL198">
        <f>IF(AND(AJ198&lt;&gt;"",AK198&lt;&gt;""),ROUNDUP((AK198-AJ198)/7,0),"")</f>
        <v/>
      </c>
      <c r="AN198">
        <f>IFERROR(IF(AL198*AM198=0,"",AL198*AM198),"")</f>
        <v/>
      </c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L198">
        <f>IFERROR(INDEX('_names_lookup'!$C:$C,MATCH(BK198,'_names_lookup'!$A:$A,0)),"")</f>
        <v/>
      </c>
      <c r="BM198">
        <f>IFERROR(INDEX('_names_lookup'!$B:$B,MATCH(BK198,'_names_lookup'!$A:$A,0)),"")</f>
        <v/>
      </c>
      <c r="BS198">
        <f>IFERROR(IF(BR198*AA198=0,"",BR198*AA198),"")</f>
        <v/>
      </c>
    </row>
    <row r="199">
      <c r="O199">
        <f>IFERROR(INDEX('_courses_lookup'!$C:$C,MATCH(K199&amp;L199,'_courses_lookup'!$E:$E,0)),"")</f>
        <v/>
      </c>
      <c r="P199">
        <f>IFERROR(INDEX('_courses_lookup'!$D:$D,MATCH(K199&amp;L199,'_courses_lookup'!$E:$E,0)),"")</f>
        <v/>
      </c>
      <c r="AG199">
        <f>IF(AND(AE199&lt;&gt;"",AF199&lt;&gt;""),ROUNDUP((AF199-AE199)/7,0),"")</f>
        <v/>
      </c>
      <c r="AI199">
        <f>IFERROR(IF(AG199*AH199=0,"",AG199*AH199),"")</f>
        <v/>
      </c>
      <c r="AL199">
        <f>IF(AND(AJ199&lt;&gt;"",AK199&lt;&gt;""),ROUNDUP((AK199-AJ199)/7,0),"")</f>
        <v/>
      </c>
      <c r="AN199">
        <f>IFERROR(IF(AL199*AM199=0,"",AL199*AM199),"")</f>
        <v/>
      </c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L199">
        <f>IFERROR(INDEX('_names_lookup'!$C:$C,MATCH(BK199,'_names_lookup'!$A:$A,0)),"")</f>
        <v/>
      </c>
      <c r="BM199">
        <f>IFERROR(INDEX('_names_lookup'!$B:$B,MATCH(BK199,'_names_lookup'!$A:$A,0)),"")</f>
        <v/>
      </c>
      <c r="BS199">
        <f>IFERROR(IF(BR199*AA199=0,"",BR199*AA199),"")</f>
        <v/>
      </c>
    </row>
    <row r="200">
      <c r="O200">
        <f>IFERROR(INDEX('_courses_lookup'!$C:$C,MATCH(K200&amp;L200,'_courses_lookup'!$E:$E,0)),"")</f>
        <v/>
      </c>
      <c r="P200">
        <f>IFERROR(INDEX('_courses_lookup'!$D:$D,MATCH(K200&amp;L200,'_courses_lookup'!$E:$E,0)),"")</f>
        <v/>
      </c>
      <c r="AG200">
        <f>IF(AND(AE200&lt;&gt;"",AF200&lt;&gt;""),ROUNDUP((AF200-AE200)/7,0),"")</f>
        <v/>
      </c>
      <c r="AI200">
        <f>IFERROR(IF(AG200*AH200=0,"",AG200*AH200),"")</f>
        <v/>
      </c>
      <c r="AL200">
        <f>IF(AND(AJ200&lt;&gt;"",AK200&lt;&gt;""),ROUNDUP((AK200-AJ200)/7,0),"")</f>
        <v/>
      </c>
      <c r="AN200">
        <f>IFERROR(IF(AL200*AM200=0,"",AL200*AM200),"")</f>
        <v/>
      </c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L200">
        <f>IFERROR(INDEX('_names_lookup'!$C:$C,MATCH(BK200,'_names_lookup'!$A:$A,0)),"")</f>
        <v/>
      </c>
      <c r="BM200">
        <f>IFERROR(INDEX('_names_lookup'!$B:$B,MATCH(BK200,'_names_lookup'!$A:$A,0)),"")</f>
        <v/>
      </c>
      <c r="BS200">
        <f>IFERROR(IF(BR200*AA200=0,"",BR200*AA200),"")</f>
        <v/>
      </c>
    </row>
    <row r="201">
      <c r="O201">
        <f>IFERROR(INDEX('_courses_lookup'!$C:$C,MATCH(K201&amp;L201,'_courses_lookup'!$E:$E,0)),"")</f>
        <v/>
      </c>
      <c r="P201">
        <f>IFERROR(INDEX('_courses_lookup'!$D:$D,MATCH(K201&amp;L201,'_courses_lookup'!$E:$E,0)),"")</f>
        <v/>
      </c>
      <c r="AG201">
        <f>IF(AND(AE201&lt;&gt;"",AF201&lt;&gt;""),ROUNDUP((AF201-AE201)/7,0),"")</f>
        <v/>
      </c>
      <c r="AI201">
        <f>IFERROR(IF(AG201*AH201=0,"",AG201*AH201),"")</f>
        <v/>
      </c>
      <c r="AL201">
        <f>IF(AND(AJ201&lt;&gt;"",AK201&lt;&gt;""),ROUNDUP((AK201-AJ201)/7,0),"")</f>
        <v/>
      </c>
      <c r="AN201">
        <f>IFERROR(IF(AL201*AM201=0,"",AL201*AM201),"")</f>
        <v/>
      </c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L201">
        <f>IFERROR(INDEX('_names_lookup'!$C:$C,MATCH(BK201,'_names_lookup'!$A:$A,0)),"")</f>
        <v/>
      </c>
      <c r="BM201">
        <f>IFERROR(INDEX('_names_lookup'!$B:$B,MATCH(BK201,'_names_lookup'!$A:$A,0)),"")</f>
        <v/>
      </c>
      <c r="BS201">
        <f>IFERROR(IF(BR201*AA201=0,"",BR201*AA201),"")</f>
        <v/>
      </c>
    </row>
    <row r="202">
      <c r="O202">
        <f>IFERROR(INDEX('_courses_lookup'!$C:$C,MATCH(K202&amp;L202,'_courses_lookup'!$E:$E,0)),"")</f>
        <v/>
      </c>
      <c r="P202">
        <f>IFERROR(INDEX('_courses_lookup'!$D:$D,MATCH(K202&amp;L202,'_courses_lookup'!$E:$E,0)),"")</f>
        <v/>
      </c>
      <c r="AG202">
        <f>IF(AND(AE202&lt;&gt;"",AF202&lt;&gt;""),ROUNDUP((AF202-AE202)/7,0),"")</f>
        <v/>
      </c>
      <c r="AI202">
        <f>IFERROR(IF(AG202*AH202=0,"",AG202*AH202),"")</f>
        <v/>
      </c>
      <c r="AL202">
        <f>IF(AND(AJ202&lt;&gt;"",AK202&lt;&gt;""),ROUNDUP((AK202-AJ202)/7,0),"")</f>
        <v/>
      </c>
      <c r="AN202">
        <f>IFERROR(IF(AL202*AM202=0,"",AL202*AM202),"")</f>
        <v/>
      </c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L202">
        <f>IFERROR(INDEX('_names_lookup'!$C:$C,MATCH(BK202,'_names_lookup'!$A:$A,0)),"")</f>
        <v/>
      </c>
      <c r="BM202">
        <f>IFERROR(INDEX('_names_lookup'!$B:$B,MATCH(BK202,'_names_lookup'!$A:$A,0)),"")</f>
        <v/>
      </c>
      <c r="BS202">
        <f>IFERROR(IF(BR202*AA202=0,"",BR202*AA202),"")</f>
        <v/>
      </c>
    </row>
    <row r="203">
      <c r="O203">
        <f>IFERROR(INDEX('_courses_lookup'!$C:$C,MATCH(K203&amp;L203,'_courses_lookup'!$E:$E,0)),"")</f>
        <v/>
      </c>
      <c r="P203">
        <f>IFERROR(INDEX('_courses_lookup'!$D:$D,MATCH(K203&amp;L203,'_courses_lookup'!$E:$E,0)),"")</f>
        <v/>
      </c>
      <c r="AG203">
        <f>IF(AND(AE203&lt;&gt;"",AF203&lt;&gt;""),ROUNDUP((AF203-AE203)/7,0),"")</f>
        <v/>
      </c>
      <c r="AI203">
        <f>IFERROR(IF(AG203*AH203=0,"",AG203*AH203),"")</f>
        <v/>
      </c>
      <c r="AL203">
        <f>IF(AND(AJ203&lt;&gt;"",AK203&lt;&gt;""),ROUNDUP((AK203-AJ203)/7,0),"")</f>
        <v/>
      </c>
      <c r="AN203">
        <f>IFERROR(IF(AL203*AM203=0,"",AL203*AM203),"")</f>
        <v/>
      </c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L203">
        <f>IFERROR(INDEX('_names_lookup'!$C:$C,MATCH(BK203,'_names_lookup'!$A:$A,0)),"")</f>
        <v/>
      </c>
      <c r="BM203">
        <f>IFERROR(INDEX('_names_lookup'!$B:$B,MATCH(BK203,'_names_lookup'!$A:$A,0)),"")</f>
        <v/>
      </c>
      <c r="BS203">
        <f>IFERROR(IF(BR203*AA203=0,"",BR203*AA203),"")</f>
        <v/>
      </c>
    </row>
    <row r="204">
      <c r="O204">
        <f>IFERROR(INDEX('_courses_lookup'!$C:$C,MATCH(K204&amp;L204,'_courses_lookup'!$E:$E,0)),"")</f>
        <v/>
      </c>
      <c r="P204">
        <f>IFERROR(INDEX('_courses_lookup'!$D:$D,MATCH(K204&amp;L204,'_courses_lookup'!$E:$E,0)),"")</f>
        <v/>
      </c>
      <c r="AG204">
        <f>IF(AND(AE204&lt;&gt;"",AF204&lt;&gt;""),ROUNDUP((AF204-AE204)/7,0),"")</f>
        <v/>
      </c>
      <c r="AI204">
        <f>IFERROR(IF(AG204*AH204=0,"",AG204*AH204),"")</f>
        <v/>
      </c>
      <c r="AL204">
        <f>IF(AND(AJ204&lt;&gt;"",AK204&lt;&gt;""),ROUNDUP((AK204-AJ204)/7,0),"")</f>
        <v/>
      </c>
      <c r="AN204">
        <f>IFERROR(IF(AL204*AM204=0,"",AL204*AM204),"")</f>
        <v/>
      </c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L204">
        <f>IFERROR(INDEX('_names_lookup'!$C:$C,MATCH(BK204,'_names_lookup'!$A:$A,0)),"")</f>
        <v/>
      </c>
      <c r="BM204">
        <f>IFERROR(INDEX('_names_lookup'!$B:$B,MATCH(BK204,'_names_lookup'!$A:$A,0)),"")</f>
        <v/>
      </c>
      <c r="BS204">
        <f>IFERROR(IF(BR204*AA204=0,"",BR204*AA204),"")</f>
        <v/>
      </c>
    </row>
    <row r="205">
      <c r="O205">
        <f>IFERROR(INDEX('_courses_lookup'!$C:$C,MATCH(K205&amp;L205,'_courses_lookup'!$E:$E,0)),"")</f>
        <v/>
      </c>
      <c r="P205">
        <f>IFERROR(INDEX('_courses_lookup'!$D:$D,MATCH(K205&amp;L205,'_courses_lookup'!$E:$E,0)),"")</f>
        <v/>
      </c>
      <c r="AG205">
        <f>IF(AND(AE205&lt;&gt;"",AF205&lt;&gt;""),ROUNDUP((AF205-AE205)/7,0),"")</f>
        <v/>
      </c>
      <c r="AI205">
        <f>IFERROR(IF(AG205*AH205=0,"",AG205*AH205),"")</f>
        <v/>
      </c>
      <c r="AL205">
        <f>IF(AND(AJ205&lt;&gt;"",AK205&lt;&gt;""),ROUNDUP((AK205-AJ205)/7,0),"")</f>
        <v/>
      </c>
      <c r="AN205">
        <f>IFERROR(IF(AL205*AM205=0,"",AL205*AM205),"")</f>
        <v/>
      </c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L205">
        <f>IFERROR(INDEX('_names_lookup'!$C:$C,MATCH(BK205,'_names_lookup'!$A:$A,0)),"")</f>
        <v/>
      </c>
      <c r="BM205">
        <f>IFERROR(INDEX('_names_lookup'!$B:$B,MATCH(BK205,'_names_lookup'!$A:$A,0)),"")</f>
        <v/>
      </c>
      <c r="BS205">
        <f>IFERROR(IF(BR205*AA205=0,"",BR205*AA205),"")</f>
        <v/>
      </c>
    </row>
    <row r="206">
      <c r="O206">
        <f>IFERROR(INDEX('_courses_lookup'!$C:$C,MATCH(K206&amp;L206,'_courses_lookup'!$E:$E,0)),"")</f>
        <v/>
      </c>
      <c r="P206">
        <f>IFERROR(INDEX('_courses_lookup'!$D:$D,MATCH(K206&amp;L206,'_courses_lookup'!$E:$E,0)),"")</f>
        <v/>
      </c>
      <c r="AG206">
        <f>IF(AND(AE206&lt;&gt;"",AF206&lt;&gt;""),ROUNDUP((AF206-AE206)/7,0),"")</f>
        <v/>
      </c>
      <c r="AI206">
        <f>IFERROR(IF(AG206*AH206=0,"",AG206*AH206),"")</f>
        <v/>
      </c>
      <c r="AL206">
        <f>IF(AND(AJ206&lt;&gt;"",AK206&lt;&gt;""),ROUNDUP((AK206-AJ206)/7,0),"")</f>
        <v/>
      </c>
      <c r="AN206">
        <f>IFERROR(IF(AL206*AM206=0,"",AL206*AM206),"")</f>
        <v/>
      </c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L206">
        <f>IFERROR(INDEX('_names_lookup'!$C:$C,MATCH(BK206,'_names_lookup'!$A:$A,0)),"")</f>
        <v/>
      </c>
      <c r="BM206">
        <f>IFERROR(INDEX('_names_lookup'!$B:$B,MATCH(BK206,'_names_lookup'!$A:$A,0)),"")</f>
        <v/>
      </c>
      <c r="BS206">
        <f>IFERROR(IF(BR206*AA206=0,"",BR206*AA206),"")</f>
        <v/>
      </c>
    </row>
    <row r="207">
      <c r="O207">
        <f>IFERROR(INDEX('_courses_lookup'!$C:$C,MATCH(K207&amp;L207,'_courses_lookup'!$E:$E,0)),"")</f>
        <v/>
      </c>
      <c r="P207">
        <f>IFERROR(INDEX('_courses_lookup'!$D:$D,MATCH(K207&amp;L207,'_courses_lookup'!$E:$E,0)),"")</f>
        <v/>
      </c>
      <c r="AG207">
        <f>IF(AND(AE207&lt;&gt;"",AF207&lt;&gt;""),ROUNDUP((AF207-AE207)/7,0),"")</f>
        <v/>
      </c>
      <c r="AI207">
        <f>IFERROR(IF(AG207*AH207=0,"",AG207*AH207),"")</f>
        <v/>
      </c>
      <c r="AL207">
        <f>IF(AND(AJ207&lt;&gt;"",AK207&lt;&gt;""),ROUNDUP((AK207-AJ207)/7,0),"")</f>
        <v/>
      </c>
      <c r="AN207">
        <f>IFERROR(IF(AL207*AM207=0,"",AL207*AM207),"")</f>
        <v/>
      </c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L207">
        <f>IFERROR(INDEX('_names_lookup'!$C:$C,MATCH(BK207,'_names_lookup'!$A:$A,0)),"")</f>
        <v/>
      </c>
      <c r="BM207">
        <f>IFERROR(INDEX('_names_lookup'!$B:$B,MATCH(BK207,'_names_lookup'!$A:$A,0)),"")</f>
        <v/>
      </c>
      <c r="BS207">
        <f>IFERROR(IF(BR207*AA207=0,"",BR207*AA207),"")</f>
        <v/>
      </c>
    </row>
    <row r="208">
      <c r="O208">
        <f>IFERROR(INDEX('_courses_lookup'!$C:$C,MATCH(K208&amp;L208,'_courses_lookup'!$E:$E,0)),"")</f>
        <v/>
      </c>
      <c r="P208">
        <f>IFERROR(INDEX('_courses_lookup'!$D:$D,MATCH(K208&amp;L208,'_courses_lookup'!$E:$E,0)),"")</f>
        <v/>
      </c>
      <c r="AG208">
        <f>IF(AND(AE208&lt;&gt;"",AF208&lt;&gt;""),ROUNDUP((AF208-AE208)/7,0),"")</f>
        <v/>
      </c>
      <c r="AI208">
        <f>IFERROR(IF(AG208*AH208=0,"",AG208*AH208),"")</f>
        <v/>
      </c>
      <c r="AL208">
        <f>IF(AND(AJ208&lt;&gt;"",AK208&lt;&gt;""),ROUNDUP((AK208-AJ208)/7,0),"")</f>
        <v/>
      </c>
      <c r="AN208">
        <f>IFERROR(IF(AL208*AM208=0,"",AL208*AM208),"")</f>
        <v/>
      </c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L208">
        <f>IFERROR(INDEX('_names_lookup'!$C:$C,MATCH(BK208,'_names_lookup'!$A:$A,0)),"")</f>
        <v/>
      </c>
      <c r="BM208">
        <f>IFERROR(INDEX('_names_lookup'!$B:$B,MATCH(BK208,'_names_lookup'!$A:$A,0)),"")</f>
        <v/>
      </c>
      <c r="BS208">
        <f>IFERROR(IF(BR208*AA208=0,"",BR208*AA208),"")</f>
        <v/>
      </c>
    </row>
    <row r="209">
      <c r="O209">
        <f>IFERROR(INDEX('_courses_lookup'!$C:$C,MATCH(K209&amp;L209,'_courses_lookup'!$E:$E,0)),"")</f>
        <v/>
      </c>
      <c r="P209">
        <f>IFERROR(INDEX('_courses_lookup'!$D:$D,MATCH(K209&amp;L209,'_courses_lookup'!$E:$E,0)),"")</f>
        <v/>
      </c>
      <c r="AG209">
        <f>IF(AND(AE209&lt;&gt;"",AF209&lt;&gt;""),ROUNDUP((AF209-AE209)/7,0),"")</f>
        <v/>
      </c>
      <c r="AI209">
        <f>IFERROR(IF(AG209*AH209=0,"",AG209*AH209),"")</f>
        <v/>
      </c>
      <c r="AL209">
        <f>IF(AND(AJ209&lt;&gt;"",AK209&lt;&gt;""),ROUNDUP((AK209-AJ209)/7,0),"")</f>
        <v/>
      </c>
      <c r="AN209">
        <f>IFERROR(IF(AL209*AM209=0,"",AL209*AM209),"")</f>
        <v/>
      </c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L209">
        <f>IFERROR(INDEX('_names_lookup'!$C:$C,MATCH(BK209,'_names_lookup'!$A:$A,0)),"")</f>
        <v/>
      </c>
      <c r="BM209">
        <f>IFERROR(INDEX('_names_lookup'!$B:$B,MATCH(BK209,'_names_lookup'!$A:$A,0)),"")</f>
        <v/>
      </c>
      <c r="BS209">
        <f>IFERROR(IF(BR209*AA209=0,"",BR209*AA209),"")</f>
        <v/>
      </c>
    </row>
    <row r="210">
      <c r="O210">
        <f>IFERROR(INDEX('_courses_lookup'!$C:$C,MATCH(K210&amp;L210,'_courses_lookup'!$E:$E,0)),"")</f>
        <v/>
      </c>
      <c r="P210">
        <f>IFERROR(INDEX('_courses_lookup'!$D:$D,MATCH(K210&amp;L210,'_courses_lookup'!$E:$E,0)),"")</f>
        <v/>
      </c>
      <c r="AG210">
        <f>IF(AND(AE210&lt;&gt;"",AF210&lt;&gt;""),ROUNDUP((AF210-AE210)/7,0),"")</f>
        <v/>
      </c>
      <c r="AI210">
        <f>IFERROR(IF(AG210*AH210=0,"",AG210*AH210),"")</f>
        <v/>
      </c>
      <c r="AL210">
        <f>IF(AND(AJ210&lt;&gt;"",AK210&lt;&gt;""),ROUNDUP((AK210-AJ210)/7,0),"")</f>
        <v/>
      </c>
      <c r="AN210">
        <f>IFERROR(IF(AL210*AM210=0,"",AL210*AM210),"")</f>
        <v/>
      </c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L210">
        <f>IFERROR(INDEX('_names_lookup'!$C:$C,MATCH(BK210,'_names_lookup'!$A:$A,0)),"")</f>
        <v/>
      </c>
      <c r="BM210">
        <f>IFERROR(INDEX('_names_lookup'!$B:$B,MATCH(BK210,'_names_lookup'!$A:$A,0)),"")</f>
        <v/>
      </c>
      <c r="BS210">
        <f>IFERROR(IF(BR210*AA210=0,"",BR210*AA210),"")</f>
        <v/>
      </c>
    </row>
    <row r="211">
      <c r="O211">
        <f>IFERROR(INDEX('_courses_lookup'!$C:$C,MATCH(K211&amp;L211,'_courses_lookup'!$E:$E,0)),"")</f>
        <v/>
      </c>
      <c r="P211">
        <f>IFERROR(INDEX('_courses_lookup'!$D:$D,MATCH(K211&amp;L211,'_courses_lookup'!$E:$E,0)),"")</f>
        <v/>
      </c>
      <c r="AG211">
        <f>IF(AND(AE211&lt;&gt;"",AF211&lt;&gt;""),ROUNDUP((AF211-AE211)/7,0),"")</f>
        <v/>
      </c>
      <c r="AI211">
        <f>IFERROR(IF(AG211*AH211=0,"",AG211*AH211),"")</f>
        <v/>
      </c>
      <c r="AL211">
        <f>IF(AND(AJ211&lt;&gt;"",AK211&lt;&gt;""),ROUNDUP((AK211-AJ211)/7,0),"")</f>
        <v/>
      </c>
      <c r="AN211">
        <f>IFERROR(IF(AL211*AM211=0,"",AL211*AM211),"")</f>
        <v/>
      </c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L211">
        <f>IFERROR(INDEX('_names_lookup'!$C:$C,MATCH(BK211,'_names_lookup'!$A:$A,0)),"")</f>
        <v/>
      </c>
      <c r="BM211">
        <f>IFERROR(INDEX('_names_lookup'!$B:$B,MATCH(BK211,'_names_lookup'!$A:$A,0)),"")</f>
        <v/>
      </c>
      <c r="BS211">
        <f>IFERROR(IF(BR211*AA211=0,"",BR211*AA211),"")</f>
        <v/>
      </c>
    </row>
    <row r="212">
      <c r="O212">
        <f>IFERROR(INDEX('_courses_lookup'!$C:$C,MATCH(K212&amp;L212,'_courses_lookup'!$E:$E,0)),"")</f>
        <v/>
      </c>
      <c r="P212">
        <f>IFERROR(INDEX('_courses_lookup'!$D:$D,MATCH(K212&amp;L212,'_courses_lookup'!$E:$E,0)),"")</f>
        <v/>
      </c>
      <c r="AG212">
        <f>IF(AND(AE212&lt;&gt;"",AF212&lt;&gt;""),ROUNDUP((AF212-AE212)/7,0),"")</f>
        <v/>
      </c>
      <c r="AI212">
        <f>IFERROR(IF(AG212*AH212=0,"",AG212*AH212),"")</f>
        <v/>
      </c>
      <c r="AL212">
        <f>IF(AND(AJ212&lt;&gt;"",AK212&lt;&gt;""),ROUNDUP((AK212-AJ212)/7,0),"")</f>
        <v/>
      </c>
      <c r="AN212">
        <f>IFERROR(IF(AL212*AM212=0,"",AL212*AM212),"")</f>
        <v/>
      </c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L212">
        <f>IFERROR(INDEX('_names_lookup'!$C:$C,MATCH(BK212,'_names_lookup'!$A:$A,0)),"")</f>
        <v/>
      </c>
      <c r="BM212">
        <f>IFERROR(INDEX('_names_lookup'!$B:$B,MATCH(BK212,'_names_lookup'!$A:$A,0)),"")</f>
        <v/>
      </c>
      <c r="BS212">
        <f>IFERROR(IF(BR212*AA212=0,"",BR212*AA212),"")</f>
        <v/>
      </c>
    </row>
    <row r="213">
      <c r="O213">
        <f>IFERROR(INDEX('_courses_lookup'!$C:$C,MATCH(K213&amp;L213,'_courses_lookup'!$E:$E,0)),"")</f>
        <v/>
      </c>
      <c r="P213">
        <f>IFERROR(INDEX('_courses_lookup'!$D:$D,MATCH(K213&amp;L213,'_courses_lookup'!$E:$E,0)),"")</f>
        <v/>
      </c>
      <c r="AG213">
        <f>IF(AND(AE213&lt;&gt;"",AF213&lt;&gt;""),ROUNDUP((AF213-AE213)/7,0),"")</f>
        <v/>
      </c>
      <c r="AI213">
        <f>IFERROR(IF(AG213*AH213=0,"",AG213*AH213),"")</f>
        <v/>
      </c>
      <c r="AL213">
        <f>IF(AND(AJ213&lt;&gt;"",AK213&lt;&gt;""),ROUNDUP((AK213-AJ213)/7,0),"")</f>
        <v/>
      </c>
      <c r="AN213">
        <f>IFERROR(IF(AL213*AM213=0,"",AL213*AM213),"")</f>
        <v/>
      </c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L213">
        <f>IFERROR(INDEX('_names_lookup'!$C:$C,MATCH(BK213,'_names_lookup'!$A:$A,0)),"")</f>
        <v/>
      </c>
      <c r="BM213">
        <f>IFERROR(INDEX('_names_lookup'!$B:$B,MATCH(BK213,'_names_lookup'!$A:$A,0)),"")</f>
        <v/>
      </c>
      <c r="BS213">
        <f>IFERROR(IF(BR213*AA213=0,"",BR213*AA213),"")</f>
        <v/>
      </c>
    </row>
    <row r="214">
      <c r="O214">
        <f>IFERROR(INDEX('_courses_lookup'!$C:$C,MATCH(K214&amp;L214,'_courses_lookup'!$E:$E,0)),"")</f>
        <v/>
      </c>
      <c r="P214">
        <f>IFERROR(INDEX('_courses_lookup'!$D:$D,MATCH(K214&amp;L214,'_courses_lookup'!$E:$E,0)),"")</f>
        <v/>
      </c>
      <c r="AG214">
        <f>IF(AND(AE214&lt;&gt;"",AF214&lt;&gt;""),ROUNDUP((AF214-AE214)/7,0),"")</f>
        <v/>
      </c>
      <c r="AI214">
        <f>IFERROR(IF(AG214*AH214=0,"",AG214*AH214),"")</f>
        <v/>
      </c>
      <c r="AL214">
        <f>IF(AND(AJ214&lt;&gt;"",AK214&lt;&gt;""),ROUNDUP((AK214-AJ214)/7,0),"")</f>
        <v/>
      </c>
      <c r="AN214">
        <f>IFERROR(IF(AL214*AM214=0,"",AL214*AM214),"")</f>
        <v/>
      </c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L214">
        <f>IFERROR(INDEX('_names_lookup'!$C:$C,MATCH(BK214,'_names_lookup'!$A:$A,0)),"")</f>
        <v/>
      </c>
      <c r="BM214">
        <f>IFERROR(INDEX('_names_lookup'!$B:$B,MATCH(BK214,'_names_lookup'!$A:$A,0)),"")</f>
        <v/>
      </c>
      <c r="BS214">
        <f>IFERROR(IF(BR214*AA214=0,"",BR214*AA214),"")</f>
        <v/>
      </c>
    </row>
    <row r="215">
      <c r="O215">
        <f>IFERROR(INDEX('_courses_lookup'!$C:$C,MATCH(K215&amp;L215,'_courses_lookup'!$E:$E,0)),"")</f>
        <v/>
      </c>
      <c r="P215">
        <f>IFERROR(INDEX('_courses_lookup'!$D:$D,MATCH(K215&amp;L215,'_courses_lookup'!$E:$E,0)),"")</f>
        <v/>
      </c>
      <c r="AG215">
        <f>IF(AND(AE215&lt;&gt;"",AF215&lt;&gt;""),ROUNDUP((AF215-AE215)/7,0),"")</f>
        <v/>
      </c>
      <c r="AI215">
        <f>IFERROR(IF(AG215*AH215=0,"",AG215*AH215),"")</f>
        <v/>
      </c>
      <c r="AL215">
        <f>IF(AND(AJ215&lt;&gt;"",AK215&lt;&gt;""),ROUNDUP((AK215-AJ215)/7,0),"")</f>
        <v/>
      </c>
      <c r="AN215">
        <f>IFERROR(IF(AL215*AM215=0,"",AL215*AM215),"")</f>
        <v/>
      </c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L215">
        <f>IFERROR(INDEX('_names_lookup'!$C:$C,MATCH(BK215,'_names_lookup'!$A:$A,0)),"")</f>
        <v/>
      </c>
      <c r="BM215">
        <f>IFERROR(INDEX('_names_lookup'!$B:$B,MATCH(BK215,'_names_lookup'!$A:$A,0)),"")</f>
        <v/>
      </c>
      <c r="BS215">
        <f>IFERROR(IF(BR215*AA215=0,"",BR215*AA215),"")</f>
        <v/>
      </c>
    </row>
    <row r="216">
      <c r="O216">
        <f>IFERROR(INDEX('_courses_lookup'!$C:$C,MATCH(K216&amp;L216,'_courses_lookup'!$E:$E,0)),"")</f>
        <v/>
      </c>
      <c r="P216">
        <f>IFERROR(INDEX('_courses_lookup'!$D:$D,MATCH(K216&amp;L216,'_courses_lookup'!$E:$E,0)),"")</f>
        <v/>
      </c>
      <c r="AG216">
        <f>IF(AND(AE216&lt;&gt;"",AF216&lt;&gt;""),ROUNDUP((AF216-AE216)/7,0),"")</f>
        <v/>
      </c>
      <c r="AI216">
        <f>IFERROR(IF(AG216*AH216=0,"",AG216*AH216),"")</f>
        <v/>
      </c>
      <c r="AL216">
        <f>IF(AND(AJ216&lt;&gt;"",AK216&lt;&gt;""),ROUNDUP((AK216-AJ216)/7,0),"")</f>
        <v/>
      </c>
      <c r="AN216">
        <f>IFERROR(IF(AL216*AM216=0,"",AL216*AM216),"")</f>
        <v/>
      </c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L216">
        <f>IFERROR(INDEX('_names_lookup'!$C:$C,MATCH(BK216,'_names_lookup'!$A:$A,0)),"")</f>
        <v/>
      </c>
      <c r="BM216">
        <f>IFERROR(INDEX('_names_lookup'!$B:$B,MATCH(BK216,'_names_lookup'!$A:$A,0)),"")</f>
        <v/>
      </c>
      <c r="BS216">
        <f>IFERROR(IF(BR216*AA216=0,"",BR216*AA216),"")</f>
        <v/>
      </c>
    </row>
    <row r="217">
      <c r="O217">
        <f>IFERROR(INDEX('_courses_lookup'!$C:$C,MATCH(K217&amp;L217,'_courses_lookup'!$E:$E,0)),"")</f>
        <v/>
      </c>
      <c r="P217">
        <f>IFERROR(INDEX('_courses_lookup'!$D:$D,MATCH(K217&amp;L217,'_courses_lookup'!$E:$E,0)),"")</f>
        <v/>
      </c>
      <c r="AG217">
        <f>IF(AND(AE217&lt;&gt;"",AF217&lt;&gt;""),ROUNDUP((AF217-AE217)/7,0),"")</f>
        <v/>
      </c>
      <c r="AI217">
        <f>IFERROR(IF(AG217*AH217=0,"",AG217*AH217),"")</f>
        <v/>
      </c>
      <c r="AL217">
        <f>IF(AND(AJ217&lt;&gt;"",AK217&lt;&gt;""),ROUNDUP((AK217-AJ217)/7,0),"")</f>
        <v/>
      </c>
      <c r="AN217">
        <f>IFERROR(IF(AL217*AM217=0,"",AL217*AM217),"")</f>
        <v/>
      </c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L217">
        <f>IFERROR(INDEX('_names_lookup'!$C:$C,MATCH(BK217,'_names_lookup'!$A:$A,0)),"")</f>
        <v/>
      </c>
      <c r="BM217">
        <f>IFERROR(INDEX('_names_lookup'!$B:$B,MATCH(BK217,'_names_lookup'!$A:$A,0)),"")</f>
        <v/>
      </c>
      <c r="BS217">
        <f>IFERROR(IF(BR217*AA217=0,"",BR217*AA217),"")</f>
        <v/>
      </c>
    </row>
    <row r="218">
      <c r="O218">
        <f>IFERROR(INDEX('_courses_lookup'!$C:$C,MATCH(K218&amp;L218,'_courses_lookup'!$E:$E,0)),"")</f>
        <v/>
      </c>
      <c r="P218">
        <f>IFERROR(INDEX('_courses_lookup'!$D:$D,MATCH(K218&amp;L218,'_courses_lookup'!$E:$E,0)),"")</f>
        <v/>
      </c>
      <c r="AG218">
        <f>IF(AND(AE218&lt;&gt;"",AF218&lt;&gt;""),ROUNDUP((AF218-AE218)/7,0),"")</f>
        <v/>
      </c>
      <c r="AI218">
        <f>IFERROR(IF(AG218*AH218=0,"",AG218*AH218),"")</f>
        <v/>
      </c>
      <c r="AL218">
        <f>IF(AND(AJ218&lt;&gt;"",AK218&lt;&gt;""),ROUNDUP((AK218-AJ218)/7,0),"")</f>
        <v/>
      </c>
      <c r="AN218">
        <f>IFERROR(IF(AL218*AM218=0,"",AL218*AM218),"")</f>
        <v/>
      </c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L218">
        <f>IFERROR(INDEX('_names_lookup'!$C:$C,MATCH(BK218,'_names_lookup'!$A:$A,0)),"")</f>
        <v/>
      </c>
      <c r="BM218">
        <f>IFERROR(INDEX('_names_lookup'!$B:$B,MATCH(BK218,'_names_lookup'!$A:$A,0)),"")</f>
        <v/>
      </c>
      <c r="BS218">
        <f>IFERROR(IF(BR218*AA218=0,"",BR218*AA218),"")</f>
        <v/>
      </c>
    </row>
    <row r="219">
      <c r="O219">
        <f>IFERROR(INDEX('_courses_lookup'!$C:$C,MATCH(K219&amp;L219,'_courses_lookup'!$E:$E,0)),"")</f>
        <v/>
      </c>
      <c r="P219">
        <f>IFERROR(INDEX('_courses_lookup'!$D:$D,MATCH(K219&amp;L219,'_courses_lookup'!$E:$E,0)),"")</f>
        <v/>
      </c>
      <c r="AG219">
        <f>IF(AND(AE219&lt;&gt;"",AF219&lt;&gt;""),ROUNDUP((AF219-AE219)/7,0),"")</f>
        <v/>
      </c>
      <c r="AI219">
        <f>IFERROR(IF(AG219*AH219=0,"",AG219*AH219),"")</f>
        <v/>
      </c>
      <c r="AL219">
        <f>IF(AND(AJ219&lt;&gt;"",AK219&lt;&gt;""),ROUNDUP((AK219-AJ219)/7,0),"")</f>
        <v/>
      </c>
      <c r="AN219">
        <f>IFERROR(IF(AL219*AM219=0,"",AL219*AM219),"")</f>
        <v/>
      </c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L219">
        <f>IFERROR(INDEX('_names_lookup'!$C:$C,MATCH(BK219,'_names_lookup'!$A:$A,0)),"")</f>
        <v/>
      </c>
      <c r="BM219">
        <f>IFERROR(INDEX('_names_lookup'!$B:$B,MATCH(BK219,'_names_lookup'!$A:$A,0)),"")</f>
        <v/>
      </c>
      <c r="BS219">
        <f>IFERROR(IF(BR219*AA219=0,"",BR219*AA219),"")</f>
        <v/>
      </c>
    </row>
    <row r="220">
      <c r="O220">
        <f>IFERROR(INDEX('_courses_lookup'!$C:$C,MATCH(K220&amp;L220,'_courses_lookup'!$E:$E,0)),"")</f>
        <v/>
      </c>
      <c r="P220">
        <f>IFERROR(INDEX('_courses_lookup'!$D:$D,MATCH(K220&amp;L220,'_courses_lookup'!$E:$E,0)),"")</f>
        <v/>
      </c>
      <c r="AG220">
        <f>IF(AND(AE220&lt;&gt;"",AF220&lt;&gt;""),ROUNDUP((AF220-AE220)/7,0),"")</f>
        <v/>
      </c>
      <c r="AI220">
        <f>IFERROR(IF(AG220*AH220=0,"",AG220*AH220),"")</f>
        <v/>
      </c>
      <c r="AL220">
        <f>IF(AND(AJ220&lt;&gt;"",AK220&lt;&gt;""),ROUNDUP((AK220-AJ220)/7,0),"")</f>
        <v/>
      </c>
      <c r="AN220">
        <f>IFERROR(IF(AL220*AM220=0,"",AL220*AM220),"")</f>
        <v/>
      </c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L220">
        <f>IFERROR(INDEX('_names_lookup'!$C:$C,MATCH(BK220,'_names_lookup'!$A:$A,0)),"")</f>
        <v/>
      </c>
      <c r="BM220">
        <f>IFERROR(INDEX('_names_lookup'!$B:$B,MATCH(BK220,'_names_lookup'!$A:$A,0)),"")</f>
        <v/>
      </c>
      <c r="BS220">
        <f>IFERROR(IF(BR220*AA220=0,"",BR220*AA220),"")</f>
        <v/>
      </c>
    </row>
    <row r="221">
      <c r="O221">
        <f>IFERROR(INDEX('_courses_lookup'!$C:$C,MATCH(K221&amp;L221,'_courses_lookup'!$E:$E,0)),"")</f>
        <v/>
      </c>
      <c r="P221">
        <f>IFERROR(INDEX('_courses_lookup'!$D:$D,MATCH(K221&amp;L221,'_courses_lookup'!$E:$E,0)),"")</f>
        <v/>
      </c>
      <c r="AG221">
        <f>IF(AND(AE221&lt;&gt;"",AF221&lt;&gt;""),ROUNDUP((AF221-AE221)/7,0),"")</f>
        <v/>
      </c>
      <c r="AI221">
        <f>IFERROR(IF(AG221*AH221=0,"",AG221*AH221),"")</f>
        <v/>
      </c>
      <c r="AL221">
        <f>IF(AND(AJ221&lt;&gt;"",AK221&lt;&gt;""),ROUNDUP((AK221-AJ221)/7,0),"")</f>
        <v/>
      </c>
      <c r="AN221">
        <f>IFERROR(IF(AL221*AM221=0,"",AL221*AM221),"")</f>
        <v/>
      </c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L221">
        <f>IFERROR(INDEX('_names_lookup'!$C:$C,MATCH(BK221,'_names_lookup'!$A:$A,0)),"")</f>
        <v/>
      </c>
      <c r="BM221">
        <f>IFERROR(INDEX('_names_lookup'!$B:$B,MATCH(BK221,'_names_lookup'!$A:$A,0)),"")</f>
        <v/>
      </c>
      <c r="BS221">
        <f>IFERROR(IF(BR221*AA221=0,"",BR221*AA221),"")</f>
        <v/>
      </c>
    </row>
    <row r="222">
      <c r="O222">
        <f>IFERROR(INDEX('_courses_lookup'!$C:$C,MATCH(K222&amp;L222,'_courses_lookup'!$E:$E,0)),"")</f>
        <v/>
      </c>
      <c r="P222">
        <f>IFERROR(INDEX('_courses_lookup'!$D:$D,MATCH(K222&amp;L222,'_courses_lookup'!$E:$E,0)),"")</f>
        <v/>
      </c>
      <c r="AG222">
        <f>IF(AND(AE222&lt;&gt;"",AF222&lt;&gt;""),ROUNDUP((AF222-AE222)/7,0),"")</f>
        <v/>
      </c>
      <c r="AI222">
        <f>IFERROR(IF(AG222*AH222=0,"",AG222*AH222),"")</f>
        <v/>
      </c>
      <c r="AL222">
        <f>IF(AND(AJ222&lt;&gt;"",AK222&lt;&gt;""),ROUNDUP((AK222-AJ222)/7,0),"")</f>
        <v/>
      </c>
      <c r="AN222">
        <f>IFERROR(IF(AL222*AM222=0,"",AL222*AM222),"")</f>
        <v/>
      </c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L222">
        <f>IFERROR(INDEX('_names_lookup'!$C:$C,MATCH(BK222,'_names_lookup'!$A:$A,0)),"")</f>
        <v/>
      </c>
      <c r="BM222">
        <f>IFERROR(INDEX('_names_lookup'!$B:$B,MATCH(BK222,'_names_lookup'!$A:$A,0)),"")</f>
        <v/>
      </c>
      <c r="BS222">
        <f>IFERROR(IF(BR222*AA222=0,"",BR222*AA222),"")</f>
        <v/>
      </c>
    </row>
    <row r="223">
      <c r="O223">
        <f>IFERROR(INDEX('_courses_lookup'!$C:$C,MATCH(K223&amp;L223,'_courses_lookup'!$E:$E,0)),"")</f>
        <v/>
      </c>
      <c r="P223">
        <f>IFERROR(INDEX('_courses_lookup'!$D:$D,MATCH(K223&amp;L223,'_courses_lookup'!$E:$E,0)),"")</f>
        <v/>
      </c>
      <c r="AG223">
        <f>IF(AND(AE223&lt;&gt;"",AF223&lt;&gt;""),ROUNDUP((AF223-AE223)/7,0),"")</f>
        <v/>
      </c>
      <c r="AI223">
        <f>IFERROR(IF(AG223*AH223=0,"",AG223*AH223),"")</f>
        <v/>
      </c>
      <c r="AL223">
        <f>IF(AND(AJ223&lt;&gt;"",AK223&lt;&gt;""),ROUNDUP((AK223-AJ223)/7,0),"")</f>
        <v/>
      </c>
      <c r="AN223">
        <f>IFERROR(IF(AL223*AM223=0,"",AL223*AM223),"")</f>
        <v/>
      </c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L223">
        <f>IFERROR(INDEX('_names_lookup'!$C:$C,MATCH(BK223,'_names_lookup'!$A:$A,0)),"")</f>
        <v/>
      </c>
      <c r="BM223">
        <f>IFERROR(INDEX('_names_lookup'!$B:$B,MATCH(BK223,'_names_lookup'!$A:$A,0)),"")</f>
        <v/>
      </c>
      <c r="BS223">
        <f>IFERROR(IF(BR223*AA223=0,"",BR223*AA223),"")</f>
        <v/>
      </c>
    </row>
    <row r="224">
      <c r="O224">
        <f>IFERROR(INDEX('_courses_lookup'!$C:$C,MATCH(K224&amp;L224,'_courses_lookup'!$E:$E,0)),"")</f>
        <v/>
      </c>
      <c r="P224">
        <f>IFERROR(INDEX('_courses_lookup'!$D:$D,MATCH(K224&amp;L224,'_courses_lookup'!$E:$E,0)),"")</f>
        <v/>
      </c>
      <c r="AG224">
        <f>IF(AND(AE224&lt;&gt;"",AF224&lt;&gt;""),ROUNDUP((AF224-AE224)/7,0),"")</f>
        <v/>
      </c>
      <c r="AI224">
        <f>IFERROR(IF(AG224*AH224=0,"",AG224*AH224),"")</f>
        <v/>
      </c>
      <c r="AL224">
        <f>IF(AND(AJ224&lt;&gt;"",AK224&lt;&gt;""),ROUNDUP((AK224-AJ224)/7,0),"")</f>
        <v/>
      </c>
      <c r="AN224">
        <f>IFERROR(IF(AL224*AM224=0,"",AL224*AM224),"")</f>
        <v/>
      </c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L224">
        <f>IFERROR(INDEX('_names_lookup'!$C:$C,MATCH(BK224,'_names_lookup'!$A:$A,0)),"")</f>
        <v/>
      </c>
      <c r="BM224">
        <f>IFERROR(INDEX('_names_lookup'!$B:$B,MATCH(BK224,'_names_lookup'!$A:$A,0)),"")</f>
        <v/>
      </c>
      <c r="BS224">
        <f>IFERROR(IF(BR224*AA224=0,"",BR224*AA224),"")</f>
        <v/>
      </c>
    </row>
    <row r="225">
      <c r="O225">
        <f>IFERROR(INDEX('_courses_lookup'!$C:$C,MATCH(K225&amp;L225,'_courses_lookup'!$E:$E,0)),"")</f>
        <v/>
      </c>
      <c r="P225">
        <f>IFERROR(INDEX('_courses_lookup'!$D:$D,MATCH(K225&amp;L225,'_courses_lookup'!$E:$E,0)),"")</f>
        <v/>
      </c>
      <c r="AG225">
        <f>IF(AND(AE225&lt;&gt;"",AF225&lt;&gt;""),ROUNDUP((AF225-AE225)/7,0),"")</f>
        <v/>
      </c>
      <c r="AI225">
        <f>IFERROR(IF(AG225*AH225=0,"",AG225*AH225),"")</f>
        <v/>
      </c>
      <c r="AL225">
        <f>IF(AND(AJ225&lt;&gt;"",AK225&lt;&gt;""),ROUNDUP((AK225-AJ225)/7,0),"")</f>
        <v/>
      </c>
      <c r="AN225">
        <f>IFERROR(IF(AL225*AM225=0,"",AL225*AM225),"")</f>
        <v/>
      </c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L225">
        <f>IFERROR(INDEX('_names_lookup'!$C:$C,MATCH(BK225,'_names_lookup'!$A:$A,0)),"")</f>
        <v/>
      </c>
      <c r="BM225">
        <f>IFERROR(INDEX('_names_lookup'!$B:$B,MATCH(BK225,'_names_lookup'!$A:$A,0)),"")</f>
        <v/>
      </c>
      <c r="BS225">
        <f>IFERROR(IF(BR225*AA225=0,"",BR225*AA225),"")</f>
        <v/>
      </c>
    </row>
    <row r="226">
      <c r="O226">
        <f>IFERROR(INDEX('_courses_lookup'!$C:$C,MATCH(K226&amp;L226,'_courses_lookup'!$E:$E,0)),"")</f>
        <v/>
      </c>
      <c r="P226">
        <f>IFERROR(INDEX('_courses_lookup'!$D:$D,MATCH(K226&amp;L226,'_courses_lookup'!$E:$E,0)),"")</f>
        <v/>
      </c>
      <c r="AG226">
        <f>IF(AND(AE226&lt;&gt;"",AF226&lt;&gt;""),ROUNDUP((AF226-AE226)/7,0),"")</f>
        <v/>
      </c>
      <c r="AI226">
        <f>IFERROR(IF(AG226*AH226=0,"",AG226*AH226),"")</f>
        <v/>
      </c>
      <c r="AL226">
        <f>IF(AND(AJ226&lt;&gt;"",AK226&lt;&gt;""),ROUNDUP((AK226-AJ226)/7,0),"")</f>
        <v/>
      </c>
      <c r="AN226">
        <f>IFERROR(IF(AL226*AM226=0,"",AL226*AM226),"")</f>
        <v/>
      </c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L226">
        <f>IFERROR(INDEX('_names_lookup'!$C:$C,MATCH(BK226,'_names_lookup'!$A:$A,0)),"")</f>
        <v/>
      </c>
      <c r="BM226">
        <f>IFERROR(INDEX('_names_lookup'!$B:$B,MATCH(BK226,'_names_lookup'!$A:$A,0)),"")</f>
        <v/>
      </c>
      <c r="BS226">
        <f>IFERROR(IF(BR226*AA226=0,"",BR226*AA226),"")</f>
        <v/>
      </c>
    </row>
    <row r="227">
      <c r="O227">
        <f>IFERROR(INDEX('_courses_lookup'!$C:$C,MATCH(K227&amp;L227,'_courses_lookup'!$E:$E,0)),"")</f>
        <v/>
      </c>
      <c r="P227">
        <f>IFERROR(INDEX('_courses_lookup'!$D:$D,MATCH(K227&amp;L227,'_courses_lookup'!$E:$E,0)),"")</f>
        <v/>
      </c>
      <c r="AG227">
        <f>IF(AND(AE227&lt;&gt;"",AF227&lt;&gt;""),ROUNDUP((AF227-AE227)/7,0),"")</f>
        <v/>
      </c>
      <c r="AI227">
        <f>IFERROR(IF(AG227*AH227=0,"",AG227*AH227),"")</f>
        <v/>
      </c>
      <c r="AL227">
        <f>IF(AND(AJ227&lt;&gt;"",AK227&lt;&gt;""),ROUNDUP((AK227-AJ227)/7,0),"")</f>
        <v/>
      </c>
      <c r="AN227">
        <f>IFERROR(IF(AL227*AM227=0,"",AL227*AM227),"")</f>
        <v/>
      </c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L227">
        <f>IFERROR(INDEX('_names_lookup'!$C:$C,MATCH(BK227,'_names_lookup'!$A:$A,0)),"")</f>
        <v/>
      </c>
      <c r="BM227">
        <f>IFERROR(INDEX('_names_lookup'!$B:$B,MATCH(BK227,'_names_lookup'!$A:$A,0)),"")</f>
        <v/>
      </c>
      <c r="BS227">
        <f>IFERROR(IF(BR227*AA227=0,"",BR227*AA227),"")</f>
        <v/>
      </c>
    </row>
    <row r="228">
      <c r="O228">
        <f>IFERROR(INDEX('_courses_lookup'!$C:$C,MATCH(K228&amp;L228,'_courses_lookup'!$E:$E,0)),"")</f>
        <v/>
      </c>
      <c r="P228">
        <f>IFERROR(INDEX('_courses_lookup'!$D:$D,MATCH(K228&amp;L228,'_courses_lookup'!$E:$E,0)),"")</f>
        <v/>
      </c>
      <c r="AG228">
        <f>IF(AND(AE228&lt;&gt;"",AF228&lt;&gt;""),ROUNDUP((AF228-AE228)/7,0),"")</f>
        <v/>
      </c>
      <c r="AI228">
        <f>IFERROR(IF(AG228*AH228=0,"",AG228*AH228),"")</f>
        <v/>
      </c>
      <c r="AL228">
        <f>IF(AND(AJ228&lt;&gt;"",AK228&lt;&gt;""),ROUNDUP((AK228-AJ228)/7,0),"")</f>
        <v/>
      </c>
      <c r="AN228">
        <f>IFERROR(IF(AL228*AM228=0,"",AL228*AM228),"")</f>
        <v/>
      </c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L228">
        <f>IFERROR(INDEX('_names_lookup'!$C:$C,MATCH(BK228,'_names_lookup'!$A:$A,0)),"")</f>
        <v/>
      </c>
      <c r="BM228">
        <f>IFERROR(INDEX('_names_lookup'!$B:$B,MATCH(BK228,'_names_lookup'!$A:$A,0)),"")</f>
        <v/>
      </c>
      <c r="BS228">
        <f>IFERROR(IF(BR228*AA228=0,"",BR228*AA228),"")</f>
        <v/>
      </c>
    </row>
    <row r="229">
      <c r="O229">
        <f>IFERROR(INDEX('_courses_lookup'!$C:$C,MATCH(K229&amp;L229,'_courses_lookup'!$E:$E,0)),"")</f>
        <v/>
      </c>
      <c r="P229">
        <f>IFERROR(INDEX('_courses_lookup'!$D:$D,MATCH(K229&amp;L229,'_courses_lookup'!$E:$E,0)),"")</f>
        <v/>
      </c>
      <c r="AG229">
        <f>IF(AND(AE229&lt;&gt;"",AF229&lt;&gt;""),ROUNDUP((AF229-AE229)/7,0),"")</f>
        <v/>
      </c>
      <c r="AI229">
        <f>IFERROR(IF(AG229*AH229=0,"",AG229*AH229),"")</f>
        <v/>
      </c>
      <c r="AL229">
        <f>IF(AND(AJ229&lt;&gt;"",AK229&lt;&gt;""),ROUNDUP((AK229-AJ229)/7,0),"")</f>
        <v/>
      </c>
      <c r="AN229">
        <f>IFERROR(IF(AL229*AM229=0,"",AL229*AM229),"")</f>
        <v/>
      </c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L229">
        <f>IFERROR(INDEX('_names_lookup'!$C:$C,MATCH(BK229,'_names_lookup'!$A:$A,0)),"")</f>
        <v/>
      </c>
      <c r="BM229">
        <f>IFERROR(INDEX('_names_lookup'!$B:$B,MATCH(BK229,'_names_lookup'!$A:$A,0)),"")</f>
        <v/>
      </c>
      <c r="BS229">
        <f>IFERROR(IF(BR229*AA229=0,"",BR229*AA229),"")</f>
        <v/>
      </c>
    </row>
    <row r="230">
      <c r="O230">
        <f>IFERROR(INDEX('_courses_lookup'!$C:$C,MATCH(K230&amp;L230,'_courses_lookup'!$E:$E,0)),"")</f>
        <v/>
      </c>
      <c r="P230">
        <f>IFERROR(INDEX('_courses_lookup'!$D:$D,MATCH(K230&amp;L230,'_courses_lookup'!$E:$E,0)),"")</f>
        <v/>
      </c>
      <c r="AG230">
        <f>IF(AND(AE230&lt;&gt;"",AF230&lt;&gt;""),ROUNDUP((AF230-AE230)/7,0),"")</f>
        <v/>
      </c>
      <c r="AI230">
        <f>IFERROR(IF(AG230*AH230=0,"",AG230*AH230),"")</f>
        <v/>
      </c>
      <c r="AL230">
        <f>IF(AND(AJ230&lt;&gt;"",AK230&lt;&gt;""),ROUNDUP((AK230-AJ230)/7,0),"")</f>
        <v/>
      </c>
      <c r="AN230">
        <f>IFERROR(IF(AL230*AM230=0,"",AL230*AM230),"")</f>
        <v/>
      </c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L230">
        <f>IFERROR(INDEX('_names_lookup'!$C:$C,MATCH(BK230,'_names_lookup'!$A:$A,0)),"")</f>
        <v/>
      </c>
      <c r="BM230">
        <f>IFERROR(INDEX('_names_lookup'!$B:$B,MATCH(BK230,'_names_lookup'!$A:$A,0)),"")</f>
        <v/>
      </c>
      <c r="BS230">
        <f>IFERROR(IF(BR230*AA230=0,"",BR230*AA230),"")</f>
        <v/>
      </c>
    </row>
    <row r="231">
      <c r="O231">
        <f>IFERROR(INDEX('_courses_lookup'!$C:$C,MATCH(K231&amp;L231,'_courses_lookup'!$E:$E,0)),"")</f>
        <v/>
      </c>
      <c r="P231">
        <f>IFERROR(INDEX('_courses_lookup'!$D:$D,MATCH(K231&amp;L231,'_courses_lookup'!$E:$E,0)),"")</f>
        <v/>
      </c>
      <c r="AG231">
        <f>IF(AND(AE231&lt;&gt;"",AF231&lt;&gt;""),ROUNDUP((AF231-AE231)/7,0),"")</f>
        <v/>
      </c>
      <c r="AI231">
        <f>IFERROR(IF(AG231*AH231=0,"",AG231*AH231),"")</f>
        <v/>
      </c>
      <c r="AL231">
        <f>IF(AND(AJ231&lt;&gt;"",AK231&lt;&gt;""),ROUNDUP((AK231-AJ231)/7,0),"")</f>
        <v/>
      </c>
      <c r="AN231">
        <f>IFERROR(IF(AL231*AM231=0,"",AL231*AM231),"")</f>
        <v/>
      </c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L231">
        <f>IFERROR(INDEX('_names_lookup'!$C:$C,MATCH(BK231,'_names_lookup'!$A:$A,0)),"")</f>
        <v/>
      </c>
      <c r="BM231">
        <f>IFERROR(INDEX('_names_lookup'!$B:$B,MATCH(BK231,'_names_lookup'!$A:$A,0)),"")</f>
        <v/>
      </c>
      <c r="BS231">
        <f>IFERROR(IF(BR231*AA231=0,"",BR231*AA231),"")</f>
        <v/>
      </c>
    </row>
    <row r="232">
      <c r="O232">
        <f>IFERROR(INDEX('_courses_lookup'!$C:$C,MATCH(K232&amp;L232,'_courses_lookup'!$E:$E,0)),"")</f>
        <v/>
      </c>
      <c r="P232">
        <f>IFERROR(INDEX('_courses_lookup'!$D:$D,MATCH(K232&amp;L232,'_courses_lookup'!$E:$E,0)),"")</f>
        <v/>
      </c>
      <c r="AG232">
        <f>IF(AND(AE232&lt;&gt;"",AF232&lt;&gt;""),ROUNDUP((AF232-AE232)/7,0),"")</f>
        <v/>
      </c>
      <c r="AI232">
        <f>IFERROR(IF(AG232*AH232=0,"",AG232*AH232),"")</f>
        <v/>
      </c>
      <c r="AL232">
        <f>IF(AND(AJ232&lt;&gt;"",AK232&lt;&gt;""),ROUNDUP((AK232-AJ232)/7,0),"")</f>
        <v/>
      </c>
      <c r="AN232">
        <f>IFERROR(IF(AL232*AM232=0,"",AL232*AM232),"")</f>
        <v/>
      </c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L232">
        <f>IFERROR(INDEX('_names_lookup'!$C:$C,MATCH(BK232,'_names_lookup'!$A:$A,0)),"")</f>
        <v/>
      </c>
      <c r="BM232">
        <f>IFERROR(INDEX('_names_lookup'!$B:$B,MATCH(BK232,'_names_lookup'!$A:$A,0)),"")</f>
        <v/>
      </c>
      <c r="BS232">
        <f>IFERROR(IF(BR232*AA232=0,"",BR232*AA232),"")</f>
        <v/>
      </c>
    </row>
    <row r="233">
      <c r="O233">
        <f>IFERROR(INDEX('_courses_lookup'!$C:$C,MATCH(K233&amp;L233,'_courses_lookup'!$E:$E,0)),"")</f>
        <v/>
      </c>
      <c r="P233">
        <f>IFERROR(INDEX('_courses_lookup'!$D:$D,MATCH(K233&amp;L233,'_courses_lookup'!$E:$E,0)),"")</f>
        <v/>
      </c>
      <c r="AG233">
        <f>IF(AND(AE233&lt;&gt;"",AF233&lt;&gt;""),ROUNDUP((AF233-AE233)/7,0),"")</f>
        <v/>
      </c>
      <c r="AI233">
        <f>IFERROR(IF(AG233*AH233=0,"",AG233*AH233),"")</f>
        <v/>
      </c>
      <c r="AL233">
        <f>IF(AND(AJ233&lt;&gt;"",AK233&lt;&gt;""),ROUNDUP((AK233-AJ233)/7,0),"")</f>
        <v/>
      </c>
      <c r="AN233">
        <f>IFERROR(IF(AL233*AM233=0,"",AL233*AM233),"")</f>
        <v/>
      </c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L233">
        <f>IFERROR(INDEX('_names_lookup'!$C:$C,MATCH(BK233,'_names_lookup'!$A:$A,0)),"")</f>
        <v/>
      </c>
      <c r="BM233">
        <f>IFERROR(INDEX('_names_lookup'!$B:$B,MATCH(BK233,'_names_lookup'!$A:$A,0)),"")</f>
        <v/>
      </c>
      <c r="BS233">
        <f>IFERROR(IF(BR233*AA233=0,"",BR233*AA233),"")</f>
        <v/>
      </c>
    </row>
    <row r="234">
      <c r="O234">
        <f>IFERROR(INDEX('_courses_lookup'!$C:$C,MATCH(K234&amp;L234,'_courses_lookup'!$E:$E,0)),"")</f>
        <v/>
      </c>
      <c r="P234">
        <f>IFERROR(INDEX('_courses_lookup'!$D:$D,MATCH(K234&amp;L234,'_courses_lookup'!$E:$E,0)),"")</f>
        <v/>
      </c>
      <c r="AG234">
        <f>IF(AND(AE234&lt;&gt;"",AF234&lt;&gt;""),ROUNDUP((AF234-AE234)/7,0),"")</f>
        <v/>
      </c>
      <c r="AI234">
        <f>IFERROR(IF(AG234*AH234=0,"",AG234*AH234),"")</f>
        <v/>
      </c>
      <c r="AL234">
        <f>IF(AND(AJ234&lt;&gt;"",AK234&lt;&gt;""),ROUNDUP((AK234-AJ234)/7,0),"")</f>
        <v/>
      </c>
      <c r="AN234">
        <f>IFERROR(IF(AL234*AM234=0,"",AL234*AM234),"")</f>
        <v/>
      </c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L234">
        <f>IFERROR(INDEX('_names_lookup'!$C:$C,MATCH(BK234,'_names_lookup'!$A:$A,0)),"")</f>
        <v/>
      </c>
      <c r="BM234">
        <f>IFERROR(INDEX('_names_lookup'!$B:$B,MATCH(BK234,'_names_lookup'!$A:$A,0)),"")</f>
        <v/>
      </c>
      <c r="BS234">
        <f>IFERROR(IF(BR234*AA234=0,"",BR234*AA234),"")</f>
        <v/>
      </c>
    </row>
    <row r="235">
      <c r="O235">
        <f>IFERROR(INDEX('_courses_lookup'!$C:$C,MATCH(K235&amp;L235,'_courses_lookup'!$E:$E,0)),"")</f>
        <v/>
      </c>
      <c r="P235">
        <f>IFERROR(INDEX('_courses_lookup'!$D:$D,MATCH(K235&amp;L235,'_courses_lookup'!$E:$E,0)),"")</f>
        <v/>
      </c>
      <c r="AG235">
        <f>IF(AND(AE235&lt;&gt;"",AF235&lt;&gt;""),ROUNDUP((AF235-AE235)/7,0),"")</f>
        <v/>
      </c>
      <c r="AI235">
        <f>IFERROR(IF(AG235*AH235=0,"",AG235*AH235),"")</f>
        <v/>
      </c>
      <c r="AL235">
        <f>IF(AND(AJ235&lt;&gt;"",AK235&lt;&gt;""),ROUNDUP((AK235-AJ235)/7,0),"")</f>
        <v/>
      </c>
      <c r="AN235">
        <f>IFERROR(IF(AL235*AM235=0,"",AL235*AM235),"")</f>
        <v/>
      </c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L235">
        <f>IFERROR(INDEX('_names_lookup'!$C:$C,MATCH(BK235,'_names_lookup'!$A:$A,0)),"")</f>
        <v/>
      </c>
      <c r="BM235">
        <f>IFERROR(INDEX('_names_lookup'!$B:$B,MATCH(BK235,'_names_lookup'!$A:$A,0)),"")</f>
        <v/>
      </c>
      <c r="BS235">
        <f>IFERROR(IF(BR235*AA235=0,"",BR235*AA235),"")</f>
        <v/>
      </c>
    </row>
    <row r="236">
      <c r="O236">
        <f>IFERROR(INDEX('_courses_lookup'!$C:$C,MATCH(K236&amp;L236,'_courses_lookup'!$E:$E,0)),"")</f>
        <v/>
      </c>
      <c r="P236">
        <f>IFERROR(INDEX('_courses_lookup'!$D:$D,MATCH(K236&amp;L236,'_courses_lookup'!$E:$E,0)),"")</f>
        <v/>
      </c>
      <c r="AG236">
        <f>IF(AND(AE236&lt;&gt;"",AF236&lt;&gt;""),ROUNDUP((AF236-AE236)/7,0),"")</f>
        <v/>
      </c>
      <c r="AI236">
        <f>IFERROR(IF(AG236*AH236=0,"",AG236*AH236),"")</f>
        <v/>
      </c>
      <c r="AL236">
        <f>IF(AND(AJ236&lt;&gt;"",AK236&lt;&gt;""),ROUNDUP((AK236-AJ236)/7,0),"")</f>
        <v/>
      </c>
      <c r="AN236">
        <f>IFERROR(IF(AL236*AM236=0,"",AL236*AM236),"")</f>
        <v/>
      </c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L236">
        <f>IFERROR(INDEX('_names_lookup'!$C:$C,MATCH(BK236,'_names_lookup'!$A:$A,0)),"")</f>
        <v/>
      </c>
      <c r="BM236">
        <f>IFERROR(INDEX('_names_lookup'!$B:$B,MATCH(BK236,'_names_lookup'!$A:$A,0)),"")</f>
        <v/>
      </c>
      <c r="BS236">
        <f>IFERROR(IF(BR236*AA236=0,"",BR236*AA236),"")</f>
        <v/>
      </c>
    </row>
    <row r="237">
      <c r="O237">
        <f>IFERROR(INDEX('_courses_lookup'!$C:$C,MATCH(K237&amp;L237,'_courses_lookup'!$E:$E,0)),"")</f>
        <v/>
      </c>
      <c r="P237">
        <f>IFERROR(INDEX('_courses_lookup'!$D:$D,MATCH(K237&amp;L237,'_courses_lookup'!$E:$E,0)),"")</f>
        <v/>
      </c>
      <c r="AG237">
        <f>IF(AND(AE237&lt;&gt;"",AF237&lt;&gt;""),ROUNDUP((AF237-AE237)/7,0),"")</f>
        <v/>
      </c>
      <c r="AI237">
        <f>IFERROR(IF(AG237*AH237=0,"",AG237*AH237),"")</f>
        <v/>
      </c>
      <c r="AL237">
        <f>IF(AND(AJ237&lt;&gt;"",AK237&lt;&gt;""),ROUNDUP((AK237-AJ237)/7,0),"")</f>
        <v/>
      </c>
      <c r="AN237">
        <f>IFERROR(IF(AL237*AM237=0,"",AL237*AM237),"")</f>
        <v/>
      </c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L237">
        <f>IFERROR(INDEX('_names_lookup'!$C:$C,MATCH(BK237,'_names_lookup'!$A:$A,0)),"")</f>
        <v/>
      </c>
      <c r="BM237">
        <f>IFERROR(INDEX('_names_lookup'!$B:$B,MATCH(BK237,'_names_lookup'!$A:$A,0)),"")</f>
        <v/>
      </c>
      <c r="BS237">
        <f>IFERROR(IF(BR237*AA237=0,"",BR237*AA237),"")</f>
        <v/>
      </c>
    </row>
    <row r="238">
      <c r="O238">
        <f>IFERROR(INDEX('_courses_lookup'!$C:$C,MATCH(K238&amp;L238,'_courses_lookup'!$E:$E,0)),"")</f>
        <v/>
      </c>
      <c r="P238">
        <f>IFERROR(INDEX('_courses_lookup'!$D:$D,MATCH(K238&amp;L238,'_courses_lookup'!$E:$E,0)),"")</f>
        <v/>
      </c>
      <c r="AG238">
        <f>IF(AND(AE238&lt;&gt;"",AF238&lt;&gt;""),ROUNDUP((AF238-AE238)/7,0),"")</f>
        <v/>
      </c>
      <c r="AI238">
        <f>IFERROR(IF(AG238*AH238=0,"",AG238*AH238),"")</f>
        <v/>
      </c>
      <c r="AL238">
        <f>IF(AND(AJ238&lt;&gt;"",AK238&lt;&gt;""),ROUNDUP((AK238-AJ238)/7,0),"")</f>
        <v/>
      </c>
      <c r="AN238">
        <f>IFERROR(IF(AL238*AM238=0,"",AL238*AM238),"")</f>
        <v/>
      </c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L238">
        <f>IFERROR(INDEX('_names_lookup'!$C:$C,MATCH(BK238,'_names_lookup'!$A:$A,0)),"")</f>
        <v/>
      </c>
      <c r="BM238">
        <f>IFERROR(INDEX('_names_lookup'!$B:$B,MATCH(BK238,'_names_lookup'!$A:$A,0)),"")</f>
        <v/>
      </c>
      <c r="BS238">
        <f>IFERROR(IF(BR238*AA238=0,"",BR238*AA238),"")</f>
        <v/>
      </c>
    </row>
    <row r="239">
      <c r="O239">
        <f>IFERROR(INDEX('_courses_lookup'!$C:$C,MATCH(K239&amp;L239,'_courses_lookup'!$E:$E,0)),"")</f>
        <v/>
      </c>
      <c r="P239">
        <f>IFERROR(INDEX('_courses_lookup'!$D:$D,MATCH(K239&amp;L239,'_courses_lookup'!$E:$E,0)),"")</f>
        <v/>
      </c>
      <c r="AG239">
        <f>IF(AND(AE239&lt;&gt;"",AF239&lt;&gt;""),ROUNDUP((AF239-AE239)/7,0),"")</f>
        <v/>
      </c>
      <c r="AI239">
        <f>IFERROR(IF(AG239*AH239=0,"",AG239*AH239),"")</f>
        <v/>
      </c>
      <c r="AL239">
        <f>IF(AND(AJ239&lt;&gt;"",AK239&lt;&gt;""),ROUNDUP((AK239-AJ239)/7,0),"")</f>
        <v/>
      </c>
      <c r="AN239">
        <f>IFERROR(IF(AL239*AM239=0,"",AL239*AM239),"")</f>
        <v/>
      </c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L239">
        <f>IFERROR(INDEX('_names_lookup'!$C:$C,MATCH(BK239,'_names_lookup'!$A:$A,0)),"")</f>
        <v/>
      </c>
      <c r="BM239">
        <f>IFERROR(INDEX('_names_lookup'!$B:$B,MATCH(BK239,'_names_lookup'!$A:$A,0)),"")</f>
        <v/>
      </c>
      <c r="BS239">
        <f>IFERROR(IF(BR239*AA239=0,"",BR239*AA239),"")</f>
        <v/>
      </c>
    </row>
    <row r="240">
      <c r="O240">
        <f>IFERROR(INDEX('_courses_lookup'!$C:$C,MATCH(K240&amp;L240,'_courses_lookup'!$E:$E,0)),"")</f>
        <v/>
      </c>
      <c r="P240">
        <f>IFERROR(INDEX('_courses_lookup'!$D:$D,MATCH(K240&amp;L240,'_courses_lookup'!$E:$E,0)),"")</f>
        <v/>
      </c>
      <c r="AG240">
        <f>IF(AND(AE240&lt;&gt;"",AF240&lt;&gt;""),ROUNDUP((AF240-AE240)/7,0),"")</f>
        <v/>
      </c>
      <c r="AI240">
        <f>IFERROR(IF(AG240*AH240=0,"",AG240*AH240),"")</f>
        <v/>
      </c>
      <c r="AL240">
        <f>IF(AND(AJ240&lt;&gt;"",AK240&lt;&gt;""),ROUNDUP((AK240-AJ240)/7,0),"")</f>
        <v/>
      </c>
      <c r="AN240">
        <f>IFERROR(IF(AL240*AM240=0,"",AL240*AM240),"")</f>
        <v/>
      </c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L240">
        <f>IFERROR(INDEX('_names_lookup'!$C:$C,MATCH(BK240,'_names_lookup'!$A:$A,0)),"")</f>
        <v/>
      </c>
      <c r="BM240">
        <f>IFERROR(INDEX('_names_lookup'!$B:$B,MATCH(BK240,'_names_lookup'!$A:$A,0)),"")</f>
        <v/>
      </c>
      <c r="BS240">
        <f>IFERROR(IF(BR240*AA240=0,"",BR240*AA240),"")</f>
        <v/>
      </c>
    </row>
    <row r="241">
      <c r="O241">
        <f>IFERROR(INDEX('_courses_lookup'!$C:$C,MATCH(K241&amp;L241,'_courses_lookup'!$E:$E,0)),"")</f>
        <v/>
      </c>
      <c r="P241">
        <f>IFERROR(INDEX('_courses_lookup'!$D:$D,MATCH(K241&amp;L241,'_courses_lookup'!$E:$E,0)),"")</f>
        <v/>
      </c>
      <c r="AG241">
        <f>IF(AND(AE241&lt;&gt;"",AF241&lt;&gt;""),ROUNDUP((AF241-AE241)/7,0),"")</f>
        <v/>
      </c>
      <c r="AI241">
        <f>IFERROR(IF(AG241*AH241=0,"",AG241*AH241),"")</f>
        <v/>
      </c>
      <c r="AL241">
        <f>IF(AND(AJ241&lt;&gt;"",AK241&lt;&gt;""),ROUNDUP((AK241-AJ241)/7,0),"")</f>
        <v/>
      </c>
      <c r="AN241">
        <f>IFERROR(IF(AL241*AM241=0,"",AL241*AM241),"")</f>
        <v/>
      </c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L241">
        <f>IFERROR(INDEX('_names_lookup'!$C:$C,MATCH(BK241,'_names_lookup'!$A:$A,0)),"")</f>
        <v/>
      </c>
      <c r="BM241">
        <f>IFERROR(INDEX('_names_lookup'!$B:$B,MATCH(BK241,'_names_lookup'!$A:$A,0)),"")</f>
        <v/>
      </c>
      <c r="BS241">
        <f>IFERROR(IF(BR241*AA241=0,"",BR241*AA241),"")</f>
        <v/>
      </c>
    </row>
    <row r="242">
      <c r="O242">
        <f>IFERROR(INDEX('_courses_lookup'!$C:$C,MATCH(K242&amp;L242,'_courses_lookup'!$E:$E,0)),"")</f>
        <v/>
      </c>
      <c r="P242">
        <f>IFERROR(INDEX('_courses_lookup'!$D:$D,MATCH(K242&amp;L242,'_courses_lookup'!$E:$E,0)),"")</f>
        <v/>
      </c>
      <c r="AG242">
        <f>IF(AND(AE242&lt;&gt;"",AF242&lt;&gt;""),ROUNDUP((AF242-AE242)/7,0),"")</f>
        <v/>
      </c>
      <c r="AI242">
        <f>IFERROR(IF(AG242*AH242=0,"",AG242*AH242),"")</f>
        <v/>
      </c>
      <c r="AL242">
        <f>IF(AND(AJ242&lt;&gt;"",AK242&lt;&gt;""),ROUNDUP((AK242-AJ242)/7,0),"")</f>
        <v/>
      </c>
      <c r="AN242">
        <f>IFERROR(IF(AL242*AM242=0,"",AL242*AM242),"")</f>
        <v/>
      </c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L242">
        <f>IFERROR(INDEX('_names_lookup'!$C:$C,MATCH(BK242,'_names_lookup'!$A:$A,0)),"")</f>
        <v/>
      </c>
      <c r="BM242">
        <f>IFERROR(INDEX('_names_lookup'!$B:$B,MATCH(BK242,'_names_lookup'!$A:$A,0)),"")</f>
        <v/>
      </c>
      <c r="BS242">
        <f>IFERROR(IF(BR242*AA242=0,"",BR242*AA242),"")</f>
        <v/>
      </c>
    </row>
    <row r="243">
      <c r="O243">
        <f>IFERROR(INDEX('_courses_lookup'!$C:$C,MATCH(K243&amp;L243,'_courses_lookup'!$E:$E,0)),"")</f>
        <v/>
      </c>
      <c r="P243">
        <f>IFERROR(INDEX('_courses_lookup'!$D:$D,MATCH(K243&amp;L243,'_courses_lookup'!$E:$E,0)),"")</f>
        <v/>
      </c>
      <c r="AG243">
        <f>IF(AND(AE243&lt;&gt;"",AF243&lt;&gt;""),ROUNDUP((AF243-AE243)/7,0),"")</f>
        <v/>
      </c>
      <c r="AI243">
        <f>IFERROR(IF(AG243*AH243=0,"",AG243*AH243),"")</f>
        <v/>
      </c>
      <c r="AL243">
        <f>IF(AND(AJ243&lt;&gt;"",AK243&lt;&gt;""),ROUNDUP((AK243-AJ243)/7,0),"")</f>
        <v/>
      </c>
      <c r="AN243">
        <f>IFERROR(IF(AL243*AM243=0,"",AL243*AM243),"")</f>
        <v/>
      </c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L243">
        <f>IFERROR(INDEX('_names_lookup'!$C:$C,MATCH(BK243,'_names_lookup'!$A:$A,0)),"")</f>
        <v/>
      </c>
      <c r="BM243">
        <f>IFERROR(INDEX('_names_lookup'!$B:$B,MATCH(BK243,'_names_lookup'!$A:$A,0)),"")</f>
        <v/>
      </c>
      <c r="BS243">
        <f>IFERROR(IF(BR243*AA243=0,"",BR243*AA243),"")</f>
        <v/>
      </c>
    </row>
    <row r="244">
      <c r="O244">
        <f>IFERROR(INDEX('_courses_lookup'!$C:$C,MATCH(K244&amp;L244,'_courses_lookup'!$E:$E,0)),"")</f>
        <v/>
      </c>
      <c r="P244">
        <f>IFERROR(INDEX('_courses_lookup'!$D:$D,MATCH(K244&amp;L244,'_courses_lookup'!$E:$E,0)),"")</f>
        <v/>
      </c>
      <c r="AG244">
        <f>IF(AND(AE244&lt;&gt;"",AF244&lt;&gt;""),ROUNDUP((AF244-AE244)/7,0),"")</f>
        <v/>
      </c>
      <c r="AI244">
        <f>IFERROR(IF(AG244*AH244=0,"",AG244*AH244),"")</f>
        <v/>
      </c>
      <c r="AL244">
        <f>IF(AND(AJ244&lt;&gt;"",AK244&lt;&gt;""),ROUNDUP((AK244-AJ244)/7,0),"")</f>
        <v/>
      </c>
      <c r="AN244">
        <f>IFERROR(IF(AL244*AM244=0,"",AL244*AM244),"")</f>
        <v/>
      </c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L244">
        <f>IFERROR(INDEX('_names_lookup'!$C:$C,MATCH(BK244,'_names_lookup'!$A:$A,0)),"")</f>
        <v/>
      </c>
      <c r="BM244">
        <f>IFERROR(INDEX('_names_lookup'!$B:$B,MATCH(BK244,'_names_lookup'!$A:$A,0)),"")</f>
        <v/>
      </c>
      <c r="BS244">
        <f>IFERROR(IF(BR244*AA244=0,"",BR244*AA244),"")</f>
        <v/>
      </c>
    </row>
    <row r="245">
      <c r="O245">
        <f>IFERROR(INDEX('_courses_lookup'!$C:$C,MATCH(K245&amp;L245,'_courses_lookup'!$E:$E,0)),"")</f>
        <v/>
      </c>
      <c r="P245">
        <f>IFERROR(INDEX('_courses_lookup'!$D:$D,MATCH(K245&amp;L245,'_courses_lookup'!$E:$E,0)),"")</f>
        <v/>
      </c>
      <c r="AG245">
        <f>IF(AND(AE245&lt;&gt;"",AF245&lt;&gt;""),ROUNDUP((AF245-AE245)/7,0),"")</f>
        <v/>
      </c>
      <c r="AI245">
        <f>IFERROR(IF(AG245*AH245=0,"",AG245*AH245),"")</f>
        <v/>
      </c>
      <c r="AL245">
        <f>IF(AND(AJ245&lt;&gt;"",AK245&lt;&gt;""),ROUNDUP((AK245-AJ245)/7,0),"")</f>
        <v/>
      </c>
      <c r="AN245">
        <f>IFERROR(IF(AL245*AM245=0,"",AL245*AM245),"")</f>
        <v/>
      </c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L245">
        <f>IFERROR(INDEX('_names_lookup'!$C:$C,MATCH(BK245,'_names_lookup'!$A:$A,0)),"")</f>
        <v/>
      </c>
      <c r="BM245">
        <f>IFERROR(INDEX('_names_lookup'!$B:$B,MATCH(BK245,'_names_lookup'!$A:$A,0)),"")</f>
        <v/>
      </c>
      <c r="BS245">
        <f>IFERROR(IF(BR245*AA245=0,"",BR245*AA245),"")</f>
        <v/>
      </c>
    </row>
    <row r="246">
      <c r="O246">
        <f>IFERROR(INDEX('_courses_lookup'!$C:$C,MATCH(K246&amp;L246,'_courses_lookup'!$E:$E,0)),"")</f>
        <v/>
      </c>
      <c r="P246">
        <f>IFERROR(INDEX('_courses_lookup'!$D:$D,MATCH(K246&amp;L246,'_courses_lookup'!$E:$E,0)),"")</f>
        <v/>
      </c>
      <c r="AG246">
        <f>IF(AND(AE246&lt;&gt;"",AF246&lt;&gt;""),ROUNDUP((AF246-AE246)/7,0),"")</f>
        <v/>
      </c>
      <c r="AI246">
        <f>IFERROR(IF(AG246*AH246=0,"",AG246*AH246),"")</f>
        <v/>
      </c>
      <c r="AL246">
        <f>IF(AND(AJ246&lt;&gt;"",AK246&lt;&gt;""),ROUNDUP((AK246-AJ246)/7,0),"")</f>
        <v/>
      </c>
      <c r="AN246">
        <f>IFERROR(IF(AL246*AM246=0,"",AL246*AM246),"")</f>
        <v/>
      </c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L246">
        <f>IFERROR(INDEX('_names_lookup'!$C:$C,MATCH(BK246,'_names_lookup'!$A:$A,0)),"")</f>
        <v/>
      </c>
      <c r="BM246">
        <f>IFERROR(INDEX('_names_lookup'!$B:$B,MATCH(BK246,'_names_lookup'!$A:$A,0)),"")</f>
        <v/>
      </c>
      <c r="BS246">
        <f>IFERROR(IF(BR246*AA246=0,"",BR246*AA246),"")</f>
        <v/>
      </c>
    </row>
    <row r="247">
      <c r="O247">
        <f>IFERROR(INDEX('_courses_lookup'!$C:$C,MATCH(K247&amp;L247,'_courses_lookup'!$E:$E,0)),"")</f>
        <v/>
      </c>
      <c r="P247">
        <f>IFERROR(INDEX('_courses_lookup'!$D:$D,MATCH(K247&amp;L247,'_courses_lookup'!$E:$E,0)),"")</f>
        <v/>
      </c>
      <c r="AG247">
        <f>IF(AND(AE247&lt;&gt;"",AF247&lt;&gt;""),ROUNDUP((AF247-AE247)/7,0),"")</f>
        <v/>
      </c>
      <c r="AI247">
        <f>IFERROR(IF(AG247*AH247=0,"",AG247*AH247),"")</f>
        <v/>
      </c>
      <c r="AL247">
        <f>IF(AND(AJ247&lt;&gt;"",AK247&lt;&gt;""),ROUNDUP((AK247-AJ247)/7,0),"")</f>
        <v/>
      </c>
      <c r="AN247">
        <f>IFERROR(IF(AL247*AM247=0,"",AL247*AM247),"")</f>
        <v/>
      </c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L247">
        <f>IFERROR(INDEX('_names_lookup'!$C:$C,MATCH(BK247,'_names_lookup'!$A:$A,0)),"")</f>
        <v/>
      </c>
      <c r="BM247">
        <f>IFERROR(INDEX('_names_lookup'!$B:$B,MATCH(BK247,'_names_lookup'!$A:$A,0)),"")</f>
        <v/>
      </c>
      <c r="BS247">
        <f>IFERROR(IF(BR247*AA247=0,"",BR247*AA247),"")</f>
        <v/>
      </c>
    </row>
    <row r="248">
      <c r="O248">
        <f>IFERROR(INDEX('_courses_lookup'!$C:$C,MATCH(K248&amp;L248,'_courses_lookup'!$E:$E,0)),"")</f>
        <v/>
      </c>
      <c r="P248">
        <f>IFERROR(INDEX('_courses_lookup'!$D:$D,MATCH(K248&amp;L248,'_courses_lookup'!$E:$E,0)),"")</f>
        <v/>
      </c>
      <c r="AG248">
        <f>IF(AND(AE248&lt;&gt;"",AF248&lt;&gt;""),ROUNDUP((AF248-AE248)/7,0),"")</f>
        <v/>
      </c>
      <c r="AI248">
        <f>IFERROR(IF(AG248*AH248=0,"",AG248*AH248),"")</f>
        <v/>
      </c>
      <c r="AL248">
        <f>IF(AND(AJ248&lt;&gt;"",AK248&lt;&gt;""),ROUNDUP((AK248-AJ248)/7,0),"")</f>
        <v/>
      </c>
      <c r="AN248">
        <f>IFERROR(IF(AL248*AM248=0,"",AL248*AM248),"")</f>
        <v/>
      </c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L248">
        <f>IFERROR(INDEX('_names_lookup'!$C:$C,MATCH(BK248,'_names_lookup'!$A:$A,0)),"")</f>
        <v/>
      </c>
      <c r="BM248">
        <f>IFERROR(INDEX('_names_lookup'!$B:$B,MATCH(BK248,'_names_lookup'!$A:$A,0)),"")</f>
        <v/>
      </c>
      <c r="BS248">
        <f>IFERROR(IF(BR248*AA248=0,"",BR248*AA248),"")</f>
        <v/>
      </c>
    </row>
    <row r="249">
      <c r="O249">
        <f>IFERROR(INDEX('_courses_lookup'!$C:$C,MATCH(K249&amp;L249,'_courses_lookup'!$E:$E,0)),"")</f>
        <v/>
      </c>
      <c r="P249">
        <f>IFERROR(INDEX('_courses_lookup'!$D:$D,MATCH(K249&amp;L249,'_courses_lookup'!$E:$E,0)),"")</f>
        <v/>
      </c>
      <c r="AG249">
        <f>IF(AND(AE249&lt;&gt;"",AF249&lt;&gt;""),ROUNDUP((AF249-AE249)/7,0),"")</f>
        <v/>
      </c>
      <c r="AI249">
        <f>IFERROR(IF(AG249*AH249=0,"",AG249*AH249),"")</f>
        <v/>
      </c>
      <c r="AL249">
        <f>IF(AND(AJ249&lt;&gt;"",AK249&lt;&gt;""),ROUNDUP((AK249-AJ249)/7,0),"")</f>
        <v/>
      </c>
      <c r="AN249">
        <f>IFERROR(IF(AL249*AM249=0,"",AL249*AM249),"")</f>
        <v/>
      </c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L249">
        <f>IFERROR(INDEX('_names_lookup'!$C:$C,MATCH(BK249,'_names_lookup'!$A:$A,0)),"")</f>
        <v/>
      </c>
      <c r="BM249">
        <f>IFERROR(INDEX('_names_lookup'!$B:$B,MATCH(BK249,'_names_lookup'!$A:$A,0)),"")</f>
        <v/>
      </c>
      <c r="BS249">
        <f>IFERROR(IF(BR249*AA249=0,"",BR249*AA249),"")</f>
        <v/>
      </c>
    </row>
    <row r="250">
      <c r="O250">
        <f>IFERROR(INDEX('_courses_lookup'!$C:$C,MATCH(K250&amp;L250,'_courses_lookup'!$E:$E,0)),"")</f>
        <v/>
      </c>
      <c r="P250">
        <f>IFERROR(INDEX('_courses_lookup'!$D:$D,MATCH(K250&amp;L250,'_courses_lookup'!$E:$E,0)),"")</f>
        <v/>
      </c>
      <c r="AG250">
        <f>IF(AND(AE250&lt;&gt;"",AF250&lt;&gt;""),ROUNDUP((AF250-AE250)/7,0),"")</f>
        <v/>
      </c>
      <c r="AI250">
        <f>IFERROR(IF(AG250*AH250=0,"",AG250*AH250),"")</f>
        <v/>
      </c>
      <c r="AL250">
        <f>IF(AND(AJ250&lt;&gt;"",AK250&lt;&gt;""),ROUNDUP((AK250-AJ250)/7,0),"")</f>
        <v/>
      </c>
      <c r="AN250">
        <f>IFERROR(IF(AL250*AM250=0,"",AL250*AM250),"")</f>
        <v/>
      </c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L250">
        <f>IFERROR(INDEX('_names_lookup'!$C:$C,MATCH(BK250,'_names_lookup'!$A:$A,0)),"")</f>
        <v/>
      </c>
      <c r="BM250">
        <f>IFERROR(INDEX('_names_lookup'!$B:$B,MATCH(BK250,'_names_lookup'!$A:$A,0)),"")</f>
        <v/>
      </c>
      <c r="BS250">
        <f>IFERROR(IF(BR250*AA250=0,"",BR250*AA250),"")</f>
        <v/>
      </c>
    </row>
    <row r="251">
      <c r="O251">
        <f>IFERROR(INDEX('_courses_lookup'!$C:$C,MATCH(K251&amp;L251,'_courses_lookup'!$E:$E,0)),"")</f>
        <v/>
      </c>
      <c r="P251">
        <f>IFERROR(INDEX('_courses_lookup'!$D:$D,MATCH(K251&amp;L251,'_courses_lookup'!$E:$E,0)),"")</f>
        <v/>
      </c>
      <c r="AG251">
        <f>IF(AND(AE251&lt;&gt;"",AF251&lt;&gt;""),ROUNDUP((AF251-AE251)/7,0),"")</f>
        <v/>
      </c>
      <c r="AI251">
        <f>IFERROR(IF(AG251*AH251=0,"",AG251*AH251),"")</f>
        <v/>
      </c>
      <c r="AL251">
        <f>IF(AND(AJ251&lt;&gt;"",AK251&lt;&gt;""),ROUNDUP((AK251-AJ251)/7,0),"")</f>
        <v/>
      </c>
      <c r="AN251">
        <f>IFERROR(IF(AL251*AM251=0,"",AL251*AM251),"")</f>
        <v/>
      </c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L251">
        <f>IFERROR(INDEX('_names_lookup'!$C:$C,MATCH(BK251,'_names_lookup'!$A:$A,0)),"")</f>
        <v/>
      </c>
      <c r="BM251">
        <f>IFERROR(INDEX('_names_lookup'!$B:$B,MATCH(BK251,'_names_lookup'!$A:$A,0)),"")</f>
        <v/>
      </c>
      <c r="BS251">
        <f>IFERROR(IF(BR251*AA251=0,"",BR251*AA251),"")</f>
        <v/>
      </c>
    </row>
    <row r="252">
      <c r="O252">
        <f>IFERROR(INDEX('_courses_lookup'!$C:$C,MATCH(K252&amp;L252,'_courses_lookup'!$E:$E,0)),"")</f>
        <v/>
      </c>
      <c r="P252">
        <f>IFERROR(INDEX('_courses_lookup'!$D:$D,MATCH(K252&amp;L252,'_courses_lookup'!$E:$E,0)),"")</f>
        <v/>
      </c>
      <c r="AG252">
        <f>IF(AND(AE252&lt;&gt;"",AF252&lt;&gt;""),ROUNDUP((AF252-AE252)/7,0),"")</f>
        <v/>
      </c>
      <c r="AI252">
        <f>IFERROR(IF(AG252*AH252=0,"",AG252*AH252),"")</f>
        <v/>
      </c>
      <c r="AL252">
        <f>IF(AND(AJ252&lt;&gt;"",AK252&lt;&gt;""),ROUNDUP((AK252-AJ252)/7,0),"")</f>
        <v/>
      </c>
      <c r="AN252">
        <f>IFERROR(IF(AL252*AM252=0,"",AL252*AM252),"")</f>
        <v/>
      </c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L252">
        <f>IFERROR(INDEX('_names_lookup'!$C:$C,MATCH(BK252,'_names_lookup'!$A:$A,0)),"")</f>
        <v/>
      </c>
      <c r="BM252">
        <f>IFERROR(INDEX('_names_lookup'!$B:$B,MATCH(BK252,'_names_lookup'!$A:$A,0)),"")</f>
        <v/>
      </c>
      <c r="BS252">
        <f>IFERROR(IF(BR252*AA252=0,"",BR252*AA252),"")</f>
        <v/>
      </c>
    </row>
    <row r="253">
      <c r="O253">
        <f>IFERROR(INDEX('_courses_lookup'!$C:$C,MATCH(K253&amp;L253,'_courses_lookup'!$E:$E,0)),"")</f>
        <v/>
      </c>
      <c r="P253">
        <f>IFERROR(INDEX('_courses_lookup'!$D:$D,MATCH(K253&amp;L253,'_courses_lookup'!$E:$E,0)),"")</f>
        <v/>
      </c>
      <c r="AG253">
        <f>IF(AND(AE253&lt;&gt;"",AF253&lt;&gt;""),ROUNDUP((AF253-AE253)/7,0),"")</f>
        <v/>
      </c>
      <c r="AI253">
        <f>IFERROR(IF(AG253*AH253=0,"",AG253*AH253),"")</f>
        <v/>
      </c>
      <c r="AL253">
        <f>IF(AND(AJ253&lt;&gt;"",AK253&lt;&gt;""),ROUNDUP((AK253-AJ253)/7,0),"")</f>
        <v/>
      </c>
      <c r="AN253">
        <f>IFERROR(IF(AL253*AM253=0,"",AL253*AM253),"")</f>
        <v/>
      </c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L253">
        <f>IFERROR(INDEX('_names_lookup'!$C:$C,MATCH(BK253,'_names_lookup'!$A:$A,0)),"")</f>
        <v/>
      </c>
      <c r="BM253">
        <f>IFERROR(INDEX('_names_lookup'!$B:$B,MATCH(BK253,'_names_lookup'!$A:$A,0)),"")</f>
        <v/>
      </c>
      <c r="BS253">
        <f>IFERROR(IF(BR253*AA253=0,"",BR253*AA253),"")</f>
        <v/>
      </c>
    </row>
    <row r="254">
      <c r="O254">
        <f>IFERROR(INDEX('_courses_lookup'!$C:$C,MATCH(K254&amp;L254,'_courses_lookup'!$E:$E,0)),"")</f>
        <v/>
      </c>
      <c r="P254">
        <f>IFERROR(INDEX('_courses_lookup'!$D:$D,MATCH(K254&amp;L254,'_courses_lookup'!$E:$E,0)),"")</f>
        <v/>
      </c>
      <c r="AG254">
        <f>IF(AND(AE254&lt;&gt;"",AF254&lt;&gt;""),ROUNDUP((AF254-AE254)/7,0),"")</f>
        <v/>
      </c>
      <c r="AI254">
        <f>IFERROR(IF(AG254*AH254=0,"",AG254*AH254),"")</f>
        <v/>
      </c>
      <c r="AL254">
        <f>IF(AND(AJ254&lt;&gt;"",AK254&lt;&gt;""),ROUNDUP((AK254-AJ254)/7,0),"")</f>
        <v/>
      </c>
      <c r="AN254">
        <f>IFERROR(IF(AL254*AM254=0,"",AL254*AM254),"")</f>
        <v/>
      </c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L254">
        <f>IFERROR(INDEX('_names_lookup'!$C:$C,MATCH(BK254,'_names_lookup'!$A:$A,0)),"")</f>
        <v/>
      </c>
      <c r="BM254">
        <f>IFERROR(INDEX('_names_lookup'!$B:$B,MATCH(BK254,'_names_lookup'!$A:$A,0)),"")</f>
        <v/>
      </c>
      <c r="BS254">
        <f>IFERROR(IF(BR254*AA254=0,"",BR254*AA254),"")</f>
        <v/>
      </c>
    </row>
    <row r="255">
      <c r="O255">
        <f>IFERROR(INDEX('_courses_lookup'!$C:$C,MATCH(K255&amp;L255,'_courses_lookup'!$E:$E,0)),"")</f>
        <v/>
      </c>
      <c r="P255">
        <f>IFERROR(INDEX('_courses_lookup'!$D:$D,MATCH(K255&amp;L255,'_courses_lookup'!$E:$E,0)),"")</f>
        <v/>
      </c>
      <c r="AG255">
        <f>IF(AND(AE255&lt;&gt;"",AF255&lt;&gt;""),ROUNDUP((AF255-AE255)/7,0),"")</f>
        <v/>
      </c>
      <c r="AI255">
        <f>IFERROR(IF(AG255*AH255=0,"",AG255*AH255),"")</f>
        <v/>
      </c>
      <c r="AL255">
        <f>IF(AND(AJ255&lt;&gt;"",AK255&lt;&gt;""),ROUNDUP((AK255-AJ255)/7,0),"")</f>
        <v/>
      </c>
      <c r="AN255">
        <f>IFERROR(IF(AL255*AM255=0,"",AL255*AM255),"")</f>
        <v/>
      </c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L255">
        <f>IFERROR(INDEX('_names_lookup'!$C:$C,MATCH(BK255,'_names_lookup'!$A:$A,0)),"")</f>
        <v/>
      </c>
      <c r="BM255">
        <f>IFERROR(INDEX('_names_lookup'!$B:$B,MATCH(BK255,'_names_lookup'!$A:$A,0)),"")</f>
        <v/>
      </c>
      <c r="BS255">
        <f>IFERROR(IF(BR255*AA255=0,"",BR255*AA255),"")</f>
        <v/>
      </c>
    </row>
    <row r="256">
      <c r="O256">
        <f>IFERROR(INDEX('_courses_lookup'!$C:$C,MATCH(K256&amp;L256,'_courses_lookup'!$E:$E,0)),"")</f>
        <v/>
      </c>
      <c r="P256">
        <f>IFERROR(INDEX('_courses_lookup'!$D:$D,MATCH(K256&amp;L256,'_courses_lookup'!$E:$E,0)),"")</f>
        <v/>
      </c>
      <c r="AG256">
        <f>IF(AND(AE256&lt;&gt;"",AF256&lt;&gt;""),ROUNDUP((AF256-AE256)/7,0),"")</f>
        <v/>
      </c>
      <c r="AI256">
        <f>IFERROR(IF(AG256*AH256=0,"",AG256*AH256),"")</f>
        <v/>
      </c>
      <c r="AL256">
        <f>IF(AND(AJ256&lt;&gt;"",AK256&lt;&gt;""),ROUNDUP((AK256-AJ256)/7,0),"")</f>
        <v/>
      </c>
      <c r="AN256">
        <f>IFERROR(IF(AL256*AM256=0,"",AL256*AM256),"")</f>
        <v/>
      </c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L256">
        <f>IFERROR(INDEX('_names_lookup'!$C:$C,MATCH(BK256,'_names_lookup'!$A:$A,0)),"")</f>
        <v/>
      </c>
      <c r="BM256">
        <f>IFERROR(INDEX('_names_lookup'!$B:$B,MATCH(BK256,'_names_lookup'!$A:$A,0)),"")</f>
        <v/>
      </c>
      <c r="BS256">
        <f>IFERROR(IF(BR256*AA256=0,"",BR256*AA256),"")</f>
        <v/>
      </c>
    </row>
    <row r="257">
      <c r="O257">
        <f>IFERROR(INDEX('_courses_lookup'!$C:$C,MATCH(K257&amp;L257,'_courses_lookup'!$E:$E,0)),"")</f>
        <v/>
      </c>
      <c r="P257">
        <f>IFERROR(INDEX('_courses_lookup'!$D:$D,MATCH(K257&amp;L257,'_courses_lookup'!$E:$E,0)),"")</f>
        <v/>
      </c>
      <c r="AG257">
        <f>IF(AND(AE257&lt;&gt;"",AF257&lt;&gt;""),ROUNDUP((AF257-AE257)/7,0),"")</f>
        <v/>
      </c>
      <c r="AI257">
        <f>IFERROR(IF(AG257*AH257=0,"",AG257*AH257),"")</f>
        <v/>
      </c>
      <c r="AL257">
        <f>IF(AND(AJ257&lt;&gt;"",AK257&lt;&gt;""),ROUNDUP((AK257-AJ257)/7,0),"")</f>
        <v/>
      </c>
      <c r="AN257">
        <f>IFERROR(IF(AL257*AM257=0,"",AL257*AM257),"")</f>
        <v/>
      </c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L257">
        <f>IFERROR(INDEX('_names_lookup'!$C:$C,MATCH(BK257,'_names_lookup'!$A:$A,0)),"")</f>
        <v/>
      </c>
      <c r="BM257">
        <f>IFERROR(INDEX('_names_lookup'!$B:$B,MATCH(BK257,'_names_lookup'!$A:$A,0)),"")</f>
        <v/>
      </c>
      <c r="BS257">
        <f>IFERROR(IF(BR257*AA257=0,"",BR257*AA257),"")</f>
        <v/>
      </c>
    </row>
    <row r="258">
      <c r="O258">
        <f>IFERROR(INDEX('_courses_lookup'!$C:$C,MATCH(K258&amp;L258,'_courses_lookup'!$E:$E,0)),"")</f>
        <v/>
      </c>
      <c r="P258">
        <f>IFERROR(INDEX('_courses_lookup'!$D:$D,MATCH(K258&amp;L258,'_courses_lookup'!$E:$E,0)),"")</f>
        <v/>
      </c>
      <c r="AG258">
        <f>IF(AND(AE258&lt;&gt;"",AF258&lt;&gt;""),ROUNDUP((AF258-AE258)/7,0),"")</f>
        <v/>
      </c>
      <c r="AI258">
        <f>IFERROR(IF(AG258*AH258=0,"",AG258*AH258),"")</f>
        <v/>
      </c>
      <c r="AL258">
        <f>IF(AND(AJ258&lt;&gt;"",AK258&lt;&gt;""),ROUNDUP((AK258-AJ258)/7,0),"")</f>
        <v/>
      </c>
      <c r="AN258">
        <f>IFERROR(IF(AL258*AM258=0,"",AL258*AM258),"")</f>
        <v/>
      </c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L258">
        <f>IFERROR(INDEX('_names_lookup'!$C:$C,MATCH(BK258,'_names_lookup'!$A:$A,0)),"")</f>
        <v/>
      </c>
      <c r="BM258">
        <f>IFERROR(INDEX('_names_lookup'!$B:$B,MATCH(BK258,'_names_lookup'!$A:$A,0)),"")</f>
        <v/>
      </c>
      <c r="BS258">
        <f>IFERROR(IF(BR258*AA258=0,"",BR258*AA258),"")</f>
        <v/>
      </c>
    </row>
    <row r="259">
      <c r="O259">
        <f>IFERROR(INDEX('_courses_lookup'!$C:$C,MATCH(K259&amp;L259,'_courses_lookup'!$E:$E,0)),"")</f>
        <v/>
      </c>
      <c r="P259">
        <f>IFERROR(INDEX('_courses_lookup'!$D:$D,MATCH(K259&amp;L259,'_courses_lookup'!$E:$E,0)),"")</f>
        <v/>
      </c>
      <c r="AG259">
        <f>IF(AND(AE259&lt;&gt;"",AF259&lt;&gt;""),ROUNDUP((AF259-AE259)/7,0),"")</f>
        <v/>
      </c>
      <c r="AI259">
        <f>IFERROR(IF(AG259*AH259=0,"",AG259*AH259),"")</f>
        <v/>
      </c>
      <c r="AL259">
        <f>IF(AND(AJ259&lt;&gt;"",AK259&lt;&gt;""),ROUNDUP((AK259-AJ259)/7,0),"")</f>
        <v/>
      </c>
      <c r="AN259">
        <f>IFERROR(IF(AL259*AM259=0,"",AL259*AM259),"")</f>
        <v/>
      </c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L259">
        <f>IFERROR(INDEX('_names_lookup'!$C:$C,MATCH(BK259,'_names_lookup'!$A:$A,0)),"")</f>
        <v/>
      </c>
      <c r="BM259">
        <f>IFERROR(INDEX('_names_lookup'!$B:$B,MATCH(BK259,'_names_lookup'!$A:$A,0)),"")</f>
        <v/>
      </c>
      <c r="BS259">
        <f>IFERROR(IF(BR259*AA259=0,"",BR259*AA259),"")</f>
        <v/>
      </c>
    </row>
    <row r="260">
      <c r="O260">
        <f>IFERROR(INDEX('_courses_lookup'!$C:$C,MATCH(K260&amp;L260,'_courses_lookup'!$E:$E,0)),"")</f>
        <v/>
      </c>
      <c r="P260">
        <f>IFERROR(INDEX('_courses_lookup'!$D:$D,MATCH(K260&amp;L260,'_courses_lookup'!$E:$E,0)),"")</f>
        <v/>
      </c>
      <c r="AG260">
        <f>IF(AND(AE260&lt;&gt;"",AF260&lt;&gt;""),ROUNDUP((AF260-AE260)/7,0),"")</f>
        <v/>
      </c>
      <c r="AI260">
        <f>IFERROR(IF(AG260*AH260=0,"",AG260*AH260),"")</f>
        <v/>
      </c>
      <c r="AL260">
        <f>IF(AND(AJ260&lt;&gt;"",AK260&lt;&gt;""),ROUNDUP((AK260-AJ260)/7,0),"")</f>
        <v/>
      </c>
      <c r="AN260">
        <f>IFERROR(IF(AL260*AM260=0,"",AL260*AM260),"")</f>
        <v/>
      </c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L260">
        <f>IFERROR(INDEX('_names_lookup'!$C:$C,MATCH(BK260,'_names_lookup'!$A:$A,0)),"")</f>
        <v/>
      </c>
      <c r="BM260">
        <f>IFERROR(INDEX('_names_lookup'!$B:$B,MATCH(BK260,'_names_lookup'!$A:$A,0)),"")</f>
        <v/>
      </c>
      <c r="BS260">
        <f>IFERROR(IF(BR260*AA260=0,"",BR260*AA260),"")</f>
        <v/>
      </c>
    </row>
    <row r="261">
      <c r="O261">
        <f>IFERROR(INDEX('_courses_lookup'!$C:$C,MATCH(K261&amp;L261,'_courses_lookup'!$E:$E,0)),"")</f>
        <v/>
      </c>
      <c r="P261">
        <f>IFERROR(INDEX('_courses_lookup'!$D:$D,MATCH(K261&amp;L261,'_courses_lookup'!$E:$E,0)),"")</f>
        <v/>
      </c>
      <c r="AG261">
        <f>IF(AND(AE261&lt;&gt;"",AF261&lt;&gt;""),ROUNDUP((AF261-AE261)/7,0),"")</f>
        <v/>
      </c>
      <c r="AI261">
        <f>IFERROR(IF(AG261*AH261=0,"",AG261*AH261),"")</f>
        <v/>
      </c>
      <c r="AL261">
        <f>IF(AND(AJ261&lt;&gt;"",AK261&lt;&gt;""),ROUNDUP((AK261-AJ261)/7,0),"")</f>
        <v/>
      </c>
      <c r="AN261">
        <f>IFERROR(IF(AL261*AM261=0,"",AL261*AM261),"")</f>
        <v/>
      </c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L261">
        <f>IFERROR(INDEX('_names_lookup'!$C:$C,MATCH(BK261,'_names_lookup'!$A:$A,0)),"")</f>
        <v/>
      </c>
      <c r="BM261">
        <f>IFERROR(INDEX('_names_lookup'!$B:$B,MATCH(BK261,'_names_lookup'!$A:$A,0)),"")</f>
        <v/>
      </c>
      <c r="BS261">
        <f>IFERROR(IF(BR261*AA261=0,"",BR261*AA261),"")</f>
        <v/>
      </c>
    </row>
    <row r="262">
      <c r="O262">
        <f>IFERROR(INDEX('_courses_lookup'!$C:$C,MATCH(K262&amp;L262,'_courses_lookup'!$E:$E,0)),"")</f>
        <v/>
      </c>
      <c r="P262">
        <f>IFERROR(INDEX('_courses_lookup'!$D:$D,MATCH(K262&amp;L262,'_courses_lookup'!$E:$E,0)),"")</f>
        <v/>
      </c>
      <c r="AG262">
        <f>IF(AND(AE262&lt;&gt;"",AF262&lt;&gt;""),ROUNDUP((AF262-AE262)/7,0),"")</f>
        <v/>
      </c>
      <c r="AI262">
        <f>IFERROR(IF(AG262*AH262=0,"",AG262*AH262),"")</f>
        <v/>
      </c>
      <c r="AL262">
        <f>IF(AND(AJ262&lt;&gt;"",AK262&lt;&gt;""),ROUNDUP((AK262-AJ262)/7,0),"")</f>
        <v/>
      </c>
      <c r="AN262">
        <f>IFERROR(IF(AL262*AM262=0,"",AL262*AM262),"")</f>
        <v/>
      </c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L262">
        <f>IFERROR(INDEX('_names_lookup'!$C:$C,MATCH(BK262,'_names_lookup'!$A:$A,0)),"")</f>
        <v/>
      </c>
      <c r="BM262">
        <f>IFERROR(INDEX('_names_lookup'!$B:$B,MATCH(BK262,'_names_lookup'!$A:$A,0)),"")</f>
        <v/>
      </c>
      <c r="BS262">
        <f>IFERROR(IF(BR262*AA262=0,"",BR262*AA262),"")</f>
        <v/>
      </c>
    </row>
    <row r="263">
      <c r="O263">
        <f>IFERROR(INDEX('_courses_lookup'!$C:$C,MATCH(K263&amp;L263,'_courses_lookup'!$E:$E,0)),"")</f>
        <v/>
      </c>
      <c r="P263">
        <f>IFERROR(INDEX('_courses_lookup'!$D:$D,MATCH(K263&amp;L263,'_courses_lookup'!$E:$E,0)),"")</f>
        <v/>
      </c>
      <c r="AG263">
        <f>IF(AND(AE263&lt;&gt;"",AF263&lt;&gt;""),ROUNDUP((AF263-AE263)/7,0),"")</f>
        <v/>
      </c>
      <c r="AI263">
        <f>IFERROR(IF(AG263*AH263=0,"",AG263*AH263),"")</f>
        <v/>
      </c>
      <c r="AL263">
        <f>IF(AND(AJ263&lt;&gt;"",AK263&lt;&gt;""),ROUNDUP((AK263-AJ263)/7,0),"")</f>
        <v/>
      </c>
      <c r="AN263">
        <f>IFERROR(IF(AL263*AM263=0,"",AL263*AM263),"")</f>
        <v/>
      </c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L263">
        <f>IFERROR(INDEX('_names_lookup'!$C:$C,MATCH(BK263,'_names_lookup'!$A:$A,0)),"")</f>
        <v/>
      </c>
      <c r="BM263">
        <f>IFERROR(INDEX('_names_lookup'!$B:$B,MATCH(BK263,'_names_lookup'!$A:$A,0)),"")</f>
        <v/>
      </c>
      <c r="BS263">
        <f>IFERROR(IF(BR263*AA263=0,"",BR263*AA263),"")</f>
        <v/>
      </c>
    </row>
    <row r="264">
      <c r="O264">
        <f>IFERROR(INDEX('_courses_lookup'!$C:$C,MATCH(K264&amp;L264,'_courses_lookup'!$E:$E,0)),"")</f>
        <v/>
      </c>
      <c r="P264">
        <f>IFERROR(INDEX('_courses_lookup'!$D:$D,MATCH(K264&amp;L264,'_courses_lookup'!$E:$E,0)),"")</f>
        <v/>
      </c>
      <c r="AG264">
        <f>IF(AND(AE264&lt;&gt;"",AF264&lt;&gt;""),ROUNDUP((AF264-AE264)/7,0),"")</f>
        <v/>
      </c>
      <c r="AI264">
        <f>IFERROR(IF(AG264*AH264=0,"",AG264*AH264),"")</f>
        <v/>
      </c>
      <c r="AL264">
        <f>IF(AND(AJ264&lt;&gt;"",AK264&lt;&gt;""),ROUNDUP((AK264-AJ264)/7,0),"")</f>
        <v/>
      </c>
      <c r="AN264">
        <f>IFERROR(IF(AL264*AM264=0,"",AL264*AM264),"")</f>
        <v/>
      </c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L264">
        <f>IFERROR(INDEX('_names_lookup'!$C:$C,MATCH(BK264,'_names_lookup'!$A:$A,0)),"")</f>
        <v/>
      </c>
      <c r="BM264">
        <f>IFERROR(INDEX('_names_lookup'!$B:$B,MATCH(BK264,'_names_lookup'!$A:$A,0)),"")</f>
        <v/>
      </c>
      <c r="BS264">
        <f>IFERROR(IF(BR264*AA264=0,"",BR264*AA264),"")</f>
        <v/>
      </c>
    </row>
    <row r="265">
      <c r="O265">
        <f>IFERROR(INDEX('_courses_lookup'!$C:$C,MATCH(K265&amp;L265,'_courses_lookup'!$E:$E,0)),"")</f>
        <v/>
      </c>
      <c r="P265">
        <f>IFERROR(INDEX('_courses_lookup'!$D:$D,MATCH(K265&amp;L265,'_courses_lookup'!$E:$E,0)),"")</f>
        <v/>
      </c>
      <c r="AG265">
        <f>IF(AND(AE265&lt;&gt;"",AF265&lt;&gt;""),ROUNDUP((AF265-AE265)/7,0),"")</f>
        <v/>
      </c>
      <c r="AI265">
        <f>IFERROR(IF(AG265*AH265=0,"",AG265*AH265),"")</f>
        <v/>
      </c>
      <c r="AL265">
        <f>IF(AND(AJ265&lt;&gt;"",AK265&lt;&gt;""),ROUNDUP((AK265-AJ265)/7,0),"")</f>
        <v/>
      </c>
      <c r="AN265">
        <f>IFERROR(IF(AL265*AM265=0,"",AL265*AM265),"")</f>
        <v/>
      </c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L265">
        <f>IFERROR(INDEX('_names_lookup'!$C:$C,MATCH(BK265,'_names_lookup'!$A:$A,0)),"")</f>
        <v/>
      </c>
      <c r="BM265">
        <f>IFERROR(INDEX('_names_lookup'!$B:$B,MATCH(BK265,'_names_lookup'!$A:$A,0)),"")</f>
        <v/>
      </c>
      <c r="BS265">
        <f>IFERROR(IF(BR265*AA265=0,"",BR265*AA265),"")</f>
        <v/>
      </c>
    </row>
    <row r="266">
      <c r="O266">
        <f>IFERROR(INDEX('_courses_lookup'!$C:$C,MATCH(K266&amp;L266,'_courses_lookup'!$E:$E,0)),"")</f>
        <v/>
      </c>
      <c r="P266">
        <f>IFERROR(INDEX('_courses_lookup'!$D:$D,MATCH(K266&amp;L266,'_courses_lookup'!$E:$E,0)),"")</f>
        <v/>
      </c>
      <c r="AG266">
        <f>IF(AND(AE266&lt;&gt;"",AF266&lt;&gt;""),ROUNDUP((AF266-AE266)/7,0),"")</f>
        <v/>
      </c>
      <c r="AI266">
        <f>IFERROR(IF(AG266*AH266=0,"",AG266*AH266),"")</f>
        <v/>
      </c>
      <c r="AL266">
        <f>IF(AND(AJ266&lt;&gt;"",AK266&lt;&gt;""),ROUNDUP((AK266-AJ266)/7,0),"")</f>
        <v/>
      </c>
      <c r="AN266">
        <f>IFERROR(IF(AL266*AM266=0,"",AL266*AM266),"")</f>
        <v/>
      </c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L266">
        <f>IFERROR(INDEX('_names_lookup'!$C:$C,MATCH(BK266,'_names_lookup'!$A:$A,0)),"")</f>
        <v/>
      </c>
      <c r="BM266">
        <f>IFERROR(INDEX('_names_lookup'!$B:$B,MATCH(BK266,'_names_lookup'!$A:$A,0)),"")</f>
        <v/>
      </c>
      <c r="BS266">
        <f>IFERROR(IF(BR266*AA266=0,"",BR266*AA266),"")</f>
        <v/>
      </c>
    </row>
    <row r="267">
      <c r="O267">
        <f>IFERROR(INDEX('_courses_lookup'!$C:$C,MATCH(K267&amp;L267,'_courses_lookup'!$E:$E,0)),"")</f>
        <v/>
      </c>
      <c r="P267">
        <f>IFERROR(INDEX('_courses_lookup'!$D:$D,MATCH(K267&amp;L267,'_courses_lookup'!$E:$E,0)),"")</f>
        <v/>
      </c>
      <c r="AG267">
        <f>IF(AND(AE267&lt;&gt;"",AF267&lt;&gt;""),ROUNDUP((AF267-AE267)/7,0),"")</f>
        <v/>
      </c>
      <c r="AI267">
        <f>IFERROR(IF(AG267*AH267=0,"",AG267*AH267),"")</f>
        <v/>
      </c>
      <c r="AL267">
        <f>IF(AND(AJ267&lt;&gt;"",AK267&lt;&gt;""),ROUNDUP((AK267-AJ267)/7,0),"")</f>
        <v/>
      </c>
      <c r="AN267">
        <f>IFERROR(IF(AL267*AM267=0,"",AL267*AM267),"")</f>
        <v/>
      </c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L267">
        <f>IFERROR(INDEX('_names_lookup'!$C:$C,MATCH(BK267,'_names_lookup'!$A:$A,0)),"")</f>
        <v/>
      </c>
      <c r="BM267">
        <f>IFERROR(INDEX('_names_lookup'!$B:$B,MATCH(BK267,'_names_lookup'!$A:$A,0)),"")</f>
        <v/>
      </c>
      <c r="BS267">
        <f>IFERROR(IF(BR267*AA267=0,"",BR267*AA267),"")</f>
        <v/>
      </c>
    </row>
    <row r="268">
      <c r="O268">
        <f>IFERROR(INDEX('_courses_lookup'!$C:$C,MATCH(K268&amp;L268,'_courses_lookup'!$E:$E,0)),"")</f>
        <v/>
      </c>
      <c r="P268">
        <f>IFERROR(INDEX('_courses_lookup'!$D:$D,MATCH(K268&amp;L268,'_courses_lookup'!$E:$E,0)),"")</f>
        <v/>
      </c>
      <c r="AG268">
        <f>IF(AND(AE268&lt;&gt;"",AF268&lt;&gt;""),ROUNDUP((AF268-AE268)/7,0),"")</f>
        <v/>
      </c>
      <c r="AI268">
        <f>IFERROR(IF(AG268*AH268=0,"",AG268*AH268),"")</f>
        <v/>
      </c>
      <c r="AL268">
        <f>IF(AND(AJ268&lt;&gt;"",AK268&lt;&gt;""),ROUNDUP((AK268-AJ268)/7,0),"")</f>
        <v/>
      </c>
      <c r="AN268">
        <f>IFERROR(IF(AL268*AM268=0,"",AL268*AM268),"")</f>
        <v/>
      </c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L268">
        <f>IFERROR(INDEX('_names_lookup'!$C:$C,MATCH(BK268,'_names_lookup'!$A:$A,0)),"")</f>
        <v/>
      </c>
      <c r="BM268">
        <f>IFERROR(INDEX('_names_lookup'!$B:$B,MATCH(BK268,'_names_lookup'!$A:$A,0)),"")</f>
        <v/>
      </c>
      <c r="BS268">
        <f>IFERROR(IF(BR268*AA268=0,"",BR268*AA268),"")</f>
        <v/>
      </c>
    </row>
    <row r="269">
      <c r="O269">
        <f>IFERROR(INDEX('_courses_lookup'!$C:$C,MATCH(K269&amp;L269,'_courses_lookup'!$E:$E,0)),"")</f>
        <v/>
      </c>
      <c r="P269">
        <f>IFERROR(INDEX('_courses_lookup'!$D:$D,MATCH(K269&amp;L269,'_courses_lookup'!$E:$E,0)),"")</f>
        <v/>
      </c>
      <c r="AG269">
        <f>IF(AND(AE269&lt;&gt;"",AF269&lt;&gt;""),ROUNDUP((AF269-AE269)/7,0),"")</f>
        <v/>
      </c>
      <c r="AI269">
        <f>IFERROR(IF(AG269*AH269=0,"",AG269*AH269),"")</f>
        <v/>
      </c>
      <c r="AL269">
        <f>IF(AND(AJ269&lt;&gt;"",AK269&lt;&gt;""),ROUNDUP((AK269-AJ269)/7,0),"")</f>
        <v/>
      </c>
      <c r="AN269">
        <f>IFERROR(IF(AL269*AM269=0,"",AL269*AM269),"")</f>
        <v/>
      </c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L269">
        <f>IFERROR(INDEX('_names_lookup'!$C:$C,MATCH(BK269,'_names_lookup'!$A:$A,0)),"")</f>
        <v/>
      </c>
      <c r="BM269">
        <f>IFERROR(INDEX('_names_lookup'!$B:$B,MATCH(BK269,'_names_lookup'!$A:$A,0)),"")</f>
        <v/>
      </c>
      <c r="BS269">
        <f>IFERROR(IF(BR269*AA269=0,"",BR269*AA269),"")</f>
        <v/>
      </c>
    </row>
    <row r="270">
      <c r="O270">
        <f>IFERROR(INDEX('_courses_lookup'!$C:$C,MATCH(K270&amp;L270,'_courses_lookup'!$E:$E,0)),"")</f>
        <v/>
      </c>
      <c r="P270">
        <f>IFERROR(INDEX('_courses_lookup'!$D:$D,MATCH(K270&amp;L270,'_courses_lookup'!$E:$E,0)),"")</f>
        <v/>
      </c>
      <c r="AG270">
        <f>IF(AND(AE270&lt;&gt;"",AF270&lt;&gt;""),ROUNDUP((AF270-AE270)/7,0),"")</f>
        <v/>
      </c>
      <c r="AI270">
        <f>IFERROR(IF(AG270*AH270=0,"",AG270*AH270),"")</f>
        <v/>
      </c>
      <c r="AL270">
        <f>IF(AND(AJ270&lt;&gt;"",AK270&lt;&gt;""),ROUNDUP((AK270-AJ270)/7,0),"")</f>
        <v/>
      </c>
      <c r="AN270">
        <f>IFERROR(IF(AL270*AM270=0,"",AL270*AM270),"")</f>
        <v/>
      </c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L270">
        <f>IFERROR(INDEX('_names_lookup'!$C:$C,MATCH(BK270,'_names_lookup'!$A:$A,0)),"")</f>
        <v/>
      </c>
      <c r="BM270">
        <f>IFERROR(INDEX('_names_lookup'!$B:$B,MATCH(BK270,'_names_lookup'!$A:$A,0)),"")</f>
        <v/>
      </c>
      <c r="BS270">
        <f>IFERROR(IF(BR270*AA270=0,"",BR270*AA270),"")</f>
        <v/>
      </c>
    </row>
    <row r="271">
      <c r="O271">
        <f>IFERROR(INDEX('_courses_lookup'!$C:$C,MATCH(K271&amp;L271,'_courses_lookup'!$E:$E,0)),"")</f>
        <v/>
      </c>
      <c r="P271">
        <f>IFERROR(INDEX('_courses_lookup'!$D:$D,MATCH(K271&amp;L271,'_courses_lookup'!$E:$E,0)),"")</f>
        <v/>
      </c>
      <c r="AG271">
        <f>IF(AND(AE271&lt;&gt;"",AF271&lt;&gt;""),ROUNDUP((AF271-AE271)/7,0),"")</f>
        <v/>
      </c>
      <c r="AI271">
        <f>IFERROR(IF(AG271*AH271=0,"",AG271*AH271),"")</f>
        <v/>
      </c>
      <c r="AL271">
        <f>IF(AND(AJ271&lt;&gt;"",AK271&lt;&gt;""),ROUNDUP((AK271-AJ271)/7,0),"")</f>
        <v/>
      </c>
      <c r="AN271">
        <f>IFERROR(IF(AL271*AM271=0,"",AL271*AM271),"")</f>
        <v/>
      </c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L271">
        <f>IFERROR(INDEX('_names_lookup'!$C:$C,MATCH(BK271,'_names_lookup'!$A:$A,0)),"")</f>
        <v/>
      </c>
      <c r="BM271">
        <f>IFERROR(INDEX('_names_lookup'!$B:$B,MATCH(BK271,'_names_lookup'!$A:$A,0)),"")</f>
        <v/>
      </c>
      <c r="BS271">
        <f>IFERROR(IF(BR271*AA271=0,"",BR271*AA271),"")</f>
        <v/>
      </c>
    </row>
    <row r="272">
      <c r="O272">
        <f>IFERROR(INDEX('_courses_lookup'!$C:$C,MATCH(K272&amp;L272,'_courses_lookup'!$E:$E,0)),"")</f>
        <v/>
      </c>
      <c r="P272">
        <f>IFERROR(INDEX('_courses_lookup'!$D:$D,MATCH(K272&amp;L272,'_courses_lookup'!$E:$E,0)),"")</f>
        <v/>
      </c>
      <c r="AG272">
        <f>IF(AND(AE272&lt;&gt;"",AF272&lt;&gt;""),ROUNDUP((AF272-AE272)/7,0),"")</f>
        <v/>
      </c>
      <c r="AI272">
        <f>IFERROR(IF(AG272*AH272=0,"",AG272*AH272),"")</f>
        <v/>
      </c>
      <c r="AL272">
        <f>IF(AND(AJ272&lt;&gt;"",AK272&lt;&gt;""),ROUNDUP((AK272-AJ272)/7,0),"")</f>
        <v/>
      </c>
      <c r="AN272">
        <f>IFERROR(IF(AL272*AM272=0,"",AL272*AM272),"")</f>
        <v/>
      </c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L272">
        <f>IFERROR(INDEX('_names_lookup'!$C:$C,MATCH(BK272,'_names_lookup'!$A:$A,0)),"")</f>
        <v/>
      </c>
      <c r="BM272">
        <f>IFERROR(INDEX('_names_lookup'!$B:$B,MATCH(BK272,'_names_lookup'!$A:$A,0)),"")</f>
        <v/>
      </c>
      <c r="BS272">
        <f>IFERROR(IF(BR272*AA272=0,"",BR272*AA272),"")</f>
        <v/>
      </c>
    </row>
    <row r="273">
      <c r="O273">
        <f>IFERROR(INDEX('_courses_lookup'!$C:$C,MATCH(K273&amp;L273,'_courses_lookup'!$E:$E,0)),"")</f>
        <v/>
      </c>
      <c r="P273">
        <f>IFERROR(INDEX('_courses_lookup'!$D:$D,MATCH(K273&amp;L273,'_courses_lookup'!$E:$E,0)),"")</f>
        <v/>
      </c>
      <c r="AG273">
        <f>IF(AND(AE273&lt;&gt;"",AF273&lt;&gt;""),ROUNDUP((AF273-AE273)/7,0),"")</f>
        <v/>
      </c>
      <c r="AI273">
        <f>IFERROR(IF(AG273*AH273=0,"",AG273*AH273),"")</f>
        <v/>
      </c>
      <c r="AL273">
        <f>IF(AND(AJ273&lt;&gt;"",AK273&lt;&gt;""),ROUNDUP((AK273-AJ273)/7,0),"")</f>
        <v/>
      </c>
      <c r="AN273">
        <f>IFERROR(IF(AL273*AM273=0,"",AL273*AM273),"")</f>
        <v/>
      </c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L273">
        <f>IFERROR(INDEX('_names_lookup'!$C:$C,MATCH(BK273,'_names_lookup'!$A:$A,0)),"")</f>
        <v/>
      </c>
      <c r="BM273">
        <f>IFERROR(INDEX('_names_lookup'!$B:$B,MATCH(BK273,'_names_lookup'!$A:$A,0)),"")</f>
        <v/>
      </c>
      <c r="BS273">
        <f>IFERROR(IF(BR273*AA273=0,"",BR273*AA273),"")</f>
        <v/>
      </c>
    </row>
    <row r="274">
      <c r="O274">
        <f>IFERROR(INDEX('_courses_lookup'!$C:$C,MATCH(K274&amp;L274,'_courses_lookup'!$E:$E,0)),"")</f>
        <v/>
      </c>
      <c r="P274">
        <f>IFERROR(INDEX('_courses_lookup'!$D:$D,MATCH(K274&amp;L274,'_courses_lookup'!$E:$E,0)),"")</f>
        <v/>
      </c>
      <c r="AG274">
        <f>IF(AND(AE274&lt;&gt;"",AF274&lt;&gt;""),ROUNDUP((AF274-AE274)/7,0),"")</f>
        <v/>
      </c>
      <c r="AI274">
        <f>IFERROR(IF(AG274*AH274=0,"",AG274*AH274),"")</f>
        <v/>
      </c>
      <c r="AL274">
        <f>IF(AND(AJ274&lt;&gt;"",AK274&lt;&gt;""),ROUNDUP((AK274-AJ274)/7,0),"")</f>
        <v/>
      </c>
      <c r="AN274">
        <f>IFERROR(IF(AL274*AM274=0,"",AL274*AM274),"")</f>
        <v/>
      </c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L274">
        <f>IFERROR(INDEX('_names_lookup'!$C:$C,MATCH(BK274,'_names_lookup'!$A:$A,0)),"")</f>
        <v/>
      </c>
      <c r="BM274">
        <f>IFERROR(INDEX('_names_lookup'!$B:$B,MATCH(BK274,'_names_lookup'!$A:$A,0)),"")</f>
        <v/>
      </c>
      <c r="BS274">
        <f>IFERROR(IF(BR274*AA274=0,"",BR274*AA274),"")</f>
        <v/>
      </c>
    </row>
    <row r="275">
      <c r="O275">
        <f>IFERROR(INDEX('_courses_lookup'!$C:$C,MATCH(K275&amp;L275,'_courses_lookup'!$E:$E,0)),"")</f>
        <v/>
      </c>
      <c r="P275">
        <f>IFERROR(INDEX('_courses_lookup'!$D:$D,MATCH(K275&amp;L275,'_courses_lookup'!$E:$E,0)),"")</f>
        <v/>
      </c>
      <c r="AG275">
        <f>IF(AND(AE275&lt;&gt;"",AF275&lt;&gt;""),ROUNDUP((AF275-AE275)/7,0),"")</f>
        <v/>
      </c>
      <c r="AI275">
        <f>IFERROR(IF(AG275*AH275=0,"",AG275*AH275),"")</f>
        <v/>
      </c>
      <c r="AL275">
        <f>IF(AND(AJ275&lt;&gt;"",AK275&lt;&gt;""),ROUNDUP((AK275-AJ275)/7,0),"")</f>
        <v/>
      </c>
      <c r="AN275">
        <f>IFERROR(IF(AL275*AM275=0,"",AL275*AM275),"")</f>
        <v/>
      </c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L275">
        <f>IFERROR(INDEX('_names_lookup'!$C:$C,MATCH(BK275,'_names_lookup'!$A:$A,0)),"")</f>
        <v/>
      </c>
      <c r="BM275">
        <f>IFERROR(INDEX('_names_lookup'!$B:$B,MATCH(BK275,'_names_lookup'!$A:$A,0)),"")</f>
        <v/>
      </c>
      <c r="BS275">
        <f>IFERROR(IF(BR275*AA275=0,"",BR275*AA275),"")</f>
        <v/>
      </c>
    </row>
    <row r="276">
      <c r="O276">
        <f>IFERROR(INDEX('_courses_lookup'!$C:$C,MATCH(K276&amp;L276,'_courses_lookup'!$E:$E,0)),"")</f>
        <v/>
      </c>
      <c r="P276">
        <f>IFERROR(INDEX('_courses_lookup'!$D:$D,MATCH(K276&amp;L276,'_courses_lookup'!$E:$E,0)),"")</f>
        <v/>
      </c>
      <c r="AG276">
        <f>IF(AND(AE276&lt;&gt;"",AF276&lt;&gt;""),ROUNDUP((AF276-AE276)/7,0),"")</f>
        <v/>
      </c>
      <c r="AI276">
        <f>IFERROR(IF(AG276*AH276=0,"",AG276*AH276),"")</f>
        <v/>
      </c>
      <c r="AL276">
        <f>IF(AND(AJ276&lt;&gt;"",AK276&lt;&gt;""),ROUNDUP((AK276-AJ276)/7,0),"")</f>
        <v/>
      </c>
      <c r="AN276">
        <f>IFERROR(IF(AL276*AM276=0,"",AL276*AM276),"")</f>
        <v/>
      </c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L276">
        <f>IFERROR(INDEX('_names_lookup'!$C:$C,MATCH(BK276,'_names_lookup'!$A:$A,0)),"")</f>
        <v/>
      </c>
      <c r="BM276">
        <f>IFERROR(INDEX('_names_lookup'!$B:$B,MATCH(BK276,'_names_lookup'!$A:$A,0)),"")</f>
        <v/>
      </c>
      <c r="BS276">
        <f>IFERROR(IF(BR276*AA276=0,"",BR276*AA276),"")</f>
        <v/>
      </c>
    </row>
    <row r="277">
      <c r="O277">
        <f>IFERROR(INDEX('_courses_lookup'!$C:$C,MATCH(K277&amp;L277,'_courses_lookup'!$E:$E,0)),"")</f>
        <v/>
      </c>
      <c r="P277">
        <f>IFERROR(INDEX('_courses_lookup'!$D:$D,MATCH(K277&amp;L277,'_courses_lookup'!$E:$E,0)),"")</f>
        <v/>
      </c>
      <c r="AG277">
        <f>IF(AND(AE277&lt;&gt;"",AF277&lt;&gt;""),ROUNDUP((AF277-AE277)/7,0),"")</f>
        <v/>
      </c>
      <c r="AI277">
        <f>IFERROR(IF(AG277*AH277=0,"",AG277*AH277),"")</f>
        <v/>
      </c>
      <c r="AL277">
        <f>IF(AND(AJ277&lt;&gt;"",AK277&lt;&gt;""),ROUNDUP((AK277-AJ277)/7,0),"")</f>
        <v/>
      </c>
      <c r="AN277">
        <f>IFERROR(IF(AL277*AM277=0,"",AL277*AM277),"")</f>
        <v/>
      </c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L277">
        <f>IFERROR(INDEX('_names_lookup'!$C:$C,MATCH(BK277,'_names_lookup'!$A:$A,0)),"")</f>
        <v/>
      </c>
      <c r="BM277">
        <f>IFERROR(INDEX('_names_lookup'!$B:$B,MATCH(BK277,'_names_lookup'!$A:$A,0)),"")</f>
        <v/>
      </c>
      <c r="BS277">
        <f>IFERROR(IF(BR277*AA277=0,"",BR277*AA277),"")</f>
        <v/>
      </c>
    </row>
    <row r="278">
      <c r="O278">
        <f>IFERROR(INDEX('_courses_lookup'!$C:$C,MATCH(K278&amp;L278,'_courses_lookup'!$E:$E,0)),"")</f>
        <v/>
      </c>
      <c r="P278">
        <f>IFERROR(INDEX('_courses_lookup'!$D:$D,MATCH(K278&amp;L278,'_courses_lookup'!$E:$E,0)),"")</f>
        <v/>
      </c>
      <c r="AG278">
        <f>IF(AND(AE278&lt;&gt;"",AF278&lt;&gt;""),ROUNDUP((AF278-AE278)/7,0),"")</f>
        <v/>
      </c>
      <c r="AI278">
        <f>IFERROR(IF(AG278*AH278=0,"",AG278*AH278),"")</f>
        <v/>
      </c>
      <c r="AL278">
        <f>IF(AND(AJ278&lt;&gt;"",AK278&lt;&gt;""),ROUNDUP((AK278-AJ278)/7,0),"")</f>
        <v/>
      </c>
      <c r="AN278">
        <f>IFERROR(IF(AL278*AM278=0,"",AL278*AM278),"")</f>
        <v/>
      </c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L278">
        <f>IFERROR(INDEX('_names_lookup'!$C:$C,MATCH(BK278,'_names_lookup'!$A:$A,0)),"")</f>
        <v/>
      </c>
      <c r="BM278">
        <f>IFERROR(INDEX('_names_lookup'!$B:$B,MATCH(BK278,'_names_lookup'!$A:$A,0)),"")</f>
        <v/>
      </c>
      <c r="BS278">
        <f>IFERROR(IF(BR278*AA278=0,"",BR278*AA278),"")</f>
        <v/>
      </c>
    </row>
    <row r="279">
      <c r="O279">
        <f>IFERROR(INDEX('_courses_lookup'!$C:$C,MATCH(K279&amp;L279,'_courses_lookup'!$E:$E,0)),"")</f>
        <v/>
      </c>
      <c r="P279">
        <f>IFERROR(INDEX('_courses_lookup'!$D:$D,MATCH(K279&amp;L279,'_courses_lookup'!$E:$E,0)),"")</f>
        <v/>
      </c>
      <c r="AG279">
        <f>IF(AND(AE279&lt;&gt;"",AF279&lt;&gt;""),ROUNDUP((AF279-AE279)/7,0),"")</f>
        <v/>
      </c>
      <c r="AI279">
        <f>IFERROR(IF(AG279*AH279=0,"",AG279*AH279),"")</f>
        <v/>
      </c>
      <c r="AL279">
        <f>IF(AND(AJ279&lt;&gt;"",AK279&lt;&gt;""),ROUNDUP((AK279-AJ279)/7,0),"")</f>
        <v/>
      </c>
      <c r="AN279">
        <f>IFERROR(IF(AL279*AM279=0,"",AL279*AM279),"")</f>
        <v/>
      </c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L279">
        <f>IFERROR(INDEX('_names_lookup'!$C:$C,MATCH(BK279,'_names_lookup'!$A:$A,0)),"")</f>
        <v/>
      </c>
      <c r="BM279">
        <f>IFERROR(INDEX('_names_lookup'!$B:$B,MATCH(BK279,'_names_lookup'!$A:$A,0)),"")</f>
        <v/>
      </c>
      <c r="BS279">
        <f>IFERROR(IF(BR279*AA279=0,"",BR279*AA279),"")</f>
        <v/>
      </c>
    </row>
    <row r="280">
      <c r="O280">
        <f>IFERROR(INDEX('_courses_lookup'!$C:$C,MATCH(K280&amp;L280,'_courses_lookup'!$E:$E,0)),"")</f>
        <v/>
      </c>
      <c r="P280">
        <f>IFERROR(INDEX('_courses_lookup'!$D:$D,MATCH(K280&amp;L280,'_courses_lookup'!$E:$E,0)),"")</f>
        <v/>
      </c>
      <c r="AG280">
        <f>IF(AND(AE280&lt;&gt;"",AF280&lt;&gt;""),ROUNDUP((AF280-AE280)/7,0),"")</f>
        <v/>
      </c>
      <c r="AI280">
        <f>IFERROR(IF(AG280*AH280=0,"",AG280*AH280),"")</f>
        <v/>
      </c>
      <c r="AL280">
        <f>IF(AND(AJ280&lt;&gt;"",AK280&lt;&gt;""),ROUNDUP((AK280-AJ280)/7,0),"")</f>
        <v/>
      </c>
      <c r="AN280">
        <f>IFERROR(IF(AL280*AM280=0,"",AL280*AM280),"")</f>
        <v/>
      </c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L280">
        <f>IFERROR(INDEX('_names_lookup'!$C:$C,MATCH(BK280,'_names_lookup'!$A:$A,0)),"")</f>
        <v/>
      </c>
      <c r="BM280">
        <f>IFERROR(INDEX('_names_lookup'!$B:$B,MATCH(BK280,'_names_lookup'!$A:$A,0)),"")</f>
        <v/>
      </c>
      <c r="BS280">
        <f>IFERROR(IF(BR280*AA280=0,"",BR280*AA280),"")</f>
        <v/>
      </c>
    </row>
    <row r="281">
      <c r="O281">
        <f>IFERROR(INDEX('_courses_lookup'!$C:$C,MATCH(K281&amp;L281,'_courses_lookup'!$E:$E,0)),"")</f>
        <v/>
      </c>
      <c r="P281">
        <f>IFERROR(INDEX('_courses_lookup'!$D:$D,MATCH(K281&amp;L281,'_courses_lookup'!$E:$E,0)),"")</f>
        <v/>
      </c>
      <c r="AG281">
        <f>IF(AND(AE281&lt;&gt;"",AF281&lt;&gt;""),ROUNDUP((AF281-AE281)/7,0),"")</f>
        <v/>
      </c>
      <c r="AI281">
        <f>IFERROR(IF(AG281*AH281=0,"",AG281*AH281),"")</f>
        <v/>
      </c>
      <c r="AL281">
        <f>IF(AND(AJ281&lt;&gt;"",AK281&lt;&gt;""),ROUNDUP((AK281-AJ281)/7,0),"")</f>
        <v/>
      </c>
      <c r="AN281">
        <f>IFERROR(IF(AL281*AM281=0,"",AL281*AM281),"")</f>
        <v/>
      </c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L281">
        <f>IFERROR(INDEX('_names_lookup'!$C:$C,MATCH(BK281,'_names_lookup'!$A:$A,0)),"")</f>
        <v/>
      </c>
      <c r="BM281">
        <f>IFERROR(INDEX('_names_lookup'!$B:$B,MATCH(BK281,'_names_lookup'!$A:$A,0)),"")</f>
        <v/>
      </c>
      <c r="BS281">
        <f>IFERROR(IF(BR281*AA281=0,"",BR281*AA281),"")</f>
        <v/>
      </c>
    </row>
    <row r="282">
      <c r="O282">
        <f>IFERROR(INDEX('_courses_lookup'!$C:$C,MATCH(K282&amp;L282,'_courses_lookup'!$E:$E,0)),"")</f>
        <v/>
      </c>
      <c r="P282">
        <f>IFERROR(INDEX('_courses_lookup'!$D:$D,MATCH(K282&amp;L282,'_courses_lookup'!$E:$E,0)),"")</f>
        <v/>
      </c>
      <c r="AG282">
        <f>IF(AND(AE282&lt;&gt;"",AF282&lt;&gt;""),ROUNDUP((AF282-AE282)/7,0),"")</f>
        <v/>
      </c>
      <c r="AI282">
        <f>IFERROR(IF(AG282*AH282=0,"",AG282*AH282),"")</f>
        <v/>
      </c>
      <c r="AL282">
        <f>IF(AND(AJ282&lt;&gt;"",AK282&lt;&gt;""),ROUNDUP((AK282-AJ282)/7,0),"")</f>
        <v/>
      </c>
      <c r="AN282">
        <f>IFERROR(IF(AL282*AM282=0,"",AL282*AM282),"")</f>
        <v/>
      </c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L282">
        <f>IFERROR(INDEX('_names_lookup'!$C:$C,MATCH(BK282,'_names_lookup'!$A:$A,0)),"")</f>
        <v/>
      </c>
      <c r="BM282">
        <f>IFERROR(INDEX('_names_lookup'!$B:$B,MATCH(BK282,'_names_lookup'!$A:$A,0)),"")</f>
        <v/>
      </c>
      <c r="BS282">
        <f>IFERROR(IF(BR282*AA282=0,"",BR282*AA282),"")</f>
        <v/>
      </c>
    </row>
    <row r="283">
      <c r="O283">
        <f>IFERROR(INDEX('_courses_lookup'!$C:$C,MATCH(K283&amp;L283,'_courses_lookup'!$E:$E,0)),"")</f>
        <v/>
      </c>
      <c r="P283">
        <f>IFERROR(INDEX('_courses_lookup'!$D:$D,MATCH(K283&amp;L283,'_courses_lookup'!$E:$E,0)),"")</f>
        <v/>
      </c>
      <c r="AG283">
        <f>IF(AND(AE283&lt;&gt;"",AF283&lt;&gt;""),ROUNDUP((AF283-AE283)/7,0),"")</f>
        <v/>
      </c>
      <c r="AI283">
        <f>IFERROR(IF(AG283*AH283=0,"",AG283*AH283),"")</f>
        <v/>
      </c>
      <c r="AL283">
        <f>IF(AND(AJ283&lt;&gt;"",AK283&lt;&gt;""),ROUNDUP((AK283-AJ283)/7,0),"")</f>
        <v/>
      </c>
      <c r="AN283">
        <f>IFERROR(IF(AL283*AM283=0,"",AL283*AM283),"")</f>
        <v/>
      </c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L283">
        <f>IFERROR(INDEX('_names_lookup'!$C:$C,MATCH(BK283,'_names_lookup'!$A:$A,0)),"")</f>
        <v/>
      </c>
      <c r="BM283">
        <f>IFERROR(INDEX('_names_lookup'!$B:$B,MATCH(BK283,'_names_lookup'!$A:$A,0)),"")</f>
        <v/>
      </c>
      <c r="BS283">
        <f>IFERROR(IF(BR283*AA283=0,"",BR283*AA283),"")</f>
        <v/>
      </c>
    </row>
    <row r="284">
      <c r="O284">
        <f>IFERROR(INDEX('_courses_lookup'!$C:$C,MATCH(K284&amp;L284,'_courses_lookup'!$E:$E,0)),"")</f>
        <v/>
      </c>
      <c r="P284">
        <f>IFERROR(INDEX('_courses_lookup'!$D:$D,MATCH(K284&amp;L284,'_courses_lookup'!$E:$E,0)),"")</f>
        <v/>
      </c>
      <c r="AG284">
        <f>IF(AND(AE284&lt;&gt;"",AF284&lt;&gt;""),ROUNDUP((AF284-AE284)/7,0),"")</f>
        <v/>
      </c>
      <c r="AI284">
        <f>IFERROR(IF(AG284*AH284=0,"",AG284*AH284),"")</f>
        <v/>
      </c>
      <c r="AL284">
        <f>IF(AND(AJ284&lt;&gt;"",AK284&lt;&gt;""),ROUNDUP((AK284-AJ284)/7,0),"")</f>
        <v/>
      </c>
      <c r="AN284">
        <f>IFERROR(IF(AL284*AM284=0,"",AL284*AM284),"")</f>
        <v/>
      </c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L284">
        <f>IFERROR(INDEX('_names_lookup'!$C:$C,MATCH(BK284,'_names_lookup'!$A:$A,0)),"")</f>
        <v/>
      </c>
      <c r="BM284">
        <f>IFERROR(INDEX('_names_lookup'!$B:$B,MATCH(BK284,'_names_lookup'!$A:$A,0)),"")</f>
        <v/>
      </c>
      <c r="BS284">
        <f>IFERROR(IF(BR284*AA284=0,"",BR284*AA284),"")</f>
        <v/>
      </c>
    </row>
    <row r="285">
      <c r="O285">
        <f>IFERROR(INDEX('_courses_lookup'!$C:$C,MATCH(K285&amp;L285,'_courses_lookup'!$E:$E,0)),"")</f>
        <v/>
      </c>
      <c r="P285">
        <f>IFERROR(INDEX('_courses_lookup'!$D:$D,MATCH(K285&amp;L285,'_courses_lookup'!$E:$E,0)),"")</f>
        <v/>
      </c>
      <c r="AG285">
        <f>IF(AND(AE285&lt;&gt;"",AF285&lt;&gt;""),ROUNDUP((AF285-AE285)/7,0),"")</f>
        <v/>
      </c>
      <c r="AI285">
        <f>IFERROR(IF(AG285*AH285=0,"",AG285*AH285),"")</f>
        <v/>
      </c>
      <c r="AL285">
        <f>IF(AND(AJ285&lt;&gt;"",AK285&lt;&gt;""),ROUNDUP((AK285-AJ285)/7,0),"")</f>
        <v/>
      </c>
      <c r="AN285">
        <f>IFERROR(IF(AL285*AM285=0,"",AL285*AM285),"")</f>
        <v/>
      </c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L285">
        <f>IFERROR(INDEX('_names_lookup'!$C:$C,MATCH(BK285,'_names_lookup'!$A:$A,0)),"")</f>
        <v/>
      </c>
      <c r="BM285">
        <f>IFERROR(INDEX('_names_lookup'!$B:$B,MATCH(BK285,'_names_lookup'!$A:$A,0)),"")</f>
        <v/>
      </c>
      <c r="BS285">
        <f>IFERROR(IF(BR285*AA285=0,"",BR285*AA285),"")</f>
        <v/>
      </c>
    </row>
    <row r="286">
      <c r="O286">
        <f>IFERROR(INDEX('_courses_lookup'!$C:$C,MATCH(K286&amp;L286,'_courses_lookup'!$E:$E,0)),"")</f>
        <v/>
      </c>
      <c r="P286">
        <f>IFERROR(INDEX('_courses_lookup'!$D:$D,MATCH(K286&amp;L286,'_courses_lookup'!$E:$E,0)),"")</f>
        <v/>
      </c>
      <c r="AG286">
        <f>IF(AND(AE286&lt;&gt;"",AF286&lt;&gt;""),ROUNDUP((AF286-AE286)/7,0),"")</f>
        <v/>
      </c>
      <c r="AI286">
        <f>IFERROR(IF(AG286*AH286=0,"",AG286*AH286),"")</f>
        <v/>
      </c>
      <c r="AL286">
        <f>IF(AND(AJ286&lt;&gt;"",AK286&lt;&gt;""),ROUNDUP((AK286-AJ286)/7,0),"")</f>
        <v/>
      </c>
      <c r="AN286">
        <f>IFERROR(IF(AL286*AM286=0,"",AL286*AM286),"")</f>
        <v/>
      </c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L286">
        <f>IFERROR(INDEX('_names_lookup'!$C:$C,MATCH(BK286,'_names_lookup'!$A:$A,0)),"")</f>
        <v/>
      </c>
      <c r="BM286">
        <f>IFERROR(INDEX('_names_lookup'!$B:$B,MATCH(BK286,'_names_lookup'!$A:$A,0)),"")</f>
        <v/>
      </c>
      <c r="BS286">
        <f>IFERROR(IF(BR286*AA286=0,"",BR286*AA286),"")</f>
        <v/>
      </c>
    </row>
    <row r="287">
      <c r="O287">
        <f>IFERROR(INDEX('_courses_lookup'!$C:$C,MATCH(K287&amp;L287,'_courses_lookup'!$E:$E,0)),"")</f>
        <v/>
      </c>
      <c r="P287">
        <f>IFERROR(INDEX('_courses_lookup'!$D:$D,MATCH(K287&amp;L287,'_courses_lookup'!$E:$E,0)),"")</f>
        <v/>
      </c>
      <c r="AG287">
        <f>IF(AND(AE287&lt;&gt;"",AF287&lt;&gt;""),ROUNDUP((AF287-AE287)/7,0),"")</f>
        <v/>
      </c>
      <c r="AI287">
        <f>IFERROR(IF(AG287*AH287=0,"",AG287*AH287),"")</f>
        <v/>
      </c>
      <c r="AL287">
        <f>IF(AND(AJ287&lt;&gt;"",AK287&lt;&gt;""),ROUNDUP((AK287-AJ287)/7,0),"")</f>
        <v/>
      </c>
      <c r="AN287">
        <f>IFERROR(IF(AL287*AM287=0,"",AL287*AM287),"")</f>
        <v/>
      </c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L287">
        <f>IFERROR(INDEX('_names_lookup'!$C:$C,MATCH(BK287,'_names_lookup'!$A:$A,0)),"")</f>
        <v/>
      </c>
      <c r="BM287">
        <f>IFERROR(INDEX('_names_lookup'!$B:$B,MATCH(BK287,'_names_lookup'!$A:$A,0)),"")</f>
        <v/>
      </c>
      <c r="BS287">
        <f>IFERROR(IF(BR287*AA287=0,"",BR287*AA287),"")</f>
        <v/>
      </c>
    </row>
    <row r="288">
      <c r="O288">
        <f>IFERROR(INDEX('_courses_lookup'!$C:$C,MATCH(K288&amp;L288,'_courses_lookup'!$E:$E,0)),"")</f>
        <v/>
      </c>
      <c r="P288">
        <f>IFERROR(INDEX('_courses_lookup'!$D:$D,MATCH(K288&amp;L288,'_courses_lookup'!$E:$E,0)),"")</f>
        <v/>
      </c>
      <c r="AG288">
        <f>IF(AND(AE288&lt;&gt;"",AF288&lt;&gt;""),ROUNDUP((AF288-AE288)/7,0),"")</f>
        <v/>
      </c>
      <c r="AI288">
        <f>IFERROR(IF(AG288*AH288=0,"",AG288*AH288),"")</f>
        <v/>
      </c>
      <c r="AL288">
        <f>IF(AND(AJ288&lt;&gt;"",AK288&lt;&gt;""),ROUNDUP((AK288-AJ288)/7,0),"")</f>
        <v/>
      </c>
      <c r="AN288">
        <f>IFERROR(IF(AL288*AM288=0,"",AL288*AM288),"")</f>
        <v/>
      </c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L288">
        <f>IFERROR(INDEX('_names_lookup'!$C:$C,MATCH(BK288,'_names_lookup'!$A:$A,0)),"")</f>
        <v/>
      </c>
      <c r="BM288">
        <f>IFERROR(INDEX('_names_lookup'!$B:$B,MATCH(BK288,'_names_lookup'!$A:$A,0)),"")</f>
        <v/>
      </c>
      <c r="BS288">
        <f>IFERROR(IF(BR288*AA288=0,"",BR288*AA288),"")</f>
        <v/>
      </c>
    </row>
    <row r="289">
      <c r="O289">
        <f>IFERROR(INDEX('_courses_lookup'!$C:$C,MATCH(K289&amp;L289,'_courses_lookup'!$E:$E,0)),"")</f>
        <v/>
      </c>
      <c r="P289">
        <f>IFERROR(INDEX('_courses_lookup'!$D:$D,MATCH(K289&amp;L289,'_courses_lookup'!$E:$E,0)),"")</f>
        <v/>
      </c>
      <c r="AG289">
        <f>IF(AND(AE289&lt;&gt;"",AF289&lt;&gt;""),ROUNDUP((AF289-AE289)/7,0),"")</f>
        <v/>
      </c>
      <c r="AI289">
        <f>IFERROR(IF(AG289*AH289=0,"",AG289*AH289),"")</f>
        <v/>
      </c>
      <c r="AL289">
        <f>IF(AND(AJ289&lt;&gt;"",AK289&lt;&gt;""),ROUNDUP((AK289-AJ289)/7,0),"")</f>
        <v/>
      </c>
      <c r="AN289">
        <f>IFERROR(IF(AL289*AM289=0,"",AL289*AM289),"")</f>
        <v/>
      </c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L289">
        <f>IFERROR(INDEX('_names_lookup'!$C:$C,MATCH(BK289,'_names_lookup'!$A:$A,0)),"")</f>
        <v/>
      </c>
      <c r="BM289">
        <f>IFERROR(INDEX('_names_lookup'!$B:$B,MATCH(BK289,'_names_lookup'!$A:$A,0)),"")</f>
        <v/>
      </c>
      <c r="BS289">
        <f>IFERROR(IF(BR289*AA289=0,"",BR289*AA289),"")</f>
        <v/>
      </c>
    </row>
    <row r="290">
      <c r="O290">
        <f>IFERROR(INDEX('_courses_lookup'!$C:$C,MATCH(K290&amp;L290,'_courses_lookup'!$E:$E,0)),"")</f>
        <v/>
      </c>
      <c r="P290">
        <f>IFERROR(INDEX('_courses_lookup'!$D:$D,MATCH(K290&amp;L290,'_courses_lookup'!$E:$E,0)),"")</f>
        <v/>
      </c>
      <c r="AG290">
        <f>IF(AND(AE290&lt;&gt;"",AF290&lt;&gt;""),ROUNDUP((AF290-AE290)/7,0),"")</f>
        <v/>
      </c>
      <c r="AI290">
        <f>IFERROR(IF(AG290*AH290=0,"",AG290*AH290),"")</f>
        <v/>
      </c>
      <c r="AL290">
        <f>IF(AND(AJ290&lt;&gt;"",AK290&lt;&gt;""),ROUNDUP((AK290-AJ290)/7,0),"")</f>
        <v/>
      </c>
      <c r="AN290">
        <f>IFERROR(IF(AL290*AM290=0,"",AL290*AM290),"")</f>
        <v/>
      </c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L290">
        <f>IFERROR(INDEX('_names_lookup'!$C:$C,MATCH(BK290,'_names_lookup'!$A:$A,0)),"")</f>
        <v/>
      </c>
      <c r="BM290">
        <f>IFERROR(INDEX('_names_lookup'!$B:$B,MATCH(BK290,'_names_lookup'!$A:$A,0)),"")</f>
        <v/>
      </c>
      <c r="BS290">
        <f>IFERROR(IF(BR290*AA290=0,"",BR290*AA290),"")</f>
        <v/>
      </c>
    </row>
    <row r="291">
      <c r="O291">
        <f>IFERROR(INDEX('_courses_lookup'!$C:$C,MATCH(K291&amp;L291,'_courses_lookup'!$E:$E,0)),"")</f>
        <v/>
      </c>
      <c r="P291">
        <f>IFERROR(INDEX('_courses_lookup'!$D:$D,MATCH(K291&amp;L291,'_courses_lookup'!$E:$E,0)),"")</f>
        <v/>
      </c>
      <c r="AG291">
        <f>IF(AND(AE291&lt;&gt;"",AF291&lt;&gt;""),ROUNDUP((AF291-AE291)/7,0),"")</f>
        <v/>
      </c>
      <c r="AI291">
        <f>IFERROR(IF(AG291*AH291=0,"",AG291*AH291),"")</f>
        <v/>
      </c>
      <c r="AL291">
        <f>IF(AND(AJ291&lt;&gt;"",AK291&lt;&gt;""),ROUNDUP((AK291-AJ291)/7,0),"")</f>
        <v/>
      </c>
      <c r="AN291">
        <f>IFERROR(IF(AL291*AM291=0,"",AL291*AM291),"")</f>
        <v/>
      </c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L291">
        <f>IFERROR(INDEX('_names_lookup'!$C:$C,MATCH(BK291,'_names_lookup'!$A:$A,0)),"")</f>
        <v/>
      </c>
      <c r="BM291">
        <f>IFERROR(INDEX('_names_lookup'!$B:$B,MATCH(BK291,'_names_lookup'!$A:$A,0)),"")</f>
        <v/>
      </c>
      <c r="BS291">
        <f>IFERROR(IF(BR291*AA291=0,"",BR291*AA291),"")</f>
        <v/>
      </c>
    </row>
    <row r="292">
      <c r="O292">
        <f>IFERROR(INDEX('_courses_lookup'!$C:$C,MATCH(K292&amp;L292,'_courses_lookup'!$E:$E,0)),"")</f>
        <v/>
      </c>
      <c r="P292">
        <f>IFERROR(INDEX('_courses_lookup'!$D:$D,MATCH(K292&amp;L292,'_courses_lookup'!$E:$E,0)),"")</f>
        <v/>
      </c>
      <c r="AG292">
        <f>IF(AND(AE292&lt;&gt;"",AF292&lt;&gt;""),ROUNDUP((AF292-AE292)/7,0),"")</f>
        <v/>
      </c>
      <c r="AI292">
        <f>IFERROR(IF(AG292*AH292=0,"",AG292*AH292),"")</f>
        <v/>
      </c>
      <c r="AL292">
        <f>IF(AND(AJ292&lt;&gt;"",AK292&lt;&gt;""),ROUNDUP((AK292-AJ292)/7,0),"")</f>
        <v/>
      </c>
      <c r="AN292">
        <f>IFERROR(IF(AL292*AM292=0,"",AL292*AM292),"")</f>
        <v/>
      </c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L292">
        <f>IFERROR(INDEX('_names_lookup'!$C:$C,MATCH(BK292,'_names_lookup'!$A:$A,0)),"")</f>
        <v/>
      </c>
      <c r="BM292">
        <f>IFERROR(INDEX('_names_lookup'!$B:$B,MATCH(BK292,'_names_lookup'!$A:$A,0)),"")</f>
        <v/>
      </c>
      <c r="BS292">
        <f>IFERROR(IF(BR292*AA292=0,"",BR292*AA292),"")</f>
        <v/>
      </c>
    </row>
    <row r="293">
      <c r="O293">
        <f>IFERROR(INDEX('_courses_lookup'!$C:$C,MATCH(K293&amp;L293,'_courses_lookup'!$E:$E,0)),"")</f>
        <v/>
      </c>
      <c r="P293">
        <f>IFERROR(INDEX('_courses_lookup'!$D:$D,MATCH(K293&amp;L293,'_courses_lookup'!$E:$E,0)),"")</f>
        <v/>
      </c>
      <c r="AG293">
        <f>IF(AND(AE293&lt;&gt;"",AF293&lt;&gt;""),ROUNDUP((AF293-AE293)/7,0),"")</f>
        <v/>
      </c>
      <c r="AI293">
        <f>IFERROR(IF(AG293*AH293=0,"",AG293*AH293),"")</f>
        <v/>
      </c>
      <c r="AL293">
        <f>IF(AND(AJ293&lt;&gt;"",AK293&lt;&gt;""),ROUNDUP((AK293-AJ293)/7,0),"")</f>
        <v/>
      </c>
      <c r="AN293">
        <f>IFERROR(IF(AL293*AM293=0,"",AL293*AM293),"")</f>
        <v/>
      </c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L293">
        <f>IFERROR(INDEX('_names_lookup'!$C:$C,MATCH(BK293,'_names_lookup'!$A:$A,0)),"")</f>
        <v/>
      </c>
      <c r="BM293">
        <f>IFERROR(INDEX('_names_lookup'!$B:$B,MATCH(BK293,'_names_lookup'!$A:$A,0)),"")</f>
        <v/>
      </c>
      <c r="BS293">
        <f>IFERROR(IF(BR293*AA293=0,"",BR293*AA293),"")</f>
        <v/>
      </c>
    </row>
    <row r="294">
      <c r="O294">
        <f>IFERROR(INDEX('_courses_lookup'!$C:$C,MATCH(K294&amp;L294,'_courses_lookup'!$E:$E,0)),"")</f>
        <v/>
      </c>
      <c r="P294">
        <f>IFERROR(INDEX('_courses_lookup'!$D:$D,MATCH(K294&amp;L294,'_courses_lookup'!$E:$E,0)),"")</f>
        <v/>
      </c>
      <c r="AG294">
        <f>IF(AND(AE294&lt;&gt;"",AF294&lt;&gt;""),ROUNDUP((AF294-AE294)/7,0),"")</f>
        <v/>
      </c>
      <c r="AI294">
        <f>IFERROR(IF(AG294*AH294=0,"",AG294*AH294),"")</f>
        <v/>
      </c>
      <c r="AL294">
        <f>IF(AND(AJ294&lt;&gt;"",AK294&lt;&gt;""),ROUNDUP((AK294-AJ294)/7,0),"")</f>
        <v/>
      </c>
      <c r="AN294">
        <f>IFERROR(IF(AL294*AM294=0,"",AL294*AM294),"")</f>
        <v/>
      </c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L294">
        <f>IFERROR(INDEX('_names_lookup'!$C:$C,MATCH(BK294,'_names_lookup'!$A:$A,0)),"")</f>
        <v/>
      </c>
      <c r="BM294">
        <f>IFERROR(INDEX('_names_lookup'!$B:$B,MATCH(BK294,'_names_lookup'!$A:$A,0)),"")</f>
        <v/>
      </c>
      <c r="BS294">
        <f>IFERROR(IF(BR294*AA294=0,"",BR294*AA294),"")</f>
        <v/>
      </c>
    </row>
    <row r="295">
      <c r="O295">
        <f>IFERROR(INDEX('_courses_lookup'!$C:$C,MATCH(K295&amp;L295,'_courses_lookup'!$E:$E,0)),"")</f>
        <v/>
      </c>
      <c r="P295">
        <f>IFERROR(INDEX('_courses_lookup'!$D:$D,MATCH(K295&amp;L295,'_courses_lookup'!$E:$E,0)),"")</f>
        <v/>
      </c>
      <c r="AG295">
        <f>IF(AND(AE295&lt;&gt;"",AF295&lt;&gt;""),ROUNDUP((AF295-AE295)/7,0),"")</f>
        <v/>
      </c>
      <c r="AI295">
        <f>IFERROR(IF(AG295*AH295=0,"",AG295*AH295),"")</f>
        <v/>
      </c>
      <c r="AL295">
        <f>IF(AND(AJ295&lt;&gt;"",AK295&lt;&gt;""),ROUNDUP((AK295-AJ295)/7,0),"")</f>
        <v/>
      </c>
      <c r="AN295">
        <f>IFERROR(IF(AL295*AM295=0,"",AL295*AM295),"")</f>
        <v/>
      </c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L295">
        <f>IFERROR(INDEX('_names_lookup'!$C:$C,MATCH(BK295,'_names_lookup'!$A:$A,0)),"")</f>
        <v/>
      </c>
      <c r="BM295">
        <f>IFERROR(INDEX('_names_lookup'!$B:$B,MATCH(BK295,'_names_lookup'!$A:$A,0)),"")</f>
        <v/>
      </c>
      <c r="BS295">
        <f>IFERROR(IF(BR295*AA295=0,"",BR295*AA295),"")</f>
        <v/>
      </c>
    </row>
    <row r="296">
      <c r="O296">
        <f>IFERROR(INDEX('_courses_lookup'!$C:$C,MATCH(K296&amp;L296,'_courses_lookup'!$E:$E,0)),"")</f>
        <v/>
      </c>
      <c r="P296">
        <f>IFERROR(INDEX('_courses_lookup'!$D:$D,MATCH(K296&amp;L296,'_courses_lookup'!$E:$E,0)),"")</f>
        <v/>
      </c>
      <c r="AG296">
        <f>IF(AND(AE296&lt;&gt;"",AF296&lt;&gt;""),ROUNDUP((AF296-AE296)/7,0),"")</f>
        <v/>
      </c>
      <c r="AI296">
        <f>IFERROR(IF(AG296*AH296=0,"",AG296*AH296),"")</f>
        <v/>
      </c>
      <c r="AL296">
        <f>IF(AND(AJ296&lt;&gt;"",AK296&lt;&gt;""),ROUNDUP((AK296-AJ296)/7,0),"")</f>
        <v/>
      </c>
      <c r="AN296">
        <f>IFERROR(IF(AL296*AM296=0,"",AL296*AM296),"")</f>
        <v/>
      </c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L296">
        <f>IFERROR(INDEX('_names_lookup'!$C:$C,MATCH(BK296,'_names_lookup'!$A:$A,0)),"")</f>
        <v/>
      </c>
      <c r="BM296">
        <f>IFERROR(INDEX('_names_lookup'!$B:$B,MATCH(BK296,'_names_lookup'!$A:$A,0)),"")</f>
        <v/>
      </c>
      <c r="BS296">
        <f>IFERROR(IF(BR296*AA296=0,"",BR296*AA296),"")</f>
        <v/>
      </c>
    </row>
    <row r="297">
      <c r="O297">
        <f>IFERROR(INDEX('_courses_lookup'!$C:$C,MATCH(K297&amp;L297,'_courses_lookup'!$E:$E,0)),"")</f>
        <v/>
      </c>
      <c r="P297">
        <f>IFERROR(INDEX('_courses_lookup'!$D:$D,MATCH(K297&amp;L297,'_courses_lookup'!$E:$E,0)),"")</f>
        <v/>
      </c>
      <c r="AG297">
        <f>IF(AND(AE297&lt;&gt;"",AF297&lt;&gt;""),ROUNDUP((AF297-AE297)/7,0),"")</f>
        <v/>
      </c>
      <c r="AI297">
        <f>IFERROR(IF(AG297*AH297=0,"",AG297*AH297),"")</f>
        <v/>
      </c>
      <c r="AL297">
        <f>IF(AND(AJ297&lt;&gt;"",AK297&lt;&gt;""),ROUNDUP((AK297-AJ297)/7,0),"")</f>
        <v/>
      </c>
      <c r="AN297">
        <f>IFERROR(IF(AL297*AM297=0,"",AL297*AM297),"")</f>
        <v/>
      </c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L297">
        <f>IFERROR(INDEX('_names_lookup'!$C:$C,MATCH(BK297,'_names_lookup'!$A:$A,0)),"")</f>
        <v/>
      </c>
      <c r="BM297">
        <f>IFERROR(INDEX('_names_lookup'!$B:$B,MATCH(BK297,'_names_lookup'!$A:$A,0)),"")</f>
        <v/>
      </c>
      <c r="BS297">
        <f>IFERROR(IF(BR297*AA297=0,"",BR297*AA297),"")</f>
        <v/>
      </c>
    </row>
    <row r="298">
      <c r="O298">
        <f>IFERROR(INDEX('_courses_lookup'!$C:$C,MATCH(K298&amp;L298,'_courses_lookup'!$E:$E,0)),"")</f>
        <v/>
      </c>
      <c r="P298">
        <f>IFERROR(INDEX('_courses_lookup'!$D:$D,MATCH(K298&amp;L298,'_courses_lookup'!$E:$E,0)),"")</f>
        <v/>
      </c>
      <c r="AG298">
        <f>IF(AND(AE298&lt;&gt;"",AF298&lt;&gt;""),ROUNDUP((AF298-AE298)/7,0),"")</f>
        <v/>
      </c>
      <c r="AI298">
        <f>IFERROR(IF(AG298*AH298=0,"",AG298*AH298),"")</f>
        <v/>
      </c>
      <c r="AL298">
        <f>IF(AND(AJ298&lt;&gt;"",AK298&lt;&gt;""),ROUNDUP((AK298-AJ298)/7,0),"")</f>
        <v/>
      </c>
      <c r="AN298">
        <f>IFERROR(IF(AL298*AM298=0,"",AL298*AM298),"")</f>
        <v/>
      </c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L298">
        <f>IFERROR(INDEX('_names_lookup'!$C:$C,MATCH(BK298,'_names_lookup'!$A:$A,0)),"")</f>
        <v/>
      </c>
      <c r="BM298">
        <f>IFERROR(INDEX('_names_lookup'!$B:$B,MATCH(BK298,'_names_lookup'!$A:$A,0)),"")</f>
        <v/>
      </c>
      <c r="BS298">
        <f>IFERROR(IF(BR298*AA298=0,"",BR298*AA298),"")</f>
        <v/>
      </c>
    </row>
    <row r="299">
      <c r="O299">
        <f>IFERROR(INDEX('_courses_lookup'!$C:$C,MATCH(K299&amp;L299,'_courses_lookup'!$E:$E,0)),"")</f>
        <v/>
      </c>
      <c r="P299">
        <f>IFERROR(INDEX('_courses_lookup'!$D:$D,MATCH(K299&amp;L299,'_courses_lookup'!$E:$E,0)),"")</f>
        <v/>
      </c>
      <c r="AG299">
        <f>IF(AND(AE299&lt;&gt;"",AF299&lt;&gt;""),ROUNDUP((AF299-AE299)/7,0),"")</f>
        <v/>
      </c>
      <c r="AI299">
        <f>IFERROR(IF(AG299*AH299=0,"",AG299*AH299),"")</f>
        <v/>
      </c>
      <c r="AL299">
        <f>IF(AND(AJ299&lt;&gt;"",AK299&lt;&gt;""),ROUNDUP((AK299-AJ299)/7,0),"")</f>
        <v/>
      </c>
      <c r="AN299">
        <f>IFERROR(IF(AL299*AM299=0,"",AL299*AM299),"")</f>
        <v/>
      </c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L299">
        <f>IFERROR(INDEX('_names_lookup'!$C:$C,MATCH(BK299,'_names_lookup'!$A:$A,0)),"")</f>
        <v/>
      </c>
      <c r="BM299">
        <f>IFERROR(INDEX('_names_lookup'!$B:$B,MATCH(BK299,'_names_lookup'!$A:$A,0)),"")</f>
        <v/>
      </c>
      <c r="BS299">
        <f>IFERROR(IF(BR299*AA299=0,"",BR299*AA299),"")</f>
        <v/>
      </c>
    </row>
    <row r="300">
      <c r="O300">
        <f>IFERROR(INDEX('_courses_lookup'!$C:$C,MATCH(K300&amp;L300,'_courses_lookup'!$E:$E,0)),"")</f>
        <v/>
      </c>
      <c r="P300">
        <f>IFERROR(INDEX('_courses_lookup'!$D:$D,MATCH(K300&amp;L300,'_courses_lookup'!$E:$E,0)),"")</f>
        <v/>
      </c>
      <c r="AG300">
        <f>IF(AND(AE300&lt;&gt;"",AF300&lt;&gt;""),ROUNDUP((AF300-AE300)/7,0),"")</f>
        <v/>
      </c>
      <c r="AI300">
        <f>IFERROR(IF(AG300*AH300=0,"",AG300*AH300),"")</f>
        <v/>
      </c>
      <c r="AL300">
        <f>IF(AND(AJ300&lt;&gt;"",AK300&lt;&gt;""),ROUNDUP((AK300-AJ300)/7,0),"")</f>
        <v/>
      </c>
      <c r="AN300">
        <f>IFERROR(IF(AL300*AM300=0,"",AL300*AM300),"")</f>
        <v/>
      </c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L300">
        <f>IFERROR(INDEX('_names_lookup'!$C:$C,MATCH(BK300,'_names_lookup'!$A:$A,0)),"")</f>
        <v/>
      </c>
      <c r="BM300">
        <f>IFERROR(INDEX('_names_lookup'!$B:$B,MATCH(BK300,'_names_lookup'!$A:$A,0)),"")</f>
        <v/>
      </c>
      <c r="BS300">
        <f>IFERROR(IF(BR300*AA300=0,"",BR300*AA300),"")</f>
        <v/>
      </c>
    </row>
  </sheetData>
  <autoFilter ref="A1:DQ1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='DropDownMenu'!$BC$2:$BC$259</formula1>
    </dataValidation>
    <dataValidation sqref="BL2:BL5000" showDropDown="0" showInputMessage="0" showErrorMessage="0" allowBlank="1" type="list">
      <formula1>='DropDownMenu'!$BD$2:$BD$253</formula1>
    </dataValidation>
    <dataValidation sqref="BM2:BM5000" showDropDown="0" showInputMessage="0" showErrorMessage="0" allowBlank="1" type="list">
      <formula1>='DropDownMenu'!$BE$2:$BE$259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19" sqref="G19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23" t="inlineStr">
        <is>
          <t>Don {not in Banner}</t>
        </is>
      </c>
      <c r="B1" s="23" t="inlineStr">
        <is>
          <t>Mismatching {not in Banner}</t>
        </is>
      </c>
      <c r="C1" s="23" t="inlineStr">
        <is>
          <t>Dept/Prog Admin {not in Banner}</t>
        </is>
      </c>
      <c r="D1" s="23" t="inlineStr">
        <is>
          <t>Mona {not in Banner}</t>
        </is>
      </c>
      <c r="E1" s="23" t="inlineStr">
        <is>
          <t>Karen {not in Banner}</t>
        </is>
      </c>
      <c r="F1" s="23" t="inlineStr">
        <is>
          <t>DONE {not in Banner}</t>
        </is>
      </c>
      <c r="G1" s="24" t="inlineStr">
        <is>
          <t>Notes {not in Banner}</t>
        </is>
      </c>
      <c r="H1" s="23" t="inlineStr">
        <is>
          <t>CRN sorted {not in Banner}</t>
        </is>
      </c>
      <c r="I1" s="23" t="inlineStr">
        <is>
          <t>CRN</t>
        </is>
      </c>
      <c r="J1" s="23" t="inlineStr">
        <is>
          <t>Attribute {not in Banner}</t>
        </is>
      </c>
      <c r="K1" s="23" t="inlineStr">
        <is>
          <t>Subject</t>
        </is>
      </c>
      <c r="L1" s="23" t="inlineStr">
        <is>
          <t>Course Number {Crse Num}</t>
        </is>
      </c>
      <c r="M1" s="23" t="inlineStr">
        <is>
          <t>Course Section {Seq Crse Num}</t>
        </is>
      </c>
      <c r="N1" s="23" t="inlineStr">
        <is>
          <t>Program {not in Banner}</t>
        </is>
      </c>
      <c r="O1" s="23" t="inlineStr">
        <is>
          <t>Catalog Title</t>
        </is>
      </c>
      <c r="P1" s="23" t="inlineStr">
        <is>
          <t>Section Title</t>
        </is>
      </c>
      <c r="Q1" s="23" t="inlineStr">
        <is>
          <t>Crosslist Details {not in Banner}</t>
        </is>
      </c>
      <c r="R1" s="23" t="inlineStr">
        <is>
          <t>X Lst</t>
        </is>
      </c>
      <c r="S1" s="23" t="inlineStr">
        <is>
          <t>Campus {Ssasect Campus}</t>
        </is>
      </c>
      <c r="T1" s="23" t="inlineStr">
        <is>
          <t>Campus Restriction {Camp Restr CC}</t>
        </is>
      </c>
      <c r="U1" s="23" t="inlineStr">
        <is>
          <t>Schedule Type {not in Banner}</t>
        </is>
      </c>
      <c r="V1" s="23" t="inlineStr">
        <is>
          <t>Instruction Method {Inst Method}</t>
        </is>
      </c>
      <c r="W1" s="23" t="inlineStr">
        <is>
          <t>Level {Level SC}</t>
        </is>
      </c>
      <c r="X1" s="23" t="inlineStr">
        <is>
          <t>Part-Of-Term</t>
        </is>
      </c>
      <c r="Y1" s="23" t="inlineStr">
        <is>
          <t>Credit Catalog {Cat Crs}</t>
        </is>
      </c>
      <c r="Z1" s="23" t="inlineStr">
        <is>
          <t>Credits {Sect Crs}</t>
        </is>
      </c>
      <c r="AA1" s="23" t="inlineStr">
        <is>
          <t>Faculty Load / Contract Credits {not in Banner}</t>
        </is>
      </c>
      <c r="AB1" s="23" t="inlineStr">
        <is>
          <t>Enrollment Cap {Max Enrl}</t>
        </is>
      </c>
      <c r="AC1" s="23" t="inlineStr">
        <is>
          <t>Meeting Type</t>
        </is>
      </c>
      <c r="AD1" s="23" t="inlineStr">
        <is>
          <t>Semester Start Date {Soaterm Start Date}</t>
        </is>
      </c>
      <c r="AE1" s="23" t="inlineStr">
        <is>
          <t>Pre-work Start Date {not in Banner}</t>
        </is>
      </c>
      <c r="AF1" s="23" t="inlineStr">
        <is>
          <t>Pre-work End Date {not in Banner}</t>
        </is>
      </c>
      <c r="AG1" s="25" t="inlineStr">
        <is>
          <t>pre-work # of weeks {not in Banner}</t>
        </is>
      </c>
      <c r="AH1" s="25" t="inlineStr">
        <is>
          <t>pre-work hours/week {not in Banner}</t>
        </is>
      </c>
      <c r="AI1" s="25" t="inlineStr">
        <is>
          <t>pre-work hours/period {not in Banner}</t>
        </is>
      </c>
      <c r="AJ1" s="23" t="inlineStr">
        <is>
          <t>Intensive Period Start Date {Meet Start Date}</t>
        </is>
      </c>
      <c r="AK1" s="23" t="inlineStr">
        <is>
          <t>Intensive Period End Date {Meet End Date}</t>
        </is>
      </c>
      <c r="AL1" s="25" t="inlineStr">
        <is>
          <t>intensive # of weeks {not in Banner}</t>
        </is>
      </c>
      <c r="AM1" s="25" t="inlineStr">
        <is>
          <t>intensive hours/week {not in Banner}</t>
        </is>
      </c>
      <c r="AN1" s="25" t="inlineStr">
        <is>
          <t>intensive hours/period {not in Banner}</t>
        </is>
      </c>
      <c r="AO1" s="23" t="inlineStr">
        <is>
          <t>Post-work Start Date {not in Banner}</t>
        </is>
      </c>
      <c r="AP1" s="23" t="inlineStr">
        <is>
          <t>Post-work End Date {not in Banner}</t>
        </is>
      </c>
      <c r="AQ1" s="25" t="inlineStr">
        <is>
          <t>post-work # of weeks {not in Banner}</t>
        </is>
      </c>
      <c r="AR1" s="25" t="inlineStr">
        <is>
          <t>post-work hours/week {not in Banner}</t>
        </is>
      </c>
      <c r="AS1" s="25" t="inlineStr">
        <is>
          <t>post-work hours/period {not in Banner}</t>
        </is>
      </c>
      <c r="AT1" s="25" t="inlineStr">
        <is>
          <t>sum of weeks (for check) {not in Banner}</t>
        </is>
      </c>
      <c r="AU1" s="25" t="inlineStr">
        <is>
          <t>total contract hours {not in Banner}</t>
        </is>
      </c>
      <c r="AV1" s="23" t="inlineStr">
        <is>
          <t>Semester End Date {Soaterm End Date}</t>
        </is>
      </c>
      <c r="AW1" s="23" t="inlineStr">
        <is>
          <t>Course Beginning Time {Meet Beg Time}</t>
        </is>
      </c>
      <c r="AX1" s="23" t="inlineStr">
        <is>
          <t>Course Ending Time {Meet End Time}</t>
        </is>
      </c>
      <c r="AY1" s="23" t="inlineStr">
        <is>
          <t>SUN</t>
        </is>
      </c>
      <c r="AZ1" s="23" t="inlineStr">
        <is>
          <t>MON</t>
        </is>
      </c>
      <c r="BA1" s="23" t="inlineStr">
        <is>
          <t>TUE</t>
        </is>
      </c>
      <c r="BB1" s="23" t="inlineStr">
        <is>
          <t>WED</t>
        </is>
      </c>
      <c r="BC1" s="23" t="inlineStr">
        <is>
          <t>THU</t>
        </is>
      </c>
      <c r="BD1" s="23" t="inlineStr">
        <is>
          <t>FRI</t>
        </is>
      </c>
      <c r="BE1" s="23" t="inlineStr">
        <is>
          <t>SAT</t>
        </is>
      </c>
      <c r="BF1" s="23" t="inlineStr">
        <is>
          <t>Weeks</t>
        </is>
      </c>
      <c r="BG1" s="23" t="inlineStr">
        <is>
          <t>Fiscal Year {not in Banner}</t>
        </is>
      </c>
      <c r="BH1" s="25" t="inlineStr">
        <is>
          <t>Semester {not in Banner}</t>
        </is>
      </c>
      <c r="BI1" s="23" t="inlineStr">
        <is>
          <t>Room {Meet Room}</t>
        </is>
      </c>
      <c r="BJ1" s="23" t="inlineStr">
        <is>
          <t>Building {Meet Bldg}</t>
        </is>
      </c>
      <c r="BK1" s="23" t="inlineStr">
        <is>
          <t>Instructor Name {Instr Name}</t>
        </is>
      </c>
      <c r="BL1" s="23" t="inlineStr">
        <is>
          <t>Instructor Email {Instr Email}</t>
        </is>
      </c>
      <c r="BM1" s="23" t="inlineStr">
        <is>
          <t>Instructor ID {Instr ID}</t>
        </is>
      </c>
      <c r="BN1" s="25" t="inlineStr">
        <is>
          <t>Remote Employee {not in Banner}</t>
        </is>
      </c>
      <c r="BO1" s="23" t="inlineStr">
        <is>
          <t>% Responsibility</t>
        </is>
      </c>
      <c r="BP1" s="23" t="inlineStr">
        <is>
          <t>load/contract {not in Banner}</t>
        </is>
      </c>
      <c r="BQ1" s="25" t="inlineStr">
        <is>
          <t>Reason for Contract {not in Banner}</t>
        </is>
      </c>
      <c r="BR1" s="25" t="inlineStr">
        <is>
          <t>costs per credit {not in Banner}</t>
        </is>
      </c>
      <c r="BS1" s="25" t="inlineStr">
        <is>
          <t>total costs {not in Banner}</t>
        </is>
      </c>
      <c r="BT1" s="25" t="inlineStr">
        <is>
          <t>dept budget {not in Banner}</t>
        </is>
      </c>
      <c r="BU1" s="25" t="inlineStr">
        <is>
          <t>account to be charged {not in Banner}</t>
        </is>
      </c>
      <c r="BV1" s="25" t="inlineStr">
        <is>
          <t>SEM Department {Scacrse Dept}</t>
        </is>
      </c>
      <c r="BW1" s="26" t="inlineStr">
        <is>
          <t>dean email</t>
        </is>
      </c>
      <c r="BX1" s="26" t="inlineStr">
        <is>
          <t>VP finance email</t>
        </is>
      </c>
      <c r="BY1" s="26" t="inlineStr">
        <is>
          <t>HR email</t>
        </is>
      </c>
      <c r="BZ1" s="26" t="inlineStr">
        <is>
          <t>Fee Amount {Fees Amt}</t>
        </is>
      </c>
      <c r="CA1" s="26" t="inlineStr">
        <is>
          <t>Fee Code {Detl Code}</t>
        </is>
      </c>
      <c r="CB1" s="26" t="inlineStr">
        <is>
          <t>Fee Type</t>
        </is>
      </c>
      <c r="CC1" s="26" t="inlineStr">
        <is>
          <t>Fee Level</t>
        </is>
      </c>
      <c r="CD1" s="26" t="inlineStr">
        <is>
          <t>Fee Ind</t>
        </is>
      </c>
      <c r="CE1" s="26" t="inlineStr">
        <is>
          <t>Fee Term</t>
        </is>
      </c>
      <c r="CF1" s="26" t="inlineStr">
        <is>
          <t>Activity Date</t>
        </is>
      </c>
      <c r="CG1" s="26" t="inlineStr">
        <is>
          <t>Status</t>
        </is>
      </c>
      <c r="CH1" s="26" t="inlineStr">
        <is>
          <t>Bill Hrs</t>
        </is>
      </c>
      <c r="CI1" s="26" t="inlineStr">
        <is>
          <t>Sect Sch Type</t>
        </is>
      </c>
      <c r="CJ1" s="26" t="inlineStr">
        <is>
          <t>Prerequisites {Preq Areas}</t>
        </is>
      </c>
      <c r="CK1" s="26" t="inlineStr">
        <is>
          <t>Link Ind</t>
        </is>
      </c>
      <c r="CL1" s="26" t="inlineStr">
        <is>
          <t>Integration Code</t>
        </is>
      </c>
      <c r="CM1" s="26" t="inlineStr">
        <is>
          <t>Link Conn</t>
        </is>
      </c>
      <c r="CN1" s="26" t="inlineStr">
        <is>
          <t>Crs Attr</t>
        </is>
      </c>
      <c r="CO1" s="26" t="inlineStr">
        <is>
          <t>Comments</t>
        </is>
      </c>
      <c r="CP1" s="26" t="inlineStr">
        <is>
          <t>Major Restr</t>
        </is>
      </c>
      <c r="CQ1" s="26" t="inlineStr">
        <is>
          <t>Scacrse College</t>
        </is>
      </c>
      <c r="CR1" s="26" t="inlineStr">
        <is>
          <t>Enrolled</t>
        </is>
      </c>
      <c r="CS1" s="26" t="inlineStr">
        <is>
          <t>Waitlist Capacity</t>
        </is>
      </c>
      <c r="CT1" s="26" t="inlineStr">
        <is>
          <t>Primary Ind</t>
        </is>
      </c>
      <c r="CU1" s="26" t="inlineStr">
        <is>
          <t>Override</t>
        </is>
      </c>
      <c r="CV1" s="26" t="inlineStr">
        <is>
          <t>1st Date Reg Opens</t>
        </is>
      </c>
      <c r="CW1" s="26" t="inlineStr">
        <is>
          <t>Last Date Reg Opens</t>
        </is>
      </c>
      <c r="CX1" s="26" t="inlineStr">
        <is>
          <t>OL Range From Date</t>
        </is>
      </c>
      <c r="CY1" s="26" t="inlineStr">
        <is>
          <t>OL Range To Date</t>
        </is>
      </c>
      <c r="CZ1" s="26" t="inlineStr">
        <is>
          <t>OL Numb Units</t>
        </is>
      </c>
      <c r="DA1" s="26" t="inlineStr">
        <is>
          <t>OL Duration Code</t>
        </is>
      </c>
      <c r="DB1" s="26" t="inlineStr">
        <is>
          <t>Grade Mode</t>
        </is>
      </c>
      <c r="DC1" s="26" t="inlineStr">
        <is>
          <t>Gradable Ind</t>
        </is>
      </c>
      <c r="DD1" s="26" t="inlineStr">
        <is>
          <t>Tuit Waiver</t>
        </is>
      </c>
      <c r="DE1" s="26" t="inlineStr">
        <is>
          <t>Course Override {Meet Override}</t>
        </is>
      </c>
      <c r="DF1" s="26" t="inlineStr">
        <is>
          <t>Lvl Res Ind</t>
        </is>
      </c>
      <c r="DG1" s="26" t="inlineStr">
        <is>
          <t>Cmp Res Ind</t>
        </is>
      </c>
      <c r="DH1" s="26" t="inlineStr">
        <is>
          <t>Rate Code</t>
        </is>
      </c>
      <c r="DI1" s="26" t="inlineStr">
        <is>
          <t>Cohort Code</t>
        </is>
      </c>
      <c r="DJ1" s="26" t="inlineStr">
        <is>
          <t>St Attr Code</t>
        </is>
      </c>
      <c r="DK1" s="26" t="inlineStr">
        <is>
          <t>Coll SC</t>
        </is>
      </c>
      <c r="DL1" s="26" t="inlineStr">
        <is>
          <t>DegC SC</t>
        </is>
      </c>
      <c r="DM1" s="26" t="inlineStr">
        <is>
          <t>Prog SC</t>
        </is>
      </c>
      <c r="DN1" s="26" t="inlineStr">
        <is>
          <t>FOS Type</t>
        </is>
      </c>
      <c r="DO1" s="26" t="inlineStr">
        <is>
          <t>Special Approval {Special Apvl}</t>
        </is>
      </c>
      <c r="DP1" s="26" t="inlineStr">
        <is>
          <t>Term Code</t>
        </is>
      </c>
      <c r="DQ1" s="26" t="inlineStr">
        <is>
          <t>Camp SC</t>
        </is>
      </c>
    </row>
    <row r="2">
      <c r="O2">
        <f>IFERROR(INDEX('_courses_lookup'!$C:$C,MATCH(K2&amp;L2,'_courses_lookup'!$E:$E,0)),"")</f>
        <v/>
      </c>
      <c r="P2">
        <f>IFERROR(INDEX('_courses_lookup'!$D:$D,MATCH(K2&amp;L2,'_courses_lookup'!$E:$E,0)),"")</f>
        <v/>
      </c>
      <c r="AG2">
        <f>IF(AND(AE2&lt;&gt;"",AF2&lt;&gt;""),ROUNDUP((AF2-AE2)/7,0),"")</f>
        <v/>
      </c>
      <c r="AI2">
        <f>IFERROR(IF(AG2*AH2=0,"",AG2*AH2),"")</f>
        <v/>
      </c>
      <c r="AL2">
        <f>IF(AND(AJ2&lt;&gt;"",AK2&lt;&gt;""),ROUNDUP((AK2-AJ2)/7,0),"")</f>
        <v/>
      </c>
      <c r="AN2">
        <f>IFERROR(IF(AL2*AM2=0,"",AL2*AM2),"")</f>
        <v/>
      </c>
      <c r="AQ2">
        <f>IF(AND(AO2&lt;&gt;"",AP2&lt;&gt;""),ROUNDUP((AP2-AO2)/7,0),"")</f>
        <v/>
      </c>
      <c r="AR2">
        <f>IFERROR(IF((AU2-(AI2+AN2))/AQ2=0,"",ROUNDUP((AU2-(AI2+AN2))/AQ2,0)),"")</f>
        <v/>
      </c>
      <c r="AS2">
        <f>IFERROR(IF((AU2-(AI2+AN2))=0,"",(AU2-(AI2+AN2))),"")</f>
        <v/>
      </c>
      <c r="AT2">
        <f>IF(AND(AG2="",AQ2=""),AL2,IF(SUM(AG2,AL2,AQ2)=0,"",SUM(AG2,AL2,AQ2)))</f>
        <v/>
      </c>
      <c r="BG2">
        <f>IF(AD2="","",YEAR(AD2)+IF(MONTH(AD2)&gt;=5,1,0))</f>
        <v/>
      </c>
      <c r="BH2">
        <f>IF(AD2="","",IF(AND(MONTH(AD2)=8,DAY(AD2)&gt;=15),"Fall",IF(MONTH(AD2)&gt;8,"Fall",IF(MONTH(AD2)=5,"Summer",IF(MONTH(AD2)=1,"Spring","")))))</f>
        <v/>
      </c>
      <c r="BL2">
        <f>IFERROR(INDEX('_names_lookup'!$C:$C,MATCH(BK2,'_names_lookup'!$A:$A,0)),"")</f>
        <v/>
      </c>
      <c r="BM2">
        <f>IFERROR(INDEX('_names_lookup'!$B:$B,MATCH(BK2,'_names_lookup'!$A:$A,0)),"")</f>
        <v/>
      </c>
      <c r="BS2">
        <f>IFERROR(IF(BR2*AA2=0,"",BR2*AA2),"")</f>
        <v/>
      </c>
    </row>
    <row r="3">
      <c r="O3">
        <f>IFERROR(INDEX('_courses_lookup'!$C:$C,MATCH(K3&amp;L3,'_courses_lookup'!$E:$E,0)),"")</f>
        <v/>
      </c>
      <c r="P3">
        <f>IFERROR(INDEX('_courses_lookup'!$D:$D,MATCH(K3&amp;L3,'_courses_lookup'!$E:$E,0)),"")</f>
        <v/>
      </c>
      <c r="AG3">
        <f>IF(AND(AE3&lt;&gt;"",AF3&lt;&gt;""),ROUNDUP((AF3-AE3)/7,0),"")</f>
        <v/>
      </c>
      <c r="AI3">
        <f>IFERROR(IF(AG3*AH3=0,"",AG3*AH3),"")</f>
        <v/>
      </c>
      <c r="AL3">
        <f>IF(AND(AJ3&lt;&gt;"",AK3&lt;&gt;""),ROUNDUP((AK3-AJ3)/7,0),"")</f>
        <v/>
      </c>
      <c r="AN3">
        <f>IFERROR(IF(AL3*AM3=0,"",AL3*AM3),"")</f>
        <v/>
      </c>
      <c r="AQ3">
        <f>IF(AND(AO3&lt;&gt;"",AP3&lt;&gt;""),ROUNDUP((AP3-AO3)/7,0),"")</f>
        <v/>
      </c>
      <c r="AR3">
        <f>IFERROR(IF((AU3-(AI3+AN3))/AQ3=0,"",ROUNDUP((AU3-(AI3+AN3))/AQ3,0)),"")</f>
        <v/>
      </c>
      <c r="AS3">
        <f>IFERROR(IF((AU3-(AI3+AN3))=0,"",(AU3-(AI3+AN3))),"")</f>
        <v/>
      </c>
      <c r="AT3">
        <f>IF(AND(AG3="",AQ3=""),AL3,IF(SUM(AG3,AL3,AQ3)=0,"",SUM(AG3,AL3,AQ3)))</f>
        <v/>
      </c>
      <c r="BG3">
        <f>IF(AD3="","",YEAR(AD3)+IF(MONTH(AD3)&gt;=5,1,0))</f>
        <v/>
      </c>
      <c r="BH3">
        <f>IF(AD3="","",IF(AND(MONTH(AD3)=8,DAY(AD3)&gt;=15),"Fall",IF(MONTH(AD3)&gt;8,"Fall",IF(MONTH(AD3)=5,"Summer",IF(MONTH(AD3)=1,"Spring","")))))</f>
        <v/>
      </c>
      <c r="BL3">
        <f>IFERROR(INDEX('_names_lookup'!$C:$C,MATCH(BK3,'_names_lookup'!$A:$A,0)),"")</f>
        <v/>
      </c>
      <c r="BM3">
        <f>IFERROR(INDEX('_names_lookup'!$B:$B,MATCH(BK3,'_names_lookup'!$A:$A,0)),"")</f>
        <v/>
      </c>
      <c r="BS3">
        <f>IFERROR(IF(BR3*AA3=0,"",BR3*AA3),"")</f>
        <v/>
      </c>
    </row>
    <row r="4">
      <c r="O4">
        <f>IFERROR(INDEX('_courses_lookup'!$C:$C,MATCH(K4&amp;L4,'_courses_lookup'!$E:$E,0)),"")</f>
        <v/>
      </c>
      <c r="P4">
        <f>IFERROR(INDEX('_courses_lookup'!$D:$D,MATCH(K4&amp;L4,'_courses_lookup'!$E:$E,0)),"")</f>
        <v/>
      </c>
      <c r="AG4">
        <f>IF(AND(AE4&lt;&gt;"",AF4&lt;&gt;""),ROUNDUP((AF4-AE4)/7,0),"")</f>
        <v/>
      </c>
      <c r="AI4">
        <f>IFERROR(IF(AG4*AH4=0,"",AG4*AH4),"")</f>
        <v/>
      </c>
      <c r="AL4">
        <f>IF(AND(AJ4&lt;&gt;"",AK4&lt;&gt;""),ROUNDUP((AK4-AJ4)/7,0),"")</f>
        <v/>
      </c>
      <c r="AN4">
        <f>IFERROR(IF(AL4*AM4=0,"",AL4*AM4),"")</f>
        <v/>
      </c>
      <c r="AQ4">
        <f>IF(AND(AO4&lt;&gt;"",AP4&lt;&gt;""),ROUNDUP((AP4-AO4)/7,0),"")</f>
        <v/>
      </c>
      <c r="AR4">
        <f>IFERROR(IF((AU4-(AI4+AN4))/AQ4=0,"",ROUNDUP((AU4-(AI4+AN4))/AQ4,0)),"")</f>
        <v/>
      </c>
      <c r="AS4">
        <f>IFERROR(IF((AU4-(AI4+AN4))=0,"",(AU4-(AI4+AN4))),"")</f>
        <v/>
      </c>
      <c r="AT4">
        <f>IF(AND(AG4="",AQ4=""),AL4,IF(SUM(AG4,AL4,AQ4)=0,"",SUM(AG4,AL4,AQ4)))</f>
        <v/>
      </c>
      <c r="BG4">
        <f>IF(AD4="","",YEAR(AD4)+IF(MONTH(AD4)&gt;=5,1,0))</f>
        <v/>
      </c>
      <c r="BH4">
        <f>IF(AD4="","",IF(AND(MONTH(AD4)=8,DAY(AD4)&gt;=15),"Fall",IF(MONTH(AD4)&gt;8,"Fall",IF(MONTH(AD4)=5,"Summer",IF(MONTH(AD4)=1,"Spring","")))))</f>
        <v/>
      </c>
      <c r="BL4">
        <f>IFERROR(INDEX('_names_lookup'!$C:$C,MATCH(BK4,'_names_lookup'!$A:$A,0)),"")</f>
        <v/>
      </c>
      <c r="BM4">
        <f>IFERROR(INDEX('_names_lookup'!$B:$B,MATCH(BK4,'_names_lookup'!$A:$A,0)),"")</f>
        <v/>
      </c>
      <c r="BS4">
        <f>IFERROR(IF(BR4*AA4=0,"",BR4*AA4),"")</f>
        <v/>
      </c>
    </row>
    <row r="5">
      <c r="O5">
        <f>IFERROR(INDEX('_courses_lookup'!$C:$C,MATCH(K5&amp;L5,'_courses_lookup'!$E:$E,0)),"")</f>
        <v/>
      </c>
      <c r="P5">
        <f>IFERROR(INDEX('_courses_lookup'!$D:$D,MATCH(K5&amp;L5,'_courses_lookup'!$E:$E,0)),"")</f>
        <v/>
      </c>
      <c r="AG5">
        <f>IF(AND(AE5&lt;&gt;"",AF5&lt;&gt;""),ROUNDUP((AF5-AE5)/7,0),"")</f>
        <v/>
      </c>
      <c r="AI5">
        <f>IFERROR(IF(AG5*AH5=0,"",AG5*AH5),"")</f>
        <v/>
      </c>
      <c r="AL5">
        <f>IF(AND(AJ5&lt;&gt;"",AK5&lt;&gt;""),ROUNDUP((AK5-AJ5)/7,0),"")</f>
        <v/>
      </c>
      <c r="AN5">
        <f>IFERROR(IF(AL5*AM5=0,"",AL5*AM5),"")</f>
        <v/>
      </c>
      <c r="AQ5">
        <f>IF(AND(AO5&lt;&gt;"",AP5&lt;&gt;""),ROUNDUP((AP5-AO5)/7,0),"")</f>
        <v/>
      </c>
      <c r="AR5">
        <f>IFERROR(IF((AU5-(AI5+AN5))/AQ5=0,"",ROUNDUP((AU5-(AI5+AN5))/AQ5,0)),"")</f>
        <v/>
      </c>
      <c r="AS5">
        <f>IFERROR(IF((AU5-(AI5+AN5))=0,"",(AU5-(AI5+AN5))),"")</f>
        <v/>
      </c>
      <c r="AT5">
        <f>IF(AND(AG5="",AQ5=""),AL5,IF(SUM(AG5,AL5,AQ5)=0,"",SUM(AG5,AL5,AQ5)))</f>
        <v/>
      </c>
      <c r="BG5">
        <f>IF(AD5="","",YEAR(AD5)+IF(MONTH(AD5)&gt;=5,1,0))</f>
        <v/>
      </c>
      <c r="BH5">
        <f>IF(AD5="","",IF(AND(MONTH(AD5)=8,DAY(AD5)&gt;=15),"Fall",IF(MONTH(AD5)&gt;8,"Fall",IF(MONTH(AD5)=5,"Summer",IF(MONTH(AD5)=1,"Spring","")))))</f>
        <v/>
      </c>
      <c r="BL5">
        <f>IFERROR(INDEX('_names_lookup'!$C:$C,MATCH(BK5,'_names_lookup'!$A:$A,0)),"")</f>
        <v/>
      </c>
      <c r="BM5">
        <f>IFERROR(INDEX('_names_lookup'!$B:$B,MATCH(BK5,'_names_lookup'!$A:$A,0)),"")</f>
        <v/>
      </c>
      <c r="BS5">
        <f>IFERROR(IF(BR5*AA5=0,"",BR5*AA5),"")</f>
        <v/>
      </c>
    </row>
    <row r="6">
      <c r="O6">
        <f>IFERROR(INDEX('_courses_lookup'!$C:$C,MATCH(K6&amp;L6,'_courses_lookup'!$E:$E,0)),"")</f>
        <v/>
      </c>
      <c r="P6">
        <f>IFERROR(INDEX('_courses_lookup'!$D:$D,MATCH(K6&amp;L6,'_courses_lookup'!$E:$E,0)),"")</f>
        <v/>
      </c>
      <c r="AG6">
        <f>IF(AND(AE6&lt;&gt;"",AF6&lt;&gt;""),ROUNDUP((AF6-AE6)/7,0),"")</f>
        <v/>
      </c>
      <c r="AI6">
        <f>IFERROR(IF(AG6*AH6=0,"",AG6*AH6),"")</f>
        <v/>
      </c>
      <c r="AL6">
        <f>IF(AND(AJ6&lt;&gt;"",AK6&lt;&gt;""),ROUNDUP((AK6-AJ6)/7,0),"")</f>
        <v/>
      </c>
      <c r="AN6">
        <f>IFERROR(IF(AL6*AM6=0,"",AL6*AM6),"")</f>
        <v/>
      </c>
      <c r="AQ6">
        <f>IF(AND(AO6&lt;&gt;"",AP6&lt;&gt;""),ROUNDUP((AP6-AO6)/7,0),"")</f>
        <v/>
      </c>
      <c r="AR6">
        <f>IFERROR(IF((AU6-(AI6+AN6))/AQ6=0,"",ROUNDUP((AU6-(AI6+AN6))/AQ6,0)),"")</f>
        <v/>
      </c>
      <c r="AS6">
        <f>IFERROR(IF((AU6-(AI6+AN6))=0,"",(AU6-(AI6+AN6))),"")</f>
        <v/>
      </c>
      <c r="AT6">
        <f>IF(AND(AG6="",AQ6=""),AL6,IF(SUM(AG6,AL6,AQ6)=0,"",SUM(AG6,AL6,AQ6)))</f>
        <v/>
      </c>
      <c r="BG6">
        <f>IF(AD6="","",YEAR(AD6)+IF(MONTH(AD6)&gt;=5,1,0))</f>
        <v/>
      </c>
      <c r="BH6">
        <f>IF(AD6="","",IF(AND(MONTH(AD6)=8,DAY(AD6)&gt;=15),"Fall",IF(MONTH(AD6)&gt;8,"Fall",IF(MONTH(AD6)=5,"Summer",IF(MONTH(AD6)=1,"Spring","")))))</f>
        <v/>
      </c>
      <c r="BL6">
        <f>IFERROR(INDEX('_names_lookup'!$C:$C,MATCH(BK6,'_names_lookup'!$A:$A,0)),"")</f>
        <v/>
      </c>
      <c r="BM6">
        <f>IFERROR(INDEX('_names_lookup'!$B:$B,MATCH(BK6,'_names_lookup'!$A:$A,0)),"")</f>
        <v/>
      </c>
      <c r="BS6">
        <f>IFERROR(IF(BR6*AA6=0,"",BR6*AA6),"")</f>
        <v/>
      </c>
    </row>
    <row r="7">
      <c r="O7">
        <f>IFERROR(INDEX('_courses_lookup'!$C:$C,MATCH(K7&amp;L7,'_courses_lookup'!$E:$E,0)),"")</f>
        <v/>
      </c>
      <c r="P7">
        <f>IFERROR(INDEX('_courses_lookup'!$D:$D,MATCH(K7&amp;L7,'_courses_lookup'!$E:$E,0)),"")</f>
        <v/>
      </c>
      <c r="AG7">
        <f>IF(AND(AE7&lt;&gt;"",AF7&lt;&gt;""),ROUNDUP((AF7-AE7)/7,0),"")</f>
        <v/>
      </c>
      <c r="AI7">
        <f>IFERROR(IF(AG7*AH7=0,"",AG7*AH7),"")</f>
        <v/>
      </c>
      <c r="AL7">
        <f>IF(AND(AJ7&lt;&gt;"",AK7&lt;&gt;""),ROUNDUP((AK7-AJ7)/7,0),"")</f>
        <v/>
      </c>
      <c r="AN7">
        <f>IFERROR(IF(AL7*AM7=0,"",AL7*AM7),"")</f>
        <v/>
      </c>
      <c r="AQ7">
        <f>IF(AND(AO7&lt;&gt;"",AP7&lt;&gt;""),ROUNDUP((AP7-AO7)/7,0),"")</f>
        <v/>
      </c>
      <c r="AR7">
        <f>IFERROR(IF((AU7-(AI7+AN7))/AQ7=0,"",ROUNDUP((AU7-(AI7+AN7))/AQ7,0)),"")</f>
        <v/>
      </c>
      <c r="AS7">
        <f>IFERROR(IF((AU7-(AI7+AN7))=0,"",(AU7-(AI7+AN7))),"")</f>
        <v/>
      </c>
      <c r="AT7">
        <f>IF(AND(AG7="",AQ7=""),AL7,IF(SUM(AG7,AL7,AQ7)=0,"",SUM(AG7,AL7,AQ7)))</f>
        <v/>
      </c>
      <c r="BG7">
        <f>IF(AD7="","",YEAR(AD7)+IF(MONTH(AD7)&gt;=5,1,0))</f>
        <v/>
      </c>
      <c r="BH7">
        <f>IF(AD7="","",IF(AND(MONTH(AD7)=8,DAY(AD7)&gt;=15),"Fall",IF(MONTH(AD7)&gt;8,"Fall",IF(MONTH(AD7)=5,"Summer",IF(MONTH(AD7)=1,"Spring","")))))</f>
        <v/>
      </c>
      <c r="BL7">
        <f>IFERROR(INDEX('_names_lookup'!$C:$C,MATCH(BK7,'_names_lookup'!$A:$A,0)),"")</f>
        <v/>
      </c>
      <c r="BM7">
        <f>IFERROR(INDEX('_names_lookup'!$B:$B,MATCH(BK7,'_names_lookup'!$A:$A,0)),"")</f>
        <v/>
      </c>
      <c r="BS7">
        <f>IFERROR(IF(BR7*AA7=0,"",BR7*AA7),"")</f>
        <v/>
      </c>
    </row>
    <row r="8">
      <c r="O8">
        <f>IFERROR(INDEX('_courses_lookup'!$C:$C,MATCH(K8&amp;L8,'_courses_lookup'!$E:$E,0)),"")</f>
        <v/>
      </c>
      <c r="P8">
        <f>IFERROR(INDEX('_courses_lookup'!$D:$D,MATCH(K8&amp;L8,'_courses_lookup'!$E:$E,0)),"")</f>
        <v/>
      </c>
      <c r="AG8">
        <f>IF(AND(AE8&lt;&gt;"",AF8&lt;&gt;""),ROUNDUP((AF8-AE8)/7,0),"")</f>
        <v/>
      </c>
      <c r="AI8">
        <f>IFERROR(IF(AG8*AH8=0,"",AG8*AH8),"")</f>
        <v/>
      </c>
      <c r="AL8">
        <f>IF(AND(AJ8&lt;&gt;"",AK8&lt;&gt;""),ROUNDUP((AK8-AJ8)/7,0),"")</f>
        <v/>
      </c>
      <c r="AN8">
        <f>IFERROR(IF(AL8*AM8=0,"",AL8*AM8),"")</f>
        <v/>
      </c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L8">
        <f>IFERROR(INDEX('_names_lookup'!$C:$C,MATCH(BK8,'_names_lookup'!$A:$A,0)),"")</f>
        <v/>
      </c>
      <c r="BM8">
        <f>IFERROR(INDEX('_names_lookup'!$B:$B,MATCH(BK8,'_names_lookup'!$A:$A,0)),"")</f>
        <v/>
      </c>
      <c r="BS8">
        <f>IFERROR(IF(BR8*AA8=0,"",BR8*AA8),"")</f>
        <v/>
      </c>
    </row>
    <row r="9">
      <c r="O9">
        <f>IFERROR(INDEX('_courses_lookup'!$C:$C,MATCH(K9&amp;L9,'_courses_lookup'!$E:$E,0)),"")</f>
        <v/>
      </c>
      <c r="P9">
        <f>IFERROR(INDEX('_courses_lookup'!$D:$D,MATCH(K9&amp;L9,'_courses_lookup'!$E:$E,0)),"")</f>
        <v/>
      </c>
      <c r="AG9">
        <f>IF(AND(AE9&lt;&gt;"",AF9&lt;&gt;""),ROUNDUP((AF9-AE9)/7,0),"")</f>
        <v/>
      </c>
      <c r="AI9">
        <f>IFERROR(IF(AG9*AH9=0,"",AG9*AH9),"")</f>
        <v/>
      </c>
      <c r="AL9">
        <f>IF(AND(AJ9&lt;&gt;"",AK9&lt;&gt;""),ROUNDUP((AK9-AJ9)/7,0),"")</f>
        <v/>
      </c>
      <c r="AN9">
        <f>IFERROR(IF(AL9*AM9=0,"",AL9*AM9),"")</f>
        <v/>
      </c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L9">
        <f>IFERROR(INDEX('_names_lookup'!$C:$C,MATCH(BK9,'_names_lookup'!$A:$A,0)),"")</f>
        <v/>
      </c>
      <c r="BM9">
        <f>IFERROR(INDEX('_names_lookup'!$B:$B,MATCH(BK9,'_names_lookup'!$A:$A,0)),"")</f>
        <v/>
      </c>
      <c r="BS9">
        <f>IFERROR(IF(BR9*AA9=0,"",BR9*AA9),"")</f>
        <v/>
      </c>
    </row>
    <row r="10">
      <c r="O10">
        <f>IFERROR(INDEX('_courses_lookup'!$C:$C,MATCH(K10&amp;L10,'_courses_lookup'!$E:$E,0)),"")</f>
        <v/>
      </c>
      <c r="P10">
        <f>IFERROR(INDEX('_courses_lookup'!$D:$D,MATCH(K10&amp;L10,'_courses_lookup'!$E:$E,0)),"")</f>
        <v/>
      </c>
      <c r="AG10">
        <f>IF(AND(AE10&lt;&gt;"",AF10&lt;&gt;""),ROUNDUP((AF10-AE10)/7,0),"")</f>
        <v/>
      </c>
      <c r="AI10">
        <f>IFERROR(IF(AG10*AH10=0,"",AG10*AH10),"")</f>
        <v/>
      </c>
      <c r="AL10">
        <f>IF(AND(AJ10&lt;&gt;"",AK10&lt;&gt;""),ROUNDUP((AK10-AJ10)/7,0),"")</f>
        <v/>
      </c>
      <c r="AN10">
        <f>IFERROR(IF(AL10*AM10=0,"",AL10*AM10),"")</f>
        <v/>
      </c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L10">
        <f>IFERROR(INDEX('_names_lookup'!$C:$C,MATCH(BK10,'_names_lookup'!$A:$A,0)),"")</f>
        <v/>
      </c>
      <c r="BM10">
        <f>IFERROR(INDEX('_names_lookup'!$B:$B,MATCH(BK10,'_names_lookup'!$A:$A,0)),"")</f>
        <v/>
      </c>
      <c r="BS10">
        <f>IFERROR(IF(BR10*AA10=0,"",BR10*AA10),"")</f>
        <v/>
      </c>
    </row>
    <row r="11">
      <c r="O11">
        <f>IFERROR(INDEX('_courses_lookup'!$C:$C,MATCH(K11&amp;L11,'_courses_lookup'!$E:$E,0)),"")</f>
        <v/>
      </c>
      <c r="P11">
        <f>IFERROR(INDEX('_courses_lookup'!$D:$D,MATCH(K11&amp;L11,'_courses_lookup'!$E:$E,0)),"")</f>
        <v/>
      </c>
      <c r="AG11">
        <f>IF(AND(AE11&lt;&gt;"",AF11&lt;&gt;""),ROUNDUP((AF11-AE11)/7,0),"")</f>
        <v/>
      </c>
      <c r="AI11">
        <f>IFERROR(IF(AG11*AH11=0,"",AG11*AH11),"")</f>
        <v/>
      </c>
      <c r="AL11">
        <f>IF(AND(AJ11&lt;&gt;"",AK11&lt;&gt;""),ROUNDUP((AK11-AJ11)/7,0),"")</f>
        <v/>
      </c>
      <c r="AN11">
        <f>IFERROR(IF(AL11*AM11=0,"",AL11*AM11),"")</f>
        <v/>
      </c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L11">
        <f>IFERROR(INDEX('_names_lookup'!$C:$C,MATCH(BK11,'_names_lookup'!$A:$A,0)),"")</f>
        <v/>
      </c>
      <c r="BM11">
        <f>IFERROR(INDEX('_names_lookup'!$B:$B,MATCH(BK11,'_names_lookup'!$A:$A,0)),"")</f>
        <v/>
      </c>
      <c r="BS11">
        <f>IFERROR(IF(BR11*AA11=0,"",BR11*AA11),"")</f>
        <v/>
      </c>
    </row>
    <row r="12">
      <c r="O12">
        <f>IFERROR(INDEX('_courses_lookup'!$C:$C,MATCH(K12&amp;L12,'_courses_lookup'!$E:$E,0)),"")</f>
        <v/>
      </c>
      <c r="P12">
        <f>IFERROR(INDEX('_courses_lookup'!$D:$D,MATCH(K12&amp;L12,'_courses_lookup'!$E:$E,0)),"")</f>
        <v/>
      </c>
      <c r="AG12">
        <f>IF(AND(AE12&lt;&gt;"",AF12&lt;&gt;""),ROUNDUP((AF12-AE12)/7,0),"")</f>
        <v/>
      </c>
      <c r="AI12">
        <f>IFERROR(IF(AG12*AH12=0,"",AG12*AH12),"")</f>
        <v/>
      </c>
      <c r="AL12">
        <f>IF(AND(AJ12&lt;&gt;"",AK12&lt;&gt;""),ROUNDUP((AK12-AJ12)/7,0),"")</f>
        <v/>
      </c>
      <c r="AN12">
        <f>IFERROR(IF(AL12*AM12=0,"",AL12*AM12),"")</f>
        <v/>
      </c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L12">
        <f>IFERROR(INDEX('_names_lookup'!$C:$C,MATCH(BK12,'_names_lookup'!$A:$A,0)),"")</f>
        <v/>
      </c>
      <c r="BM12">
        <f>IFERROR(INDEX('_names_lookup'!$B:$B,MATCH(BK12,'_names_lookup'!$A:$A,0)),"")</f>
        <v/>
      </c>
      <c r="BS12">
        <f>IFERROR(IF(BR12*AA12=0,"",BR12*AA12),"")</f>
        <v/>
      </c>
    </row>
    <row r="13">
      <c r="O13">
        <f>IFERROR(INDEX('_courses_lookup'!$C:$C,MATCH(K13&amp;L13,'_courses_lookup'!$E:$E,0)),"")</f>
        <v/>
      </c>
      <c r="P13">
        <f>IFERROR(INDEX('_courses_lookup'!$D:$D,MATCH(K13&amp;L13,'_courses_lookup'!$E:$E,0)),"")</f>
        <v/>
      </c>
      <c r="AG13">
        <f>IF(AND(AE13&lt;&gt;"",AF13&lt;&gt;""),ROUNDUP((AF13-AE13)/7,0),"")</f>
        <v/>
      </c>
      <c r="AI13">
        <f>IFERROR(IF(AG13*AH13=0,"",AG13*AH13),"")</f>
        <v/>
      </c>
      <c r="AL13">
        <f>IF(AND(AJ13&lt;&gt;"",AK13&lt;&gt;""),ROUNDUP((AK13-AJ13)/7,0),"")</f>
        <v/>
      </c>
      <c r="AN13">
        <f>IFERROR(IF(AL13*AM13=0,"",AL13*AM13),"")</f>
        <v/>
      </c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L13">
        <f>IFERROR(INDEX('_names_lookup'!$C:$C,MATCH(BK13,'_names_lookup'!$A:$A,0)),"")</f>
        <v/>
      </c>
      <c r="BM13">
        <f>IFERROR(INDEX('_names_lookup'!$B:$B,MATCH(BK13,'_names_lookup'!$A:$A,0)),"")</f>
        <v/>
      </c>
      <c r="BS13">
        <f>IFERROR(IF(BR13*AA13=0,"",BR13*AA13),"")</f>
        <v/>
      </c>
    </row>
    <row r="14">
      <c r="O14">
        <f>IFERROR(INDEX('_courses_lookup'!$C:$C,MATCH(K14&amp;L14,'_courses_lookup'!$E:$E,0)),"")</f>
        <v/>
      </c>
      <c r="P14">
        <f>IFERROR(INDEX('_courses_lookup'!$D:$D,MATCH(K14&amp;L14,'_courses_lookup'!$E:$E,0)),"")</f>
        <v/>
      </c>
      <c r="AG14">
        <f>IF(AND(AE14&lt;&gt;"",AF14&lt;&gt;""),ROUNDUP((AF14-AE14)/7,0),"")</f>
        <v/>
      </c>
      <c r="AI14">
        <f>IFERROR(IF(AG14*AH14=0,"",AG14*AH14),"")</f>
        <v/>
      </c>
      <c r="AL14">
        <f>IF(AND(AJ14&lt;&gt;"",AK14&lt;&gt;""),ROUNDUP((AK14-AJ14)/7,0),"")</f>
        <v/>
      </c>
      <c r="AN14">
        <f>IFERROR(IF(AL14*AM14=0,"",AL14*AM14),"")</f>
        <v/>
      </c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L14">
        <f>IFERROR(INDEX('_names_lookup'!$C:$C,MATCH(BK14,'_names_lookup'!$A:$A,0)),"")</f>
        <v/>
      </c>
      <c r="BM14">
        <f>IFERROR(INDEX('_names_lookup'!$B:$B,MATCH(BK14,'_names_lookup'!$A:$A,0)),"")</f>
        <v/>
      </c>
      <c r="BS14">
        <f>IFERROR(IF(BR14*AA14=0,"",BR14*AA14),"")</f>
        <v/>
      </c>
    </row>
    <row r="15">
      <c r="O15">
        <f>IFERROR(INDEX('_courses_lookup'!$C:$C,MATCH(K15&amp;L15,'_courses_lookup'!$E:$E,0)),"")</f>
        <v/>
      </c>
      <c r="P15">
        <f>IFERROR(INDEX('_courses_lookup'!$D:$D,MATCH(K15&amp;L15,'_courses_lookup'!$E:$E,0)),"")</f>
        <v/>
      </c>
      <c r="AG15">
        <f>IF(AND(AE15&lt;&gt;"",AF15&lt;&gt;""),ROUNDUP((AF15-AE15)/7,0),"")</f>
        <v/>
      </c>
      <c r="AI15">
        <f>IFERROR(IF(AG15*AH15=0,"",AG15*AH15),"")</f>
        <v/>
      </c>
      <c r="AL15">
        <f>IF(AND(AJ15&lt;&gt;"",AK15&lt;&gt;""),ROUNDUP((AK15-AJ15)/7,0),"")</f>
        <v/>
      </c>
      <c r="AN15">
        <f>IFERROR(IF(AL15*AM15=0,"",AL15*AM15),"")</f>
        <v/>
      </c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L15">
        <f>IFERROR(INDEX('_names_lookup'!$C:$C,MATCH(BK15,'_names_lookup'!$A:$A,0)),"")</f>
        <v/>
      </c>
      <c r="BM15">
        <f>IFERROR(INDEX('_names_lookup'!$B:$B,MATCH(BK15,'_names_lookup'!$A:$A,0)),"")</f>
        <v/>
      </c>
      <c r="BS15">
        <f>IFERROR(IF(BR15*AA15=0,"",BR15*AA15),"")</f>
        <v/>
      </c>
    </row>
    <row r="16">
      <c r="O16">
        <f>IFERROR(INDEX('_courses_lookup'!$C:$C,MATCH(K16&amp;L16,'_courses_lookup'!$E:$E,0)),"")</f>
        <v/>
      </c>
      <c r="P16">
        <f>IFERROR(INDEX('_courses_lookup'!$D:$D,MATCH(K16&amp;L16,'_courses_lookup'!$E:$E,0)),"")</f>
        <v/>
      </c>
      <c r="AG16">
        <f>IF(AND(AE16&lt;&gt;"",AF16&lt;&gt;""),ROUNDUP((AF16-AE16)/7,0),"")</f>
        <v/>
      </c>
      <c r="AI16">
        <f>IFERROR(IF(AG16*AH16=0,"",AG16*AH16),"")</f>
        <v/>
      </c>
      <c r="AL16">
        <f>IF(AND(AJ16&lt;&gt;"",AK16&lt;&gt;""),ROUNDUP((AK16-AJ16)/7,0),"")</f>
        <v/>
      </c>
      <c r="AN16">
        <f>IFERROR(IF(AL16*AM16=0,"",AL16*AM16),"")</f>
        <v/>
      </c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L16">
        <f>IFERROR(INDEX('_names_lookup'!$C:$C,MATCH(BK16,'_names_lookup'!$A:$A,0)),"")</f>
        <v/>
      </c>
      <c r="BM16">
        <f>IFERROR(INDEX('_names_lookup'!$B:$B,MATCH(BK16,'_names_lookup'!$A:$A,0)),"")</f>
        <v/>
      </c>
      <c r="BS16">
        <f>IFERROR(IF(BR16*AA16=0,"",BR16*AA16),"")</f>
        <v/>
      </c>
    </row>
    <row r="17">
      <c r="O17">
        <f>IFERROR(INDEX('_courses_lookup'!$C:$C,MATCH(K17&amp;L17,'_courses_lookup'!$E:$E,0)),"")</f>
        <v/>
      </c>
      <c r="P17">
        <f>IFERROR(INDEX('_courses_lookup'!$D:$D,MATCH(K17&amp;L17,'_courses_lookup'!$E:$E,0)),"")</f>
        <v/>
      </c>
      <c r="AG17">
        <f>IF(AND(AE17&lt;&gt;"",AF17&lt;&gt;""),ROUNDUP((AF17-AE17)/7,0),"")</f>
        <v/>
      </c>
      <c r="AI17">
        <f>IFERROR(IF(AG17*AH17=0,"",AG17*AH17),"")</f>
        <v/>
      </c>
      <c r="AL17">
        <f>IF(AND(AJ17&lt;&gt;"",AK17&lt;&gt;""),ROUNDUP((AK17-AJ17)/7,0),"")</f>
        <v/>
      </c>
      <c r="AN17">
        <f>IFERROR(IF(AL17*AM17=0,"",AL17*AM17),"")</f>
        <v/>
      </c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L17">
        <f>IFERROR(INDEX('_names_lookup'!$C:$C,MATCH(BK17,'_names_lookup'!$A:$A,0)),"")</f>
        <v/>
      </c>
      <c r="BM17">
        <f>IFERROR(INDEX('_names_lookup'!$B:$B,MATCH(BK17,'_names_lookup'!$A:$A,0)),"")</f>
        <v/>
      </c>
      <c r="BS17">
        <f>IFERROR(IF(BR17*AA17=0,"",BR17*AA17),"")</f>
        <v/>
      </c>
    </row>
    <row r="18">
      <c r="O18">
        <f>IFERROR(INDEX('_courses_lookup'!$C:$C,MATCH(K18&amp;L18,'_courses_lookup'!$E:$E,0)),"")</f>
        <v/>
      </c>
      <c r="P18">
        <f>IFERROR(INDEX('_courses_lookup'!$D:$D,MATCH(K18&amp;L18,'_courses_lookup'!$E:$E,0)),"")</f>
        <v/>
      </c>
      <c r="AG18">
        <f>IF(AND(AE18&lt;&gt;"",AF18&lt;&gt;""),ROUNDUP((AF18-AE18)/7,0),"")</f>
        <v/>
      </c>
      <c r="AI18">
        <f>IFERROR(IF(AG18*AH18=0,"",AG18*AH18),"")</f>
        <v/>
      </c>
      <c r="AL18">
        <f>IF(AND(AJ18&lt;&gt;"",AK18&lt;&gt;""),ROUNDUP((AK18-AJ18)/7,0),"")</f>
        <v/>
      </c>
      <c r="AN18">
        <f>IFERROR(IF(AL18*AM18=0,"",AL18*AM18),"")</f>
        <v/>
      </c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L18">
        <f>IFERROR(INDEX('_names_lookup'!$C:$C,MATCH(BK18,'_names_lookup'!$A:$A,0)),"")</f>
        <v/>
      </c>
      <c r="BM18">
        <f>IFERROR(INDEX('_names_lookup'!$B:$B,MATCH(BK18,'_names_lookup'!$A:$A,0)),"")</f>
        <v/>
      </c>
      <c r="BS18">
        <f>IFERROR(IF(BR18*AA18=0,"",BR18*AA18),"")</f>
        <v/>
      </c>
    </row>
    <row r="19">
      <c r="O19">
        <f>IFERROR(INDEX('_courses_lookup'!$C:$C,MATCH(K19&amp;L19,'_courses_lookup'!$E:$E,0)),"")</f>
        <v/>
      </c>
      <c r="P19">
        <f>IFERROR(INDEX('_courses_lookup'!$D:$D,MATCH(K19&amp;L19,'_courses_lookup'!$E:$E,0)),"")</f>
        <v/>
      </c>
      <c r="AG19">
        <f>IF(AND(AE19&lt;&gt;"",AF19&lt;&gt;""),ROUNDUP((AF19-AE19)/7,0),"")</f>
        <v/>
      </c>
      <c r="AI19">
        <f>IFERROR(IF(AG19*AH19=0,"",AG19*AH19),"")</f>
        <v/>
      </c>
      <c r="AL19">
        <f>IF(AND(AJ19&lt;&gt;"",AK19&lt;&gt;""),ROUNDUP((AK19-AJ19)/7,0),"")</f>
        <v/>
      </c>
      <c r="AN19">
        <f>IFERROR(IF(AL19*AM19=0,"",AL19*AM19),"")</f>
        <v/>
      </c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L19">
        <f>IFERROR(INDEX('_names_lookup'!$C:$C,MATCH(BK19,'_names_lookup'!$A:$A,0)),"")</f>
        <v/>
      </c>
      <c r="BM19">
        <f>IFERROR(INDEX('_names_lookup'!$B:$B,MATCH(BK19,'_names_lookup'!$A:$A,0)),"")</f>
        <v/>
      </c>
      <c r="BS19">
        <f>IFERROR(IF(BR19*AA19=0,"",BR19*AA19),"")</f>
        <v/>
      </c>
    </row>
    <row r="20">
      <c r="O20">
        <f>IFERROR(INDEX('_courses_lookup'!$C:$C,MATCH(K20&amp;L20,'_courses_lookup'!$E:$E,0)),"")</f>
        <v/>
      </c>
      <c r="P20">
        <f>IFERROR(INDEX('_courses_lookup'!$D:$D,MATCH(K20&amp;L20,'_courses_lookup'!$E:$E,0)),"")</f>
        <v/>
      </c>
      <c r="AG20">
        <f>IF(AND(AE20&lt;&gt;"",AF20&lt;&gt;""),ROUNDUP((AF20-AE20)/7,0),"")</f>
        <v/>
      </c>
      <c r="AI20">
        <f>IFERROR(IF(AG20*AH20=0,"",AG20*AH20),"")</f>
        <v/>
      </c>
      <c r="AL20">
        <f>IF(AND(AJ20&lt;&gt;"",AK20&lt;&gt;""),ROUNDUP((AK20-AJ20)/7,0),"")</f>
        <v/>
      </c>
      <c r="AN20">
        <f>IFERROR(IF(AL20*AM20=0,"",AL20*AM20),"")</f>
        <v/>
      </c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L20">
        <f>IFERROR(INDEX('_names_lookup'!$C:$C,MATCH(BK20,'_names_lookup'!$A:$A,0)),"")</f>
        <v/>
      </c>
      <c r="BM20">
        <f>IFERROR(INDEX('_names_lookup'!$B:$B,MATCH(BK20,'_names_lookup'!$A:$A,0)),"")</f>
        <v/>
      </c>
      <c r="BS20">
        <f>IFERROR(IF(BR20*AA20=0,"",BR20*AA20),"")</f>
        <v/>
      </c>
    </row>
    <row r="21">
      <c r="O21">
        <f>IFERROR(INDEX('_courses_lookup'!$C:$C,MATCH(K21&amp;L21,'_courses_lookup'!$E:$E,0)),"")</f>
        <v/>
      </c>
      <c r="P21">
        <f>IFERROR(INDEX('_courses_lookup'!$D:$D,MATCH(K21&amp;L21,'_courses_lookup'!$E:$E,0)),"")</f>
        <v/>
      </c>
      <c r="AG21">
        <f>IF(AND(AE21&lt;&gt;"",AF21&lt;&gt;""),ROUNDUP((AF21-AE21)/7,0),"")</f>
        <v/>
      </c>
      <c r="AI21">
        <f>IFERROR(IF(AG21*AH21=0,"",AG21*AH21),"")</f>
        <v/>
      </c>
      <c r="AL21">
        <f>IF(AND(AJ21&lt;&gt;"",AK21&lt;&gt;""),ROUNDUP((AK21-AJ21)/7,0),"")</f>
        <v/>
      </c>
      <c r="AN21">
        <f>IFERROR(IF(AL21*AM21=0,"",AL21*AM21),"")</f>
        <v/>
      </c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L21">
        <f>IFERROR(INDEX('_names_lookup'!$C:$C,MATCH(BK21,'_names_lookup'!$A:$A,0)),"")</f>
        <v/>
      </c>
      <c r="BM21">
        <f>IFERROR(INDEX('_names_lookup'!$B:$B,MATCH(BK21,'_names_lookup'!$A:$A,0)),"")</f>
        <v/>
      </c>
      <c r="BS21">
        <f>IFERROR(IF(BR21*AA21=0,"",BR21*AA21),"")</f>
        <v/>
      </c>
    </row>
    <row r="22">
      <c r="O22">
        <f>IFERROR(INDEX('_courses_lookup'!$C:$C,MATCH(K22&amp;L22,'_courses_lookup'!$E:$E,0)),"")</f>
        <v/>
      </c>
      <c r="P22">
        <f>IFERROR(INDEX('_courses_lookup'!$D:$D,MATCH(K22&amp;L22,'_courses_lookup'!$E:$E,0)),"")</f>
        <v/>
      </c>
      <c r="AG22">
        <f>IF(AND(AE22&lt;&gt;"",AF22&lt;&gt;""),ROUNDUP((AF22-AE22)/7,0),"")</f>
        <v/>
      </c>
      <c r="AI22">
        <f>IFERROR(IF(AG22*AH22=0,"",AG22*AH22),"")</f>
        <v/>
      </c>
      <c r="AL22">
        <f>IF(AND(AJ22&lt;&gt;"",AK22&lt;&gt;""),ROUNDUP((AK22-AJ22)/7,0),"")</f>
        <v/>
      </c>
      <c r="AN22">
        <f>IFERROR(IF(AL22*AM22=0,"",AL22*AM22),"")</f>
        <v/>
      </c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L22">
        <f>IFERROR(INDEX('_names_lookup'!$C:$C,MATCH(BK22,'_names_lookup'!$A:$A,0)),"")</f>
        <v/>
      </c>
      <c r="BM22">
        <f>IFERROR(INDEX('_names_lookup'!$B:$B,MATCH(BK22,'_names_lookup'!$A:$A,0)),"")</f>
        <v/>
      </c>
      <c r="BS22">
        <f>IFERROR(IF(BR22*AA22=0,"",BR22*AA22),"")</f>
        <v/>
      </c>
    </row>
    <row r="23">
      <c r="O23">
        <f>IFERROR(INDEX('_courses_lookup'!$C:$C,MATCH(K23&amp;L23,'_courses_lookup'!$E:$E,0)),"")</f>
        <v/>
      </c>
      <c r="P23">
        <f>IFERROR(INDEX('_courses_lookup'!$D:$D,MATCH(K23&amp;L23,'_courses_lookup'!$E:$E,0)),"")</f>
        <v/>
      </c>
      <c r="AG23">
        <f>IF(AND(AE23&lt;&gt;"",AF23&lt;&gt;""),ROUNDUP((AF23-AE23)/7,0),"")</f>
        <v/>
      </c>
      <c r="AI23">
        <f>IFERROR(IF(AG23*AH23=0,"",AG23*AH23),"")</f>
        <v/>
      </c>
      <c r="AL23">
        <f>IF(AND(AJ23&lt;&gt;"",AK23&lt;&gt;""),ROUNDUP((AK23-AJ23)/7,0),"")</f>
        <v/>
      </c>
      <c r="AN23">
        <f>IFERROR(IF(AL23*AM23=0,"",AL23*AM23),"")</f>
        <v/>
      </c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L23">
        <f>IFERROR(INDEX('_names_lookup'!$C:$C,MATCH(BK23,'_names_lookup'!$A:$A,0)),"")</f>
        <v/>
      </c>
      <c r="BM23">
        <f>IFERROR(INDEX('_names_lookup'!$B:$B,MATCH(BK23,'_names_lookup'!$A:$A,0)),"")</f>
        <v/>
      </c>
      <c r="BS23">
        <f>IFERROR(IF(BR23*AA23=0,"",BR23*AA23),"")</f>
        <v/>
      </c>
    </row>
    <row r="24">
      <c r="O24">
        <f>IFERROR(INDEX('_courses_lookup'!$C:$C,MATCH(K24&amp;L24,'_courses_lookup'!$E:$E,0)),"")</f>
        <v/>
      </c>
      <c r="P24">
        <f>IFERROR(INDEX('_courses_lookup'!$D:$D,MATCH(K24&amp;L24,'_courses_lookup'!$E:$E,0)),"")</f>
        <v/>
      </c>
      <c r="AG24">
        <f>IF(AND(AE24&lt;&gt;"",AF24&lt;&gt;""),ROUNDUP((AF24-AE24)/7,0),"")</f>
        <v/>
      </c>
      <c r="AI24">
        <f>IFERROR(IF(AG24*AH24=0,"",AG24*AH24),"")</f>
        <v/>
      </c>
      <c r="AL24">
        <f>IF(AND(AJ24&lt;&gt;"",AK24&lt;&gt;""),ROUNDUP((AK24-AJ24)/7,0),"")</f>
        <v/>
      </c>
      <c r="AN24">
        <f>IFERROR(IF(AL24*AM24=0,"",AL24*AM24),"")</f>
        <v/>
      </c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L24">
        <f>IFERROR(INDEX('_names_lookup'!$C:$C,MATCH(BK24,'_names_lookup'!$A:$A,0)),"")</f>
        <v/>
      </c>
      <c r="BM24">
        <f>IFERROR(INDEX('_names_lookup'!$B:$B,MATCH(BK24,'_names_lookup'!$A:$A,0)),"")</f>
        <v/>
      </c>
      <c r="BS24">
        <f>IFERROR(IF(BR24*AA24=0,"",BR24*AA24),"")</f>
        <v/>
      </c>
    </row>
    <row r="25">
      <c r="O25">
        <f>IFERROR(INDEX('_courses_lookup'!$C:$C,MATCH(K25&amp;L25,'_courses_lookup'!$E:$E,0)),"")</f>
        <v/>
      </c>
      <c r="P25">
        <f>IFERROR(INDEX('_courses_lookup'!$D:$D,MATCH(K25&amp;L25,'_courses_lookup'!$E:$E,0)),"")</f>
        <v/>
      </c>
      <c r="AG25">
        <f>IF(AND(AE25&lt;&gt;"",AF25&lt;&gt;""),ROUNDUP((AF25-AE25)/7,0),"")</f>
        <v/>
      </c>
      <c r="AI25">
        <f>IFERROR(IF(AG25*AH25=0,"",AG25*AH25),"")</f>
        <v/>
      </c>
      <c r="AL25">
        <f>IF(AND(AJ25&lt;&gt;"",AK25&lt;&gt;""),ROUNDUP((AK25-AJ25)/7,0),"")</f>
        <v/>
      </c>
      <c r="AN25">
        <f>IFERROR(IF(AL25*AM25=0,"",AL25*AM25),"")</f>
        <v/>
      </c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L25">
        <f>IFERROR(INDEX('_names_lookup'!$C:$C,MATCH(BK25,'_names_lookup'!$A:$A,0)),"")</f>
        <v/>
      </c>
      <c r="BM25">
        <f>IFERROR(INDEX('_names_lookup'!$B:$B,MATCH(BK25,'_names_lookup'!$A:$A,0)),"")</f>
        <v/>
      </c>
      <c r="BS25">
        <f>IFERROR(IF(BR25*AA25=0,"",BR25*AA25),"")</f>
        <v/>
      </c>
    </row>
    <row r="26">
      <c r="O26">
        <f>IFERROR(INDEX('_courses_lookup'!$C:$C,MATCH(K26&amp;L26,'_courses_lookup'!$E:$E,0)),"")</f>
        <v/>
      </c>
      <c r="P26">
        <f>IFERROR(INDEX('_courses_lookup'!$D:$D,MATCH(K26&amp;L26,'_courses_lookup'!$E:$E,0)),"")</f>
        <v/>
      </c>
      <c r="AG26">
        <f>IF(AND(AE26&lt;&gt;"",AF26&lt;&gt;""),ROUNDUP((AF26-AE26)/7,0),"")</f>
        <v/>
      </c>
      <c r="AI26">
        <f>IFERROR(IF(AG26*AH26=0,"",AG26*AH26),"")</f>
        <v/>
      </c>
      <c r="AL26">
        <f>IF(AND(AJ26&lt;&gt;"",AK26&lt;&gt;""),ROUNDUP((AK26-AJ26)/7,0),"")</f>
        <v/>
      </c>
      <c r="AN26">
        <f>IFERROR(IF(AL26*AM26=0,"",AL26*AM26),"")</f>
        <v/>
      </c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L26">
        <f>IFERROR(INDEX('_names_lookup'!$C:$C,MATCH(BK26,'_names_lookup'!$A:$A,0)),"")</f>
        <v/>
      </c>
      <c r="BM26">
        <f>IFERROR(INDEX('_names_lookup'!$B:$B,MATCH(BK26,'_names_lookup'!$A:$A,0)),"")</f>
        <v/>
      </c>
      <c r="BS26">
        <f>IFERROR(IF(BR26*AA26=0,"",BR26*AA26),"")</f>
        <v/>
      </c>
    </row>
    <row r="27">
      <c r="O27">
        <f>IFERROR(INDEX('_courses_lookup'!$C:$C,MATCH(K27&amp;L27,'_courses_lookup'!$E:$E,0)),"")</f>
        <v/>
      </c>
      <c r="P27">
        <f>IFERROR(INDEX('_courses_lookup'!$D:$D,MATCH(K27&amp;L27,'_courses_lookup'!$E:$E,0)),"")</f>
        <v/>
      </c>
      <c r="AG27">
        <f>IF(AND(AE27&lt;&gt;"",AF27&lt;&gt;""),ROUNDUP((AF27-AE27)/7,0),"")</f>
        <v/>
      </c>
      <c r="AI27">
        <f>IFERROR(IF(AG27*AH27=0,"",AG27*AH27),"")</f>
        <v/>
      </c>
      <c r="AL27">
        <f>IF(AND(AJ27&lt;&gt;"",AK27&lt;&gt;""),ROUNDUP((AK27-AJ27)/7,0),"")</f>
        <v/>
      </c>
      <c r="AN27">
        <f>IFERROR(IF(AL27*AM27=0,"",AL27*AM27),"")</f>
        <v/>
      </c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L27">
        <f>IFERROR(INDEX('_names_lookup'!$C:$C,MATCH(BK27,'_names_lookup'!$A:$A,0)),"")</f>
        <v/>
      </c>
      <c r="BM27">
        <f>IFERROR(INDEX('_names_lookup'!$B:$B,MATCH(BK27,'_names_lookup'!$A:$A,0)),"")</f>
        <v/>
      </c>
      <c r="BS27">
        <f>IFERROR(IF(BR27*AA27=0,"",BR27*AA27),"")</f>
        <v/>
      </c>
    </row>
    <row r="28">
      <c r="O28">
        <f>IFERROR(INDEX('_courses_lookup'!$C:$C,MATCH(K28&amp;L28,'_courses_lookup'!$E:$E,0)),"")</f>
        <v/>
      </c>
      <c r="P28">
        <f>IFERROR(INDEX('_courses_lookup'!$D:$D,MATCH(K28&amp;L28,'_courses_lookup'!$E:$E,0)),"")</f>
        <v/>
      </c>
      <c r="AG28">
        <f>IF(AND(AE28&lt;&gt;"",AF28&lt;&gt;""),ROUNDUP((AF28-AE28)/7,0),"")</f>
        <v/>
      </c>
      <c r="AI28">
        <f>IFERROR(IF(AG28*AH28=0,"",AG28*AH28),"")</f>
        <v/>
      </c>
      <c r="AL28">
        <f>IF(AND(AJ28&lt;&gt;"",AK28&lt;&gt;""),ROUNDUP((AK28-AJ28)/7,0),"")</f>
        <v/>
      </c>
      <c r="AN28">
        <f>IFERROR(IF(AL28*AM28=0,"",AL28*AM28),"")</f>
        <v/>
      </c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L28">
        <f>IFERROR(INDEX('_names_lookup'!$C:$C,MATCH(BK28,'_names_lookup'!$A:$A,0)),"")</f>
        <v/>
      </c>
      <c r="BM28">
        <f>IFERROR(INDEX('_names_lookup'!$B:$B,MATCH(BK28,'_names_lookup'!$A:$A,0)),"")</f>
        <v/>
      </c>
      <c r="BS28">
        <f>IFERROR(IF(BR28*AA28=0,"",BR28*AA28),"")</f>
        <v/>
      </c>
    </row>
    <row r="29">
      <c r="O29">
        <f>IFERROR(INDEX('_courses_lookup'!$C:$C,MATCH(K29&amp;L29,'_courses_lookup'!$E:$E,0)),"")</f>
        <v/>
      </c>
      <c r="P29">
        <f>IFERROR(INDEX('_courses_lookup'!$D:$D,MATCH(K29&amp;L29,'_courses_lookup'!$E:$E,0)),"")</f>
        <v/>
      </c>
      <c r="AG29">
        <f>IF(AND(AE29&lt;&gt;"",AF29&lt;&gt;""),ROUNDUP((AF29-AE29)/7,0),"")</f>
        <v/>
      </c>
      <c r="AI29">
        <f>IFERROR(IF(AG29*AH29=0,"",AG29*AH29),"")</f>
        <v/>
      </c>
      <c r="AL29">
        <f>IF(AND(AJ29&lt;&gt;"",AK29&lt;&gt;""),ROUNDUP((AK29-AJ29)/7,0),"")</f>
        <v/>
      </c>
      <c r="AN29">
        <f>IFERROR(IF(AL29*AM29=0,"",AL29*AM29),"")</f>
        <v/>
      </c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L29">
        <f>IFERROR(INDEX('_names_lookup'!$C:$C,MATCH(BK29,'_names_lookup'!$A:$A,0)),"")</f>
        <v/>
      </c>
      <c r="BM29">
        <f>IFERROR(INDEX('_names_lookup'!$B:$B,MATCH(BK29,'_names_lookup'!$A:$A,0)),"")</f>
        <v/>
      </c>
      <c r="BS29">
        <f>IFERROR(IF(BR29*AA29=0,"",BR29*AA29),"")</f>
        <v/>
      </c>
    </row>
    <row r="30">
      <c r="O30">
        <f>IFERROR(INDEX('_courses_lookup'!$C:$C,MATCH(K30&amp;L30,'_courses_lookup'!$E:$E,0)),"")</f>
        <v/>
      </c>
      <c r="P30">
        <f>IFERROR(INDEX('_courses_lookup'!$D:$D,MATCH(K30&amp;L30,'_courses_lookup'!$E:$E,0)),"")</f>
        <v/>
      </c>
      <c r="AG30">
        <f>IF(AND(AE30&lt;&gt;"",AF30&lt;&gt;""),ROUNDUP((AF30-AE30)/7,0),"")</f>
        <v/>
      </c>
      <c r="AI30">
        <f>IFERROR(IF(AG30*AH30=0,"",AG30*AH30),"")</f>
        <v/>
      </c>
      <c r="AL30">
        <f>IF(AND(AJ30&lt;&gt;"",AK30&lt;&gt;""),ROUNDUP((AK30-AJ30)/7,0),"")</f>
        <v/>
      </c>
      <c r="AN30">
        <f>IFERROR(IF(AL30*AM30=0,"",AL30*AM30),"")</f>
        <v/>
      </c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L30">
        <f>IFERROR(INDEX('_names_lookup'!$C:$C,MATCH(BK30,'_names_lookup'!$A:$A,0)),"")</f>
        <v/>
      </c>
      <c r="BM30">
        <f>IFERROR(INDEX('_names_lookup'!$B:$B,MATCH(BK30,'_names_lookup'!$A:$A,0)),"")</f>
        <v/>
      </c>
      <c r="BS30">
        <f>IFERROR(IF(BR30*AA30=0,"",BR30*AA30),"")</f>
        <v/>
      </c>
    </row>
    <row r="31">
      <c r="O31">
        <f>IFERROR(INDEX('_courses_lookup'!$C:$C,MATCH(K31&amp;L31,'_courses_lookup'!$E:$E,0)),"")</f>
        <v/>
      </c>
      <c r="P31">
        <f>IFERROR(INDEX('_courses_lookup'!$D:$D,MATCH(K31&amp;L31,'_courses_lookup'!$E:$E,0)),"")</f>
        <v/>
      </c>
      <c r="AG31">
        <f>IF(AND(AE31&lt;&gt;"",AF31&lt;&gt;""),ROUNDUP((AF31-AE31)/7,0),"")</f>
        <v/>
      </c>
      <c r="AI31">
        <f>IFERROR(IF(AG31*AH31=0,"",AG31*AH31),"")</f>
        <v/>
      </c>
      <c r="AL31">
        <f>IF(AND(AJ31&lt;&gt;"",AK31&lt;&gt;""),ROUNDUP((AK31-AJ31)/7,0),"")</f>
        <v/>
      </c>
      <c r="AN31">
        <f>IFERROR(IF(AL31*AM31=0,"",AL31*AM31),"")</f>
        <v/>
      </c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L31">
        <f>IFERROR(INDEX('_names_lookup'!$C:$C,MATCH(BK31,'_names_lookup'!$A:$A,0)),"")</f>
        <v/>
      </c>
      <c r="BM31">
        <f>IFERROR(INDEX('_names_lookup'!$B:$B,MATCH(BK31,'_names_lookup'!$A:$A,0)),"")</f>
        <v/>
      </c>
      <c r="BS31">
        <f>IFERROR(IF(BR31*AA31=0,"",BR31*AA31),"")</f>
        <v/>
      </c>
    </row>
    <row r="32">
      <c r="O32">
        <f>IFERROR(INDEX('_courses_lookup'!$C:$C,MATCH(K32&amp;L32,'_courses_lookup'!$E:$E,0)),"")</f>
        <v/>
      </c>
      <c r="P32">
        <f>IFERROR(INDEX('_courses_lookup'!$D:$D,MATCH(K32&amp;L32,'_courses_lookup'!$E:$E,0)),"")</f>
        <v/>
      </c>
      <c r="AG32">
        <f>IF(AND(AE32&lt;&gt;"",AF32&lt;&gt;""),ROUNDUP((AF32-AE32)/7,0),"")</f>
        <v/>
      </c>
      <c r="AI32">
        <f>IFERROR(IF(AG32*AH32=0,"",AG32*AH32),"")</f>
        <v/>
      </c>
      <c r="AL32">
        <f>IF(AND(AJ32&lt;&gt;"",AK32&lt;&gt;""),ROUNDUP((AK32-AJ32)/7,0),"")</f>
        <v/>
      </c>
      <c r="AN32">
        <f>IFERROR(IF(AL32*AM32=0,"",AL32*AM32),"")</f>
        <v/>
      </c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L32">
        <f>IFERROR(INDEX('_names_lookup'!$C:$C,MATCH(BK32,'_names_lookup'!$A:$A,0)),"")</f>
        <v/>
      </c>
      <c r="BM32">
        <f>IFERROR(INDEX('_names_lookup'!$B:$B,MATCH(BK32,'_names_lookup'!$A:$A,0)),"")</f>
        <v/>
      </c>
      <c r="BS32">
        <f>IFERROR(IF(BR32*AA32=0,"",BR32*AA32),"")</f>
        <v/>
      </c>
    </row>
    <row r="33">
      <c r="O33">
        <f>IFERROR(INDEX('_courses_lookup'!$C:$C,MATCH(K33&amp;L33,'_courses_lookup'!$E:$E,0)),"")</f>
        <v/>
      </c>
      <c r="P33">
        <f>IFERROR(INDEX('_courses_lookup'!$D:$D,MATCH(K33&amp;L33,'_courses_lookup'!$E:$E,0)),"")</f>
        <v/>
      </c>
      <c r="AG33">
        <f>IF(AND(AE33&lt;&gt;"",AF33&lt;&gt;""),ROUNDUP((AF33-AE33)/7,0),"")</f>
        <v/>
      </c>
      <c r="AI33">
        <f>IFERROR(IF(AG33*AH33=0,"",AG33*AH33),"")</f>
        <v/>
      </c>
      <c r="AL33">
        <f>IF(AND(AJ33&lt;&gt;"",AK33&lt;&gt;""),ROUNDUP((AK33-AJ33)/7,0),"")</f>
        <v/>
      </c>
      <c r="AN33">
        <f>IFERROR(IF(AL33*AM33=0,"",AL33*AM33),"")</f>
        <v/>
      </c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L33">
        <f>IFERROR(INDEX('_names_lookup'!$C:$C,MATCH(BK33,'_names_lookup'!$A:$A,0)),"")</f>
        <v/>
      </c>
      <c r="BM33">
        <f>IFERROR(INDEX('_names_lookup'!$B:$B,MATCH(BK33,'_names_lookup'!$A:$A,0)),"")</f>
        <v/>
      </c>
      <c r="BS33">
        <f>IFERROR(IF(BR33*AA33=0,"",BR33*AA33),"")</f>
        <v/>
      </c>
    </row>
    <row r="34">
      <c r="O34">
        <f>IFERROR(INDEX('_courses_lookup'!$C:$C,MATCH(K34&amp;L34,'_courses_lookup'!$E:$E,0)),"")</f>
        <v/>
      </c>
      <c r="P34">
        <f>IFERROR(INDEX('_courses_lookup'!$D:$D,MATCH(K34&amp;L34,'_courses_lookup'!$E:$E,0)),"")</f>
        <v/>
      </c>
      <c r="AG34">
        <f>IF(AND(AE34&lt;&gt;"",AF34&lt;&gt;""),ROUNDUP((AF34-AE34)/7,0),"")</f>
        <v/>
      </c>
      <c r="AI34">
        <f>IFERROR(IF(AG34*AH34=0,"",AG34*AH34),"")</f>
        <v/>
      </c>
      <c r="AL34">
        <f>IF(AND(AJ34&lt;&gt;"",AK34&lt;&gt;""),ROUNDUP((AK34-AJ34)/7,0),"")</f>
        <v/>
      </c>
      <c r="AN34">
        <f>IFERROR(IF(AL34*AM34=0,"",AL34*AM34),"")</f>
        <v/>
      </c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L34">
        <f>IFERROR(INDEX('_names_lookup'!$C:$C,MATCH(BK34,'_names_lookup'!$A:$A,0)),"")</f>
        <v/>
      </c>
      <c r="BM34">
        <f>IFERROR(INDEX('_names_lookup'!$B:$B,MATCH(BK34,'_names_lookup'!$A:$A,0)),"")</f>
        <v/>
      </c>
      <c r="BS34">
        <f>IFERROR(IF(BR34*AA34=0,"",BR34*AA34),"")</f>
        <v/>
      </c>
    </row>
    <row r="35">
      <c r="O35">
        <f>IFERROR(INDEX('_courses_lookup'!$C:$C,MATCH(K35&amp;L35,'_courses_lookup'!$E:$E,0)),"")</f>
        <v/>
      </c>
      <c r="P35">
        <f>IFERROR(INDEX('_courses_lookup'!$D:$D,MATCH(K35&amp;L35,'_courses_lookup'!$E:$E,0)),"")</f>
        <v/>
      </c>
      <c r="AG35">
        <f>IF(AND(AE35&lt;&gt;"",AF35&lt;&gt;""),ROUNDUP((AF35-AE35)/7,0),"")</f>
        <v/>
      </c>
      <c r="AI35">
        <f>IFERROR(IF(AG35*AH35=0,"",AG35*AH35),"")</f>
        <v/>
      </c>
      <c r="AL35">
        <f>IF(AND(AJ35&lt;&gt;"",AK35&lt;&gt;""),ROUNDUP((AK35-AJ35)/7,0),"")</f>
        <v/>
      </c>
      <c r="AN35">
        <f>IFERROR(IF(AL35*AM35=0,"",AL35*AM35),"")</f>
        <v/>
      </c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L35">
        <f>IFERROR(INDEX('_names_lookup'!$C:$C,MATCH(BK35,'_names_lookup'!$A:$A,0)),"")</f>
        <v/>
      </c>
      <c r="BM35">
        <f>IFERROR(INDEX('_names_lookup'!$B:$B,MATCH(BK35,'_names_lookup'!$A:$A,0)),"")</f>
        <v/>
      </c>
      <c r="BS35">
        <f>IFERROR(IF(BR35*AA35=0,"",BR35*AA35),"")</f>
        <v/>
      </c>
    </row>
    <row r="36">
      <c r="O36">
        <f>IFERROR(INDEX('_courses_lookup'!$C:$C,MATCH(K36&amp;L36,'_courses_lookup'!$E:$E,0)),"")</f>
        <v/>
      </c>
      <c r="P36">
        <f>IFERROR(INDEX('_courses_lookup'!$D:$D,MATCH(K36&amp;L36,'_courses_lookup'!$E:$E,0)),"")</f>
        <v/>
      </c>
      <c r="AG36">
        <f>IF(AND(AE36&lt;&gt;"",AF36&lt;&gt;""),ROUNDUP((AF36-AE36)/7,0),"")</f>
        <v/>
      </c>
      <c r="AI36">
        <f>IFERROR(IF(AG36*AH36=0,"",AG36*AH36),"")</f>
        <v/>
      </c>
      <c r="AL36">
        <f>IF(AND(AJ36&lt;&gt;"",AK36&lt;&gt;""),ROUNDUP((AK36-AJ36)/7,0),"")</f>
        <v/>
      </c>
      <c r="AN36">
        <f>IFERROR(IF(AL36*AM36=0,"",AL36*AM36),"")</f>
        <v/>
      </c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L36">
        <f>IFERROR(INDEX('_names_lookup'!$C:$C,MATCH(BK36,'_names_lookup'!$A:$A,0)),"")</f>
        <v/>
      </c>
      <c r="BM36">
        <f>IFERROR(INDEX('_names_lookup'!$B:$B,MATCH(BK36,'_names_lookup'!$A:$A,0)),"")</f>
        <v/>
      </c>
      <c r="BS36">
        <f>IFERROR(IF(BR36*AA36=0,"",BR36*AA36),"")</f>
        <v/>
      </c>
    </row>
    <row r="37">
      <c r="O37">
        <f>IFERROR(INDEX('_courses_lookup'!$C:$C,MATCH(K37&amp;L37,'_courses_lookup'!$E:$E,0)),"")</f>
        <v/>
      </c>
      <c r="P37">
        <f>IFERROR(INDEX('_courses_lookup'!$D:$D,MATCH(K37&amp;L37,'_courses_lookup'!$E:$E,0)),"")</f>
        <v/>
      </c>
      <c r="AG37">
        <f>IF(AND(AE37&lt;&gt;"",AF37&lt;&gt;""),ROUNDUP((AF37-AE37)/7,0),"")</f>
        <v/>
      </c>
      <c r="AI37">
        <f>IFERROR(IF(AG37*AH37=0,"",AG37*AH37),"")</f>
        <v/>
      </c>
      <c r="AL37">
        <f>IF(AND(AJ37&lt;&gt;"",AK37&lt;&gt;""),ROUNDUP((AK37-AJ37)/7,0),"")</f>
        <v/>
      </c>
      <c r="AN37">
        <f>IFERROR(IF(AL37*AM37=0,"",AL37*AM37),"")</f>
        <v/>
      </c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L37">
        <f>IFERROR(INDEX('_names_lookup'!$C:$C,MATCH(BK37,'_names_lookup'!$A:$A,0)),"")</f>
        <v/>
      </c>
      <c r="BM37">
        <f>IFERROR(INDEX('_names_lookup'!$B:$B,MATCH(BK37,'_names_lookup'!$A:$A,0)),"")</f>
        <v/>
      </c>
      <c r="BS37">
        <f>IFERROR(IF(BR37*AA37=0,"",BR37*AA37),"")</f>
        <v/>
      </c>
    </row>
    <row r="38">
      <c r="O38">
        <f>IFERROR(INDEX('_courses_lookup'!$C:$C,MATCH(K38&amp;L38,'_courses_lookup'!$E:$E,0)),"")</f>
        <v/>
      </c>
      <c r="P38">
        <f>IFERROR(INDEX('_courses_lookup'!$D:$D,MATCH(K38&amp;L38,'_courses_lookup'!$E:$E,0)),"")</f>
        <v/>
      </c>
      <c r="AG38">
        <f>IF(AND(AE38&lt;&gt;"",AF38&lt;&gt;""),ROUNDUP((AF38-AE38)/7,0),"")</f>
        <v/>
      </c>
      <c r="AI38">
        <f>IFERROR(IF(AG38*AH38=0,"",AG38*AH38),"")</f>
        <v/>
      </c>
      <c r="AL38">
        <f>IF(AND(AJ38&lt;&gt;"",AK38&lt;&gt;""),ROUNDUP((AK38-AJ38)/7,0),"")</f>
        <v/>
      </c>
      <c r="AN38">
        <f>IFERROR(IF(AL38*AM38=0,"",AL38*AM38),"")</f>
        <v/>
      </c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L38">
        <f>IFERROR(INDEX('_names_lookup'!$C:$C,MATCH(BK38,'_names_lookup'!$A:$A,0)),"")</f>
        <v/>
      </c>
      <c r="BM38">
        <f>IFERROR(INDEX('_names_lookup'!$B:$B,MATCH(BK38,'_names_lookup'!$A:$A,0)),"")</f>
        <v/>
      </c>
      <c r="BS38">
        <f>IFERROR(IF(BR38*AA38=0,"",BR38*AA38),"")</f>
        <v/>
      </c>
    </row>
    <row r="39">
      <c r="O39">
        <f>IFERROR(INDEX('_courses_lookup'!$C:$C,MATCH(K39&amp;L39,'_courses_lookup'!$E:$E,0)),"")</f>
        <v/>
      </c>
      <c r="P39">
        <f>IFERROR(INDEX('_courses_lookup'!$D:$D,MATCH(K39&amp;L39,'_courses_lookup'!$E:$E,0)),"")</f>
        <v/>
      </c>
      <c r="AG39">
        <f>IF(AND(AE39&lt;&gt;"",AF39&lt;&gt;""),ROUNDUP((AF39-AE39)/7,0),"")</f>
        <v/>
      </c>
      <c r="AI39">
        <f>IFERROR(IF(AG39*AH39=0,"",AG39*AH39),"")</f>
        <v/>
      </c>
      <c r="AL39">
        <f>IF(AND(AJ39&lt;&gt;"",AK39&lt;&gt;""),ROUNDUP((AK39-AJ39)/7,0),"")</f>
        <v/>
      </c>
      <c r="AN39">
        <f>IFERROR(IF(AL39*AM39=0,"",AL39*AM39),"")</f>
        <v/>
      </c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L39">
        <f>IFERROR(INDEX('_names_lookup'!$C:$C,MATCH(BK39,'_names_lookup'!$A:$A,0)),"")</f>
        <v/>
      </c>
      <c r="BM39">
        <f>IFERROR(INDEX('_names_lookup'!$B:$B,MATCH(BK39,'_names_lookup'!$A:$A,0)),"")</f>
        <v/>
      </c>
      <c r="BS39">
        <f>IFERROR(IF(BR39*AA39=0,"",BR39*AA39),"")</f>
        <v/>
      </c>
    </row>
    <row r="40">
      <c r="O40">
        <f>IFERROR(INDEX('_courses_lookup'!$C:$C,MATCH(K40&amp;L40,'_courses_lookup'!$E:$E,0)),"")</f>
        <v/>
      </c>
      <c r="P40">
        <f>IFERROR(INDEX('_courses_lookup'!$D:$D,MATCH(K40&amp;L40,'_courses_lookup'!$E:$E,0)),"")</f>
        <v/>
      </c>
      <c r="AG40">
        <f>IF(AND(AE40&lt;&gt;"",AF40&lt;&gt;""),ROUNDUP((AF40-AE40)/7,0),"")</f>
        <v/>
      </c>
      <c r="AI40">
        <f>IFERROR(IF(AG40*AH40=0,"",AG40*AH40),"")</f>
        <v/>
      </c>
      <c r="AL40">
        <f>IF(AND(AJ40&lt;&gt;"",AK40&lt;&gt;""),ROUNDUP((AK40-AJ40)/7,0),"")</f>
        <v/>
      </c>
      <c r="AN40">
        <f>IFERROR(IF(AL40*AM40=0,"",AL40*AM40),"")</f>
        <v/>
      </c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L40">
        <f>IFERROR(INDEX('_names_lookup'!$C:$C,MATCH(BK40,'_names_lookup'!$A:$A,0)),"")</f>
        <v/>
      </c>
      <c r="BM40">
        <f>IFERROR(INDEX('_names_lookup'!$B:$B,MATCH(BK40,'_names_lookup'!$A:$A,0)),"")</f>
        <v/>
      </c>
      <c r="BS40">
        <f>IFERROR(IF(BR40*AA40=0,"",BR40*AA40),"")</f>
        <v/>
      </c>
    </row>
    <row r="41">
      <c r="O41">
        <f>IFERROR(INDEX('_courses_lookup'!$C:$C,MATCH(K41&amp;L41,'_courses_lookup'!$E:$E,0)),"")</f>
        <v/>
      </c>
      <c r="P41">
        <f>IFERROR(INDEX('_courses_lookup'!$D:$D,MATCH(K41&amp;L41,'_courses_lookup'!$E:$E,0)),"")</f>
        <v/>
      </c>
      <c r="AG41">
        <f>IF(AND(AE41&lt;&gt;"",AF41&lt;&gt;""),ROUNDUP((AF41-AE41)/7,0),"")</f>
        <v/>
      </c>
      <c r="AI41">
        <f>IFERROR(IF(AG41*AH41=0,"",AG41*AH41),"")</f>
        <v/>
      </c>
      <c r="AL41">
        <f>IF(AND(AJ41&lt;&gt;"",AK41&lt;&gt;""),ROUNDUP((AK41-AJ41)/7,0),"")</f>
        <v/>
      </c>
      <c r="AN41">
        <f>IFERROR(IF(AL41*AM41=0,"",AL41*AM41),"")</f>
        <v/>
      </c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L41">
        <f>IFERROR(INDEX('_names_lookup'!$C:$C,MATCH(BK41,'_names_lookup'!$A:$A,0)),"")</f>
        <v/>
      </c>
      <c r="BM41">
        <f>IFERROR(INDEX('_names_lookup'!$B:$B,MATCH(BK41,'_names_lookup'!$A:$A,0)),"")</f>
        <v/>
      </c>
      <c r="BS41">
        <f>IFERROR(IF(BR41*AA41=0,"",BR41*AA41),"")</f>
        <v/>
      </c>
    </row>
    <row r="42">
      <c r="O42">
        <f>IFERROR(INDEX('_courses_lookup'!$C:$C,MATCH(K42&amp;L42,'_courses_lookup'!$E:$E,0)),"")</f>
        <v/>
      </c>
      <c r="P42">
        <f>IFERROR(INDEX('_courses_lookup'!$D:$D,MATCH(K42&amp;L42,'_courses_lookup'!$E:$E,0)),"")</f>
        <v/>
      </c>
      <c r="AG42">
        <f>IF(AND(AE42&lt;&gt;"",AF42&lt;&gt;""),ROUNDUP((AF42-AE42)/7,0),"")</f>
        <v/>
      </c>
      <c r="AI42">
        <f>IFERROR(IF(AG42*AH42=0,"",AG42*AH42),"")</f>
        <v/>
      </c>
      <c r="AL42">
        <f>IF(AND(AJ42&lt;&gt;"",AK42&lt;&gt;""),ROUNDUP((AK42-AJ42)/7,0),"")</f>
        <v/>
      </c>
      <c r="AN42">
        <f>IFERROR(IF(AL42*AM42=0,"",AL42*AM42),"")</f>
        <v/>
      </c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L42">
        <f>IFERROR(INDEX('_names_lookup'!$C:$C,MATCH(BK42,'_names_lookup'!$A:$A,0)),"")</f>
        <v/>
      </c>
      <c r="BM42">
        <f>IFERROR(INDEX('_names_lookup'!$B:$B,MATCH(BK42,'_names_lookup'!$A:$A,0)),"")</f>
        <v/>
      </c>
      <c r="BS42">
        <f>IFERROR(IF(BR42*AA42=0,"",BR42*AA42),"")</f>
        <v/>
      </c>
    </row>
    <row r="43">
      <c r="O43">
        <f>IFERROR(INDEX('_courses_lookup'!$C:$C,MATCH(K43&amp;L43,'_courses_lookup'!$E:$E,0)),"")</f>
        <v/>
      </c>
      <c r="P43">
        <f>IFERROR(INDEX('_courses_lookup'!$D:$D,MATCH(K43&amp;L43,'_courses_lookup'!$E:$E,0)),"")</f>
        <v/>
      </c>
      <c r="AG43">
        <f>IF(AND(AE43&lt;&gt;"",AF43&lt;&gt;""),ROUNDUP((AF43-AE43)/7,0),"")</f>
        <v/>
      </c>
      <c r="AI43">
        <f>IFERROR(IF(AG43*AH43=0,"",AG43*AH43),"")</f>
        <v/>
      </c>
      <c r="AL43">
        <f>IF(AND(AJ43&lt;&gt;"",AK43&lt;&gt;""),ROUNDUP((AK43-AJ43)/7,0),"")</f>
        <v/>
      </c>
      <c r="AN43">
        <f>IFERROR(IF(AL43*AM43=0,"",AL43*AM43),"")</f>
        <v/>
      </c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L43">
        <f>IFERROR(INDEX('_names_lookup'!$C:$C,MATCH(BK43,'_names_lookup'!$A:$A,0)),"")</f>
        <v/>
      </c>
      <c r="BM43">
        <f>IFERROR(INDEX('_names_lookup'!$B:$B,MATCH(BK43,'_names_lookup'!$A:$A,0)),"")</f>
        <v/>
      </c>
      <c r="BS43">
        <f>IFERROR(IF(BR43*AA43=0,"",BR43*AA43),"")</f>
        <v/>
      </c>
    </row>
    <row r="44">
      <c r="O44">
        <f>IFERROR(INDEX('_courses_lookup'!$C:$C,MATCH(K44&amp;L44,'_courses_lookup'!$E:$E,0)),"")</f>
        <v/>
      </c>
      <c r="P44">
        <f>IFERROR(INDEX('_courses_lookup'!$D:$D,MATCH(K44&amp;L44,'_courses_lookup'!$E:$E,0)),"")</f>
        <v/>
      </c>
      <c r="AG44">
        <f>IF(AND(AE44&lt;&gt;"",AF44&lt;&gt;""),ROUNDUP((AF44-AE44)/7,0),"")</f>
        <v/>
      </c>
      <c r="AI44">
        <f>IFERROR(IF(AG44*AH44=0,"",AG44*AH44),"")</f>
        <v/>
      </c>
      <c r="AL44">
        <f>IF(AND(AJ44&lt;&gt;"",AK44&lt;&gt;""),ROUNDUP((AK44-AJ44)/7,0),"")</f>
        <v/>
      </c>
      <c r="AN44">
        <f>IFERROR(IF(AL44*AM44=0,"",AL44*AM44),"")</f>
        <v/>
      </c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L44">
        <f>IFERROR(INDEX('_names_lookup'!$C:$C,MATCH(BK44,'_names_lookup'!$A:$A,0)),"")</f>
        <v/>
      </c>
      <c r="BM44">
        <f>IFERROR(INDEX('_names_lookup'!$B:$B,MATCH(BK44,'_names_lookup'!$A:$A,0)),"")</f>
        <v/>
      </c>
      <c r="BS44">
        <f>IFERROR(IF(BR44*AA44=0,"",BR44*AA44),"")</f>
        <v/>
      </c>
    </row>
    <row r="45">
      <c r="O45">
        <f>IFERROR(INDEX('_courses_lookup'!$C:$C,MATCH(K45&amp;L45,'_courses_lookup'!$E:$E,0)),"")</f>
        <v/>
      </c>
      <c r="P45">
        <f>IFERROR(INDEX('_courses_lookup'!$D:$D,MATCH(K45&amp;L45,'_courses_lookup'!$E:$E,0)),"")</f>
        <v/>
      </c>
      <c r="AG45">
        <f>IF(AND(AE45&lt;&gt;"",AF45&lt;&gt;""),ROUNDUP((AF45-AE45)/7,0),"")</f>
        <v/>
      </c>
      <c r="AI45">
        <f>IFERROR(IF(AG45*AH45=0,"",AG45*AH45),"")</f>
        <v/>
      </c>
      <c r="AL45">
        <f>IF(AND(AJ45&lt;&gt;"",AK45&lt;&gt;""),ROUNDUP((AK45-AJ45)/7,0),"")</f>
        <v/>
      </c>
      <c r="AN45">
        <f>IFERROR(IF(AL45*AM45=0,"",AL45*AM45),"")</f>
        <v/>
      </c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L45">
        <f>IFERROR(INDEX('_names_lookup'!$C:$C,MATCH(BK45,'_names_lookup'!$A:$A,0)),"")</f>
        <v/>
      </c>
      <c r="BM45">
        <f>IFERROR(INDEX('_names_lookup'!$B:$B,MATCH(BK45,'_names_lookup'!$A:$A,0)),"")</f>
        <v/>
      </c>
      <c r="BS45">
        <f>IFERROR(IF(BR45*AA45=0,"",BR45*AA45),"")</f>
        <v/>
      </c>
    </row>
    <row r="46">
      <c r="O46">
        <f>IFERROR(INDEX('_courses_lookup'!$C:$C,MATCH(K46&amp;L46,'_courses_lookup'!$E:$E,0)),"")</f>
        <v/>
      </c>
      <c r="P46">
        <f>IFERROR(INDEX('_courses_lookup'!$D:$D,MATCH(K46&amp;L46,'_courses_lookup'!$E:$E,0)),"")</f>
        <v/>
      </c>
      <c r="AG46">
        <f>IF(AND(AE46&lt;&gt;"",AF46&lt;&gt;""),ROUNDUP((AF46-AE46)/7,0),"")</f>
        <v/>
      </c>
      <c r="AI46">
        <f>IFERROR(IF(AG46*AH46=0,"",AG46*AH46),"")</f>
        <v/>
      </c>
      <c r="AL46">
        <f>IF(AND(AJ46&lt;&gt;"",AK46&lt;&gt;""),ROUNDUP((AK46-AJ46)/7,0),"")</f>
        <v/>
      </c>
      <c r="AN46">
        <f>IFERROR(IF(AL46*AM46=0,"",AL46*AM46),"")</f>
        <v/>
      </c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L46">
        <f>IFERROR(INDEX('_names_lookup'!$C:$C,MATCH(BK46,'_names_lookup'!$A:$A,0)),"")</f>
        <v/>
      </c>
      <c r="BM46">
        <f>IFERROR(INDEX('_names_lookup'!$B:$B,MATCH(BK46,'_names_lookup'!$A:$A,0)),"")</f>
        <v/>
      </c>
      <c r="BS46">
        <f>IFERROR(IF(BR46*AA46=0,"",BR46*AA46),"")</f>
        <v/>
      </c>
    </row>
    <row r="47">
      <c r="O47">
        <f>IFERROR(INDEX('_courses_lookup'!$C:$C,MATCH(K47&amp;L47,'_courses_lookup'!$E:$E,0)),"")</f>
        <v/>
      </c>
      <c r="P47">
        <f>IFERROR(INDEX('_courses_lookup'!$D:$D,MATCH(K47&amp;L47,'_courses_lookup'!$E:$E,0)),"")</f>
        <v/>
      </c>
      <c r="AG47">
        <f>IF(AND(AE47&lt;&gt;"",AF47&lt;&gt;""),ROUNDUP((AF47-AE47)/7,0),"")</f>
        <v/>
      </c>
      <c r="AI47">
        <f>IFERROR(IF(AG47*AH47=0,"",AG47*AH47),"")</f>
        <v/>
      </c>
      <c r="AL47">
        <f>IF(AND(AJ47&lt;&gt;"",AK47&lt;&gt;""),ROUNDUP((AK47-AJ47)/7,0),"")</f>
        <v/>
      </c>
      <c r="AN47">
        <f>IFERROR(IF(AL47*AM47=0,"",AL47*AM47),"")</f>
        <v/>
      </c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L47">
        <f>IFERROR(INDEX('_names_lookup'!$C:$C,MATCH(BK47,'_names_lookup'!$A:$A,0)),"")</f>
        <v/>
      </c>
      <c r="BM47">
        <f>IFERROR(INDEX('_names_lookup'!$B:$B,MATCH(BK47,'_names_lookup'!$A:$A,0)),"")</f>
        <v/>
      </c>
      <c r="BS47">
        <f>IFERROR(IF(BR47*AA47=0,"",BR47*AA47),"")</f>
        <v/>
      </c>
    </row>
    <row r="48">
      <c r="O48">
        <f>IFERROR(INDEX('_courses_lookup'!$C:$C,MATCH(K48&amp;L48,'_courses_lookup'!$E:$E,0)),"")</f>
        <v/>
      </c>
      <c r="P48">
        <f>IFERROR(INDEX('_courses_lookup'!$D:$D,MATCH(K48&amp;L48,'_courses_lookup'!$E:$E,0)),"")</f>
        <v/>
      </c>
      <c r="AG48">
        <f>IF(AND(AE48&lt;&gt;"",AF48&lt;&gt;""),ROUNDUP((AF48-AE48)/7,0),"")</f>
        <v/>
      </c>
      <c r="AI48">
        <f>IFERROR(IF(AG48*AH48=0,"",AG48*AH48),"")</f>
        <v/>
      </c>
      <c r="AL48">
        <f>IF(AND(AJ48&lt;&gt;"",AK48&lt;&gt;""),ROUNDUP((AK48-AJ48)/7,0),"")</f>
        <v/>
      </c>
      <c r="AN48">
        <f>IFERROR(IF(AL48*AM48=0,"",AL48*AM48),"")</f>
        <v/>
      </c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L48">
        <f>IFERROR(INDEX('_names_lookup'!$C:$C,MATCH(BK48,'_names_lookup'!$A:$A,0)),"")</f>
        <v/>
      </c>
      <c r="BM48">
        <f>IFERROR(INDEX('_names_lookup'!$B:$B,MATCH(BK48,'_names_lookup'!$A:$A,0)),"")</f>
        <v/>
      </c>
      <c r="BS48">
        <f>IFERROR(IF(BR48*AA48=0,"",BR48*AA48),"")</f>
        <v/>
      </c>
    </row>
    <row r="49">
      <c r="O49">
        <f>IFERROR(INDEX('_courses_lookup'!$C:$C,MATCH(K49&amp;L49,'_courses_lookup'!$E:$E,0)),"")</f>
        <v/>
      </c>
      <c r="P49">
        <f>IFERROR(INDEX('_courses_lookup'!$D:$D,MATCH(K49&amp;L49,'_courses_lookup'!$E:$E,0)),"")</f>
        <v/>
      </c>
      <c r="AG49">
        <f>IF(AND(AE49&lt;&gt;"",AF49&lt;&gt;""),ROUNDUP((AF49-AE49)/7,0),"")</f>
        <v/>
      </c>
      <c r="AI49">
        <f>IFERROR(IF(AG49*AH49=0,"",AG49*AH49),"")</f>
        <v/>
      </c>
      <c r="AL49">
        <f>IF(AND(AJ49&lt;&gt;"",AK49&lt;&gt;""),ROUNDUP((AK49-AJ49)/7,0),"")</f>
        <v/>
      </c>
      <c r="AN49">
        <f>IFERROR(IF(AL49*AM49=0,"",AL49*AM49),"")</f>
        <v/>
      </c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L49">
        <f>IFERROR(INDEX('_names_lookup'!$C:$C,MATCH(BK49,'_names_lookup'!$A:$A,0)),"")</f>
        <v/>
      </c>
      <c r="BM49">
        <f>IFERROR(INDEX('_names_lookup'!$B:$B,MATCH(BK49,'_names_lookup'!$A:$A,0)),"")</f>
        <v/>
      </c>
      <c r="BS49">
        <f>IFERROR(IF(BR49*AA49=0,"",BR49*AA49),"")</f>
        <v/>
      </c>
    </row>
    <row r="50">
      <c r="O50">
        <f>IFERROR(INDEX('_courses_lookup'!$C:$C,MATCH(K50&amp;L50,'_courses_lookup'!$E:$E,0)),"")</f>
        <v/>
      </c>
      <c r="P50">
        <f>IFERROR(INDEX('_courses_lookup'!$D:$D,MATCH(K50&amp;L50,'_courses_lookup'!$E:$E,0)),"")</f>
        <v/>
      </c>
      <c r="AG50">
        <f>IF(AND(AE50&lt;&gt;"",AF50&lt;&gt;""),ROUNDUP((AF50-AE50)/7,0),"")</f>
        <v/>
      </c>
      <c r="AI50">
        <f>IFERROR(IF(AG50*AH50=0,"",AG50*AH50),"")</f>
        <v/>
      </c>
      <c r="AL50">
        <f>IF(AND(AJ50&lt;&gt;"",AK50&lt;&gt;""),ROUNDUP((AK50-AJ50)/7,0),"")</f>
        <v/>
      </c>
      <c r="AN50">
        <f>IFERROR(IF(AL50*AM50=0,"",AL50*AM50),"")</f>
        <v/>
      </c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L50">
        <f>IFERROR(INDEX('_names_lookup'!$C:$C,MATCH(BK50,'_names_lookup'!$A:$A,0)),"")</f>
        <v/>
      </c>
      <c r="BM50">
        <f>IFERROR(INDEX('_names_lookup'!$B:$B,MATCH(BK50,'_names_lookup'!$A:$A,0)),"")</f>
        <v/>
      </c>
      <c r="BS50">
        <f>IFERROR(IF(BR50*AA50=0,"",BR50*AA50),"")</f>
        <v/>
      </c>
    </row>
    <row r="51">
      <c r="O51">
        <f>IFERROR(INDEX('_courses_lookup'!$C:$C,MATCH(K51&amp;L51,'_courses_lookup'!$E:$E,0)),"")</f>
        <v/>
      </c>
      <c r="P51">
        <f>IFERROR(INDEX('_courses_lookup'!$D:$D,MATCH(K51&amp;L51,'_courses_lookup'!$E:$E,0)),"")</f>
        <v/>
      </c>
      <c r="AG51">
        <f>IF(AND(AE51&lt;&gt;"",AF51&lt;&gt;""),ROUNDUP((AF51-AE51)/7,0),"")</f>
        <v/>
      </c>
      <c r="AI51">
        <f>IFERROR(IF(AG51*AH51=0,"",AG51*AH51),"")</f>
        <v/>
      </c>
      <c r="AL51">
        <f>IF(AND(AJ51&lt;&gt;"",AK51&lt;&gt;""),ROUNDUP((AK51-AJ51)/7,0),"")</f>
        <v/>
      </c>
      <c r="AN51">
        <f>IFERROR(IF(AL51*AM51=0,"",AL51*AM51),"")</f>
        <v/>
      </c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L51">
        <f>IFERROR(INDEX('_names_lookup'!$C:$C,MATCH(BK51,'_names_lookup'!$A:$A,0)),"")</f>
        <v/>
      </c>
      <c r="BM51">
        <f>IFERROR(INDEX('_names_lookup'!$B:$B,MATCH(BK51,'_names_lookup'!$A:$A,0)),"")</f>
        <v/>
      </c>
      <c r="BS51">
        <f>IFERROR(IF(BR51*AA51=0,"",BR51*AA51),"")</f>
        <v/>
      </c>
    </row>
    <row r="52">
      <c r="O52">
        <f>IFERROR(INDEX('_courses_lookup'!$C:$C,MATCH(K52&amp;L52,'_courses_lookup'!$E:$E,0)),"")</f>
        <v/>
      </c>
      <c r="P52">
        <f>IFERROR(INDEX('_courses_lookup'!$D:$D,MATCH(K52&amp;L52,'_courses_lookup'!$E:$E,0)),"")</f>
        <v/>
      </c>
      <c r="AG52">
        <f>IF(AND(AE52&lt;&gt;"",AF52&lt;&gt;""),ROUNDUP((AF52-AE52)/7,0),"")</f>
        <v/>
      </c>
      <c r="AI52">
        <f>IFERROR(IF(AG52*AH52=0,"",AG52*AH52),"")</f>
        <v/>
      </c>
      <c r="AL52">
        <f>IF(AND(AJ52&lt;&gt;"",AK52&lt;&gt;""),ROUNDUP((AK52-AJ52)/7,0),"")</f>
        <v/>
      </c>
      <c r="AN52">
        <f>IFERROR(IF(AL52*AM52=0,"",AL52*AM52),"")</f>
        <v/>
      </c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L52">
        <f>IFERROR(INDEX('_names_lookup'!$C:$C,MATCH(BK52,'_names_lookup'!$A:$A,0)),"")</f>
        <v/>
      </c>
      <c r="BM52">
        <f>IFERROR(INDEX('_names_lookup'!$B:$B,MATCH(BK52,'_names_lookup'!$A:$A,0)),"")</f>
        <v/>
      </c>
      <c r="BS52">
        <f>IFERROR(IF(BR52*AA52=0,"",BR52*AA52),"")</f>
        <v/>
      </c>
    </row>
    <row r="53">
      <c r="O53">
        <f>IFERROR(INDEX('_courses_lookup'!$C:$C,MATCH(K53&amp;L53,'_courses_lookup'!$E:$E,0)),"")</f>
        <v/>
      </c>
      <c r="P53">
        <f>IFERROR(INDEX('_courses_lookup'!$D:$D,MATCH(K53&amp;L53,'_courses_lookup'!$E:$E,0)),"")</f>
        <v/>
      </c>
      <c r="AG53">
        <f>IF(AND(AE53&lt;&gt;"",AF53&lt;&gt;""),ROUNDUP((AF53-AE53)/7,0),"")</f>
        <v/>
      </c>
      <c r="AI53">
        <f>IFERROR(IF(AG53*AH53=0,"",AG53*AH53),"")</f>
        <v/>
      </c>
      <c r="AL53">
        <f>IF(AND(AJ53&lt;&gt;"",AK53&lt;&gt;""),ROUNDUP((AK53-AJ53)/7,0),"")</f>
        <v/>
      </c>
      <c r="AN53">
        <f>IFERROR(IF(AL53*AM53=0,"",AL53*AM53),"")</f>
        <v/>
      </c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L53">
        <f>IFERROR(INDEX('_names_lookup'!$C:$C,MATCH(BK53,'_names_lookup'!$A:$A,0)),"")</f>
        <v/>
      </c>
      <c r="BM53">
        <f>IFERROR(INDEX('_names_lookup'!$B:$B,MATCH(BK53,'_names_lookup'!$A:$A,0)),"")</f>
        <v/>
      </c>
      <c r="BS53">
        <f>IFERROR(IF(BR53*AA53=0,"",BR53*AA53),"")</f>
        <v/>
      </c>
    </row>
    <row r="54">
      <c r="O54">
        <f>IFERROR(INDEX('_courses_lookup'!$C:$C,MATCH(K54&amp;L54,'_courses_lookup'!$E:$E,0)),"")</f>
        <v/>
      </c>
      <c r="P54">
        <f>IFERROR(INDEX('_courses_lookup'!$D:$D,MATCH(K54&amp;L54,'_courses_lookup'!$E:$E,0)),"")</f>
        <v/>
      </c>
      <c r="AG54">
        <f>IF(AND(AE54&lt;&gt;"",AF54&lt;&gt;""),ROUNDUP((AF54-AE54)/7,0),"")</f>
        <v/>
      </c>
      <c r="AI54">
        <f>IFERROR(IF(AG54*AH54=0,"",AG54*AH54),"")</f>
        <v/>
      </c>
      <c r="AL54">
        <f>IF(AND(AJ54&lt;&gt;"",AK54&lt;&gt;""),ROUNDUP((AK54-AJ54)/7,0),"")</f>
        <v/>
      </c>
      <c r="AN54">
        <f>IFERROR(IF(AL54*AM54=0,"",AL54*AM54),"")</f>
        <v/>
      </c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L54">
        <f>IFERROR(INDEX('_names_lookup'!$C:$C,MATCH(BK54,'_names_lookup'!$A:$A,0)),"")</f>
        <v/>
      </c>
      <c r="BM54">
        <f>IFERROR(INDEX('_names_lookup'!$B:$B,MATCH(BK54,'_names_lookup'!$A:$A,0)),"")</f>
        <v/>
      </c>
      <c r="BS54">
        <f>IFERROR(IF(BR54*AA54=0,"",BR54*AA54),"")</f>
        <v/>
      </c>
    </row>
    <row r="55">
      <c r="O55">
        <f>IFERROR(INDEX('_courses_lookup'!$C:$C,MATCH(K55&amp;L55,'_courses_lookup'!$E:$E,0)),"")</f>
        <v/>
      </c>
      <c r="P55">
        <f>IFERROR(INDEX('_courses_lookup'!$D:$D,MATCH(K55&amp;L55,'_courses_lookup'!$E:$E,0)),"")</f>
        <v/>
      </c>
      <c r="AG55">
        <f>IF(AND(AE55&lt;&gt;"",AF55&lt;&gt;""),ROUNDUP((AF55-AE55)/7,0),"")</f>
        <v/>
      </c>
      <c r="AI55">
        <f>IFERROR(IF(AG55*AH55=0,"",AG55*AH55),"")</f>
        <v/>
      </c>
      <c r="AL55">
        <f>IF(AND(AJ55&lt;&gt;"",AK55&lt;&gt;""),ROUNDUP((AK55-AJ55)/7,0),"")</f>
        <v/>
      </c>
      <c r="AN55">
        <f>IFERROR(IF(AL55*AM55=0,"",AL55*AM55),"")</f>
        <v/>
      </c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L55">
        <f>IFERROR(INDEX('_names_lookup'!$C:$C,MATCH(BK55,'_names_lookup'!$A:$A,0)),"")</f>
        <v/>
      </c>
      <c r="BM55">
        <f>IFERROR(INDEX('_names_lookup'!$B:$B,MATCH(BK55,'_names_lookup'!$A:$A,0)),"")</f>
        <v/>
      </c>
      <c r="BS55">
        <f>IFERROR(IF(BR55*AA55=0,"",BR55*AA55),"")</f>
        <v/>
      </c>
    </row>
    <row r="56">
      <c r="O56">
        <f>IFERROR(INDEX('_courses_lookup'!$C:$C,MATCH(K56&amp;L56,'_courses_lookup'!$E:$E,0)),"")</f>
        <v/>
      </c>
      <c r="P56">
        <f>IFERROR(INDEX('_courses_lookup'!$D:$D,MATCH(K56&amp;L56,'_courses_lookup'!$E:$E,0)),"")</f>
        <v/>
      </c>
      <c r="AG56">
        <f>IF(AND(AE56&lt;&gt;"",AF56&lt;&gt;""),ROUNDUP((AF56-AE56)/7,0),"")</f>
        <v/>
      </c>
      <c r="AI56">
        <f>IFERROR(IF(AG56*AH56=0,"",AG56*AH56),"")</f>
        <v/>
      </c>
      <c r="AL56">
        <f>IF(AND(AJ56&lt;&gt;"",AK56&lt;&gt;""),ROUNDUP((AK56-AJ56)/7,0),"")</f>
        <v/>
      </c>
      <c r="AN56">
        <f>IFERROR(IF(AL56*AM56=0,"",AL56*AM56),"")</f>
        <v/>
      </c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L56">
        <f>IFERROR(INDEX('_names_lookup'!$C:$C,MATCH(BK56,'_names_lookup'!$A:$A,0)),"")</f>
        <v/>
      </c>
      <c r="BM56">
        <f>IFERROR(INDEX('_names_lookup'!$B:$B,MATCH(BK56,'_names_lookup'!$A:$A,0)),"")</f>
        <v/>
      </c>
      <c r="BS56">
        <f>IFERROR(IF(BR56*AA56=0,"",BR56*AA56),"")</f>
        <v/>
      </c>
    </row>
    <row r="57">
      <c r="O57">
        <f>IFERROR(INDEX('_courses_lookup'!$C:$C,MATCH(K57&amp;L57,'_courses_lookup'!$E:$E,0)),"")</f>
        <v/>
      </c>
      <c r="P57">
        <f>IFERROR(INDEX('_courses_lookup'!$D:$D,MATCH(K57&amp;L57,'_courses_lookup'!$E:$E,0)),"")</f>
        <v/>
      </c>
      <c r="AG57">
        <f>IF(AND(AE57&lt;&gt;"",AF57&lt;&gt;""),ROUNDUP((AF57-AE57)/7,0),"")</f>
        <v/>
      </c>
      <c r="AI57">
        <f>IFERROR(IF(AG57*AH57=0,"",AG57*AH57),"")</f>
        <v/>
      </c>
      <c r="AL57">
        <f>IF(AND(AJ57&lt;&gt;"",AK57&lt;&gt;""),ROUNDUP((AK57-AJ57)/7,0),"")</f>
        <v/>
      </c>
      <c r="AN57">
        <f>IFERROR(IF(AL57*AM57=0,"",AL57*AM57),"")</f>
        <v/>
      </c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L57">
        <f>IFERROR(INDEX('_names_lookup'!$C:$C,MATCH(BK57,'_names_lookup'!$A:$A,0)),"")</f>
        <v/>
      </c>
      <c r="BM57">
        <f>IFERROR(INDEX('_names_lookup'!$B:$B,MATCH(BK57,'_names_lookup'!$A:$A,0)),"")</f>
        <v/>
      </c>
      <c r="BS57">
        <f>IFERROR(IF(BR57*AA57=0,"",BR57*AA57),"")</f>
        <v/>
      </c>
    </row>
    <row r="58">
      <c r="O58">
        <f>IFERROR(INDEX('_courses_lookup'!$C:$C,MATCH(K58&amp;L58,'_courses_lookup'!$E:$E,0)),"")</f>
        <v/>
      </c>
      <c r="P58">
        <f>IFERROR(INDEX('_courses_lookup'!$D:$D,MATCH(K58&amp;L58,'_courses_lookup'!$E:$E,0)),"")</f>
        <v/>
      </c>
      <c r="AG58">
        <f>IF(AND(AE58&lt;&gt;"",AF58&lt;&gt;""),ROUNDUP((AF58-AE58)/7,0),"")</f>
        <v/>
      </c>
      <c r="AI58">
        <f>IFERROR(IF(AG58*AH58=0,"",AG58*AH58),"")</f>
        <v/>
      </c>
      <c r="AL58">
        <f>IF(AND(AJ58&lt;&gt;"",AK58&lt;&gt;""),ROUNDUP((AK58-AJ58)/7,0),"")</f>
        <v/>
      </c>
      <c r="AN58">
        <f>IFERROR(IF(AL58*AM58=0,"",AL58*AM58),"")</f>
        <v/>
      </c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L58">
        <f>IFERROR(INDEX('_names_lookup'!$C:$C,MATCH(BK58,'_names_lookup'!$A:$A,0)),"")</f>
        <v/>
      </c>
      <c r="BM58">
        <f>IFERROR(INDEX('_names_lookup'!$B:$B,MATCH(BK58,'_names_lookup'!$A:$A,0)),"")</f>
        <v/>
      </c>
      <c r="BS58">
        <f>IFERROR(IF(BR58*AA58=0,"",BR58*AA58),"")</f>
        <v/>
      </c>
    </row>
    <row r="59">
      <c r="O59">
        <f>IFERROR(INDEX('_courses_lookup'!$C:$C,MATCH(K59&amp;L59,'_courses_lookup'!$E:$E,0)),"")</f>
        <v/>
      </c>
      <c r="P59">
        <f>IFERROR(INDEX('_courses_lookup'!$D:$D,MATCH(K59&amp;L59,'_courses_lookup'!$E:$E,0)),"")</f>
        <v/>
      </c>
      <c r="AG59">
        <f>IF(AND(AE59&lt;&gt;"",AF59&lt;&gt;""),ROUNDUP((AF59-AE59)/7,0),"")</f>
        <v/>
      </c>
      <c r="AI59">
        <f>IFERROR(IF(AG59*AH59=0,"",AG59*AH59),"")</f>
        <v/>
      </c>
      <c r="AL59">
        <f>IF(AND(AJ59&lt;&gt;"",AK59&lt;&gt;""),ROUNDUP((AK59-AJ59)/7,0),"")</f>
        <v/>
      </c>
      <c r="AN59">
        <f>IFERROR(IF(AL59*AM59=0,"",AL59*AM59),"")</f>
        <v/>
      </c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L59">
        <f>IFERROR(INDEX('_names_lookup'!$C:$C,MATCH(BK59,'_names_lookup'!$A:$A,0)),"")</f>
        <v/>
      </c>
      <c r="BM59">
        <f>IFERROR(INDEX('_names_lookup'!$B:$B,MATCH(BK59,'_names_lookup'!$A:$A,0)),"")</f>
        <v/>
      </c>
      <c r="BS59">
        <f>IFERROR(IF(BR59*AA59=0,"",BR59*AA59),"")</f>
        <v/>
      </c>
    </row>
    <row r="60">
      <c r="O60">
        <f>IFERROR(INDEX('_courses_lookup'!$C:$C,MATCH(K60&amp;L60,'_courses_lookup'!$E:$E,0)),"")</f>
        <v/>
      </c>
      <c r="P60">
        <f>IFERROR(INDEX('_courses_lookup'!$D:$D,MATCH(K60&amp;L60,'_courses_lookup'!$E:$E,0)),"")</f>
        <v/>
      </c>
      <c r="AG60">
        <f>IF(AND(AE60&lt;&gt;"",AF60&lt;&gt;""),ROUNDUP((AF60-AE60)/7,0),"")</f>
        <v/>
      </c>
      <c r="AI60">
        <f>IFERROR(IF(AG60*AH60=0,"",AG60*AH60),"")</f>
        <v/>
      </c>
      <c r="AL60">
        <f>IF(AND(AJ60&lt;&gt;"",AK60&lt;&gt;""),ROUNDUP((AK60-AJ60)/7,0),"")</f>
        <v/>
      </c>
      <c r="AN60">
        <f>IFERROR(IF(AL60*AM60=0,"",AL60*AM60),"")</f>
        <v/>
      </c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L60">
        <f>IFERROR(INDEX('_names_lookup'!$C:$C,MATCH(BK60,'_names_lookup'!$A:$A,0)),"")</f>
        <v/>
      </c>
      <c r="BM60">
        <f>IFERROR(INDEX('_names_lookup'!$B:$B,MATCH(BK60,'_names_lookup'!$A:$A,0)),"")</f>
        <v/>
      </c>
      <c r="BS60">
        <f>IFERROR(IF(BR60*AA60=0,"",BR60*AA60),"")</f>
        <v/>
      </c>
    </row>
    <row r="61">
      <c r="O61">
        <f>IFERROR(INDEX('_courses_lookup'!$C:$C,MATCH(K61&amp;L61,'_courses_lookup'!$E:$E,0)),"")</f>
        <v/>
      </c>
      <c r="P61">
        <f>IFERROR(INDEX('_courses_lookup'!$D:$D,MATCH(K61&amp;L61,'_courses_lookup'!$E:$E,0)),"")</f>
        <v/>
      </c>
      <c r="AG61">
        <f>IF(AND(AE61&lt;&gt;"",AF61&lt;&gt;""),ROUNDUP((AF61-AE61)/7,0),"")</f>
        <v/>
      </c>
      <c r="AI61">
        <f>IFERROR(IF(AG61*AH61=0,"",AG61*AH61),"")</f>
        <v/>
      </c>
      <c r="AL61">
        <f>IF(AND(AJ61&lt;&gt;"",AK61&lt;&gt;""),ROUNDUP((AK61-AJ61)/7,0),"")</f>
        <v/>
      </c>
      <c r="AN61">
        <f>IFERROR(IF(AL61*AM61=0,"",AL61*AM61),"")</f>
        <v/>
      </c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L61">
        <f>IFERROR(INDEX('_names_lookup'!$C:$C,MATCH(BK61,'_names_lookup'!$A:$A,0)),"")</f>
        <v/>
      </c>
      <c r="BM61">
        <f>IFERROR(INDEX('_names_lookup'!$B:$B,MATCH(BK61,'_names_lookup'!$A:$A,0)),"")</f>
        <v/>
      </c>
      <c r="BS61">
        <f>IFERROR(IF(BR61*AA61=0,"",BR61*AA61),"")</f>
        <v/>
      </c>
    </row>
    <row r="62">
      <c r="O62">
        <f>IFERROR(INDEX('_courses_lookup'!$C:$C,MATCH(K62&amp;L62,'_courses_lookup'!$E:$E,0)),"")</f>
        <v/>
      </c>
      <c r="P62">
        <f>IFERROR(INDEX('_courses_lookup'!$D:$D,MATCH(K62&amp;L62,'_courses_lookup'!$E:$E,0)),"")</f>
        <v/>
      </c>
      <c r="AG62">
        <f>IF(AND(AE62&lt;&gt;"",AF62&lt;&gt;""),ROUNDUP((AF62-AE62)/7,0),"")</f>
        <v/>
      </c>
      <c r="AI62">
        <f>IFERROR(IF(AG62*AH62=0,"",AG62*AH62),"")</f>
        <v/>
      </c>
      <c r="AL62">
        <f>IF(AND(AJ62&lt;&gt;"",AK62&lt;&gt;""),ROUNDUP((AK62-AJ62)/7,0),"")</f>
        <v/>
      </c>
      <c r="AN62">
        <f>IFERROR(IF(AL62*AM62=0,"",AL62*AM62),"")</f>
        <v/>
      </c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L62">
        <f>IFERROR(INDEX('_names_lookup'!$C:$C,MATCH(BK62,'_names_lookup'!$A:$A,0)),"")</f>
        <v/>
      </c>
      <c r="BM62">
        <f>IFERROR(INDEX('_names_lookup'!$B:$B,MATCH(BK62,'_names_lookup'!$A:$A,0)),"")</f>
        <v/>
      </c>
      <c r="BS62">
        <f>IFERROR(IF(BR62*AA62=0,"",BR62*AA62),"")</f>
        <v/>
      </c>
    </row>
    <row r="63">
      <c r="O63">
        <f>IFERROR(INDEX('_courses_lookup'!$C:$C,MATCH(K63&amp;L63,'_courses_lookup'!$E:$E,0)),"")</f>
        <v/>
      </c>
      <c r="P63">
        <f>IFERROR(INDEX('_courses_lookup'!$D:$D,MATCH(K63&amp;L63,'_courses_lookup'!$E:$E,0)),"")</f>
        <v/>
      </c>
      <c r="AG63">
        <f>IF(AND(AE63&lt;&gt;"",AF63&lt;&gt;""),ROUNDUP((AF63-AE63)/7,0),"")</f>
        <v/>
      </c>
      <c r="AI63">
        <f>IFERROR(IF(AG63*AH63=0,"",AG63*AH63),"")</f>
        <v/>
      </c>
      <c r="AL63">
        <f>IF(AND(AJ63&lt;&gt;"",AK63&lt;&gt;""),ROUNDUP((AK63-AJ63)/7,0),"")</f>
        <v/>
      </c>
      <c r="AN63">
        <f>IFERROR(IF(AL63*AM63=0,"",AL63*AM63),"")</f>
        <v/>
      </c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L63">
        <f>IFERROR(INDEX('_names_lookup'!$C:$C,MATCH(BK63,'_names_lookup'!$A:$A,0)),"")</f>
        <v/>
      </c>
      <c r="BM63">
        <f>IFERROR(INDEX('_names_lookup'!$B:$B,MATCH(BK63,'_names_lookup'!$A:$A,0)),"")</f>
        <v/>
      </c>
      <c r="BS63">
        <f>IFERROR(IF(BR63*AA63=0,"",BR63*AA63),"")</f>
        <v/>
      </c>
    </row>
    <row r="64">
      <c r="O64">
        <f>IFERROR(INDEX('_courses_lookup'!$C:$C,MATCH(K64&amp;L64,'_courses_lookup'!$E:$E,0)),"")</f>
        <v/>
      </c>
      <c r="P64">
        <f>IFERROR(INDEX('_courses_lookup'!$D:$D,MATCH(K64&amp;L64,'_courses_lookup'!$E:$E,0)),"")</f>
        <v/>
      </c>
      <c r="AG64">
        <f>IF(AND(AE64&lt;&gt;"",AF64&lt;&gt;""),ROUNDUP((AF64-AE64)/7,0),"")</f>
        <v/>
      </c>
      <c r="AI64">
        <f>IFERROR(IF(AG64*AH64=0,"",AG64*AH64),"")</f>
        <v/>
      </c>
      <c r="AL64">
        <f>IF(AND(AJ64&lt;&gt;"",AK64&lt;&gt;""),ROUNDUP((AK64-AJ64)/7,0),"")</f>
        <v/>
      </c>
      <c r="AN64">
        <f>IFERROR(IF(AL64*AM64=0,"",AL64*AM64),"")</f>
        <v/>
      </c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L64">
        <f>IFERROR(INDEX('_names_lookup'!$C:$C,MATCH(BK64,'_names_lookup'!$A:$A,0)),"")</f>
        <v/>
      </c>
      <c r="BM64">
        <f>IFERROR(INDEX('_names_lookup'!$B:$B,MATCH(BK64,'_names_lookup'!$A:$A,0)),"")</f>
        <v/>
      </c>
      <c r="BS64">
        <f>IFERROR(IF(BR64*AA64=0,"",BR64*AA64),"")</f>
        <v/>
      </c>
    </row>
    <row r="65">
      <c r="O65">
        <f>IFERROR(INDEX('_courses_lookup'!$C:$C,MATCH(K65&amp;L65,'_courses_lookup'!$E:$E,0)),"")</f>
        <v/>
      </c>
      <c r="P65">
        <f>IFERROR(INDEX('_courses_lookup'!$D:$D,MATCH(K65&amp;L65,'_courses_lookup'!$E:$E,0)),"")</f>
        <v/>
      </c>
      <c r="AG65">
        <f>IF(AND(AE65&lt;&gt;"",AF65&lt;&gt;""),ROUNDUP((AF65-AE65)/7,0),"")</f>
        <v/>
      </c>
      <c r="AI65">
        <f>IFERROR(IF(AG65*AH65=0,"",AG65*AH65),"")</f>
        <v/>
      </c>
      <c r="AL65">
        <f>IF(AND(AJ65&lt;&gt;"",AK65&lt;&gt;""),ROUNDUP((AK65-AJ65)/7,0),"")</f>
        <v/>
      </c>
      <c r="AN65">
        <f>IFERROR(IF(AL65*AM65=0,"",AL65*AM65),"")</f>
        <v/>
      </c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L65">
        <f>IFERROR(INDEX('_names_lookup'!$C:$C,MATCH(BK65,'_names_lookup'!$A:$A,0)),"")</f>
        <v/>
      </c>
      <c r="BM65">
        <f>IFERROR(INDEX('_names_lookup'!$B:$B,MATCH(BK65,'_names_lookup'!$A:$A,0)),"")</f>
        <v/>
      </c>
      <c r="BS65">
        <f>IFERROR(IF(BR65*AA65=0,"",BR65*AA65),"")</f>
        <v/>
      </c>
    </row>
    <row r="66">
      <c r="O66">
        <f>IFERROR(INDEX('_courses_lookup'!$C:$C,MATCH(K66&amp;L66,'_courses_lookup'!$E:$E,0)),"")</f>
        <v/>
      </c>
      <c r="P66">
        <f>IFERROR(INDEX('_courses_lookup'!$D:$D,MATCH(K66&amp;L66,'_courses_lookup'!$E:$E,0)),"")</f>
        <v/>
      </c>
      <c r="AG66">
        <f>IF(AND(AE66&lt;&gt;"",AF66&lt;&gt;""),ROUNDUP((AF66-AE66)/7,0),"")</f>
        <v/>
      </c>
      <c r="AI66">
        <f>IFERROR(IF(AG66*AH66=0,"",AG66*AH66),"")</f>
        <v/>
      </c>
      <c r="AL66">
        <f>IF(AND(AJ66&lt;&gt;"",AK66&lt;&gt;""),ROUNDUP((AK66-AJ66)/7,0),"")</f>
        <v/>
      </c>
      <c r="AN66">
        <f>IFERROR(IF(AL66*AM66=0,"",AL66*AM66),"")</f>
        <v/>
      </c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L66">
        <f>IFERROR(INDEX('_names_lookup'!$C:$C,MATCH(BK66,'_names_lookup'!$A:$A,0)),"")</f>
        <v/>
      </c>
      <c r="BM66">
        <f>IFERROR(INDEX('_names_lookup'!$B:$B,MATCH(BK66,'_names_lookup'!$A:$A,0)),"")</f>
        <v/>
      </c>
      <c r="BS66">
        <f>IFERROR(IF(BR66*AA66=0,"",BR66*AA66),"")</f>
        <v/>
      </c>
    </row>
    <row r="67">
      <c r="O67">
        <f>IFERROR(INDEX('_courses_lookup'!$C:$C,MATCH(K67&amp;L67,'_courses_lookup'!$E:$E,0)),"")</f>
        <v/>
      </c>
      <c r="P67">
        <f>IFERROR(INDEX('_courses_lookup'!$D:$D,MATCH(K67&amp;L67,'_courses_lookup'!$E:$E,0)),"")</f>
        <v/>
      </c>
      <c r="AG67">
        <f>IF(AND(AE67&lt;&gt;"",AF67&lt;&gt;""),ROUNDUP((AF67-AE67)/7,0),"")</f>
        <v/>
      </c>
      <c r="AI67">
        <f>IFERROR(IF(AG67*AH67=0,"",AG67*AH67),"")</f>
        <v/>
      </c>
      <c r="AL67">
        <f>IF(AND(AJ67&lt;&gt;"",AK67&lt;&gt;""),ROUNDUP((AK67-AJ67)/7,0),"")</f>
        <v/>
      </c>
      <c r="AN67">
        <f>IFERROR(IF(AL67*AM67=0,"",AL67*AM67),"")</f>
        <v/>
      </c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L67">
        <f>IFERROR(INDEX('_names_lookup'!$C:$C,MATCH(BK67,'_names_lookup'!$A:$A,0)),"")</f>
        <v/>
      </c>
      <c r="BM67">
        <f>IFERROR(INDEX('_names_lookup'!$B:$B,MATCH(BK67,'_names_lookup'!$A:$A,0)),"")</f>
        <v/>
      </c>
      <c r="BS67">
        <f>IFERROR(IF(BR67*AA67=0,"",BR67*AA67),"")</f>
        <v/>
      </c>
    </row>
    <row r="68">
      <c r="O68">
        <f>IFERROR(INDEX('_courses_lookup'!$C:$C,MATCH(K68&amp;L68,'_courses_lookup'!$E:$E,0)),"")</f>
        <v/>
      </c>
      <c r="P68">
        <f>IFERROR(INDEX('_courses_lookup'!$D:$D,MATCH(K68&amp;L68,'_courses_lookup'!$E:$E,0)),"")</f>
        <v/>
      </c>
      <c r="AG68">
        <f>IF(AND(AE68&lt;&gt;"",AF68&lt;&gt;""),ROUNDUP((AF68-AE68)/7,0),"")</f>
        <v/>
      </c>
      <c r="AI68">
        <f>IFERROR(IF(AG68*AH68=0,"",AG68*AH68),"")</f>
        <v/>
      </c>
      <c r="AL68">
        <f>IF(AND(AJ68&lt;&gt;"",AK68&lt;&gt;""),ROUNDUP((AK68-AJ68)/7,0),"")</f>
        <v/>
      </c>
      <c r="AN68">
        <f>IFERROR(IF(AL68*AM68=0,"",AL68*AM68),"")</f>
        <v/>
      </c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L68">
        <f>IFERROR(INDEX('_names_lookup'!$C:$C,MATCH(BK68,'_names_lookup'!$A:$A,0)),"")</f>
        <v/>
      </c>
      <c r="BM68">
        <f>IFERROR(INDEX('_names_lookup'!$B:$B,MATCH(BK68,'_names_lookup'!$A:$A,0)),"")</f>
        <v/>
      </c>
      <c r="BS68">
        <f>IFERROR(IF(BR68*AA68=0,"",BR68*AA68),"")</f>
        <v/>
      </c>
    </row>
    <row r="69">
      <c r="O69">
        <f>IFERROR(INDEX('_courses_lookup'!$C:$C,MATCH(K69&amp;L69,'_courses_lookup'!$E:$E,0)),"")</f>
        <v/>
      </c>
      <c r="P69">
        <f>IFERROR(INDEX('_courses_lookup'!$D:$D,MATCH(K69&amp;L69,'_courses_lookup'!$E:$E,0)),"")</f>
        <v/>
      </c>
      <c r="AG69">
        <f>IF(AND(AE69&lt;&gt;"",AF69&lt;&gt;""),ROUNDUP((AF69-AE69)/7,0),"")</f>
        <v/>
      </c>
      <c r="AI69">
        <f>IFERROR(IF(AG69*AH69=0,"",AG69*AH69),"")</f>
        <v/>
      </c>
      <c r="AL69">
        <f>IF(AND(AJ69&lt;&gt;"",AK69&lt;&gt;""),ROUNDUP((AK69-AJ69)/7,0),"")</f>
        <v/>
      </c>
      <c r="AN69">
        <f>IFERROR(IF(AL69*AM69=0,"",AL69*AM69),"")</f>
        <v/>
      </c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L69">
        <f>IFERROR(INDEX('_names_lookup'!$C:$C,MATCH(BK69,'_names_lookup'!$A:$A,0)),"")</f>
        <v/>
      </c>
      <c r="BM69">
        <f>IFERROR(INDEX('_names_lookup'!$B:$B,MATCH(BK69,'_names_lookup'!$A:$A,0)),"")</f>
        <v/>
      </c>
      <c r="BS69">
        <f>IFERROR(IF(BR69*AA69=0,"",BR69*AA69),"")</f>
        <v/>
      </c>
    </row>
    <row r="70">
      <c r="O70">
        <f>IFERROR(INDEX('_courses_lookup'!$C:$C,MATCH(K70&amp;L70,'_courses_lookup'!$E:$E,0)),"")</f>
        <v/>
      </c>
      <c r="P70">
        <f>IFERROR(INDEX('_courses_lookup'!$D:$D,MATCH(K70&amp;L70,'_courses_lookup'!$E:$E,0)),"")</f>
        <v/>
      </c>
      <c r="AG70">
        <f>IF(AND(AE70&lt;&gt;"",AF70&lt;&gt;""),ROUNDUP((AF70-AE70)/7,0),"")</f>
        <v/>
      </c>
      <c r="AI70">
        <f>IFERROR(IF(AG70*AH70=0,"",AG70*AH70),"")</f>
        <v/>
      </c>
      <c r="AL70">
        <f>IF(AND(AJ70&lt;&gt;"",AK70&lt;&gt;""),ROUNDUP((AK70-AJ70)/7,0),"")</f>
        <v/>
      </c>
      <c r="AN70">
        <f>IFERROR(IF(AL70*AM70=0,"",AL70*AM70),"")</f>
        <v/>
      </c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L70">
        <f>IFERROR(INDEX('_names_lookup'!$C:$C,MATCH(BK70,'_names_lookup'!$A:$A,0)),"")</f>
        <v/>
      </c>
      <c r="BM70">
        <f>IFERROR(INDEX('_names_lookup'!$B:$B,MATCH(BK70,'_names_lookup'!$A:$A,0)),"")</f>
        <v/>
      </c>
      <c r="BS70">
        <f>IFERROR(IF(BR70*AA70=0,"",BR70*AA70),"")</f>
        <v/>
      </c>
    </row>
    <row r="71">
      <c r="O71">
        <f>IFERROR(INDEX('_courses_lookup'!$C:$C,MATCH(K71&amp;L71,'_courses_lookup'!$E:$E,0)),"")</f>
        <v/>
      </c>
      <c r="P71">
        <f>IFERROR(INDEX('_courses_lookup'!$D:$D,MATCH(K71&amp;L71,'_courses_lookup'!$E:$E,0)),"")</f>
        <v/>
      </c>
      <c r="AG71">
        <f>IF(AND(AE71&lt;&gt;"",AF71&lt;&gt;""),ROUNDUP((AF71-AE71)/7,0),"")</f>
        <v/>
      </c>
      <c r="AI71">
        <f>IFERROR(IF(AG71*AH71=0,"",AG71*AH71),"")</f>
        <v/>
      </c>
      <c r="AL71">
        <f>IF(AND(AJ71&lt;&gt;"",AK71&lt;&gt;""),ROUNDUP((AK71-AJ71)/7,0),"")</f>
        <v/>
      </c>
      <c r="AN71">
        <f>IFERROR(IF(AL71*AM71=0,"",AL71*AM71),"")</f>
        <v/>
      </c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L71">
        <f>IFERROR(INDEX('_names_lookup'!$C:$C,MATCH(BK71,'_names_lookup'!$A:$A,0)),"")</f>
        <v/>
      </c>
      <c r="BM71">
        <f>IFERROR(INDEX('_names_lookup'!$B:$B,MATCH(BK71,'_names_lookup'!$A:$A,0)),"")</f>
        <v/>
      </c>
      <c r="BS71">
        <f>IFERROR(IF(BR71*AA71=0,"",BR71*AA71),"")</f>
        <v/>
      </c>
    </row>
    <row r="72">
      <c r="O72">
        <f>IFERROR(INDEX('_courses_lookup'!$C:$C,MATCH(K72&amp;L72,'_courses_lookup'!$E:$E,0)),"")</f>
        <v/>
      </c>
      <c r="P72">
        <f>IFERROR(INDEX('_courses_lookup'!$D:$D,MATCH(K72&amp;L72,'_courses_lookup'!$E:$E,0)),"")</f>
        <v/>
      </c>
      <c r="AG72">
        <f>IF(AND(AE72&lt;&gt;"",AF72&lt;&gt;""),ROUNDUP((AF72-AE72)/7,0),"")</f>
        <v/>
      </c>
      <c r="AI72">
        <f>IFERROR(IF(AG72*AH72=0,"",AG72*AH72),"")</f>
        <v/>
      </c>
      <c r="AL72">
        <f>IF(AND(AJ72&lt;&gt;"",AK72&lt;&gt;""),ROUNDUP((AK72-AJ72)/7,0),"")</f>
        <v/>
      </c>
      <c r="AN72">
        <f>IFERROR(IF(AL72*AM72=0,"",AL72*AM72),"")</f>
        <v/>
      </c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L72">
        <f>IFERROR(INDEX('_names_lookup'!$C:$C,MATCH(BK72,'_names_lookup'!$A:$A,0)),"")</f>
        <v/>
      </c>
      <c r="BM72">
        <f>IFERROR(INDEX('_names_lookup'!$B:$B,MATCH(BK72,'_names_lookup'!$A:$A,0)),"")</f>
        <v/>
      </c>
      <c r="BS72">
        <f>IFERROR(IF(BR72*AA72=0,"",BR72*AA72),"")</f>
        <v/>
      </c>
    </row>
    <row r="73">
      <c r="O73">
        <f>IFERROR(INDEX('_courses_lookup'!$C:$C,MATCH(K73&amp;L73,'_courses_lookup'!$E:$E,0)),"")</f>
        <v/>
      </c>
      <c r="P73">
        <f>IFERROR(INDEX('_courses_lookup'!$D:$D,MATCH(K73&amp;L73,'_courses_lookup'!$E:$E,0)),"")</f>
        <v/>
      </c>
      <c r="AG73">
        <f>IF(AND(AE73&lt;&gt;"",AF73&lt;&gt;""),ROUNDUP((AF73-AE73)/7,0),"")</f>
        <v/>
      </c>
      <c r="AI73">
        <f>IFERROR(IF(AG73*AH73=0,"",AG73*AH73),"")</f>
        <v/>
      </c>
      <c r="AL73">
        <f>IF(AND(AJ73&lt;&gt;"",AK73&lt;&gt;""),ROUNDUP((AK73-AJ73)/7,0),"")</f>
        <v/>
      </c>
      <c r="AN73">
        <f>IFERROR(IF(AL73*AM73=0,"",AL73*AM73),"")</f>
        <v/>
      </c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L73">
        <f>IFERROR(INDEX('_names_lookup'!$C:$C,MATCH(BK73,'_names_lookup'!$A:$A,0)),"")</f>
        <v/>
      </c>
      <c r="BM73">
        <f>IFERROR(INDEX('_names_lookup'!$B:$B,MATCH(BK73,'_names_lookup'!$A:$A,0)),"")</f>
        <v/>
      </c>
      <c r="BS73">
        <f>IFERROR(IF(BR73*AA73=0,"",BR73*AA73),"")</f>
        <v/>
      </c>
    </row>
    <row r="74">
      <c r="O74">
        <f>IFERROR(INDEX('_courses_lookup'!$C:$C,MATCH(K74&amp;L74,'_courses_lookup'!$E:$E,0)),"")</f>
        <v/>
      </c>
      <c r="P74">
        <f>IFERROR(INDEX('_courses_lookup'!$D:$D,MATCH(K74&amp;L74,'_courses_lookup'!$E:$E,0)),"")</f>
        <v/>
      </c>
      <c r="AG74">
        <f>IF(AND(AE74&lt;&gt;"",AF74&lt;&gt;""),ROUNDUP((AF74-AE74)/7,0),"")</f>
        <v/>
      </c>
      <c r="AI74">
        <f>IFERROR(IF(AG74*AH74=0,"",AG74*AH74),"")</f>
        <v/>
      </c>
      <c r="AL74">
        <f>IF(AND(AJ74&lt;&gt;"",AK74&lt;&gt;""),ROUNDUP((AK74-AJ74)/7,0),"")</f>
        <v/>
      </c>
      <c r="AN74">
        <f>IFERROR(IF(AL74*AM74=0,"",AL74*AM74),"")</f>
        <v/>
      </c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L74">
        <f>IFERROR(INDEX('_names_lookup'!$C:$C,MATCH(BK74,'_names_lookup'!$A:$A,0)),"")</f>
        <v/>
      </c>
      <c r="BM74">
        <f>IFERROR(INDEX('_names_lookup'!$B:$B,MATCH(BK74,'_names_lookup'!$A:$A,0)),"")</f>
        <v/>
      </c>
      <c r="BS74">
        <f>IFERROR(IF(BR74*AA74=0,"",BR74*AA74),"")</f>
        <v/>
      </c>
    </row>
    <row r="75">
      <c r="O75">
        <f>IFERROR(INDEX('_courses_lookup'!$C:$C,MATCH(K75&amp;L75,'_courses_lookup'!$E:$E,0)),"")</f>
        <v/>
      </c>
      <c r="P75">
        <f>IFERROR(INDEX('_courses_lookup'!$D:$D,MATCH(K75&amp;L75,'_courses_lookup'!$E:$E,0)),"")</f>
        <v/>
      </c>
      <c r="AG75">
        <f>IF(AND(AE75&lt;&gt;"",AF75&lt;&gt;""),ROUNDUP((AF75-AE75)/7,0),"")</f>
        <v/>
      </c>
      <c r="AI75">
        <f>IFERROR(IF(AG75*AH75=0,"",AG75*AH75),"")</f>
        <v/>
      </c>
      <c r="AL75">
        <f>IF(AND(AJ75&lt;&gt;"",AK75&lt;&gt;""),ROUNDUP((AK75-AJ75)/7,0),"")</f>
        <v/>
      </c>
      <c r="AN75">
        <f>IFERROR(IF(AL75*AM75=0,"",AL75*AM75),"")</f>
        <v/>
      </c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L75">
        <f>IFERROR(INDEX('_names_lookup'!$C:$C,MATCH(BK75,'_names_lookup'!$A:$A,0)),"")</f>
        <v/>
      </c>
      <c r="BM75">
        <f>IFERROR(INDEX('_names_lookup'!$B:$B,MATCH(BK75,'_names_lookup'!$A:$A,0)),"")</f>
        <v/>
      </c>
      <c r="BS75">
        <f>IFERROR(IF(BR75*AA75=0,"",BR75*AA75),"")</f>
        <v/>
      </c>
    </row>
    <row r="76">
      <c r="O76">
        <f>IFERROR(INDEX('_courses_lookup'!$C:$C,MATCH(K76&amp;L76,'_courses_lookup'!$E:$E,0)),"")</f>
        <v/>
      </c>
      <c r="P76">
        <f>IFERROR(INDEX('_courses_lookup'!$D:$D,MATCH(K76&amp;L76,'_courses_lookup'!$E:$E,0)),"")</f>
        <v/>
      </c>
      <c r="AG76">
        <f>IF(AND(AE76&lt;&gt;"",AF76&lt;&gt;""),ROUNDUP((AF76-AE76)/7,0),"")</f>
        <v/>
      </c>
      <c r="AI76">
        <f>IFERROR(IF(AG76*AH76=0,"",AG76*AH76),"")</f>
        <v/>
      </c>
      <c r="AL76">
        <f>IF(AND(AJ76&lt;&gt;"",AK76&lt;&gt;""),ROUNDUP((AK76-AJ76)/7,0),"")</f>
        <v/>
      </c>
      <c r="AN76">
        <f>IFERROR(IF(AL76*AM76=0,"",AL76*AM76),"")</f>
        <v/>
      </c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L76">
        <f>IFERROR(INDEX('_names_lookup'!$C:$C,MATCH(BK76,'_names_lookup'!$A:$A,0)),"")</f>
        <v/>
      </c>
      <c r="BM76">
        <f>IFERROR(INDEX('_names_lookup'!$B:$B,MATCH(BK76,'_names_lookup'!$A:$A,0)),"")</f>
        <v/>
      </c>
      <c r="BS76">
        <f>IFERROR(IF(BR76*AA76=0,"",BR76*AA76),"")</f>
        <v/>
      </c>
    </row>
    <row r="77">
      <c r="O77">
        <f>IFERROR(INDEX('_courses_lookup'!$C:$C,MATCH(K77&amp;L77,'_courses_lookup'!$E:$E,0)),"")</f>
        <v/>
      </c>
      <c r="P77">
        <f>IFERROR(INDEX('_courses_lookup'!$D:$D,MATCH(K77&amp;L77,'_courses_lookup'!$E:$E,0)),"")</f>
        <v/>
      </c>
      <c r="AG77">
        <f>IF(AND(AE77&lt;&gt;"",AF77&lt;&gt;""),ROUNDUP((AF77-AE77)/7,0),"")</f>
        <v/>
      </c>
      <c r="AI77">
        <f>IFERROR(IF(AG77*AH77=0,"",AG77*AH77),"")</f>
        <v/>
      </c>
      <c r="AL77">
        <f>IF(AND(AJ77&lt;&gt;"",AK77&lt;&gt;""),ROUNDUP((AK77-AJ77)/7,0),"")</f>
        <v/>
      </c>
      <c r="AN77">
        <f>IFERROR(IF(AL77*AM77=0,"",AL77*AM77),"")</f>
        <v/>
      </c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L77">
        <f>IFERROR(INDEX('_names_lookup'!$C:$C,MATCH(BK77,'_names_lookup'!$A:$A,0)),"")</f>
        <v/>
      </c>
      <c r="BM77">
        <f>IFERROR(INDEX('_names_lookup'!$B:$B,MATCH(BK77,'_names_lookup'!$A:$A,0)),"")</f>
        <v/>
      </c>
      <c r="BS77">
        <f>IFERROR(IF(BR77*AA77=0,"",BR77*AA77),"")</f>
        <v/>
      </c>
    </row>
    <row r="78">
      <c r="O78">
        <f>IFERROR(INDEX('_courses_lookup'!$C:$C,MATCH(K78&amp;L78,'_courses_lookup'!$E:$E,0)),"")</f>
        <v/>
      </c>
      <c r="P78">
        <f>IFERROR(INDEX('_courses_lookup'!$D:$D,MATCH(K78&amp;L78,'_courses_lookup'!$E:$E,0)),"")</f>
        <v/>
      </c>
      <c r="AG78">
        <f>IF(AND(AE78&lt;&gt;"",AF78&lt;&gt;""),ROUNDUP((AF78-AE78)/7,0),"")</f>
        <v/>
      </c>
      <c r="AI78">
        <f>IFERROR(IF(AG78*AH78=0,"",AG78*AH78),"")</f>
        <v/>
      </c>
      <c r="AL78">
        <f>IF(AND(AJ78&lt;&gt;"",AK78&lt;&gt;""),ROUNDUP((AK78-AJ78)/7,0),"")</f>
        <v/>
      </c>
      <c r="AN78">
        <f>IFERROR(IF(AL78*AM78=0,"",AL78*AM78),"")</f>
        <v/>
      </c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L78">
        <f>IFERROR(INDEX('_names_lookup'!$C:$C,MATCH(BK78,'_names_lookup'!$A:$A,0)),"")</f>
        <v/>
      </c>
      <c r="BM78">
        <f>IFERROR(INDEX('_names_lookup'!$B:$B,MATCH(BK78,'_names_lookup'!$A:$A,0)),"")</f>
        <v/>
      </c>
      <c r="BS78">
        <f>IFERROR(IF(BR78*AA78=0,"",BR78*AA78),"")</f>
        <v/>
      </c>
    </row>
    <row r="79">
      <c r="O79">
        <f>IFERROR(INDEX('_courses_lookup'!$C:$C,MATCH(K79&amp;L79,'_courses_lookup'!$E:$E,0)),"")</f>
        <v/>
      </c>
      <c r="P79">
        <f>IFERROR(INDEX('_courses_lookup'!$D:$D,MATCH(K79&amp;L79,'_courses_lookup'!$E:$E,0)),"")</f>
        <v/>
      </c>
      <c r="AG79">
        <f>IF(AND(AE79&lt;&gt;"",AF79&lt;&gt;""),ROUNDUP((AF79-AE79)/7,0),"")</f>
        <v/>
      </c>
      <c r="AI79">
        <f>IFERROR(IF(AG79*AH79=0,"",AG79*AH79),"")</f>
        <v/>
      </c>
      <c r="AL79">
        <f>IF(AND(AJ79&lt;&gt;"",AK79&lt;&gt;""),ROUNDUP((AK79-AJ79)/7,0),"")</f>
        <v/>
      </c>
      <c r="AN79">
        <f>IFERROR(IF(AL79*AM79=0,"",AL79*AM79),"")</f>
        <v/>
      </c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L79">
        <f>IFERROR(INDEX('_names_lookup'!$C:$C,MATCH(BK79,'_names_lookup'!$A:$A,0)),"")</f>
        <v/>
      </c>
      <c r="BM79">
        <f>IFERROR(INDEX('_names_lookup'!$B:$B,MATCH(BK79,'_names_lookup'!$A:$A,0)),"")</f>
        <v/>
      </c>
      <c r="BS79">
        <f>IFERROR(IF(BR79*AA79=0,"",BR79*AA79),"")</f>
        <v/>
      </c>
    </row>
    <row r="80">
      <c r="O80">
        <f>IFERROR(INDEX('_courses_lookup'!$C:$C,MATCH(K80&amp;L80,'_courses_lookup'!$E:$E,0)),"")</f>
        <v/>
      </c>
      <c r="P80">
        <f>IFERROR(INDEX('_courses_lookup'!$D:$D,MATCH(K80&amp;L80,'_courses_lookup'!$E:$E,0)),"")</f>
        <v/>
      </c>
      <c r="AG80">
        <f>IF(AND(AE80&lt;&gt;"",AF80&lt;&gt;""),ROUNDUP((AF80-AE80)/7,0),"")</f>
        <v/>
      </c>
      <c r="AI80">
        <f>IFERROR(IF(AG80*AH80=0,"",AG80*AH80),"")</f>
        <v/>
      </c>
      <c r="AL80">
        <f>IF(AND(AJ80&lt;&gt;"",AK80&lt;&gt;""),ROUNDUP((AK80-AJ80)/7,0),"")</f>
        <v/>
      </c>
      <c r="AN80">
        <f>IFERROR(IF(AL80*AM80=0,"",AL80*AM80),"")</f>
        <v/>
      </c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L80">
        <f>IFERROR(INDEX('_names_lookup'!$C:$C,MATCH(BK80,'_names_lookup'!$A:$A,0)),"")</f>
        <v/>
      </c>
      <c r="BM80">
        <f>IFERROR(INDEX('_names_lookup'!$B:$B,MATCH(BK80,'_names_lookup'!$A:$A,0)),"")</f>
        <v/>
      </c>
      <c r="BS80">
        <f>IFERROR(IF(BR80*AA80=0,"",BR80*AA80),"")</f>
        <v/>
      </c>
    </row>
    <row r="81">
      <c r="O81">
        <f>IFERROR(INDEX('_courses_lookup'!$C:$C,MATCH(K81&amp;L81,'_courses_lookup'!$E:$E,0)),"")</f>
        <v/>
      </c>
      <c r="P81">
        <f>IFERROR(INDEX('_courses_lookup'!$D:$D,MATCH(K81&amp;L81,'_courses_lookup'!$E:$E,0)),"")</f>
        <v/>
      </c>
      <c r="AG81">
        <f>IF(AND(AE81&lt;&gt;"",AF81&lt;&gt;""),ROUNDUP((AF81-AE81)/7,0),"")</f>
        <v/>
      </c>
      <c r="AI81">
        <f>IFERROR(IF(AG81*AH81=0,"",AG81*AH81),"")</f>
        <v/>
      </c>
      <c r="AL81">
        <f>IF(AND(AJ81&lt;&gt;"",AK81&lt;&gt;""),ROUNDUP((AK81-AJ81)/7,0),"")</f>
        <v/>
      </c>
      <c r="AN81">
        <f>IFERROR(IF(AL81*AM81=0,"",AL81*AM81),"")</f>
        <v/>
      </c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L81">
        <f>IFERROR(INDEX('_names_lookup'!$C:$C,MATCH(BK81,'_names_lookup'!$A:$A,0)),"")</f>
        <v/>
      </c>
      <c r="BM81">
        <f>IFERROR(INDEX('_names_lookup'!$B:$B,MATCH(BK81,'_names_lookup'!$A:$A,0)),"")</f>
        <v/>
      </c>
      <c r="BS81">
        <f>IFERROR(IF(BR81*AA81=0,"",BR81*AA81),"")</f>
        <v/>
      </c>
    </row>
    <row r="82">
      <c r="O82">
        <f>IFERROR(INDEX('_courses_lookup'!$C:$C,MATCH(K82&amp;L82,'_courses_lookup'!$E:$E,0)),"")</f>
        <v/>
      </c>
      <c r="P82">
        <f>IFERROR(INDEX('_courses_lookup'!$D:$D,MATCH(K82&amp;L82,'_courses_lookup'!$E:$E,0)),"")</f>
        <v/>
      </c>
      <c r="AG82">
        <f>IF(AND(AE82&lt;&gt;"",AF82&lt;&gt;""),ROUNDUP((AF82-AE82)/7,0),"")</f>
        <v/>
      </c>
      <c r="AI82">
        <f>IFERROR(IF(AG82*AH82=0,"",AG82*AH82),"")</f>
        <v/>
      </c>
      <c r="AL82">
        <f>IF(AND(AJ82&lt;&gt;"",AK82&lt;&gt;""),ROUNDUP((AK82-AJ82)/7,0),"")</f>
        <v/>
      </c>
      <c r="AN82">
        <f>IFERROR(IF(AL82*AM82=0,"",AL82*AM82),"")</f>
        <v/>
      </c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L82">
        <f>IFERROR(INDEX('_names_lookup'!$C:$C,MATCH(BK82,'_names_lookup'!$A:$A,0)),"")</f>
        <v/>
      </c>
      <c r="BM82">
        <f>IFERROR(INDEX('_names_lookup'!$B:$B,MATCH(BK82,'_names_lookup'!$A:$A,0)),"")</f>
        <v/>
      </c>
      <c r="BS82">
        <f>IFERROR(IF(BR82*AA82=0,"",BR82*AA82),"")</f>
        <v/>
      </c>
    </row>
    <row r="83">
      <c r="O83">
        <f>IFERROR(INDEX('_courses_lookup'!$C:$C,MATCH(K83&amp;L83,'_courses_lookup'!$E:$E,0)),"")</f>
        <v/>
      </c>
      <c r="P83">
        <f>IFERROR(INDEX('_courses_lookup'!$D:$D,MATCH(K83&amp;L83,'_courses_lookup'!$E:$E,0)),"")</f>
        <v/>
      </c>
      <c r="AG83">
        <f>IF(AND(AE83&lt;&gt;"",AF83&lt;&gt;""),ROUNDUP((AF83-AE83)/7,0),"")</f>
        <v/>
      </c>
      <c r="AI83">
        <f>IFERROR(IF(AG83*AH83=0,"",AG83*AH83),"")</f>
        <v/>
      </c>
      <c r="AL83">
        <f>IF(AND(AJ83&lt;&gt;"",AK83&lt;&gt;""),ROUNDUP((AK83-AJ83)/7,0),"")</f>
        <v/>
      </c>
      <c r="AN83">
        <f>IFERROR(IF(AL83*AM83=0,"",AL83*AM83),"")</f>
        <v/>
      </c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L83">
        <f>IFERROR(INDEX('_names_lookup'!$C:$C,MATCH(BK83,'_names_lookup'!$A:$A,0)),"")</f>
        <v/>
      </c>
      <c r="BM83">
        <f>IFERROR(INDEX('_names_lookup'!$B:$B,MATCH(BK83,'_names_lookup'!$A:$A,0)),"")</f>
        <v/>
      </c>
      <c r="BS83">
        <f>IFERROR(IF(BR83*AA83=0,"",BR83*AA83),"")</f>
        <v/>
      </c>
    </row>
    <row r="84">
      <c r="O84">
        <f>IFERROR(INDEX('_courses_lookup'!$C:$C,MATCH(K84&amp;L84,'_courses_lookup'!$E:$E,0)),"")</f>
        <v/>
      </c>
      <c r="P84">
        <f>IFERROR(INDEX('_courses_lookup'!$D:$D,MATCH(K84&amp;L84,'_courses_lookup'!$E:$E,0)),"")</f>
        <v/>
      </c>
      <c r="AG84">
        <f>IF(AND(AE84&lt;&gt;"",AF84&lt;&gt;""),ROUNDUP((AF84-AE84)/7,0),"")</f>
        <v/>
      </c>
      <c r="AI84">
        <f>IFERROR(IF(AG84*AH84=0,"",AG84*AH84),"")</f>
        <v/>
      </c>
      <c r="AL84">
        <f>IF(AND(AJ84&lt;&gt;"",AK84&lt;&gt;""),ROUNDUP((AK84-AJ84)/7,0),"")</f>
        <v/>
      </c>
      <c r="AN84">
        <f>IFERROR(IF(AL84*AM84=0,"",AL84*AM84),"")</f>
        <v/>
      </c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L84">
        <f>IFERROR(INDEX('_names_lookup'!$C:$C,MATCH(BK84,'_names_lookup'!$A:$A,0)),"")</f>
        <v/>
      </c>
      <c r="BM84">
        <f>IFERROR(INDEX('_names_lookup'!$B:$B,MATCH(BK84,'_names_lookup'!$A:$A,0)),"")</f>
        <v/>
      </c>
      <c r="BS84">
        <f>IFERROR(IF(BR84*AA84=0,"",BR84*AA84),"")</f>
        <v/>
      </c>
    </row>
    <row r="85">
      <c r="O85">
        <f>IFERROR(INDEX('_courses_lookup'!$C:$C,MATCH(K85&amp;L85,'_courses_lookup'!$E:$E,0)),"")</f>
        <v/>
      </c>
      <c r="P85">
        <f>IFERROR(INDEX('_courses_lookup'!$D:$D,MATCH(K85&amp;L85,'_courses_lookup'!$E:$E,0)),"")</f>
        <v/>
      </c>
      <c r="AG85">
        <f>IF(AND(AE85&lt;&gt;"",AF85&lt;&gt;""),ROUNDUP((AF85-AE85)/7,0),"")</f>
        <v/>
      </c>
      <c r="AI85">
        <f>IFERROR(IF(AG85*AH85=0,"",AG85*AH85),"")</f>
        <v/>
      </c>
      <c r="AL85">
        <f>IF(AND(AJ85&lt;&gt;"",AK85&lt;&gt;""),ROUNDUP((AK85-AJ85)/7,0),"")</f>
        <v/>
      </c>
      <c r="AN85">
        <f>IFERROR(IF(AL85*AM85=0,"",AL85*AM85),"")</f>
        <v/>
      </c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L85">
        <f>IFERROR(INDEX('_names_lookup'!$C:$C,MATCH(BK85,'_names_lookup'!$A:$A,0)),"")</f>
        <v/>
      </c>
      <c r="BM85">
        <f>IFERROR(INDEX('_names_lookup'!$B:$B,MATCH(BK85,'_names_lookup'!$A:$A,0)),"")</f>
        <v/>
      </c>
      <c r="BS85">
        <f>IFERROR(IF(BR85*AA85=0,"",BR85*AA85),"")</f>
        <v/>
      </c>
    </row>
    <row r="86">
      <c r="O86">
        <f>IFERROR(INDEX('_courses_lookup'!$C:$C,MATCH(K86&amp;L86,'_courses_lookup'!$E:$E,0)),"")</f>
        <v/>
      </c>
      <c r="P86">
        <f>IFERROR(INDEX('_courses_lookup'!$D:$D,MATCH(K86&amp;L86,'_courses_lookup'!$E:$E,0)),"")</f>
        <v/>
      </c>
      <c r="AG86">
        <f>IF(AND(AE86&lt;&gt;"",AF86&lt;&gt;""),ROUNDUP((AF86-AE86)/7,0),"")</f>
        <v/>
      </c>
      <c r="AI86">
        <f>IFERROR(IF(AG86*AH86=0,"",AG86*AH86),"")</f>
        <v/>
      </c>
      <c r="AL86">
        <f>IF(AND(AJ86&lt;&gt;"",AK86&lt;&gt;""),ROUNDUP((AK86-AJ86)/7,0),"")</f>
        <v/>
      </c>
      <c r="AN86">
        <f>IFERROR(IF(AL86*AM86=0,"",AL86*AM86),"")</f>
        <v/>
      </c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L86">
        <f>IFERROR(INDEX('_names_lookup'!$C:$C,MATCH(BK86,'_names_lookup'!$A:$A,0)),"")</f>
        <v/>
      </c>
      <c r="BM86">
        <f>IFERROR(INDEX('_names_lookup'!$B:$B,MATCH(BK86,'_names_lookup'!$A:$A,0)),"")</f>
        <v/>
      </c>
      <c r="BS86">
        <f>IFERROR(IF(BR86*AA86=0,"",BR86*AA86),"")</f>
        <v/>
      </c>
    </row>
    <row r="87">
      <c r="O87">
        <f>IFERROR(INDEX('_courses_lookup'!$C:$C,MATCH(K87&amp;L87,'_courses_lookup'!$E:$E,0)),"")</f>
        <v/>
      </c>
      <c r="P87">
        <f>IFERROR(INDEX('_courses_lookup'!$D:$D,MATCH(K87&amp;L87,'_courses_lookup'!$E:$E,0)),"")</f>
        <v/>
      </c>
      <c r="AG87">
        <f>IF(AND(AE87&lt;&gt;"",AF87&lt;&gt;""),ROUNDUP((AF87-AE87)/7,0),"")</f>
        <v/>
      </c>
      <c r="AI87">
        <f>IFERROR(IF(AG87*AH87=0,"",AG87*AH87),"")</f>
        <v/>
      </c>
      <c r="AL87">
        <f>IF(AND(AJ87&lt;&gt;"",AK87&lt;&gt;""),ROUNDUP((AK87-AJ87)/7,0),"")</f>
        <v/>
      </c>
      <c r="AN87">
        <f>IFERROR(IF(AL87*AM87=0,"",AL87*AM87),"")</f>
        <v/>
      </c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L87">
        <f>IFERROR(INDEX('_names_lookup'!$C:$C,MATCH(BK87,'_names_lookup'!$A:$A,0)),"")</f>
        <v/>
      </c>
      <c r="BM87">
        <f>IFERROR(INDEX('_names_lookup'!$B:$B,MATCH(BK87,'_names_lookup'!$A:$A,0)),"")</f>
        <v/>
      </c>
      <c r="BS87">
        <f>IFERROR(IF(BR87*AA87=0,"",BR87*AA87),"")</f>
        <v/>
      </c>
    </row>
    <row r="88">
      <c r="O88">
        <f>IFERROR(INDEX('_courses_lookup'!$C:$C,MATCH(K88&amp;L88,'_courses_lookup'!$E:$E,0)),"")</f>
        <v/>
      </c>
      <c r="P88">
        <f>IFERROR(INDEX('_courses_lookup'!$D:$D,MATCH(K88&amp;L88,'_courses_lookup'!$E:$E,0)),"")</f>
        <v/>
      </c>
      <c r="AG88">
        <f>IF(AND(AE88&lt;&gt;"",AF88&lt;&gt;""),ROUNDUP((AF88-AE88)/7,0),"")</f>
        <v/>
      </c>
      <c r="AI88">
        <f>IFERROR(IF(AG88*AH88=0,"",AG88*AH88),"")</f>
        <v/>
      </c>
      <c r="AL88">
        <f>IF(AND(AJ88&lt;&gt;"",AK88&lt;&gt;""),ROUNDUP((AK88-AJ88)/7,0),"")</f>
        <v/>
      </c>
      <c r="AN88">
        <f>IFERROR(IF(AL88*AM88=0,"",AL88*AM88),"")</f>
        <v/>
      </c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L88">
        <f>IFERROR(INDEX('_names_lookup'!$C:$C,MATCH(BK88,'_names_lookup'!$A:$A,0)),"")</f>
        <v/>
      </c>
      <c r="BM88">
        <f>IFERROR(INDEX('_names_lookup'!$B:$B,MATCH(BK88,'_names_lookup'!$A:$A,0)),"")</f>
        <v/>
      </c>
      <c r="BS88">
        <f>IFERROR(IF(BR88*AA88=0,"",BR88*AA88),"")</f>
        <v/>
      </c>
    </row>
    <row r="89">
      <c r="O89">
        <f>IFERROR(INDEX('_courses_lookup'!$C:$C,MATCH(K89&amp;L89,'_courses_lookup'!$E:$E,0)),"")</f>
        <v/>
      </c>
      <c r="P89">
        <f>IFERROR(INDEX('_courses_lookup'!$D:$D,MATCH(K89&amp;L89,'_courses_lookup'!$E:$E,0)),"")</f>
        <v/>
      </c>
      <c r="AG89">
        <f>IF(AND(AE89&lt;&gt;"",AF89&lt;&gt;""),ROUNDUP((AF89-AE89)/7,0),"")</f>
        <v/>
      </c>
      <c r="AI89">
        <f>IFERROR(IF(AG89*AH89=0,"",AG89*AH89),"")</f>
        <v/>
      </c>
      <c r="AL89">
        <f>IF(AND(AJ89&lt;&gt;"",AK89&lt;&gt;""),ROUNDUP((AK89-AJ89)/7,0),"")</f>
        <v/>
      </c>
      <c r="AN89">
        <f>IFERROR(IF(AL89*AM89=0,"",AL89*AM89),"")</f>
        <v/>
      </c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L89">
        <f>IFERROR(INDEX('_names_lookup'!$C:$C,MATCH(BK89,'_names_lookup'!$A:$A,0)),"")</f>
        <v/>
      </c>
      <c r="BM89">
        <f>IFERROR(INDEX('_names_lookup'!$B:$B,MATCH(BK89,'_names_lookup'!$A:$A,0)),"")</f>
        <v/>
      </c>
      <c r="BS89">
        <f>IFERROR(IF(BR89*AA89=0,"",BR89*AA89),"")</f>
        <v/>
      </c>
    </row>
    <row r="90">
      <c r="O90">
        <f>IFERROR(INDEX('_courses_lookup'!$C:$C,MATCH(K90&amp;L90,'_courses_lookup'!$E:$E,0)),"")</f>
        <v/>
      </c>
      <c r="P90">
        <f>IFERROR(INDEX('_courses_lookup'!$D:$D,MATCH(K90&amp;L90,'_courses_lookup'!$E:$E,0)),"")</f>
        <v/>
      </c>
      <c r="AG90">
        <f>IF(AND(AE90&lt;&gt;"",AF90&lt;&gt;""),ROUNDUP((AF90-AE90)/7,0),"")</f>
        <v/>
      </c>
      <c r="AI90">
        <f>IFERROR(IF(AG90*AH90=0,"",AG90*AH90),"")</f>
        <v/>
      </c>
      <c r="AL90">
        <f>IF(AND(AJ90&lt;&gt;"",AK90&lt;&gt;""),ROUNDUP((AK90-AJ90)/7,0),"")</f>
        <v/>
      </c>
      <c r="AN90">
        <f>IFERROR(IF(AL90*AM90=0,"",AL90*AM90),"")</f>
        <v/>
      </c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L90">
        <f>IFERROR(INDEX('_names_lookup'!$C:$C,MATCH(BK90,'_names_lookup'!$A:$A,0)),"")</f>
        <v/>
      </c>
      <c r="BM90">
        <f>IFERROR(INDEX('_names_lookup'!$B:$B,MATCH(BK90,'_names_lookup'!$A:$A,0)),"")</f>
        <v/>
      </c>
      <c r="BS90">
        <f>IFERROR(IF(BR90*AA90=0,"",BR90*AA90),"")</f>
        <v/>
      </c>
    </row>
    <row r="91">
      <c r="O91">
        <f>IFERROR(INDEX('_courses_lookup'!$C:$C,MATCH(K91&amp;L91,'_courses_lookup'!$E:$E,0)),"")</f>
        <v/>
      </c>
      <c r="P91">
        <f>IFERROR(INDEX('_courses_lookup'!$D:$D,MATCH(K91&amp;L91,'_courses_lookup'!$E:$E,0)),"")</f>
        <v/>
      </c>
      <c r="AG91">
        <f>IF(AND(AE91&lt;&gt;"",AF91&lt;&gt;""),ROUNDUP((AF91-AE91)/7,0),"")</f>
        <v/>
      </c>
      <c r="AI91">
        <f>IFERROR(IF(AG91*AH91=0,"",AG91*AH91),"")</f>
        <v/>
      </c>
      <c r="AL91">
        <f>IF(AND(AJ91&lt;&gt;"",AK91&lt;&gt;""),ROUNDUP((AK91-AJ91)/7,0),"")</f>
        <v/>
      </c>
      <c r="AN91">
        <f>IFERROR(IF(AL91*AM91=0,"",AL91*AM91),"")</f>
        <v/>
      </c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L91">
        <f>IFERROR(INDEX('_names_lookup'!$C:$C,MATCH(BK91,'_names_lookup'!$A:$A,0)),"")</f>
        <v/>
      </c>
      <c r="BM91">
        <f>IFERROR(INDEX('_names_lookup'!$B:$B,MATCH(BK91,'_names_lookup'!$A:$A,0)),"")</f>
        <v/>
      </c>
      <c r="BS91">
        <f>IFERROR(IF(BR91*AA91=0,"",BR91*AA91),"")</f>
        <v/>
      </c>
    </row>
    <row r="92">
      <c r="O92">
        <f>IFERROR(INDEX('_courses_lookup'!$C:$C,MATCH(K92&amp;L92,'_courses_lookup'!$E:$E,0)),"")</f>
        <v/>
      </c>
      <c r="P92">
        <f>IFERROR(INDEX('_courses_lookup'!$D:$D,MATCH(K92&amp;L92,'_courses_lookup'!$E:$E,0)),"")</f>
        <v/>
      </c>
      <c r="AG92">
        <f>IF(AND(AE92&lt;&gt;"",AF92&lt;&gt;""),ROUNDUP((AF92-AE92)/7,0),"")</f>
        <v/>
      </c>
      <c r="AI92">
        <f>IFERROR(IF(AG92*AH92=0,"",AG92*AH92),"")</f>
        <v/>
      </c>
      <c r="AL92">
        <f>IF(AND(AJ92&lt;&gt;"",AK92&lt;&gt;""),ROUNDUP((AK92-AJ92)/7,0),"")</f>
        <v/>
      </c>
      <c r="AN92">
        <f>IFERROR(IF(AL92*AM92=0,"",AL92*AM92),"")</f>
        <v/>
      </c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L92">
        <f>IFERROR(INDEX('_names_lookup'!$C:$C,MATCH(BK92,'_names_lookup'!$A:$A,0)),"")</f>
        <v/>
      </c>
      <c r="BM92">
        <f>IFERROR(INDEX('_names_lookup'!$B:$B,MATCH(BK92,'_names_lookup'!$A:$A,0)),"")</f>
        <v/>
      </c>
      <c r="BS92">
        <f>IFERROR(IF(BR92*AA92=0,"",BR92*AA92),"")</f>
        <v/>
      </c>
    </row>
    <row r="93">
      <c r="O93">
        <f>IFERROR(INDEX('_courses_lookup'!$C:$C,MATCH(K93&amp;L93,'_courses_lookup'!$E:$E,0)),"")</f>
        <v/>
      </c>
      <c r="P93">
        <f>IFERROR(INDEX('_courses_lookup'!$D:$D,MATCH(K93&amp;L93,'_courses_lookup'!$E:$E,0)),"")</f>
        <v/>
      </c>
      <c r="AG93">
        <f>IF(AND(AE93&lt;&gt;"",AF93&lt;&gt;""),ROUNDUP((AF93-AE93)/7,0),"")</f>
        <v/>
      </c>
      <c r="AI93">
        <f>IFERROR(IF(AG93*AH93=0,"",AG93*AH93),"")</f>
        <v/>
      </c>
      <c r="AL93">
        <f>IF(AND(AJ93&lt;&gt;"",AK93&lt;&gt;""),ROUNDUP((AK93-AJ93)/7,0),"")</f>
        <v/>
      </c>
      <c r="AN93">
        <f>IFERROR(IF(AL93*AM93=0,"",AL93*AM93),"")</f>
        <v/>
      </c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L93">
        <f>IFERROR(INDEX('_names_lookup'!$C:$C,MATCH(BK93,'_names_lookup'!$A:$A,0)),"")</f>
        <v/>
      </c>
      <c r="BM93">
        <f>IFERROR(INDEX('_names_lookup'!$B:$B,MATCH(BK93,'_names_lookup'!$A:$A,0)),"")</f>
        <v/>
      </c>
      <c r="BS93">
        <f>IFERROR(IF(BR93*AA93=0,"",BR93*AA93),"")</f>
        <v/>
      </c>
    </row>
    <row r="94">
      <c r="O94">
        <f>IFERROR(INDEX('_courses_lookup'!$C:$C,MATCH(K94&amp;L94,'_courses_lookup'!$E:$E,0)),"")</f>
        <v/>
      </c>
      <c r="P94">
        <f>IFERROR(INDEX('_courses_lookup'!$D:$D,MATCH(K94&amp;L94,'_courses_lookup'!$E:$E,0)),"")</f>
        <v/>
      </c>
      <c r="AG94">
        <f>IF(AND(AE94&lt;&gt;"",AF94&lt;&gt;""),ROUNDUP((AF94-AE94)/7,0),"")</f>
        <v/>
      </c>
      <c r="AI94">
        <f>IFERROR(IF(AG94*AH94=0,"",AG94*AH94),"")</f>
        <v/>
      </c>
      <c r="AL94">
        <f>IF(AND(AJ94&lt;&gt;"",AK94&lt;&gt;""),ROUNDUP((AK94-AJ94)/7,0),"")</f>
        <v/>
      </c>
      <c r="AN94">
        <f>IFERROR(IF(AL94*AM94=0,"",AL94*AM94),"")</f>
        <v/>
      </c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L94">
        <f>IFERROR(INDEX('_names_lookup'!$C:$C,MATCH(BK94,'_names_lookup'!$A:$A,0)),"")</f>
        <v/>
      </c>
      <c r="BM94">
        <f>IFERROR(INDEX('_names_lookup'!$B:$B,MATCH(BK94,'_names_lookup'!$A:$A,0)),"")</f>
        <v/>
      </c>
      <c r="BS94">
        <f>IFERROR(IF(BR94*AA94=0,"",BR94*AA94),"")</f>
        <v/>
      </c>
    </row>
    <row r="95">
      <c r="O95">
        <f>IFERROR(INDEX('_courses_lookup'!$C:$C,MATCH(K95&amp;L95,'_courses_lookup'!$E:$E,0)),"")</f>
        <v/>
      </c>
      <c r="P95">
        <f>IFERROR(INDEX('_courses_lookup'!$D:$D,MATCH(K95&amp;L95,'_courses_lookup'!$E:$E,0)),"")</f>
        <v/>
      </c>
      <c r="AG95">
        <f>IF(AND(AE95&lt;&gt;"",AF95&lt;&gt;""),ROUNDUP((AF95-AE95)/7,0),"")</f>
        <v/>
      </c>
      <c r="AI95">
        <f>IFERROR(IF(AG95*AH95=0,"",AG95*AH95),"")</f>
        <v/>
      </c>
      <c r="AL95">
        <f>IF(AND(AJ95&lt;&gt;"",AK95&lt;&gt;""),ROUNDUP((AK95-AJ95)/7,0),"")</f>
        <v/>
      </c>
      <c r="AN95">
        <f>IFERROR(IF(AL95*AM95=0,"",AL95*AM95),"")</f>
        <v/>
      </c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L95">
        <f>IFERROR(INDEX('_names_lookup'!$C:$C,MATCH(BK95,'_names_lookup'!$A:$A,0)),"")</f>
        <v/>
      </c>
      <c r="BM95">
        <f>IFERROR(INDEX('_names_lookup'!$B:$B,MATCH(BK95,'_names_lookup'!$A:$A,0)),"")</f>
        <v/>
      </c>
      <c r="BS95">
        <f>IFERROR(IF(BR95*AA95=0,"",BR95*AA95),"")</f>
        <v/>
      </c>
    </row>
    <row r="96">
      <c r="O96">
        <f>IFERROR(INDEX('_courses_lookup'!$C:$C,MATCH(K96&amp;L96,'_courses_lookup'!$E:$E,0)),"")</f>
        <v/>
      </c>
      <c r="P96">
        <f>IFERROR(INDEX('_courses_lookup'!$D:$D,MATCH(K96&amp;L96,'_courses_lookup'!$E:$E,0)),"")</f>
        <v/>
      </c>
      <c r="AG96">
        <f>IF(AND(AE96&lt;&gt;"",AF96&lt;&gt;""),ROUNDUP((AF96-AE96)/7,0),"")</f>
        <v/>
      </c>
      <c r="AI96">
        <f>IFERROR(IF(AG96*AH96=0,"",AG96*AH96),"")</f>
        <v/>
      </c>
      <c r="AL96">
        <f>IF(AND(AJ96&lt;&gt;"",AK96&lt;&gt;""),ROUNDUP((AK96-AJ96)/7,0),"")</f>
        <v/>
      </c>
      <c r="AN96">
        <f>IFERROR(IF(AL96*AM96=0,"",AL96*AM96),"")</f>
        <v/>
      </c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L96">
        <f>IFERROR(INDEX('_names_lookup'!$C:$C,MATCH(BK96,'_names_lookup'!$A:$A,0)),"")</f>
        <v/>
      </c>
      <c r="BM96">
        <f>IFERROR(INDEX('_names_lookup'!$B:$B,MATCH(BK96,'_names_lookup'!$A:$A,0)),"")</f>
        <v/>
      </c>
      <c r="BS96">
        <f>IFERROR(IF(BR96*AA96=0,"",BR96*AA96),"")</f>
        <v/>
      </c>
    </row>
    <row r="97">
      <c r="O97">
        <f>IFERROR(INDEX('_courses_lookup'!$C:$C,MATCH(K97&amp;L97,'_courses_lookup'!$E:$E,0)),"")</f>
        <v/>
      </c>
      <c r="P97">
        <f>IFERROR(INDEX('_courses_lookup'!$D:$D,MATCH(K97&amp;L97,'_courses_lookup'!$E:$E,0)),"")</f>
        <v/>
      </c>
      <c r="AG97">
        <f>IF(AND(AE97&lt;&gt;"",AF97&lt;&gt;""),ROUNDUP((AF97-AE97)/7,0),"")</f>
        <v/>
      </c>
      <c r="AI97">
        <f>IFERROR(IF(AG97*AH97=0,"",AG97*AH97),"")</f>
        <v/>
      </c>
      <c r="AL97">
        <f>IF(AND(AJ97&lt;&gt;"",AK97&lt;&gt;""),ROUNDUP((AK97-AJ97)/7,0),"")</f>
        <v/>
      </c>
      <c r="AN97">
        <f>IFERROR(IF(AL97*AM97=0,"",AL97*AM97),"")</f>
        <v/>
      </c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L97">
        <f>IFERROR(INDEX('_names_lookup'!$C:$C,MATCH(BK97,'_names_lookup'!$A:$A,0)),"")</f>
        <v/>
      </c>
      <c r="BM97">
        <f>IFERROR(INDEX('_names_lookup'!$B:$B,MATCH(BK97,'_names_lookup'!$A:$A,0)),"")</f>
        <v/>
      </c>
      <c r="BS97">
        <f>IFERROR(IF(BR97*AA97=0,"",BR97*AA97),"")</f>
        <v/>
      </c>
    </row>
    <row r="98">
      <c r="O98">
        <f>IFERROR(INDEX('_courses_lookup'!$C:$C,MATCH(K98&amp;L98,'_courses_lookup'!$E:$E,0)),"")</f>
        <v/>
      </c>
      <c r="P98">
        <f>IFERROR(INDEX('_courses_lookup'!$D:$D,MATCH(K98&amp;L98,'_courses_lookup'!$E:$E,0)),"")</f>
        <v/>
      </c>
      <c r="AG98">
        <f>IF(AND(AE98&lt;&gt;"",AF98&lt;&gt;""),ROUNDUP((AF98-AE98)/7,0),"")</f>
        <v/>
      </c>
      <c r="AI98">
        <f>IFERROR(IF(AG98*AH98=0,"",AG98*AH98),"")</f>
        <v/>
      </c>
      <c r="AL98">
        <f>IF(AND(AJ98&lt;&gt;"",AK98&lt;&gt;""),ROUNDUP((AK98-AJ98)/7,0),"")</f>
        <v/>
      </c>
      <c r="AN98">
        <f>IFERROR(IF(AL98*AM98=0,"",AL98*AM98),"")</f>
        <v/>
      </c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L98">
        <f>IFERROR(INDEX('_names_lookup'!$C:$C,MATCH(BK98,'_names_lookup'!$A:$A,0)),"")</f>
        <v/>
      </c>
      <c r="BM98">
        <f>IFERROR(INDEX('_names_lookup'!$B:$B,MATCH(BK98,'_names_lookup'!$A:$A,0)),"")</f>
        <v/>
      </c>
      <c r="BS98">
        <f>IFERROR(IF(BR98*AA98=0,"",BR98*AA98),"")</f>
        <v/>
      </c>
    </row>
    <row r="99">
      <c r="O99">
        <f>IFERROR(INDEX('_courses_lookup'!$C:$C,MATCH(K99&amp;L99,'_courses_lookup'!$E:$E,0)),"")</f>
        <v/>
      </c>
      <c r="P99">
        <f>IFERROR(INDEX('_courses_lookup'!$D:$D,MATCH(K99&amp;L99,'_courses_lookup'!$E:$E,0)),"")</f>
        <v/>
      </c>
      <c r="AG99">
        <f>IF(AND(AE99&lt;&gt;"",AF99&lt;&gt;""),ROUNDUP((AF99-AE99)/7,0),"")</f>
        <v/>
      </c>
      <c r="AI99">
        <f>IFERROR(IF(AG99*AH99=0,"",AG99*AH99),"")</f>
        <v/>
      </c>
      <c r="AL99">
        <f>IF(AND(AJ99&lt;&gt;"",AK99&lt;&gt;""),ROUNDUP((AK99-AJ99)/7,0),"")</f>
        <v/>
      </c>
      <c r="AN99">
        <f>IFERROR(IF(AL99*AM99=0,"",AL99*AM99),"")</f>
        <v/>
      </c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L99">
        <f>IFERROR(INDEX('_names_lookup'!$C:$C,MATCH(BK99,'_names_lookup'!$A:$A,0)),"")</f>
        <v/>
      </c>
      <c r="BM99">
        <f>IFERROR(INDEX('_names_lookup'!$B:$B,MATCH(BK99,'_names_lookup'!$A:$A,0)),"")</f>
        <v/>
      </c>
      <c r="BS99">
        <f>IFERROR(IF(BR99*AA99=0,"",BR99*AA99),"")</f>
        <v/>
      </c>
    </row>
    <row r="100">
      <c r="O100">
        <f>IFERROR(INDEX('_courses_lookup'!$C:$C,MATCH(K100&amp;L100,'_courses_lookup'!$E:$E,0)),"")</f>
        <v/>
      </c>
      <c r="P100">
        <f>IFERROR(INDEX('_courses_lookup'!$D:$D,MATCH(K100&amp;L100,'_courses_lookup'!$E:$E,0)),"")</f>
        <v/>
      </c>
      <c r="AG100">
        <f>IF(AND(AE100&lt;&gt;"",AF100&lt;&gt;""),ROUNDUP((AF100-AE100)/7,0),"")</f>
        <v/>
      </c>
      <c r="AI100">
        <f>IFERROR(IF(AG100*AH100=0,"",AG100*AH100),"")</f>
        <v/>
      </c>
      <c r="AL100">
        <f>IF(AND(AJ100&lt;&gt;"",AK100&lt;&gt;""),ROUNDUP((AK100-AJ100)/7,0),"")</f>
        <v/>
      </c>
      <c r="AN100">
        <f>IFERROR(IF(AL100*AM100=0,"",AL100*AM100),"")</f>
        <v/>
      </c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L100">
        <f>IFERROR(INDEX('_names_lookup'!$C:$C,MATCH(BK100,'_names_lookup'!$A:$A,0)),"")</f>
        <v/>
      </c>
      <c r="BM100">
        <f>IFERROR(INDEX('_names_lookup'!$B:$B,MATCH(BK100,'_names_lookup'!$A:$A,0)),"")</f>
        <v/>
      </c>
      <c r="BS100">
        <f>IFERROR(IF(BR100*AA100=0,"",BR100*AA100),"")</f>
        <v/>
      </c>
    </row>
    <row r="101">
      <c r="O101">
        <f>IFERROR(INDEX('_courses_lookup'!$C:$C,MATCH(K101&amp;L101,'_courses_lookup'!$E:$E,0)),"")</f>
        <v/>
      </c>
      <c r="P101">
        <f>IFERROR(INDEX('_courses_lookup'!$D:$D,MATCH(K101&amp;L101,'_courses_lookup'!$E:$E,0)),"")</f>
        <v/>
      </c>
      <c r="AG101">
        <f>IF(AND(AE101&lt;&gt;"",AF101&lt;&gt;""),ROUNDUP((AF101-AE101)/7,0),"")</f>
        <v/>
      </c>
      <c r="AI101">
        <f>IFERROR(IF(AG101*AH101=0,"",AG101*AH101),"")</f>
        <v/>
      </c>
      <c r="AL101">
        <f>IF(AND(AJ101&lt;&gt;"",AK101&lt;&gt;""),ROUNDUP((AK101-AJ101)/7,0),"")</f>
        <v/>
      </c>
      <c r="AN101">
        <f>IFERROR(IF(AL101*AM101=0,"",AL101*AM101),"")</f>
        <v/>
      </c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L101">
        <f>IFERROR(INDEX('_names_lookup'!$C:$C,MATCH(BK101,'_names_lookup'!$A:$A,0)),"")</f>
        <v/>
      </c>
      <c r="BM101">
        <f>IFERROR(INDEX('_names_lookup'!$B:$B,MATCH(BK101,'_names_lookup'!$A:$A,0)),"")</f>
        <v/>
      </c>
      <c r="BS101">
        <f>IFERROR(IF(BR101*AA101=0,"",BR101*AA101),"")</f>
        <v/>
      </c>
    </row>
    <row r="102">
      <c r="O102">
        <f>IFERROR(INDEX('_courses_lookup'!$C:$C,MATCH(K102&amp;L102,'_courses_lookup'!$E:$E,0)),"")</f>
        <v/>
      </c>
      <c r="P102">
        <f>IFERROR(INDEX('_courses_lookup'!$D:$D,MATCH(K102&amp;L102,'_courses_lookup'!$E:$E,0)),"")</f>
        <v/>
      </c>
      <c r="AG102">
        <f>IF(AND(AE102&lt;&gt;"",AF102&lt;&gt;""),ROUNDUP((AF102-AE102)/7,0),"")</f>
        <v/>
      </c>
      <c r="AI102">
        <f>IFERROR(IF(AG102*AH102=0,"",AG102*AH102),"")</f>
        <v/>
      </c>
      <c r="AL102">
        <f>IF(AND(AJ102&lt;&gt;"",AK102&lt;&gt;""),ROUNDUP((AK102-AJ102)/7,0),"")</f>
        <v/>
      </c>
      <c r="AN102">
        <f>IFERROR(IF(AL102*AM102=0,"",AL102*AM102),"")</f>
        <v/>
      </c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L102">
        <f>IFERROR(INDEX('_names_lookup'!$C:$C,MATCH(BK102,'_names_lookup'!$A:$A,0)),"")</f>
        <v/>
      </c>
      <c r="BM102">
        <f>IFERROR(INDEX('_names_lookup'!$B:$B,MATCH(BK102,'_names_lookup'!$A:$A,0)),"")</f>
        <v/>
      </c>
      <c r="BS102">
        <f>IFERROR(IF(BR102*AA102=0,"",BR102*AA102),"")</f>
        <v/>
      </c>
    </row>
    <row r="103">
      <c r="O103">
        <f>IFERROR(INDEX('_courses_lookup'!$C:$C,MATCH(K103&amp;L103,'_courses_lookup'!$E:$E,0)),"")</f>
        <v/>
      </c>
      <c r="P103">
        <f>IFERROR(INDEX('_courses_lookup'!$D:$D,MATCH(K103&amp;L103,'_courses_lookup'!$E:$E,0)),"")</f>
        <v/>
      </c>
      <c r="AG103">
        <f>IF(AND(AE103&lt;&gt;"",AF103&lt;&gt;""),ROUNDUP((AF103-AE103)/7,0),"")</f>
        <v/>
      </c>
      <c r="AI103">
        <f>IFERROR(IF(AG103*AH103=0,"",AG103*AH103),"")</f>
        <v/>
      </c>
      <c r="AL103">
        <f>IF(AND(AJ103&lt;&gt;"",AK103&lt;&gt;""),ROUNDUP((AK103-AJ103)/7,0),"")</f>
        <v/>
      </c>
      <c r="AN103">
        <f>IFERROR(IF(AL103*AM103=0,"",AL103*AM103),"")</f>
        <v/>
      </c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L103">
        <f>IFERROR(INDEX('_names_lookup'!$C:$C,MATCH(BK103,'_names_lookup'!$A:$A,0)),"")</f>
        <v/>
      </c>
      <c r="BM103">
        <f>IFERROR(INDEX('_names_lookup'!$B:$B,MATCH(BK103,'_names_lookup'!$A:$A,0)),"")</f>
        <v/>
      </c>
      <c r="BS103">
        <f>IFERROR(IF(BR103*AA103=0,"",BR103*AA103),"")</f>
        <v/>
      </c>
    </row>
    <row r="104">
      <c r="O104">
        <f>IFERROR(INDEX('_courses_lookup'!$C:$C,MATCH(K104&amp;L104,'_courses_lookup'!$E:$E,0)),"")</f>
        <v/>
      </c>
      <c r="P104">
        <f>IFERROR(INDEX('_courses_lookup'!$D:$D,MATCH(K104&amp;L104,'_courses_lookup'!$E:$E,0)),"")</f>
        <v/>
      </c>
      <c r="AG104">
        <f>IF(AND(AE104&lt;&gt;"",AF104&lt;&gt;""),ROUNDUP((AF104-AE104)/7,0),"")</f>
        <v/>
      </c>
      <c r="AI104">
        <f>IFERROR(IF(AG104*AH104=0,"",AG104*AH104),"")</f>
        <v/>
      </c>
      <c r="AL104">
        <f>IF(AND(AJ104&lt;&gt;"",AK104&lt;&gt;""),ROUNDUP((AK104-AJ104)/7,0),"")</f>
        <v/>
      </c>
      <c r="AN104">
        <f>IFERROR(IF(AL104*AM104=0,"",AL104*AM104),"")</f>
        <v/>
      </c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L104">
        <f>IFERROR(INDEX('_names_lookup'!$C:$C,MATCH(BK104,'_names_lookup'!$A:$A,0)),"")</f>
        <v/>
      </c>
      <c r="BM104">
        <f>IFERROR(INDEX('_names_lookup'!$B:$B,MATCH(BK104,'_names_lookup'!$A:$A,0)),"")</f>
        <v/>
      </c>
      <c r="BS104">
        <f>IFERROR(IF(BR104*AA104=0,"",BR104*AA104),"")</f>
        <v/>
      </c>
    </row>
    <row r="105">
      <c r="O105">
        <f>IFERROR(INDEX('_courses_lookup'!$C:$C,MATCH(K105&amp;L105,'_courses_lookup'!$E:$E,0)),"")</f>
        <v/>
      </c>
      <c r="P105">
        <f>IFERROR(INDEX('_courses_lookup'!$D:$D,MATCH(K105&amp;L105,'_courses_lookup'!$E:$E,0)),"")</f>
        <v/>
      </c>
      <c r="AG105">
        <f>IF(AND(AE105&lt;&gt;"",AF105&lt;&gt;""),ROUNDUP((AF105-AE105)/7,0),"")</f>
        <v/>
      </c>
      <c r="AI105">
        <f>IFERROR(IF(AG105*AH105=0,"",AG105*AH105),"")</f>
        <v/>
      </c>
      <c r="AL105">
        <f>IF(AND(AJ105&lt;&gt;"",AK105&lt;&gt;""),ROUNDUP((AK105-AJ105)/7,0),"")</f>
        <v/>
      </c>
      <c r="AN105">
        <f>IFERROR(IF(AL105*AM105=0,"",AL105*AM105),"")</f>
        <v/>
      </c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L105">
        <f>IFERROR(INDEX('_names_lookup'!$C:$C,MATCH(BK105,'_names_lookup'!$A:$A,0)),"")</f>
        <v/>
      </c>
      <c r="BM105">
        <f>IFERROR(INDEX('_names_lookup'!$B:$B,MATCH(BK105,'_names_lookup'!$A:$A,0)),"")</f>
        <v/>
      </c>
      <c r="BS105">
        <f>IFERROR(IF(BR105*AA105=0,"",BR105*AA105),"")</f>
        <v/>
      </c>
    </row>
    <row r="106">
      <c r="O106">
        <f>IFERROR(INDEX('_courses_lookup'!$C:$C,MATCH(K106&amp;L106,'_courses_lookup'!$E:$E,0)),"")</f>
        <v/>
      </c>
      <c r="P106">
        <f>IFERROR(INDEX('_courses_lookup'!$D:$D,MATCH(K106&amp;L106,'_courses_lookup'!$E:$E,0)),"")</f>
        <v/>
      </c>
      <c r="AG106">
        <f>IF(AND(AE106&lt;&gt;"",AF106&lt;&gt;""),ROUNDUP((AF106-AE106)/7,0),"")</f>
        <v/>
      </c>
      <c r="AI106">
        <f>IFERROR(IF(AG106*AH106=0,"",AG106*AH106),"")</f>
        <v/>
      </c>
      <c r="AL106">
        <f>IF(AND(AJ106&lt;&gt;"",AK106&lt;&gt;""),ROUNDUP((AK106-AJ106)/7,0),"")</f>
        <v/>
      </c>
      <c r="AN106">
        <f>IFERROR(IF(AL106*AM106=0,"",AL106*AM106),"")</f>
        <v/>
      </c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L106">
        <f>IFERROR(INDEX('_names_lookup'!$C:$C,MATCH(BK106,'_names_lookup'!$A:$A,0)),"")</f>
        <v/>
      </c>
      <c r="BM106">
        <f>IFERROR(INDEX('_names_lookup'!$B:$B,MATCH(BK106,'_names_lookup'!$A:$A,0)),"")</f>
        <v/>
      </c>
      <c r="BS106">
        <f>IFERROR(IF(BR106*AA106=0,"",BR106*AA106),"")</f>
        <v/>
      </c>
    </row>
    <row r="107">
      <c r="O107">
        <f>IFERROR(INDEX('_courses_lookup'!$C:$C,MATCH(K107&amp;L107,'_courses_lookup'!$E:$E,0)),"")</f>
        <v/>
      </c>
      <c r="P107">
        <f>IFERROR(INDEX('_courses_lookup'!$D:$D,MATCH(K107&amp;L107,'_courses_lookup'!$E:$E,0)),"")</f>
        <v/>
      </c>
      <c r="AG107">
        <f>IF(AND(AE107&lt;&gt;"",AF107&lt;&gt;""),ROUNDUP((AF107-AE107)/7,0),"")</f>
        <v/>
      </c>
      <c r="AI107">
        <f>IFERROR(IF(AG107*AH107=0,"",AG107*AH107),"")</f>
        <v/>
      </c>
      <c r="AL107">
        <f>IF(AND(AJ107&lt;&gt;"",AK107&lt;&gt;""),ROUNDUP((AK107-AJ107)/7,0),"")</f>
        <v/>
      </c>
      <c r="AN107">
        <f>IFERROR(IF(AL107*AM107=0,"",AL107*AM107),"")</f>
        <v/>
      </c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L107">
        <f>IFERROR(INDEX('_names_lookup'!$C:$C,MATCH(BK107,'_names_lookup'!$A:$A,0)),"")</f>
        <v/>
      </c>
      <c r="BM107">
        <f>IFERROR(INDEX('_names_lookup'!$B:$B,MATCH(BK107,'_names_lookup'!$A:$A,0)),"")</f>
        <v/>
      </c>
      <c r="BS107">
        <f>IFERROR(IF(BR107*AA107=0,"",BR107*AA107),"")</f>
        <v/>
      </c>
    </row>
    <row r="108">
      <c r="O108">
        <f>IFERROR(INDEX('_courses_lookup'!$C:$C,MATCH(K108&amp;L108,'_courses_lookup'!$E:$E,0)),"")</f>
        <v/>
      </c>
      <c r="P108">
        <f>IFERROR(INDEX('_courses_lookup'!$D:$D,MATCH(K108&amp;L108,'_courses_lookup'!$E:$E,0)),"")</f>
        <v/>
      </c>
      <c r="AG108">
        <f>IF(AND(AE108&lt;&gt;"",AF108&lt;&gt;""),ROUNDUP((AF108-AE108)/7,0),"")</f>
        <v/>
      </c>
      <c r="AI108">
        <f>IFERROR(IF(AG108*AH108=0,"",AG108*AH108),"")</f>
        <v/>
      </c>
      <c r="AL108">
        <f>IF(AND(AJ108&lt;&gt;"",AK108&lt;&gt;""),ROUNDUP((AK108-AJ108)/7,0),"")</f>
        <v/>
      </c>
      <c r="AN108">
        <f>IFERROR(IF(AL108*AM108=0,"",AL108*AM108),"")</f>
        <v/>
      </c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L108">
        <f>IFERROR(INDEX('_names_lookup'!$C:$C,MATCH(BK108,'_names_lookup'!$A:$A,0)),"")</f>
        <v/>
      </c>
      <c r="BM108">
        <f>IFERROR(INDEX('_names_lookup'!$B:$B,MATCH(BK108,'_names_lookup'!$A:$A,0)),"")</f>
        <v/>
      </c>
      <c r="BS108">
        <f>IFERROR(IF(BR108*AA108=0,"",BR108*AA108),"")</f>
        <v/>
      </c>
    </row>
    <row r="109">
      <c r="O109">
        <f>IFERROR(INDEX('_courses_lookup'!$C:$C,MATCH(K109&amp;L109,'_courses_lookup'!$E:$E,0)),"")</f>
        <v/>
      </c>
      <c r="P109">
        <f>IFERROR(INDEX('_courses_lookup'!$D:$D,MATCH(K109&amp;L109,'_courses_lookup'!$E:$E,0)),"")</f>
        <v/>
      </c>
      <c r="AG109">
        <f>IF(AND(AE109&lt;&gt;"",AF109&lt;&gt;""),ROUNDUP((AF109-AE109)/7,0),"")</f>
        <v/>
      </c>
      <c r="AI109">
        <f>IFERROR(IF(AG109*AH109=0,"",AG109*AH109),"")</f>
        <v/>
      </c>
      <c r="AL109">
        <f>IF(AND(AJ109&lt;&gt;"",AK109&lt;&gt;""),ROUNDUP((AK109-AJ109)/7,0),"")</f>
        <v/>
      </c>
      <c r="AN109">
        <f>IFERROR(IF(AL109*AM109=0,"",AL109*AM109),"")</f>
        <v/>
      </c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L109">
        <f>IFERROR(INDEX('_names_lookup'!$C:$C,MATCH(BK109,'_names_lookup'!$A:$A,0)),"")</f>
        <v/>
      </c>
      <c r="BM109">
        <f>IFERROR(INDEX('_names_lookup'!$B:$B,MATCH(BK109,'_names_lookup'!$A:$A,0)),"")</f>
        <v/>
      </c>
      <c r="BS109">
        <f>IFERROR(IF(BR109*AA109=0,"",BR109*AA109),"")</f>
        <v/>
      </c>
    </row>
    <row r="110">
      <c r="O110">
        <f>IFERROR(INDEX('_courses_lookup'!$C:$C,MATCH(K110&amp;L110,'_courses_lookup'!$E:$E,0)),"")</f>
        <v/>
      </c>
      <c r="P110">
        <f>IFERROR(INDEX('_courses_lookup'!$D:$D,MATCH(K110&amp;L110,'_courses_lookup'!$E:$E,0)),"")</f>
        <v/>
      </c>
      <c r="AG110">
        <f>IF(AND(AE110&lt;&gt;"",AF110&lt;&gt;""),ROUNDUP((AF110-AE110)/7,0),"")</f>
        <v/>
      </c>
      <c r="AI110">
        <f>IFERROR(IF(AG110*AH110=0,"",AG110*AH110),"")</f>
        <v/>
      </c>
      <c r="AL110">
        <f>IF(AND(AJ110&lt;&gt;"",AK110&lt;&gt;""),ROUNDUP((AK110-AJ110)/7,0),"")</f>
        <v/>
      </c>
      <c r="AN110">
        <f>IFERROR(IF(AL110*AM110=0,"",AL110*AM110),"")</f>
        <v/>
      </c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L110">
        <f>IFERROR(INDEX('_names_lookup'!$C:$C,MATCH(BK110,'_names_lookup'!$A:$A,0)),"")</f>
        <v/>
      </c>
      <c r="BM110">
        <f>IFERROR(INDEX('_names_lookup'!$B:$B,MATCH(BK110,'_names_lookup'!$A:$A,0)),"")</f>
        <v/>
      </c>
      <c r="BS110">
        <f>IFERROR(IF(BR110*AA110=0,"",BR110*AA110),"")</f>
        <v/>
      </c>
    </row>
    <row r="111">
      <c r="O111">
        <f>IFERROR(INDEX('_courses_lookup'!$C:$C,MATCH(K111&amp;L111,'_courses_lookup'!$E:$E,0)),"")</f>
        <v/>
      </c>
      <c r="P111">
        <f>IFERROR(INDEX('_courses_lookup'!$D:$D,MATCH(K111&amp;L111,'_courses_lookup'!$E:$E,0)),"")</f>
        <v/>
      </c>
      <c r="AG111">
        <f>IF(AND(AE111&lt;&gt;"",AF111&lt;&gt;""),ROUNDUP((AF111-AE111)/7,0),"")</f>
        <v/>
      </c>
      <c r="AI111">
        <f>IFERROR(IF(AG111*AH111=0,"",AG111*AH111),"")</f>
        <v/>
      </c>
      <c r="AL111">
        <f>IF(AND(AJ111&lt;&gt;"",AK111&lt;&gt;""),ROUNDUP((AK111-AJ111)/7,0),"")</f>
        <v/>
      </c>
      <c r="AN111">
        <f>IFERROR(IF(AL111*AM111=0,"",AL111*AM111),"")</f>
        <v/>
      </c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L111">
        <f>IFERROR(INDEX('_names_lookup'!$C:$C,MATCH(BK111,'_names_lookup'!$A:$A,0)),"")</f>
        <v/>
      </c>
      <c r="BM111">
        <f>IFERROR(INDEX('_names_lookup'!$B:$B,MATCH(BK111,'_names_lookup'!$A:$A,0)),"")</f>
        <v/>
      </c>
      <c r="BS111">
        <f>IFERROR(IF(BR111*AA111=0,"",BR111*AA111),"")</f>
        <v/>
      </c>
    </row>
    <row r="112">
      <c r="O112">
        <f>IFERROR(INDEX('_courses_lookup'!$C:$C,MATCH(K112&amp;L112,'_courses_lookup'!$E:$E,0)),"")</f>
        <v/>
      </c>
      <c r="P112">
        <f>IFERROR(INDEX('_courses_lookup'!$D:$D,MATCH(K112&amp;L112,'_courses_lookup'!$E:$E,0)),"")</f>
        <v/>
      </c>
      <c r="AG112">
        <f>IF(AND(AE112&lt;&gt;"",AF112&lt;&gt;""),ROUNDUP((AF112-AE112)/7,0),"")</f>
        <v/>
      </c>
      <c r="AI112">
        <f>IFERROR(IF(AG112*AH112=0,"",AG112*AH112),"")</f>
        <v/>
      </c>
      <c r="AL112">
        <f>IF(AND(AJ112&lt;&gt;"",AK112&lt;&gt;""),ROUNDUP((AK112-AJ112)/7,0),"")</f>
        <v/>
      </c>
      <c r="AN112">
        <f>IFERROR(IF(AL112*AM112=0,"",AL112*AM112),"")</f>
        <v/>
      </c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L112">
        <f>IFERROR(INDEX('_names_lookup'!$C:$C,MATCH(BK112,'_names_lookup'!$A:$A,0)),"")</f>
        <v/>
      </c>
      <c r="BM112">
        <f>IFERROR(INDEX('_names_lookup'!$B:$B,MATCH(BK112,'_names_lookup'!$A:$A,0)),"")</f>
        <v/>
      </c>
      <c r="BS112">
        <f>IFERROR(IF(BR112*AA112=0,"",BR112*AA112),"")</f>
        <v/>
      </c>
    </row>
    <row r="113">
      <c r="O113">
        <f>IFERROR(INDEX('_courses_lookup'!$C:$C,MATCH(K113&amp;L113,'_courses_lookup'!$E:$E,0)),"")</f>
        <v/>
      </c>
      <c r="P113">
        <f>IFERROR(INDEX('_courses_lookup'!$D:$D,MATCH(K113&amp;L113,'_courses_lookup'!$E:$E,0)),"")</f>
        <v/>
      </c>
      <c r="AG113">
        <f>IF(AND(AE113&lt;&gt;"",AF113&lt;&gt;""),ROUNDUP((AF113-AE113)/7,0),"")</f>
        <v/>
      </c>
      <c r="AI113">
        <f>IFERROR(IF(AG113*AH113=0,"",AG113*AH113),"")</f>
        <v/>
      </c>
      <c r="AL113">
        <f>IF(AND(AJ113&lt;&gt;"",AK113&lt;&gt;""),ROUNDUP((AK113-AJ113)/7,0),"")</f>
        <v/>
      </c>
      <c r="AN113">
        <f>IFERROR(IF(AL113*AM113=0,"",AL113*AM113),"")</f>
        <v/>
      </c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L113">
        <f>IFERROR(INDEX('_names_lookup'!$C:$C,MATCH(BK113,'_names_lookup'!$A:$A,0)),"")</f>
        <v/>
      </c>
      <c r="BM113">
        <f>IFERROR(INDEX('_names_lookup'!$B:$B,MATCH(BK113,'_names_lookup'!$A:$A,0)),"")</f>
        <v/>
      </c>
      <c r="BS113">
        <f>IFERROR(IF(BR113*AA113=0,"",BR113*AA113),"")</f>
        <v/>
      </c>
    </row>
    <row r="114">
      <c r="O114">
        <f>IFERROR(INDEX('_courses_lookup'!$C:$C,MATCH(K114&amp;L114,'_courses_lookup'!$E:$E,0)),"")</f>
        <v/>
      </c>
      <c r="P114">
        <f>IFERROR(INDEX('_courses_lookup'!$D:$D,MATCH(K114&amp;L114,'_courses_lookup'!$E:$E,0)),"")</f>
        <v/>
      </c>
      <c r="AG114">
        <f>IF(AND(AE114&lt;&gt;"",AF114&lt;&gt;""),ROUNDUP((AF114-AE114)/7,0),"")</f>
        <v/>
      </c>
      <c r="AI114">
        <f>IFERROR(IF(AG114*AH114=0,"",AG114*AH114),"")</f>
        <v/>
      </c>
      <c r="AL114">
        <f>IF(AND(AJ114&lt;&gt;"",AK114&lt;&gt;""),ROUNDUP((AK114-AJ114)/7,0),"")</f>
        <v/>
      </c>
      <c r="AN114">
        <f>IFERROR(IF(AL114*AM114=0,"",AL114*AM114),"")</f>
        <v/>
      </c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L114">
        <f>IFERROR(INDEX('_names_lookup'!$C:$C,MATCH(BK114,'_names_lookup'!$A:$A,0)),"")</f>
        <v/>
      </c>
      <c r="BM114">
        <f>IFERROR(INDEX('_names_lookup'!$B:$B,MATCH(BK114,'_names_lookup'!$A:$A,0)),"")</f>
        <v/>
      </c>
      <c r="BS114">
        <f>IFERROR(IF(BR114*AA114=0,"",BR114*AA114),"")</f>
        <v/>
      </c>
    </row>
    <row r="115">
      <c r="O115">
        <f>IFERROR(INDEX('_courses_lookup'!$C:$C,MATCH(K115&amp;L115,'_courses_lookup'!$E:$E,0)),"")</f>
        <v/>
      </c>
      <c r="P115">
        <f>IFERROR(INDEX('_courses_lookup'!$D:$D,MATCH(K115&amp;L115,'_courses_lookup'!$E:$E,0)),"")</f>
        <v/>
      </c>
      <c r="AG115">
        <f>IF(AND(AE115&lt;&gt;"",AF115&lt;&gt;""),ROUNDUP((AF115-AE115)/7,0),"")</f>
        <v/>
      </c>
      <c r="AI115">
        <f>IFERROR(IF(AG115*AH115=0,"",AG115*AH115),"")</f>
        <v/>
      </c>
      <c r="AL115">
        <f>IF(AND(AJ115&lt;&gt;"",AK115&lt;&gt;""),ROUNDUP((AK115-AJ115)/7,0),"")</f>
        <v/>
      </c>
      <c r="AN115">
        <f>IFERROR(IF(AL115*AM115=0,"",AL115*AM115),"")</f>
        <v/>
      </c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L115">
        <f>IFERROR(INDEX('_names_lookup'!$C:$C,MATCH(BK115,'_names_lookup'!$A:$A,0)),"")</f>
        <v/>
      </c>
      <c r="BM115">
        <f>IFERROR(INDEX('_names_lookup'!$B:$B,MATCH(BK115,'_names_lookup'!$A:$A,0)),"")</f>
        <v/>
      </c>
      <c r="BS115">
        <f>IFERROR(IF(BR115*AA115=0,"",BR115*AA115),"")</f>
        <v/>
      </c>
    </row>
    <row r="116">
      <c r="O116">
        <f>IFERROR(INDEX('_courses_lookup'!$C:$C,MATCH(K116&amp;L116,'_courses_lookup'!$E:$E,0)),"")</f>
        <v/>
      </c>
      <c r="P116">
        <f>IFERROR(INDEX('_courses_lookup'!$D:$D,MATCH(K116&amp;L116,'_courses_lookup'!$E:$E,0)),"")</f>
        <v/>
      </c>
      <c r="AG116">
        <f>IF(AND(AE116&lt;&gt;"",AF116&lt;&gt;""),ROUNDUP((AF116-AE116)/7,0),"")</f>
        <v/>
      </c>
      <c r="AI116">
        <f>IFERROR(IF(AG116*AH116=0,"",AG116*AH116),"")</f>
        <v/>
      </c>
      <c r="AL116">
        <f>IF(AND(AJ116&lt;&gt;"",AK116&lt;&gt;""),ROUNDUP((AK116-AJ116)/7,0),"")</f>
        <v/>
      </c>
      <c r="AN116">
        <f>IFERROR(IF(AL116*AM116=0,"",AL116*AM116),"")</f>
        <v/>
      </c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L116">
        <f>IFERROR(INDEX('_names_lookup'!$C:$C,MATCH(BK116,'_names_lookup'!$A:$A,0)),"")</f>
        <v/>
      </c>
      <c r="BM116">
        <f>IFERROR(INDEX('_names_lookup'!$B:$B,MATCH(BK116,'_names_lookup'!$A:$A,0)),"")</f>
        <v/>
      </c>
      <c r="BS116">
        <f>IFERROR(IF(BR116*AA116=0,"",BR116*AA116),"")</f>
        <v/>
      </c>
    </row>
    <row r="117">
      <c r="O117">
        <f>IFERROR(INDEX('_courses_lookup'!$C:$C,MATCH(K117&amp;L117,'_courses_lookup'!$E:$E,0)),"")</f>
        <v/>
      </c>
      <c r="P117">
        <f>IFERROR(INDEX('_courses_lookup'!$D:$D,MATCH(K117&amp;L117,'_courses_lookup'!$E:$E,0)),"")</f>
        <v/>
      </c>
      <c r="AG117">
        <f>IF(AND(AE117&lt;&gt;"",AF117&lt;&gt;""),ROUNDUP((AF117-AE117)/7,0),"")</f>
        <v/>
      </c>
      <c r="AI117">
        <f>IFERROR(IF(AG117*AH117=0,"",AG117*AH117),"")</f>
        <v/>
      </c>
      <c r="AL117">
        <f>IF(AND(AJ117&lt;&gt;"",AK117&lt;&gt;""),ROUNDUP((AK117-AJ117)/7,0),"")</f>
        <v/>
      </c>
      <c r="AN117">
        <f>IFERROR(IF(AL117*AM117=0,"",AL117*AM117),"")</f>
        <v/>
      </c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L117">
        <f>IFERROR(INDEX('_names_lookup'!$C:$C,MATCH(BK117,'_names_lookup'!$A:$A,0)),"")</f>
        <v/>
      </c>
      <c r="BM117">
        <f>IFERROR(INDEX('_names_lookup'!$B:$B,MATCH(BK117,'_names_lookup'!$A:$A,0)),"")</f>
        <v/>
      </c>
      <c r="BS117">
        <f>IFERROR(IF(BR117*AA117=0,"",BR117*AA117),"")</f>
        <v/>
      </c>
    </row>
    <row r="118">
      <c r="O118">
        <f>IFERROR(INDEX('_courses_lookup'!$C:$C,MATCH(K118&amp;L118,'_courses_lookup'!$E:$E,0)),"")</f>
        <v/>
      </c>
      <c r="P118">
        <f>IFERROR(INDEX('_courses_lookup'!$D:$D,MATCH(K118&amp;L118,'_courses_lookup'!$E:$E,0)),"")</f>
        <v/>
      </c>
      <c r="AG118">
        <f>IF(AND(AE118&lt;&gt;"",AF118&lt;&gt;""),ROUNDUP((AF118-AE118)/7,0),"")</f>
        <v/>
      </c>
      <c r="AI118">
        <f>IFERROR(IF(AG118*AH118=0,"",AG118*AH118),"")</f>
        <v/>
      </c>
      <c r="AL118">
        <f>IF(AND(AJ118&lt;&gt;"",AK118&lt;&gt;""),ROUNDUP((AK118-AJ118)/7,0),"")</f>
        <v/>
      </c>
      <c r="AN118">
        <f>IFERROR(IF(AL118*AM118=0,"",AL118*AM118),"")</f>
        <v/>
      </c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L118">
        <f>IFERROR(INDEX('_names_lookup'!$C:$C,MATCH(BK118,'_names_lookup'!$A:$A,0)),"")</f>
        <v/>
      </c>
      <c r="BM118">
        <f>IFERROR(INDEX('_names_lookup'!$B:$B,MATCH(BK118,'_names_lookup'!$A:$A,0)),"")</f>
        <v/>
      </c>
      <c r="BS118">
        <f>IFERROR(IF(BR118*AA118=0,"",BR118*AA118),"")</f>
        <v/>
      </c>
    </row>
    <row r="119">
      <c r="O119">
        <f>IFERROR(INDEX('_courses_lookup'!$C:$C,MATCH(K119&amp;L119,'_courses_lookup'!$E:$E,0)),"")</f>
        <v/>
      </c>
      <c r="P119">
        <f>IFERROR(INDEX('_courses_lookup'!$D:$D,MATCH(K119&amp;L119,'_courses_lookup'!$E:$E,0)),"")</f>
        <v/>
      </c>
      <c r="AG119">
        <f>IF(AND(AE119&lt;&gt;"",AF119&lt;&gt;""),ROUNDUP((AF119-AE119)/7,0),"")</f>
        <v/>
      </c>
      <c r="AI119">
        <f>IFERROR(IF(AG119*AH119=0,"",AG119*AH119),"")</f>
        <v/>
      </c>
      <c r="AL119">
        <f>IF(AND(AJ119&lt;&gt;"",AK119&lt;&gt;""),ROUNDUP((AK119-AJ119)/7,0),"")</f>
        <v/>
      </c>
      <c r="AN119">
        <f>IFERROR(IF(AL119*AM119=0,"",AL119*AM119),"")</f>
        <v/>
      </c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L119">
        <f>IFERROR(INDEX('_names_lookup'!$C:$C,MATCH(BK119,'_names_lookup'!$A:$A,0)),"")</f>
        <v/>
      </c>
      <c r="BM119">
        <f>IFERROR(INDEX('_names_lookup'!$B:$B,MATCH(BK119,'_names_lookup'!$A:$A,0)),"")</f>
        <v/>
      </c>
      <c r="BS119">
        <f>IFERROR(IF(BR119*AA119=0,"",BR119*AA119),"")</f>
        <v/>
      </c>
    </row>
    <row r="120">
      <c r="O120">
        <f>IFERROR(INDEX('_courses_lookup'!$C:$C,MATCH(K120&amp;L120,'_courses_lookup'!$E:$E,0)),"")</f>
        <v/>
      </c>
      <c r="P120">
        <f>IFERROR(INDEX('_courses_lookup'!$D:$D,MATCH(K120&amp;L120,'_courses_lookup'!$E:$E,0)),"")</f>
        <v/>
      </c>
      <c r="AG120">
        <f>IF(AND(AE120&lt;&gt;"",AF120&lt;&gt;""),ROUNDUP((AF120-AE120)/7,0),"")</f>
        <v/>
      </c>
      <c r="AI120">
        <f>IFERROR(IF(AG120*AH120=0,"",AG120*AH120),"")</f>
        <v/>
      </c>
      <c r="AL120">
        <f>IF(AND(AJ120&lt;&gt;"",AK120&lt;&gt;""),ROUNDUP((AK120-AJ120)/7,0),"")</f>
        <v/>
      </c>
      <c r="AN120">
        <f>IFERROR(IF(AL120*AM120=0,"",AL120*AM120),"")</f>
        <v/>
      </c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L120">
        <f>IFERROR(INDEX('_names_lookup'!$C:$C,MATCH(BK120,'_names_lookup'!$A:$A,0)),"")</f>
        <v/>
      </c>
      <c r="BM120">
        <f>IFERROR(INDEX('_names_lookup'!$B:$B,MATCH(BK120,'_names_lookup'!$A:$A,0)),"")</f>
        <v/>
      </c>
      <c r="BS120">
        <f>IFERROR(IF(BR120*AA120=0,"",BR120*AA120),"")</f>
        <v/>
      </c>
    </row>
    <row r="121">
      <c r="O121">
        <f>IFERROR(INDEX('_courses_lookup'!$C:$C,MATCH(K121&amp;L121,'_courses_lookup'!$E:$E,0)),"")</f>
        <v/>
      </c>
      <c r="P121">
        <f>IFERROR(INDEX('_courses_lookup'!$D:$D,MATCH(K121&amp;L121,'_courses_lookup'!$E:$E,0)),"")</f>
        <v/>
      </c>
      <c r="AG121">
        <f>IF(AND(AE121&lt;&gt;"",AF121&lt;&gt;""),ROUNDUP((AF121-AE121)/7,0),"")</f>
        <v/>
      </c>
      <c r="AI121">
        <f>IFERROR(IF(AG121*AH121=0,"",AG121*AH121),"")</f>
        <v/>
      </c>
      <c r="AL121">
        <f>IF(AND(AJ121&lt;&gt;"",AK121&lt;&gt;""),ROUNDUP((AK121-AJ121)/7,0),"")</f>
        <v/>
      </c>
      <c r="AN121">
        <f>IFERROR(IF(AL121*AM121=0,"",AL121*AM121),"")</f>
        <v/>
      </c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L121">
        <f>IFERROR(INDEX('_names_lookup'!$C:$C,MATCH(BK121,'_names_lookup'!$A:$A,0)),"")</f>
        <v/>
      </c>
      <c r="BM121">
        <f>IFERROR(INDEX('_names_lookup'!$B:$B,MATCH(BK121,'_names_lookup'!$A:$A,0)),"")</f>
        <v/>
      </c>
      <c r="BS121">
        <f>IFERROR(IF(BR121*AA121=0,"",BR121*AA121),"")</f>
        <v/>
      </c>
    </row>
    <row r="122">
      <c r="O122">
        <f>IFERROR(INDEX('_courses_lookup'!$C:$C,MATCH(K122&amp;L122,'_courses_lookup'!$E:$E,0)),"")</f>
        <v/>
      </c>
      <c r="P122">
        <f>IFERROR(INDEX('_courses_lookup'!$D:$D,MATCH(K122&amp;L122,'_courses_lookup'!$E:$E,0)),"")</f>
        <v/>
      </c>
      <c r="AG122">
        <f>IF(AND(AE122&lt;&gt;"",AF122&lt;&gt;""),ROUNDUP((AF122-AE122)/7,0),"")</f>
        <v/>
      </c>
      <c r="AI122">
        <f>IFERROR(IF(AG122*AH122=0,"",AG122*AH122),"")</f>
        <v/>
      </c>
      <c r="AL122">
        <f>IF(AND(AJ122&lt;&gt;"",AK122&lt;&gt;""),ROUNDUP((AK122-AJ122)/7,0),"")</f>
        <v/>
      </c>
      <c r="AN122">
        <f>IFERROR(IF(AL122*AM122=0,"",AL122*AM122),"")</f>
        <v/>
      </c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L122">
        <f>IFERROR(INDEX('_names_lookup'!$C:$C,MATCH(BK122,'_names_lookup'!$A:$A,0)),"")</f>
        <v/>
      </c>
      <c r="BM122">
        <f>IFERROR(INDEX('_names_lookup'!$B:$B,MATCH(BK122,'_names_lookup'!$A:$A,0)),"")</f>
        <v/>
      </c>
      <c r="BS122">
        <f>IFERROR(IF(BR122*AA122=0,"",BR122*AA122),"")</f>
        <v/>
      </c>
    </row>
    <row r="123">
      <c r="O123">
        <f>IFERROR(INDEX('_courses_lookup'!$C:$C,MATCH(K123&amp;L123,'_courses_lookup'!$E:$E,0)),"")</f>
        <v/>
      </c>
      <c r="P123">
        <f>IFERROR(INDEX('_courses_lookup'!$D:$D,MATCH(K123&amp;L123,'_courses_lookup'!$E:$E,0)),"")</f>
        <v/>
      </c>
      <c r="AG123">
        <f>IF(AND(AE123&lt;&gt;"",AF123&lt;&gt;""),ROUNDUP((AF123-AE123)/7,0),"")</f>
        <v/>
      </c>
      <c r="AI123">
        <f>IFERROR(IF(AG123*AH123=0,"",AG123*AH123),"")</f>
        <v/>
      </c>
      <c r="AL123">
        <f>IF(AND(AJ123&lt;&gt;"",AK123&lt;&gt;""),ROUNDUP((AK123-AJ123)/7,0),"")</f>
        <v/>
      </c>
      <c r="AN123">
        <f>IFERROR(IF(AL123*AM123=0,"",AL123*AM123),"")</f>
        <v/>
      </c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L123">
        <f>IFERROR(INDEX('_names_lookup'!$C:$C,MATCH(BK123,'_names_lookup'!$A:$A,0)),"")</f>
        <v/>
      </c>
      <c r="BM123">
        <f>IFERROR(INDEX('_names_lookup'!$B:$B,MATCH(BK123,'_names_lookup'!$A:$A,0)),"")</f>
        <v/>
      </c>
      <c r="BS123">
        <f>IFERROR(IF(BR123*AA123=0,"",BR123*AA123),"")</f>
        <v/>
      </c>
    </row>
    <row r="124">
      <c r="O124">
        <f>IFERROR(INDEX('_courses_lookup'!$C:$C,MATCH(K124&amp;L124,'_courses_lookup'!$E:$E,0)),"")</f>
        <v/>
      </c>
      <c r="P124">
        <f>IFERROR(INDEX('_courses_lookup'!$D:$D,MATCH(K124&amp;L124,'_courses_lookup'!$E:$E,0)),"")</f>
        <v/>
      </c>
      <c r="AG124">
        <f>IF(AND(AE124&lt;&gt;"",AF124&lt;&gt;""),ROUNDUP((AF124-AE124)/7,0),"")</f>
        <v/>
      </c>
      <c r="AI124">
        <f>IFERROR(IF(AG124*AH124=0,"",AG124*AH124),"")</f>
        <v/>
      </c>
      <c r="AL124">
        <f>IF(AND(AJ124&lt;&gt;"",AK124&lt;&gt;""),ROUNDUP((AK124-AJ124)/7,0),"")</f>
        <v/>
      </c>
      <c r="AN124">
        <f>IFERROR(IF(AL124*AM124=0,"",AL124*AM124),"")</f>
        <v/>
      </c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L124">
        <f>IFERROR(INDEX('_names_lookup'!$C:$C,MATCH(BK124,'_names_lookup'!$A:$A,0)),"")</f>
        <v/>
      </c>
      <c r="BM124">
        <f>IFERROR(INDEX('_names_lookup'!$B:$B,MATCH(BK124,'_names_lookup'!$A:$A,0)),"")</f>
        <v/>
      </c>
      <c r="BS124">
        <f>IFERROR(IF(BR124*AA124=0,"",BR124*AA124),"")</f>
        <v/>
      </c>
    </row>
    <row r="125">
      <c r="O125">
        <f>IFERROR(INDEX('_courses_lookup'!$C:$C,MATCH(K125&amp;L125,'_courses_lookup'!$E:$E,0)),"")</f>
        <v/>
      </c>
      <c r="P125">
        <f>IFERROR(INDEX('_courses_lookup'!$D:$D,MATCH(K125&amp;L125,'_courses_lookup'!$E:$E,0)),"")</f>
        <v/>
      </c>
      <c r="AG125">
        <f>IF(AND(AE125&lt;&gt;"",AF125&lt;&gt;""),ROUNDUP((AF125-AE125)/7,0),"")</f>
        <v/>
      </c>
      <c r="AI125">
        <f>IFERROR(IF(AG125*AH125=0,"",AG125*AH125),"")</f>
        <v/>
      </c>
      <c r="AL125">
        <f>IF(AND(AJ125&lt;&gt;"",AK125&lt;&gt;""),ROUNDUP((AK125-AJ125)/7,0),"")</f>
        <v/>
      </c>
      <c r="AN125">
        <f>IFERROR(IF(AL125*AM125=0,"",AL125*AM125),"")</f>
        <v/>
      </c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L125">
        <f>IFERROR(INDEX('_names_lookup'!$C:$C,MATCH(BK125,'_names_lookup'!$A:$A,0)),"")</f>
        <v/>
      </c>
      <c r="BM125">
        <f>IFERROR(INDEX('_names_lookup'!$B:$B,MATCH(BK125,'_names_lookup'!$A:$A,0)),"")</f>
        <v/>
      </c>
      <c r="BS125">
        <f>IFERROR(IF(BR125*AA125=0,"",BR125*AA125),"")</f>
        <v/>
      </c>
    </row>
    <row r="126">
      <c r="O126">
        <f>IFERROR(INDEX('_courses_lookup'!$C:$C,MATCH(K126&amp;L126,'_courses_lookup'!$E:$E,0)),"")</f>
        <v/>
      </c>
      <c r="P126">
        <f>IFERROR(INDEX('_courses_lookup'!$D:$D,MATCH(K126&amp;L126,'_courses_lookup'!$E:$E,0)),"")</f>
        <v/>
      </c>
      <c r="AG126">
        <f>IF(AND(AE126&lt;&gt;"",AF126&lt;&gt;""),ROUNDUP((AF126-AE126)/7,0),"")</f>
        <v/>
      </c>
      <c r="AI126">
        <f>IFERROR(IF(AG126*AH126=0,"",AG126*AH126),"")</f>
        <v/>
      </c>
      <c r="AL126">
        <f>IF(AND(AJ126&lt;&gt;"",AK126&lt;&gt;""),ROUNDUP((AK126-AJ126)/7,0),"")</f>
        <v/>
      </c>
      <c r="AN126">
        <f>IFERROR(IF(AL126*AM126=0,"",AL126*AM126),"")</f>
        <v/>
      </c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L126">
        <f>IFERROR(INDEX('_names_lookup'!$C:$C,MATCH(BK126,'_names_lookup'!$A:$A,0)),"")</f>
        <v/>
      </c>
      <c r="BM126">
        <f>IFERROR(INDEX('_names_lookup'!$B:$B,MATCH(BK126,'_names_lookup'!$A:$A,0)),"")</f>
        <v/>
      </c>
      <c r="BS126">
        <f>IFERROR(IF(BR126*AA126=0,"",BR126*AA126),"")</f>
        <v/>
      </c>
    </row>
    <row r="127">
      <c r="O127">
        <f>IFERROR(INDEX('_courses_lookup'!$C:$C,MATCH(K127&amp;L127,'_courses_lookup'!$E:$E,0)),"")</f>
        <v/>
      </c>
      <c r="P127">
        <f>IFERROR(INDEX('_courses_lookup'!$D:$D,MATCH(K127&amp;L127,'_courses_lookup'!$E:$E,0)),"")</f>
        <v/>
      </c>
      <c r="AG127">
        <f>IF(AND(AE127&lt;&gt;"",AF127&lt;&gt;""),ROUNDUP((AF127-AE127)/7,0),"")</f>
        <v/>
      </c>
      <c r="AI127">
        <f>IFERROR(IF(AG127*AH127=0,"",AG127*AH127),"")</f>
        <v/>
      </c>
      <c r="AL127">
        <f>IF(AND(AJ127&lt;&gt;"",AK127&lt;&gt;""),ROUNDUP((AK127-AJ127)/7,0),"")</f>
        <v/>
      </c>
      <c r="AN127">
        <f>IFERROR(IF(AL127*AM127=0,"",AL127*AM127),"")</f>
        <v/>
      </c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L127">
        <f>IFERROR(INDEX('_names_lookup'!$C:$C,MATCH(BK127,'_names_lookup'!$A:$A,0)),"")</f>
        <v/>
      </c>
      <c r="BM127">
        <f>IFERROR(INDEX('_names_lookup'!$B:$B,MATCH(BK127,'_names_lookup'!$A:$A,0)),"")</f>
        <v/>
      </c>
      <c r="BS127">
        <f>IFERROR(IF(BR127*AA127=0,"",BR127*AA127),"")</f>
        <v/>
      </c>
    </row>
    <row r="128">
      <c r="O128">
        <f>IFERROR(INDEX('_courses_lookup'!$C:$C,MATCH(K128&amp;L128,'_courses_lookup'!$E:$E,0)),"")</f>
        <v/>
      </c>
      <c r="P128">
        <f>IFERROR(INDEX('_courses_lookup'!$D:$D,MATCH(K128&amp;L128,'_courses_lookup'!$E:$E,0)),"")</f>
        <v/>
      </c>
      <c r="AG128">
        <f>IF(AND(AE128&lt;&gt;"",AF128&lt;&gt;""),ROUNDUP((AF128-AE128)/7,0),"")</f>
        <v/>
      </c>
      <c r="AI128">
        <f>IFERROR(IF(AG128*AH128=0,"",AG128*AH128),"")</f>
        <v/>
      </c>
      <c r="AL128">
        <f>IF(AND(AJ128&lt;&gt;"",AK128&lt;&gt;""),ROUNDUP((AK128-AJ128)/7,0),"")</f>
        <v/>
      </c>
      <c r="AN128">
        <f>IFERROR(IF(AL128*AM128=0,"",AL128*AM128),"")</f>
        <v/>
      </c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L128">
        <f>IFERROR(INDEX('_names_lookup'!$C:$C,MATCH(BK128,'_names_lookup'!$A:$A,0)),"")</f>
        <v/>
      </c>
      <c r="BM128">
        <f>IFERROR(INDEX('_names_lookup'!$B:$B,MATCH(BK128,'_names_lookup'!$A:$A,0)),"")</f>
        <v/>
      </c>
      <c r="BS128">
        <f>IFERROR(IF(BR128*AA128=0,"",BR128*AA128),"")</f>
        <v/>
      </c>
    </row>
    <row r="129">
      <c r="O129">
        <f>IFERROR(INDEX('_courses_lookup'!$C:$C,MATCH(K129&amp;L129,'_courses_lookup'!$E:$E,0)),"")</f>
        <v/>
      </c>
      <c r="P129">
        <f>IFERROR(INDEX('_courses_lookup'!$D:$D,MATCH(K129&amp;L129,'_courses_lookup'!$E:$E,0)),"")</f>
        <v/>
      </c>
      <c r="AG129">
        <f>IF(AND(AE129&lt;&gt;"",AF129&lt;&gt;""),ROUNDUP((AF129-AE129)/7,0),"")</f>
        <v/>
      </c>
      <c r="AI129">
        <f>IFERROR(IF(AG129*AH129=0,"",AG129*AH129),"")</f>
        <v/>
      </c>
      <c r="AL129">
        <f>IF(AND(AJ129&lt;&gt;"",AK129&lt;&gt;""),ROUNDUP((AK129-AJ129)/7,0),"")</f>
        <v/>
      </c>
      <c r="AN129">
        <f>IFERROR(IF(AL129*AM129=0,"",AL129*AM129),"")</f>
        <v/>
      </c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L129">
        <f>IFERROR(INDEX('_names_lookup'!$C:$C,MATCH(BK129,'_names_lookup'!$A:$A,0)),"")</f>
        <v/>
      </c>
      <c r="BM129">
        <f>IFERROR(INDEX('_names_lookup'!$B:$B,MATCH(BK129,'_names_lookup'!$A:$A,0)),"")</f>
        <v/>
      </c>
      <c r="BS129">
        <f>IFERROR(IF(BR129*AA129=0,"",BR129*AA129),"")</f>
        <v/>
      </c>
    </row>
    <row r="130">
      <c r="O130">
        <f>IFERROR(INDEX('_courses_lookup'!$C:$C,MATCH(K130&amp;L130,'_courses_lookup'!$E:$E,0)),"")</f>
        <v/>
      </c>
      <c r="P130">
        <f>IFERROR(INDEX('_courses_lookup'!$D:$D,MATCH(K130&amp;L130,'_courses_lookup'!$E:$E,0)),"")</f>
        <v/>
      </c>
      <c r="AG130">
        <f>IF(AND(AE130&lt;&gt;"",AF130&lt;&gt;""),ROUNDUP((AF130-AE130)/7,0),"")</f>
        <v/>
      </c>
      <c r="AI130">
        <f>IFERROR(IF(AG130*AH130=0,"",AG130*AH130),"")</f>
        <v/>
      </c>
      <c r="AL130">
        <f>IF(AND(AJ130&lt;&gt;"",AK130&lt;&gt;""),ROUNDUP((AK130-AJ130)/7,0),"")</f>
        <v/>
      </c>
      <c r="AN130">
        <f>IFERROR(IF(AL130*AM130=0,"",AL130*AM130),"")</f>
        <v/>
      </c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L130">
        <f>IFERROR(INDEX('_names_lookup'!$C:$C,MATCH(BK130,'_names_lookup'!$A:$A,0)),"")</f>
        <v/>
      </c>
      <c r="BM130">
        <f>IFERROR(INDEX('_names_lookup'!$B:$B,MATCH(BK130,'_names_lookup'!$A:$A,0)),"")</f>
        <v/>
      </c>
      <c r="BS130">
        <f>IFERROR(IF(BR130*AA130=0,"",BR130*AA130),"")</f>
        <v/>
      </c>
    </row>
    <row r="131">
      <c r="O131">
        <f>IFERROR(INDEX('_courses_lookup'!$C:$C,MATCH(K131&amp;L131,'_courses_lookup'!$E:$E,0)),"")</f>
        <v/>
      </c>
      <c r="P131">
        <f>IFERROR(INDEX('_courses_lookup'!$D:$D,MATCH(K131&amp;L131,'_courses_lookup'!$E:$E,0)),"")</f>
        <v/>
      </c>
      <c r="AG131">
        <f>IF(AND(AE131&lt;&gt;"",AF131&lt;&gt;""),ROUNDUP((AF131-AE131)/7,0),"")</f>
        <v/>
      </c>
      <c r="AI131">
        <f>IFERROR(IF(AG131*AH131=0,"",AG131*AH131),"")</f>
        <v/>
      </c>
      <c r="AL131">
        <f>IF(AND(AJ131&lt;&gt;"",AK131&lt;&gt;""),ROUNDUP((AK131-AJ131)/7,0),"")</f>
        <v/>
      </c>
      <c r="AN131">
        <f>IFERROR(IF(AL131*AM131=0,"",AL131*AM131),"")</f>
        <v/>
      </c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L131">
        <f>IFERROR(INDEX('_names_lookup'!$C:$C,MATCH(BK131,'_names_lookup'!$A:$A,0)),"")</f>
        <v/>
      </c>
      <c r="BM131">
        <f>IFERROR(INDEX('_names_lookup'!$B:$B,MATCH(BK131,'_names_lookup'!$A:$A,0)),"")</f>
        <v/>
      </c>
      <c r="BS131">
        <f>IFERROR(IF(BR131*AA131=0,"",BR131*AA131),"")</f>
        <v/>
      </c>
    </row>
    <row r="132">
      <c r="O132">
        <f>IFERROR(INDEX('_courses_lookup'!$C:$C,MATCH(K132&amp;L132,'_courses_lookup'!$E:$E,0)),"")</f>
        <v/>
      </c>
      <c r="P132">
        <f>IFERROR(INDEX('_courses_lookup'!$D:$D,MATCH(K132&amp;L132,'_courses_lookup'!$E:$E,0)),"")</f>
        <v/>
      </c>
      <c r="AG132">
        <f>IF(AND(AE132&lt;&gt;"",AF132&lt;&gt;""),ROUNDUP((AF132-AE132)/7,0),"")</f>
        <v/>
      </c>
      <c r="AI132">
        <f>IFERROR(IF(AG132*AH132=0,"",AG132*AH132),"")</f>
        <v/>
      </c>
      <c r="AL132">
        <f>IF(AND(AJ132&lt;&gt;"",AK132&lt;&gt;""),ROUNDUP((AK132-AJ132)/7,0),"")</f>
        <v/>
      </c>
      <c r="AN132">
        <f>IFERROR(IF(AL132*AM132=0,"",AL132*AM132),"")</f>
        <v/>
      </c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L132">
        <f>IFERROR(INDEX('_names_lookup'!$C:$C,MATCH(BK132,'_names_lookup'!$A:$A,0)),"")</f>
        <v/>
      </c>
      <c r="BM132">
        <f>IFERROR(INDEX('_names_lookup'!$B:$B,MATCH(BK132,'_names_lookup'!$A:$A,0)),"")</f>
        <v/>
      </c>
      <c r="BS132">
        <f>IFERROR(IF(BR132*AA132=0,"",BR132*AA132),"")</f>
        <v/>
      </c>
    </row>
    <row r="133">
      <c r="O133">
        <f>IFERROR(INDEX('_courses_lookup'!$C:$C,MATCH(K133&amp;L133,'_courses_lookup'!$E:$E,0)),"")</f>
        <v/>
      </c>
      <c r="P133">
        <f>IFERROR(INDEX('_courses_lookup'!$D:$D,MATCH(K133&amp;L133,'_courses_lookup'!$E:$E,0)),"")</f>
        <v/>
      </c>
      <c r="AG133">
        <f>IF(AND(AE133&lt;&gt;"",AF133&lt;&gt;""),ROUNDUP((AF133-AE133)/7,0),"")</f>
        <v/>
      </c>
      <c r="AI133">
        <f>IFERROR(IF(AG133*AH133=0,"",AG133*AH133),"")</f>
        <v/>
      </c>
      <c r="AL133">
        <f>IF(AND(AJ133&lt;&gt;"",AK133&lt;&gt;""),ROUNDUP((AK133-AJ133)/7,0),"")</f>
        <v/>
      </c>
      <c r="AN133">
        <f>IFERROR(IF(AL133*AM133=0,"",AL133*AM133),"")</f>
        <v/>
      </c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L133">
        <f>IFERROR(INDEX('_names_lookup'!$C:$C,MATCH(BK133,'_names_lookup'!$A:$A,0)),"")</f>
        <v/>
      </c>
      <c r="BM133">
        <f>IFERROR(INDEX('_names_lookup'!$B:$B,MATCH(BK133,'_names_lookup'!$A:$A,0)),"")</f>
        <v/>
      </c>
      <c r="BS133">
        <f>IFERROR(IF(BR133*AA133=0,"",BR133*AA133),"")</f>
        <v/>
      </c>
    </row>
    <row r="134">
      <c r="O134">
        <f>IFERROR(INDEX('_courses_lookup'!$C:$C,MATCH(K134&amp;L134,'_courses_lookup'!$E:$E,0)),"")</f>
        <v/>
      </c>
      <c r="P134">
        <f>IFERROR(INDEX('_courses_lookup'!$D:$D,MATCH(K134&amp;L134,'_courses_lookup'!$E:$E,0)),"")</f>
        <v/>
      </c>
      <c r="AG134">
        <f>IF(AND(AE134&lt;&gt;"",AF134&lt;&gt;""),ROUNDUP((AF134-AE134)/7,0),"")</f>
        <v/>
      </c>
      <c r="AI134">
        <f>IFERROR(IF(AG134*AH134=0,"",AG134*AH134),"")</f>
        <v/>
      </c>
      <c r="AL134">
        <f>IF(AND(AJ134&lt;&gt;"",AK134&lt;&gt;""),ROUNDUP((AK134-AJ134)/7,0),"")</f>
        <v/>
      </c>
      <c r="AN134">
        <f>IFERROR(IF(AL134*AM134=0,"",AL134*AM134),"")</f>
        <v/>
      </c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L134">
        <f>IFERROR(INDEX('_names_lookup'!$C:$C,MATCH(BK134,'_names_lookup'!$A:$A,0)),"")</f>
        <v/>
      </c>
      <c r="BM134">
        <f>IFERROR(INDEX('_names_lookup'!$B:$B,MATCH(BK134,'_names_lookup'!$A:$A,0)),"")</f>
        <v/>
      </c>
      <c r="BS134">
        <f>IFERROR(IF(BR134*AA134=0,"",BR134*AA134),"")</f>
        <v/>
      </c>
    </row>
    <row r="135">
      <c r="O135">
        <f>IFERROR(INDEX('_courses_lookup'!$C:$C,MATCH(K135&amp;L135,'_courses_lookup'!$E:$E,0)),"")</f>
        <v/>
      </c>
      <c r="P135">
        <f>IFERROR(INDEX('_courses_lookup'!$D:$D,MATCH(K135&amp;L135,'_courses_lookup'!$E:$E,0)),"")</f>
        <v/>
      </c>
      <c r="AG135">
        <f>IF(AND(AE135&lt;&gt;"",AF135&lt;&gt;""),ROUNDUP((AF135-AE135)/7,0),"")</f>
        <v/>
      </c>
      <c r="AI135">
        <f>IFERROR(IF(AG135*AH135=0,"",AG135*AH135),"")</f>
        <v/>
      </c>
      <c r="AL135">
        <f>IF(AND(AJ135&lt;&gt;"",AK135&lt;&gt;""),ROUNDUP((AK135-AJ135)/7,0),"")</f>
        <v/>
      </c>
      <c r="AN135">
        <f>IFERROR(IF(AL135*AM135=0,"",AL135*AM135),"")</f>
        <v/>
      </c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L135">
        <f>IFERROR(INDEX('_names_lookup'!$C:$C,MATCH(BK135,'_names_lookup'!$A:$A,0)),"")</f>
        <v/>
      </c>
      <c r="BM135">
        <f>IFERROR(INDEX('_names_lookup'!$B:$B,MATCH(BK135,'_names_lookup'!$A:$A,0)),"")</f>
        <v/>
      </c>
      <c r="BS135">
        <f>IFERROR(IF(BR135*AA135=0,"",BR135*AA135),"")</f>
        <v/>
      </c>
    </row>
    <row r="136">
      <c r="O136">
        <f>IFERROR(INDEX('_courses_lookup'!$C:$C,MATCH(K136&amp;L136,'_courses_lookup'!$E:$E,0)),"")</f>
        <v/>
      </c>
      <c r="P136">
        <f>IFERROR(INDEX('_courses_lookup'!$D:$D,MATCH(K136&amp;L136,'_courses_lookup'!$E:$E,0)),"")</f>
        <v/>
      </c>
      <c r="AG136">
        <f>IF(AND(AE136&lt;&gt;"",AF136&lt;&gt;""),ROUNDUP((AF136-AE136)/7,0),"")</f>
        <v/>
      </c>
      <c r="AI136">
        <f>IFERROR(IF(AG136*AH136=0,"",AG136*AH136),"")</f>
        <v/>
      </c>
      <c r="AL136">
        <f>IF(AND(AJ136&lt;&gt;"",AK136&lt;&gt;""),ROUNDUP((AK136-AJ136)/7,0),"")</f>
        <v/>
      </c>
      <c r="AN136">
        <f>IFERROR(IF(AL136*AM136=0,"",AL136*AM136),"")</f>
        <v/>
      </c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L136">
        <f>IFERROR(INDEX('_names_lookup'!$C:$C,MATCH(BK136,'_names_lookup'!$A:$A,0)),"")</f>
        <v/>
      </c>
      <c r="BM136">
        <f>IFERROR(INDEX('_names_lookup'!$B:$B,MATCH(BK136,'_names_lookup'!$A:$A,0)),"")</f>
        <v/>
      </c>
      <c r="BS136">
        <f>IFERROR(IF(BR136*AA136=0,"",BR136*AA136),"")</f>
        <v/>
      </c>
    </row>
    <row r="137">
      <c r="O137">
        <f>IFERROR(INDEX('_courses_lookup'!$C:$C,MATCH(K137&amp;L137,'_courses_lookup'!$E:$E,0)),"")</f>
        <v/>
      </c>
      <c r="P137">
        <f>IFERROR(INDEX('_courses_lookup'!$D:$D,MATCH(K137&amp;L137,'_courses_lookup'!$E:$E,0)),"")</f>
        <v/>
      </c>
      <c r="AG137">
        <f>IF(AND(AE137&lt;&gt;"",AF137&lt;&gt;""),ROUNDUP((AF137-AE137)/7,0),"")</f>
        <v/>
      </c>
      <c r="AI137">
        <f>IFERROR(IF(AG137*AH137=0,"",AG137*AH137),"")</f>
        <v/>
      </c>
      <c r="AL137">
        <f>IF(AND(AJ137&lt;&gt;"",AK137&lt;&gt;""),ROUNDUP((AK137-AJ137)/7,0),"")</f>
        <v/>
      </c>
      <c r="AN137">
        <f>IFERROR(IF(AL137*AM137=0,"",AL137*AM137),"")</f>
        <v/>
      </c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L137">
        <f>IFERROR(INDEX('_names_lookup'!$C:$C,MATCH(BK137,'_names_lookup'!$A:$A,0)),"")</f>
        <v/>
      </c>
      <c r="BM137">
        <f>IFERROR(INDEX('_names_lookup'!$B:$B,MATCH(BK137,'_names_lookup'!$A:$A,0)),"")</f>
        <v/>
      </c>
      <c r="BS137">
        <f>IFERROR(IF(BR137*AA137=0,"",BR137*AA137),"")</f>
        <v/>
      </c>
    </row>
    <row r="138">
      <c r="O138">
        <f>IFERROR(INDEX('_courses_lookup'!$C:$C,MATCH(K138&amp;L138,'_courses_lookup'!$E:$E,0)),"")</f>
        <v/>
      </c>
      <c r="P138">
        <f>IFERROR(INDEX('_courses_lookup'!$D:$D,MATCH(K138&amp;L138,'_courses_lookup'!$E:$E,0)),"")</f>
        <v/>
      </c>
      <c r="AG138">
        <f>IF(AND(AE138&lt;&gt;"",AF138&lt;&gt;""),ROUNDUP((AF138-AE138)/7,0),"")</f>
        <v/>
      </c>
      <c r="AI138">
        <f>IFERROR(IF(AG138*AH138=0,"",AG138*AH138),"")</f>
        <v/>
      </c>
      <c r="AL138">
        <f>IF(AND(AJ138&lt;&gt;"",AK138&lt;&gt;""),ROUNDUP((AK138-AJ138)/7,0),"")</f>
        <v/>
      </c>
      <c r="AN138">
        <f>IFERROR(IF(AL138*AM138=0,"",AL138*AM138),"")</f>
        <v/>
      </c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L138">
        <f>IFERROR(INDEX('_names_lookup'!$C:$C,MATCH(BK138,'_names_lookup'!$A:$A,0)),"")</f>
        <v/>
      </c>
      <c r="BM138">
        <f>IFERROR(INDEX('_names_lookup'!$B:$B,MATCH(BK138,'_names_lookup'!$A:$A,0)),"")</f>
        <v/>
      </c>
      <c r="BS138">
        <f>IFERROR(IF(BR138*AA138=0,"",BR138*AA138),"")</f>
        <v/>
      </c>
    </row>
    <row r="139">
      <c r="O139">
        <f>IFERROR(INDEX('_courses_lookup'!$C:$C,MATCH(K139&amp;L139,'_courses_lookup'!$E:$E,0)),"")</f>
        <v/>
      </c>
      <c r="P139">
        <f>IFERROR(INDEX('_courses_lookup'!$D:$D,MATCH(K139&amp;L139,'_courses_lookup'!$E:$E,0)),"")</f>
        <v/>
      </c>
      <c r="AG139">
        <f>IF(AND(AE139&lt;&gt;"",AF139&lt;&gt;""),ROUNDUP((AF139-AE139)/7,0),"")</f>
        <v/>
      </c>
      <c r="AI139">
        <f>IFERROR(IF(AG139*AH139=0,"",AG139*AH139),"")</f>
        <v/>
      </c>
      <c r="AL139">
        <f>IF(AND(AJ139&lt;&gt;"",AK139&lt;&gt;""),ROUNDUP((AK139-AJ139)/7,0),"")</f>
        <v/>
      </c>
      <c r="AN139">
        <f>IFERROR(IF(AL139*AM139=0,"",AL139*AM139),"")</f>
        <v/>
      </c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L139">
        <f>IFERROR(INDEX('_names_lookup'!$C:$C,MATCH(BK139,'_names_lookup'!$A:$A,0)),"")</f>
        <v/>
      </c>
      <c r="BM139">
        <f>IFERROR(INDEX('_names_lookup'!$B:$B,MATCH(BK139,'_names_lookup'!$A:$A,0)),"")</f>
        <v/>
      </c>
      <c r="BS139">
        <f>IFERROR(IF(BR139*AA139=0,"",BR139*AA139),"")</f>
        <v/>
      </c>
    </row>
    <row r="140">
      <c r="O140">
        <f>IFERROR(INDEX('_courses_lookup'!$C:$C,MATCH(K140&amp;L140,'_courses_lookup'!$E:$E,0)),"")</f>
        <v/>
      </c>
      <c r="P140">
        <f>IFERROR(INDEX('_courses_lookup'!$D:$D,MATCH(K140&amp;L140,'_courses_lookup'!$E:$E,0)),"")</f>
        <v/>
      </c>
      <c r="AG140">
        <f>IF(AND(AE140&lt;&gt;"",AF140&lt;&gt;""),ROUNDUP((AF140-AE140)/7,0),"")</f>
        <v/>
      </c>
      <c r="AI140">
        <f>IFERROR(IF(AG140*AH140=0,"",AG140*AH140),"")</f>
        <v/>
      </c>
      <c r="AL140">
        <f>IF(AND(AJ140&lt;&gt;"",AK140&lt;&gt;""),ROUNDUP((AK140-AJ140)/7,0),"")</f>
        <v/>
      </c>
      <c r="AN140">
        <f>IFERROR(IF(AL140*AM140=0,"",AL140*AM140),"")</f>
        <v/>
      </c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L140">
        <f>IFERROR(INDEX('_names_lookup'!$C:$C,MATCH(BK140,'_names_lookup'!$A:$A,0)),"")</f>
        <v/>
      </c>
      <c r="BM140">
        <f>IFERROR(INDEX('_names_lookup'!$B:$B,MATCH(BK140,'_names_lookup'!$A:$A,0)),"")</f>
        <v/>
      </c>
      <c r="BS140">
        <f>IFERROR(IF(BR140*AA140=0,"",BR140*AA140),"")</f>
        <v/>
      </c>
    </row>
    <row r="141">
      <c r="O141">
        <f>IFERROR(INDEX('_courses_lookup'!$C:$C,MATCH(K141&amp;L141,'_courses_lookup'!$E:$E,0)),"")</f>
        <v/>
      </c>
      <c r="P141">
        <f>IFERROR(INDEX('_courses_lookup'!$D:$D,MATCH(K141&amp;L141,'_courses_lookup'!$E:$E,0)),"")</f>
        <v/>
      </c>
      <c r="AG141">
        <f>IF(AND(AE141&lt;&gt;"",AF141&lt;&gt;""),ROUNDUP((AF141-AE141)/7,0),"")</f>
        <v/>
      </c>
      <c r="AI141">
        <f>IFERROR(IF(AG141*AH141=0,"",AG141*AH141),"")</f>
        <v/>
      </c>
      <c r="AL141">
        <f>IF(AND(AJ141&lt;&gt;"",AK141&lt;&gt;""),ROUNDUP((AK141-AJ141)/7,0),"")</f>
        <v/>
      </c>
      <c r="AN141">
        <f>IFERROR(IF(AL141*AM141=0,"",AL141*AM141),"")</f>
        <v/>
      </c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L141">
        <f>IFERROR(INDEX('_names_lookup'!$C:$C,MATCH(BK141,'_names_lookup'!$A:$A,0)),"")</f>
        <v/>
      </c>
      <c r="BM141">
        <f>IFERROR(INDEX('_names_lookup'!$B:$B,MATCH(BK141,'_names_lookup'!$A:$A,0)),"")</f>
        <v/>
      </c>
      <c r="BS141">
        <f>IFERROR(IF(BR141*AA141=0,"",BR141*AA141),"")</f>
        <v/>
      </c>
    </row>
    <row r="142">
      <c r="O142">
        <f>IFERROR(INDEX('_courses_lookup'!$C:$C,MATCH(K142&amp;L142,'_courses_lookup'!$E:$E,0)),"")</f>
        <v/>
      </c>
      <c r="P142">
        <f>IFERROR(INDEX('_courses_lookup'!$D:$D,MATCH(K142&amp;L142,'_courses_lookup'!$E:$E,0)),"")</f>
        <v/>
      </c>
      <c r="AG142">
        <f>IF(AND(AE142&lt;&gt;"",AF142&lt;&gt;""),ROUNDUP((AF142-AE142)/7,0),"")</f>
        <v/>
      </c>
      <c r="AI142">
        <f>IFERROR(IF(AG142*AH142=0,"",AG142*AH142),"")</f>
        <v/>
      </c>
      <c r="AL142">
        <f>IF(AND(AJ142&lt;&gt;"",AK142&lt;&gt;""),ROUNDUP((AK142-AJ142)/7,0),"")</f>
        <v/>
      </c>
      <c r="AN142">
        <f>IFERROR(IF(AL142*AM142=0,"",AL142*AM142),"")</f>
        <v/>
      </c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L142">
        <f>IFERROR(INDEX('_names_lookup'!$C:$C,MATCH(BK142,'_names_lookup'!$A:$A,0)),"")</f>
        <v/>
      </c>
      <c r="BM142">
        <f>IFERROR(INDEX('_names_lookup'!$B:$B,MATCH(BK142,'_names_lookup'!$A:$A,0)),"")</f>
        <v/>
      </c>
      <c r="BS142">
        <f>IFERROR(IF(BR142*AA142=0,"",BR142*AA142),"")</f>
        <v/>
      </c>
    </row>
    <row r="143">
      <c r="O143">
        <f>IFERROR(INDEX('_courses_lookup'!$C:$C,MATCH(K143&amp;L143,'_courses_lookup'!$E:$E,0)),"")</f>
        <v/>
      </c>
      <c r="P143">
        <f>IFERROR(INDEX('_courses_lookup'!$D:$D,MATCH(K143&amp;L143,'_courses_lookup'!$E:$E,0)),"")</f>
        <v/>
      </c>
      <c r="AG143">
        <f>IF(AND(AE143&lt;&gt;"",AF143&lt;&gt;""),ROUNDUP((AF143-AE143)/7,0),"")</f>
        <v/>
      </c>
      <c r="AI143">
        <f>IFERROR(IF(AG143*AH143=0,"",AG143*AH143),"")</f>
        <v/>
      </c>
      <c r="AL143">
        <f>IF(AND(AJ143&lt;&gt;"",AK143&lt;&gt;""),ROUNDUP((AK143-AJ143)/7,0),"")</f>
        <v/>
      </c>
      <c r="AN143">
        <f>IFERROR(IF(AL143*AM143=0,"",AL143*AM143),"")</f>
        <v/>
      </c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L143">
        <f>IFERROR(INDEX('_names_lookup'!$C:$C,MATCH(BK143,'_names_lookup'!$A:$A,0)),"")</f>
        <v/>
      </c>
      <c r="BM143">
        <f>IFERROR(INDEX('_names_lookup'!$B:$B,MATCH(BK143,'_names_lookup'!$A:$A,0)),"")</f>
        <v/>
      </c>
      <c r="BS143">
        <f>IFERROR(IF(BR143*AA143=0,"",BR143*AA143),"")</f>
        <v/>
      </c>
    </row>
    <row r="144">
      <c r="O144">
        <f>IFERROR(INDEX('_courses_lookup'!$C:$C,MATCH(K144&amp;L144,'_courses_lookup'!$E:$E,0)),"")</f>
        <v/>
      </c>
      <c r="P144">
        <f>IFERROR(INDEX('_courses_lookup'!$D:$D,MATCH(K144&amp;L144,'_courses_lookup'!$E:$E,0)),"")</f>
        <v/>
      </c>
      <c r="AG144">
        <f>IF(AND(AE144&lt;&gt;"",AF144&lt;&gt;""),ROUNDUP((AF144-AE144)/7,0),"")</f>
        <v/>
      </c>
      <c r="AI144">
        <f>IFERROR(IF(AG144*AH144=0,"",AG144*AH144),"")</f>
        <v/>
      </c>
      <c r="AL144">
        <f>IF(AND(AJ144&lt;&gt;"",AK144&lt;&gt;""),ROUNDUP((AK144-AJ144)/7,0),"")</f>
        <v/>
      </c>
      <c r="AN144">
        <f>IFERROR(IF(AL144*AM144=0,"",AL144*AM144),"")</f>
        <v/>
      </c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L144">
        <f>IFERROR(INDEX('_names_lookup'!$C:$C,MATCH(BK144,'_names_lookup'!$A:$A,0)),"")</f>
        <v/>
      </c>
      <c r="BM144">
        <f>IFERROR(INDEX('_names_lookup'!$B:$B,MATCH(BK144,'_names_lookup'!$A:$A,0)),"")</f>
        <v/>
      </c>
      <c r="BS144">
        <f>IFERROR(IF(BR144*AA144=0,"",BR144*AA144),"")</f>
        <v/>
      </c>
    </row>
    <row r="145">
      <c r="O145">
        <f>IFERROR(INDEX('_courses_lookup'!$C:$C,MATCH(K145&amp;L145,'_courses_lookup'!$E:$E,0)),"")</f>
        <v/>
      </c>
      <c r="P145">
        <f>IFERROR(INDEX('_courses_lookup'!$D:$D,MATCH(K145&amp;L145,'_courses_lookup'!$E:$E,0)),"")</f>
        <v/>
      </c>
      <c r="AG145">
        <f>IF(AND(AE145&lt;&gt;"",AF145&lt;&gt;""),ROUNDUP((AF145-AE145)/7,0),"")</f>
        <v/>
      </c>
      <c r="AI145">
        <f>IFERROR(IF(AG145*AH145=0,"",AG145*AH145),"")</f>
        <v/>
      </c>
      <c r="AL145">
        <f>IF(AND(AJ145&lt;&gt;"",AK145&lt;&gt;""),ROUNDUP((AK145-AJ145)/7,0),"")</f>
        <v/>
      </c>
      <c r="AN145">
        <f>IFERROR(IF(AL145*AM145=0,"",AL145*AM145),"")</f>
        <v/>
      </c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L145">
        <f>IFERROR(INDEX('_names_lookup'!$C:$C,MATCH(BK145,'_names_lookup'!$A:$A,0)),"")</f>
        <v/>
      </c>
      <c r="BM145">
        <f>IFERROR(INDEX('_names_lookup'!$B:$B,MATCH(BK145,'_names_lookup'!$A:$A,0)),"")</f>
        <v/>
      </c>
      <c r="BS145">
        <f>IFERROR(IF(BR145*AA145=0,"",BR145*AA145),"")</f>
        <v/>
      </c>
    </row>
    <row r="146">
      <c r="O146">
        <f>IFERROR(INDEX('_courses_lookup'!$C:$C,MATCH(K146&amp;L146,'_courses_lookup'!$E:$E,0)),"")</f>
        <v/>
      </c>
      <c r="P146">
        <f>IFERROR(INDEX('_courses_lookup'!$D:$D,MATCH(K146&amp;L146,'_courses_lookup'!$E:$E,0)),"")</f>
        <v/>
      </c>
      <c r="AG146">
        <f>IF(AND(AE146&lt;&gt;"",AF146&lt;&gt;""),ROUNDUP((AF146-AE146)/7,0),"")</f>
        <v/>
      </c>
      <c r="AI146">
        <f>IFERROR(IF(AG146*AH146=0,"",AG146*AH146),"")</f>
        <v/>
      </c>
      <c r="AL146">
        <f>IF(AND(AJ146&lt;&gt;"",AK146&lt;&gt;""),ROUNDUP((AK146-AJ146)/7,0),"")</f>
        <v/>
      </c>
      <c r="AN146">
        <f>IFERROR(IF(AL146*AM146=0,"",AL146*AM146),"")</f>
        <v/>
      </c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L146">
        <f>IFERROR(INDEX('_names_lookup'!$C:$C,MATCH(BK146,'_names_lookup'!$A:$A,0)),"")</f>
        <v/>
      </c>
      <c r="BM146">
        <f>IFERROR(INDEX('_names_lookup'!$B:$B,MATCH(BK146,'_names_lookup'!$A:$A,0)),"")</f>
        <v/>
      </c>
      <c r="BS146">
        <f>IFERROR(IF(BR146*AA146=0,"",BR146*AA146),"")</f>
        <v/>
      </c>
    </row>
    <row r="147">
      <c r="O147">
        <f>IFERROR(INDEX('_courses_lookup'!$C:$C,MATCH(K147&amp;L147,'_courses_lookup'!$E:$E,0)),"")</f>
        <v/>
      </c>
      <c r="P147">
        <f>IFERROR(INDEX('_courses_lookup'!$D:$D,MATCH(K147&amp;L147,'_courses_lookup'!$E:$E,0)),"")</f>
        <v/>
      </c>
      <c r="AG147">
        <f>IF(AND(AE147&lt;&gt;"",AF147&lt;&gt;""),ROUNDUP((AF147-AE147)/7,0),"")</f>
        <v/>
      </c>
      <c r="AI147">
        <f>IFERROR(IF(AG147*AH147=0,"",AG147*AH147),"")</f>
        <v/>
      </c>
      <c r="AL147">
        <f>IF(AND(AJ147&lt;&gt;"",AK147&lt;&gt;""),ROUNDUP((AK147-AJ147)/7,0),"")</f>
        <v/>
      </c>
      <c r="AN147">
        <f>IFERROR(IF(AL147*AM147=0,"",AL147*AM147),"")</f>
        <v/>
      </c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L147">
        <f>IFERROR(INDEX('_names_lookup'!$C:$C,MATCH(BK147,'_names_lookup'!$A:$A,0)),"")</f>
        <v/>
      </c>
      <c r="BM147">
        <f>IFERROR(INDEX('_names_lookup'!$B:$B,MATCH(BK147,'_names_lookup'!$A:$A,0)),"")</f>
        <v/>
      </c>
      <c r="BS147">
        <f>IFERROR(IF(BR147*AA147=0,"",BR147*AA147),"")</f>
        <v/>
      </c>
    </row>
    <row r="148">
      <c r="O148">
        <f>IFERROR(INDEX('_courses_lookup'!$C:$C,MATCH(K148&amp;L148,'_courses_lookup'!$E:$E,0)),"")</f>
        <v/>
      </c>
      <c r="P148">
        <f>IFERROR(INDEX('_courses_lookup'!$D:$D,MATCH(K148&amp;L148,'_courses_lookup'!$E:$E,0)),"")</f>
        <v/>
      </c>
      <c r="AG148">
        <f>IF(AND(AE148&lt;&gt;"",AF148&lt;&gt;""),ROUNDUP((AF148-AE148)/7,0),"")</f>
        <v/>
      </c>
      <c r="AI148">
        <f>IFERROR(IF(AG148*AH148=0,"",AG148*AH148),"")</f>
        <v/>
      </c>
      <c r="AL148">
        <f>IF(AND(AJ148&lt;&gt;"",AK148&lt;&gt;""),ROUNDUP((AK148-AJ148)/7,0),"")</f>
        <v/>
      </c>
      <c r="AN148">
        <f>IFERROR(IF(AL148*AM148=0,"",AL148*AM148),"")</f>
        <v/>
      </c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L148">
        <f>IFERROR(INDEX('_names_lookup'!$C:$C,MATCH(BK148,'_names_lookup'!$A:$A,0)),"")</f>
        <v/>
      </c>
      <c r="BM148">
        <f>IFERROR(INDEX('_names_lookup'!$B:$B,MATCH(BK148,'_names_lookup'!$A:$A,0)),"")</f>
        <v/>
      </c>
      <c r="BS148">
        <f>IFERROR(IF(BR148*AA148=0,"",BR148*AA148),"")</f>
        <v/>
      </c>
    </row>
    <row r="149">
      <c r="O149">
        <f>IFERROR(INDEX('_courses_lookup'!$C:$C,MATCH(K149&amp;L149,'_courses_lookup'!$E:$E,0)),"")</f>
        <v/>
      </c>
      <c r="P149">
        <f>IFERROR(INDEX('_courses_lookup'!$D:$D,MATCH(K149&amp;L149,'_courses_lookup'!$E:$E,0)),"")</f>
        <v/>
      </c>
      <c r="AG149">
        <f>IF(AND(AE149&lt;&gt;"",AF149&lt;&gt;""),ROUNDUP((AF149-AE149)/7,0),"")</f>
        <v/>
      </c>
      <c r="AI149">
        <f>IFERROR(IF(AG149*AH149=0,"",AG149*AH149),"")</f>
        <v/>
      </c>
      <c r="AL149">
        <f>IF(AND(AJ149&lt;&gt;"",AK149&lt;&gt;""),ROUNDUP((AK149-AJ149)/7,0),"")</f>
        <v/>
      </c>
      <c r="AN149">
        <f>IFERROR(IF(AL149*AM149=0,"",AL149*AM149),"")</f>
        <v/>
      </c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L149">
        <f>IFERROR(INDEX('_names_lookup'!$C:$C,MATCH(BK149,'_names_lookup'!$A:$A,0)),"")</f>
        <v/>
      </c>
      <c r="BM149">
        <f>IFERROR(INDEX('_names_lookup'!$B:$B,MATCH(BK149,'_names_lookup'!$A:$A,0)),"")</f>
        <v/>
      </c>
      <c r="BS149">
        <f>IFERROR(IF(BR149*AA149=0,"",BR149*AA149),"")</f>
        <v/>
      </c>
    </row>
    <row r="150">
      <c r="O150">
        <f>IFERROR(INDEX('_courses_lookup'!$C:$C,MATCH(K150&amp;L150,'_courses_lookup'!$E:$E,0)),"")</f>
        <v/>
      </c>
      <c r="P150">
        <f>IFERROR(INDEX('_courses_lookup'!$D:$D,MATCH(K150&amp;L150,'_courses_lookup'!$E:$E,0)),"")</f>
        <v/>
      </c>
      <c r="AG150">
        <f>IF(AND(AE150&lt;&gt;"",AF150&lt;&gt;""),ROUNDUP((AF150-AE150)/7,0),"")</f>
        <v/>
      </c>
      <c r="AI150">
        <f>IFERROR(IF(AG150*AH150=0,"",AG150*AH150),"")</f>
        <v/>
      </c>
      <c r="AL150">
        <f>IF(AND(AJ150&lt;&gt;"",AK150&lt;&gt;""),ROUNDUP((AK150-AJ150)/7,0),"")</f>
        <v/>
      </c>
      <c r="AN150">
        <f>IFERROR(IF(AL150*AM150=0,"",AL150*AM150),"")</f>
        <v/>
      </c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L150">
        <f>IFERROR(INDEX('_names_lookup'!$C:$C,MATCH(BK150,'_names_lookup'!$A:$A,0)),"")</f>
        <v/>
      </c>
      <c r="BM150">
        <f>IFERROR(INDEX('_names_lookup'!$B:$B,MATCH(BK150,'_names_lookup'!$A:$A,0)),"")</f>
        <v/>
      </c>
      <c r="BS150">
        <f>IFERROR(IF(BR150*AA150=0,"",BR150*AA150),"")</f>
        <v/>
      </c>
    </row>
    <row r="151">
      <c r="O151">
        <f>IFERROR(INDEX('_courses_lookup'!$C:$C,MATCH(K151&amp;L151,'_courses_lookup'!$E:$E,0)),"")</f>
        <v/>
      </c>
      <c r="P151">
        <f>IFERROR(INDEX('_courses_lookup'!$D:$D,MATCH(K151&amp;L151,'_courses_lookup'!$E:$E,0)),"")</f>
        <v/>
      </c>
      <c r="AG151">
        <f>IF(AND(AE151&lt;&gt;"",AF151&lt;&gt;""),ROUNDUP((AF151-AE151)/7,0),"")</f>
        <v/>
      </c>
      <c r="AI151">
        <f>IFERROR(IF(AG151*AH151=0,"",AG151*AH151),"")</f>
        <v/>
      </c>
      <c r="AL151">
        <f>IF(AND(AJ151&lt;&gt;"",AK151&lt;&gt;""),ROUNDUP((AK151-AJ151)/7,0),"")</f>
        <v/>
      </c>
      <c r="AN151">
        <f>IFERROR(IF(AL151*AM151=0,"",AL151*AM151),"")</f>
        <v/>
      </c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L151">
        <f>IFERROR(INDEX('_names_lookup'!$C:$C,MATCH(BK151,'_names_lookup'!$A:$A,0)),"")</f>
        <v/>
      </c>
      <c r="BM151">
        <f>IFERROR(INDEX('_names_lookup'!$B:$B,MATCH(BK151,'_names_lookup'!$A:$A,0)),"")</f>
        <v/>
      </c>
      <c r="BS151">
        <f>IFERROR(IF(BR151*AA151=0,"",BR151*AA151),"")</f>
        <v/>
      </c>
    </row>
    <row r="152">
      <c r="O152">
        <f>IFERROR(INDEX('_courses_lookup'!$C:$C,MATCH(K152&amp;L152,'_courses_lookup'!$E:$E,0)),"")</f>
        <v/>
      </c>
      <c r="P152">
        <f>IFERROR(INDEX('_courses_lookup'!$D:$D,MATCH(K152&amp;L152,'_courses_lookup'!$E:$E,0)),"")</f>
        <v/>
      </c>
      <c r="AG152">
        <f>IF(AND(AE152&lt;&gt;"",AF152&lt;&gt;""),ROUNDUP((AF152-AE152)/7,0),"")</f>
        <v/>
      </c>
      <c r="AI152">
        <f>IFERROR(IF(AG152*AH152=0,"",AG152*AH152),"")</f>
        <v/>
      </c>
      <c r="AL152">
        <f>IF(AND(AJ152&lt;&gt;"",AK152&lt;&gt;""),ROUNDUP((AK152-AJ152)/7,0),"")</f>
        <v/>
      </c>
      <c r="AN152">
        <f>IFERROR(IF(AL152*AM152=0,"",AL152*AM152),"")</f>
        <v/>
      </c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L152">
        <f>IFERROR(INDEX('_names_lookup'!$C:$C,MATCH(BK152,'_names_lookup'!$A:$A,0)),"")</f>
        <v/>
      </c>
      <c r="BM152">
        <f>IFERROR(INDEX('_names_lookup'!$B:$B,MATCH(BK152,'_names_lookup'!$A:$A,0)),"")</f>
        <v/>
      </c>
      <c r="BS152">
        <f>IFERROR(IF(BR152*AA152=0,"",BR152*AA152),"")</f>
        <v/>
      </c>
    </row>
    <row r="153">
      <c r="O153">
        <f>IFERROR(INDEX('_courses_lookup'!$C:$C,MATCH(K153&amp;L153,'_courses_lookup'!$E:$E,0)),"")</f>
        <v/>
      </c>
      <c r="P153">
        <f>IFERROR(INDEX('_courses_lookup'!$D:$D,MATCH(K153&amp;L153,'_courses_lookup'!$E:$E,0)),"")</f>
        <v/>
      </c>
      <c r="AG153">
        <f>IF(AND(AE153&lt;&gt;"",AF153&lt;&gt;""),ROUNDUP((AF153-AE153)/7,0),"")</f>
        <v/>
      </c>
      <c r="AI153">
        <f>IFERROR(IF(AG153*AH153=0,"",AG153*AH153),"")</f>
        <v/>
      </c>
      <c r="AL153">
        <f>IF(AND(AJ153&lt;&gt;"",AK153&lt;&gt;""),ROUNDUP((AK153-AJ153)/7,0),"")</f>
        <v/>
      </c>
      <c r="AN153">
        <f>IFERROR(IF(AL153*AM153=0,"",AL153*AM153),"")</f>
        <v/>
      </c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L153">
        <f>IFERROR(INDEX('_names_lookup'!$C:$C,MATCH(BK153,'_names_lookup'!$A:$A,0)),"")</f>
        <v/>
      </c>
      <c r="BM153">
        <f>IFERROR(INDEX('_names_lookup'!$B:$B,MATCH(BK153,'_names_lookup'!$A:$A,0)),"")</f>
        <v/>
      </c>
      <c r="BS153">
        <f>IFERROR(IF(BR153*AA153=0,"",BR153*AA153),"")</f>
        <v/>
      </c>
    </row>
    <row r="154">
      <c r="O154">
        <f>IFERROR(INDEX('_courses_lookup'!$C:$C,MATCH(K154&amp;L154,'_courses_lookup'!$E:$E,0)),"")</f>
        <v/>
      </c>
      <c r="P154">
        <f>IFERROR(INDEX('_courses_lookup'!$D:$D,MATCH(K154&amp;L154,'_courses_lookup'!$E:$E,0)),"")</f>
        <v/>
      </c>
      <c r="AG154">
        <f>IF(AND(AE154&lt;&gt;"",AF154&lt;&gt;""),ROUNDUP((AF154-AE154)/7,0),"")</f>
        <v/>
      </c>
      <c r="AI154">
        <f>IFERROR(IF(AG154*AH154=0,"",AG154*AH154),"")</f>
        <v/>
      </c>
      <c r="AL154">
        <f>IF(AND(AJ154&lt;&gt;"",AK154&lt;&gt;""),ROUNDUP((AK154-AJ154)/7,0),"")</f>
        <v/>
      </c>
      <c r="AN154">
        <f>IFERROR(IF(AL154*AM154=0,"",AL154*AM154),"")</f>
        <v/>
      </c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L154">
        <f>IFERROR(INDEX('_names_lookup'!$C:$C,MATCH(BK154,'_names_lookup'!$A:$A,0)),"")</f>
        <v/>
      </c>
      <c r="BM154">
        <f>IFERROR(INDEX('_names_lookup'!$B:$B,MATCH(BK154,'_names_lookup'!$A:$A,0)),"")</f>
        <v/>
      </c>
      <c r="BS154">
        <f>IFERROR(IF(BR154*AA154=0,"",BR154*AA154),"")</f>
        <v/>
      </c>
    </row>
    <row r="155">
      <c r="O155">
        <f>IFERROR(INDEX('_courses_lookup'!$C:$C,MATCH(K155&amp;L155,'_courses_lookup'!$E:$E,0)),"")</f>
        <v/>
      </c>
      <c r="P155">
        <f>IFERROR(INDEX('_courses_lookup'!$D:$D,MATCH(K155&amp;L155,'_courses_lookup'!$E:$E,0)),"")</f>
        <v/>
      </c>
      <c r="AG155">
        <f>IF(AND(AE155&lt;&gt;"",AF155&lt;&gt;""),ROUNDUP((AF155-AE155)/7,0),"")</f>
        <v/>
      </c>
      <c r="AI155">
        <f>IFERROR(IF(AG155*AH155=0,"",AG155*AH155),"")</f>
        <v/>
      </c>
      <c r="AL155">
        <f>IF(AND(AJ155&lt;&gt;"",AK155&lt;&gt;""),ROUNDUP((AK155-AJ155)/7,0),"")</f>
        <v/>
      </c>
      <c r="AN155">
        <f>IFERROR(IF(AL155*AM155=0,"",AL155*AM155),"")</f>
        <v/>
      </c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L155">
        <f>IFERROR(INDEX('_names_lookup'!$C:$C,MATCH(BK155,'_names_lookup'!$A:$A,0)),"")</f>
        <v/>
      </c>
      <c r="BM155">
        <f>IFERROR(INDEX('_names_lookup'!$B:$B,MATCH(BK155,'_names_lookup'!$A:$A,0)),"")</f>
        <v/>
      </c>
      <c r="BS155">
        <f>IFERROR(IF(BR155*AA155=0,"",BR155*AA155),"")</f>
        <v/>
      </c>
    </row>
    <row r="156">
      <c r="O156">
        <f>IFERROR(INDEX('_courses_lookup'!$C:$C,MATCH(K156&amp;L156,'_courses_lookup'!$E:$E,0)),"")</f>
        <v/>
      </c>
      <c r="P156">
        <f>IFERROR(INDEX('_courses_lookup'!$D:$D,MATCH(K156&amp;L156,'_courses_lookup'!$E:$E,0)),"")</f>
        <v/>
      </c>
      <c r="AG156">
        <f>IF(AND(AE156&lt;&gt;"",AF156&lt;&gt;""),ROUNDUP((AF156-AE156)/7,0),"")</f>
        <v/>
      </c>
      <c r="AI156">
        <f>IFERROR(IF(AG156*AH156=0,"",AG156*AH156),"")</f>
        <v/>
      </c>
      <c r="AL156">
        <f>IF(AND(AJ156&lt;&gt;"",AK156&lt;&gt;""),ROUNDUP((AK156-AJ156)/7,0),"")</f>
        <v/>
      </c>
      <c r="AN156">
        <f>IFERROR(IF(AL156*AM156=0,"",AL156*AM156),"")</f>
        <v/>
      </c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L156">
        <f>IFERROR(INDEX('_names_lookup'!$C:$C,MATCH(BK156,'_names_lookup'!$A:$A,0)),"")</f>
        <v/>
      </c>
      <c r="BM156">
        <f>IFERROR(INDEX('_names_lookup'!$B:$B,MATCH(BK156,'_names_lookup'!$A:$A,0)),"")</f>
        <v/>
      </c>
      <c r="BS156">
        <f>IFERROR(IF(BR156*AA156=0,"",BR156*AA156),"")</f>
        <v/>
      </c>
    </row>
    <row r="157">
      <c r="O157">
        <f>IFERROR(INDEX('_courses_lookup'!$C:$C,MATCH(K157&amp;L157,'_courses_lookup'!$E:$E,0)),"")</f>
        <v/>
      </c>
      <c r="P157">
        <f>IFERROR(INDEX('_courses_lookup'!$D:$D,MATCH(K157&amp;L157,'_courses_lookup'!$E:$E,0)),"")</f>
        <v/>
      </c>
      <c r="AG157">
        <f>IF(AND(AE157&lt;&gt;"",AF157&lt;&gt;""),ROUNDUP((AF157-AE157)/7,0),"")</f>
        <v/>
      </c>
      <c r="AI157">
        <f>IFERROR(IF(AG157*AH157=0,"",AG157*AH157),"")</f>
        <v/>
      </c>
      <c r="AL157">
        <f>IF(AND(AJ157&lt;&gt;"",AK157&lt;&gt;""),ROUNDUP((AK157-AJ157)/7,0),"")</f>
        <v/>
      </c>
      <c r="AN157">
        <f>IFERROR(IF(AL157*AM157=0,"",AL157*AM157),"")</f>
        <v/>
      </c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L157">
        <f>IFERROR(INDEX('_names_lookup'!$C:$C,MATCH(BK157,'_names_lookup'!$A:$A,0)),"")</f>
        <v/>
      </c>
      <c r="BM157">
        <f>IFERROR(INDEX('_names_lookup'!$B:$B,MATCH(BK157,'_names_lookup'!$A:$A,0)),"")</f>
        <v/>
      </c>
      <c r="BS157">
        <f>IFERROR(IF(BR157*AA157=0,"",BR157*AA157),"")</f>
        <v/>
      </c>
    </row>
    <row r="158">
      <c r="O158">
        <f>IFERROR(INDEX('_courses_lookup'!$C:$C,MATCH(K158&amp;L158,'_courses_lookup'!$E:$E,0)),"")</f>
        <v/>
      </c>
      <c r="P158">
        <f>IFERROR(INDEX('_courses_lookup'!$D:$D,MATCH(K158&amp;L158,'_courses_lookup'!$E:$E,0)),"")</f>
        <v/>
      </c>
      <c r="AG158">
        <f>IF(AND(AE158&lt;&gt;"",AF158&lt;&gt;""),ROUNDUP((AF158-AE158)/7,0),"")</f>
        <v/>
      </c>
      <c r="AI158">
        <f>IFERROR(IF(AG158*AH158=0,"",AG158*AH158),"")</f>
        <v/>
      </c>
      <c r="AL158">
        <f>IF(AND(AJ158&lt;&gt;"",AK158&lt;&gt;""),ROUNDUP((AK158-AJ158)/7,0),"")</f>
        <v/>
      </c>
      <c r="AN158">
        <f>IFERROR(IF(AL158*AM158=0,"",AL158*AM158),"")</f>
        <v/>
      </c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L158">
        <f>IFERROR(INDEX('_names_lookup'!$C:$C,MATCH(BK158,'_names_lookup'!$A:$A,0)),"")</f>
        <v/>
      </c>
      <c r="BM158">
        <f>IFERROR(INDEX('_names_lookup'!$B:$B,MATCH(BK158,'_names_lookup'!$A:$A,0)),"")</f>
        <v/>
      </c>
      <c r="BS158">
        <f>IFERROR(IF(BR158*AA158=0,"",BR158*AA158),"")</f>
        <v/>
      </c>
    </row>
    <row r="159">
      <c r="O159">
        <f>IFERROR(INDEX('_courses_lookup'!$C:$C,MATCH(K159&amp;L159,'_courses_lookup'!$E:$E,0)),"")</f>
        <v/>
      </c>
      <c r="P159">
        <f>IFERROR(INDEX('_courses_lookup'!$D:$D,MATCH(K159&amp;L159,'_courses_lookup'!$E:$E,0)),"")</f>
        <v/>
      </c>
      <c r="AG159">
        <f>IF(AND(AE159&lt;&gt;"",AF159&lt;&gt;""),ROUNDUP((AF159-AE159)/7,0),"")</f>
        <v/>
      </c>
      <c r="AI159">
        <f>IFERROR(IF(AG159*AH159=0,"",AG159*AH159),"")</f>
        <v/>
      </c>
      <c r="AL159">
        <f>IF(AND(AJ159&lt;&gt;"",AK159&lt;&gt;""),ROUNDUP((AK159-AJ159)/7,0),"")</f>
        <v/>
      </c>
      <c r="AN159">
        <f>IFERROR(IF(AL159*AM159=0,"",AL159*AM159),"")</f>
        <v/>
      </c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L159">
        <f>IFERROR(INDEX('_names_lookup'!$C:$C,MATCH(BK159,'_names_lookup'!$A:$A,0)),"")</f>
        <v/>
      </c>
      <c r="BM159">
        <f>IFERROR(INDEX('_names_lookup'!$B:$B,MATCH(BK159,'_names_lookup'!$A:$A,0)),"")</f>
        <v/>
      </c>
      <c r="BS159">
        <f>IFERROR(IF(BR159*AA159=0,"",BR159*AA159),"")</f>
        <v/>
      </c>
    </row>
    <row r="160">
      <c r="O160">
        <f>IFERROR(INDEX('_courses_lookup'!$C:$C,MATCH(K160&amp;L160,'_courses_lookup'!$E:$E,0)),"")</f>
        <v/>
      </c>
      <c r="P160">
        <f>IFERROR(INDEX('_courses_lookup'!$D:$D,MATCH(K160&amp;L160,'_courses_lookup'!$E:$E,0)),"")</f>
        <v/>
      </c>
      <c r="AG160">
        <f>IF(AND(AE160&lt;&gt;"",AF160&lt;&gt;""),ROUNDUP((AF160-AE160)/7,0),"")</f>
        <v/>
      </c>
      <c r="AI160">
        <f>IFERROR(IF(AG160*AH160=0,"",AG160*AH160),"")</f>
        <v/>
      </c>
      <c r="AL160">
        <f>IF(AND(AJ160&lt;&gt;"",AK160&lt;&gt;""),ROUNDUP((AK160-AJ160)/7,0),"")</f>
        <v/>
      </c>
      <c r="AN160">
        <f>IFERROR(IF(AL160*AM160=0,"",AL160*AM160),"")</f>
        <v/>
      </c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L160">
        <f>IFERROR(INDEX('_names_lookup'!$C:$C,MATCH(BK160,'_names_lookup'!$A:$A,0)),"")</f>
        <v/>
      </c>
      <c r="BM160">
        <f>IFERROR(INDEX('_names_lookup'!$B:$B,MATCH(BK160,'_names_lookup'!$A:$A,0)),"")</f>
        <v/>
      </c>
      <c r="BS160">
        <f>IFERROR(IF(BR160*AA160=0,"",BR160*AA160),"")</f>
        <v/>
      </c>
    </row>
    <row r="161">
      <c r="O161">
        <f>IFERROR(INDEX('_courses_lookup'!$C:$C,MATCH(K161&amp;L161,'_courses_lookup'!$E:$E,0)),"")</f>
        <v/>
      </c>
      <c r="P161">
        <f>IFERROR(INDEX('_courses_lookup'!$D:$D,MATCH(K161&amp;L161,'_courses_lookup'!$E:$E,0)),"")</f>
        <v/>
      </c>
      <c r="AG161">
        <f>IF(AND(AE161&lt;&gt;"",AF161&lt;&gt;""),ROUNDUP((AF161-AE161)/7,0),"")</f>
        <v/>
      </c>
      <c r="AI161">
        <f>IFERROR(IF(AG161*AH161=0,"",AG161*AH161),"")</f>
        <v/>
      </c>
      <c r="AL161">
        <f>IF(AND(AJ161&lt;&gt;"",AK161&lt;&gt;""),ROUNDUP((AK161-AJ161)/7,0),"")</f>
        <v/>
      </c>
      <c r="AN161">
        <f>IFERROR(IF(AL161*AM161=0,"",AL161*AM161),"")</f>
        <v/>
      </c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L161">
        <f>IFERROR(INDEX('_names_lookup'!$C:$C,MATCH(BK161,'_names_lookup'!$A:$A,0)),"")</f>
        <v/>
      </c>
      <c r="BM161">
        <f>IFERROR(INDEX('_names_lookup'!$B:$B,MATCH(BK161,'_names_lookup'!$A:$A,0)),"")</f>
        <v/>
      </c>
      <c r="BS161">
        <f>IFERROR(IF(BR161*AA161=0,"",BR161*AA161),"")</f>
        <v/>
      </c>
    </row>
    <row r="162">
      <c r="O162">
        <f>IFERROR(INDEX('_courses_lookup'!$C:$C,MATCH(K162&amp;L162,'_courses_lookup'!$E:$E,0)),"")</f>
        <v/>
      </c>
      <c r="P162">
        <f>IFERROR(INDEX('_courses_lookup'!$D:$D,MATCH(K162&amp;L162,'_courses_lookup'!$E:$E,0)),"")</f>
        <v/>
      </c>
      <c r="AG162">
        <f>IF(AND(AE162&lt;&gt;"",AF162&lt;&gt;""),ROUNDUP((AF162-AE162)/7,0),"")</f>
        <v/>
      </c>
      <c r="AI162">
        <f>IFERROR(IF(AG162*AH162=0,"",AG162*AH162),"")</f>
        <v/>
      </c>
      <c r="AL162">
        <f>IF(AND(AJ162&lt;&gt;"",AK162&lt;&gt;""),ROUNDUP((AK162-AJ162)/7,0),"")</f>
        <v/>
      </c>
      <c r="AN162">
        <f>IFERROR(IF(AL162*AM162=0,"",AL162*AM162),"")</f>
        <v/>
      </c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L162">
        <f>IFERROR(INDEX('_names_lookup'!$C:$C,MATCH(BK162,'_names_lookup'!$A:$A,0)),"")</f>
        <v/>
      </c>
      <c r="BM162">
        <f>IFERROR(INDEX('_names_lookup'!$B:$B,MATCH(BK162,'_names_lookup'!$A:$A,0)),"")</f>
        <v/>
      </c>
      <c r="BS162">
        <f>IFERROR(IF(BR162*AA162=0,"",BR162*AA162),"")</f>
        <v/>
      </c>
    </row>
    <row r="163">
      <c r="O163">
        <f>IFERROR(INDEX('_courses_lookup'!$C:$C,MATCH(K163&amp;L163,'_courses_lookup'!$E:$E,0)),"")</f>
        <v/>
      </c>
      <c r="P163">
        <f>IFERROR(INDEX('_courses_lookup'!$D:$D,MATCH(K163&amp;L163,'_courses_lookup'!$E:$E,0)),"")</f>
        <v/>
      </c>
      <c r="AG163">
        <f>IF(AND(AE163&lt;&gt;"",AF163&lt;&gt;""),ROUNDUP((AF163-AE163)/7,0),"")</f>
        <v/>
      </c>
      <c r="AI163">
        <f>IFERROR(IF(AG163*AH163=0,"",AG163*AH163),"")</f>
        <v/>
      </c>
      <c r="AL163">
        <f>IF(AND(AJ163&lt;&gt;"",AK163&lt;&gt;""),ROUNDUP((AK163-AJ163)/7,0),"")</f>
        <v/>
      </c>
      <c r="AN163">
        <f>IFERROR(IF(AL163*AM163=0,"",AL163*AM163),"")</f>
        <v/>
      </c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L163">
        <f>IFERROR(INDEX('_names_lookup'!$C:$C,MATCH(BK163,'_names_lookup'!$A:$A,0)),"")</f>
        <v/>
      </c>
      <c r="BM163">
        <f>IFERROR(INDEX('_names_lookup'!$B:$B,MATCH(BK163,'_names_lookup'!$A:$A,0)),"")</f>
        <v/>
      </c>
      <c r="BS163">
        <f>IFERROR(IF(BR163*AA163=0,"",BR163*AA163),"")</f>
        <v/>
      </c>
    </row>
    <row r="164">
      <c r="O164">
        <f>IFERROR(INDEX('_courses_lookup'!$C:$C,MATCH(K164&amp;L164,'_courses_lookup'!$E:$E,0)),"")</f>
        <v/>
      </c>
      <c r="P164">
        <f>IFERROR(INDEX('_courses_lookup'!$D:$D,MATCH(K164&amp;L164,'_courses_lookup'!$E:$E,0)),"")</f>
        <v/>
      </c>
      <c r="AG164">
        <f>IF(AND(AE164&lt;&gt;"",AF164&lt;&gt;""),ROUNDUP((AF164-AE164)/7,0),"")</f>
        <v/>
      </c>
      <c r="AI164">
        <f>IFERROR(IF(AG164*AH164=0,"",AG164*AH164),"")</f>
        <v/>
      </c>
      <c r="AL164">
        <f>IF(AND(AJ164&lt;&gt;"",AK164&lt;&gt;""),ROUNDUP((AK164-AJ164)/7,0),"")</f>
        <v/>
      </c>
      <c r="AN164">
        <f>IFERROR(IF(AL164*AM164=0,"",AL164*AM164),"")</f>
        <v/>
      </c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L164">
        <f>IFERROR(INDEX('_names_lookup'!$C:$C,MATCH(BK164,'_names_lookup'!$A:$A,0)),"")</f>
        <v/>
      </c>
      <c r="BM164">
        <f>IFERROR(INDEX('_names_lookup'!$B:$B,MATCH(BK164,'_names_lookup'!$A:$A,0)),"")</f>
        <v/>
      </c>
      <c r="BS164">
        <f>IFERROR(IF(BR164*AA164=0,"",BR164*AA164),"")</f>
        <v/>
      </c>
    </row>
    <row r="165">
      <c r="O165">
        <f>IFERROR(INDEX('_courses_lookup'!$C:$C,MATCH(K165&amp;L165,'_courses_lookup'!$E:$E,0)),"")</f>
        <v/>
      </c>
      <c r="P165">
        <f>IFERROR(INDEX('_courses_lookup'!$D:$D,MATCH(K165&amp;L165,'_courses_lookup'!$E:$E,0)),"")</f>
        <v/>
      </c>
      <c r="AG165">
        <f>IF(AND(AE165&lt;&gt;"",AF165&lt;&gt;""),ROUNDUP((AF165-AE165)/7,0),"")</f>
        <v/>
      </c>
      <c r="AI165">
        <f>IFERROR(IF(AG165*AH165=0,"",AG165*AH165),"")</f>
        <v/>
      </c>
      <c r="AL165">
        <f>IF(AND(AJ165&lt;&gt;"",AK165&lt;&gt;""),ROUNDUP((AK165-AJ165)/7,0),"")</f>
        <v/>
      </c>
      <c r="AN165">
        <f>IFERROR(IF(AL165*AM165=0,"",AL165*AM165),"")</f>
        <v/>
      </c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L165">
        <f>IFERROR(INDEX('_names_lookup'!$C:$C,MATCH(BK165,'_names_lookup'!$A:$A,0)),"")</f>
        <v/>
      </c>
      <c r="BM165">
        <f>IFERROR(INDEX('_names_lookup'!$B:$B,MATCH(BK165,'_names_lookup'!$A:$A,0)),"")</f>
        <v/>
      </c>
      <c r="BS165">
        <f>IFERROR(IF(BR165*AA165=0,"",BR165*AA165),"")</f>
        <v/>
      </c>
    </row>
    <row r="166">
      <c r="O166">
        <f>IFERROR(INDEX('_courses_lookup'!$C:$C,MATCH(K166&amp;L166,'_courses_lookup'!$E:$E,0)),"")</f>
        <v/>
      </c>
      <c r="P166">
        <f>IFERROR(INDEX('_courses_lookup'!$D:$D,MATCH(K166&amp;L166,'_courses_lookup'!$E:$E,0)),"")</f>
        <v/>
      </c>
      <c r="AG166">
        <f>IF(AND(AE166&lt;&gt;"",AF166&lt;&gt;""),ROUNDUP((AF166-AE166)/7,0),"")</f>
        <v/>
      </c>
      <c r="AI166">
        <f>IFERROR(IF(AG166*AH166=0,"",AG166*AH166),"")</f>
        <v/>
      </c>
      <c r="AL166">
        <f>IF(AND(AJ166&lt;&gt;"",AK166&lt;&gt;""),ROUNDUP((AK166-AJ166)/7,0),"")</f>
        <v/>
      </c>
      <c r="AN166">
        <f>IFERROR(IF(AL166*AM166=0,"",AL166*AM166),"")</f>
        <v/>
      </c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L166">
        <f>IFERROR(INDEX('_names_lookup'!$C:$C,MATCH(BK166,'_names_lookup'!$A:$A,0)),"")</f>
        <v/>
      </c>
      <c r="BM166">
        <f>IFERROR(INDEX('_names_lookup'!$B:$B,MATCH(BK166,'_names_lookup'!$A:$A,0)),"")</f>
        <v/>
      </c>
      <c r="BS166">
        <f>IFERROR(IF(BR166*AA166=0,"",BR166*AA166),"")</f>
        <v/>
      </c>
    </row>
    <row r="167">
      <c r="O167">
        <f>IFERROR(INDEX('_courses_lookup'!$C:$C,MATCH(K167&amp;L167,'_courses_lookup'!$E:$E,0)),"")</f>
        <v/>
      </c>
      <c r="P167">
        <f>IFERROR(INDEX('_courses_lookup'!$D:$D,MATCH(K167&amp;L167,'_courses_lookup'!$E:$E,0)),"")</f>
        <v/>
      </c>
      <c r="AG167">
        <f>IF(AND(AE167&lt;&gt;"",AF167&lt;&gt;""),ROUNDUP((AF167-AE167)/7,0),"")</f>
        <v/>
      </c>
      <c r="AI167">
        <f>IFERROR(IF(AG167*AH167=0,"",AG167*AH167),"")</f>
        <v/>
      </c>
      <c r="AL167">
        <f>IF(AND(AJ167&lt;&gt;"",AK167&lt;&gt;""),ROUNDUP((AK167-AJ167)/7,0),"")</f>
        <v/>
      </c>
      <c r="AN167">
        <f>IFERROR(IF(AL167*AM167=0,"",AL167*AM167),"")</f>
        <v/>
      </c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L167">
        <f>IFERROR(INDEX('_names_lookup'!$C:$C,MATCH(BK167,'_names_lookup'!$A:$A,0)),"")</f>
        <v/>
      </c>
      <c r="BM167">
        <f>IFERROR(INDEX('_names_lookup'!$B:$B,MATCH(BK167,'_names_lookup'!$A:$A,0)),"")</f>
        <v/>
      </c>
      <c r="BS167">
        <f>IFERROR(IF(BR167*AA167=0,"",BR167*AA167),"")</f>
        <v/>
      </c>
    </row>
    <row r="168">
      <c r="O168">
        <f>IFERROR(INDEX('_courses_lookup'!$C:$C,MATCH(K168&amp;L168,'_courses_lookup'!$E:$E,0)),"")</f>
        <v/>
      </c>
      <c r="P168">
        <f>IFERROR(INDEX('_courses_lookup'!$D:$D,MATCH(K168&amp;L168,'_courses_lookup'!$E:$E,0)),"")</f>
        <v/>
      </c>
      <c r="AG168">
        <f>IF(AND(AE168&lt;&gt;"",AF168&lt;&gt;""),ROUNDUP((AF168-AE168)/7,0),"")</f>
        <v/>
      </c>
      <c r="AI168">
        <f>IFERROR(IF(AG168*AH168=0,"",AG168*AH168),"")</f>
        <v/>
      </c>
      <c r="AL168">
        <f>IF(AND(AJ168&lt;&gt;"",AK168&lt;&gt;""),ROUNDUP((AK168-AJ168)/7,0),"")</f>
        <v/>
      </c>
      <c r="AN168">
        <f>IFERROR(IF(AL168*AM168=0,"",AL168*AM168),"")</f>
        <v/>
      </c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L168">
        <f>IFERROR(INDEX('_names_lookup'!$C:$C,MATCH(BK168,'_names_lookup'!$A:$A,0)),"")</f>
        <v/>
      </c>
      <c r="BM168">
        <f>IFERROR(INDEX('_names_lookup'!$B:$B,MATCH(BK168,'_names_lookup'!$A:$A,0)),"")</f>
        <v/>
      </c>
      <c r="BS168">
        <f>IFERROR(IF(BR168*AA168=0,"",BR168*AA168),"")</f>
        <v/>
      </c>
    </row>
    <row r="169">
      <c r="O169">
        <f>IFERROR(INDEX('_courses_lookup'!$C:$C,MATCH(K169&amp;L169,'_courses_lookup'!$E:$E,0)),"")</f>
        <v/>
      </c>
      <c r="P169">
        <f>IFERROR(INDEX('_courses_lookup'!$D:$D,MATCH(K169&amp;L169,'_courses_lookup'!$E:$E,0)),"")</f>
        <v/>
      </c>
      <c r="AG169">
        <f>IF(AND(AE169&lt;&gt;"",AF169&lt;&gt;""),ROUNDUP((AF169-AE169)/7,0),"")</f>
        <v/>
      </c>
      <c r="AI169">
        <f>IFERROR(IF(AG169*AH169=0,"",AG169*AH169),"")</f>
        <v/>
      </c>
      <c r="AL169">
        <f>IF(AND(AJ169&lt;&gt;"",AK169&lt;&gt;""),ROUNDUP((AK169-AJ169)/7,0),"")</f>
        <v/>
      </c>
      <c r="AN169">
        <f>IFERROR(IF(AL169*AM169=0,"",AL169*AM169),"")</f>
        <v/>
      </c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L169">
        <f>IFERROR(INDEX('_names_lookup'!$C:$C,MATCH(BK169,'_names_lookup'!$A:$A,0)),"")</f>
        <v/>
      </c>
      <c r="BM169">
        <f>IFERROR(INDEX('_names_lookup'!$B:$B,MATCH(BK169,'_names_lookup'!$A:$A,0)),"")</f>
        <v/>
      </c>
      <c r="BS169">
        <f>IFERROR(IF(BR169*AA169=0,"",BR169*AA169),"")</f>
        <v/>
      </c>
    </row>
    <row r="170">
      <c r="O170">
        <f>IFERROR(INDEX('_courses_lookup'!$C:$C,MATCH(K170&amp;L170,'_courses_lookup'!$E:$E,0)),"")</f>
        <v/>
      </c>
      <c r="P170">
        <f>IFERROR(INDEX('_courses_lookup'!$D:$D,MATCH(K170&amp;L170,'_courses_lookup'!$E:$E,0)),"")</f>
        <v/>
      </c>
      <c r="AG170">
        <f>IF(AND(AE170&lt;&gt;"",AF170&lt;&gt;""),ROUNDUP((AF170-AE170)/7,0),"")</f>
        <v/>
      </c>
      <c r="AI170">
        <f>IFERROR(IF(AG170*AH170=0,"",AG170*AH170),"")</f>
        <v/>
      </c>
      <c r="AL170">
        <f>IF(AND(AJ170&lt;&gt;"",AK170&lt;&gt;""),ROUNDUP((AK170-AJ170)/7,0),"")</f>
        <v/>
      </c>
      <c r="AN170">
        <f>IFERROR(IF(AL170*AM170=0,"",AL170*AM170),"")</f>
        <v/>
      </c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L170">
        <f>IFERROR(INDEX('_names_lookup'!$C:$C,MATCH(BK170,'_names_lookup'!$A:$A,0)),"")</f>
        <v/>
      </c>
      <c r="BM170">
        <f>IFERROR(INDEX('_names_lookup'!$B:$B,MATCH(BK170,'_names_lookup'!$A:$A,0)),"")</f>
        <v/>
      </c>
      <c r="BS170">
        <f>IFERROR(IF(BR170*AA170=0,"",BR170*AA170),"")</f>
        <v/>
      </c>
    </row>
    <row r="171">
      <c r="O171">
        <f>IFERROR(INDEX('_courses_lookup'!$C:$C,MATCH(K171&amp;L171,'_courses_lookup'!$E:$E,0)),"")</f>
        <v/>
      </c>
      <c r="P171">
        <f>IFERROR(INDEX('_courses_lookup'!$D:$D,MATCH(K171&amp;L171,'_courses_lookup'!$E:$E,0)),"")</f>
        <v/>
      </c>
      <c r="AG171">
        <f>IF(AND(AE171&lt;&gt;"",AF171&lt;&gt;""),ROUNDUP((AF171-AE171)/7,0),"")</f>
        <v/>
      </c>
      <c r="AI171">
        <f>IFERROR(IF(AG171*AH171=0,"",AG171*AH171),"")</f>
        <v/>
      </c>
      <c r="AL171">
        <f>IF(AND(AJ171&lt;&gt;"",AK171&lt;&gt;""),ROUNDUP((AK171-AJ171)/7,0),"")</f>
        <v/>
      </c>
      <c r="AN171">
        <f>IFERROR(IF(AL171*AM171=0,"",AL171*AM171),"")</f>
        <v/>
      </c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L171">
        <f>IFERROR(INDEX('_names_lookup'!$C:$C,MATCH(BK171,'_names_lookup'!$A:$A,0)),"")</f>
        <v/>
      </c>
      <c r="BM171">
        <f>IFERROR(INDEX('_names_lookup'!$B:$B,MATCH(BK171,'_names_lookup'!$A:$A,0)),"")</f>
        <v/>
      </c>
      <c r="BS171">
        <f>IFERROR(IF(BR171*AA171=0,"",BR171*AA171),"")</f>
        <v/>
      </c>
    </row>
    <row r="172">
      <c r="O172">
        <f>IFERROR(INDEX('_courses_lookup'!$C:$C,MATCH(K172&amp;L172,'_courses_lookup'!$E:$E,0)),"")</f>
        <v/>
      </c>
      <c r="P172">
        <f>IFERROR(INDEX('_courses_lookup'!$D:$D,MATCH(K172&amp;L172,'_courses_lookup'!$E:$E,0)),"")</f>
        <v/>
      </c>
      <c r="AG172">
        <f>IF(AND(AE172&lt;&gt;"",AF172&lt;&gt;""),ROUNDUP((AF172-AE172)/7,0),"")</f>
        <v/>
      </c>
      <c r="AI172">
        <f>IFERROR(IF(AG172*AH172=0,"",AG172*AH172),"")</f>
        <v/>
      </c>
      <c r="AL172">
        <f>IF(AND(AJ172&lt;&gt;"",AK172&lt;&gt;""),ROUNDUP((AK172-AJ172)/7,0),"")</f>
        <v/>
      </c>
      <c r="AN172">
        <f>IFERROR(IF(AL172*AM172=0,"",AL172*AM172),"")</f>
        <v/>
      </c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L172">
        <f>IFERROR(INDEX('_names_lookup'!$C:$C,MATCH(BK172,'_names_lookup'!$A:$A,0)),"")</f>
        <v/>
      </c>
      <c r="BM172">
        <f>IFERROR(INDEX('_names_lookup'!$B:$B,MATCH(BK172,'_names_lookup'!$A:$A,0)),"")</f>
        <v/>
      </c>
      <c r="BS172">
        <f>IFERROR(IF(BR172*AA172=0,"",BR172*AA172),"")</f>
        <v/>
      </c>
    </row>
    <row r="173">
      <c r="O173">
        <f>IFERROR(INDEX('_courses_lookup'!$C:$C,MATCH(K173&amp;L173,'_courses_lookup'!$E:$E,0)),"")</f>
        <v/>
      </c>
      <c r="P173">
        <f>IFERROR(INDEX('_courses_lookup'!$D:$D,MATCH(K173&amp;L173,'_courses_lookup'!$E:$E,0)),"")</f>
        <v/>
      </c>
      <c r="AG173">
        <f>IF(AND(AE173&lt;&gt;"",AF173&lt;&gt;""),ROUNDUP((AF173-AE173)/7,0),"")</f>
        <v/>
      </c>
      <c r="AI173">
        <f>IFERROR(IF(AG173*AH173=0,"",AG173*AH173),"")</f>
        <v/>
      </c>
      <c r="AL173">
        <f>IF(AND(AJ173&lt;&gt;"",AK173&lt;&gt;""),ROUNDUP((AK173-AJ173)/7,0),"")</f>
        <v/>
      </c>
      <c r="AN173">
        <f>IFERROR(IF(AL173*AM173=0,"",AL173*AM173),"")</f>
        <v/>
      </c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L173">
        <f>IFERROR(INDEX('_names_lookup'!$C:$C,MATCH(BK173,'_names_lookup'!$A:$A,0)),"")</f>
        <v/>
      </c>
      <c r="BM173">
        <f>IFERROR(INDEX('_names_lookup'!$B:$B,MATCH(BK173,'_names_lookup'!$A:$A,0)),"")</f>
        <v/>
      </c>
      <c r="BS173">
        <f>IFERROR(IF(BR173*AA173=0,"",BR173*AA173),"")</f>
        <v/>
      </c>
    </row>
    <row r="174">
      <c r="O174">
        <f>IFERROR(INDEX('_courses_lookup'!$C:$C,MATCH(K174&amp;L174,'_courses_lookup'!$E:$E,0)),"")</f>
        <v/>
      </c>
      <c r="P174">
        <f>IFERROR(INDEX('_courses_lookup'!$D:$D,MATCH(K174&amp;L174,'_courses_lookup'!$E:$E,0)),"")</f>
        <v/>
      </c>
      <c r="AG174">
        <f>IF(AND(AE174&lt;&gt;"",AF174&lt;&gt;""),ROUNDUP((AF174-AE174)/7,0),"")</f>
        <v/>
      </c>
      <c r="AI174">
        <f>IFERROR(IF(AG174*AH174=0,"",AG174*AH174),"")</f>
        <v/>
      </c>
      <c r="AL174">
        <f>IF(AND(AJ174&lt;&gt;"",AK174&lt;&gt;""),ROUNDUP((AK174-AJ174)/7,0),"")</f>
        <v/>
      </c>
      <c r="AN174">
        <f>IFERROR(IF(AL174*AM174=0,"",AL174*AM174),"")</f>
        <v/>
      </c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L174">
        <f>IFERROR(INDEX('_names_lookup'!$C:$C,MATCH(BK174,'_names_lookup'!$A:$A,0)),"")</f>
        <v/>
      </c>
      <c r="BM174">
        <f>IFERROR(INDEX('_names_lookup'!$B:$B,MATCH(BK174,'_names_lookup'!$A:$A,0)),"")</f>
        <v/>
      </c>
      <c r="BS174">
        <f>IFERROR(IF(BR174*AA174=0,"",BR174*AA174),"")</f>
        <v/>
      </c>
    </row>
    <row r="175">
      <c r="O175">
        <f>IFERROR(INDEX('_courses_lookup'!$C:$C,MATCH(K175&amp;L175,'_courses_lookup'!$E:$E,0)),"")</f>
        <v/>
      </c>
      <c r="P175">
        <f>IFERROR(INDEX('_courses_lookup'!$D:$D,MATCH(K175&amp;L175,'_courses_lookup'!$E:$E,0)),"")</f>
        <v/>
      </c>
      <c r="AG175">
        <f>IF(AND(AE175&lt;&gt;"",AF175&lt;&gt;""),ROUNDUP((AF175-AE175)/7,0),"")</f>
        <v/>
      </c>
      <c r="AI175">
        <f>IFERROR(IF(AG175*AH175=0,"",AG175*AH175),"")</f>
        <v/>
      </c>
      <c r="AL175">
        <f>IF(AND(AJ175&lt;&gt;"",AK175&lt;&gt;""),ROUNDUP((AK175-AJ175)/7,0),"")</f>
        <v/>
      </c>
      <c r="AN175">
        <f>IFERROR(IF(AL175*AM175=0,"",AL175*AM175),"")</f>
        <v/>
      </c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L175">
        <f>IFERROR(INDEX('_names_lookup'!$C:$C,MATCH(BK175,'_names_lookup'!$A:$A,0)),"")</f>
        <v/>
      </c>
      <c r="BM175">
        <f>IFERROR(INDEX('_names_lookup'!$B:$B,MATCH(BK175,'_names_lookup'!$A:$A,0)),"")</f>
        <v/>
      </c>
      <c r="BS175">
        <f>IFERROR(IF(BR175*AA175=0,"",BR175*AA175),"")</f>
        <v/>
      </c>
    </row>
    <row r="176">
      <c r="O176">
        <f>IFERROR(INDEX('_courses_lookup'!$C:$C,MATCH(K176&amp;L176,'_courses_lookup'!$E:$E,0)),"")</f>
        <v/>
      </c>
      <c r="P176">
        <f>IFERROR(INDEX('_courses_lookup'!$D:$D,MATCH(K176&amp;L176,'_courses_lookup'!$E:$E,0)),"")</f>
        <v/>
      </c>
      <c r="AG176">
        <f>IF(AND(AE176&lt;&gt;"",AF176&lt;&gt;""),ROUNDUP((AF176-AE176)/7,0),"")</f>
        <v/>
      </c>
      <c r="AI176">
        <f>IFERROR(IF(AG176*AH176=0,"",AG176*AH176),"")</f>
        <v/>
      </c>
      <c r="AL176">
        <f>IF(AND(AJ176&lt;&gt;"",AK176&lt;&gt;""),ROUNDUP((AK176-AJ176)/7,0),"")</f>
        <v/>
      </c>
      <c r="AN176">
        <f>IFERROR(IF(AL176*AM176=0,"",AL176*AM176),"")</f>
        <v/>
      </c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L176">
        <f>IFERROR(INDEX('_names_lookup'!$C:$C,MATCH(BK176,'_names_lookup'!$A:$A,0)),"")</f>
        <v/>
      </c>
      <c r="BM176">
        <f>IFERROR(INDEX('_names_lookup'!$B:$B,MATCH(BK176,'_names_lookup'!$A:$A,0)),"")</f>
        <v/>
      </c>
      <c r="BS176">
        <f>IFERROR(IF(BR176*AA176=0,"",BR176*AA176),"")</f>
        <v/>
      </c>
    </row>
    <row r="177">
      <c r="O177">
        <f>IFERROR(INDEX('_courses_lookup'!$C:$C,MATCH(K177&amp;L177,'_courses_lookup'!$E:$E,0)),"")</f>
        <v/>
      </c>
      <c r="P177">
        <f>IFERROR(INDEX('_courses_lookup'!$D:$D,MATCH(K177&amp;L177,'_courses_lookup'!$E:$E,0)),"")</f>
        <v/>
      </c>
      <c r="AG177">
        <f>IF(AND(AE177&lt;&gt;"",AF177&lt;&gt;""),ROUNDUP((AF177-AE177)/7,0),"")</f>
        <v/>
      </c>
      <c r="AI177">
        <f>IFERROR(IF(AG177*AH177=0,"",AG177*AH177),"")</f>
        <v/>
      </c>
      <c r="AL177">
        <f>IF(AND(AJ177&lt;&gt;"",AK177&lt;&gt;""),ROUNDUP((AK177-AJ177)/7,0),"")</f>
        <v/>
      </c>
      <c r="AN177">
        <f>IFERROR(IF(AL177*AM177=0,"",AL177*AM177),"")</f>
        <v/>
      </c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L177">
        <f>IFERROR(INDEX('_names_lookup'!$C:$C,MATCH(BK177,'_names_lookup'!$A:$A,0)),"")</f>
        <v/>
      </c>
      <c r="BM177">
        <f>IFERROR(INDEX('_names_lookup'!$B:$B,MATCH(BK177,'_names_lookup'!$A:$A,0)),"")</f>
        <v/>
      </c>
      <c r="BS177">
        <f>IFERROR(IF(BR177*AA177=0,"",BR177*AA177),"")</f>
        <v/>
      </c>
    </row>
    <row r="178">
      <c r="O178">
        <f>IFERROR(INDEX('_courses_lookup'!$C:$C,MATCH(K178&amp;L178,'_courses_lookup'!$E:$E,0)),"")</f>
        <v/>
      </c>
      <c r="P178">
        <f>IFERROR(INDEX('_courses_lookup'!$D:$D,MATCH(K178&amp;L178,'_courses_lookup'!$E:$E,0)),"")</f>
        <v/>
      </c>
      <c r="AG178">
        <f>IF(AND(AE178&lt;&gt;"",AF178&lt;&gt;""),ROUNDUP((AF178-AE178)/7,0),"")</f>
        <v/>
      </c>
      <c r="AI178">
        <f>IFERROR(IF(AG178*AH178=0,"",AG178*AH178),"")</f>
        <v/>
      </c>
      <c r="AL178">
        <f>IF(AND(AJ178&lt;&gt;"",AK178&lt;&gt;""),ROUNDUP((AK178-AJ178)/7,0),"")</f>
        <v/>
      </c>
      <c r="AN178">
        <f>IFERROR(IF(AL178*AM178=0,"",AL178*AM178),"")</f>
        <v/>
      </c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L178">
        <f>IFERROR(INDEX('_names_lookup'!$C:$C,MATCH(BK178,'_names_lookup'!$A:$A,0)),"")</f>
        <v/>
      </c>
      <c r="BM178">
        <f>IFERROR(INDEX('_names_lookup'!$B:$B,MATCH(BK178,'_names_lookup'!$A:$A,0)),"")</f>
        <v/>
      </c>
      <c r="BS178">
        <f>IFERROR(IF(BR178*AA178=0,"",BR178*AA178),"")</f>
        <v/>
      </c>
    </row>
    <row r="179">
      <c r="O179">
        <f>IFERROR(INDEX('_courses_lookup'!$C:$C,MATCH(K179&amp;L179,'_courses_lookup'!$E:$E,0)),"")</f>
        <v/>
      </c>
      <c r="P179">
        <f>IFERROR(INDEX('_courses_lookup'!$D:$D,MATCH(K179&amp;L179,'_courses_lookup'!$E:$E,0)),"")</f>
        <v/>
      </c>
      <c r="AG179">
        <f>IF(AND(AE179&lt;&gt;"",AF179&lt;&gt;""),ROUNDUP((AF179-AE179)/7,0),"")</f>
        <v/>
      </c>
      <c r="AI179">
        <f>IFERROR(IF(AG179*AH179=0,"",AG179*AH179),"")</f>
        <v/>
      </c>
      <c r="AL179">
        <f>IF(AND(AJ179&lt;&gt;"",AK179&lt;&gt;""),ROUNDUP((AK179-AJ179)/7,0),"")</f>
        <v/>
      </c>
      <c r="AN179">
        <f>IFERROR(IF(AL179*AM179=0,"",AL179*AM179),"")</f>
        <v/>
      </c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L179">
        <f>IFERROR(INDEX('_names_lookup'!$C:$C,MATCH(BK179,'_names_lookup'!$A:$A,0)),"")</f>
        <v/>
      </c>
      <c r="BM179">
        <f>IFERROR(INDEX('_names_lookup'!$B:$B,MATCH(BK179,'_names_lookup'!$A:$A,0)),"")</f>
        <v/>
      </c>
      <c r="BS179">
        <f>IFERROR(IF(BR179*AA179=0,"",BR179*AA179),"")</f>
        <v/>
      </c>
    </row>
    <row r="180">
      <c r="O180">
        <f>IFERROR(INDEX('_courses_lookup'!$C:$C,MATCH(K180&amp;L180,'_courses_lookup'!$E:$E,0)),"")</f>
        <v/>
      </c>
      <c r="P180">
        <f>IFERROR(INDEX('_courses_lookup'!$D:$D,MATCH(K180&amp;L180,'_courses_lookup'!$E:$E,0)),"")</f>
        <v/>
      </c>
      <c r="AG180">
        <f>IF(AND(AE180&lt;&gt;"",AF180&lt;&gt;""),ROUNDUP((AF180-AE180)/7,0),"")</f>
        <v/>
      </c>
      <c r="AI180">
        <f>IFERROR(IF(AG180*AH180=0,"",AG180*AH180),"")</f>
        <v/>
      </c>
      <c r="AL180">
        <f>IF(AND(AJ180&lt;&gt;"",AK180&lt;&gt;""),ROUNDUP((AK180-AJ180)/7,0),"")</f>
        <v/>
      </c>
      <c r="AN180">
        <f>IFERROR(IF(AL180*AM180=0,"",AL180*AM180),"")</f>
        <v/>
      </c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L180">
        <f>IFERROR(INDEX('_names_lookup'!$C:$C,MATCH(BK180,'_names_lookup'!$A:$A,0)),"")</f>
        <v/>
      </c>
      <c r="BM180">
        <f>IFERROR(INDEX('_names_lookup'!$B:$B,MATCH(BK180,'_names_lookup'!$A:$A,0)),"")</f>
        <v/>
      </c>
      <c r="BS180">
        <f>IFERROR(IF(BR180*AA180=0,"",BR180*AA180),"")</f>
        <v/>
      </c>
    </row>
    <row r="181">
      <c r="O181">
        <f>IFERROR(INDEX('_courses_lookup'!$C:$C,MATCH(K181&amp;L181,'_courses_lookup'!$E:$E,0)),"")</f>
        <v/>
      </c>
      <c r="P181">
        <f>IFERROR(INDEX('_courses_lookup'!$D:$D,MATCH(K181&amp;L181,'_courses_lookup'!$E:$E,0)),"")</f>
        <v/>
      </c>
      <c r="AG181">
        <f>IF(AND(AE181&lt;&gt;"",AF181&lt;&gt;""),ROUNDUP((AF181-AE181)/7,0),"")</f>
        <v/>
      </c>
      <c r="AI181">
        <f>IFERROR(IF(AG181*AH181=0,"",AG181*AH181),"")</f>
        <v/>
      </c>
      <c r="AL181">
        <f>IF(AND(AJ181&lt;&gt;"",AK181&lt;&gt;""),ROUNDUP((AK181-AJ181)/7,0),"")</f>
        <v/>
      </c>
      <c r="AN181">
        <f>IFERROR(IF(AL181*AM181=0,"",AL181*AM181),"")</f>
        <v/>
      </c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L181">
        <f>IFERROR(INDEX('_names_lookup'!$C:$C,MATCH(BK181,'_names_lookup'!$A:$A,0)),"")</f>
        <v/>
      </c>
      <c r="BM181">
        <f>IFERROR(INDEX('_names_lookup'!$B:$B,MATCH(BK181,'_names_lookup'!$A:$A,0)),"")</f>
        <v/>
      </c>
      <c r="BS181">
        <f>IFERROR(IF(BR181*AA181=0,"",BR181*AA181),"")</f>
        <v/>
      </c>
    </row>
    <row r="182">
      <c r="O182">
        <f>IFERROR(INDEX('_courses_lookup'!$C:$C,MATCH(K182&amp;L182,'_courses_lookup'!$E:$E,0)),"")</f>
        <v/>
      </c>
      <c r="P182">
        <f>IFERROR(INDEX('_courses_lookup'!$D:$D,MATCH(K182&amp;L182,'_courses_lookup'!$E:$E,0)),"")</f>
        <v/>
      </c>
      <c r="AG182">
        <f>IF(AND(AE182&lt;&gt;"",AF182&lt;&gt;""),ROUNDUP((AF182-AE182)/7,0),"")</f>
        <v/>
      </c>
      <c r="AI182">
        <f>IFERROR(IF(AG182*AH182=0,"",AG182*AH182),"")</f>
        <v/>
      </c>
      <c r="AL182">
        <f>IF(AND(AJ182&lt;&gt;"",AK182&lt;&gt;""),ROUNDUP((AK182-AJ182)/7,0),"")</f>
        <v/>
      </c>
      <c r="AN182">
        <f>IFERROR(IF(AL182*AM182=0,"",AL182*AM182),"")</f>
        <v/>
      </c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L182">
        <f>IFERROR(INDEX('_names_lookup'!$C:$C,MATCH(BK182,'_names_lookup'!$A:$A,0)),"")</f>
        <v/>
      </c>
      <c r="BM182">
        <f>IFERROR(INDEX('_names_lookup'!$B:$B,MATCH(BK182,'_names_lookup'!$A:$A,0)),"")</f>
        <v/>
      </c>
      <c r="BS182">
        <f>IFERROR(IF(BR182*AA182=0,"",BR182*AA182),"")</f>
        <v/>
      </c>
    </row>
    <row r="183">
      <c r="O183">
        <f>IFERROR(INDEX('_courses_lookup'!$C:$C,MATCH(K183&amp;L183,'_courses_lookup'!$E:$E,0)),"")</f>
        <v/>
      </c>
      <c r="P183">
        <f>IFERROR(INDEX('_courses_lookup'!$D:$D,MATCH(K183&amp;L183,'_courses_lookup'!$E:$E,0)),"")</f>
        <v/>
      </c>
      <c r="AG183">
        <f>IF(AND(AE183&lt;&gt;"",AF183&lt;&gt;""),ROUNDUP((AF183-AE183)/7,0),"")</f>
        <v/>
      </c>
      <c r="AI183">
        <f>IFERROR(IF(AG183*AH183=0,"",AG183*AH183),"")</f>
        <v/>
      </c>
      <c r="AL183">
        <f>IF(AND(AJ183&lt;&gt;"",AK183&lt;&gt;""),ROUNDUP((AK183-AJ183)/7,0),"")</f>
        <v/>
      </c>
      <c r="AN183">
        <f>IFERROR(IF(AL183*AM183=0,"",AL183*AM183),"")</f>
        <v/>
      </c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L183">
        <f>IFERROR(INDEX('_names_lookup'!$C:$C,MATCH(BK183,'_names_lookup'!$A:$A,0)),"")</f>
        <v/>
      </c>
      <c r="BM183">
        <f>IFERROR(INDEX('_names_lookup'!$B:$B,MATCH(BK183,'_names_lookup'!$A:$A,0)),"")</f>
        <v/>
      </c>
      <c r="BS183">
        <f>IFERROR(IF(BR183*AA183=0,"",BR183*AA183),"")</f>
        <v/>
      </c>
    </row>
    <row r="184">
      <c r="O184">
        <f>IFERROR(INDEX('_courses_lookup'!$C:$C,MATCH(K184&amp;L184,'_courses_lookup'!$E:$E,0)),"")</f>
        <v/>
      </c>
      <c r="P184">
        <f>IFERROR(INDEX('_courses_lookup'!$D:$D,MATCH(K184&amp;L184,'_courses_lookup'!$E:$E,0)),"")</f>
        <v/>
      </c>
      <c r="AG184">
        <f>IF(AND(AE184&lt;&gt;"",AF184&lt;&gt;""),ROUNDUP((AF184-AE184)/7,0),"")</f>
        <v/>
      </c>
      <c r="AI184">
        <f>IFERROR(IF(AG184*AH184=0,"",AG184*AH184),"")</f>
        <v/>
      </c>
      <c r="AL184">
        <f>IF(AND(AJ184&lt;&gt;"",AK184&lt;&gt;""),ROUNDUP((AK184-AJ184)/7,0),"")</f>
        <v/>
      </c>
      <c r="AN184">
        <f>IFERROR(IF(AL184*AM184=0,"",AL184*AM184),"")</f>
        <v/>
      </c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L184">
        <f>IFERROR(INDEX('_names_lookup'!$C:$C,MATCH(BK184,'_names_lookup'!$A:$A,0)),"")</f>
        <v/>
      </c>
      <c r="BM184">
        <f>IFERROR(INDEX('_names_lookup'!$B:$B,MATCH(BK184,'_names_lookup'!$A:$A,0)),"")</f>
        <v/>
      </c>
      <c r="BS184">
        <f>IFERROR(IF(BR184*AA184=0,"",BR184*AA184),"")</f>
        <v/>
      </c>
    </row>
    <row r="185">
      <c r="O185">
        <f>IFERROR(INDEX('_courses_lookup'!$C:$C,MATCH(K185&amp;L185,'_courses_lookup'!$E:$E,0)),"")</f>
        <v/>
      </c>
      <c r="P185">
        <f>IFERROR(INDEX('_courses_lookup'!$D:$D,MATCH(K185&amp;L185,'_courses_lookup'!$E:$E,0)),"")</f>
        <v/>
      </c>
      <c r="AG185">
        <f>IF(AND(AE185&lt;&gt;"",AF185&lt;&gt;""),ROUNDUP((AF185-AE185)/7,0),"")</f>
        <v/>
      </c>
      <c r="AI185">
        <f>IFERROR(IF(AG185*AH185=0,"",AG185*AH185),"")</f>
        <v/>
      </c>
      <c r="AL185">
        <f>IF(AND(AJ185&lt;&gt;"",AK185&lt;&gt;""),ROUNDUP((AK185-AJ185)/7,0),"")</f>
        <v/>
      </c>
      <c r="AN185">
        <f>IFERROR(IF(AL185*AM185=0,"",AL185*AM185),"")</f>
        <v/>
      </c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L185">
        <f>IFERROR(INDEX('_names_lookup'!$C:$C,MATCH(BK185,'_names_lookup'!$A:$A,0)),"")</f>
        <v/>
      </c>
      <c r="BM185">
        <f>IFERROR(INDEX('_names_lookup'!$B:$B,MATCH(BK185,'_names_lookup'!$A:$A,0)),"")</f>
        <v/>
      </c>
      <c r="BS185">
        <f>IFERROR(IF(BR185*AA185=0,"",BR185*AA185),"")</f>
        <v/>
      </c>
    </row>
    <row r="186">
      <c r="O186">
        <f>IFERROR(INDEX('_courses_lookup'!$C:$C,MATCH(K186&amp;L186,'_courses_lookup'!$E:$E,0)),"")</f>
        <v/>
      </c>
      <c r="P186">
        <f>IFERROR(INDEX('_courses_lookup'!$D:$D,MATCH(K186&amp;L186,'_courses_lookup'!$E:$E,0)),"")</f>
        <v/>
      </c>
      <c r="AG186">
        <f>IF(AND(AE186&lt;&gt;"",AF186&lt;&gt;""),ROUNDUP((AF186-AE186)/7,0),"")</f>
        <v/>
      </c>
      <c r="AI186">
        <f>IFERROR(IF(AG186*AH186=0,"",AG186*AH186),"")</f>
        <v/>
      </c>
      <c r="AL186">
        <f>IF(AND(AJ186&lt;&gt;"",AK186&lt;&gt;""),ROUNDUP((AK186-AJ186)/7,0),"")</f>
        <v/>
      </c>
      <c r="AN186">
        <f>IFERROR(IF(AL186*AM186=0,"",AL186*AM186),"")</f>
        <v/>
      </c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L186">
        <f>IFERROR(INDEX('_names_lookup'!$C:$C,MATCH(BK186,'_names_lookup'!$A:$A,0)),"")</f>
        <v/>
      </c>
      <c r="BM186">
        <f>IFERROR(INDEX('_names_lookup'!$B:$B,MATCH(BK186,'_names_lookup'!$A:$A,0)),"")</f>
        <v/>
      </c>
      <c r="BS186">
        <f>IFERROR(IF(BR186*AA186=0,"",BR186*AA186),"")</f>
        <v/>
      </c>
    </row>
    <row r="187">
      <c r="O187">
        <f>IFERROR(INDEX('_courses_lookup'!$C:$C,MATCH(K187&amp;L187,'_courses_lookup'!$E:$E,0)),"")</f>
        <v/>
      </c>
      <c r="P187">
        <f>IFERROR(INDEX('_courses_lookup'!$D:$D,MATCH(K187&amp;L187,'_courses_lookup'!$E:$E,0)),"")</f>
        <v/>
      </c>
      <c r="AG187">
        <f>IF(AND(AE187&lt;&gt;"",AF187&lt;&gt;""),ROUNDUP((AF187-AE187)/7,0),"")</f>
        <v/>
      </c>
      <c r="AI187">
        <f>IFERROR(IF(AG187*AH187=0,"",AG187*AH187),"")</f>
        <v/>
      </c>
      <c r="AL187">
        <f>IF(AND(AJ187&lt;&gt;"",AK187&lt;&gt;""),ROUNDUP((AK187-AJ187)/7,0),"")</f>
        <v/>
      </c>
      <c r="AN187">
        <f>IFERROR(IF(AL187*AM187=0,"",AL187*AM187),"")</f>
        <v/>
      </c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L187">
        <f>IFERROR(INDEX('_names_lookup'!$C:$C,MATCH(BK187,'_names_lookup'!$A:$A,0)),"")</f>
        <v/>
      </c>
      <c r="BM187">
        <f>IFERROR(INDEX('_names_lookup'!$B:$B,MATCH(BK187,'_names_lookup'!$A:$A,0)),"")</f>
        <v/>
      </c>
      <c r="BS187">
        <f>IFERROR(IF(BR187*AA187=0,"",BR187*AA187),"")</f>
        <v/>
      </c>
    </row>
    <row r="188">
      <c r="O188">
        <f>IFERROR(INDEX('_courses_lookup'!$C:$C,MATCH(K188&amp;L188,'_courses_lookup'!$E:$E,0)),"")</f>
        <v/>
      </c>
      <c r="P188">
        <f>IFERROR(INDEX('_courses_lookup'!$D:$D,MATCH(K188&amp;L188,'_courses_lookup'!$E:$E,0)),"")</f>
        <v/>
      </c>
      <c r="AG188">
        <f>IF(AND(AE188&lt;&gt;"",AF188&lt;&gt;""),ROUNDUP((AF188-AE188)/7,0),"")</f>
        <v/>
      </c>
      <c r="AI188">
        <f>IFERROR(IF(AG188*AH188=0,"",AG188*AH188),"")</f>
        <v/>
      </c>
      <c r="AL188">
        <f>IF(AND(AJ188&lt;&gt;"",AK188&lt;&gt;""),ROUNDUP((AK188-AJ188)/7,0),"")</f>
        <v/>
      </c>
      <c r="AN188">
        <f>IFERROR(IF(AL188*AM188=0,"",AL188*AM188),"")</f>
        <v/>
      </c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L188">
        <f>IFERROR(INDEX('_names_lookup'!$C:$C,MATCH(BK188,'_names_lookup'!$A:$A,0)),"")</f>
        <v/>
      </c>
      <c r="BM188">
        <f>IFERROR(INDEX('_names_lookup'!$B:$B,MATCH(BK188,'_names_lookup'!$A:$A,0)),"")</f>
        <v/>
      </c>
      <c r="BS188">
        <f>IFERROR(IF(BR188*AA188=0,"",BR188*AA188),"")</f>
        <v/>
      </c>
    </row>
    <row r="189">
      <c r="O189">
        <f>IFERROR(INDEX('_courses_lookup'!$C:$C,MATCH(K189&amp;L189,'_courses_lookup'!$E:$E,0)),"")</f>
        <v/>
      </c>
      <c r="P189">
        <f>IFERROR(INDEX('_courses_lookup'!$D:$D,MATCH(K189&amp;L189,'_courses_lookup'!$E:$E,0)),"")</f>
        <v/>
      </c>
      <c r="AG189">
        <f>IF(AND(AE189&lt;&gt;"",AF189&lt;&gt;""),ROUNDUP((AF189-AE189)/7,0),"")</f>
        <v/>
      </c>
      <c r="AI189">
        <f>IFERROR(IF(AG189*AH189=0,"",AG189*AH189),"")</f>
        <v/>
      </c>
      <c r="AL189">
        <f>IF(AND(AJ189&lt;&gt;"",AK189&lt;&gt;""),ROUNDUP((AK189-AJ189)/7,0),"")</f>
        <v/>
      </c>
      <c r="AN189">
        <f>IFERROR(IF(AL189*AM189=0,"",AL189*AM189),"")</f>
        <v/>
      </c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L189">
        <f>IFERROR(INDEX('_names_lookup'!$C:$C,MATCH(BK189,'_names_lookup'!$A:$A,0)),"")</f>
        <v/>
      </c>
      <c r="BM189">
        <f>IFERROR(INDEX('_names_lookup'!$B:$B,MATCH(BK189,'_names_lookup'!$A:$A,0)),"")</f>
        <v/>
      </c>
      <c r="BS189">
        <f>IFERROR(IF(BR189*AA189=0,"",BR189*AA189),"")</f>
        <v/>
      </c>
    </row>
    <row r="190">
      <c r="O190">
        <f>IFERROR(INDEX('_courses_lookup'!$C:$C,MATCH(K190&amp;L190,'_courses_lookup'!$E:$E,0)),"")</f>
        <v/>
      </c>
      <c r="P190">
        <f>IFERROR(INDEX('_courses_lookup'!$D:$D,MATCH(K190&amp;L190,'_courses_lookup'!$E:$E,0)),"")</f>
        <v/>
      </c>
      <c r="AG190">
        <f>IF(AND(AE190&lt;&gt;"",AF190&lt;&gt;""),ROUNDUP((AF190-AE190)/7,0),"")</f>
        <v/>
      </c>
      <c r="AI190">
        <f>IFERROR(IF(AG190*AH190=0,"",AG190*AH190),"")</f>
        <v/>
      </c>
      <c r="AL190">
        <f>IF(AND(AJ190&lt;&gt;"",AK190&lt;&gt;""),ROUNDUP((AK190-AJ190)/7,0),"")</f>
        <v/>
      </c>
      <c r="AN190">
        <f>IFERROR(IF(AL190*AM190=0,"",AL190*AM190),"")</f>
        <v/>
      </c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L190">
        <f>IFERROR(INDEX('_names_lookup'!$C:$C,MATCH(BK190,'_names_lookup'!$A:$A,0)),"")</f>
        <v/>
      </c>
      <c r="BM190">
        <f>IFERROR(INDEX('_names_lookup'!$B:$B,MATCH(BK190,'_names_lookup'!$A:$A,0)),"")</f>
        <v/>
      </c>
      <c r="BS190">
        <f>IFERROR(IF(BR190*AA190=0,"",BR190*AA190),"")</f>
        <v/>
      </c>
    </row>
    <row r="191">
      <c r="O191">
        <f>IFERROR(INDEX('_courses_lookup'!$C:$C,MATCH(K191&amp;L191,'_courses_lookup'!$E:$E,0)),"")</f>
        <v/>
      </c>
      <c r="P191">
        <f>IFERROR(INDEX('_courses_lookup'!$D:$D,MATCH(K191&amp;L191,'_courses_lookup'!$E:$E,0)),"")</f>
        <v/>
      </c>
      <c r="AG191">
        <f>IF(AND(AE191&lt;&gt;"",AF191&lt;&gt;""),ROUNDUP((AF191-AE191)/7,0),"")</f>
        <v/>
      </c>
      <c r="AI191">
        <f>IFERROR(IF(AG191*AH191=0,"",AG191*AH191),"")</f>
        <v/>
      </c>
      <c r="AL191">
        <f>IF(AND(AJ191&lt;&gt;"",AK191&lt;&gt;""),ROUNDUP((AK191-AJ191)/7,0),"")</f>
        <v/>
      </c>
      <c r="AN191">
        <f>IFERROR(IF(AL191*AM191=0,"",AL191*AM191),"")</f>
        <v/>
      </c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L191">
        <f>IFERROR(INDEX('_names_lookup'!$C:$C,MATCH(BK191,'_names_lookup'!$A:$A,0)),"")</f>
        <v/>
      </c>
      <c r="BM191">
        <f>IFERROR(INDEX('_names_lookup'!$B:$B,MATCH(BK191,'_names_lookup'!$A:$A,0)),"")</f>
        <v/>
      </c>
      <c r="BS191">
        <f>IFERROR(IF(BR191*AA191=0,"",BR191*AA191),"")</f>
        <v/>
      </c>
    </row>
    <row r="192">
      <c r="O192">
        <f>IFERROR(INDEX('_courses_lookup'!$C:$C,MATCH(K192&amp;L192,'_courses_lookup'!$E:$E,0)),"")</f>
        <v/>
      </c>
      <c r="P192">
        <f>IFERROR(INDEX('_courses_lookup'!$D:$D,MATCH(K192&amp;L192,'_courses_lookup'!$E:$E,0)),"")</f>
        <v/>
      </c>
      <c r="AG192">
        <f>IF(AND(AE192&lt;&gt;"",AF192&lt;&gt;""),ROUNDUP((AF192-AE192)/7,0),"")</f>
        <v/>
      </c>
      <c r="AI192">
        <f>IFERROR(IF(AG192*AH192=0,"",AG192*AH192),"")</f>
        <v/>
      </c>
      <c r="AL192">
        <f>IF(AND(AJ192&lt;&gt;"",AK192&lt;&gt;""),ROUNDUP((AK192-AJ192)/7,0),"")</f>
        <v/>
      </c>
      <c r="AN192">
        <f>IFERROR(IF(AL192*AM192=0,"",AL192*AM192),"")</f>
        <v/>
      </c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L192">
        <f>IFERROR(INDEX('_names_lookup'!$C:$C,MATCH(BK192,'_names_lookup'!$A:$A,0)),"")</f>
        <v/>
      </c>
      <c r="BM192">
        <f>IFERROR(INDEX('_names_lookup'!$B:$B,MATCH(BK192,'_names_lookup'!$A:$A,0)),"")</f>
        <v/>
      </c>
      <c r="BS192">
        <f>IFERROR(IF(BR192*AA192=0,"",BR192*AA192),"")</f>
        <v/>
      </c>
    </row>
    <row r="193">
      <c r="O193">
        <f>IFERROR(INDEX('_courses_lookup'!$C:$C,MATCH(K193&amp;L193,'_courses_lookup'!$E:$E,0)),"")</f>
        <v/>
      </c>
      <c r="P193">
        <f>IFERROR(INDEX('_courses_lookup'!$D:$D,MATCH(K193&amp;L193,'_courses_lookup'!$E:$E,0)),"")</f>
        <v/>
      </c>
      <c r="AG193">
        <f>IF(AND(AE193&lt;&gt;"",AF193&lt;&gt;""),ROUNDUP((AF193-AE193)/7,0),"")</f>
        <v/>
      </c>
      <c r="AI193">
        <f>IFERROR(IF(AG193*AH193=0,"",AG193*AH193),"")</f>
        <v/>
      </c>
      <c r="AL193">
        <f>IF(AND(AJ193&lt;&gt;"",AK193&lt;&gt;""),ROUNDUP((AK193-AJ193)/7,0),"")</f>
        <v/>
      </c>
      <c r="AN193">
        <f>IFERROR(IF(AL193*AM193=0,"",AL193*AM193),"")</f>
        <v/>
      </c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L193">
        <f>IFERROR(INDEX('_names_lookup'!$C:$C,MATCH(BK193,'_names_lookup'!$A:$A,0)),"")</f>
        <v/>
      </c>
      <c r="BM193">
        <f>IFERROR(INDEX('_names_lookup'!$B:$B,MATCH(BK193,'_names_lookup'!$A:$A,0)),"")</f>
        <v/>
      </c>
      <c r="BS193">
        <f>IFERROR(IF(BR193*AA193=0,"",BR193*AA193),"")</f>
        <v/>
      </c>
    </row>
    <row r="194">
      <c r="O194">
        <f>IFERROR(INDEX('_courses_lookup'!$C:$C,MATCH(K194&amp;L194,'_courses_lookup'!$E:$E,0)),"")</f>
        <v/>
      </c>
      <c r="P194">
        <f>IFERROR(INDEX('_courses_lookup'!$D:$D,MATCH(K194&amp;L194,'_courses_lookup'!$E:$E,0)),"")</f>
        <v/>
      </c>
      <c r="AG194">
        <f>IF(AND(AE194&lt;&gt;"",AF194&lt;&gt;""),ROUNDUP((AF194-AE194)/7,0),"")</f>
        <v/>
      </c>
      <c r="AI194">
        <f>IFERROR(IF(AG194*AH194=0,"",AG194*AH194),"")</f>
        <v/>
      </c>
      <c r="AL194">
        <f>IF(AND(AJ194&lt;&gt;"",AK194&lt;&gt;""),ROUNDUP((AK194-AJ194)/7,0),"")</f>
        <v/>
      </c>
      <c r="AN194">
        <f>IFERROR(IF(AL194*AM194=0,"",AL194*AM194),"")</f>
        <v/>
      </c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L194">
        <f>IFERROR(INDEX('_names_lookup'!$C:$C,MATCH(BK194,'_names_lookup'!$A:$A,0)),"")</f>
        <v/>
      </c>
      <c r="BM194">
        <f>IFERROR(INDEX('_names_lookup'!$B:$B,MATCH(BK194,'_names_lookup'!$A:$A,0)),"")</f>
        <v/>
      </c>
      <c r="BS194">
        <f>IFERROR(IF(BR194*AA194=0,"",BR194*AA194),"")</f>
        <v/>
      </c>
    </row>
    <row r="195">
      <c r="O195">
        <f>IFERROR(INDEX('_courses_lookup'!$C:$C,MATCH(K195&amp;L195,'_courses_lookup'!$E:$E,0)),"")</f>
        <v/>
      </c>
      <c r="P195">
        <f>IFERROR(INDEX('_courses_lookup'!$D:$D,MATCH(K195&amp;L195,'_courses_lookup'!$E:$E,0)),"")</f>
        <v/>
      </c>
      <c r="AG195">
        <f>IF(AND(AE195&lt;&gt;"",AF195&lt;&gt;""),ROUNDUP((AF195-AE195)/7,0),"")</f>
        <v/>
      </c>
      <c r="AI195">
        <f>IFERROR(IF(AG195*AH195=0,"",AG195*AH195),"")</f>
        <v/>
      </c>
      <c r="AL195">
        <f>IF(AND(AJ195&lt;&gt;"",AK195&lt;&gt;""),ROUNDUP((AK195-AJ195)/7,0),"")</f>
        <v/>
      </c>
      <c r="AN195">
        <f>IFERROR(IF(AL195*AM195=0,"",AL195*AM195),"")</f>
        <v/>
      </c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L195">
        <f>IFERROR(INDEX('_names_lookup'!$C:$C,MATCH(BK195,'_names_lookup'!$A:$A,0)),"")</f>
        <v/>
      </c>
      <c r="BM195">
        <f>IFERROR(INDEX('_names_lookup'!$B:$B,MATCH(BK195,'_names_lookup'!$A:$A,0)),"")</f>
        <v/>
      </c>
      <c r="BS195">
        <f>IFERROR(IF(BR195*AA195=0,"",BR195*AA195),"")</f>
        <v/>
      </c>
    </row>
    <row r="196">
      <c r="O196">
        <f>IFERROR(INDEX('_courses_lookup'!$C:$C,MATCH(K196&amp;L196,'_courses_lookup'!$E:$E,0)),"")</f>
        <v/>
      </c>
      <c r="P196">
        <f>IFERROR(INDEX('_courses_lookup'!$D:$D,MATCH(K196&amp;L196,'_courses_lookup'!$E:$E,0)),"")</f>
        <v/>
      </c>
      <c r="AG196">
        <f>IF(AND(AE196&lt;&gt;"",AF196&lt;&gt;""),ROUNDUP((AF196-AE196)/7,0),"")</f>
        <v/>
      </c>
      <c r="AI196">
        <f>IFERROR(IF(AG196*AH196=0,"",AG196*AH196),"")</f>
        <v/>
      </c>
      <c r="AL196">
        <f>IF(AND(AJ196&lt;&gt;"",AK196&lt;&gt;""),ROUNDUP((AK196-AJ196)/7,0),"")</f>
        <v/>
      </c>
      <c r="AN196">
        <f>IFERROR(IF(AL196*AM196=0,"",AL196*AM196),"")</f>
        <v/>
      </c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L196">
        <f>IFERROR(INDEX('_names_lookup'!$C:$C,MATCH(BK196,'_names_lookup'!$A:$A,0)),"")</f>
        <v/>
      </c>
      <c r="BM196">
        <f>IFERROR(INDEX('_names_lookup'!$B:$B,MATCH(BK196,'_names_lookup'!$A:$A,0)),"")</f>
        <v/>
      </c>
      <c r="BS196">
        <f>IFERROR(IF(BR196*AA196=0,"",BR196*AA196),"")</f>
        <v/>
      </c>
    </row>
    <row r="197">
      <c r="O197">
        <f>IFERROR(INDEX('_courses_lookup'!$C:$C,MATCH(K197&amp;L197,'_courses_lookup'!$E:$E,0)),"")</f>
        <v/>
      </c>
      <c r="P197">
        <f>IFERROR(INDEX('_courses_lookup'!$D:$D,MATCH(K197&amp;L197,'_courses_lookup'!$E:$E,0)),"")</f>
        <v/>
      </c>
      <c r="AG197">
        <f>IF(AND(AE197&lt;&gt;"",AF197&lt;&gt;""),ROUNDUP((AF197-AE197)/7,0),"")</f>
        <v/>
      </c>
      <c r="AI197">
        <f>IFERROR(IF(AG197*AH197=0,"",AG197*AH197),"")</f>
        <v/>
      </c>
      <c r="AL197">
        <f>IF(AND(AJ197&lt;&gt;"",AK197&lt;&gt;""),ROUNDUP((AK197-AJ197)/7,0),"")</f>
        <v/>
      </c>
      <c r="AN197">
        <f>IFERROR(IF(AL197*AM197=0,"",AL197*AM197),"")</f>
        <v/>
      </c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L197">
        <f>IFERROR(INDEX('_names_lookup'!$C:$C,MATCH(BK197,'_names_lookup'!$A:$A,0)),"")</f>
        <v/>
      </c>
      <c r="BM197">
        <f>IFERROR(INDEX('_names_lookup'!$B:$B,MATCH(BK197,'_names_lookup'!$A:$A,0)),"")</f>
        <v/>
      </c>
      <c r="BS197">
        <f>IFERROR(IF(BR197*AA197=0,"",BR197*AA197),"")</f>
        <v/>
      </c>
    </row>
    <row r="198">
      <c r="O198">
        <f>IFERROR(INDEX('_courses_lookup'!$C:$C,MATCH(K198&amp;L198,'_courses_lookup'!$E:$E,0)),"")</f>
        <v/>
      </c>
      <c r="P198">
        <f>IFERROR(INDEX('_courses_lookup'!$D:$D,MATCH(K198&amp;L198,'_courses_lookup'!$E:$E,0)),"")</f>
        <v/>
      </c>
      <c r="AG198">
        <f>IF(AND(AE198&lt;&gt;"",AF198&lt;&gt;""),ROUNDUP((AF198-AE198)/7,0),"")</f>
        <v/>
      </c>
      <c r="AI198">
        <f>IFERROR(IF(AG198*AH198=0,"",AG198*AH198),"")</f>
        <v/>
      </c>
      <c r="AL198">
        <f>IF(AND(AJ198&lt;&gt;"",AK198&lt;&gt;""),ROUNDUP((AK198-AJ198)/7,0),"")</f>
        <v/>
      </c>
      <c r="AN198">
        <f>IFERROR(IF(AL198*AM198=0,"",AL198*AM198),"")</f>
        <v/>
      </c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L198">
        <f>IFERROR(INDEX('_names_lookup'!$C:$C,MATCH(BK198,'_names_lookup'!$A:$A,0)),"")</f>
        <v/>
      </c>
      <c r="BM198">
        <f>IFERROR(INDEX('_names_lookup'!$B:$B,MATCH(BK198,'_names_lookup'!$A:$A,0)),"")</f>
        <v/>
      </c>
      <c r="BS198">
        <f>IFERROR(IF(BR198*AA198=0,"",BR198*AA198),"")</f>
        <v/>
      </c>
    </row>
    <row r="199">
      <c r="O199">
        <f>IFERROR(INDEX('_courses_lookup'!$C:$C,MATCH(K199&amp;L199,'_courses_lookup'!$E:$E,0)),"")</f>
        <v/>
      </c>
      <c r="P199">
        <f>IFERROR(INDEX('_courses_lookup'!$D:$D,MATCH(K199&amp;L199,'_courses_lookup'!$E:$E,0)),"")</f>
        <v/>
      </c>
      <c r="AG199">
        <f>IF(AND(AE199&lt;&gt;"",AF199&lt;&gt;""),ROUNDUP((AF199-AE199)/7,0),"")</f>
        <v/>
      </c>
      <c r="AI199">
        <f>IFERROR(IF(AG199*AH199=0,"",AG199*AH199),"")</f>
        <v/>
      </c>
      <c r="AL199">
        <f>IF(AND(AJ199&lt;&gt;"",AK199&lt;&gt;""),ROUNDUP((AK199-AJ199)/7,0),"")</f>
        <v/>
      </c>
      <c r="AN199">
        <f>IFERROR(IF(AL199*AM199=0,"",AL199*AM199),"")</f>
        <v/>
      </c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L199">
        <f>IFERROR(INDEX('_names_lookup'!$C:$C,MATCH(BK199,'_names_lookup'!$A:$A,0)),"")</f>
        <v/>
      </c>
      <c r="BM199">
        <f>IFERROR(INDEX('_names_lookup'!$B:$B,MATCH(BK199,'_names_lookup'!$A:$A,0)),"")</f>
        <v/>
      </c>
      <c r="BS199">
        <f>IFERROR(IF(BR199*AA199=0,"",BR199*AA199),"")</f>
        <v/>
      </c>
    </row>
    <row r="200">
      <c r="O200">
        <f>IFERROR(INDEX('_courses_lookup'!$C:$C,MATCH(K200&amp;L200,'_courses_lookup'!$E:$E,0)),"")</f>
        <v/>
      </c>
      <c r="P200">
        <f>IFERROR(INDEX('_courses_lookup'!$D:$D,MATCH(K200&amp;L200,'_courses_lookup'!$E:$E,0)),"")</f>
        <v/>
      </c>
      <c r="AG200">
        <f>IF(AND(AE200&lt;&gt;"",AF200&lt;&gt;""),ROUNDUP((AF200-AE200)/7,0),"")</f>
        <v/>
      </c>
      <c r="AI200">
        <f>IFERROR(IF(AG200*AH200=0,"",AG200*AH200),"")</f>
        <v/>
      </c>
      <c r="AL200">
        <f>IF(AND(AJ200&lt;&gt;"",AK200&lt;&gt;""),ROUNDUP((AK200-AJ200)/7,0),"")</f>
        <v/>
      </c>
      <c r="AN200">
        <f>IFERROR(IF(AL200*AM200=0,"",AL200*AM200),"")</f>
        <v/>
      </c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L200">
        <f>IFERROR(INDEX('_names_lookup'!$C:$C,MATCH(BK200,'_names_lookup'!$A:$A,0)),"")</f>
        <v/>
      </c>
      <c r="BM200">
        <f>IFERROR(INDEX('_names_lookup'!$B:$B,MATCH(BK200,'_names_lookup'!$A:$A,0)),"")</f>
        <v/>
      </c>
      <c r="BS200">
        <f>IFERROR(IF(BR200*AA200=0,"",BR200*AA200),"")</f>
        <v/>
      </c>
    </row>
    <row r="201">
      <c r="O201">
        <f>IFERROR(INDEX('_courses_lookup'!$C:$C,MATCH(K201&amp;L201,'_courses_lookup'!$E:$E,0)),"")</f>
        <v/>
      </c>
      <c r="P201">
        <f>IFERROR(INDEX('_courses_lookup'!$D:$D,MATCH(K201&amp;L201,'_courses_lookup'!$E:$E,0)),"")</f>
        <v/>
      </c>
      <c r="AG201">
        <f>IF(AND(AE201&lt;&gt;"",AF201&lt;&gt;""),ROUNDUP((AF201-AE201)/7,0),"")</f>
        <v/>
      </c>
      <c r="AI201">
        <f>IFERROR(IF(AG201*AH201=0,"",AG201*AH201),"")</f>
        <v/>
      </c>
      <c r="AL201">
        <f>IF(AND(AJ201&lt;&gt;"",AK201&lt;&gt;""),ROUNDUP((AK201-AJ201)/7,0),"")</f>
        <v/>
      </c>
      <c r="AN201">
        <f>IFERROR(IF(AL201*AM201=0,"",AL201*AM201),"")</f>
        <v/>
      </c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L201">
        <f>IFERROR(INDEX('_names_lookup'!$C:$C,MATCH(BK201,'_names_lookup'!$A:$A,0)),"")</f>
        <v/>
      </c>
      <c r="BM201">
        <f>IFERROR(INDEX('_names_lookup'!$B:$B,MATCH(BK201,'_names_lookup'!$A:$A,0)),"")</f>
        <v/>
      </c>
      <c r="BS201">
        <f>IFERROR(IF(BR201*AA201=0,"",BR201*AA201),"")</f>
        <v/>
      </c>
    </row>
    <row r="202">
      <c r="O202">
        <f>IFERROR(INDEX('_courses_lookup'!$C:$C,MATCH(K202&amp;L202,'_courses_lookup'!$E:$E,0)),"")</f>
        <v/>
      </c>
      <c r="P202">
        <f>IFERROR(INDEX('_courses_lookup'!$D:$D,MATCH(K202&amp;L202,'_courses_lookup'!$E:$E,0)),"")</f>
        <v/>
      </c>
      <c r="AG202">
        <f>IF(AND(AE202&lt;&gt;"",AF202&lt;&gt;""),ROUNDUP((AF202-AE202)/7,0),"")</f>
        <v/>
      </c>
      <c r="AI202">
        <f>IFERROR(IF(AG202*AH202=0,"",AG202*AH202),"")</f>
        <v/>
      </c>
      <c r="AL202">
        <f>IF(AND(AJ202&lt;&gt;"",AK202&lt;&gt;""),ROUNDUP((AK202-AJ202)/7,0),"")</f>
        <v/>
      </c>
      <c r="AN202">
        <f>IFERROR(IF(AL202*AM202=0,"",AL202*AM202),"")</f>
        <v/>
      </c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L202">
        <f>IFERROR(INDEX('_names_lookup'!$C:$C,MATCH(BK202,'_names_lookup'!$A:$A,0)),"")</f>
        <v/>
      </c>
      <c r="BM202">
        <f>IFERROR(INDEX('_names_lookup'!$B:$B,MATCH(BK202,'_names_lookup'!$A:$A,0)),"")</f>
        <v/>
      </c>
      <c r="BS202">
        <f>IFERROR(IF(BR202*AA202=0,"",BR202*AA202),"")</f>
        <v/>
      </c>
    </row>
    <row r="203">
      <c r="O203">
        <f>IFERROR(INDEX('_courses_lookup'!$C:$C,MATCH(K203&amp;L203,'_courses_lookup'!$E:$E,0)),"")</f>
        <v/>
      </c>
      <c r="P203">
        <f>IFERROR(INDEX('_courses_lookup'!$D:$D,MATCH(K203&amp;L203,'_courses_lookup'!$E:$E,0)),"")</f>
        <v/>
      </c>
      <c r="AG203">
        <f>IF(AND(AE203&lt;&gt;"",AF203&lt;&gt;""),ROUNDUP((AF203-AE203)/7,0),"")</f>
        <v/>
      </c>
      <c r="AI203">
        <f>IFERROR(IF(AG203*AH203=0,"",AG203*AH203),"")</f>
        <v/>
      </c>
      <c r="AL203">
        <f>IF(AND(AJ203&lt;&gt;"",AK203&lt;&gt;""),ROUNDUP((AK203-AJ203)/7,0),"")</f>
        <v/>
      </c>
      <c r="AN203">
        <f>IFERROR(IF(AL203*AM203=0,"",AL203*AM203),"")</f>
        <v/>
      </c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L203">
        <f>IFERROR(INDEX('_names_lookup'!$C:$C,MATCH(BK203,'_names_lookup'!$A:$A,0)),"")</f>
        <v/>
      </c>
      <c r="BM203">
        <f>IFERROR(INDEX('_names_lookup'!$B:$B,MATCH(BK203,'_names_lookup'!$A:$A,0)),"")</f>
        <v/>
      </c>
      <c r="BS203">
        <f>IFERROR(IF(BR203*AA203=0,"",BR203*AA203),"")</f>
        <v/>
      </c>
    </row>
    <row r="204">
      <c r="O204">
        <f>IFERROR(INDEX('_courses_lookup'!$C:$C,MATCH(K204&amp;L204,'_courses_lookup'!$E:$E,0)),"")</f>
        <v/>
      </c>
      <c r="P204">
        <f>IFERROR(INDEX('_courses_lookup'!$D:$D,MATCH(K204&amp;L204,'_courses_lookup'!$E:$E,0)),"")</f>
        <v/>
      </c>
      <c r="AG204">
        <f>IF(AND(AE204&lt;&gt;"",AF204&lt;&gt;""),ROUNDUP((AF204-AE204)/7,0),"")</f>
        <v/>
      </c>
      <c r="AI204">
        <f>IFERROR(IF(AG204*AH204=0,"",AG204*AH204),"")</f>
        <v/>
      </c>
      <c r="AL204">
        <f>IF(AND(AJ204&lt;&gt;"",AK204&lt;&gt;""),ROUNDUP((AK204-AJ204)/7,0),"")</f>
        <v/>
      </c>
      <c r="AN204">
        <f>IFERROR(IF(AL204*AM204=0,"",AL204*AM204),"")</f>
        <v/>
      </c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L204">
        <f>IFERROR(INDEX('_names_lookup'!$C:$C,MATCH(BK204,'_names_lookup'!$A:$A,0)),"")</f>
        <v/>
      </c>
      <c r="BM204">
        <f>IFERROR(INDEX('_names_lookup'!$B:$B,MATCH(BK204,'_names_lookup'!$A:$A,0)),"")</f>
        <v/>
      </c>
      <c r="BS204">
        <f>IFERROR(IF(BR204*AA204=0,"",BR204*AA204),"")</f>
        <v/>
      </c>
    </row>
    <row r="205">
      <c r="O205">
        <f>IFERROR(INDEX('_courses_lookup'!$C:$C,MATCH(K205&amp;L205,'_courses_lookup'!$E:$E,0)),"")</f>
        <v/>
      </c>
      <c r="P205">
        <f>IFERROR(INDEX('_courses_lookup'!$D:$D,MATCH(K205&amp;L205,'_courses_lookup'!$E:$E,0)),"")</f>
        <v/>
      </c>
      <c r="AG205">
        <f>IF(AND(AE205&lt;&gt;"",AF205&lt;&gt;""),ROUNDUP((AF205-AE205)/7,0),"")</f>
        <v/>
      </c>
      <c r="AI205">
        <f>IFERROR(IF(AG205*AH205=0,"",AG205*AH205),"")</f>
        <v/>
      </c>
      <c r="AL205">
        <f>IF(AND(AJ205&lt;&gt;"",AK205&lt;&gt;""),ROUNDUP((AK205-AJ205)/7,0),"")</f>
        <v/>
      </c>
      <c r="AN205">
        <f>IFERROR(IF(AL205*AM205=0,"",AL205*AM205),"")</f>
        <v/>
      </c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L205">
        <f>IFERROR(INDEX('_names_lookup'!$C:$C,MATCH(BK205,'_names_lookup'!$A:$A,0)),"")</f>
        <v/>
      </c>
      <c r="BM205">
        <f>IFERROR(INDEX('_names_lookup'!$B:$B,MATCH(BK205,'_names_lookup'!$A:$A,0)),"")</f>
        <v/>
      </c>
      <c r="BS205">
        <f>IFERROR(IF(BR205*AA205=0,"",BR205*AA205),"")</f>
        <v/>
      </c>
    </row>
    <row r="206">
      <c r="O206">
        <f>IFERROR(INDEX('_courses_lookup'!$C:$C,MATCH(K206&amp;L206,'_courses_lookup'!$E:$E,0)),"")</f>
        <v/>
      </c>
      <c r="P206">
        <f>IFERROR(INDEX('_courses_lookup'!$D:$D,MATCH(K206&amp;L206,'_courses_lookup'!$E:$E,0)),"")</f>
        <v/>
      </c>
      <c r="AG206">
        <f>IF(AND(AE206&lt;&gt;"",AF206&lt;&gt;""),ROUNDUP((AF206-AE206)/7,0),"")</f>
        <v/>
      </c>
      <c r="AI206">
        <f>IFERROR(IF(AG206*AH206=0,"",AG206*AH206),"")</f>
        <v/>
      </c>
      <c r="AL206">
        <f>IF(AND(AJ206&lt;&gt;"",AK206&lt;&gt;""),ROUNDUP((AK206-AJ206)/7,0),"")</f>
        <v/>
      </c>
      <c r="AN206">
        <f>IFERROR(IF(AL206*AM206=0,"",AL206*AM206),"")</f>
        <v/>
      </c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L206">
        <f>IFERROR(INDEX('_names_lookup'!$C:$C,MATCH(BK206,'_names_lookup'!$A:$A,0)),"")</f>
        <v/>
      </c>
      <c r="BM206">
        <f>IFERROR(INDEX('_names_lookup'!$B:$B,MATCH(BK206,'_names_lookup'!$A:$A,0)),"")</f>
        <v/>
      </c>
      <c r="BS206">
        <f>IFERROR(IF(BR206*AA206=0,"",BR206*AA206),"")</f>
        <v/>
      </c>
    </row>
    <row r="207">
      <c r="O207">
        <f>IFERROR(INDEX('_courses_lookup'!$C:$C,MATCH(K207&amp;L207,'_courses_lookup'!$E:$E,0)),"")</f>
        <v/>
      </c>
      <c r="P207">
        <f>IFERROR(INDEX('_courses_lookup'!$D:$D,MATCH(K207&amp;L207,'_courses_lookup'!$E:$E,0)),"")</f>
        <v/>
      </c>
      <c r="AG207">
        <f>IF(AND(AE207&lt;&gt;"",AF207&lt;&gt;""),ROUNDUP((AF207-AE207)/7,0),"")</f>
        <v/>
      </c>
      <c r="AI207">
        <f>IFERROR(IF(AG207*AH207=0,"",AG207*AH207),"")</f>
        <v/>
      </c>
      <c r="AL207">
        <f>IF(AND(AJ207&lt;&gt;"",AK207&lt;&gt;""),ROUNDUP((AK207-AJ207)/7,0),"")</f>
        <v/>
      </c>
      <c r="AN207">
        <f>IFERROR(IF(AL207*AM207=0,"",AL207*AM207),"")</f>
        <v/>
      </c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L207">
        <f>IFERROR(INDEX('_names_lookup'!$C:$C,MATCH(BK207,'_names_lookup'!$A:$A,0)),"")</f>
        <v/>
      </c>
      <c r="BM207">
        <f>IFERROR(INDEX('_names_lookup'!$B:$B,MATCH(BK207,'_names_lookup'!$A:$A,0)),"")</f>
        <v/>
      </c>
      <c r="BS207">
        <f>IFERROR(IF(BR207*AA207=0,"",BR207*AA207),"")</f>
        <v/>
      </c>
    </row>
    <row r="208">
      <c r="O208">
        <f>IFERROR(INDEX('_courses_lookup'!$C:$C,MATCH(K208&amp;L208,'_courses_lookup'!$E:$E,0)),"")</f>
        <v/>
      </c>
      <c r="P208">
        <f>IFERROR(INDEX('_courses_lookup'!$D:$D,MATCH(K208&amp;L208,'_courses_lookup'!$E:$E,0)),"")</f>
        <v/>
      </c>
      <c r="AG208">
        <f>IF(AND(AE208&lt;&gt;"",AF208&lt;&gt;""),ROUNDUP((AF208-AE208)/7,0),"")</f>
        <v/>
      </c>
      <c r="AI208">
        <f>IFERROR(IF(AG208*AH208=0,"",AG208*AH208),"")</f>
        <v/>
      </c>
      <c r="AL208">
        <f>IF(AND(AJ208&lt;&gt;"",AK208&lt;&gt;""),ROUNDUP((AK208-AJ208)/7,0),"")</f>
        <v/>
      </c>
      <c r="AN208">
        <f>IFERROR(IF(AL208*AM208=0,"",AL208*AM208),"")</f>
        <v/>
      </c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L208">
        <f>IFERROR(INDEX('_names_lookup'!$C:$C,MATCH(BK208,'_names_lookup'!$A:$A,0)),"")</f>
        <v/>
      </c>
      <c r="BM208">
        <f>IFERROR(INDEX('_names_lookup'!$B:$B,MATCH(BK208,'_names_lookup'!$A:$A,0)),"")</f>
        <v/>
      </c>
      <c r="BS208">
        <f>IFERROR(IF(BR208*AA208=0,"",BR208*AA208),"")</f>
        <v/>
      </c>
    </row>
    <row r="209">
      <c r="O209">
        <f>IFERROR(INDEX('_courses_lookup'!$C:$C,MATCH(K209&amp;L209,'_courses_lookup'!$E:$E,0)),"")</f>
        <v/>
      </c>
      <c r="P209">
        <f>IFERROR(INDEX('_courses_lookup'!$D:$D,MATCH(K209&amp;L209,'_courses_lookup'!$E:$E,0)),"")</f>
        <v/>
      </c>
      <c r="AG209">
        <f>IF(AND(AE209&lt;&gt;"",AF209&lt;&gt;""),ROUNDUP((AF209-AE209)/7,0),"")</f>
        <v/>
      </c>
      <c r="AI209">
        <f>IFERROR(IF(AG209*AH209=0,"",AG209*AH209),"")</f>
        <v/>
      </c>
      <c r="AL209">
        <f>IF(AND(AJ209&lt;&gt;"",AK209&lt;&gt;""),ROUNDUP((AK209-AJ209)/7,0),"")</f>
        <v/>
      </c>
      <c r="AN209">
        <f>IFERROR(IF(AL209*AM209=0,"",AL209*AM209),"")</f>
        <v/>
      </c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L209">
        <f>IFERROR(INDEX('_names_lookup'!$C:$C,MATCH(BK209,'_names_lookup'!$A:$A,0)),"")</f>
        <v/>
      </c>
      <c r="BM209">
        <f>IFERROR(INDEX('_names_lookup'!$B:$B,MATCH(BK209,'_names_lookup'!$A:$A,0)),"")</f>
        <v/>
      </c>
      <c r="BS209">
        <f>IFERROR(IF(BR209*AA209=0,"",BR209*AA209),"")</f>
        <v/>
      </c>
    </row>
    <row r="210">
      <c r="O210">
        <f>IFERROR(INDEX('_courses_lookup'!$C:$C,MATCH(K210&amp;L210,'_courses_lookup'!$E:$E,0)),"")</f>
        <v/>
      </c>
      <c r="P210">
        <f>IFERROR(INDEX('_courses_lookup'!$D:$D,MATCH(K210&amp;L210,'_courses_lookup'!$E:$E,0)),"")</f>
        <v/>
      </c>
      <c r="AG210">
        <f>IF(AND(AE210&lt;&gt;"",AF210&lt;&gt;""),ROUNDUP((AF210-AE210)/7,0),"")</f>
        <v/>
      </c>
      <c r="AI210">
        <f>IFERROR(IF(AG210*AH210=0,"",AG210*AH210),"")</f>
        <v/>
      </c>
      <c r="AL210">
        <f>IF(AND(AJ210&lt;&gt;"",AK210&lt;&gt;""),ROUNDUP((AK210-AJ210)/7,0),"")</f>
        <v/>
      </c>
      <c r="AN210">
        <f>IFERROR(IF(AL210*AM210=0,"",AL210*AM210),"")</f>
        <v/>
      </c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L210">
        <f>IFERROR(INDEX('_names_lookup'!$C:$C,MATCH(BK210,'_names_lookup'!$A:$A,0)),"")</f>
        <v/>
      </c>
      <c r="BM210">
        <f>IFERROR(INDEX('_names_lookup'!$B:$B,MATCH(BK210,'_names_lookup'!$A:$A,0)),"")</f>
        <v/>
      </c>
      <c r="BS210">
        <f>IFERROR(IF(BR210*AA210=0,"",BR210*AA210),"")</f>
        <v/>
      </c>
    </row>
    <row r="211">
      <c r="O211">
        <f>IFERROR(INDEX('_courses_lookup'!$C:$C,MATCH(K211&amp;L211,'_courses_lookup'!$E:$E,0)),"")</f>
        <v/>
      </c>
      <c r="P211">
        <f>IFERROR(INDEX('_courses_lookup'!$D:$D,MATCH(K211&amp;L211,'_courses_lookup'!$E:$E,0)),"")</f>
        <v/>
      </c>
      <c r="AG211">
        <f>IF(AND(AE211&lt;&gt;"",AF211&lt;&gt;""),ROUNDUP((AF211-AE211)/7,0),"")</f>
        <v/>
      </c>
      <c r="AI211">
        <f>IFERROR(IF(AG211*AH211=0,"",AG211*AH211),"")</f>
        <v/>
      </c>
      <c r="AL211">
        <f>IF(AND(AJ211&lt;&gt;"",AK211&lt;&gt;""),ROUNDUP((AK211-AJ211)/7,0),"")</f>
        <v/>
      </c>
      <c r="AN211">
        <f>IFERROR(IF(AL211*AM211=0,"",AL211*AM211),"")</f>
        <v/>
      </c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L211">
        <f>IFERROR(INDEX('_names_lookup'!$C:$C,MATCH(BK211,'_names_lookup'!$A:$A,0)),"")</f>
        <v/>
      </c>
      <c r="BM211">
        <f>IFERROR(INDEX('_names_lookup'!$B:$B,MATCH(BK211,'_names_lookup'!$A:$A,0)),"")</f>
        <v/>
      </c>
      <c r="BS211">
        <f>IFERROR(IF(BR211*AA211=0,"",BR211*AA211),"")</f>
        <v/>
      </c>
    </row>
    <row r="212">
      <c r="O212">
        <f>IFERROR(INDEX('_courses_lookup'!$C:$C,MATCH(K212&amp;L212,'_courses_lookup'!$E:$E,0)),"")</f>
        <v/>
      </c>
      <c r="P212">
        <f>IFERROR(INDEX('_courses_lookup'!$D:$D,MATCH(K212&amp;L212,'_courses_lookup'!$E:$E,0)),"")</f>
        <v/>
      </c>
      <c r="AG212">
        <f>IF(AND(AE212&lt;&gt;"",AF212&lt;&gt;""),ROUNDUP((AF212-AE212)/7,0),"")</f>
        <v/>
      </c>
      <c r="AI212">
        <f>IFERROR(IF(AG212*AH212=0,"",AG212*AH212),"")</f>
        <v/>
      </c>
      <c r="AL212">
        <f>IF(AND(AJ212&lt;&gt;"",AK212&lt;&gt;""),ROUNDUP((AK212-AJ212)/7,0),"")</f>
        <v/>
      </c>
      <c r="AN212">
        <f>IFERROR(IF(AL212*AM212=0,"",AL212*AM212),"")</f>
        <v/>
      </c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L212">
        <f>IFERROR(INDEX('_names_lookup'!$C:$C,MATCH(BK212,'_names_lookup'!$A:$A,0)),"")</f>
        <v/>
      </c>
      <c r="BM212">
        <f>IFERROR(INDEX('_names_lookup'!$B:$B,MATCH(BK212,'_names_lookup'!$A:$A,0)),"")</f>
        <v/>
      </c>
      <c r="BS212">
        <f>IFERROR(IF(BR212*AA212=0,"",BR212*AA212),"")</f>
        <v/>
      </c>
    </row>
    <row r="213">
      <c r="O213">
        <f>IFERROR(INDEX('_courses_lookup'!$C:$C,MATCH(K213&amp;L213,'_courses_lookup'!$E:$E,0)),"")</f>
        <v/>
      </c>
      <c r="P213">
        <f>IFERROR(INDEX('_courses_lookup'!$D:$D,MATCH(K213&amp;L213,'_courses_lookup'!$E:$E,0)),"")</f>
        <v/>
      </c>
      <c r="AG213">
        <f>IF(AND(AE213&lt;&gt;"",AF213&lt;&gt;""),ROUNDUP((AF213-AE213)/7,0),"")</f>
        <v/>
      </c>
      <c r="AI213">
        <f>IFERROR(IF(AG213*AH213=0,"",AG213*AH213),"")</f>
        <v/>
      </c>
      <c r="AL213">
        <f>IF(AND(AJ213&lt;&gt;"",AK213&lt;&gt;""),ROUNDUP((AK213-AJ213)/7,0),"")</f>
        <v/>
      </c>
      <c r="AN213">
        <f>IFERROR(IF(AL213*AM213=0,"",AL213*AM213),"")</f>
        <v/>
      </c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L213">
        <f>IFERROR(INDEX('_names_lookup'!$C:$C,MATCH(BK213,'_names_lookup'!$A:$A,0)),"")</f>
        <v/>
      </c>
      <c r="BM213">
        <f>IFERROR(INDEX('_names_lookup'!$B:$B,MATCH(BK213,'_names_lookup'!$A:$A,0)),"")</f>
        <v/>
      </c>
      <c r="BS213">
        <f>IFERROR(IF(BR213*AA213=0,"",BR213*AA213),"")</f>
        <v/>
      </c>
    </row>
    <row r="214">
      <c r="O214">
        <f>IFERROR(INDEX('_courses_lookup'!$C:$C,MATCH(K214&amp;L214,'_courses_lookup'!$E:$E,0)),"")</f>
        <v/>
      </c>
      <c r="P214">
        <f>IFERROR(INDEX('_courses_lookup'!$D:$D,MATCH(K214&amp;L214,'_courses_lookup'!$E:$E,0)),"")</f>
        <v/>
      </c>
      <c r="AG214">
        <f>IF(AND(AE214&lt;&gt;"",AF214&lt;&gt;""),ROUNDUP((AF214-AE214)/7,0),"")</f>
        <v/>
      </c>
      <c r="AI214">
        <f>IFERROR(IF(AG214*AH214=0,"",AG214*AH214),"")</f>
        <v/>
      </c>
      <c r="AL214">
        <f>IF(AND(AJ214&lt;&gt;"",AK214&lt;&gt;""),ROUNDUP((AK214-AJ214)/7,0),"")</f>
        <v/>
      </c>
      <c r="AN214">
        <f>IFERROR(IF(AL214*AM214=0,"",AL214*AM214),"")</f>
        <v/>
      </c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L214">
        <f>IFERROR(INDEX('_names_lookup'!$C:$C,MATCH(BK214,'_names_lookup'!$A:$A,0)),"")</f>
        <v/>
      </c>
      <c r="BM214">
        <f>IFERROR(INDEX('_names_lookup'!$B:$B,MATCH(BK214,'_names_lookup'!$A:$A,0)),"")</f>
        <v/>
      </c>
      <c r="BS214">
        <f>IFERROR(IF(BR214*AA214=0,"",BR214*AA214),"")</f>
        <v/>
      </c>
    </row>
    <row r="215">
      <c r="O215">
        <f>IFERROR(INDEX('_courses_lookup'!$C:$C,MATCH(K215&amp;L215,'_courses_lookup'!$E:$E,0)),"")</f>
        <v/>
      </c>
      <c r="P215">
        <f>IFERROR(INDEX('_courses_lookup'!$D:$D,MATCH(K215&amp;L215,'_courses_lookup'!$E:$E,0)),"")</f>
        <v/>
      </c>
      <c r="AG215">
        <f>IF(AND(AE215&lt;&gt;"",AF215&lt;&gt;""),ROUNDUP((AF215-AE215)/7,0),"")</f>
        <v/>
      </c>
      <c r="AI215">
        <f>IFERROR(IF(AG215*AH215=0,"",AG215*AH215),"")</f>
        <v/>
      </c>
      <c r="AL215">
        <f>IF(AND(AJ215&lt;&gt;"",AK215&lt;&gt;""),ROUNDUP((AK215-AJ215)/7,0),"")</f>
        <v/>
      </c>
      <c r="AN215">
        <f>IFERROR(IF(AL215*AM215=0,"",AL215*AM215),"")</f>
        <v/>
      </c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L215">
        <f>IFERROR(INDEX('_names_lookup'!$C:$C,MATCH(BK215,'_names_lookup'!$A:$A,0)),"")</f>
        <v/>
      </c>
      <c r="BM215">
        <f>IFERROR(INDEX('_names_lookup'!$B:$B,MATCH(BK215,'_names_lookup'!$A:$A,0)),"")</f>
        <v/>
      </c>
      <c r="BS215">
        <f>IFERROR(IF(BR215*AA215=0,"",BR215*AA215),"")</f>
        <v/>
      </c>
    </row>
    <row r="216">
      <c r="O216">
        <f>IFERROR(INDEX('_courses_lookup'!$C:$C,MATCH(K216&amp;L216,'_courses_lookup'!$E:$E,0)),"")</f>
        <v/>
      </c>
      <c r="P216">
        <f>IFERROR(INDEX('_courses_lookup'!$D:$D,MATCH(K216&amp;L216,'_courses_lookup'!$E:$E,0)),"")</f>
        <v/>
      </c>
      <c r="AG216">
        <f>IF(AND(AE216&lt;&gt;"",AF216&lt;&gt;""),ROUNDUP((AF216-AE216)/7,0),"")</f>
        <v/>
      </c>
      <c r="AI216">
        <f>IFERROR(IF(AG216*AH216=0,"",AG216*AH216),"")</f>
        <v/>
      </c>
      <c r="AL216">
        <f>IF(AND(AJ216&lt;&gt;"",AK216&lt;&gt;""),ROUNDUP((AK216-AJ216)/7,0),"")</f>
        <v/>
      </c>
      <c r="AN216">
        <f>IFERROR(IF(AL216*AM216=0,"",AL216*AM216),"")</f>
        <v/>
      </c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L216">
        <f>IFERROR(INDEX('_names_lookup'!$C:$C,MATCH(BK216,'_names_lookup'!$A:$A,0)),"")</f>
        <v/>
      </c>
      <c r="BM216">
        <f>IFERROR(INDEX('_names_lookup'!$B:$B,MATCH(BK216,'_names_lookup'!$A:$A,0)),"")</f>
        <v/>
      </c>
      <c r="BS216">
        <f>IFERROR(IF(BR216*AA216=0,"",BR216*AA216),"")</f>
        <v/>
      </c>
    </row>
    <row r="217">
      <c r="O217">
        <f>IFERROR(INDEX('_courses_lookup'!$C:$C,MATCH(K217&amp;L217,'_courses_lookup'!$E:$E,0)),"")</f>
        <v/>
      </c>
      <c r="P217">
        <f>IFERROR(INDEX('_courses_lookup'!$D:$D,MATCH(K217&amp;L217,'_courses_lookup'!$E:$E,0)),"")</f>
        <v/>
      </c>
      <c r="AG217">
        <f>IF(AND(AE217&lt;&gt;"",AF217&lt;&gt;""),ROUNDUP((AF217-AE217)/7,0),"")</f>
        <v/>
      </c>
      <c r="AI217">
        <f>IFERROR(IF(AG217*AH217=0,"",AG217*AH217),"")</f>
        <v/>
      </c>
      <c r="AL217">
        <f>IF(AND(AJ217&lt;&gt;"",AK217&lt;&gt;""),ROUNDUP((AK217-AJ217)/7,0),"")</f>
        <v/>
      </c>
      <c r="AN217">
        <f>IFERROR(IF(AL217*AM217=0,"",AL217*AM217),"")</f>
        <v/>
      </c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L217">
        <f>IFERROR(INDEX('_names_lookup'!$C:$C,MATCH(BK217,'_names_lookup'!$A:$A,0)),"")</f>
        <v/>
      </c>
      <c r="BM217">
        <f>IFERROR(INDEX('_names_lookup'!$B:$B,MATCH(BK217,'_names_lookup'!$A:$A,0)),"")</f>
        <v/>
      </c>
      <c r="BS217">
        <f>IFERROR(IF(BR217*AA217=0,"",BR217*AA217),"")</f>
        <v/>
      </c>
    </row>
    <row r="218">
      <c r="O218">
        <f>IFERROR(INDEX('_courses_lookup'!$C:$C,MATCH(K218&amp;L218,'_courses_lookup'!$E:$E,0)),"")</f>
        <v/>
      </c>
      <c r="P218">
        <f>IFERROR(INDEX('_courses_lookup'!$D:$D,MATCH(K218&amp;L218,'_courses_lookup'!$E:$E,0)),"")</f>
        <v/>
      </c>
      <c r="AG218">
        <f>IF(AND(AE218&lt;&gt;"",AF218&lt;&gt;""),ROUNDUP((AF218-AE218)/7,0),"")</f>
        <v/>
      </c>
      <c r="AI218">
        <f>IFERROR(IF(AG218*AH218=0,"",AG218*AH218),"")</f>
        <v/>
      </c>
      <c r="AL218">
        <f>IF(AND(AJ218&lt;&gt;"",AK218&lt;&gt;""),ROUNDUP((AK218-AJ218)/7,0),"")</f>
        <v/>
      </c>
      <c r="AN218">
        <f>IFERROR(IF(AL218*AM218=0,"",AL218*AM218),"")</f>
        <v/>
      </c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L218">
        <f>IFERROR(INDEX('_names_lookup'!$C:$C,MATCH(BK218,'_names_lookup'!$A:$A,0)),"")</f>
        <v/>
      </c>
      <c r="BM218">
        <f>IFERROR(INDEX('_names_lookup'!$B:$B,MATCH(BK218,'_names_lookup'!$A:$A,0)),"")</f>
        <v/>
      </c>
      <c r="BS218">
        <f>IFERROR(IF(BR218*AA218=0,"",BR218*AA218),"")</f>
        <v/>
      </c>
    </row>
    <row r="219">
      <c r="O219">
        <f>IFERROR(INDEX('_courses_lookup'!$C:$C,MATCH(K219&amp;L219,'_courses_lookup'!$E:$E,0)),"")</f>
        <v/>
      </c>
      <c r="P219">
        <f>IFERROR(INDEX('_courses_lookup'!$D:$D,MATCH(K219&amp;L219,'_courses_lookup'!$E:$E,0)),"")</f>
        <v/>
      </c>
      <c r="AG219">
        <f>IF(AND(AE219&lt;&gt;"",AF219&lt;&gt;""),ROUNDUP((AF219-AE219)/7,0),"")</f>
        <v/>
      </c>
      <c r="AI219">
        <f>IFERROR(IF(AG219*AH219=0,"",AG219*AH219),"")</f>
        <v/>
      </c>
      <c r="AL219">
        <f>IF(AND(AJ219&lt;&gt;"",AK219&lt;&gt;""),ROUNDUP((AK219-AJ219)/7,0),"")</f>
        <v/>
      </c>
      <c r="AN219">
        <f>IFERROR(IF(AL219*AM219=0,"",AL219*AM219),"")</f>
        <v/>
      </c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L219">
        <f>IFERROR(INDEX('_names_lookup'!$C:$C,MATCH(BK219,'_names_lookup'!$A:$A,0)),"")</f>
        <v/>
      </c>
      <c r="BM219">
        <f>IFERROR(INDEX('_names_lookup'!$B:$B,MATCH(BK219,'_names_lookup'!$A:$A,0)),"")</f>
        <v/>
      </c>
      <c r="BS219">
        <f>IFERROR(IF(BR219*AA219=0,"",BR219*AA219),"")</f>
        <v/>
      </c>
    </row>
    <row r="220">
      <c r="O220">
        <f>IFERROR(INDEX('_courses_lookup'!$C:$C,MATCH(K220&amp;L220,'_courses_lookup'!$E:$E,0)),"")</f>
        <v/>
      </c>
      <c r="P220">
        <f>IFERROR(INDEX('_courses_lookup'!$D:$D,MATCH(K220&amp;L220,'_courses_lookup'!$E:$E,0)),"")</f>
        <v/>
      </c>
      <c r="AG220">
        <f>IF(AND(AE220&lt;&gt;"",AF220&lt;&gt;""),ROUNDUP((AF220-AE220)/7,0),"")</f>
        <v/>
      </c>
      <c r="AI220">
        <f>IFERROR(IF(AG220*AH220=0,"",AG220*AH220),"")</f>
        <v/>
      </c>
      <c r="AL220">
        <f>IF(AND(AJ220&lt;&gt;"",AK220&lt;&gt;""),ROUNDUP((AK220-AJ220)/7,0),"")</f>
        <v/>
      </c>
      <c r="AN220">
        <f>IFERROR(IF(AL220*AM220=0,"",AL220*AM220),"")</f>
        <v/>
      </c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L220">
        <f>IFERROR(INDEX('_names_lookup'!$C:$C,MATCH(BK220,'_names_lookup'!$A:$A,0)),"")</f>
        <v/>
      </c>
      <c r="BM220">
        <f>IFERROR(INDEX('_names_lookup'!$B:$B,MATCH(BK220,'_names_lookup'!$A:$A,0)),"")</f>
        <v/>
      </c>
      <c r="BS220">
        <f>IFERROR(IF(BR220*AA220=0,"",BR220*AA220),"")</f>
        <v/>
      </c>
    </row>
    <row r="221">
      <c r="O221">
        <f>IFERROR(INDEX('_courses_lookup'!$C:$C,MATCH(K221&amp;L221,'_courses_lookup'!$E:$E,0)),"")</f>
        <v/>
      </c>
      <c r="P221">
        <f>IFERROR(INDEX('_courses_lookup'!$D:$D,MATCH(K221&amp;L221,'_courses_lookup'!$E:$E,0)),"")</f>
        <v/>
      </c>
      <c r="AG221">
        <f>IF(AND(AE221&lt;&gt;"",AF221&lt;&gt;""),ROUNDUP((AF221-AE221)/7,0),"")</f>
        <v/>
      </c>
      <c r="AI221">
        <f>IFERROR(IF(AG221*AH221=0,"",AG221*AH221),"")</f>
        <v/>
      </c>
      <c r="AL221">
        <f>IF(AND(AJ221&lt;&gt;"",AK221&lt;&gt;""),ROUNDUP((AK221-AJ221)/7,0),"")</f>
        <v/>
      </c>
      <c r="AN221">
        <f>IFERROR(IF(AL221*AM221=0,"",AL221*AM221),"")</f>
        <v/>
      </c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L221">
        <f>IFERROR(INDEX('_names_lookup'!$C:$C,MATCH(BK221,'_names_lookup'!$A:$A,0)),"")</f>
        <v/>
      </c>
      <c r="BM221">
        <f>IFERROR(INDEX('_names_lookup'!$B:$B,MATCH(BK221,'_names_lookup'!$A:$A,0)),"")</f>
        <v/>
      </c>
      <c r="BS221">
        <f>IFERROR(IF(BR221*AA221=0,"",BR221*AA221),"")</f>
        <v/>
      </c>
    </row>
    <row r="222">
      <c r="O222">
        <f>IFERROR(INDEX('_courses_lookup'!$C:$C,MATCH(K222&amp;L222,'_courses_lookup'!$E:$E,0)),"")</f>
        <v/>
      </c>
      <c r="P222">
        <f>IFERROR(INDEX('_courses_lookup'!$D:$D,MATCH(K222&amp;L222,'_courses_lookup'!$E:$E,0)),"")</f>
        <v/>
      </c>
      <c r="AG222">
        <f>IF(AND(AE222&lt;&gt;"",AF222&lt;&gt;""),ROUNDUP((AF222-AE222)/7,0),"")</f>
        <v/>
      </c>
      <c r="AI222">
        <f>IFERROR(IF(AG222*AH222=0,"",AG222*AH222),"")</f>
        <v/>
      </c>
      <c r="AL222">
        <f>IF(AND(AJ222&lt;&gt;"",AK222&lt;&gt;""),ROUNDUP((AK222-AJ222)/7,0),"")</f>
        <v/>
      </c>
      <c r="AN222">
        <f>IFERROR(IF(AL222*AM222=0,"",AL222*AM222),"")</f>
        <v/>
      </c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L222">
        <f>IFERROR(INDEX('_names_lookup'!$C:$C,MATCH(BK222,'_names_lookup'!$A:$A,0)),"")</f>
        <v/>
      </c>
      <c r="BM222">
        <f>IFERROR(INDEX('_names_lookup'!$B:$B,MATCH(BK222,'_names_lookup'!$A:$A,0)),"")</f>
        <v/>
      </c>
      <c r="BS222">
        <f>IFERROR(IF(BR222*AA222=0,"",BR222*AA222),"")</f>
        <v/>
      </c>
    </row>
    <row r="223">
      <c r="O223">
        <f>IFERROR(INDEX('_courses_lookup'!$C:$C,MATCH(K223&amp;L223,'_courses_lookup'!$E:$E,0)),"")</f>
        <v/>
      </c>
      <c r="P223">
        <f>IFERROR(INDEX('_courses_lookup'!$D:$D,MATCH(K223&amp;L223,'_courses_lookup'!$E:$E,0)),"")</f>
        <v/>
      </c>
      <c r="AG223">
        <f>IF(AND(AE223&lt;&gt;"",AF223&lt;&gt;""),ROUNDUP((AF223-AE223)/7,0),"")</f>
        <v/>
      </c>
      <c r="AI223">
        <f>IFERROR(IF(AG223*AH223=0,"",AG223*AH223),"")</f>
        <v/>
      </c>
      <c r="AL223">
        <f>IF(AND(AJ223&lt;&gt;"",AK223&lt;&gt;""),ROUNDUP((AK223-AJ223)/7,0),"")</f>
        <v/>
      </c>
      <c r="AN223">
        <f>IFERROR(IF(AL223*AM223=0,"",AL223*AM223),"")</f>
        <v/>
      </c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L223">
        <f>IFERROR(INDEX('_names_lookup'!$C:$C,MATCH(BK223,'_names_lookup'!$A:$A,0)),"")</f>
        <v/>
      </c>
      <c r="BM223">
        <f>IFERROR(INDEX('_names_lookup'!$B:$B,MATCH(BK223,'_names_lookup'!$A:$A,0)),"")</f>
        <v/>
      </c>
      <c r="BS223">
        <f>IFERROR(IF(BR223*AA223=0,"",BR223*AA223),"")</f>
        <v/>
      </c>
    </row>
    <row r="224">
      <c r="O224">
        <f>IFERROR(INDEX('_courses_lookup'!$C:$C,MATCH(K224&amp;L224,'_courses_lookup'!$E:$E,0)),"")</f>
        <v/>
      </c>
      <c r="P224">
        <f>IFERROR(INDEX('_courses_lookup'!$D:$D,MATCH(K224&amp;L224,'_courses_lookup'!$E:$E,0)),"")</f>
        <v/>
      </c>
      <c r="AG224">
        <f>IF(AND(AE224&lt;&gt;"",AF224&lt;&gt;""),ROUNDUP((AF224-AE224)/7,0),"")</f>
        <v/>
      </c>
      <c r="AI224">
        <f>IFERROR(IF(AG224*AH224=0,"",AG224*AH224),"")</f>
        <v/>
      </c>
      <c r="AL224">
        <f>IF(AND(AJ224&lt;&gt;"",AK224&lt;&gt;""),ROUNDUP((AK224-AJ224)/7,0),"")</f>
        <v/>
      </c>
      <c r="AN224">
        <f>IFERROR(IF(AL224*AM224=0,"",AL224*AM224),"")</f>
        <v/>
      </c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L224">
        <f>IFERROR(INDEX('_names_lookup'!$C:$C,MATCH(BK224,'_names_lookup'!$A:$A,0)),"")</f>
        <v/>
      </c>
      <c r="BM224">
        <f>IFERROR(INDEX('_names_lookup'!$B:$B,MATCH(BK224,'_names_lookup'!$A:$A,0)),"")</f>
        <v/>
      </c>
      <c r="BS224">
        <f>IFERROR(IF(BR224*AA224=0,"",BR224*AA224),"")</f>
        <v/>
      </c>
    </row>
    <row r="225">
      <c r="O225">
        <f>IFERROR(INDEX('_courses_lookup'!$C:$C,MATCH(K225&amp;L225,'_courses_lookup'!$E:$E,0)),"")</f>
        <v/>
      </c>
      <c r="P225">
        <f>IFERROR(INDEX('_courses_lookup'!$D:$D,MATCH(K225&amp;L225,'_courses_lookup'!$E:$E,0)),"")</f>
        <v/>
      </c>
      <c r="AG225">
        <f>IF(AND(AE225&lt;&gt;"",AF225&lt;&gt;""),ROUNDUP((AF225-AE225)/7,0),"")</f>
        <v/>
      </c>
      <c r="AI225">
        <f>IFERROR(IF(AG225*AH225=0,"",AG225*AH225),"")</f>
        <v/>
      </c>
      <c r="AL225">
        <f>IF(AND(AJ225&lt;&gt;"",AK225&lt;&gt;""),ROUNDUP((AK225-AJ225)/7,0),"")</f>
        <v/>
      </c>
      <c r="AN225">
        <f>IFERROR(IF(AL225*AM225=0,"",AL225*AM225),"")</f>
        <v/>
      </c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L225">
        <f>IFERROR(INDEX('_names_lookup'!$C:$C,MATCH(BK225,'_names_lookup'!$A:$A,0)),"")</f>
        <v/>
      </c>
      <c r="BM225">
        <f>IFERROR(INDEX('_names_lookup'!$B:$B,MATCH(BK225,'_names_lookup'!$A:$A,0)),"")</f>
        <v/>
      </c>
      <c r="BS225">
        <f>IFERROR(IF(BR225*AA225=0,"",BR225*AA225),"")</f>
        <v/>
      </c>
    </row>
    <row r="226">
      <c r="O226">
        <f>IFERROR(INDEX('_courses_lookup'!$C:$C,MATCH(K226&amp;L226,'_courses_lookup'!$E:$E,0)),"")</f>
        <v/>
      </c>
      <c r="P226">
        <f>IFERROR(INDEX('_courses_lookup'!$D:$D,MATCH(K226&amp;L226,'_courses_lookup'!$E:$E,0)),"")</f>
        <v/>
      </c>
      <c r="AG226">
        <f>IF(AND(AE226&lt;&gt;"",AF226&lt;&gt;""),ROUNDUP((AF226-AE226)/7,0),"")</f>
        <v/>
      </c>
      <c r="AI226">
        <f>IFERROR(IF(AG226*AH226=0,"",AG226*AH226),"")</f>
        <v/>
      </c>
      <c r="AL226">
        <f>IF(AND(AJ226&lt;&gt;"",AK226&lt;&gt;""),ROUNDUP((AK226-AJ226)/7,0),"")</f>
        <v/>
      </c>
      <c r="AN226">
        <f>IFERROR(IF(AL226*AM226=0,"",AL226*AM226),"")</f>
        <v/>
      </c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L226">
        <f>IFERROR(INDEX('_names_lookup'!$C:$C,MATCH(BK226,'_names_lookup'!$A:$A,0)),"")</f>
        <v/>
      </c>
      <c r="BM226">
        <f>IFERROR(INDEX('_names_lookup'!$B:$B,MATCH(BK226,'_names_lookup'!$A:$A,0)),"")</f>
        <v/>
      </c>
      <c r="BS226">
        <f>IFERROR(IF(BR226*AA226=0,"",BR226*AA226),"")</f>
        <v/>
      </c>
    </row>
    <row r="227">
      <c r="O227">
        <f>IFERROR(INDEX('_courses_lookup'!$C:$C,MATCH(K227&amp;L227,'_courses_lookup'!$E:$E,0)),"")</f>
        <v/>
      </c>
      <c r="P227">
        <f>IFERROR(INDEX('_courses_lookup'!$D:$D,MATCH(K227&amp;L227,'_courses_lookup'!$E:$E,0)),"")</f>
        <v/>
      </c>
      <c r="AG227">
        <f>IF(AND(AE227&lt;&gt;"",AF227&lt;&gt;""),ROUNDUP((AF227-AE227)/7,0),"")</f>
        <v/>
      </c>
      <c r="AI227">
        <f>IFERROR(IF(AG227*AH227=0,"",AG227*AH227),"")</f>
        <v/>
      </c>
      <c r="AL227">
        <f>IF(AND(AJ227&lt;&gt;"",AK227&lt;&gt;""),ROUNDUP((AK227-AJ227)/7,0),"")</f>
        <v/>
      </c>
      <c r="AN227">
        <f>IFERROR(IF(AL227*AM227=0,"",AL227*AM227),"")</f>
        <v/>
      </c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L227">
        <f>IFERROR(INDEX('_names_lookup'!$C:$C,MATCH(BK227,'_names_lookup'!$A:$A,0)),"")</f>
        <v/>
      </c>
      <c r="BM227">
        <f>IFERROR(INDEX('_names_lookup'!$B:$B,MATCH(BK227,'_names_lookup'!$A:$A,0)),"")</f>
        <v/>
      </c>
      <c r="BS227">
        <f>IFERROR(IF(BR227*AA227=0,"",BR227*AA227),"")</f>
        <v/>
      </c>
    </row>
    <row r="228">
      <c r="O228">
        <f>IFERROR(INDEX('_courses_lookup'!$C:$C,MATCH(K228&amp;L228,'_courses_lookup'!$E:$E,0)),"")</f>
        <v/>
      </c>
      <c r="P228">
        <f>IFERROR(INDEX('_courses_lookup'!$D:$D,MATCH(K228&amp;L228,'_courses_lookup'!$E:$E,0)),"")</f>
        <v/>
      </c>
      <c r="AG228">
        <f>IF(AND(AE228&lt;&gt;"",AF228&lt;&gt;""),ROUNDUP((AF228-AE228)/7,0),"")</f>
        <v/>
      </c>
      <c r="AI228">
        <f>IFERROR(IF(AG228*AH228=0,"",AG228*AH228),"")</f>
        <v/>
      </c>
      <c r="AL228">
        <f>IF(AND(AJ228&lt;&gt;"",AK228&lt;&gt;""),ROUNDUP((AK228-AJ228)/7,0),"")</f>
        <v/>
      </c>
      <c r="AN228">
        <f>IFERROR(IF(AL228*AM228=0,"",AL228*AM228),"")</f>
        <v/>
      </c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L228">
        <f>IFERROR(INDEX('_names_lookup'!$C:$C,MATCH(BK228,'_names_lookup'!$A:$A,0)),"")</f>
        <v/>
      </c>
      <c r="BM228">
        <f>IFERROR(INDEX('_names_lookup'!$B:$B,MATCH(BK228,'_names_lookup'!$A:$A,0)),"")</f>
        <v/>
      </c>
      <c r="BS228">
        <f>IFERROR(IF(BR228*AA228=0,"",BR228*AA228),"")</f>
        <v/>
      </c>
    </row>
    <row r="229">
      <c r="O229">
        <f>IFERROR(INDEX('_courses_lookup'!$C:$C,MATCH(K229&amp;L229,'_courses_lookup'!$E:$E,0)),"")</f>
        <v/>
      </c>
      <c r="P229">
        <f>IFERROR(INDEX('_courses_lookup'!$D:$D,MATCH(K229&amp;L229,'_courses_lookup'!$E:$E,0)),"")</f>
        <v/>
      </c>
      <c r="AG229">
        <f>IF(AND(AE229&lt;&gt;"",AF229&lt;&gt;""),ROUNDUP((AF229-AE229)/7,0),"")</f>
        <v/>
      </c>
      <c r="AI229">
        <f>IFERROR(IF(AG229*AH229=0,"",AG229*AH229),"")</f>
        <v/>
      </c>
      <c r="AL229">
        <f>IF(AND(AJ229&lt;&gt;"",AK229&lt;&gt;""),ROUNDUP((AK229-AJ229)/7,0),"")</f>
        <v/>
      </c>
      <c r="AN229">
        <f>IFERROR(IF(AL229*AM229=0,"",AL229*AM229),"")</f>
        <v/>
      </c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L229">
        <f>IFERROR(INDEX('_names_lookup'!$C:$C,MATCH(BK229,'_names_lookup'!$A:$A,0)),"")</f>
        <v/>
      </c>
      <c r="BM229">
        <f>IFERROR(INDEX('_names_lookup'!$B:$B,MATCH(BK229,'_names_lookup'!$A:$A,0)),"")</f>
        <v/>
      </c>
      <c r="BS229">
        <f>IFERROR(IF(BR229*AA229=0,"",BR229*AA229),"")</f>
        <v/>
      </c>
    </row>
    <row r="230">
      <c r="O230">
        <f>IFERROR(INDEX('_courses_lookup'!$C:$C,MATCH(K230&amp;L230,'_courses_lookup'!$E:$E,0)),"")</f>
        <v/>
      </c>
      <c r="P230">
        <f>IFERROR(INDEX('_courses_lookup'!$D:$D,MATCH(K230&amp;L230,'_courses_lookup'!$E:$E,0)),"")</f>
        <v/>
      </c>
      <c r="AG230">
        <f>IF(AND(AE230&lt;&gt;"",AF230&lt;&gt;""),ROUNDUP((AF230-AE230)/7,0),"")</f>
        <v/>
      </c>
      <c r="AI230">
        <f>IFERROR(IF(AG230*AH230=0,"",AG230*AH230),"")</f>
        <v/>
      </c>
      <c r="AL230">
        <f>IF(AND(AJ230&lt;&gt;"",AK230&lt;&gt;""),ROUNDUP((AK230-AJ230)/7,0),"")</f>
        <v/>
      </c>
      <c r="AN230">
        <f>IFERROR(IF(AL230*AM230=0,"",AL230*AM230),"")</f>
        <v/>
      </c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L230">
        <f>IFERROR(INDEX('_names_lookup'!$C:$C,MATCH(BK230,'_names_lookup'!$A:$A,0)),"")</f>
        <v/>
      </c>
      <c r="BM230">
        <f>IFERROR(INDEX('_names_lookup'!$B:$B,MATCH(BK230,'_names_lookup'!$A:$A,0)),"")</f>
        <v/>
      </c>
      <c r="BS230">
        <f>IFERROR(IF(BR230*AA230=0,"",BR230*AA230),"")</f>
        <v/>
      </c>
    </row>
    <row r="231">
      <c r="O231">
        <f>IFERROR(INDEX('_courses_lookup'!$C:$C,MATCH(K231&amp;L231,'_courses_lookup'!$E:$E,0)),"")</f>
        <v/>
      </c>
      <c r="P231">
        <f>IFERROR(INDEX('_courses_lookup'!$D:$D,MATCH(K231&amp;L231,'_courses_lookup'!$E:$E,0)),"")</f>
        <v/>
      </c>
      <c r="AG231">
        <f>IF(AND(AE231&lt;&gt;"",AF231&lt;&gt;""),ROUNDUP((AF231-AE231)/7,0),"")</f>
        <v/>
      </c>
      <c r="AI231">
        <f>IFERROR(IF(AG231*AH231=0,"",AG231*AH231),"")</f>
        <v/>
      </c>
      <c r="AL231">
        <f>IF(AND(AJ231&lt;&gt;"",AK231&lt;&gt;""),ROUNDUP((AK231-AJ231)/7,0),"")</f>
        <v/>
      </c>
      <c r="AN231">
        <f>IFERROR(IF(AL231*AM231=0,"",AL231*AM231),"")</f>
        <v/>
      </c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L231">
        <f>IFERROR(INDEX('_names_lookup'!$C:$C,MATCH(BK231,'_names_lookup'!$A:$A,0)),"")</f>
        <v/>
      </c>
      <c r="BM231">
        <f>IFERROR(INDEX('_names_lookup'!$B:$B,MATCH(BK231,'_names_lookup'!$A:$A,0)),"")</f>
        <v/>
      </c>
      <c r="BS231">
        <f>IFERROR(IF(BR231*AA231=0,"",BR231*AA231),"")</f>
        <v/>
      </c>
    </row>
    <row r="232">
      <c r="O232">
        <f>IFERROR(INDEX('_courses_lookup'!$C:$C,MATCH(K232&amp;L232,'_courses_lookup'!$E:$E,0)),"")</f>
        <v/>
      </c>
      <c r="P232">
        <f>IFERROR(INDEX('_courses_lookup'!$D:$D,MATCH(K232&amp;L232,'_courses_lookup'!$E:$E,0)),"")</f>
        <v/>
      </c>
      <c r="AG232">
        <f>IF(AND(AE232&lt;&gt;"",AF232&lt;&gt;""),ROUNDUP((AF232-AE232)/7,0),"")</f>
        <v/>
      </c>
      <c r="AI232">
        <f>IFERROR(IF(AG232*AH232=0,"",AG232*AH232),"")</f>
        <v/>
      </c>
      <c r="AL232">
        <f>IF(AND(AJ232&lt;&gt;"",AK232&lt;&gt;""),ROUNDUP((AK232-AJ232)/7,0),"")</f>
        <v/>
      </c>
      <c r="AN232">
        <f>IFERROR(IF(AL232*AM232=0,"",AL232*AM232),"")</f>
        <v/>
      </c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L232">
        <f>IFERROR(INDEX('_names_lookup'!$C:$C,MATCH(BK232,'_names_lookup'!$A:$A,0)),"")</f>
        <v/>
      </c>
      <c r="BM232">
        <f>IFERROR(INDEX('_names_lookup'!$B:$B,MATCH(BK232,'_names_lookup'!$A:$A,0)),"")</f>
        <v/>
      </c>
      <c r="BS232">
        <f>IFERROR(IF(BR232*AA232=0,"",BR232*AA232),"")</f>
        <v/>
      </c>
    </row>
    <row r="233">
      <c r="O233">
        <f>IFERROR(INDEX('_courses_lookup'!$C:$C,MATCH(K233&amp;L233,'_courses_lookup'!$E:$E,0)),"")</f>
        <v/>
      </c>
      <c r="P233">
        <f>IFERROR(INDEX('_courses_lookup'!$D:$D,MATCH(K233&amp;L233,'_courses_lookup'!$E:$E,0)),"")</f>
        <v/>
      </c>
      <c r="AG233">
        <f>IF(AND(AE233&lt;&gt;"",AF233&lt;&gt;""),ROUNDUP((AF233-AE233)/7,0),"")</f>
        <v/>
      </c>
      <c r="AI233">
        <f>IFERROR(IF(AG233*AH233=0,"",AG233*AH233),"")</f>
        <v/>
      </c>
      <c r="AL233">
        <f>IF(AND(AJ233&lt;&gt;"",AK233&lt;&gt;""),ROUNDUP((AK233-AJ233)/7,0),"")</f>
        <v/>
      </c>
      <c r="AN233">
        <f>IFERROR(IF(AL233*AM233=0,"",AL233*AM233),"")</f>
        <v/>
      </c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L233">
        <f>IFERROR(INDEX('_names_lookup'!$C:$C,MATCH(BK233,'_names_lookup'!$A:$A,0)),"")</f>
        <v/>
      </c>
      <c r="BM233">
        <f>IFERROR(INDEX('_names_lookup'!$B:$B,MATCH(BK233,'_names_lookup'!$A:$A,0)),"")</f>
        <v/>
      </c>
      <c r="BS233">
        <f>IFERROR(IF(BR233*AA233=0,"",BR233*AA233),"")</f>
        <v/>
      </c>
    </row>
    <row r="234">
      <c r="O234">
        <f>IFERROR(INDEX('_courses_lookup'!$C:$C,MATCH(K234&amp;L234,'_courses_lookup'!$E:$E,0)),"")</f>
        <v/>
      </c>
      <c r="P234">
        <f>IFERROR(INDEX('_courses_lookup'!$D:$D,MATCH(K234&amp;L234,'_courses_lookup'!$E:$E,0)),"")</f>
        <v/>
      </c>
      <c r="AG234">
        <f>IF(AND(AE234&lt;&gt;"",AF234&lt;&gt;""),ROUNDUP((AF234-AE234)/7,0),"")</f>
        <v/>
      </c>
      <c r="AI234">
        <f>IFERROR(IF(AG234*AH234=0,"",AG234*AH234),"")</f>
        <v/>
      </c>
      <c r="AL234">
        <f>IF(AND(AJ234&lt;&gt;"",AK234&lt;&gt;""),ROUNDUP((AK234-AJ234)/7,0),"")</f>
        <v/>
      </c>
      <c r="AN234">
        <f>IFERROR(IF(AL234*AM234=0,"",AL234*AM234),"")</f>
        <v/>
      </c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L234">
        <f>IFERROR(INDEX('_names_lookup'!$C:$C,MATCH(BK234,'_names_lookup'!$A:$A,0)),"")</f>
        <v/>
      </c>
      <c r="BM234">
        <f>IFERROR(INDEX('_names_lookup'!$B:$B,MATCH(BK234,'_names_lookup'!$A:$A,0)),"")</f>
        <v/>
      </c>
      <c r="BS234">
        <f>IFERROR(IF(BR234*AA234=0,"",BR234*AA234),"")</f>
        <v/>
      </c>
    </row>
    <row r="235">
      <c r="O235">
        <f>IFERROR(INDEX('_courses_lookup'!$C:$C,MATCH(K235&amp;L235,'_courses_lookup'!$E:$E,0)),"")</f>
        <v/>
      </c>
      <c r="P235">
        <f>IFERROR(INDEX('_courses_lookup'!$D:$D,MATCH(K235&amp;L235,'_courses_lookup'!$E:$E,0)),"")</f>
        <v/>
      </c>
      <c r="AG235">
        <f>IF(AND(AE235&lt;&gt;"",AF235&lt;&gt;""),ROUNDUP((AF235-AE235)/7,0),"")</f>
        <v/>
      </c>
      <c r="AI235">
        <f>IFERROR(IF(AG235*AH235=0,"",AG235*AH235),"")</f>
        <v/>
      </c>
      <c r="AL235">
        <f>IF(AND(AJ235&lt;&gt;"",AK235&lt;&gt;""),ROUNDUP((AK235-AJ235)/7,0),"")</f>
        <v/>
      </c>
      <c r="AN235">
        <f>IFERROR(IF(AL235*AM235=0,"",AL235*AM235),"")</f>
        <v/>
      </c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L235">
        <f>IFERROR(INDEX('_names_lookup'!$C:$C,MATCH(BK235,'_names_lookup'!$A:$A,0)),"")</f>
        <v/>
      </c>
      <c r="BM235">
        <f>IFERROR(INDEX('_names_lookup'!$B:$B,MATCH(BK235,'_names_lookup'!$A:$A,0)),"")</f>
        <v/>
      </c>
      <c r="BS235">
        <f>IFERROR(IF(BR235*AA235=0,"",BR235*AA235),"")</f>
        <v/>
      </c>
    </row>
    <row r="236">
      <c r="O236">
        <f>IFERROR(INDEX('_courses_lookup'!$C:$C,MATCH(K236&amp;L236,'_courses_lookup'!$E:$E,0)),"")</f>
        <v/>
      </c>
      <c r="P236">
        <f>IFERROR(INDEX('_courses_lookup'!$D:$D,MATCH(K236&amp;L236,'_courses_lookup'!$E:$E,0)),"")</f>
        <v/>
      </c>
      <c r="AG236">
        <f>IF(AND(AE236&lt;&gt;"",AF236&lt;&gt;""),ROUNDUP((AF236-AE236)/7,0),"")</f>
        <v/>
      </c>
      <c r="AI236">
        <f>IFERROR(IF(AG236*AH236=0,"",AG236*AH236),"")</f>
        <v/>
      </c>
      <c r="AL236">
        <f>IF(AND(AJ236&lt;&gt;"",AK236&lt;&gt;""),ROUNDUP((AK236-AJ236)/7,0),"")</f>
        <v/>
      </c>
      <c r="AN236">
        <f>IFERROR(IF(AL236*AM236=0,"",AL236*AM236),"")</f>
        <v/>
      </c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L236">
        <f>IFERROR(INDEX('_names_lookup'!$C:$C,MATCH(BK236,'_names_lookup'!$A:$A,0)),"")</f>
        <v/>
      </c>
      <c r="BM236">
        <f>IFERROR(INDEX('_names_lookup'!$B:$B,MATCH(BK236,'_names_lookup'!$A:$A,0)),"")</f>
        <v/>
      </c>
      <c r="BS236">
        <f>IFERROR(IF(BR236*AA236=0,"",BR236*AA236),"")</f>
        <v/>
      </c>
    </row>
    <row r="237">
      <c r="O237">
        <f>IFERROR(INDEX('_courses_lookup'!$C:$C,MATCH(K237&amp;L237,'_courses_lookup'!$E:$E,0)),"")</f>
        <v/>
      </c>
      <c r="P237">
        <f>IFERROR(INDEX('_courses_lookup'!$D:$D,MATCH(K237&amp;L237,'_courses_lookup'!$E:$E,0)),"")</f>
        <v/>
      </c>
      <c r="AG237">
        <f>IF(AND(AE237&lt;&gt;"",AF237&lt;&gt;""),ROUNDUP((AF237-AE237)/7,0),"")</f>
        <v/>
      </c>
      <c r="AI237">
        <f>IFERROR(IF(AG237*AH237=0,"",AG237*AH237),"")</f>
        <v/>
      </c>
      <c r="AL237">
        <f>IF(AND(AJ237&lt;&gt;"",AK237&lt;&gt;""),ROUNDUP((AK237-AJ237)/7,0),"")</f>
        <v/>
      </c>
      <c r="AN237">
        <f>IFERROR(IF(AL237*AM237=0,"",AL237*AM237),"")</f>
        <v/>
      </c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L237">
        <f>IFERROR(INDEX('_names_lookup'!$C:$C,MATCH(BK237,'_names_lookup'!$A:$A,0)),"")</f>
        <v/>
      </c>
      <c r="BM237">
        <f>IFERROR(INDEX('_names_lookup'!$B:$B,MATCH(BK237,'_names_lookup'!$A:$A,0)),"")</f>
        <v/>
      </c>
      <c r="BS237">
        <f>IFERROR(IF(BR237*AA237=0,"",BR237*AA237),"")</f>
        <v/>
      </c>
    </row>
    <row r="238">
      <c r="O238">
        <f>IFERROR(INDEX('_courses_lookup'!$C:$C,MATCH(K238&amp;L238,'_courses_lookup'!$E:$E,0)),"")</f>
        <v/>
      </c>
      <c r="P238">
        <f>IFERROR(INDEX('_courses_lookup'!$D:$D,MATCH(K238&amp;L238,'_courses_lookup'!$E:$E,0)),"")</f>
        <v/>
      </c>
      <c r="AG238">
        <f>IF(AND(AE238&lt;&gt;"",AF238&lt;&gt;""),ROUNDUP((AF238-AE238)/7,0),"")</f>
        <v/>
      </c>
      <c r="AI238">
        <f>IFERROR(IF(AG238*AH238=0,"",AG238*AH238),"")</f>
        <v/>
      </c>
      <c r="AL238">
        <f>IF(AND(AJ238&lt;&gt;"",AK238&lt;&gt;""),ROUNDUP((AK238-AJ238)/7,0),"")</f>
        <v/>
      </c>
      <c r="AN238">
        <f>IFERROR(IF(AL238*AM238=0,"",AL238*AM238),"")</f>
        <v/>
      </c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L238">
        <f>IFERROR(INDEX('_names_lookup'!$C:$C,MATCH(BK238,'_names_lookup'!$A:$A,0)),"")</f>
        <v/>
      </c>
      <c r="BM238">
        <f>IFERROR(INDEX('_names_lookup'!$B:$B,MATCH(BK238,'_names_lookup'!$A:$A,0)),"")</f>
        <v/>
      </c>
      <c r="BS238">
        <f>IFERROR(IF(BR238*AA238=0,"",BR238*AA238),"")</f>
        <v/>
      </c>
    </row>
    <row r="239">
      <c r="O239">
        <f>IFERROR(INDEX('_courses_lookup'!$C:$C,MATCH(K239&amp;L239,'_courses_lookup'!$E:$E,0)),"")</f>
        <v/>
      </c>
      <c r="P239">
        <f>IFERROR(INDEX('_courses_lookup'!$D:$D,MATCH(K239&amp;L239,'_courses_lookup'!$E:$E,0)),"")</f>
        <v/>
      </c>
      <c r="AG239">
        <f>IF(AND(AE239&lt;&gt;"",AF239&lt;&gt;""),ROUNDUP((AF239-AE239)/7,0),"")</f>
        <v/>
      </c>
      <c r="AI239">
        <f>IFERROR(IF(AG239*AH239=0,"",AG239*AH239),"")</f>
        <v/>
      </c>
      <c r="AL239">
        <f>IF(AND(AJ239&lt;&gt;"",AK239&lt;&gt;""),ROUNDUP((AK239-AJ239)/7,0),"")</f>
        <v/>
      </c>
      <c r="AN239">
        <f>IFERROR(IF(AL239*AM239=0,"",AL239*AM239),"")</f>
        <v/>
      </c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L239">
        <f>IFERROR(INDEX('_names_lookup'!$C:$C,MATCH(BK239,'_names_lookup'!$A:$A,0)),"")</f>
        <v/>
      </c>
      <c r="BM239">
        <f>IFERROR(INDEX('_names_lookup'!$B:$B,MATCH(BK239,'_names_lookup'!$A:$A,0)),"")</f>
        <v/>
      </c>
      <c r="BS239">
        <f>IFERROR(IF(BR239*AA239=0,"",BR239*AA239),"")</f>
        <v/>
      </c>
    </row>
    <row r="240">
      <c r="O240">
        <f>IFERROR(INDEX('_courses_lookup'!$C:$C,MATCH(K240&amp;L240,'_courses_lookup'!$E:$E,0)),"")</f>
        <v/>
      </c>
      <c r="P240">
        <f>IFERROR(INDEX('_courses_lookup'!$D:$D,MATCH(K240&amp;L240,'_courses_lookup'!$E:$E,0)),"")</f>
        <v/>
      </c>
      <c r="AG240">
        <f>IF(AND(AE240&lt;&gt;"",AF240&lt;&gt;""),ROUNDUP((AF240-AE240)/7,0),"")</f>
        <v/>
      </c>
      <c r="AI240">
        <f>IFERROR(IF(AG240*AH240=0,"",AG240*AH240),"")</f>
        <v/>
      </c>
      <c r="AL240">
        <f>IF(AND(AJ240&lt;&gt;"",AK240&lt;&gt;""),ROUNDUP((AK240-AJ240)/7,0),"")</f>
        <v/>
      </c>
      <c r="AN240">
        <f>IFERROR(IF(AL240*AM240=0,"",AL240*AM240),"")</f>
        <v/>
      </c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L240">
        <f>IFERROR(INDEX('_names_lookup'!$C:$C,MATCH(BK240,'_names_lookup'!$A:$A,0)),"")</f>
        <v/>
      </c>
      <c r="BM240">
        <f>IFERROR(INDEX('_names_lookup'!$B:$B,MATCH(BK240,'_names_lookup'!$A:$A,0)),"")</f>
        <v/>
      </c>
      <c r="BS240">
        <f>IFERROR(IF(BR240*AA240=0,"",BR240*AA240),"")</f>
        <v/>
      </c>
    </row>
    <row r="241">
      <c r="O241">
        <f>IFERROR(INDEX('_courses_lookup'!$C:$C,MATCH(K241&amp;L241,'_courses_lookup'!$E:$E,0)),"")</f>
        <v/>
      </c>
      <c r="P241">
        <f>IFERROR(INDEX('_courses_lookup'!$D:$D,MATCH(K241&amp;L241,'_courses_lookup'!$E:$E,0)),"")</f>
        <v/>
      </c>
      <c r="AG241">
        <f>IF(AND(AE241&lt;&gt;"",AF241&lt;&gt;""),ROUNDUP((AF241-AE241)/7,0),"")</f>
        <v/>
      </c>
      <c r="AI241">
        <f>IFERROR(IF(AG241*AH241=0,"",AG241*AH241),"")</f>
        <v/>
      </c>
      <c r="AL241">
        <f>IF(AND(AJ241&lt;&gt;"",AK241&lt;&gt;""),ROUNDUP((AK241-AJ241)/7,0),"")</f>
        <v/>
      </c>
      <c r="AN241">
        <f>IFERROR(IF(AL241*AM241=0,"",AL241*AM241),"")</f>
        <v/>
      </c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L241">
        <f>IFERROR(INDEX('_names_lookup'!$C:$C,MATCH(BK241,'_names_lookup'!$A:$A,0)),"")</f>
        <v/>
      </c>
      <c r="BM241">
        <f>IFERROR(INDEX('_names_lookup'!$B:$B,MATCH(BK241,'_names_lookup'!$A:$A,0)),"")</f>
        <v/>
      </c>
      <c r="BS241">
        <f>IFERROR(IF(BR241*AA241=0,"",BR241*AA241),"")</f>
        <v/>
      </c>
    </row>
    <row r="242">
      <c r="O242">
        <f>IFERROR(INDEX('_courses_lookup'!$C:$C,MATCH(K242&amp;L242,'_courses_lookup'!$E:$E,0)),"")</f>
        <v/>
      </c>
      <c r="P242">
        <f>IFERROR(INDEX('_courses_lookup'!$D:$D,MATCH(K242&amp;L242,'_courses_lookup'!$E:$E,0)),"")</f>
        <v/>
      </c>
      <c r="AG242">
        <f>IF(AND(AE242&lt;&gt;"",AF242&lt;&gt;""),ROUNDUP((AF242-AE242)/7,0),"")</f>
        <v/>
      </c>
      <c r="AI242">
        <f>IFERROR(IF(AG242*AH242=0,"",AG242*AH242),"")</f>
        <v/>
      </c>
      <c r="AL242">
        <f>IF(AND(AJ242&lt;&gt;"",AK242&lt;&gt;""),ROUNDUP((AK242-AJ242)/7,0),"")</f>
        <v/>
      </c>
      <c r="AN242">
        <f>IFERROR(IF(AL242*AM242=0,"",AL242*AM242),"")</f>
        <v/>
      </c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L242">
        <f>IFERROR(INDEX('_names_lookup'!$C:$C,MATCH(BK242,'_names_lookup'!$A:$A,0)),"")</f>
        <v/>
      </c>
      <c r="BM242">
        <f>IFERROR(INDEX('_names_lookup'!$B:$B,MATCH(BK242,'_names_lookup'!$A:$A,0)),"")</f>
        <v/>
      </c>
      <c r="BS242">
        <f>IFERROR(IF(BR242*AA242=0,"",BR242*AA242),"")</f>
        <v/>
      </c>
    </row>
    <row r="243">
      <c r="O243">
        <f>IFERROR(INDEX('_courses_lookup'!$C:$C,MATCH(K243&amp;L243,'_courses_lookup'!$E:$E,0)),"")</f>
        <v/>
      </c>
      <c r="P243">
        <f>IFERROR(INDEX('_courses_lookup'!$D:$D,MATCH(K243&amp;L243,'_courses_lookup'!$E:$E,0)),"")</f>
        <v/>
      </c>
      <c r="AG243">
        <f>IF(AND(AE243&lt;&gt;"",AF243&lt;&gt;""),ROUNDUP((AF243-AE243)/7,0),"")</f>
        <v/>
      </c>
      <c r="AI243">
        <f>IFERROR(IF(AG243*AH243=0,"",AG243*AH243),"")</f>
        <v/>
      </c>
      <c r="AL243">
        <f>IF(AND(AJ243&lt;&gt;"",AK243&lt;&gt;""),ROUNDUP((AK243-AJ243)/7,0),"")</f>
        <v/>
      </c>
      <c r="AN243">
        <f>IFERROR(IF(AL243*AM243=0,"",AL243*AM243),"")</f>
        <v/>
      </c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L243">
        <f>IFERROR(INDEX('_names_lookup'!$C:$C,MATCH(BK243,'_names_lookup'!$A:$A,0)),"")</f>
        <v/>
      </c>
      <c r="BM243">
        <f>IFERROR(INDEX('_names_lookup'!$B:$B,MATCH(BK243,'_names_lookup'!$A:$A,0)),"")</f>
        <v/>
      </c>
      <c r="BS243">
        <f>IFERROR(IF(BR243*AA243=0,"",BR243*AA243),"")</f>
        <v/>
      </c>
    </row>
    <row r="244">
      <c r="O244">
        <f>IFERROR(INDEX('_courses_lookup'!$C:$C,MATCH(K244&amp;L244,'_courses_lookup'!$E:$E,0)),"")</f>
        <v/>
      </c>
      <c r="P244">
        <f>IFERROR(INDEX('_courses_lookup'!$D:$D,MATCH(K244&amp;L244,'_courses_lookup'!$E:$E,0)),"")</f>
        <v/>
      </c>
      <c r="AG244">
        <f>IF(AND(AE244&lt;&gt;"",AF244&lt;&gt;""),ROUNDUP((AF244-AE244)/7,0),"")</f>
        <v/>
      </c>
      <c r="AI244">
        <f>IFERROR(IF(AG244*AH244=0,"",AG244*AH244),"")</f>
        <v/>
      </c>
      <c r="AL244">
        <f>IF(AND(AJ244&lt;&gt;"",AK244&lt;&gt;""),ROUNDUP((AK244-AJ244)/7,0),"")</f>
        <v/>
      </c>
      <c r="AN244">
        <f>IFERROR(IF(AL244*AM244=0,"",AL244*AM244),"")</f>
        <v/>
      </c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L244">
        <f>IFERROR(INDEX('_names_lookup'!$C:$C,MATCH(BK244,'_names_lookup'!$A:$A,0)),"")</f>
        <v/>
      </c>
      <c r="BM244">
        <f>IFERROR(INDEX('_names_lookup'!$B:$B,MATCH(BK244,'_names_lookup'!$A:$A,0)),"")</f>
        <v/>
      </c>
      <c r="BS244">
        <f>IFERROR(IF(BR244*AA244=0,"",BR244*AA244),"")</f>
        <v/>
      </c>
    </row>
    <row r="245">
      <c r="O245">
        <f>IFERROR(INDEX('_courses_lookup'!$C:$C,MATCH(K245&amp;L245,'_courses_lookup'!$E:$E,0)),"")</f>
        <v/>
      </c>
      <c r="P245">
        <f>IFERROR(INDEX('_courses_lookup'!$D:$D,MATCH(K245&amp;L245,'_courses_lookup'!$E:$E,0)),"")</f>
        <v/>
      </c>
      <c r="AG245">
        <f>IF(AND(AE245&lt;&gt;"",AF245&lt;&gt;""),ROUNDUP((AF245-AE245)/7,0),"")</f>
        <v/>
      </c>
      <c r="AI245">
        <f>IFERROR(IF(AG245*AH245=0,"",AG245*AH245),"")</f>
        <v/>
      </c>
      <c r="AL245">
        <f>IF(AND(AJ245&lt;&gt;"",AK245&lt;&gt;""),ROUNDUP((AK245-AJ245)/7,0),"")</f>
        <v/>
      </c>
      <c r="AN245">
        <f>IFERROR(IF(AL245*AM245=0,"",AL245*AM245),"")</f>
        <v/>
      </c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L245">
        <f>IFERROR(INDEX('_names_lookup'!$C:$C,MATCH(BK245,'_names_lookup'!$A:$A,0)),"")</f>
        <v/>
      </c>
      <c r="BM245">
        <f>IFERROR(INDEX('_names_lookup'!$B:$B,MATCH(BK245,'_names_lookup'!$A:$A,0)),"")</f>
        <v/>
      </c>
      <c r="BS245">
        <f>IFERROR(IF(BR245*AA245=0,"",BR245*AA245),"")</f>
        <v/>
      </c>
    </row>
    <row r="246">
      <c r="O246">
        <f>IFERROR(INDEX('_courses_lookup'!$C:$C,MATCH(K246&amp;L246,'_courses_lookup'!$E:$E,0)),"")</f>
        <v/>
      </c>
      <c r="P246">
        <f>IFERROR(INDEX('_courses_lookup'!$D:$D,MATCH(K246&amp;L246,'_courses_lookup'!$E:$E,0)),"")</f>
        <v/>
      </c>
      <c r="AG246">
        <f>IF(AND(AE246&lt;&gt;"",AF246&lt;&gt;""),ROUNDUP((AF246-AE246)/7,0),"")</f>
        <v/>
      </c>
      <c r="AI246">
        <f>IFERROR(IF(AG246*AH246=0,"",AG246*AH246),"")</f>
        <v/>
      </c>
      <c r="AL246">
        <f>IF(AND(AJ246&lt;&gt;"",AK246&lt;&gt;""),ROUNDUP((AK246-AJ246)/7,0),"")</f>
        <v/>
      </c>
      <c r="AN246">
        <f>IFERROR(IF(AL246*AM246=0,"",AL246*AM246),"")</f>
        <v/>
      </c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L246">
        <f>IFERROR(INDEX('_names_lookup'!$C:$C,MATCH(BK246,'_names_lookup'!$A:$A,0)),"")</f>
        <v/>
      </c>
      <c r="BM246">
        <f>IFERROR(INDEX('_names_lookup'!$B:$B,MATCH(BK246,'_names_lookup'!$A:$A,0)),"")</f>
        <v/>
      </c>
      <c r="BS246">
        <f>IFERROR(IF(BR246*AA246=0,"",BR246*AA246),"")</f>
        <v/>
      </c>
    </row>
    <row r="247">
      <c r="O247">
        <f>IFERROR(INDEX('_courses_lookup'!$C:$C,MATCH(K247&amp;L247,'_courses_lookup'!$E:$E,0)),"")</f>
        <v/>
      </c>
      <c r="P247">
        <f>IFERROR(INDEX('_courses_lookup'!$D:$D,MATCH(K247&amp;L247,'_courses_lookup'!$E:$E,0)),"")</f>
        <v/>
      </c>
      <c r="AG247">
        <f>IF(AND(AE247&lt;&gt;"",AF247&lt;&gt;""),ROUNDUP((AF247-AE247)/7,0),"")</f>
        <v/>
      </c>
      <c r="AI247">
        <f>IFERROR(IF(AG247*AH247=0,"",AG247*AH247),"")</f>
        <v/>
      </c>
      <c r="AL247">
        <f>IF(AND(AJ247&lt;&gt;"",AK247&lt;&gt;""),ROUNDUP((AK247-AJ247)/7,0),"")</f>
        <v/>
      </c>
      <c r="AN247">
        <f>IFERROR(IF(AL247*AM247=0,"",AL247*AM247),"")</f>
        <v/>
      </c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L247">
        <f>IFERROR(INDEX('_names_lookup'!$C:$C,MATCH(BK247,'_names_lookup'!$A:$A,0)),"")</f>
        <v/>
      </c>
      <c r="BM247">
        <f>IFERROR(INDEX('_names_lookup'!$B:$B,MATCH(BK247,'_names_lookup'!$A:$A,0)),"")</f>
        <v/>
      </c>
      <c r="BS247">
        <f>IFERROR(IF(BR247*AA247=0,"",BR247*AA247),"")</f>
        <v/>
      </c>
    </row>
    <row r="248">
      <c r="O248">
        <f>IFERROR(INDEX('_courses_lookup'!$C:$C,MATCH(K248&amp;L248,'_courses_lookup'!$E:$E,0)),"")</f>
        <v/>
      </c>
      <c r="P248">
        <f>IFERROR(INDEX('_courses_lookup'!$D:$D,MATCH(K248&amp;L248,'_courses_lookup'!$E:$E,0)),"")</f>
        <v/>
      </c>
      <c r="AG248">
        <f>IF(AND(AE248&lt;&gt;"",AF248&lt;&gt;""),ROUNDUP((AF248-AE248)/7,0),"")</f>
        <v/>
      </c>
      <c r="AI248">
        <f>IFERROR(IF(AG248*AH248=0,"",AG248*AH248),"")</f>
        <v/>
      </c>
      <c r="AL248">
        <f>IF(AND(AJ248&lt;&gt;"",AK248&lt;&gt;""),ROUNDUP((AK248-AJ248)/7,0),"")</f>
        <v/>
      </c>
      <c r="AN248">
        <f>IFERROR(IF(AL248*AM248=0,"",AL248*AM248),"")</f>
        <v/>
      </c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L248">
        <f>IFERROR(INDEX('_names_lookup'!$C:$C,MATCH(BK248,'_names_lookup'!$A:$A,0)),"")</f>
        <v/>
      </c>
      <c r="BM248">
        <f>IFERROR(INDEX('_names_lookup'!$B:$B,MATCH(BK248,'_names_lookup'!$A:$A,0)),"")</f>
        <v/>
      </c>
      <c r="BS248">
        <f>IFERROR(IF(BR248*AA248=0,"",BR248*AA248),"")</f>
        <v/>
      </c>
    </row>
    <row r="249">
      <c r="O249">
        <f>IFERROR(INDEX('_courses_lookup'!$C:$C,MATCH(K249&amp;L249,'_courses_lookup'!$E:$E,0)),"")</f>
        <v/>
      </c>
      <c r="P249">
        <f>IFERROR(INDEX('_courses_lookup'!$D:$D,MATCH(K249&amp;L249,'_courses_lookup'!$E:$E,0)),"")</f>
        <v/>
      </c>
      <c r="AG249">
        <f>IF(AND(AE249&lt;&gt;"",AF249&lt;&gt;""),ROUNDUP((AF249-AE249)/7,0),"")</f>
        <v/>
      </c>
      <c r="AI249">
        <f>IFERROR(IF(AG249*AH249=0,"",AG249*AH249),"")</f>
        <v/>
      </c>
      <c r="AL249">
        <f>IF(AND(AJ249&lt;&gt;"",AK249&lt;&gt;""),ROUNDUP((AK249-AJ249)/7,0),"")</f>
        <v/>
      </c>
      <c r="AN249">
        <f>IFERROR(IF(AL249*AM249=0,"",AL249*AM249),"")</f>
        <v/>
      </c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L249">
        <f>IFERROR(INDEX('_names_lookup'!$C:$C,MATCH(BK249,'_names_lookup'!$A:$A,0)),"")</f>
        <v/>
      </c>
      <c r="BM249">
        <f>IFERROR(INDEX('_names_lookup'!$B:$B,MATCH(BK249,'_names_lookup'!$A:$A,0)),"")</f>
        <v/>
      </c>
      <c r="BS249">
        <f>IFERROR(IF(BR249*AA249=0,"",BR249*AA249),"")</f>
        <v/>
      </c>
    </row>
    <row r="250">
      <c r="O250">
        <f>IFERROR(INDEX('_courses_lookup'!$C:$C,MATCH(K250&amp;L250,'_courses_lookup'!$E:$E,0)),"")</f>
        <v/>
      </c>
      <c r="P250">
        <f>IFERROR(INDEX('_courses_lookup'!$D:$D,MATCH(K250&amp;L250,'_courses_lookup'!$E:$E,0)),"")</f>
        <v/>
      </c>
      <c r="AG250">
        <f>IF(AND(AE250&lt;&gt;"",AF250&lt;&gt;""),ROUNDUP((AF250-AE250)/7,0),"")</f>
        <v/>
      </c>
      <c r="AI250">
        <f>IFERROR(IF(AG250*AH250=0,"",AG250*AH250),"")</f>
        <v/>
      </c>
      <c r="AL250">
        <f>IF(AND(AJ250&lt;&gt;"",AK250&lt;&gt;""),ROUNDUP((AK250-AJ250)/7,0),"")</f>
        <v/>
      </c>
      <c r="AN250">
        <f>IFERROR(IF(AL250*AM250=0,"",AL250*AM250),"")</f>
        <v/>
      </c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L250">
        <f>IFERROR(INDEX('_names_lookup'!$C:$C,MATCH(BK250,'_names_lookup'!$A:$A,0)),"")</f>
        <v/>
      </c>
      <c r="BM250">
        <f>IFERROR(INDEX('_names_lookup'!$B:$B,MATCH(BK250,'_names_lookup'!$A:$A,0)),"")</f>
        <v/>
      </c>
      <c r="BS250">
        <f>IFERROR(IF(BR250*AA250=0,"",BR250*AA250),"")</f>
        <v/>
      </c>
    </row>
    <row r="251">
      <c r="O251">
        <f>IFERROR(INDEX('_courses_lookup'!$C:$C,MATCH(K251&amp;L251,'_courses_lookup'!$E:$E,0)),"")</f>
        <v/>
      </c>
      <c r="P251">
        <f>IFERROR(INDEX('_courses_lookup'!$D:$D,MATCH(K251&amp;L251,'_courses_lookup'!$E:$E,0)),"")</f>
        <v/>
      </c>
      <c r="AG251">
        <f>IF(AND(AE251&lt;&gt;"",AF251&lt;&gt;""),ROUNDUP((AF251-AE251)/7,0),"")</f>
        <v/>
      </c>
      <c r="AI251">
        <f>IFERROR(IF(AG251*AH251=0,"",AG251*AH251),"")</f>
        <v/>
      </c>
      <c r="AL251">
        <f>IF(AND(AJ251&lt;&gt;"",AK251&lt;&gt;""),ROUNDUP((AK251-AJ251)/7,0),"")</f>
        <v/>
      </c>
      <c r="AN251">
        <f>IFERROR(IF(AL251*AM251=0,"",AL251*AM251),"")</f>
        <v/>
      </c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L251">
        <f>IFERROR(INDEX('_names_lookup'!$C:$C,MATCH(BK251,'_names_lookup'!$A:$A,0)),"")</f>
        <v/>
      </c>
      <c r="BM251">
        <f>IFERROR(INDEX('_names_lookup'!$B:$B,MATCH(BK251,'_names_lookup'!$A:$A,0)),"")</f>
        <v/>
      </c>
      <c r="BS251">
        <f>IFERROR(IF(BR251*AA251=0,"",BR251*AA251),"")</f>
        <v/>
      </c>
    </row>
    <row r="252">
      <c r="O252">
        <f>IFERROR(INDEX('_courses_lookup'!$C:$C,MATCH(K252&amp;L252,'_courses_lookup'!$E:$E,0)),"")</f>
        <v/>
      </c>
      <c r="P252">
        <f>IFERROR(INDEX('_courses_lookup'!$D:$D,MATCH(K252&amp;L252,'_courses_lookup'!$E:$E,0)),"")</f>
        <v/>
      </c>
      <c r="AG252">
        <f>IF(AND(AE252&lt;&gt;"",AF252&lt;&gt;""),ROUNDUP((AF252-AE252)/7,0),"")</f>
        <v/>
      </c>
      <c r="AI252">
        <f>IFERROR(IF(AG252*AH252=0,"",AG252*AH252),"")</f>
        <v/>
      </c>
      <c r="AL252">
        <f>IF(AND(AJ252&lt;&gt;"",AK252&lt;&gt;""),ROUNDUP((AK252-AJ252)/7,0),"")</f>
        <v/>
      </c>
      <c r="AN252">
        <f>IFERROR(IF(AL252*AM252=0,"",AL252*AM252),"")</f>
        <v/>
      </c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L252">
        <f>IFERROR(INDEX('_names_lookup'!$C:$C,MATCH(BK252,'_names_lookup'!$A:$A,0)),"")</f>
        <v/>
      </c>
      <c r="BM252">
        <f>IFERROR(INDEX('_names_lookup'!$B:$B,MATCH(BK252,'_names_lookup'!$A:$A,0)),"")</f>
        <v/>
      </c>
      <c r="BS252">
        <f>IFERROR(IF(BR252*AA252=0,"",BR252*AA252),"")</f>
        <v/>
      </c>
    </row>
    <row r="253">
      <c r="O253">
        <f>IFERROR(INDEX('_courses_lookup'!$C:$C,MATCH(K253&amp;L253,'_courses_lookup'!$E:$E,0)),"")</f>
        <v/>
      </c>
      <c r="P253">
        <f>IFERROR(INDEX('_courses_lookup'!$D:$D,MATCH(K253&amp;L253,'_courses_lookup'!$E:$E,0)),"")</f>
        <v/>
      </c>
      <c r="AG253">
        <f>IF(AND(AE253&lt;&gt;"",AF253&lt;&gt;""),ROUNDUP((AF253-AE253)/7,0),"")</f>
        <v/>
      </c>
      <c r="AI253">
        <f>IFERROR(IF(AG253*AH253=0,"",AG253*AH253),"")</f>
        <v/>
      </c>
      <c r="AL253">
        <f>IF(AND(AJ253&lt;&gt;"",AK253&lt;&gt;""),ROUNDUP((AK253-AJ253)/7,0),"")</f>
        <v/>
      </c>
      <c r="AN253">
        <f>IFERROR(IF(AL253*AM253=0,"",AL253*AM253),"")</f>
        <v/>
      </c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L253">
        <f>IFERROR(INDEX('_names_lookup'!$C:$C,MATCH(BK253,'_names_lookup'!$A:$A,0)),"")</f>
        <v/>
      </c>
      <c r="BM253">
        <f>IFERROR(INDEX('_names_lookup'!$B:$B,MATCH(BK253,'_names_lookup'!$A:$A,0)),"")</f>
        <v/>
      </c>
      <c r="BS253">
        <f>IFERROR(IF(BR253*AA253=0,"",BR253*AA253),"")</f>
        <v/>
      </c>
    </row>
    <row r="254">
      <c r="O254">
        <f>IFERROR(INDEX('_courses_lookup'!$C:$C,MATCH(K254&amp;L254,'_courses_lookup'!$E:$E,0)),"")</f>
        <v/>
      </c>
      <c r="P254">
        <f>IFERROR(INDEX('_courses_lookup'!$D:$D,MATCH(K254&amp;L254,'_courses_lookup'!$E:$E,0)),"")</f>
        <v/>
      </c>
      <c r="AG254">
        <f>IF(AND(AE254&lt;&gt;"",AF254&lt;&gt;""),ROUNDUP((AF254-AE254)/7,0),"")</f>
        <v/>
      </c>
      <c r="AI254">
        <f>IFERROR(IF(AG254*AH254=0,"",AG254*AH254),"")</f>
        <v/>
      </c>
      <c r="AL254">
        <f>IF(AND(AJ254&lt;&gt;"",AK254&lt;&gt;""),ROUNDUP((AK254-AJ254)/7,0),"")</f>
        <v/>
      </c>
      <c r="AN254">
        <f>IFERROR(IF(AL254*AM254=0,"",AL254*AM254),"")</f>
        <v/>
      </c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L254">
        <f>IFERROR(INDEX('_names_lookup'!$C:$C,MATCH(BK254,'_names_lookup'!$A:$A,0)),"")</f>
        <v/>
      </c>
      <c r="BM254">
        <f>IFERROR(INDEX('_names_lookup'!$B:$B,MATCH(BK254,'_names_lookup'!$A:$A,0)),"")</f>
        <v/>
      </c>
      <c r="BS254">
        <f>IFERROR(IF(BR254*AA254=0,"",BR254*AA254),"")</f>
        <v/>
      </c>
    </row>
    <row r="255">
      <c r="O255">
        <f>IFERROR(INDEX('_courses_lookup'!$C:$C,MATCH(K255&amp;L255,'_courses_lookup'!$E:$E,0)),"")</f>
        <v/>
      </c>
      <c r="P255">
        <f>IFERROR(INDEX('_courses_lookup'!$D:$D,MATCH(K255&amp;L255,'_courses_lookup'!$E:$E,0)),"")</f>
        <v/>
      </c>
      <c r="AG255">
        <f>IF(AND(AE255&lt;&gt;"",AF255&lt;&gt;""),ROUNDUP((AF255-AE255)/7,0),"")</f>
        <v/>
      </c>
      <c r="AI255">
        <f>IFERROR(IF(AG255*AH255=0,"",AG255*AH255),"")</f>
        <v/>
      </c>
      <c r="AL255">
        <f>IF(AND(AJ255&lt;&gt;"",AK255&lt;&gt;""),ROUNDUP((AK255-AJ255)/7,0),"")</f>
        <v/>
      </c>
      <c r="AN255">
        <f>IFERROR(IF(AL255*AM255=0,"",AL255*AM255),"")</f>
        <v/>
      </c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L255">
        <f>IFERROR(INDEX('_names_lookup'!$C:$C,MATCH(BK255,'_names_lookup'!$A:$A,0)),"")</f>
        <v/>
      </c>
      <c r="BM255">
        <f>IFERROR(INDEX('_names_lookup'!$B:$B,MATCH(BK255,'_names_lookup'!$A:$A,0)),"")</f>
        <v/>
      </c>
      <c r="BS255">
        <f>IFERROR(IF(BR255*AA255=0,"",BR255*AA255),"")</f>
        <v/>
      </c>
    </row>
    <row r="256">
      <c r="O256">
        <f>IFERROR(INDEX('_courses_lookup'!$C:$C,MATCH(K256&amp;L256,'_courses_lookup'!$E:$E,0)),"")</f>
        <v/>
      </c>
      <c r="P256">
        <f>IFERROR(INDEX('_courses_lookup'!$D:$D,MATCH(K256&amp;L256,'_courses_lookup'!$E:$E,0)),"")</f>
        <v/>
      </c>
      <c r="AG256">
        <f>IF(AND(AE256&lt;&gt;"",AF256&lt;&gt;""),ROUNDUP((AF256-AE256)/7,0),"")</f>
        <v/>
      </c>
      <c r="AI256">
        <f>IFERROR(IF(AG256*AH256=0,"",AG256*AH256),"")</f>
        <v/>
      </c>
      <c r="AL256">
        <f>IF(AND(AJ256&lt;&gt;"",AK256&lt;&gt;""),ROUNDUP((AK256-AJ256)/7,0),"")</f>
        <v/>
      </c>
      <c r="AN256">
        <f>IFERROR(IF(AL256*AM256=0,"",AL256*AM256),"")</f>
        <v/>
      </c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L256">
        <f>IFERROR(INDEX('_names_lookup'!$C:$C,MATCH(BK256,'_names_lookup'!$A:$A,0)),"")</f>
        <v/>
      </c>
      <c r="BM256">
        <f>IFERROR(INDEX('_names_lookup'!$B:$B,MATCH(BK256,'_names_lookup'!$A:$A,0)),"")</f>
        <v/>
      </c>
      <c r="BS256">
        <f>IFERROR(IF(BR256*AA256=0,"",BR256*AA256),"")</f>
        <v/>
      </c>
    </row>
    <row r="257">
      <c r="O257">
        <f>IFERROR(INDEX('_courses_lookup'!$C:$C,MATCH(K257&amp;L257,'_courses_lookup'!$E:$E,0)),"")</f>
        <v/>
      </c>
      <c r="P257">
        <f>IFERROR(INDEX('_courses_lookup'!$D:$D,MATCH(K257&amp;L257,'_courses_lookup'!$E:$E,0)),"")</f>
        <v/>
      </c>
      <c r="AG257">
        <f>IF(AND(AE257&lt;&gt;"",AF257&lt;&gt;""),ROUNDUP((AF257-AE257)/7,0),"")</f>
        <v/>
      </c>
      <c r="AI257">
        <f>IFERROR(IF(AG257*AH257=0,"",AG257*AH257),"")</f>
        <v/>
      </c>
      <c r="AL257">
        <f>IF(AND(AJ257&lt;&gt;"",AK257&lt;&gt;""),ROUNDUP((AK257-AJ257)/7,0),"")</f>
        <v/>
      </c>
      <c r="AN257">
        <f>IFERROR(IF(AL257*AM257=0,"",AL257*AM257),"")</f>
        <v/>
      </c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L257">
        <f>IFERROR(INDEX('_names_lookup'!$C:$C,MATCH(BK257,'_names_lookup'!$A:$A,0)),"")</f>
        <v/>
      </c>
      <c r="BM257">
        <f>IFERROR(INDEX('_names_lookup'!$B:$B,MATCH(BK257,'_names_lookup'!$A:$A,0)),"")</f>
        <v/>
      </c>
      <c r="BS257">
        <f>IFERROR(IF(BR257*AA257=0,"",BR257*AA257),"")</f>
        <v/>
      </c>
    </row>
    <row r="258">
      <c r="O258">
        <f>IFERROR(INDEX('_courses_lookup'!$C:$C,MATCH(K258&amp;L258,'_courses_lookup'!$E:$E,0)),"")</f>
        <v/>
      </c>
      <c r="P258">
        <f>IFERROR(INDEX('_courses_lookup'!$D:$D,MATCH(K258&amp;L258,'_courses_lookup'!$E:$E,0)),"")</f>
        <v/>
      </c>
      <c r="AG258">
        <f>IF(AND(AE258&lt;&gt;"",AF258&lt;&gt;""),ROUNDUP((AF258-AE258)/7,0),"")</f>
        <v/>
      </c>
      <c r="AI258">
        <f>IFERROR(IF(AG258*AH258=0,"",AG258*AH258),"")</f>
        <v/>
      </c>
      <c r="AL258">
        <f>IF(AND(AJ258&lt;&gt;"",AK258&lt;&gt;""),ROUNDUP((AK258-AJ258)/7,0),"")</f>
        <v/>
      </c>
      <c r="AN258">
        <f>IFERROR(IF(AL258*AM258=0,"",AL258*AM258),"")</f>
        <v/>
      </c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L258">
        <f>IFERROR(INDEX('_names_lookup'!$C:$C,MATCH(BK258,'_names_lookup'!$A:$A,0)),"")</f>
        <v/>
      </c>
      <c r="BM258">
        <f>IFERROR(INDEX('_names_lookup'!$B:$B,MATCH(BK258,'_names_lookup'!$A:$A,0)),"")</f>
        <v/>
      </c>
      <c r="BS258">
        <f>IFERROR(IF(BR258*AA258=0,"",BR258*AA258),"")</f>
        <v/>
      </c>
    </row>
    <row r="259">
      <c r="O259">
        <f>IFERROR(INDEX('_courses_lookup'!$C:$C,MATCH(K259&amp;L259,'_courses_lookup'!$E:$E,0)),"")</f>
        <v/>
      </c>
      <c r="P259">
        <f>IFERROR(INDEX('_courses_lookup'!$D:$D,MATCH(K259&amp;L259,'_courses_lookup'!$E:$E,0)),"")</f>
        <v/>
      </c>
      <c r="AG259">
        <f>IF(AND(AE259&lt;&gt;"",AF259&lt;&gt;""),ROUNDUP((AF259-AE259)/7,0),"")</f>
        <v/>
      </c>
      <c r="AI259">
        <f>IFERROR(IF(AG259*AH259=0,"",AG259*AH259),"")</f>
        <v/>
      </c>
      <c r="AL259">
        <f>IF(AND(AJ259&lt;&gt;"",AK259&lt;&gt;""),ROUNDUP((AK259-AJ259)/7,0),"")</f>
        <v/>
      </c>
      <c r="AN259">
        <f>IFERROR(IF(AL259*AM259=0,"",AL259*AM259),"")</f>
        <v/>
      </c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L259">
        <f>IFERROR(INDEX('_names_lookup'!$C:$C,MATCH(BK259,'_names_lookup'!$A:$A,0)),"")</f>
        <v/>
      </c>
      <c r="BM259">
        <f>IFERROR(INDEX('_names_lookup'!$B:$B,MATCH(BK259,'_names_lookup'!$A:$A,0)),"")</f>
        <v/>
      </c>
      <c r="BS259">
        <f>IFERROR(IF(BR259*AA259=0,"",BR259*AA259),"")</f>
        <v/>
      </c>
    </row>
    <row r="260">
      <c r="O260">
        <f>IFERROR(INDEX('_courses_lookup'!$C:$C,MATCH(K260&amp;L260,'_courses_lookup'!$E:$E,0)),"")</f>
        <v/>
      </c>
      <c r="P260">
        <f>IFERROR(INDEX('_courses_lookup'!$D:$D,MATCH(K260&amp;L260,'_courses_lookup'!$E:$E,0)),"")</f>
        <v/>
      </c>
      <c r="AG260">
        <f>IF(AND(AE260&lt;&gt;"",AF260&lt;&gt;""),ROUNDUP((AF260-AE260)/7,0),"")</f>
        <v/>
      </c>
      <c r="AI260">
        <f>IFERROR(IF(AG260*AH260=0,"",AG260*AH260),"")</f>
        <v/>
      </c>
      <c r="AL260">
        <f>IF(AND(AJ260&lt;&gt;"",AK260&lt;&gt;""),ROUNDUP((AK260-AJ260)/7,0),"")</f>
        <v/>
      </c>
      <c r="AN260">
        <f>IFERROR(IF(AL260*AM260=0,"",AL260*AM260),"")</f>
        <v/>
      </c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L260">
        <f>IFERROR(INDEX('_names_lookup'!$C:$C,MATCH(BK260,'_names_lookup'!$A:$A,0)),"")</f>
        <v/>
      </c>
      <c r="BM260">
        <f>IFERROR(INDEX('_names_lookup'!$B:$B,MATCH(BK260,'_names_lookup'!$A:$A,0)),"")</f>
        <v/>
      </c>
      <c r="BS260">
        <f>IFERROR(IF(BR260*AA260=0,"",BR260*AA260),"")</f>
        <v/>
      </c>
    </row>
    <row r="261">
      <c r="O261">
        <f>IFERROR(INDEX('_courses_lookup'!$C:$C,MATCH(K261&amp;L261,'_courses_lookup'!$E:$E,0)),"")</f>
        <v/>
      </c>
      <c r="P261">
        <f>IFERROR(INDEX('_courses_lookup'!$D:$D,MATCH(K261&amp;L261,'_courses_lookup'!$E:$E,0)),"")</f>
        <v/>
      </c>
      <c r="AG261">
        <f>IF(AND(AE261&lt;&gt;"",AF261&lt;&gt;""),ROUNDUP((AF261-AE261)/7,0),"")</f>
        <v/>
      </c>
      <c r="AI261">
        <f>IFERROR(IF(AG261*AH261=0,"",AG261*AH261),"")</f>
        <v/>
      </c>
      <c r="AL261">
        <f>IF(AND(AJ261&lt;&gt;"",AK261&lt;&gt;""),ROUNDUP((AK261-AJ261)/7,0),"")</f>
        <v/>
      </c>
      <c r="AN261">
        <f>IFERROR(IF(AL261*AM261=0,"",AL261*AM261),"")</f>
        <v/>
      </c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L261">
        <f>IFERROR(INDEX('_names_lookup'!$C:$C,MATCH(BK261,'_names_lookup'!$A:$A,0)),"")</f>
        <v/>
      </c>
      <c r="BM261">
        <f>IFERROR(INDEX('_names_lookup'!$B:$B,MATCH(BK261,'_names_lookup'!$A:$A,0)),"")</f>
        <v/>
      </c>
      <c r="BS261">
        <f>IFERROR(IF(BR261*AA261=0,"",BR261*AA261),"")</f>
        <v/>
      </c>
    </row>
    <row r="262">
      <c r="O262">
        <f>IFERROR(INDEX('_courses_lookup'!$C:$C,MATCH(K262&amp;L262,'_courses_lookup'!$E:$E,0)),"")</f>
        <v/>
      </c>
      <c r="P262">
        <f>IFERROR(INDEX('_courses_lookup'!$D:$D,MATCH(K262&amp;L262,'_courses_lookup'!$E:$E,0)),"")</f>
        <v/>
      </c>
      <c r="AG262">
        <f>IF(AND(AE262&lt;&gt;"",AF262&lt;&gt;""),ROUNDUP((AF262-AE262)/7,0),"")</f>
        <v/>
      </c>
      <c r="AI262">
        <f>IFERROR(IF(AG262*AH262=0,"",AG262*AH262),"")</f>
        <v/>
      </c>
      <c r="AL262">
        <f>IF(AND(AJ262&lt;&gt;"",AK262&lt;&gt;""),ROUNDUP((AK262-AJ262)/7,0),"")</f>
        <v/>
      </c>
      <c r="AN262">
        <f>IFERROR(IF(AL262*AM262=0,"",AL262*AM262),"")</f>
        <v/>
      </c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L262">
        <f>IFERROR(INDEX('_names_lookup'!$C:$C,MATCH(BK262,'_names_lookup'!$A:$A,0)),"")</f>
        <v/>
      </c>
      <c r="BM262">
        <f>IFERROR(INDEX('_names_lookup'!$B:$B,MATCH(BK262,'_names_lookup'!$A:$A,0)),"")</f>
        <v/>
      </c>
      <c r="BS262">
        <f>IFERROR(IF(BR262*AA262=0,"",BR262*AA262),"")</f>
        <v/>
      </c>
    </row>
    <row r="263">
      <c r="O263">
        <f>IFERROR(INDEX('_courses_lookup'!$C:$C,MATCH(K263&amp;L263,'_courses_lookup'!$E:$E,0)),"")</f>
        <v/>
      </c>
      <c r="P263">
        <f>IFERROR(INDEX('_courses_lookup'!$D:$D,MATCH(K263&amp;L263,'_courses_lookup'!$E:$E,0)),"")</f>
        <v/>
      </c>
      <c r="AG263">
        <f>IF(AND(AE263&lt;&gt;"",AF263&lt;&gt;""),ROUNDUP((AF263-AE263)/7,0),"")</f>
        <v/>
      </c>
      <c r="AI263">
        <f>IFERROR(IF(AG263*AH263=0,"",AG263*AH263),"")</f>
        <v/>
      </c>
      <c r="AL263">
        <f>IF(AND(AJ263&lt;&gt;"",AK263&lt;&gt;""),ROUNDUP((AK263-AJ263)/7,0),"")</f>
        <v/>
      </c>
      <c r="AN263">
        <f>IFERROR(IF(AL263*AM263=0,"",AL263*AM263),"")</f>
        <v/>
      </c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L263">
        <f>IFERROR(INDEX('_names_lookup'!$C:$C,MATCH(BK263,'_names_lookup'!$A:$A,0)),"")</f>
        <v/>
      </c>
      <c r="BM263">
        <f>IFERROR(INDEX('_names_lookup'!$B:$B,MATCH(BK263,'_names_lookup'!$A:$A,0)),"")</f>
        <v/>
      </c>
      <c r="BS263">
        <f>IFERROR(IF(BR263*AA263=0,"",BR263*AA263),"")</f>
        <v/>
      </c>
    </row>
    <row r="264">
      <c r="O264">
        <f>IFERROR(INDEX('_courses_lookup'!$C:$C,MATCH(K264&amp;L264,'_courses_lookup'!$E:$E,0)),"")</f>
        <v/>
      </c>
      <c r="P264">
        <f>IFERROR(INDEX('_courses_lookup'!$D:$D,MATCH(K264&amp;L264,'_courses_lookup'!$E:$E,0)),"")</f>
        <v/>
      </c>
      <c r="AG264">
        <f>IF(AND(AE264&lt;&gt;"",AF264&lt;&gt;""),ROUNDUP((AF264-AE264)/7,0),"")</f>
        <v/>
      </c>
      <c r="AI264">
        <f>IFERROR(IF(AG264*AH264=0,"",AG264*AH264),"")</f>
        <v/>
      </c>
      <c r="AL264">
        <f>IF(AND(AJ264&lt;&gt;"",AK264&lt;&gt;""),ROUNDUP((AK264-AJ264)/7,0),"")</f>
        <v/>
      </c>
      <c r="AN264">
        <f>IFERROR(IF(AL264*AM264=0,"",AL264*AM264),"")</f>
        <v/>
      </c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L264">
        <f>IFERROR(INDEX('_names_lookup'!$C:$C,MATCH(BK264,'_names_lookup'!$A:$A,0)),"")</f>
        <v/>
      </c>
      <c r="BM264">
        <f>IFERROR(INDEX('_names_lookup'!$B:$B,MATCH(BK264,'_names_lookup'!$A:$A,0)),"")</f>
        <v/>
      </c>
      <c r="BS264">
        <f>IFERROR(IF(BR264*AA264=0,"",BR264*AA264),"")</f>
        <v/>
      </c>
    </row>
    <row r="265">
      <c r="O265">
        <f>IFERROR(INDEX('_courses_lookup'!$C:$C,MATCH(K265&amp;L265,'_courses_lookup'!$E:$E,0)),"")</f>
        <v/>
      </c>
      <c r="P265">
        <f>IFERROR(INDEX('_courses_lookup'!$D:$D,MATCH(K265&amp;L265,'_courses_lookup'!$E:$E,0)),"")</f>
        <v/>
      </c>
      <c r="AG265">
        <f>IF(AND(AE265&lt;&gt;"",AF265&lt;&gt;""),ROUNDUP((AF265-AE265)/7,0),"")</f>
        <v/>
      </c>
      <c r="AI265">
        <f>IFERROR(IF(AG265*AH265=0,"",AG265*AH265),"")</f>
        <v/>
      </c>
      <c r="AL265">
        <f>IF(AND(AJ265&lt;&gt;"",AK265&lt;&gt;""),ROUNDUP((AK265-AJ265)/7,0),"")</f>
        <v/>
      </c>
      <c r="AN265">
        <f>IFERROR(IF(AL265*AM265=0,"",AL265*AM265),"")</f>
        <v/>
      </c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L265">
        <f>IFERROR(INDEX('_names_lookup'!$C:$C,MATCH(BK265,'_names_lookup'!$A:$A,0)),"")</f>
        <v/>
      </c>
      <c r="BM265">
        <f>IFERROR(INDEX('_names_lookup'!$B:$B,MATCH(BK265,'_names_lookup'!$A:$A,0)),"")</f>
        <v/>
      </c>
      <c r="BS265">
        <f>IFERROR(IF(BR265*AA265=0,"",BR265*AA265),"")</f>
        <v/>
      </c>
    </row>
    <row r="266">
      <c r="O266">
        <f>IFERROR(INDEX('_courses_lookup'!$C:$C,MATCH(K266&amp;L266,'_courses_lookup'!$E:$E,0)),"")</f>
        <v/>
      </c>
      <c r="P266">
        <f>IFERROR(INDEX('_courses_lookup'!$D:$D,MATCH(K266&amp;L266,'_courses_lookup'!$E:$E,0)),"")</f>
        <v/>
      </c>
      <c r="AG266">
        <f>IF(AND(AE266&lt;&gt;"",AF266&lt;&gt;""),ROUNDUP((AF266-AE266)/7,0),"")</f>
        <v/>
      </c>
      <c r="AI266">
        <f>IFERROR(IF(AG266*AH266=0,"",AG266*AH266),"")</f>
        <v/>
      </c>
      <c r="AL266">
        <f>IF(AND(AJ266&lt;&gt;"",AK266&lt;&gt;""),ROUNDUP((AK266-AJ266)/7,0),"")</f>
        <v/>
      </c>
      <c r="AN266">
        <f>IFERROR(IF(AL266*AM266=0,"",AL266*AM266),"")</f>
        <v/>
      </c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L266">
        <f>IFERROR(INDEX('_names_lookup'!$C:$C,MATCH(BK266,'_names_lookup'!$A:$A,0)),"")</f>
        <v/>
      </c>
      <c r="BM266">
        <f>IFERROR(INDEX('_names_lookup'!$B:$B,MATCH(BK266,'_names_lookup'!$A:$A,0)),"")</f>
        <v/>
      </c>
      <c r="BS266">
        <f>IFERROR(IF(BR266*AA266=0,"",BR266*AA266),"")</f>
        <v/>
      </c>
    </row>
    <row r="267">
      <c r="O267">
        <f>IFERROR(INDEX('_courses_lookup'!$C:$C,MATCH(K267&amp;L267,'_courses_lookup'!$E:$E,0)),"")</f>
        <v/>
      </c>
      <c r="P267">
        <f>IFERROR(INDEX('_courses_lookup'!$D:$D,MATCH(K267&amp;L267,'_courses_lookup'!$E:$E,0)),"")</f>
        <v/>
      </c>
      <c r="AG267">
        <f>IF(AND(AE267&lt;&gt;"",AF267&lt;&gt;""),ROUNDUP((AF267-AE267)/7,0),"")</f>
        <v/>
      </c>
      <c r="AI267">
        <f>IFERROR(IF(AG267*AH267=0,"",AG267*AH267),"")</f>
        <v/>
      </c>
      <c r="AL267">
        <f>IF(AND(AJ267&lt;&gt;"",AK267&lt;&gt;""),ROUNDUP((AK267-AJ267)/7,0),"")</f>
        <v/>
      </c>
      <c r="AN267">
        <f>IFERROR(IF(AL267*AM267=0,"",AL267*AM267),"")</f>
        <v/>
      </c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L267">
        <f>IFERROR(INDEX('_names_lookup'!$C:$C,MATCH(BK267,'_names_lookup'!$A:$A,0)),"")</f>
        <v/>
      </c>
      <c r="BM267">
        <f>IFERROR(INDEX('_names_lookup'!$B:$B,MATCH(BK267,'_names_lookup'!$A:$A,0)),"")</f>
        <v/>
      </c>
      <c r="BS267">
        <f>IFERROR(IF(BR267*AA267=0,"",BR267*AA267),"")</f>
        <v/>
      </c>
    </row>
    <row r="268">
      <c r="O268">
        <f>IFERROR(INDEX('_courses_lookup'!$C:$C,MATCH(K268&amp;L268,'_courses_lookup'!$E:$E,0)),"")</f>
        <v/>
      </c>
      <c r="P268">
        <f>IFERROR(INDEX('_courses_lookup'!$D:$D,MATCH(K268&amp;L268,'_courses_lookup'!$E:$E,0)),"")</f>
        <v/>
      </c>
      <c r="AG268">
        <f>IF(AND(AE268&lt;&gt;"",AF268&lt;&gt;""),ROUNDUP((AF268-AE268)/7,0),"")</f>
        <v/>
      </c>
      <c r="AI268">
        <f>IFERROR(IF(AG268*AH268=0,"",AG268*AH268),"")</f>
        <v/>
      </c>
      <c r="AL268">
        <f>IF(AND(AJ268&lt;&gt;"",AK268&lt;&gt;""),ROUNDUP((AK268-AJ268)/7,0),"")</f>
        <v/>
      </c>
      <c r="AN268">
        <f>IFERROR(IF(AL268*AM268=0,"",AL268*AM268),"")</f>
        <v/>
      </c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L268">
        <f>IFERROR(INDEX('_names_lookup'!$C:$C,MATCH(BK268,'_names_lookup'!$A:$A,0)),"")</f>
        <v/>
      </c>
      <c r="BM268">
        <f>IFERROR(INDEX('_names_lookup'!$B:$B,MATCH(BK268,'_names_lookup'!$A:$A,0)),"")</f>
        <v/>
      </c>
      <c r="BS268">
        <f>IFERROR(IF(BR268*AA268=0,"",BR268*AA268),"")</f>
        <v/>
      </c>
    </row>
    <row r="269">
      <c r="O269">
        <f>IFERROR(INDEX('_courses_lookup'!$C:$C,MATCH(K269&amp;L269,'_courses_lookup'!$E:$E,0)),"")</f>
        <v/>
      </c>
      <c r="P269">
        <f>IFERROR(INDEX('_courses_lookup'!$D:$D,MATCH(K269&amp;L269,'_courses_lookup'!$E:$E,0)),"")</f>
        <v/>
      </c>
      <c r="AG269">
        <f>IF(AND(AE269&lt;&gt;"",AF269&lt;&gt;""),ROUNDUP((AF269-AE269)/7,0),"")</f>
        <v/>
      </c>
      <c r="AI269">
        <f>IFERROR(IF(AG269*AH269=0,"",AG269*AH269),"")</f>
        <v/>
      </c>
      <c r="AL269">
        <f>IF(AND(AJ269&lt;&gt;"",AK269&lt;&gt;""),ROUNDUP((AK269-AJ269)/7,0),"")</f>
        <v/>
      </c>
      <c r="AN269">
        <f>IFERROR(IF(AL269*AM269=0,"",AL269*AM269),"")</f>
        <v/>
      </c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L269">
        <f>IFERROR(INDEX('_names_lookup'!$C:$C,MATCH(BK269,'_names_lookup'!$A:$A,0)),"")</f>
        <v/>
      </c>
      <c r="BM269">
        <f>IFERROR(INDEX('_names_lookup'!$B:$B,MATCH(BK269,'_names_lookup'!$A:$A,0)),"")</f>
        <v/>
      </c>
      <c r="BS269">
        <f>IFERROR(IF(BR269*AA269=0,"",BR269*AA269),"")</f>
        <v/>
      </c>
    </row>
    <row r="270">
      <c r="O270">
        <f>IFERROR(INDEX('_courses_lookup'!$C:$C,MATCH(K270&amp;L270,'_courses_lookup'!$E:$E,0)),"")</f>
        <v/>
      </c>
      <c r="P270">
        <f>IFERROR(INDEX('_courses_lookup'!$D:$D,MATCH(K270&amp;L270,'_courses_lookup'!$E:$E,0)),"")</f>
        <v/>
      </c>
      <c r="AG270">
        <f>IF(AND(AE270&lt;&gt;"",AF270&lt;&gt;""),ROUNDUP((AF270-AE270)/7,0),"")</f>
        <v/>
      </c>
      <c r="AI270">
        <f>IFERROR(IF(AG270*AH270=0,"",AG270*AH270),"")</f>
        <v/>
      </c>
      <c r="AL270">
        <f>IF(AND(AJ270&lt;&gt;"",AK270&lt;&gt;""),ROUNDUP((AK270-AJ270)/7,0),"")</f>
        <v/>
      </c>
      <c r="AN270">
        <f>IFERROR(IF(AL270*AM270=0,"",AL270*AM270),"")</f>
        <v/>
      </c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L270">
        <f>IFERROR(INDEX('_names_lookup'!$C:$C,MATCH(BK270,'_names_lookup'!$A:$A,0)),"")</f>
        <v/>
      </c>
      <c r="BM270">
        <f>IFERROR(INDEX('_names_lookup'!$B:$B,MATCH(BK270,'_names_lookup'!$A:$A,0)),"")</f>
        <v/>
      </c>
      <c r="BS270">
        <f>IFERROR(IF(BR270*AA270=0,"",BR270*AA270),"")</f>
        <v/>
      </c>
    </row>
    <row r="271">
      <c r="O271">
        <f>IFERROR(INDEX('_courses_lookup'!$C:$C,MATCH(K271&amp;L271,'_courses_lookup'!$E:$E,0)),"")</f>
        <v/>
      </c>
      <c r="P271">
        <f>IFERROR(INDEX('_courses_lookup'!$D:$D,MATCH(K271&amp;L271,'_courses_lookup'!$E:$E,0)),"")</f>
        <v/>
      </c>
      <c r="AG271">
        <f>IF(AND(AE271&lt;&gt;"",AF271&lt;&gt;""),ROUNDUP((AF271-AE271)/7,0),"")</f>
        <v/>
      </c>
      <c r="AI271">
        <f>IFERROR(IF(AG271*AH271=0,"",AG271*AH271),"")</f>
        <v/>
      </c>
      <c r="AL271">
        <f>IF(AND(AJ271&lt;&gt;"",AK271&lt;&gt;""),ROUNDUP((AK271-AJ271)/7,0),"")</f>
        <v/>
      </c>
      <c r="AN271">
        <f>IFERROR(IF(AL271*AM271=0,"",AL271*AM271),"")</f>
        <v/>
      </c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L271">
        <f>IFERROR(INDEX('_names_lookup'!$C:$C,MATCH(BK271,'_names_lookup'!$A:$A,0)),"")</f>
        <v/>
      </c>
      <c r="BM271">
        <f>IFERROR(INDEX('_names_lookup'!$B:$B,MATCH(BK271,'_names_lookup'!$A:$A,0)),"")</f>
        <v/>
      </c>
      <c r="BS271">
        <f>IFERROR(IF(BR271*AA271=0,"",BR271*AA271),"")</f>
        <v/>
      </c>
    </row>
    <row r="272">
      <c r="O272">
        <f>IFERROR(INDEX('_courses_lookup'!$C:$C,MATCH(K272&amp;L272,'_courses_lookup'!$E:$E,0)),"")</f>
        <v/>
      </c>
      <c r="P272">
        <f>IFERROR(INDEX('_courses_lookup'!$D:$D,MATCH(K272&amp;L272,'_courses_lookup'!$E:$E,0)),"")</f>
        <v/>
      </c>
      <c r="AG272">
        <f>IF(AND(AE272&lt;&gt;"",AF272&lt;&gt;""),ROUNDUP((AF272-AE272)/7,0),"")</f>
        <v/>
      </c>
      <c r="AI272">
        <f>IFERROR(IF(AG272*AH272=0,"",AG272*AH272),"")</f>
        <v/>
      </c>
      <c r="AL272">
        <f>IF(AND(AJ272&lt;&gt;"",AK272&lt;&gt;""),ROUNDUP((AK272-AJ272)/7,0),"")</f>
        <v/>
      </c>
      <c r="AN272">
        <f>IFERROR(IF(AL272*AM272=0,"",AL272*AM272),"")</f>
        <v/>
      </c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L272">
        <f>IFERROR(INDEX('_names_lookup'!$C:$C,MATCH(BK272,'_names_lookup'!$A:$A,0)),"")</f>
        <v/>
      </c>
      <c r="BM272">
        <f>IFERROR(INDEX('_names_lookup'!$B:$B,MATCH(BK272,'_names_lookup'!$A:$A,0)),"")</f>
        <v/>
      </c>
      <c r="BS272">
        <f>IFERROR(IF(BR272*AA272=0,"",BR272*AA272),"")</f>
        <v/>
      </c>
    </row>
    <row r="273">
      <c r="O273">
        <f>IFERROR(INDEX('_courses_lookup'!$C:$C,MATCH(K273&amp;L273,'_courses_lookup'!$E:$E,0)),"")</f>
        <v/>
      </c>
      <c r="P273">
        <f>IFERROR(INDEX('_courses_lookup'!$D:$D,MATCH(K273&amp;L273,'_courses_lookup'!$E:$E,0)),"")</f>
        <v/>
      </c>
      <c r="AG273">
        <f>IF(AND(AE273&lt;&gt;"",AF273&lt;&gt;""),ROUNDUP((AF273-AE273)/7,0),"")</f>
        <v/>
      </c>
      <c r="AI273">
        <f>IFERROR(IF(AG273*AH273=0,"",AG273*AH273),"")</f>
        <v/>
      </c>
      <c r="AL273">
        <f>IF(AND(AJ273&lt;&gt;"",AK273&lt;&gt;""),ROUNDUP((AK273-AJ273)/7,0),"")</f>
        <v/>
      </c>
      <c r="AN273">
        <f>IFERROR(IF(AL273*AM273=0,"",AL273*AM273),"")</f>
        <v/>
      </c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L273">
        <f>IFERROR(INDEX('_names_lookup'!$C:$C,MATCH(BK273,'_names_lookup'!$A:$A,0)),"")</f>
        <v/>
      </c>
      <c r="BM273">
        <f>IFERROR(INDEX('_names_lookup'!$B:$B,MATCH(BK273,'_names_lookup'!$A:$A,0)),"")</f>
        <v/>
      </c>
      <c r="BS273">
        <f>IFERROR(IF(BR273*AA273=0,"",BR273*AA273),"")</f>
        <v/>
      </c>
    </row>
    <row r="274">
      <c r="O274">
        <f>IFERROR(INDEX('_courses_lookup'!$C:$C,MATCH(K274&amp;L274,'_courses_lookup'!$E:$E,0)),"")</f>
        <v/>
      </c>
      <c r="P274">
        <f>IFERROR(INDEX('_courses_lookup'!$D:$D,MATCH(K274&amp;L274,'_courses_lookup'!$E:$E,0)),"")</f>
        <v/>
      </c>
      <c r="AG274">
        <f>IF(AND(AE274&lt;&gt;"",AF274&lt;&gt;""),ROUNDUP((AF274-AE274)/7,0),"")</f>
        <v/>
      </c>
      <c r="AI274">
        <f>IFERROR(IF(AG274*AH274=0,"",AG274*AH274),"")</f>
        <v/>
      </c>
      <c r="AL274">
        <f>IF(AND(AJ274&lt;&gt;"",AK274&lt;&gt;""),ROUNDUP((AK274-AJ274)/7,0),"")</f>
        <v/>
      </c>
      <c r="AN274">
        <f>IFERROR(IF(AL274*AM274=0,"",AL274*AM274),"")</f>
        <v/>
      </c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L274">
        <f>IFERROR(INDEX('_names_lookup'!$C:$C,MATCH(BK274,'_names_lookup'!$A:$A,0)),"")</f>
        <v/>
      </c>
      <c r="BM274">
        <f>IFERROR(INDEX('_names_lookup'!$B:$B,MATCH(BK274,'_names_lookup'!$A:$A,0)),"")</f>
        <v/>
      </c>
      <c r="BS274">
        <f>IFERROR(IF(BR274*AA274=0,"",BR274*AA274),"")</f>
        <v/>
      </c>
    </row>
    <row r="275">
      <c r="O275">
        <f>IFERROR(INDEX('_courses_lookup'!$C:$C,MATCH(K275&amp;L275,'_courses_lookup'!$E:$E,0)),"")</f>
        <v/>
      </c>
      <c r="P275">
        <f>IFERROR(INDEX('_courses_lookup'!$D:$D,MATCH(K275&amp;L275,'_courses_lookup'!$E:$E,0)),"")</f>
        <v/>
      </c>
      <c r="AG275">
        <f>IF(AND(AE275&lt;&gt;"",AF275&lt;&gt;""),ROUNDUP((AF275-AE275)/7,0),"")</f>
        <v/>
      </c>
      <c r="AI275">
        <f>IFERROR(IF(AG275*AH275=0,"",AG275*AH275),"")</f>
        <v/>
      </c>
      <c r="AL275">
        <f>IF(AND(AJ275&lt;&gt;"",AK275&lt;&gt;""),ROUNDUP((AK275-AJ275)/7,0),"")</f>
        <v/>
      </c>
      <c r="AN275">
        <f>IFERROR(IF(AL275*AM275=0,"",AL275*AM275),"")</f>
        <v/>
      </c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L275">
        <f>IFERROR(INDEX('_names_lookup'!$C:$C,MATCH(BK275,'_names_lookup'!$A:$A,0)),"")</f>
        <v/>
      </c>
      <c r="BM275">
        <f>IFERROR(INDEX('_names_lookup'!$B:$B,MATCH(BK275,'_names_lookup'!$A:$A,0)),"")</f>
        <v/>
      </c>
      <c r="BS275">
        <f>IFERROR(IF(BR275*AA275=0,"",BR275*AA275),"")</f>
        <v/>
      </c>
    </row>
    <row r="276">
      <c r="O276">
        <f>IFERROR(INDEX('_courses_lookup'!$C:$C,MATCH(K276&amp;L276,'_courses_lookup'!$E:$E,0)),"")</f>
        <v/>
      </c>
      <c r="P276">
        <f>IFERROR(INDEX('_courses_lookup'!$D:$D,MATCH(K276&amp;L276,'_courses_lookup'!$E:$E,0)),"")</f>
        <v/>
      </c>
      <c r="AG276">
        <f>IF(AND(AE276&lt;&gt;"",AF276&lt;&gt;""),ROUNDUP((AF276-AE276)/7,0),"")</f>
        <v/>
      </c>
      <c r="AI276">
        <f>IFERROR(IF(AG276*AH276=0,"",AG276*AH276),"")</f>
        <v/>
      </c>
      <c r="AL276">
        <f>IF(AND(AJ276&lt;&gt;"",AK276&lt;&gt;""),ROUNDUP((AK276-AJ276)/7,0),"")</f>
        <v/>
      </c>
      <c r="AN276">
        <f>IFERROR(IF(AL276*AM276=0,"",AL276*AM276),"")</f>
        <v/>
      </c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L276">
        <f>IFERROR(INDEX('_names_lookup'!$C:$C,MATCH(BK276,'_names_lookup'!$A:$A,0)),"")</f>
        <v/>
      </c>
      <c r="BM276">
        <f>IFERROR(INDEX('_names_lookup'!$B:$B,MATCH(BK276,'_names_lookup'!$A:$A,0)),"")</f>
        <v/>
      </c>
      <c r="BS276">
        <f>IFERROR(IF(BR276*AA276=0,"",BR276*AA276),"")</f>
        <v/>
      </c>
    </row>
    <row r="277">
      <c r="O277">
        <f>IFERROR(INDEX('_courses_lookup'!$C:$C,MATCH(K277&amp;L277,'_courses_lookup'!$E:$E,0)),"")</f>
        <v/>
      </c>
      <c r="P277">
        <f>IFERROR(INDEX('_courses_lookup'!$D:$D,MATCH(K277&amp;L277,'_courses_lookup'!$E:$E,0)),"")</f>
        <v/>
      </c>
      <c r="AG277">
        <f>IF(AND(AE277&lt;&gt;"",AF277&lt;&gt;""),ROUNDUP((AF277-AE277)/7,0),"")</f>
        <v/>
      </c>
      <c r="AI277">
        <f>IFERROR(IF(AG277*AH277=0,"",AG277*AH277),"")</f>
        <v/>
      </c>
      <c r="AL277">
        <f>IF(AND(AJ277&lt;&gt;"",AK277&lt;&gt;""),ROUNDUP((AK277-AJ277)/7,0),"")</f>
        <v/>
      </c>
      <c r="AN277">
        <f>IFERROR(IF(AL277*AM277=0,"",AL277*AM277),"")</f>
        <v/>
      </c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L277">
        <f>IFERROR(INDEX('_names_lookup'!$C:$C,MATCH(BK277,'_names_lookup'!$A:$A,0)),"")</f>
        <v/>
      </c>
      <c r="BM277">
        <f>IFERROR(INDEX('_names_lookup'!$B:$B,MATCH(BK277,'_names_lookup'!$A:$A,0)),"")</f>
        <v/>
      </c>
      <c r="BS277">
        <f>IFERROR(IF(BR277*AA277=0,"",BR277*AA277),"")</f>
        <v/>
      </c>
    </row>
    <row r="278">
      <c r="O278">
        <f>IFERROR(INDEX('_courses_lookup'!$C:$C,MATCH(K278&amp;L278,'_courses_lookup'!$E:$E,0)),"")</f>
        <v/>
      </c>
      <c r="P278">
        <f>IFERROR(INDEX('_courses_lookup'!$D:$D,MATCH(K278&amp;L278,'_courses_lookup'!$E:$E,0)),"")</f>
        <v/>
      </c>
      <c r="AG278">
        <f>IF(AND(AE278&lt;&gt;"",AF278&lt;&gt;""),ROUNDUP((AF278-AE278)/7,0),"")</f>
        <v/>
      </c>
      <c r="AI278">
        <f>IFERROR(IF(AG278*AH278=0,"",AG278*AH278),"")</f>
        <v/>
      </c>
      <c r="AL278">
        <f>IF(AND(AJ278&lt;&gt;"",AK278&lt;&gt;""),ROUNDUP((AK278-AJ278)/7,0),"")</f>
        <v/>
      </c>
      <c r="AN278">
        <f>IFERROR(IF(AL278*AM278=0,"",AL278*AM278),"")</f>
        <v/>
      </c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L278">
        <f>IFERROR(INDEX('_names_lookup'!$C:$C,MATCH(BK278,'_names_lookup'!$A:$A,0)),"")</f>
        <v/>
      </c>
      <c r="BM278">
        <f>IFERROR(INDEX('_names_lookup'!$B:$B,MATCH(BK278,'_names_lookup'!$A:$A,0)),"")</f>
        <v/>
      </c>
      <c r="BS278">
        <f>IFERROR(IF(BR278*AA278=0,"",BR278*AA278),"")</f>
        <v/>
      </c>
    </row>
    <row r="279">
      <c r="O279">
        <f>IFERROR(INDEX('_courses_lookup'!$C:$C,MATCH(K279&amp;L279,'_courses_lookup'!$E:$E,0)),"")</f>
        <v/>
      </c>
      <c r="P279">
        <f>IFERROR(INDEX('_courses_lookup'!$D:$D,MATCH(K279&amp;L279,'_courses_lookup'!$E:$E,0)),"")</f>
        <v/>
      </c>
      <c r="AG279">
        <f>IF(AND(AE279&lt;&gt;"",AF279&lt;&gt;""),ROUNDUP((AF279-AE279)/7,0),"")</f>
        <v/>
      </c>
      <c r="AI279">
        <f>IFERROR(IF(AG279*AH279=0,"",AG279*AH279),"")</f>
        <v/>
      </c>
      <c r="AL279">
        <f>IF(AND(AJ279&lt;&gt;"",AK279&lt;&gt;""),ROUNDUP((AK279-AJ279)/7,0),"")</f>
        <v/>
      </c>
      <c r="AN279">
        <f>IFERROR(IF(AL279*AM279=0,"",AL279*AM279),"")</f>
        <v/>
      </c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L279">
        <f>IFERROR(INDEX('_names_lookup'!$C:$C,MATCH(BK279,'_names_lookup'!$A:$A,0)),"")</f>
        <v/>
      </c>
      <c r="BM279">
        <f>IFERROR(INDEX('_names_lookup'!$B:$B,MATCH(BK279,'_names_lookup'!$A:$A,0)),"")</f>
        <v/>
      </c>
      <c r="BS279">
        <f>IFERROR(IF(BR279*AA279=0,"",BR279*AA279),"")</f>
        <v/>
      </c>
    </row>
    <row r="280">
      <c r="O280">
        <f>IFERROR(INDEX('_courses_lookup'!$C:$C,MATCH(K280&amp;L280,'_courses_lookup'!$E:$E,0)),"")</f>
        <v/>
      </c>
      <c r="P280">
        <f>IFERROR(INDEX('_courses_lookup'!$D:$D,MATCH(K280&amp;L280,'_courses_lookup'!$E:$E,0)),"")</f>
        <v/>
      </c>
      <c r="AG280">
        <f>IF(AND(AE280&lt;&gt;"",AF280&lt;&gt;""),ROUNDUP((AF280-AE280)/7,0),"")</f>
        <v/>
      </c>
      <c r="AI280">
        <f>IFERROR(IF(AG280*AH280=0,"",AG280*AH280),"")</f>
        <v/>
      </c>
      <c r="AL280">
        <f>IF(AND(AJ280&lt;&gt;"",AK280&lt;&gt;""),ROUNDUP((AK280-AJ280)/7,0),"")</f>
        <v/>
      </c>
      <c r="AN280">
        <f>IFERROR(IF(AL280*AM280=0,"",AL280*AM280),"")</f>
        <v/>
      </c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L280">
        <f>IFERROR(INDEX('_names_lookup'!$C:$C,MATCH(BK280,'_names_lookup'!$A:$A,0)),"")</f>
        <v/>
      </c>
      <c r="BM280">
        <f>IFERROR(INDEX('_names_lookup'!$B:$B,MATCH(BK280,'_names_lookup'!$A:$A,0)),"")</f>
        <v/>
      </c>
      <c r="BS280">
        <f>IFERROR(IF(BR280*AA280=0,"",BR280*AA280),"")</f>
        <v/>
      </c>
    </row>
    <row r="281">
      <c r="O281">
        <f>IFERROR(INDEX('_courses_lookup'!$C:$C,MATCH(K281&amp;L281,'_courses_lookup'!$E:$E,0)),"")</f>
        <v/>
      </c>
      <c r="P281">
        <f>IFERROR(INDEX('_courses_lookup'!$D:$D,MATCH(K281&amp;L281,'_courses_lookup'!$E:$E,0)),"")</f>
        <v/>
      </c>
      <c r="AG281">
        <f>IF(AND(AE281&lt;&gt;"",AF281&lt;&gt;""),ROUNDUP((AF281-AE281)/7,0),"")</f>
        <v/>
      </c>
      <c r="AI281">
        <f>IFERROR(IF(AG281*AH281=0,"",AG281*AH281),"")</f>
        <v/>
      </c>
      <c r="AL281">
        <f>IF(AND(AJ281&lt;&gt;"",AK281&lt;&gt;""),ROUNDUP((AK281-AJ281)/7,0),"")</f>
        <v/>
      </c>
      <c r="AN281">
        <f>IFERROR(IF(AL281*AM281=0,"",AL281*AM281),"")</f>
        <v/>
      </c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L281">
        <f>IFERROR(INDEX('_names_lookup'!$C:$C,MATCH(BK281,'_names_lookup'!$A:$A,0)),"")</f>
        <v/>
      </c>
      <c r="BM281">
        <f>IFERROR(INDEX('_names_lookup'!$B:$B,MATCH(BK281,'_names_lookup'!$A:$A,0)),"")</f>
        <v/>
      </c>
      <c r="BS281">
        <f>IFERROR(IF(BR281*AA281=0,"",BR281*AA281),"")</f>
        <v/>
      </c>
    </row>
    <row r="282">
      <c r="O282">
        <f>IFERROR(INDEX('_courses_lookup'!$C:$C,MATCH(K282&amp;L282,'_courses_lookup'!$E:$E,0)),"")</f>
        <v/>
      </c>
      <c r="P282">
        <f>IFERROR(INDEX('_courses_lookup'!$D:$D,MATCH(K282&amp;L282,'_courses_lookup'!$E:$E,0)),"")</f>
        <v/>
      </c>
      <c r="AG282">
        <f>IF(AND(AE282&lt;&gt;"",AF282&lt;&gt;""),ROUNDUP((AF282-AE282)/7,0),"")</f>
        <v/>
      </c>
      <c r="AI282">
        <f>IFERROR(IF(AG282*AH282=0,"",AG282*AH282),"")</f>
        <v/>
      </c>
      <c r="AL282">
        <f>IF(AND(AJ282&lt;&gt;"",AK282&lt;&gt;""),ROUNDUP((AK282-AJ282)/7,0),"")</f>
        <v/>
      </c>
      <c r="AN282">
        <f>IFERROR(IF(AL282*AM282=0,"",AL282*AM282),"")</f>
        <v/>
      </c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L282">
        <f>IFERROR(INDEX('_names_lookup'!$C:$C,MATCH(BK282,'_names_lookup'!$A:$A,0)),"")</f>
        <v/>
      </c>
      <c r="BM282">
        <f>IFERROR(INDEX('_names_lookup'!$B:$B,MATCH(BK282,'_names_lookup'!$A:$A,0)),"")</f>
        <v/>
      </c>
      <c r="BS282">
        <f>IFERROR(IF(BR282*AA282=0,"",BR282*AA282),"")</f>
        <v/>
      </c>
    </row>
    <row r="283">
      <c r="O283">
        <f>IFERROR(INDEX('_courses_lookup'!$C:$C,MATCH(K283&amp;L283,'_courses_lookup'!$E:$E,0)),"")</f>
        <v/>
      </c>
      <c r="P283">
        <f>IFERROR(INDEX('_courses_lookup'!$D:$D,MATCH(K283&amp;L283,'_courses_lookup'!$E:$E,0)),"")</f>
        <v/>
      </c>
      <c r="AG283">
        <f>IF(AND(AE283&lt;&gt;"",AF283&lt;&gt;""),ROUNDUP((AF283-AE283)/7,0),"")</f>
        <v/>
      </c>
      <c r="AI283">
        <f>IFERROR(IF(AG283*AH283=0,"",AG283*AH283),"")</f>
        <v/>
      </c>
      <c r="AL283">
        <f>IF(AND(AJ283&lt;&gt;"",AK283&lt;&gt;""),ROUNDUP((AK283-AJ283)/7,0),"")</f>
        <v/>
      </c>
      <c r="AN283">
        <f>IFERROR(IF(AL283*AM283=0,"",AL283*AM283),"")</f>
        <v/>
      </c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L283">
        <f>IFERROR(INDEX('_names_lookup'!$C:$C,MATCH(BK283,'_names_lookup'!$A:$A,0)),"")</f>
        <v/>
      </c>
      <c r="BM283">
        <f>IFERROR(INDEX('_names_lookup'!$B:$B,MATCH(BK283,'_names_lookup'!$A:$A,0)),"")</f>
        <v/>
      </c>
      <c r="BS283">
        <f>IFERROR(IF(BR283*AA283=0,"",BR283*AA283),"")</f>
        <v/>
      </c>
    </row>
    <row r="284">
      <c r="O284">
        <f>IFERROR(INDEX('_courses_lookup'!$C:$C,MATCH(K284&amp;L284,'_courses_lookup'!$E:$E,0)),"")</f>
        <v/>
      </c>
      <c r="P284">
        <f>IFERROR(INDEX('_courses_lookup'!$D:$D,MATCH(K284&amp;L284,'_courses_lookup'!$E:$E,0)),"")</f>
        <v/>
      </c>
      <c r="AG284">
        <f>IF(AND(AE284&lt;&gt;"",AF284&lt;&gt;""),ROUNDUP((AF284-AE284)/7,0),"")</f>
        <v/>
      </c>
      <c r="AI284">
        <f>IFERROR(IF(AG284*AH284=0,"",AG284*AH284),"")</f>
        <v/>
      </c>
      <c r="AL284">
        <f>IF(AND(AJ284&lt;&gt;"",AK284&lt;&gt;""),ROUNDUP((AK284-AJ284)/7,0),"")</f>
        <v/>
      </c>
      <c r="AN284">
        <f>IFERROR(IF(AL284*AM284=0,"",AL284*AM284),"")</f>
        <v/>
      </c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L284">
        <f>IFERROR(INDEX('_names_lookup'!$C:$C,MATCH(BK284,'_names_lookup'!$A:$A,0)),"")</f>
        <v/>
      </c>
      <c r="BM284">
        <f>IFERROR(INDEX('_names_lookup'!$B:$B,MATCH(BK284,'_names_lookup'!$A:$A,0)),"")</f>
        <v/>
      </c>
      <c r="BS284">
        <f>IFERROR(IF(BR284*AA284=0,"",BR284*AA284),"")</f>
        <v/>
      </c>
    </row>
    <row r="285">
      <c r="O285">
        <f>IFERROR(INDEX('_courses_lookup'!$C:$C,MATCH(K285&amp;L285,'_courses_lookup'!$E:$E,0)),"")</f>
        <v/>
      </c>
      <c r="P285">
        <f>IFERROR(INDEX('_courses_lookup'!$D:$D,MATCH(K285&amp;L285,'_courses_lookup'!$E:$E,0)),"")</f>
        <v/>
      </c>
      <c r="AG285">
        <f>IF(AND(AE285&lt;&gt;"",AF285&lt;&gt;""),ROUNDUP((AF285-AE285)/7,0),"")</f>
        <v/>
      </c>
      <c r="AI285">
        <f>IFERROR(IF(AG285*AH285=0,"",AG285*AH285),"")</f>
        <v/>
      </c>
      <c r="AL285">
        <f>IF(AND(AJ285&lt;&gt;"",AK285&lt;&gt;""),ROUNDUP((AK285-AJ285)/7,0),"")</f>
        <v/>
      </c>
      <c r="AN285">
        <f>IFERROR(IF(AL285*AM285=0,"",AL285*AM285),"")</f>
        <v/>
      </c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L285">
        <f>IFERROR(INDEX('_names_lookup'!$C:$C,MATCH(BK285,'_names_lookup'!$A:$A,0)),"")</f>
        <v/>
      </c>
      <c r="BM285">
        <f>IFERROR(INDEX('_names_lookup'!$B:$B,MATCH(BK285,'_names_lookup'!$A:$A,0)),"")</f>
        <v/>
      </c>
      <c r="BS285">
        <f>IFERROR(IF(BR285*AA285=0,"",BR285*AA285),"")</f>
        <v/>
      </c>
    </row>
    <row r="286">
      <c r="O286">
        <f>IFERROR(INDEX('_courses_lookup'!$C:$C,MATCH(K286&amp;L286,'_courses_lookup'!$E:$E,0)),"")</f>
        <v/>
      </c>
      <c r="P286">
        <f>IFERROR(INDEX('_courses_lookup'!$D:$D,MATCH(K286&amp;L286,'_courses_lookup'!$E:$E,0)),"")</f>
        <v/>
      </c>
      <c r="AG286">
        <f>IF(AND(AE286&lt;&gt;"",AF286&lt;&gt;""),ROUNDUP((AF286-AE286)/7,0),"")</f>
        <v/>
      </c>
      <c r="AI286">
        <f>IFERROR(IF(AG286*AH286=0,"",AG286*AH286),"")</f>
        <v/>
      </c>
      <c r="AL286">
        <f>IF(AND(AJ286&lt;&gt;"",AK286&lt;&gt;""),ROUNDUP((AK286-AJ286)/7,0),"")</f>
        <v/>
      </c>
      <c r="AN286">
        <f>IFERROR(IF(AL286*AM286=0,"",AL286*AM286),"")</f>
        <v/>
      </c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L286">
        <f>IFERROR(INDEX('_names_lookup'!$C:$C,MATCH(BK286,'_names_lookup'!$A:$A,0)),"")</f>
        <v/>
      </c>
      <c r="BM286">
        <f>IFERROR(INDEX('_names_lookup'!$B:$B,MATCH(BK286,'_names_lookup'!$A:$A,0)),"")</f>
        <v/>
      </c>
      <c r="BS286">
        <f>IFERROR(IF(BR286*AA286=0,"",BR286*AA286),"")</f>
        <v/>
      </c>
    </row>
    <row r="287">
      <c r="O287">
        <f>IFERROR(INDEX('_courses_lookup'!$C:$C,MATCH(K287&amp;L287,'_courses_lookup'!$E:$E,0)),"")</f>
        <v/>
      </c>
      <c r="P287">
        <f>IFERROR(INDEX('_courses_lookup'!$D:$D,MATCH(K287&amp;L287,'_courses_lookup'!$E:$E,0)),"")</f>
        <v/>
      </c>
      <c r="AG287">
        <f>IF(AND(AE287&lt;&gt;"",AF287&lt;&gt;""),ROUNDUP((AF287-AE287)/7,0),"")</f>
        <v/>
      </c>
      <c r="AI287">
        <f>IFERROR(IF(AG287*AH287=0,"",AG287*AH287),"")</f>
        <v/>
      </c>
      <c r="AL287">
        <f>IF(AND(AJ287&lt;&gt;"",AK287&lt;&gt;""),ROUNDUP((AK287-AJ287)/7,0),"")</f>
        <v/>
      </c>
      <c r="AN287">
        <f>IFERROR(IF(AL287*AM287=0,"",AL287*AM287),"")</f>
        <v/>
      </c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L287">
        <f>IFERROR(INDEX('_names_lookup'!$C:$C,MATCH(BK287,'_names_lookup'!$A:$A,0)),"")</f>
        <v/>
      </c>
      <c r="BM287">
        <f>IFERROR(INDEX('_names_lookup'!$B:$B,MATCH(BK287,'_names_lookup'!$A:$A,0)),"")</f>
        <v/>
      </c>
      <c r="BS287">
        <f>IFERROR(IF(BR287*AA287=0,"",BR287*AA287),"")</f>
        <v/>
      </c>
    </row>
    <row r="288">
      <c r="O288">
        <f>IFERROR(INDEX('_courses_lookup'!$C:$C,MATCH(K288&amp;L288,'_courses_lookup'!$E:$E,0)),"")</f>
        <v/>
      </c>
      <c r="P288">
        <f>IFERROR(INDEX('_courses_lookup'!$D:$D,MATCH(K288&amp;L288,'_courses_lookup'!$E:$E,0)),"")</f>
        <v/>
      </c>
      <c r="AG288">
        <f>IF(AND(AE288&lt;&gt;"",AF288&lt;&gt;""),ROUNDUP((AF288-AE288)/7,0),"")</f>
        <v/>
      </c>
      <c r="AI288">
        <f>IFERROR(IF(AG288*AH288=0,"",AG288*AH288),"")</f>
        <v/>
      </c>
      <c r="AL288">
        <f>IF(AND(AJ288&lt;&gt;"",AK288&lt;&gt;""),ROUNDUP((AK288-AJ288)/7,0),"")</f>
        <v/>
      </c>
      <c r="AN288">
        <f>IFERROR(IF(AL288*AM288=0,"",AL288*AM288),"")</f>
        <v/>
      </c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L288">
        <f>IFERROR(INDEX('_names_lookup'!$C:$C,MATCH(BK288,'_names_lookup'!$A:$A,0)),"")</f>
        <v/>
      </c>
      <c r="BM288">
        <f>IFERROR(INDEX('_names_lookup'!$B:$B,MATCH(BK288,'_names_lookup'!$A:$A,0)),"")</f>
        <v/>
      </c>
      <c r="BS288">
        <f>IFERROR(IF(BR288*AA288=0,"",BR288*AA288),"")</f>
        <v/>
      </c>
    </row>
    <row r="289">
      <c r="O289">
        <f>IFERROR(INDEX('_courses_lookup'!$C:$C,MATCH(K289&amp;L289,'_courses_lookup'!$E:$E,0)),"")</f>
        <v/>
      </c>
      <c r="P289">
        <f>IFERROR(INDEX('_courses_lookup'!$D:$D,MATCH(K289&amp;L289,'_courses_lookup'!$E:$E,0)),"")</f>
        <v/>
      </c>
      <c r="AG289">
        <f>IF(AND(AE289&lt;&gt;"",AF289&lt;&gt;""),ROUNDUP((AF289-AE289)/7,0),"")</f>
        <v/>
      </c>
      <c r="AI289">
        <f>IFERROR(IF(AG289*AH289=0,"",AG289*AH289),"")</f>
        <v/>
      </c>
      <c r="AL289">
        <f>IF(AND(AJ289&lt;&gt;"",AK289&lt;&gt;""),ROUNDUP((AK289-AJ289)/7,0),"")</f>
        <v/>
      </c>
      <c r="AN289">
        <f>IFERROR(IF(AL289*AM289=0,"",AL289*AM289),"")</f>
        <v/>
      </c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L289">
        <f>IFERROR(INDEX('_names_lookup'!$C:$C,MATCH(BK289,'_names_lookup'!$A:$A,0)),"")</f>
        <v/>
      </c>
      <c r="BM289">
        <f>IFERROR(INDEX('_names_lookup'!$B:$B,MATCH(BK289,'_names_lookup'!$A:$A,0)),"")</f>
        <v/>
      </c>
      <c r="BS289">
        <f>IFERROR(IF(BR289*AA289=0,"",BR289*AA289),"")</f>
        <v/>
      </c>
    </row>
    <row r="290">
      <c r="O290">
        <f>IFERROR(INDEX('_courses_lookup'!$C:$C,MATCH(K290&amp;L290,'_courses_lookup'!$E:$E,0)),"")</f>
        <v/>
      </c>
      <c r="P290">
        <f>IFERROR(INDEX('_courses_lookup'!$D:$D,MATCH(K290&amp;L290,'_courses_lookup'!$E:$E,0)),"")</f>
        <v/>
      </c>
      <c r="AG290">
        <f>IF(AND(AE290&lt;&gt;"",AF290&lt;&gt;""),ROUNDUP((AF290-AE290)/7,0),"")</f>
        <v/>
      </c>
      <c r="AI290">
        <f>IFERROR(IF(AG290*AH290=0,"",AG290*AH290),"")</f>
        <v/>
      </c>
      <c r="AL290">
        <f>IF(AND(AJ290&lt;&gt;"",AK290&lt;&gt;""),ROUNDUP((AK290-AJ290)/7,0),"")</f>
        <v/>
      </c>
      <c r="AN290">
        <f>IFERROR(IF(AL290*AM290=0,"",AL290*AM290),"")</f>
        <v/>
      </c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L290">
        <f>IFERROR(INDEX('_names_lookup'!$C:$C,MATCH(BK290,'_names_lookup'!$A:$A,0)),"")</f>
        <v/>
      </c>
      <c r="BM290">
        <f>IFERROR(INDEX('_names_lookup'!$B:$B,MATCH(BK290,'_names_lookup'!$A:$A,0)),"")</f>
        <v/>
      </c>
      <c r="BS290">
        <f>IFERROR(IF(BR290*AA290=0,"",BR290*AA290),"")</f>
        <v/>
      </c>
    </row>
    <row r="291">
      <c r="O291">
        <f>IFERROR(INDEX('_courses_lookup'!$C:$C,MATCH(K291&amp;L291,'_courses_lookup'!$E:$E,0)),"")</f>
        <v/>
      </c>
      <c r="P291">
        <f>IFERROR(INDEX('_courses_lookup'!$D:$D,MATCH(K291&amp;L291,'_courses_lookup'!$E:$E,0)),"")</f>
        <v/>
      </c>
      <c r="AG291">
        <f>IF(AND(AE291&lt;&gt;"",AF291&lt;&gt;""),ROUNDUP((AF291-AE291)/7,0),"")</f>
        <v/>
      </c>
      <c r="AI291">
        <f>IFERROR(IF(AG291*AH291=0,"",AG291*AH291),"")</f>
        <v/>
      </c>
      <c r="AL291">
        <f>IF(AND(AJ291&lt;&gt;"",AK291&lt;&gt;""),ROUNDUP((AK291-AJ291)/7,0),"")</f>
        <v/>
      </c>
      <c r="AN291">
        <f>IFERROR(IF(AL291*AM291=0,"",AL291*AM291),"")</f>
        <v/>
      </c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L291">
        <f>IFERROR(INDEX('_names_lookup'!$C:$C,MATCH(BK291,'_names_lookup'!$A:$A,0)),"")</f>
        <v/>
      </c>
      <c r="BM291">
        <f>IFERROR(INDEX('_names_lookup'!$B:$B,MATCH(BK291,'_names_lookup'!$A:$A,0)),"")</f>
        <v/>
      </c>
      <c r="BS291">
        <f>IFERROR(IF(BR291*AA291=0,"",BR291*AA291),"")</f>
        <v/>
      </c>
    </row>
    <row r="292">
      <c r="O292">
        <f>IFERROR(INDEX('_courses_lookup'!$C:$C,MATCH(K292&amp;L292,'_courses_lookup'!$E:$E,0)),"")</f>
        <v/>
      </c>
      <c r="P292">
        <f>IFERROR(INDEX('_courses_lookup'!$D:$D,MATCH(K292&amp;L292,'_courses_lookup'!$E:$E,0)),"")</f>
        <v/>
      </c>
      <c r="AG292">
        <f>IF(AND(AE292&lt;&gt;"",AF292&lt;&gt;""),ROUNDUP((AF292-AE292)/7,0),"")</f>
        <v/>
      </c>
      <c r="AI292">
        <f>IFERROR(IF(AG292*AH292=0,"",AG292*AH292),"")</f>
        <v/>
      </c>
      <c r="AL292">
        <f>IF(AND(AJ292&lt;&gt;"",AK292&lt;&gt;""),ROUNDUP((AK292-AJ292)/7,0),"")</f>
        <v/>
      </c>
      <c r="AN292">
        <f>IFERROR(IF(AL292*AM292=0,"",AL292*AM292),"")</f>
        <v/>
      </c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L292">
        <f>IFERROR(INDEX('_names_lookup'!$C:$C,MATCH(BK292,'_names_lookup'!$A:$A,0)),"")</f>
        <v/>
      </c>
      <c r="BM292">
        <f>IFERROR(INDEX('_names_lookup'!$B:$B,MATCH(BK292,'_names_lookup'!$A:$A,0)),"")</f>
        <v/>
      </c>
      <c r="BS292">
        <f>IFERROR(IF(BR292*AA292=0,"",BR292*AA292),"")</f>
        <v/>
      </c>
    </row>
    <row r="293">
      <c r="O293">
        <f>IFERROR(INDEX('_courses_lookup'!$C:$C,MATCH(K293&amp;L293,'_courses_lookup'!$E:$E,0)),"")</f>
        <v/>
      </c>
      <c r="P293">
        <f>IFERROR(INDEX('_courses_lookup'!$D:$D,MATCH(K293&amp;L293,'_courses_lookup'!$E:$E,0)),"")</f>
        <v/>
      </c>
      <c r="AG293">
        <f>IF(AND(AE293&lt;&gt;"",AF293&lt;&gt;""),ROUNDUP((AF293-AE293)/7,0),"")</f>
        <v/>
      </c>
      <c r="AI293">
        <f>IFERROR(IF(AG293*AH293=0,"",AG293*AH293),"")</f>
        <v/>
      </c>
      <c r="AL293">
        <f>IF(AND(AJ293&lt;&gt;"",AK293&lt;&gt;""),ROUNDUP((AK293-AJ293)/7,0),"")</f>
        <v/>
      </c>
      <c r="AN293">
        <f>IFERROR(IF(AL293*AM293=0,"",AL293*AM293),"")</f>
        <v/>
      </c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L293">
        <f>IFERROR(INDEX('_names_lookup'!$C:$C,MATCH(BK293,'_names_lookup'!$A:$A,0)),"")</f>
        <v/>
      </c>
      <c r="BM293">
        <f>IFERROR(INDEX('_names_lookup'!$B:$B,MATCH(BK293,'_names_lookup'!$A:$A,0)),"")</f>
        <v/>
      </c>
      <c r="BS293">
        <f>IFERROR(IF(BR293*AA293=0,"",BR293*AA293),"")</f>
        <v/>
      </c>
    </row>
    <row r="294">
      <c r="O294">
        <f>IFERROR(INDEX('_courses_lookup'!$C:$C,MATCH(K294&amp;L294,'_courses_lookup'!$E:$E,0)),"")</f>
        <v/>
      </c>
      <c r="P294">
        <f>IFERROR(INDEX('_courses_lookup'!$D:$D,MATCH(K294&amp;L294,'_courses_lookup'!$E:$E,0)),"")</f>
        <v/>
      </c>
      <c r="AG294">
        <f>IF(AND(AE294&lt;&gt;"",AF294&lt;&gt;""),ROUNDUP((AF294-AE294)/7,0),"")</f>
        <v/>
      </c>
      <c r="AI294">
        <f>IFERROR(IF(AG294*AH294=0,"",AG294*AH294),"")</f>
        <v/>
      </c>
      <c r="AL294">
        <f>IF(AND(AJ294&lt;&gt;"",AK294&lt;&gt;""),ROUNDUP((AK294-AJ294)/7,0),"")</f>
        <v/>
      </c>
      <c r="AN294">
        <f>IFERROR(IF(AL294*AM294=0,"",AL294*AM294),"")</f>
        <v/>
      </c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L294">
        <f>IFERROR(INDEX('_names_lookup'!$C:$C,MATCH(BK294,'_names_lookup'!$A:$A,0)),"")</f>
        <v/>
      </c>
      <c r="BM294">
        <f>IFERROR(INDEX('_names_lookup'!$B:$B,MATCH(BK294,'_names_lookup'!$A:$A,0)),"")</f>
        <v/>
      </c>
      <c r="BS294">
        <f>IFERROR(IF(BR294*AA294=0,"",BR294*AA294),"")</f>
        <v/>
      </c>
    </row>
    <row r="295">
      <c r="O295">
        <f>IFERROR(INDEX('_courses_lookup'!$C:$C,MATCH(K295&amp;L295,'_courses_lookup'!$E:$E,0)),"")</f>
        <v/>
      </c>
      <c r="P295">
        <f>IFERROR(INDEX('_courses_lookup'!$D:$D,MATCH(K295&amp;L295,'_courses_lookup'!$E:$E,0)),"")</f>
        <v/>
      </c>
      <c r="AG295">
        <f>IF(AND(AE295&lt;&gt;"",AF295&lt;&gt;""),ROUNDUP((AF295-AE295)/7,0),"")</f>
        <v/>
      </c>
      <c r="AI295">
        <f>IFERROR(IF(AG295*AH295=0,"",AG295*AH295),"")</f>
        <v/>
      </c>
      <c r="AL295">
        <f>IF(AND(AJ295&lt;&gt;"",AK295&lt;&gt;""),ROUNDUP((AK295-AJ295)/7,0),"")</f>
        <v/>
      </c>
      <c r="AN295">
        <f>IFERROR(IF(AL295*AM295=0,"",AL295*AM295),"")</f>
        <v/>
      </c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L295">
        <f>IFERROR(INDEX('_names_lookup'!$C:$C,MATCH(BK295,'_names_lookup'!$A:$A,0)),"")</f>
        <v/>
      </c>
      <c r="BM295">
        <f>IFERROR(INDEX('_names_lookup'!$B:$B,MATCH(BK295,'_names_lookup'!$A:$A,0)),"")</f>
        <v/>
      </c>
      <c r="BS295">
        <f>IFERROR(IF(BR295*AA295=0,"",BR295*AA295),"")</f>
        <v/>
      </c>
    </row>
    <row r="296">
      <c r="O296">
        <f>IFERROR(INDEX('_courses_lookup'!$C:$C,MATCH(K296&amp;L296,'_courses_lookup'!$E:$E,0)),"")</f>
        <v/>
      </c>
      <c r="P296">
        <f>IFERROR(INDEX('_courses_lookup'!$D:$D,MATCH(K296&amp;L296,'_courses_lookup'!$E:$E,0)),"")</f>
        <v/>
      </c>
      <c r="AG296">
        <f>IF(AND(AE296&lt;&gt;"",AF296&lt;&gt;""),ROUNDUP((AF296-AE296)/7,0),"")</f>
        <v/>
      </c>
      <c r="AI296">
        <f>IFERROR(IF(AG296*AH296=0,"",AG296*AH296),"")</f>
        <v/>
      </c>
      <c r="AL296">
        <f>IF(AND(AJ296&lt;&gt;"",AK296&lt;&gt;""),ROUNDUP((AK296-AJ296)/7,0),"")</f>
        <v/>
      </c>
      <c r="AN296">
        <f>IFERROR(IF(AL296*AM296=0,"",AL296*AM296),"")</f>
        <v/>
      </c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L296">
        <f>IFERROR(INDEX('_names_lookup'!$C:$C,MATCH(BK296,'_names_lookup'!$A:$A,0)),"")</f>
        <v/>
      </c>
      <c r="BM296">
        <f>IFERROR(INDEX('_names_lookup'!$B:$B,MATCH(BK296,'_names_lookup'!$A:$A,0)),"")</f>
        <v/>
      </c>
      <c r="BS296">
        <f>IFERROR(IF(BR296*AA296=0,"",BR296*AA296),"")</f>
        <v/>
      </c>
    </row>
    <row r="297">
      <c r="O297">
        <f>IFERROR(INDEX('_courses_lookup'!$C:$C,MATCH(K297&amp;L297,'_courses_lookup'!$E:$E,0)),"")</f>
        <v/>
      </c>
      <c r="P297">
        <f>IFERROR(INDEX('_courses_lookup'!$D:$D,MATCH(K297&amp;L297,'_courses_lookup'!$E:$E,0)),"")</f>
        <v/>
      </c>
      <c r="AG297">
        <f>IF(AND(AE297&lt;&gt;"",AF297&lt;&gt;""),ROUNDUP((AF297-AE297)/7,0),"")</f>
        <v/>
      </c>
      <c r="AI297">
        <f>IFERROR(IF(AG297*AH297=0,"",AG297*AH297),"")</f>
        <v/>
      </c>
      <c r="AL297">
        <f>IF(AND(AJ297&lt;&gt;"",AK297&lt;&gt;""),ROUNDUP((AK297-AJ297)/7,0),"")</f>
        <v/>
      </c>
      <c r="AN297">
        <f>IFERROR(IF(AL297*AM297=0,"",AL297*AM297),"")</f>
        <v/>
      </c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L297">
        <f>IFERROR(INDEX('_names_lookup'!$C:$C,MATCH(BK297,'_names_lookup'!$A:$A,0)),"")</f>
        <v/>
      </c>
      <c r="BM297">
        <f>IFERROR(INDEX('_names_lookup'!$B:$B,MATCH(BK297,'_names_lookup'!$A:$A,0)),"")</f>
        <v/>
      </c>
      <c r="BS297">
        <f>IFERROR(IF(BR297*AA297=0,"",BR297*AA297),"")</f>
        <v/>
      </c>
    </row>
    <row r="298">
      <c r="O298">
        <f>IFERROR(INDEX('_courses_lookup'!$C:$C,MATCH(K298&amp;L298,'_courses_lookup'!$E:$E,0)),"")</f>
        <v/>
      </c>
      <c r="P298">
        <f>IFERROR(INDEX('_courses_lookup'!$D:$D,MATCH(K298&amp;L298,'_courses_lookup'!$E:$E,0)),"")</f>
        <v/>
      </c>
      <c r="AG298">
        <f>IF(AND(AE298&lt;&gt;"",AF298&lt;&gt;""),ROUNDUP((AF298-AE298)/7,0),"")</f>
        <v/>
      </c>
      <c r="AI298">
        <f>IFERROR(IF(AG298*AH298=0,"",AG298*AH298),"")</f>
        <v/>
      </c>
      <c r="AL298">
        <f>IF(AND(AJ298&lt;&gt;"",AK298&lt;&gt;""),ROUNDUP((AK298-AJ298)/7,0),"")</f>
        <v/>
      </c>
      <c r="AN298">
        <f>IFERROR(IF(AL298*AM298=0,"",AL298*AM298),"")</f>
        <v/>
      </c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L298">
        <f>IFERROR(INDEX('_names_lookup'!$C:$C,MATCH(BK298,'_names_lookup'!$A:$A,0)),"")</f>
        <v/>
      </c>
      <c r="BM298">
        <f>IFERROR(INDEX('_names_lookup'!$B:$B,MATCH(BK298,'_names_lookup'!$A:$A,0)),"")</f>
        <v/>
      </c>
      <c r="BS298">
        <f>IFERROR(IF(BR298*AA298=0,"",BR298*AA298),"")</f>
        <v/>
      </c>
    </row>
    <row r="299">
      <c r="O299">
        <f>IFERROR(INDEX('_courses_lookup'!$C:$C,MATCH(K299&amp;L299,'_courses_lookup'!$E:$E,0)),"")</f>
        <v/>
      </c>
      <c r="P299">
        <f>IFERROR(INDEX('_courses_lookup'!$D:$D,MATCH(K299&amp;L299,'_courses_lookup'!$E:$E,0)),"")</f>
        <v/>
      </c>
      <c r="AG299">
        <f>IF(AND(AE299&lt;&gt;"",AF299&lt;&gt;""),ROUNDUP((AF299-AE299)/7,0),"")</f>
        <v/>
      </c>
      <c r="AI299">
        <f>IFERROR(IF(AG299*AH299=0,"",AG299*AH299),"")</f>
        <v/>
      </c>
      <c r="AL299">
        <f>IF(AND(AJ299&lt;&gt;"",AK299&lt;&gt;""),ROUNDUP((AK299-AJ299)/7,0),"")</f>
        <v/>
      </c>
      <c r="AN299">
        <f>IFERROR(IF(AL299*AM299=0,"",AL299*AM299),"")</f>
        <v/>
      </c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L299">
        <f>IFERROR(INDEX('_names_lookup'!$C:$C,MATCH(BK299,'_names_lookup'!$A:$A,0)),"")</f>
        <v/>
      </c>
      <c r="BM299">
        <f>IFERROR(INDEX('_names_lookup'!$B:$B,MATCH(BK299,'_names_lookup'!$A:$A,0)),"")</f>
        <v/>
      </c>
      <c r="BS299">
        <f>IFERROR(IF(BR299*AA299=0,"",BR299*AA299),"")</f>
        <v/>
      </c>
    </row>
    <row r="300">
      <c r="O300">
        <f>IFERROR(INDEX('_courses_lookup'!$C:$C,MATCH(K300&amp;L300,'_courses_lookup'!$E:$E,0)),"")</f>
        <v/>
      </c>
      <c r="P300">
        <f>IFERROR(INDEX('_courses_lookup'!$D:$D,MATCH(K300&amp;L300,'_courses_lookup'!$E:$E,0)),"")</f>
        <v/>
      </c>
      <c r="AG300">
        <f>IF(AND(AE300&lt;&gt;"",AF300&lt;&gt;""),ROUNDUP((AF300-AE300)/7,0),"")</f>
        <v/>
      </c>
      <c r="AI300">
        <f>IFERROR(IF(AG300*AH300=0,"",AG300*AH300),"")</f>
        <v/>
      </c>
      <c r="AL300">
        <f>IF(AND(AJ300&lt;&gt;"",AK300&lt;&gt;""),ROUNDUP((AK300-AJ300)/7,0),"")</f>
        <v/>
      </c>
      <c r="AN300">
        <f>IFERROR(IF(AL300*AM300=0,"",AL300*AM300),"")</f>
        <v/>
      </c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L300">
        <f>IFERROR(INDEX('_names_lookup'!$C:$C,MATCH(BK300,'_names_lookup'!$A:$A,0)),"")</f>
        <v/>
      </c>
      <c r="BM300">
        <f>IFERROR(INDEX('_names_lookup'!$B:$B,MATCH(BK300,'_names_lookup'!$A:$A,0)),"")</f>
        <v/>
      </c>
      <c r="BS300">
        <f>IFERROR(IF(BR300*AA300=0,"",BR300*AA300),"")</f>
        <v/>
      </c>
    </row>
  </sheetData>
  <autoFilter ref="A1:DQ1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='DropDownMenu'!$BC$2:$BC$259</formula1>
    </dataValidation>
    <dataValidation sqref="BL2:BL5000" showDropDown="0" showInputMessage="0" showErrorMessage="0" allowBlank="1" type="list">
      <formula1>='DropDownMenu'!$BD$2:$BD$253</formula1>
    </dataValidation>
    <dataValidation sqref="BM2:BM5000" showDropDown="0" showInputMessage="0" showErrorMessage="0" allowBlank="1" type="list">
      <formula1>='DropDownMenu'!$BE$2:$BE$259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20" sqref="G20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23" t="inlineStr">
        <is>
          <t>Don {not in Banner}</t>
        </is>
      </c>
      <c r="B1" s="23" t="inlineStr">
        <is>
          <t>Mismatching {not in Banner}</t>
        </is>
      </c>
      <c r="C1" s="23" t="inlineStr">
        <is>
          <t>Dept/Prog Admin {not in Banner}</t>
        </is>
      </c>
      <c r="D1" s="23" t="inlineStr">
        <is>
          <t>Mona {not in Banner}</t>
        </is>
      </c>
      <c r="E1" s="23" t="inlineStr">
        <is>
          <t>Karen {not in Banner}</t>
        </is>
      </c>
      <c r="F1" s="23" t="inlineStr">
        <is>
          <t>DONE {not in Banner}</t>
        </is>
      </c>
      <c r="G1" s="24" t="inlineStr">
        <is>
          <t>Notes {not in Banner}</t>
        </is>
      </c>
      <c r="H1" s="23" t="inlineStr">
        <is>
          <t>CRN sorted {not in Banner}</t>
        </is>
      </c>
      <c r="I1" s="23" t="inlineStr">
        <is>
          <t>CRN</t>
        </is>
      </c>
      <c r="J1" s="23" t="inlineStr">
        <is>
          <t>Attribute {not in Banner}</t>
        </is>
      </c>
      <c r="K1" s="23" t="inlineStr">
        <is>
          <t>Subject</t>
        </is>
      </c>
      <c r="L1" s="23" t="inlineStr">
        <is>
          <t>Course Number {Crse Num}</t>
        </is>
      </c>
      <c r="M1" s="23" t="inlineStr">
        <is>
          <t>Course Section {Seq Crse Num}</t>
        </is>
      </c>
      <c r="N1" s="23" t="inlineStr">
        <is>
          <t>Program {not in Banner}</t>
        </is>
      </c>
      <c r="O1" s="23" t="inlineStr">
        <is>
          <t>Catalog Title</t>
        </is>
      </c>
      <c r="P1" s="23" t="inlineStr">
        <is>
          <t>Section Title</t>
        </is>
      </c>
      <c r="Q1" s="23" t="inlineStr">
        <is>
          <t>Crosslist Details {not in Banner}</t>
        </is>
      </c>
      <c r="R1" s="23" t="inlineStr">
        <is>
          <t>X Lst</t>
        </is>
      </c>
      <c r="S1" s="23" t="inlineStr">
        <is>
          <t>Campus {Ssasect Campus}</t>
        </is>
      </c>
      <c r="T1" s="23" t="inlineStr">
        <is>
          <t>Campus Restriction {Camp Restr CC}</t>
        </is>
      </c>
      <c r="U1" s="23" t="inlineStr">
        <is>
          <t>Schedule Type {not in Banner}</t>
        </is>
      </c>
      <c r="V1" s="23" t="inlineStr">
        <is>
          <t>Instruction Method {Inst Method}</t>
        </is>
      </c>
      <c r="W1" s="23" t="inlineStr">
        <is>
          <t>Level {Level SC}</t>
        </is>
      </c>
      <c r="X1" s="23" t="inlineStr">
        <is>
          <t>Part-Of-Term</t>
        </is>
      </c>
      <c r="Y1" s="23" t="inlineStr">
        <is>
          <t>Credit Catalog {Cat Crs}</t>
        </is>
      </c>
      <c r="Z1" s="23" t="inlineStr">
        <is>
          <t>Credits {Sect Crs}</t>
        </is>
      </c>
      <c r="AA1" s="23" t="inlineStr">
        <is>
          <t>Faculty Load / Contract Credits {not in Banner}</t>
        </is>
      </c>
      <c r="AB1" s="23" t="inlineStr">
        <is>
          <t>Enrollment Cap {Max Enrl}</t>
        </is>
      </c>
      <c r="AC1" s="23" t="inlineStr">
        <is>
          <t>Meeting Type</t>
        </is>
      </c>
      <c r="AD1" s="23" t="inlineStr">
        <is>
          <t>Semester Start Date {Soaterm Start Date}</t>
        </is>
      </c>
      <c r="AE1" s="23" t="inlineStr">
        <is>
          <t>Pre-work Start Date {not in Banner}</t>
        </is>
      </c>
      <c r="AF1" s="23" t="inlineStr">
        <is>
          <t>Pre-work End Date {not in Banner}</t>
        </is>
      </c>
      <c r="AG1" s="25" t="inlineStr">
        <is>
          <t>pre-work # of weeks {not in Banner}</t>
        </is>
      </c>
      <c r="AH1" s="25" t="inlineStr">
        <is>
          <t>pre-work hours/week {not in Banner}</t>
        </is>
      </c>
      <c r="AI1" s="25" t="inlineStr">
        <is>
          <t>pre-work hours/period {not in Banner}</t>
        </is>
      </c>
      <c r="AJ1" s="23" t="inlineStr">
        <is>
          <t>Intensive Period Start Date {Meet Start Date}</t>
        </is>
      </c>
      <c r="AK1" s="23" t="inlineStr">
        <is>
          <t>Intensive Period End Date {Meet End Date}</t>
        </is>
      </c>
      <c r="AL1" s="25" t="inlineStr">
        <is>
          <t>intensive # of weeks {not in Banner}</t>
        </is>
      </c>
      <c r="AM1" s="25" t="inlineStr">
        <is>
          <t>intensive hours/week {not in Banner}</t>
        </is>
      </c>
      <c r="AN1" s="25" t="inlineStr">
        <is>
          <t>intensive hours/period {not in Banner}</t>
        </is>
      </c>
      <c r="AO1" s="23" t="inlineStr">
        <is>
          <t>Post-work Start Date {not in Banner}</t>
        </is>
      </c>
      <c r="AP1" s="23" t="inlineStr">
        <is>
          <t>Post-work End Date {not in Banner}</t>
        </is>
      </c>
      <c r="AQ1" s="25" t="inlineStr">
        <is>
          <t>post-work # of weeks {not in Banner}</t>
        </is>
      </c>
      <c r="AR1" s="25" t="inlineStr">
        <is>
          <t>post-work hours/week {not in Banner}</t>
        </is>
      </c>
      <c r="AS1" s="25" t="inlineStr">
        <is>
          <t>post-work hours/period {not in Banner}</t>
        </is>
      </c>
      <c r="AT1" s="25" t="inlineStr">
        <is>
          <t>sum of weeks (for check) {not in Banner}</t>
        </is>
      </c>
      <c r="AU1" s="25" t="inlineStr">
        <is>
          <t>total contract hours {not in Banner}</t>
        </is>
      </c>
      <c r="AV1" s="23" t="inlineStr">
        <is>
          <t>Semester End Date {Soaterm End Date}</t>
        </is>
      </c>
      <c r="AW1" s="23" t="inlineStr">
        <is>
          <t>Course Beginning Time {Meet Beg Time}</t>
        </is>
      </c>
      <c r="AX1" s="23" t="inlineStr">
        <is>
          <t>Course Ending Time {Meet End Time}</t>
        </is>
      </c>
      <c r="AY1" s="23" t="inlineStr">
        <is>
          <t>SUN</t>
        </is>
      </c>
      <c r="AZ1" s="23" t="inlineStr">
        <is>
          <t>MON</t>
        </is>
      </c>
      <c r="BA1" s="23" t="inlineStr">
        <is>
          <t>TUE</t>
        </is>
      </c>
      <c r="BB1" s="23" t="inlineStr">
        <is>
          <t>WED</t>
        </is>
      </c>
      <c r="BC1" s="23" t="inlineStr">
        <is>
          <t>THU</t>
        </is>
      </c>
      <c r="BD1" s="23" t="inlineStr">
        <is>
          <t>FRI</t>
        </is>
      </c>
      <c r="BE1" s="23" t="inlineStr">
        <is>
          <t>SAT</t>
        </is>
      </c>
      <c r="BF1" s="23" t="inlineStr">
        <is>
          <t>Weeks</t>
        </is>
      </c>
      <c r="BG1" s="23" t="inlineStr">
        <is>
          <t>Fiscal Year {not in Banner}</t>
        </is>
      </c>
      <c r="BH1" s="25" t="inlineStr">
        <is>
          <t>Semester {not in Banner}</t>
        </is>
      </c>
      <c r="BI1" s="23" t="inlineStr">
        <is>
          <t>Room {Meet Room}</t>
        </is>
      </c>
      <c r="BJ1" s="23" t="inlineStr">
        <is>
          <t>Building {Meet Bldg}</t>
        </is>
      </c>
      <c r="BK1" s="23" t="inlineStr">
        <is>
          <t>Instructor Name {Instr Name}</t>
        </is>
      </c>
      <c r="BL1" s="23" t="inlineStr">
        <is>
          <t>Instructor Email {Instr Email}</t>
        </is>
      </c>
      <c r="BM1" s="23" t="inlineStr">
        <is>
          <t>Instructor ID {Instr ID}</t>
        </is>
      </c>
      <c r="BN1" s="25" t="inlineStr">
        <is>
          <t>Remote Employee {not in Banner}</t>
        </is>
      </c>
      <c r="BO1" s="23" t="inlineStr">
        <is>
          <t>% Responsibility</t>
        </is>
      </c>
      <c r="BP1" s="23" t="inlineStr">
        <is>
          <t>load/contract {not in Banner}</t>
        </is>
      </c>
      <c r="BQ1" s="25" t="inlineStr">
        <is>
          <t>Reason for Contract {not in Banner}</t>
        </is>
      </c>
      <c r="BR1" s="25" t="inlineStr">
        <is>
          <t>costs per credit {not in Banner}</t>
        </is>
      </c>
      <c r="BS1" s="25" t="inlineStr">
        <is>
          <t>total costs {not in Banner}</t>
        </is>
      </c>
      <c r="BT1" s="25" t="inlineStr">
        <is>
          <t>dept budget {not in Banner}</t>
        </is>
      </c>
      <c r="BU1" s="25" t="inlineStr">
        <is>
          <t>account to be charged {not in Banner}</t>
        </is>
      </c>
      <c r="BV1" s="25" t="inlineStr">
        <is>
          <t>SEM Department {Scacrse Dept}</t>
        </is>
      </c>
      <c r="BW1" s="26" t="inlineStr">
        <is>
          <t>dean email</t>
        </is>
      </c>
      <c r="BX1" s="26" t="inlineStr">
        <is>
          <t>VP finance email</t>
        </is>
      </c>
      <c r="BY1" s="26" t="inlineStr">
        <is>
          <t>HR email</t>
        </is>
      </c>
      <c r="BZ1" s="26" t="inlineStr">
        <is>
          <t>Fee Amount {Fees Amt}</t>
        </is>
      </c>
      <c r="CA1" s="26" t="inlineStr">
        <is>
          <t>Fee Code {Detl Code}</t>
        </is>
      </c>
      <c r="CB1" s="26" t="inlineStr">
        <is>
          <t>Fee Type</t>
        </is>
      </c>
      <c r="CC1" s="26" t="inlineStr">
        <is>
          <t>Fee Level</t>
        </is>
      </c>
      <c r="CD1" s="26" t="inlineStr">
        <is>
          <t>Fee Ind</t>
        </is>
      </c>
      <c r="CE1" s="26" t="inlineStr">
        <is>
          <t>Fee Term</t>
        </is>
      </c>
      <c r="CF1" s="26" t="inlineStr">
        <is>
          <t>Activity Date</t>
        </is>
      </c>
      <c r="CG1" s="26" t="inlineStr">
        <is>
          <t>Status</t>
        </is>
      </c>
      <c r="CH1" s="26" t="inlineStr">
        <is>
          <t>Bill Hrs</t>
        </is>
      </c>
      <c r="CI1" s="26" t="inlineStr">
        <is>
          <t>Sect Sch Type</t>
        </is>
      </c>
      <c r="CJ1" s="26" t="inlineStr">
        <is>
          <t>Prerequisites {Preq Areas}</t>
        </is>
      </c>
      <c r="CK1" s="26" t="inlineStr">
        <is>
          <t>Link Ind</t>
        </is>
      </c>
      <c r="CL1" s="26" t="inlineStr">
        <is>
          <t>Integration Code</t>
        </is>
      </c>
      <c r="CM1" s="26" t="inlineStr">
        <is>
          <t>Link Conn</t>
        </is>
      </c>
      <c r="CN1" s="26" t="inlineStr">
        <is>
          <t>Crs Attr</t>
        </is>
      </c>
      <c r="CO1" s="26" t="inlineStr">
        <is>
          <t>Comments</t>
        </is>
      </c>
      <c r="CP1" s="26" t="inlineStr">
        <is>
          <t>Major Restr</t>
        </is>
      </c>
      <c r="CQ1" s="26" t="inlineStr">
        <is>
          <t>Scacrse College</t>
        </is>
      </c>
      <c r="CR1" s="26" t="inlineStr">
        <is>
          <t>Enrolled</t>
        </is>
      </c>
      <c r="CS1" s="26" t="inlineStr">
        <is>
          <t>Waitlist Capacity</t>
        </is>
      </c>
      <c r="CT1" s="26" t="inlineStr">
        <is>
          <t>Primary Ind</t>
        </is>
      </c>
      <c r="CU1" s="26" t="inlineStr">
        <is>
          <t>Override</t>
        </is>
      </c>
      <c r="CV1" s="26" t="inlineStr">
        <is>
          <t>1st Date Reg Opens</t>
        </is>
      </c>
      <c r="CW1" s="26" t="inlineStr">
        <is>
          <t>Last Date Reg Opens</t>
        </is>
      </c>
      <c r="CX1" s="26" t="inlineStr">
        <is>
          <t>OL Range From Date</t>
        </is>
      </c>
      <c r="CY1" s="26" t="inlineStr">
        <is>
          <t>OL Range To Date</t>
        </is>
      </c>
      <c r="CZ1" s="26" t="inlineStr">
        <is>
          <t>OL Numb Units</t>
        </is>
      </c>
      <c r="DA1" s="26" t="inlineStr">
        <is>
          <t>OL Duration Code</t>
        </is>
      </c>
      <c r="DB1" s="26" t="inlineStr">
        <is>
          <t>Grade Mode</t>
        </is>
      </c>
      <c r="DC1" s="26" t="inlineStr">
        <is>
          <t>Gradable Ind</t>
        </is>
      </c>
      <c r="DD1" s="26" t="inlineStr">
        <is>
          <t>Tuit Waiver</t>
        </is>
      </c>
      <c r="DE1" s="26" t="inlineStr">
        <is>
          <t>Course Override {Meet Override}</t>
        </is>
      </c>
      <c r="DF1" s="26" t="inlineStr">
        <is>
          <t>Lvl Res Ind</t>
        </is>
      </c>
      <c r="DG1" s="26" t="inlineStr">
        <is>
          <t>Cmp Res Ind</t>
        </is>
      </c>
      <c r="DH1" s="26" t="inlineStr">
        <is>
          <t>Rate Code</t>
        </is>
      </c>
      <c r="DI1" s="26" t="inlineStr">
        <is>
          <t>Cohort Code</t>
        </is>
      </c>
      <c r="DJ1" s="26" t="inlineStr">
        <is>
          <t>St Attr Code</t>
        </is>
      </c>
      <c r="DK1" s="26" t="inlineStr">
        <is>
          <t>Coll SC</t>
        </is>
      </c>
      <c r="DL1" s="26" t="inlineStr">
        <is>
          <t>DegC SC</t>
        </is>
      </c>
      <c r="DM1" s="26" t="inlineStr">
        <is>
          <t>Prog SC</t>
        </is>
      </c>
      <c r="DN1" s="26" t="inlineStr">
        <is>
          <t>FOS Type</t>
        </is>
      </c>
      <c r="DO1" s="26" t="inlineStr">
        <is>
          <t>Special Approval {Special Apvl}</t>
        </is>
      </c>
      <c r="DP1" s="26" t="inlineStr">
        <is>
          <t>Term Code</t>
        </is>
      </c>
      <c r="DQ1" s="26" t="inlineStr">
        <is>
          <t>Camp SC</t>
        </is>
      </c>
    </row>
    <row r="2" ht="16" customHeight="1">
      <c r="A2" s="38" t="n"/>
      <c r="B2" s="38" t="n"/>
      <c r="C2" s="38" t="n"/>
      <c r="D2" s="38" t="n"/>
      <c r="E2" s="38" t="n"/>
      <c r="F2" s="38" t="n"/>
      <c r="G2" s="38" t="n"/>
      <c r="H2" s="34" t="n"/>
      <c r="I2" s="34" t="n"/>
      <c r="J2" s="34" t="n"/>
      <c r="K2" s="34" t="n"/>
      <c r="L2" s="34" t="n"/>
      <c r="M2" s="34" t="n"/>
      <c r="N2" s="34" t="n"/>
      <c r="O2" s="34">
        <f>IFERROR(INDEX('_courses_lookup'!$C:$C,MATCH(K2&amp;L2,'_courses_lookup'!$E:$E,0)),"")</f>
        <v/>
      </c>
      <c r="P2" s="34">
        <f>IFERROR(INDEX('_courses_lookup'!$D:$D,MATCH(K2&amp;L2,'_courses_lookup'!$E:$E,0)),"")</f>
        <v/>
      </c>
      <c r="Q2" s="34" t="n"/>
      <c r="R2" s="34" t="n"/>
      <c r="S2" s="34" t="n"/>
      <c r="T2" s="34" t="n"/>
      <c r="U2" s="34" t="n"/>
      <c r="V2" s="34" t="n"/>
      <c r="W2" s="34" t="n"/>
      <c r="X2" s="34" t="n"/>
      <c r="Y2" s="30" t="n"/>
      <c r="Z2" s="34" t="n"/>
      <c r="AA2" s="34" t="n"/>
      <c r="AB2" s="34" t="n"/>
      <c r="AC2" s="34" t="n"/>
      <c r="AD2" s="34" t="n"/>
      <c r="AE2" s="34" t="n"/>
      <c r="AF2" s="34" t="n"/>
      <c r="AG2" s="34">
        <f>IF(AND(AE2&lt;&gt;"",AF2&lt;&gt;""),ROUNDUP((AF2-AE2)/7,0),"")</f>
        <v/>
      </c>
      <c r="AH2" s="34" t="n"/>
      <c r="AI2" s="34">
        <f>IFERROR(IF(AG2*AH2=0,"",AG2*AH2),"")</f>
        <v/>
      </c>
      <c r="AJ2" s="34" t="n"/>
      <c r="AK2" s="34" t="n"/>
      <c r="AL2" s="34">
        <f>IF(AND(AJ2&lt;&gt;"",AK2&lt;&gt;""),ROUNDUP((AK2-AJ2)/7,0),"")</f>
        <v/>
      </c>
      <c r="AM2" s="34" t="n"/>
      <c r="AN2" s="34">
        <f>IFERROR(IF(AL2*AM2=0,"",AL2*AM2),"")</f>
        <v/>
      </c>
      <c r="AO2" s="34" t="n"/>
      <c r="AP2" s="34" t="n"/>
      <c r="AQ2" s="34">
        <f>IF(AND(AO2&lt;&gt;"",AP2&lt;&gt;""),ROUNDUP((AP2-AO2)/7,0),"")</f>
        <v/>
      </c>
      <c r="AR2" s="34">
        <f>IFERROR(IF((AU2-(AI2+AN2))/AQ2=0,"",ROUNDUP((AU2-(AI2+AN2))/AQ2,0)),"")</f>
        <v/>
      </c>
      <c r="AS2" s="34">
        <f>IFERROR(IF((AU2-(AI2+AN2))=0,"",(AU2-(AI2+AN2))),"")</f>
        <v/>
      </c>
      <c r="AT2" s="34">
        <f>IF(AND(AG2="",AQ2=""),AL2,IF(SUM(AG2,AL2,AQ2)=0,"",SUM(AG2,AL2,AQ2)))</f>
        <v/>
      </c>
      <c r="AU2" s="34" t="n"/>
      <c r="AV2" s="34" t="n"/>
      <c r="AW2" s="34" t="n"/>
      <c r="AX2" s="34" t="n"/>
      <c r="AY2" s="34" t="n"/>
      <c r="AZ2" s="30" t="n"/>
      <c r="BA2" s="34" t="n"/>
      <c r="BB2" s="34" t="n"/>
      <c r="BC2" s="34" t="n"/>
      <c r="BD2" s="34" t="n"/>
      <c r="BE2" s="34" t="n"/>
      <c r="BF2" s="34" t="n"/>
      <c r="BG2" s="34">
        <f>IF(AD2="","",YEAR(AD2)+IF(MONTH(AD2)&gt;=5,1,0))</f>
        <v/>
      </c>
      <c r="BH2" s="34">
        <f>IF(AD2="","",IF(AND(MONTH(AD2)=8,DAY(AD2)&gt;=15),"Fall",IF(MONTH(AD2)&gt;8,"Fall",IF(MONTH(AD2)=5,"Summer",IF(MONTH(AD2)=1,"Spring","")))))</f>
        <v/>
      </c>
      <c r="BI2" s="34" t="n"/>
      <c r="BJ2" s="34" t="n"/>
      <c r="BK2" s="30">
        <f>IF($BJ2="","",IFERROR(INDEX(InstructorMap!$B:$B, MATCH($BJ2, InstructorMap!$A:$A, 0)),""))</f>
        <v/>
      </c>
      <c r="BL2" s="30">
        <f>IFERROR(INDEX('_names_lookup'!$C:$C,MATCH(BK2,'_names_lookup'!$A:$A,0)),"")</f>
        <v/>
      </c>
      <c r="BM2" s="34">
        <f>IFERROR(INDEX('_names_lookup'!$B:$B,MATCH(BK2,'_names_lookup'!$A:$A,0)),"")</f>
        <v/>
      </c>
      <c r="BN2" s="34" t="n"/>
      <c r="BO2" s="34" t="n"/>
      <c r="BP2" s="34" t="n"/>
      <c r="BQ2" s="34" t="n"/>
      <c r="BR2" s="34" t="n"/>
      <c r="BS2" s="34">
        <f>IFERROR(IF(BR2*AA2=0,"",BR2*AA2),"")</f>
        <v/>
      </c>
      <c r="BT2" s="34" t="n"/>
      <c r="BU2" s="34" t="n"/>
      <c r="BV2" s="34" t="n"/>
      <c r="BW2" s="34" t="n"/>
      <c r="BX2" s="34" t="n"/>
      <c r="BY2" s="34" t="n"/>
      <c r="BZ2" s="34" t="n"/>
      <c r="CA2" s="34" t="n"/>
      <c r="CB2" s="34" t="n"/>
      <c r="CC2" s="34" t="n"/>
      <c r="CD2" s="34" t="n"/>
      <c r="CE2" s="34" t="n"/>
      <c r="CF2" s="34" t="n"/>
      <c r="CG2" s="34" t="n"/>
      <c r="CH2" s="34" t="n"/>
      <c r="CI2" s="34" t="n"/>
      <c r="CJ2" s="34" t="n"/>
      <c r="CK2" s="34" t="n"/>
      <c r="CL2" s="34" t="n"/>
      <c r="CM2" s="34" t="n"/>
      <c r="CN2" s="34" t="n"/>
      <c r="CO2" s="34" t="n"/>
      <c r="CP2" s="34" t="n"/>
      <c r="CQ2" s="34" t="n"/>
      <c r="CR2" s="34" t="n"/>
      <c r="CS2" s="34" t="n"/>
      <c r="CT2" s="34" t="n"/>
      <c r="CU2" s="34" t="n"/>
      <c r="CV2" s="34" t="n"/>
      <c r="CW2" s="34" t="n"/>
      <c r="CX2" s="34" t="n"/>
      <c r="CY2" s="34" t="n"/>
      <c r="CZ2" s="34" t="n"/>
      <c r="DA2" s="34" t="n"/>
      <c r="DB2" s="34" t="n"/>
      <c r="DC2" s="34" t="n"/>
      <c r="DD2" s="34" t="n"/>
      <c r="DE2" s="34" t="n"/>
      <c r="DF2" s="34" t="n"/>
      <c r="DG2" s="34" t="n"/>
      <c r="DH2" s="34" t="n"/>
      <c r="DI2" s="34" t="n"/>
      <c r="DJ2" s="34" t="n"/>
      <c r="DK2" s="34" t="n"/>
      <c r="DL2" s="34" t="n"/>
      <c r="DM2" s="34" t="n"/>
      <c r="DN2" s="34" t="n"/>
      <c r="DO2" s="34" t="n"/>
      <c r="DP2" s="34" t="n"/>
      <c r="DQ2" s="34" t="n"/>
    </row>
    <row r="3" ht="16" customHeight="1">
      <c r="A3" s="38" t="n"/>
      <c r="B3" s="38" t="n"/>
      <c r="C3" s="38" t="n"/>
      <c r="D3" s="38" t="n"/>
      <c r="E3" s="38" t="n"/>
      <c r="F3" s="38" t="n"/>
      <c r="G3" s="38" t="n"/>
      <c r="H3" s="34" t="n"/>
      <c r="I3" s="34" t="n"/>
      <c r="J3" s="34" t="n"/>
      <c r="K3" s="34" t="n"/>
      <c r="L3" s="34" t="n"/>
      <c r="M3" s="34" t="n"/>
      <c r="N3" s="34" t="n"/>
      <c r="O3" s="34">
        <f>IFERROR(INDEX('_courses_lookup'!$C:$C,MATCH(K3&amp;L3,'_courses_lookup'!$E:$E,0)),"")</f>
        <v/>
      </c>
      <c r="P3" s="34">
        <f>IFERROR(INDEX('_courses_lookup'!$D:$D,MATCH(K3&amp;L3,'_courses_lookup'!$E:$E,0)),"")</f>
        <v/>
      </c>
      <c r="Q3" s="34" t="n"/>
      <c r="R3" s="34" t="n"/>
      <c r="S3" s="34" t="n"/>
      <c r="T3" s="34" t="n"/>
      <c r="U3" s="34" t="n"/>
      <c r="V3" s="34" t="n"/>
      <c r="W3" s="34" t="n"/>
      <c r="X3" s="34" t="n"/>
      <c r="Y3" s="30" t="n"/>
      <c r="Z3" s="34" t="n"/>
      <c r="AA3" s="34" t="n"/>
      <c r="AB3" s="34" t="n"/>
      <c r="AC3" s="34" t="n"/>
      <c r="AD3" s="34" t="n"/>
      <c r="AE3" s="34" t="n"/>
      <c r="AF3" s="34" t="n"/>
      <c r="AG3" s="34">
        <f>IF(AND(AE3&lt;&gt;"",AF3&lt;&gt;""),ROUNDUP((AF3-AE3)/7,0),"")</f>
        <v/>
      </c>
      <c r="AH3" s="34" t="n"/>
      <c r="AI3" s="34">
        <f>IFERROR(IF(AG3*AH3=0,"",AG3*AH3),"")</f>
        <v/>
      </c>
      <c r="AJ3" s="34" t="n"/>
      <c r="AK3" s="34" t="n"/>
      <c r="AL3" s="34">
        <f>IF(AND(AJ3&lt;&gt;"",AK3&lt;&gt;""),ROUNDUP((AK3-AJ3)/7,0),"")</f>
        <v/>
      </c>
      <c r="AM3" s="34" t="n"/>
      <c r="AN3" s="34">
        <f>IFERROR(IF(AL3*AM3=0,"",AL3*AM3),"")</f>
        <v/>
      </c>
      <c r="AO3" s="34" t="n"/>
      <c r="AP3" s="34" t="n"/>
      <c r="AQ3" s="34">
        <f>IF(AND(AO3&lt;&gt;"",AP3&lt;&gt;""),ROUNDUP((AP3-AO3)/7,0),"")</f>
        <v/>
      </c>
      <c r="AR3" s="34">
        <f>IFERROR(IF((AU3-(AI3+AN3))/AQ3=0,"",ROUNDUP((AU3-(AI3+AN3))/AQ3,0)),"")</f>
        <v/>
      </c>
      <c r="AS3" s="34">
        <f>IFERROR(IF((AU3-(AI3+AN3))=0,"",(AU3-(AI3+AN3))),"")</f>
        <v/>
      </c>
      <c r="AT3" s="34">
        <f>IF(AND(AG3="",AQ3=""),AL3,IF(SUM(AG3,AL3,AQ3)=0,"",SUM(AG3,AL3,AQ3)))</f>
        <v/>
      </c>
      <c r="AU3" s="34" t="n"/>
      <c r="AV3" s="34" t="n"/>
      <c r="AW3" s="34" t="n"/>
      <c r="AX3" s="34" t="n"/>
      <c r="AY3" s="34" t="n"/>
      <c r="AZ3" s="30" t="n"/>
      <c r="BA3" s="34" t="n"/>
      <c r="BB3" s="34" t="n"/>
      <c r="BC3" s="34" t="n"/>
      <c r="BD3" s="34" t="n"/>
      <c r="BE3" s="34" t="n"/>
      <c r="BF3" s="34" t="n"/>
      <c r="BG3" s="34">
        <f>IF(AD3="","",YEAR(AD3)+IF(MONTH(AD3)&gt;=5,1,0))</f>
        <v/>
      </c>
      <c r="BH3" s="34">
        <f>IF(AD3="","",IF(AND(MONTH(AD3)=8,DAY(AD3)&gt;=15),"Fall",IF(MONTH(AD3)&gt;8,"Fall",IF(MONTH(AD3)=5,"Summer",IF(MONTH(AD3)=1,"Spring","")))))</f>
        <v/>
      </c>
      <c r="BI3" s="34" t="n"/>
      <c r="BJ3" s="34" t="n"/>
      <c r="BK3" s="30">
        <f>IF($BJ3="","",IFERROR(INDEX(InstructorMap!$B:$B, MATCH($BJ3, InstructorMap!$A:$A, 0)),""))</f>
        <v/>
      </c>
      <c r="BL3" s="30">
        <f>IFERROR(INDEX('_names_lookup'!$C:$C,MATCH(BK3,'_names_lookup'!$A:$A,0)),"")</f>
        <v/>
      </c>
      <c r="BM3" s="34">
        <f>IFERROR(INDEX('_names_lookup'!$B:$B,MATCH(BK3,'_names_lookup'!$A:$A,0)),"")</f>
        <v/>
      </c>
      <c r="BN3" s="34" t="n"/>
      <c r="BO3" s="34" t="n"/>
      <c r="BP3" s="34" t="n"/>
      <c r="BQ3" s="34" t="n"/>
      <c r="BR3" s="34" t="n"/>
      <c r="BS3" s="34">
        <f>IFERROR(IF(BR3*AA3=0,"",BR3*AA3),"")</f>
        <v/>
      </c>
      <c r="BT3" s="34" t="n"/>
      <c r="BU3" s="34" t="n"/>
      <c r="BV3" s="34" t="n"/>
      <c r="BW3" s="34" t="n"/>
      <c r="BX3" s="34" t="n"/>
      <c r="BY3" s="34" t="n"/>
      <c r="BZ3" s="34" t="n"/>
      <c r="CA3" s="34" t="n"/>
      <c r="CB3" s="34" t="n"/>
      <c r="CC3" s="34" t="n"/>
      <c r="CD3" s="34" t="n"/>
      <c r="CE3" s="34" t="n"/>
      <c r="CF3" s="34" t="n"/>
      <c r="CG3" s="34" t="n"/>
      <c r="CH3" s="34" t="n"/>
      <c r="CI3" s="34" t="n"/>
      <c r="CJ3" s="34" t="n"/>
      <c r="CK3" s="34" t="n"/>
      <c r="CL3" s="34" t="n"/>
      <c r="CM3" s="34" t="n"/>
      <c r="CN3" s="34" t="n"/>
      <c r="CO3" s="34" t="n"/>
      <c r="CP3" s="34" t="n"/>
      <c r="CQ3" s="34" t="n"/>
      <c r="CR3" s="34" t="n"/>
      <c r="CS3" s="34" t="n"/>
      <c r="CT3" s="34" t="n"/>
      <c r="CU3" s="34" t="n"/>
      <c r="CV3" s="34" t="n"/>
      <c r="CW3" s="34" t="n"/>
      <c r="CX3" s="34" t="n"/>
      <c r="CY3" s="34" t="n"/>
      <c r="CZ3" s="34" t="n"/>
      <c r="DA3" s="34" t="n"/>
      <c r="DB3" s="34" t="n"/>
      <c r="DC3" s="34" t="n"/>
      <c r="DD3" s="34" t="n"/>
      <c r="DE3" s="34" t="n"/>
      <c r="DF3" s="34" t="n"/>
      <c r="DG3" s="34" t="n"/>
      <c r="DH3" s="34" t="n"/>
      <c r="DI3" s="34" t="n"/>
      <c r="DJ3" s="34" t="n"/>
      <c r="DK3" s="34" t="n"/>
      <c r="DL3" s="34" t="n"/>
      <c r="DM3" s="34" t="n"/>
      <c r="DN3" s="34" t="n"/>
      <c r="DO3" s="34" t="n"/>
      <c r="DP3" s="34" t="n"/>
      <c r="DQ3" s="34" t="n"/>
    </row>
    <row r="4" ht="16" customHeight="1">
      <c r="A4" s="38" t="n"/>
      <c r="B4" s="38" t="n"/>
      <c r="C4" s="38" t="n"/>
      <c r="D4" s="38" t="n"/>
      <c r="E4" s="38" t="n"/>
      <c r="F4" s="38" t="n"/>
      <c r="G4" s="38" t="n"/>
      <c r="H4" s="34" t="n"/>
      <c r="I4" s="34" t="n"/>
      <c r="J4" s="34" t="n"/>
      <c r="K4" s="34" t="n"/>
      <c r="L4" s="34" t="n"/>
      <c r="M4" s="34" t="n"/>
      <c r="N4" s="34" t="n"/>
      <c r="O4" s="34">
        <f>IFERROR(INDEX('_courses_lookup'!$C:$C,MATCH(K4&amp;L4,'_courses_lookup'!$E:$E,0)),"")</f>
        <v/>
      </c>
      <c r="P4" s="34">
        <f>IFERROR(INDEX('_courses_lookup'!$D:$D,MATCH(K4&amp;L4,'_courses_lookup'!$E:$E,0)),"")</f>
        <v/>
      </c>
      <c r="Q4" s="34" t="n"/>
      <c r="R4" s="34" t="n"/>
      <c r="S4" s="34" t="n"/>
      <c r="T4" s="34" t="n"/>
      <c r="U4" s="34" t="n"/>
      <c r="V4" s="34" t="n"/>
      <c r="W4" s="34" t="n"/>
      <c r="X4" s="34" t="n"/>
      <c r="Y4" s="30" t="n"/>
      <c r="Z4" s="34" t="n"/>
      <c r="AA4" s="34" t="n"/>
      <c r="AB4" s="34" t="n"/>
      <c r="AC4" s="34" t="n"/>
      <c r="AD4" s="34" t="n"/>
      <c r="AE4" s="34" t="n"/>
      <c r="AF4" s="34" t="n"/>
      <c r="AG4" s="34">
        <f>IF(AND(AE4&lt;&gt;"",AF4&lt;&gt;""),ROUNDUP((AF4-AE4)/7,0),"")</f>
        <v/>
      </c>
      <c r="AH4" s="34" t="n"/>
      <c r="AI4" s="34">
        <f>IFERROR(IF(AG4*AH4=0,"",AG4*AH4),"")</f>
        <v/>
      </c>
      <c r="AJ4" s="34" t="n"/>
      <c r="AK4" s="34" t="n"/>
      <c r="AL4" s="34">
        <f>IF(AND(AJ4&lt;&gt;"",AK4&lt;&gt;""),ROUNDUP((AK4-AJ4)/7,0),"")</f>
        <v/>
      </c>
      <c r="AM4" s="34" t="n"/>
      <c r="AN4" s="34">
        <f>IFERROR(IF(AL4*AM4=0,"",AL4*AM4),"")</f>
        <v/>
      </c>
      <c r="AO4" s="34" t="n"/>
      <c r="AP4" s="34" t="n"/>
      <c r="AQ4" s="34">
        <f>IF(AND(AO4&lt;&gt;"",AP4&lt;&gt;""),ROUNDUP((AP4-AO4)/7,0),"")</f>
        <v/>
      </c>
      <c r="AR4" s="34">
        <f>IFERROR(IF((AU4-(AI4+AN4))/AQ4=0,"",ROUNDUP((AU4-(AI4+AN4))/AQ4,0)),"")</f>
        <v/>
      </c>
      <c r="AS4" s="34">
        <f>IFERROR(IF((AU4-(AI4+AN4))=0,"",(AU4-(AI4+AN4))),"")</f>
        <v/>
      </c>
      <c r="AT4" s="34">
        <f>IF(AND(AG4="",AQ4=""),AL4,IF(SUM(AG4,AL4,AQ4)=0,"",SUM(AG4,AL4,AQ4)))</f>
        <v/>
      </c>
      <c r="AU4" s="34" t="n"/>
      <c r="AV4" s="34" t="n"/>
      <c r="AW4" s="34" t="n"/>
      <c r="AX4" s="34" t="n"/>
      <c r="AY4" s="34" t="n"/>
      <c r="AZ4" s="30" t="n"/>
      <c r="BA4" s="34" t="n"/>
      <c r="BB4" s="34" t="n"/>
      <c r="BC4" s="34" t="n"/>
      <c r="BD4" s="34" t="n"/>
      <c r="BE4" s="34" t="n"/>
      <c r="BF4" s="34" t="n"/>
      <c r="BG4" s="34">
        <f>IF(AD4="","",YEAR(AD4)+IF(MONTH(AD4)&gt;=5,1,0))</f>
        <v/>
      </c>
      <c r="BH4" s="34">
        <f>IF(AD4="","",IF(AND(MONTH(AD4)=8,DAY(AD4)&gt;=15),"Fall",IF(MONTH(AD4)&gt;8,"Fall",IF(MONTH(AD4)=5,"Summer",IF(MONTH(AD4)=1,"Spring","")))))</f>
        <v/>
      </c>
      <c r="BI4" s="34" t="n"/>
      <c r="BJ4" s="34" t="n"/>
      <c r="BK4" s="30">
        <f>IF($BJ4="","",IFERROR(INDEX(InstructorMap!$B:$B, MATCH($BJ4, InstructorMap!$A:$A, 0)),""))</f>
        <v/>
      </c>
      <c r="BL4" s="30">
        <f>IFERROR(INDEX('_names_lookup'!$C:$C,MATCH(BK4,'_names_lookup'!$A:$A,0)),"")</f>
        <v/>
      </c>
      <c r="BM4" s="34">
        <f>IFERROR(INDEX('_names_lookup'!$B:$B,MATCH(BK4,'_names_lookup'!$A:$A,0)),"")</f>
        <v/>
      </c>
      <c r="BN4" s="34" t="n"/>
      <c r="BO4" s="34" t="n"/>
      <c r="BP4" s="34" t="n"/>
      <c r="BQ4" s="34" t="n"/>
      <c r="BR4" s="34" t="n"/>
      <c r="BS4" s="34">
        <f>IFERROR(IF(BR4*AA4=0,"",BR4*AA4),"")</f>
        <v/>
      </c>
      <c r="BT4" s="34" t="n"/>
      <c r="BU4" s="34" t="n"/>
      <c r="BV4" s="34" t="n"/>
      <c r="BW4" s="34" t="n"/>
      <c r="BX4" s="34" t="n"/>
      <c r="BY4" s="34" t="n"/>
      <c r="BZ4" s="34" t="n"/>
      <c r="CA4" s="34" t="n"/>
      <c r="CB4" s="34" t="n"/>
      <c r="CC4" s="34" t="n"/>
      <c r="CD4" s="34" t="n"/>
      <c r="CE4" s="34" t="n"/>
      <c r="CF4" s="34" t="n"/>
      <c r="CG4" s="34" t="n"/>
      <c r="CH4" s="34" t="n"/>
      <c r="CI4" s="34" t="n"/>
      <c r="CJ4" s="34" t="n"/>
      <c r="CK4" s="34" t="n"/>
      <c r="CL4" s="34" t="n"/>
      <c r="CM4" s="34" t="n"/>
      <c r="CN4" s="34" t="n"/>
      <c r="CO4" s="34" t="n"/>
      <c r="CP4" s="34" t="n"/>
      <c r="CQ4" s="34" t="n"/>
      <c r="CR4" s="34" t="n"/>
      <c r="CS4" s="34" t="n"/>
      <c r="CT4" s="34" t="n"/>
      <c r="CU4" s="34" t="n"/>
      <c r="CV4" s="34" t="n"/>
      <c r="CW4" s="34" t="n"/>
      <c r="CX4" s="34" t="n"/>
      <c r="CY4" s="34" t="n"/>
      <c r="CZ4" s="34" t="n"/>
      <c r="DA4" s="34" t="n"/>
      <c r="DB4" s="34" t="n"/>
      <c r="DC4" s="34" t="n"/>
      <c r="DD4" s="34" t="n"/>
      <c r="DE4" s="34" t="n"/>
      <c r="DF4" s="34" t="n"/>
      <c r="DG4" s="34" t="n"/>
      <c r="DH4" s="34" t="n"/>
      <c r="DI4" s="34" t="n"/>
      <c r="DJ4" s="34" t="n"/>
      <c r="DK4" s="34" t="n"/>
      <c r="DL4" s="34" t="n"/>
      <c r="DM4" s="34" t="n"/>
      <c r="DN4" s="34" t="n"/>
      <c r="DO4" s="34" t="n"/>
      <c r="DP4" s="34" t="n"/>
      <c r="DQ4" s="34" t="n"/>
    </row>
    <row r="5" ht="16" customHeight="1">
      <c r="A5" s="38" t="n"/>
      <c r="B5" s="38" t="n"/>
      <c r="C5" s="38" t="n"/>
      <c r="D5" s="38" t="n"/>
      <c r="E5" s="38" t="n"/>
      <c r="F5" s="38" t="n"/>
      <c r="G5" s="38" t="n"/>
      <c r="H5" s="34" t="n"/>
      <c r="I5" s="34" t="n"/>
      <c r="J5" s="34" t="n"/>
      <c r="K5" s="34" t="n"/>
      <c r="L5" s="34" t="n"/>
      <c r="M5" s="34" t="n"/>
      <c r="N5" s="34" t="n"/>
      <c r="O5" s="34">
        <f>IFERROR(INDEX('_courses_lookup'!$C:$C,MATCH(K5&amp;L5,'_courses_lookup'!$E:$E,0)),"")</f>
        <v/>
      </c>
      <c r="P5" s="34">
        <f>IFERROR(INDEX('_courses_lookup'!$D:$D,MATCH(K5&amp;L5,'_courses_lookup'!$E:$E,0)),"")</f>
        <v/>
      </c>
      <c r="Q5" s="34" t="n"/>
      <c r="R5" s="34" t="n"/>
      <c r="S5" s="34" t="n"/>
      <c r="T5" s="34" t="n"/>
      <c r="U5" s="34" t="n"/>
      <c r="V5" s="34" t="n"/>
      <c r="W5" s="34" t="n"/>
      <c r="X5" s="34" t="n"/>
      <c r="Y5" s="30" t="n"/>
      <c r="Z5" s="34" t="n"/>
      <c r="AA5" s="34" t="n"/>
      <c r="AB5" s="34" t="n"/>
      <c r="AC5" s="34" t="n"/>
      <c r="AD5" s="34" t="n"/>
      <c r="AE5" s="34" t="n"/>
      <c r="AF5" s="34" t="n"/>
      <c r="AG5" s="34">
        <f>IF(AND(AE5&lt;&gt;"",AF5&lt;&gt;""),ROUNDUP((AF5-AE5)/7,0),"")</f>
        <v/>
      </c>
      <c r="AH5" s="34" t="n"/>
      <c r="AI5" s="34">
        <f>IFERROR(IF(AG5*AH5=0,"",AG5*AH5),"")</f>
        <v/>
      </c>
      <c r="AJ5" s="34" t="n"/>
      <c r="AK5" s="34" t="n"/>
      <c r="AL5" s="34">
        <f>IF(AND(AJ5&lt;&gt;"",AK5&lt;&gt;""),ROUNDUP((AK5-AJ5)/7,0),"")</f>
        <v/>
      </c>
      <c r="AM5" s="34" t="n"/>
      <c r="AN5" s="34">
        <f>IFERROR(IF(AL5*AM5=0,"",AL5*AM5),"")</f>
        <v/>
      </c>
      <c r="AO5" s="34" t="n"/>
      <c r="AP5" s="34" t="n"/>
      <c r="AQ5" s="34">
        <f>IF(AND(AO5&lt;&gt;"",AP5&lt;&gt;""),ROUNDUP((AP5-AO5)/7,0),"")</f>
        <v/>
      </c>
      <c r="AR5" s="34">
        <f>IFERROR(IF((AU5-(AI5+AN5))/AQ5=0,"",ROUNDUP((AU5-(AI5+AN5))/AQ5,0)),"")</f>
        <v/>
      </c>
      <c r="AS5" s="34">
        <f>IFERROR(IF((AU5-(AI5+AN5))=0,"",(AU5-(AI5+AN5))),"")</f>
        <v/>
      </c>
      <c r="AT5" s="34">
        <f>IF(AND(AG5="",AQ5=""),AL5,IF(SUM(AG5,AL5,AQ5)=0,"",SUM(AG5,AL5,AQ5)))</f>
        <v/>
      </c>
      <c r="AU5" s="34" t="n"/>
      <c r="AV5" s="34" t="n"/>
      <c r="AW5" s="34" t="n"/>
      <c r="AX5" s="34" t="n"/>
      <c r="AY5" s="34" t="n"/>
      <c r="AZ5" s="30" t="n"/>
      <c r="BA5" s="34" t="n"/>
      <c r="BB5" s="34" t="n"/>
      <c r="BC5" s="34" t="n"/>
      <c r="BD5" s="34" t="n"/>
      <c r="BE5" s="34" t="n"/>
      <c r="BF5" s="34" t="n"/>
      <c r="BG5" s="34">
        <f>IF(AD5="","",YEAR(AD5)+IF(MONTH(AD5)&gt;=5,1,0))</f>
        <v/>
      </c>
      <c r="BH5" s="34">
        <f>IF(AD5="","",IF(AND(MONTH(AD5)=8,DAY(AD5)&gt;=15),"Fall",IF(MONTH(AD5)&gt;8,"Fall",IF(MONTH(AD5)=5,"Summer",IF(MONTH(AD5)=1,"Spring","")))))</f>
        <v/>
      </c>
      <c r="BI5" s="34" t="n"/>
      <c r="BJ5" s="34" t="n"/>
      <c r="BK5" s="30">
        <f>IF($BJ5="","",IFERROR(INDEX(InstructorMap!$B:$B, MATCH($BJ5, InstructorMap!$A:$A, 0)),""))</f>
        <v/>
      </c>
      <c r="BL5" s="30">
        <f>IFERROR(INDEX('_names_lookup'!$C:$C,MATCH(BK5,'_names_lookup'!$A:$A,0)),"")</f>
        <v/>
      </c>
      <c r="BM5" s="34">
        <f>IFERROR(INDEX('_names_lookup'!$B:$B,MATCH(BK5,'_names_lookup'!$A:$A,0)),"")</f>
        <v/>
      </c>
      <c r="BN5" s="34" t="n"/>
      <c r="BO5" s="34" t="n"/>
      <c r="BP5" s="34" t="n"/>
      <c r="BQ5" s="34" t="n"/>
      <c r="BR5" s="34" t="n"/>
      <c r="BS5" s="34">
        <f>IFERROR(IF(BR5*AA5=0,"",BR5*AA5),"")</f>
        <v/>
      </c>
      <c r="BT5" s="34" t="n"/>
      <c r="BU5" s="34" t="n"/>
      <c r="BV5" s="34" t="n"/>
      <c r="BW5" s="34" t="n"/>
      <c r="BX5" s="34" t="n"/>
      <c r="BY5" s="34" t="n"/>
      <c r="BZ5" s="34" t="n"/>
      <c r="CA5" s="34" t="n"/>
      <c r="CB5" s="34" t="n"/>
      <c r="CC5" s="34" t="n"/>
      <c r="CD5" s="34" t="n"/>
      <c r="CE5" s="34" t="n"/>
      <c r="CF5" s="34" t="n"/>
      <c r="CG5" s="34" t="n"/>
      <c r="CH5" s="34" t="n"/>
      <c r="CI5" s="34" t="n"/>
      <c r="CJ5" s="34" t="n"/>
      <c r="CK5" s="34" t="n"/>
      <c r="CL5" s="34" t="n"/>
      <c r="CM5" s="34" t="n"/>
      <c r="CN5" s="34" t="n"/>
      <c r="CO5" s="34" t="n"/>
      <c r="CP5" s="34" t="n"/>
      <c r="CQ5" s="34" t="n"/>
      <c r="CR5" s="34" t="n"/>
      <c r="CS5" s="34" t="n"/>
      <c r="CT5" s="34" t="n"/>
      <c r="CU5" s="34" t="n"/>
      <c r="CV5" s="34" t="n"/>
      <c r="CW5" s="34" t="n"/>
      <c r="CX5" s="34" t="n"/>
      <c r="CY5" s="34" t="n"/>
      <c r="CZ5" s="34" t="n"/>
      <c r="DA5" s="34" t="n"/>
      <c r="DB5" s="34" t="n"/>
      <c r="DC5" s="34" t="n"/>
      <c r="DD5" s="34" t="n"/>
      <c r="DE5" s="34" t="n"/>
      <c r="DF5" s="34" t="n"/>
      <c r="DG5" s="34" t="n"/>
      <c r="DH5" s="34" t="n"/>
      <c r="DI5" s="34" t="n"/>
      <c r="DJ5" s="34" t="n"/>
      <c r="DK5" s="34" t="n"/>
      <c r="DL5" s="34" t="n"/>
      <c r="DM5" s="34" t="n"/>
      <c r="DN5" s="34" t="n"/>
      <c r="DO5" s="34" t="n"/>
      <c r="DP5" s="34" t="n"/>
      <c r="DQ5" s="34" t="n"/>
    </row>
    <row r="6">
      <c r="O6">
        <f>IFERROR(INDEX('_courses_lookup'!$C:$C,MATCH(K6&amp;L6,'_courses_lookup'!$E:$E,0)),"")</f>
        <v/>
      </c>
      <c r="P6">
        <f>IFERROR(INDEX('_courses_lookup'!$D:$D,MATCH(K6&amp;L6,'_courses_lookup'!$E:$E,0)),"")</f>
        <v/>
      </c>
      <c r="AG6">
        <f>IF(AND(AE6&lt;&gt;"",AF6&lt;&gt;""),ROUNDUP((AF6-AE6)/7,0),"")</f>
        <v/>
      </c>
      <c r="AI6">
        <f>IFERROR(IF(AG6*AH6=0,"",AG6*AH6),"")</f>
        <v/>
      </c>
      <c r="AL6">
        <f>IF(AND(AJ6&lt;&gt;"",AK6&lt;&gt;""),ROUNDUP((AK6-AJ6)/7,0),"")</f>
        <v/>
      </c>
      <c r="AN6">
        <f>IFERROR(IF(AL6*AM6=0,"",AL6*AM6),"")</f>
        <v/>
      </c>
      <c r="AQ6">
        <f>IF(AND(AO6&lt;&gt;"",AP6&lt;&gt;""),ROUNDUP((AP6-AO6)/7,0),"")</f>
        <v/>
      </c>
      <c r="AR6">
        <f>IFERROR(IF((AU6-(AI6+AN6))/AQ6=0,"",ROUNDUP((AU6-(AI6+AN6))/AQ6,0)),"")</f>
        <v/>
      </c>
      <c r="AS6">
        <f>IFERROR(IF((AU6-(AI6+AN6))=0,"",(AU6-(AI6+AN6))),"")</f>
        <v/>
      </c>
      <c r="AT6">
        <f>IF(AND(AG6="",AQ6=""),AL6,IF(SUM(AG6,AL6,AQ6)=0,"",SUM(AG6,AL6,AQ6)))</f>
        <v/>
      </c>
      <c r="BG6">
        <f>IF(AD6="","",YEAR(AD6)+IF(MONTH(AD6)&gt;=5,1,0))</f>
        <v/>
      </c>
      <c r="BH6">
        <f>IF(AD6="","",IF(AND(MONTH(AD6)=8,DAY(AD6)&gt;=15),"Fall",IF(MONTH(AD6)&gt;8,"Fall",IF(MONTH(AD6)=5,"Summer",IF(MONTH(AD6)=1,"Spring","")))))</f>
        <v/>
      </c>
      <c r="BL6">
        <f>IFERROR(INDEX('_names_lookup'!$C:$C,MATCH(BK6,'_names_lookup'!$A:$A,0)),"")</f>
        <v/>
      </c>
      <c r="BM6">
        <f>IFERROR(INDEX('_names_lookup'!$B:$B,MATCH(BK6,'_names_lookup'!$A:$A,0)),"")</f>
        <v/>
      </c>
      <c r="BS6">
        <f>IFERROR(IF(BR6*AA6=0,"",BR6*AA6),"")</f>
        <v/>
      </c>
    </row>
    <row r="7">
      <c r="O7">
        <f>IFERROR(INDEX('_courses_lookup'!$C:$C,MATCH(K7&amp;L7,'_courses_lookup'!$E:$E,0)),"")</f>
        <v/>
      </c>
      <c r="P7">
        <f>IFERROR(INDEX('_courses_lookup'!$D:$D,MATCH(K7&amp;L7,'_courses_lookup'!$E:$E,0)),"")</f>
        <v/>
      </c>
      <c r="AG7">
        <f>IF(AND(AE7&lt;&gt;"",AF7&lt;&gt;""),ROUNDUP((AF7-AE7)/7,0),"")</f>
        <v/>
      </c>
      <c r="AI7">
        <f>IFERROR(IF(AG7*AH7=0,"",AG7*AH7),"")</f>
        <v/>
      </c>
      <c r="AL7">
        <f>IF(AND(AJ7&lt;&gt;"",AK7&lt;&gt;""),ROUNDUP((AK7-AJ7)/7,0),"")</f>
        <v/>
      </c>
      <c r="AN7">
        <f>IFERROR(IF(AL7*AM7=0,"",AL7*AM7),"")</f>
        <v/>
      </c>
      <c r="AQ7">
        <f>IF(AND(AO7&lt;&gt;"",AP7&lt;&gt;""),ROUNDUP((AP7-AO7)/7,0),"")</f>
        <v/>
      </c>
      <c r="AR7">
        <f>IFERROR(IF((AU7-(AI7+AN7))/AQ7=0,"",ROUNDUP((AU7-(AI7+AN7))/AQ7,0)),"")</f>
        <v/>
      </c>
      <c r="AS7">
        <f>IFERROR(IF((AU7-(AI7+AN7))=0,"",(AU7-(AI7+AN7))),"")</f>
        <v/>
      </c>
      <c r="AT7">
        <f>IF(AND(AG7="",AQ7=""),AL7,IF(SUM(AG7,AL7,AQ7)=0,"",SUM(AG7,AL7,AQ7)))</f>
        <v/>
      </c>
      <c r="BG7">
        <f>IF(AD7="","",YEAR(AD7)+IF(MONTH(AD7)&gt;=5,1,0))</f>
        <v/>
      </c>
      <c r="BH7">
        <f>IF(AD7="","",IF(AND(MONTH(AD7)=8,DAY(AD7)&gt;=15),"Fall",IF(MONTH(AD7)&gt;8,"Fall",IF(MONTH(AD7)=5,"Summer",IF(MONTH(AD7)=1,"Spring","")))))</f>
        <v/>
      </c>
      <c r="BL7">
        <f>IFERROR(INDEX('_names_lookup'!$C:$C,MATCH(BK7,'_names_lookup'!$A:$A,0)),"")</f>
        <v/>
      </c>
      <c r="BM7">
        <f>IFERROR(INDEX('_names_lookup'!$B:$B,MATCH(BK7,'_names_lookup'!$A:$A,0)),"")</f>
        <v/>
      </c>
      <c r="BS7">
        <f>IFERROR(IF(BR7*AA7=0,"",BR7*AA7),"")</f>
        <v/>
      </c>
    </row>
    <row r="8">
      <c r="O8">
        <f>IFERROR(INDEX('_courses_lookup'!$C:$C,MATCH(K8&amp;L8,'_courses_lookup'!$E:$E,0)),"")</f>
        <v/>
      </c>
      <c r="P8">
        <f>IFERROR(INDEX('_courses_lookup'!$D:$D,MATCH(K8&amp;L8,'_courses_lookup'!$E:$E,0)),"")</f>
        <v/>
      </c>
      <c r="AG8">
        <f>IF(AND(AE8&lt;&gt;"",AF8&lt;&gt;""),ROUNDUP((AF8-AE8)/7,0),"")</f>
        <v/>
      </c>
      <c r="AI8">
        <f>IFERROR(IF(AG8*AH8=0,"",AG8*AH8),"")</f>
        <v/>
      </c>
      <c r="AL8">
        <f>IF(AND(AJ8&lt;&gt;"",AK8&lt;&gt;""),ROUNDUP((AK8-AJ8)/7,0),"")</f>
        <v/>
      </c>
      <c r="AN8">
        <f>IFERROR(IF(AL8*AM8=0,"",AL8*AM8),"")</f>
        <v/>
      </c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L8">
        <f>IFERROR(INDEX('_names_lookup'!$C:$C,MATCH(BK8,'_names_lookup'!$A:$A,0)),"")</f>
        <v/>
      </c>
      <c r="BM8">
        <f>IFERROR(INDEX('_names_lookup'!$B:$B,MATCH(BK8,'_names_lookup'!$A:$A,0)),"")</f>
        <v/>
      </c>
      <c r="BS8">
        <f>IFERROR(IF(BR8*AA8=0,"",BR8*AA8),"")</f>
        <v/>
      </c>
    </row>
    <row r="9">
      <c r="O9">
        <f>IFERROR(INDEX('_courses_lookup'!$C:$C,MATCH(K9&amp;L9,'_courses_lookup'!$E:$E,0)),"")</f>
        <v/>
      </c>
      <c r="P9">
        <f>IFERROR(INDEX('_courses_lookup'!$D:$D,MATCH(K9&amp;L9,'_courses_lookup'!$E:$E,0)),"")</f>
        <v/>
      </c>
      <c r="AG9">
        <f>IF(AND(AE9&lt;&gt;"",AF9&lt;&gt;""),ROUNDUP((AF9-AE9)/7,0),"")</f>
        <v/>
      </c>
      <c r="AI9">
        <f>IFERROR(IF(AG9*AH9=0,"",AG9*AH9),"")</f>
        <v/>
      </c>
      <c r="AL9">
        <f>IF(AND(AJ9&lt;&gt;"",AK9&lt;&gt;""),ROUNDUP((AK9-AJ9)/7,0),"")</f>
        <v/>
      </c>
      <c r="AN9">
        <f>IFERROR(IF(AL9*AM9=0,"",AL9*AM9),"")</f>
        <v/>
      </c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L9">
        <f>IFERROR(INDEX('_names_lookup'!$C:$C,MATCH(BK9,'_names_lookup'!$A:$A,0)),"")</f>
        <v/>
      </c>
      <c r="BM9">
        <f>IFERROR(INDEX('_names_lookup'!$B:$B,MATCH(BK9,'_names_lookup'!$A:$A,0)),"")</f>
        <v/>
      </c>
      <c r="BS9">
        <f>IFERROR(IF(BR9*AA9=0,"",BR9*AA9),"")</f>
        <v/>
      </c>
    </row>
    <row r="10">
      <c r="O10">
        <f>IFERROR(INDEX('_courses_lookup'!$C:$C,MATCH(K10&amp;L10,'_courses_lookup'!$E:$E,0)),"")</f>
        <v/>
      </c>
      <c r="P10">
        <f>IFERROR(INDEX('_courses_lookup'!$D:$D,MATCH(K10&amp;L10,'_courses_lookup'!$E:$E,0)),"")</f>
        <v/>
      </c>
      <c r="AG10">
        <f>IF(AND(AE10&lt;&gt;"",AF10&lt;&gt;""),ROUNDUP((AF10-AE10)/7,0),"")</f>
        <v/>
      </c>
      <c r="AI10">
        <f>IFERROR(IF(AG10*AH10=0,"",AG10*AH10),"")</f>
        <v/>
      </c>
      <c r="AL10">
        <f>IF(AND(AJ10&lt;&gt;"",AK10&lt;&gt;""),ROUNDUP((AK10-AJ10)/7,0),"")</f>
        <v/>
      </c>
      <c r="AN10">
        <f>IFERROR(IF(AL10*AM10=0,"",AL10*AM10),"")</f>
        <v/>
      </c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L10">
        <f>IFERROR(INDEX('_names_lookup'!$C:$C,MATCH(BK10,'_names_lookup'!$A:$A,0)),"")</f>
        <v/>
      </c>
      <c r="BM10">
        <f>IFERROR(INDEX('_names_lookup'!$B:$B,MATCH(BK10,'_names_lookup'!$A:$A,0)),"")</f>
        <v/>
      </c>
      <c r="BS10">
        <f>IFERROR(IF(BR10*AA10=0,"",BR10*AA10),"")</f>
        <v/>
      </c>
    </row>
    <row r="11">
      <c r="O11">
        <f>IFERROR(INDEX('_courses_lookup'!$C:$C,MATCH(K11&amp;L11,'_courses_lookup'!$E:$E,0)),"")</f>
        <v/>
      </c>
      <c r="P11">
        <f>IFERROR(INDEX('_courses_lookup'!$D:$D,MATCH(K11&amp;L11,'_courses_lookup'!$E:$E,0)),"")</f>
        <v/>
      </c>
      <c r="AG11">
        <f>IF(AND(AE11&lt;&gt;"",AF11&lt;&gt;""),ROUNDUP((AF11-AE11)/7,0),"")</f>
        <v/>
      </c>
      <c r="AI11">
        <f>IFERROR(IF(AG11*AH11=0,"",AG11*AH11),"")</f>
        <v/>
      </c>
      <c r="AL11">
        <f>IF(AND(AJ11&lt;&gt;"",AK11&lt;&gt;""),ROUNDUP((AK11-AJ11)/7,0),"")</f>
        <v/>
      </c>
      <c r="AN11">
        <f>IFERROR(IF(AL11*AM11=0,"",AL11*AM11),"")</f>
        <v/>
      </c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L11">
        <f>IFERROR(INDEX('_names_lookup'!$C:$C,MATCH(BK11,'_names_lookup'!$A:$A,0)),"")</f>
        <v/>
      </c>
      <c r="BM11">
        <f>IFERROR(INDEX('_names_lookup'!$B:$B,MATCH(BK11,'_names_lookup'!$A:$A,0)),"")</f>
        <v/>
      </c>
      <c r="BS11">
        <f>IFERROR(IF(BR11*AA11=0,"",BR11*AA11),"")</f>
        <v/>
      </c>
    </row>
    <row r="12">
      <c r="O12">
        <f>IFERROR(INDEX('_courses_lookup'!$C:$C,MATCH(K12&amp;L12,'_courses_lookup'!$E:$E,0)),"")</f>
        <v/>
      </c>
      <c r="P12">
        <f>IFERROR(INDEX('_courses_lookup'!$D:$D,MATCH(K12&amp;L12,'_courses_lookup'!$E:$E,0)),"")</f>
        <v/>
      </c>
      <c r="AG12">
        <f>IF(AND(AE12&lt;&gt;"",AF12&lt;&gt;""),ROUNDUP((AF12-AE12)/7,0),"")</f>
        <v/>
      </c>
      <c r="AI12">
        <f>IFERROR(IF(AG12*AH12=0,"",AG12*AH12),"")</f>
        <v/>
      </c>
      <c r="AL12">
        <f>IF(AND(AJ12&lt;&gt;"",AK12&lt;&gt;""),ROUNDUP((AK12-AJ12)/7,0),"")</f>
        <v/>
      </c>
      <c r="AN12">
        <f>IFERROR(IF(AL12*AM12=0,"",AL12*AM12),"")</f>
        <v/>
      </c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L12">
        <f>IFERROR(INDEX('_names_lookup'!$C:$C,MATCH(BK12,'_names_lookup'!$A:$A,0)),"")</f>
        <v/>
      </c>
      <c r="BM12">
        <f>IFERROR(INDEX('_names_lookup'!$B:$B,MATCH(BK12,'_names_lookup'!$A:$A,0)),"")</f>
        <v/>
      </c>
      <c r="BS12">
        <f>IFERROR(IF(BR12*AA12=0,"",BR12*AA12),"")</f>
        <v/>
      </c>
    </row>
    <row r="13">
      <c r="O13">
        <f>IFERROR(INDEX('_courses_lookup'!$C:$C,MATCH(K13&amp;L13,'_courses_lookup'!$E:$E,0)),"")</f>
        <v/>
      </c>
      <c r="P13">
        <f>IFERROR(INDEX('_courses_lookup'!$D:$D,MATCH(K13&amp;L13,'_courses_lookup'!$E:$E,0)),"")</f>
        <v/>
      </c>
      <c r="AG13">
        <f>IF(AND(AE13&lt;&gt;"",AF13&lt;&gt;""),ROUNDUP((AF13-AE13)/7,0),"")</f>
        <v/>
      </c>
      <c r="AI13">
        <f>IFERROR(IF(AG13*AH13=0,"",AG13*AH13),"")</f>
        <v/>
      </c>
      <c r="AL13">
        <f>IF(AND(AJ13&lt;&gt;"",AK13&lt;&gt;""),ROUNDUP((AK13-AJ13)/7,0),"")</f>
        <v/>
      </c>
      <c r="AN13">
        <f>IFERROR(IF(AL13*AM13=0,"",AL13*AM13),"")</f>
        <v/>
      </c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L13">
        <f>IFERROR(INDEX('_names_lookup'!$C:$C,MATCH(BK13,'_names_lookup'!$A:$A,0)),"")</f>
        <v/>
      </c>
      <c r="BM13">
        <f>IFERROR(INDEX('_names_lookup'!$B:$B,MATCH(BK13,'_names_lookup'!$A:$A,0)),"")</f>
        <v/>
      </c>
      <c r="BS13">
        <f>IFERROR(IF(BR13*AA13=0,"",BR13*AA13),"")</f>
        <v/>
      </c>
    </row>
    <row r="14">
      <c r="O14">
        <f>IFERROR(INDEX('_courses_lookup'!$C:$C,MATCH(K14&amp;L14,'_courses_lookup'!$E:$E,0)),"")</f>
        <v/>
      </c>
      <c r="P14">
        <f>IFERROR(INDEX('_courses_lookup'!$D:$D,MATCH(K14&amp;L14,'_courses_lookup'!$E:$E,0)),"")</f>
        <v/>
      </c>
      <c r="AG14">
        <f>IF(AND(AE14&lt;&gt;"",AF14&lt;&gt;""),ROUNDUP((AF14-AE14)/7,0),"")</f>
        <v/>
      </c>
      <c r="AI14">
        <f>IFERROR(IF(AG14*AH14=0,"",AG14*AH14),"")</f>
        <v/>
      </c>
      <c r="AL14">
        <f>IF(AND(AJ14&lt;&gt;"",AK14&lt;&gt;""),ROUNDUP((AK14-AJ14)/7,0),"")</f>
        <v/>
      </c>
      <c r="AN14">
        <f>IFERROR(IF(AL14*AM14=0,"",AL14*AM14),"")</f>
        <v/>
      </c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L14">
        <f>IFERROR(INDEX('_names_lookup'!$C:$C,MATCH(BK14,'_names_lookup'!$A:$A,0)),"")</f>
        <v/>
      </c>
      <c r="BM14">
        <f>IFERROR(INDEX('_names_lookup'!$B:$B,MATCH(BK14,'_names_lookup'!$A:$A,0)),"")</f>
        <v/>
      </c>
      <c r="BS14">
        <f>IFERROR(IF(BR14*AA14=0,"",BR14*AA14),"")</f>
        <v/>
      </c>
    </row>
    <row r="15">
      <c r="O15">
        <f>IFERROR(INDEX('_courses_lookup'!$C:$C,MATCH(K15&amp;L15,'_courses_lookup'!$E:$E,0)),"")</f>
        <v/>
      </c>
      <c r="P15">
        <f>IFERROR(INDEX('_courses_lookup'!$D:$D,MATCH(K15&amp;L15,'_courses_lookup'!$E:$E,0)),"")</f>
        <v/>
      </c>
      <c r="AG15">
        <f>IF(AND(AE15&lt;&gt;"",AF15&lt;&gt;""),ROUNDUP((AF15-AE15)/7,0),"")</f>
        <v/>
      </c>
      <c r="AI15">
        <f>IFERROR(IF(AG15*AH15=0,"",AG15*AH15),"")</f>
        <v/>
      </c>
      <c r="AL15">
        <f>IF(AND(AJ15&lt;&gt;"",AK15&lt;&gt;""),ROUNDUP((AK15-AJ15)/7,0),"")</f>
        <v/>
      </c>
      <c r="AN15">
        <f>IFERROR(IF(AL15*AM15=0,"",AL15*AM15),"")</f>
        <v/>
      </c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L15">
        <f>IFERROR(INDEX('_names_lookup'!$C:$C,MATCH(BK15,'_names_lookup'!$A:$A,0)),"")</f>
        <v/>
      </c>
      <c r="BM15">
        <f>IFERROR(INDEX('_names_lookup'!$B:$B,MATCH(BK15,'_names_lookup'!$A:$A,0)),"")</f>
        <v/>
      </c>
      <c r="BS15">
        <f>IFERROR(IF(BR15*AA15=0,"",BR15*AA15),"")</f>
        <v/>
      </c>
    </row>
    <row r="16">
      <c r="O16">
        <f>IFERROR(INDEX('_courses_lookup'!$C:$C,MATCH(K16&amp;L16,'_courses_lookup'!$E:$E,0)),"")</f>
        <v/>
      </c>
      <c r="P16">
        <f>IFERROR(INDEX('_courses_lookup'!$D:$D,MATCH(K16&amp;L16,'_courses_lookup'!$E:$E,0)),"")</f>
        <v/>
      </c>
      <c r="AG16">
        <f>IF(AND(AE16&lt;&gt;"",AF16&lt;&gt;""),ROUNDUP((AF16-AE16)/7,0),"")</f>
        <v/>
      </c>
      <c r="AI16">
        <f>IFERROR(IF(AG16*AH16=0,"",AG16*AH16),"")</f>
        <v/>
      </c>
      <c r="AL16">
        <f>IF(AND(AJ16&lt;&gt;"",AK16&lt;&gt;""),ROUNDUP((AK16-AJ16)/7,0),"")</f>
        <v/>
      </c>
      <c r="AN16">
        <f>IFERROR(IF(AL16*AM16=0,"",AL16*AM16),"")</f>
        <v/>
      </c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L16">
        <f>IFERROR(INDEX('_names_lookup'!$C:$C,MATCH(BK16,'_names_lookup'!$A:$A,0)),"")</f>
        <v/>
      </c>
      <c r="BM16">
        <f>IFERROR(INDEX('_names_lookup'!$B:$B,MATCH(BK16,'_names_lookup'!$A:$A,0)),"")</f>
        <v/>
      </c>
      <c r="BS16">
        <f>IFERROR(IF(BR16*AA16=0,"",BR16*AA16),"")</f>
        <v/>
      </c>
    </row>
    <row r="17">
      <c r="O17">
        <f>IFERROR(INDEX('_courses_lookup'!$C:$C,MATCH(K17&amp;L17,'_courses_lookup'!$E:$E,0)),"")</f>
        <v/>
      </c>
      <c r="P17">
        <f>IFERROR(INDEX('_courses_lookup'!$D:$D,MATCH(K17&amp;L17,'_courses_lookup'!$E:$E,0)),"")</f>
        <v/>
      </c>
      <c r="AG17">
        <f>IF(AND(AE17&lt;&gt;"",AF17&lt;&gt;""),ROUNDUP((AF17-AE17)/7,0),"")</f>
        <v/>
      </c>
      <c r="AI17">
        <f>IFERROR(IF(AG17*AH17=0,"",AG17*AH17),"")</f>
        <v/>
      </c>
      <c r="AL17">
        <f>IF(AND(AJ17&lt;&gt;"",AK17&lt;&gt;""),ROUNDUP((AK17-AJ17)/7,0),"")</f>
        <v/>
      </c>
      <c r="AN17">
        <f>IFERROR(IF(AL17*AM17=0,"",AL17*AM17),"")</f>
        <v/>
      </c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L17">
        <f>IFERROR(INDEX('_names_lookup'!$C:$C,MATCH(BK17,'_names_lookup'!$A:$A,0)),"")</f>
        <v/>
      </c>
      <c r="BM17">
        <f>IFERROR(INDEX('_names_lookup'!$B:$B,MATCH(BK17,'_names_lookup'!$A:$A,0)),"")</f>
        <v/>
      </c>
      <c r="BS17">
        <f>IFERROR(IF(BR17*AA17=0,"",BR17*AA17),"")</f>
        <v/>
      </c>
    </row>
    <row r="18">
      <c r="O18">
        <f>IFERROR(INDEX('_courses_lookup'!$C:$C,MATCH(K18&amp;L18,'_courses_lookup'!$E:$E,0)),"")</f>
        <v/>
      </c>
      <c r="P18">
        <f>IFERROR(INDEX('_courses_lookup'!$D:$D,MATCH(K18&amp;L18,'_courses_lookup'!$E:$E,0)),"")</f>
        <v/>
      </c>
      <c r="AG18">
        <f>IF(AND(AE18&lt;&gt;"",AF18&lt;&gt;""),ROUNDUP((AF18-AE18)/7,0),"")</f>
        <v/>
      </c>
      <c r="AI18">
        <f>IFERROR(IF(AG18*AH18=0,"",AG18*AH18),"")</f>
        <v/>
      </c>
      <c r="AL18">
        <f>IF(AND(AJ18&lt;&gt;"",AK18&lt;&gt;""),ROUNDUP((AK18-AJ18)/7,0),"")</f>
        <v/>
      </c>
      <c r="AN18">
        <f>IFERROR(IF(AL18*AM18=0,"",AL18*AM18),"")</f>
        <v/>
      </c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L18">
        <f>IFERROR(INDEX('_names_lookup'!$C:$C,MATCH(BK18,'_names_lookup'!$A:$A,0)),"")</f>
        <v/>
      </c>
      <c r="BM18">
        <f>IFERROR(INDEX('_names_lookup'!$B:$B,MATCH(BK18,'_names_lookup'!$A:$A,0)),"")</f>
        <v/>
      </c>
      <c r="BS18">
        <f>IFERROR(IF(BR18*AA18=0,"",BR18*AA18),"")</f>
        <v/>
      </c>
    </row>
    <row r="19">
      <c r="O19">
        <f>IFERROR(INDEX('_courses_lookup'!$C:$C,MATCH(K19&amp;L19,'_courses_lookup'!$E:$E,0)),"")</f>
        <v/>
      </c>
      <c r="P19">
        <f>IFERROR(INDEX('_courses_lookup'!$D:$D,MATCH(K19&amp;L19,'_courses_lookup'!$E:$E,0)),"")</f>
        <v/>
      </c>
      <c r="AG19">
        <f>IF(AND(AE19&lt;&gt;"",AF19&lt;&gt;""),ROUNDUP((AF19-AE19)/7,0),"")</f>
        <v/>
      </c>
      <c r="AI19">
        <f>IFERROR(IF(AG19*AH19=0,"",AG19*AH19),"")</f>
        <v/>
      </c>
      <c r="AL19">
        <f>IF(AND(AJ19&lt;&gt;"",AK19&lt;&gt;""),ROUNDUP((AK19-AJ19)/7,0),"")</f>
        <v/>
      </c>
      <c r="AN19">
        <f>IFERROR(IF(AL19*AM19=0,"",AL19*AM19),"")</f>
        <v/>
      </c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L19">
        <f>IFERROR(INDEX('_names_lookup'!$C:$C,MATCH(BK19,'_names_lookup'!$A:$A,0)),"")</f>
        <v/>
      </c>
      <c r="BM19">
        <f>IFERROR(INDEX('_names_lookup'!$B:$B,MATCH(BK19,'_names_lookup'!$A:$A,0)),"")</f>
        <v/>
      </c>
      <c r="BS19">
        <f>IFERROR(IF(BR19*AA19=0,"",BR19*AA19),"")</f>
        <v/>
      </c>
    </row>
    <row r="20">
      <c r="O20">
        <f>IFERROR(INDEX('_courses_lookup'!$C:$C,MATCH(K20&amp;L20,'_courses_lookup'!$E:$E,0)),"")</f>
        <v/>
      </c>
      <c r="P20">
        <f>IFERROR(INDEX('_courses_lookup'!$D:$D,MATCH(K20&amp;L20,'_courses_lookup'!$E:$E,0)),"")</f>
        <v/>
      </c>
      <c r="AG20">
        <f>IF(AND(AE20&lt;&gt;"",AF20&lt;&gt;""),ROUNDUP((AF20-AE20)/7,0),"")</f>
        <v/>
      </c>
      <c r="AI20">
        <f>IFERROR(IF(AG20*AH20=0,"",AG20*AH20),"")</f>
        <v/>
      </c>
      <c r="AL20">
        <f>IF(AND(AJ20&lt;&gt;"",AK20&lt;&gt;""),ROUNDUP((AK20-AJ20)/7,0),"")</f>
        <v/>
      </c>
      <c r="AN20">
        <f>IFERROR(IF(AL20*AM20=0,"",AL20*AM20),"")</f>
        <v/>
      </c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L20">
        <f>IFERROR(INDEX('_names_lookup'!$C:$C,MATCH(BK20,'_names_lookup'!$A:$A,0)),"")</f>
        <v/>
      </c>
      <c r="BM20">
        <f>IFERROR(INDEX('_names_lookup'!$B:$B,MATCH(BK20,'_names_lookup'!$A:$A,0)),"")</f>
        <v/>
      </c>
      <c r="BS20">
        <f>IFERROR(IF(BR20*AA20=0,"",BR20*AA20),"")</f>
        <v/>
      </c>
    </row>
    <row r="21">
      <c r="O21">
        <f>IFERROR(INDEX('_courses_lookup'!$C:$C,MATCH(K21&amp;L21,'_courses_lookup'!$E:$E,0)),"")</f>
        <v/>
      </c>
      <c r="P21">
        <f>IFERROR(INDEX('_courses_lookup'!$D:$D,MATCH(K21&amp;L21,'_courses_lookup'!$E:$E,0)),"")</f>
        <v/>
      </c>
      <c r="AG21">
        <f>IF(AND(AE21&lt;&gt;"",AF21&lt;&gt;""),ROUNDUP((AF21-AE21)/7,0),"")</f>
        <v/>
      </c>
      <c r="AI21">
        <f>IFERROR(IF(AG21*AH21=0,"",AG21*AH21),"")</f>
        <v/>
      </c>
      <c r="AL21">
        <f>IF(AND(AJ21&lt;&gt;"",AK21&lt;&gt;""),ROUNDUP((AK21-AJ21)/7,0),"")</f>
        <v/>
      </c>
      <c r="AN21">
        <f>IFERROR(IF(AL21*AM21=0,"",AL21*AM21),"")</f>
        <v/>
      </c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L21">
        <f>IFERROR(INDEX('_names_lookup'!$C:$C,MATCH(BK21,'_names_lookup'!$A:$A,0)),"")</f>
        <v/>
      </c>
      <c r="BM21">
        <f>IFERROR(INDEX('_names_lookup'!$B:$B,MATCH(BK21,'_names_lookup'!$A:$A,0)),"")</f>
        <v/>
      </c>
      <c r="BS21">
        <f>IFERROR(IF(BR21*AA21=0,"",BR21*AA21),"")</f>
        <v/>
      </c>
    </row>
    <row r="22">
      <c r="O22">
        <f>IFERROR(INDEX('_courses_lookup'!$C:$C,MATCH(K22&amp;L22,'_courses_lookup'!$E:$E,0)),"")</f>
        <v/>
      </c>
      <c r="P22">
        <f>IFERROR(INDEX('_courses_lookup'!$D:$D,MATCH(K22&amp;L22,'_courses_lookup'!$E:$E,0)),"")</f>
        <v/>
      </c>
      <c r="AG22">
        <f>IF(AND(AE22&lt;&gt;"",AF22&lt;&gt;""),ROUNDUP((AF22-AE22)/7,0),"")</f>
        <v/>
      </c>
      <c r="AI22">
        <f>IFERROR(IF(AG22*AH22=0,"",AG22*AH22),"")</f>
        <v/>
      </c>
      <c r="AL22">
        <f>IF(AND(AJ22&lt;&gt;"",AK22&lt;&gt;""),ROUNDUP((AK22-AJ22)/7,0),"")</f>
        <v/>
      </c>
      <c r="AN22">
        <f>IFERROR(IF(AL22*AM22=0,"",AL22*AM22),"")</f>
        <v/>
      </c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L22">
        <f>IFERROR(INDEX('_names_lookup'!$C:$C,MATCH(BK22,'_names_lookup'!$A:$A,0)),"")</f>
        <v/>
      </c>
      <c r="BM22">
        <f>IFERROR(INDEX('_names_lookup'!$B:$B,MATCH(BK22,'_names_lookup'!$A:$A,0)),"")</f>
        <v/>
      </c>
      <c r="BS22">
        <f>IFERROR(IF(BR22*AA22=0,"",BR22*AA22),"")</f>
        <v/>
      </c>
    </row>
    <row r="23">
      <c r="O23">
        <f>IFERROR(INDEX('_courses_lookup'!$C:$C,MATCH(K23&amp;L23,'_courses_lookup'!$E:$E,0)),"")</f>
        <v/>
      </c>
      <c r="P23">
        <f>IFERROR(INDEX('_courses_lookup'!$D:$D,MATCH(K23&amp;L23,'_courses_lookup'!$E:$E,0)),"")</f>
        <v/>
      </c>
      <c r="AG23">
        <f>IF(AND(AE23&lt;&gt;"",AF23&lt;&gt;""),ROUNDUP((AF23-AE23)/7,0),"")</f>
        <v/>
      </c>
      <c r="AI23">
        <f>IFERROR(IF(AG23*AH23=0,"",AG23*AH23),"")</f>
        <v/>
      </c>
      <c r="AL23">
        <f>IF(AND(AJ23&lt;&gt;"",AK23&lt;&gt;""),ROUNDUP((AK23-AJ23)/7,0),"")</f>
        <v/>
      </c>
      <c r="AN23">
        <f>IFERROR(IF(AL23*AM23=0,"",AL23*AM23),"")</f>
        <v/>
      </c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L23">
        <f>IFERROR(INDEX('_names_lookup'!$C:$C,MATCH(BK23,'_names_lookup'!$A:$A,0)),"")</f>
        <v/>
      </c>
      <c r="BM23">
        <f>IFERROR(INDEX('_names_lookup'!$B:$B,MATCH(BK23,'_names_lookup'!$A:$A,0)),"")</f>
        <v/>
      </c>
      <c r="BS23">
        <f>IFERROR(IF(BR23*AA23=0,"",BR23*AA23),"")</f>
        <v/>
      </c>
    </row>
    <row r="24">
      <c r="O24">
        <f>IFERROR(INDEX('_courses_lookup'!$C:$C,MATCH(K24&amp;L24,'_courses_lookup'!$E:$E,0)),"")</f>
        <v/>
      </c>
      <c r="P24">
        <f>IFERROR(INDEX('_courses_lookup'!$D:$D,MATCH(K24&amp;L24,'_courses_lookup'!$E:$E,0)),"")</f>
        <v/>
      </c>
      <c r="AG24">
        <f>IF(AND(AE24&lt;&gt;"",AF24&lt;&gt;""),ROUNDUP((AF24-AE24)/7,0),"")</f>
        <v/>
      </c>
      <c r="AI24">
        <f>IFERROR(IF(AG24*AH24=0,"",AG24*AH24),"")</f>
        <v/>
      </c>
      <c r="AL24">
        <f>IF(AND(AJ24&lt;&gt;"",AK24&lt;&gt;""),ROUNDUP((AK24-AJ24)/7,0),"")</f>
        <v/>
      </c>
      <c r="AN24">
        <f>IFERROR(IF(AL24*AM24=0,"",AL24*AM24),"")</f>
        <v/>
      </c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L24">
        <f>IFERROR(INDEX('_names_lookup'!$C:$C,MATCH(BK24,'_names_lookup'!$A:$A,0)),"")</f>
        <v/>
      </c>
      <c r="BM24">
        <f>IFERROR(INDEX('_names_lookup'!$B:$B,MATCH(BK24,'_names_lookup'!$A:$A,0)),"")</f>
        <v/>
      </c>
      <c r="BS24">
        <f>IFERROR(IF(BR24*AA24=0,"",BR24*AA24),"")</f>
        <v/>
      </c>
    </row>
    <row r="25">
      <c r="O25">
        <f>IFERROR(INDEX('_courses_lookup'!$C:$C,MATCH(K25&amp;L25,'_courses_lookup'!$E:$E,0)),"")</f>
        <v/>
      </c>
      <c r="P25">
        <f>IFERROR(INDEX('_courses_lookup'!$D:$D,MATCH(K25&amp;L25,'_courses_lookup'!$E:$E,0)),"")</f>
        <v/>
      </c>
      <c r="AG25">
        <f>IF(AND(AE25&lt;&gt;"",AF25&lt;&gt;""),ROUNDUP((AF25-AE25)/7,0),"")</f>
        <v/>
      </c>
      <c r="AI25">
        <f>IFERROR(IF(AG25*AH25=0,"",AG25*AH25),"")</f>
        <v/>
      </c>
      <c r="AL25">
        <f>IF(AND(AJ25&lt;&gt;"",AK25&lt;&gt;""),ROUNDUP((AK25-AJ25)/7,0),"")</f>
        <v/>
      </c>
      <c r="AN25">
        <f>IFERROR(IF(AL25*AM25=0,"",AL25*AM25),"")</f>
        <v/>
      </c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L25">
        <f>IFERROR(INDEX('_names_lookup'!$C:$C,MATCH(BK25,'_names_lookup'!$A:$A,0)),"")</f>
        <v/>
      </c>
      <c r="BM25">
        <f>IFERROR(INDEX('_names_lookup'!$B:$B,MATCH(BK25,'_names_lookup'!$A:$A,0)),"")</f>
        <v/>
      </c>
      <c r="BS25">
        <f>IFERROR(IF(BR25*AA25=0,"",BR25*AA25),"")</f>
        <v/>
      </c>
    </row>
    <row r="26">
      <c r="O26">
        <f>IFERROR(INDEX('_courses_lookup'!$C:$C,MATCH(K26&amp;L26,'_courses_lookup'!$E:$E,0)),"")</f>
        <v/>
      </c>
      <c r="P26">
        <f>IFERROR(INDEX('_courses_lookup'!$D:$D,MATCH(K26&amp;L26,'_courses_lookup'!$E:$E,0)),"")</f>
        <v/>
      </c>
      <c r="AG26">
        <f>IF(AND(AE26&lt;&gt;"",AF26&lt;&gt;""),ROUNDUP((AF26-AE26)/7,0),"")</f>
        <v/>
      </c>
      <c r="AI26">
        <f>IFERROR(IF(AG26*AH26=0,"",AG26*AH26),"")</f>
        <v/>
      </c>
      <c r="AL26">
        <f>IF(AND(AJ26&lt;&gt;"",AK26&lt;&gt;""),ROUNDUP((AK26-AJ26)/7,0),"")</f>
        <v/>
      </c>
      <c r="AN26">
        <f>IFERROR(IF(AL26*AM26=0,"",AL26*AM26),"")</f>
        <v/>
      </c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L26">
        <f>IFERROR(INDEX('_names_lookup'!$C:$C,MATCH(BK26,'_names_lookup'!$A:$A,0)),"")</f>
        <v/>
      </c>
      <c r="BM26">
        <f>IFERROR(INDEX('_names_lookup'!$B:$B,MATCH(BK26,'_names_lookup'!$A:$A,0)),"")</f>
        <v/>
      </c>
      <c r="BS26">
        <f>IFERROR(IF(BR26*AA26=0,"",BR26*AA26),"")</f>
        <v/>
      </c>
    </row>
    <row r="27">
      <c r="O27">
        <f>IFERROR(INDEX('_courses_lookup'!$C:$C,MATCH(K27&amp;L27,'_courses_lookup'!$E:$E,0)),"")</f>
        <v/>
      </c>
      <c r="P27">
        <f>IFERROR(INDEX('_courses_lookup'!$D:$D,MATCH(K27&amp;L27,'_courses_lookup'!$E:$E,0)),"")</f>
        <v/>
      </c>
      <c r="AG27">
        <f>IF(AND(AE27&lt;&gt;"",AF27&lt;&gt;""),ROUNDUP((AF27-AE27)/7,0),"")</f>
        <v/>
      </c>
      <c r="AI27">
        <f>IFERROR(IF(AG27*AH27=0,"",AG27*AH27),"")</f>
        <v/>
      </c>
      <c r="AL27">
        <f>IF(AND(AJ27&lt;&gt;"",AK27&lt;&gt;""),ROUNDUP((AK27-AJ27)/7,0),"")</f>
        <v/>
      </c>
      <c r="AN27">
        <f>IFERROR(IF(AL27*AM27=0,"",AL27*AM27),"")</f>
        <v/>
      </c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L27">
        <f>IFERROR(INDEX('_names_lookup'!$C:$C,MATCH(BK27,'_names_lookup'!$A:$A,0)),"")</f>
        <v/>
      </c>
      <c r="BM27">
        <f>IFERROR(INDEX('_names_lookup'!$B:$B,MATCH(BK27,'_names_lookup'!$A:$A,0)),"")</f>
        <v/>
      </c>
      <c r="BS27">
        <f>IFERROR(IF(BR27*AA27=0,"",BR27*AA27),"")</f>
        <v/>
      </c>
    </row>
    <row r="28">
      <c r="O28">
        <f>IFERROR(INDEX('_courses_lookup'!$C:$C,MATCH(K28&amp;L28,'_courses_lookup'!$E:$E,0)),"")</f>
        <v/>
      </c>
      <c r="P28">
        <f>IFERROR(INDEX('_courses_lookup'!$D:$D,MATCH(K28&amp;L28,'_courses_lookup'!$E:$E,0)),"")</f>
        <v/>
      </c>
      <c r="AG28">
        <f>IF(AND(AE28&lt;&gt;"",AF28&lt;&gt;""),ROUNDUP((AF28-AE28)/7,0),"")</f>
        <v/>
      </c>
      <c r="AI28">
        <f>IFERROR(IF(AG28*AH28=0,"",AG28*AH28),"")</f>
        <v/>
      </c>
      <c r="AL28">
        <f>IF(AND(AJ28&lt;&gt;"",AK28&lt;&gt;""),ROUNDUP((AK28-AJ28)/7,0),"")</f>
        <v/>
      </c>
      <c r="AN28">
        <f>IFERROR(IF(AL28*AM28=0,"",AL28*AM28),"")</f>
        <v/>
      </c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L28">
        <f>IFERROR(INDEX('_names_lookup'!$C:$C,MATCH(BK28,'_names_lookup'!$A:$A,0)),"")</f>
        <v/>
      </c>
      <c r="BM28">
        <f>IFERROR(INDEX('_names_lookup'!$B:$B,MATCH(BK28,'_names_lookup'!$A:$A,0)),"")</f>
        <v/>
      </c>
      <c r="BS28">
        <f>IFERROR(IF(BR28*AA28=0,"",BR28*AA28),"")</f>
        <v/>
      </c>
    </row>
    <row r="29">
      <c r="O29">
        <f>IFERROR(INDEX('_courses_lookup'!$C:$C,MATCH(K29&amp;L29,'_courses_lookup'!$E:$E,0)),"")</f>
        <v/>
      </c>
      <c r="P29">
        <f>IFERROR(INDEX('_courses_lookup'!$D:$D,MATCH(K29&amp;L29,'_courses_lookup'!$E:$E,0)),"")</f>
        <v/>
      </c>
      <c r="AG29">
        <f>IF(AND(AE29&lt;&gt;"",AF29&lt;&gt;""),ROUNDUP((AF29-AE29)/7,0),"")</f>
        <v/>
      </c>
      <c r="AI29">
        <f>IFERROR(IF(AG29*AH29=0,"",AG29*AH29),"")</f>
        <v/>
      </c>
      <c r="AL29">
        <f>IF(AND(AJ29&lt;&gt;"",AK29&lt;&gt;""),ROUNDUP((AK29-AJ29)/7,0),"")</f>
        <v/>
      </c>
      <c r="AN29">
        <f>IFERROR(IF(AL29*AM29=0,"",AL29*AM29),"")</f>
        <v/>
      </c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L29">
        <f>IFERROR(INDEX('_names_lookup'!$C:$C,MATCH(BK29,'_names_lookup'!$A:$A,0)),"")</f>
        <v/>
      </c>
      <c r="BM29">
        <f>IFERROR(INDEX('_names_lookup'!$B:$B,MATCH(BK29,'_names_lookup'!$A:$A,0)),"")</f>
        <v/>
      </c>
      <c r="BS29">
        <f>IFERROR(IF(BR29*AA29=0,"",BR29*AA29),"")</f>
        <v/>
      </c>
    </row>
    <row r="30">
      <c r="O30">
        <f>IFERROR(INDEX('_courses_lookup'!$C:$C,MATCH(K30&amp;L30,'_courses_lookup'!$E:$E,0)),"")</f>
        <v/>
      </c>
      <c r="P30">
        <f>IFERROR(INDEX('_courses_lookup'!$D:$D,MATCH(K30&amp;L30,'_courses_lookup'!$E:$E,0)),"")</f>
        <v/>
      </c>
      <c r="AG30">
        <f>IF(AND(AE30&lt;&gt;"",AF30&lt;&gt;""),ROUNDUP((AF30-AE30)/7,0),"")</f>
        <v/>
      </c>
      <c r="AI30">
        <f>IFERROR(IF(AG30*AH30=0,"",AG30*AH30),"")</f>
        <v/>
      </c>
      <c r="AL30">
        <f>IF(AND(AJ30&lt;&gt;"",AK30&lt;&gt;""),ROUNDUP((AK30-AJ30)/7,0),"")</f>
        <v/>
      </c>
      <c r="AN30">
        <f>IFERROR(IF(AL30*AM30=0,"",AL30*AM30),"")</f>
        <v/>
      </c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L30">
        <f>IFERROR(INDEX('_names_lookup'!$C:$C,MATCH(BK30,'_names_lookup'!$A:$A,0)),"")</f>
        <v/>
      </c>
      <c r="BM30">
        <f>IFERROR(INDEX('_names_lookup'!$B:$B,MATCH(BK30,'_names_lookup'!$A:$A,0)),"")</f>
        <v/>
      </c>
      <c r="BS30">
        <f>IFERROR(IF(BR30*AA30=0,"",BR30*AA30),"")</f>
        <v/>
      </c>
    </row>
    <row r="31">
      <c r="O31">
        <f>IFERROR(INDEX('_courses_lookup'!$C:$C,MATCH(K31&amp;L31,'_courses_lookup'!$E:$E,0)),"")</f>
        <v/>
      </c>
      <c r="P31">
        <f>IFERROR(INDEX('_courses_lookup'!$D:$D,MATCH(K31&amp;L31,'_courses_lookup'!$E:$E,0)),"")</f>
        <v/>
      </c>
      <c r="AG31">
        <f>IF(AND(AE31&lt;&gt;"",AF31&lt;&gt;""),ROUNDUP((AF31-AE31)/7,0),"")</f>
        <v/>
      </c>
      <c r="AI31">
        <f>IFERROR(IF(AG31*AH31=0,"",AG31*AH31),"")</f>
        <v/>
      </c>
      <c r="AL31">
        <f>IF(AND(AJ31&lt;&gt;"",AK31&lt;&gt;""),ROUNDUP((AK31-AJ31)/7,0),"")</f>
        <v/>
      </c>
      <c r="AN31">
        <f>IFERROR(IF(AL31*AM31=0,"",AL31*AM31),"")</f>
        <v/>
      </c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L31">
        <f>IFERROR(INDEX('_names_lookup'!$C:$C,MATCH(BK31,'_names_lookup'!$A:$A,0)),"")</f>
        <v/>
      </c>
      <c r="BM31">
        <f>IFERROR(INDEX('_names_lookup'!$B:$B,MATCH(BK31,'_names_lookup'!$A:$A,0)),"")</f>
        <v/>
      </c>
      <c r="BS31">
        <f>IFERROR(IF(BR31*AA31=0,"",BR31*AA31),"")</f>
        <v/>
      </c>
    </row>
    <row r="32">
      <c r="O32">
        <f>IFERROR(INDEX('_courses_lookup'!$C:$C,MATCH(K32&amp;L32,'_courses_lookup'!$E:$E,0)),"")</f>
        <v/>
      </c>
      <c r="P32">
        <f>IFERROR(INDEX('_courses_lookup'!$D:$D,MATCH(K32&amp;L32,'_courses_lookup'!$E:$E,0)),"")</f>
        <v/>
      </c>
      <c r="AG32">
        <f>IF(AND(AE32&lt;&gt;"",AF32&lt;&gt;""),ROUNDUP((AF32-AE32)/7,0),"")</f>
        <v/>
      </c>
      <c r="AI32">
        <f>IFERROR(IF(AG32*AH32=0,"",AG32*AH32),"")</f>
        <v/>
      </c>
      <c r="AL32">
        <f>IF(AND(AJ32&lt;&gt;"",AK32&lt;&gt;""),ROUNDUP((AK32-AJ32)/7,0),"")</f>
        <v/>
      </c>
      <c r="AN32">
        <f>IFERROR(IF(AL32*AM32=0,"",AL32*AM32),"")</f>
        <v/>
      </c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L32">
        <f>IFERROR(INDEX('_names_lookup'!$C:$C,MATCH(BK32,'_names_lookup'!$A:$A,0)),"")</f>
        <v/>
      </c>
      <c r="BM32">
        <f>IFERROR(INDEX('_names_lookup'!$B:$B,MATCH(BK32,'_names_lookup'!$A:$A,0)),"")</f>
        <v/>
      </c>
      <c r="BS32">
        <f>IFERROR(IF(BR32*AA32=0,"",BR32*AA32),"")</f>
        <v/>
      </c>
    </row>
    <row r="33">
      <c r="O33">
        <f>IFERROR(INDEX('_courses_lookup'!$C:$C,MATCH(K33&amp;L33,'_courses_lookup'!$E:$E,0)),"")</f>
        <v/>
      </c>
      <c r="P33">
        <f>IFERROR(INDEX('_courses_lookup'!$D:$D,MATCH(K33&amp;L33,'_courses_lookup'!$E:$E,0)),"")</f>
        <v/>
      </c>
      <c r="AG33">
        <f>IF(AND(AE33&lt;&gt;"",AF33&lt;&gt;""),ROUNDUP((AF33-AE33)/7,0),"")</f>
        <v/>
      </c>
      <c r="AI33">
        <f>IFERROR(IF(AG33*AH33=0,"",AG33*AH33),"")</f>
        <v/>
      </c>
      <c r="AL33">
        <f>IF(AND(AJ33&lt;&gt;"",AK33&lt;&gt;""),ROUNDUP((AK33-AJ33)/7,0),"")</f>
        <v/>
      </c>
      <c r="AN33">
        <f>IFERROR(IF(AL33*AM33=0,"",AL33*AM33),"")</f>
        <v/>
      </c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L33">
        <f>IFERROR(INDEX('_names_lookup'!$C:$C,MATCH(BK33,'_names_lookup'!$A:$A,0)),"")</f>
        <v/>
      </c>
      <c r="BM33">
        <f>IFERROR(INDEX('_names_lookup'!$B:$B,MATCH(BK33,'_names_lookup'!$A:$A,0)),"")</f>
        <v/>
      </c>
      <c r="BS33">
        <f>IFERROR(IF(BR33*AA33=0,"",BR33*AA33),"")</f>
        <v/>
      </c>
    </row>
    <row r="34">
      <c r="O34">
        <f>IFERROR(INDEX('_courses_lookup'!$C:$C,MATCH(K34&amp;L34,'_courses_lookup'!$E:$E,0)),"")</f>
        <v/>
      </c>
      <c r="P34">
        <f>IFERROR(INDEX('_courses_lookup'!$D:$D,MATCH(K34&amp;L34,'_courses_lookup'!$E:$E,0)),"")</f>
        <v/>
      </c>
      <c r="AG34">
        <f>IF(AND(AE34&lt;&gt;"",AF34&lt;&gt;""),ROUNDUP((AF34-AE34)/7,0),"")</f>
        <v/>
      </c>
      <c r="AI34">
        <f>IFERROR(IF(AG34*AH34=0,"",AG34*AH34),"")</f>
        <v/>
      </c>
      <c r="AL34">
        <f>IF(AND(AJ34&lt;&gt;"",AK34&lt;&gt;""),ROUNDUP((AK34-AJ34)/7,0),"")</f>
        <v/>
      </c>
      <c r="AN34">
        <f>IFERROR(IF(AL34*AM34=0,"",AL34*AM34),"")</f>
        <v/>
      </c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L34">
        <f>IFERROR(INDEX('_names_lookup'!$C:$C,MATCH(BK34,'_names_lookup'!$A:$A,0)),"")</f>
        <v/>
      </c>
      <c r="BM34">
        <f>IFERROR(INDEX('_names_lookup'!$B:$B,MATCH(BK34,'_names_lookup'!$A:$A,0)),"")</f>
        <v/>
      </c>
      <c r="BS34">
        <f>IFERROR(IF(BR34*AA34=0,"",BR34*AA34),"")</f>
        <v/>
      </c>
    </row>
    <row r="35">
      <c r="O35">
        <f>IFERROR(INDEX('_courses_lookup'!$C:$C,MATCH(K35&amp;L35,'_courses_lookup'!$E:$E,0)),"")</f>
        <v/>
      </c>
      <c r="P35">
        <f>IFERROR(INDEX('_courses_lookup'!$D:$D,MATCH(K35&amp;L35,'_courses_lookup'!$E:$E,0)),"")</f>
        <v/>
      </c>
      <c r="AG35">
        <f>IF(AND(AE35&lt;&gt;"",AF35&lt;&gt;""),ROUNDUP((AF35-AE35)/7,0),"")</f>
        <v/>
      </c>
      <c r="AI35">
        <f>IFERROR(IF(AG35*AH35=0,"",AG35*AH35),"")</f>
        <v/>
      </c>
      <c r="AL35">
        <f>IF(AND(AJ35&lt;&gt;"",AK35&lt;&gt;""),ROUNDUP((AK35-AJ35)/7,0),"")</f>
        <v/>
      </c>
      <c r="AN35">
        <f>IFERROR(IF(AL35*AM35=0,"",AL35*AM35),"")</f>
        <v/>
      </c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L35">
        <f>IFERROR(INDEX('_names_lookup'!$C:$C,MATCH(BK35,'_names_lookup'!$A:$A,0)),"")</f>
        <v/>
      </c>
      <c r="BM35">
        <f>IFERROR(INDEX('_names_lookup'!$B:$B,MATCH(BK35,'_names_lookup'!$A:$A,0)),"")</f>
        <v/>
      </c>
      <c r="BS35">
        <f>IFERROR(IF(BR35*AA35=0,"",BR35*AA35),"")</f>
        <v/>
      </c>
    </row>
    <row r="36">
      <c r="O36">
        <f>IFERROR(INDEX('_courses_lookup'!$C:$C,MATCH(K36&amp;L36,'_courses_lookup'!$E:$E,0)),"")</f>
        <v/>
      </c>
      <c r="P36">
        <f>IFERROR(INDEX('_courses_lookup'!$D:$D,MATCH(K36&amp;L36,'_courses_lookup'!$E:$E,0)),"")</f>
        <v/>
      </c>
      <c r="AG36">
        <f>IF(AND(AE36&lt;&gt;"",AF36&lt;&gt;""),ROUNDUP((AF36-AE36)/7,0),"")</f>
        <v/>
      </c>
      <c r="AI36">
        <f>IFERROR(IF(AG36*AH36=0,"",AG36*AH36),"")</f>
        <v/>
      </c>
      <c r="AL36">
        <f>IF(AND(AJ36&lt;&gt;"",AK36&lt;&gt;""),ROUNDUP((AK36-AJ36)/7,0),"")</f>
        <v/>
      </c>
      <c r="AN36">
        <f>IFERROR(IF(AL36*AM36=0,"",AL36*AM36),"")</f>
        <v/>
      </c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L36">
        <f>IFERROR(INDEX('_names_lookup'!$C:$C,MATCH(BK36,'_names_lookup'!$A:$A,0)),"")</f>
        <v/>
      </c>
      <c r="BM36">
        <f>IFERROR(INDEX('_names_lookup'!$B:$B,MATCH(BK36,'_names_lookup'!$A:$A,0)),"")</f>
        <v/>
      </c>
      <c r="BS36">
        <f>IFERROR(IF(BR36*AA36=0,"",BR36*AA36),"")</f>
        <v/>
      </c>
    </row>
    <row r="37">
      <c r="O37">
        <f>IFERROR(INDEX('_courses_lookup'!$C:$C,MATCH(K37&amp;L37,'_courses_lookup'!$E:$E,0)),"")</f>
        <v/>
      </c>
      <c r="P37">
        <f>IFERROR(INDEX('_courses_lookup'!$D:$D,MATCH(K37&amp;L37,'_courses_lookup'!$E:$E,0)),"")</f>
        <v/>
      </c>
      <c r="AG37">
        <f>IF(AND(AE37&lt;&gt;"",AF37&lt;&gt;""),ROUNDUP((AF37-AE37)/7,0),"")</f>
        <v/>
      </c>
      <c r="AI37">
        <f>IFERROR(IF(AG37*AH37=0,"",AG37*AH37),"")</f>
        <v/>
      </c>
      <c r="AL37">
        <f>IF(AND(AJ37&lt;&gt;"",AK37&lt;&gt;""),ROUNDUP((AK37-AJ37)/7,0),"")</f>
        <v/>
      </c>
      <c r="AN37">
        <f>IFERROR(IF(AL37*AM37=0,"",AL37*AM37),"")</f>
        <v/>
      </c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L37">
        <f>IFERROR(INDEX('_names_lookup'!$C:$C,MATCH(BK37,'_names_lookup'!$A:$A,0)),"")</f>
        <v/>
      </c>
      <c r="BM37">
        <f>IFERROR(INDEX('_names_lookup'!$B:$B,MATCH(BK37,'_names_lookup'!$A:$A,0)),"")</f>
        <v/>
      </c>
      <c r="BS37">
        <f>IFERROR(IF(BR37*AA37=0,"",BR37*AA37),"")</f>
        <v/>
      </c>
    </row>
    <row r="38">
      <c r="O38">
        <f>IFERROR(INDEX('_courses_lookup'!$C:$C,MATCH(K38&amp;L38,'_courses_lookup'!$E:$E,0)),"")</f>
        <v/>
      </c>
      <c r="P38">
        <f>IFERROR(INDEX('_courses_lookup'!$D:$D,MATCH(K38&amp;L38,'_courses_lookup'!$E:$E,0)),"")</f>
        <v/>
      </c>
      <c r="AG38">
        <f>IF(AND(AE38&lt;&gt;"",AF38&lt;&gt;""),ROUNDUP((AF38-AE38)/7,0),"")</f>
        <v/>
      </c>
      <c r="AI38">
        <f>IFERROR(IF(AG38*AH38=0,"",AG38*AH38),"")</f>
        <v/>
      </c>
      <c r="AL38">
        <f>IF(AND(AJ38&lt;&gt;"",AK38&lt;&gt;""),ROUNDUP((AK38-AJ38)/7,0),"")</f>
        <v/>
      </c>
      <c r="AN38">
        <f>IFERROR(IF(AL38*AM38=0,"",AL38*AM38),"")</f>
        <v/>
      </c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L38">
        <f>IFERROR(INDEX('_names_lookup'!$C:$C,MATCH(BK38,'_names_lookup'!$A:$A,0)),"")</f>
        <v/>
      </c>
      <c r="BM38">
        <f>IFERROR(INDEX('_names_lookup'!$B:$B,MATCH(BK38,'_names_lookup'!$A:$A,0)),"")</f>
        <v/>
      </c>
      <c r="BS38">
        <f>IFERROR(IF(BR38*AA38=0,"",BR38*AA38),"")</f>
        <v/>
      </c>
    </row>
    <row r="39">
      <c r="O39">
        <f>IFERROR(INDEX('_courses_lookup'!$C:$C,MATCH(K39&amp;L39,'_courses_lookup'!$E:$E,0)),"")</f>
        <v/>
      </c>
      <c r="P39">
        <f>IFERROR(INDEX('_courses_lookup'!$D:$D,MATCH(K39&amp;L39,'_courses_lookup'!$E:$E,0)),"")</f>
        <v/>
      </c>
      <c r="AG39">
        <f>IF(AND(AE39&lt;&gt;"",AF39&lt;&gt;""),ROUNDUP((AF39-AE39)/7,0),"")</f>
        <v/>
      </c>
      <c r="AI39">
        <f>IFERROR(IF(AG39*AH39=0,"",AG39*AH39),"")</f>
        <v/>
      </c>
      <c r="AL39">
        <f>IF(AND(AJ39&lt;&gt;"",AK39&lt;&gt;""),ROUNDUP((AK39-AJ39)/7,0),"")</f>
        <v/>
      </c>
      <c r="AN39">
        <f>IFERROR(IF(AL39*AM39=0,"",AL39*AM39),"")</f>
        <v/>
      </c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L39">
        <f>IFERROR(INDEX('_names_lookup'!$C:$C,MATCH(BK39,'_names_lookup'!$A:$A,0)),"")</f>
        <v/>
      </c>
      <c r="BM39">
        <f>IFERROR(INDEX('_names_lookup'!$B:$B,MATCH(BK39,'_names_lookup'!$A:$A,0)),"")</f>
        <v/>
      </c>
      <c r="BS39">
        <f>IFERROR(IF(BR39*AA39=0,"",BR39*AA39),"")</f>
        <v/>
      </c>
    </row>
    <row r="40">
      <c r="O40">
        <f>IFERROR(INDEX('_courses_lookup'!$C:$C,MATCH(K40&amp;L40,'_courses_lookup'!$E:$E,0)),"")</f>
        <v/>
      </c>
      <c r="P40">
        <f>IFERROR(INDEX('_courses_lookup'!$D:$D,MATCH(K40&amp;L40,'_courses_lookup'!$E:$E,0)),"")</f>
        <v/>
      </c>
      <c r="AG40">
        <f>IF(AND(AE40&lt;&gt;"",AF40&lt;&gt;""),ROUNDUP((AF40-AE40)/7,0),"")</f>
        <v/>
      </c>
      <c r="AI40">
        <f>IFERROR(IF(AG40*AH40=0,"",AG40*AH40),"")</f>
        <v/>
      </c>
      <c r="AL40">
        <f>IF(AND(AJ40&lt;&gt;"",AK40&lt;&gt;""),ROUNDUP((AK40-AJ40)/7,0),"")</f>
        <v/>
      </c>
      <c r="AN40">
        <f>IFERROR(IF(AL40*AM40=0,"",AL40*AM40),"")</f>
        <v/>
      </c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L40">
        <f>IFERROR(INDEX('_names_lookup'!$C:$C,MATCH(BK40,'_names_lookup'!$A:$A,0)),"")</f>
        <v/>
      </c>
      <c r="BM40">
        <f>IFERROR(INDEX('_names_lookup'!$B:$B,MATCH(BK40,'_names_lookup'!$A:$A,0)),"")</f>
        <v/>
      </c>
      <c r="BS40">
        <f>IFERROR(IF(BR40*AA40=0,"",BR40*AA40),"")</f>
        <v/>
      </c>
    </row>
    <row r="41">
      <c r="O41">
        <f>IFERROR(INDEX('_courses_lookup'!$C:$C,MATCH(K41&amp;L41,'_courses_lookup'!$E:$E,0)),"")</f>
        <v/>
      </c>
      <c r="P41">
        <f>IFERROR(INDEX('_courses_lookup'!$D:$D,MATCH(K41&amp;L41,'_courses_lookup'!$E:$E,0)),"")</f>
        <v/>
      </c>
      <c r="AG41">
        <f>IF(AND(AE41&lt;&gt;"",AF41&lt;&gt;""),ROUNDUP((AF41-AE41)/7,0),"")</f>
        <v/>
      </c>
      <c r="AI41">
        <f>IFERROR(IF(AG41*AH41=0,"",AG41*AH41),"")</f>
        <v/>
      </c>
      <c r="AL41">
        <f>IF(AND(AJ41&lt;&gt;"",AK41&lt;&gt;""),ROUNDUP((AK41-AJ41)/7,0),"")</f>
        <v/>
      </c>
      <c r="AN41">
        <f>IFERROR(IF(AL41*AM41=0,"",AL41*AM41),"")</f>
        <v/>
      </c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L41">
        <f>IFERROR(INDEX('_names_lookup'!$C:$C,MATCH(BK41,'_names_lookup'!$A:$A,0)),"")</f>
        <v/>
      </c>
      <c r="BM41">
        <f>IFERROR(INDEX('_names_lookup'!$B:$B,MATCH(BK41,'_names_lookup'!$A:$A,0)),"")</f>
        <v/>
      </c>
      <c r="BS41">
        <f>IFERROR(IF(BR41*AA41=0,"",BR41*AA41),"")</f>
        <v/>
      </c>
    </row>
    <row r="42">
      <c r="O42">
        <f>IFERROR(INDEX('_courses_lookup'!$C:$C,MATCH(K42&amp;L42,'_courses_lookup'!$E:$E,0)),"")</f>
        <v/>
      </c>
      <c r="P42">
        <f>IFERROR(INDEX('_courses_lookup'!$D:$D,MATCH(K42&amp;L42,'_courses_lookup'!$E:$E,0)),"")</f>
        <v/>
      </c>
      <c r="AG42">
        <f>IF(AND(AE42&lt;&gt;"",AF42&lt;&gt;""),ROUNDUP((AF42-AE42)/7,0),"")</f>
        <v/>
      </c>
      <c r="AI42">
        <f>IFERROR(IF(AG42*AH42=0,"",AG42*AH42),"")</f>
        <v/>
      </c>
      <c r="AL42">
        <f>IF(AND(AJ42&lt;&gt;"",AK42&lt;&gt;""),ROUNDUP((AK42-AJ42)/7,0),"")</f>
        <v/>
      </c>
      <c r="AN42">
        <f>IFERROR(IF(AL42*AM42=0,"",AL42*AM42),"")</f>
        <v/>
      </c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L42">
        <f>IFERROR(INDEX('_names_lookup'!$C:$C,MATCH(BK42,'_names_lookup'!$A:$A,0)),"")</f>
        <v/>
      </c>
      <c r="BM42">
        <f>IFERROR(INDEX('_names_lookup'!$B:$B,MATCH(BK42,'_names_lookup'!$A:$A,0)),"")</f>
        <v/>
      </c>
      <c r="BS42">
        <f>IFERROR(IF(BR42*AA42=0,"",BR42*AA42),"")</f>
        <v/>
      </c>
    </row>
    <row r="43">
      <c r="O43">
        <f>IFERROR(INDEX('_courses_lookup'!$C:$C,MATCH(K43&amp;L43,'_courses_lookup'!$E:$E,0)),"")</f>
        <v/>
      </c>
      <c r="P43">
        <f>IFERROR(INDEX('_courses_lookup'!$D:$D,MATCH(K43&amp;L43,'_courses_lookup'!$E:$E,0)),"")</f>
        <v/>
      </c>
      <c r="AG43">
        <f>IF(AND(AE43&lt;&gt;"",AF43&lt;&gt;""),ROUNDUP((AF43-AE43)/7,0),"")</f>
        <v/>
      </c>
      <c r="AI43">
        <f>IFERROR(IF(AG43*AH43=0,"",AG43*AH43),"")</f>
        <v/>
      </c>
      <c r="AL43">
        <f>IF(AND(AJ43&lt;&gt;"",AK43&lt;&gt;""),ROUNDUP((AK43-AJ43)/7,0),"")</f>
        <v/>
      </c>
      <c r="AN43">
        <f>IFERROR(IF(AL43*AM43=0,"",AL43*AM43),"")</f>
        <v/>
      </c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L43">
        <f>IFERROR(INDEX('_names_lookup'!$C:$C,MATCH(BK43,'_names_lookup'!$A:$A,0)),"")</f>
        <v/>
      </c>
      <c r="BM43">
        <f>IFERROR(INDEX('_names_lookup'!$B:$B,MATCH(BK43,'_names_lookup'!$A:$A,0)),"")</f>
        <v/>
      </c>
      <c r="BS43">
        <f>IFERROR(IF(BR43*AA43=0,"",BR43*AA43),"")</f>
        <v/>
      </c>
    </row>
    <row r="44">
      <c r="O44">
        <f>IFERROR(INDEX('_courses_lookup'!$C:$C,MATCH(K44&amp;L44,'_courses_lookup'!$E:$E,0)),"")</f>
        <v/>
      </c>
      <c r="P44">
        <f>IFERROR(INDEX('_courses_lookup'!$D:$D,MATCH(K44&amp;L44,'_courses_lookup'!$E:$E,0)),"")</f>
        <v/>
      </c>
      <c r="AG44">
        <f>IF(AND(AE44&lt;&gt;"",AF44&lt;&gt;""),ROUNDUP((AF44-AE44)/7,0),"")</f>
        <v/>
      </c>
      <c r="AI44">
        <f>IFERROR(IF(AG44*AH44=0,"",AG44*AH44),"")</f>
        <v/>
      </c>
      <c r="AL44">
        <f>IF(AND(AJ44&lt;&gt;"",AK44&lt;&gt;""),ROUNDUP((AK44-AJ44)/7,0),"")</f>
        <v/>
      </c>
      <c r="AN44">
        <f>IFERROR(IF(AL44*AM44=0,"",AL44*AM44),"")</f>
        <v/>
      </c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L44">
        <f>IFERROR(INDEX('_names_lookup'!$C:$C,MATCH(BK44,'_names_lookup'!$A:$A,0)),"")</f>
        <v/>
      </c>
      <c r="BM44">
        <f>IFERROR(INDEX('_names_lookup'!$B:$B,MATCH(BK44,'_names_lookup'!$A:$A,0)),"")</f>
        <v/>
      </c>
      <c r="BS44">
        <f>IFERROR(IF(BR44*AA44=0,"",BR44*AA44),"")</f>
        <v/>
      </c>
    </row>
    <row r="45">
      <c r="O45">
        <f>IFERROR(INDEX('_courses_lookup'!$C:$C,MATCH(K45&amp;L45,'_courses_lookup'!$E:$E,0)),"")</f>
        <v/>
      </c>
      <c r="P45">
        <f>IFERROR(INDEX('_courses_lookup'!$D:$D,MATCH(K45&amp;L45,'_courses_lookup'!$E:$E,0)),"")</f>
        <v/>
      </c>
      <c r="AG45">
        <f>IF(AND(AE45&lt;&gt;"",AF45&lt;&gt;""),ROUNDUP((AF45-AE45)/7,0),"")</f>
        <v/>
      </c>
      <c r="AI45">
        <f>IFERROR(IF(AG45*AH45=0,"",AG45*AH45),"")</f>
        <v/>
      </c>
      <c r="AL45">
        <f>IF(AND(AJ45&lt;&gt;"",AK45&lt;&gt;""),ROUNDUP((AK45-AJ45)/7,0),"")</f>
        <v/>
      </c>
      <c r="AN45">
        <f>IFERROR(IF(AL45*AM45=0,"",AL45*AM45),"")</f>
        <v/>
      </c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L45">
        <f>IFERROR(INDEX('_names_lookup'!$C:$C,MATCH(BK45,'_names_lookup'!$A:$A,0)),"")</f>
        <v/>
      </c>
      <c r="BM45">
        <f>IFERROR(INDEX('_names_lookup'!$B:$B,MATCH(BK45,'_names_lookup'!$A:$A,0)),"")</f>
        <v/>
      </c>
      <c r="BS45">
        <f>IFERROR(IF(BR45*AA45=0,"",BR45*AA45),"")</f>
        <v/>
      </c>
    </row>
    <row r="46">
      <c r="O46">
        <f>IFERROR(INDEX('_courses_lookup'!$C:$C,MATCH(K46&amp;L46,'_courses_lookup'!$E:$E,0)),"")</f>
        <v/>
      </c>
      <c r="P46">
        <f>IFERROR(INDEX('_courses_lookup'!$D:$D,MATCH(K46&amp;L46,'_courses_lookup'!$E:$E,0)),"")</f>
        <v/>
      </c>
      <c r="AG46">
        <f>IF(AND(AE46&lt;&gt;"",AF46&lt;&gt;""),ROUNDUP((AF46-AE46)/7,0),"")</f>
        <v/>
      </c>
      <c r="AI46">
        <f>IFERROR(IF(AG46*AH46=0,"",AG46*AH46),"")</f>
        <v/>
      </c>
      <c r="AL46">
        <f>IF(AND(AJ46&lt;&gt;"",AK46&lt;&gt;""),ROUNDUP((AK46-AJ46)/7,0),"")</f>
        <v/>
      </c>
      <c r="AN46">
        <f>IFERROR(IF(AL46*AM46=0,"",AL46*AM46),"")</f>
        <v/>
      </c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L46">
        <f>IFERROR(INDEX('_names_lookup'!$C:$C,MATCH(BK46,'_names_lookup'!$A:$A,0)),"")</f>
        <v/>
      </c>
      <c r="BM46">
        <f>IFERROR(INDEX('_names_lookup'!$B:$B,MATCH(BK46,'_names_lookup'!$A:$A,0)),"")</f>
        <v/>
      </c>
      <c r="BS46">
        <f>IFERROR(IF(BR46*AA46=0,"",BR46*AA46),"")</f>
        <v/>
      </c>
    </row>
    <row r="47">
      <c r="O47">
        <f>IFERROR(INDEX('_courses_lookup'!$C:$C,MATCH(K47&amp;L47,'_courses_lookup'!$E:$E,0)),"")</f>
        <v/>
      </c>
      <c r="P47">
        <f>IFERROR(INDEX('_courses_lookup'!$D:$D,MATCH(K47&amp;L47,'_courses_lookup'!$E:$E,0)),"")</f>
        <v/>
      </c>
      <c r="AG47">
        <f>IF(AND(AE47&lt;&gt;"",AF47&lt;&gt;""),ROUNDUP((AF47-AE47)/7,0),"")</f>
        <v/>
      </c>
      <c r="AI47">
        <f>IFERROR(IF(AG47*AH47=0,"",AG47*AH47),"")</f>
        <v/>
      </c>
      <c r="AL47">
        <f>IF(AND(AJ47&lt;&gt;"",AK47&lt;&gt;""),ROUNDUP((AK47-AJ47)/7,0),"")</f>
        <v/>
      </c>
      <c r="AN47">
        <f>IFERROR(IF(AL47*AM47=0,"",AL47*AM47),"")</f>
        <v/>
      </c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L47">
        <f>IFERROR(INDEX('_names_lookup'!$C:$C,MATCH(BK47,'_names_lookup'!$A:$A,0)),"")</f>
        <v/>
      </c>
      <c r="BM47">
        <f>IFERROR(INDEX('_names_lookup'!$B:$B,MATCH(BK47,'_names_lookup'!$A:$A,0)),"")</f>
        <v/>
      </c>
      <c r="BS47">
        <f>IFERROR(IF(BR47*AA47=0,"",BR47*AA47),"")</f>
        <v/>
      </c>
    </row>
    <row r="48">
      <c r="O48">
        <f>IFERROR(INDEX('_courses_lookup'!$C:$C,MATCH(K48&amp;L48,'_courses_lookup'!$E:$E,0)),"")</f>
        <v/>
      </c>
      <c r="P48">
        <f>IFERROR(INDEX('_courses_lookup'!$D:$D,MATCH(K48&amp;L48,'_courses_lookup'!$E:$E,0)),"")</f>
        <v/>
      </c>
      <c r="AG48">
        <f>IF(AND(AE48&lt;&gt;"",AF48&lt;&gt;""),ROUNDUP((AF48-AE48)/7,0),"")</f>
        <v/>
      </c>
      <c r="AI48">
        <f>IFERROR(IF(AG48*AH48=0,"",AG48*AH48),"")</f>
        <v/>
      </c>
      <c r="AL48">
        <f>IF(AND(AJ48&lt;&gt;"",AK48&lt;&gt;""),ROUNDUP((AK48-AJ48)/7,0),"")</f>
        <v/>
      </c>
      <c r="AN48">
        <f>IFERROR(IF(AL48*AM48=0,"",AL48*AM48),"")</f>
        <v/>
      </c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L48">
        <f>IFERROR(INDEX('_names_lookup'!$C:$C,MATCH(BK48,'_names_lookup'!$A:$A,0)),"")</f>
        <v/>
      </c>
      <c r="BM48">
        <f>IFERROR(INDEX('_names_lookup'!$B:$B,MATCH(BK48,'_names_lookup'!$A:$A,0)),"")</f>
        <v/>
      </c>
      <c r="BS48">
        <f>IFERROR(IF(BR48*AA48=0,"",BR48*AA48),"")</f>
        <v/>
      </c>
    </row>
    <row r="49">
      <c r="O49">
        <f>IFERROR(INDEX('_courses_lookup'!$C:$C,MATCH(K49&amp;L49,'_courses_lookup'!$E:$E,0)),"")</f>
        <v/>
      </c>
      <c r="P49">
        <f>IFERROR(INDEX('_courses_lookup'!$D:$D,MATCH(K49&amp;L49,'_courses_lookup'!$E:$E,0)),"")</f>
        <v/>
      </c>
      <c r="AG49">
        <f>IF(AND(AE49&lt;&gt;"",AF49&lt;&gt;""),ROUNDUP((AF49-AE49)/7,0),"")</f>
        <v/>
      </c>
      <c r="AI49">
        <f>IFERROR(IF(AG49*AH49=0,"",AG49*AH49),"")</f>
        <v/>
      </c>
      <c r="AL49">
        <f>IF(AND(AJ49&lt;&gt;"",AK49&lt;&gt;""),ROUNDUP((AK49-AJ49)/7,0),"")</f>
        <v/>
      </c>
      <c r="AN49">
        <f>IFERROR(IF(AL49*AM49=0,"",AL49*AM49),"")</f>
        <v/>
      </c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L49">
        <f>IFERROR(INDEX('_names_lookup'!$C:$C,MATCH(BK49,'_names_lookup'!$A:$A,0)),"")</f>
        <v/>
      </c>
      <c r="BM49">
        <f>IFERROR(INDEX('_names_lookup'!$B:$B,MATCH(BK49,'_names_lookup'!$A:$A,0)),"")</f>
        <v/>
      </c>
      <c r="BS49">
        <f>IFERROR(IF(BR49*AA49=0,"",BR49*AA49),"")</f>
        <v/>
      </c>
    </row>
    <row r="50">
      <c r="O50">
        <f>IFERROR(INDEX('_courses_lookup'!$C:$C,MATCH(K50&amp;L50,'_courses_lookup'!$E:$E,0)),"")</f>
        <v/>
      </c>
      <c r="P50">
        <f>IFERROR(INDEX('_courses_lookup'!$D:$D,MATCH(K50&amp;L50,'_courses_lookup'!$E:$E,0)),"")</f>
        <v/>
      </c>
      <c r="AG50">
        <f>IF(AND(AE50&lt;&gt;"",AF50&lt;&gt;""),ROUNDUP((AF50-AE50)/7,0),"")</f>
        <v/>
      </c>
      <c r="AI50">
        <f>IFERROR(IF(AG50*AH50=0,"",AG50*AH50),"")</f>
        <v/>
      </c>
      <c r="AL50">
        <f>IF(AND(AJ50&lt;&gt;"",AK50&lt;&gt;""),ROUNDUP((AK50-AJ50)/7,0),"")</f>
        <v/>
      </c>
      <c r="AN50">
        <f>IFERROR(IF(AL50*AM50=0,"",AL50*AM50),"")</f>
        <v/>
      </c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L50">
        <f>IFERROR(INDEX('_names_lookup'!$C:$C,MATCH(BK50,'_names_lookup'!$A:$A,0)),"")</f>
        <v/>
      </c>
      <c r="BM50">
        <f>IFERROR(INDEX('_names_lookup'!$B:$B,MATCH(BK50,'_names_lookup'!$A:$A,0)),"")</f>
        <v/>
      </c>
      <c r="BS50">
        <f>IFERROR(IF(BR50*AA50=0,"",BR50*AA50),"")</f>
        <v/>
      </c>
    </row>
    <row r="51">
      <c r="O51">
        <f>IFERROR(INDEX('_courses_lookup'!$C:$C,MATCH(K51&amp;L51,'_courses_lookup'!$E:$E,0)),"")</f>
        <v/>
      </c>
      <c r="P51">
        <f>IFERROR(INDEX('_courses_lookup'!$D:$D,MATCH(K51&amp;L51,'_courses_lookup'!$E:$E,0)),"")</f>
        <v/>
      </c>
      <c r="AG51">
        <f>IF(AND(AE51&lt;&gt;"",AF51&lt;&gt;""),ROUNDUP((AF51-AE51)/7,0),"")</f>
        <v/>
      </c>
      <c r="AI51">
        <f>IFERROR(IF(AG51*AH51=0,"",AG51*AH51),"")</f>
        <v/>
      </c>
      <c r="AL51">
        <f>IF(AND(AJ51&lt;&gt;"",AK51&lt;&gt;""),ROUNDUP((AK51-AJ51)/7,0),"")</f>
        <v/>
      </c>
      <c r="AN51">
        <f>IFERROR(IF(AL51*AM51=0,"",AL51*AM51),"")</f>
        <v/>
      </c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L51">
        <f>IFERROR(INDEX('_names_lookup'!$C:$C,MATCH(BK51,'_names_lookup'!$A:$A,0)),"")</f>
        <v/>
      </c>
      <c r="BM51">
        <f>IFERROR(INDEX('_names_lookup'!$B:$B,MATCH(BK51,'_names_lookup'!$A:$A,0)),"")</f>
        <v/>
      </c>
      <c r="BS51">
        <f>IFERROR(IF(BR51*AA51=0,"",BR51*AA51),"")</f>
        <v/>
      </c>
    </row>
    <row r="52">
      <c r="O52">
        <f>IFERROR(INDEX('_courses_lookup'!$C:$C,MATCH(K52&amp;L52,'_courses_lookup'!$E:$E,0)),"")</f>
        <v/>
      </c>
      <c r="P52">
        <f>IFERROR(INDEX('_courses_lookup'!$D:$D,MATCH(K52&amp;L52,'_courses_lookup'!$E:$E,0)),"")</f>
        <v/>
      </c>
      <c r="AG52">
        <f>IF(AND(AE52&lt;&gt;"",AF52&lt;&gt;""),ROUNDUP((AF52-AE52)/7,0),"")</f>
        <v/>
      </c>
      <c r="AI52">
        <f>IFERROR(IF(AG52*AH52=0,"",AG52*AH52),"")</f>
        <v/>
      </c>
      <c r="AL52">
        <f>IF(AND(AJ52&lt;&gt;"",AK52&lt;&gt;""),ROUNDUP((AK52-AJ52)/7,0),"")</f>
        <v/>
      </c>
      <c r="AN52">
        <f>IFERROR(IF(AL52*AM52=0,"",AL52*AM52),"")</f>
        <v/>
      </c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L52">
        <f>IFERROR(INDEX('_names_lookup'!$C:$C,MATCH(BK52,'_names_lookup'!$A:$A,0)),"")</f>
        <v/>
      </c>
      <c r="BM52">
        <f>IFERROR(INDEX('_names_lookup'!$B:$B,MATCH(BK52,'_names_lookup'!$A:$A,0)),"")</f>
        <v/>
      </c>
      <c r="BS52">
        <f>IFERROR(IF(BR52*AA52=0,"",BR52*AA52),"")</f>
        <v/>
      </c>
    </row>
    <row r="53">
      <c r="O53">
        <f>IFERROR(INDEX('_courses_lookup'!$C:$C,MATCH(K53&amp;L53,'_courses_lookup'!$E:$E,0)),"")</f>
        <v/>
      </c>
      <c r="P53">
        <f>IFERROR(INDEX('_courses_lookup'!$D:$D,MATCH(K53&amp;L53,'_courses_lookup'!$E:$E,0)),"")</f>
        <v/>
      </c>
      <c r="AG53">
        <f>IF(AND(AE53&lt;&gt;"",AF53&lt;&gt;""),ROUNDUP((AF53-AE53)/7,0),"")</f>
        <v/>
      </c>
      <c r="AI53">
        <f>IFERROR(IF(AG53*AH53=0,"",AG53*AH53),"")</f>
        <v/>
      </c>
      <c r="AL53">
        <f>IF(AND(AJ53&lt;&gt;"",AK53&lt;&gt;""),ROUNDUP((AK53-AJ53)/7,0),"")</f>
        <v/>
      </c>
      <c r="AN53">
        <f>IFERROR(IF(AL53*AM53=0,"",AL53*AM53),"")</f>
        <v/>
      </c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L53">
        <f>IFERROR(INDEX('_names_lookup'!$C:$C,MATCH(BK53,'_names_lookup'!$A:$A,0)),"")</f>
        <v/>
      </c>
      <c r="BM53">
        <f>IFERROR(INDEX('_names_lookup'!$B:$B,MATCH(BK53,'_names_lookup'!$A:$A,0)),"")</f>
        <v/>
      </c>
      <c r="BS53">
        <f>IFERROR(IF(BR53*AA53=0,"",BR53*AA53),"")</f>
        <v/>
      </c>
    </row>
    <row r="54">
      <c r="O54">
        <f>IFERROR(INDEX('_courses_lookup'!$C:$C,MATCH(K54&amp;L54,'_courses_lookup'!$E:$E,0)),"")</f>
        <v/>
      </c>
      <c r="P54">
        <f>IFERROR(INDEX('_courses_lookup'!$D:$D,MATCH(K54&amp;L54,'_courses_lookup'!$E:$E,0)),"")</f>
        <v/>
      </c>
      <c r="AG54">
        <f>IF(AND(AE54&lt;&gt;"",AF54&lt;&gt;""),ROUNDUP((AF54-AE54)/7,0),"")</f>
        <v/>
      </c>
      <c r="AI54">
        <f>IFERROR(IF(AG54*AH54=0,"",AG54*AH54),"")</f>
        <v/>
      </c>
      <c r="AL54">
        <f>IF(AND(AJ54&lt;&gt;"",AK54&lt;&gt;""),ROUNDUP((AK54-AJ54)/7,0),"")</f>
        <v/>
      </c>
      <c r="AN54">
        <f>IFERROR(IF(AL54*AM54=0,"",AL54*AM54),"")</f>
        <v/>
      </c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L54">
        <f>IFERROR(INDEX('_names_lookup'!$C:$C,MATCH(BK54,'_names_lookup'!$A:$A,0)),"")</f>
        <v/>
      </c>
      <c r="BM54">
        <f>IFERROR(INDEX('_names_lookup'!$B:$B,MATCH(BK54,'_names_lookup'!$A:$A,0)),"")</f>
        <v/>
      </c>
      <c r="BS54">
        <f>IFERROR(IF(BR54*AA54=0,"",BR54*AA54),"")</f>
        <v/>
      </c>
    </row>
    <row r="55">
      <c r="O55">
        <f>IFERROR(INDEX('_courses_lookup'!$C:$C,MATCH(K55&amp;L55,'_courses_lookup'!$E:$E,0)),"")</f>
        <v/>
      </c>
      <c r="P55">
        <f>IFERROR(INDEX('_courses_lookup'!$D:$D,MATCH(K55&amp;L55,'_courses_lookup'!$E:$E,0)),"")</f>
        <v/>
      </c>
      <c r="AG55">
        <f>IF(AND(AE55&lt;&gt;"",AF55&lt;&gt;""),ROUNDUP((AF55-AE55)/7,0),"")</f>
        <v/>
      </c>
      <c r="AI55">
        <f>IFERROR(IF(AG55*AH55=0,"",AG55*AH55),"")</f>
        <v/>
      </c>
      <c r="AL55">
        <f>IF(AND(AJ55&lt;&gt;"",AK55&lt;&gt;""),ROUNDUP((AK55-AJ55)/7,0),"")</f>
        <v/>
      </c>
      <c r="AN55">
        <f>IFERROR(IF(AL55*AM55=0,"",AL55*AM55),"")</f>
        <v/>
      </c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L55">
        <f>IFERROR(INDEX('_names_lookup'!$C:$C,MATCH(BK55,'_names_lookup'!$A:$A,0)),"")</f>
        <v/>
      </c>
      <c r="BM55">
        <f>IFERROR(INDEX('_names_lookup'!$B:$B,MATCH(BK55,'_names_lookup'!$A:$A,0)),"")</f>
        <v/>
      </c>
      <c r="BS55">
        <f>IFERROR(IF(BR55*AA55=0,"",BR55*AA55),"")</f>
        <v/>
      </c>
    </row>
    <row r="56">
      <c r="O56">
        <f>IFERROR(INDEX('_courses_lookup'!$C:$C,MATCH(K56&amp;L56,'_courses_lookup'!$E:$E,0)),"")</f>
        <v/>
      </c>
      <c r="P56">
        <f>IFERROR(INDEX('_courses_lookup'!$D:$D,MATCH(K56&amp;L56,'_courses_lookup'!$E:$E,0)),"")</f>
        <v/>
      </c>
      <c r="AG56">
        <f>IF(AND(AE56&lt;&gt;"",AF56&lt;&gt;""),ROUNDUP((AF56-AE56)/7,0),"")</f>
        <v/>
      </c>
      <c r="AI56">
        <f>IFERROR(IF(AG56*AH56=0,"",AG56*AH56),"")</f>
        <v/>
      </c>
      <c r="AL56">
        <f>IF(AND(AJ56&lt;&gt;"",AK56&lt;&gt;""),ROUNDUP((AK56-AJ56)/7,0),"")</f>
        <v/>
      </c>
      <c r="AN56">
        <f>IFERROR(IF(AL56*AM56=0,"",AL56*AM56),"")</f>
        <v/>
      </c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L56">
        <f>IFERROR(INDEX('_names_lookup'!$C:$C,MATCH(BK56,'_names_lookup'!$A:$A,0)),"")</f>
        <v/>
      </c>
      <c r="BM56">
        <f>IFERROR(INDEX('_names_lookup'!$B:$B,MATCH(BK56,'_names_lookup'!$A:$A,0)),"")</f>
        <v/>
      </c>
      <c r="BS56">
        <f>IFERROR(IF(BR56*AA56=0,"",BR56*AA56),"")</f>
        <v/>
      </c>
    </row>
    <row r="57">
      <c r="O57">
        <f>IFERROR(INDEX('_courses_lookup'!$C:$C,MATCH(K57&amp;L57,'_courses_lookup'!$E:$E,0)),"")</f>
        <v/>
      </c>
      <c r="P57">
        <f>IFERROR(INDEX('_courses_lookup'!$D:$D,MATCH(K57&amp;L57,'_courses_lookup'!$E:$E,0)),"")</f>
        <v/>
      </c>
      <c r="AG57">
        <f>IF(AND(AE57&lt;&gt;"",AF57&lt;&gt;""),ROUNDUP((AF57-AE57)/7,0),"")</f>
        <v/>
      </c>
      <c r="AI57">
        <f>IFERROR(IF(AG57*AH57=0,"",AG57*AH57),"")</f>
        <v/>
      </c>
      <c r="AL57">
        <f>IF(AND(AJ57&lt;&gt;"",AK57&lt;&gt;""),ROUNDUP((AK57-AJ57)/7,0),"")</f>
        <v/>
      </c>
      <c r="AN57">
        <f>IFERROR(IF(AL57*AM57=0,"",AL57*AM57),"")</f>
        <v/>
      </c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L57">
        <f>IFERROR(INDEX('_names_lookup'!$C:$C,MATCH(BK57,'_names_lookup'!$A:$A,0)),"")</f>
        <v/>
      </c>
      <c r="BM57">
        <f>IFERROR(INDEX('_names_lookup'!$B:$B,MATCH(BK57,'_names_lookup'!$A:$A,0)),"")</f>
        <v/>
      </c>
      <c r="BS57">
        <f>IFERROR(IF(BR57*AA57=0,"",BR57*AA57),"")</f>
        <v/>
      </c>
    </row>
    <row r="58">
      <c r="O58">
        <f>IFERROR(INDEX('_courses_lookup'!$C:$C,MATCH(K58&amp;L58,'_courses_lookup'!$E:$E,0)),"")</f>
        <v/>
      </c>
      <c r="P58">
        <f>IFERROR(INDEX('_courses_lookup'!$D:$D,MATCH(K58&amp;L58,'_courses_lookup'!$E:$E,0)),"")</f>
        <v/>
      </c>
      <c r="AG58">
        <f>IF(AND(AE58&lt;&gt;"",AF58&lt;&gt;""),ROUNDUP((AF58-AE58)/7,0),"")</f>
        <v/>
      </c>
      <c r="AI58">
        <f>IFERROR(IF(AG58*AH58=0,"",AG58*AH58),"")</f>
        <v/>
      </c>
      <c r="AL58">
        <f>IF(AND(AJ58&lt;&gt;"",AK58&lt;&gt;""),ROUNDUP((AK58-AJ58)/7,0),"")</f>
        <v/>
      </c>
      <c r="AN58">
        <f>IFERROR(IF(AL58*AM58=0,"",AL58*AM58),"")</f>
        <v/>
      </c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L58">
        <f>IFERROR(INDEX('_names_lookup'!$C:$C,MATCH(BK58,'_names_lookup'!$A:$A,0)),"")</f>
        <v/>
      </c>
      <c r="BM58">
        <f>IFERROR(INDEX('_names_lookup'!$B:$B,MATCH(BK58,'_names_lookup'!$A:$A,0)),"")</f>
        <v/>
      </c>
      <c r="BS58">
        <f>IFERROR(IF(BR58*AA58=0,"",BR58*AA58),"")</f>
        <v/>
      </c>
    </row>
    <row r="59">
      <c r="O59">
        <f>IFERROR(INDEX('_courses_lookup'!$C:$C,MATCH(K59&amp;L59,'_courses_lookup'!$E:$E,0)),"")</f>
        <v/>
      </c>
      <c r="P59">
        <f>IFERROR(INDEX('_courses_lookup'!$D:$D,MATCH(K59&amp;L59,'_courses_lookup'!$E:$E,0)),"")</f>
        <v/>
      </c>
      <c r="AG59">
        <f>IF(AND(AE59&lt;&gt;"",AF59&lt;&gt;""),ROUNDUP((AF59-AE59)/7,0),"")</f>
        <v/>
      </c>
      <c r="AI59">
        <f>IFERROR(IF(AG59*AH59=0,"",AG59*AH59),"")</f>
        <v/>
      </c>
      <c r="AL59">
        <f>IF(AND(AJ59&lt;&gt;"",AK59&lt;&gt;""),ROUNDUP((AK59-AJ59)/7,0),"")</f>
        <v/>
      </c>
      <c r="AN59">
        <f>IFERROR(IF(AL59*AM59=0,"",AL59*AM59),"")</f>
        <v/>
      </c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L59">
        <f>IFERROR(INDEX('_names_lookup'!$C:$C,MATCH(BK59,'_names_lookup'!$A:$A,0)),"")</f>
        <v/>
      </c>
      <c r="BM59">
        <f>IFERROR(INDEX('_names_lookup'!$B:$B,MATCH(BK59,'_names_lookup'!$A:$A,0)),"")</f>
        <v/>
      </c>
      <c r="BS59">
        <f>IFERROR(IF(BR59*AA59=0,"",BR59*AA59),"")</f>
        <v/>
      </c>
    </row>
    <row r="60">
      <c r="O60">
        <f>IFERROR(INDEX('_courses_lookup'!$C:$C,MATCH(K60&amp;L60,'_courses_lookup'!$E:$E,0)),"")</f>
        <v/>
      </c>
      <c r="P60">
        <f>IFERROR(INDEX('_courses_lookup'!$D:$D,MATCH(K60&amp;L60,'_courses_lookup'!$E:$E,0)),"")</f>
        <v/>
      </c>
      <c r="AG60">
        <f>IF(AND(AE60&lt;&gt;"",AF60&lt;&gt;""),ROUNDUP((AF60-AE60)/7,0),"")</f>
        <v/>
      </c>
      <c r="AI60">
        <f>IFERROR(IF(AG60*AH60=0,"",AG60*AH60),"")</f>
        <v/>
      </c>
      <c r="AL60">
        <f>IF(AND(AJ60&lt;&gt;"",AK60&lt;&gt;""),ROUNDUP((AK60-AJ60)/7,0),"")</f>
        <v/>
      </c>
      <c r="AN60">
        <f>IFERROR(IF(AL60*AM60=0,"",AL60*AM60),"")</f>
        <v/>
      </c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L60">
        <f>IFERROR(INDEX('_names_lookup'!$C:$C,MATCH(BK60,'_names_lookup'!$A:$A,0)),"")</f>
        <v/>
      </c>
      <c r="BM60">
        <f>IFERROR(INDEX('_names_lookup'!$B:$B,MATCH(BK60,'_names_lookup'!$A:$A,0)),"")</f>
        <v/>
      </c>
      <c r="BS60">
        <f>IFERROR(IF(BR60*AA60=0,"",BR60*AA60),"")</f>
        <v/>
      </c>
    </row>
    <row r="61">
      <c r="O61">
        <f>IFERROR(INDEX('_courses_lookup'!$C:$C,MATCH(K61&amp;L61,'_courses_lookup'!$E:$E,0)),"")</f>
        <v/>
      </c>
      <c r="P61">
        <f>IFERROR(INDEX('_courses_lookup'!$D:$D,MATCH(K61&amp;L61,'_courses_lookup'!$E:$E,0)),"")</f>
        <v/>
      </c>
      <c r="AG61">
        <f>IF(AND(AE61&lt;&gt;"",AF61&lt;&gt;""),ROUNDUP((AF61-AE61)/7,0),"")</f>
        <v/>
      </c>
      <c r="AI61">
        <f>IFERROR(IF(AG61*AH61=0,"",AG61*AH61),"")</f>
        <v/>
      </c>
      <c r="AL61">
        <f>IF(AND(AJ61&lt;&gt;"",AK61&lt;&gt;""),ROUNDUP((AK61-AJ61)/7,0),"")</f>
        <v/>
      </c>
      <c r="AN61">
        <f>IFERROR(IF(AL61*AM61=0,"",AL61*AM61),"")</f>
        <v/>
      </c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L61">
        <f>IFERROR(INDEX('_names_lookup'!$C:$C,MATCH(BK61,'_names_lookup'!$A:$A,0)),"")</f>
        <v/>
      </c>
      <c r="BM61">
        <f>IFERROR(INDEX('_names_lookup'!$B:$B,MATCH(BK61,'_names_lookup'!$A:$A,0)),"")</f>
        <v/>
      </c>
      <c r="BS61">
        <f>IFERROR(IF(BR61*AA61=0,"",BR61*AA61),"")</f>
        <v/>
      </c>
    </row>
    <row r="62">
      <c r="O62">
        <f>IFERROR(INDEX('_courses_lookup'!$C:$C,MATCH(K62&amp;L62,'_courses_lookup'!$E:$E,0)),"")</f>
        <v/>
      </c>
      <c r="P62">
        <f>IFERROR(INDEX('_courses_lookup'!$D:$D,MATCH(K62&amp;L62,'_courses_lookup'!$E:$E,0)),"")</f>
        <v/>
      </c>
      <c r="AG62">
        <f>IF(AND(AE62&lt;&gt;"",AF62&lt;&gt;""),ROUNDUP((AF62-AE62)/7,0),"")</f>
        <v/>
      </c>
      <c r="AI62">
        <f>IFERROR(IF(AG62*AH62=0,"",AG62*AH62),"")</f>
        <v/>
      </c>
      <c r="AL62">
        <f>IF(AND(AJ62&lt;&gt;"",AK62&lt;&gt;""),ROUNDUP((AK62-AJ62)/7,0),"")</f>
        <v/>
      </c>
      <c r="AN62">
        <f>IFERROR(IF(AL62*AM62=0,"",AL62*AM62),"")</f>
        <v/>
      </c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L62">
        <f>IFERROR(INDEX('_names_lookup'!$C:$C,MATCH(BK62,'_names_lookup'!$A:$A,0)),"")</f>
        <v/>
      </c>
      <c r="BM62">
        <f>IFERROR(INDEX('_names_lookup'!$B:$B,MATCH(BK62,'_names_lookup'!$A:$A,0)),"")</f>
        <v/>
      </c>
      <c r="BS62">
        <f>IFERROR(IF(BR62*AA62=0,"",BR62*AA62),"")</f>
        <v/>
      </c>
    </row>
    <row r="63">
      <c r="O63">
        <f>IFERROR(INDEX('_courses_lookup'!$C:$C,MATCH(K63&amp;L63,'_courses_lookup'!$E:$E,0)),"")</f>
        <v/>
      </c>
      <c r="P63">
        <f>IFERROR(INDEX('_courses_lookup'!$D:$D,MATCH(K63&amp;L63,'_courses_lookup'!$E:$E,0)),"")</f>
        <v/>
      </c>
      <c r="AG63">
        <f>IF(AND(AE63&lt;&gt;"",AF63&lt;&gt;""),ROUNDUP((AF63-AE63)/7,0),"")</f>
        <v/>
      </c>
      <c r="AI63">
        <f>IFERROR(IF(AG63*AH63=0,"",AG63*AH63),"")</f>
        <v/>
      </c>
      <c r="AL63">
        <f>IF(AND(AJ63&lt;&gt;"",AK63&lt;&gt;""),ROUNDUP((AK63-AJ63)/7,0),"")</f>
        <v/>
      </c>
      <c r="AN63">
        <f>IFERROR(IF(AL63*AM63=0,"",AL63*AM63),"")</f>
        <v/>
      </c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L63">
        <f>IFERROR(INDEX('_names_lookup'!$C:$C,MATCH(BK63,'_names_lookup'!$A:$A,0)),"")</f>
        <v/>
      </c>
      <c r="BM63">
        <f>IFERROR(INDEX('_names_lookup'!$B:$B,MATCH(BK63,'_names_lookup'!$A:$A,0)),"")</f>
        <v/>
      </c>
      <c r="BS63">
        <f>IFERROR(IF(BR63*AA63=0,"",BR63*AA63),"")</f>
        <v/>
      </c>
    </row>
    <row r="64">
      <c r="O64">
        <f>IFERROR(INDEX('_courses_lookup'!$C:$C,MATCH(K64&amp;L64,'_courses_lookup'!$E:$E,0)),"")</f>
        <v/>
      </c>
      <c r="P64">
        <f>IFERROR(INDEX('_courses_lookup'!$D:$D,MATCH(K64&amp;L64,'_courses_lookup'!$E:$E,0)),"")</f>
        <v/>
      </c>
      <c r="AG64">
        <f>IF(AND(AE64&lt;&gt;"",AF64&lt;&gt;""),ROUNDUP((AF64-AE64)/7,0),"")</f>
        <v/>
      </c>
      <c r="AI64">
        <f>IFERROR(IF(AG64*AH64=0,"",AG64*AH64),"")</f>
        <v/>
      </c>
      <c r="AL64">
        <f>IF(AND(AJ64&lt;&gt;"",AK64&lt;&gt;""),ROUNDUP((AK64-AJ64)/7,0),"")</f>
        <v/>
      </c>
      <c r="AN64">
        <f>IFERROR(IF(AL64*AM64=0,"",AL64*AM64),"")</f>
        <v/>
      </c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L64">
        <f>IFERROR(INDEX('_names_lookup'!$C:$C,MATCH(BK64,'_names_lookup'!$A:$A,0)),"")</f>
        <v/>
      </c>
      <c r="BM64">
        <f>IFERROR(INDEX('_names_lookup'!$B:$B,MATCH(BK64,'_names_lookup'!$A:$A,0)),"")</f>
        <v/>
      </c>
      <c r="BS64">
        <f>IFERROR(IF(BR64*AA64=0,"",BR64*AA64),"")</f>
        <v/>
      </c>
    </row>
    <row r="65">
      <c r="O65">
        <f>IFERROR(INDEX('_courses_lookup'!$C:$C,MATCH(K65&amp;L65,'_courses_lookup'!$E:$E,0)),"")</f>
        <v/>
      </c>
      <c r="P65">
        <f>IFERROR(INDEX('_courses_lookup'!$D:$D,MATCH(K65&amp;L65,'_courses_lookup'!$E:$E,0)),"")</f>
        <v/>
      </c>
      <c r="AG65">
        <f>IF(AND(AE65&lt;&gt;"",AF65&lt;&gt;""),ROUNDUP((AF65-AE65)/7,0),"")</f>
        <v/>
      </c>
      <c r="AI65">
        <f>IFERROR(IF(AG65*AH65=0,"",AG65*AH65),"")</f>
        <v/>
      </c>
      <c r="AL65">
        <f>IF(AND(AJ65&lt;&gt;"",AK65&lt;&gt;""),ROUNDUP((AK65-AJ65)/7,0),"")</f>
        <v/>
      </c>
      <c r="AN65">
        <f>IFERROR(IF(AL65*AM65=0,"",AL65*AM65),"")</f>
        <v/>
      </c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L65">
        <f>IFERROR(INDEX('_names_lookup'!$C:$C,MATCH(BK65,'_names_lookup'!$A:$A,0)),"")</f>
        <v/>
      </c>
      <c r="BM65">
        <f>IFERROR(INDEX('_names_lookup'!$B:$B,MATCH(BK65,'_names_lookup'!$A:$A,0)),"")</f>
        <v/>
      </c>
      <c r="BS65">
        <f>IFERROR(IF(BR65*AA65=0,"",BR65*AA65),"")</f>
        <v/>
      </c>
    </row>
    <row r="66">
      <c r="O66">
        <f>IFERROR(INDEX('_courses_lookup'!$C:$C,MATCH(K66&amp;L66,'_courses_lookup'!$E:$E,0)),"")</f>
        <v/>
      </c>
      <c r="P66">
        <f>IFERROR(INDEX('_courses_lookup'!$D:$D,MATCH(K66&amp;L66,'_courses_lookup'!$E:$E,0)),"")</f>
        <v/>
      </c>
      <c r="AG66">
        <f>IF(AND(AE66&lt;&gt;"",AF66&lt;&gt;""),ROUNDUP((AF66-AE66)/7,0),"")</f>
        <v/>
      </c>
      <c r="AI66">
        <f>IFERROR(IF(AG66*AH66=0,"",AG66*AH66),"")</f>
        <v/>
      </c>
      <c r="AL66">
        <f>IF(AND(AJ66&lt;&gt;"",AK66&lt;&gt;""),ROUNDUP((AK66-AJ66)/7,0),"")</f>
        <v/>
      </c>
      <c r="AN66">
        <f>IFERROR(IF(AL66*AM66=0,"",AL66*AM66),"")</f>
        <v/>
      </c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L66">
        <f>IFERROR(INDEX('_names_lookup'!$C:$C,MATCH(BK66,'_names_lookup'!$A:$A,0)),"")</f>
        <v/>
      </c>
      <c r="BM66">
        <f>IFERROR(INDEX('_names_lookup'!$B:$B,MATCH(BK66,'_names_lookup'!$A:$A,0)),"")</f>
        <v/>
      </c>
      <c r="BS66">
        <f>IFERROR(IF(BR66*AA66=0,"",BR66*AA66),"")</f>
        <v/>
      </c>
    </row>
    <row r="67">
      <c r="O67">
        <f>IFERROR(INDEX('_courses_lookup'!$C:$C,MATCH(K67&amp;L67,'_courses_lookup'!$E:$E,0)),"")</f>
        <v/>
      </c>
      <c r="P67">
        <f>IFERROR(INDEX('_courses_lookup'!$D:$D,MATCH(K67&amp;L67,'_courses_lookup'!$E:$E,0)),"")</f>
        <v/>
      </c>
      <c r="AG67">
        <f>IF(AND(AE67&lt;&gt;"",AF67&lt;&gt;""),ROUNDUP((AF67-AE67)/7,0),"")</f>
        <v/>
      </c>
      <c r="AI67">
        <f>IFERROR(IF(AG67*AH67=0,"",AG67*AH67),"")</f>
        <v/>
      </c>
      <c r="AL67">
        <f>IF(AND(AJ67&lt;&gt;"",AK67&lt;&gt;""),ROUNDUP((AK67-AJ67)/7,0),"")</f>
        <v/>
      </c>
      <c r="AN67">
        <f>IFERROR(IF(AL67*AM67=0,"",AL67*AM67),"")</f>
        <v/>
      </c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L67">
        <f>IFERROR(INDEX('_names_lookup'!$C:$C,MATCH(BK67,'_names_lookup'!$A:$A,0)),"")</f>
        <v/>
      </c>
      <c r="BM67">
        <f>IFERROR(INDEX('_names_lookup'!$B:$B,MATCH(BK67,'_names_lookup'!$A:$A,0)),"")</f>
        <v/>
      </c>
      <c r="BS67">
        <f>IFERROR(IF(BR67*AA67=0,"",BR67*AA67),"")</f>
        <v/>
      </c>
    </row>
    <row r="68">
      <c r="O68">
        <f>IFERROR(INDEX('_courses_lookup'!$C:$C,MATCH(K68&amp;L68,'_courses_lookup'!$E:$E,0)),"")</f>
        <v/>
      </c>
      <c r="P68">
        <f>IFERROR(INDEX('_courses_lookup'!$D:$D,MATCH(K68&amp;L68,'_courses_lookup'!$E:$E,0)),"")</f>
        <v/>
      </c>
      <c r="AG68">
        <f>IF(AND(AE68&lt;&gt;"",AF68&lt;&gt;""),ROUNDUP((AF68-AE68)/7,0),"")</f>
        <v/>
      </c>
      <c r="AI68">
        <f>IFERROR(IF(AG68*AH68=0,"",AG68*AH68),"")</f>
        <v/>
      </c>
      <c r="AL68">
        <f>IF(AND(AJ68&lt;&gt;"",AK68&lt;&gt;""),ROUNDUP((AK68-AJ68)/7,0),"")</f>
        <v/>
      </c>
      <c r="AN68">
        <f>IFERROR(IF(AL68*AM68=0,"",AL68*AM68),"")</f>
        <v/>
      </c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L68">
        <f>IFERROR(INDEX('_names_lookup'!$C:$C,MATCH(BK68,'_names_lookup'!$A:$A,0)),"")</f>
        <v/>
      </c>
      <c r="BM68">
        <f>IFERROR(INDEX('_names_lookup'!$B:$B,MATCH(BK68,'_names_lookup'!$A:$A,0)),"")</f>
        <v/>
      </c>
      <c r="BS68">
        <f>IFERROR(IF(BR68*AA68=0,"",BR68*AA68),"")</f>
        <v/>
      </c>
    </row>
    <row r="69">
      <c r="O69">
        <f>IFERROR(INDEX('_courses_lookup'!$C:$C,MATCH(K69&amp;L69,'_courses_lookup'!$E:$E,0)),"")</f>
        <v/>
      </c>
      <c r="P69">
        <f>IFERROR(INDEX('_courses_lookup'!$D:$D,MATCH(K69&amp;L69,'_courses_lookup'!$E:$E,0)),"")</f>
        <v/>
      </c>
      <c r="AG69">
        <f>IF(AND(AE69&lt;&gt;"",AF69&lt;&gt;""),ROUNDUP((AF69-AE69)/7,0),"")</f>
        <v/>
      </c>
      <c r="AI69">
        <f>IFERROR(IF(AG69*AH69=0,"",AG69*AH69),"")</f>
        <v/>
      </c>
      <c r="AL69">
        <f>IF(AND(AJ69&lt;&gt;"",AK69&lt;&gt;""),ROUNDUP((AK69-AJ69)/7,0),"")</f>
        <v/>
      </c>
      <c r="AN69">
        <f>IFERROR(IF(AL69*AM69=0,"",AL69*AM69),"")</f>
        <v/>
      </c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L69">
        <f>IFERROR(INDEX('_names_lookup'!$C:$C,MATCH(BK69,'_names_lookup'!$A:$A,0)),"")</f>
        <v/>
      </c>
      <c r="BM69">
        <f>IFERROR(INDEX('_names_lookup'!$B:$B,MATCH(BK69,'_names_lookup'!$A:$A,0)),"")</f>
        <v/>
      </c>
      <c r="BS69">
        <f>IFERROR(IF(BR69*AA69=0,"",BR69*AA69),"")</f>
        <v/>
      </c>
    </row>
    <row r="70">
      <c r="O70">
        <f>IFERROR(INDEX('_courses_lookup'!$C:$C,MATCH(K70&amp;L70,'_courses_lookup'!$E:$E,0)),"")</f>
        <v/>
      </c>
      <c r="P70">
        <f>IFERROR(INDEX('_courses_lookup'!$D:$D,MATCH(K70&amp;L70,'_courses_lookup'!$E:$E,0)),"")</f>
        <v/>
      </c>
      <c r="AG70">
        <f>IF(AND(AE70&lt;&gt;"",AF70&lt;&gt;""),ROUNDUP((AF70-AE70)/7,0),"")</f>
        <v/>
      </c>
      <c r="AI70">
        <f>IFERROR(IF(AG70*AH70=0,"",AG70*AH70),"")</f>
        <v/>
      </c>
      <c r="AL70">
        <f>IF(AND(AJ70&lt;&gt;"",AK70&lt;&gt;""),ROUNDUP((AK70-AJ70)/7,0),"")</f>
        <v/>
      </c>
      <c r="AN70">
        <f>IFERROR(IF(AL70*AM70=0,"",AL70*AM70),"")</f>
        <v/>
      </c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L70">
        <f>IFERROR(INDEX('_names_lookup'!$C:$C,MATCH(BK70,'_names_lookup'!$A:$A,0)),"")</f>
        <v/>
      </c>
      <c r="BM70">
        <f>IFERROR(INDEX('_names_lookup'!$B:$B,MATCH(BK70,'_names_lookup'!$A:$A,0)),"")</f>
        <v/>
      </c>
      <c r="BS70">
        <f>IFERROR(IF(BR70*AA70=0,"",BR70*AA70),"")</f>
        <v/>
      </c>
    </row>
    <row r="71">
      <c r="O71">
        <f>IFERROR(INDEX('_courses_lookup'!$C:$C,MATCH(K71&amp;L71,'_courses_lookup'!$E:$E,0)),"")</f>
        <v/>
      </c>
      <c r="P71">
        <f>IFERROR(INDEX('_courses_lookup'!$D:$D,MATCH(K71&amp;L71,'_courses_lookup'!$E:$E,0)),"")</f>
        <v/>
      </c>
      <c r="AG71">
        <f>IF(AND(AE71&lt;&gt;"",AF71&lt;&gt;""),ROUNDUP((AF71-AE71)/7,0),"")</f>
        <v/>
      </c>
      <c r="AI71">
        <f>IFERROR(IF(AG71*AH71=0,"",AG71*AH71),"")</f>
        <v/>
      </c>
      <c r="AL71">
        <f>IF(AND(AJ71&lt;&gt;"",AK71&lt;&gt;""),ROUNDUP((AK71-AJ71)/7,0),"")</f>
        <v/>
      </c>
      <c r="AN71">
        <f>IFERROR(IF(AL71*AM71=0,"",AL71*AM71),"")</f>
        <v/>
      </c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L71">
        <f>IFERROR(INDEX('_names_lookup'!$C:$C,MATCH(BK71,'_names_lookup'!$A:$A,0)),"")</f>
        <v/>
      </c>
      <c r="BM71">
        <f>IFERROR(INDEX('_names_lookup'!$B:$B,MATCH(BK71,'_names_lookup'!$A:$A,0)),"")</f>
        <v/>
      </c>
      <c r="BS71">
        <f>IFERROR(IF(BR71*AA71=0,"",BR71*AA71),"")</f>
        <v/>
      </c>
    </row>
    <row r="72">
      <c r="O72">
        <f>IFERROR(INDEX('_courses_lookup'!$C:$C,MATCH(K72&amp;L72,'_courses_lookup'!$E:$E,0)),"")</f>
        <v/>
      </c>
      <c r="P72">
        <f>IFERROR(INDEX('_courses_lookup'!$D:$D,MATCH(K72&amp;L72,'_courses_lookup'!$E:$E,0)),"")</f>
        <v/>
      </c>
      <c r="AG72">
        <f>IF(AND(AE72&lt;&gt;"",AF72&lt;&gt;""),ROUNDUP((AF72-AE72)/7,0),"")</f>
        <v/>
      </c>
      <c r="AI72">
        <f>IFERROR(IF(AG72*AH72=0,"",AG72*AH72),"")</f>
        <v/>
      </c>
      <c r="AL72">
        <f>IF(AND(AJ72&lt;&gt;"",AK72&lt;&gt;""),ROUNDUP((AK72-AJ72)/7,0),"")</f>
        <v/>
      </c>
      <c r="AN72">
        <f>IFERROR(IF(AL72*AM72=0,"",AL72*AM72),"")</f>
        <v/>
      </c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L72">
        <f>IFERROR(INDEX('_names_lookup'!$C:$C,MATCH(BK72,'_names_lookup'!$A:$A,0)),"")</f>
        <v/>
      </c>
      <c r="BM72">
        <f>IFERROR(INDEX('_names_lookup'!$B:$B,MATCH(BK72,'_names_lookup'!$A:$A,0)),"")</f>
        <v/>
      </c>
      <c r="BS72">
        <f>IFERROR(IF(BR72*AA72=0,"",BR72*AA72),"")</f>
        <v/>
      </c>
    </row>
    <row r="73">
      <c r="O73">
        <f>IFERROR(INDEX('_courses_lookup'!$C:$C,MATCH(K73&amp;L73,'_courses_lookup'!$E:$E,0)),"")</f>
        <v/>
      </c>
      <c r="P73">
        <f>IFERROR(INDEX('_courses_lookup'!$D:$D,MATCH(K73&amp;L73,'_courses_lookup'!$E:$E,0)),"")</f>
        <v/>
      </c>
      <c r="AG73">
        <f>IF(AND(AE73&lt;&gt;"",AF73&lt;&gt;""),ROUNDUP((AF73-AE73)/7,0),"")</f>
        <v/>
      </c>
      <c r="AI73">
        <f>IFERROR(IF(AG73*AH73=0,"",AG73*AH73),"")</f>
        <v/>
      </c>
      <c r="AL73">
        <f>IF(AND(AJ73&lt;&gt;"",AK73&lt;&gt;""),ROUNDUP((AK73-AJ73)/7,0),"")</f>
        <v/>
      </c>
      <c r="AN73">
        <f>IFERROR(IF(AL73*AM73=0,"",AL73*AM73),"")</f>
        <v/>
      </c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L73">
        <f>IFERROR(INDEX('_names_lookup'!$C:$C,MATCH(BK73,'_names_lookup'!$A:$A,0)),"")</f>
        <v/>
      </c>
      <c r="BM73">
        <f>IFERROR(INDEX('_names_lookup'!$B:$B,MATCH(BK73,'_names_lookup'!$A:$A,0)),"")</f>
        <v/>
      </c>
      <c r="BS73">
        <f>IFERROR(IF(BR73*AA73=0,"",BR73*AA73),"")</f>
        <v/>
      </c>
    </row>
    <row r="74">
      <c r="O74">
        <f>IFERROR(INDEX('_courses_lookup'!$C:$C,MATCH(K74&amp;L74,'_courses_lookup'!$E:$E,0)),"")</f>
        <v/>
      </c>
      <c r="P74">
        <f>IFERROR(INDEX('_courses_lookup'!$D:$D,MATCH(K74&amp;L74,'_courses_lookup'!$E:$E,0)),"")</f>
        <v/>
      </c>
      <c r="AG74">
        <f>IF(AND(AE74&lt;&gt;"",AF74&lt;&gt;""),ROUNDUP((AF74-AE74)/7,0),"")</f>
        <v/>
      </c>
      <c r="AI74">
        <f>IFERROR(IF(AG74*AH74=0,"",AG74*AH74),"")</f>
        <v/>
      </c>
      <c r="AL74">
        <f>IF(AND(AJ74&lt;&gt;"",AK74&lt;&gt;""),ROUNDUP((AK74-AJ74)/7,0),"")</f>
        <v/>
      </c>
      <c r="AN74">
        <f>IFERROR(IF(AL74*AM74=0,"",AL74*AM74),"")</f>
        <v/>
      </c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L74">
        <f>IFERROR(INDEX('_names_lookup'!$C:$C,MATCH(BK74,'_names_lookup'!$A:$A,0)),"")</f>
        <v/>
      </c>
      <c r="BM74">
        <f>IFERROR(INDEX('_names_lookup'!$B:$B,MATCH(BK74,'_names_lookup'!$A:$A,0)),"")</f>
        <v/>
      </c>
      <c r="BS74">
        <f>IFERROR(IF(BR74*AA74=0,"",BR74*AA74),"")</f>
        <v/>
      </c>
    </row>
    <row r="75">
      <c r="O75">
        <f>IFERROR(INDEX('_courses_lookup'!$C:$C,MATCH(K75&amp;L75,'_courses_lookup'!$E:$E,0)),"")</f>
        <v/>
      </c>
      <c r="P75">
        <f>IFERROR(INDEX('_courses_lookup'!$D:$D,MATCH(K75&amp;L75,'_courses_lookup'!$E:$E,0)),"")</f>
        <v/>
      </c>
      <c r="AG75">
        <f>IF(AND(AE75&lt;&gt;"",AF75&lt;&gt;""),ROUNDUP((AF75-AE75)/7,0),"")</f>
        <v/>
      </c>
      <c r="AI75">
        <f>IFERROR(IF(AG75*AH75=0,"",AG75*AH75),"")</f>
        <v/>
      </c>
      <c r="AL75">
        <f>IF(AND(AJ75&lt;&gt;"",AK75&lt;&gt;""),ROUNDUP((AK75-AJ75)/7,0),"")</f>
        <v/>
      </c>
      <c r="AN75">
        <f>IFERROR(IF(AL75*AM75=0,"",AL75*AM75),"")</f>
        <v/>
      </c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L75">
        <f>IFERROR(INDEX('_names_lookup'!$C:$C,MATCH(BK75,'_names_lookup'!$A:$A,0)),"")</f>
        <v/>
      </c>
      <c r="BM75">
        <f>IFERROR(INDEX('_names_lookup'!$B:$B,MATCH(BK75,'_names_lookup'!$A:$A,0)),"")</f>
        <v/>
      </c>
      <c r="BS75">
        <f>IFERROR(IF(BR75*AA75=0,"",BR75*AA75),"")</f>
        <v/>
      </c>
    </row>
    <row r="76">
      <c r="O76">
        <f>IFERROR(INDEX('_courses_lookup'!$C:$C,MATCH(K76&amp;L76,'_courses_lookup'!$E:$E,0)),"")</f>
        <v/>
      </c>
      <c r="P76">
        <f>IFERROR(INDEX('_courses_lookup'!$D:$D,MATCH(K76&amp;L76,'_courses_lookup'!$E:$E,0)),"")</f>
        <v/>
      </c>
      <c r="AG76">
        <f>IF(AND(AE76&lt;&gt;"",AF76&lt;&gt;""),ROUNDUP((AF76-AE76)/7,0),"")</f>
        <v/>
      </c>
      <c r="AI76">
        <f>IFERROR(IF(AG76*AH76=0,"",AG76*AH76),"")</f>
        <v/>
      </c>
      <c r="AL76">
        <f>IF(AND(AJ76&lt;&gt;"",AK76&lt;&gt;""),ROUNDUP((AK76-AJ76)/7,0),"")</f>
        <v/>
      </c>
      <c r="AN76">
        <f>IFERROR(IF(AL76*AM76=0,"",AL76*AM76),"")</f>
        <v/>
      </c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L76">
        <f>IFERROR(INDEX('_names_lookup'!$C:$C,MATCH(BK76,'_names_lookup'!$A:$A,0)),"")</f>
        <v/>
      </c>
      <c r="BM76">
        <f>IFERROR(INDEX('_names_lookup'!$B:$B,MATCH(BK76,'_names_lookup'!$A:$A,0)),"")</f>
        <v/>
      </c>
      <c r="BS76">
        <f>IFERROR(IF(BR76*AA76=0,"",BR76*AA76),"")</f>
        <v/>
      </c>
    </row>
    <row r="77">
      <c r="O77">
        <f>IFERROR(INDEX('_courses_lookup'!$C:$C,MATCH(K77&amp;L77,'_courses_lookup'!$E:$E,0)),"")</f>
        <v/>
      </c>
      <c r="P77">
        <f>IFERROR(INDEX('_courses_lookup'!$D:$D,MATCH(K77&amp;L77,'_courses_lookup'!$E:$E,0)),"")</f>
        <v/>
      </c>
      <c r="AG77">
        <f>IF(AND(AE77&lt;&gt;"",AF77&lt;&gt;""),ROUNDUP((AF77-AE77)/7,0),"")</f>
        <v/>
      </c>
      <c r="AI77">
        <f>IFERROR(IF(AG77*AH77=0,"",AG77*AH77),"")</f>
        <v/>
      </c>
      <c r="AL77">
        <f>IF(AND(AJ77&lt;&gt;"",AK77&lt;&gt;""),ROUNDUP((AK77-AJ77)/7,0),"")</f>
        <v/>
      </c>
      <c r="AN77">
        <f>IFERROR(IF(AL77*AM77=0,"",AL77*AM77),"")</f>
        <v/>
      </c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L77">
        <f>IFERROR(INDEX('_names_lookup'!$C:$C,MATCH(BK77,'_names_lookup'!$A:$A,0)),"")</f>
        <v/>
      </c>
      <c r="BM77">
        <f>IFERROR(INDEX('_names_lookup'!$B:$B,MATCH(BK77,'_names_lookup'!$A:$A,0)),"")</f>
        <v/>
      </c>
      <c r="BS77">
        <f>IFERROR(IF(BR77*AA77=0,"",BR77*AA77),"")</f>
        <v/>
      </c>
    </row>
    <row r="78">
      <c r="O78">
        <f>IFERROR(INDEX('_courses_lookup'!$C:$C,MATCH(K78&amp;L78,'_courses_lookup'!$E:$E,0)),"")</f>
        <v/>
      </c>
      <c r="P78">
        <f>IFERROR(INDEX('_courses_lookup'!$D:$D,MATCH(K78&amp;L78,'_courses_lookup'!$E:$E,0)),"")</f>
        <v/>
      </c>
      <c r="AG78">
        <f>IF(AND(AE78&lt;&gt;"",AF78&lt;&gt;""),ROUNDUP((AF78-AE78)/7,0),"")</f>
        <v/>
      </c>
      <c r="AI78">
        <f>IFERROR(IF(AG78*AH78=0,"",AG78*AH78),"")</f>
        <v/>
      </c>
      <c r="AL78">
        <f>IF(AND(AJ78&lt;&gt;"",AK78&lt;&gt;""),ROUNDUP((AK78-AJ78)/7,0),"")</f>
        <v/>
      </c>
      <c r="AN78">
        <f>IFERROR(IF(AL78*AM78=0,"",AL78*AM78),"")</f>
        <v/>
      </c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L78">
        <f>IFERROR(INDEX('_names_lookup'!$C:$C,MATCH(BK78,'_names_lookup'!$A:$A,0)),"")</f>
        <v/>
      </c>
      <c r="BM78">
        <f>IFERROR(INDEX('_names_lookup'!$B:$B,MATCH(BK78,'_names_lookup'!$A:$A,0)),"")</f>
        <v/>
      </c>
      <c r="BS78">
        <f>IFERROR(IF(BR78*AA78=0,"",BR78*AA78),"")</f>
        <v/>
      </c>
    </row>
    <row r="79">
      <c r="O79">
        <f>IFERROR(INDEX('_courses_lookup'!$C:$C,MATCH(K79&amp;L79,'_courses_lookup'!$E:$E,0)),"")</f>
        <v/>
      </c>
      <c r="P79">
        <f>IFERROR(INDEX('_courses_lookup'!$D:$D,MATCH(K79&amp;L79,'_courses_lookup'!$E:$E,0)),"")</f>
        <v/>
      </c>
      <c r="AG79">
        <f>IF(AND(AE79&lt;&gt;"",AF79&lt;&gt;""),ROUNDUP((AF79-AE79)/7,0),"")</f>
        <v/>
      </c>
      <c r="AI79">
        <f>IFERROR(IF(AG79*AH79=0,"",AG79*AH79),"")</f>
        <v/>
      </c>
      <c r="AL79">
        <f>IF(AND(AJ79&lt;&gt;"",AK79&lt;&gt;""),ROUNDUP((AK79-AJ79)/7,0),"")</f>
        <v/>
      </c>
      <c r="AN79">
        <f>IFERROR(IF(AL79*AM79=0,"",AL79*AM79),"")</f>
        <v/>
      </c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L79">
        <f>IFERROR(INDEX('_names_lookup'!$C:$C,MATCH(BK79,'_names_lookup'!$A:$A,0)),"")</f>
        <v/>
      </c>
      <c r="BM79">
        <f>IFERROR(INDEX('_names_lookup'!$B:$B,MATCH(BK79,'_names_lookup'!$A:$A,0)),"")</f>
        <v/>
      </c>
      <c r="BS79">
        <f>IFERROR(IF(BR79*AA79=0,"",BR79*AA79),"")</f>
        <v/>
      </c>
    </row>
    <row r="80">
      <c r="O80">
        <f>IFERROR(INDEX('_courses_lookup'!$C:$C,MATCH(K80&amp;L80,'_courses_lookup'!$E:$E,0)),"")</f>
        <v/>
      </c>
      <c r="P80">
        <f>IFERROR(INDEX('_courses_lookup'!$D:$D,MATCH(K80&amp;L80,'_courses_lookup'!$E:$E,0)),"")</f>
        <v/>
      </c>
      <c r="AG80">
        <f>IF(AND(AE80&lt;&gt;"",AF80&lt;&gt;""),ROUNDUP((AF80-AE80)/7,0),"")</f>
        <v/>
      </c>
      <c r="AI80">
        <f>IFERROR(IF(AG80*AH80=0,"",AG80*AH80),"")</f>
        <v/>
      </c>
      <c r="AL80">
        <f>IF(AND(AJ80&lt;&gt;"",AK80&lt;&gt;""),ROUNDUP((AK80-AJ80)/7,0),"")</f>
        <v/>
      </c>
      <c r="AN80">
        <f>IFERROR(IF(AL80*AM80=0,"",AL80*AM80),"")</f>
        <v/>
      </c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L80">
        <f>IFERROR(INDEX('_names_lookup'!$C:$C,MATCH(BK80,'_names_lookup'!$A:$A,0)),"")</f>
        <v/>
      </c>
      <c r="BM80">
        <f>IFERROR(INDEX('_names_lookup'!$B:$B,MATCH(BK80,'_names_lookup'!$A:$A,0)),"")</f>
        <v/>
      </c>
      <c r="BS80">
        <f>IFERROR(IF(BR80*AA80=0,"",BR80*AA80),"")</f>
        <v/>
      </c>
    </row>
    <row r="81">
      <c r="O81">
        <f>IFERROR(INDEX('_courses_lookup'!$C:$C,MATCH(K81&amp;L81,'_courses_lookup'!$E:$E,0)),"")</f>
        <v/>
      </c>
      <c r="P81">
        <f>IFERROR(INDEX('_courses_lookup'!$D:$D,MATCH(K81&amp;L81,'_courses_lookup'!$E:$E,0)),"")</f>
        <v/>
      </c>
      <c r="AG81">
        <f>IF(AND(AE81&lt;&gt;"",AF81&lt;&gt;""),ROUNDUP((AF81-AE81)/7,0),"")</f>
        <v/>
      </c>
      <c r="AI81">
        <f>IFERROR(IF(AG81*AH81=0,"",AG81*AH81),"")</f>
        <v/>
      </c>
      <c r="AL81">
        <f>IF(AND(AJ81&lt;&gt;"",AK81&lt;&gt;""),ROUNDUP((AK81-AJ81)/7,0),"")</f>
        <v/>
      </c>
      <c r="AN81">
        <f>IFERROR(IF(AL81*AM81=0,"",AL81*AM81),"")</f>
        <v/>
      </c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L81">
        <f>IFERROR(INDEX('_names_lookup'!$C:$C,MATCH(BK81,'_names_lookup'!$A:$A,0)),"")</f>
        <v/>
      </c>
      <c r="BM81">
        <f>IFERROR(INDEX('_names_lookup'!$B:$B,MATCH(BK81,'_names_lookup'!$A:$A,0)),"")</f>
        <v/>
      </c>
      <c r="BS81">
        <f>IFERROR(IF(BR81*AA81=0,"",BR81*AA81),"")</f>
        <v/>
      </c>
    </row>
    <row r="82">
      <c r="O82">
        <f>IFERROR(INDEX('_courses_lookup'!$C:$C,MATCH(K82&amp;L82,'_courses_lookup'!$E:$E,0)),"")</f>
        <v/>
      </c>
      <c r="P82">
        <f>IFERROR(INDEX('_courses_lookup'!$D:$D,MATCH(K82&amp;L82,'_courses_lookup'!$E:$E,0)),"")</f>
        <v/>
      </c>
      <c r="AG82">
        <f>IF(AND(AE82&lt;&gt;"",AF82&lt;&gt;""),ROUNDUP((AF82-AE82)/7,0),"")</f>
        <v/>
      </c>
      <c r="AI82">
        <f>IFERROR(IF(AG82*AH82=0,"",AG82*AH82),"")</f>
        <v/>
      </c>
      <c r="AL82">
        <f>IF(AND(AJ82&lt;&gt;"",AK82&lt;&gt;""),ROUNDUP((AK82-AJ82)/7,0),"")</f>
        <v/>
      </c>
      <c r="AN82">
        <f>IFERROR(IF(AL82*AM82=0,"",AL82*AM82),"")</f>
        <v/>
      </c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L82">
        <f>IFERROR(INDEX('_names_lookup'!$C:$C,MATCH(BK82,'_names_lookup'!$A:$A,0)),"")</f>
        <v/>
      </c>
      <c r="BM82">
        <f>IFERROR(INDEX('_names_lookup'!$B:$B,MATCH(BK82,'_names_lookup'!$A:$A,0)),"")</f>
        <v/>
      </c>
      <c r="BS82">
        <f>IFERROR(IF(BR82*AA82=0,"",BR82*AA82),"")</f>
        <v/>
      </c>
    </row>
    <row r="83">
      <c r="O83">
        <f>IFERROR(INDEX('_courses_lookup'!$C:$C,MATCH(K83&amp;L83,'_courses_lookup'!$E:$E,0)),"")</f>
        <v/>
      </c>
      <c r="P83">
        <f>IFERROR(INDEX('_courses_lookup'!$D:$D,MATCH(K83&amp;L83,'_courses_lookup'!$E:$E,0)),"")</f>
        <v/>
      </c>
      <c r="AG83">
        <f>IF(AND(AE83&lt;&gt;"",AF83&lt;&gt;""),ROUNDUP((AF83-AE83)/7,0),"")</f>
        <v/>
      </c>
      <c r="AI83">
        <f>IFERROR(IF(AG83*AH83=0,"",AG83*AH83),"")</f>
        <v/>
      </c>
      <c r="AL83">
        <f>IF(AND(AJ83&lt;&gt;"",AK83&lt;&gt;""),ROUNDUP((AK83-AJ83)/7,0),"")</f>
        <v/>
      </c>
      <c r="AN83">
        <f>IFERROR(IF(AL83*AM83=0,"",AL83*AM83),"")</f>
        <v/>
      </c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L83">
        <f>IFERROR(INDEX('_names_lookup'!$C:$C,MATCH(BK83,'_names_lookup'!$A:$A,0)),"")</f>
        <v/>
      </c>
      <c r="BM83">
        <f>IFERROR(INDEX('_names_lookup'!$B:$B,MATCH(BK83,'_names_lookup'!$A:$A,0)),"")</f>
        <v/>
      </c>
      <c r="BS83">
        <f>IFERROR(IF(BR83*AA83=0,"",BR83*AA83),"")</f>
        <v/>
      </c>
    </row>
    <row r="84">
      <c r="O84">
        <f>IFERROR(INDEX('_courses_lookup'!$C:$C,MATCH(K84&amp;L84,'_courses_lookup'!$E:$E,0)),"")</f>
        <v/>
      </c>
      <c r="P84">
        <f>IFERROR(INDEX('_courses_lookup'!$D:$D,MATCH(K84&amp;L84,'_courses_lookup'!$E:$E,0)),"")</f>
        <v/>
      </c>
      <c r="AG84">
        <f>IF(AND(AE84&lt;&gt;"",AF84&lt;&gt;""),ROUNDUP((AF84-AE84)/7,0),"")</f>
        <v/>
      </c>
      <c r="AI84">
        <f>IFERROR(IF(AG84*AH84=0,"",AG84*AH84),"")</f>
        <v/>
      </c>
      <c r="AL84">
        <f>IF(AND(AJ84&lt;&gt;"",AK84&lt;&gt;""),ROUNDUP((AK84-AJ84)/7,0),"")</f>
        <v/>
      </c>
      <c r="AN84">
        <f>IFERROR(IF(AL84*AM84=0,"",AL84*AM84),"")</f>
        <v/>
      </c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L84">
        <f>IFERROR(INDEX('_names_lookup'!$C:$C,MATCH(BK84,'_names_lookup'!$A:$A,0)),"")</f>
        <v/>
      </c>
      <c r="BM84">
        <f>IFERROR(INDEX('_names_lookup'!$B:$B,MATCH(BK84,'_names_lookup'!$A:$A,0)),"")</f>
        <v/>
      </c>
      <c r="BS84">
        <f>IFERROR(IF(BR84*AA84=0,"",BR84*AA84),"")</f>
        <v/>
      </c>
    </row>
    <row r="85">
      <c r="O85">
        <f>IFERROR(INDEX('_courses_lookup'!$C:$C,MATCH(K85&amp;L85,'_courses_lookup'!$E:$E,0)),"")</f>
        <v/>
      </c>
      <c r="P85">
        <f>IFERROR(INDEX('_courses_lookup'!$D:$D,MATCH(K85&amp;L85,'_courses_lookup'!$E:$E,0)),"")</f>
        <v/>
      </c>
      <c r="AG85">
        <f>IF(AND(AE85&lt;&gt;"",AF85&lt;&gt;""),ROUNDUP((AF85-AE85)/7,0),"")</f>
        <v/>
      </c>
      <c r="AI85">
        <f>IFERROR(IF(AG85*AH85=0,"",AG85*AH85),"")</f>
        <v/>
      </c>
      <c r="AL85">
        <f>IF(AND(AJ85&lt;&gt;"",AK85&lt;&gt;""),ROUNDUP((AK85-AJ85)/7,0),"")</f>
        <v/>
      </c>
      <c r="AN85">
        <f>IFERROR(IF(AL85*AM85=0,"",AL85*AM85),"")</f>
        <v/>
      </c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L85">
        <f>IFERROR(INDEX('_names_lookup'!$C:$C,MATCH(BK85,'_names_lookup'!$A:$A,0)),"")</f>
        <v/>
      </c>
      <c r="BM85">
        <f>IFERROR(INDEX('_names_lookup'!$B:$B,MATCH(BK85,'_names_lookup'!$A:$A,0)),"")</f>
        <v/>
      </c>
      <c r="BS85">
        <f>IFERROR(IF(BR85*AA85=0,"",BR85*AA85),"")</f>
        <v/>
      </c>
    </row>
    <row r="86">
      <c r="O86">
        <f>IFERROR(INDEX('_courses_lookup'!$C:$C,MATCH(K86&amp;L86,'_courses_lookup'!$E:$E,0)),"")</f>
        <v/>
      </c>
      <c r="P86">
        <f>IFERROR(INDEX('_courses_lookup'!$D:$D,MATCH(K86&amp;L86,'_courses_lookup'!$E:$E,0)),"")</f>
        <v/>
      </c>
      <c r="AG86">
        <f>IF(AND(AE86&lt;&gt;"",AF86&lt;&gt;""),ROUNDUP((AF86-AE86)/7,0),"")</f>
        <v/>
      </c>
      <c r="AI86">
        <f>IFERROR(IF(AG86*AH86=0,"",AG86*AH86),"")</f>
        <v/>
      </c>
      <c r="AL86">
        <f>IF(AND(AJ86&lt;&gt;"",AK86&lt;&gt;""),ROUNDUP((AK86-AJ86)/7,0),"")</f>
        <v/>
      </c>
      <c r="AN86">
        <f>IFERROR(IF(AL86*AM86=0,"",AL86*AM86),"")</f>
        <v/>
      </c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L86">
        <f>IFERROR(INDEX('_names_lookup'!$C:$C,MATCH(BK86,'_names_lookup'!$A:$A,0)),"")</f>
        <v/>
      </c>
      <c r="BM86">
        <f>IFERROR(INDEX('_names_lookup'!$B:$B,MATCH(BK86,'_names_lookup'!$A:$A,0)),"")</f>
        <v/>
      </c>
      <c r="BS86">
        <f>IFERROR(IF(BR86*AA86=0,"",BR86*AA86),"")</f>
        <v/>
      </c>
    </row>
    <row r="87">
      <c r="O87">
        <f>IFERROR(INDEX('_courses_lookup'!$C:$C,MATCH(K87&amp;L87,'_courses_lookup'!$E:$E,0)),"")</f>
        <v/>
      </c>
      <c r="P87">
        <f>IFERROR(INDEX('_courses_lookup'!$D:$D,MATCH(K87&amp;L87,'_courses_lookup'!$E:$E,0)),"")</f>
        <v/>
      </c>
      <c r="AG87">
        <f>IF(AND(AE87&lt;&gt;"",AF87&lt;&gt;""),ROUNDUP((AF87-AE87)/7,0),"")</f>
        <v/>
      </c>
      <c r="AI87">
        <f>IFERROR(IF(AG87*AH87=0,"",AG87*AH87),"")</f>
        <v/>
      </c>
      <c r="AL87">
        <f>IF(AND(AJ87&lt;&gt;"",AK87&lt;&gt;""),ROUNDUP((AK87-AJ87)/7,0),"")</f>
        <v/>
      </c>
      <c r="AN87">
        <f>IFERROR(IF(AL87*AM87=0,"",AL87*AM87),"")</f>
        <v/>
      </c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L87">
        <f>IFERROR(INDEX('_names_lookup'!$C:$C,MATCH(BK87,'_names_lookup'!$A:$A,0)),"")</f>
        <v/>
      </c>
      <c r="BM87">
        <f>IFERROR(INDEX('_names_lookup'!$B:$B,MATCH(BK87,'_names_lookup'!$A:$A,0)),"")</f>
        <v/>
      </c>
      <c r="BS87">
        <f>IFERROR(IF(BR87*AA87=0,"",BR87*AA87),"")</f>
        <v/>
      </c>
    </row>
    <row r="88">
      <c r="O88">
        <f>IFERROR(INDEX('_courses_lookup'!$C:$C,MATCH(K88&amp;L88,'_courses_lookup'!$E:$E,0)),"")</f>
        <v/>
      </c>
      <c r="P88">
        <f>IFERROR(INDEX('_courses_lookup'!$D:$D,MATCH(K88&amp;L88,'_courses_lookup'!$E:$E,0)),"")</f>
        <v/>
      </c>
      <c r="AG88">
        <f>IF(AND(AE88&lt;&gt;"",AF88&lt;&gt;""),ROUNDUP((AF88-AE88)/7,0),"")</f>
        <v/>
      </c>
      <c r="AI88">
        <f>IFERROR(IF(AG88*AH88=0,"",AG88*AH88),"")</f>
        <v/>
      </c>
      <c r="AL88">
        <f>IF(AND(AJ88&lt;&gt;"",AK88&lt;&gt;""),ROUNDUP((AK88-AJ88)/7,0),"")</f>
        <v/>
      </c>
      <c r="AN88">
        <f>IFERROR(IF(AL88*AM88=0,"",AL88*AM88),"")</f>
        <v/>
      </c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L88">
        <f>IFERROR(INDEX('_names_lookup'!$C:$C,MATCH(BK88,'_names_lookup'!$A:$A,0)),"")</f>
        <v/>
      </c>
      <c r="BM88">
        <f>IFERROR(INDEX('_names_lookup'!$B:$B,MATCH(BK88,'_names_lookup'!$A:$A,0)),"")</f>
        <v/>
      </c>
      <c r="BS88">
        <f>IFERROR(IF(BR88*AA88=0,"",BR88*AA88),"")</f>
        <v/>
      </c>
    </row>
    <row r="89">
      <c r="O89">
        <f>IFERROR(INDEX('_courses_lookup'!$C:$C,MATCH(K89&amp;L89,'_courses_lookup'!$E:$E,0)),"")</f>
        <v/>
      </c>
      <c r="P89">
        <f>IFERROR(INDEX('_courses_lookup'!$D:$D,MATCH(K89&amp;L89,'_courses_lookup'!$E:$E,0)),"")</f>
        <v/>
      </c>
      <c r="AG89">
        <f>IF(AND(AE89&lt;&gt;"",AF89&lt;&gt;""),ROUNDUP((AF89-AE89)/7,0),"")</f>
        <v/>
      </c>
      <c r="AI89">
        <f>IFERROR(IF(AG89*AH89=0,"",AG89*AH89),"")</f>
        <v/>
      </c>
      <c r="AL89">
        <f>IF(AND(AJ89&lt;&gt;"",AK89&lt;&gt;""),ROUNDUP((AK89-AJ89)/7,0),"")</f>
        <v/>
      </c>
      <c r="AN89">
        <f>IFERROR(IF(AL89*AM89=0,"",AL89*AM89),"")</f>
        <v/>
      </c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L89">
        <f>IFERROR(INDEX('_names_lookup'!$C:$C,MATCH(BK89,'_names_lookup'!$A:$A,0)),"")</f>
        <v/>
      </c>
      <c r="BM89">
        <f>IFERROR(INDEX('_names_lookup'!$B:$B,MATCH(BK89,'_names_lookup'!$A:$A,0)),"")</f>
        <v/>
      </c>
      <c r="BS89">
        <f>IFERROR(IF(BR89*AA89=0,"",BR89*AA89),"")</f>
        <v/>
      </c>
    </row>
    <row r="90">
      <c r="O90">
        <f>IFERROR(INDEX('_courses_lookup'!$C:$C,MATCH(K90&amp;L90,'_courses_lookup'!$E:$E,0)),"")</f>
        <v/>
      </c>
      <c r="P90">
        <f>IFERROR(INDEX('_courses_lookup'!$D:$D,MATCH(K90&amp;L90,'_courses_lookup'!$E:$E,0)),"")</f>
        <v/>
      </c>
      <c r="AG90">
        <f>IF(AND(AE90&lt;&gt;"",AF90&lt;&gt;""),ROUNDUP((AF90-AE90)/7,0),"")</f>
        <v/>
      </c>
      <c r="AI90">
        <f>IFERROR(IF(AG90*AH90=0,"",AG90*AH90),"")</f>
        <v/>
      </c>
      <c r="AL90">
        <f>IF(AND(AJ90&lt;&gt;"",AK90&lt;&gt;""),ROUNDUP((AK90-AJ90)/7,0),"")</f>
        <v/>
      </c>
      <c r="AN90">
        <f>IFERROR(IF(AL90*AM90=0,"",AL90*AM90),"")</f>
        <v/>
      </c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L90">
        <f>IFERROR(INDEX('_names_lookup'!$C:$C,MATCH(BK90,'_names_lookup'!$A:$A,0)),"")</f>
        <v/>
      </c>
      <c r="BM90">
        <f>IFERROR(INDEX('_names_lookup'!$B:$B,MATCH(BK90,'_names_lookup'!$A:$A,0)),"")</f>
        <v/>
      </c>
      <c r="BS90">
        <f>IFERROR(IF(BR90*AA90=0,"",BR90*AA90),"")</f>
        <v/>
      </c>
    </row>
    <row r="91">
      <c r="O91">
        <f>IFERROR(INDEX('_courses_lookup'!$C:$C,MATCH(K91&amp;L91,'_courses_lookup'!$E:$E,0)),"")</f>
        <v/>
      </c>
      <c r="P91">
        <f>IFERROR(INDEX('_courses_lookup'!$D:$D,MATCH(K91&amp;L91,'_courses_lookup'!$E:$E,0)),"")</f>
        <v/>
      </c>
      <c r="AG91">
        <f>IF(AND(AE91&lt;&gt;"",AF91&lt;&gt;""),ROUNDUP((AF91-AE91)/7,0),"")</f>
        <v/>
      </c>
      <c r="AI91">
        <f>IFERROR(IF(AG91*AH91=0,"",AG91*AH91),"")</f>
        <v/>
      </c>
      <c r="AL91">
        <f>IF(AND(AJ91&lt;&gt;"",AK91&lt;&gt;""),ROUNDUP((AK91-AJ91)/7,0),"")</f>
        <v/>
      </c>
      <c r="AN91">
        <f>IFERROR(IF(AL91*AM91=0,"",AL91*AM91),"")</f>
        <v/>
      </c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L91">
        <f>IFERROR(INDEX('_names_lookup'!$C:$C,MATCH(BK91,'_names_lookup'!$A:$A,0)),"")</f>
        <v/>
      </c>
      <c r="BM91">
        <f>IFERROR(INDEX('_names_lookup'!$B:$B,MATCH(BK91,'_names_lookup'!$A:$A,0)),"")</f>
        <v/>
      </c>
      <c r="BS91">
        <f>IFERROR(IF(BR91*AA91=0,"",BR91*AA91),"")</f>
        <v/>
      </c>
    </row>
    <row r="92">
      <c r="O92">
        <f>IFERROR(INDEX('_courses_lookup'!$C:$C,MATCH(K92&amp;L92,'_courses_lookup'!$E:$E,0)),"")</f>
        <v/>
      </c>
      <c r="P92">
        <f>IFERROR(INDEX('_courses_lookup'!$D:$D,MATCH(K92&amp;L92,'_courses_lookup'!$E:$E,0)),"")</f>
        <v/>
      </c>
      <c r="AG92">
        <f>IF(AND(AE92&lt;&gt;"",AF92&lt;&gt;""),ROUNDUP((AF92-AE92)/7,0),"")</f>
        <v/>
      </c>
      <c r="AI92">
        <f>IFERROR(IF(AG92*AH92=0,"",AG92*AH92),"")</f>
        <v/>
      </c>
      <c r="AL92">
        <f>IF(AND(AJ92&lt;&gt;"",AK92&lt;&gt;""),ROUNDUP((AK92-AJ92)/7,0),"")</f>
        <v/>
      </c>
      <c r="AN92">
        <f>IFERROR(IF(AL92*AM92=0,"",AL92*AM92),"")</f>
        <v/>
      </c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L92">
        <f>IFERROR(INDEX('_names_lookup'!$C:$C,MATCH(BK92,'_names_lookup'!$A:$A,0)),"")</f>
        <v/>
      </c>
      <c r="BM92">
        <f>IFERROR(INDEX('_names_lookup'!$B:$B,MATCH(BK92,'_names_lookup'!$A:$A,0)),"")</f>
        <v/>
      </c>
      <c r="BS92">
        <f>IFERROR(IF(BR92*AA92=0,"",BR92*AA92),"")</f>
        <v/>
      </c>
    </row>
    <row r="93">
      <c r="O93">
        <f>IFERROR(INDEX('_courses_lookup'!$C:$C,MATCH(K93&amp;L93,'_courses_lookup'!$E:$E,0)),"")</f>
        <v/>
      </c>
      <c r="P93">
        <f>IFERROR(INDEX('_courses_lookup'!$D:$D,MATCH(K93&amp;L93,'_courses_lookup'!$E:$E,0)),"")</f>
        <v/>
      </c>
      <c r="AG93">
        <f>IF(AND(AE93&lt;&gt;"",AF93&lt;&gt;""),ROUNDUP((AF93-AE93)/7,0),"")</f>
        <v/>
      </c>
      <c r="AI93">
        <f>IFERROR(IF(AG93*AH93=0,"",AG93*AH93),"")</f>
        <v/>
      </c>
      <c r="AL93">
        <f>IF(AND(AJ93&lt;&gt;"",AK93&lt;&gt;""),ROUNDUP((AK93-AJ93)/7,0),"")</f>
        <v/>
      </c>
      <c r="AN93">
        <f>IFERROR(IF(AL93*AM93=0,"",AL93*AM93),"")</f>
        <v/>
      </c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L93">
        <f>IFERROR(INDEX('_names_lookup'!$C:$C,MATCH(BK93,'_names_lookup'!$A:$A,0)),"")</f>
        <v/>
      </c>
      <c r="BM93">
        <f>IFERROR(INDEX('_names_lookup'!$B:$B,MATCH(BK93,'_names_lookup'!$A:$A,0)),"")</f>
        <v/>
      </c>
      <c r="BS93">
        <f>IFERROR(IF(BR93*AA93=0,"",BR93*AA93),"")</f>
        <v/>
      </c>
    </row>
    <row r="94">
      <c r="O94">
        <f>IFERROR(INDEX('_courses_lookup'!$C:$C,MATCH(K94&amp;L94,'_courses_lookup'!$E:$E,0)),"")</f>
        <v/>
      </c>
      <c r="P94">
        <f>IFERROR(INDEX('_courses_lookup'!$D:$D,MATCH(K94&amp;L94,'_courses_lookup'!$E:$E,0)),"")</f>
        <v/>
      </c>
      <c r="AG94">
        <f>IF(AND(AE94&lt;&gt;"",AF94&lt;&gt;""),ROUNDUP((AF94-AE94)/7,0),"")</f>
        <v/>
      </c>
      <c r="AI94">
        <f>IFERROR(IF(AG94*AH94=0,"",AG94*AH94),"")</f>
        <v/>
      </c>
      <c r="AL94">
        <f>IF(AND(AJ94&lt;&gt;"",AK94&lt;&gt;""),ROUNDUP((AK94-AJ94)/7,0),"")</f>
        <v/>
      </c>
      <c r="AN94">
        <f>IFERROR(IF(AL94*AM94=0,"",AL94*AM94),"")</f>
        <v/>
      </c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L94">
        <f>IFERROR(INDEX('_names_lookup'!$C:$C,MATCH(BK94,'_names_lookup'!$A:$A,0)),"")</f>
        <v/>
      </c>
      <c r="BM94">
        <f>IFERROR(INDEX('_names_lookup'!$B:$B,MATCH(BK94,'_names_lookup'!$A:$A,0)),"")</f>
        <v/>
      </c>
      <c r="BS94">
        <f>IFERROR(IF(BR94*AA94=0,"",BR94*AA94),"")</f>
        <v/>
      </c>
    </row>
    <row r="95">
      <c r="O95">
        <f>IFERROR(INDEX('_courses_lookup'!$C:$C,MATCH(K95&amp;L95,'_courses_lookup'!$E:$E,0)),"")</f>
        <v/>
      </c>
      <c r="P95">
        <f>IFERROR(INDEX('_courses_lookup'!$D:$D,MATCH(K95&amp;L95,'_courses_lookup'!$E:$E,0)),"")</f>
        <v/>
      </c>
      <c r="AG95">
        <f>IF(AND(AE95&lt;&gt;"",AF95&lt;&gt;""),ROUNDUP((AF95-AE95)/7,0),"")</f>
        <v/>
      </c>
      <c r="AI95">
        <f>IFERROR(IF(AG95*AH95=0,"",AG95*AH95),"")</f>
        <v/>
      </c>
      <c r="AL95">
        <f>IF(AND(AJ95&lt;&gt;"",AK95&lt;&gt;""),ROUNDUP((AK95-AJ95)/7,0),"")</f>
        <v/>
      </c>
      <c r="AN95">
        <f>IFERROR(IF(AL95*AM95=0,"",AL95*AM95),"")</f>
        <v/>
      </c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L95">
        <f>IFERROR(INDEX('_names_lookup'!$C:$C,MATCH(BK95,'_names_lookup'!$A:$A,0)),"")</f>
        <v/>
      </c>
      <c r="BM95">
        <f>IFERROR(INDEX('_names_lookup'!$B:$B,MATCH(BK95,'_names_lookup'!$A:$A,0)),"")</f>
        <v/>
      </c>
      <c r="BS95">
        <f>IFERROR(IF(BR95*AA95=0,"",BR95*AA95),"")</f>
        <v/>
      </c>
    </row>
    <row r="96">
      <c r="O96">
        <f>IFERROR(INDEX('_courses_lookup'!$C:$C,MATCH(K96&amp;L96,'_courses_lookup'!$E:$E,0)),"")</f>
        <v/>
      </c>
      <c r="P96">
        <f>IFERROR(INDEX('_courses_lookup'!$D:$D,MATCH(K96&amp;L96,'_courses_lookup'!$E:$E,0)),"")</f>
        <v/>
      </c>
      <c r="AG96">
        <f>IF(AND(AE96&lt;&gt;"",AF96&lt;&gt;""),ROUNDUP((AF96-AE96)/7,0),"")</f>
        <v/>
      </c>
      <c r="AI96">
        <f>IFERROR(IF(AG96*AH96=0,"",AG96*AH96),"")</f>
        <v/>
      </c>
      <c r="AL96">
        <f>IF(AND(AJ96&lt;&gt;"",AK96&lt;&gt;""),ROUNDUP((AK96-AJ96)/7,0),"")</f>
        <v/>
      </c>
      <c r="AN96">
        <f>IFERROR(IF(AL96*AM96=0,"",AL96*AM96),"")</f>
        <v/>
      </c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L96">
        <f>IFERROR(INDEX('_names_lookup'!$C:$C,MATCH(BK96,'_names_lookup'!$A:$A,0)),"")</f>
        <v/>
      </c>
      <c r="BM96">
        <f>IFERROR(INDEX('_names_lookup'!$B:$B,MATCH(BK96,'_names_lookup'!$A:$A,0)),"")</f>
        <v/>
      </c>
      <c r="BS96">
        <f>IFERROR(IF(BR96*AA96=0,"",BR96*AA96),"")</f>
        <v/>
      </c>
    </row>
    <row r="97">
      <c r="O97">
        <f>IFERROR(INDEX('_courses_lookup'!$C:$C,MATCH(K97&amp;L97,'_courses_lookup'!$E:$E,0)),"")</f>
        <v/>
      </c>
      <c r="P97">
        <f>IFERROR(INDEX('_courses_lookup'!$D:$D,MATCH(K97&amp;L97,'_courses_lookup'!$E:$E,0)),"")</f>
        <v/>
      </c>
      <c r="AG97">
        <f>IF(AND(AE97&lt;&gt;"",AF97&lt;&gt;""),ROUNDUP((AF97-AE97)/7,0),"")</f>
        <v/>
      </c>
      <c r="AI97">
        <f>IFERROR(IF(AG97*AH97=0,"",AG97*AH97),"")</f>
        <v/>
      </c>
      <c r="AL97">
        <f>IF(AND(AJ97&lt;&gt;"",AK97&lt;&gt;""),ROUNDUP((AK97-AJ97)/7,0),"")</f>
        <v/>
      </c>
      <c r="AN97">
        <f>IFERROR(IF(AL97*AM97=0,"",AL97*AM97),"")</f>
        <v/>
      </c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L97">
        <f>IFERROR(INDEX('_names_lookup'!$C:$C,MATCH(BK97,'_names_lookup'!$A:$A,0)),"")</f>
        <v/>
      </c>
      <c r="BM97">
        <f>IFERROR(INDEX('_names_lookup'!$B:$B,MATCH(BK97,'_names_lookup'!$A:$A,0)),"")</f>
        <v/>
      </c>
      <c r="BS97">
        <f>IFERROR(IF(BR97*AA97=0,"",BR97*AA97),"")</f>
        <v/>
      </c>
    </row>
    <row r="98">
      <c r="O98">
        <f>IFERROR(INDEX('_courses_lookup'!$C:$C,MATCH(K98&amp;L98,'_courses_lookup'!$E:$E,0)),"")</f>
        <v/>
      </c>
      <c r="P98">
        <f>IFERROR(INDEX('_courses_lookup'!$D:$D,MATCH(K98&amp;L98,'_courses_lookup'!$E:$E,0)),"")</f>
        <v/>
      </c>
      <c r="AG98">
        <f>IF(AND(AE98&lt;&gt;"",AF98&lt;&gt;""),ROUNDUP((AF98-AE98)/7,0),"")</f>
        <v/>
      </c>
      <c r="AI98">
        <f>IFERROR(IF(AG98*AH98=0,"",AG98*AH98),"")</f>
        <v/>
      </c>
      <c r="AL98">
        <f>IF(AND(AJ98&lt;&gt;"",AK98&lt;&gt;""),ROUNDUP((AK98-AJ98)/7,0),"")</f>
        <v/>
      </c>
      <c r="AN98">
        <f>IFERROR(IF(AL98*AM98=0,"",AL98*AM98),"")</f>
        <v/>
      </c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L98">
        <f>IFERROR(INDEX('_names_lookup'!$C:$C,MATCH(BK98,'_names_lookup'!$A:$A,0)),"")</f>
        <v/>
      </c>
      <c r="BM98">
        <f>IFERROR(INDEX('_names_lookup'!$B:$B,MATCH(BK98,'_names_lookup'!$A:$A,0)),"")</f>
        <v/>
      </c>
      <c r="BS98">
        <f>IFERROR(IF(BR98*AA98=0,"",BR98*AA98),"")</f>
        <v/>
      </c>
    </row>
    <row r="99">
      <c r="O99">
        <f>IFERROR(INDEX('_courses_lookup'!$C:$C,MATCH(K99&amp;L99,'_courses_lookup'!$E:$E,0)),"")</f>
        <v/>
      </c>
      <c r="P99">
        <f>IFERROR(INDEX('_courses_lookup'!$D:$D,MATCH(K99&amp;L99,'_courses_lookup'!$E:$E,0)),"")</f>
        <v/>
      </c>
      <c r="AG99">
        <f>IF(AND(AE99&lt;&gt;"",AF99&lt;&gt;""),ROUNDUP((AF99-AE99)/7,0),"")</f>
        <v/>
      </c>
      <c r="AI99">
        <f>IFERROR(IF(AG99*AH99=0,"",AG99*AH99),"")</f>
        <v/>
      </c>
      <c r="AL99">
        <f>IF(AND(AJ99&lt;&gt;"",AK99&lt;&gt;""),ROUNDUP((AK99-AJ99)/7,0),"")</f>
        <v/>
      </c>
      <c r="AN99">
        <f>IFERROR(IF(AL99*AM99=0,"",AL99*AM99),"")</f>
        <v/>
      </c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L99">
        <f>IFERROR(INDEX('_names_lookup'!$C:$C,MATCH(BK99,'_names_lookup'!$A:$A,0)),"")</f>
        <v/>
      </c>
      <c r="BM99">
        <f>IFERROR(INDEX('_names_lookup'!$B:$B,MATCH(BK99,'_names_lookup'!$A:$A,0)),"")</f>
        <v/>
      </c>
      <c r="BS99">
        <f>IFERROR(IF(BR99*AA99=0,"",BR99*AA99),"")</f>
        <v/>
      </c>
    </row>
    <row r="100">
      <c r="O100">
        <f>IFERROR(INDEX('_courses_lookup'!$C:$C,MATCH(K100&amp;L100,'_courses_lookup'!$E:$E,0)),"")</f>
        <v/>
      </c>
      <c r="P100">
        <f>IFERROR(INDEX('_courses_lookup'!$D:$D,MATCH(K100&amp;L100,'_courses_lookup'!$E:$E,0)),"")</f>
        <v/>
      </c>
      <c r="AG100">
        <f>IF(AND(AE100&lt;&gt;"",AF100&lt;&gt;""),ROUNDUP((AF100-AE100)/7,0),"")</f>
        <v/>
      </c>
      <c r="AI100">
        <f>IFERROR(IF(AG100*AH100=0,"",AG100*AH100),"")</f>
        <v/>
      </c>
      <c r="AL100">
        <f>IF(AND(AJ100&lt;&gt;"",AK100&lt;&gt;""),ROUNDUP((AK100-AJ100)/7,0),"")</f>
        <v/>
      </c>
      <c r="AN100">
        <f>IFERROR(IF(AL100*AM100=0,"",AL100*AM100),"")</f>
        <v/>
      </c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L100">
        <f>IFERROR(INDEX('_names_lookup'!$C:$C,MATCH(BK100,'_names_lookup'!$A:$A,0)),"")</f>
        <v/>
      </c>
      <c r="BM100">
        <f>IFERROR(INDEX('_names_lookup'!$B:$B,MATCH(BK100,'_names_lookup'!$A:$A,0)),"")</f>
        <v/>
      </c>
      <c r="BS100">
        <f>IFERROR(IF(BR100*AA100=0,"",BR100*AA100),"")</f>
        <v/>
      </c>
    </row>
    <row r="101">
      <c r="O101">
        <f>IFERROR(INDEX('_courses_lookup'!$C:$C,MATCH(K101&amp;L101,'_courses_lookup'!$E:$E,0)),"")</f>
        <v/>
      </c>
      <c r="P101">
        <f>IFERROR(INDEX('_courses_lookup'!$D:$D,MATCH(K101&amp;L101,'_courses_lookup'!$E:$E,0)),"")</f>
        <v/>
      </c>
      <c r="AG101">
        <f>IF(AND(AE101&lt;&gt;"",AF101&lt;&gt;""),ROUNDUP((AF101-AE101)/7,0),"")</f>
        <v/>
      </c>
      <c r="AI101">
        <f>IFERROR(IF(AG101*AH101=0,"",AG101*AH101),"")</f>
        <v/>
      </c>
      <c r="AL101">
        <f>IF(AND(AJ101&lt;&gt;"",AK101&lt;&gt;""),ROUNDUP((AK101-AJ101)/7,0),"")</f>
        <v/>
      </c>
      <c r="AN101">
        <f>IFERROR(IF(AL101*AM101=0,"",AL101*AM101),"")</f>
        <v/>
      </c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L101">
        <f>IFERROR(INDEX('_names_lookup'!$C:$C,MATCH(BK101,'_names_lookup'!$A:$A,0)),"")</f>
        <v/>
      </c>
      <c r="BM101">
        <f>IFERROR(INDEX('_names_lookup'!$B:$B,MATCH(BK101,'_names_lookup'!$A:$A,0)),"")</f>
        <v/>
      </c>
      <c r="BS101">
        <f>IFERROR(IF(BR101*AA101=0,"",BR101*AA101),"")</f>
        <v/>
      </c>
    </row>
    <row r="102">
      <c r="O102">
        <f>IFERROR(INDEX('_courses_lookup'!$C:$C,MATCH(K102&amp;L102,'_courses_lookup'!$E:$E,0)),"")</f>
        <v/>
      </c>
      <c r="P102">
        <f>IFERROR(INDEX('_courses_lookup'!$D:$D,MATCH(K102&amp;L102,'_courses_lookup'!$E:$E,0)),"")</f>
        <v/>
      </c>
      <c r="AG102">
        <f>IF(AND(AE102&lt;&gt;"",AF102&lt;&gt;""),ROUNDUP((AF102-AE102)/7,0),"")</f>
        <v/>
      </c>
      <c r="AI102">
        <f>IFERROR(IF(AG102*AH102=0,"",AG102*AH102),"")</f>
        <v/>
      </c>
      <c r="AL102">
        <f>IF(AND(AJ102&lt;&gt;"",AK102&lt;&gt;""),ROUNDUP((AK102-AJ102)/7,0),"")</f>
        <v/>
      </c>
      <c r="AN102">
        <f>IFERROR(IF(AL102*AM102=0,"",AL102*AM102),"")</f>
        <v/>
      </c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L102">
        <f>IFERROR(INDEX('_names_lookup'!$C:$C,MATCH(BK102,'_names_lookup'!$A:$A,0)),"")</f>
        <v/>
      </c>
      <c r="BM102">
        <f>IFERROR(INDEX('_names_lookup'!$B:$B,MATCH(BK102,'_names_lookup'!$A:$A,0)),"")</f>
        <v/>
      </c>
      <c r="BS102">
        <f>IFERROR(IF(BR102*AA102=0,"",BR102*AA102),"")</f>
        <v/>
      </c>
    </row>
    <row r="103">
      <c r="O103">
        <f>IFERROR(INDEX('_courses_lookup'!$C:$C,MATCH(K103&amp;L103,'_courses_lookup'!$E:$E,0)),"")</f>
        <v/>
      </c>
      <c r="P103">
        <f>IFERROR(INDEX('_courses_lookup'!$D:$D,MATCH(K103&amp;L103,'_courses_lookup'!$E:$E,0)),"")</f>
        <v/>
      </c>
      <c r="AG103">
        <f>IF(AND(AE103&lt;&gt;"",AF103&lt;&gt;""),ROUNDUP((AF103-AE103)/7,0),"")</f>
        <v/>
      </c>
      <c r="AI103">
        <f>IFERROR(IF(AG103*AH103=0,"",AG103*AH103),"")</f>
        <v/>
      </c>
      <c r="AL103">
        <f>IF(AND(AJ103&lt;&gt;"",AK103&lt;&gt;""),ROUNDUP((AK103-AJ103)/7,0),"")</f>
        <v/>
      </c>
      <c r="AN103">
        <f>IFERROR(IF(AL103*AM103=0,"",AL103*AM103),"")</f>
        <v/>
      </c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L103">
        <f>IFERROR(INDEX('_names_lookup'!$C:$C,MATCH(BK103,'_names_lookup'!$A:$A,0)),"")</f>
        <v/>
      </c>
      <c r="BM103">
        <f>IFERROR(INDEX('_names_lookup'!$B:$B,MATCH(BK103,'_names_lookup'!$A:$A,0)),"")</f>
        <v/>
      </c>
      <c r="BS103">
        <f>IFERROR(IF(BR103*AA103=0,"",BR103*AA103),"")</f>
        <v/>
      </c>
    </row>
    <row r="104">
      <c r="O104">
        <f>IFERROR(INDEX('_courses_lookup'!$C:$C,MATCH(K104&amp;L104,'_courses_lookup'!$E:$E,0)),"")</f>
        <v/>
      </c>
      <c r="P104">
        <f>IFERROR(INDEX('_courses_lookup'!$D:$D,MATCH(K104&amp;L104,'_courses_lookup'!$E:$E,0)),"")</f>
        <v/>
      </c>
      <c r="AG104">
        <f>IF(AND(AE104&lt;&gt;"",AF104&lt;&gt;""),ROUNDUP((AF104-AE104)/7,0),"")</f>
        <v/>
      </c>
      <c r="AI104">
        <f>IFERROR(IF(AG104*AH104=0,"",AG104*AH104),"")</f>
        <v/>
      </c>
      <c r="AL104">
        <f>IF(AND(AJ104&lt;&gt;"",AK104&lt;&gt;""),ROUNDUP((AK104-AJ104)/7,0),"")</f>
        <v/>
      </c>
      <c r="AN104">
        <f>IFERROR(IF(AL104*AM104=0,"",AL104*AM104),"")</f>
        <v/>
      </c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L104">
        <f>IFERROR(INDEX('_names_lookup'!$C:$C,MATCH(BK104,'_names_lookup'!$A:$A,0)),"")</f>
        <v/>
      </c>
      <c r="BM104">
        <f>IFERROR(INDEX('_names_lookup'!$B:$B,MATCH(BK104,'_names_lookup'!$A:$A,0)),"")</f>
        <v/>
      </c>
      <c r="BS104">
        <f>IFERROR(IF(BR104*AA104=0,"",BR104*AA104),"")</f>
        <v/>
      </c>
    </row>
    <row r="105">
      <c r="O105">
        <f>IFERROR(INDEX('_courses_lookup'!$C:$C,MATCH(K105&amp;L105,'_courses_lookup'!$E:$E,0)),"")</f>
        <v/>
      </c>
      <c r="P105">
        <f>IFERROR(INDEX('_courses_lookup'!$D:$D,MATCH(K105&amp;L105,'_courses_lookup'!$E:$E,0)),"")</f>
        <v/>
      </c>
      <c r="AG105">
        <f>IF(AND(AE105&lt;&gt;"",AF105&lt;&gt;""),ROUNDUP((AF105-AE105)/7,0),"")</f>
        <v/>
      </c>
      <c r="AI105">
        <f>IFERROR(IF(AG105*AH105=0,"",AG105*AH105),"")</f>
        <v/>
      </c>
      <c r="AL105">
        <f>IF(AND(AJ105&lt;&gt;"",AK105&lt;&gt;""),ROUNDUP((AK105-AJ105)/7,0),"")</f>
        <v/>
      </c>
      <c r="AN105">
        <f>IFERROR(IF(AL105*AM105=0,"",AL105*AM105),"")</f>
        <v/>
      </c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L105">
        <f>IFERROR(INDEX('_names_lookup'!$C:$C,MATCH(BK105,'_names_lookup'!$A:$A,0)),"")</f>
        <v/>
      </c>
      <c r="BM105">
        <f>IFERROR(INDEX('_names_lookup'!$B:$B,MATCH(BK105,'_names_lookup'!$A:$A,0)),"")</f>
        <v/>
      </c>
      <c r="BS105">
        <f>IFERROR(IF(BR105*AA105=0,"",BR105*AA105),"")</f>
        <v/>
      </c>
    </row>
    <row r="106">
      <c r="O106">
        <f>IFERROR(INDEX('_courses_lookup'!$C:$C,MATCH(K106&amp;L106,'_courses_lookup'!$E:$E,0)),"")</f>
        <v/>
      </c>
      <c r="P106">
        <f>IFERROR(INDEX('_courses_lookup'!$D:$D,MATCH(K106&amp;L106,'_courses_lookup'!$E:$E,0)),"")</f>
        <v/>
      </c>
      <c r="AG106">
        <f>IF(AND(AE106&lt;&gt;"",AF106&lt;&gt;""),ROUNDUP((AF106-AE106)/7,0),"")</f>
        <v/>
      </c>
      <c r="AI106">
        <f>IFERROR(IF(AG106*AH106=0,"",AG106*AH106),"")</f>
        <v/>
      </c>
      <c r="AL106">
        <f>IF(AND(AJ106&lt;&gt;"",AK106&lt;&gt;""),ROUNDUP((AK106-AJ106)/7,0),"")</f>
        <v/>
      </c>
      <c r="AN106">
        <f>IFERROR(IF(AL106*AM106=0,"",AL106*AM106),"")</f>
        <v/>
      </c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L106">
        <f>IFERROR(INDEX('_names_lookup'!$C:$C,MATCH(BK106,'_names_lookup'!$A:$A,0)),"")</f>
        <v/>
      </c>
      <c r="BM106">
        <f>IFERROR(INDEX('_names_lookup'!$B:$B,MATCH(BK106,'_names_lookup'!$A:$A,0)),"")</f>
        <v/>
      </c>
      <c r="BS106">
        <f>IFERROR(IF(BR106*AA106=0,"",BR106*AA106),"")</f>
        <v/>
      </c>
    </row>
    <row r="107">
      <c r="O107">
        <f>IFERROR(INDEX('_courses_lookup'!$C:$C,MATCH(K107&amp;L107,'_courses_lookup'!$E:$E,0)),"")</f>
        <v/>
      </c>
      <c r="P107">
        <f>IFERROR(INDEX('_courses_lookup'!$D:$D,MATCH(K107&amp;L107,'_courses_lookup'!$E:$E,0)),"")</f>
        <v/>
      </c>
      <c r="AG107">
        <f>IF(AND(AE107&lt;&gt;"",AF107&lt;&gt;""),ROUNDUP((AF107-AE107)/7,0),"")</f>
        <v/>
      </c>
      <c r="AI107">
        <f>IFERROR(IF(AG107*AH107=0,"",AG107*AH107),"")</f>
        <v/>
      </c>
      <c r="AL107">
        <f>IF(AND(AJ107&lt;&gt;"",AK107&lt;&gt;""),ROUNDUP((AK107-AJ107)/7,0),"")</f>
        <v/>
      </c>
      <c r="AN107">
        <f>IFERROR(IF(AL107*AM107=0,"",AL107*AM107),"")</f>
        <v/>
      </c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L107">
        <f>IFERROR(INDEX('_names_lookup'!$C:$C,MATCH(BK107,'_names_lookup'!$A:$A,0)),"")</f>
        <v/>
      </c>
      <c r="BM107">
        <f>IFERROR(INDEX('_names_lookup'!$B:$B,MATCH(BK107,'_names_lookup'!$A:$A,0)),"")</f>
        <v/>
      </c>
      <c r="BS107">
        <f>IFERROR(IF(BR107*AA107=0,"",BR107*AA107),"")</f>
        <v/>
      </c>
    </row>
    <row r="108">
      <c r="O108">
        <f>IFERROR(INDEX('_courses_lookup'!$C:$C,MATCH(K108&amp;L108,'_courses_lookup'!$E:$E,0)),"")</f>
        <v/>
      </c>
      <c r="P108">
        <f>IFERROR(INDEX('_courses_lookup'!$D:$D,MATCH(K108&amp;L108,'_courses_lookup'!$E:$E,0)),"")</f>
        <v/>
      </c>
      <c r="AG108">
        <f>IF(AND(AE108&lt;&gt;"",AF108&lt;&gt;""),ROUNDUP((AF108-AE108)/7,0),"")</f>
        <v/>
      </c>
      <c r="AI108">
        <f>IFERROR(IF(AG108*AH108=0,"",AG108*AH108),"")</f>
        <v/>
      </c>
      <c r="AL108">
        <f>IF(AND(AJ108&lt;&gt;"",AK108&lt;&gt;""),ROUNDUP((AK108-AJ108)/7,0),"")</f>
        <v/>
      </c>
      <c r="AN108">
        <f>IFERROR(IF(AL108*AM108=0,"",AL108*AM108),"")</f>
        <v/>
      </c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L108">
        <f>IFERROR(INDEX('_names_lookup'!$C:$C,MATCH(BK108,'_names_lookup'!$A:$A,0)),"")</f>
        <v/>
      </c>
      <c r="BM108">
        <f>IFERROR(INDEX('_names_lookup'!$B:$B,MATCH(BK108,'_names_lookup'!$A:$A,0)),"")</f>
        <v/>
      </c>
      <c r="BS108">
        <f>IFERROR(IF(BR108*AA108=0,"",BR108*AA108),"")</f>
        <v/>
      </c>
    </row>
    <row r="109">
      <c r="O109">
        <f>IFERROR(INDEX('_courses_lookup'!$C:$C,MATCH(K109&amp;L109,'_courses_lookup'!$E:$E,0)),"")</f>
        <v/>
      </c>
      <c r="P109">
        <f>IFERROR(INDEX('_courses_lookup'!$D:$D,MATCH(K109&amp;L109,'_courses_lookup'!$E:$E,0)),"")</f>
        <v/>
      </c>
      <c r="AG109">
        <f>IF(AND(AE109&lt;&gt;"",AF109&lt;&gt;""),ROUNDUP((AF109-AE109)/7,0),"")</f>
        <v/>
      </c>
      <c r="AI109">
        <f>IFERROR(IF(AG109*AH109=0,"",AG109*AH109),"")</f>
        <v/>
      </c>
      <c r="AL109">
        <f>IF(AND(AJ109&lt;&gt;"",AK109&lt;&gt;""),ROUNDUP((AK109-AJ109)/7,0),"")</f>
        <v/>
      </c>
      <c r="AN109">
        <f>IFERROR(IF(AL109*AM109=0,"",AL109*AM109),"")</f>
        <v/>
      </c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L109">
        <f>IFERROR(INDEX('_names_lookup'!$C:$C,MATCH(BK109,'_names_lookup'!$A:$A,0)),"")</f>
        <v/>
      </c>
      <c r="BM109">
        <f>IFERROR(INDEX('_names_lookup'!$B:$B,MATCH(BK109,'_names_lookup'!$A:$A,0)),"")</f>
        <v/>
      </c>
      <c r="BS109">
        <f>IFERROR(IF(BR109*AA109=0,"",BR109*AA109),"")</f>
        <v/>
      </c>
    </row>
    <row r="110">
      <c r="O110">
        <f>IFERROR(INDEX('_courses_lookup'!$C:$C,MATCH(K110&amp;L110,'_courses_lookup'!$E:$E,0)),"")</f>
        <v/>
      </c>
      <c r="P110">
        <f>IFERROR(INDEX('_courses_lookup'!$D:$D,MATCH(K110&amp;L110,'_courses_lookup'!$E:$E,0)),"")</f>
        <v/>
      </c>
      <c r="AG110">
        <f>IF(AND(AE110&lt;&gt;"",AF110&lt;&gt;""),ROUNDUP((AF110-AE110)/7,0),"")</f>
        <v/>
      </c>
      <c r="AI110">
        <f>IFERROR(IF(AG110*AH110=0,"",AG110*AH110),"")</f>
        <v/>
      </c>
      <c r="AL110">
        <f>IF(AND(AJ110&lt;&gt;"",AK110&lt;&gt;""),ROUNDUP((AK110-AJ110)/7,0),"")</f>
        <v/>
      </c>
      <c r="AN110">
        <f>IFERROR(IF(AL110*AM110=0,"",AL110*AM110),"")</f>
        <v/>
      </c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L110">
        <f>IFERROR(INDEX('_names_lookup'!$C:$C,MATCH(BK110,'_names_lookup'!$A:$A,0)),"")</f>
        <v/>
      </c>
      <c r="BM110">
        <f>IFERROR(INDEX('_names_lookup'!$B:$B,MATCH(BK110,'_names_lookup'!$A:$A,0)),"")</f>
        <v/>
      </c>
      <c r="BS110">
        <f>IFERROR(IF(BR110*AA110=0,"",BR110*AA110),"")</f>
        <v/>
      </c>
    </row>
    <row r="111">
      <c r="O111">
        <f>IFERROR(INDEX('_courses_lookup'!$C:$C,MATCH(K111&amp;L111,'_courses_lookup'!$E:$E,0)),"")</f>
        <v/>
      </c>
      <c r="P111">
        <f>IFERROR(INDEX('_courses_lookup'!$D:$D,MATCH(K111&amp;L111,'_courses_lookup'!$E:$E,0)),"")</f>
        <v/>
      </c>
      <c r="AG111">
        <f>IF(AND(AE111&lt;&gt;"",AF111&lt;&gt;""),ROUNDUP((AF111-AE111)/7,0),"")</f>
        <v/>
      </c>
      <c r="AI111">
        <f>IFERROR(IF(AG111*AH111=0,"",AG111*AH111),"")</f>
        <v/>
      </c>
      <c r="AL111">
        <f>IF(AND(AJ111&lt;&gt;"",AK111&lt;&gt;""),ROUNDUP((AK111-AJ111)/7,0),"")</f>
        <v/>
      </c>
      <c r="AN111">
        <f>IFERROR(IF(AL111*AM111=0,"",AL111*AM111),"")</f>
        <v/>
      </c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L111">
        <f>IFERROR(INDEX('_names_lookup'!$C:$C,MATCH(BK111,'_names_lookup'!$A:$A,0)),"")</f>
        <v/>
      </c>
      <c r="BM111">
        <f>IFERROR(INDEX('_names_lookup'!$B:$B,MATCH(BK111,'_names_lookup'!$A:$A,0)),"")</f>
        <v/>
      </c>
      <c r="BS111">
        <f>IFERROR(IF(BR111*AA111=0,"",BR111*AA111),"")</f>
        <v/>
      </c>
    </row>
    <row r="112">
      <c r="O112">
        <f>IFERROR(INDEX('_courses_lookup'!$C:$C,MATCH(K112&amp;L112,'_courses_lookup'!$E:$E,0)),"")</f>
        <v/>
      </c>
      <c r="P112">
        <f>IFERROR(INDEX('_courses_lookup'!$D:$D,MATCH(K112&amp;L112,'_courses_lookup'!$E:$E,0)),"")</f>
        <v/>
      </c>
      <c r="AG112">
        <f>IF(AND(AE112&lt;&gt;"",AF112&lt;&gt;""),ROUNDUP((AF112-AE112)/7,0),"")</f>
        <v/>
      </c>
      <c r="AI112">
        <f>IFERROR(IF(AG112*AH112=0,"",AG112*AH112),"")</f>
        <v/>
      </c>
      <c r="AL112">
        <f>IF(AND(AJ112&lt;&gt;"",AK112&lt;&gt;""),ROUNDUP((AK112-AJ112)/7,0),"")</f>
        <v/>
      </c>
      <c r="AN112">
        <f>IFERROR(IF(AL112*AM112=0,"",AL112*AM112),"")</f>
        <v/>
      </c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L112">
        <f>IFERROR(INDEX('_names_lookup'!$C:$C,MATCH(BK112,'_names_lookup'!$A:$A,0)),"")</f>
        <v/>
      </c>
      <c r="BM112">
        <f>IFERROR(INDEX('_names_lookup'!$B:$B,MATCH(BK112,'_names_lookup'!$A:$A,0)),"")</f>
        <v/>
      </c>
      <c r="BS112">
        <f>IFERROR(IF(BR112*AA112=0,"",BR112*AA112),"")</f>
        <v/>
      </c>
    </row>
    <row r="113">
      <c r="O113">
        <f>IFERROR(INDEX('_courses_lookup'!$C:$C,MATCH(K113&amp;L113,'_courses_lookup'!$E:$E,0)),"")</f>
        <v/>
      </c>
      <c r="P113">
        <f>IFERROR(INDEX('_courses_lookup'!$D:$D,MATCH(K113&amp;L113,'_courses_lookup'!$E:$E,0)),"")</f>
        <v/>
      </c>
      <c r="AG113">
        <f>IF(AND(AE113&lt;&gt;"",AF113&lt;&gt;""),ROUNDUP((AF113-AE113)/7,0),"")</f>
        <v/>
      </c>
      <c r="AI113">
        <f>IFERROR(IF(AG113*AH113=0,"",AG113*AH113),"")</f>
        <v/>
      </c>
      <c r="AL113">
        <f>IF(AND(AJ113&lt;&gt;"",AK113&lt;&gt;""),ROUNDUP((AK113-AJ113)/7,0),"")</f>
        <v/>
      </c>
      <c r="AN113">
        <f>IFERROR(IF(AL113*AM113=0,"",AL113*AM113),"")</f>
        <v/>
      </c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L113">
        <f>IFERROR(INDEX('_names_lookup'!$C:$C,MATCH(BK113,'_names_lookup'!$A:$A,0)),"")</f>
        <v/>
      </c>
      <c r="BM113">
        <f>IFERROR(INDEX('_names_lookup'!$B:$B,MATCH(BK113,'_names_lookup'!$A:$A,0)),"")</f>
        <v/>
      </c>
      <c r="BS113">
        <f>IFERROR(IF(BR113*AA113=0,"",BR113*AA113),"")</f>
        <v/>
      </c>
    </row>
    <row r="114">
      <c r="O114">
        <f>IFERROR(INDEX('_courses_lookup'!$C:$C,MATCH(K114&amp;L114,'_courses_lookup'!$E:$E,0)),"")</f>
        <v/>
      </c>
      <c r="P114">
        <f>IFERROR(INDEX('_courses_lookup'!$D:$D,MATCH(K114&amp;L114,'_courses_lookup'!$E:$E,0)),"")</f>
        <v/>
      </c>
      <c r="AG114">
        <f>IF(AND(AE114&lt;&gt;"",AF114&lt;&gt;""),ROUNDUP((AF114-AE114)/7,0),"")</f>
        <v/>
      </c>
      <c r="AI114">
        <f>IFERROR(IF(AG114*AH114=0,"",AG114*AH114),"")</f>
        <v/>
      </c>
      <c r="AL114">
        <f>IF(AND(AJ114&lt;&gt;"",AK114&lt;&gt;""),ROUNDUP((AK114-AJ114)/7,0),"")</f>
        <v/>
      </c>
      <c r="AN114">
        <f>IFERROR(IF(AL114*AM114=0,"",AL114*AM114),"")</f>
        <v/>
      </c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L114">
        <f>IFERROR(INDEX('_names_lookup'!$C:$C,MATCH(BK114,'_names_lookup'!$A:$A,0)),"")</f>
        <v/>
      </c>
      <c r="BM114">
        <f>IFERROR(INDEX('_names_lookup'!$B:$B,MATCH(BK114,'_names_lookup'!$A:$A,0)),"")</f>
        <v/>
      </c>
      <c r="BS114">
        <f>IFERROR(IF(BR114*AA114=0,"",BR114*AA114),"")</f>
        <v/>
      </c>
    </row>
    <row r="115">
      <c r="O115">
        <f>IFERROR(INDEX('_courses_lookup'!$C:$C,MATCH(K115&amp;L115,'_courses_lookup'!$E:$E,0)),"")</f>
        <v/>
      </c>
      <c r="P115">
        <f>IFERROR(INDEX('_courses_lookup'!$D:$D,MATCH(K115&amp;L115,'_courses_lookup'!$E:$E,0)),"")</f>
        <v/>
      </c>
      <c r="AG115">
        <f>IF(AND(AE115&lt;&gt;"",AF115&lt;&gt;""),ROUNDUP((AF115-AE115)/7,0),"")</f>
        <v/>
      </c>
      <c r="AI115">
        <f>IFERROR(IF(AG115*AH115=0,"",AG115*AH115),"")</f>
        <v/>
      </c>
      <c r="AL115">
        <f>IF(AND(AJ115&lt;&gt;"",AK115&lt;&gt;""),ROUNDUP((AK115-AJ115)/7,0),"")</f>
        <v/>
      </c>
      <c r="AN115">
        <f>IFERROR(IF(AL115*AM115=0,"",AL115*AM115),"")</f>
        <v/>
      </c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L115">
        <f>IFERROR(INDEX('_names_lookup'!$C:$C,MATCH(BK115,'_names_lookup'!$A:$A,0)),"")</f>
        <v/>
      </c>
      <c r="BM115">
        <f>IFERROR(INDEX('_names_lookup'!$B:$B,MATCH(BK115,'_names_lookup'!$A:$A,0)),"")</f>
        <v/>
      </c>
      <c r="BS115">
        <f>IFERROR(IF(BR115*AA115=0,"",BR115*AA115),"")</f>
        <v/>
      </c>
    </row>
    <row r="116">
      <c r="O116">
        <f>IFERROR(INDEX('_courses_lookup'!$C:$C,MATCH(K116&amp;L116,'_courses_lookup'!$E:$E,0)),"")</f>
        <v/>
      </c>
      <c r="P116">
        <f>IFERROR(INDEX('_courses_lookup'!$D:$D,MATCH(K116&amp;L116,'_courses_lookup'!$E:$E,0)),"")</f>
        <v/>
      </c>
      <c r="AG116">
        <f>IF(AND(AE116&lt;&gt;"",AF116&lt;&gt;""),ROUNDUP((AF116-AE116)/7,0),"")</f>
        <v/>
      </c>
      <c r="AI116">
        <f>IFERROR(IF(AG116*AH116=0,"",AG116*AH116),"")</f>
        <v/>
      </c>
      <c r="AL116">
        <f>IF(AND(AJ116&lt;&gt;"",AK116&lt;&gt;""),ROUNDUP((AK116-AJ116)/7,0),"")</f>
        <v/>
      </c>
      <c r="AN116">
        <f>IFERROR(IF(AL116*AM116=0,"",AL116*AM116),"")</f>
        <v/>
      </c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L116">
        <f>IFERROR(INDEX('_names_lookup'!$C:$C,MATCH(BK116,'_names_lookup'!$A:$A,0)),"")</f>
        <v/>
      </c>
      <c r="BM116">
        <f>IFERROR(INDEX('_names_lookup'!$B:$B,MATCH(BK116,'_names_lookup'!$A:$A,0)),"")</f>
        <v/>
      </c>
      <c r="BS116">
        <f>IFERROR(IF(BR116*AA116=0,"",BR116*AA116),"")</f>
        <v/>
      </c>
    </row>
    <row r="117">
      <c r="O117">
        <f>IFERROR(INDEX('_courses_lookup'!$C:$C,MATCH(K117&amp;L117,'_courses_lookup'!$E:$E,0)),"")</f>
        <v/>
      </c>
      <c r="P117">
        <f>IFERROR(INDEX('_courses_lookup'!$D:$D,MATCH(K117&amp;L117,'_courses_lookup'!$E:$E,0)),"")</f>
        <v/>
      </c>
      <c r="AG117">
        <f>IF(AND(AE117&lt;&gt;"",AF117&lt;&gt;""),ROUNDUP((AF117-AE117)/7,0),"")</f>
        <v/>
      </c>
      <c r="AI117">
        <f>IFERROR(IF(AG117*AH117=0,"",AG117*AH117),"")</f>
        <v/>
      </c>
      <c r="AL117">
        <f>IF(AND(AJ117&lt;&gt;"",AK117&lt;&gt;""),ROUNDUP((AK117-AJ117)/7,0),"")</f>
        <v/>
      </c>
      <c r="AN117">
        <f>IFERROR(IF(AL117*AM117=0,"",AL117*AM117),"")</f>
        <v/>
      </c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L117">
        <f>IFERROR(INDEX('_names_lookup'!$C:$C,MATCH(BK117,'_names_lookup'!$A:$A,0)),"")</f>
        <v/>
      </c>
      <c r="BM117">
        <f>IFERROR(INDEX('_names_lookup'!$B:$B,MATCH(BK117,'_names_lookup'!$A:$A,0)),"")</f>
        <v/>
      </c>
      <c r="BS117">
        <f>IFERROR(IF(BR117*AA117=0,"",BR117*AA117),"")</f>
        <v/>
      </c>
    </row>
    <row r="118">
      <c r="O118">
        <f>IFERROR(INDEX('_courses_lookup'!$C:$C,MATCH(K118&amp;L118,'_courses_lookup'!$E:$E,0)),"")</f>
        <v/>
      </c>
      <c r="P118">
        <f>IFERROR(INDEX('_courses_lookup'!$D:$D,MATCH(K118&amp;L118,'_courses_lookup'!$E:$E,0)),"")</f>
        <v/>
      </c>
      <c r="AG118">
        <f>IF(AND(AE118&lt;&gt;"",AF118&lt;&gt;""),ROUNDUP((AF118-AE118)/7,0),"")</f>
        <v/>
      </c>
      <c r="AI118">
        <f>IFERROR(IF(AG118*AH118=0,"",AG118*AH118),"")</f>
        <v/>
      </c>
      <c r="AL118">
        <f>IF(AND(AJ118&lt;&gt;"",AK118&lt;&gt;""),ROUNDUP((AK118-AJ118)/7,0),"")</f>
        <v/>
      </c>
      <c r="AN118">
        <f>IFERROR(IF(AL118*AM118=0,"",AL118*AM118),"")</f>
        <v/>
      </c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L118">
        <f>IFERROR(INDEX('_names_lookup'!$C:$C,MATCH(BK118,'_names_lookup'!$A:$A,0)),"")</f>
        <v/>
      </c>
      <c r="BM118">
        <f>IFERROR(INDEX('_names_lookup'!$B:$B,MATCH(BK118,'_names_lookup'!$A:$A,0)),"")</f>
        <v/>
      </c>
      <c r="BS118">
        <f>IFERROR(IF(BR118*AA118=0,"",BR118*AA118),"")</f>
        <v/>
      </c>
    </row>
    <row r="119">
      <c r="O119">
        <f>IFERROR(INDEX('_courses_lookup'!$C:$C,MATCH(K119&amp;L119,'_courses_lookup'!$E:$E,0)),"")</f>
        <v/>
      </c>
      <c r="P119">
        <f>IFERROR(INDEX('_courses_lookup'!$D:$D,MATCH(K119&amp;L119,'_courses_lookup'!$E:$E,0)),"")</f>
        <v/>
      </c>
      <c r="AG119">
        <f>IF(AND(AE119&lt;&gt;"",AF119&lt;&gt;""),ROUNDUP((AF119-AE119)/7,0),"")</f>
        <v/>
      </c>
      <c r="AI119">
        <f>IFERROR(IF(AG119*AH119=0,"",AG119*AH119),"")</f>
        <v/>
      </c>
      <c r="AL119">
        <f>IF(AND(AJ119&lt;&gt;"",AK119&lt;&gt;""),ROUNDUP((AK119-AJ119)/7,0),"")</f>
        <v/>
      </c>
      <c r="AN119">
        <f>IFERROR(IF(AL119*AM119=0,"",AL119*AM119),"")</f>
        <v/>
      </c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L119">
        <f>IFERROR(INDEX('_names_lookup'!$C:$C,MATCH(BK119,'_names_lookup'!$A:$A,0)),"")</f>
        <v/>
      </c>
      <c r="BM119">
        <f>IFERROR(INDEX('_names_lookup'!$B:$B,MATCH(BK119,'_names_lookup'!$A:$A,0)),"")</f>
        <v/>
      </c>
      <c r="BS119">
        <f>IFERROR(IF(BR119*AA119=0,"",BR119*AA119),"")</f>
        <v/>
      </c>
    </row>
    <row r="120">
      <c r="O120">
        <f>IFERROR(INDEX('_courses_lookup'!$C:$C,MATCH(K120&amp;L120,'_courses_lookup'!$E:$E,0)),"")</f>
        <v/>
      </c>
      <c r="P120">
        <f>IFERROR(INDEX('_courses_lookup'!$D:$D,MATCH(K120&amp;L120,'_courses_lookup'!$E:$E,0)),"")</f>
        <v/>
      </c>
      <c r="AG120">
        <f>IF(AND(AE120&lt;&gt;"",AF120&lt;&gt;""),ROUNDUP((AF120-AE120)/7,0),"")</f>
        <v/>
      </c>
      <c r="AI120">
        <f>IFERROR(IF(AG120*AH120=0,"",AG120*AH120),"")</f>
        <v/>
      </c>
      <c r="AL120">
        <f>IF(AND(AJ120&lt;&gt;"",AK120&lt;&gt;""),ROUNDUP((AK120-AJ120)/7,0),"")</f>
        <v/>
      </c>
      <c r="AN120">
        <f>IFERROR(IF(AL120*AM120=0,"",AL120*AM120),"")</f>
        <v/>
      </c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L120">
        <f>IFERROR(INDEX('_names_lookup'!$C:$C,MATCH(BK120,'_names_lookup'!$A:$A,0)),"")</f>
        <v/>
      </c>
      <c r="BM120">
        <f>IFERROR(INDEX('_names_lookup'!$B:$B,MATCH(BK120,'_names_lookup'!$A:$A,0)),"")</f>
        <v/>
      </c>
      <c r="BS120">
        <f>IFERROR(IF(BR120*AA120=0,"",BR120*AA120),"")</f>
        <v/>
      </c>
    </row>
    <row r="121">
      <c r="O121">
        <f>IFERROR(INDEX('_courses_lookup'!$C:$C,MATCH(K121&amp;L121,'_courses_lookup'!$E:$E,0)),"")</f>
        <v/>
      </c>
      <c r="P121">
        <f>IFERROR(INDEX('_courses_lookup'!$D:$D,MATCH(K121&amp;L121,'_courses_lookup'!$E:$E,0)),"")</f>
        <v/>
      </c>
      <c r="AG121">
        <f>IF(AND(AE121&lt;&gt;"",AF121&lt;&gt;""),ROUNDUP((AF121-AE121)/7,0),"")</f>
        <v/>
      </c>
      <c r="AI121">
        <f>IFERROR(IF(AG121*AH121=0,"",AG121*AH121),"")</f>
        <v/>
      </c>
      <c r="AL121">
        <f>IF(AND(AJ121&lt;&gt;"",AK121&lt;&gt;""),ROUNDUP((AK121-AJ121)/7,0),"")</f>
        <v/>
      </c>
      <c r="AN121">
        <f>IFERROR(IF(AL121*AM121=0,"",AL121*AM121),"")</f>
        <v/>
      </c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L121">
        <f>IFERROR(INDEX('_names_lookup'!$C:$C,MATCH(BK121,'_names_lookup'!$A:$A,0)),"")</f>
        <v/>
      </c>
      <c r="BM121">
        <f>IFERROR(INDEX('_names_lookup'!$B:$B,MATCH(BK121,'_names_lookup'!$A:$A,0)),"")</f>
        <v/>
      </c>
      <c r="BS121">
        <f>IFERROR(IF(BR121*AA121=0,"",BR121*AA121),"")</f>
        <v/>
      </c>
    </row>
    <row r="122">
      <c r="O122">
        <f>IFERROR(INDEX('_courses_lookup'!$C:$C,MATCH(K122&amp;L122,'_courses_lookup'!$E:$E,0)),"")</f>
        <v/>
      </c>
      <c r="P122">
        <f>IFERROR(INDEX('_courses_lookup'!$D:$D,MATCH(K122&amp;L122,'_courses_lookup'!$E:$E,0)),"")</f>
        <v/>
      </c>
      <c r="AG122">
        <f>IF(AND(AE122&lt;&gt;"",AF122&lt;&gt;""),ROUNDUP((AF122-AE122)/7,0),"")</f>
        <v/>
      </c>
      <c r="AI122">
        <f>IFERROR(IF(AG122*AH122=0,"",AG122*AH122),"")</f>
        <v/>
      </c>
      <c r="AL122">
        <f>IF(AND(AJ122&lt;&gt;"",AK122&lt;&gt;""),ROUNDUP((AK122-AJ122)/7,0),"")</f>
        <v/>
      </c>
      <c r="AN122">
        <f>IFERROR(IF(AL122*AM122=0,"",AL122*AM122),"")</f>
        <v/>
      </c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L122">
        <f>IFERROR(INDEX('_names_lookup'!$C:$C,MATCH(BK122,'_names_lookup'!$A:$A,0)),"")</f>
        <v/>
      </c>
      <c r="BM122">
        <f>IFERROR(INDEX('_names_lookup'!$B:$B,MATCH(BK122,'_names_lookup'!$A:$A,0)),"")</f>
        <v/>
      </c>
      <c r="BS122">
        <f>IFERROR(IF(BR122*AA122=0,"",BR122*AA122),"")</f>
        <v/>
      </c>
    </row>
    <row r="123">
      <c r="O123">
        <f>IFERROR(INDEX('_courses_lookup'!$C:$C,MATCH(K123&amp;L123,'_courses_lookup'!$E:$E,0)),"")</f>
        <v/>
      </c>
      <c r="P123">
        <f>IFERROR(INDEX('_courses_lookup'!$D:$D,MATCH(K123&amp;L123,'_courses_lookup'!$E:$E,0)),"")</f>
        <v/>
      </c>
      <c r="AG123">
        <f>IF(AND(AE123&lt;&gt;"",AF123&lt;&gt;""),ROUNDUP((AF123-AE123)/7,0),"")</f>
        <v/>
      </c>
      <c r="AI123">
        <f>IFERROR(IF(AG123*AH123=0,"",AG123*AH123),"")</f>
        <v/>
      </c>
      <c r="AL123">
        <f>IF(AND(AJ123&lt;&gt;"",AK123&lt;&gt;""),ROUNDUP((AK123-AJ123)/7,0),"")</f>
        <v/>
      </c>
      <c r="AN123">
        <f>IFERROR(IF(AL123*AM123=0,"",AL123*AM123),"")</f>
        <v/>
      </c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L123">
        <f>IFERROR(INDEX('_names_lookup'!$C:$C,MATCH(BK123,'_names_lookup'!$A:$A,0)),"")</f>
        <v/>
      </c>
      <c r="BM123">
        <f>IFERROR(INDEX('_names_lookup'!$B:$B,MATCH(BK123,'_names_lookup'!$A:$A,0)),"")</f>
        <v/>
      </c>
      <c r="BS123">
        <f>IFERROR(IF(BR123*AA123=0,"",BR123*AA123),"")</f>
        <v/>
      </c>
    </row>
    <row r="124">
      <c r="O124">
        <f>IFERROR(INDEX('_courses_lookup'!$C:$C,MATCH(K124&amp;L124,'_courses_lookup'!$E:$E,0)),"")</f>
        <v/>
      </c>
      <c r="P124">
        <f>IFERROR(INDEX('_courses_lookup'!$D:$D,MATCH(K124&amp;L124,'_courses_lookup'!$E:$E,0)),"")</f>
        <v/>
      </c>
      <c r="AG124">
        <f>IF(AND(AE124&lt;&gt;"",AF124&lt;&gt;""),ROUNDUP((AF124-AE124)/7,0),"")</f>
        <v/>
      </c>
      <c r="AI124">
        <f>IFERROR(IF(AG124*AH124=0,"",AG124*AH124),"")</f>
        <v/>
      </c>
      <c r="AL124">
        <f>IF(AND(AJ124&lt;&gt;"",AK124&lt;&gt;""),ROUNDUP((AK124-AJ124)/7,0),"")</f>
        <v/>
      </c>
      <c r="AN124">
        <f>IFERROR(IF(AL124*AM124=0,"",AL124*AM124),"")</f>
        <v/>
      </c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L124">
        <f>IFERROR(INDEX('_names_lookup'!$C:$C,MATCH(BK124,'_names_lookup'!$A:$A,0)),"")</f>
        <v/>
      </c>
      <c r="BM124">
        <f>IFERROR(INDEX('_names_lookup'!$B:$B,MATCH(BK124,'_names_lookup'!$A:$A,0)),"")</f>
        <v/>
      </c>
      <c r="BS124">
        <f>IFERROR(IF(BR124*AA124=0,"",BR124*AA124),"")</f>
        <v/>
      </c>
    </row>
    <row r="125">
      <c r="O125">
        <f>IFERROR(INDEX('_courses_lookup'!$C:$C,MATCH(K125&amp;L125,'_courses_lookup'!$E:$E,0)),"")</f>
        <v/>
      </c>
      <c r="P125">
        <f>IFERROR(INDEX('_courses_lookup'!$D:$D,MATCH(K125&amp;L125,'_courses_lookup'!$E:$E,0)),"")</f>
        <v/>
      </c>
      <c r="AG125">
        <f>IF(AND(AE125&lt;&gt;"",AF125&lt;&gt;""),ROUNDUP((AF125-AE125)/7,0),"")</f>
        <v/>
      </c>
      <c r="AI125">
        <f>IFERROR(IF(AG125*AH125=0,"",AG125*AH125),"")</f>
        <v/>
      </c>
      <c r="AL125">
        <f>IF(AND(AJ125&lt;&gt;"",AK125&lt;&gt;""),ROUNDUP((AK125-AJ125)/7,0),"")</f>
        <v/>
      </c>
      <c r="AN125">
        <f>IFERROR(IF(AL125*AM125=0,"",AL125*AM125),"")</f>
        <v/>
      </c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L125">
        <f>IFERROR(INDEX('_names_lookup'!$C:$C,MATCH(BK125,'_names_lookup'!$A:$A,0)),"")</f>
        <v/>
      </c>
      <c r="BM125">
        <f>IFERROR(INDEX('_names_lookup'!$B:$B,MATCH(BK125,'_names_lookup'!$A:$A,0)),"")</f>
        <v/>
      </c>
      <c r="BS125">
        <f>IFERROR(IF(BR125*AA125=0,"",BR125*AA125),"")</f>
        <v/>
      </c>
    </row>
    <row r="126">
      <c r="O126">
        <f>IFERROR(INDEX('_courses_lookup'!$C:$C,MATCH(K126&amp;L126,'_courses_lookup'!$E:$E,0)),"")</f>
        <v/>
      </c>
      <c r="P126">
        <f>IFERROR(INDEX('_courses_lookup'!$D:$D,MATCH(K126&amp;L126,'_courses_lookup'!$E:$E,0)),"")</f>
        <v/>
      </c>
      <c r="AG126">
        <f>IF(AND(AE126&lt;&gt;"",AF126&lt;&gt;""),ROUNDUP((AF126-AE126)/7,0),"")</f>
        <v/>
      </c>
      <c r="AI126">
        <f>IFERROR(IF(AG126*AH126=0,"",AG126*AH126),"")</f>
        <v/>
      </c>
      <c r="AL126">
        <f>IF(AND(AJ126&lt;&gt;"",AK126&lt;&gt;""),ROUNDUP((AK126-AJ126)/7,0),"")</f>
        <v/>
      </c>
      <c r="AN126">
        <f>IFERROR(IF(AL126*AM126=0,"",AL126*AM126),"")</f>
        <v/>
      </c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L126">
        <f>IFERROR(INDEX('_names_lookup'!$C:$C,MATCH(BK126,'_names_lookup'!$A:$A,0)),"")</f>
        <v/>
      </c>
      <c r="BM126">
        <f>IFERROR(INDEX('_names_lookup'!$B:$B,MATCH(BK126,'_names_lookup'!$A:$A,0)),"")</f>
        <v/>
      </c>
      <c r="BS126">
        <f>IFERROR(IF(BR126*AA126=0,"",BR126*AA126),"")</f>
        <v/>
      </c>
    </row>
    <row r="127">
      <c r="O127">
        <f>IFERROR(INDEX('_courses_lookup'!$C:$C,MATCH(K127&amp;L127,'_courses_lookup'!$E:$E,0)),"")</f>
        <v/>
      </c>
      <c r="P127">
        <f>IFERROR(INDEX('_courses_lookup'!$D:$D,MATCH(K127&amp;L127,'_courses_lookup'!$E:$E,0)),"")</f>
        <v/>
      </c>
      <c r="AG127">
        <f>IF(AND(AE127&lt;&gt;"",AF127&lt;&gt;""),ROUNDUP((AF127-AE127)/7,0),"")</f>
        <v/>
      </c>
      <c r="AI127">
        <f>IFERROR(IF(AG127*AH127=0,"",AG127*AH127),"")</f>
        <v/>
      </c>
      <c r="AL127">
        <f>IF(AND(AJ127&lt;&gt;"",AK127&lt;&gt;""),ROUNDUP((AK127-AJ127)/7,0),"")</f>
        <v/>
      </c>
      <c r="AN127">
        <f>IFERROR(IF(AL127*AM127=0,"",AL127*AM127),"")</f>
        <v/>
      </c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L127">
        <f>IFERROR(INDEX('_names_lookup'!$C:$C,MATCH(BK127,'_names_lookup'!$A:$A,0)),"")</f>
        <v/>
      </c>
      <c r="BM127">
        <f>IFERROR(INDEX('_names_lookup'!$B:$B,MATCH(BK127,'_names_lookup'!$A:$A,0)),"")</f>
        <v/>
      </c>
      <c r="BS127">
        <f>IFERROR(IF(BR127*AA127=0,"",BR127*AA127),"")</f>
        <v/>
      </c>
    </row>
    <row r="128">
      <c r="O128">
        <f>IFERROR(INDEX('_courses_lookup'!$C:$C,MATCH(K128&amp;L128,'_courses_lookup'!$E:$E,0)),"")</f>
        <v/>
      </c>
      <c r="P128">
        <f>IFERROR(INDEX('_courses_lookup'!$D:$D,MATCH(K128&amp;L128,'_courses_lookup'!$E:$E,0)),"")</f>
        <v/>
      </c>
      <c r="AG128">
        <f>IF(AND(AE128&lt;&gt;"",AF128&lt;&gt;""),ROUNDUP((AF128-AE128)/7,0),"")</f>
        <v/>
      </c>
      <c r="AI128">
        <f>IFERROR(IF(AG128*AH128=0,"",AG128*AH128),"")</f>
        <v/>
      </c>
      <c r="AL128">
        <f>IF(AND(AJ128&lt;&gt;"",AK128&lt;&gt;""),ROUNDUP((AK128-AJ128)/7,0),"")</f>
        <v/>
      </c>
      <c r="AN128">
        <f>IFERROR(IF(AL128*AM128=0,"",AL128*AM128),"")</f>
        <v/>
      </c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L128">
        <f>IFERROR(INDEX('_names_lookup'!$C:$C,MATCH(BK128,'_names_lookup'!$A:$A,0)),"")</f>
        <v/>
      </c>
      <c r="BM128">
        <f>IFERROR(INDEX('_names_lookup'!$B:$B,MATCH(BK128,'_names_lookup'!$A:$A,0)),"")</f>
        <v/>
      </c>
      <c r="BS128">
        <f>IFERROR(IF(BR128*AA128=0,"",BR128*AA128),"")</f>
        <v/>
      </c>
    </row>
    <row r="129">
      <c r="O129">
        <f>IFERROR(INDEX('_courses_lookup'!$C:$C,MATCH(K129&amp;L129,'_courses_lookup'!$E:$E,0)),"")</f>
        <v/>
      </c>
      <c r="P129">
        <f>IFERROR(INDEX('_courses_lookup'!$D:$D,MATCH(K129&amp;L129,'_courses_lookup'!$E:$E,0)),"")</f>
        <v/>
      </c>
      <c r="AG129">
        <f>IF(AND(AE129&lt;&gt;"",AF129&lt;&gt;""),ROUNDUP((AF129-AE129)/7,0),"")</f>
        <v/>
      </c>
      <c r="AI129">
        <f>IFERROR(IF(AG129*AH129=0,"",AG129*AH129),"")</f>
        <v/>
      </c>
      <c r="AL129">
        <f>IF(AND(AJ129&lt;&gt;"",AK129&lt;&gt;""),ROUNDUP((AK129-AJ129)/7,0),"")</f>
        <v/>
      </c>
      <c r="AN129">
        <f>IFERROR(IF(AL129*AM129=0,"",AL129*AM129),"")</f>
        <v/>
      </c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L129">
        <f>IFERROR(INDEX('_names_lookup'!$C:$C,MATCH(BK129,'_names_lookup'!$A:$A,0)),"")</f>
        <v/>
      </c>
      <c r="BM129">
        <f>IFERROR(INDEX('_names_lookup'!$B:$B,MATCH(BK129,'_names_lookup'!$A:$A,0)),"")</f>
        <v/>
      </c>
      <c r="BS129">
        <f>IFERROR(IF(BR129*AA129=0,"",BR129*AA129),"")</f>
        <v/>
      </c>
    </row>
    <row r="130">
      <c r="O130">
        <f>IFERROR(INDEX('_courses_lookup'!$C:$C,MATCH(K130&amp;L130,'_courses_lookup'!$E:$E,0)),"")</f>
        <v/>
      </c>
      <c r="P130">
        <f>IFERROR(INDEX('_courses_lookup'!$D:$D,MATCH(K130&amp;L130,'_courses_lookup'!$E:$E,0)),"")</f>
        <v/>
      </c>
      <c r="AG130">
        <f>IF(AND(AE130&lt;&gt;"",AF130&lt;&gt;""),ROUNDUP((AF130-AE130)/7,0),"")</f>
        <v/>
      </c>
      <c r="AI130">
        <f>IFERROR(IF(AG130*AH130=0,"",AG130*AH130),"")</f>
        <v/>
      </c>
      <c r="AL130">
        <f>IF(AND(AJ130&lt;&gt;"",AK130&lt;&gt;""),ROUNDUP((AK130-AJ130)/7,0),"")</f>
        <v/>
      </c>
      <c r="AN130">
        <f>IFERROR(IF(AL130*AM130=0,"",AL130*AM130),"")</f>
        <v/>
      </c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L130">
        <f>IFERROR(INDEX('_names_lookup'!$C:$C,MATCH(BK130,'_names_lookup'!$A:$A,0)),"")</f>
        <v/>
      </c>
      <c r="BM130">
        <f>IFERROR(INDEX('_names_lookup'!$B:$B,MATCH(BK130,'_names_lookup'!$A:$A,0)),"")</f>
        <v/>
      </c>
      <c r="BS130">
        <f>IFERROR(IF(BR130*AA130=0,"",BR130*AA130),"")</f>
        <v/>
      </c>
    </row>
    <row r="131">
      <c r="O131">
        <f>IFERROR(INDEX('_courses_lookup'!$C:$C,MATCH(K131&amp;L131,'_courses_lookup'!$E:$E,0)),"")</f>
        <v/>
      </c>
      <c r="P131">
        <f>IFERROR(INDEX('_courses_lookup'!$D:$D,MATCH(K131&amp;L131,'_courses_lookup'!$E:$E,0)),"")</f>
        <v/>
      </c>
      <c r="AG131">
        <f>IF(AND(AE131&lt;&gt;"",AF131&lt;&gt;""),ROUNDUP((AF131-AE131)/7,0),"")</f>
        <v/>
      </c>
      <c r="AI131">
        <f>IFERROR(IF(AG131*AH131=0,"",AG131*AH131),"")</f>
        <v/>
      </c>
      <c r="AL131">
        <f>IF(AND(AJ131&lt;&gt;"",AK131&lt;&gt;""),ROUNDUP((AK131-AJ131)/7,0),"")</f>
        <v/>
      </c>
      <c r="AN131">
        <f>IFERROR(IF(AL131*AM131=0,"",AL131*AM131),"")</f>
        <v/>
      </c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L131">
        <f>IFERROR(INDEX('_names_lookup'!$C:$C,MATCH(BK131,'_names_lookup'!$A:$A,0)),"")</f>
        <v/>
      </c>
      <c r="BM131">
        <f>IFERROR(INDEX('_names_lookup'!$B:$B,MATCH(BK131,'_names_lookup'!$A:$A,0)),"")</f>
        <v/>
      </c>
      <c r="BS131">
        <f>IFERROR(IF(BR131*AA131=0,"",BR131*AA131),"")</f>
        <v/>
      </c>
    </row>
    <row r="132">
      <c r="O132">
        <f>IFERROR(INDEX('_courses_lookup'!$C:$C,MATCH(K132&amp;L132,'_courses_lookup'!$E:$E,0)),"")</f>
        <v/>
      </c>
      <c r="P132">
        <f>IFERROR(INDEX('_courses_lookup'!$D:$D,MATCH(K132&amp;L132,'_courses_lookup'!$E:$E,0)),"")</f>
        <v/>
      </c>
      <c r="AG132">
        <f>IF(AND(AE132&lt;&gt;"",AF132&lt;&gt;""),ROUNDUP((AF132-AE132)/7,0),"")</f>
        <v/>
      </c>
      <c r="AI132">
        <f>IFERROR(IF(AG132*AH132=0,"",AG132*AH132),"")</f>
        <v/>
      </c>
      <c r="AL132">
        <f>IF(AND(AJ132&lt;&gt;"",AK132&lt;&gt;""),ROUNDUP((AK132-AJ132)/7,0),"")</f>
        <v/>
      </c>
      <c r="AN132">
        <f>IFERROR(IF(AL132*AM132=0,"",AL132*AM132),"")</f>
        <v/>
      </c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L132">
        <f>IFERROR(INDEX('_names_lookup'!$C:$C,MATCH(BK132,'_names_lookup'!$A:$A,0)),"")</f>
        <v/>
      </c>
      <c r="BM132">
        <f>IFERROR(INDEX('_names_lookup'!$B:$B,MATCH(BK132,'_names_lookup'!$A:$A,0)),"")</f>
        <v/>
      </c>
      <c r="BS132">
        <f>IFERROR(IF(BR132*AA132=0,"",BR132*AA132),"")</f>
        <v/>
      </c>
    </row>
    <row r="133">
      <c r="O133">
        <f>IFERROR(INDEX('_courses_lookup'!$C:$C,MATCH(K133&amp;L133,'_courses_lookup'!$E:$E,0)),"")</f>
        <v/>
      </c>
      <c r="P133">
        <f>IFERROR(INDEX('_courses_lookup'!$D:$D,MATCH(K133&amp;L133,'_courses_lookup'!$E:$E,0)),"")</f>
        <v/>
      </c>
      <c r="AG133">
        <f>IF(AND(AE133&lt;&gt;"",AF133&lt;&gt;""),ROUNDUP((AF133-AE133)/7,0),"")</f>
        <v/>
      </c>
      <c r="AI133">
        <f>IFERROR(IF(AG133*AH133=0,"",AG133*AH133),"")</f>
        <v/>
      </c>
      <c r="AL133">
        <f>IF(AND(AJ133&lt;&gt;"",AK133&lt;&gt;""),ROUNDUP((AK133-AJ133)/7,0),"")</f>
        <v/>
      </c>
      <c r="AN133">
        <f>IFERROR(IF(AL133*AM133=0,"",AL133*AM133),"")</f>
        <v/>
      </c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L133">
        <f>IFERROR(INDEX('_names_lookup'!$C:$C,MATCH(BK133,'_names_lookup'!$A:$A,0)),"")</f>
        <v/>
      </c>
      <c r="BM133">
        <f>IFERROR(INDEX('_names_lookup'!$B:$B,MATCH(BK133,'_names_lookup'!$A:$A,0)),"")</f>
        <v/>
      </c>
      <c r="BS133">
        <f>IFERROR(IF(BR133*AA133=0,"",BR133*AA133),"")</f>
        <v/>
      </c>
    </row>
    <row r="134">
      <c r="O134">
        <f>IFERROR(INDEX('_courses_lookup'!$C:$C,MATCH(K134&amp;L134,'_courses_lookup'!$E:$E,0)),"")</f>
        <v/>
      </c>
      <c r="P134">
        <f>IFERROR(INDEX('_courses_lookup'!$D:$D,MATCH(K134&amp;L134,'_courses_lookup'!$E:$E,0)),"")</f>
        <v/>
      </c>
      <c r="AG134">
        <f>IF(AND(AE134&lt;&gt;"",AF134&lt;&gt;""),ROUNDUP((AF134-AE134)/7,0),"")</f>
        <v/>
      </c>
      <c r="AI134">
        <f>IFERROR(IF(AG134*AH134=0,"",AG134*AH134),"")</f>
        <v/>
      </c>
      <c r="AL134">
        <f>IF(AND(AJ134&lt;&gt;"",AK134&lt;&gt;""),ROUNDUP((AK134-AJ134)/7,0),"")</f>
        <v/>
      </c>
      <c r="AN134">
        <f>IFERROR(IF(AL134*AM134=0,"",AL134*AM134),"")</f>
        <v/>
      </c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L134">
        <f>IFERROR(INDEX('_names_lookup'!$C:$C,MATCH(BK134,'_names_lookup'!$A:$A,0)),"")</f>
        <v/>
      </c>
      <c r="BM134">
        <f>IFERROR(INDEX('_names_lookup'!$B:$B,MATCH(BK134,'_names_lookup'!$A:$A,0)),"")</f>
        <v/>
      </c>
      <c r="BS134">
        <f>IFERROR(IF(BR134*AA134=0,"",BR134*AA134),"")</f>
        <v/>
      </c>
    </row>
    <row r="135">
      <c r="O135">
        <f>IFERROR(INDEX('_courses_lookup'!$C:$C,MATCH(K135&amp;L135,'_courses_lookup'!$E:$E,0)),"")</f>
        <v/>
      </c>
      <c r="P135">
        <f>IFERROR(INDEX('_courses_lookup'!$D:$D,MATCH(K135&amp;L135,'_courses_lookup'!$E:$E,0)),"")</f>
        <v/>
      </c>
      <c r="AG135">
        <f>IF(AND(AE135&lt;&gt;"",AF135&lt;&gt;""),ROUNDUP((AF135-AE135)/7,0),"")</f>
        <v/>
      </c>
      <c r="AI135">
        <f>IFERROR(IF(AG135*AH135=0,"",AG135*AH135),"")</f>
        <v/>
      </c>
      <c r="AL135">
        <f>IF(AND(AJ135&lt;&gt;"",AK135&lt;&gt;""),ROUNDUP((AK135-AJ135)/7,0),"")</f>
        <v/>
      </c>
      <c r="AN135">
        <f>IFERROR(IF(AL135*AM135=0,"",AL135*AM135),"")</f>
        <v/>
      </c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L135">
        <f>IFERROR(INDEX('_names_lookup'!$C:$C,MATCH(BK135,'_names_lookup'!$A:$A,0)),"")</f>
        <v/>
      </c>
      <c r="BM135">
        <f>IFERROR(INDEX('_names_lookup'!$B:$B,MATCH(BK135,'_names_lookup'!$A:$A,0)),"")</f>
        <v/>
      </c>
      <c r="BS135">
        <f>IFERROR(IF(BR135*AA135=0,"",BR135*AA135),"")</f>
        <v/>
      </c>
    </row>
    <row r="136">
      <c r="O136">
        <f>IFERROR(INDEX('_courses_lookup'!$C:$C,MATCH(K136&amp;L136,'_courses_lookup'!$E:$E,0)),"")</f>
        <v/>
      </c>
      <c r="P136">
        <f>IFERROR(INDEX('_courses_lookup'!$D:$D,MATCH(K136&amp;L136,'_courses_lookup'!$E:$E,0)),"")</f>
        <v/>
      </c>
      <c r="AG136">
        <f>IF(AND(AE136&lt;&gt;"",AF136&lt;&gt;""),ROUNDUP((AF136-AE136)/7,0),"")</f>
        <v/>
      </c>
      <c r="AI136">
        <f>IFERROR(IF(AG136*AH136=0,"",AG136*AH136),"")</f>
        <v/>
      </c>
      <c r="AL136">
        <f>IF(AND(AJ136&lt;&gt;"",AK136&lt;&gt;""),ROUNDUP((AK136-AJ136)/7,0),"")</f>
        <v/>
      </c>
      <c r="AN136">
        <f>IFERROR(IF(AL136*AM136=0,"",AL136*AM136),"")</f>
        <v/>
      </c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L136">
        <f>IFERROR(INDEX('_names_lookup'!$C:$C,MATCH(BK136,'_names_lookup'!$A:$A,0)),"")</f>
        <v/>
      </c>
      <c r="BM136">
        <f>IFERROR(INDEX('_names_lookup'!$B:$B,MATCH(BK136,'_names_lookup'!$A:$A,0)),"")</f>
        <v/>
      </c>
      <c r="BS136">
        <f>IFERROR(IF(BR136*AA136=0,"",BR136*AA136),"")</f>
        <v/>
      </c>
    </row>
    <row r="137">
      <c r="O137">
        <f>IFERROR(INDEX('_courses_lookup'!$C:$C,MATCH(K137&amp;L137,'_courses_lookup'!$E:$E,0)),"")</f>
        <v/>
      </c>
      <c r="P137">
        <f>IFERROR(INDEX('_courses_lookup'!$D:$D,MATCH(K137&amp;L137,'_courses_lookup'!$E:$E,0)),"")</f>
        <v/>
      </c>
      <c r="AG137">
        <f>IF(AND(AE137&lt;&gt;"",AF137&lt;&gt;""),ROUNDUP((AF137-AE137)/7,0),"")</f>
        <v/>
      </c>
      <c r="AI137">
        <f>IFERROR(IF(AG137*AH137=0,"",AG137*AH137),"")</f>
        <v/>
      </c>
      <c r="AL137">
        <f>IF(AND(AJ137&lt;&gt;"",AK137&lt;&gt;""),ROUNDUP((AK137-AJ137)/7,0),"")</f>
        <v/>
      </c>
      <c r="AN137">
        <f>IFERROR(IF(AL137*AM137=0,"",AL137*AM137),"")</f>
        <v/>
      </c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L137">
        <f>IFERROR(INDEX('_names_lookup'!$C:$C,MATCH(BK137,'_names_lookup'!$A:$A,0)),"")</f>
        <v/>
      </c>
      <c r="BM137">
        <f>IFERROR(INDEX('_names_lookup'!$B:$B,MATCH(BK137,'_names_lookup'!$A:$A,0)),"")</f>
        <v/>
      </c>
      <c r="BS137">
        <f>IFERROR(IF(BR137*AA137=0,"",BR137*AA137),"")</f>
        <v/>
      </c>
    </row>
    <row r="138">
      <c r="O138">
        <f>IFERROR(INDEX('_courses_lookup'!$C:$C,MATCH(K138&amp;L138,'_courses_lookup'!$E:$E,0)),"")</f>
        <v/>
      </c>
      <c r="P138">
        <f>IFERROR(INDEX('_courses_lookup'!$D:$D,MATCH(K138&amp;L138,'_courses_lookup'!$E:$E,0)),"")</f>
        <v/>
      </c>
      <c r="AG138">
        <f>IF(AND(AE138&lt;&gt;"",AF138&lt;&gt;""),ROUNDUP((AF138-AE138)/7,0),"")</f>
        <v/>
      </c>
      <c r="AI138">
        <f>IFERROR(IF(AG138*AH138=0,"",AG138*AH138),"")</f>
        <v/>
      </c>
      <c r="AL138">
        <f>IF(AND(AJ138&lt;&gt;"",AK138&lt;&gt;""),ROUNDUP((AK138-AJ138)/7,0),"")</f>
        <v/>
      </c>
      <c r="AN138">
        <f>IFERROR(IF(AL138*AM138=0,"",AL138*AM138),"")</f>
        <v/>
      </c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L138">
        <f>IFERROR(INDEX('_names_lookup'!$C:$C,MATCH(BK138,'_names_lookup'!$A:$A,0)),"")</f>
        <v/>
      </c>
      <c r="BM138">
        <f>IFERROR(INDEX('_names_lookup'!$B:$B,MATCH(BK138,'_names_lookup'!$A:$A,0)),"")</f>
        <v/>
      </c>
      <c r="BS138">
        <f>IFERROR(IF(BR138*AA138=0,"",BR138*AA138),"")</f>
        <v/>
      </c>
    </row>
    <row r="139">
      <c r="O139">
        <f>IFERROR(INDEX('_courses_lookup'!$C:$C,MATCH(K139&amp;L139,'_courses_lookup'!$E:$E,0)),"")</f>
        <v/>
      </c>
      <c r="P139">
        <f>IFERROR(INDEX('_courses_lookup'!$D:$D,MATCH(K139&amp;L139,'_courses_lookup'!$E:$E,0)),"")</f>
        <v/>
      </c>
      <c r="AG139">
        <f>IF(AND(AE139&lt;&gt;"",AF139&lt;&gt;""),ROUNDUP((AF139-AE139)/7,0),"")</f>
        <v/>
      </c>
      <c r="AI139">
        <f>IFERROR(IF(AG139*AH139=0,"",AG139*AH139),"")</f>
        <v/>
      </c>
      <c r="AL139">
        <f>IF(AND(AJ139&lt;&gt;"",AK139&lt;&gt;""),ROUNDUP((AK139-AJ139)/7,0),"")</f>
        <v/>
      </c>
      <c r="AN139">
        <f>IFERROR(IF(AL139*AM139=0,"",AL139*AM139),"")</f>
        <v/>
      </c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L139">
        <f>IFERROR(INDEX('_names_lookup'!$C:$C,MATCH(BK139,'_names_lookup'!$A:$A,0)),"")</f>
        <v/>
      </c>
      <c r="BM139">
        <f>IFERROR(INDEX('_names_lookup'!$B:$B,MATCH(BK139,'_names_lookup'!$A:$A,0)),"")</f>
        <v/>
      </c>
      <c r="BS139">
        <f>IFERROR(IF(BR139*AA139=0,"",BR139*AA139),"")</f>
        <v/>
      </c>
    </row>
    <row r="140">
      <c r="O140">
        <f>IFERROR(INDEX('_courses_lookup'!$C:$C,MATCH(K140&amp;L140,'_courses_lookup'!$E:$E,0)),"")</f>
        <v/>
      </c>
      <c r="P140">
        <f>IFERROR(INDEX('_courses_lookup'!$D:$D,MATCH(K140&amp;L140,'_courses_lookup'!$E:$E,0)),"")</f>
        <v/>
      </c>
      <c r="AG140">
        <f>IF(AND(AE140&lt;&gt;"",AF140&lt;&gt;""),ROUNDUP((AF140-AE140)/7,0),"")</f>
        <v/>
      </c>
      <c r="AI140">
        <f>IFERROR(IF(AG140*AH140=0,"",AG140*AH140),"")</f>
        <v/>
      </c>
      <c r="AL140">
        <f>IF(AND(AJ140&lt;&gt;"",AK140&lt;&gt;""),ROUNDUP((AK140-AJ140)/7,0),"")</f>
        <v/>
      </c>
      <c r="AN140">
        <f>IFERROR(IF(AL140*AM140=0,"",AL140*AM140),"")</f>
        <v/>
      </c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L140">
        <f>IFERROR(INDEX('_names_lookup'!$C:$C,MATCH(BK140,'_names_lookup'!$A:$A,0)),"")</f>
        <v/>
      </c>
      <c r="BM140">
        <f>IFERROR(INDEX('_names_lookup'!$B:$B,MATCH(BK140,'_names_lookup'!$A:$A,0)),"")</f>
        <v/>
      </c>
      <c r="BS140">
        <f>IFERROR(IF(BR140*AA140=0,"",BR140*AA140),"")</f>
        <v/>
      </c>
    </row>
    <row r="141">
      <c r="O141">
        <f>IFERROR(INDEX('_courses_lookup'!$C:$C,MATCH(K141&amp;L141,'_courses_lookup'!$E:$E,0)),"")</f>
        <v/>
      </c>
      <c r="P141">
        <f>IFERROR(INDEX('_courses_lookup'!$D:$D,MATCH(K141&amp;L141,'_courses_lookup'!$E:$E,0)),"")</f>
        <v/>
      </c>
      <c r="AG141">
        <f>IF(AND(AE141&lt;&gt;"",AF141&lt;&gt;""),ROUNDUP((AF141-AE141)/7,0),"")</f>
        <v/>
      </c>
      <c r="AI141">
        <f>IFERROR(IF(AG141*AH141=0,"",AG141*AH141),"")</f>
        <v/>
      </c>
      <c r="AL141">
        <f>IF(AND(AJ141&lt;&gt;"",AK141&lt;&gt;""),ROUNDUP((AK141-AJ141)/7,0),"")</f>
        <v/>
      </c>
      <c r="AN141">
        <f>IFERROR(IF(AL141*AM141=0,"",AL141*AM141),"")</f>
        <v/>
      </c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L141">
        <f>IFERROR(INDEX('_names_lookup'!$C:$C,MATCH(BK141,'_names_lookup'!$A:$A,0)),"")</f>
        <v/>
      </c>
      <c r="BM141">
        <f>IFERROR(INDEX('_names_lookup'!$B:$B,MATCH(BK141,'_names_lookup'!$A:$A,0)),"")</f>
        <v/>
      </c>
      <c r="BS141">
        <f>IFERROR(IF(BR141*AA141=0,"",BR141*AA141),"")</f>
        <v/>
      </c>
    </row>
    <row r="142">
      <c r="O142">
        <f>IFERROR(INDEX('_courses_lookup'!$C:$C,MATCH(K142&amp;L142,'_courses_lookup'!$E:$E,0)),"")</f>
        <v/>
      </c>
      <c r="P142">
        <f>IFERROR(INDEX('_courses_lookup'!$D:$D,MATCH(K142&amp;L142,'_courses_lookup'!$E:$E,0)),"")</f>
        <v/>
      </c>
      <c r="AG142">
        <f>IF(AND(AE142&lt;&gt;"",AF142&lt;&gt;""),ROUNDUP((AF142-AE142)/7,0),"")</f>
        <v/>
      </c>
      <c r="AI142">
        <f>IFERROR(IF(AG142*AH142=0,"",AG142*AH142),"")</f>
        <v/>
      </c>
      <c r="AL142">
        <f>IF(AND(AJ142&lt;&gt;"",AK142&lt;&gt;""),ROUNDUP((AK142-AJ142)/7,0),"")</f>
        <v/>
      </c>
      <c r="AN142">
        <f>IFERROR(IF(AL142*AM142=0,"",AL142*AM142),"")</f>
        <v/>
      </c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L142">
        <f>IFERROR(INDEX('_names_lookup'!$C:$C,MATCH(BK142,'_names_lookup'!$A:$A,0)),"")</f>
        <v/>
      </c>
      <c r="BM142">
        <f>IFERROR(INDEX('_names_lookup'!$B:$B,MATCH(BK142,'_names_lookup'!$A:$A,0)),"")</f>
        <v/>
      </c>
      <c r="BS142">
        <f>IFERROR(IF(BR142*AA142=0,"",BR142*AA142),"")</f>
        <v/>
      </c>
    </row>
    <row r="143">
      <c r="O143">
        <f>IFERROR(INDEX('_courses_lookup'!$C:$C,MATCH(K143&amp;L143,'_courses_lookup'!$E:$E,0)),"")</f>
        <v/>
      </c>
      <c r="P143">
        <f>IFERROR(INDEX('_courses_lookup'!$D:$D,MATCH(K143&amp;L143,'_courses_lookup'!$E:$E,0)),"")</f>
        <v/>
      </c>
      <c r="AG143">
        <f>IF(AND(AE143&lt;&gt;"",AF143&lt;&gt;""),ROUNDUP((AF143-AE143)/7,0),"")</f>
        <v/>
      </c>
      <c r="AI143">
        <f>IFERROR(IF(AG143*AH143=0,"",AG143*AH143),"")</f>
        <v/>
      </c>
      <c r="AL143">
        <f>IF(AND(AJ143&lt;&gt;"",AK143&lt;&gt;""),ROUNDUP((AK143-AJ143)/7,0),"")</f>
        <v/>
      </c>
      <c r="AN143">
        <f>IFERROR(IF(AL143*AM143=0,"",AL143*AM143),"")</f>
        <v/>
      </c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L143">
        <f>IFERROR(INDEX('_names_lookup'!$C:$C,MATCH(BK143,'_names_lookup'!$A:$A,0)),"")</f>
        <v/>
      </c>
      <c r="BM143">
        <f>IFERROR(INDEX('_names_lookup'!$B:$B,MATCH(BK143,'_names_lookup'!$A:$A,0)),"")</f>
        <v/>
      </c>
      <c r="BS143">
        <f>IFERROR(IF(BR143*AA143=0,"",BR143*AA143),"")</f>
        <v/>
      </c>
    </row>
    <row r="144">
      <c r="O144">
        <f>IFERROR(INDEX('_courses_lookup'!$C:$C,MATCH(K144&amp;L144,'_courses_lookup'!$E:$E,0)),"")</f>
        <v/>
      </c>
      <c r="P144">
        <f>IFERROR(INDEX('_courses_lookup'!$D:$D,MATCH(K144&amp;L144,'_courses_lookup'!$E:$E,0)),"")</f>
        <v/>
      </c>
      <c r="AG144">
        <f>IF(AND(AE144&lt;&gt;"",AF144&lt;&gt;""),ROUNDUP((AF144-AE144)/7,0),"")</f>
        <v/>
      </c>
      <c r="AI144">
        <f>IFERROR(IF(AG144*AH144=0,"",AG144*AH144),"")</f>
        <v/>
      </c>
      <c r="AL144">
        <f>IF(AND(AJ144&lt;&gt;"",AK144&lt;&gt;""),ROUNDUP((AK144-AJ144)/7,0),"")</f>
        <v/>
      </c>
      <c r="AN144">
        <f>IFERROR(IF(AL144*AM144=0,"",AL144*AM144),"")</f>
        <v/>
      </c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L144">
        <f>IFERROR(INDEX('_names_lookup'!$C:$C,MATCH(BK144,'_names_lookup'!$A:$A,0)),"")</f>
        <v/>
      </c>
      <c r="BM144">
        <f>IFERROR(INDEX('_names_lookup'!$B:$B,MATCH(BK144,'_names_lookup'!$A:$A,0)),"")</f>
        <v/>
      </c>
      <c r="BS144">
        <f>IFERROR(IF(BR144*AA144=0,"",BR144*AA144),"")</f>
        <v/>
      </c>
    </row>
    <row r="145">
      <c r="O145">
        <f>IFERROR(INDEX('_courses_lookup'!$C:$C,MATCH(K145&amp;L145,'_courses_lookup'!$E:$E,0)),"")</f>
        <v/>
      </c>
      <c r="P145">
        <f>IFERROR(INDEX('_courses_lookup'!$D:$D,MATCH(K145&amp;L145,'_courses_lookup'!$E:$E,0)),"")</f>
        <v/>
      </c>
      <c r="AG145">
        <f>IF(AND(AE145&lt;&gt;"",AF145&lt;&gt;""),ROUNDUP((AF145-AE145)/7,0),"")</f>
        <v/>
      </c>
      <c r="AI145">
        <f>IFERROR(IF(AG145*AH145=0,"",AG145*AH145),"")</f>
        <v/>
      </c>
      <c r="AL145">
        <f>IF(AND(AJ145&lt;&gt;"",AK145&lt;&gt;""),ROUNDUP((AK145-AJ145)/7,0),"")</f>
        <v/>
      </c>
      <c r="AN145">
        <f>IFERROR(IF(AL145*AM145=0,"",AL145*AM145),"")</f>
        <v/>
      </c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L145">
        <f>IFERROR(INDEX('_names_lookup'!$C:$C,MATCH(BK145,'_names_lookup'!$A:$A,0)),"")</f>
        <v/>
      </c>
      <c r="BM145">
        <f>IFERROR(INDEX('_names_lookup'!$B:$B,MATCH(BK145,'_names_lookup'!$A:$A,0)),"")</f>
        <v/>
      </c>
      <c r="BS145">
        <f>IFERROR(IF(BR145*AA145=0,"",BR145*AA145),"")</f>
        <v/>
      </c>
    </row>
    <row r="146">
      <c r="O146">
        <f>IFERROR(INDEX('_courses_lookup'!$C:$C,MATCH(K146&amp;L146,'_courses_lookup'!$E:$E,0)),"")</f>
        <v/>
      </c>
      <c r="P146">
        <f>IFERROR(INDEX('_courses_lookup'!$D:$D,MATCH(K146&amp;L146,'_courses_lookup'!$E:$E,0)),"")</f>
        <v/>
      </c>
      <c r="AG146">
        <f>IF(AND(AE146&lt;&gt;"",AF146&lt;&gt;""),ROUNDUP((AF146-AE146)/7,0),"")</f>
        <v/>
      </c>
      <c r="AI146">
        <f>IFERROR(IF(AG146*AH146=0,"",AG146*AH146),"")</f>
        <v/>
      </c>
      <c r="AL146">
        <f>IF(AND(AJ146&lt;&gt;"",AK146&lt;&gt;""),ROUNDUP((AK146-AJ146)/7,0),"")</f>
        <v/>
      </c>
      <c r="AN146">
        <f>IFERROR(IF(AL146*AM146=0,"",AL146*AM146),"")</f>
        <v/>
      </c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L146">
        <f>IFERROR(INDEX('_names_lookup'!$C:$C,MATCH(BK146,'_names_lookup'!$A:$A,0)),"")</f>
        <v/>
      </c>
      <c r="BM146">
        <f>IFERROR(INDEX('_names_lookup'!$B:$B,MATCH(BK146,'_names_lookup'!$A:$A,0)),"")</f>
        <v/>
      </c>
      <c r="BS146">
        <f>IFERROR(IF(BR146*AA146=0,"",BR146*AA146),"")</f>
        <v/>
      </c>
    </row>
    <row r="147">
      <c r="O147">
        <f>IFERROR(INDEX('_courses_lookup'!$C:$C,MATCH(K147&amp;L147,'_courses_lookup'!$E:$E,0)),"")</f>
        <v/>
      </c>
      <c r="P147">
        <f>IFERROR(INDEX('_courses_lookup'!$D:$D,MATCH(K147&amp;L147,'_courses_lookup'!$E:$E,0)),"")</f>
        <v/>
      </c>
      <c r="AG147">
        <f>IF(AND(AE147&lt;&gt;"",AF147&lt;&gt;""),ROUNDUP((AF147-AE147)/7,0),"")</f>
        <v/>
      </c>
      <c r="AI147">
        <f>IFERROR(IF(AG147*AH147=0,"",AG147*AH147),"")</f>
        <v/>
      </c>
      <c r="AL147">
        <f>IF(AND(AJ147&lt;&gt;"",AK147&lt;&gt;""),ROUNDUP((AK147-AJ147)/7,0),"")</f>
        <v/>
      </c>
      <c r="AN147">
        <f>IFERROR(IF(AL147*AM147=0,"",AL147*AM147),"")</f>
        <v/>
      </c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L147">
        <f>IFERROR(INDEX('_names_lookup'!$C:$C,MATCH(BK147,'_names_lookup'!$A:$A,0)),"")</f>
        <v/>
      </c>
      <c r="BM147">
        <f>IFERROR(INDEX('_names_lookup'!$B:$B,MATCH(BK147,'_names_lookup'!$A:$A,0)),"")</f>
        <v/>
      </c>
      <c r="BS147">
        <f>IFERROR(IF(BR147*AA147=0,"",BR147*AA147),"")</f>
        <v/>
      </c>
    </row>
    <row r="148">
      <c r="O148">
        <f>IFERROR(INDEX('_courses_lookup'!$C:$C,MATCH(K148&amp;L148,'_courses_lookup'!$E:$E,0)),"")</f>
        <v/>
      </c>
      <c r="P148">
        <f>IFERROR(INDEX('_courses_lookup'!$D:$D,MATCH(K148&amp;L148,'_courses_lookup'!$E:$E,0)),"")</f>
        <v/>
      </c>
      <c r="AG148">
        <f>IF(AND(AE148&lt;&gt;"",AF148&lt;&gt;""),ROUNDUP((AF148-AE148)/7,0),"")</f>
        <v/>
      </c>
      <c r="AI148">
        <f>IFERROR(IF(AG148*AH148=0,"",AG148*AH148),"")</f>
        <v/>
      </c>
      <c r="AL148">
        <f>IF(AND(AJ148&lt;&gt;"",AK148&lt;&gt;""),ROUNDUP((AK148-AJ148)/7,0),"")</f>
        <v/>
      </c>
      <c r="AN148">
        <f>IFERROR(IF(AL148*AM148=0,"",AL148*AM148),"")</f>
        <v/>
      </c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L148">
        <f>IFERROR(INDEX('_names_lookup'!$C:$C,MATCH(BK148,'_names_lookup'!$A:$A,0)),"")</f>
        <v/>
      </c>
      <c r="BM148">
        <f>IFERROR(INDEX('_names_lookup'!$B:$B,MATCH(BK148,'_names_lookup'!$A:$A,0)),"")</f>
        <v/>
      </c>
      <c r="BS148">
        <f>IFERROR(IF(BR148*AA148=0,"",BR148*AA148),"")</f>
        <v/>
      </c>
    </row>
    <row r="149">
      <c r="O149">
        <f>IFERROR(INDEX('_courses_lookup'!$C:$C,MATCH(K149&amp;L149,'_courses_lookup'!$E:$E,0)),"")</f>
        <v/>
      </c>
      <c r="P149">
        <f>IFERROR(INDEX('_courses_lookup'!$D:$D,MATCH(K149&amp;L149,'_courses_lookup'!$E:$E,0)),"")</f>
        <v/>
      </c>
      <c r="AG149">
        <f>IF(AND(AE149&lt;&gt;"",AF149&lt;&gt;""),ROUNDUP((AF149-AE149)/7,0),"")</f>
        <v/>
      </c>
      <c r="AI149">
        <f>IFERROR(IF(AG149*AH149=0,"",AG149*AH149),"")</f>
        <v/>
      </c>
      <c r="AL149">
        <f>IF(AND(AJ149&lt;&gt;"",AK149&lt;&gt;""),ROUNDUP((AK149-AJ149)/7,0),"")</f>
        <v/>
      </c>
      <c r="AN149">
        <f>IFERROR(IF(AL149*AM149=0,"",AL149*AM149),"")</f>
        <v/>
      </c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L149">
        <f>IFERROR(INDEX('_names_lookup'!$C:$C,MATCH(BK149,'_names_lookup'!$A:$A,0)),"")</f>
        <v/>
      </c>
      <c r="BM149">
        <f>IFERROR(INDEX('_names_lookup'!$B:$B,MATCH(BK149,'_names_lookup'!$A:$A,0)),"")</f>
        <v/>
      </c>
      <c r="BS149">
        <f>IFERROR(IF(BR149*AA149=0,"",BR149*AA149),"")</f>
        <v/>
      </c>
    </row>
    <row r="150">
      <c r="O150">
        <f>IFERROR(INDEX('_courses_lookup'!$C:$C,MATCH(K150&amp;L150,'_courses_lookup'!$E:$E,0)),"")</f>
        <v/>
      </c>
      <c r="P150">
        <f>IFERROR(INDEX('_courses_lookup'!$D:$D,MATCH(K150&amp;L150,'_courses_lookup'!$E:$E,0)),"")</f>
        <v/>
      </c>
      <c r="AG150">
        <f>IF(AND(AE150&lt;&gt;"",AF150&lt;&gt;""),ROUNDUP((AF150-AE150)/7,0),"")</f>
        <v/>
      </c>
      <c r="AI150">
        <f>IFERROR(IF(AG150*AH150=0,"",AG150*AH150),"")</f>
        <v/>
      </c>
      <c r="AL150">
        <f>IF(AND(AJ150&lt;&gt;"",AK150&lt;&gt;""),ROUNDUP((AK150-AJ150)/7,0),"")</f>
        <v/>
      </c>
      <c r="AN150">
        <f>IFERROR(IF(AL150*AM150=0,"",AL150*AM150),"")</f>
        <v/>
      </c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L150">
        <f>IFERROR(INDEX('_names_lookup'!$C:$C,MATCH(BK150,'_names_lookup'!$A:$A,0)),"")</f>
        <v/>
      </c>
      <c r="BM150">
        <f>IFERROR(INDEX('_names_lookup'!$B:$B,MATCH(BK150,'_names_lookup'!$A:$A,0)),"")</f>
        <v/>
      </c>
      <c r="BS150">
        <f>IFERROR(IF(BR150*AA150=0,"",BR150*AA150),"")</f>
        <v/>
      </c>
    </row>
    <row r="151">
      <c r="O151">
        <f>IFERROR(INDEX('_courses_lookup'!$C:$C,MATCH(K151&amp;L151,'_courses_lookup'!$E:$E,0)),"")</f>
        <v/>
      </c>
      <c r="P151">
        <f>IFERROR(INDEX('_courses_lookup'!$D:$D,MATCH(K151&amp;L151,'_courses_lookup'!$E:$E,0)),"")</f>
        <v/>
      </c>
      <c r="AG151">
        <f>IF(AND(AE151&lt;&gt;"",AF151&lt;&gt;""),ROUNDUP((AF151-AE151)/7,0),"")</f>
        <v/>
      </c>
      <c r="AI151">
        <f>IFERROR(IF(AG151*AH151=0,"",AG151*AH151),"")</f>
        <v/>
      </c>
      <c r="AL151">
        <f>IF(AND(AJ151&lt;&gt;"",AK151&lt;&gt;""),ROUNDUP((AK151-AJ151)/7,0),"")</f>
        <v/>
      </c>
      <c r="AN151">
        <f>IFERROR(IF(AL151*AM151=0,"",AL151*AM151),"")</f>
        <v/>
      </c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L151">
        <f>IFERROR(INDEX('_names_lookup'!$C:$C,MATCH(BK151,'_names_lookup'!$A:$A,0)),"")</f>
        <v/>
      </c>
      <c r="BM151">
        <f>IFERROR(INDEX('_names_lookup'!$B:$B,MATCH(BK151,'_names_lookup'!$A:$A,0)),"")</f>
        <v/>
      </c>
      <c r="BS151">
        <f>IFERROR(IF(BR151*AA151=0,"",BR151*AA151),"")</f>
        <v/>
      </c>
    </row>
    <row r="152">
      <c r="O152">
        <f>IFERROR(INDEX('_courses_lookup'!$C:$C,MATCH(K152&amp;L152,'_courses_lookup'!$E:$E,0)),"")</f>
        <v/>
      </c>
      <c r="P152">
        <f>IFERROR(INDEX('_courses_lookup'!$D:$D,MATCH(K152&amp;L152,'_courses_lookup'!$E:$E,0)),"")</f>
        <v/>
      </c>
      <c r="AG152">
        <f>IF(AND(AE152&lt;&gt;"",AF152&lt;&gt;""),ROUNDUP((AF152-AE152)/7,0),"")</f>
        <v/>
      </c>
      <c r="AI152">
        <f>IFERROR(IF(AG152*AH152=0,"",AG152*AH152),"")</f>
        <v/>
      </c>
      <c r="AL152">
        <f>IF(AND(AJ152&lt;&gt;"",AK152&lt;&gt;""),ROUNDUP((AK152-AJ152)/7,0),"")</f>
        <v/>
      </c>
      <c r="AN152">
        <f>IFERROR(IF(AL152*AM152=0,"",AL152*AM152),"")</f>
        <v/>
      </c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L152">
        <f>IFERROR(INDEX('_names_lookup'!$C:$C,MATCH(BK152,'_names_lookup'!$A:$A,0)),"")</f>
        <v/>
      </c>
      <c r="BM152">
        <f>IFERROR(INDEX('_names_lookup'!$B:$B,MATCH(BK152,'_names_lookup'!$A:$A,0)),"")</f>
        <v/>
      </c>
      <c r="BS152">
        <f>IFERROR(IF(BR152*AA152=0,"",BR152*AA152),"")</f>
        <v/>
      </c>
    </row>
    <row r="153">
      <c r="O153">
        <f>IFERROR(INDEX('_courses_lookup'!$C:$C,MATCH(K153&amp;L153,'_courses_lookup'!$E:$E,0)),"")</f>
        <v/>
      </c>
      <c r="P153">
        <f>IFERROR(INDEX('_courses_lookup'!$D:$D,MATCH(K153&amp;L153,'_courses_lookup'!$E:$E,0)),"")</f>
        <v/>
      </c>
      <c r="AG153">
        <f>IF(AND(AE153&lt;&gt;"",AF153&lt;&gt;""),ROUNDUP((AF153-AE153)/7,0),"")</f>
        <v/>
      </c>
      <c r="AI153">
        <f>IFERROR(IF(AG153*AH153=0,"",AG153*AH153),"")</f>
        <v/>
      </c>
      <c r="AL153">
        <f>IF(AND(AJ153&lt;&gt;"",AK153&lt;&gt;""),ROUNDUP((AK153-AJ153)/7,0),"")</f>
        <v/>
      </c>
      <c r="AN153">
        <f>IFERROR(IF(AL153*AM153=0,"",AL153*AM153),"")</f>
        <v/>
      </c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L153">
        <f>IFERROR(INDEX('_names_lookup'!$C:$C,MATCH(BK153,'_names_lookup'!$A:$A,0)),"")</f>
        <v/>
      </c>
      <c r="BM153">
        <f>IFERROR(INDEX('_names_lookup'!$B:$B,MATCH(BK153,'_names_lookup'!$A:$A,0)),"")</f>
        <v/>
      </c>
      <c r="BS153">
        <f>IFERROR(IF(BR153*AA153=0,"",BR153*AA153),"")</f>
        <v/>
      </c>
    </row>
    <row r="154">
      <c r="O154">
        <f>IFERROR(INDEX('_courses_lookup'!$C:$C,MATCH(K154&amp;L154,'_courses_lookup'!$E:$E,0)),"")</f>
        <v/>
      </c>
      <c r="P154">
        <f>IFERROR(INDEX('_courses_lookup'!$D:$D,MATCH(K154&amp;L154,'_courses_lookup'!$E:$E,0)),"")</f>
        <v/>
      </c>
      <c r="AG154">
        <f>IF(AND(AE154&lt;&gt;"",AF154&lt;&gt;""),ROUNDUP((AF154-AE154)/7,0),"")</f>
        <v/>
      </c>
      <c r="AI154">
        <f>IFERROR(IF(AG154*AH154=0,"",AG154*AH154),"")</f>
        <v/>
      </c>
      <c r="AL154">
        <f>IF(AND(AJ154&lt;&gt;"",AK154&lt;&gt;""),ROUNDUP((AK154-AJ154)/7,0),"")</f>
        <v/>
      </c>
      <c r="AN154">
        <f>IFERROR(IF(AL154*AM154=0,"",AL154*AM154),"")</f>
        <v/>
      </c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L154">
        <f>IFERROR(INDEX('_names_lookup'!$C:$C,MATCH(BK154,'_names_lookup'!$A:$A,0)),"")</f>
        <v/>
      </c>
      <c r="BM154">
        <f>IFERROR(INDEX('_names_lookup'!$B:$B,MATCH(BK154,'_names_lookup'!$A:$A,0)),"")</f>
        <v/>
      </c>
      <c r="BS154">
        <f>IFERROR(IF(BR154*AA154=0,"",BR154*AA154),"")</f>
        <v/>
      </c>
    </row>
    <row r="155">
      <c r="O155">
        <f>IFERROR(INDEX('_courses_lookup'!$C:$C,MATCH(K155&amp;L155,'_courses_lookup'!$E:$E,0)),"")</f>
        <v/>
      </c>
      <c r="P155">
        <f>IFERROR(INDEX('_courses_lookup'!$D:$D,MATCH(K155&amp;L155,'_courses_lookup'!$E:$E,0)),"")</f>
        <v/>
      </c>
      <c r="AG155">
        <f>IF(AND(AE155&lt;&gt;"",AF155&lt;&gt;""),ROUNDUP((AF155-AE155)/7,0),"")</f>
        <v/>
      </c>
      <c r="AI155">
        <f>IFERROR(IF(AG155*AH155=0,"",AG155*AH155),"")</f>
        <v/>
      </c>
      <c r="AL155">
        <f>IF(AND(AJ155&lt;&gt;"",AK155&lt;&gt;""),ROUNDUP((AK155-AJ155)/7,0),"")</f>
        <v/>
      </c>
      <c r="AN155">
        <f>IFERROR(IF(AL155*AM155=0,"",AL155*AM155),"")</f>
        <v/>
      </c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L155">
        <f>IFERROR(INDEX('_names_lookup'!$C:$C,MATCH(BK155,'_names_lookup'!$A:$A,0)),"")</f>
        <v/>
      </c>
      <c r="BM155">
        <f>IFERROR(INDEX('_names_lookup'!$B:$B,MATCH(BK155,'_names_lookup'!$A:$A,0)),"")</f>
        <v/>
      </c>
      <c r="BS155">
        <f>IFERROR(IF(BR155*AA155=0,"",BR155*AA155),"")</f>
        <v/>
      </c>
    </row>
    <row r="156">
      <c r="O156">
        <f>IFERROR(INDEX('_courses_lookup'!$C:$C,MATCH(K156&amp;L156,'_courses_lookup'!$E:$E,0)),"")</f>
        <v/>
      </c>
      <c r="P156">
        <f>IFERROR(INDEX('_courses_lookup'!$D:$D,MATCH(K156&amp;L156,'_courses_lookup'!$E:$E,0)),"")</f>
        <v/>
      </c>
      <c r="AG156">
        <f>IF(AND(AE156&lt;&gt;"",AF156&lt;&gt;""),ROUNDUP((AF156-AE156)/7,0),"")</f>
        <v/>
      </c>
      <c r="AI156">
        <f>IFERROR(IF(AG156*AH156=0,"",AG156*AH156),"")</f>
        <v/>
      </c>
      <c r="AL156">
        <f>IF(AND(AJ156&lt;&gt;"",AK156&lt;&gt;""),ROUNDUP((AK156-AJ156)/7,0),"")</f>
        <v/>
      </c>
      <c r="AN156">
        <f>IFERROR(IF(AL156*AM156=0,"",AL156*AM156),"")</f>
        <v/>
      </c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L156">
        <f>IFERROR(INDEX('_names_lookup'!$C:$C,MATCH(BK156,'_names_lookup'!$A:$A,0)),"")</f>
        <v/>
      </c>
      <c r="BM156">
        <f>IFERROR(INDEX('_names_lookup'!$B:$B,MATCH(BK156,'_names_lookup'!$A:$A,0)),"")</f>
        <v/>
      </c>
      <c r="BS156">
        <f>IFERROR(IF(BR156*AA156=0,"",BR156*AA156),"")</f>
        <v/>
      </c>
    </row>
    <row r="157">
      <c r="O157">
        <f>IFERROR(INDEX('_courses_lookup'!$C:$C,MATCH(K157&amp;L157,'_courses_lookup'!$E:$E,0)),"")</f>
        <v/>
      </c>
      <c r="P157">
        <f>IFERROR(INDEX('_courses_lookup'!$D:$D,MATCH(K157&amp;L157,'_courses_lookup'!$E:$E,0)),"")</f>
        <v/>
      </c>
      <c r="AG157">
        <f>IF(AND(AE157&lt;&gt;"",AF157&lt;&gt;""),ROUNDUP((AF157-AE157)/7,0),"")</f>
        <v/>
      </c>
      <c r="AI157">
        <f>IFERROR(IF(AG157*AH157=0,"",AG157*AH157),"")</f>
        <v/>
      </c>
      <c r="AL157">
        <f>IF(AND(AJ157&lt;&gt;"",AK157&lt;&gt;""),ROUNDUP((AK157-AJ157)/7,0),"")</f>
        <v/>
      </c>
      <c r="AN157">
        <f>IFERROR(IF(AL157*AM157=0,"",AL157*AM157),"")</f>
        <v/>
      </c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L157">
        <f>IFERROR(INDEX('_names_lookup'!$C:$C,MATCH(BK157,'_names_lookup'!$A:$A,0)),"")</f>
        <v/>
      </c>
      <c r="BM157">
        <f>IFERROR(INDEX('_names_lookup'!$B:$B,MATCH(BK157,'_names_lookup'!$A:$A,0)),"")</f>
        <v/>
      </c>
      <c r="BS157">
        <f>IFERROR(IF(BR157*AA157=0,"",BR157*AA157),"")</f>
        <v/>
      </c>
    </row>
    <row r="158">
      <c r="O158">
        <f>IFERROR(INDEX('_courses_lookup'!$C:$C,MATCH(K158&amp;L158,'_courses_lookup'!$E:$E,0)),"")</f>
        <v/>
      </c>
      <c r="P158">
        <f>IFERROR(INDEX('_courses_lookup'!$D:$D,MATCH(K158&amp;L158,'_courses_lookup'!$E:$E,0)),"")</f>
        <v/>
      </c>
      <c r="AG158">
        <f>IF(AND(AE158&lt;&gt;"",AF158&lt;&gt;""),ROUNDUP((AF158-AE158)/7,0),"")</f>
        <v/>
      </c>
      <c r="AI158">
        <f>IFERROR(IF(AG158*AH158=0,"",AG158*AH158),"")</f>
        <v/>
      </c>
      <c r="AL158">
        <f>IF(AND(AJ158&lt;&gt;"",AK158&lt;&gt;""),ROUNDUP((AK158-AJ158)/7,0),"")</f>
        <v/>
      </c>
      <c r="AN158">
        <f>IFERROR(IF(AL158*AM158=0,"",AL158*AM158),"")</f>
        <v/>
      </c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L158">
        <f>IFERROR(INDEX('_names_lookup'!$C:$C,MATCH(BK158,'_names_lookup'!$A:$A,0)),"")</f>
        <v/>
      </c>
      <c r="BM158">
        <f>IFERROR(INDEX('_names_lookup'!$B:$B,MATCH(BK158,'_names_lookup'!$A:$A,0)),"")</f>
        <v/>
      </c>
      <c r="BS158">
        <f>IFERROR(IF(BR158*AA158=0,"",BR158*AA158),"")</f>
        <v/>
      </c>
    </row>
    <row r="159">
      <c r="O159">
        <f>IFERROR(INDEX('_courses_lookup'!$C:$C,MATCH(K159&amp;L159,'_courses_lookup'!$E:$E,0)),"")</f>
        <v/>
      </c>
      <c r="P159">
        <f>IFERROR(INDEX('_courses_lookup'!$D:$D,MATCH(K159&amp;L159,'_courses_lookup'!$E:$E,0)),"")</f>
        <v/>
      </c>
      <c r="AG159">
        <f>IF(AND(AE159&lt;&gt;"",AF159&lt;&gt;""),ROUNDUP((AF159-AE159)/7,0),"")</f>
        <v/>
      </c>
      <c r="AI159">
        <f>IFERROR(IF(AG159*AH159=0,"",AG159*AH159),"")</f>
        <v/>
      </c>
      <c r="AL159">
        <f>IF(AND(AJ159&lt;&gt;"",AK159&lt;&gt;""),ROUNDUP((AK159-AJ159)/7,0),"")</f>
        <v/>
      </c>
      <c r="AN159">
        <f>IFERROR(IF(AL159*AM159=0,"",AL159*AM159),"")</f>
        <v/>
      </c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L159">
        <f>IFERROR(INDEX('_names_lookup'!$C:$C,MATCH(BK159,'_names_lookup'!$A:$A,0)),"")</f>
        <v/>
      </c>
      <c r="BM159">
        <f>IFERROR(INDEX('_names_lookup'!$B:$B,MATCH(BK159,'_names_lookup'!$A:$A,0)),"")</f>
        <v/>
      </c>
      <c r="BS159">
        <f>IFERROR(IF(BR159*AA159=0,"",BR159*AA159),"")</f>
        <v/>
      </c>
    </row>
    <row r="160">
      <c r="O160">
        <f>IFERROR(INDEX('_courses_lookup'!$C:$C,MATCH(K160&amp;L160,'_courses_lookup'!$E:$E,0)),"")</f>
        <v/>
      </c>
      <c r="P160">
        <f>IFERROR(INDEX('_courses_lookup'!$D:$D,MATCH(K160&amp;L160,'_courses_lookup'!$E:$E,0)),"")</f>
        <v/>
      </c>
      <c r="AG160">
        <f>IF(AND(AE160&lt;&gt;"",AF160&lt;&gt;""),ROUNDUP((AF160-AE160)/7,0),"")</f>
        <v/>
      </c>
      <c r="AI160">
        <f>IFERROR(IF(AG160*AH160=0,"",AG160*AH160),"")</f>
        <v/>
      </c>
      <c r="AL160">
        <f>IF(AND(AJ160&lt;&gt;"",AK160&lt;&gt;""),ROUNDUP((AK160-AJ160)/7,0),"")</f>
        <v/>
      </c>
      <c r="AN160">
        <f>IFERROR(IF(AL160*AM160=0,"",AL160*AM160),"")</f>
        <v/>
      </c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L160">
        <f>IFERROR(INDEX('_names_lookup'!$C:$C,MATCH(BK160,'_names_lookup'!$A:$A,0)),"")</f>
        <v/>
      </c>
      <c r="BM160">
        <f>IFERROR(INDEX('_names_lookup'!$B:$B,MATCH(BK160,'_names_lookup'!$A:$A,0)),"")</f>
        <v/>
      </c>
      <c r="BS160">
        <f>IFERROR(IF(BR160*AA160=0,"",BR160*AA160),"")</f>
        <v/>
      </c>
    </row>
    <row r="161">
      <c r="O161">
        <f>IFERROR(INDEX('_courses_lookup'!$C:$C,MATCH(K161&amp;L161,'_courses_lookup'!$E:$E,0)),"")</f>
        <v/>
      </c>
      <c r="P161">
        <f>IFERROR(INDEX('_courses_lookup'!$D:$D,MATCH(K161&amp;L161,'_courses_lookup'!$E:$E,0)),"")</f>
        <v/>
      </c>
      <c r="AG161">
        <f>IF(AND(AE161&lt;&gt;"",AF161&lt;&gt;""),ROUNDUP((AF161-AE161)/7,0),"")</f>
        <v/>
      </c>
      <c r="AI161">
        <f>IFERROR(IF(AG161*AH161=0,"",AG161*AH161),"")</f>
        <v/>
      </c>
      <c r="AL161">
        <f>IF(AND(AJ161&lt;&gt;"",AK161&lt;&gt;""),ROUNDUP((AK161-AJ161)/7,0),"")</f>
        <v/>
      </c>
      <c r="AN161">
        <f>IFERROR(IF(AL161*AM161=0,"",AL161*AM161),"")</f>
        <v/>
      </c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L161">
        <f>IFERROR(INDEX('_names_lookup'!$C:$C,MATCH(BK161,'_names_lookup'!$A:$A,0)),"")</f>
        <v/>
      </c>
      <c r="BM161">
        <f>IFERROR(INDEX('_names_lookup'!$B:$B,MATCH(BK161,'_names_lookup'!$A:$A,0)),"")</f>
        <v/>
      </c>
      <c r="BS161">
        <f>IFERROR(IF(BR161*AA161=0,"",BR161*AA161),"")</f>
        <v/>
      </c>
    </row>
    <row r="162">
      <c r="O162">
        <f>IFERROR(INDEX('_courses_lookup'!$C:$C,MATCH(K162&amp;L162,'_courses_lookup'!$E:$E,0)),"")</f>
        <v/>
      </c>
      <c r="P162">
        <f>IFERROR(INDEX('_courses_lookup'!$D:$D,MATCH(K162&amp;L162,'_courses_lookup'!$E:$E,0)),"")</f>
        <v/>
      </c>
      <c r="AG162">
        <f>IF(AND(AE162&lt;&gt;"",AF162&lt;&gt;""),ROUNDUP((AF162-AE162)/7,0),"")</f>
        <v/>
      </c>
      <c r="AI162">
        <f>IFERROR(IF(AG162*AH162=0,"",AG162*AH162),"")</f>
        <v/>
      </c>
      <c r="AL162">
        <f>IF(AND(AJ162&lt;&gt;"",AK162&lt;&gt;""),ROUNDUP((AK162-AJ162)/7,0),"")</f>
        <v/>
      </c>
      <c r="AN162">
        <f>IFERROR(IF(AL162*AM162=0,"",AL162*AM162),"")</f>
        <v/>
      </c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L162">
        <f>IFERROR(INDEX('_names_lookup'!$C:$C,MATCH(BK162,'_names_lookup'!$A:$A,0)),"")</f>
        <v/>
      </c>
      <c r="BM162">
        <f>IFERROR(INDEX('_names_lookup'!$B:$B,MATCH(BK162,'_names_lookup'!$A:$A,0)),"")</f>
        <v/>
      </c>
      <c r="BS162">
        <f>IFERROR(IF(BR162*AA162=0,"",BR162*AA162),"")</f>
        <v/>
      </c>
    </row>
    <row r="163">
      <c r="O163">
        <f>IFERROR(INDEX('_courses_lookup'!$C:$C,MATCH(K163&amp;L163,'_courses_lookup'!$E:$E,0)),"")</f>
        <v/>
      </c>
      <c r="P163">
        <f>IFERROR(INDEX('_courses_lookup'!$D:$D,MATCH(K163&amp;L163,'_courses_lookup'!$E:$E,0)),"")</f>
        <v/>
      </c>
      <c r="AG163">
        <f>IF(AND(AE163&lt;&gt;"",AF163&lt;&gt;""),ROUNDUP((AF163-AE163)/7,0),"")</f>
        <v/>
      </c>
      <c r="AI163">
        <f>IFERROR(IF(AG163*AH163=0,"",AG163*AH163),"")</f>
        <v/>
      </c>
      <c r="AL163">
        <f>IF(AND(AJ163&lt;&gt;"",AK163&lt;&gt;""),ROUNDUP((AK163-AJ163)/7,0),"")</f>
        <v/>
      </c>
      <c r="AN163">
        <f>IFERROR(IF(AL163*AM163=0,"",AL163*AM163),"")</f>
        <v/>
      </c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L163">
        <f>IFERROR(INDEX('_names_lookup'!$C:$C,MATCH(BK163,'_names_lookup'!$A:$A,0)),"")</f>
        <v/>
      </c>
      <c r="BM163">
        <f>IFERROR(INDEX('_names_lookup'!$B:$B,MATCH(BK163,'_names_lookup'!$A:$A,0)),"")</f>
        <v/>
      </c>
      <c r="BS163">
        <f>IFERROR(IF(BR163*AA163=0,"",BR163*AA163),"")</f>
        <v/>
      </c>
    </row>
    <row r="164">
      <c r="O164">
        <f>IFERROR(INDEX('_courses_lookup'!$C:$C,MATCH(K164&amp;L164,'_courses_lookup'!$E:$E,0)),"")</f>
        <v/>
      </c>
      <c r="P164">
        <f>IFERROR(INDEX('_courses_lookup'!$D:$D,MATCH(K164&amp;L164,'_courses_lookup'!$E:$E,0)),"")</f>
        <v/>
      </c>
      <c r="AG164">
        <f>IF(AND(AE164&lt;&gt;"",AF164&lt;&gt;""),ROUNDUP((AF164-AE164)/7,0),"")</f>
        <v/>
      </c>
      <c r="AI164">
        <f>IFERROR(IF(AG164*AH164=0,"",AG164*AH164),"")</f>
        <v/>
      </c>
      <c r="AL164">
        <f>IF(AND(AJ164&lt;&gt;"",AK164&lt;&gt;""),ROUNDUP((AK164-AJ164)/7,0),"")</f>
        <v/>
      </c>
      <c r="AN164">
        <f>IFERROR(IF(AL164*AM164=0,"",AL164*AM164),"")</f>
        <v/>
      </c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L164">
        <f>IFERROR(INDEX('_names_lookup'!$C:$C,MATCH(BK164,'_names_lookup'!$A:$A,0)),"")</f>
        <v/>
      </c>
      <c r="BM164">
        <f>IFERROR(INDEX('_names_lookup'!$B:$B,MATCH(BK164,'_names_lookup'!$A:$A,0)),"")</f>
        <v/>
      </c>
      <c r="BS164">
        <f>IFERROR(IF(BR164*AA164=0,"",BR164*AA164),"")</f>
        <v/>
      </c>
    </row>
    <row r="165">
      <c r="O165">
        <f>IFERROR(INDEX('_courses_lookup'!$C:$C,MATCH(K165&amp;L165,'_courses_lookup'!$E:$E,0)),"")</f>
        <v/>
      </c>
      <c r="P165">
        <f>IFERROR(INDEX('_courses_lookup'!$D:$D,MATCH(K165&amp;L165,'_courses_lookup'!$E:$E,0)),"")</f>
        <v/>
      </c>
      <c r="AG165">
        <f>IF(AND(AE165&lt;&gt;"",AF165&lt;&gt;""),ROUNDUP((AF165-AE165)/7,0),"")</f>
        <v/>
      </c>
      <c r="AI165">
        <f>IFERROR(IF(AG165*AH165=0,"",AG165*AH165),"")</f>
        <v/>
      </c>
      <c r="AL165">
        <f>IF(AND(AJ165&lt;&gt;"",AK165&lt;&gt;""),ROUNDUP((AK165-AJ165)/7,0),"")</f>
        <v/>
      </c>
      <c r="AN165">
        <f>IFERROR(IF(AL165*AM165=0,"",AL165*AM165),"")</f>
        <v/>
      </c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L165">
        <f>IFERROR(INDEX('_names_lookup'!$C:$C,MATCH(BK165,'_names_lookup'!$A:$A,0)),"")</f>
        <v/>
      </c>
      <c r="BM165">
        <f>IFERROR(INDEX('_names_lookup'!$B:$B,MATCH(BK165,'_names_lookup'!$A:$A,0)),"")</f>
        <v/>
      </c>
      <c r="BS165">
        <f>IFERROR(IF(BR165*AA165=0,"",BR165*AA165),"")</f>
        <v/>
      </c>
    </row>
    <row r="166">
      <c r="O166">
        <f>IFERROR(INDEX('_courses_lookup'!$C:$C,MATCH(K166&amp;L166,'_courses_lookup'!$E:$E,0)),"")</f>
        <v/>
      </c>
      <c r="P166">
        <f>IFERROR(INDEX('_courses_lookup'!$D:$D,MATCH(K166&amp;L166,'_courses_lookup'!$E:$E,0)),"")</f>
        <v/>
      </c>
      <c r="AG166">
        <f>IF(AND(AE166&lt;&gt;"",AF166&lt;&gt;""),ROUNDUP((AF166-AE166)/7,0),"")</f>
        <v/>
      </c>
      <c r="AI166">
        <f>IFERROR(IF(AG166*AH166=0,"",AG166*AH166),"")</f>
        <v/>
      </c>
      <c r="AL166">
        <f>IF(AND(AJ166&lt;&gt;"",AK166&lt;&gt;""),ROUNDUP((AK166-AJ166)/7,0),"")</f>
        <v/>
      </c>
      <c r="AN166">
        <f>IFERROR(IF(AL166*AM166=0,"",AL166*AM166),"")</f>
        <v/>
      </c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L166">
        <f>IFERROR(INDEX('_names_lookup'!$C:$C,MATCH(BK166,'_names_lookup'!$A:$A,0)),"")</f>
        <v/>
      </c>
      <c r="BM166">
        <f>IFERROR(INDEX('_names_lookup'!$B:$B,MATCH(BK166,'_names_lookup'!$A:$A,0)),"")</f>
        <v/>
      </c>
      <c r="BS166">
        <f>IFERROR(IF(BR166*AA166=0,"",BR166*AA166),"")</f>
        <v/>
      </c>
    </row>
    <row r="167">
      <c r="O167">
        <f>IFERROR(INDEX('_courses_lookup'!$C:$C,MATCH(K167&amp;L167,'_courses_lookup'!$E:$E,0)),"")</f>
        <v/>
      </c>
      <c r="P167">
        <f>IFERROR(INDEX('_courses_lookup'!$D:$D,MATCH(K167&amp;L167,'_courses_lookup'!$E:$E,0)),"")</f>
        <v/>
      </c>
      <c r="AG167">
        <f>IF(AND(AE167&lt;&gt;"",AF167&lt;&gt;""),ROUNDUP((AF167-AE167)/7,0),"")</f>
        <v/>
      </c>
      <c r="AI167">
        <f>IFERROR(IF(AG167*AH167=0,"",AG167*AH167),"")</f>
        <v/>
      </c>
      <c r="AL167">
        <f>IF(AND(AJ167&lt;&gt;"",AK167&lt;&gt;""),ROUNDUP((AK167-AJ167)/7,0),"")</f>
        <v/>
      </c>
      <c r="AN167">
        <f>IFERROR(IF(AL167*AM167=0,"",AL167*AM167),"")</f>
        <v/>
      </c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L167">
        <f>IFERROR(INDEX('_names_lookup'!$C:$C,MATCH(BK167,'_names_lookup'!$A:$A,0)),"")</f>
        <v/>
      </c>
      <c r="BM167">
        <f>IFERROR(INDEX('_names_lookup'!$B:$B,MATCH(BK167,'_names_lookup'!$A:$A,0)),"")</f>
        <v/>
      </c>
      <c r="BS167">
        <f>IFERROR(IF(BR167*AA167=0,"",BR167*AA167),"")</f>
        <v/>
      </c>
    </row>
    <row r="168">
      <c r="O168">
        <f>IFERROR(INDEX('_courses_lookup'!$C:$C,MATCH(K168&amp;L168,'_courses_lookup'!$E:$E,0)),"")</f>
        <v/>
      </c>
      <c r="P168">
        <f>IFERROR(INDEX('_courses_lookup'!$D:$D,MATCH(K168&amp;L168,'_courses_lookup'!$E:$E,0)),"")</f>
        <v/>
      </c>
      <c r="AG168">
        <f>IF(AND(AE168&lt;&gt;"",AF168&lt;&gt;""),ROUNDUP((AF168-AE168)/7,0),"")</f>
        <v/>
      </c>
      <c r="AI168">
        <f>IFERROR(IF(AG168*AH168=0,"",AG168*AH168),"")</f>
        <v/>
      </c>
      <c r="AL168">
        <f>IF(AND(AJ168&lt;&gt;"",AK168&lt;&gt;""),ROUNDUP((AK168-AJ168)/7,0),"")</f>
        <v/>
      </c>
      <c r="AN168">
        <f>IFERROR(IF(AL168*AM168=0,"",AL168*AM168),"")</f>
        <v/>
      </c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L168">
        <f>IFERROR(INDEX('_names_lookup'!$C:$C,MATCH(BK168,'_names_lookup'!$A:$A,0)),"")</f>
        <v/>
      </c>
      <c r="BM168">
        <f>IFERROR(INDEX('_names_lookup'!$B:$B,MATCH(BK168,'_names_lookup'!$A:$A,0)),"")</f>
        <v/>
      </c>
      <c r="BS168">
        <f>IFERROR(IF(BR168*AA168=0,"",BR168*AA168),"")</f>
        <v/>
      </c>
    </row>
    <row r="169">
      <c r="O169">
        <f>IFERROR(INDEX('_courses_lookup'!$C:$C,MATCH(K169&amp;L169,'_courses_lookup'!$E:$E,0)),"")</f>
        <v/>
      </c>
      <c r="P169">
        <f>IFERROR(INDEX('_courses_lookup'!$D:$D,MATCH(K169&amp;L169,'_courses_lookup'!$E:$E,0)),"")</f>
        <v/>
      </c>
      <c r="AG169">
        <f>IF(AND(AE169&lt;&gt;"",AF169&lt;&gt;""),ROUNDUP((AF169-AE169)/7,0),"")</f>
        <v/>
      </c>
      <c r="AI169">
        <f>IFERROR(IF(AG169*AH169=0,"",AG169*AH169),"")</f>
        <v/>
      </c>
      <c r="AL169">
        <f>IF(AND(AJ169&lt;&gt;"",AK169&lt;&gt;""),ROUNDUP((AK169-AJ169)/7,0),"")</f>
        <v/>
      </c>
      <c r="AN169">
        <f>IFERROR(IF(AL169*AM169=0,"",AL169*AM169),"")</f>
        <v/>
      </c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L169">
        <f>IFERROR(INDEX('_names_lookup'!$C:$C,MATCH(BK169,'_names_lookup'!$A:$A,0)),"")</f>
        <v/>
      </c>
      <c r="BM169">
        <f>IFERROR(INDEX('_names_lookup'!$B:$B,MATCH(BK169,'_names_lookup'!$A:$A,0)),"")</f>
        <v/>
      </c>
      <c r="BS169">
        <f>IFERROR(IF(BR169*AA169=0,"",BR169*AA169),"")</f>
        <v/>
      </c>
    </row>
    <row r="170">
      <c r="O170">
        <f>IFERROR(INDEX('_courses_lookup'!$C:$C,MATCH(K170&amp;L170,'_courses_lookup'!$E:$E,0)),"")</f>
        <v/>
      </c>
      <c r="P170">
        <f>IFERROR(INDEX('_courses_lookup'!$D:$D,MATCH(K170&amp;L170,'_courses_lookup'!$E:$E,0)),"")</f>
        <v/>
      </c>
      <c r="AG170">
        <f>IF(AND(AE170&lt;&gt;"",AF170&lt;&gt;""),ROUNDUP((AF170-AE170)/7,0),"")</f>
        <v/>
      </c>
      <c r="AI170">
        <f>IFERROR(IF(AG170*AH170=0,"",AG170*AH170),"")</f>
        <v/>
      </c>
      <c r="AL170">
        <f>IF(AND(AJ170&lt;&gt;"",AK170&lt;&gt;""),ROUNDUP((AK170-AJ170)/7,0),"")</f>
        <v/>
      </c>
      <c r="AN170">
        <f>IFERROR(IF(AL170*AM170=0,"",AL170*AM170),"")</f>
        <v/>
      </c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L170">
        <f>IFERROR(INDEX('_names_lookup'!$C:$C,MATCH(BK170,'_names_lookup'!$A:$A,0)),"")</f>
        <v/>
      </c>
      <c r="BM170">
        <f>IFERROR(INDEX('_names_lookup'!$B:$B,MATCH(BK170,'_names_lookup'!$A:$A,0)),"")</f>
        <v/>
      </c>
      <c r="BS170">
        <f>IFERROR(IF(BR170*AA170=0,"",BR170*AA170),"")</f>
        <v/>
      </c>
    </row>
    <row r="171">
      <c r="O171">
        <f>IFERROR(INDEX('_courses_lookup'!$C:$C,MATCH(K171&amp;L171,'_courses_lookup'!$E:$E,0)),"")</f>
        <v/>
      </c>
      <c r="P171">
        <f>IFERROR(INDEX('_courses_lookup'!$D:$D,MATCH(K171&amp;L171,'_courses_lookup'!$E:$E,0)),"")</f>
        <v/>
      </c>
      <c r="AG171">
        <f>IF(AND(AE171&lt;&gt;"",AF171&lt;&gt;""),ROUNDUP((AF171-AE171)/7,0),"")</f>
        <v/>
      </c>
      <c r="AI171">
        <f>IFERROR(IF(AG171*AH171=0,"",AG171*AH171),"")</f>
        <v/>
      </c>
      <c r="AL171">
        <f>IF(AND(AJ171&lt;&gt;"",AK171&lt;&gt;""),ROUNDUP((AK171-AJ171)/7,0),"")</f>
        <v/>
      </c>
      <c r="AN171">
        <f>IFERROR(IF(AL171*AM171=0,"",AL171*AM171),"")</f>
        <v/>
      </c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L171">
        <f>IFERROR(INDEX('_names_lookup'!$C:$C,MATCH(BK171,'_names_lookup'!$A:$A,0)),"")</f>
        <v/>
      </c>
      <c r="BM171">
        <f>IFERROR(INDEX('_names_lookup'!$B:$B,MATCH(BK171,'_names_lookup'!$A:$A,0)),"")</f>
        <v/>
      </c>
      <c r="BS171">
        <f>IFERROR(IF(BR171*AA171=0,"",BR171*AA171),"")</f>
        <v/>
      </c>
    </row>
    <row r="172">
      <c r="O172">
        <f>IFERROR(INDEX('_courses_lookup'!$C:$C,MATCH(K172&amp;L172,'_courses_lookup'!$E:$E,0)),"")</f>
        <v/>
      </c>
      <c r="P172">
        <f>IFERROR(INDEX('_courses_lookup'!$D:$D,MATCH(K172&amp;L172,'_courses_lookup'!$E:$E,0)),"")</f>
        <v/>
      </c>
      <c r="AG172">
        <f>IF(AND(AE172&lt;&gt;"",AF172&lt;&gt;""),ROUNDUP((AF172-AE172)/7,0),"")</f>
        <v/>
      </c>
      <c r="AI172">
        <f>IFERROR(IF(AG172*AH172=0,"",AG172*AH172),"")</f>
        <v/>
      </c>
      <c r="AL172">
        <f>IF(AND(AJ172&lt;&gt;"",AK172&lt;&gt;""),ROUNDUP((AK172-AJ172)/7,0),"")</f>
        <v/>
      </c>
      <c r="AN172">
        <f>IFERROR(IF(AL172*AM172=0,"",AL172*AM172),"")</f>
        <v/>
      </c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L172">
        <f>IFERROR(INDEX('_names_lookup'!$C:$C,MATCH(BK172,'_names_lookup'!$A:$A,0)),"")</f>
        <v/>
      </c>
      <c r="BM172">
        <f>IFERROR(INDEX('_names_lookup'!$B:$B,MATCH(BK172,'_names_lookup'!$A:$A,0)),"")</f>
        <v/>
      </c>
      <c r="BS172">
        <f>IFERROR(IF(BR172*AA172=0,"",BR172*AA172),"")</f>
        <v/>
      </c>
    </row>
    <row r="173">
      <c r="O173">
        <f>IFERROR(INDEX('_courses_lookup'!$C:$C,MATCH(K173&amp;L173,'_courses_lookup'!$E:$E,0)),"")</f>
        <v/>
      </c>
      <c r="P173">
        <f>IFERROR(INDEX('_courses_lookup'!$D:$D,MATCH(K173&amp;L173,'_courses_lookup'!$E:$E,0)),"")</f>
        <v/>
      </c>
      <c r="AG173">
        <f>IF(AND(AE173&lt;&gt;"",AF173&lt;&gt;""),ROUNDUP((AF173-AE173)/7,0),"")</f>
        <v/>
      </c>
      <c r="AI173">
        <f>IFERROR(IF(AG173*AH173=0,"",AG173*AH173),"")</f>
        <v/>
      </c>
      <c r="AL173">
        <f>IF(AND(AJ173&lt;&gt;"",AK173&lt;&gt;""),ROUNDUP((AK173-AJ173)/7,0),"")</f>
        <v/>
      </c>
      <c r="AN173">
        <f>IFERROR(IF(AL173*AM173=0,"",AL173*AM173),"")</f>
        <v/>
      </c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L173">
        <f>IFERROR(INDEX('_names_lookup'!$C:$C,MATCH(BK173,'_names_lookup'!$A:$A,0)),"")</f>
        <v/>
      </c>
      <c r="BM173">
        <f>IFERROR(INDEX('_names_lookup'!$B:$B,MATCH(BK173,'_names_lookup'!$A:$A,0)),"")</f>
        <v/>
      </c>
      <c r="BS173">
        <f>IFERROR(IF(BR173*AA173=0,"",BR173*AA173),"")</f>
        <v/>
      </c>
    </row>
    <row r="174">
      <c r="O174">
        <f>IFERROR(INDEX('_courses_lookup'!$C:$C,MATCH(K174&amp;L174,'_courses_lookup'!$E:$E,0)),"")</f>
        <v/>
      </c>
      <c r="P174">
        <f>IFERROR(INDEX('_courses_lookup'!$D:$D,MATCH(K174&amp;L174,'_courses_lookup'!$E:$E,0)),"")</f>
        <v/>
      </c>
      <c r="AG174">
        <f>IF(AND(AE174&lt;&gt;"",AF174&lt;&gt;""),ROUNDUP((AF174-AE174)/7,0),"")</f>
        <v/>
      </c>
      <c r="AI174">
        <f>IFERROR(IF(AG174*AH174=0,"",AG174*AH174),"")</f>
        <v/>
      </c>
      <c r="AL174">
        <f>IF(AND(AJ174&lt;&gt;"",AK174&lt;&gt;""),ROUNDUP((AK174-AJ174)/7,0),"")</f>
        <v/>
      </c>
      <c r="AN174">
        <f>IFERROR(IF(AL174*AM174=0,"",AL174*AM174),"")</f>
        <v/>
      </c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L174">
        <f>IFERROR(INDEX('_names_lookup'!$C:$C,MATCH(BK174,'_names_lookup'!$A:$A,0)),"")</f>
        <v/>
      </c>
      <c r="BM174">
        <f>IFERROR(INDEX('_names_lookup'!$B:$B,MATCH(BK174,'_names_lookup'!$A:$A,0)),"")</f>
        <v/>
      </c>
      <c r="BS174">
        <f>IFERROR(IF(BR174*AA174=0,"",BR174*AA174),"")</f>
        <v/>
      </c>
    </row>
    <row r="175">
      <c r="O175">
        <f>IFERROR(INDEX('_courses_lookup'!$C:$C,MATCH(K175&amp;L175,'_courses_lookup'!$E:$E,0)),"")</f>
        <v/>
      </c>
      <c r="P175">
        <f>IFERROR(INDEX('_courses_lookup'!$D:$D,MATCH(K175&amp;L175,'_courses_lookup'!$E:$E,0)),"")</f>
        <v/>
      </c>
      <c r="AG175">
        <f>IF(AND(AE175&lt;&gt;"",AF175&lt;&gt;""),ROUNDUP((AF175-AE175)/7,0),"")</f>
        <v/>
      </c>
      <c r="AI175">
        <f>IFERROR(IF(AG175*AH175=0,"",AG175*AH175),"")</f>
        <v/>
      </c>
      <c r="AL175">
        <f>IF(AND(AJ175&lt;&gt;"",AK175&lt;&gt;""),ROUNDUP((AK175-AJ175)/7,0),"")</f>
        <v/>
      </c>
      <c r="AN175">
        <f>IFERROR(IF(AL175*AM175=0,"",AL175*AM175),"")</f>
        <v/>
      </c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L175">
        <f>IFERROR(INDEX('_names_lookup'!$C:$C,MATCH(BK175,'_names_lookup'!$A:$A,0)),"")</f>
        <v/>
      </c>
      <c r="BM175">
        <f>IFERROR(INDEX('_names_lookup'!$B:$B,MATCH(BK175,'_names_lookup'!$A:$A,0)),"")</f>
        <v/>
      </c>
      <c r="BS175">
        <f>IFERROR(IF(BR175*AA175=0,"",BR175*AA175),"")</f>
        <v/>
      </c>
    </row>
    <row r="176">
      <c r="O176">
        <f>IFERROR(INDEX('_courses_lookup'!$C:$C,MATCH(K176&amp;L176,'_courses_lookup'!$E:$E,0)),"")</f>
        <v/>
      </c>
      <c r="P176">
        <f>IFERROR(INDEX('_courses_lookup'!$D:$D,MATCH(K176&amp;L176,'_courses_lookup'!$E:$E,0)),"")</f>
        <v/>
      </c>
      <c r="AG176">
        <f>IF(AND(AE176&lt;&gt;"",AF176&lt;&gt;""),ROUNDUP((AF176-AE176)/7,0),"")</f>
        <v/>
      </c>
      <c r="AI176">
        <f>IFERROR(IF(AG176*AH176=0,"",AG176*AH176),"")</f>
        <v/>
      </c>
      <c r="AL176">
        <f>IF(AND(AJ176&lt;&gt;"",AK176&lt;&gt;""),ROUNDUP((AK176-AJ176)/7,0),"")</f>
        <v/>
      </c>
      <c r="AN176">
        <f>IFERROR(IF(AL176*AM176=0,"",AL176*AM176),"")</f>
        <v/>
      </c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L176">
        <f>IFERROR(INDEX('_names_lookup'!$C:$C,MATCH(BK176,'_names_lookup'!$A:$A,0)),"")</f>
        <v/>
      </c>
      <c r="BM176">
        <f>IFERROR(INDEX('_names_lookup'!$B:$B,MATCH(BK176,'_names_lookup'!$A:$A,0)),"")</f>
        <v/>
      </c>
      <c r="BS176">
        <f>IFERROR(IF(BR176*AA176=0,"",BR176*AA176),"")</f>
        <v/>
      </c>
    </row>
    <row r="177">
      <c r="O177">
        <f>IFERROR(INDEX('_courses_lookup'!$C:$C,MATCH(K177&amp;L177,'_courses_lookup'!$E:$E,0)),"")</f>
        <v/>
      </c>
      <c r="P177">
        <f>IFERROR(INDEX('_courses_lookup'!$D:$D,MATCH(K177&amp;L177,'_courses_lookup'!$E:$E,0)),"")</f>
        <v/>
      </c>
      <c r="AG177">
        <f>IF(AND(AE177&lt;&gt;"",AF177&lt;&gt;""),ROUNDUP((AF177-AE177)/7,0),"")</f>
        <v/>
      </c>
      <c r="AI177">
        <f>IFERROR(IF(AG177*AH177=0,"",AG177*AH177),"")</f>
        <v/>
      </c>
      <c r="AL177">
        <f>IF(AND(AJ177&lt;&gt;"",AK177&lt;&gt;""),ROUNDUP((AK177-AJ177)/7,0),"")</f>
        <v/>
      </c>
      <c r="AN177">
        <f>IFERROR(IF(AL177*AM177=0,"",AL177*AM177),"")</f>
        <v/>
      </c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L177">
        <f>IFERROR(INDEX('_names_lookup'!$C:$C,MATCH(BK177,'_names_lookup'!$A:$A,0)),"")</f>
        <v/>
      </c>
      <c r="BM177">
        <f>IFERROR(INDEX('_names_lookup'!$B:$B,MATCH(BK177,'_names_lookup'!$A:$A,0)),"")</f>
        <v/>
      </c>
      <c r="BS177">
        <f>IFERROR(IF(BR177*AA177=0,"",BR177*AA177),"")</f>
        <v/>
      </c>
    </row>
    <row r="178">
      <c r="O178">
        <f>IFERROR(INDEX('_courses_lookup'!$C:$C,MATCH(K178&amp;L178,'_courses_lookup'!$E:$E,0)),"")</f>
        <v/>
      </c>
      <c r="P178">
        <f>IFERROR(INDEX('_courses_lookup'!$D:$D,MATCH(K178&amp;L178,'_courses_lookup'!$E:$E,0)),"")</f>
        <v/>
      </c>
      <c r="AG178">
        <f>IF(AND(AE178&lt;&gt;"",AF178&lt;&gt;""),ROUNDUP((AF178-AE178)/7,0),"")</f>
        <v/>
      </c>
      <c r="AI178">
        <f>IFERROR(IF(AG178*AH178=0,"",AG178*AH178),"")</f>
        <v/>
      </c>
      <c r="AL178">
        <f>IF(AND(AJ178&lt;&gt;"",AK178&lt;&gt;""),ROUNDUP((AK178-AJ178)/7,0),"")</f>
        <v/>
      </c>
      <c r="AN178">
        <f>IFERROR(IF(AL178*AM178=0,"",AL178*AM178),"")</f>
        <v/>
      </c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L178">
        <f>IFERROR(INDEX('_names_lookup'!$C:$C,MATCH(BK178,'_names_lookup'!$A:$A,0)),"")</f>
        <v/>
      </c>
      <c r="BM178">
        <f>IFERROR(INDEX('_names_lookup'!$B:$B,MATCH(BK178,'_names_lookup'!$A:$A,0)),"")</f>
        <v/>
      </c>
      <c r="BS178">
        <f>IFERROR(IF(BR178*AA178=0,"",BR178*AA178),"")</f>
        <v/>
      </c>
    </row>
    <row r="179">
      <c r="O179">
        <f>IFERROR(INDEX('_courses_lookup'!$C:$C,MATCH(K179&amp;L179,'_courses_lookup'!$E:$E,0)),"")</f>
        <v/>
      </c>
      <c r="P179">
        <f>IFERROR(INDEX('_courses_lookup'!$D:$D,MATCH(K179&amp;L179,'_courses_lookup'!$E:$E,0)),"")</f>
        <v/>
      </c>
      <c r="AG179">
        <f>IF(AND(AE179&lt;&gt;"",AF179&lt;&gt;""),ROUNDUP((AF179-AE179)/7,0),"")</f>
        <v/>
      </c>
      <c r="AI179">
        <f>IFERROR(IF(AG179*AH179=0,"",AG179*AH179),"")</f>
        <v/>
      </c>
      <c r="AL179">
        <f>IF(AND(AJ179&lt;&gt;"",AK179&lt;&gt;""),ROUNDUP((AK179-AJ179)/7,0),"")</f>
        <v/>
      </c>
      <c r="AN179">
        <f>IFERROR(IF(AL179*AM179=0,"",AL179*AM179),"")</f>
        <v/>
      </c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L179">
        <f>IFERROR(INDEX('_names_lookup'!$C:$C,MATCH(BK179,'_names_lookup'!$A:$A,0)),"")</f>
        <v/>
      </c>
      <c r="BM179">
        <f>IFERROR(INDEX('_names_lookup'!$B:$B,MATCH(BK179,'_names_lookup'!$A:$A,0)),"")</f>
        <v/>
      </c>
      <c r="BS179">
        <f>IFERROR(IF(BR179*AA179=0,"",BR179*AA179),"")</f>
        <v/>
      </c>
    </row>
    <row r="180">
      <c r="O180">
        <f>IFERROR(INDEX('_courses_lookup'!$C:$C,MATCH(K180&amp;L180,'_courses_lookup'!$E:$E,0)),"")</f>
        <v/>
      </c>
      <c r="P180">
        <f>IFERROR(INDEX('_courses_lookup'!$D:$D,MATCH(K180&amp;L180,'_courses_lookup'!$E:$E,0)),"")</f>
        <v/>
      </c>
      <c r="AG180">
        <f>IF(AND(AE180&lt;&gt;"",AF180&lt;&gt;""),ROUNDUP((AF180-AE180)/7,0),"")</f>
        <v/>
      </c>
      <c r="AI180">
        <f>IFERROR(IF(AG180*AH180=0,"",AG180*AH180),"")</f>
        <v/>
      </c>
      <c r="AL180">
        <f>IF(AND(AJ180&lt;&gt;"",AK180&lt;&gt;""),ROUNDUP((AK180-AJ180)/7,0),"")</f>
        <v/>
      </c>
      <c r="AN180">
        <f>IFERROR(IF(AL180*AM180=0,"",AL180*AM180),"")</f>
        <v/>
      </c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L180">
        <f>IFERROR(INDEX('_names_lookup'!$C:$C,MATCH(BK180,'_names_lookup'!$A:$A,0)),"")</f>
        <v/>
      </c>
      <c r="BM180">
        <f>IFERROR(INDEX('_names_lookup'!$B:$B,MATCH(BK180,'_names_lookup'!$A:$A,0)),"")</f>
        <v/>
      </c>
      <c r="BS180">
        <f>IFERROR(IF(BR180*AA180=0,"",BR180*AA180),"")</f>
        <v/>
      </c>
    </row>
    <row r="181">
      <c r="O181">
        <f>IFERROR(INDEX('_courses_lookup'!$C:$C,MATCH(K181&amp;L181,'_courses_lookup'!$E:$E,0)),"")</f>
        <v/>
      </c>
      <c r="P181">
        <f>IFERROR(INDEX('_courses_lookup'!$D:$D,MATCH(K181&amp;L181,'_courses_lookup'!$E:$E,0)),"")</f>
        <v/>
      </c>
      <c r="AG181">
        <f>IF(AND(AE181&lt;&gt;"",AF181&lt;&gt;""),ROUNDUP((AF181-AE181)/7,0),"")</f>
        <v/>
      </c>
      <c r="AI181">
        <f>IFERROR(IF(AG181*AH181=0,"",AG181*AH181),"")</f>
        <v/>
      </c>
      <c r="AL181">
        <f>IF(AND(AJ181&lt;&gt;"",AK181&lt;&gt;""),ROUNDUP((AK181-AJ181)/7,0),"")</f>
        <v/>
      </c>
      <c r="AN181">
        <f>IFERROR(IF(AL181*AM181=0,"",AL181*AM181),"")</f>
        <v/>
      </c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L181">
        <f>IFERROR(INDEX('_names_lookup'!$C:$C,MATCH(BK181,'_names_lookup'!$A:$A,0)),"")</f>
        <v/>
      </c>
      <c r="BM181">
        <f>IFERROR(INDEX('_names_lookup'!$B:$B,MATCH(BK181,'_names_lookup'!$A:$A,0)),"")</f>
        <v/>
      </c>
      <c r="BS181">
        <f>IFERROR(IF(BR181*AA181=0,"",BR181*AA181),"")</f>
        <v/>
      </c>
    </row>
    <row r="182">
      <c r="O182">
        <f>IFERROR(INDEX('_courses_lookup'!$C:$C,MATCH(K182&amp;L182,'_courses_lookup'!$E:$E,0)),"")</f>
        <v/>
      </c>
      <c r="P182">
        <f>IFERROR(INDEX('_courses_lookup'!$D:$D,MATCH(K182&amp;L182,'_courses_lookup'!$E:$E,0)),"")</f>
        <v/>
      </c>
      <c r="AG182">
        <f>IF(AND(AE182&lt;&gt;"",AF182&lt;&gt;""),ROUNDUP((AF182-AE182)/7,0),"")</f>
        <v/>
      </c>
      <c r="AI182">
        <f>IFERROR(IF(AG182*AH182=0,"",AG182*AH182),"")</f>
        <v/>
      </c>
      <c r="AL182">
        <f>IF(AND(AJ182&lt;&gt;"",AK182&lt;&gt;""),ROUNDUP((AK182-AJ182)/7,0),"")</f>
        <v/>
      </c>
      <c r="AN182">
        <f>IFERROR(IF(AL182*AM182=0,"",AL182*AM182),"")</f>
        <v/>
      </c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L182">
        <f>IFERROR(INDEX('_names_lookup'!$C:$C,MATCH(BK182,'_names_lookup'!$A:$A,0)),"")</f>
        <v/>
      </c>
      <c r="BM182">
        <f>IFERROR(INDEX('_names_lookup'!$B:$B,MATCH(BK182,'_names_lookup'!$A:$A,0)),"")</f>
        <v/>
      </c>
      <c r="BS182">
        <f>IFERROR(IF(BR182*AA182=0,"",BR182*AA182),"")</f>
        <v/>
      </c>
    </row>
    <row r="183">
      <c r="O183">
        <f>IFERROR(INDEX('_courses_lookup'!$C:$C,MATCH(K183&amp;L183,'_courses_lookup'!$E:$E,0)),"")</f>
        <v/>
      </c>
      <c r="P183">
        <f>IFERROR(INDEX('_courses_lookup'!$D:$D,MATCH(K183&amp;L183,'_courses_lookup'!$E:$E,0)),"")</f>
        <v/>
      </c>
      <c r="AG183">
        <f>IF(AND(AE183&lt;&gt;"",AF183&lt;&gt;""),ROUNDUP((AF183-AE183)/7,0),"")</f>
        <v/>
      </c>
      <c r="AI183">
        <f>IFERROR(IF(AG183*AH183=0,"",AG183*AH183),"")</f>
        <v/>
      </c>
      <c r="AL183">
        <f>IF(AND(AJ183&lt;&gt;"",AK183&lt;&gt;""),ROUNDUP((AK183-AJ183)/7,0),"")</f>
        <v/>
      </c>
      <c r="AN183">
        <f>IFERROR(IF(AL183*AM183=0,"",AL183*AM183),"")</f>
        <v/>
      </c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L183">
        <f>IFERROR(INDEX('_names_lookup'!$C:$C,MATCH(BK183,'_names_lookup'!$A:$A,0)),"")</f>
        <v/>
      </c>
      <c r="BM183">
        <f>IFERROR(INDEX('_names_lookup'!$B:$B,MATCH(BK183,'_names_lookup'!$A:$A,0)),"")</f>
        <v/>
      </c>
      <c r="BS183">
        <f>IFERROR(IF(BR183*AA183=0,"",BR183*AA183),"")</f>
        <v/>
      </c>
    </row>
    <row r="184">
      <c r="O184">
        <f>IFERROR(INDEX('_courses_lookup'!$C:$C,MATCH(K184&amp;L184,'_courses_lookup'!$E:$E,0)),"")</f>
        <v/>
      </c>
      <c r="P184">
        <f>IFERROR(INDEX('_courses_lookup'!$D:$D,MATCH(K184&amp;L184,'_courses_lookup'!$E:$E,0)),"")</f>
        <v/>
      </c>
      <c r="AG184">
        <f>IF(AND(AE184&lt;&gt;"",AF184&lt;&gt;""),ROUNDUP((AF184-AE184)/7,0),"")</f>
        <v/>
      </c>
      <c r="AI184">
        <f>IFERROR(IF(AG184*AH184=0,"",AG184*AH184),"")</f>
        <v/>
      </c>
      <c r="AL184">
        <f>IF(AND(AJ184&lt;&gt;"",AK184&lt;&gt;""),ROUNDUP((AK184-AJ184)/7,0),"")</f>
        <v/>
      </c>
      <c r="AN184">
        <f>IFERROR(IF(AL184*AM184=0,"",AL184*AM184),"")</f>
        <v/>
      </c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L184">
        <f>IFERROR(INDEX('_names_lookup'!$C:$C,MATCH(BK184,'_names_lookup'!$A:$A,0)),"")</f>
        <v/>
      </c>
      <c r="BM184">
        <f>IFERROR(INDEX('_names_lookup'!$B:$B,MATCH(BK184,'_names_lookup'!$A:$A,0)),"")</f>
        <v/>
      </c>
      <c r="BS184">
        <f>IFERROR(IF(BR184*AA184=0,"",BR184*AA184),"")</f>
        <v/>
      </c>
    </row>
    <row r="185">
      <c r="O185">
        <f>IFERROR(INDEX('_courses_lookup'!$C:$C,MATCH(K185&amp;L185,'_courses_lookup'!$E:$E,0)),"")</f>
        <v/>
      </c>
      <c r="P185">
        <f>IFERROR(INDEX('_courses_lookup'!$D:$D,MATCH(K185&amp;L185,'_courses_lookup'!$E:$E,0)),"")</f>
        <v/>
      </c>
      <c r="AG185">
        <f>IF(AND(AE185&lt;&gt;"",AF185&lt;&gt;""),ROUNDUP((AF185-AE185)/7,0),"")</f>
        <v/>
      </c>
      <c r="AI185">
        <f>IFERROR(IF(AG185*AH185=0,"",AG185*AH185),"")</f>
        <v/>
      </c>
      <c r="AL185">
        <f>IF(AND(AJ185&lt;&gt;"",AK185&lt;&gt;""),ROUNDUP((AK185-AJ185)/7,0),"")</f>
        <v/>
      </c>
      <c r="AN185">
        <f>IFERROR(IF(AL185*AM185=0,"",AL185*AM185),"")</f>
        <v/>
      </c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L185">
        <f>IFERROR(INDEX('_names_lookup'!$C:$C,MATCH(BK185,'_names_lookup'!$A:$A,0)),"")</f>
        <v/>
      </c>
      <c r="BM185">
        <f>IFERROR(INDEX('_names_lookup'!$B:$B,MATCH(BK185,'_names_lookup'!$A:$A,0)),"")</f>
        <v/>
      </c>
      <c r="BS185">
        <f>IFERROR(IF(BR185*AA185=0,"",BR185*AA185),"")</f>
        <v/>
      </c>
    </row>
    <row r="186">
      <c r="O186">
        <f>IFERROR(INDEX('_courses_lookup'!$C:$C,MATCH(K186&amp;L186,'_courses_lookup'!$E:$E,0)),"")</f>
        <v/>
      </c>
      <c r="P186">
        <f>IFERROR(INDEX('_courses_lookup'!$D:$D,MATCH(K186&amp;L186,'_courses_lookup'!$E:$E,0)),"")</f>
        <v/>
      </c>
      <c r="AG186">
        <f>IF(AND(AE186&lt;&gt;"",AF186&lt;&gt;""),ROUNDUP((AF186-AE186)/7,0),"")</f>
        <v/>
      </c>
      <c r="AI186">
        <f>IFERROR(IF(AG186*AH186=0,"",AG186*AH186),"")</f>
        <v/>
      </c>
      <c r="AL186">
        <f>IF(AND(AJ186&lt;&gt;"",AK186&lt;&gt;""),ROUNDUP((AK186-AJ186)/7,0),"")</f>
        <v/>
      </c>
      <c r="AN186">
        <f>IFERROR(IF(AL186*AM186=0,"",AL186*AM186),"")</f>
        <v/>
      </c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L186">
        <f>IFERROR(INDEX('_names_lookup'!$C:$C,MATCH(BK186,'_names_lookup'!$A:$A,0)),"")</f>
        <v/>
      </c>
      <c r="BM186">
        <f>IFERROR(INDEX('_names_lookup'!$B:$B,MATCH(BK186,'_names_lookup'!$A:$A,0)),"")</f>
        <v/>
      </c>
      <c r="BS186">
        <f>IFERROR(IF(BR186*AA186=0,"",BR186*AA186),"")</f>
        <v/>
      </c>
    </row>
    <row r="187">
      <c r="O187">
        <f>IFERROR(INDEX('_courses_lookup'!$C:$C,MATCH(K187&amp;L187,'_courses_lookup'!$E:$E,0)),"")</f>
        <v/>
      </c>
      <c r="P187">
        <f>IFERROR(INDEX('_courses_lookup'!$D:$D,MATCH(K187&amp;L187,'_courses_lookup'!$E:$E,0)),"")</f>
        <v/>
      </c>
      <c r="AG187">
        <f>IF(AND(AE187&lt;&gt;"",AF187&lt;&gt;""),ROUNDUP((AF187-AE187)/7,0),"")</f>
        <v/>
      </c>
      <c r="AI187">
        <f>IFERROR(IF(AG187*AH187=0,"",AG187*AH187),"")</f>
        <v/>
      </c>
      <c r="AL187">
        <f>IF(AND(AJ187&lt;&gt;"",AK187&lt;&gt;""),ROUNDUP((AK187-AJ187)/7,0),"")</f>
        <v/>
      </c>
      <c r="AN187">
        <f>IFERROR(IF(AL187*AM187=0,"",AL187*AM187),"")</f>
        <v/>
      </c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L187">
        <f>IFERROR(INDEX('_names_lookup'!$C:$C,MATCH(BK187,'_names_lookup'!$A:$A,0)),"")</f>
        <v/>
      </c>
      <c r="BM187">
        <f>IFERROR(INDEX('_names_lookup'!$B:$B,MATCH(BK187,'_names_lookup'!$A:$A,0)),"")</f>
        <v/>
      </c>
      <c r="BS187">
        <f>IFERROR(IF(BR187*AA187=0,"",BR187*AA187),"")</f>
        <v/>
      </c>
    </row>
    <row r="188">
      <c r="O188">
        <f>IFERROR(INDEX('_courses_lookup'!$C:$C,MATCH(K188&amp;L188,'_courses_lookup'!$E:$E,0)),"")</f>
        <v/>
      </c>
      <c r="P188">
        <f>IFERROR(INDEX('_courses_lookup'!$D:$D,MATCH(K188&amp;L188,'_courses_lookup'!$E:$E,0)),"")</f>
        <v/>
      </c>
      <c r="AG188">
        <f>IF(AND(AE188&lt;&gt;"",AF188&lt;&gt;""),ROUNDUP((AF188-AE188)/7,0),"")</f>
        <v/>
      </c>
      <c r="AI188">
        <f>IFERROR(IF(AG188*AH188=0,"",AG188*AH188),"")</f>
        <v/>
      </c>
      <c r="AL188">
        <f>IF(AND(AJ188&lt;&gt;"",AK188&lt;&gt;""),ROUNDUP((AK188-AJ188)/7,0),"")</f>
        <v/>
      </c>
      <c r="AN188">
        <f>IFERROR(IF(AL188*AM188=0,"",AL188*AM188),"")</f>
        <v/>
      </c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L188">
        <f>IFERROR(INDEX('_names_lookup'!$C:$C,MATCH(BK188,'_names_lookup'!$A:$A,0)),"")</f>
        <v/>
      </c>
      <c r="BM188">
        <f>IFERROR(INDEX('_names_lookup'!$B:$B,MATCH(BK188,'_names_lookup'!$A:$A,0)),"")</f>
        <v/>
      </c>
      <c r="BS188">
        <f>IFERROR(IF(BR188*AA188=0,"",BR188*AA188),"")</f>
        <v/>
      </c>
    </row>
    <row r="189">
      <c r="O189">
        <f>IFERROR(INDEX('_courses_lookup'!$C:$C,MATCH(K189&amp;L189,'_courses_lookup'!$E:$E,0)),"")</f>
        <v/>
      </c>
      <c r="P189">
        <f>IFERROR(INDEX('_courses_lookup'!$D:$D,MATCH(K189&amp;L189,'_courses_lookup'!$E:$E,0)),"")</f>
        <v/>
      </c>
      <c r="AG189">
        <f>IF(AND(AE189&lt;&gt;"",AF189&lt;&gt;""),ROUNDUP((AF189-AE189)/7,0),"")</f>
        <v/>
      </c>
      <c r="AI189">
        <f>IFERROR(IF(AG189*AH189=0,"",AG189*AH189),"")</f>
        <v/>
      </c>
      <c r="AL189">
        <f>IF(AND(AJ189&lt;&gt;"",AK189&lt;&gt;""),ROUNDUP((AK189-AJ189)/7,0),"")</f>
        <v/>
      </c>
      <c r="AN189">
        <f>IFERROR(IF(AL189*AM189=0,"",AL189*AM189),"")</f>
        <v/>
      </c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L189">
        <f>IFERROR(INDEX('_names_lookup'!$C:$C,MATCH(BK189,'_names_lookup'!$A:$A,0)),"")</f>
        <v/>
      </c>
      <c r="BM189">
        <f>IFERROR(INDEX('_names_lookup'!$B:$B,MATCH(BK189,'_names_lookup'!$A:$A,0)),"")</f>
        <v/>
      </c>
      <c r="BS189">
        <f>IFERROR(IF(BR189*AA189=0,"",BR189*AA189),"")</f>
        <v/>
      </c>
    </row>
    <row r="190">
      <c r="O190">
        <f>IFERROR(INDEX('_courses_lookup'!$C:$C,MATCH(K190&amp;L190,'_courses_lookup'!$E:$E,0)),"")</f>
        <v/>
      </c>
      <c r="P190">
        <f>IFERROR(INDEX('_courses_lookup'!$D:$D,MATCH(K190&amp;L190,'_courses_lookup'!$E:$E,0)),"")</f>
        <v/>
      </c>
      <c r="AG190">
        <f>IF(AND(AE190&lt;&gt;"",AF190&lt;&gt;""),ROUNDUP((AF190-AE190)/7,0),"")</f>
        <v/>
      </c>
      <c r="AI190">
        <f>IFERROR(IF(AG190*AH190=0,"",AG190*AH190),"")</f>
        <v/>
      </c>
      <c r="AL190">
        <f>IF(AND(AJ190&lt;&gt;"",AK190&lt;&gt;""),ROUNDUP((AK190-AJ190)/7,0),"")</f>
        <v/>
      </c>
      <c r="AN190">
        <f>IFERROR(IF(AL190*AM190=0,"",AL190*AM190),"")</f>
        <v/>
      </c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L190">
        <f>IFERROR(INDEX('_names_lookup'!$C:$C,MATCH(BK190,'_names_lookup'!$A:$A,0)),"")</f>
        <v/>
      </c>
      <c r="BM190">
        <f>IFERROR(INDEX('_names_lookup'!$B:$B,MATCH(BK190,'_names_lookup'!$A:$A,0)),"")</f>
        <v/>
      </c>
      <c r="BS190">
        <f>IFERROR(IF(BR190*AA190=0,"",BR190*AA190),"")</f>
        <v/>
      </c>
    </row>
    <row r="191">
      <c r="O191">
        <f>IFERROR(INDEX('_courses_lookup'!$C:$C,MATCH(K191&amp;L191,'_courses_lookup'!$E:$E,0)),"")</f>
        <v/>
      </c>
      <c r="P191">
        <f>IFERROR(INDEX('_courses_lookup'!$D:$D,MATCH(K191&amp;L191,'_courses_lookup'!$E:$E,0)),"")</f>
        <v/>
      </c>
      <c r="AG191">
        <f>IF(AND(AE191&lt;&gt;"",AF191&lt;&gt;""),ROUNDUP((AF191-AE191)/7,0),"")</f>
        <v/>
      </c>
      <c r="AI191">
        <f>IFERROR(IF(AG191*AH191=0,"",AG191*AH191),"")</f>
        <v/>
      </c>
      <c r="AL191">
        <f>IF(AND(AJ191&lt;&gt;"",AK191&lt;&gt;""),ROUNDUP((AK191-AJ191)/7,0),"")</f>
        <v/>
      </c>
      <c r="AN191">
        <f>IFERROR(IF(AL191*AM191=0,"",AL191*AM191),"")</f>
        <v/>
      </c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L191">
        <f>IFERROR(INDEX('_names_lookup'!$C:$C,MATCH(BK191,'_names_lookup'!$A:$A,0)),"")</f>
        <v/>
      </c>
      <c r="BM191">
        <f>IFERROR(INDEX('_names_lookup'!$B:$B,MATCH(BK191,'_names_lookup'!$A:$A,0)),"")</f>
        <v/>
      </c>
      <c r="BS191">
        <f>IFERROR(IF(BR191*AA191=0,"",BR191*AA191),"")</f>
        <v/>
      </c>
    </row>
    <row r="192">
      <c r="O192">
        <f>IFERROR(INDEX('_courses_lookup'!$C:$C,MATCH(K192&amp;L192,'_courses_lookup'!$E:$E,0)),"")</f>
        <v/>
      </c>
      <c r="P192">
        <f>IFERROR(INDEX('_courses_lookup'!$D:$D,MATCH(K192&amp;L192,'_courses_lookup'!$E:$E,0)),"")</f>
        <v/>
      </c>
      <c r="AG192">
        <f>IF(AND(AE192&lt;&gt;"",AF192&lt;&gt;""),ROUNDUP((AF192-AE192)/7,0),"")</f>
        <v/>
      </c>
      <c r="AI192">
        <f>IFERROR(IF(AG192*AH192=0,"",AG192*AH192),"")</f>
        <v/>
      </c>
      <c r="AL192">
        <f>IF(AND(AJ192&lt;&gt;"",AK192&lt;&gt;""),ROUNDUP((AK192-AJ192)/7,0),"")</f>
        <v/>
      </c>
      <c r="AN192">
        <f>IFERROR(IF(AL192*AM192=0,"",AL192*AM192),"")</f>
        <v/>
      </c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L192">
        <f>IFERROR(INDEX('_names_lookup'!$C:$C,MATCH(BK192,'_names_lookup'!$A:$A,0)),"")</f>
        <v/>
      </c>
      <c r="BM192">
        <f>IFERROR(INDEX('_names_lookup'!$B:$B,MATCH(BK192,'_names_lookup'!$A:$A,0)),"")</f>
        <v/>
      </c>
      <c r="BS192">
        <f>IFERROR(IF(BR192*AA192=0,"",BR192*AA192),"")</f>
        <v/>
      </c>
    </row>
    <row r="193">
      <c r="O193">
        <f>IFERROR(INDEX('_courses_lookup'!$C:$C,MATCH(K193&amp;L193,'_courses_lookup'!$E:$E,0)),"")</f>
        <v/>
      </c>
      <c r="P193">
        <f>IFERROR(INDEX('_courses_lookup'!$D:$D,MATCH(K193&amp;L193,'_courses_lookup'!$E:$E,0)),"")</f>
        <v/>
      </c>
      <c r="AG193">
        <f>IF(AND(AE193&lt;&gt;"",AF193&lt;&gt;""),ROUNDUP((AF193-AE193)/7,0),"")</f>
        <v/>
      </c>
      <c r="AI193">
        <f>IFERROR(IF(AG193*AH193=0,"",AG193*AH193),"")</f>
        <v/>
      </c>
      <c r="AL193">
        <f>IF(AND(AJ193&lt;&gt;"",AK193&lt;&gt;""),ROUNDUP((AK193-AJ193)/7,0),"")</f>
        <v/>
      </c>
      <c r="AN193">
        <f>IFERROR(IF(AL193*AM193=0,"",AL193*AM193),"")</f>
        <v/>
      </c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L193">
        <f>IFERROR(INDEX('_names_lookup'!$C:$C,MATCH(BK193,'_names_lookup'!$A:$A,0)),"")</f>
        <v/>
      </c>
      <c r="BM193">
        <f>IFERROR(INDEX('_names_lookup'!$B:$B,MATCH(BK193,'_names_lookup'!$A:$A,0)),"")</f>
        <v/>
      </c>
      <c r="BS193">
        <f>IFERROR(IF(BR193*AA193=0,"",BR193*AA193),"")</f>
        <v/>
      </c>
    </row>
    <row r="194">
      <c r="O194">
        <f>IFERROR(INDEX('_courses_lookup'!$C:$C,MATCH(K194&amp;L194,'_courses_lookup'!$E:$E,0)),"")</f>
        <v/>
      </c>
      <c r="P194">
        <f>IFERROR(INDEX('_courses_lookup'!$D:$D,MATCH(K194&amp;L194,'_courses_lookup'!$E:$E,0)),"")</f>
        <v/>
      </c>
      <c r="AG194">
        <f>IF(AND(AE194&lt;&gt;"",AF194&lt;&gt;""),ROUNDUP((AF194-AE194)/7,0),"")</f>
        <v/>
      </c>
      <c r="AI194">
        <f>IFERROR(IF(AG194*AH194=0,"",AG194*AH194),"")</f>
        <v/>
      </c>
      <c r="AL194">
        <f>IF(AND(AJ194&lt;&gt;"",AK194&lt;&gt;""),ROUNDUP((AK194-AJ194)/7,0),"")</f>
        <v/>
      </c>
      <c r="AN194">
        <f>IFERROR(IF(AL194*AM194=0,"",AL194*AM194),"")</f>
        <v/>
      </c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L194">
        <f>IFERROR(INDEX('_names_lookup'!$C:$C,MATCH(BK194,'_names_lookup'!$A:$A,0)),"")</f>
        <v/>
      </c>
      <c r="BM194">
        <f>IFERROR(INDEX('_names_lookup'!$B:$B,MATCH(BK194,'_names_lookup'!$A:$A,0)),"")</f>
        <v/>
      </c>
      <c r="BS194">
        <f>IFERROR(IF(BR194*AA194=0,"",BR194*AA194),"")</f>
        <v/>
      </c>
    </row>
    <row r="195">
      <c r="O195">
        <f>IFERROR(INDEX('_courses_lookup'!$C:$C,MATCH(K195&amp;L195,'_courses_lookup'!$E:$E,0)),"")</f>
        <v/>
      </c>
      <c r="P195">
        <f>IFERROR(INDEX('_courses_lookup'!$D:$D,MATCH(K195&amp;L195,'_courses_lookup'!$E:$E,0)),"")</f>
        <v/>
      </c>
      <c r="AG195">
        <f>IF(AND(AE195&lt;&gt;"",AF195&lt;&gt;""),ROUNDUP((AF195-AE195)/7,0),"")</f>
        <v/>
      </c>
      <c r="AI195">
        <f>IFERROR(IF(AG195*AH195=0,"",AG195*AH195),"")</f>
        <v/>
      </c>
      <c r="AL195">
        <f>IF(AND(AJ195&lt;&gt;"",AK195&lt;&gt;""),ROUNDUP((AK195-AJ195)/7,0),"")</f>
        <v/>
      </c>
      <c r="AN195">
        <f>IFERROR(IF(AL195*AM195=0,"",AL195*AM195),"")</f>
        <v/>
      </c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L195">
        <f>IFERROR(INDEX('_names_lookup'!$C:$C,MATCH(BK195,'_names_lookup'!$A:$A,0)),"")</f>
        <v/>
      </c>
      <c r="BM195">
        <f>IFERROR(INDEX('_names_lookup'!$B:$B,MATCH(BK195,'_names_lookup'!$A:$A,0)),"")</f>
        <v/>
      </c>
      <c r="BS195">
        <f>IFERROR(IF(BR195*AA195=0,"",BR195*AA195),"")</f>
        <v/>
      </c>
    </row>
    <row r="196">
      <c r="O196">
        <f>IFERROR(INDEX('_courses_lookup'!$C:$C,MATCH(K196&amp;L196,'_courses_lookup'!$E:$E,0)),"")</f>
        <v/>
      </c>
      <c r="P196">
        <f>IFERROR(INDEX('_courses_lookup'!$D:$D,MATCH(K196&amp;L196,'_courses_lookup'!$E:$E,0)),"")</f>
        <v/>
      </c>
      <c r="AG196">
        <f>IF(AND(AE196&lt;&gt;"",AF196&lt;&gt;""),ROUNDUP((AF196-AE196)/7,0),"")</f>
        <v/>
      </c>
      <c r="AI196">
        <f>IFERROR(IF(AG196*AH196=0,"",AG196*AH196),"")</f>
        <v/>
      </c>
      <c r="AL196">
        <f>IF(AND(AJ196&lt;&gt;"",AK196&lt;&gt;""),ROUNDUP((AK196-AJ196)/7,0),"")</f>
        <v/>
      </c>
      <c r="AN196">
        <f>IFERROR(IF(AL196*AM196=0,"",AL196*AM196),"")</f>
        <v/>
      </c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L196">
        <f>IFERROR(INDEX('_names_lookup'!$C:$C,MATCH(BK196,'_names_lookup'!$A:$A,0)),"")</f>
        <v/>
      </c>
      <c r="BM196">
        <f>IFERROR(INDEX('_names_lookup'!$B:$B,MATCH(BK196,'_names_lookup'!$A:$A,0)),"")</f>
        <v/>
      </c>
      <c r="BS196">
        <f>IFERROR(IF(BR196*AA196=0,"",BR196*AA196),"")</f>
        <v/>
      </c>
    </row>
    <row r="197">
      <c r="O197">
        <f>IFERROR(INDEX('_courses_lookup'!$C:$C,MATCH(K197&amp;L197,'_courses_lookup'!$E:$E,0)),"")</f>
        <v/>
      </c>
      <c r="P197">
        <f>IFERROR(INDEX('_courses_lookup'!$D:$D,MATCH(K197&amp;L197,'_courses_lookup'!$E:$E,0)),"")</f>
        <v/>
      </c>
      <c r="AG197">
        <f>IF(AND(AE197&lt;&gt;"",AF197&lt;&gt;""),ROUNDUP((AF197-AE197)/7,0),"")</f>
        <v/>
      </c>
      <c r="AI197">
        <f>IFERROR(IF(AG197*AH197=0,"",AG197*AH197),"")</f>
        <v/>
      </c>
      <c r="AL197">
        <f>IF(AND(AJ197&lt;&gt;"",AK197&lt;&gt;""),ROUNDUP((AK197-AJ197)/7,0),"")</f>
        <v/>
      </c>
      <c r="AN197">
        <f>IFERROR(IF(AL197*AM197=0,"",AL197*AM197),"")</f>
        <v/>
      </c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L197">
        <f>IFERROR(INDEX('_names_lookup'!$C:$C,MATCH(BK197,'_names_lookup'!$A:$A,0)),"")</f>
        <v/>
      </c>
      <c r="BM197">
        <f>IFERROR(INDEX('_names_lookup'!$B:$B,MATCH(BK197,'_names_lookup'!$A:$A,0)),"")</f>
        <v/>
      </c>
      <c r="BS197">
        <f>IFERROR(IF(BR197*AA197=0,"",BR197*AA197),"")</f>
        <v/>
      </c>
    </row>
    <row r="198">
      <c r="O198">
        <f>IFERROR(INDEX('_courses_lookup'!$C:$C,MATCH(K198&amp;L198,'_courses_lookup'!$E:$E,0)),"")</f>
        <v/>
      </c>
      <c r="P198">
        <f>IFERROR(INDEX('_courses_lookup'!$D:$D,MATCH(K198&amp;L198,'_courses_lookup'!$E:$E,0)),"")</f>
        <v/>
      </c>
      <c r="AG198">
        <f>IF(AND(AE198&lt;&gt;"",AF198&lt;&gt;""),ROUNDUP((AF198-AE198)/7,0),"")</f>
        <v/>
      </c>
      <c r="AI198">
        <f>IFERROR(IF(AG198*AH198=0,"",AG198*AH198),"")</f>
        <v/>
      </c>
      <c r="AL198">
        <f>IF(AND(AJ198&lt;&gt;"",AK198&lt;&gt;""),ROUNDUP((AK198-AJ198)/7,0),"")</f>
        <v/>
      </c>
      <c r="AN198">
        <f>IFERROR(IF(AL198*AM198=0,"",AL198*AM198),"")</f>
        <v/>
      </c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L198">
        <f>IFERROR(INDEX('_names_lookup'!$C:$C,MATCH(BK198,'_names_lookup'!$A:$A,0)),"")</f>
        <v/>
      </c>
      <c r="BM198">
        <f>IFERROR(INDEX('_names_lookup'!$B:$B,MATCH(BK198,'_names_lookup'!$A:$A,0)),"")</f>
        <v/>
      </c>
      <c r="BS198">
        <f>IFERROR(IF(BR198*AA198=0,"",BR198*AA198),"")</f>
        <v/>
      </c>
    </row>
    <row r="199">
      <c r="O199">
        <f>IFERROR(INDEX('_courses_lookup'!$C:$C,MATCH(K199&amp;L199,'_courses_lookup'!$E:$E,0)),"")</f>
        <v/>
      </c>
      <c r="P199">
        <f>IFERROR(INDEX('_courses_lookup'!$D:$D,MATCH(K199&amp;L199,'_courses_lookup'!$E:$E,0)),"")</f>
        <v/>
      </c>
      <c r="AG199">
        <f>IF(AND(AE199&lt;&gt;"",AF199&lt;&gt;""),ROUNDUP((AF199-AE199)/7,0),"")</f>
        <v/>
      </c>
      <c r="AI199">
        <f>IFERROR(IF(AG199*AH199=0,"",AG199*AH199),"")</f>
        <v/>
      </c>
      <c r="AL199">
        <f>IF(AND(AJ199&lt;&gt;"",AK199&lt;&gt;""),ROUNDUP((AK199-AJ199)/7,0),"")</f>
        <v/>
      </c>
      <c r="AN199">
        <f>IFERROR(IF(AL199*AM199=0,"",AL199*AM199),"")</f>
        <v/>
      </c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L199">
        <f>IFERROR(INDEX('_names_lookup'!$C:$C,MATCH(BK199,'_names_lookup'!$A:$A,0)),"")</f>
        <v/>
      </c>
      <c r="BM199">
        <f>IFERROR(INDEX('_names_lookup'!$B:$B,MATCH(BK199,'_names_lookup'!$A:$A,0)),"")</f>
        <v/>
      </c>
      <c r="BS199">
        <f>IFERROR(IF(BR199*AA199=0,"",BR199*AA199),"")</f>
        <v/>
      </c>
    </row>
    <row r="200">
      <c r="O200">
        <f>IFERROR(INDEX('_courses_lookup'!$C:$C,MATCH(K200&amp;L200,'_courses_lookup'!$E:$E,0)),"")</f>
        <v/>
      </c>
      <c r="P200">
        <f>IFERROR(INDEX('_courses_lookup'!$D:$D,MATCH(K200&amp;L200,'_courses_lookup'!$E:$E,0)),"")</f>
        <v/>
      </c>
      <c r="AG200">
        <f>IF(AND(AE200&lt;&gt;"",AF200&lt;&gt;""),ROUNDUP((AF200-AE200)/7,0),"")</f>
        <v/>
      </c>
      <c r="AI200">
        <f>IFERROR(IF(AG200*AH200=0,"",AG200*AH200),"")</f>
        <v/>
      </c>
      <c r="AL200">
        <f>IF(AND(AJ200&lt;&gt;"",AK200&lt;&gt;""),ROUNDUP((AK200-AJ200)/7,0),"")</f>
        <v/>
      </c>
      <c r="AN200">
        <f>IFERROR(IF(AL200*AM200=0,"",AL200*AM200),"")</f>
        <v/>
      </c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L200">
        <f>IFERROR(INDEX('_names_lookup'!$C:$C,MATCH(BK200,'_names_lookup'!$A:$A,0)),"")</f>
        <v/>
      </c>
      <c r="BM200">
        <f>IFERROR(INDEX('_names_lookup'!$B:$B,MATCH(BK200,'_names_lookup'!$A:$A,0)),"")</f>
        <v/>
      </c>
      <c r="BS200">
        <f>IFERROR(IF(BR200*AA200=0,"",BR200*AA200),"")</f>
        <v/>
      </c>
    </row>
    <row r="201">
      <c r="O201">
        <f>IFERROR(INDEX('_courses_lookup'!$C:$C,MATCH(K201&amp;L201,'_courses_lookup'!$E:$E,0)),"")</f>
        <v/>
      </c>
      <c r="P201">
        <f>IFERROR(INDEX('_courses_lookup'!$D:$D,MATCH(K201&amp;L201,'_courses_lookup'!$E:$E,0)),"")</f>
        <v/>
      </c>
      <c r="AG201">
        <f>IF(AND(AE201&lt;&gt;"",AF201&lt;&gt;""),ROUNDUP((AF201-AE201)/7,0),"")</f>
        <v/>
      </c>
      <c r="AI201">
        <f>IFERROR(IF(AG201*AH201=0,"",AG201*AH201),"")</f>
        <v/>
      </c>
      <c r="AL201">
        <f>IF(AND(AJ201&lt;&gt;"",AK201&lt;&gt;""),ROUNDUP((AK201-AJ201)/7,0),"")</f>
        <v/>
      </c>
      <c r="AN201">
        <f>IFERROR(IF(AL201*AM201=0,"",AL201*AM201),"")</f>
        <v/>
      </c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L201">
        <f>IFERROR(INDEX('_names_lookup'!$C:$C,MATCH(BK201,'_names_lookup'!$A:$A,0)),"")</f>
        <v/>
      </c>
      <c r="BM201">
        <f>IFERROR(INDEX('_names_lookup'!$B:$B,MATCH(BK201,'_names_lookup'!$A:$A,0)),"")</f>
        <v/>
      </c>
      <c r="BS201">
        <f>IFERROR(IF(BR201*AA201=0,"",BR201*AA201),"")</f>
        <v/>
      </c>
    </row>
    <row r="202">
      <c r="O202">
        <f>IFERROR(INDEX('_courses_lookup'!$C:$C,MATCH(K202&amp;L202,'_courses_lookup'!$E:$E,0)),"")</f>
        <v/>
      </c>
      <c r="P202">
        <f>IFERROR(INDEX('_courses_lookup'!$D:$D,MATCH(K202&amp;L202,'_courses_lookup'!$E:$E,0)),"")</f>
        <v/>
      </c>
      <c r="AG202">
        <f>IF(AND(AE202&lt;&gt;"",AF202&lt;&gt;""),ROUNDUP((AF202-AE202)/7,0),"")</f>
        <v/>
      </c>
      <c r="AI202">
        <f>IFERROR(IF(AG202*AH202=0,"",AG202*AH202),"")</f>
        <v/>
      </c>
      <c r="AL202">
        <f>IF(AND(AJ202&lt;&gt;"",AK202&lt;&gt;""),ROUNDUP((AK202-AJ202)/7,0),"")</f>
        <v/>
      </c>
      <c r="AN202">
        <f>IFERROR(IF(AL202*AM202=0,"",AL202*AM202),"")</f>
        <v/>
      </c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L202">
        <f>IFERROR(INDEX('_names_lookup'!$C:$C,MATCH(BK202,'_names_lookup'!$A:$A,0)),"")</f>
        <v/>
      </c>
      <c r="BM202">
        <f>IFERROR(INDEX('_names_lookup'!$B:$B,MATCH(BK202,'_names_lookup'!$A:$A,0)),"")</f>
        <v/>
      </c>
      <c r="BS202">
        <f>IFERROR(IF(BR202*AA202=0,"",BR202*AA202),"")</f>
        <v/>
      </c>
    </row>
    <row r="203">
      <c r="O203">
        <f>IFERROR(INDEX('_courses_lookup'!$C:$C,MATCH(K203&amp;L203,'_courses_lookup'!$E:$E,0)),"")</f>
        <v/>
      </c>
      <c r="P203">
        <f>IFERROR(INDEX('_courses_lookup'!$D:$D,MATCH(K203&amp;L203,'_courses_lookup'!$E:$E,0)),"")</f>
        <v/>
      </c>
      <c r="AG203">
        <f>IF(AND(AE203&lt;&gt;"",AF203&lt;&gt;""),ROUNDUP((AF203-AE203)/7,0),"")</f>
        <v/>
      </c>
      <c r="AI203">
        <f>IFERROR(IF(AG203*AH203=0,"",AG203*AH203),"")</f>
        <v/>
      </c>
      <c r="AL203">
        <f>IF(AND(AJ203&lt;&gt;"",AK203&lt;&gt;""),ROUNDUP((AK203-AJ203)/7,0),"")</f>
        <v/>
      </c>
      <c r="AN203">
        <f>IFERROR(IF(AL203*AM203=0,"",AL203*AM203),"")</f>
        <v/>
      </c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L203">
        <f>IFERROR(INDEX('_names_lookup'!$C:$C,MATCH(BK203,'_names_lookup'!$A:$A,0)),"")</f>
        <v/>
      </c>
      <c r="BM203">
        <f>IFERROR(INDEX('_names_lookup'!$B:$B,MATCH(BK203,'_names_lookup'!$A:$A,0)),"")</f>
        <v/>
      </c>
      <c r="BS203">
        <f>IFERROR(IF(BR203*AA203=0,"",BR203*AA203),"")</f>
        <v/>
      </c>
    </row>
    <row r="204">
      <c r="O204">
        <f>IFERROR(INDEX('_courses_lookup'!$C:$C,MATCH(K204&amp;L204,'_courses_lookup'!$E:$E,0)),"")</f>
        <v/>
      </c>
      <c r="P204">
        <f>IFERROR(INDEX('_courses_lookup'!$D:$D,MATCH(K204&amp;L204,'_courses_lookup'!$E:$E,0)),"")</f>
        <v/>
      </c>
      <c r="AG204">
        <f>IF(AND(AE204&lt;&gt;"",AF204&lt;&gt;""),ROUNDUP((AF204-AE204)/7,0),"")</f>
        <v/>
      </c>
      <c r="AI204">
        <f>IFERROR(IF(AG204*AH204=0,"",AG204*AH204),"")</f>
        <v/>
      </c>
      <c r="AL204">
        <f>IF(AND(AJ204&lt;&gt;"",AK204&lt;&gt;""),ROUNDUP((AK204-AJ204)/7,0),"")</f>
        <v/>
      </c>
      <c r="AN204">
        <f>IFERROR(IF(AL204*AM204=0,"",AL204*AM204),"")</f>
        <v/>
      </c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L204">
        <f>IFERROR(INDEX('_names_lookup'!$C:$C,MATCH(BK204,'_names_lookup'!$A:$A,0)),"")</f>
        <v/>
      </c>
      <c r="BM204">
        <f>IFERROR(INDEX('_names_lookup'!$B:$B,MATCH(BK204,'_names_lookup'!$A:$A,0)),"")</f>
        <v/>
      </c>
      <c r="BS204">
        <f>IFERROR(IF(BR204*AA204=0,"",BR204*AA204),"")</f>
        <v/>
      </c>
    </row>
    <row r="205">
      <c r="O205">
        <f>IFERROR(INDEX('_courses_lookup'!$C:$C,MATCH(K205&amp;L205,'_courses_lookup'!$E:$E,0)),"")</f>
        <v/>
      </c>
      <c r="P205">
        <f>IFERROR(INDEX('_courses_lookup'!$D:$D,MATCH(K205&amp;L205,'_courses_lookup'!$E:$E,0)),"")</f>
        <v/>
      </c>
      <c r="AG205">
        <f>IF(AND(AE205&lt;&gt;"",AF205&lt;&gt;""),ROUNDUP((AF205-AE205)/7,0),"")</f>
        <v/>
      </c>
      <c r="AI205">
        <f>IFERROR(IF(AG205*AH205=0,"",AG205*AH205),"")</f>
        <v/>
      </c>
      <c r="AL205">
        <f>IF(AND(AJ205&lt;&gt;"",AK205&lt;&gt;""),ROUNDUP((AK205-AJ205)/7,0),"")</f>
        <v/>
      </c>
      <c r="AN205">
        <f>IFERROR(IF(AL205*AM205=0,"",AL205*AM205),"")</f>
        <v/>
      </c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L205">
        <f>IFERROR(INDEX('_names_lookup'!$C:$C,MATCH(BK205,'_names_lookup'!$A:$A,0)),"")</f>
        <v/>
      </c>
      <c r="BM205">
        <f>IFERROR(INDEX('_names_lookup'!$B:$B,MATCH(BK205,'_names_lookup'!$A:$A,0)),"")</f>
        <v/>
      </c>
      <c r="BS205">
        <f>IFERROR(IF(BR205*AA205=0,"",BR205*AA205),"")</f>
        <v/>
      </c>
    </row>
    <row r="206">
      <c r="O206">
        <f>IFERROR(INDEX('_courses_lookup'!$C:$C,MATCH(K206&amp;L206,'_courses_lookup'!$E:$E,0)),"")</f>
        <v/>
      </c>
      <c r="P206">
        <f>IFERROR(INDEX('_courses_lookup'!$D:$D,MATCH(K206&amp;L206,'_courses_lookup'!$E:$E,0)),"")</f>
        <v/>
      </c>
      <c r="AG206">
        <f>IF(AND(AE206&lt;&gt;"",AF206&lt;&gt;""),ROUNDUP((AF206-AE206)/7,0),"")</f>
        <v/>
      </c>
      <c r="AI206">
        <f>IFERROR(IF(AG206*AH206=0,"",AG206*AH206),"")</f>
        <v/>
      </c>
      <c r="AL206">
        <f>IF(AND(AJ206&lt;&gt;"",AK206&lt;&gt;""),ROUNDUP((AK206-AJ206)/7,0),"")</f>
        <v/>
      </c>
      <c r="AN206">
        <f>IFERROR(IF(AL206*AM206=0,"",AL206*AM206),"")</f>
        <v/>
      </c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L206">
        <f>IFERROR(INDEX('_names_lookup'!$C:$C,MATCH(BK206,'_names_lookup'!$A:$A,0)),"")</f>
        <v/>
      </c>
      <c r="BM206">
        <f>IFERROR(INDEX('_names_lookup'!$B:$B,MATCH(BK206,'_names_lookup'!$A:$A,0)),"")</f>
        <v/>
      </c>
      <c r="BS206">
        <f>IFERROR(IF(BR206*AA206=0,"",BR206*AA206),"")</f>
        <v/>
      </c>
    </row>
    <row r="207">
      <c r="O207">
        <f>IFERROR(INDEX('_courses_lookup'!$C:$C,MATCH(K207&amp;L207,'_courses_lookup'!$E:$E,0)),"")</f>
        <v/>
      </c>
      <c r="P207">
        <f>IFERROR(INDEX('_courses_lookup'!$D:$D,MATCH(K207&amp;L207,'_courses_lookup'!$E:$E,0)),"")</f>
        <v/>
      </c>
      <c r="AG207">
        <f>IF(AND(AE207&lt;&gt;"",AF207&lt;&gt;""),ROUNDUP((AF207-AE207)/7,0),"")</f>
        <v/>
      </c>
      <c r="AI207">
        <f>IFERROR(IF(AG207*AH207=0,"",AG207*AH207),"")</f>
        <v/>
      </c>
      <c r="AL207">
        <f>IF(AND(AJ207&lt;&gt;"",AK207&lt;&gt;""),ROUNDUP((AK207-AJ207)/7,0),"")</f>
        <v/>
      </c>
      <c r="AN207">
        <f>IFERROR(IF(AL207*AM207=0,"",AL207*AM207),"")</f>
        <v/>
      </c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L207">
        <f>IFERROR(INDEX('_names_lookup'!$C:$C,MATCH(BK207,'_names_lookup'!$A:$A,0)),"")</f>
        <v/>
      </c>
      <c r="BM207">
        <f>IFERROR(INDEX('_names_lookup'!$B:$B,MATCH(BK207,'_names_lookup'!$A:$A,0)),"")</f>
        <v/>
      </c>
      <c r="BS207">
        <f>IFERROR(IF(BR207*AA207=0,"",BR207*AA207),"")</f>
        <v/>
      </c>
    </row>
    <row r="208">
      <c r="O208">
        <f>IFERROR(INDEX('_courses_lookup'!$C:$C,MATCH(K208&amp;L208,'_courses_lookup'!$E:$E,0)),"")</f>
        <v/>
      </c>
      <c r="P208">
        <f>IFERROR(INDEX('_courses_lookup'!$D:$D,MATCH(K208&amp;L208,'_courses_lookup'!$E:$E,0)),"")</f>
        <v/>
      </c>
      <c r="AG208">
        <f>IF(AND(AE208&lt;&gt;"",AF208&lt;&gt;""),ROUNDUP((AF208-AE208)/7,0),"")</f>
        <v/>
      </c>
      <c r="AI208">
        <f>IFERROR(IF(AG208*AH208=0,"",AG208*AH208),"")</f>
        <v/>
      </c>
      <c r="AL208">
        <f>IF(AND(AJ208&lt;&gt;"",AK208&lt;&gt;""),ROUNDUP((AK208-AJ208)/7,0),"")</f>
        <v/>
      </c>
      <c r="AN208">
        <f>IFERROR(IF(AL208*AM208=0,"",AL208*AM208),"")</f>
        <v/>
      </c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L208">
        <f>IFERROR(INDEX('_names_lookup'!$C:$C,MATCH(BK208,'_names_lookup'!$A:$A,0)),"")</f>
        <v/>
      </c>
      <c r="BM208">
        <f>IFERROR(INDEX('_names_lookup'!$B:$B,MATCH(BK208,'_names_lookup'!$A:$A,0)),"")</f>
        <v/>
      </c>
      <c r="BS208">
        <f>IFERROR(IF(BR208*AA208=0,"",BR208*AA208),"")</f>
        <v/>
      </c>
    </row>
    <row r="209">
      <c r="O209">
        <f>IFERROR(INDEX('_courses_lookup'!$C:$C,MATCH(K209&amp;L209,'_courses_lookup'!$E:$E,0)),"")</f>
        <v/>
      </c>
      <c r="P209">
        <f>IFERROR(INDEX('_courses_lookup'!$D:$D,MATCH(K209&amp;L209,'_courses_lookup'!$E:$E,0)),"")</f>
        <v/>
      </c>
      <c r="AG209">
        <f>IF(AND(AE209&lt;&gt;"",AF209&lt;&gt;""),ROUNDUP((AF209-AE209)/7,0),"")</f>
        <v/>
      </c>
      <c r="AI209">
        <f>IFERROR(IF(AG209*AH209=0,"",AG209*AH209),"")</f>
        <v/>
      </c>
      <c r="AL209">
        <f>IF(AND(AJ209&lt;&gt;"",AK209&lt;&gt;""),ROUNDUP((AK209-AJ209)/7,0),"")</f>
        <v/>
      </c>
      <c r="AN209">
        <f>IFERROR(IF(AL209*AM209=0,"",AL209*AM209),"")</f>
        <v/>
      </c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L209">
        <f>IFERROR(INDEX('_names_lookup'!$C:$C,MATCH(BK209,'_names_lookup'!$A:$A,0)),"")</f>
        <v/>
      </c>
      <c r="BM209">
        <f>IFERROR(INDEX('_names_lookup'!$B:$B,MATCH(BK209,'_names_lookup'!$A:$A,0)),"")</f>
        <v/>
      </c>
      <c r="BS209">
        <f>IFERROR(IF(BR209*AA209=0,"",BR209*AA209),"")</f>
        <v/>
      </c>
    </row>
    <row r="210">
      <c r="O210">
        <f>IFERROR(INDEX('_courses_lookup'!$C:$C,MATCH(K210&amp;L210,'_courses_lookup'!$E:$E,0)),"")</f>
        <v/>
      </c>
      <c r="P210">
        <f>IFERROR(INDEX('_courses_lookup'!$D:$D,MATCH(K210&amp;L210,'_courses_lookup'!$E:$E,0)),"")</f>
        <v/>
      </c>
      <c r="AG210">
        <f>IF(AND(AE210&lt;&gt;"",AF210&lt;&gt;""),ROUNDUP((AF210-AE210)/7,0),"")</f>
        <v/>
      </c>
      <c r="AI210">
        <f>IFERROR(IF(AG210*AH210=0,"",AG210*AH210),"")</f>
        <v/>
      </c>
      <c r="AL210">
        <f>IF(AND(AJ210&lt;&gt;"",AK210&lt;&gt;""),ROUNDUP((AK210-AJ210)/7,0),"")</f>
        <v/>
      </c>
      <c r="AN210">
        <f>IFERROR(IF(AL210*AM210=0,"",AL210*AM210),"")</f>
        <v/>
      </c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L210">
        <f>IFERROR(INDEX('_names_lookup'!$C:$C,MATCH(BK210,'_names_lookup'!$A:$A,0)),"")</f>
        <v/>
      </c>
      <c r="BM210">
        <f>IFERROR(INDEX('_names_lookup'!$B:$B,MATCH(BK210,'_names_lookup'!$A:$A,0)),"")</f>
        <v/>
      </c>
      <c r="BS210">
        <f>IFERROR(IF(BR210*AA210=0,"",BR210*AA210),"")</f>
        <v/>
      </c>
    </row>
    <row r="211">
      <c r="O211">
        <f>IFERROR(INDEX('_courses_lookup'!$C:$C,MATCH(K211&amp;L211,'_courses_lookup'!$E:$E,0)),"")</f>
        <v/>
      </c>
      <c r="P211">
        <f>IFERROR(INDEX('_courses_lookup'!$D:$D,MATCH(K211&amp;L211,'_courses_lookup'!$E:$E,0)),"")</f>
        <v/>
      </c>
      <c r="AG211">
        <f>IF(AND(AE211&lt;&gt;"",AF211&lt;&gt;""),ROUNDUP((AF211-AE211)/7,0),"")</f>
        <v/>
      </c>
      <c r="AI211">
        <f>IFERROR(IF(AG211*AH211=0,"",AG211*AH211),"")</f>
        <v/>
      </c>
      <c r="AL211">
        <f>IF(AND(AJ211&lt;&gt;"",AK211&lt;&gt;""),ROUNDUP((AK211-AJ211)/7,0),"")</f>
        <v/>
      </c>
      <c r="AN211">
        <f>IFERROR(IF(AL211*AM211=0,"",AL211*AM211),"")</f>
        <v/>
      </c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L211">
        <f>IFERROR(INDEX('_names_lookup'!$C:$C,MATCH(BK211,'_names_lookup'!$A:$A,0)),"")</f>
        <v/>
      </c>
      <c r="BM211">
        <f>IFERROR(INDEX('_names_lookup'!$B:$B,MATCH(BK211,'_names_lookup'!$A:$A,0)),"")</f>
        <v/>
      </c>
      <c r="BS211">
        <f>IFERROR(IF(BR211*AA211=0,"",BR211*AA211),"")</f>
        <v/>
      </c>
    </row>
    <row r="212">
      <c r="O212">
        <f>IFERROR(INDEX('_courses_lookup'!$C:$C,MATCH(K212&amp;L212,'_courses_lookup'!$E:$E,0)),"")</f>
        <v/>
      </c>
      <c r="P212">
        <f>IFERROR(INDEX('_courses_lookup'!$D:$D,MATCH(K212&amp;L212,'_courses_lookup'!$E:$E,0)),"")</f>
        <v/>
      </c>
      <c r="AG212">
        <f>IF(AND(AE212&lt;&gt;"",AF212&lt;&gt;""),ROUNDUP((AF212-AE212)/7,0),"")</f>
        <v/>
      </c>
      <c r="AI212">
        <f>IFERROR(IF(AG212*AH212=0,"",AG212*AH212),"")</f>
        <v/>
      </c>
      <c r="AL212">
        <f>IF(AND(AJ212&lt;&gt;"",AK212&lt;&gt;""),ROUNDUP((AK212-AJ212)/7,0),"")</f>
        <v/>
      </c>
      <c r="AN212">
        <f>IFERROR(IF(AL212*AM212=0,"",AL212*AM212),"")</f>
        <v/>
      </c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L212">
        <f>IFERROR(INDEX('_names_lookup'!$C:$C,MATCH(BK212,'_names_lookup'!$A:$A,0)),"")</f>
        <v/>
      </c>
      <c r="BM212">
        <f>IFERROR(INDEX('_names_lookup'!$B:$B,MATCH(BK212,'_names_lookup'!$A:$A,0)),"")</f>
        <v/>
      </c>
      <c r="BS212">
        <f>IFERROR(IF(BR212*AA212=0,"",BR212*AA212),"")</f>
        <v/>
      </c>
    </row>
    <row r="213">
      <c r="O213">
        <f>IFERROR(INDEX('_courses_lookup'!$C:$C,MATCH(K213&amp;L213,'_courses_lookup'!$E:$E,0)),"")</f>
        <v/>
      </c>
      <c r="P213">
        <f>IFERROR(INDEX('_courses_lookup'!$D:$D,MATCH(K213&amp;L213,'_courses_lookup'!$E:$E,0)),"")</f>
        <v/>
      </c>
      <c r="AG213">
        <f>IF(AND(AE213&lt;&gt;"",AF213&lt;&gt;""),ROUNDUP((AF213-AE213)/7,0),"")</f>
        <v/>
      </c>
      <c r="AI213">
        <f>IFERROR(IF(AG213*AH213=0,"",AG213*AH213),"")</f>
        <v/>
      </c>
      <c r="AL213">
        <f>IF(AND(AJ213&lt;&gt;"",AK213&lt;&gt;""),ROUNDUP((AK213-AJ213)/7,0),"")</f>
        <v/>
      </c>
      <c r="AN213">
        <f>IFERROR(IF(AL213*AM213=0,"",AL213*AM213),"")</f>
        <v/>
      </c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L213">
        <f>IFERROR(INDEX('_names_lookup'!$C:$C,MATCH(BK213,'_names_lookup'!$A:$A,0)),"")</f>
        <v/>
      </c>
      <c r="BM213">
        <f>IFERROR(INDEX('_names_lookup'!$B:$B,MATCH(BK213,'_names_lookup'!$A:$A,0)),"")</f>
        <v/>
      </c>
      <c r="BS213">
        <f>IFERROR(IF(BR213*AA213=0,"",BR213*AA213),"")</f>
        <v/>
      </c>
    </row>
    <row r="214">
      <c r="O214">
        <f>IFERROR(INDEX('_courses_lookup'!$C:$C,MATCH(K214&amp;L214,'_courses_lookup'!$E:$E,0)),"")</f>
        <v/>
      </c>
      <c r="P214">
        <f>IFERROR(INDEX('_courses_lookup'!$D:$D,MATCH(K214&amp;L214,'_courses_lookup'!$E:$E,0)),"")</f>
        <v/>
      </c>
      <c r="AG214">
        <f>IF(AND(AE214&lt;&gt;"",AF214&lt;&gt;""),ROUNDUP((AF214-AE214)/7,0),"")</f>
        <v/>
      </c>
      <c r="AI214">
        <f>IFERROR(IF(AG214*AH214=0,"",AG214*AH214),"")</f>
        <v/>
      </c>
      <c r="AL214">
        <f>IF(AND(AJ214&lt;&gt;"",AK214&lt;&gt;""),ROUNDUP((AK214-AJ214)/7,0),"")</f>
        <v/>
      </c>
      <c r="AN214">
        <f>IFERROR(IF(AL214*AM214=0,"",AL214*AM214),"")</f>
        <v/>
      </c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L214">
        <f>IFERROR(INDEX('_names_lookup'!$C:$C,MATCH(BK214,'_names_lookup'!$A:$A,0)),"")</f>
        <v/>
      </c>
      <c r="BM214">
        <f>IFERROR(INDEX('_names_lookup'!$B:$B,MATCH(BK214,'_names_lookup'!$A:$A,0)),"")</f>
        <v/>
      </c>
      <c r="BS214">
        <f>IFERROR(IF(BR214*AA214=0,"",BR214*AA214),"")</f>
        <v/>
      </c>
    </row>
    <row r="215">
      <c r="O215">
        <f>IFERROR(INDEX('_courses_lookup'!$C:$C,MATCH(K215&amp;L215,'_courses_lookup'!$E:$E,0)),"")</f>
        <v/>
      </c>
      <c r="P215">
        <f>IFERROR(INDEX('_courses_lookup'!$D:$D,MATCH(K215&amp;L215,'_courses_lookup'!$E:$E,0)),"")</f>
        <v/>
      </c>
      <c r="AG215">
        <f>IF(AND(AE215&lt;&gt;"",AF215&lt;&gt;""),ROUNDUP((AF215-AE215)/7,0),"")</f>
        <v/>
      </c>
      <c r="AI215">
        <f>IFERROR(IF(AG215*AH215=0,"",AG215*AH215),"")</f>
        <v/>
      </c>
      <c r="AL215">
        <f>IF(AND(AJ215&lt;&gt;"",AK215&lt;&gt;""),ROUNDUP((AK215-AJ215)/7,0),"")</f>
        <v/>
      </c>
      <c r="AN215">
        <f>IFERROR(IF(AL215*AM215=0,"",AL215*AM215),"")</f>
        <v/>
      </c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L215">
        <f>IFERROR(INDEX('_names_lookup'!$C:$C,MATCH(BK215,'_names_lookup'!$A:$A,0)),"")</f>
        <v/>
      </c>
      <c r="BM215">
        <f>IFERROR(INDEX('_names_lookup'!$B:$B,MATCH(BK215,'_names_lookup'!$A:$A,0)),"")</f>
        <v/>
      </c>
      <c r="BS215">
        <f>IFERROR(IF(BR215*AA215=0,"",BR215*AA215),"")</f>
        <v/>
      </c>
    </row>
    <row r="216">
      <c r="O216">
        <f>IFERROR(INDEX('_courses_lookup'!$C:$C,MATCH(K216&amp;L216,'_courses_lookup'!$E:$E,0)),"")</f>
        <v/>
      </c>
      <c r="P216">
        <f>IFERROR(INDEX('_courses_lookup'!$D:$D,MATCH(K216&amp;L216,'_courses_lookup'!$E:$E,0)),"")</f>
        <v/>
      </c>
      <c r="AG216">
        <f>IF(AND(AE216&lt;&gt;"",AF216&lt;&gt;""),ROUNDUP((AF216-AE216)/7,0),"")</f>
        <v/>
      </c>
      <c r="AI216">
        <f>IFERROR(IF(AG216*AH216=0,"",AG216*AH216),"")</f>
        <v/>
      </c>
      <c r="AL216">
        <f>IF(AND(AJ216&lt;&gt;"",AK216&lt;&gt;""),ROUNDUP((AK216-AJ216)/7,0),"")</f>
        <v/>
      </c>
      <c r="AN216">
        <f>IFERROR(IF(AL216*AM216=0,"",AL216*AM216),"")</f>
        <v/>
      </c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L216">
        <f>IFERROR(INDEX('_names_lookup'!$C:$C,MATCH(BK216,'_names_lookup'!$A:$A,0)),"")</f>
        <v/>
      </c>
      <c r="BM216">
        <f>IFERROR(INDEX('_names_lookup'!$B:$B,MATCH(BK216,'_names_lookup'!$A:$A,0)),"")</f>
        <v/>
      </c>
      <c r="BS216">
        <f>IFERROR(IF(BR216*AA216=0,"",BR216*AA216),"")</f>
        <v/>
      </c>
    </row>
    <row r="217">
      <c r="O217">
        <f>IFERROR(INDEX('_courses_lookup'!$C:$C,MATCH(K217&amp;L217,'_courses_lookup'!$E:$E,0)),"")</f>
        <v/>
      </c>
      <c r="P217">
        <f>IFERROR(INDEX('_courses_lookup'!$D:$D,MATCH(K217&amp;L217,'_courses_lookup'!$E:$E,0)),"")</f>
        <v/>
      </c>
      <c r="AG217">
        <f>IF(AND(AE217&lt;&gt;"",AF217&lt;&gt;""),ROUNDUP((AF217-AE217)/7,0),"")</f>
        <v/>
      </c>
      <c r="AI217">
        <f>IFERROR(IF(AG217*AH217=0,"",AG217*AH217),"")</f>
        <v/>
      </c>
      <c r="AL217">
        <f>IF(AND(AJ217&lt;&gt;"",AK217&lt;&gt;""),ROUNDUP((AK217-AJ217)/7,0),"")</f>
        <v/>
      </c>
      <c r="AN217">
        <f>IFERROR(IF(AL217*AM217=0,"",AL217*AM217),"")</f>
        <v/>
      </c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L217">
        <f>IFERROR(INDEX('_names_lookup'!$C:$C,MATCH(BK217,'_names_lookup'!$A:$A,0)),"")</f>
        <v/>
      </c>
      <c r="BM217">
        <f>IFERROR(INDEX('_names_lookup'!$B:$B,MATCH(BK217,'_names_lookup'!$A:$A,0)),"")</f>
        <v/>
      </c>
      <c r="BS217">
        <f>IFERROR(IF(BR217*AA217=0,"",BR217*AA217),"")</f>
        <v/>
      </c>
    </row>
    <row r="218">
      <c r="O218">
        <f>IFERROR(INDEX('_courses_lookup'!$C:$C,MATCH(K218&amp;L218,'_courses_lookup'!$E:$E,0)),"")</f>
        <v/>
      </c>
      <c r="P218">
        <f>IFERROR(INDEX('_courses_lookup'!$D:$D,MATCH(K218&amp;L218,'_courses_lookup'!$E:$E,0)),"")</f>
        <v/>
      </c>
      <c r="AG218">
        <f>IF(AND(AE218&lt;&gt;"",AF218&lt;&gt;""),ROUNDUP((AF218-AE218)/7,0),"")</f>
        <v/>
      </c>
      <c r="AI218">
        <f>IFERROR(IF(AG218*AH218=0,"",AG218*AH218),"")</f>
        <v/>
      </c>
      <c r="AL218">
        <f>IF(AND(AJ218&lt;&gt;"",AK218&lt;&gt;""),ROUNDUP((AK218-AJ218)/7,0),"")</f>
        <v/>
      </c>
      <c r="AN218">
        <f>IFERROR(IF(AL218*AM218=0,"",AL218*AM218),"")</f>
        <v/>
      </c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L218">
        <f>IFERROR(INDEX('_names_lookup'!$C:$C,MATCH(BK218,'_names_lookup'!$A:$A,0)),"")</f>
        <v/>
      </c>
      <c r="BM218">
        <f>IFERROR(INDEX('_names_lookup'!$B:$B,MATCH(BK218,'_names_lookup'!$A:$A,0)),"")</f>
        <v/>
      </c>
      <c r="BS218">
        <f>IFERROR(IF(BR218*AA218=0,"",BR218*AA218),"")</f>
        <v/>
      </c>
    </row>
    <row r="219">
      <c r="O219">
        <f>IFERROR(INDEX('_courses_lookup'!$C:$C,MATCH(K219&amp;L219,'_courses_lookup'!$E:$E,0)),"")</f>
        <v/>
      </c>
      <c r="P219">
        <f>IFERROR(INDEX('_courses_lookup'!$D:$D,MATCH(K219&amp;L219,'_courses_lookup'!$E:$E,0)),"")</f>
        <v/>
      </c>
      <c r="AG219">
        <f>IF(AND(AE219&lt;&gt;"",AF219&lt;&gt;""),ROUNDUP((AF219-AE219)/7,0),"")</f>
        <v/>
      </c>
      <c r="AI219">
        <f>IFERROR(IF(AG219*AH219=0,"",AG219*AH219),"")</f>
        <v/>
      </c>
      <c r="AL219">
        <f>IF(AND(AJ219&lt;&gt;"",AK219&lt;&gt;""),ROUNDUP((AK219-AJ219)/7,0),"")</f>
        <v/>
      </c>
      <c r="AN219">
        <f>IFERROR(IF(AL219*AM219=0,"",AL219*AM219),"")</f>
        <v/>
      </c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L219">
        <f>IFERROR(INDEX('_names_lookup'!$C:$C,MATCH(BK219,'_names_lookup'!$A:$A,0)),"")</f>
        <v/>
      </c>
      <c r="BM219">
        <f>IFERROR(INDEX('_names_lookup'!$B:$B,MATCH(BK219,'_names_lookup'!$A:$A,0)),"")</f>
        <v/>
      </c>
      <c r="BS219">
        <f>IFERROR(IF(BR219*AA219=0,"",BR219*AA219),"")</f>
        <v/>
      </c>
    </row>
    <row r="220">
      <c r="O220">
        <f>IFERROR(INDEX('_courses_lookup'!$C:$C,MATCH(K220&amp;L220,'_courses_lookup'!$E:$E,0)),"")</f>
        <v/>
      </c>
      <c r="P220">
        <f>IFERROR(INDEX('_courses_lookup'!$D:$D,MATCH(K220&amp;L220,'_courses_lookup'!$E:$E,0)),"")</f>
        <v/>
      </c>
      <c r="AG220">
        <f>IF(AND(AE220&lt;&gt;"",AF220&lt;&gt;""),ROUNDUP((AF220-AE220)/7,0),"")</f>
        <v/>
      </c>
      <c r="AI220">
        <f>IFERROR(IF(AG220*AH220=0,"",AG220*AH220),"")</f>
        <v/>
      </c>
      <c r="AL220">
        <f>IF(AND(AJ220&lt;&gt;"",AK220&lt;&gt;""),ROUNDUP((AK220-AJ220)/7,0),"")</f>
        <v/>
      </c>
      <c r="AN220">
        <f>IFERROR(IF(AL220*AM220=0,"",AL220*AM220),"")</f>
        <v/>
      </c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L220">
        <f>IFERROR(INDEX('_names_lookup'!$C:$C,MATCH(BK220,'_names_lookup'!$A:$A,0)),"")</f>
        <v/>
      </c>
      <c r="BM220">
        <f>IFERROR(INDEX('_names_lookup'!$B:$B,MATCH(BK220,'_names_lookup'!$A:$A,0)),"")</f>
        <v/>
      </c>
      <c r="BS220">
        <f>IFERROR(IF(BR220*AA220=0,"",BR220*AA220),"")</f>
        <v/>
      </c>
    </row>
    <row r="221">
      <c r="O221">
        <f>IFERROR(INDEX('_courses_lookup'!$C:$C,MATCH(K221&amp;L221,'_courses_lookup'!$E:$E,0)),"")</f>
        <v/>
      </c>
      <c r="P221">
        <f>IFERROR(INDEX('_courses_lookup'!$D:$D,MATCH(K221&amp;L221,'_courses_lookup'!$E:$E,0)),"")</f>
        <v/>
      </c>
      <c r="AG221">
        <f>IF(AND(AE221&lt;&gt;"",AF221&lt;&gt;""),ROUNDUP((AF221-AE221)/7,0),"")</f>
        <v/>
      </c>
      <c r="AI221">
        <f>IFERROR(IF(AG221*AH221=0,"",AG221*AH221),"")</f>
        <v/>
      </c>
      <c r="AL221">
        <f>IF(AND(AJ221&lt;&gt;"",AK221&lt;&gt;""),ROUNDUP((AK221-AJ221)/7,0),"")</f>
        <v/>
      </c>
      <c r="AN221">
        <f>IFERROR(IF(AL221*AM221=0,"",AL221*AM221),"")</f>
        <v/>
      </c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L221">
        <f>IFERROR(INDEX('_names_lookup'!$C:$C,MATCH(BK221,'_names_lookup'!$A:$A,0)),"")</f>
        <v/>
      </c>
      <c r="BM221">
        <f>IFERROR(INDEX('_names_lookup'!$B:$B,MATCH(BK221,'_names_lookup'!$A:$A,0)),"")</f>
        <v/>
      </c>
      <c r="BS221">
        <f>IFERROR(IF(BR221*AA221=0,"",BR221*AA221),"")</f>
        <v/>
      </c>
    </row>
    <row r="222">
      <c r="O222">
        <f>IFERROR(INDEX('_courses_lookup'!$C:$C,MATCH(K222&amp;L222,'_courses_lookup'!$E:$E,0)),"")</f>
        <v/>
      </c>
      <c r="P222">
        <f>IFERROR(INDEX('_courses_lookup'!$D:$D,MATCH(K222&amp;L222,'_courses_lookup'!$E:$E,0)),"")</f>
        <v/>
      </c>
      <c r="AG222">
        <f>IF(AND(AE222&lt;&gt;"",AF222&lt;&gt;""),ROUNDUP((AF222-AE222)/7,0),"")</f>
        <v/>
      </c>
      <c r="AI222">
        <f>IFERROR(IF(AG222*AH222=0,"",AG222*AH222),"")</f>
        <v/>
      </c>
      <c r="AL222">
        <f>IF(AND(AJ222&lt;&gt;"",AK222&lt;&gt;""),ROUNDUP((AK222-AJ222)/7,0),"")</f>
        <v/>
      </c>
      <c r="AN222">
        <f>IFERROR(IF(AL222*AM222=0,"",AL222*AM222),"")</f>
        <v/>
      </c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L222">
        <f>IFERROR(INDEX('_names_lookup'!$C:$C,MATCH(BK222,'_names_lookup'!$A:$A,0)),"")</f>
        <v/>
      </c>
      <c r="BM222">
        <f>IFERROR(INDEX('_names_lookup'!$B:$B,MATCH(BK222,'_names_lookup'!$A:$A,0)),"")</f>
        <v/>
      </c>
      <c r="BS222">
        <f>IFERROR(IF(BR222*AA222=0,"",BR222*AA222),"")</f>
        <v/>
      </c>
    </row>
    <row r="223">
      <c r="O223">
        <f>IFERROR(INDEX('_courses_lookup'!$C:$C,MATCH(K223&amp;L223,'_courses_lookup'!$E:$E,0)),"")</f>
        <v/>
      </c>
      <c r="P223">
        <f>IFERROR(INDEX('_courses_lookup'!$D:$D,MATCH(K223&amp;L223,'_courses_lookup'!$E:$E,0)),"")</f>
        <v/>
      </c>
      <c r="AG223">
        <f>IF(AND(AE223&lt;&gt;"",AF223&lt;&gt;""),ROUNDUP((AF223-AE223)/7,0),"")</f>
        <v/>
      </c>
      <c r="AI223">
        <f>IFERROR(IF(AG223*AH223=0,"",AG223*AH223),"")</f>
        <v/>
      </c>
      <c r="AL223">
        <f>IF(AND(AJ223&lt;&gt;"",AK223&lt;&gt;""),ROUNDUP((AK223-AJ223)/7,0),"")</f>
        <v/>
      </c>
      <c r="AN223">
        <f>IFERROR(IF(AL223*AM223=0,"",AL223*AM223),"")</f>
        <v/>
      </c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L223">
        <f>IFERROR(INDEX('_names_lookup'!$C:$C,MATCH(BK223,'_names_lookup'!$A:$A,0)),"")</f>
        <v/>
      </c>
      <c r="BM223">
        <f>IFERROR(INDEX('_names_lookup'!$B:$B,MATCH(BK223,'_names_lookup'!$A:$A,0)),"")</f>
        <v/>
      </c>
      <c r="BS223">
        <f>IFERROR(IF(BR223*AA223=0,"",BR223*AA223),"")</f>
        <v/>
      </c>
    </row>
    <row r="224">
      <c r="O224">
        <f>IFERROR(INDEX('_courses_lookup'!$C:$C,MATCH(K224&amp;L224,'_courses_lookup'!$E:$E,0)),"")</f>
        <v/>
      </c>
      <c r="P224">
        <f>IFERROR(INDEX('_courses_lookup'!$D:$D,MATCH(K224&amp;L224,'_courses_lookup'!$E:$E,0)),"")</f>
        <v/>
      </c>
      <c r="AG224">
        <f>IF(AND(AE224&lt;&gt;"",AF224&lt;&gt;""),ROUNDUP((AF224-AE224)/7,0),"")</f>
        <v/>
      </c>
      <c r="AI224">
        <f>IFERROR(IF(AG224*AH224=0,"",AG224*AH224),"")</f>
        <v/>
      </c>
      <c r="AL224">
        <f>IF(AND(AJ224&lt;&gt;"",AK224&lt;&gt;""),ROUNDUP((AK224-AJ224)/7,0),"")</f>
        <v/>
      </c>
      <c r="AN224">
        <f>IFERROR(IF(AL224*AM224=0,"",AL224*AM224),"")</f>
        <v/>
      </c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L224">
        <f>IFERROR(INDEX('_names_lookup'!$C:$C,MATCH(BK224,'_names_lookup'!$A:$A,0)),"")</f>
        <v/>
      </c>
      <c r="BM224">
        <f>IFERROR(INDEX('_names_lookup'!$B:$B,MATCH(BK224,'_names_lookup'!$A:$A,0)),"")</f>
        <v/>
      </c>
      <c r="BS224">
        <f>IFERROR(IF(BR224*AA224=0,"",BR224*AA224),"")</f>
        <v/>
      </c>
    </row>
    <row r="225">
      <c r="O225">
        <f>IFERROR(INDEX('_courses_lookup'!$C:$C,MATCH(K225&amp;L225,'_courses_lookup'!$E:$E,0)),"")</f>
        <v/>
      </c>
      <c r="P225">
        <f>IFERROR(INDEX('_courses_lookup'!$D:$D,MATCH(K225&amp;L225,'_courses_lookup'!$E:$E,0)),"")</f>
        <v/>
      </c>
      <c r="AG225">
        <f>IF(AND(AE225&lt;&gt;"",AF225&lt;&gt;""),ROUNDUP((AF225-AE225)/7,0),"")</f>
        <v/>
      </c>
      <c r="AI225">
        <f>IFERROR(IF(AG225*AH225=0,"",AG225*AH225),"")</f>
        <v/>
      </c>
      <c r="AL225">
        <f>IF(AND(AJ225&lt;&gt;"",AK225&lt;&gt;""),ROUNDUP((AK225-AJ225)/7,0),"")</f>
        <v/>
      </c>
      <c r="AN225">
        <f>IFERROR(IF(AL225*AM225=0,"",AL225*AM225),"")</f>
        <v/>
      </c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L225">
        <f>IFERROR(INDEX('_names_lookup'!$C:$C,MATCH(BK225,'_names_lookup'!$A:$A,0)),"")</f>
        <v/>
      </c>
      <c r="BM225">
        <f>IFERROR(INDEX('_names_lookup'!$B:$B,MATCH(BK225,'_names_lookup'!$A:$A,0)),"")</f>
        <v/>
      </c>
      <c r="BS225">
        <f>IFERROR(IF(BR225*AA225=0,"",BR225*AA225),"")</f>
        <v/>
      </c>
    </row>
    <row r="226">
      <c r="O226">
        <f>IFERROR(INDEX('_courses_lookup'!$C:$C,MATCH(K226&amp;L226,'_courses_lookup'!$E:$E,0)),"")</f>
        <v/>
      </c>
      <c r="P226">
        <f>IFERROR(INDEX('_courses_lookup'!$D:$D,MATCH(K226&amp;L226,'_courses_lookup'!$E:$E,0)),"")</f>
        <v/>
      </c>
      <c r="AG226">
        <f>IF(AND(AE226&lt;&gt;"",AF226&lt;&gt;""),ROUNDUP((AF226-AE226)/7,0),"")</f>
        <v/>
      </c>
      <c r="AI226">
        <f>IFERROR(IF(AG226*AH226=0,"",AG226*AH226),"")</f>
        <v/>
      </c>
      <c r="AL226">
        <f>IF(AND(AJ226&lt;&gt;"",AK226&lt;&gt;""),ROUNDUP((AK226-AJ226)/7,0),"")</f>
        <v/>
      </c>
      <c r="AN226">
        <f>IFERROR(IF(AL226*AM226=0,"",AL226*AM226),"")</f>
        <v/>
      </c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L226">
        <f>IFERROR(INDEX('_names_lookup'!$C:$C,MATCH(BK226,'_names_lookup'!$A:$A,0)),"")</f>
        <v/>
      </c>
      <c r="BM226">
        <f>IFERROR(INDEX('_names_lookup'!$B:$B,MATCH(BK226,'_names_lookup'!$A:$A,0)),"")</f>
        <v/>
      </c>
      <c r="BS226">
        <f>IFERROR(IF(BR226*AA226=0,"",BR226*AA226),"")</f>
        <v/>
      </c>
    </row>
    <row r="227">
      <c r="O227">
        <f>IFERROR(INDEX('_courses_lookup'!$C:$C,MATCH(K227&amp;L227,'_courses_lookup'!$E:$E,0)),"")</f>
        <v/>
      </c>
      <c r="P227">
        <f>IFERROR(INDEX('_courses_lookup'!$D:$D,MATCH(K227&amp;L227,'_courses_lookup'!$E:$E,0)),"")</f>
        <v/>
      </c>
      <c r="AG227">
        <f>IF(AND(AE227&lt;&gt;"",AF227&lt;&gt;""),ROUNDUP((AF227-AE227)/7,0),"")</f>
        <v/>
      </c>
      <c r="AI227">
        <f>IFERROR(IF(AG227*AH227=0,"",AG227*AH227),"")</f>
        <v/>
      </c>
      <c r="AL227">
        <f>IF(AND(AJ227&lt;&gt;"",AK227&lt;&gt;""),ROUNDUP((AK227-AJ227)/7,0),"")</f>
        <v/>
      </c>
      <c r="AN227">
        <f>IFERROR(IF(AL227*AM227=0,"",AL227*AM227),"")</f>
        <v/>
      </c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L227">
        <f>IFERROR(INDEX('_names_lookup'!$C:$C,MATCH(BK227,'_names_lookup'!$A:$A,0)),"")</f>
        <v/>
      </c>
      <c r="BM227">
        <f>IFERROR(INDEX('_names_lookup'!$B:$B,MATCH(BK227,'_names_lookup'!$A:$A,0)),"")</f>
        <v/>
      </c>
      <c r="BS227">
        <f>IFERROR(IF(BR227*AA227=0,"",BR227*AA227),"")</f>
        <v/>
      </c>
    </row>
    <row r="228">
      <c r="O228">
        <f>IFERROR(INDEX('_courses_lookup'!$C:$C,MATCH(K228&amp;L228,'_courses_lookup'!$E:$E,0)),"")</f>
        <v/>
      </c>
      <c r="P228">
        <f>IFERROR(INDEX('_courses_lookup'!$D:$D,MATCH(K228&amp;L228,'_courses_lookup'!$E:$E,0)),"")</f>
        <v/>
      </c>
      <c r="AG228">
        <f>IF(AND(AE228&lt;&gt;"",AF228&lt;&gt;""),ROUNDUP((AF228-AE228)/7,0),"")</f>
        <v/>
      </c>
      <c r="AI228">
        <f>IFERROR(IF(AG228*AH228=0,"",AG228*AH228),"")</f>
        <v/>
      </c>
      <c r="AL228">
        <f>IF(AND(AJ228&lt;&gt;"",AK228&lt;&gt;""),ROUNDUP((AK228-AJ228)/7,0),"")</f>
        <v/>
      </c>
      <c r="AN228">
        <f>IFERROR(IF(AL228*AM228=0,"",AL228*AM228),"")</f>
        <v/>
      </c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L228">
        <f>IFERROR(INDEX('_names_lookup'!$C:$C,MATCH(BK228,'_names_lookup'!$A:$A,0)),"")</f>
        <v/>
      </c>
      <c r="BM228">
        <f>IFERROR(INDEX('_names_lookup'!$B:$B,MATCH(BK228,'_names_lookup'!$A:$A,0)),"")</f>
        <v/>
      </c>
      <c r="BS228">
        <f>IFERROR(IF(BR228*AA228=0,"",BR228*AA228),"")</f>
        <v/>
      </c>
    </row>
    <row r="229">
      <c r="O229">
        <f>IFERROR(INDEX('_courses_lookup'!$C:$C,MATCH(K229&amp;L229,'_courses_lookup'!$E:$E,0)),"")</f>
        <v/>
      </c>
      <c r="P229">
        <f>IFERROR(INDEX('_courses_lookup'!$D:$D,MATCH(K229&amp;L229,'_courses_lookup'!$E:$E,0)),"")</f>
        <v/>
      </c>
      <c r="AG229">
        <f>IF(AND(AE229&lt;&gt;"",AF229&lt;&gt;""),ROUNDUP((AF229-AE229)/7,0),"")</f>
        <v/>
      </c>
      <c r="AI229">
        <f>IFERROR(IF(AG229*AH229=0,"",AG229*AH229),"")</f>
        <v/>
      </c>
      <c r="AL229">
        <f>IF(AND(AJ229&lt;&gt;"",AK229&lt;&gt;""),ROUNDUP((AK229-AJ229)/7,0),"")</f>
        <v/>
      </c>
      <c r="AN229">
        <f>IFERROR(IF(AL229*AM229=0,"",AL229*AM229),"")</f>
        <v/>
      </c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L229">
        <f>IFERROR(INDEX('_names_lookup'!$C:$C,MATCH(BK229,'_names_lookup'!$A:$A,0)),"")</f>
        <v/>
      </c>
      <c r="BM229">
        <f>IFERROR(INDEX('_names_lookup'!$B:$B,MATCH(BK229,'_names_lookup'!$A:$A,0)),"")</f>
        <v/>
      </c>
      <c r="BS229">
        <f>IFERROR(IF(BR229*AA229=0,"",BR229*AA229),"")</f>
        <v/>
      </c>
    </row>
    <row r="230">
      <c r="O230">
        <f>IFERROR(INDEX('_courses_lookup'!$C:$C,MATCH(K230&amp;L230,'_courses_lookup'!$E:$E,0)),"")</f>
        <v/>
      </c>
      <c r="P230">
        <f>IFERROR(INDEX('_courses_lookup'!$D:$D,MATCH(K230&amp;L230,'_courses_lookup'!$E:$E,0)),"")</f>
        <v/>
      </c>
      <c r="AG230">
        <f>IF(AND(AE230&lt;&gt;"",AF230&lt;&gt;""),ROUNDUP((AF230-AE230)/7,0),"")</f>
        <v/>
      </c>
      <c r="AI230">
        <f>IFERROR(IF(AG230*AH230=0,"",AG230*AH230),"")</f>
        <v/>
      </c>
      <c r="AL230">
        <f>IF(AND(AJ230&lt;&gt;"",AK230&lt;&gt;""),ROUNDUP((AK230-AJ230)/7,0),"")</f>
        <v/>
      </c>
      <c r="AN230">
        <f>IFERROR(IF(AL230*AM230=0,"",AL230*AM230),"")</f>
        <v/>
      </c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L230">
        <f>IFERROR(INDEX('_names_lookup'!$C:$C,MATCH(BK230,'_names_lookup'!$A:$A,0)),"")</f>
        <v/>
      </c>
      <c r="BM230">
        <f>IFERROR(INDEX('_names_lookup'!$B:$B,MATCH(BK230,'_names_lookup'!$A:$A,0)),"")</f>
        <v/>
      </c>
      <c r="BS230">
        <f>IFERROR(IF(BR230*AA230=0,"",BR230*AA230),"")</f>
        <v/>
      </c>
    </row>
    <row r="231">
      <c r="O231">
        <f>IFERROR(INDEX('_courses_lookup'!$C:$C,MATCH(K231&amp;L231,'_courses_lookup'!$E:$E,0)),"")</f>
        <v/>
      </c>
      <c r="P231">
        <f>IFERROR(INDEX('_courses_lookup'!$D:$D,MATCH(K231&amp;L231,'_courses_lookup'!$E:$E,0)),"")</f>
        <v/>
      </c>
      <c r="AG231">
        <f>IF(AND(AE231&lt;&gt;"",AF231&lt;&gt;""),ROUNDUP((AF231-AE231)/7,0),"")</f>
        <v/>
      </c>
      <c r="AI231">
        <f>IFERROR(IF(AG231*AH231=0,"",AG231*AH231),"")</f>
        <v/>
      </c>
      <c r="AL231">
        <f>IF(AND(AJ231&lt;&gt;"",AK231&lt;&gt;""),ROUNDUP((AK231-AJ231)/7,0),"")</f>
        <v/>
      </c>
      <c r="AN231">
        <f>IFERROR(IF(AL231*AM231=0,"",AL231*AM231),"")</f>
        <v/>
      </c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L231">
        <f>IFERROR(INDEX('_names_lookup'!$C:$C,MATCH(BK231,'_names_lookup'!$A:$A,0)),"")</f>
        <v/>
      </c>
      <c r="BM231">
        <f>IFERROR(INDEX('_names_lookup'!$B:$B,MATCH(BK231,'_names_lookup'!$A:$A,0)),"")</f>
        <v/>
      </c>
      <c r="BS231">
        <f>IFERROR(IF(BR231*AA231=0,"",BR231*AA231),"")</f>
        <v/>
      </c>
    </row>
    <row r="232">
      <c r="O232">
        <f>IFERROR(INDEX('_courses_lookup'!$C:$C,MATCH(K232&amp;L232,'_courses_lookup'!$E:$E,0)),"")</f>
        <v/>
      </c>
      <c r="P232">
        <f>IFERROR(INDEX('_courses_lookup'!$D:$D,MATCH(K232&amp;L232,'_courses_lookup'!$E:$E,0)),"")</f>
        <v/>
      </c>
      <c r="AG232">
        <f>IF(AND(AE232&lt;&gt;"",AF232&lt;&gt;""),ROUNDUP((AF232-AE232)/7,0),"")</f>
        <v/>
      </c>
      <c r="AI232">
        <f>IFERROR(IF(AG232*AH232=0,"",AG232*AH232),"")</f>
        <v/>
      </c>
      <c r="AL232">
        <f>IF(AND(AJ232&lt;&gt;"",AK232&lt;&gt;""),ROUNDUP((AK232-AJ232)/7,0),"")</f>
        <v/>
      </c>
      <c r="AN232">
        <f>IFERROR(IF(AL232*AM232=0,"",AL232*AM232),"")</f>
        <v/>
      </c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L232">
        <f>IFERROR(INDEX('_names_lookup'!$C:$C,MATCH(BK232,'_names_lookup'!$A:$A,0)),"")</f>
        <v/>
      </c>
      <c r="BM232">
        <f>IFERROR(INDEX('_names_lookup'!$B:$B,MATCH(BK232,'_names_lookup'!$A:$A,0)),"")</f>
        <v/>
      </c>
      <c r="BS232">
        <f>IFERROR(IF(BR232*AA232=0,"",BR232*AA232),"")</f>
        <v/>
      </c>
    </row>
    <row r="233">
      <c r="O233">
        <f>IFERROR(INDEX('_courses_lookup'!$C:$C,MATCH(K233&amp;L233,'_courses_lookup'!$E:$E,0)),"")</f>
        <v/>
      </c>
      <c r="P233">
        <f>IFERROR(INDEX('_courses_lookup'!$D:$D,MATCH(K233&amp;L233,'_courses_lookup'!$E:$E,0)),"")</f>
        <v/>
      </c>
      <c r="AG233">
        <f>IF(AND(AE233&lt;&gt;"",AF233&lt;&gt;""),ROUNDUP((AF233-AE233)/7,0),"")</f>
        <v/>
      </c>
      <c r="AI233">
        <f>IFERROR(IF(AG233*AH233=0,"",AG233*AH233),"")</f>
        <v/>
      </c>
      <c r="AL233">
        <f>IF(AND(AJ233&lt;&gt;"",AK233&lt;&gt;""),ROUNDUP((AK233-AJ233)/7,0),"")</f>
        <v/>
      </c>
      <c r="AN233">
        <f>IFERROR(IF(AL233*AM233=0,"",AL233*AM233),"")</f>
        <v/>
      </c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L233">
        <f>IFERROR(INDEX('_names_lookup'!$C:$C,MATCH(BK233,'_names_lookup'!$A:$A,0)),"")</f>
        <v/>
      </c>
      <c r="BM233">
        <f>IFERROR(INDEX('_names_lookup'!$B:$B,MATCH(BK233,'_names_lookup'!$A:$A,0)),"")</f>
        <v/>
      </c>
      <c r="BS233">
        <f>IFERROR(IF(BR233*AA233=0,"",BR233*AA233),"")</f>
        <v/>
      </c>
    </row>
    <row r="234">
      <c r="O234">
        <f>IFERROR(INDEX('_courses_lookup'!$C:$C,MATCH(K234&amp;L234,'_courses_lookup'!$E:$E,0)),"")</f>
        <v/>
      </c>
      <c r="P234">
        <f>IFERROR(INDEX('_courses_lookup'!$D:$D,MATCH(K234&amp;L234,'_courses_lookup'!$E:$E,0)),"")</f>
        <v/>
      </c>
      <c r="AG234">
        <f>IF(AND(AE234&lt;&gt;"",AF234&lt;&gt;""),ROUNDUP((AF234-AE234)/7,0),"")</f>
        <v/>
      </c>
      <c r="AI234">
        <f>IFERROR(IF(AG234*AH234=0,"",AG234*AH234),"")</f>
        <v/>
      </c>
      <c r="AL234">
        <f>IF(AND(AJ234&lt;&gt;"",AK234&lt;&gt;""),ROUNDUP((AK234-AJ234)/7,0),"")</f>
        <v/>
      </c>
      <c r="AN234">
        <f>IFERROR(IF(AL234*AM234=0,"",AL234*AM234),"")</f>
        <v/>
      </c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L234">
        <f>IFERROR(INDEX('_names_lookup'!$C:$C,MATCH(BK234,'_names_lookup'!$A:$A,0)),"")</f>
        <v/>
      </c>
      <c r="BM234">
        <f>IFERROR(INDEX('_names_lookup'!$B:$B,MATCH(BK234,'_names_lookup'!$A:$A,0)),"")</f>
        <v/>
      </c>
      <c r="BS234">
        <f>IFERROR(IF(BR234*AA234=0,"",BR234*AA234),"")</f>
        <v/>
      </c>
    </row>
    <row r="235">
      <c r="O235">
        <f>IFERROR(INDEX('_courses_lookup'!$C:$C,MATCH(K235&amp;L235,'_courses_lookup'!$E:$E,0)),"")</f>
        <v/>
      </c>
      <c r="P235">
        <f>IFERROR(INDEX('_courses_lookup'!$D:$D,MATCH(K235&amp;L235,'_courses_lookup'!$E:$E,0)),"")</f>
        <v/>
      </c>
      <c r="AG235">
        <f>IF(AND(AE235&lt;&gt;"",AF235&lt;&gt;""),ROUNDUP((AF235-AE235)/7,0),"")</f>
        <v/>
      </c>
      <c r="AI235">
        <f>IFERROR(IF(AG235*AH235=0,"",AG235*AH235),"")</f>
        <v/>
      </c>
      <c r="AL235">
        <f>IF(AND(AJ235&lt;&gt;"",AK235&lt;&gt;""),ROUNDUP((AK235-AJ235)/7,0),"")</f>
        <v/>
      </c>
      <c r="AN235">
        <f>IFERROR(IF(AL235*AM235=0,"",AL235*AM235),"")</f>
        <v/>
      </c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L235">
        <f>IFERROR(INDEX('_names_lookup'!$C:$C,MATCH(BK235,'_names_lookup'!$A:$A,0)),"")</f>
        <v/>
      </c>
      <c r="BM235">
        <f>IFERROR(INDEX('_names_lookup'!$B:$B,MATCH(BK235,'_names_lookup'!$A:$A,0)),"")</f>
        <v/>
      </c>
      <c r="BS235">
        <f>IFERROR(IF(BR235*AA235=0,"",BR235*AA235),"")</f>
        <v/>
      </c>
    </row>
    <row r="236">
      <c r="O236">
        <f>IFERROR(INDEX('_courses_lookup'!$C:$C,MATCH(K236&amp;L236,'_courses_lookup'!$E:$E,0)),"")</f>
        <v/>
      </c>
      <c r="P236">
        <f>IFERROR(INDEX('_courses_lookup'!$D:$D,MATCH(K236&amp;L236,'_courses_lookup'!$E:$E,0)),"")</f>
        <v/>
      </c>
      <c r="AG236">
        <f>IF(AND(AE236&lt;&gt;"",AF236&lt;&gt;""),ROUNDUP((AF236-AE236)/7,0),"")</f>
        <v/>
      </c>
      <c r="AI236">
        <f>IFERROR(IF(AG236*AH236=0,"",AG236*AH236),"")</f>
        <v/>
      </c>
      <c r="AL236">
        <f>IF(AND(AJ236&lt;&gt;"",AK236&lt;&gt;""),ROUNDUP((AK236-AJ236)/7,0),"")</f>
        <v/>
      </c>
      <c r="AN236">
        <f>IFERROR(IF(AL236*AM236=0,"",AL236*AM236),"")</f>
        <v/>
      </c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L236">
        <f>IFERROR(INDEX('_names_lookup'!$C:$C,MATCH(BK236,'_names_lookup'!$A:$A,0)),"")</f>
        <v/>
      </c>
      <c r="BM236">
        <f>IFERROR(INDEX('_names_lookup'!$B:$B,MATCH(BK236,'_names_lookup'!$A:$A,0)),"")</f>
        <v/>
      </c>
      <c r="BS236">
        <f>IFERROR(IF(BR236*AA236=0,"",BR236*AA236),"")</f>
        <v/>
      </c>
    </row>
    <row r="237">
      <c r="O237">
        <f>IFERROR(INDEX('_courses_lookup'!$C:$C,MATCH(K237&amp;L237,'_courses_lookup'!$E:$E,0)),"")</f>
        <v/>
      </c>
      <c r="P237">
        <f>IFERROR(INDEX('_courses_lookup'!$D:$D,MATCH(K237&amp;L237,'_courses_lookup'!$E:$E,0)),"")</f>
        <v/>
      </c>
      <c r="AG237">
        <f>IF(AND(AE237&lt;&gt;"",AF237&lt;&gt;""),ROUNDUP((AF237-AE237)/7,0),"")</f>
        <v/>
      </c>
      <c r="AI237">
        <f>IFERROR(IF(AG237*AH237=0,"",AG237*AH237),"")</f>
        <v/>
      </c>
      <c r="AL237">
        <f>IF(AND(AJ237&lt;&gt;"",AK237&lt;&gt;""),ROUNDUP((AK237-AJ237)/7,0),"")</f>
        <v/>
      </c>
      <c r="AN237">
        <f>IFERROR(IF(AL237*AM237=0,"",AL237*AM237),"")</f>
        <v/>
      </c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L237">
        <f>IFERROR(INDEX('_names_lookup'!$C:$C,MATCH(BK237,'_names_lookup'!$A:$A,0)),"")</f>
        <v/>
      </c>
      <c r="BM237">
        <f>IFERROR(INDEX('_names_lookup'!$B:$B,MATCH(BK237,'_names_lookup'!$A:$A,0)),"")</f>
        <v/>
      </c>
      <c r="BS237">
        <f>IFERROR(IF(BR237*AA237=0,"",BR237*AA237),"")</f>
        <v/>
      </c>
    </row>
    <row r="238">
      <c r="O238">
        <f>IFERROR(INDEX('_courses_lookup'!$C:$C,MATCH(K238&amp;L238,'_courses_lookup'!$E:$E,0)),"")</f>
        <v/>
      </c>
      <c r="P238">
        <f>IFERROR(INDEX('_courses_lookup'!$D:$D,MATCH(K238&amp;L238,'_courses_lookup'!$E:$E,0)),"")</f>
        <v/>
      </c>
      <c r="AG238">
        <f>IF(AND(AE238&lt;&gt;"",AF238&lt;&gt;""),ROUNDUP((AF238-AE238)/7,0),"")</f>
        <v/>
      </c>
      <c r="AI238">
        <f>IFERROR(IF(AG238*AH238=0,"",AG238*AH238),"")</f>
        <v/>
      </c>
      <c r="AL238">
        <f>IF(AND(AJ238&lt;&gt;"",AK238&lt;&gt;""),ROUNDUP((AK238-AJ238)/7,0),"")</f>
        <v/>
      </c>
      <c r="AN238">
        <f>IFERROR(IF(AL238*AM238=0,"",AL238*AM238),"")</f>
        <v/>
      </c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L238">
        <f>IFERROR(INDEX('_names_lookup'!$C:$C,MATCH(BK238,'_names_lookup'!$A:$A,0)),"")</f>
        <v/>
      </c>
      <c r="BM238">
        <f>IFERROR(INDEX('_names_lookup'!$B:$B,MATCH(BK238,'_names_lookup'!$A:$A,0)),"")</f>
        <v/>
      </c>
      <c r="BS238">
        <f>IFERROR(IF(BR238*AA238=0,"",BR238*AA238),"")</f>
        <v/>
      </c>
    </row>
    <row r="239">
      <c r="O239">
        <f>IFERROR(INDEX('_courses_lookup'!$C:$C,MATCH(K239&amp;L239,'_courses_lookup'!$E:$E,0)),"")</f>
        <v/>
      </c>
      <c r="P239">
        <f>IFERROR(INDEX('_courses_lookup'!$D:$D,MATCH(K239&amp;L239,'_courses_lookup'!$E:$E,0)),"")</f>
        <v/>
      </c>
      <c r="AG239">
        <f>IF(AND(AE239&lt;&gt;"",AF239&lt;&gt;""),ROUNDUP((AF239-AE239)/7,0),"")</f>
        <v/>
      </c>
      <c r="AI239">
        <f>IFERROR(IF(AG239*AH239=0,"",AG239*AH239),"")</f>
        <v/>
      </c>
      <c r="AL239">
        <f>IF(AND(AJ239&lt;&gt;"",AK239&lt;&gt;""),ROUNDUP((AK239-AJ239)/7,0),"")</f>
        <v/>
      </c>
      <c r="AN239">
        <f>IFERROR(IF(AL239*AM239=0,"",AL239*AM239),"")</f>
        <v/>
      </c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L239">
        <f>IFERROR(INDEX('_names_lookup'!$C:$C,MATCH(BK239,'_names_lookup'!$A:$A,0)),"")</f>
        <v/>
      </c>
      <c r="BM239">
        <f>IFERROR(INDEX('_names_lookup'!$B:$B,MATCH(BK239,'_names_lookup'!$A:$A,0)),"")</f>
        <v/>
      </c>
      <c r="BS239">
        <f>IFERROR(IF(BR239*AA239=0,"",BR239*AA239),"")</f>
        <v/>
      </c>
    </row>
    <row r="240">
      <c r="O240">
        <f>IFERROR(INDEX('_courses_lookup'!$C:$C,MATCH(K240&amp;L240,'_courses_lookup'!$E:$E,0)),"")</f>
        <v/>
      </c>
      <c r="P240">
        <f>IFERROR(INDEX('_courses_lookup'!$D:$D,MATCH(K240&amp;L240,'_courses_lookup'!$E:$E,0)),"")</f>
        <v/>
      </c>
      <c r="AG240">
        <f>IF(AND(AE240&lt;&gt;"",AF240&lt;&gt;""),ROUNDUP((AF240-AE240)/7,0),"")</f>
        <v/>
      </c>
      <c r="AI240">
        <f>IFERROR(IF(AG240*AH240=0,"",AG240*AH240),"")</f>
        <v/>
      </c>
      <c r="AL240">
        <f>IF(AND(AJ240&lt;&gt;"",AK240&lt;&gt;""),ROUNDUP((AK240-AJ240)/7,0),"")</f>
        <v/>
      </c>
      <c r="AN240">
        <f>IFERROR(IF(AL240*AM240=0,"",AL240*AM240),"")</f>
        <v/>
      </c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L240">
        <f>IFERROR(INDEX('_names_lookup'!$C:$C,MATCH(BK240,'_names_lookup'!$A:$A,0)),"")</f>
        <v/>
      </c>
      <c r="BM240">
        <f>IFERROR(INDEX('_names_lookup'!$B:$B,MATCH(BK240,'_names_lookup'!$A:$A,0)),"")</f>
        <v/>
      </c>
      <c r="BS240">
        <f>IFERROR(IF(BR240*AA240=0,"",BR240*AA240),"")</f>
        <v/>
      </c>
    </row>
    <row r="241">
      <c r="O241">
        <f>IFERROR(INDEX('_courses_lookup'!$C:$C,MATCH(K241&amp;L241,'_courses_lookup'!$E:$E,0)),"")</f>
        <v/>
      </c>
      <c r="P241">
        <f>IFERROR(INDEX('_courses_lookup'!$D:$D,MATCH(K241&amp;L241,'_courses_lookup'!$E:$E,0)),"")</f>
        <v/>
      </c>
      <c r="AG241">
        <f>IF(AND(AE241&lt;&gt;"",AF241&lt;&gt;""),ROUNDUP((AF241-AE241)/7,0),"")</f>
        <v/>
      </c>
      <c r="AI241">
        <f>IFERROR(IF(AG241*AH241=0,"",AG241*AH241),"")</f>
        <v/>
      </c>
      <c r="AL241">
        <f>IF(AND(AJ241&lt;&gt;"",AK241&lt;&gt;""),ROUNDUP((AK241-AJ241)/7,0),"")</f>
        <v/>
      </c>
      <c r="AN241">
        <f>IFERROR(IF(AL241*AM241=0,"",AL241*AM241),"")</f>
        <v/>
      </c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L241">
        <f>IFERROR(INDEX('_names_lookup'!$C:$C,MATCH(BK241,'_names_lookup'!$A:$A,0)),"")</f>
        <v/>
      </c>
      <c r="BM241">
        <f>IFERROR(INDEX('_names_lookup'!$B:$B,MATCH(BK241,'_names_lookup'!$A:$A,0)),"")</f>
        <v/>
      </c>
      <c r="BS241">
        <f>IFERROR(IF(BR241*AA241=0,"",BR241*AA241),"")</f>
        <v/>
      </c>
    </row>
    <row r="242">
      <c r="O242">
        <f>IFERROR(INDEX('_courses_lookup'!$C:$C,MATCH(K242&amp;L242,'_courses_lookup'!$E:$E,0)),"")</f>
        <v/>
      </c>
      <c r="P242">
        <f>IFERROR(INDEX('_courses_lookup'!$D:$D,MATCH(K242&amp;L242,'_courses_lookup'!$E:$E,0)),"")</f>
        <v/>
      </c>
      <c r="AG242">
        <f>IF(AND(AE242&lt;&gt;"",AF242&lt;&gt;""),ROUNDUP((AF242-AE242)/7,0),"")</f>
        <v/>
      </c>
      <c r="AI242">
        <f>IFERROR(IF(AG242*AH242=0,"",AG242*AH242),"")</f>
        <v/>
      </c>
      <c r="AL242">
        <f>IF(AND(AJ242&lt;&gt;"",AK242&lt;&gt;""),ROUNDUP((AK242-AJ242)/7,0),"")</f>
        <v/>
      </c>
      <c r="AN242">
        <f>IFERROR(IF(AL242*AM242=0,"",AL242*AM242),"")</f>
        <v/>
      </c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L242">
        <f>IFERROR(INDEX('_names_lookup'!$C:$C,MATCH(BK242,'_names_lookup'!$A:$A,0)),"")</f>
        <v/>
      </c>
      <c r="BM242">
        <f>IFERROR(INDEX('_names_lookup'!$B:$B,MATCH(BK242,'_names_lookup'!$A:$A,0)),"")</f>
        <v/>
      </c>
      <c r="BS242">
        <f>IFERROR(IF(BR242*AA242=0,"",BR242*AA242),"")</f>
        <v/>
      </c>
    </row>
    <row r="243">
      <c r="O243">
        <f>IFERROR(INDEX('_courses_lookup'!$C:$C,MATCH(K243&amp;L243,'_courses_lookup'!$E:$E,0)),"")</f>
        <v/>
      </c>
      <c r="P243">
        <f>IFERROR(INDEX('_courses_lookup'!$D:$D,MATCH(K243&amp;L243,'_courses_lookup'!$E:$E,0)),"")</f>
        <v/>
      </c>
      <c r="AG243">
        <f>IF(AND(AE243&lt;&gt;"",AF243&lt;&gt;""),ROUNDUP((AF243-AE243)/7,0),"")</f>
        <v/>
      </c>
      <c r="AI243">
        <f>IFERROR(IF(AG243*AH243=0,"",AG243*AH243),"")</f>
        <v/>
      </c>
      <c r="AL243">
        <f>IF(AND(AJ243&lt;&gt;"",AK243&lt;&gt;""),ROUNDUP((AK243-AJ243)/7,0),"")</f>
        <v/>
      </c>
      <c r="AN243">
        <f>IFERROR(IF(AL243*AM243=0,"",AL243*AM243),"")</f>
        <v/>
      </c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L243">
        <f>IFERROR(INDEX('_names_lookup'!$C:$C,MATCH(BK243,'_names_lookup'!$A:$A,0)),"")</f>
        <v/>
      </c>
      <c r="BM243">
        <f>IFERROR(INDEX('_names_lookup'!$B:$B,MATCH(BK243,'_names_lookup'!$A:$A,0)),"")</f>
        <v/>
      </c>
      <c r="BS243">
        <f>IFERROR(IF(BR243*AA243=0,"",BR243*AA243),"")</f>
        <v/>
      </c>
    </row>
    <row r="244">
      <c r="O244">
        <f>IFERROR(INDEX('_courses_lookup'!$C:$C,MATCH(K244&amp;L244,'_courses_lookup'!$E:$E,0)),"")</f>
        <v/>
      </c>
      <c r="P244">
        <f>IFERROR(INDEX('_courses_lookup'!$D:$D,MATCH(K244&amp;L244,'_courses_lookup'!$E:$E,0)),"")</f>
        <v/>
      </c>
      <c r="AG244">
        <f>IF(AND(AE244&lt;&gt;"",AF244&lt;&gt;""),ROUNDUP((AF244-AE244)/7,0),"")</f>
        <v/>
      </c>
      <c r="AI244">
        <f>IFERROR(IF(AG244*AH244=0,"",AG244*AH244),"")</f>
        <v/>
      </c>
      <c r="AL244">
        <f>IF(AND(AJ244&lt;&gt;"",AK244&lt;&gt;""),ROUNDUP((AK244-AJ244)/7,0),"")</f>
        <v/>
      </c>
      <c r="AN244">
        <f>IFERROR(IF(AL244*AM244=0,"",AL244*AM244),"")</f>
        <v/>
      </c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L244">
        <f>IFERROR(INDEX('_names_lookup'!$C:$C,MATCH(BK244,'_names_lookup'!$A:$A,0)),"")</f>
        <v/>
      </c>
      <c r="BM244">
        <f>IFERROR(INDEX('_names_lookup'!$B:$B,MATCH(BK244,'_names_lookup'!$A:$A,0)),"")</f>
        <v/>
      </c>
      <c r="BS244">
        <f>IFERROR(IF(BR244*AA244=0,"",BR244*AA244),"")</f>
        <v/>
      </c>
    </row>
    <row r="245">
      <c r="O245">
        <f>IFERROR(INDEX('_courses_lookup'!$C:$C,MATCH(K245&amp;L245,'_courses_lookup'!$E:$E,0)),"")</f>
        <v/>
      </c>
      <c r="P245">
        <f>IFERROR(INDEX('_courses_lookup'!$D:$D,MATCH(K245&amp;L245,'_courses_lookup'!$E:$E,0)),"")</f>
        <v/>
      </c>
      <c r="AG245">
        <f>IF(AND(AE245&lt;&gt;"",AF245&lt;&gt;""),ROUNDUP((AF245-AE245)/7,0),"")</f>
        <v/>
      </c>
      <c r="AI245">
        <f>IFERROR(IF(AG245*AH245=0,"",AG245*AH245),"")</f>
        <v/>
      </c>
      <c r="AL245">
        <f>IF(AND(AJ245&lt;&gt;"",AK245&lt;&gt;""),ROUNDUP((AK245-AJ245)/7,0),"")</f>
        <v/>
      </c>
      <c r="AN245">
        <f>IFERROR(IF(AL245*AM245=0,"",AL245*AM245),"")</f>
        <v/>
      </c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L245">
        <f>IFERROR(INDEX('_names_lookup'!$C:$C,MATCH(BK245,'_names_lookup'!$A:$A,0)),"")</f>
        <v/>
      </c>
      <c r="BM245">
        <f>IFERROR(INDEX('_names_lookup'!$B:$B,MATCH(BK245,'_names_lookup'!$A:$A,0)),"")</f>
        <v/>
      </c>
      <c r="BS245">
        <f>IFERROR(IF(BR245*AA245=0,"",BR245*AA245),"")</f>
        <v/>
      </c>
    </row>
    <row r="246">
      <c r="O246">
        <f>IFERROR(INDEX('_courses_lookup'!$C:$C,MATCH(K246&amp;L246,'_courses_lookup'!$E:$E,0)),"")</f>
        <v/>
      </c>
      <c r="P246">
        <f>IFERROR(INDEX('_courses_lookup'!$D:$D,MATCH(K246&amp;L246,'_courses_lookup'!$E:$E,0)),"")</f>
        <v/>
      </c>
      <c r="AG246">
        <f>IF(AND(AE246&lt;&gt;"",AF246&lt;&gt;""),ROUNDUP((AF246-AE246)/7,0),"")</f>
        <v/>
      </c>
      <c r="AI246">
        <f>IFERROR(IF(AG246*AH246=0,"",AG246*AH246),"")</f>
        <v/>
      </c>
      <c r="AL246">
        <f>IF(AND(AJ246&lt;&gt;"",AK246&lt;&gt;""),ROUNDUP((AK246-AJ246)/7,0),"")</f>
        <v/>
      </c>
      <c r="AN246">
        <f>IFERROR(IF(AL246*AM246=0,"",AL246*AM246),"")</f>
        <v/>
      </c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L246">
        <f>IFERROR(INDEX('_names_lookup'!$C:$C,MATCH(BK246,'_names_lookup'!$A:$A,0)),"")</f>
        <v/>
      </c>
      <c r="BM246">
        <f>IFERROR(INDEX('_names_lookup'!$B:$B,MATCH(BK246,'_names_lookup'!$A:$A,0)),"")</f>
        <v/>
      </c>
      <c r="BS246">
        <f>IFERROR(IF(BR246*AA246=0,"",BR246*AA246),"")</f>
        <v/>
      </c>
    </row>
    <row r="247">
      <c r="O247">
        <f>IFERROR(INDEX('_courses_lookup'!$C:$C,MATCH(K247&amp;L247,'_courses_lookup'!$E:$E,0)),"")</f>
        <v/>
      </c>
      <c r="P247">
        <f>IFERROR(INDEX('_courses_lookup'!$D:$D,MATCH(K247&amp;L247,'_courses_lookup'!$E:$E,0)),"")</f>
        <v/>
      </c>
      <c r="AG247">
        <f>IF(AND(AE247&lt;&gt;"",AF247&lt;&gt;""),ROUNDUP((AF247-AE247)/7,0),"")</f>
        <v/>
      </c>
      <c r="AI247">
        <f>IFERROR(IF(AG247*AH247=0,"",AG247*AH247),"")</f>
        <v/>
      </c>
      <c r="AL247">
        <f>IF(AND(AJ247&lt;&gt;"",AK247&lt;&gt;""),ROUNDUP((AK247-AJ247)/7,0),"")</f>
        <v/>
      </c>
      <c r="AN247">
        <f>IFERROR(IF(AL247*AM247=0,"",AL247*AM247),"")</f>
        <v/>
      </c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L247">
        <f>IFERROR(INDEX('_names_lookup'!$C:$C,MATCH(BK247,'_names_lookup'!$A:$A,0)),"")</f>
        <v/>
      </c>
      <c r="BM247">
        <f>IFERROR(INDEX('_names_lookup'!$B:$B,MATCH(BK247,'_names_lookup'!$A:$A,0)),"")</f>
        <v/>
      </c>
      <c r="BS247">
        <f>IFERROR(IF(BR247*AA247=0,"",BR247*AA247),"")</f>
        <v/>
      </c>
    </row>
    <row r="248">
      <c r="O248">
        <f>IFERROR(INDEX('_courses_lookup'!$C:$C,MATCH(K248&amp;L248,'_courses_lookup'!$E:$E,0)),"")</f>
        <v/>
      </c>
      <c r="P248">
        <f>IFERROR(INDEX('_courses_lookup'!$D:$D,MATCH(K248&amp;L248,'_courses_lookup'!$E:$E,0)),"")</f>
        <v/>
      </c>
      <c r="AG248">
        <f>IF(AND(AE248&lt;&gt;"",AF248&lt;&gt;""),ROUNDUP((AF248-AE248)/7,0),"")</f>
        <v/>
      </c>
      <c r="AI248">
        <f>IFERROR(IF(AG248*AH248=0,"",AG248*AH248),"")</f>
        <v/>
      </c>
      <c r="AL248">
        <f>IF(AND(AJ248&lt;&gt;"",AK248&lt;&gt;""),ROUNDUP((AK248-AJ248)/7,0),"")</f>
        <v/>
      </c>
      <c r="AN248">
        <f>IFERROR(IF(AL248*AM248=0,"",AL248*AM248),"")</f>
        <v/>
      </c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L248">
        <f>IFERROR(INDEX('_names_lookup'!$C:$C,MATCH(BK248,'_names_lookup'!$A:$A,0)),"")</f>
        <v/>
      </c>
      <c r="BM248">
        <f>IFERROR(INDEX('_names_lookup'!$B:$B,MATCH(BK248,'_names_lookup'!$A:$A,0)),"")</f>
        <v/>
      </c>
      <c r="BS248">
        <f>IFERROR(IF(BR248*AA248=0,"",BR248*AA248),"")</f>
        <v/>
      </c>
    </row>
    <row r="249">
      <c r="O249">
        <f>IFERROR(INDEX('_courses_lookup'!$C:$C,MATCH(K249&amp;L249,'_courses_lookup'!$E:$E,0)),"")</f>
        <v/>
      </c>
      <c r="P249">
        <f>IFERROR(INDEX('_courses_lookup'!$D:$D,MATCH(K249&amp;L249,'_courses_lookup'!$E:$E,0)),"")</f>
        <v/>
      </c>
      <c r="AG249">
        <f>IF(AND(AE249&lt;&gt;"",AF249&lt;&gt;""),ROUNDUP((AF249-AE249)/7,0),"")</f>
        <v/>
      </c>
      <c r="AI249">
        <f>IFERROR(IF(AG249*AH249=0,"",AG249*AH249),"")</f>
        <v/>
      </c>
      <c r="AL249">
        <f>IF(AND(AJ249&lt;&gt;"",AK249&lt;&gt;""),ROUNDUP((AK249-AJ249)/7,0),"")</f>
        <v/>
      </c>
      <c r="AN249">
        <f>IFERROR(IF(AL249*AM249=0,"",AL249*AM249),"")</f>
        <v/>
      </c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L249">
        <f>IFERROR(INDEX('_names_lookup'!$C:$C,MATCH(BK249,'_names_lookup'!$A:$A,0)),"")</f>
        <v/>
      </c>
      <c r="BM249">
        <f>IFERROR(INDEX('_names_lookup'!$B:$B,MATCH(BK249,'_names_lookup'!$A:$A,0)),"")</f>
        <v/>
      </c>
      <c r="BS249">
        <f>IFERROR(IF(BR249*AA249=0,"",BR249*AA249),"")</f>
        <v/>
      </c>
    </row>
    <row r="250">
      <c r="O250">
        <f>IFERROR(INDEX('_courses_lookup'!$C:$C,MATCH(K250&amp;L250,'_courses_lookup'!$E:$E,0)),"")</f>
        <v/>
      </c>
      <c r="P250">
        <f>IFERROR(INDEX('_courses_lookup'!$D:$D,MATCH(K250&amp;L250,'_courses_lookup'!$E:$E,0)),"")</f>
        <v/>
      </c>
      <c r="AG250">
        <f>IF(AND(AE250&lt;&gt;"",AF250&lt;&gt;""),ROUNDUP((AF250-AE250)/7,0),"")</f>
        <v/>
      </c>
      <c r="AI250">
        <f>IFERROR(IF(AG250*AH250=0,"",AG250*AH250),"")</f>
        <v/>
      </c>
      <c r="AL250">
        <f>IF(AND(AJ250&lt;&gt;"",AK250&lt;&gt;""),ROUNDUP((AK250-AJ250)/7,0),"")</f>
        <v/>
      </c>
      <c r="AN250">
        <f>IFERROR(IF(AL250*AM250=0,"",AL250*AM250),"")</f>
        <v/>
      </c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L250">
        <f>IFERROR(INDEX('_names_lookup'!$C:$C,MATCH(BK250,'_names_lookup'!$A:$A,0)),"")</f>
        <v/>
      </c>
      <c r="BM250">
        <f>IFERROR(INDEX('_names_lookup'!$B:$B,MATCH(BK250,'_names_lookup'!$A:$A,0)),"")</f>
        <v/>
      </c>
      <c r="BS250">
        <f>IFERROR(IF(BR250*AA250=0,"",BR250*AA250),"")</f>
        <v/>
      </c>
    </row>
    <row r="251">
      <c r="O251">
        <f>IFERROR(INDEX('_courses_lookup'!$C:$C,MATCH(K251&amp;L251,'_courses_lookup'!$E:$E,0)),"")</f>
        <v/>
      </c>
      <c r="P251">
        <f>IFERROR(INDEX('_courses_lookup'!$D:$D,MATCH(K251&amp;L251,'_courses_lookup'!$E:$E,0)),"")</f>
        <v/>
      </c>
      <c r="AG251">
        <f>IF(AND(AE251&lt;&gt;"",AF251&lt;&gt;""),ROUNDUP((AF251-AE251)/7,0),"")</f>
        <v/>
      </c>
      <c r="AI251">
        <f>IFERROR(IF(AG251*AH251=0,"",AG251*AH251),"")</f>
        <v/>
      </c>
      <c r="AL251">
        <f>IF(AND(AJ251&lt;&gt;"",AK251&lt;&gt;""),ROUNDUP((AK251-AJ251)/7,0),"")</f>
        <v/>
      </c>
      <c r="AN251">
        <f>IFERROR(IF(AL251*AM251=0,"",AL251*AM251),"")</f>
        <v/>
      </c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L251">
        <f>IFERROR(INDEX('_names_lookup'!$C:$C,MATCH(BK251,'_names_lookup'!$A:$A,0)),"")</f>
        <v/>
      </c>
      <c r="BM251">
        <f>IFERROR(INDEX('_names_lookup'!$B:$B,MATCH(BK251,'_names_lookup'!$A:$A,0)),"")</f>
        <v/>
      </c>
      <c r="BS251">
        <f>IFERROR(IF(BR251*AA251=0,"",BR251*AA251),"")</f>
        <v/>
      </c>
    </row>
    <row r="252">
      <c r="O252">
        <f>IFERROR(INDEX('_courses_lookup'!$C:$C,MATCH(K252&amp;L252,'_courses_lookup'!$E:$E,0)),"")</f>
        <v/>
      </c>
      <c r="P252">
        <f>IFERROR(INDEX('_courses_lookup'!$D:$D,MATCH(K252&amp;L252,'_courses_lookup'!$E:$E,0)),"")</f>
        <v/>
      </c>
      <c r="AG252">
        <f>IF(AND(AE252&lt;&gt;"",AF252&lt;&gt;""),ROUNDUP((AF252-AE252)/7,0),"")</f>
        <v/>
      </c>
      <c r="AI252">
        <f>IFERROR(IF(AG252*AH252=0,"",AG252*AH252),"")</f>
        <v/>
      </c>
      <c r="AL252">
        <f>IF(AND(AJ252&lt;&gt;"",AK252&lt;&gt;""),ROUNDUP((AK252-AJ252)/7,0),"")</f>
        <v/>
      </c>
      <c r="AN252">
        <f>IFERROR(IF(AL252*AM252=0,"",AL252*AM252),"")</f>
        <v/>
      </c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L252">
        <f>IFERROR(INDEX('_names_lookup'!$C:$C,MATCH(BK252,'_names_lookup'!$A:$A,0)),"")</f>
        <v/>
      </c>
      <c r="BM252">
        <f>IFERROR(INDEX('_names_lookup'!$B:$B,MATCH(BK252,'_names_lookup'!$A:$A,0)),"")</f>
        <v/>
      </c>
      <c r="BS252">
        <f>IFERROR(IF(BR252*AA252=0,"",BR252*AA252),"")</f>
        <v/>
      </c>
    </row>
    <row r="253">
      <c r="O253">
        <f>IFERROR(INDEX('_courses_lookup'!$C:$C,MATCH(K253&amp;L253,'_courses_lookup'!$E:$E,0)),"")</f>
        <v/>
      </c>
      <c r="P253">
        <f>IFERROR(INDEX('_courses_lookup'!$D:$D,MATCH(K253&amp;L253,'_courses_lookup'!$E:$E,0)),"")</f>
        <v/>
      </c>
      <c r="AG253">
        <f>IF(AND(AE253&lt;&gt;"",AF253&lt;&gt;""),ROUNDUP((AF253-AE253)/7,0),"")</f>
        <v/>
      </c>
      <c r="AI253">
        <f>IFERROR(IF(AG253*AH253=0,"",AG253*AH253),"")</f>
        <v/>
      </c>
      <c r="AL253">
        <f>IF(AND(AJ253&lt;&gt;"",AK253&lt;&gt;""),ROUNDUP((AK253-AJ253)/7,0),"")</f>
        <v/>
      </c>
      <c r="AN253">
        <f>IFERROR(IF(AL253*AM253=0,"",AL253*AM253),"")</f>
        <v/>
      </c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L253">
        <f>IFERROR(INDEX('_names_lookup'!$C:$C,MATCH(BK253,'_names_lookup'!$A:$A,0)),"")</f>
        <v/>
      </c>
      <c r="BM253">
        <f>IFERROR(INDEX('_names_lookup'!$B:$B,MATCH(BK253,'_names_lookup'!$A:$A,0)),"")</f>
        <v/>
      </c>
      <c r="BS253">
        <f>IFERROR(IF(BR253*AA253=0,"",BR253*AA253),"")</f>
        <v/>
      </c>
    </row>
    <row r="254">
      <c r="O254">
        <f>IFERROR(INDEX('_courses_lookup'!$C:$C,MATCH(K254&amp;L254,'_courses_lookup'!$E:$E,0)),"")</f>
        <v/>
      </c>
      <c r="P254">
        <f>IFERROR(INDEX('_courses_lookup'!$D:$D,MATCH(K254&amp;L254,'_courses_lookup'!$E:$E,0)),"")</f>
        <v/>
      </c>
      <c r="AG254">
        <f>IF(AND(AE254&lt;&gt;"",AF254&lt;&gt;""),ROUNDUP((AF254-AE254)/7,0),"")</f>
        <v/>
      </c>
      <c r="AI254">
        <f>IFERROR(IF(AG254*AH254=0,"",AG254*AH254),"")</f>
        <v/>
      </c>
      <c r="AL254">
        <f>IF(AND(AJ254&lt;&gt;"",AK254&lt;&gt;""),ROUNDUP((AK254-AJ254)/7,0),"")</f>
        <v/>
      </c>
      <c r="AN254">
        <f>IFERROR(IF(AL254*AM254=0,"",AL254*AM254),"")</f>
        <v/>
      </c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L254">
        <f>IFERROR(INDEX('_names_lookup'!$C:$C,MATCH(BK254,'_names_lookup'!$A:$A,0)),"")</f>
        <v/>
      </c>
      <c r="BM254">
        <f>IFERROR(INDEX('_names_lookup'!$B:$B,MATCH(BK254,'_names_lookup'!$A:$A,0)),"")</f>
        <v/>
      </c>
      <c r="BS254">
        <f>IFERROR(IF(BR254*AA254=0,"",BR254*AA254),"")</f>
        <v/>
      </c>
    </row>
    <row r="255">
      <c r="O255">
        <f>IFERROR(INDEX('_courses_lookup'!$C:$C,MATCH(K255&amp;L255,'_courses_lookup'!$E:$E,0)),"")</f>
        <v/>
      </c>
      <c r="P255">
        <f>IFERROR(INDEX('_courses_lookup'!$D:$D,MATCH(K255&amp;L255,'_courses_lookup'!$E:$E,0)),"")</f>
        <v/>
      </c>
      <c r="AG255">
        <f>IF(AND(AE255&lt;&gt;"",AF255&lt;&gt;""),ROUNDUP((AF255-AE255)/7,0),"")</f>
        <v/>
      </c>
      <c r="AI255">
        <f>IFERROR(IF(AG255*AH255=0,"",AG255*AH255),"")</f>
        <v/>
      </c>
      <c r="AL255">
        <f>IF(AND(AJ255&lt;&gt;"",AK255&lt;&gt;""),ROUNDUP((AK255-AJ255)/7,0),"")</f>
        <v/>
      </c>
      <c r="AN255">
        <f>IFERROR(IF(AL255*AM255=0,"",AL255*AM255),"")</f>
        <v/>
      </c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L255">
        <f>IFERROR(INDEX('_names_lookup'!$C:$C,MATCH(BK255,'_names_lookup'!$A:$A,0)),"")</f>
        <v/>
      </c>
      <c r="BM255">
        <f>IFERROR(INDEX('_names_lookup'!$B:$B,MATCH(BK255,'_names_lookup'!$A:$A,0)),"")</f>
        <v/>
      </c>
      <c r="BS255">
        <f>IFERROR(IF(BR255*AA255=0,"",BR255*AA255),"")</f>
        <v/>
      </c>
    </row>
    <row r="256">
      <c r="O256">
        <f>IFERROR(INDEX('_courses_lookup'!$C:$C,MATCH(K256&amp;L256,'_courses_lookup'!$E:$E,0)),"")</f>
        <v/>
      </c>
      <c r="P256">
        <f>IFERROR(INDEX('_courses_lookup'!$D:$D,MATCH(K256&amp;L256,'_courses_lookup'!$E:$E,0)),"")</f>
        <v/>
      </c>
      <c r="AG256">
        <f>IF(AND(AE256&lt;&gt;"",AF256&lt;&gt;""),ROUNDUP((AF256-AE256)/7,0),"")</f>
        <v/>
      </c>
      <c r="AI256">
        <f>IFERROR(IF(AG256*AH256=0,"",AG256*AH256),"")</f>
        <v/>
      </c>
      <c r="AL256">
        <f>IF(AND(AJ256&lt;&gt;"",AK256&lt;&gt;""),ROUNDUP((AK256-AJ256)/7,0),"")</f>
        <v/>
      </c>
      <c r="AN256">
        <f>IFERROR(IF(AL256*AM256=0,"",AL256*AM256),"")</f>
        <v/>
      </c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L256">
        <f>IFERROR(INDEX('_names_lookup'!$C:$C,MATCH(BK256,'_names_lookup'!$A:$A,0)),"")</f>
        <v/>
      </c>
      <c r="BM256">
        <f>IFERROR(INDEX('_names_lookup'!$B:$B,MATCH(BK256,'_names_lookup'!$A:$A,0)),"")</f>
        <v/>
      </c>
      <c r="BS256">
        <f>IFERROR(IF(BR256*AA256=0,"",BR256*AA256),"")</f>
        <v/>
      </c>
    </row>
    <row r="257">
      <c r="O257">
        <f>IFERROR(INDEX('_courses_lookup'!$C:$C,MATCH(K257&amp;L257,'_courses_lookup'!$E:$E,0)),"")</f>
        <v/>
      </c>
      <c r="P257">
        <f>IFERROR(INDEX('_courses_lookup'!$D:$D,MATCH(K257&amp;L257,'_courses_lookup'!$E:$E,0)),"")</f>
        <v/>
      </c>
      <c r="AG257">
        <f>IF(AND(AE257&lt;&gt;"",AF257&lt;&gt;""),ROUNDUP((AF257-AE257)/7,0),"")</f>
        <v/>
      </c>
      <c r="AI257">
        <f>IFERROR(IF(AG257*AH257=0,"",AG257*AH257),"")</f>
        <v/>
      </c>
      <c r="AL257">
        <f>IF(AND(AJ257&lt;&gt;"",AK257&lt;&gt;""),ROUNDUP((AK257-AJ257)/7,0),"")</f>
        <v/>
      </c>
      <c r="AN257">
        <f>IFERROR(IF(AL257*AM257=0,"",AL257*AM257),"")</f>
        <v/>
      </c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L257">
        <f>IFERROR(INDEX('_names_lookup'!$C:$C,MATCH(BK257,'_names_lookup'!$A:$A,0)),"")</f>
        <v/>
      </c>
      <c r="BM257">
        <f>IFERROR(INDEX('_names_lookup'!$B:$B,MATCH(BK257,'_names_lookup'!$A:$A,0)),"")</f>
        <v/>
      </c>
      <c r="BS257">
        <f>IFERROR(IF(BR257*AA257=0,"",BR257*AA257),"")</f>
        <v/>
      </c>
    </row>
    <row r="258">
      <c r="O258">
        <f>IFERROR(INDEX('_courses_lookup'!$C:$C,MATCH(K258&amp;L258,'_courses_lookup'!$E:$E,0)),"")</f>
        <v/>
      </c>
      <c r="P258">
        <f>IFERROR(INDEX('_courses_lookup'!$D:$D,MATCH(K258&amp;L258,'_courses_lookup'!$E:$E,0)),"")</f>
        <v/>
      </c>
      <c r="AG258">
        <f>IF(AND(AE258&lt;&gt;"",AF258&lt;&gt;""),ROUNDUP((AF258-AE258)/7,0),"")</f>
        <v/>
      </c>
      <c r="AI258">
        <f>IFERROR(IF(AG258*AH258=0,"",AG258*AH258),"")</f>
        <v/>
      </c>
      <c r="AL258">
        <f>IF(AND(AJ258&lt;&gt;"",AK258&lt;&gt;""),ROUNDUP((AK258-AJ258)/7,0),"")</f>
        <v/>
      </c>
      <c r="AN258">
        <f>IFERROR(IF(AL258*AM258=0,"",AL258*AM258),"")</f>
        <v/>
      </c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L258">
        <f>IFERROR(INDEX('_names_lookup'!$C:$C,MATCH(BK258,'_names_lookup'!$A:$A,0)),"")</f>
        <v/>
      </c>
      <c r="BM258">
        <f>IFERROR(INDEX('_names_lookup'!$B:$B,MATCH(BK258,'_names_lookup'!$A:$A,0)),"")</f>
        <v/>
      </c>
      <c r="BS258">
        <f>IFERROR(IF(BR258*AA258=0,"",BR258*AA258),"")</f>
        <v/>
      </c>
    </row>
    <row r="259">
      <c r="O259">
        <f>IFERROR(INDEX('_courses_lookup'!$C:$C,MATCH(K259&amp;L259,'_courses_lookup'!$E:$E,0)),"")</f>
        <v/>
      </c>
      <c r="P259">
        <f>IFERROR(INDEX('_courses_lookup'!$D:$D,MATCH(K259&amp;L259,'_courses_lookup'!$E:$E,0)),"")</f>
        <v/>
      </c>
      <c r="AG259">
        <f>IF(AND(AE259&lt;&gt;"",AF259&lt;&gt;""),ROUNDUP((AF259-AE259)/7,0),"")</f>
        <v/>
      </c>
      <c r="AI259">
        <f>IFERROR(IF(AG259*AH259=0,"",AG259*AH259),"")</f>
        <v/>
      </c>
      <c r="AL259">
        <f>IF(AND(AJ259&lt;&gt;"",AK259&lt;&gt;""),ROUNDUP((AK259-AJ259)/7,0),"")</f>
        <v/>
      </c>
      <c r="AN259">
        <f>IFERROR(IF(AL259*AM259=0,"",AL259*AM259),"")</f>
        <v/>
      </c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L259">
        <f>IFERROR(INDEX('_names_lookup'!$C:$C,MATCH(BK259,'_names_lookup'!$A:$A,0)),"")</f>
        <v/>
      </c>
      <c r="BM259">
        <f>IFERROR(INDEX('_names_lookup'!$B:$B,MATCH(BK259,'_names_lookup'!$A:$A,0)),"")</f>
        <v/>
      </c>
      <c r="BS259">
        <f>IFERROR(IF(BR259*AA259=0,"",BR259*AA259),"")</f>
        <v/>
      </c>
    </row>
    <row r="260">
      <c r="O260">
        <f>IFERROR(INDEX('_courses_lookup'!$C:$C,MATCH(K260&amp;L260,'_courses_lookup'!$E:$E,0)),"")</f>
        <v/>
      </c>
      <c r="P260">
        <f>IFERROR(INDEX('_courses_lookup'!$D:$D,MATCH(K260&amp;L260,'_courses_lookup'!$E:$E,0)),"")</f>
        <v/>
      </c>
      <c r="AG260">
        <f>IF(AND(AE260&lt;&gt;"",AF260&lt;&gt;""),ROUNDUP((AF260-AE260)/7,0),"")</f>
        <v/>
      </c>
      <c r="AI260">
        <f>IFERROR(IF(AG260*AH260=0,"",AG260*AH260),"")</f>
        <v/>
      </c>
      <c r="AL260">
        <f>IF(AND(AJ260&lt;&gt;"",AK260&lt;&gt;""),ROUNDUP((AK260-AJ260)/7,0),"")</f>
        <v/>
      </c>
      <c r="AN260">
        <f>IFERROR(IF(AL260*AM260=0,"",AL260*AM260),"")</f>
        <v/>
      </c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L260">
        <f>IFERROR(INDEX('_names_lookup'!$C:$C,MATCH(BK260,'_names_lookup'!$A:$A,0)),"")</f>
        <v/>
      </c>
      <c r="BM260">
        <f>IFERROR(INDEX('_names_lookup'!$B:$B,MATCH(BK260,'_names_lookup'!$A:$A,0)),"")</f>
        <v/>
      </c>
      <c r="BS260">
        <f>IFERROR(IF(BR260*AA260=0,"",BR260*AA260),"")</f>
        <v/>
      </c>
    </row>
    <row r="261">
      <c r="O261">
        <f>IFERROR(INDEX('_courses_lookup'!$C:$C,MATCH(K261&amp;L261,'_courses_lookup'!$E:$E,0)),"")</f>
        <v/>
      </c>
      <c r="P261">
        <f>IFERROR(INDEX('_courses_lookup'!$D:$D,MATCH(K261&amp;L261,'_courses_lookup'!$E:$E,0)),"")</f>
        <v/>
      </c>
      <c r="AG261">
        <f>IF(AND(AE261&lt;&gt;"",AF261&lt;&gt;""),ROUNDUP((AF261-AE261)/7,0),"")</f>
        <v/>
      </c>
      <c r="AI261">
        <f>IFERROR(IF(AG261*AH261=0,"",AG261*AH261),"")</f>
        <v/>
      </c>
      <c r="AL261">
        <f>IF(AND(AJ261&lt;&gt;"",AK261&lt;&gt;""),ROUNDUP((AK261-AJ261)/7,0),"")</f>
        <v/>
      </c>
      <c r="AN261">
        <f>IFERROR(IF(AL261*AM261=0,"",AL261*AM261),"")</f>
        <v/>
      </c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L261">
        <f>IFERROR(INDEX('_names_lookup'!$C:$C,MATCH(BK261,'_names_lookup'!$A:$A,0)),"")</f>
        <v/>
      </c>
      <c r="BM261">
        <f>IFERROR(INDEX('_names_lookup'!$B:$B,MATCH(BK261,'_names_lookup'!$A:$A,0)),"")</f>
        <v/>
      </c>
      <c r="BS261">
        <f>IFERROR(IF(BR261*AA261=0,"",BR261*AA261),"")</f>
        <v/>
      </c>
    </row>
    <row r="262">
      <c r="O262">
        <f>IFERROR(INDEX('_courses_lookup'!$C:$C,MATCH(K262&amp;L262,'_courses_lookup'!$E:$E,0)),"")</f>
        <v/>
      </c>
      <c r="P262">
        <f>IFERROR(INDEX('_courses_lookup'!$D:$D,MATCH(K262&amp;L262,'_courses_lookup'!$E:$E,0)),"")</f>
        <v/>
      </c>
      <c r="AG262">
        <f>IF(AND(AE262&lt;&gt;"",AF262&lt;&gt;""),ROUNDUP((AF262-AE262)/7,0),"")</f>
        <v/>
      </c>
      <c r="AI262">
        <f>IFERROR(IF(AG262*AH262=0,"",AG262*AH262),"")</f>
        <v/>
      </c>
      <c r="AL262">
        <f>IF(AND(AJ262&lt;&gt;"",AK262&lt;&gt;""),ROUNDUP((AK262-AJ262)/7,0),"")</f>
        <v/>
      </c>
      <c r="AN262">
        <f>IFERROR(IF(AL262*AM262=0,"",AL262*AM262),"")</f>
        <v/>
      </c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L262">
        <f>IFERROR(INDEX('_names_lookup'!$C:$C,MATCH(BK262,'_names_lookup'!$A:$A,0)),"")</f>
        <v/>
      </c>
      <c r="BM262">
        <f>IFERROR(INDEX('_names_lookup'!$B:$B,MATCH(BK262,'_names_lookup'!$A:$A,0)),"")</f>
        <v/>
      </c>
      <c r="BS262">
        <f>IFERROR(IF(BR262*AA262=0,"",BR262*AA262),"")</f>
        <v/>
      </c>
    </row>
    <row r="263">
      <c r="O263">
        <f>IFERROR(INDEX('_courses_lookup'!$C:$C,MATCH(K263&amp;L263,'_courses_lookup'!$E:$E,0)),"")</f>
        <v/>
      </c>
      <c r="P263">
        <f>IFERROR(INDEX('_courses_lookup'!$D:$D,MATCH(K263&amp;L263,'_courses_lookup'!$E:$E,0)),"")</f>
        <v/>
      </c>
      <c r="AG263">
        <f>IF(AND(AE263&lt;&gt;"",AF263&lt;&gt;""),ROUNDUP((AF263-AE263)/7,0),"")</f>
        <v/>
      </c>
      <c r="AI263">
        <f>IFERROR(IF(AG263*AH263=0,"",AG263*AH263),"")</f>
        <v/>
      </c>
      <c r="AL263">
        <f>IF(AND(AJ263&lt;&gt;"",AK263&lt;&gt;""),ROUNDUP((AK263-AJ263)/7,0),"")</f>
        <v/>
      </c>
      <c r="AN263">
        <f>IFERROR(IF(AL263*AM263=0,"",AL263*AM263),"")</f>
        <v/>
      </c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L263">
        <f>IFERROR(INDEX('_names_lookup'!$C:$C,MATCH(BK263,'_names_lookup'!$A:$A,0)),"")</f>
        <v/>
      </c>
      <c r="BM263">
        <f>IFERROR(INDEX('_names_lookup'!$B:$B,MATCH(BK263,'_names_lookup'!$A:$A,0)),"")</f>
        <v/>
      </c>
      <c r="BS263">
        <f>IFERROR(IF(BR263*AA263=0,"",BR263*AA263),"")</f>
        <v/>
      </c>
    </row>
    <row r="264">
      <c r="O264">
        <f>IFERROR(INDEX('_courses_lookup'!$C:$C,MATCH(K264&amp;L264,'_courses_lookup'!$E:$E,0)),"")</f>
        <v/>
      </c>
      <c r="P264">
        <f>IFERROR(INDEX('_courses_lookup'!$D:$D,MATCH(K264&amp;L264,'_courses_lookup'!$E:$E,0)),"")</f>
        <v/>
      </c>
      <c r="AG264">
        <f>IF(AND(AE264&lt;&gt;"",AF264&lt;&gt;""),ROUNDUP((AF264-AE264)/7,0),"")</f>
        <v/>
      </c>
      <c r="AI264">
        <f>IFERROR(IF(AG264*AH264=0,"",AG264*AH264),"")</f>
        <v/>
      </c>
      <c r="AL264">
        <f>IF(AND(AJ264&lt;&gt;"",AK264&lt;&gt;""),ROUNDUP((AK264-AJ264)/7,0),"")</f>
        <v/>
      </c>
      <c r="AN264">
        <f>IFERROR(IF(AL264*AM264=0,"",AL264*AM264),"")</f>
        <v/>
      </c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L264">
        <f>IFERROR(INDEX('_names_lookup'!$C:$C,MATCH(BK264,'_names_lookup'!$A:$A,0)),"")</f>
        <v/>
      </c>
      <c r="BM264">
        <f>IFERROR(INDEX('_names_lookup'!$B:$B,MATCH(BK264,'_names_lookup'!$A:$A,0)),"")</f>
        <v/>
      </c>
      <c r="BS264">
        <f>IFERROR(IF(BR264*AA264=0,"",BR264*AA264),"")</f>
        <v/>
      </c>
    </row>
    <row r="265">
      <c r="O265">
        <f>IFERROR(INDEX('_courses_lookup'!$C:$C,MATCH(K265&amp;L265,'_courses_lookup'!$E:$E,0)),"")</f>
        <v/>
      </c>
      <c r="P265">
        <f>IFERROR(INDEX('_courses_lookup'!$D:$D,MATCH(K265&amp;L265,'_courses_lookup'!$E:$E,0)),"")</f>
        <v/>
      </c>
      <c r="AG265">
        <f>IF(AND(AE265&lt;&gt;"",AF265&lt;&gt;""),ROUNDUP((AF265-AE265)/7,0),"")</f>
        <v/>
      </c>
      <c r="AI265">
        <f>IFERROR(IF(AG265*AH265=0,"",AG265*AH265),"")</f>
        <v/>
      </c>
      <c r="AL265">
        <f>IF(AND(AJ265&lt;&gt;"",AK265&lt;&gt;""),ROUNDUP((AK265-AJ265)/7,0),"")</f>
        <v/>
      </c>
      <c r="AN265">
        <f>IFERROR(IF(AL265*AM265=0,"",AL265*AM265),"")</f>
        <v/>
      </c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L265">
        <f>IFERROR(INDEX('_names_lookup'!$C:$C,MATCH(BK265,'_names_lookup'!$A:$A,0)),"")</f>
        <v/>
      </c>
      <c r="BM265">
        <f>IFERROR(INDEX('_names_lookup'!$B:$B,MATCH(BK265,'_names_lookup'!$A:$A,0)),"")</f>
        <v/>
      </c>
      <c r="BS265">
        <f>IFERROR(IF(BR265*AA265=0,"",BR265*AA265),"")</f>
        <v/>
      </c>
    </row>
    <row r="266">
      <c r="O266">
        <f>IFERROR(INDEX('_courses_lookup'!$C:$C,MATCH(K266&amp;L266,'_courses_lookup'!$E:$E,0)),"")</f>
        <v/>
      </c>
      <c r="P266">
        <f>IFERROR(INDEX('_courses_lookup'!$D:$D,MATCH(K266&amp;L266,'_courses_lookup'!$E:$E,0)),"")</f>
        <v/>
      </c>
      <c r="AG266">
        <f>IF(AND(AE266&lt;&gt;"",AF266&lt;&gt;""),ROUNDUP((AF266-AE266)/7,0),"")</f>
        <v/>
      </c>
      <c r="AI266">
        <f>IFERROR(IF(AG266*AH266=0,"",AG266*AH266),"")</f>
        <v/>
      </c>
      <c r="AL266">
        <f>IF(AND(AJ266&lt;&gt;"",AK266&lt;&gt;""),ROUNDUP((AK266-AJ266)/7,0),"")</f>
        <v/>
      </c>
      <c r="AN266">
        <f>IFERROR(IF(AL266*AM266=0,"",AL266*AM266),"")</f>
        <v/>
      </c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L266">
        <f>IFERROR(INDEX('_names_lookup'!$C:$C,MATCH(BK266,'_names_lookup'!$A:$A,0)),"")</f>
        <v/>
      </c>
      <c r="BM266">
        <f>IFERROR(INDEX('_names_lookup'!$B:$B,MATCH(BK266,'_names_lookup'!$A:$A,0)),"")</f>
        <v/>
      </c>
      <c r="BS266">
        <f>IFERROR(IF(BR266*AA266=0,"",BR266*AA266),"")</f>
        <v/>
      </c>
    </row>
    <row r="267">
      <c r="O267">
        <f>IFERROR(INDEX('_courses_lookup'!$C:$C,MATCH(K267&amp;L267,'_courses_lookup'!$E:$E,0)),"")</f>
        <v/>
      </c>
      <c r="P267">
        <f>IFERROR(INDEX('_courses_lookup'!$D:$D,MATCH(K267&amp;L267,'_courses_lookup'!$E:$E,0)),"")</f>
        <v/>
      </c>
      <c r="AG267">
        <f>IF(AND(AE267&lt;&gt;"",AF267&lt;&gt;""),ROUNDUP((AF267-AE267)/7,0),"")</f>
        <v/>
      </c>
      <c r="AI267">
        <f>IFERROR(IF(AG267*AH267=0,"",AG267*AH267),"")</f>
        <v/>
      </c>
      <c r="AL267">
        <f>IF(AND(AJ267&lt;&gt;"",AK267&lt;&gt;""),ROUNDUP((AK267-AJ267)/7,0),"")</f>
        <v/>
      </c>
      <c r="AN267">
        <f>IFERROR(IF(AL267*AM267=0,"",AL267*AM267),"")</f>
        <v/>
      </c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L267">
        <f>IFERROR(INDEX('_names_lookup'!$C:$C,MATCH(BK267,'_names_lookup'!$A:$A,0)),"")</f>
        <v/>
      </c>
      <c r="BM267">
        <f>IFERROR(INDEX('_names_lookup'!$B:$B,MATCH(BK267,'_names_lookup'!$A:$A,0)),"")</f>
        <v/>
      </c>
      <c r="BS267">
        <f>IFERROR(IF(BR267*AA267=0,"",BR267*AA267),"")</f>
        <v/>
      </c>
    </row>
    <row r="268">
      <c r="O268">
        <f>IFERROR(INDEX('_courses_lookup'!$C:$C,MATCH(K268&amp;L268,'_courses_lookup'!$E:$E,0)),"")</f>
        <v/>
      </c>
      <c r="P268">
        <f>IFERROR(INDEX('_courses_lookup'!$D:$D,MATCH(K268&amp;L268,'_courses_lookup'!$E:$E,0)),"")</f>
        <v/>
      </c>
      <c r="AG268">
        <f>IF(AND(AE268&lt;&gt;"",AF268&lt;&gt;""),ROUNDUP((AF268-AE268)/7,0),"")</f>
        <v/>
      </c>
      <c r="AI268">
        <f>IFERROR(IF(AG268*AH268=0,"",AG268*AH268),"")</f>
        <v/>
      </c>
      <c r="AL268">
        <f>IF(AND(AJ268&lt;&gt;"",AK268&lt;&gt;""),ROUNDUP((AK268-AJ268)/7,0),"")</f>
        <v/>
      </c>
      <c r="AN268">
        <f>IFERROR(IF(AL268*AM268=0,"",AL268*AM268),"")</f>
        <v/>
      </c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L268">
        <f>IFERROR(INDEX('_names_lookup'!$C:$C,MATCH(BK268,'_names_lookup'!$A:$A,0)),"")</f>
        <v/>
      </c>
      <c r="BM268">
        <f>IFERROR(INDEX('_names_lookup'!$B:$B,MATCH(BK268,'_names_lookup'!$A:$A,0)),"")</f>
        <v/>
      </c>
      <c r="BS268">
        <f>IFERROR(IF(BR268*AA268=0,"",BR268*AA268),"")</f>
        <v/>
      </c>
    </row>
    <row r="269">
      <c r="O269">
        <f>IFERROR(INDEX('_courses_lookup'!$C:$C,MATCH(K269&amp;L269,'_courses_lookup'!$E:$E,0)),"")</f>
        <v/>
      </c>
      <c r="P269">
        <f>IFERROR(INDEX('_courses_lookup'!$D:$D,MATCH(K269&amp;L269,'_courses_lookup'!$E:$E,0)),"")</f>
        <v/>
      </c>
      <c r="AG269">
        <f>IF(AND(AE269&lt;&gt;"",AF269&lt;&gt;""),ROUNDUP((AF269-AE269)/7,0),"")</f>
        <v/>
      </c>
      <c r="AI269">
        <f>IFERROR(IF(AG269*AH269=0,"",AG269*AH269),"")</f>
        <v/>
      </c>
      <c r="AL269">
        <f>IF(AND(AJ269&lt;&gt;"",AK269&lt;&gt;""),ROUNDUP((AK269-AJ269)/7,0),"")</f>
        <v/>
      </c>
      <c r="AN269">
        <f>IFERROR(IF(AL269*AM269=0,"",AL269*AM269),"")</f>
        <v/>
      </c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L269">
        <f>IFERROR(INDEX('_names_lookup'!$C:$C,MATCH(BK269,'_names_lookup'!$A:$A,0)),"")</f>
        <v/>
      </c>
      <c r="BM269">
        <f>IFERROR(INDEX('_names_lookup'!$B:$B,MATCH(BK269,'_names_lookup'!$A:$A,0)),"")</f>
        <v/>
      </c>
      <c r="BS269">
        <f>IFERROR(IF(BR269*AA269=0,"",BR269*AA269),"")</f>
        <v/>
      </c>
    </row>
    <row r="270">
      <c r="O270">
        <f>IFERROR(INDEX('_courses_lookup'!$C:$C,MATCH(K270&amp;L270,'_courses_lookup'!$E:$E,0)),"")</f>
        <v/>
      </c>
      <c r="P270">
        <f>IFERROR(INDEX('_courses_lookup'!$D:$D,MATCH(K270&amp;L270,'_courses_lookup'!$E:$E,0)),"")</f>
        <v/>
      </c>
      <c r="AG270">
        <f>IF(AND(AE270&lt;&gt;"",AF270&lt;&gt;""),ROUNDUP((AF270-AE270)/7,0),"")</f>
        <v/>
      </c>
      <c r="AI270">
        <f>IFERROR(IF(AG270*AH270=0,"",AG270*AH270),"")</f>
        <v/>
      </c>
      <c r="AL270">
        <f>IF(AND(AJ270&lt;&gt;"",AK270&lt;&gt;""),ROUNDUP((AK270-AJ270)/7,0),"")</f>
        <v/>
      </c>
      <c r="AN270">
        <f>IFERROR(IF(AL270*AM270=0,"",AL270*AM270),"")</f>
        <v/>
      </c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L270">
        <f>IFERROR(INDEX('_names_lookup'!$C:$C,MATCH(BK270,'_names_lookup'!$A:$A,0)),"")</f>
        <v/>
      </c>
      <c r="BM270">
        <f>IFERROR(INDEX('_names_lookup'!$B:$B,MATCH(BK270,'_names_lookup'!$A:$A,0)),"")</f>
        <v/>
      </c>
      <c r="BS270">
        <f>IFERROR(IF(BR270*AA270=0,"",BR270*AA270),"")</f>
        <v/>
      </c>
    </row>
    <row r="271">
      <c r="O271">
        <f>IFERROR(INDEX('_courses_lookup'!$C:$C,MATCH(K271&amp;L271,'_courses_lookup'!$E:$E,0)),"")</f>
        <v/>
      </c>
      <c r="P271">
        <f>IFERROR(INDEX('_courses_lookup'!$D:$D,MATCH(K271&amp;L271,'_courses_lookup'!$E:$E,0)),"")</f>
        <v/>
      </c>
      <c r="AG271">
        <f>IF(AND(AE271&lt;&gt;"",AF271&lt;&gt;""),ROUNDUP((AF271-AE271)/7,0),"")</f>
        <v/>
      </c>
      <c r="AI271">
        <f>IFERROR(IF(AG271*AH271=0,"",AG271*AH271),"")</f>
        <v/>
      </c>
      <c r="AL271">
        <f>IF(AND(AJ271&lt;&gt;"",AK271&lt;&gt;""),ROUNDUP((AK271-AJ271)/7,0),"")</f>
        <v/>
      </c>
      <c r="AN271">
        <f>IFERROR(IF(AL271*AM271=0,"",AL271*AM271),"")</f>
        <v/>
      </c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L271">
        <f>IFERROR(INDEX('_names_lookup'!$C:$C,MATCH(BK271,'_names_lookup'!$A:$A,0)),"")</f>
        <v/>
      </c>
      <c r="BM271">
        <f>IFERROR(INDEX('_names_lookup'!$B:$B,MATCH(BK271,'_names_lookup'!$A:$A,0)),"")</f>
        <v/>
      </c>
      <c r="BS271">
        <f>IFERROR(IF(BR271*AA271=0,"",BR271*AA271),"")</f>
        <v/>
      </c>
    </row>
    <row r="272">
      <c r="O272">
        <f>IFERROR(INDEX('_courses_lookup'!$C:$C,MATCH(K272&amp;L272,'_courses_lookup'!$E:$E,0)),"")</f>
        <v/>
      </c>
      <c r="P272">
        <f>IFERROR(INDEX('_courses_lookup'!$D:$D,MATCH(K272&amp;L272,'_courses_lookup'!$E:$E,0)),"")</f>
        <v/>
      </c>
      <c r="AG272">
        <f>IF(AND(AE272&lt;&gt;"",AF272&lt;&gt;""),ROUNDUP((AF272-AE272)/7,0),"")</f>
        <v/>
      </c>
      <c r="AI272">
        <f>IFERROR(IF(AG272*AH272=0,"",AG272*AH272),"")</f>
        <v/>
      </c>
      <c r="AL272">
        <f>IF(AND(AJ272&lt;&gt;"",AK272&lt;&gt;""),ROUNDUP((AK272-AJ272)/7,0),"")</f>
        <v/>
      </c>
      <c r="AN272">
        <f>IFERROR(IF(AL272*AM272=0,"",AL272*AM272),"")</f>
        <v/>
      </c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L272">
        <f>IFERROR(INDEX('_names_lookup'!$C:$C,MATCH(BK272,'_names_lookup'!$A:$A,0)),"")</f>
        <v/>
      </c>
      <c r="BM272">
        <f>IFERROR(INDEX('_names_lookup'!$B:$B,MATCH(BK272,'_names_lookup'!$A:$A,0)),"")</f>
        <v/>
      </c>
      <c r="BS272">
        <f>IFERROR(IF(BR272*AA272=0,"",BR272*AA272),"")</f>
        <v/>
      </c>
    </row>
    <row r="273">
      <c r="O273">
        <f>IFERROR(INDEX('_courses_lookup'!$C:$C,MATCH(K273&amp;L273,'_courses_lookup'!$E:$E,0)),"")</f>
        <v/>
      </c>
      <c r="P273">
        <f>IFERROR(INDEX('_courses_lookup'!$D:$D,MATCH(K273&amp;L273,'_courses_lookup'!$E:$E,0)),"")</f>
        <v/>
      </c>
      <c r="AG273">
        <f>IF(AND(AE273&lt;&gt;"",AF273&lt;&gt;""),ROUNDUP((AF273-AE273)/7,0),"")</f>
        <v/>
      </c>
      <c r="AI273">
        <f>IFERROR(IF(AG273*AH273=0,"",AG273*AH273),"")</f>
        <v/>
      </c>
      <c r="AL273">
        <f>IF(AND(AJ273&lt;&gt;"",AK273&lt;&gt;""),ROUNDUP((AK273-AJ273)/7,0),"")</f>
        <v/>
      </c>
      <c r="AN273">
        <f>IFERROR(IF(AL273*AM273=0,"",AL273*AM273),"")</f>
        <v/>
      </c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L273">
        <f>IFERROR(INDEX('_names_lookup'!$C:$C,MATCH(BK273,'_names_lookup'!$A:$A,0)),"")</f>
        <v/>
      </c>
      <c r="BM273">
        <f>IFERROR(INDEX('_names_lookup'!$B:$B,MATCH(BK273,'_names_lookup'!$A:$A,0)),"")</f>
        <v/>
      </c>
      <c r="BS273">
        <f>IFERROR(IF(BR273*AA273=0,"",BR273*AA273),"")</f>
        <v/>
      </c>
    </row>
    <row r="274">
      <c r="O274">
        <f>IFERROR(INDEX('_courses_lookup'!$C:$C,MATCH(K274&amp;L274,'_courses_lookup'!$E:$E,0)),"")</f>
        <v/>
      </c>
      <c r="P274">
        <f>IFERROR(INDEX('_courses_lookup'!$D:$D,MATCH(K274&amp;L274,'_courses_lookup'!$E:$E,0)),"")</f>
        <v/>
      </c>
      <c r="AG274">
        <f>IF(AND(AE274&lt;&gt;"",AF274&lt;&gt;""),ROUNDUP((AF274-AE274)/7,0),"")</f>
        <v/>
      </c>
      <c r="AI274">
        <f>IFERROR(IF(AG274*AH274=0,"",AG274*AH274),"")</f>
        <v/>
      </c>
      <c r="AL274">
        <f>IF(AND(AJ274&lt;&gt;"",AK274&lt;&gt;""),ROUNDUP((AK274-AJ274)/7,0),"")</f>
        <v/>
      </c>
      <c r="AN274">
        <f>IFERROR(IF(AL274*AM274=0,"",AL274*AM274),"")</f>
        <v/>
      </c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L274">
        <f>IFERROR(INDEX('_names_lookup'!$C:$C,MATCH(BK274,'_names_lookup'!$A:$A,0)),"")</f>
        <v/>
      </c>
      <c r="BM274">
        <f>IFERROR(INDEX('_names_lookup'!$B:$B,MATCH(BK274,'_names_lookup'!$A:$A,0)),"")</f>
        <v/>
      </c>
      <c r="BS274">
        <f>IFERROR(IF(BR274*AA274=0,"",BR274*AA274),"")</f>
        <v/>
      </c>
    </row>
    <row r="275">
      <c r="O275">
        <f>IFERROR(INDEX('_courses_lookup'!$C:$C,MATCH(K275&amp;L275,'_courses_lookup'!$E:$E,0)),"")</f>
        <v/>
      </c>
      <c r="P275">
        <f>IFERROR(INDEX('_courses_lookup'!$D:$D,MATCH(K275&amp;L275,'_courses_lookup'!$E:$E,0)),"")</f>
        <v/>
      </c>
      <c r="AG275">
        <f>IF(AND(AE275&lt;&gt;"",AF275&lt;&gt;""),ROUNDUP((AF275-AE275)/7,0),"")</f>
        <v/>
      </c>
      <c r="AI275">
        <f>IFERROR(IF(AG275*AH275=0,"",AG275*AH275),"")</f>
        <v/>
      </c>
      <c r="AL275">
        <f>IF(AND(AJ275&lt;&gt;"",AK275&lt;&gt;""),ROUNDUP((AK275-AJ275)/7,0),"")</f>
        <v/>
      </c>
      <c r="AN275">
        <f>IFERROR(IF(AL275*AM275=0,"",AL275*AM275),"")</f>
        <v/>
      </c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L275">
        <f>IFERROR(INDEX('_names_lookup'!$C:$C,MATCH(BK275,'_names_lookup'!$A:$A,0)),"")</f>
        <v/>
      </c>
      <c r="BM275">
        <f>IFERROR(INDEX('_names_lookup'!$B:$B,MATCH(BK275,'_names_lookup'!$A:$A,0)),"")</f>
        <v/>
      </c>
      <c r="BS275">
        <f>IFERROR(IF(BR275*AA275=0,"",BR275*AA275),"")</f>
        <v/>
      </c>
    </row>
    <row r="276">
      <c r="O276">
        <f>IFERROR(INDEX('_courses_lookup'!$C:$C,MATCH(K276&amp;L276,'_courses_lookup'!$E:$E,0)),"")</f>
        <v/>
      </c>
      <c r="P276">
        <f>IFERROR(INDEX('_courses_lookup'!$D:$D,MATCH(K276&amp;L276,'_courses_lookup'!$E:$E,0)),"")</f>
        <v/>
      </c>
      <c r="AG276">
        <f>IF(AND(AE276&lt;&gt;"",AF276&lt;&gt;""),ROUNDUP((AF276-AE276)/7,0),"")</f>
        <v/>
      </c>
      <c r="AI276">
        <f>IFERROR(IF(AG276*AH276=0,"",AG276*AH276),"")</f>
        <v/>
      </c>
      <c r="AL276">
        <f>IF(AND(AJ276&lt;&gt;"",AK276&lt;&gt;""),ROUNDUP((AK276-AJ276)/7,0),"")</f>
        <v/>
      </c>
      <c r="AN276">
        <f>IFERROR(IF(AL276*AM276=0,"",AL276*AM276),"")</f>
        <v/>
      </c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L276">
        <f>IFERROR(INDEX('_names_lookup'!$C:$C,MATCH(BK276,'_names_lookup'!$A:$A,0)),"")</f>
        <v/>
      </c>
      <c r="BM276">
        <f>IFERROR(INDEX('_names_lookup'!$B:$B,MATCH(BK276,'_names_lookup'!$A:$A,0)),"")</f>
        <v/>
      </c>
      <c r="BS276">
        <f>IFERROR(IF(BR276*AA276=0,"",BR276*AA276),"")</f>
        <v/>
      </c>
    </row>
    <row r="277">
      <c r="O277">
        <f>IFERROR(INDEX('_courses_lookup'!$C:$C,MATCH(K277&amp;L277,'_courses_lookup'!$E:$E,0)),"")</f>
        <v/>
      </c>
      <c r="P277">
        <f>IFERROR(INDEX('_courses_lookup'!$D:$D,MATCH(K277&amp;L277,'_courses_lookup'!$E:$E,0)),"")</f>
        <v/>
      </c>
      <c r="AG277">
        <f>IF(AND(AE277&lt;&gt;"",AF277&lt;&gt;""),ROUNDUP((AF277-AE277)/7,0),"")</f>
        <v/>
      </c>
      <c r="AI277">
        <f>IFERROR(IF(AG277*AH277=0,"",AG277*AH277),"")</f>
        <v/>
      </c>
      <c r="AL277">
        <f>IF(AND(AJ277&lt;&gt;"",AK277&lt;&gt;""),ROUNDUP((AK277-AJ277)/7,0),"")</f>
        <v/>
      </c>
      <c r="AN277">
        <f>IFERROR(IF(AL277*AM277=0,"",AL277*AM277),"")</f>
        <v/>
      </c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L277">
        <f>IFERROR(INDEX('_names_lookup'!$C:$C,MATCH(BK277,'_names_lookup'!$A:$A,0)),"")</f>
        <v/>
      </c>
      <c r="BM277">
        <f>IFERROR(INDEX('_names_lookup'!$B:$B,MATCH(BK277,'_names_lookup'!$A:$A,0)),"")</f>
        <v/>
      </c>
      <c r="BS277">
        <f>IFERROR(IF(BR277*AA277=0,"",BR277*AA277),"")</f>
        <v/>
      </c>
    </row>
    <row r="278">
      <c r="O278">
        <f>IFERROR(INDEX('_courses_lookup'!$C:$C,MATCH(K278&amp;L278,'_courses_lookup'!$E:$E,0)),"")</f>
        <v/>
      </c>
      <c r="P278">
        <f>IFERROR(INDEX('_courses_lookup'!$D:$D,MATCH(K278&amp;L278,'_courses_lookup'!$E:$E,0)),"")</f>
        <v/>
      </c>
      <c r="AG278">
        <f>IF(AND(AE278&lt;&gt;"",AF278&lt;&gt;""),ROUNDUP((AF278-AE278)/7,0),"")</f>
        <v/>
      </c>
      <c r="AI278">
        <f>IFERROR(IF(AG278*AH278=0,"",AG278*AH278),"")</f>
        <v/>
      </c>
      <c r="AL278">
        <f>IF(AND(AJ278&lt;&gt;"",AK278&lt;&gt;""),ROUNDUP((AK278-AJ278)/7,0),"")</f>
        <v/>
      </c>
      <c r="AN278">
        <f>IFERROR(IF(AL278*AM278=0,"",AL278*AM278),"")</f>
        <v/>
      </c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L278">
        <f>IFERROR(INDEX('_names_lookup'!$C:$C,MATCH(BK278,'_names_lookup'!$A:$A,0)),"")</f>
        <v/>
      </c>
      <c r="BM278">
        <f>IFERROR(INDEX('_names_lookup'!$B:$B,MATCH(BK278,'_names_lookup'!$A:$A,0)),"")</f>
        <v/>
      </c>
      <c r="BS278">
        <f>IFERROR(IF(BR278*AA278=0,"",BR278*AA278),"")</f>
        <v/>
      </c>
    </row>
    <row r="279">
      <c r="O279">
        <f>IFERROR(INDEX('_courses_lookup'!$C:$C,MATCH(K279&amp;L279,'_courses_lookup'!$E:$E,0)),"")</f>
        <v/>
      </c>
      <c r="P279">
        <f>IFERROR(INDEX('_courses_lookup'!$D:$D,MATCH(K279&amp;L279,'_courses_lookup'!$E:$E,0)),"")</f>
        <v/>
      </c>
      <c r="AG279">
        <f>IF(AND(AE279&lt;&gt;"",AF279&lt;&gt;""),ROUNDUP((AF279-AE279)/7,0),"")</f>
        <v/>
      </c>
      <c r="AI279">
        <f>IFERROR(IF(AG279*AH279=0,"",AG279*AH279),"")</f>
        <v/>
      </c>
      <c r="AL279">
        <f>IF(AND(AJ279&lt;&gt;"",AK279&lt;&gt;""),ROUNDUP((AK279-AJ279)/7,0),"")</f>
        <v/>
      </c>
      <c r="AN279">
        <f>IFERROR(IF(AL279*AM279=0,"",AL279*AM279),"")</f>
        <v/>
      </c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L279">
        <f>IFERROR(INDEX('_names_lookup'!$C:$C,MATCH(BK279,'_names_lookup'!$A:$A,0)),"")</f>
        <v/>
      </c>
      <c r="BM279">
        <f>IFERROR(INDEX('_names_lookup'!$B:$B,MATCH(BK279,'_names_lookup'!$A:$A,0)),"")</f>
        <v/>
      </c>
      <c r="BS279">
        <f>IFERROR(IF(BR279*AA279=0,"",BR279*AA279),"")</f>
        <v/>
      </c>
    </row>
    <row r="280">
      <c r="O280">
        <f>IFERROR(INDEX('_courses_lookup'!$C:$C,MATCH(K280&amp;L280,'_courses_lookup'!$E:$E,0)),"")</f>
        <v/>
      </c>
      <c r="P280">
        <f>IFERROR(INDEX('_courses_lookup'!$D:$D,MATCH(K280&amp;L280,'_courses_lookup'!$E:$E,0)),"")</f>
        <v/>
      </c>
      <c r="AG280">
        <f>IF(AND(AE280&lt;&gt;"",AF280&lt;&gt;""),ROUNDUP((AF280-AE280)/7,0),"")</f>
        <v/>
      </c>
      <c r="AI280">
        <f>IFERROR(IF(AG280*AH280=0,"",AG280*AH280),"")</f>
        <v/>
      </c>
      <c r="AL280">
        <f>IF(AND(AJ280&lt;&gt;"",AK280&lt;&gt;""),ROUNDUP((AK280-AJ280)/7,0),"")</f>
        <v/>
      </c>
      <c r="AN280">
        <f>IFERROR(IF(AL280*AM280=0,"",AL280*AM280),"")</f>
        <v/>
      </c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L280">
        <f>IFERROR(INDEX('_names_lookup'!$C:$C,MATCH(BK280,'_names_lookup'!$A:$A,0)),"")</f>
        <v/>
      </c>
      <c r="BM280">
        <f>IFERROR(INDEX('_names_lookup'!$B:$B,MATCH(BK280,'_names_lookup'!$A:$A,0)),"")</f>
        <v/>
      </c>
      <c r="BS280">
        <f>IFERROR(IF(BR280*AA280=0,"",BR280*AA280),"")</f>
        <v/>
      </c>
    </row>
    <row r="281">
      <c r="O281">
        <f>IFERROR(INDEX('_courses_lookup'!$C:$C,MATCH(K281&amp;L281,'_courses_lookup'!$E:$E,0)),"")</f>
        <v/>
      </c>
      <c r="P281">
        <f>IFERROR(INDEX('_courses_lookup'!$D:$D,MATCH(K281&amp;L281,'_courses_lookup'!$E:$E,0)),"")</f>
        <v/>
      </c>
      <c r="AG281">
        <f>IF(AND(AE281&lt;&gt;"",AF281&lt;&gt;""),ROUNDUP((AF281-AE281)/7,0),"")</f>
        <v/>
      </c>
      <c r="AI281">
        <f>IFERROR(IF(AG281*AH281=0,"",AG281*AH281),"")</f>
        <v/>
      </c>
      <c r="AL281">
        <f>IF(AND(AJ281&lt;&gt;"",AK281&lt;&gt;""),ROUNDUP((AK281-AJ281)/7,0),"")</f>
        <v/>
      </c>
      <c r="AN281">
        <f>IFERROR(IF(AL281*AM281=0,"",AL281*AM281),"")</f>
        <v/>
      </c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L281">
        <f>IFERROR(INDEX('_names_lookup'!$C:$C,MATCH(BK281,'_names_lookup'!$A:$A,0)),"")</f>
        <v/>
      </c>
      <c r="BM281">
        <f>IFERROR(INDEX('_names_lookup'!$B:$B,MATCH(BK281,'_names_lookup'!$A:$A,0)),"")</f>
        <v/>
      </c>
      <c r="BS281">
        <f>IFERROR(IF(BR281*AA281=0,"",BR281*AA281),"")</f>
        <v/>
      </c>
    </row>
    <row r="282">
      <c r="O282">
        <f>IFERROR(INDEX('_courses_lookup'!$C:$C,MATCH(K282&amp;L282,'_courses_lookup'!$E:$E,0)),"")</f>
        <v/>
      </c>
      <c r="P282">
        <f>IFERROR(INDEX('_courses_lookup'!$D:$D,MATCH(K282&amp;L282,'_courses_lookup'!$E:$E,0)),"")</f>
        <v/>
      </c>
      <c r="AG282">
        <f>IF(AND(AE282&lt;&gt;"",AF282&lt;&gt;""),ROUNDUP((AF282-AE282)/7,0),"")</f>
        <v/>
      </c>
      <c r="AI282">
        <f>IFERROR(IF(AG282*AH282=0,"",AG282*AH282),"")</f>
        <v/>
      </c>
      <c r="AL282">
        <f>IF(AND(AJ282&lt;&gt;"",AK282&lt;&gt;""),ROUNDUP((AK282-AJ282)/7,0),"")</f>
        <v/>
      </c>
      <c r="AN282">
        <f>IFERROR(IF(AL282*AM282=0,"",AL282*AM282),"")</f>
        <v/>
      </c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L282">
        <f>IFERROR(INDEX('_names_lookup'!$C:$C,MATCH(BK282,'_names_lookup'!$A:$A,0)),"")</f>
        <v/>
      </c>
      <c r="BM282">
        <f>IFERROR(INDEX('_names_lookup'!$B:$B,MATCH(BK282,'_names_lookup'!$A:$A,0)),"")</f>
        <v/>
      </c>
      <c r="BS282">
        <f>IFERROR(IF(BR282*AA282=0,"",BR282*AA282),"")</f>
        <v/>
      </c>
    </row>
    <row r="283">
      <c r="O283">
        <f>IFERROR(INDEX('_courses_lookup'!$C:$C,MATCH(K283&amp;L283,'_courses_lookup'!$E:$E,0)),"")</f>
        <v/>
      </c>
      <c r="P283">
        <f>IFERROR(INDEX('_courses_lookup'!$D:$D,MATCH(K283&amp;L283,'_courses_lookup'!$E:$E,0)),"")</f>
        <v/>
      </c>
      <c r="AG283">
        <f>IF(AND(AE283&lt;&gt;"",AF283&lt;&gt;""),ROUNDUP((AF283-AE283)/7,0),"")</f>
        <v/>
      </c>
      <c r="AI283">
        <f>IFERROR(IF(AG283*AH283=0,"",AG283*AH283),"")</f>
        <v/>
      </c>
      <c r="AL283">
        <f>IF(AND(AJ283&lt;&gt;"",AK283&lt;&gt;""),ROUNDUP((AK283-AJ283)/7,0),"")</f>
        <v/>
      </c>
      <c r="AN283">
        <f>IFERROR(IF(AL283*AM283=0,"",AL283*AM283),"")</f>
        <v/>
      </c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L283">
        <f>IFERROR(INDEX('_names_lookup'!$C:$C,MATCH(BK283,'_names_lookup'!$A:$A,0)),"")</f>
        <v/>
      </c>
      <c r="BM283">
        <f>IFERROR(INDEX('_names_lookup'!$B:$B,MATCH(BK283,'_names_lookup'!$A:$A,0)),"")</f>
        <v/>
      </c>
      <c r="BS283">
        <f>IFERROR(IF(BR283*AA283=0,"",BR283*AA283),"")</f>
        <v/>
      </c>
    </row>
    <row r="284">
      <c r="O284">
        <f>IFERROR(INDEX('_courses_lookup'!$C:$C,MATCH(K284&amp;L284,'_courses_lookup'!$E:$E,0)),"")</f>
        <v/>
      </c>
      <c r="P284">
        <f>IFERROR(INDEX('_courses_lookup'!$D:$D,MATCH(K284&amp;L284,'_courses_lookup'!$E:$E,0)),"")</f>
        <v/>
      </c>
      <c r="AG284">
        <f>IF(AND(AE284&lt;&gt;"",AF284&lt;&gt;""),ROUNDUP((AF284-AE284)/7,0),"")</f>
        <v/>
      </c>
      <c r="AI284">
        <f>IFERROR(IF(AG284*AH284=0,"",AG284*AH284),"")</f>
        <v/>
      </c>
      <c r="AL284">
        <f>IF(AND(AJ284&lt;&gt;"",AK284&lt;&gt;""),ROUNDUP((AK284-AJ284)/7,0),"")</f>
        <v/>
      </c>
      <c r="AN284">
        <f>IFERROR(IF(AL284*AM284=0,"",AL284*AM284),"")</f>
        <v/>
      </c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L284">
        <f>IFERROR(INDEX('_names_lookup'!$C:$C,MATCH(BK284,'_names_lookup'!$A:$A,0)),"")</f>
        <v/>
      </c>
      <c r="BM284">
        <f>IFERROR(INDEX('_names_lookup'!$B:$B,MATCH(BK284,'_names_lookup'!$A:$A,0)),"")</f>
        <v/>
      </c>
      <c r="BS284">
        <f>IFERROR(IF(BR284*AA284=0,"",BR284*AA284),"")</f>
        <v/>
      </c>
    </row>
    <row r="285">
      <c r="O285">
        <f>IFERROR(INDEX('_courses_lookup'!$C:$C,MATCH(K285&amp;L285,'_courses_lookup'!$E:$E,0)),"")</f>
        <v/>
      </c>
      <c r="P285">
        <f>IFERROR(INDEX('_courses_lookup'!$D:$D,MATCH(K285&amp;L285,'_courses_lookup'!$E:$E,0)),"")</f>
        <v/>
      </c>
      <c r="AG285">
        <f>IF(AND(AE285&lt;&gt;"",AF285&lt;&gt;""),ROUNDUP((AF285-AE285)/7,0),"")</f>
        <v/>
      </c>
      <c r="AI285">
        <f>IFERROR(IF(AG285*AH285=0,"",AG285*AH285),"")</f>
        <v/>
      </c>
      <c r="AL285">
        <f>IF(AND(AJ285&lt;&gt;"",AK285&lt;&gt;""),ROUNDUP((AK285-AJ285)/7,0),"")</f>
        <v/>
      </c>
      <c r="AN285">
        <f>IFERROR(IF(AL285*AM285=0,"",AL285*AM285),"")</f>
        <v/>
      </c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L285">
        <f>IFERROR(INDEX('_names_lookup'!$C:$C,MATCH(BK285,'_names_lookup'!$A:$A,0)),"")</f>
        <v/>
      </c>
      <c r="BM285">
        <f>IFERROR(INDEX('_names_lookup'!$B:$B,MATCH(BK285,'_names_lookup'!$A:$A,0)),"")</f>
        <v/>
      </c>
      <c r="BS285">
        <f>IFERROR(IF(BR285*AA285=0,"",BR285*AA285),"")</f>
        <v/>
      </c>
    </row>
    <row r="286">
      <c r="O286">
        <f>IFERROR(INDEX('_courses_lookup'!$C:$C,MATCH(K286&amp;L286,'_courses_lookup'!$E:$E,0)),"")</f>
        <v/>
      </c>
      <c r="P286">
        <f>IFERROR(INDEX('_courses_lookup'!$D:$D,MATCH(K286&amp;L286,'_courses_lookup'!$E:$E,0)),"")</f>
        <v/>
      </c>
      <c r="AG286">
        <f>IF(AND(AE286&lt;&gt;"",AF286&lt;&gt;""),ROUNDUP((AF286-AE286)/7,0),"")</f>
        <v/>
      </c>
      <c r="AI286">
        <f>IFERROR(IF(AG286*AH286=0,"",AG286*AH286),"")</f>
        <v/>
      </c>
      <c r="AL286">
        <f>IF(AND(AJ286&lt;&gt;"",AK286&lt;&gt;""),ROUNDUP((AK286-AJ286)/7,0),"")</f>
        <v/>
      </c>
      <c r="AN286">
        <f>IFERROR(IF(AL286*AM286=0,"",AL286*AM286),"")</f>
        <v/>
      </c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L286">
        <f>IFERROR(INDEX('_names_lookup'!$C:$C,MATCH(BK286,'_names_lookup'!$A:$A,0)),"")</f>
        <v/>
      </c>
      <c r="BM286">
        <f>IFERROR(INDEX('_names_lookup'!$B:$B,MATCH(BK286,'_names_lookup'!$A:$A,0)),"")</f>
        <v/>
      </c>
      <c r="BS286">
        <f>IFERROR(IF(BR286*AA286=0,"",BR286*AA286),"")</f>
        <v/>
      </c>
    </row>
    <row r="287">
      <c r="O287">
        <f>IFERROR(INDEX('_courses_lookup'!$C:$C,MATCH(K287&amp;L287,'_courses_lookup'!$E:$E,0)),"")</f>
        <v/>
      </c>
      <c r="P287">
        <f>IFERROR(INDEX('_courses_lookup'!$D:$D,MATCH(K287&amp;L287,'_courses_lookup'!$E:$E,0)),"")</f>
        <v/>
      </c>
      <c r="AG287">
        <f>IF(AND(AE287&lt;&gt;"",AF287&lt;&gt;""),ROUNDUP((AF287-AE287)/7,0),"")</f>
        <v/>
      </c>
      <c r="AI287">
        <f>IFERROR(IF(AG287*AH287=0,"",AG287*AH287),"")</f>
        <v/>
      </c>
      <c r="AL287">
        <f>IF(AND(AJ287&lt;&gt;"",AK287&lt;&gt;""),ROUNDUP((AK287-AJ287)/7,0),"")</f>
        <v/>
      </c>
      <c r="AN287">
        <f>IFERROR(IF(AL287*AM287=0,"",AL287*AM287),"")</f>
        <v/>
      </c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L287">
        <f>IFERROR(INDEX('_names_lookup'!$C:$C,MATCH(BK287,'_names_lookup'!$A:$A,0)),"")</f>
        <v/>
      </c>
      <c r="BM287">
        <f>IFERROR(INDEX('_names_lookup'!$B:$B,MATCH(BK287,'_names_lookup'!$A:$A,0)),"")</f>
        <v/>
      </c>
      <c r="BS287">
        <f>IFERROR(IF(BR287*AA287=0,"",BR287*AA287),"")</f>
        <v/>
      </c>
    </row>
    <row r="288">
      <c r="O288">
        <f>IFERROR(INDEX('_courses_lookup'!$C:$C,MATCH(K288&amp;L288,'_courses_lookup'!$E:$E,0)),"")</f>
        <v/>
      </c>
      <c r="P288">
        <f>IFERROR(INDEX('_courses_lookup'!$D:$D,MATCH(K288&amp;L288,'_courses_lookup'!$E:$E,0)),"")</f>
        <v/>
      </c>
      <c r="AG288">
        <f>IF(AND(AE288&lt;&gt;"",AF288&lt;&gt;""),ROUNDUP((AF288-AE288)/7,0),"")</f>
        <v/>
      </c>
      <c r="AI288">
        <f>IFERROR(IF(AG288*AH288=0,"",AG288*AH288),"")</f>
        <v/>
      </c>
      <c r="AL288">
        <f>IF(AND(AJ288&lt;&gt;"",AK288&lt;&gt;""),ROUNDUP((AK288-AJ288)/7,0),"")</f>
        <v/>
      </c>
      <c r="AN288">
        <f>IFERROR(IF(AL288*AM288=0,"",AL288*AM288),"")</f>
        <v/>
      </c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L288">
        <f>IFERROR(INDEX('_names_lookup'!$C:$C,MATCH(BK288,'_names_lookup'!$A:$A,0)),"")</f>
        <v/>
      </c>
      <c r="BM288">
        <f>IFERROR(INDEX('_names_lookup'!$B:$B,MATCH(BK288,'_names_lookup'!$A:$A,0)),"")</f>
        <v/>
      </c>
      <c r="BS288">
        <f>IFERROR(IF(BR288*AA288=0,"",BR288*AA288),"")</f>
        <v/>
      </c>
    </row>
    <row r="289">
      <c r="O289">
        <f>IFERROR(INDEX('_courses_lookup'!$C:$C,MATCH(K289&amp;L289,'_courses_lookup'!$E:$E,0)),"")</f>
        <v/>
      </c>
      <c r="P289">
        <f>IFERROR(INDEX('_courses_lookup'!$D:$D,MATCH(K289&amp;L289,'_courses_lookup'!$E:$E,0)),"")</f>
        <v/>
      </c>
      <c r="AG289">
        <f>IF(AND(AE289&lt;&gt;"",AF289&lt;&gt;""),ROUNDUP((AF289-AE289)/7,0),"")</f>
        <v/>
      </c>
      <c r="AI289">
        <f>IFERROR(IF(AG289*AH289=0,"",AG289*AH289),"")</f>
        <v/>
      </c>
      <c r="AL289">
        <f>IF(AND(AJ289&lt;&gt;"",AK289&lt;&gt;""),ROUNDUP((AK289-AJ289)/7,0),"")</f>
        <v/>
      </c>
      <c r="AN289">
        <f>IFERROR(IF(AL289*AM289=0,"",AL289*AM289),"")</f>
        <v/>
      </c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L289">
        <f>IFERROR(INDEX('_names_lookup'!$C:$C,MATCH(BK289,'_names_lookup'!$A:$A,0)),"")</f>
        <v/>
      </c>
      <c r="BM289">
        <f>IFERROR(INDEX('_names_lookup'!$B:$B,MATCH(BK289,'_names_lookup'!$A:$A,0)),"")</f>
        <v/>
      </c>
      <c r="BS289">
        <f>IFERROR(IF(BR289*AA289=0,"",BR289*AA289),"")</f>
        <v/>
      </c>
    </row>
    <row r="290">
      <c r="O290">
        <f>IFERROR(INDEX('_courses_lookup'!$C:$C,MATCH(K290&amp;L290,'_courses_lookup'!$E:$E,0)),"")</f>
        <v/>
      </c>
      <c r="P290">
        <f>IFERROR(INDEX('_courses_lookup'!$D:$D,MATCH(K290&amp;L290,'_courses_lookup'!$E:$E,0)),"")</f>
        <v/>
      </c>
      <c r="AG290">
        <f>IF(AND(AE290&lt;&gt;"",AF290&lt;&gt;""),ROUNDUP((AF290-AE290)/7,0),"")</f>
        <v/>
      </c>
      <c r="AI290">
        <f>IFERROR(IF(AG290*AH290=0,"",AG290*AH290),"")</f>
        <v/>
      </c>
      <c r="AL290">
        <f>IF(AND(AJ290&lt;&gt;"",AK290&lt;&gt;""),ROUNDUP((AK290-AJ290)/7,0),"")</f>
        <v/>
      </c>
      <c r="AN290">
        <f>IFERROR(IF(AL290*AM290=0,"",AL290*AM290),"")</f>
        <v/>
      </c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L290">
        <f>IFERROR(INDEX('_names_lookup'!$C:$C,MATCH(BK290,'_names_lookup'!$A:$A,0)),"")</f>
        <v/>
      </c>
      <c r="BM290">
        <f>IFERROR(INDEX('_names_lookup'!$B:$B,MATCH(BK290,'_names_lookup'!$A:$A,0)),"")</f>
        <v/>
      </c>
      <c r="BS290">
        <f>IFERROR(IF(BR290*AA290=0,"",BR290*AA290),"")</f>
        <v/>
      </c>
    </row>
    <row r="291">
      <c r="O291">
        <f>IFERROR(INDEX('_courses_lookup'!$C:$C,MATCH(K291&amp;L291,'_courses_lookup'!$E:$E,0)),"")</f>
        <v/>
      </c>
      <c r="P291">
        <f>IFERROR(INDEX('_courses_lookup'!$D:$D,MATCH(K291&amp;L291,'_courses_lookup'!$E:$E,0)),"")</f>
        <v/>
      </c>
      <c r="AG291">
        <f>IF(AND(AE291&lt;&gt;"",AF291&lt;&gt;""),ROUNDUP((AF291-AE291)/7,0),"")</f>
        <v/>
      </c>
      <c r="AI291">
        <f>IFERROR(IF(AG291*AH291=0,"",AG291*AH291),"")</f>
        <v/>
      </c>
      <c r="AL291">
        <f>IF(AND(AJ291&lt;&gt;"",AK291&lt;&gt;""),ROUNDUP((AK291-AJ291)/7,0),"")</f>
        <v/>
      </c>
      <c r="AN291">
        <f>IFERROR(IF(AL291*AM291=0,"",AL291*AM291),"")</f>
        <v/>
      </c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L291">
        <f>IFERROR(INDEX('_names_lookup'!$C:$C,MATCH(BK291,'_names_lookup'!$A:$A,0)),"")</f>
        <v/>
      </c>
      <c r="BM291">
        <f>IFERROR(INDEX('_names_lookup'!$B:$B,MATCH(BK291,'_names_lookup'!$A:$A,0)),"")</f>
        <v/>
      </c>
      <c r="BS291">
        <f>IFERROR(IF(BR291*AA291=0,"",BR291*AA291),"")</f>
        <v/>
      </c>
    </row>
    <row r="292">
      <c r="O292">
        <f>IFERROR(INDEX('_courses_lookup'!$C:$C,MATCH(K292&amp;L292,'_courses_lookup'!$E:$E,0)),"")</f>
        <v/>
      </c>
      <c r="P292">
        <f>IFERROR(INDEX('_courses_lookup'!$D:$D,MATCH(K292&amp;L292,'_courses_lookup'!$E:$E,0)),"")</f>
        <v/>
      </c>
      <c r="AG292">
        <f>IF(AND(AE292&lt;&gt;"",AF292&lt;&gt;""),ROUNDUP((AF292-AE292)/7,0),"")</f>
        <v/>
      </c>
      <c r="AI292">
        <f>IFERROR(IF(AG292*AH292=0,"",AG292*AH292),"")</f>
        <v/>
      </c>
      <c r="AL292">
        <f>IF(AND(AJ292&lt;&gt;"",AK292&lt;&gt;""),ROUNDUP((AK292-AJ292)/7,0),"")</f>
        <v/>
      </c>
      <c r="AN292">
        <f>IFERROR(IF(AL292*AM292=0,"",AL292*AM292),"")</f>
        <v/>
      </c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L292">
        <f>IFERROR(INDEX('_names_lookup'!$C:$C,MATCH(BK292,'_names_lookup'!$A:$A,0)),"")</f>
        <v/>
      </c>
      <c r="BM292">
        <f>IFERROR(INDEX('_names_lookup'!$B:$B,MATCH(BK292,'_names_lookup'!$A:$A,0)),"")</f>
        <v/>
      </c>
      <c r="BS292">
        <f>IFERROR(IF(BR292*AA292=0,"",BR292*AA292),"")</f>
        <v/>
      </c>
    </row>
    <row r="293">
      <c r="O293">
        <f>IFERROR(INDEX('_courses_lookup'!$C:$C,MATCH(K293&amp;L293,'_courses_lookup'!$E:$E,0)),"")</f>
        <v/>
      </c>
      <c r="P293">
        <f>IFERROR(INDEX('_courses_lookup'!$D:$D,MATCH(K293&amp;L293,'_courses_lookup'!$E:$E,0)),"")</f>
        <v/>
      </c>
      <c r="AG293">
        <f>IF(AND(AE293&lt;&gt;"",AF293&lt;&gt;""),ROUNDUP((AF293-AE293)/7,0),"")</f>
        <v/>
      </c>
      <c r="AI293">
        <f>IFERROR(IF(AG293*AH293=0,"",AG293*AH293),"")</f>
        <v/>
      </c>
      <c r="AL293">
        <f>IF(AND(AJ293&lt;&gt;"",AK293&lt;&gt;""),ROUNDUP((AK293-AJ293)/7,0),"")</f>
        <v/>
      </c>
      <c r="AN293">
        <f>IFERROR(IF(AL293*AM293=0,"",AL293*AM293),"")</f>
        <v/>
      </c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L293">
        <f>IFERROR(INDEX('_names_lookup'!$C:$C,MATCH(BK293,'_names_lookup'!$A:$A,0)),"")</f>
        <v/>
      </c>
      <c r="BM293">
        <f>IFERROR(INDEX('_names_lookup'!$B:$B,MATCH(BK293,'_names_lookup'!$A:$A,0)),"")</f>
        <v/>
      </c>
      <c r="BS293">
        <f>IFERROR(IF(BR293*AA293=0,"",BR293*AA293),"")</f>
        <v/>
      </c>
    </row>
    <row r="294">
      <c r="O294">
        <f>IFERROR(INDEX('_courses_lookup'!$C:$C,MATCH(K294&amp;L294,'_courses_lookup'!$E:$E,0)),"")</f>
        <v/>
      </c>
      <c r="P294">
        <f>IFERROR(INDEX('_courses_lookup'!$D:$D,MATCH(K294&amp;L294,'_courses_lookup'!$E:$E,0)),"")</f>
        <v/>
      </c>
      <c r="AG294">
        <f>IF(AND(AE294&lt;&gt;"",AF294&lt;&gt;""),ROUNDUP((AF294-AE294)/7,0),"")</f>
        <v/>
      </c>
      <c r="AI294">
        <f>IFERROR(IF(AG294*AH294=0,"",AG294*AH294),"")</f>
        <v/>
      </c>
      <c r="AL294">
        <f>IF(AND(AJ294&lt;&gt;"",AK294&lt;&gt;""),ROUNDUP((AK294-AJ294)/7,0),"")</f>
        <v/>
      </c>
      <c r="AN294">
        <f>IFERROR(IF(AL294*AM294=0,"",AL294*AM294),"")</f>
        <v/>
      </c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L294">
        <f>IFERROR(INDEX('_names_lookup'!$C:$C,MATCH(BK294,'_names_lookup'!$A:$A,0)),"")</f>
        <v/>
      </c>
      <c r="BM294">
        <f>IFERROR(INDEX('_names_lookup'!$B:$B,MATCH(BK294,'_names_lookup'!$A:$A,0)),"")</f>
        <v/>
      </c>
      <c r="BS294">
        <f>IFERROR(IF(BR294*AA294=0,"",BR294*AA294),"")</f>
        <v/>
      </c>
    </row>
    <row r="295">
      <c r="O295">
        <f>IFERROR(INDEX('_courses_lookup'!$C:$C,MATCH(K295&amp;L295,'_courses_lookup'!$E:$E,0)),"")</f>
        <v/>
      </c>
      <c r="P295">
        <f>IFERROR(INDEX('_courses_lookup'!$D:$D,MATCH(K295&amp;L295,'_courses_lookup'!$E:$E,0)),"")</f>
        <v/>
      </c>
      <c r="AG295">
        <f>IF(AND(AE295&lt;&gt;"",AF295&lt;&gt;""),ROUNDUP((AF295-AE295)/7,0),"")</f>
        <v/>
      </c>
      <c r="AI295">
        <f>IFERROR(IF(AG295*AH295=0,"",AG295*AH295),"")</f>
        <v/>
      </c>
      <c r="AL295">
        <f>IF(AND(AJ295&lt;&gt;"",AK295&lt;&gt;""),ROUNDUP((AK295-AJ295)/7,0),"")</f>
        <v/>
      </c>
      <c r="AN295">
        <f>IFERROR(IF(AL295*AM295=0,"",AL295*AM295),"")</f>
        <v/>
      </c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L295">
        <f>IFERROR(INDEX('_names_lookup'!$C:$C,MATCH(BK295,'_names_lookup'!$A:$A,0)),"")</f>
        <v/>
      </c>
      <c r="BM295">
        <f>IFERROR(INDEX('_names_lookup'!$B:$B,MATCH(BK295,'_names_lookup'!$A:$A,0)),"")</f>
        <v/>
      </c>
      <c r="BS295">
        <f>IFERROR(IF(BR295*AA295=0,"",BR295*AA295),"")</f>
        <v/>
      </c>
    </row>
    <row r="296">
      <c r="O296">
        <f>IFERROR(INDEX('_courses_lookup'!$C:$C,MATCH(K296&amp;L296,'_courses_lookup'!$E:$E,0)),"")</f>
        <v/>
      </c>
      <c r="P296">
        <f>IFERROR(INDEX('_courses_lookup'!$D:$D,MATCH(K296&amp;L296,'_courses_lookup'!$E:$E,0)),"")</f>
        <v/>
      </c>
      <c r="AG296">
        <f>IF(AND(AE296&lt;&gt;"",AF296&lt;&gt;""),ROUNDUP((AF296-AE296)/7,0),"")</f>
        <v/>
      </c>
      <c r="AI296">
        <f>IFERROR(IF(AG296*AH296=0,"",AG296*AH296),"")</f>
        <v/>
      </c>
      <c r="AL296">
        <f>IF(AND(AJ296&lt;&gt;"",AK296&lt;&gt;""),ROUNDUP((AK296-AJ296)/7,0),"")</f>
        <v/>
      </c>
      <c r="AN296">
        <f>IFERROR(IF(AL296*AM296=0,"",AL296*AM296),"")</f>
        <v/>
      </c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L296">
        <f>IFERROR(INDEX('_names_lookup'!$C:$C,MATCH(BK296,'_names_lookup'!$A:$A,0)),"")</f>
        <v/>
      </c>
      <c r="BM296">
        <f>IFERROR(INDEX('_names_lookup'!$B:$B,MATCH(BK296,'_names_lookup'!$A:$A,0)),"")</f>
        <v/>
      </c>
      <c r="BS296">
        <f>IFERROR(IF(BR296*AA296=0,"",BR296*AA296),"")</f>
        <v/>
      </c>
    </row>
    <row r="297">
      <c r="O297">
        <f>IFERROR(INDEX('_courses_lookup'!$C:$C,MATCH(K297&amp;L297,'_courses_lookup'!$E:$E,0)),"")</f>
        <v/>
      </c>
      <c r="P297">
        <f>IFERROR(INDEX('_courses_lookup'!$D:$D,MATCH(K297&amp;L297,'_courses_lookup'!$E:$E,0)),"")</f>
        <v/>
      </c>
      <c r="AG297">
        <f>IF(AND(AE297&lt;&gt;"",AF297&lt;&gt;""),ROUNDUP((AF297-AE297)/7,0),"")</f>
        <v/>
      </c>
      <c r="AI297">
        <f>IFERROR(IF(AG297*AH297=0,"",AG297*AH297),"")</f>
        <v/>
      </c>
      <c r="AL297">
        <f>IF(AND(AJ297&lt;&gt;"",AK297&lt;&gt;""),ROUNDUP((AK297-AJ297)/7,0),"")</f>
        <v/>
      </c>
      <c r="AN297">
        <f>IFERROR(IF(AL297*AM297=0,"",AL297*AM297),"")</f>
        <v/>
      </c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L297">
        <f>IFERROR(INDEX('_names_lookup'!$C:$C,MATCH(BK297,'_names_lookup'!$A:$A,0)),"")</f>
        <v/>
      </c>
      <c r="BM297">
        <f>IFERROR(INDEX('_names_lookup'!$B:$B,MATCH(BK297,'_names_lookup'!$A:$A,0)),"")</f>
        <v/>
      </c>
      <c r="BS297">
        <f>IFERROR(IF(BR297*AA297=0,"",BR297*AA297),"")</f>
        <v/>
      </c>
    </row>
    <row r="298">
      <c r="O298">
        <f>IFERROR(INDEX('_courses_lookup'!$C:$C,MATCH(K298&amp;L298,'_courses_lookup'!$E:$E,0)),"")</f>
        <v/>
      </c>
      <c r="P298">
        <f>IFERROR(INDEX('_courses_lookup'!$D:$D,MATCH(K298&amp;L298,'_courses_lookup'!$E:$E,0)),"")</f>
        <v/>
      </c>
      <c r="AG298">
        <f>IF(AND(AE298&lt;&gt;"",AF298&lt;&gt;""),ROUNDUP((AF298-AE298)/7,0),"")</f>
        <v/>
      </c>
      <c r="AI298">
        <f>IFERROR(IF(AG298*AH298=0,"",AG298*AH298),"")</f>
        <v/>
      </c>
      <c r="AL298">
        <f>IF(AND(AJ298&lt;&gt;"",AK298&lt;&gt;""),ROUNDUP((AK298-AJ298)/7,0),"")</f>
        <v/>
      </c>
      <c r="AN298">
        <f>IFERROR(IF(AL298*AM298=0,"",AL298*AM298),"")</f>
        <v/>
      </c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L298">
        <f>IFERROR(INDEX('_names_lookup'!$C:$C,MATCH(BK298,'_names_lookup'!$A:$A,0)),"")</f>
        <v/>
      </c>
      <c r="BM298">
        <f>IFERROR(INDEX('_names_lookup'!$B:$B,MATCH(BK298,'_names_lookup'!$A:$A,0)),"")</f>
        <v/>
      </c>
      <c r="BS298">
        <f>IFERROR(IF(BR298*AA298=0,"",BR298*AA298),"")</f>
        <v/>
      </c>
    </row>
    <row r="299">
      <c r="O299">
        <f>IFERROR(INDEX('_courses_lookup'!$C:$C,MATCH(K299&amp;L299,'_courses_lookup'!$E:$E,0)),"")</f>
        <v/>
      </c>
      <c r="P299">
        <f>IFERROR(INDEX('_courses_lookup'!$D:$D,MATCH(K299&amp;L299,'_courses_lookup'!$E:$E,0)),"")</f>
        <v/>
      </c>
      <c r="AG299">
        <f>IF(AND(AE299&lt;&gt;"",AF299&lt;&gt;""),ROUNDUP((AF299-AE299)/7,0),"")</f>
        <v/>
      </c>
      <c r="AI299">
        <f>IFERROR(IF(AG299*AH299=0,"",AG299*AH299),"")</f>
        <v/>
      </c>
      <c r="AL299">
        <f>IF(AND(AJ299&lt;&gt;"",AK299&lt;&gt;""),ROUNDUP((AK299-AJ299)/7,0),"")</f>
        <v/>
      </c>
      <c r="AN299">
        <f>IFERROR(IF(AL299*AM299=0,"",AL299*AM299),"")</f>
        <v/>
      </c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L299">
        <f>IFERROR(INDEX('_names_lookup'!$C:$C,MATCH(BK299,'_names_lookup'!$A:$A,0)),"")</f>
        <v/>
      </c>
      <c r="BM299">
        <f>IFERROR(INDEX('_names_lookup'!$B:$B,MATCH(BK299,'_names_lookup'!$A:$A,0)),"")</f>
        <v/>
      </c>
      <c r="BS299">
        <f>IFERROR(IF(BR299*AA299=0,"",BR299*AA299),"")</f>
        <v/>
      </c>
    </row>
    <row r="300">
      <c r="O300">
        <f>IFERROR(INDEX('_courses_lookup'!$C:$C,MATCH(K300&amp;L300,'_courses_lookup'!$E:$E,0)),"")</f>
        <v/>
      </c>
      <c r="P300">
        <f>IFERROR(INDEX('_courses_lookup'!$D:$D,MATCH(K300&amp;L300,'_courses_lookup'!$E:$E,0)),"")</f>
        <v/>
      </c>
      <c r="AG300">
        <f>IF(AND(AE300&lt;&gt;"",AF300&lt;&gt;""),ROUNDUP((AF300-AE300)/7,0),"")</f>
        <v/>
      </c>
      <c r="AI300">
        <f>IFERROR(IF(AG300*AH300=0,"",AG300*AH300),"")</f>
        <v/>
      </c>
      <c r="AL300">
        <f>IF(AND(AJ300&lt;&gt;"",AK300&lt;&gt;""),ROUNDUP((AK300-AJ300)/7,0),"")</f>
        <v/>
      </c>
      <c r="AN300">
        <f>IFERROR(IF(AL300*AM300=0,"",AL300*AM300),"")</f>
        <v/>
      </c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L300">
        <f>IFERROR(INDEX('_names_lookup'!$C:$C,MATCH(BK300,'_names_lookup'!$A:$A,0)),"")</f>
        <v/>
      </c>
      <c r="BM300">
        <f>IFERROR(INDEX('_names_lookup'!$B:$B,MATCH(BK300,'_names_lookup'!$A:$A,0)),"")</f>
        <v/>
      </c>
      <c r="BS300">
        <f>IFERROR(IF(BR300*AA300=0,"",BR300*AA300),"")</f>
        <v/>
      </c>
    </row>
  </sheetData>
  <autoFilter ref="A1:DQ5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='DropDownMenu'!$BC$2:$BC$259</formula1>
    </dataValidation>
    <dataValidation sqref="BL2:BL5000" showDropDown="0" showInputMessage="0" showErrorMessage="0" allowBlank="1" type="list">
      <formula1>='DropDownMenu'!$BD$2:$BD$253</formula1>
    </dataValidation>
    <dataValidation sqref="BM2:BM5000" showDropDown="0" showInputMessage="0" showErrorMessage="0" allowBlank="1" type="list">
      <formula1>='DropDownMenu'!$BE$2:$BE$259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21" sqref="G21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23" t="inlineStr">
        <is>
          <t>Don {not in Banner}</t>
        </is>
      </c>
      <c r="B1" s="23" t="inlineStr">
        <is>
          <t>Mismatching {not in Banner}</t>
        </is>
      </c>
      <c r="C1" s="23" t="inlineStr">
        <is>
          <t>Dept/Prog Admin {not in Banner}</t>
        </is>
      </c>
      <c r="D1" s="23" t="inlineStr">
        <is>
          <t>Mona {not in Banner}</t>
        </is>
      </c>
      <c r="E1" s="23" t="inlineStr">
        <is>
          <t>Karen {not in Banner}</t>
        </is>
      </c>
      <c r="F1" s="23" t="inlineStr">
        <is>
          <t>DONE {not in Banner}</t>
        </is>
      </c>
      <c r="G1" s="24" t="inlineStr">
        <is>
          <t>Notes {not in Banner}</t>
        </is>
      </c>
      <c r="H1" s="23" t="inlineStr">
        <is>
          <t>CRN sorted {not in Banner}</t>
        </is>
      </c>
      <c r="I1" s="23" t="inlineStr">
        <is>
          <t>CRN</t>
        </is>
      </c>
      <c r="J1" s="23" t="inlineStr">
        <is>
          <t>Attribute {not in Banner}</t>
        </is>
      </c>
      <c r="K1" s="23" t="inlineStr">
        <is>
          <t>Subject</t>
        </is>
      </c>
      <c r="L1" s="23" t="inlineStr">
        <is>
          <t>Course Number {Crse Num}</t>
        </is>
      </c>
      <c r="M1" s="23" t="inlineStr">
        <is>
          <t>Course Section {Seq Crse Num}</t>
        </is>
      </c>
      <c r="N1" s="23" t="inlineStr">
        <is>
          <t>Program {not in Banner}</t>
        </is>
      </c>
      <c r="O1" s="23" t="inlineStr">
        <is>
          <t>Catalog Title</t>
        </is>
      </c>
      <c r="P1" s="23" t="inlineStr">
        <is>
          <t>Section Title</t>
        </is>
      </c>
      <c r="Q1" s="23" t="inlineStr">
        <is>
          <t>Crosslist Details {not in Banner}</t>
        </is>
      </c>
      <c r="R1" s="23" t="inlineStr">
        <is>
          <t>X Lst</t>
        </is>
      </c>
      <c r="S1" s="23" t="inlineStr">
        <is>
          <t>Campus {Ssasect Campus}</t>
        </is>
      </c>
      <c r="T1" s="23" t="inlineStr">
        <is>
          <t>Campus Restriction {Camp Restr CC}</t>
        </is>
      </c>
      <c r="U1" s="23" t="inlineStr">
        <is>
          <t>Schedule Type {not in Banner}</t>
        </is>
      </c>
      <c r="V1" s="23" t="inlineStr">
        <is>
          <t>Instruction Method {Inst Method}</t>
        </is>
      </c>
      <c r="W1" s="23" t="inlineStr">
        <is>
          <t>Level {Level SC}</t>
        </is>
      </c>
      <c r="X1" s="23" t="inlineStr">
        <is>
          <t>Part-Of-Term</t>
        </is>
      </c>
      <c r="Y1" s="23" t="inlineStr">
        <is>
          <t>Credit Catalog {Cat Crs}</t>
        </is>
      </c>
      <c r="Z1" s="23" t="inlineStr">
        <is>
          <t>Credits {Sect Crs}</t>
        </is>
      </c>
      <c r="AA1" s="23" t="inlineStr">
        <is>
          <t>Faculty Load / Contract Credits {not in Banner}</t>
        </is>
      </c>
      <c r="AB1" s="23" t="inlineStr">
        <is>
          <t>Enrollment Cap {Max Enrl}</t>
        </is>
      </c>
      <c r="AC1" s="23" t="inlineStr">
        <is>
          <t>Meeting Type</t>
        </is>
      </c>
      <c r="AD1" s="23" t="inlineStr">
        <is>
          <t>Semester Start Date {Soaterm Start Date}</t>
        </is>
      </c>
      <c r="AE1" s="23" t="inlineStr">
        <is>
          <t>Pre-work Start Date {not in Banner}</t>
        </is>
      </c>
      <c r="AF1" s="23" t="inlineStr">
        <is>
          <t>Pre-work End Date {not in Banner}</t>
        </is>
      </c>
      <c r="AG1" s="25" t="inlineStr">
        <is>
          <t>pre-work # of weeks {not in Banner}</t>
        </is>
      </c>
      <c r="AH1" s="25" t="inlineStr">
        <is>
          <t>pre-work hours/week {not in Banner}</t>
        </is>
      </c>
      <c r="AI1" s="25" t="inlineStr">
        <is>
          <t>pre-work hours/period {not in Banner}</t>
        </is>
      </c>
      <c r="AJ1" s="23" t="inlineStr">
        <is>
          <t>Intensive Period Start Date {Meet Start Date}</t>
        </is>
      </c>
      <c r="AK1" s="23" t="inlineStr">
        <is>
          <t>Intensive Period End Date {Meet End Date}</t>
        </is>
      </c>
      <c r="AL1" s="25" t="inlineStr">
        <is>
          <t>intensive # of weeks {not in Banner}</t>
        </is>
      </c>
      <c r="AM1" s="25" t="inlineStr">
        <is>
          <t>intensive hours/week {not in Banner}</t>
        </is>
      </c>
      <c r="AN1" s="25" t="inlineStr">
        <is>
          <t>intensive hours/period {not in Banner}</t>
        </is>
      </c>
      <c r="AO1" s="23" t="inlineStr">
        <is>
          <t>Post-work Start Date {not in Banner}</t>
        </is>
      </c>
      <c r="AP1" s="23" t="inlineStr">
        <is>
          <t>Post-work End Date {not in Banner}</t>
        </is>
      </c>
      <c r="AQ1" s="25" t="inlineStr">
        <is>
          <t>post-work # of weeks {not in Banner}</t>
        </is>
      </c>
      <c r="AR1" s="25" t="inlineStr">
        <is>
          <t>post-work hours/week {not in Banner}</t>
        </is>
      </c>
      <c r="AS1" s="25" t="inlineStr">
        <is>
          <t>post-work hours/period {not in Banner}</t>
        </is>
      </c>
      <c r="AT1" s="25" t="inlineStr">
        <is>
          <t>sum of weeks (for check) {not in Banner}</t>
        </is>
      </c>
      <c r="AU1" s="25" t="inlineStr">
        <is>
          <t>total contract hours {not in Banner}</t>
        </is>
      </c>
      <c r="AV1" s="23" t="inlineStr">
        <is>
          <t>Semester End Date {Soaterm End Date}</t>
        </is>
      </c>
      <c r="AW1" s="23" t="inlineStr">
        <is>
          <t>Course Beginning Time {Meet Beg Time}</t>
        </is>
      </c>
      <c r="AX1" s="23" t="inlineStr">
        <is>
          <t>Course Ending Time {Meet End Time}</t>
        </is>
      </c>
      <c r="AY1" s="23" t="inlineStr">
        <is>
          <t>SUN</t>
        </is>
      </c>
      <c r="AZ1" s="23" t="inlineStr">
        <is>
          <t>MON</t>
        </is>
      </c>
      <c r="BA1" s="23" t="inlineStr">
        <is>
          <t>TUE</t>
        </is>
      </c>
      <c r="BB1" s="23" t="inlineStr">
        <is>
          <t>WED</t>
        </is>
      </c>
      <c r="BC1" s="23" t="inlineStr">
        <is>
          <t>THU</t>
        </is>
      </c>
      <c r="BD1" s="23" t="inlineStr">
        <is>
          <t>FRI</t>
        </is>
      </c>
      <c r="BE1" s="23" t="inlineStr">
        <is>
          <t>SAT</t>
        </is>
      </c>
      <c r="BF1" s="23" t="inlineStr">
        <is>
          <t>Weeks</t>
        </is>
      </c>
      <c r="BG1" s="23" t="inlineStr">
        <is>
          <t>Fiscal Year {not in Banner}</t>
        </is>
      </c>
      <c r="BH1" s="25" t="inlineStr">
        <is>
          <t>Semester {not in Banner}</t>
        </is>
      </c>
      <c r="BI1" s="23" t="inlineStr">
        <is>
          <t>Room {Meet Room}</t>
        </is>
      </c>
      <c r="BJ1" s="23" t="inlineStr">
        <is>
          <t>Building {Meet Bldg}</t>
        </is>
      </c>
      <c r="BK1" s="23" t="inlineStr">
        <is>
          <t>Instructor Name {Instr Name}</t>
        </is>
      </c>
      <c r="BL1" s="23" t="inlineStr">
        <is>
          <t>Instructor Email {Instr Email}</t>
        </is>
      </c>
      <c r="BM1" s="23" t="inlineStr">
        <is>
          <t>Instructor ID {Instr ID}</t>
        </is>
      </c>
      <c r="BN1" s="25" t="inlineStr">
        <is>
          <t>Remote Employee {not in Banner}</t>
        </is>
      </c>
      <c r="BO1" s="23" t="inlineStr">
        <is>
          <t>% Responsibility</t>
        </is>
      </c>
      <c r="BP1" s="23" t="inlineStr">
        <is>
          <t>load/contract {not in Banner}</t>
        </is>
      </c>
      <c r="BQ1" s="25" t="inlineStr">
        <is>
          <t>Reason for Contract {not in Banner}</t>
        </is>
      </c>
      <c r="BR1" s="25" t="inlineStr">
        <is>
          <t>costs per credit {not in Banner}</t>
        </is>
      </c>
      <c r="BS1" s="25" t="inlineStr">
        <is>
          <t>total costs {not in Banner}</t>
        </is>
      </c>
      <c r="BT1" s="25" t="inlineStr">
        <is>
          <t>dept budget {not in Banner}</t>
        </is>
      </c>
      <c r="BU1" s="25" t="inlineStr">
        <is>
          <t>account to be charged {not in Banner}</t>
        </is>
      </c>
      <c r="BV1" s="25" t="inlineStr">
        <is>
          <t>SEM Department {Scacrse Dept}</t>
        </is>
      </c>
      <c r="BW1" s="26" t="inlineStr">
        <is>
          <t>dean email</t>
        </is>
      </c>
      <c r="BX1" s="26" t="inlineStr">
        <is>
          <t>VP finance email</t>
        </is>
      </c>
      <c r="BY1" s="26" t="inlineStr">
        <is>
          <t>HR email</t>
        </is>
      </c>
      <c r="BZ1" s="26" t="inlineStr">
        <is>
          <t>Fee Amount {Fees Amt}</t>
        </is>
      </c>
      <c r="CA1" s="26" t="inlineStr">
        <is>
          <t>Fee Code {Detl Code}</t>
        </is>
      </c>
      <c r="CB1" s="26" t="inlineStr">
        <is>
          <t>Fee Type</t>
        </is>
      </c>
      <c r="CC1" s="26" t="inlineStr">
        <is>
          <t>Fee Level</t>
        </is>
      </c>
      <c r="CD1" s="26" t="inlineStr">
        <is>
          <t>Fee Ind</t>
        </is>
      </c>
      <c r="CE1" s="26" t="inlineStr">
        <is>
          <t>Fee Term</t>
        </is>
      </c>
      <c r="CF1" s="26" t="inlineStr">
        <is>
          <t>Activity Date</t>
        </is>
      </c>
      <c r="CG1" s="26" t="inlineStr">
        <is>
          <t>Status</t>
        </is>
      </c>
      <c r="CH1" s="26" t="inlineStr">
        <is>
          <t>Bill Hrs</t>
        </is>
      </c>
      <c r="CI1" s="26" t="inlineStr">
        <is>
          <t>Sect Sch Type</t>
        </is>
      </c>
      <c r="CJ1" s="26" t="inlineStr">
        <is>
          <t>Prerequisites {Preq Areas}</t>
        </is>
      </c>
      <c r="CK1" s="26" t="inlineStr">
        <is>
          <t>Link Ind</t>
        </is>
      </c>
      <c r="CL1" s="26" t="inlineStr">
        <is>
          <t>Integration Code</t>
        </is>
      </c>
      <c r="CM1" s="26" t="inlineStr">
        <is>
          <t>Link Conn</t>
        </is>
      </c>
      <c r="CN1" s="26" t="inlineStr">
        <is>
          <t>Crs Attr</t>
        </is>
      </c>
      <c r="CO1" s="26" t="inlineStr">
        <is>
          <t>Comments</t>
        </is>
      </c>
      <c r="CP1" s="26" t="inlineStr">
        <is>
          <t>Major Restr</t>
        </is>
      </c>
      <c r="CQ1" s="26" t="inlineStr">
        <is>
          <t>Scacrse College</t>
        </is>
      </c>
      <c r="CR1" s="26" t="inlineStr">
        <is>
          <t>Enrolled</t>
        </is>
      </c>
      <c r="CS1" s="26" t="inlineStr">
        <is>
          <t>Waitlist Capacity</t>
        </is>
      </c>
      <c r="CT1" s="26" t="inlineStr">
        <is>
          <t>Primary Ind</t>
        </is>
      </c>
      <c r="CU1" s="26" t="inlineStr">
        <is>
          <t>Override</t>
        </is>
      </c>
      <c r="CV1" s="26" t="inlineStr">
        <is>
          <t>1st Date Reg Opens</t>
        </is>
      </c>
      <c r="CW1" s="26" t="inlineStr">
        <is>
          <t>Last Date Reg Opens</t>
        </is>
      </c>
      <c r="CX1" s="26" t="inlineStr">
        <is>
          <t>OL Range From Date</t>
        </is>
      </c>
      <c r="CY1" s="26" t="inlineStr">
        <is>
          <t>OL Range To Date</t>
        </is>
      </c>
      <c r="CZ1" s="26" t="inlineStr">
        <is>
          <t>OL Numb Units</t>
        </is>
      </c>
      <c r="DA1" s="26" t="inlineStr">
        <is>
          <t>OL Duration Code</t>
        </is>
      </c>
      <c r="DB1" s="26" t="inlineStr">
        <is>
          <t>Grade Mode</t>
        </is>
      </c>
      <c r="DC1" s="26" t="inlineStr">
        <is>
          <t>Gradable Ind</t>
        </is>
      </c>
      <c r="DD1" s="26" t="inlineStr">
        <is>
          <t>Tuit Waiver</t>
        </is>
      </c>
      <c r="DE1" s="26" t="inlineStr">
        <is>
          <t>Course Override {Meet Override}</t>
        </is>
      </c>
      <c r="DF1" s="26" t="inlineStr">
        <is>
          <t>Lvl Res Ind</t>
        </is>
      </c>
      <c r="DG1" s="26" t="inlineStr">
        <is>
          <t>Cmp Res Ind</t>
        </is>
      </c>
      <c r="DH1" s="26" t="inlineStr">
        <is>
          <t>Rate Code</t>
        </is>
      </c>
      <c r="DI1" s="26" t="inlineStr">
        <is>
          <t>Cohort Code</t>
        </is>
      </c>
      <c r="DJ1" s="26" t="inlineStr">
        <is>
          <t>St Attr Code</t>
        </is>
      </c>
      <c r="DK1" s="26" t="inlineStr">
        <is>
          <t>Coll SC</t>
        </is>
      </c>
      <c r="DL1" s="26" t="inlineStr">
        <is>
          <t>DegC SC</t>
        </is>
      </c>
      <c r="DM1" s="26" t="inlineStr">
        <is>
          <t>Prog SC</t>
        </is>
      </c>
      <c r="DN1" s="26" t="inlineStr">
        <is>
          <t>FOS Type</t>
        </is>
      </c>
      <c r="DO1" s="26" t="inlineStr">
        <is>
          <t>Special Approval {Special Apvl}</t>
        </is>
      </c>
      <c r="DP1" s="26" t="inlineStr">
        <is>
          <t>Term Code</t>
        </is>
      </c>
      <c r="DQ1" s="26" t="inlineStr">
        <is>
          <t>Camp SC</t>
        </is>
      </c>
    </row>
    <row r="2">
      <c r="O2">
        <f>IFERROR(INDEX('_courses_lookup'!$C:$C,MATCH(K2&amp;L2,'_courses_lookup'!$E:$E,0)),"")</f>
        <v/>
      </c>
      <c r="P2">
        <f>IFERROR(INDEX('_courses_lookup'!$D:$D,MATCH(K2&amp;L2,'_courses_lookup'!$E:$E,0)),"")</f>
        <v/>
      </c>
      <c r="AG2">
        <f>IF(AND(AE2&lt;&gt;"",AF2&lt;&gt;""),ROUNDUP((AF2-AE2)/7,0),"")</f>
        <v/>
      </c>
      <c r="AI2">
        <f>IFERROR(IF(AG2*AH2=0,"",AG2*AH2),"")</f>
        <v/>
      </c>
      <c r="AL2">
        <f>IF(AND(AJ2&lt;&gt;"",AK2&lt;&gt;""),ROUNDUP((AK2-AJ2)/7,0),"")</f>
        <v/>
      </c>
      <c r="AN2">
        <f>IFERROR(IF(AL2*AM2=0,"",AL2*AM2),"")</f>
        <v/>
      </c>
      <c r="AQ2">
        <f>IF(AND(AO2&lt;&gt;"",AP2&lt;&gt;""),ROUNDUP((AP2-AO2)/7,0),"")</f>
        <v/>
      </c>
      <c r="AR2">
        <f>IFERROR(IF((AU2-(AI2+AN2))/AQ2=0,"",ROUNDUP((AU2-(AI2+AN2))/AQ2,0)),"")</f>
        <v/>
      </c>
      <c r="AS2">
        <f>IFERROR(IF((AU2-(AI2+AN2))=0,"",(AU2-(AI2+AN2))),"")</f>
        <v/>
      </c>
      <c r="AT2">
        <f>IF(AND(AG2="",AQ2=""),AL2,IF(SUM(AG2,AL2,AQ2)=0,"",SUM(AG2,AL2,AQ2)))</f>
        <v/>
      </c>
      <c r="BG2">
        <f>IF(AD2="","",YEAR(AD2)+IF(MONTH(AD2)&gt;=5,1,0))</f>
        <v/>
      </c>
      <c r="BH2">
        <f>IF(AD2="","",IF(AND(MONTH(AD2)=8,DAY(AD2)&gt;=15),"Fall",IF(MONTH(AD2)&gt;8,"Fall",IF(MONTH(AD2)=5,"Summer",IF(MONTH(AD2)=1,"Spring","")))))</f>
        <v/>
      </c>
      <c r="BL2">
        <f>IFERROR(INDEX('_names_lookup'!$C:$C,MATCH(BK2,'_names_lookup'!$A:$A,0)),"")</f>
        <v/>
      </c>
      <c r="BM2">
        <f>IFERROR(INDEX('_names_lookup'!$B:$B,MATCH(BK2,'_names_lookup'!$A:$A,0)),"")</f>
        <v/>
      </c>
      <c r="BS2">
        <f>IFERROR(IF(BR2*AA2=0,"",BR2*AA2),"")</f>
        <v/>
      </c>
    </row>
    <row r="3">
      <c r="O3">
        <f>IFERROR(INDEX('_courses_lookup'!$C:$C,MATCH(K3&amp;L3,'_courses_lookup'!$E:$E,0)),"")</f>
        <v/>
      </c>
      <c r="P3">
        <f>IFERROR(INDEX('_courses_lookup'!$D:$D,MATCH(K3&amp;L3,'_courses_lookup'!$E:$E,0)),"")</f>
        <v/>
      </c>
      <c r="AG3">
        <f>IF(AND(AE3&lt;&gt;"",AF3&lt;&gt;""),ROUNDUP((AF3-AE3)/7,0),"")</f>
        <v/>
      </c>
      <c r="AI3">
        <f>IFERROR(IF(AG3*AH3=0,"",AG3*AH3),"")</f>
        <v/>
      </c>
      <c r="AL3">
        <f>IF(AND(AJ3&lt;&gt;"",AK3&lt;&gt;""),ROUNDUP((AK3-AJ3)/7,0),"")</f>
        <v/>
      </c>
      <c r="AN3">
        <f>IFERROR(IF(AL3*AM3=0,"",AL3*AM3),"")</f>
        <v/>
      </c>
      <c r="AQ3">
        <f>IF(AND(AO3&lt;&gt;"",AP3&lt;&gt;""),ROUNDUP((AP3-AO3)/7,0),"")</f>
        <v/>
      </c>
      <c r="AR3">
        <f>IFERROR(IF((AU3-(AI3+AN3))/AQ3=0,"",ROUNDUP((AU3-(AI3+AN3))/AQ3,0)),"")</f>
        <v/>
      </c>
      <c r="AS3">
        <f>IFERROR(IF((AU3-(AI3+AN3))=0,"",(AU3-(AI3+AN3))),"")</f>
        <v/>
      </c>
      <c r="AT3">
        <f>IF(AND(AG3="",AQ3=""),AL3,IF(SUM(AG3,AL3,AQ3)=0,"",SUM(AG3,AL3,AQ3)))</f>
        <v/>
      </c>
      <c r="BG3">
        <f>IF(AD3="","",YEAR(AD3)+IF(MONTH(AD3)&gt;=5,1,0))</f>
        <v/>
      </c>
      <c r="BH3">
        <f>IF(AD3="","",IF(AND(MONTH(AD3)=8,DAY(AD3)&gt;=15),"Fall",IF(MONTH(AD3)&gt;8,"Fall",IF(MONTH(AD3)=5,"Summer",IF(MONTH(AD3)=1,"Spring","")))))</f>
        <v/>
      </c>
      <c r="BL3">
        <f>IFERROR(INDEX('_names_lookup'!$C:$C,MATCH(BK3,'_names_lookup'!$A:$A,0)),"")</f>
        <v/>
      </c>
      <c r="BM3">
        <f>IFERROR(INDEX('_names_lookup'!$B:$B,MATCH(BK3,'_names_lookup'!$A:$A,0)),"")</f>
        <v/>
      </c>
      <c r="BS3">
        <f>IFERROR(IF(BR3*AA3=0,"",BR3*AA3),"")</f>
        <v/>
      </c>
    </row>
    <row r="4">
      <c r="O4">
        <f>IFERROR(INDEX('_courses_lookup'!$C:$C,MATCH(K4&amp;L4,'_courses_lookup'!$E:$E,0)),"")</f>
        <v/>
      </c>
      <c r="P4">
        <f>IFERROR(INDEX('_courses_lookup'!$D:$D,MATCH(K4&amp;L4,'_courses_lookup'!$E:$E,0)),"")</f>
        <v/>
      </c>
      <c r="AG4">
        <f>IF(AND(AE4&lt;&gt;"",AF4&lt;&gt;""),ROUNDUP((AF4-AE4)/7,0),"")</f>
        <v/>
      </c>
      <c r="AI4">
        <f>IFERROR(IF(AG4*AH4=0,"",AG4*AH4),"")</f>
        <v/>
      </c>
      <c r="AL4">
        <f>IF(AND(AJ4&lt;&gt;"",AK4&lt;&gt;""),ROUNDUP((AK4-AJ4)/7,0),"")</f>
        <v/>
      </c>
      <c r="AN4">
        <f>IFERROR(IF(AL4*AM4=0,"",AL4*AM4),"")</f>
        <v/>
      </c>
      <c r="AQ4">
        <f>IF(AND(AO4&lt;&gt;"",AP4&lt;&gt;""),ROUNDUP((AP4-AO4)/7,0),"")</f>
        <v/>
      </c>
      <c r="AR4">
        <f>IFERROR(IF((AU4-(AI4+AN4))/AQ4=0,"",ROUNDUP((AU4-(AI4+AN4))/AQ4,0)),"")</f>
        <v/>
      </c>
      <c r="AS4">
        <f>IFERROR(IF((AU4-(AI4+AN4))=0,"",(AU4-(AI4+AN4))),"")</f>
        <v/>
      </c>
      <c r="AT4">
        <f>IF(AND(AG4="",AQ4=""),AL4,IF(SUM(AG4,AL4,AQ4)=0,"",SUM(AG4,AL4,AQ4)))</f>
        <v/>
      </c>
      <c r="BG4">
        <f>IF(AD4="","",YEAR(AD4)+IF(MONTH(AD4)&gt;=5,1,0))</f>
        <v/>
      </c>
      <c r="BH4">
        <f>IF(AD4="","",IF(AND(MONTH(AD4)=8,DAY(AD4)&gt;=15),"Fall",IF(MONTH(AD4)&gt;8,"Fall",IF(MONTH(AD4)=5,"Summer",IF(MONTH(AD4)=1,"Spring","")))))</f>
        <v/>
      </c>
      <c r="BL4">
        <f>IFERROR(INDEX('_names_lookup'!$C:$C,MATCH(BK4,'_names_lookup'!$A:$A,0)),"")</f>
        <v/>
      </c>
      <c r="BM4">
        <f>IFERROR(INDEX('_names_lookup'!$B:$B,MATCH(BK4,'_names_lookup'!$A:$A,0)),"")</f>
        <v/>
      </c>
      <c r="BS4">
        <f>IFERROR(IF(BR4*AA4=0,"",BR4*AA4),"")</f>
        <v/>
      </c>
    </row>
    <row r="5">
      <c r="O5">
        <f>IFERROR(INDEX('_courses_lookup'!$C:$C,MATCH(K5&amp;L5,'_courses_lookup'!$E:$E,0)),"")</f>
        <v/>
      </c>
      <c r="P5">
        <f>IFERROR(INDEX('_courses_lookup'!$D:$D,MATCH(K5&amp;L5,'_courses_lookup'!$E:$E,0)),"")</f>
        <v/>
      </c>
      <c r="AG5">
        <f>IF(AND(AE5&lt;&gt;"",AF5&lt;&gt;""),ROUNDUP((AF5-AE5)/7,0),"")</f>
        <v/>
      </c>
      <c r="AI5">
        <f>IFERROR(IF(AG5*AH5=0,"",AG5*AH5),"")</f>
        <v/>
      </c>
      <c r="AL5">
        <f>IF(AND(AJ5&lt;&gt;"",AK5&lt;&gt;""),ROUNDUP((AK5-AJ5)/7,0),"")</f>
        <v/>
      </c>
      <c r="AN5">
        <f>IFERROR(IF(AL5*AM5=0,"",AL5*AM5),"")</f>
        <v/>
      </c>
      <c r="AQ5">
        <f>IF(AND(AO5&lt;&gt;"",AP5&lt;&gt;""),ROUNDUP((AP5-AO5)/7,0),"")</f>
        <v/>
      </c>
      <c r="AR5">
        <f>IFERROR(IF((AU5-(AI5+AN5))/AQ5=0,"",ROUNDUP((AU5-(AI5+AN5))/AQ5,0)),"")</f>
        <v/>
      </c>
      <c r="AS5">
        <f>IFERROR(IF((AU5-(AI5+AN5))=0,"",(AU5-(AI5+AN5))),"")</f>
        <v/>
      </c>
      <c r="AT5">
        <f>IF(AND(AG5="",AQ5=""),AL5,IF(SUM(AG5,AL5,AQ5)=0,"",SUM(AG5,AL5,AQ5)))</f>
        <v/>
      </c>
      <c r="BG5">
        <f>IF(AD5="","",YEAR(AD5)+IF(MONTH(AD5)&gt;=5,1,0))</f>
        <v/>
      </c>
      <c r="BH5">
        <f>IF(AD5="","",IF(AND(MONTH(AD5)=8,DAY(AD5)&gt;=15),"Fall",IF(MONTH(AD5)&gt;8,"Fall",IF(MONTH(AD5)=5,"Summer",IF(MONTH(AD5)=1,"Spring","")))))</f>
        <v/>
      </c>
      <c r="BL5">
        <f>IFERROR(INDEX('_names_lookup'!$C:$C,MATCH(BK5,'_names_lookup'!$A:$A,0)),"")</f>
        <v/>
      </c>
      <c r="BM5">
        <f>IFERROR(INDEX('_names_lookup'!$B:$B,MATCH(BK5,'_names_lookup'!$A:$A,0)),"")</f>
        <v/>
      </c>
      <c r="BS5">
        <f>IFERROR(IF(BR5*AA5=0,"",BR5*AA5),"")</f>
        <v/>
      </c>
    </row>
    <row r="6">
      <c r="O6">
        <f>IFERROR(INDEX('_courses_lookup'!$C:$C,MATCH(K6&amp;L6,'_courses_lookup'!$E:$E,0)),"")</f>
        <v/>
      </c>
      <c r="P6">
        <f>IFERROR(INDEX('_courses_lookup'!$D:$D,MATCH(K6&amp;L6,'_courses_lookup'!$E:$E,0)),"")</f>
        <v/>
      </c>
      <c r="AG6">
        <f>IF(AND(AE6&lt;&gt;"",AF6&lt;&gt;""),ROUNDUP((AF6-AE6)/7,0),"")</f>
        <v/>
      </c>
      <c r="AI6">
        <f>IFERROR(IF(AG6*AH6=0,"",AG6*AH6),"")</f>
        <v/>
      </c>
      <c r="AL6">
        <f>IF(AND(AJ6&lt;&gt;"",AK6&lt;&gt;""),ROUNDUP((AK6-AJ6)/7,0),"")</f>
        <v/>
      </c>
      <c r="AN6">
        <f>IFERROR(IF(AL6*AM6=0,"",AL6*AM6),"")</f>
        <v/>
      </c>
      <c r="AQ6">
        <f>IF(AND(AO6&lt;&gt;"",AP6&lt;&gt;""),ROUNDUP((AP6-AO6)/7,0),"")</f>
        <v/>
      </c>
      <c r="AR6">
        <f>IFERROR(IF((AU6-(AI6+AN6))/AQ6=0,"",ROUNDUP((AU6-(AI6+AN6))/AQ6,0)),"")</f>
        <v/>
      </c>
      <c r="AS6">
        <f>IFERROR(IF((AU6-(AI6+AN6))=0,"",(AU6-(AI6+AN6))),"")</f>
        <v/>
      </c>
      <c r="AT6">
        <f>IF(AND(AG6="",AQ6=""),AL6,IF(SUM(AG6,AL6,AQ6)=0,"",SUM(AG6,AL6,AQ6)))</f>
        <v/>
      </c>
      <c r="BG6">
        <f>IF(AD6="","",YEAR(AD6)+IF(MONTH(AD6)&gt;=5,1,0))</f>
        <v/>
      </c>
      <c r="BH6">
        <f>IF(AD6="","",IF(AND(MONTH(AD6)=8,DAY(AD6)&gt;=15),"Fall",IF(MONTH(AD6)&gt;8,"Fall",IF(MONTH(AD6)=5,"Summer",IF(MONTH(AD6)=1,"Spring","")))))</f>
        <v/>
      </c>
      <c r="BL6">
        <f>IFERROR(INDEX('_names_lookup'!$C:$C,MATCH(BK6,'_names_lookup'!$A:$A,0)),"")</f>
        <v/>
      </c>
      <c r="BM6">
        <f>IFERROR(INDEX('_names_lookup'!$B:$B,MATCH(BK6,'_names_lookup'!$A:$A,0)),"")</f>
        <v/>
      </c>
      <c r="BS6">
        <f>IFERROR(IF(BR6*AA6=0,"",BR6*AA6),"")</f>
        <v/>
      </c>
    </row>
    <row r="7">
      <c r="O7">
        <f>IFERROR(INDEX('_courses_lookup'!$C:$C,MATCH(K7&amp;L7,'_courses_lookup'!$E:$E,0)),"")</f>
        <v/>
      </c>
      <c r="P7">
        <f>IFERROR(INDEX('_courses_lookup'!$D:$D,MATCH(K7&amp;L7,'_courses_lookup'!$E:$E,0)),"")</f>
        <v/>
      </c>
      <c r="AG7">
        <f>IF(AND(AE7&lt;&gt;"",AF7&lt;&gt;""),ROUNDUP((AF7-AE7)/7,0),"")</f>
        <v/>
      </c>
      <c r="AI7">
        <f>IFERROR(IF(AG7*AH7=0,"",AG7*AH7),"")</f>
        <v/>
      </c>
      <c r="AL7">
        <f>IF(AND(AJ7&lt;&gt;"",AK7&lt;&gt;""),ROUNDUP((AK7-AJ7)/7,0),"")</f>
        <v/>
      </c>
      <c r="AN7">
        <f>IFERROR(IF(AL7*AM7=0,"",AL7*AM7),"")</f>
        <v/>
      </c>
      <c r="AQ7">
        <f>IF(AND(AO7&lt;&gt;"",AP7&lt;&gt;""),ROUNDUP((AP7-AO7)/7,0),"")</f>
        <v/>
      </c>
      <c r="AR7">
        <f>IFERROR(IF((AU7-(AI7+AN7))/AQ7=0,"",ROUNDUP((AU7-(AI7+AN7))/AQ7,0)),"")</f>
        <v/>
      </c>
      <c r="AS7">
        <f>IFERROR(IF((AU7-(AI7+AN7))=0,"",(AU7-(AI7+AN7))),"")</f>
        <v/>
      </c>
      <c r="AT7">
        <f>IF(AND(AG7="",AQ7=""),AL7,IF(SUM(AG7,AL7,AQ7)=0,"",SUM(AG7,AL7,AQ7)))</f>
        <v/>
      </c>
      <c r="BG7">
        <f>IF(AD7="","",YEAR(AD7)+IF(MONTH(AD7)&gt;=5,1,0))</f>
        <v/>
      </c>
      <c r="BH7">
        <f>IF(AD7="","",IF(AND(MONTH(AD7)=8,DAY(AD7)&gt;=15),"Fall",IF(MONTH(AD7)&gt;8,"Fall",IF(MONTH(AD7)=5,"Summer",IF(MONTH(AD7)=1,"Spring","")))))</f>
        <v/>
      </c>
      <c r="BL7">
        <f>IFERROR(INDEX('_names_lookup'!$C:$C,MATCH(BK7,'_names_lookup'!$A:$A,0)),"")</f>
        <v/>
      </c>
      <c r="BM7">
        <f>IFERROR(INDEX('_names_lookup'!$B:$B,MATCH(BK7,'_names_lookup'!$A:$A,0)),"")</f>
        <v/>
      </c>
      <c r="BS7">
        <f>IFERROR(IF(BR7*AA7=0,"",BR7*AA7),"")</f>
        <v/>
      </c>
    </row>
    <row r="8">
      <c r="O8">
        <f>IFERROR(INDEX('_courses_lookup'!$C:$C,MATCH(K8&amp;L8,'_courses_lookup'!$E:$E,0)),"")</f>
        <v/>
      </c>
      <c r="P8">
        <f>IFERROR(INDEX('_courses_lookup'!$D:$D,MATCH(K8&amp;L8,'_courses_lookup'!$E:$E,0)),"")</f>
        <v/>
      </c>
      <c r="AG8">
        <f>IF(AND(AE8&lt;&gt;"",AF8&lt;&gt;""),ROUNDUP((AF8-AE8)/7,0),"")</f>
        <v/>
      </c>
      <c r="AI8">
        <f>IFERROR(IF(AG8*AH8=0,"",AG8*AH8),"")</f>
        <v/>
      </c>
      <c r="AL8">
        <f>IF(AND(AJ8&lt;&gt;"",AK8&lt;&gt;""),ROUNDUP((AK8-AJ8)/7,0),"")</f>
        <v/>
      </c>
      <c r="AN8">
        <f>IFERROR(IF(AL8*AM8=0,"",AL8*AM8),"")</f>
        <v/>
      </c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L8">
        <f>IFERROR(INDEX('_names_lookup'!$C:$C,MATCH(BK8,'_names_lookup'!$A:$A,0)),"")</f>
        <v/>
      </c>
      <c r="BM8">
        <f>IFERROR(INDEX('_names_lookup'!$B:$B,MATCH(BK8,'_names_lookup'!$A:$A,0)),"")</f>
        <v/>
      </c>
      <c r="BS8">
        <f>IFERROR(IF(BR8*AA8=0,"",BR8*AA8),"")</f>
        <v/>
      </c>
    </row>
    <row r="9">
      <c r="O9">
        <f>IFERROR(INDEX('_courses_lookup'!$C:$C,MATCH(K9&amp;L9,'_courses_lookup'!$E:$E,0)),"")</f>
        <v/>
      </c>
      <c r="P9">
        <f>IFERROR(INDEX('_courses_lookup'!$D:$D,MATCH(K9&amp;L9,'_courses_lookup'!$E:$E,0)),"")</f>
        <v/>
      </c>
      <c r="AG9">
        <f>IF(AND(AE9&lt;&gt;"",AF9&lt;&gt;""),ROUNDUP((AF9-AE9)/7,0),"")</f>
        <v/>
      </c>
      <c r="AI9">
        <f>IFERROR(IF(AG9*AH9=0,"",AG9*AH9),"")</f>
        <v/>
      </c>
      <c r="AL9">
        <f>IF(AND(AJ9&lt;&gt;"",AK9&lt;&gt;""),ROUNDUP((AK9-AJ9)/7,0),"")</f>
        <v/>
      </c>
      <c r="AN9">
        <f>IFERROR(IF(AL9*AM9=0,"",AL9*AM9),"")</f>
        <v/>
      </c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L9">
        <f>IFERROR(INDEX('_names_lookup'!$C:$C,MATCH(BK9,'_names_lookup'!$A:$A,0)),"")</f>
        <v/>
      </c>
      <c r="BM9">
        <f>IFERROR(INDEX('_names_lookup'!$B:$B,MATCH(BK9,'_names_lookup'!$A:$A,0)),"")</f>
        <v/>
      </c>
      <c r="BS9">
        <f>IFERROR(IF(BR9*AA9=0,"",BR9*AA9),"")</f>
        <v/>
      </c>
    </row>
    <row r="10">
      <c r="O10">
        <f>IFERROR(INDEX('_courses_lookup'!$C:$C,MATCH(K10&amp;L10,'_courses_lookup'!$E:$E,0)),"")</f>
        <v/>
      </c>
      <c r="P10">
        <f>IFERROR(INDEX('_courses_lookup'!$D:$D,MATCH(K10&amp;L10,'_courses_lookup'!$E:$E,0)),"")</f>
        <v/>
      </c>
      <c r="AG10">
        <f>IF(AND(AE10&lt;&gt;"",AF10&lt;&gt;""),ROUNDUP((AF10-AE10)/7,0),"")</f>
        <v/>
      </c>
      <c r="AI10">
        <f>IFERROR(IF(AG10*AH10=0,"",AG10*AH10),"")</f>
        <v/>
      </c>
      <c r="AL10">
        <f>IF(AND(AJ10&lt;&gt;"",AK10&lt;&gt;""),ROUNDUP((AK10-AJ10)/7,0),"")</f>
        <v/>
      </c>
      <c r="AN10">
        <f>IFERROR(IF(AL10*AM10=0,"",AL10*AM10),"")</f>
        <v/>
      </c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L10">
        <f>IFERROR(INDEX('_names_lookup'!$C:$C,MATCH(BK10,'_names_lookup'!$A:$A,0)),"")</f>
        <v/>
      </c>
      <c r="BM10">
        <f>IFERROR(INDEX('_names_lookup'!$B:$B,MATCH(BK10,'_names_lookup'!$A:$A,0)),"")</f>
        <v/>
      </c>
      <c r="BS10">
        <f>IFERROR(IF(BR10*AA10=0,"",BR10*AA10),"")</f>
        <v/>
      </c>
    </row>
    <row r="11">
      <c r="O11">
        <f>IFERROR(INDEX('_courses_lookup'!$C:$C,MATCH(K11&amp;L11,'_courses_lookup'!$E:$E,0)),"")</f>
        <v/>
      </c>
      <c r="P11">
        <f>IFERROR(INDEX('_courses_lookup'!$D:$D,MATCH(K11&amp;L11,'_courses_lookup'!$E:$E,0)),"")</f>
        <v/>
      </c>
      <c r="AG11">
        <f>IF(AND(AE11&lt;&gt;"",AF11&lt;&gt;""),ROUNDUP((AF11-AE11)/7,0),"")</f>
        <v/>
      </c>
      <c r="AI11">
        <f>IFERROR(IF(AG11*AH11=0,"",AG11*AH11),"")</f>
        <v/>
      </c>
      <c r="AL11">
        <f>IF(AND(AJ11&lt;&gt;"",AK11&lt;&gt;""),ROUNDUP((AK11-AJ11)/7,0),"")</f>
        <v/>
      </c>
      <c r="AN11">
        <f>IFERROR(IF(AL11*AM11=0,"",AL11*AM11),"")</f>
        <v/>
      </c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L11">
        <f>IFERROR(INDEX('_names_lookup'!$C:$C,MATCH(BK11,'_names_lookup'!$A:$A,0)),"")</f>
        <v/>
      </c>
      <c r="BM11">
        <f>IFERROR(INDEX('_names_lookup'!$B:$B,MATCH(BK11,'_names_lookup'!$A:$A,0)),"")</f>
        <v/>
      </c>
      <c r="BS11">
        <f>IFERROR(IF(BR11*AA11=0,"",BR11*AA11),"")</f>
        <v/>
      </c>
    </row>
    <row r="12">
      <c r="O12">
        <f>IFERROR(INDEX('_courses_lookup'!$C:$C,MATCH(K12&amp;L12,'_courses_lookup'!$E:$E,0)),"")</f>
        <v/>
      </c>
      <c r="P12">
        <f>IFERROR(INDEX('_courses_lookup'!$D:$D,MATCH(K12&amp;L12,'_courses_lookup'!$E:$E,0)),"")</f>
        <v/>
      </c>
      <c r="AG12">
        <f>IF(AND(AE12&lt;&gt;"",AF12&lt;&gt;""),ROUNDUP((AF12-AE12)/7,0),"")</f>
        <v/>
      </c>
      <c r="AI12">
        <f>IFERROR(IF(AG12*AH12=0,"",AG12*AH12),"")</f>
        <v/>
      </c>
      <c r="AL12">
        <f>IF(AND(AJ12&lt;&gt;"",AK12&lt;&gt;""),ROUNDUP((AK12-AJ12)/7,0),"")</f>
        <v/>
      </c>
      <c r="AN12">
        <f>IFERROR(IF(AL12*AM12=0,"",AL12*AM12),"")</f>
        <v/>
      </c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L12">
        <f>IFERROR(INDEX('_names_lookup'!$C:$C,MATCH(BK12,'_names_lookup'!$A:$A,0)),"")</f>
        <v/>
      </c>
      <c r="BM12">
        <f>IFERROR(INDEX('_names_lookup'!$B:$B,MATCH(BK12,'_names_lookup'!$A:$A,0)),"")</f>
        <v/>
      </c>
      <c r="BS12">
        <f>IFERROR(IF(BR12*AA12=0,"",BR12*AA12),"")</f>
        <v/>
      </c>
    </row>
    <row r="13">
      <c r="O13">
        <f>IFERROR(INDEX('_courses_lookup'!$C:$C,MATCH(K13&amp;L13,'_courses_lookup'!$E:$E,0)),"")</f>
        <v/>
      </c>
      <c r="P13">
        <f>IFERROR(INDEX('_courses_lookup'!$D:$D,MATCH(K13&amp;L13,'_courses_lookup'!$E:$E,0)),"")</f>
        <v/>
      </c>
      <c r="AG13">
        <f>IF(AND(AE13&lt;&gt;"",AF13&lt;&gt;""),ROUNDUP((AF13-AE13)/7,0),"")</f>
        <v/>
      </c>
      <c r="AI13">
        <f>IFERROR(IF(AG13*AH13=0,"",AG13*AH13),"")</f>
        <v/>
      </c>
      <c r="AL13">
        <f>IF(AND(AJ13&lt;&gt;"",AK13&lt;&gt;""),ROUNDUP((AK13-AJ13)/7,0),"")</f>
        <v/>
      </c>
      <c r="AN13">
        <f>IFERROR(IF(AL13*AM13=0,"",AL13*AM13),"")</f>
        <v/>
      </c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L13">
        <f>IFERROR(INDEX('_names_lookup'!$C:$C,MATCH(BK13,'_names_lookup'!$A:$A,0)),"")</f>
        <v/>
      </c>
      <c r="BM13">
        <f>IFERROR(INDEX('_names_lookup'!$B:$B,MATCH(BK13,'_names_lookup'!$A:$A,0)),"")</f>
        <v/>
      </c>
      <c r="BS13">
        <f>IFERROR(IF(BR13*AA13=0,"",BR13*AA13),"")</f>
        <v/>
      </c>
    </row>
    <row r="14">
      <c r="O14">
        <f>IFERROR(INDEX('_courses_lookup'!$C:$C,MATCH(K14&amp;L14,'_courses_lookup'!$E:$E,0)),"")</f>
        <v/>
      </c>
      <c r="P14">
        <f>IFERROR(INDEX('_courses_lookup'!$D:$D,MATCH(K14&amp;L14,'_courses_lookup'!$E:$E,0)),"")</f>
        <v/>
      </c>
      <c r="AG14">
        <f>IF(AND(AE14&lt;&gt;"",AF14&lt;&gt;""),ROUNDUP((AF14-AE14)/7,0),"")</f>
        <v/>
      </c>
      <c r="AI14">
        <f>IFERROR(IF(AG14*AH14=0,"",AG14*AH14),"")</f>
        <v/>
      </c>
      <c r="AL14">
        <f>IF(AND(AJ14&lt;&gt;"",AK14&lt;&gt;""),ROUNDUP((AK14-AJ14)/7,0),"")</f>
        <v/>
      </c>
      <c r="AN14">
        <f>IFERROR(IF(AL14*AM14=0,"",AL14*AM14),"")</f>
        <v/>
      </c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L14">
        <f>IFERROR(INDEX('_names_lookup'!$C:$C,MATCH(BK14,'_names_lookup'!$A:$A,0)),"")</f>
        <v/>
      </c>
      <c r="BM14">
        <f>IFERROR(INDEX('_names_lookup'!$B:$B,MATCH(BK14,'_names_lookup'!$A:$A,0)),"")</f>
        <v/>
      </c>
      <c r="BS14">
        <f>IFERROR(IF(BR14*AA14=0,"",BR14*AA14),"")</f>
        <v/>
      </c>
    </row>
    <row r="15">
      <c r="O15">
        <f>IFERROR(INDEX('_courses_lookup'!$C:$C,MATCH(K15&amp;L15,'_courses_lookup'!$E:$E,0)),"")</f>
        <v/>
      </c>
      <c r="P15">
        <f>IFERROR(INDEX('_courses_lookup'!$D:$D,MATCH(K15&amp;L15,'_courses_lookup'!$E:$E,0)),"")</f>
        <v/>
      </c>
      <c r="AG15">
        <f>IF(AND(AE15&lt;&gt;"",AF15&lt;&gt;""),ROUNDUP((AF15-AE15)/7,0),"")</f>
        <v/>
      </c>
      <c r="AI15">
        <f>IFERROR(IF(AG15*AH15=0,"",AG15*AH15),"")</f>
        <v/>
      </c>
      <c r="AL15">
        <f>IF(AND(AJ15&lt;&gt;"",AK15&lt;&gt;""),ROUNDUP((AK15-AJ15)/7,0),"")</f>
        <v/>
      </c>
      <c r="AN15">
        <f>IFERROR(IF(AL15*AM15=0,"",AL15*AM15),"")</f>
        <v/>
      </c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L15">
        <f>IFERROR(INDEX('_names_lookup'!$C:$C,MATCH(BK15,'_names_lookup'!$A:$A,0)),"")</f>
        <v/>
      </c>
      <c r="BM15">
        <f>IFERROR(INDEX('_names_lookup'!$B:$B,MATCH(BK15,'_names_lookup'!$A:$A,0)),"")</f>
        <v/>
      </c>
      <c r="BS15">
        <f>IFERROR(IF(BR15*AA15=0,"",BR15*AA15),"")</f>
        <v/>
      </c>
    </row>
    <row r="16">
      <c r="O16">
        <f>IFERROR(INDEX('_courses_lookup'!$C:$C,MATCH(K16&amp;L16,'_courses_lookup'!$E:$E,0)),"")</f>
        <v/>
      </c>
      <c r="P16">
        <f>IFERROR(INDEX('_courses_lookup'!$D:$D,MATCH(K16&amp;L16,'_courses_lookup'!$E:$E,0)),"")</f>
        <v/>
      </c>
      <c r="AG16">
        <f>IF(AND(AE16&lt;&gt;"",AF16&lt;&gt;""),ROUNDUP((AF16-AE16)/7,0),"")</f>
        <v/>
      </c>
      <c r="AI16">
        <f>IFERROR(IF(AG16*AH16=0,"",AG16*AH16),"")</f>
        <v/>
      </c>
      <c r="AL16">
        <f>IF(AND(AJ16&lt;&gt;"",AK16&lt;&gt;""),ROUNDUP((AK16-AJ16)/7,0),"")</f>
        <v/>
      </c>
      <c r="AN16">
        <f>IFERROR(IF(AL16*AM16=0,"",AL16*AM16),"")</f>
        <v/>
      </c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L16">
        <f>IFERROR(INDEX('_names_lookup'!$C:$C,MATCH(BK16,'_names_lookup'!$A:$A,0)),"")</f>
        <v/>
      </c>
      <c r="BM16">
        <f>IFERROR(INDEX('_names_lookup'!$B:$B,MATCH(BK16,'_names_lookup'!$A:$A,0)),"")</f>
        <v/>
      </c>
      <c r="BS16">
        <f>IFERROR(IF(BR16*AA16=0,"",BR16*AA16),"")</f>
        <v/>
      </c>
    </row>
    <row r="17">
      <c r="O17">
        <f>IFERROR(INDEX('_courses_lookup'!$C:$C,MATCH(K17&amp;L17,'_courses_lookup'!$E:$E,0)),"")</f>
        <v/>
      </c>
      <c r="P17">
        <f>IFERROR(INDEX('_courses_lookup'!$D:$D,MATCH(K17&amp;L17,'_courses_lookup'!$E:$E,0)),"")</f>
        <v/>
      </c>
      <c r="AG17">
        <f>IF(AND(AE17&lt;&gt;"",AF17&lt;&gt;""),ROUNDUP((AF17-AE17)/7,0),"")</f>
        <v/>
      </c>
      <c r="AI17">
        <f>IFERROR(IF(AG17*AH17=0,"",AG17*AH17),"")</f>
        <v/>
      </c>
      <c r="AL17">
        <f>IF(AND(AJ17&lt;&gt;"",AK17&lt;&gt;""),ROUNDUP((AK17-AJ17)/7,0),"")</f>
        <v/>
      </c>
      <c r="AN17">
        <f>IFERROR(IF(AL17*AM17=0,"",AL17*AM17),"")</f>
        <v/>
      </c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L17">
        <f>IFERROR(INDEX('_names_lookup'!$C:$C,MATCH(BK17,'_names_lookup'!$A:$A,0)),"")</f>
        <v/>
      </c>
      <c r="BM17">
        <f>IFERROR(INDEX('_names_lookup'!$B:$B,MATCH(BK17,'_names_lookup'!$A:$A,0)),"")</f>
        <v/>
      </c>
      <c r="BS17">
        <f>IFERROR(IF(BR17*AA17=0,"",BR17*AA17),"")</f>
        <v/>
      </c>
    </row>
    <row r="18">
      <c r="O18">
        <f>IFERROR(INDEX('_courses_lookup'!$C:$C,MATCH(K18&amp;L18,'_courses_lookup'!$E:$E,0)),"")</f>
        <v/>
      </c>
      <c r="P18">
        <f>IFERROR(INDEX('_courses_lookup'!$D:$D,MATCH(K18&amp;L18,'_courses_lookup'!$E:$E,0)),"")</f>
        <v/>
      </c>
      <c r="AG18">
        <f>IF(AND(AE18&lt;&gt;"",AF18&lt;&gt;""),ROUNDUP((AF18-AE18)/7,0),"")</f>
        <v/>
      </c>
      <c r="AI18">
        <f>IFERROR(IF(AG18*AH18=0,"",AG18*AH18),"")</f>
        <v/>
      </c>
      <c r="AL18">
        <f>IF(AND(AJ18&lt;&gt;"",AK18&lt;&gt;""),ROUNDUP((AK18-AJ18)/7,0),"")</f>
        <v/>
      </c>
      <c r="AN18">
        <f>IFERROR(IF(AL18*AM18=0,"",AL18*AM18),"")</f>
        <v/>
      </c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L18">
        <f>IFERROR(INDEX('_names_lookup'!$C:$C,MATCH(BK18,'_names_lookup'!$A:$A,0)),"")</f>
        <v/>
      </c>
      <c r="BM18">
        <f>IFERROR(INDEX('_names_lookup'!$B:$B,MATCH(BK18,'_names_lookup'!$A:$A,0)),"")</f>
        <v/>
      </c>
      <c r="BS18">
        <f>IFERROR(IF(BR18*AA18=0,"",BR18*AA18),"")</f>
        <v/>
      </c>
    </row>
    <row r="19">
      <c r="O19">
        <f>IFERROR(INDEX('_courses_lookup'!$C:$C,MATCH(K19&amp;L19,'_courses_lookup'!$E:$E,0)),"")</f>
        <v/>
      </c>
      <c r="P19">
        <f>IFERROR(INDEX('_courses_lookup'!$D:$D,MATCH(K19&amp;L19,'_courses_lookup'!$E:$E,0)),"")</f>
        <v/>
      </c>
      <c r="AG19">
        <f>IF(AND(AE19&lt;&gt;"",AF19&lt;&gt;""),ROUNDUP((AF19-AE19)/7,0),"")</f>
        <v/>
      </c>
      <c r="AI19">
        <f>IFERROR(IF(AG19*AH19=0,"",AG19*AH19),"")</f>
        <v/>
      </c>
      <c r="AL19">
        <f>IF(AND(AJ19&lt;&gt;"",AK19&lt;&gt;""),ROUNDUP((AK19-AJ19)/7,0),"")</f>
        <v/>
      </c>
      <c r="AN19">
        <f>IFERROR(IF(AL19*AM19=0,"",AL19*AM19),"")</f>
        <v/>
      </c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L19">
        <f>IFERROR(INDEX('_names_lookup'!$C:$C,MATCH(BK19,'_names_lookup'!$A:$A,0)),"")</f>
        <v/>
      </c>
      <c r="BM19">
        <f>IFERROR(INDEX('_names_lookup'!$B:$B,MATCH(BK19,'_names_lookup'!$A:$A,0)),"")</f>
        <v/>
      </c>
      <c r="BS19">
        <f>IFERROR(IF(BR19*AA19=0,"",BR19*AA19),"")</f>
        <v/>
      </c>
    </row>
    <row r="20">
      <c r="O20">
        <f>IFERROR(INDEX('_courses_lookup'!$C:$C,MATCH(K20&amp;L20,'_courses_lookup'!$E:$E,0)),"")</f>
        <v/>
      </c>
      <c r="P20">
        <f>IFERROR(INDEX('_courses_lookup'!$D:$D,MATCH(K20&amp;L20,'_courses_lookup'!$E:$E,0)),"")</f>
        <v/>
      </c>
      <c r="AG20">
        <f>IF(AND(AE20&lt;&gt;"",AF20&lt;&gt;""),ROUNDUP((AF20-AE20)/7,0),"")</f>
        <v/>
      </c>
      <c r="AI20">
        <f>IFERROR(IF(AG20*AH20=0,"",AG20*AH20),"")</f>
        <v/>
      </c>
      <c r="AL20">
        <f>IF(AND(AJ20&lt;&gt;"",AK20&lt;&gt;""),ROUNDUP((AK20-AJ20)/7,0),"")</f>
        <v/>
      </c>
      <c r="AN20">
        <f>IFERROR(IF(AL20*AM20=0,"",AL20*AM20),"")</f>
        <v/>
      </c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L20">
        <f>IFERROR(INDEX('_names_lookup'!$C:$C,MATCH(BK20,'_names_lookup'!$A:$A,0)),"")</f>
        <v/>
      </c>
      <c r="BM20">
        <f>IFERROR(INDEX('_names_lookup'!$B:$B,MATCH(BK20,'_names_lookup'!$A:$A,0)),"")</f>
        <v/>
      </c>
      <c r="BS20">
        <f>IFERROR(IF(BR20*AA20=0,"",BR20*AA20),"")</f>
        <v/>
      </c>
    </row>
    <row r="21">
      <c r="O21">
        <f>IFERROR(INDEX('_courses_lookup'!$C:$C,MATCH(K21&amp;L21,'_courses_lookup'!$E:$E,0)),"")</f>
        <v/>
      </c>
      <c r="P21">
        <f>IFERROR(INDEX('_courses_lookup'!$D:$D,MATCH(K21&amp;L21,'_courses_lookup'!$E:$E,0)),"")</f>
        <v/>
      </c>
      <c r="AG21">
        <f>IF(AND(AE21&lt;&gt;"",AF21&lt;&gt;""),ROUNDUP((AF21-AE21)/7,0),"")</f>
        <v/>
      </c>
      <c r="AI21">
        <f>IFERROR(IF(AG21*AH21=0,"",AG21*AH21),"")</f>
        <v/>
      </c>
      <c r="AL21">
        <f>IF(AND(AJ21&lt;&gt;"",AK21&lt;&gt;""),ROUNDUP((AK21-AJ21)/7,0),"")</f>
        <v/>
      </c>
      <c r="AN21">
        <f>IFERROR(IF(AL21*AM21=0,"",AL21*AM21),"")</f>
        <v/>
      </c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L21">
        <f>IFERROR(INDEX('_names_lookup'!$C:$C,MATCH(BK21,'_names_lookup'!$A:$A,0)),"")</f>
        <v/>
      </c>
      <c r="BM21">
        <f>IFERROR(INDEX('_names_lookup'!$B:$B,MATCH(BK21,'_names_lookup'!$A:$A,0)),"")</f>
        <v/>
      </c>
      <c r="BS21">
        <f>IFERROR(IF(BR21*AA21=0,"",BR21*AA21),"")</f>
        <v/>
      </c>
    </row>
    <row r="22">
      <c r="O22">
        <f>IFERROR(INDEX('_courses_lookup'!$C:$C,MATCH(K22&amp;L22,'_courses_lookup'!$E:$E,0)),"")</f>
        <v/>
      </c>
      <c r="P22">
        <f>IFERROR(INDEX('_courses_lookup'!$D:$D,MATCH(K22&amp;L22,'_courses_lookup'!$E:$E,0)),"")</f>
        <v/>
      </c>
      <c r="AG22">
        <f>IF(AND(AE22&lt;&gt;"",AF22&lt;&gt;""),ROUNDUP((AF22-AE22)/7,0),"")</f>
        <v/>
      </c>
      <c r="AI22">
        <f>IFERROR(IF(AG22*AH22=0,"",AG22*AH22),"")</f>
        <v/>
      </c>
      <c r="AL22">
        <f>IF(AND(AJ22&lt;&gt;"",AK22&lt;&gt;""),ROUNDUP((AK22-AJ22)/7,0),"")</f>
        <v/>
      </c>
      <c r="AN22">
        <f>IFERROR(IF(AL22*AM22=0,"",AL22*AM22),"")</f>
        <v/>
      </c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L22">
        <f>IFERROR(INDEX('_names_lookup'!$C:$C,MATCH(BK22,'_names_lookup'!$A:$A,0)),"")</f>
        <v/>
      </c>
      <c r="BM22">
        <f>IFERROR(INDEX('_names_lookup'!$B:$B,MATCH(BK22,'_names_lookup'!$A:$A,0)),"")</f>
        <v/>
      </c>
      <c r="BS22">
        <f>IFERROR(IF(BR22*AA22=0,"",BR22*AA22),"")</f>
        <v/>
      </c>
    </row>
    <row r="23">
      <c r="O23">
        <f>IFERROR(INDEX('_courses_lookup'!$C:$C,MATCH(K23&amp;L23,'_courses_lookup'!$E:$E,0)),"")</f>
        <v/>
      </c>
      <c r="P23">
        <f>IFERROR(INDEX('_courses_lookup'!$D:$D,MATCH(K23&amp;L23,'_courses_lookup'!$E:$E,0)),"")</f>
        <v/>
      </c>
      <c r="AG23">
        <f>IF(AND(AE23&lt;&gt;"",AF23&lt;&gt;""),ROUNDUP((AF23-AE23)/7,0),"")</f>
        <v/>
      </c>
      <c r="AI23">
        <f>IFERROR(IF(AG23*AH23=0,"",AG23*AH23),"")</f>
        <v/>
      </c>
      <c r="AL23">
        <f>IF(AND(AJ23&lt;&gt;"",AK23&lt;&gt;""),ROUNDUP((AK23-AJ23)/7,0),"")</f>
        <v/>
      </c>
      <c r="AN23">
        <f>IFERROR(IF(AL23*AM23=0,"",AL23*AM23),"")</f>
        <v/>
      </c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L23">
        <f>IFERROR(INDEX('_names_lookup'!$C:$C,MATCH(BK23,'_names_lookup'!$A:$A,0)),"")</f>
        <v/>
      </c>
      <c r="BM23">
        <f>IFERROR(INDEX('_names_lookup'!$B:$B,MATCH(BK23,'_names_lookup'!$A:$A,0)),"")</f>
        <v/>
      </c>
      <c r="BS23">
        <f>IFERROR(IF(BR23*AA23=0,"",BR23*AA23),"")</f>
        <v/>
      </c>
    </row>
    <row r="24">
      <c r="O24">
        <f>IFERROR(INDEX('_courses_lookup'!$C:$C,MATCH(K24&amp;L24,'_courses_lookup'!$E:$E,0)),"")</f>
        <v/>
      </c>
      <c r="P24">
        <f>IFERROR(INDEX('_courses_lookup'!$D:$D,MATCH(K24&amp;L24,'_courses_lookup'!$E:$E,0)),"")</f>
        <v/>
      </c>
      <c r="AG24">
        <f>IF(AND(AE24&lt;&gt;"",AF24&lt;&gt;""),ROUNDUP((AF24-AE24)/7,0),"")</f>
        <v/>
      </c>
      <c r="AI24">
        <f>IFERROR(IF(AG24*AH24=0,"",AG24*AH24),"")</f>
        <v/>
      </c>
      <c r="AL24">
        <f>IF(AND(AJ24&lt;&gt;"",AK24&lt;&gt;""),ROUNDUP((AK24-AJ24)/7,0),"")</f>
        <v/>
      </c>
      <c r="AN24">
        <f>IFERROR(IF(AL24*AM24=0,"",AL24*AM24),"")</f>
        <v/>
      </c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L24">
        <f>IFERROR(INDEX('_names_lookup'!$C:$C,MATCH(BK24,'_names_lookup'!$A:$A,0)),"")</f>
        <v/>
      </c>
      <c r="BM24">
        <f>IFERROR(INDEX('_names_lookup'!$B:$B,MATCH(BK24,'_names_lookup'!$A:$A,0)),"")</f>
        <v/>
      </c>
      <c r="BS24">
        <f>IFERROR(IF(BR24*AA24=0,"",BR24*AA24),"")</f>
        <v/>
      </c>
    </row>
    <row r="25">
      <c r="O25">
        <f>IFERROR(INDEX('_courses_lookup'!$C:$C,MATCH(K25&amp;L25,'_courses_lookup'!$E:$E,0)),"")</f>
        <v/>
      </c>
      <c r="P25">
        <f>IFERROR(INDEX('_courses_lookup'!$D:$D,MATCH(K25&amp;L25,'_courses_lookup'!$E:$E,0)),"")</f>
        <v/>
      </c>
      <c r="AG25">
        <f>IF(AND(AE25&lt;&gt;"",AF25&lt;&gt;""),ROUNDUP((AF25-AE25)/7,0),"")</f>
        <v/>
      </c>
      <c r="AI25">
        <f>IFERROR(IF(AG25*AH25=0,"",AG25*AH25),"")</f>
        <v/>
      </c>
      <c r="AL25">
        <f>IF(AND(AJ25&lt;&gt;"",AK25&lt;&gt;""),ROUNDUP((AK25-AJ25)/7,0),"")</f>
        <v/>
      </c>
      <c r="AN25">
        <f>IFERROR(IF(AL25*AM25=0,"",AL25*AM25),"")</f>
        <v/>
      </c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L25">
        <f>IFERROR(INDEX('_names_lookup'!$C:$C,MATCH(BK25,'_names_lookup'!$A:$A,0)),"")</f>
        <v/>
      </c>
      <c r="BM25">
        <f>IFERROR(INDEX('_names_lookup'!$B:$B,MATCH(BK25,'_names_lookup'!$A:$A,0)),"")</f>
        <v/>
      </c>
      <c r="BS25">
        <f>IFERROR(IF(BR25*AA25=0,"",BR25*AA25),"")</f>
        <v/>
      </c>
    </row>
    <row r="26">
      <c r="O26">
        <f>IFERROR(INDEX('_courses_lookup'!$C:$C,MATCH(K26&amp;L26,'_courses_lookup'!$E:$E,0)),"")</f>
        <v/>
      </c>
      <c r="P26">
        <f>IFERROR(INDEX('_courses_lookup'!$D:$D,MATCH(K26&amp;L26,'_courses_lookup'!$E:$E,0)),"")</f>
        <v/>
      </c>
      <c r="AG26">
        <f>IF(AND(AE26&lt;&gt;"",AF26&lt;&gt;""),ROUNDUP((AF26-AE26)/7,0),"")</f>
        <v/>
      </c>
      <c r="AI26">
        <f>IFERROR(IF(AG26*AH26=0,"",AG26*AH26),"")</f>
        <v/>
      </c>
      <c r="AL26">
        <f>IF(AND(AJ26&lt;&gt;"",AK26&lt;&gt;""),ROUNDUP((AK26-AJ26)/7,0),"")</f>
        <v/>
      </c>
      <c r="AN26">
        <f>IFERROR(IF(AL26*AM26=0,"",AL26*AM26),"")</f>
        <v/>
      </c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L26">
        <f>IFERROR(INDEX('_names_lookup'!$C:$C,MATCH(BK26,'_names_lookup'!$A:$A,0)),"")</f>
        <v/>
      </c>
      <c r="BM26">
        <f>IFERROR(INDEX('_names_lookup'!$B:$B,MATCH(BK26,'_names_lookup'!$A:$A,0)),"")</f>
        <v/>
      </c>
      <c r="BS26">
        <f>IFERROR(IF(BR26*AA26=0,"",BR26*AA26),"")</f>
        <v/>
      </c>
    </row>
    <row r="27">
      <c r="O27">
        <f>IFERROR(INDEX('_courses_lookup'!$C:$C,MATCH(K27&amp;L27,'_courses_lookup'!$E:$E,0)),"")</f>
        <v/>
      </c>
      <c r="P27">
        <f>IFERROR(INDEX('_courses_lookup'!$D:$D,MATCH(K27&amp;L27,'_courses_lookup'!$E:$E,0)),"")</f>
        <v/>
      </c>
      <c r="AG27">
        <f>IF(AND(AE27&lt;&gt;"",AF27&lt;&gt;""),ROUNDUP((AF27-AE27)/7,0),"")</f>
        <v/>
      </c>
      <c r="AI27">
        <f>IFERROR(IF(AG27*AH27=0,"",AG27*AH27),"")</f>
        <v/>
      </c>
      <c r="AL27">
        <f>IF(AND(AJ27&lt;&gt;"",AK27&lt;&gt;""),ROUNDUP((AK27-AJ27)/7,0),"")</f>
        <v/>
      </c>
      <c r="AN27">
        <f>IFERROR(IF(AL27*AM27=0,"",AL27*AM27),"")</f>
        <v/>
      </c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L27">
        <f>IFERROR(INDEX('_names_lookup'!$C:$C,MATCH(BK27,'_names_lookup'!$A:$A,0)),"")</f>
        <v/>
      </c>
      <c r="BM27">
        <f>IFERROR(INDEX('_names_lookup'!$B:$B,MATCH(BK27,'_names_lookup'!$A:$A,0)),"")</f>
        <v/>
      </c>
      <c r="BS27">
        <f>IFERROR(IF(BR27*AA27=0,"",BR27*AA27),"")</f>
        <v/>
      </c>
    </row>
    <row r="28">
      <c r="O28">
        <f>IFERROR(INDEX('_courses_lookup'!$C:$C,MATCH(K28&amp;L28,'_courses_lookup'!$E:$E,0)),"")</f>
        <v/>
      </c>
      <c r="P28">
        <f>IFERROR(INDEX('_courses_lookup'!$D:$D,MATCH(K28&amp;L28,'_courses_lookup'!$E:$E,0)),"")</f>
        <v/>
      </c>
      <c r="AG28">
        <f>IF(AND(AE28&lt;&gt;"",AF28&lt;&gt;""),ROUNDUP((AF28-AE28)/7,0),"")</f>
        <v/>
      </c>
      <c r="AI28">
        <f>IFERROR(IF(AG28*AH28=0,"",AG28*AH28),"")</f>
        <v/>
      </c>
      <c r="AL28">
        <f>IF(AND(AJ28&lt;&gt;"",AK28&lt;&gt;""),ROUNDUP((AK28-AJ28)/7,0),"")</f>
        <v/>
      </c>
      <c r="AN28">
        <f>IFERROR(IF(AL28*AM28=0,"",AL28*AM28),"")</f>
        <v/>
      </c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L28">
        <f>IFERROR(INDEX('_names_lookup'!$C:$C,MATCH(BK28,'_names_lookup'!$A:$A,0)),"")</f>
        <v/>
      </c>
      <c r="BM28">
        <f>IFERROR(INDEX('_names_lookup'!$B:$B,MATCH(BK28,'_names_lookup'!$A:$A,0)),"")</f>
        <v/>
      </c>
      <c r="BS28">
        <f>IFERROR(IF(BR28*AA28=0,"",BR28*AA28),"")</f>
        <v/>
      </c>
    </row>
    <row r="29">
      <c r="O29">
        <f>IFERROR(INDEX('_courses_lookup'!$C:$C,MATCH(K29&amp;L29,'_courses_lookup'!$E:$E,0)),"")</f>
        <v/>
      </c>
      <c r="P29">
        <f>IFERROR(INDEX('_courses_lookup'!$D:$D,MATCH(K29&amp;L29,'_courses_lookup'!$E:$E,0)),"")</f>
        <v/>
      </c>
      <c r="AG29">
        <f>IF(AND(AE29&lt;&gt;"",AF29&lt;&gt;""),ROUNDUP((AF29-AE29)/7,0),"")</f>
        <v/>
      </c>
      <c r="AI29">
        <f>IFERROR(IF(AG29*AH29=0,"",AG29*AH29),"")</f>
        <v/>
      </c>
      <c r="AL29">
        <f>IF(AND(AJ29&lt;&gt;"",AK29&lt;&gt;""),ROUNDUP((AK29-AJ29)/7,0),"")</f>
        <v/>
      </c>
      <c r="AN29">
        <f>IFERROR(IF(AL29*AM29=0,"",AL29*AM29),"")</f>
        <v/>
      </c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L29">
        <f>IFERROR(INDEX('_names_lookup'!$C:$C,MATCH(BK29,'_names_lookup'!$A:$A,0)),"")</f>
        <v/>
      </c>
      <c r="BM29">
        <f>IFERROR(INDEX('_names_lookup'!$B:$B,MATCH(BK29,'_names_lookup'!$A:$A,0)),"")</f>
        <v/>
      </c>
      <c r="BS29">
        <f>IFERROR(IF(BR29*AA29=0,"",BR29*AA29),"")</f>
        <v/>
      </c>
    </row>
    <row r="30">
      <c r="O30">
        <f>IFERROR(INDEX('_courses_lookup'!$C:$C,MATCH(K30&amp;L30,'_courses_lookup'!$E:$E,0)),"")</f>
        <v/>
      </c>
      <c r="P30">
        <f>IFERROR(INDEX('_courses_lookup'!$D:$D,MATCH(K30&amp;L30,'_courses_lookup'!$E:$E,0)),"")</f>
        <v/>
      </c>
      <c r="AG30">
        <f>IF(AND(AE30&lt;&gt;"",AF30&lt;&gt;""),ROUNDUP((AF30-AE30)/7,0),"")</f>
        <v/>
      </c>
      <c r="AI30">
        <f>IFERROR(IF(AG30*AH30=0,"",AG30*AH30),"")</f>
        <v/>
      </c>
      <c r="AL30">
        <f>IF(AND(AJ30&lt;&gt;"",AK30&lt;&gt;""),ROUNDUP((AK30-AJ30)/7,0),"")</f>
        <v/>
      </c>
      <c r="AN30">
        <f>IFERROR(IF(AL30*AM30=0,"",AL30*AM30),"")</f>
        <v/>
      </c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L30">
        <f>IFERROR(INDEX('_names_lookup'!$C:$C,MATCH(BK30,'_names_lookup'!$A:$A,0)),"")</f>
        <v/>
      </c>
      <c r="BM30">
        <f>IFERROR(INDEX('_names_lookup'!$B:$B,MATCH(BK30,'_names_lookup'!$A:$A,0)),"")</f>
        <v/>
      </c>
      <c r="BS30">
        <f>IFERROR(IF(BR30*AA30=0,"",BR30*AA30),"")</f>
        <v/>
      </c>
    </row>
    <row r="31">
      <c r="O31">
        <f>IFERROR(INDEX('_courses_lookup'!$C:$C,MATCH(K31&amp;L31,'_courses_lookup'!$E:$E,0)),"")</f>
        <v/>
      </c>
      <c r="P31">
        <f>IFERROR(INDEX('_courses_lookup'!$D:$D,MATCH(K31&amp;L31,'_courses_lookup'!$E:$E,0)),"")</f>
        <v/>
      </c>
      <c r="AG31">
        <f>IF(AND(AE31&lt;&gt;"",AF31&lt;&gt;""),ROUNDUP((AF31-AE31)/7,0),"")</f>
        <v/>
      </c>
      <c r="AI31">
        <f>IFERROR(IF(AG31*AH31=0,"",AG31*AH31),"")</f>
        <v/>
      </c>
      <c r="AL31">
        <f>IF(AND(AJ31&lt;&gt;"",AK31&lt;&gt;""),ROUNDUP((AK31-AJ31)/7,0),"")</f>
        <v/>
      </c>
      <c r="AN31">
        <f>IFERROR(IF(AL31*AM31=0,"",AL31*AM31),"")</f>
        <v/>
      </c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L31">
        <f>IFERROR(INDEX('_names_lookup'!$C:$C,MATCH(BK31,'_names_lookup'!$A:$A,0)),"")</f>
        <v/>
      </c>
      <c r="BM31">
        <f>IFERROR(INDEX('_names_lookup'!$B:$B,MATCH(BK31,'_names_lookup'!$A:$A,0)),"")</f>
        <v/>
      </c>
      <c r="BS31">
        <f>IFERROR(IF(BR31*AA31=0,"",BR31*AA31),"")</f>
        <v/>
      </c>
    </row>
    <row r="32">
      <c r="O32">
        <f>IFERROR(INDEX('_courses_lookup'!$C:$C,MATCH(K32&amp;L32,'_courses_lookup'!$E:$E,0)),"")</f>
        <v/>
      </c>
      <c r="P32">
        <f>IFERROR(INDEX('_courses_lookup'!$D:$D,MATCH(K32&amp;L32,'_courses_lookup'!$E:$E,0)),"")</f>
        <v/>
      </c>
      <c r="AG32">
        <f>IF(AND(AE32&lt;&gt;"",AF32&lt;&gt;""),ROUNDUP((AF32-AE32)/7,0),"")</f>
        <v/>
      </c>
      <c r="AI32">
        <f>IFERROR(IF(AG32*AH32=0,"",AG32*AH32),"")</f>
        <v/>
      </c>
      <c r="AL32">
        <f>IF(AND(AJ32&lt;&gt;"",AK32&lt;&gt;""),ROUNDUP((AK32-AJ32)/7,0),"")</f>
        <v/>
      </c>
      <c r="AN32">
        <f>IFERROR(IF(AL32*AM32=0,"",AL32*AM32),"")</f>
        <v/>
      </c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L32">
        <f>IFERROR(INDEX('_names_lookup'!$C:$C,MATCH(BK32,'_names_lookup'!$A:$A,0)),"")</f>
        <v/>
      </c>
      <c r="BM32">
        <f>IFERROR(INDEX('_names_lookup'!$B:$B,MATCH(BK32,'_names_lookup'!$A:$A,0)),"")</f>
        <v/>
      </c>
      <c r="BS32">
        <f>IFERROR(IF(BR32*AA32=0,"",BR32*AA32),"")</f>
        <v/>
      </c>
    </row>
    <row r="33">
      <c r="O33">
        <f>IFERROR(INDEX('_courses_lookup'!$C:$C,MATCH(K33&amp;L33,'_courses_lookup'!$E:$E,0)),"")</f>
        <v/>
      </c>
      <c r="P33">
        <f>IFERROR(INDEX('_courses_lookup'!$D:$D,MATCH(K33&amp;L33,'_courses_lookup'!$E:$E,0)),"")</f>
        <v/>
      </c>
      <c r="AG33">
        <f>IF(AND(AE33&lt;&gt;"",AF33&lt;&gt;""),ROUNDUP((AF33-AE33)/7,0),"")</f>
        <v/>
      </c>
      <c r="AI33">
        <f>IFERROR(IF(AG33*AH33=0,"",AG33*AH33),"")</f>
        <v/>
      </c>
      <c r="AL33">
        <f>IF(AND(AJ33&lt;&gt;"",AK33&lt;&gt;""),ROUNDUP((AK33-AJ33)/7,0),"")</f>
        <v/>
      </c>
      <c r="AN33">
        <f>IFERROR(IF(AL33*AM33=0,"",AL33*AM33),"")</f>
        <v/>
      </c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L33">
        <f>IFERROR(INDEX('_names_lookup'!$C:$C,MATCH(BK33,'_names_lookup'!$A:$A,0)),"")</f>
        <v/>
      </c>
      <c r="BM33">
        <f>IFERROR(INDEX('_names_lookup'!$B:$B,MATCH(BK33,'_names_lookup'!$A:$A,0)),"")</f>
        <v/>
      </c>
      <c r="BS33">
        <f>IFERROR(IF(BR33*AA33=0,"",BR33*AA33),"")</f>
        <v/>
      </c>
    </row>
    <row r="34">
      <c r="O34">
        <f>IFERROR(INDEX('_courses_lookup'!$C:$C,MATCH(K34&amp;L34,'_courses_lookup'!$E:$E,0)),"")</f>
        <v/>
      </c>
      <c r="P34">
        <f>IFERROR(INDEX('_courses_lookup'!$D:$D,MATCH(K34&amp;L34,'_courses_lookup'!$E:$E,0)),"")</f>
        <v/>
      </c>
      <c r="AG34">
        <f>IF(AND(AE34&lt;&gt;"",AF34&lt;&gt;""),ROUNDUP((AF34-AE34)/7,0),"")</f>
        <v/>
      </c>
      <c r="AI34">
        <f>IFERROR(IF(AG34*AH34=0,"",AG34*AH34),"")</f>
        <v/>
      </c>
      <c r="AL34">
        <f>IF(AND(AJ34&lt;&gt;"",AK34&lt;&gt;""),ROUNDUP((AK34-AJ34)/7,0),"")</f>
        <v/>
      </c>
      <c r="AN34">
        <f>IFERROR(IF(AL34*AM34=0,"",AL34*AM34),"")</f>
        <v/>
      </c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L34">
        <f>IFERROR(INDEX('_names_lookup'!$C:$C,MATCH(BK34,'_names_lookup'!$A:$A,0)),"")</f>
        <v/>
      </c>
      <c r="BM34">
        <f>IFERROR(INDEX('_names_lookup'!$B:$B,MATCH(BK34,'_names_lookup'!$A:$A,0)),"")</f>
        <v/>
      </c>
      <c r="BS34">
        <f>IFERROR(IF(BR34*AA34=0,"",BR34*AA34),"")</f>
        <v/>
      </c>
    </row>
    <row r="35">
      <c r="O35">
        <f>IFERROR(INDEX('_courses_lookup'!$C:$C,MATCH(K35&amp;L35,'_courses_lookup'!$E:$E,0)),"")</f>
        <v/>
      </c>
      <c r="P35">
        <f>IFERROR(INDEX('_courses_lookup'!$D:$D,MATCH(K35&amp;L35,'_courses_lookup'!$E:$E,0)),"")</f>
        <v/>
      </c>
      <c r="AG35">
        <f>IF(AND(AE35&lt;&gt;"",AF35&lt;&gt;""),ROUNDUP((AF35-AE35)/7,0),"")</f>
        <v/>
      </c>
      <c r="AI35">
        <f>IFERROR(IF(AG35*AH35=0,"",AG35*AH35),"")</f>
        <v/>
      </c>
      <c r="AL35">
        <f>IF(AND(AJ35&lt;&gt;"",AK35&lt;&gt;""),ROUNDUP((AK35-AJ35)/7,0),"")</f>
        <v/>
      </c>
      <c r="AN35">
        <f>IFERROR(IF(AL35*AM35=0,"",AL35*AM35),"")</f>
        <v/>
      </c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L35">
        <f>IFERROR(INDEX('_names_lookup'!$C:$C,MATCH(BK35,'_names_lookup'!$A:$A,0)),"")</f>
        <v/>
      </c>
      <c r="BM35">
        <f>IFERROR(INDEX('_names_lookup'!$B:$B,MATCH(BK35,'_names_lookup'!$A:$A,0)),"")</f>
        <v/>
      </c>
      <c r="BS35">
        <f>IFERROR(IF(BR35*AA35=0,"",BR35*AA35),"")</f>
        <v/>
      </c>
    </row>
    <row r="36">
      <c r="O36">
        <f>IFERROR(INDEX('_courses_lookup'!$C:$C,MATCH(K36&amp;L36,'_courses_lookup'!$E:$E,0)),"")</f>
        <v/>
      </c>
      <c r="P36">
        <f>IFERROR(INDEX('_courses_lookup'!$D:$D,MATCH(K36&amp;L36,'_courses_lookup'!$E:$E,0)),"")</f>
        <v/>
      </c>
      <c r="AG36">
        <f>IF(AND(AE36&lt;&gt;"",AF36&lt;&gt;""),ROUNDUP((AF36-AE36)/7,0),"")</f>
        <v/>
      </c>
      <c r="AI36">
        <f>IFERROR(IF(AG36*AH36=0,"",AG36*AH36),"")</f>
        <v/>
      </c>
      <c r="AL36">
        <f>IF(AND(AJ36&lt;&gt;"",AK36&lt;&gt;""),ROUNDUP((AK36-AJ36)/7,0),"")</f>
        <v/>
      </c>
      <c r="AN36">
        <f>IFERROR(IF(AL36*AM36=0,"",AL36*AM36),"")</f>
        <v/>
      </c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L36">
        <f>IFERROR(INDEX('_names_lookup'!$C:$C,MATCH(BK36,'_names_lookup'!$A:$A,0)),"")</f>
        <v/>
      </c>
      <c r="BM36">
        <f>IFERROR(INDEX('_names_lookup'!$B:$B,MATCH(BK36,'_names_lookup'!$A:$A,0)),"")</f>
        <v/>
      </c>
      <c r="BS36">
        <f>IFERROR(IF(BR36*AA36=0,"",BR36*AA36),"")</f>
        <v/>
      </c>
    </row>
    <row r="37">
      <c r="O37">
        <f>IFERROR(INDEX('_courses_lookup'!$C:$C,MATCH(K37&amp;L37,'_courses_lookup'!$E:$E,0)),"")</f>
        <v/>
      </c>
      <c r="P37">
        <f>IFERROR(INDEX('_courses_lookup'!$D:$D,MATCH(K37&amp;L37,'_courses_lookup'!$E:$E,0)),"")</f>
        <v/>
      </c>
      <c r="AG37">
        <f>IF(AND(AE37&lt;&gt;"",AF37&lt;&gt;""),ROUNDUP((AF37-AE37)/7,0),"")</f>
        <v/>
      </c>
      <c r="AI37">
        <f>IFERROR(IF(AG37*AH37=0,"",AG37*AH37),"")</f>
        <v/>
      </c>
      <c r="AL37">
        <f>IF(AND(AJ37&lt;&gt;"",AK37&lt;&gt;""),ROUNDUP((AK37-AJ37)/7,0),"")</f>
        <v/>
      </c>
      <c r="AN37">
        <f>IFERROR(IF(AL37*AM37=0,"",AL37*AM37),"")</f>
        <v/>
      </c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L37">
        <f>IFERROR(INDEX('_names_lookup'!$C:$C,MATCH(BK37,'_names_lookup'!$A:$A,0)),"")</f>
        <v/>
      </c>
      <c r="BM37">
        <f>IFERROR(INDEX('_names_lookup'!$B:$B,MATCH(BK37,'_names_lookup'!$A:$A,0)),"")</f>
        <v/>
      </c>
      <c r="BS37">
        <f>IFERROR(IF(BR37*AA37=0,"",BR37*AA37),"")</f>
        <v/>
      </c>
    </row>
    <row r="38">
      <c r="O38">
        <f>IFERROR(INDEX('_courses_lookup'!$C:$C,MATCH(K38&amp;L38,'_courses_lookup'!$E:$E,0)),"")</f>
        <v/>
      </c>
      <c r="P38">
        <f>IFERROR(INDEX('_courses_lookup'!$D:$D,MATCH(K38&amp;L38,'_courses_lookup'!$E:$E,0)),"")</f>
        <v/>
      </c>
      <c r="AG38">
        <f>IF(AND(AE38&lt;&gt;"",AF38&lt;&gt;""),ROUNDUP((AF38-AE38)/7,0),"")</f>
        <v/>
      </c>
      <c r="AI38">
        <f>IFERROR(IF(AG38*AH38=0,"",AG38*AH38),"")</f>
        <v/>
      </c>
      <c r="AL38">
        <f>IF(AND(AJ38&lt;&gt;"",AK38&lt;&gt;""),ROUNDUP((AK38-AJ38)/7,0),"")</f>
        <v/>
      </c>
      <c r="AN38">
        <f>IFERROR(IF(AL38*AM38=0,"",AL38*AM38),"")</f>
        <v/>
      </c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L38">
        <f>IFERROR(INDEX('_names_lookup'!$C:$C,MATCH(BK38,'_names_lookup'!$A:$A,0)),"")</f>
        <v/>
      </c>
      <c r="BM38">
        <f>IFERROR(INDEX('_names_lookup'!$B:$B,MATCH(BK38,'_names_lookup'!$A:$A,0)),"")</f>
        <v/>
      </c>
      <c r="BS38">
        <f>IFERROR(IF(BR38*AA38=0,"",BR38*AA38),"")</f>
        <v/>
      </c>
    </row>
    <row r="39">
      <c r="O39">
        <f>IFERROR(INDEX('_courses_lookup'!$C:$C,MATCH(K39&amp;L39,'_courses_lookup'!$E:$E,0)),"")</f>
        <v/>
      </c>
      <c r="P39">
        <f>IFERROR(INDEX('_courses_lookup'!$D:$D,MATCH(K39&amp;L39,'_courses_lookup'!$E:$E,0)),"")</f>
        <v/>
      </c>
      <c r="AG39">
        <f>IF(AND(AE39&lt;&gt;"",AF39&lt;&gt;""),ROUNDUP((AF39-AE39)/7,0),"")</f>
        <v/>
      </c>
      <c r="AI39">
        <f>IFERROR(IF(AG39*AH39=0,"",AG39*AH39),"")</f>
        <v/>
      </c>
      <c r="AL39">
        <f>IF(AND(AJ39&lt;&gt;"",AK39&lt;&gt;""),ROUNDUP((AK39-AJ39)/7,0),"")</f>
        <v/>
      </c>
      <c r="AN39">
        <f>IFERROR(IF(AL39*AM39=0,"",AL39*AM39),"")</f>
        <v/>
      </c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L39">
        <f>IFERROR(INDEX('_names_lookup'!$C:$C,MATCH(BK39,'_names_lookup'!$A:$A,0)),"")</f>
        <v/>
      </c>
      <c r="BM39">
        <f>IFERROR(INDEX('_names_lookup'!$B:$B,MATCH(BK39,'_names_lookup'!$A:$A,0)),"")</f>
        <v/>
      </c>
      <c r="BS39">
        <f>IFERROR(IF(BR39*AA39=0,"",BR39*AA39),"")</f>
        <v/>
      </c>
    </row>
    <row r="40">
      <c r="O40">
        <f>IFERROR(INDEX('_courses_lookup'!$C:$C,MATCH(K40&amp;L40,'_courses_lookup'!$E:$E,0)),"")</f>
        <v/>
      </c>
      <c r="P40">
        <f>IFERROR(INDEX('_courses_lookup'!$D:$D,MATCH(K40&amp;L40,'_courses_lookup'!$E:$E,0)),"")</f>
        <v/>
      </c>
      <c r="AG40">
        <f>IF(AND(AE40&lt;&gt;"",AF40&lt;&gt;""),ROUNDUP((AF40-AE40)/7,0),"")</f>
        <v/>
      </c>
      <c r="AI40">
        <f>IFERROR(IF(AG40*AH40=0,"",AG40*AH40),"")</f>
        <v/>
      </c>
      <c r="AL40">
        <f>IF(AND(AJ40&lt;&gt;"",AK40&lt;&gt;""),ROUNDUP((AK40-AJ40)/7,0),"")</f>
        <v/>
      </c>
      <c r="AN40">
        <f>IFERROR(IF(AL40*AM40=0,"",AL40*AM40),"")</f>
        <v/>
      </c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L40">
        <f>IFERROR(INDEX('_names_lookup'!$C:$C,MATCH(BK40,'_names_lookup'!$A:$A,0)),"")</f>
        <v/>
      </c>
      <c r="BM40">
        <f>IFERROR(INDEX('_names_lookup'!$B:$B,MATCH(BK40,'_names_lookup'!$A:$A,0)),"")</f>
        <v/>
      </c>
      <c r="BS40">
        <f>IFERROR(IF(BR40*AA40=0,"",BR40*AA40),"")</f>
        <v/>
      </c>
    </row>
    <row r="41">
      <c r="O41">
        <f>IFERROR(INDEX('_courses_lookup'!$C:$C,MATCH(K41&amp;L41,'_courses_lookup'!$E:$E,0)),"")</f>
        <v/>
      </c>
      <c r="P41">
        <f>IFERROR(INDEX('_courses_lookup'!$D:$D,MATCH(K41&amp;L41,'_courses_lookup'!$E:$E,0)),"")</f>
        <v/>
      </c>
      <c r="AG41">
        <f>IF(AND(AE41&lt;&gt;"",AF41&lt;&gt;""),ROUNDUP((AF41-AE41)/7,0),"")</f>
        <v/>
      </c>
      <c r="AI41">
        <f>IFERROR(IF(AG41*AH41=0,"",AG41*AH41),"")</f>
        <v/>
      </c>
      <c r="AL41">
        <f>IF(AND(AJ41&lt;&gt;"",AK41&lt;&gt;""),ROUNDUP((AK41-AJ41)/7,0),"")</f>
        <v/>
      </c>
      <c r="AN41">
        <f>IFERROR(IF(AL41*AM41=0,"",AL41*AM41),"")</f>
        <v/>
      </c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L41">
        <f>IFERROR(INDEX('_names_lookup'!$C:$C,MATCH(BK41,'_names_lookup'!$A:$A,0)),"")</f>
        <v/>
      </c>
      <c r="BM41">
        <f>IFERROR(INDEX('_names_lookup'!$B:$B,MATCH(BK41,'_names_lookup'!$A:$A,0)),"")</f>
        <v/>
      </c>
      <c r="BS41">
        <f>IFERROR(IF(BR41*AA41=0,"",BR41*AA41),"")</f>
        <v/>
      </c>
    </row>
    <row r="42">
      <c r="O42">
        <f>IFERROR(INDEX('_courses_lookup'!$C:$C,MATCH(K42&amp;L42,'_courses_lookup'!$E:$E,0)),"")</f>
        <v/>
      </c>
      <c r="P42">
        <f>IFERROR(INDEX('_courses_lookup'!$D:$D,MATCH(K42&amp;L42,'_courses_lookup'!$E:$E,0)),"")</f>
        <v/>
      </c>
      <c r="AG42">
        <f>IF(AND(AE42&lt;&gt;"",AF42&lt;&gt;""),ROUNDUP((AF42-AE42)/7,0),"")</f>
        <v/>
      </c>
      <c r="AI42">
        <f>IFERROR(IF(AG42*AH42=0,"",AG42*AH42),"")</f>
        <v/>
      </c>
      <c r="AL42">
        <f>IF(AND(AJ42&lt;&gt;"",AK42&lt;&gt;""),ROUNDUP((AK42-AJ42)/7,0),"")</f>
        <v/>
      </c>
      <c r="AN42">
        <f>IFERROR(IF(AL42*AM42=0,"",AL42*AM42),"")</f>
        <v/>
      </c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L42">
        <f>IFERROR(INDEX('_names_lookup'!$C:$C,MATCH(BK42,'_names_lookup'!$A:$A,0)),"")</f>
        <v/>
      </c>
      <c r="BM42">
        <f>IFERROR(INDEX('_names_lookup'!$B:$B,MATCH(BK42,'_names_lookup'!$A:$A,0)),"")</f>
        <v/>
      </c>
      <c r="BS42">
        <f>IFERROR(IF(BR42*AA42=0,"",BR42*AA42),"")</f>
        <v/>
      </c>
    </row>
    <row r="43">
      <c r="O43">
        <f>IFERROR(INDEX('_courses_lookup'!$C:$C,MATCH(K43&amp;L43,'_courses_lookup'!$E:$E,0)),"")</f>
        <v/>
      </c>
      <c r="P43">
        <f>IFERROR(INDEX('_courses_lookup'!$D:$D,MATCH(K43&amp;L43,'_courses_lookup'!$E:$E,0)),"")</f>
        <v/>
      </c>
      <c r="AG43">
        <f>IF(AND(AE43&lt;&gt;"",AF43&lt;&gt;""),ROUNDUP((AF43-AE43)/7,0),"")</f>
        <v/>
      </c>
      <c r="AI43">
        <f>IFERROR(IF(AG43*AH43=0,"",AG43*AH43),"")</f>
        <v/>
      </c>
      <c r="AL43">
        <f>IF(AND(AJ43&lt;&gt;"",AK43&lt;&gt;""),ROUNDUP((AK43-AJ43)/7,0),"")</f>
        <v/>
      </c>
      <c r="AN43">
        <f>IFERROR(IF(AL43*AM43=0,"",AL43*AM43),"")</f>
        <v/>
      </c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L43">
        <f>IFERROR(INDEX('_names_lookup'!$C:$C,MATCH(BK43,'_names_lookup'!$A:$A,0)),"")</f>
        <v/>
      </c>
      <c r="BM43">
        <f>IFERROR(INDEX('_names_lookup'!$B:$B,MATCH(BK43,'_names_lookup'!$A:$A,0)),"")</f>
        <v/>
      </c>
      <c r="BS43">
        <f>IFERROR(IF(BR43*AA43=0,"",BR43*AA43),"")</f>
        <v/>
      </c>
    </row>
    <row r="44">
      <c r="O44">
        <f>IFERROR(INDEX('_courses_lookup'!$C:$C,MATCH(K44&amp;L44,'_courses_lookup'!$E:$E,0)),"")</f>
        <v/>
      </c>
      <c r="P44">
        <f>IFERROR(INDEX('_courses_lookup'!$D:$D,MATCH(K44&amp;L44,'_courses_lookup'!$E:$E,0)),"")</f>
        <v/>
      </c>
      <c r="AG44">
        <f>IF(AND(AE44&lt;&gt;"",AF44&lt;&gt;""),ROUNDUP((AF44-AE44)/7,0),"")</f>
        <v/>
      </c>
      <c r="AI44">
        <f>IFERROR(IF(AG44*AH44=0,"",AG44*AH44),"")</f>
        <v/>
      </c>
      <c r="AL44">
        <f>IF(AND(AJ44&lt;&gt;"",AK44&lt;&gt;""),ROUNDUP((AK44-AJ44)/7,0),"")</f>
        <v/>
      </c>
      <c r="AN44">
        <f>IFERROR(IF(AL44*AM44=0,"",AL44*AM44),"")</f>
        <v/>
      </c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L44">
        <f>IFERROR(INDEX('_names_lookup'!$C:$C,MATCH(BK44,'_names_lookup'!$A:$A,0)),"")</f>
        <v/>
      </c>
      <c r="BM44">
        <f>IFERROR(INDEX('_names_lookup'!$B:$B,MATCH(BK44,'_names_lookup'!$A:$A,0)),"")</f>
        <v/>
      </c>
      <c r="BS44">
        <f>IFERROR(IF(BR44*AA44=0,"",BR44*AA44),"")</f>
        <v/>
      </c>
    </row>
    <row r="45">
      <c r="O45">
        <f>IFERROR(INDEX('_courses_lookup'!$C:$C,MATCH(K45&amp;L45,'_courses_lookup'!$E:$E,0)),"")</f>
        <v/>
      </c>
      <c r="P45">
        <f>IFERROR(INDEX('_courses_lookup'!$D:$D,MATCH(K45&amp;L45,'_courses_lookup'!$E:$E,0)),"")</f>
        <v/>
      </c>
      <c r="AG45">
        <f>IF(AND(AE45&lt;&gt;"",AF45&lt;&gt;""),ROUNDUP((AF45-AE45)/7,0),"")</f>
        <v/>
      </c>
      <c r="AI45">
        <f>IFERROR(IF(AG45*AH45=0,"",AG45*AH45),"")</f>
        <v/>
      </c>
      <c r="AL45">
        <f>IF(AND(AJ45&lt;&gt;"",AK45&lt;&gt;""),ROUNDUP((AK45-AJ45)/7,0),"")</f>
        <v/>
      </c>
      <c r="AN45">
        <f>IFERROR(IF(AL45*AM45=0,"",AL45*AM45),"")</f>
        <v/>
      </c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L45">
        <f>IFERROR(INDEX('_names_lookup'!$C:$C,MATCH(BK45,'_names_lookup'!$A:$A,0)),"")</f>
        <v/>
      </c>
      <c r="BM45">
        <f>IFERROR(INDEX('_names_lookup'!$B:$B,MATCH(BK45,'_names_lookup'!$A:$A,0)),"")</f>
        <v/>
      </c>
      <c r="BS45">
        <f>IFERROR(IF(BR45*AA45=0,"",BR45*AA45),"")</f>
        <v/>
      </c>
    </row>
    <row r="46">
      <c r="O46">
        <f>IFERROR(INDEX('_courses_lookup'!$C:$C,MATCH(K46&amp;L46,'_courses_lookup'!$E:$E,0)),"")</f>
        <v/>
      </c>
      <c r="P46">
        <f>IFERROR(INDEX('_courses_lookup'!$D:$D,MATCH(K46&amp;L46,'_courses_lookup'!$E:$E,0)),"")</f>
        <v/>
      </c>
      <c r="AG46">
        <f>IF(AND(AE46&lt;&gt;"",AF46&lt;&gt;""),ROUNDUP((AF46-AE46)/7,0),"")</f>
        <v/>
      </c>
      <c r="AI46">
        <f>IFERROR(IF(AG46*AH46=0,"",AG46*AH46),"")</f>
        <v/>
      </c>
      <c r="AL46">
        <f>IF(AND(AJ46&lt;&gt;"",AK46&lt;&gt;""),ROUNDUP((AK46-AJ46)/7,0),"")</f>
        <v/>
      </c>
      <c r="AN46">
        <f>IFERROR(IF(AL46*AM46=0,"",AL46*AM46),"")</f>
        <v/>
      </c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L46">
        <f>IFERROR(INDEX('_names_lookup'!$C:$C,MATCH(BK46,'_names_lookup'!$A:$A,0)),"")</f>
        <v/>
      </c>
      <c r="BM46">
        <f>IFERROR(INDEX('_names_lookup'!$B:$B,MATCH(BK46,'_names_lookup'!$A:$A,0)),"")</f>
        <v/>
      </c>
      <c r="BS46">
        <f>IFERROR(IF(BR46*AA46=0,"",BR46*AA46),"")</f>
        <v/>
      </c>
    </row>
    <row r="47">
      <c r="O47">
        <f>IFERROR(INDEX('_courses_lookup'!$C:$C,MATCH(K47&amp;L47,'_courses_lookup'!$E:$E,0)),"")</f>
        <v/>
      </c>
      <c r="P47">
        <f>IFERROR(INDEX('_courses_lookup'!$D:$D,MATCH(K47&amp;L47,'_courses_lookup'!$E:$E,0)),"")</f>
        <v/>
      </c>
      <c r="AG47">
        <f>IF(AND(AE47&lt;&gt;"",AF47&lt;&gt;""),ROUNDUP((AF47-AE47)/7,0),"")</f>
        <v/>
      </c>
      <c r="AI47">
        <f>IFERROR(IF(AG47*AH47=0,"",AG47*AH47),"")</f>
        <v/>
      </c>
      <c r="AL47">
        <f>IF(AND(AJ47&lt;&gt;"",AK47&lt;&gt;""),ROUNDUP((AK47-AJ47)/7,0),"")</f>
        <v/>
      </c>
      <c r="AN47">
        <f>IFERROR(IF(AL47*AM47=0,"",AL47*AM47),"")</f>
        <v/>
      </c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L47">
        <f>IFERROR(INDEX('_names_lookup'!$C:$C,MATCH(BK47,'_names_lookup'!$A:$A,0)),"")</f>
        <v/>
      </c>
      <c r="BM47">
        <f>IFERROR(INDEX('_names_lookup'!$B:$B,MATCH(BK47,'_names_lookup'!$A:$A,0)),"")</f>
        <v/>
      </c>
      <c r="BS47">
        <f>IFERROR(IF(BR47*AA47=0,"",BR47*AA47),"")</f>
        <v/>
      </c>
    </row>
    <row r="48">
      <c r="O48">
        <f>IFERROR(INDEX('_courses_lookup'!$C:$C,MATCH(K48&amp;L48,'_courses_lookup'!$E:$E,0)),"")</f>
        <v/>
      </c>
      <c r="P48">
        <f>IFERROR(INDEX('_courses_lookup'!$D:$D,MATCH(K48&amp;L48,'_courses_lookup'!$E:$E,0)),"")</f>
        <v/>
      </c>
      <c r="AG48">
        <f>IF(AND(AE48&lt;&gt;"",AF48&lt;&gt;""),ROUNDUP((AF48-AE48)/7,0),"")</f>
        <v/>
      </c>
      <c r="AI48">
        <f>IFERROR(IF(AG48*AH48=0,"",AG48*AH48),"")</f>
        <v/>
      </c>
      <c r="AL48">
        <f>IF(AND(AJ48&lt;&gt;"",AK48&lt;&gt;""),ROUNDUP((AK48-AJ48)/7,0),"")</f>
        <v/>
      </c>
      <c r="AN48">
        <f>IFERROR(IF(AL48*AM48=0,"",AL48*AM48),"")</f>
        <v/>
      </c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L48">
        <f>IFERROR(INDEX('_names_lookup'!$C:$C,MATCH(BK48,'_names_lookup'!$A:$A,0)),"")</f>
        <v/>
      </c>
      <c r="BM48">
        <f>IFERROR(INDEX('_names_lookup'!$B:$B,MATCH(BK48,'_names_lookup'!$A:$A,0)),"")</f>
        <v/>
      </c>
      <c r="BS48">
        <f>IFERROR(IF(BR48*AA48=0,"",BR48*AA48),"")</f>
        <v/>
      </c>
    </row>
    <row r="49">
      <c r="O49">
        <f>IFERROR(INDEX('_courses_lookup'!$C:$C,MATCH(K49&amp;L49,'_courses_lookup'!$E:$E,0)),"")</f>
        <v/>
      </c>
      <c r="P49">
        <f>IFERROR(INDEX('_courses_lookup'!$D:$D,MATCH(K49&amp;L49,'_courses_lookup'!$E:$E,0)),"")</f>
        <v/>
      </c>
      <c r="AG49">
        <f>IF(AND(AE49&lt;&gt;"",AF49&lt;&gt;""),ROUNDUP((AF49-AE49)/7,0),"")</f>
        <v/>
      </c>
      <c r="AI49">
        <f>IFERROR(IF(AG49*AH49=0,"",AG49*AH49),"")</f>
        <v/>
      </c>
      <c r="AL49">
        <f>IF(AND(AJ49&lt;&gt;"",AK49&lt;&gt;""),ROUNDUP((AK49-AJ49)/7,0),"")</f>
        <v/>
      </c>
      <c r="AN49">
        <f>IFERROR(IF(AL49*AM49=0,"",AL49*AM49),"")</f>
        <v/>
      </c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L49">
        <f>IFERROR(INDEX('_names_lookup'!$C:$C,MATCH(BK49,'_names_lookup'!$A:$A,0)),"")</f>
        <v/>
      </c>
      <c r="BM49">
        <f>IFERROR(INDEX('_names_lookup'!$B:$B,MATCH(BK49,'_names_lookup'!$A:$A,0)),"")</f>
        <v/>
      </c>
      <c r="BS49">
        <f>IFERROR(IF(BR49*AA49=0,"",BR49*AA49),"")</f>
        <v/>
      </c>
    </row>
    <row r="50">
      <c r="O50">
        <f>IFERROR(INDEX('_courses_lookup'!$C:$C,MATCH(K50&amp;L50,'_courses_lookup'!$E:$E,0)),"")</f>
        <v/>
      </c>
      <c r="P50">
        <f>IFERROR(INDEX('_courses_lookup'!$D:$D,MATCH(K50&amp;L50,'_courses_lookup'!$E:$E,0)),"")</f>
        <v/>
      </c>
      <c r="AG50">
        <f>IF(AND(AE50&lt;&gt;"",AF50&lt;&gt;""),ROUNDUP((AF50-AE50)/7,0),"")</f>
        <v/>
      </c>
      <c r="AI50">
        <f>IFERROR(IF(AG50*AH50=0,"",AG50*AH50),"")</f>
        <v/>
      </c>
      <c r="AL50">
        <f>IF(AND(AJ50&lt;&gt;"",AK50&lt;&gt;""),ROUNDUP((AK50-AJ50)/7,0),"")</f>
        <v/>
      </c>
      <c r="AN50">
        <f>IFERROR(IF(AL50*AM50=0,"",AL50*AM50),"")</f>
        <v/>
      </c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L50">
        <f>IFERROR(INDEX('_names_lookup'!$C:$C,MATCH(BK50,'_names_lookup'!$A:$A,0)),"")</f>
        <v/>
      </c>
      <c r="BM50">
        <f>IFERROR(INDEX('_names_lookup'!$B:$B,MATCH(BK50,'_names_lookup'!$A:$A,0)),"")</f>
        <v/>
      </c>
      <c r="BS50">
        <f>IFERROR(IF(BR50*AA50=0,"",BR50*AA50),"")</f>
        <v/>
      </c>
    </row>
    <row r="51">
      <c r="O51">
        <f>IFERROR(INDEX('_courses_lookup'!$C:$C,MATCH(K51&amp;L51,'_courses_lookup'!$E:$E,0)),"")</f>
        <v/>
      </c>
      <c r="P51">
        <f>IFERROR(INDEX('_courses_lookup'!$D:$D,MATCH(K51&amp;L51,'_courses_lookup'!$E:$E,0)),"")</f>
        <v/>
      </c>
      <c r="AG51">
        <f>IF(AND(AE51&lt;&gt;"",AF51&lt;&gt;""),ROUNDUP((AF51-AE51)/7,0),"")</f>
        <v/>
      </c>
      <c r="AI51">
        <f>IFERROR(IF(AG51*AH51=0,"",AG51*AH51),"")</f>
        <v/>
      </c>
      <c r="AL51">
        <f>IF(AND(AJ51&lt;&gt;"",AK51&lt;&gt;""),ROUNDUP((AK51-AJ51)/7,0),"")</f>
        <v/>
      </c>
      <c r="AN51">
        <f>IFERROR(IF(AL51*AM51=0,"",AL51*AM51),"")</f>
        <v/>
      </c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L51">
        <f>IFERROR(INDEX('_names_lookup'!$C:$C,MATCH(BK51,'_names_lookup'!$A:$A,0)),"")</f>
        <v/>
      </c>
      <c r="BM51">
        <f>IFERROR(INDEX('_names_lookup'!$B:$B,MATCH(BK51,'_names_lookup'!$A:$A,0)),"")</f>
        <v/>
      </c>
      <c r="BS51">
        <f>IFERROR(IF(BR51*AA51=0,"",BR51*AA51),"")</f>
        <v/>
      </c>
    </row>
    <row r="52">
      <c r="O52">
        <f>IFERROR(INDEX('_courses_lookup'!$C:$C,MATCH(K52&amp;L52,'_courses_lookup'!$E:$E,0)),"")</f>
        <v/>
      </c>
      <c r="P52">
        <f>IFERROR(INDEX('_courses_lookup'!$D:$D,MATCH(K52&amp;L52,'_courses_lookup'!$E:$E,0)),"")</f>
        <v/>
      </c>
      <c r="AG52">
        <f>IF(AND(AE52&lt;&gt;"",AF52&lt;&gt;""),ROUNDUP((AF52-AE52)/7,0),"")</f>
        <v/>
      </c>
      <c r="AI52">
        <f>IFERROR(IF(AG52*AH52=0,"",AG52*AH52),"")</f>
        <v/>
      </c>
      <c r="AL52">
        <f>IF(AND(AJ52&lt;&gt;"",AK52&lt;&gt;""),ROUNDUP((AK52-AJ52)/7,0),"")</f>
        <v/>
      </c>
      <c r="AN52">
        <f>IFERROR(IF(AL52*AM52=0,"",AL52*AM52),"")</f>
        <v/>
      </c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L52">
        <f>IFERROR(INDEX('_names_lookup'!$C:$C,MATCH(BK52,'_names_lookup'!$A:$A,0)),"")</f>
        <v/>
      </c>
      <c r="BM52">
        <f>IFERROR(INDEX('_names_lookup'!$B:$B,MATCH(BK52,'_names_lookup'!$A:$A,0)),"")</f>
        <v/>
      </c>
      <c r="BS52">
        <f>IFERROR(IF(BR52*AA52=0,"",BR52*AA52),"")</f>
        <v/>
      </c>
    </row>
    <row r="53">
      <c r="O53">
        <f>IFERROR(INDEX('_courses_lookup'!$C:$C,MATCH(K53&amp;L53,'_courses_lookup'!$E:$E,0)),"")</f>
        <v/>
      </c>
      <c r="P53">
        <f>IFERROR(INDEX('_courses_lookup'!$D:$D,MATCH(K53&amp;L53,'_courses_lookup'!$E:$E,0)),"")</f>
        <v/>
      </c>
      <c r="AG53">
        <f>IF(AND(AE53&lt;&gt;"",AF53&lt;&gt;""),ROUNDUP((AF53-AE53)/7,0),"")</f>
        <v/>
      </c>
      <c r="AI53">
        <f>IFERROR(IF(AG53*AH53=0,"",AG53*AH53),"")</f>
        <v/>
      </c>
      <c r="AL53">
        <f>IF(AND(AJ53&lt;&gt;"",AK53&lt;&gt;""),ROUNDUP((AK53-AJ53)/7,0),"")</f>
        <v/>
      </c>
      <c r="AN53">
        <f>IFERROR(IF(AL53*AM53=0,"",AL53*AM53),"")</f>
        <v/>
      </c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L53">
        <f>IFERROR(INDEX('_names_lookup'!$C:$C,MATCH(BK53,'_names_lookup'!$A:$A,0)),"")</f>
        <v/>
      </c>
      <c r="BM53">
        <f>IFERROR(INDEX('_names_lookup'!$B:$B,MATCH(BK53,'_names_lookup'!$A:$A,0)),"")</f>
        <v/>
      </c>
      <c r="BS53">
        <f>IFERROR(IF(BR53*AA53=0,"",BR53*AA53),"")</f>
        <v/>
      </c>
    </row>
    <row r="54">
      <c r="O54">
        <f>IFERROR(INDEX('_courses_lookup'!$C:$C,MATCH(K54&amp;L54,'_courses_lookup'!$E:$E,0)),"")</f>
        <v/>
      </c>
      <c r="P54">
        <f>IFERROR(INDEX('_courses_lookup'!$D:$D,MATCH(K54&amp;L54,'_courses_lookup'!$E:$E,0)),"")</f>
        <v/>
      </c>
      <c r="AG54">
        <f>IF(AND(AE54&lt;&gt;"",AF54&lt;&gt;""),ROUNDUP((AF54-AE54)/7,0),"")</f>
        <v/>
      </c>
      <c r="AI54">
        <f>IFERROR(IF(AG54*AH54=0,"",AG54*AH54),"")</f>
        <v/>
      </c>
      <c r="AL54">
        <f>IF(AND(AJ54&lt;&gt;"",AK54&lt;&gt;""),ROUNDUP((AK54-AJ54)/7,0),"")</f>
        <v/>
      </c>
      <c r="AN54">
        <f>IFERROR(IF(AL54*AM54=0,"",AL54*AM54),"")</f>
        <v/>
      </c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L54">
        <f>IFERROR(INDEX('_names_lookup'!$C:$C,MATCH(BK54,'_names_lookup'!$A:$A,0)),"")</f>
        <v/>
      </c>
      <c r="BM54">
        <f>IFERROR(INDEX('_names_lookup'!$B:$B,MATCH(BK54,'_names_lookup'!$A:$A,0)),"")</f>
        <v/>
      </c>
      <c r="BS54">
        <f>IFERROR(IF(BR54*AA54=0,"",BR54*AA54),"")</f>
        <v/>
      </c>
    </row>
    <row r="55">
      <c r="O55">
        <f>IFERROR(INDEX('_courses_lookup'!$C:$C,MATCH(K55&amp;L55,'_courses_lookup'!$E:$E,0)),"")</f>
        <v/>
      </c>
      <c r="P55">
        <f>IFERROR(INDEX('_courses_lookup'!$D:$D,MATCH(K55&amp;L55,'_courses_lookup'!$E:$E,0)),"")</f>
        <v/>
      </c>
      <c r="AG55">
        <f>IF(AND(AE55&lt;&gt;"",AF55&lt;&gt;""),ROUNDUP((AF55-AE55)/7,0),"")</f>
        <v/>
      </c>
      <c r="AI55">
        <f>IFERROR(IF(AG55*AH55=0,"",AG55*AH55),"")</f>
        <v/>
      </c>
      <c r="AL55">
        <f>IF(AND(AJ55&lt;&gt;"",AK55&lt;&gt;""),ROUNDUP((AK55-AJ55)/7,0),"")</f>
        <v/>
      </c>
      <c r="AN55">
        <f>IFERROR(IF(AL55*AM55=0,"",AL55*AM55),"")</f>
        <v/>
      </c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L55">
        <f>IFERROR(INDEX('_names_lookup'!$C:$C,MATCH(BK55,'_names_lookup'!$A:$A,0)),"")</f>
        <v/>
      </c>
      <c r="BM55">
        <f>IFERROR(INDEX('_names_lookup'!$B:$B,MATCH(BK55,'_names_lookup'!$A:$A,0)),"")</f>
        <v/>
      </c>
      <c r="BS55">
        <f>IFERROR(IF(BR55*AA55=0,"",BR55*AA55),"")</f>
        <v/>
      </c>
    </row>
    <row r="56">
      <c r="O56">
        <f>IFERROR(INDEX('_courses_lookup'!$C:$C,MATCH(K56&amp;L56,'_courses_lookup'!$E:$E,0)),"")</f>
        <v/>
      </c>
      <c r="P56">
        <f>IFERROR(INDEX('_courses_lookup'!$D:$D,MATCH(K56&amp;L56,'_courses_lookup'!$E:$E,0)),"")</f>
        <v/>
      </c>
      <c r="AG56">
        <f>IF(AND(AE56&lt;&gt;"",AF56&lt;&gt;""),ROUNDUP((AF56-AE56)/7,0),"")</f>
        <v/>
      </c>
      <c r="AI56">
        <f>IFERROR(IF(AG56*AH56=0,"",AG56*AH56),"")</f>
        <v/>
      </c>
      <c r="AL56">
        <f>IF(AND(AJ56&lt;&gt;"",AK56&lt;&gt;""),ROUNDUP((AK56-AJ56)/7,0),"")</f>
        <v/>
      </c>
      <c r="AN56">
        <f>IFERROR(IF(AL56*AM56=0,"",AL56*AM56),"")</f>
        <v/>
      </c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L56">
        <f>IFERROR(INDEX('_names_lookup'!$C:$C,MATCH(BK56,'_names_lookup'!$A:$A,0)),"")</f>
        <v/>
      </c>
      <c r="BM56">
        <f>IFERROR(INDEX('_names_lookup'!$B:$B,MATCH(BK56,'_names_lookup'!$A:$A,0)),"")</f>
        <v/>
      </c>
      <c r="BS56">
        <f>IFERROR(IF(BR56*AA56=0,"",BR56*AA56),"")</f>
        <v/>
      </c>
    </row>
    <row r="57">
      <c r="O57">
        <f>IFERROR(INDEX('_courses_lookup'!$C:$C,MATCH(K57&amp;L57,'_courses_lookup'!$E:$E,0)),"")</f>
        <v/>
      </c>
      <c r="P57">
        <f>IFERROR(INDEX('_courses_lookup'!$D:$D,MATCH(K57&amp;L57,'_courses_lookup'!$E:$E,0)),"")</f>
        <v/>
      </c>
      <c r="AG57">
        <f>IF(AND(AE57&lt;&gt;"",AF57&lt;&gt;""),ROUNDUP((AF57-AE57)/7,0),"")</f>
        <v/>
      </c>
      <c r="AI57">
        <f>IFERROR(IF(AG57*AH57=0,"",AG57*AH57),"")</f>
        <v/>
      </c>
      <c r="AL57">
        <f>IF(AND(AJ57&lt;&gt;"",AK57&lt;&gt;""),ROUNDUP((AK57-AJ57)/7,0),"")</f>
        <v/>
      </c>
      <c r="AN57">
        <f>IFERROR(IF(AL57*AM57=0,"",AL57*AM57),"")</f>
        <v/>
      </c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L57">
        <f>IFERROR(INDEX('_names_lookup'!$C:$C,MATCH(BK57,'_names_lookup'!$A:$A,0)),"")</f>
        <v/>
      </c>
      <c r="BM57">
        <f>IFERROR(INDEX('_names_lookup'!$B:$B,MATCH(BK57,'_names_lookup'!$A:$A,0)),"")</f>
        <v/>
      </c>
      <c r="BS57">
        <f>IFERROR(IF(BR57*AA57=0,"",BR57*AA57),"")</f>
        <v/>
      </c>
    </row>
    <row r="58">
      <c r="O58">
        <f>IFERROR(INDEX('_courses_lookup'!$C:$C,MATCH(K58&amp;L58,'_courses_lookup'!$E:$E,0)),"")</f>
        <v/>
      </c>
      <c r="P58">
        <f>IFERROR(INDEX('_courses_lookup'!$D:$D,MATCH(K58&amp;L58,'_courses_lookup'!$E:$E,0)),"")</f>
        <v/>
      </c>
      <c r="AG58">
        <f>IF(AND(AE58&lt;&gt;"",AF58&lt;&gt;""),ROUNDUP((AF58-AE58)/7,0),"")</f>
        <v/>
      </c>
      <c r="AI58">
        <f>IFERROR(IF(AG58*AH58=0,"",AG58*AH58),"")</f>
        <v/>
      </c>
      <c r="AL58">
        <f>IF(AND(AJ58&lt;&gt;"",AK58&lt;&gt;""),ROUNDUP((AK58-AJ58)/7,0),"")</f>
        <v/>
      </c>
      <c r="AN58">
        <f>IFERROR(IF(AL58*AM58=0,"",AL58*AM58),"")</f>
        <v/>
      </c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L58">
        <f>IFERROR(INDEX('_names_lookup'!$C:$C,MATCH(BK58,'_names_lookup'!$A:$A,0)),"")</f>
        <v/>
      </c>
      <c r="BM58">
        <f>IFERROR(INDEX('_names_lookup'!$B:$B,MATCH(BK58,'_names_lookup'!$A:$A,0)),"")</f>
        <v/>
      </c>
      <c r="BS58">
        <f>IFERROR(IF(BR58*AA58=0,"",BR58*AA58),"")</f>
        <v/>
      </c>
    </row>
    <row r="59">
      <c r="O59">
        <f>IFERROR(INDEX('_courses_lookup'!$C:$C,MATCH(K59&amp;L59,'_courses_lookup'!$E:$E,0)),"")</f>
        <v/>
      </c>
      <c r="P59">
        <f>IFERROR(INDEX('_courses_lookup'!$D:$D,MATCH(K59&amp;L59,'_courses_lookup'!$E:$E,0)),"")</f>
        <v/>
      </c>
      <c r="AG59">
        <f>IF(AND(AE59&lt;&gt;"",AF59&lt;&gt;""),ROUNDUP((AF59-AE59)/7,0),"")</f>
        <v/>
      </c>
      <c r="AI59">
        <f>IFERROR(IF(AG59*AH59=0,"",AG59*AH59),"")</f>
        <v/>
      </c>
      <c r="AL59">
        <f>IF(AND(AJ59&lt;&gt;"",AK59&lt;&gt;""),ROUNDUP((AK59-AJ59)/7,0),"")</f>
        <v/>
      </c>
      <c r="AN59">
        <f>IFERROR(IF(AL59*AM59=0,"",AL59*AM59),"")</f>
        <v/>
      </c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L59">
        <f>IFERROR(INDEX('_names_lookup'!$C:$C,MATCH(BK59,'_names_lookup'!$A:$A,0)),"")</f>
        <v/>
      </c>
      <c r="BM59">
        <f>IFERROR(INDEX('_names_lookup'!$B:$B,MATCH(BK59,'_names_lookup'!$A:$A,0)),"")</f>
        <v/>
      </c>
      <c r="BS59">
        <f>IFERROR(IF(BR59*AA59=0,"",BR59*AA59),"")</f>
        <v/>
      </c>
    </row>
    <row r="60">
      <c r="O60">
        <f>IFERROR(INDEX('_courses_lookup'!$C:$C,MATCH(K60&amp;L60,'_courses_lookup'!$E:$E,0)),"")</f>
        <v/>
      </c>
      <c r="P60">
        <f>IFERROR(INDEX('_courses_lookup'!$D:$D,MATCH(K60&amp;L60,'_courses_lookup'!$E:$E,0)),"")</f>
        <v/>
      </c>
      <c r="AG60">
        <f>IF(AND(AE60&lt;&gt;"",AF60&lt;&gt;""),ROUNDUP((AF60-AE60)/7,0),"")</f>
        <v/>
      </c>
      <c r="AI60">
        <f>IFERROR(IF(AG60*AH60=0,"",AG60*AH60),"")</f>
        <v/>
      </c>
      <c r="AL60">
        <f>IF(AND(AJ60&lt;&gt;"",AK60&lt;&gt;""),ROUNDUP((AK60-AJ60)/7,0),"")</f>
        <v/>
      </c>
      <c r="AN60">
        <f>IFERROR(IF(AL60*AM60=0,"",AL60*AM60),"")</f>
        <v/>
      </c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L60">
        <f>IFERROR(INDEX('_names_lookup'!$C:$C,MATCH(BK60,'_names_lookup'!$A:$A,0)),"")</f>
        <v/>
      </c>
      <c r="BM60">
        <f>IFERROR(INDEX('_names_lookup'!$B:$B,MATCH(BK60,'_names_lookup'!$A:$A,0)),"")</f>
        <v/>
      </c>
      <c r="BS60">
        <f>IFERROR(IF(BR60*AA60=0,"",BR60*AA60),"")</f>
        <v/>
      </c>
    </row>
    <row r="61">
      <c r="O61">
        <f>IFERROR(INDEX('_courses_lookup'!$C:$C,MATCH(K61&amp;L61,'_courses_lookup'!$E:$E,0)),"")</f>
        <v/>
      </c>
      <c r="P61">
        <f>IFERROR(INDEX('_courses_lookup'!$D:$D,MATCH(K61&amp;L61,'_courses_lookup'!$E:$E,0)),"")</f>
        <v/>
      </c>
      <c r="AG61">
        <f>IF(AND(AE61&lt;&gt;"",AF61&lt;&gt;""),ROUNDUP((AF61-AE61)/7,0),"")</f>
        <v/>
      </c>
      <c r="AI61">
        <f>IFERROR(IF(AG61*AH61=0,"",AG61*AH61),"")</f>
        <v/>
      </c>
      <c r="AL61">
        <f>IF(AND(AJ61&lt;&gt;"",AK61&lt;&gt;""),ROUNDUP((AK61-AJ61)/7,0),"")</f>
        <v/>
      </c>
      <c r="AN61">
        <f>IFERROR(IF(AL61*AM61=0,"",AL61*AM61),"")</f>
        <v/>
      </c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L61">
        <f>IFERROR(INDEX('_names_lookup'!$C:$C,MATCH(BK61,'_names_lookup'!$A:$A,0)),"")</f>
        <v/>
      </c>
      <c r="BM61">
        <f>IFERROR(INDEX('_names_lookup'!$B:$B,MATCH(BK61,'_names_lookup'!$A:$A,0)),"")</f>
        <v/>
      </c>
      <c r="BS61">
        <f>IFERROR(IF(BR61*AA61=0,"",BR61*AA61),"")</f>
        <v/>
      </c>
    </row>
    <row r="62">
      <c r="O62">
        <f>IFERROR(INDEX('_courses_lookup'!$C:$C,MATCH(K62&amp;L62,'_courses_lookup'!$E:$E,0)),"")</f>
        <v/>
      </c>
      <c r="P62">
        <f>IFERROR(INDEX('_courses_lookup'!$D:$D,MATCH(K62&amp;L62,'_courses_lookup'!$E:$E,0)),"")</f>
        <v/>
      </c>
      <c r="AG62">
        <f>IF(AND(AE62&lt;&gt;"",AF62&lt;&gt;""),ROUNDUP((AF62-AE62)/7,0),"")</f>
        <v/>
      </c>
      <c r="AI62">
        <f>IFERROR(IF(AG62*AH62=0,"",AG62*AH62),"")</f>
        <v/>
      </c>
      <c r="AL62">
        <f>IF(AND(AJ62&lt;&gt;"",AK62&lt;&gt;""),ROUNDUP((AK62-AJ62)/7,0),"")</f>
        <v/>
      </c>
      <c r="AN62">
        <f>IFERROR(IF(AL62*AM62=0,"",AL62*AM62),"")</f>
        <v/>
      </c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L62">
        <f>IFERROR(INDEX('_names_lookup'!$C:$C,MATCH(BK62,'_names_lookup'!$A:$A,0)),"")</f>
        <v/>
      </c>
      <c r="BM62">
        <f>IFERROR(INDEX('_names_lookup'!$B:$B,MATCH(BK62,'_names_lookup'!$A:$A,0)),"")</f>
        <v/>
      </c>
      <c r="BS62">
        <f>IFERROR(IF(BR62*AA62=0,"",BR62*AA62),"")</f>
        <v/>
      </c>
    </row>
    <row r="63">
      <c r="O63">
        <f>IFERROR(INDEX('_courses_lookup'!$C:$C,MATCH(K63&amp;L63,'_courses_lookup'!$E:$E,0)),"")</f>
        <v/>
      </c>
      <c r="P63">
        <f>IFERROR(INDEX('_courses_lookup'!$D:$D,MATCH(K63&amp;L63,'_courses_lookup'!$E:$E,0)),"")</f>
        <v/>
      </c>
      <c r="AG63">
        <f>IF(AND(AE63&lt;&gt;"",AF63&lt;&gt;""),ROUNDUP((AF63-AE63)/7,0),"")</f>
        <v/>
      </c>
      <c r="AI63">
        <f>IFERROR(IF(AG63*AH63=0,"",AG63*AH63),"")</f>
        <v/>
      </c>
      <c r="AL63">
        <f>IF(AND(AJ63&lt;&gt;"",AK63&lt;&gt;""),ROUNDUP((AK63-AJ63)/7,0),"")</f>
        <v/>
      </c>
      <c r="AN63">
        <f>IFERROR(IF(AL63*AM63=0,"",AL63*AM63),"")</f>
        <v/>
      </c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L63">
        <f>IFERROR(INDEX('_names_lookup'!$C:$C,MATCH(BK63,'_names_lookup'!$A:$A,0)),"")</f>
        <v/>
      </c>
      <c r="BM63">
        <f>IFERROR(INDEX('_names_lookup'!$B:$B,MATCH(BK63,'_names_lookup'!$A:$A,0)),"")</f>
        <v/>
      </c>
      <c r="BS63">
        <f>IFERROR(IF(BR63*AA63=0,"",BR63*AA63),"")</f>
        <v/>
      </c>
    </row>
    <row r="64">
      <c r="O64">
        <f>IFERROR(INDEX('_courses_lookup'!$C:$C,MATCH(K64&amp;L64,'_courses_lookup'!$E:$E,0)),"")</f>
        <v/>
      </c>
      <c r="P64">
        <f>IFERROR(INDEX('_courses_lookup'!$D:$D,MATCH(K64&amp;L64,'_courses_lookup'!$E:$E,0)),"")</f>
        <v/>
      </c>
      <c r="AG64">
        <f>IF(AND(AE64&lt;&gt;"",AF64&lt;&gt;""),ROUNDUP((AF64-AE64)/7,0),"")</f>
        <v/>
      </c>
      <c r="AI64">
        <f>IFERROR(IF(AG64*AH64=0,"",AG64*AH64),"")</f>
        <v/>
      </c>
      <c r="AL64">
        <f>IF(AND(AJ64&lt;&gt;"",AK64&lt;&gt;""),ROUNDUP((AK64-AJ64)/7,0),"")</f>
        <v/>
      </c>
      <c r="AN64">
        <f>IFERROR(IF(AL64*AM64=0,"",AL64*AM64),"")</f>
        <v/>
      </c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L64">
        <f>IFERROR(INDEX('_names_lookup'!$C:$C,MATCH(BK64,'_names_lookup'!$A:$A,0)),"")</f>
        <v/>
      </c>
      <c r="BM64">
        <f>IFERROR(INDEX('_names_lookup'!$B:$B,MATCH(BK64,'_names_lookup'!$A:$A,0)),"")</f>
        <v/>
      </c>
      <c r="BS64">
        <f>IFERROR(IF(BR64*AA64=0,"",BR64*AA64),"")</f>
        <v/>
      </c>
    </row>
    <row r="65">
      <c r="O65">
        <f>IFERROR(INDEX('_courses_lookup'!$C:$C,MATCH(K65&amp;L65,'_courses_lookup'!$E:$E,0)),"")</f>
        <v/>
      </c>
      <c r="P65">
        <f>IFERROR(INDEX('_courses_lookup'!$D:$D,MATCH(K65&amp;L65,'_courses_lookup'!$E:$E,0)),"")</f>
        <v/>
      </c>
      <c r="AG65">
        <f>IF(AND(AE65&lt;&gt;"",AF65&lt;&gt;""),ROUNDUP((AF65-AE65)/7,0),"")</f>
        <v/>
      </c>
      <c r="AI65">
        <f>IFERROR(IF(AG65*AH65=0,"",AG65*AH65),"")</f>
        <v/>
      </c>
      <c r="AL65">
        <f>IF(AND(AJ65&lt;&gt;"",AK65&lt;&gt;""),ROUNDUP((AK65-AJ65)/7,0),"")</f>
        <v/>
      </c>
      <c r="AN65">
        <f>IFERROR(IF(AL65*AM65=0,"",AL65*AM65),"")</f>
        <v/>
      </c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L65">
        <f>IFERROR(INDEX('_names_lookup'!$C:$C,MATCH(BK65,'_names_lookup'!$A:$A,0)),"")</f>
        <v/>
      </c>
      <c r="BM65">
        <f>IFERROR(INDEX('_names_lookup'!$B:$B,MATCH(BK65,'_names_lookup'!$A:$A,0)),"")</f>
        <v/>
      </c>
      <c r="BS65">
        <f>IFERROR(IF(BR65*AA65=0,"",BR65*AA65),"")</f>
        <v/>
      </c>
    </row>
    <row r="66">
      <c r="O66">
        <f>IFERROR(INDEX('_courses_lookup'!$C:$C,MATCH(K66&amp;L66,'_courses_lookup'!$E:$E,0)),"")</f>
        <v/>
      </c>
      <c r="P66">
        <f>IFERROR(INDEX('_courses_lookup'!$D:$D,MATCH(K66&amp;L66,'_courses_lookup'!$E:$E,0)),"")</f>
        <v/>
      </c>
      <c r="AG66">
        <f>IF(AND(AE66&lt;&gt;"",AF66&lt;&gt;""),ROUNDUP((AF66-AE66)/7,0),"")</f>
        <v/>
      </c>
      <c r="AI66">
        <f>IFERROR(IF(AG66*AH66=0,"",AG66*AH66),"")</f>
        <v/>
      </c>
      <c r="AL66">
        <f>IF(AND(AJ66&lt;&gt;"",AK66&lt;&gt;""),ROUNDUP((AK66-AJ66)/7,0),"")</f>
        <v/>
      </c>
      <c r="AN66">
        <f>IFERROR(IF(AL66*AM66=0,"",AL66*AM66),"")</f>
        <v/>
      </c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L66">
        <f>IFERROR(INDEX('_names_lookup'!$C:$C,MATCH(BK66,'_names_lookup'!$A:$A,0)),"")</f>
        <v/>
      </c>
      <c r="BM66">
        <f>IFERROR(INDEX('_names_lookup'!$B:$B,MATCH(BK66,'_names_lookup'!$A:$A,0)),"")</f>
        <v/>
      </c>
      <c r="BS66">
        <f>IFERROR(IF(BR66*AA66=0,"",BR66*AA66),"")</f>
        <v/>
      </c>
    </row>
    <row r="67">
      <c r="O67">
        <f>IFERROR(INDEX('_courses_lookup'!$C:$C,MATCH(K67&amp;L67,'_courses_lookup'!$E:$E,0)),"")</f>
        <v/>
      </c>
      <c r="P67">
        <f>IFERROR(INDEX('_courses_lookup'!$D:$D,MATCH(K67&amp;L67,'_courses_lookup'!$E:$E,0)),"")</f>
        <v/>
      </c>
      <c r="AG67">
        <f>IF(AND(AE67&lt;&gt;"",AF67&lt;&gt;""),ROUNDUP((AF67-AE67)/7,0),"")</f>
        <v/>
      </c>
      <c r="AI67">
        <f>IFERROR(IF(AG67*AH67=0,"",AG67*AH67),"")</f>
        <v/>
      </c>
      <c r="AL67">
        <f>IF(AND(AJ67&lt;&gt;"",AK67&lt;&gt;""),ROUNDUP((AK67-AJ67)/7,0),"")</f>
        <v/>
      </c>
      <c r="AN67">
        <f>IFERROR(IF(AL67*AM67=0,"",AL67*AM67),"")</f>
        <v/>
      </c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L67">
        <f>IFERROR(INDEX('_names_lookup'!$C:$C,MATCH(BK67,'_names_lookup'!$A:$A,0)),"")</f>
        <v/>
      </c>
      <c r="BM67">
        <f>IFERROR(INDEX('_names_lookup'!$B:$B,MATCH(BK67,'_names_lookup'!$A:$A,0)),"")</f>
        <v/>
      </c>
      <c r="BS67">
        <f>IFERROR(IF(BR67*AA67=0,"",BR67*AA67),"")</f>
        <v/>
      </c>
    </row>
    <row r="68">
      <c r="O68">
        <f>IFERROR(INDEX('_courses_lookup'!$C:$C,MATCH(K68&amp;L68,'_courses_lookup'!$E:$E,0)),"")</f>
        <v/>
      </c>
      <c r="P68">
        <f>IFERROR(INDEX('_courses_lookup'!$D:$D,MATCH(K68&amp;L68,'_courses_lookup'!$E:$E,0)),"")</f>
        <v/>
      </c>
      <c r="AG68">
        <f>IF(AND(AE68&lt;&gt;"",AF68&lt;&gt;""),ROUNDUP((AF68-AE68)/7,0),"")</f>
        <v/>
      </c>
      <c r="AI68">
        <f>IFERROR(IF(AG68*AH68=0,"",AG68*AH68),"")</f>
        <v/>
      </c>
      <c r="AL68">
        <f>IF(AND(AJ68&lt;&gt;"",AK68&lt;&gt;""),ROUNDUP((AK68-AJ68)/7,0),"")</f>
        <v/>
      </c>
      <c r="AN68">
        <f>IFERROR(IF(AL68*AM68=0,"",AL68*AM68),"")</f>
        <v/>
      </c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L68">
        <f>IFERROR(INDEX('_names_lookup'!$C:$C,MATCH(BK68,'_names_lookup'!$A:$A,0)),"")</f>
        <v/>
      </c>
      <c r="BM68">
        <f>IFERROR(INDEX('_names_lookup'!$B:$B,MATCH(BK68,'_names_lookup'!$A:$A,0)),"")</f>
        <v/>
      </c>
      <c r="BS68">
        <f>IFERROR(IF(BR68*AA68=0,"",BR68*AA68),"")</f>
        <v/>
      </c>
    </row>
    <row r="69">
      <c r="O69">
        <f>IFERROR(INDEX('_courses_lookup'!$C:$C,MATCH(K69&amp;L69,'_courses_lookup'!$E:$E,0)),"")</f>
        <v/>
      </c>
      <c r="P69">
        <f>IFERROR(INDEX('_courses_lookup'!$D:$D,MATCH(K69&amp;L69,'_courses_lookup'!$E:$E,0)),"")</f>
        <v/>
      </c>
      <c r="AG69">
        <f>IF(AND(AE69&lt;&gt;"",AF69&lt;&gt;""),ROUNDUP((AF69-AE69)/7,0),"")</f>
        <v/>
      </c>
      <c r="AI69">
        <f>IFERROR(IF(AG69*AH69=0,"",AG69*AH69),"")</f>
        <v/>
      </c>
      <c r="AL69">
        <f>IF(AND(AJ69&lt;&gt;"",AK69&lt;&gt;""),ROUNDUP((AK69-AJ69)/7,0),"")</f>
        <v/>
      </c>
      <c r="AN69">
        <f>IFERROR(IF(AL69*AM69=0,"",AL69*AM69),"")</f>
        <v/>
      </c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L69">
        <f>IFERROR(INDEX('_names_lookup'!$C:$C,MATCH(BK69,'_names_lookup'!$A:$A,0)),"")</f>
        <v/>
      </c>
      <c r="BM69">
        <f>IFERROR(INDEX('_names_lookup'!$B:$B,MATCH(BK69,'_names_lookup'!$A:$A,0)),"")</f>
        <v/>
      </c>
      <c r="BS69">
        <f>IFERROR(IF(BR69*AA69=0,"",BR69*AA69),"")</f>
        <v/>
      </c>
    </row>
    <row r="70">
      <c r="O70">
        <f>IFERROR(INDEX('_courses_lookup'!$C:$C,MATCH(K70&amp;L70,'_courses_lookup'!$E:$E,0)),"")</f>
        <v/>
      </c>
      <c r="P70">
        <f>IFERROR(INDEX('_courses_lookup'!$D:$D,MATCH(K70&amp;L70,'_courses_lookup'!$E:$E,0)),"")</f>
        <v/>
      </c>
      <c r="AG70">
        <f>IF(AND(AE70&lt;&gt;"",AF70&lt;&gt;""),ROUNDUP((AF70-AE70)/7,0),"")</f>
        <v/>
      </c>
      <c r="AI70">
        <f>IFERROR(IF(AG70*AH70=0,"",AG70*AH70),"")</f>
        <v/>
      </c>
      <c r="AL70">
        <f>IF(AND(AJ70&lt;&gt;"",AK70&lt;&gt;""),ROUNDUP((AK70-AJ70)/7,0),"")</f>
        <v/>
      </c>
      <c r="AN70">
        <f>IFERROR(IF(AL70*AM70=0,"",AL70*AM70),"")</f>
        <v/>
      </c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L70">
        <f>IFERROR(INDEX('_names_lookup'!$C:$C,MATCH(BK70,'_names_lookup'!$A:$A,0)),"")</f>
        <v/>
      </c>
      <c r="BM70">
        <f>IFERROR(INDEX('_names_lookup'!$B:$B,MATCH(BK70,'_names_lookup'!$A:$A,0)),"")</f>
        <v/>
      </c>
      <c r="BS70">
        <f>IFERROR(IF(BR70*AA70=0,"",BR70*AA70),"")</f>
        <v/>
      </c>
    </row>
    <row r="71">
      <c r="O71">
        <f>IFERROR(INDEX('_courses_lookup'!$C:$C,MATCH(K71&amp;L71,'_courses_lookup'!$E:$E,0)),"")</f>
        <v/>
      </c>
      <c r="P71">
        <f>IFERROR(INDEX('_courses_lookup'!$D:$D,MATCH(K71&amp;L71,'_courses_lookup'!$E:$E,0)),"")</f>
        <v/>
      </c>
      <c r="AG71">
        <f>IF(AND(AE71&lt;&gt;"",AF71&lt;&gt;""),ROUNDUP((AF71-AE71)/7,0),"")</f>
        <v/>
      </c>
      <c r="AI71">
        <f>IFERROR(IF(AG71*AH71=0,"",AG71*AH71),"")</f>
        <v/>
      </c>
      <c r="AL71">
        <f>IF(AND(AJ71&lt;&gt;"",AK71&lt;&gt;""),ROUNDUP((AK71-AJ71)/7,0),"")</f>
        <v/>
      </c>
      <c r="AN71">
        <f>IFERROR(IF(AL71*AM71=0,"",AL71*AM71),"")</f>
        <v/>
      </c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L71">
        <f>IFERROR(INDEX('_names_lookup'!$C:$C,MATCH(BK71,'_names_lookup'!$A:$A,0)),"")</f>
        <v/>
      </c>
      <c r="BM71">
        <f>IFERROR(INDEX('_names_lookup'!$B:$B,MATCH(BK71,'_names_lookup'!$A:$A,0)),"")</f>
        <v/>
      </c>
      <c r="BS71">
        <f>IFERROR(IF(BR71*AA71=0,"",BR71*AA71),"")</f>
        <v/>
      </c>
    </row>
    <row r="72">
      <c r="O72">
        <f>IFERROR(INDEX('_courses_lookup'!$C:$C,MATCH(K72&amp;L72,'_courses_lookup'!$E:$E,0)),"")</f>
        <v/>
      </c>
      <c r="P72">
        <f>IFERROR(INDEX('_courses_lookup'!$D:$D,MATCH(K72&amp;L72,'_courses_lookup'!$E:$E,0)),"")</f>
        <v/>
      </c>
      <c r="AG72">
        <f>IF(AND(AE72&lt;&gt;"",AF72&lt;&gt;""),ROUNDUP((AF72-AE72)/7,0),"")</f>
        <v/>
      </c>
      <c r="AI72">
        <f>IFERROR(IF(AG72*AH72=0,"",AG72*AH72),"")</f>
        <v/>
      </c>
      <c r="AL72">
        <f>IF(AND(AJ72&lt;&gt;"",AK72&lt;&gt;""),ROUNDUP((AK72-AJ72)/7,0),"")</f>
        <v/>
      </c>
      <c r="AN72">
        <f>IFERROR(IF(AL72*AM72=0,"",AL72*AM72),"")</f>
        <v/>
      </c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L72">
        <f>IFERROR(INDEX('_names_lookup'!$C:$C,MATCH(BK72,'_names_lookup'!$A:$A,0)),"")</f>
        <v/>
      </c>
      <c r="BM72">
        <f>IFERROR(INDEX('_names_lookup'!$B:$B,MATCH(BK72,'_names_lookup'!$A:$A,0)),"")</f>
        <v/>
      </c>
      <c r="BS72">
        <f>IFERROR(IF(BR72*AA72=0,"",BR72*AA72),"")</f>
        <v/>
      </c>
    </row>
    <row r="73">
      <c r="O73">
        <f>IFERROR(INDEX('_courses_lookup'!$C:$C,MATCH(K73&amp;L73,'_courses_lookup'!$E:$E,0)),"")</f>
        <v/>
      </c>
      <c r="P73">
        <f>IFERROR(INDEX('_courses_lookup'!$D:$D,MATCH(K73&amp;L73,'_courses_lookup'!$E:$E,0)),"")</f>
        <v/>
      </c>
      <c r="AG73">
        <f>IF(AND(AE73&lt;&gt;"",AF73&lt;&gt;""),ROUNDUP((AF73-AE73)/7,0),"")</f>
        <v/>
      </c>
      <c r="AI73">
        <f>IFERROR(IF(AG73*AH73=0,"",AG73*AH73),"")</f>
        <v/>
      </c>
      <c r="AL73">
        <f>IF(AND(AJ73&lt;&gt;"",AK73&lt;&gt;""),ROUNDUP((AK73-AJ73)/7,0),"")</f>
        <v/>
      </c>
      <c r="AN73">
        <f>IFERROR(IF(AL73*AM73=0,"",AL73*AM73),"")</f>
        <v/>
      </c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L73">
        <f>IFERROR(INDEX('_names_lookup'!$C:$C,MATCH(BK73,'_names_lookup'!$A:$A,0)),"")</f>
        <v/>
      </c>
      <c r="BM73">
        <f>IFERROR(INDEX('_names_lookup'!$B:$B,MATCH(BK73,'_names_lookup'!$A:$A,0)),"")</f>
        <v/>
      </c>
      <c r="BS73">
        <f>IFERROR(IF(BR73*AA73=0,"",BR73*AA73),"")</f>
        <v/>
      </c>
    </row>
    <row r="74">
      <c r="O74">
        <f>IFERROR(INDEX('_courses_lookup'!$C:$C,MATCH(K74&amp;L74,'_courses_lookup'!$E:$E,0)),"")</f>
        <v/>
      </c>
      <c r="P74">
        <f>IFERROR(INDEX('_courses_lookup'!$D:$D,MATCH(K74&amp;L74,'_courses_lookup'!$E:$E,0)),"")</f>
        <v/>
      </c>
      <c r="AG74">
        <f>IF(AND(AE74&lt;&gt;"",AF74&lt;&gt;""),ROUNDUP((AF74-AE74)/7,0),"")</f>
        <v/>
      </c>
      <c r="AI74">
        <f>IFERROR(IF(AG74*AH74=0,"",AG74*AH74),"")</f>
        <v/>
      </c>
      <c r="AL74">
        <f>IF(AND(AJ74&lt;&gt;"",AK74&lt;&gt;""),ROUNDUP((AK74-AJ74)/7,0),"")</f>
        <v/>
      </c>
      <c r="AN74">
        <f>IFERROR(IF(AL74*AM74=0,"",AL74*AM74),"")</f>
        <v/>
      </c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L74">
        <f>IFERROR(INDEX('_names_lookup'!$C:$C,MATCH(BK74,'_names_lookup'!$A:$A,0)),"")</f>
        <v/>
      </c>
      <c r="BM74">
        <f>IFERROR(INDEX('_names_lookup'!$B:$B,MATCH(BK74,'_names_lookup'!$A:$A,0)),"")</f>
        <v/>
      </c>
      <c r="BS74">
        <f>IFERROR(IF(BR74*AA74=0,"",BR74*AA74),"")</f>
        <v/>
      </c>
    </row>
    <row r="75">
      <c r="O75">
        <f>IFERROR(INDEX('_courses_lookup'!$C:$C,MATCH(K75&amp;L75,'_courses_lookup'!$E:$E,0)),"")</f>
        <v/>
      </c>
      <c r="P75">
        <f>IFERROR(INDEX('_courses_lookup'!$D:$D,MATCH(K75&amp;L75,'_courses_lookup'!$E:$E,0)),"")</f>
        <v/>
      </c>
      <c r="AG75">
        <f>IF(AND(AE75&lt;&gt;"",AF75&lt;&gt;""),ROUNDUP((AF75-AE75)/7,0),"")</f>
        <v/>
      </c>
      <c r="AI75">
        <f>IFERROR(IF(AG75*AH75=0,"",AG75*AH75),"")</f>
        <v/>
      </c>
      <c r="AL75">
        <f>IF(AND(AJ75&lt;&gt;"",AK75&lt;&gt;""),ROUNDUP((AK75-AJ75)/7,0),"")</f>
        <v/>
      </c>
      <c r="AN75">
        <f>IFERROR(IF(AL75*AM75=0,"",AL75*AM75),"")</f>
        <v/>
      </c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L75">
        <f>IFERROR(INDEX('_names_lookup'!$C:$C,MATCH(BK75,'_names_lookup'!$A:$A,0)),"")</f>
        <v/>
      </c>
      <c r="BM75">
        <f>IFERROR(INDEX('_names_lookup'!$B:$B,MATCH(BK75,'_names_lookup'!$A:$A,0)),"")</f>
        <v/>
      </c>
      <c r="BS75">
        <f>IFERROR(IF(BR75*AA75=0,"",BR75*AA75),"")</f>
        <v/>
      </c>
    </row>
    <row r="76">
      <c r="O76">
        <f>IFERROR(INDEX('_courses_lookup'!$C:$C,MATCH(K76&amp;L76,'_courses_lookup'!$E:$E,0)),"")</f>
        <v/>
      </c>
      <c r="P76">
        <f>IFERROR(INDEX('_courses_lookup'!$D:$D,MATCH(K76&amp;L76,'_courses_lookup'!$E:$E,0)),"")</f>
        <v/>
      </c>
      <c r="AG76">
        <f>IF(AND(AE76&lt;&gt;"",AF76&lt;&gt;""),ROUNDUP((AF76-AE76)/7,0),"")</f>
        <v/>
      </c>
      <c r="AI76">
        <f>IFERROR(IF(AG76*AH76=0,"",AG76*AH76),"")</f>
        <v/>
      </c>
      <c r="AL76">
        <f>IF(AND(AJ76&lt;&gt;"",AK76&lt;&gt;""),ROUNDUP((AK76-AJ76)/7,0),"")</f>
        <v/>
      </c>
      <c r="AN76">
        <f>IFERROR(IF(AL76*AM76=0,"",AL76*AM76),"")</f>
        <v/>
      </c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L76">
        <f>IFERROR(INDEX('_names_lookup'!$C:$C,MATCH(BK76,'_names_lookup'!$A:$A,0)),"")</f>
        <v/>
      </c>
      <c r="BM76">
        <f>IFERROR(INDEX('_names_lookup'!$B:$B,MATCH(BK76,'_names_lookup'!$A:$A,0)),"")</f>
        <v/>
      </c>
      <c r="BS76">
        <f>IFERROR(IF(BR76*AA76=0,"",BR76*AA76),"")</f>
        <v/>
      </c>
    </row>
    <row r="77">
      <c r="O77">
        <f>IFERROR(INDEX('_courses_lookup'!$C:$C,MATCH(K77&amp;L77,'_courses_lookup'!$E:$E,0)),"")</f>
        <v/>
      </c>
      <c r="P77">
        <f>IFERROR(INDEX('_courses_lookup'!$D:$D,MATCH(K77&amp;L77,'_courses_lookup'!$E:$E,0)),"")</f>
        <v/>
      </c>
      <c r="AG77">
        <f>IF(AND(AE77&lt;&gt;"",AF77&lt;&gt;""),ROUNDUP((AF77-AE77)/7,0),"")</f>
        <v/>
      </c>
      <c r="AI77">
        <f>IFERROR(IF(AG77*AH77=0,"",AG77*AH77),"")</f>
        <v/>
      </c>
      <c r="AL77">
        <f>IF(AND(AJ77&lt;&gt;"",AK77&lt;&gt;""),ROUNDUP((AK77-AJ77)/7,0),"")</f>
        <v/>
      </c>
      <c r="AN77">
        <f>IFERROR(IF(AL77*AM77=0,"",AL77*AM77),"")</f>
        <v/>
      </c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L77">
        <f>IFERROR(INDEX('_names_lookup'!$C:$C,MATCH(BK77,'_names_lookup'!$A:$A,0)),"")</f>
        <v/>
      </c>
      <c r="BM77">
        <f>IFERROR(INDEX('_names_lookup'!$B:$B,MATCH(BK77,'_names_lookup'!$A:$A,0)),"")</f>
        <v/>
      </c>
      <c r="BS77">
        <f>IFERROR(IF(BR77*AA77=0,"",BR77*AA77),"")</f>
        <v/>
      </c>
    </row>
    <row r="78">
      <c r="O78">
        <f>IFERROR(INDEX('_courses_lookup'!$C:$C,MATCH(K78&amp;L78,'_courses_lookup'!$E:$E,0)),"")</f>
        <v/>
      </c>
      <c r="P78">
        <f>IFERROR(INDEX('_courses_lookup'!$D:$D,MATCH(K78&amp;L78,'_courses_lookup'!$E:$E,0)),"")</f>
        <v/>
      </c>
      <c r="AG78">
        <f>IF(AND(AE78&lt;&gt;"",AF78&lt;&gt;""),ROUNDUP((AF78-AE78)/7,0),"")</f>
        <v/>
      </c>
      <c r="AI78">
        <f>IFERROR(IF(AG78*AH78=0,"",AG78*AH78),"")</f>
        <v/>
      </c>
      <c r="AL78">
        <f>IF(AND(AJ78&lt;&gt;"",AK78&lt;&gt;""),ROUNDUP((AK78-AJ78)/7,0),"")</f>
        <v/>
      </c>
      <c r="AN78">
        <f>IFERROR(IF(AL78*AM78=0,"",AL78*AM78),"")</f>
        <v/>
      </c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L78">
        <f>IFERROR(INDEX('_names_lookup'!$C:$C,MATCH(BK78,'_names_lookup'!$A:$A,0)),"")</f>
        <v/>
      </c>
      <c r="BM78">
        <f>IFERROR(INDEX('_names_lookup'!$B:$B,MATCH(BK78,'_names_lookup'!$A:$A,0)),"")</f>
        <v/>
      </c>
      <c r="BS78">
        <f>IFERROR(IF(BR78*AA78=0,"",BR78*AA78),"")</f>
        <v/>
      </c>
    </row>
    <row r="79">
      <c r="O79">
        <f>IFERROR(INDEX('_courses_lookup'!$C:$C,MATCH(K79&amp;L79,'_courses_lookup'!$E:$E,0)),"")</f>
        <v/>
      </c>
      <c r="P79">
        <f>IFERROR(INDEX('_courses_lookup'!$D:$D,MATCH(K79&amp;L79,'_courses_lookup'!$E:$E,0)),"")</f>
        <v/>
      </c>
      <c r="AG79">
        <f>IF(AND(AE79&lt;&gt;"",AF79&lt;&gt;""),ROUNDUP((AF79-AE79)/7,0),"")</f>
        <v/>
      </c>
      <c r="AI79">
        <f>IFERROR(IF(AG79*AH79=0,"",AG79*AH79),"")</f>
        <v/>
      </c>
      <c r="AL79">
        <f>IF(AND(AJ79&lt;&gt;"",AK79&lt;&gt;""),ROUNDUP((AK79-AJ79)/7,0),"")</f>
        <v/>
      </c>
      <c r="AN79">
        <f>IFERROR(IF(AL79*AM79=0,"",AL79*AM79),"")</f>
        <v/>
      </c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L79">
        <f>IFERROR(INDEX('_names_lookup'!$C:$C,MATCH(BK79,'_names_lookup'!$A:$A,0)),"")</f>
        <v/>
      </c>
      <c r="BM79">
        <f>IFERROR(INDEX('_names_lookup'!$B:$B,MATCH(BK79,'_names_lookup'!$A:$A,0)),"")</f>
        <v/>
      </c>
      <c r="BS79">
        <f>IFERROR(IF(BR79*AA79=0,"",BR79*AA79),"")</f>
        <v/>
      </c>
    </row>
    <row r="80">
      <c r="O80">
        <f>IFERROR(INDEX('_courses_lookup'!$C:$C,MATCH(K80&amp;L80,'_courses_lookup'!$E:$E,0)),"")</f>
        <v/>
      </c>
      <c r="P80">
        <f>IFERROR(INDEX('_courses_lookup'!$D:$D,MATCH(K80&amp;L80,'_courses_lookup'!$E:$E,0)),"")</f>
        <v/>
      </c>
      <c r="AG80">
        <f>IF(AND(AE80&lt;&gt;"",AF80&lt;&gt;""),ROUNDUP((AF80-AE80)/7,0),"")</f>
        <v/>
      </c>
      <c r="AI80">
        <f>IFERROR(IF(AG80*AH80=0,"",AG80*AH80),"")</f>
        <v/>
      </c>
      <c r="AL80">
        <f>IF(AND(AJ80&lt;&gt;"",AK80&lt;&gt;""),ROUNDUP((AK80-AJ80)/7,0),"")</f>
        <v/>
      </c>
      <c r="AN80">
        <f>IFERROR(IF(AL80*AM80=0,"",AL80*AM80),"")</f>
        <v/>
      </c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L80">
        <f>IFERROR(INDEX('_names_lookup'!$C:$C,MATCH(BK80,'_names_lookup'!$A:$A,0)),"")</f>
        <v/>
      </c>
      <c r="BM80">
        <f>IFERROR(INDEX('_names_lookup'!$B:$B,MATCH(BK80,'_names_lookup'!$A:$A,0)),"")</f>
        <v/>
      </c>
      <c r="BS80">
        <f>IFERROR(IF(BR80*AA80=0,"",BR80*AA80),"")</f>
        <v/>
      </c>
    </row>
    <row r="81">
      <c r="O81">
        <f>IFERROR(INDEX('_courses_lookup'!$C:$C,MATCH(K81&amp;L81,'_courses_lookup'!$E:$E,0)),"")</f>
        <v/>
      </c>
      <c r="P81">
        <f>IFERROR(INDEX('_courses_lookup'!$D:$D,MATCH(K81&amp;L81,'_courses_lookup'!$E:$E,0)),"")</f>
        <v/>
      </c>
      <c r="AG81">
        <f>IF(AND(AE81&lt;&gt;"",AF81&lt;&gt;""),ROUNDUP((AF81-AE81)/7,0),"")</f>
        <v/>
      </c>
      <c r="AI81">
        <f>IFERROR(IF(AG81*AH81=0,"",AG81*AH81),"")</f>
        <v/>
      </c>
      <c r="AL81">
        <f>IF(AND(AJ81&lt;&gt;"",AK81&lt;&gt;""),ROUNDUP((AK81-AJ81)/7,0),"")</f>
        <v/>
      </c>
      <c r="AN81">
        <f>IFERROR(IF(AL81*AM81=0,"",AL81*AM81),"")</f>
        <v/>
      </c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L81">
        <f>IFERROR(INDEX('_names_lookup'!$C:$C,MATCH(BK81,'_names_lookup'!$A:$A,0)),"")</f>
        <v/>
      </c>
      <c r="BM81">
        <f>IFERROR(INDEX('_names_lookup'!$B:$B,MATCH(BK81,'_names_lookup'!$A:$A,0)),"")</f>
        <v/>
      </c>
      <c r="BS81">
        <f>IFERROR(IF(BR81*AA81=0,"",BR81*AA81),"")</f>
        <v/>
      </c>
    </row>
    <row r="82">
      <c r="O82">
        <f>IFERROR(INDEX('_courses_lookup'!$C:$C,MATCH(K82&amp;L82,'_courses_lookup'!$E:$E,0)),"")</f>
        <v/>
      </c>
      <c r="P82">
        <f>IFERROR(INDEX('_courses_lookup'!$D:$D,MATCH(K82&amp;L82,'_courses_lookup'!$E:$E,0)),"")</f>
        <v/>
      </c>
      <c r="AG82">
        <f>IF(AND(AE82&lt;&gt;"",AF82&lt;&gt;""),ROUNDUP((AF82-AE82)/7,0),"")</f>
        <v/>
      </c>
      <c r="AI82">
        <f>IFERROR(IF(AG82*AH82=0,"",AG82*AH82),"")</f>
        <v/>
      </c>
      <c r="AL82">
        <f>IF(AND(AJ82&lt;&gt;"",AK82&lt;&gt;""),ROUNDUP((AK82-AJ82)/7,0),"")</f>
        <v/>
      </c>
      <c r="AN82">
        <f>IFERROR(IF(AL82*AM82=0,"",AL82*AM82),"")</f>
        <v/>
      </c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L82">
        <f>IFERROR(INDEX('_names_lookup'!$C:$C,MATCH(BK82,'_names_lookup'!$A:$A,0)),"")</f>
        <v/>
      </c>
      <c r="BM82">
        <f>IFERROR(INDEX('_names_lookup'!$B:$B,MATCH(BK82,'_names_lookup'!$A:$A,0)),"")</f>
        <v/>
      </c>
      <c r="BS82">
        <f>IFERROR(IF(BR82*AA82=0,"",BR82*AA82),"")</f>
        <v/>
      </c>
    </row>
    <row r="83">
      <c r="O83">
        <f>IFERROR(INDEX('_courses_lookup'!$C:$C,MATCH(K83&amp;L83,'_courses_lookup'!$E:$E,0)),"")</f>
        <v/>
      </c>
      <c r="P83">
        <f>IFERROR(INDEX('_courses_lookup'!$D:$D,MATCH(K83&amp;L83,'_courses_lookup'!$E:$E,0)),"")</f>
        <v/>
      </c>
      <c r="AG83">
        <f>IF(AND(AE83&lt;&gt;"",AF83&lt;&gt;""),ROUNDUP((AF83-AE83)/7,0),"")</f>
        <v/>
      </c>
      <c r="AI83">
        <f>IFERROR(IF(AG83*AH83=0,"",AG83*AH83),"")</f>
        <v/>
      </c>
      <c r="AL83">
        <f>IF(AND(AJ83&lt;&gt;"",AK83&lt;&gt;""),ROUNDUP((AK83-AJ83)/7,0),"")</f>
        <v/>
      </c>
      <c r="AN83">
        <f>IFERROR(IF(AL83*AM83=0,"",AL83*AM83),"")</f>
        <v/>
      </c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L83">
        <f>IFERROR(INDEX('_names_lookup'!$C:$C,MATCH(BK83,'_names_lookup'!$A:$A,0)),"")</f>
        <v/>
      </c>
      <c r="BM83">
        <f>IFERROR(INDEX('_names_lookup'!$B:$B,MATCH(BK83,'_names_lookup'!$A:$A,0)),"")</f>
        <v/>
      </c>
      <c r="BS83">
        <f>IFERROR(IF(BR83*AA83=0,"",BR83*AA83),"")</f>
        <v/>
      </c>
    </row>
    <row r="84">
      <c r="O84">
        <f>IFERROR(INDEX('_courses_lookup'!$C:$C,MATCH(K84&amp;L84,'_courses_lookup'!$E:$E,0)),"")</f>
        <v/>
      </c>
      <c r="P84">
        <f>IFERROR(INDEX('_courses_lookup'!$D:$D,MATCH(K84&amp;L84,'_courses_lookup'!$E:$E,0)),"")</f>
        <v/>
      </c>
      <c r="AG84">
        <f>IF(AND(AE84&lt;&gt;"",AF84&lt;&gt;""),ROUNDUP((AF84-AE84)/7,0),"")</f>
        <v/>
      </c>
      <c r="AI84">
        <f>IFERROR(IF(AG84*AH84=0,"",AG84*AH84),"")</f>
        <v/>
      </c>
      <c r="AL84">
        <f>IF(AND(AJ84&lt;&gt;"",AK84&lt;&gt;""),ROUNDUP((AK84-AJ84)/7,0),"")</f>
        <v/>
      </c>
      <c r="AN84">
        <f>IFERROR(IF(AL84*AM84=0,"",AL84*AM84),"")</f>
        <v/>
      </c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L84">
        <f>IFERROR(INDEX('_names_lookup'!$C:$C,MATCH(BK84,'_names_lookup'!$A:$A,0)),"")</f>
        <v/>
      </c>
      <c r="BM84">
        <f>IFERROR(INDEX('_names_lookup'!$B:$B,MATCH(BK84,'_names_lookup'!$A:$A,0)),"")</f>
        <v/>
      </c>
      <c r="BS84">
        <f>IFERROR(IF(BR84*AA84=0,"",BR84*AA84),"")</f>
        <v/>
      </c>
    </row>
    <row r="85">
      <c r="O85">
        <f>IFERROR(INDEX('_courses_lookup'!$C:$C,MATCH(K85&amp;L85,'_courses_lookup'!$E:$E,0)),"")</f>
        <v/>
      </c>
      <c r="P85">
        <f>IFERROR(INDEX('_courses_lookup'!$D:$D,MATCH(K85&amp;L85,'_courses_lookup'!$E:$E,0)),"")</f>
        <v/>
      </c>
      <c r="AG85">
        <f>IF(AND(AE85&lt;&gt;"",AF85&lt;&gt;""),ROUNDUP((AF85-AE85)/7,0),"")</f>
        <v/>
      </c>
      <c r="AI85">
        <f>IFERROR(IF(AG85*AH85=0,"",AG85*AH85),"")</f>
        <v/>
      </c>
      <c r="AL85">
        <f>IF(AND(AJ85&lt;&gt;"",AK85&lt;&gt;""),ROUNDUP((AK85-AJ85)/7,0),"")</f>
        <v/>
      </c>
      <c r="AN85">
        <f>IFERROR(IF(AL85*AM85=0,"",AL85*AM85),"")</f>
        <v/>
      </c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L85">
        <f>IFERROR(INDEX('_names_lookup'!$C:$C,MATCH(BK85,'_names_lookup'!$A:$A,0)),"")</f>
        <v/>
      </c>
      <c r="BM85">
        <f>IFERROR(INDEX('_names_lookup'!$B:$B,MATCH(BK85,'_names_lookup'!$A:$A,0)),"")</f>
        <v/>
      </c>
      <c r="BS85">
        <f>IFERROR(IF(BR85*AA85=0,"",BR85*AA85),"")</f>
        <v/>
      </c>
    </row>
    <row r="86">
      <c r="O86">
        <f>IFERROR(INDEX('_courses_lookup'!$C:$C,MATCH(K86&amp;L86,'_courses_lookup'!$E:$E,0)),"")</f>
        <v/>
      </c>
      <c r="P86">
        <f>IFERROR(INDEX('_courses_lookup'!$D:$D,MATCH(K86&amp;L86,'_courses_lookup'!$E:$E,0)),"")</f>
        <v/>
      </c>
      <c r="AG86">
        <f>IF(AND(AE86&lt;&gt;"",AF86&lt;&gt;""),ROUNDUP((AF86-AE86)/7,0),"")</f>
        <v/>
      </c>
      <c r="AI86">
        <f>IFERROR(IF(AG86*AH86=0,"",AG86*AH86),"")</f>
        <v/>
      </c>
      <c r="AL86">
        <f>IF(AND(AJ86&lt;&gt;"",AK86&lt;&gt;""),ROUNDUP((AK86-AJ86)/7,0),"")</f>
        <v/>
      </c>
      <c r="AN86">
        <f>IFERROR(IF(AL86*AM86=0,"",AL86*AM86),"")</f>
        <v/>
      </c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L86">
        <f>IFERROR(INDEX('_names_lookup'!$C:$C,MATCH(BK86,'_names_lookup'!$A:$A,0)),"")</f>
        <v/>
      </c>
      <c r="BM86">
        <f>IFERROR(INDEX('_names_lookup'!$B:$B,MATCH(BK86,'_names_lookup'!$A:$A,0)),"")</f>
        <v/>
      </c>
      <c r="BS86">
        <f>IFERROR(IF(BR86*AA86=0,"",BR86*AA86),"")</f>
        <v/>
      </c>
    </row>
    <row r="87">
      <c r="O87">
        <f>IFERROR(INDEX('_courses_lookup'!$C:$C,MATCH(K87&amp;L87,'_courses_lookup'!$E:$E,0)),"")</f>
        <v/>
      </c>
      <c r="P87">
        <f>IFERROR(INDEX('_courses_lookup'!$D:$D,MATCH(K87&amp;L87,'_courses_lookup'!$E:$E,0)),"")</f>
        <v/>
      </c>
      <c r="AG87">
        <f>IF(AND(AE87&lt;&gt;"",AF87&lt;&gt;""),ROUNDUP((AF87-AE87)/7,0),"")</f>
        <v/>
      </c>
      <c r="AI87">
        <f>IFERROR(IF(AG87*AH87=0,"",AG87*AH87),"")</f>
        <v/>
      </c>
      <c r="AL87">
        <f>IF(AND(AJ87&lt;&gt;"",AK87&lt;&gt;""),ROUNDUP((AK87-AJ87)/7,0),"")</f>
        <v/>
      </c>
      <c r="AN87">
        <f>IFERROR(IF(AL87*AM87=0,"",AL87*AM87),"")</f>
        <v/>
      </c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L87">
        <f>IFERROR(INDEX('_names_lookup'!$C:$C,MATCH(BK87,'_names_lookup'!$A:$A,0)),"")</f>
        <v/>
      </c>
      <c r="BM87">
        <f>IFERROR(INDEX('_names_lookup'!$B:$B,MATCH(BK87,'_names_lookup'!$A:$A,0)),"")</f>
        <v/>
      </c>
      <c r="BS87">
        <f>IFERROR(IF(BR87*AA87=0,"",BR87*AA87),"")</f>
        <v/>
      </c>
    </row>
    <row r="88">
      <c r="O88">
        <f>IFERROR(INDEX('_courses_lookup'!$C:$C,MATCH(K88&amp;L88,'_courses_lookup'!$E:$E,0)),"")</f>
        <v/>
      </c>
      <c r="P88">
        <f>IFERROR(INDEX('_courses_lookup'!$D:$D,MATCH(K88&amp;L88,'_courses_lookup'!$E:$E,0)),"")</f>
        <v/>
      </c>
      <c r="AG88">
        <f>IF(AND(AE88&lt;&gt;"",AF88&lt;&gt;""),ROUNDUP((AF88-AE88)/7,0),"")</f>
        <v/>
      </c>
      <c r="AI88">
        <f>IFERROR(IF(AG88*AH88=0,"",AG88*AH88),"")</f>
        <v/>
      </c>
      <c r="AL88">
        <f>IF(AND(AJ88&lt;&gt;"",AK88&lt;&gt;""),ROUNDUP((AK88-AJ88)/7,0),"")</f>
        <v/>
      </c>
      <c r="AN88">
        <f>IFERROR(IF(AL88*AM88=0,"",AL88*AM88),"")</f>
        <v/>
      </c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L88">
        <f>IFERROR(INDEX('_names_lookup'!$C:$C,MATCH(BK88,'_names_lookup'!$A:$A,0)),"")</f>
        <v/>
      </c>
      <c r="BM88">
        <f>IFERROR(INDEX('_names_lookup'!$B:$B,MATCH(BK88,'_names_lookup'!$A:$A,0)),"")</f>
        <v/>
      </c>
      <c r="BS88">
        <f>IFERROR(IF(BR88*AA88=0,"",BR88*AA88),"")</f>
        <v/>
      </c>
    </row>
    <row r="89">
      <c r="O89">
        <f>IFERROR(INDEX('_courses_lookup'!$C:$C,MATCH(K89&amp;L89,'_courses_lookup'!$E:$E,0)),"")</f>
        <v/>
      </c>
      <c r="P89">
        <f>IFERROR(INDEX('_courses_lookup'!$D:$D,MATCH(K89&amp;L89,'_courses_lookup'!$E:$E,0)),"")</f>
        <v/>
      </c>
      <c r="AG89">
        <f>IF(AND(AE89&lt;&gt;"",AF89&lt;&gt;""),ROUNDUP((AF89-AE89)/7,0),"")</f>
        <v/>
      </c>
      <c r="AI89">
        <f>IFERROR(IF(AG89*AH89=0,"",AG89*AH89),"")</f>
        <v/>
      </c>
      <c r="AL89">
        <f>IF(AND(AJ89&lt;&gt;"",AK89&lt;&gt;""),ROUNDUP((AK89-AJ89)/7,0),"")</f>
        <v/>
      </c>
      <c r="AN89">
        <f>IFERROR(IF(AL89*AM89=0,"",AL89*AM89),"")</f>
        <v/>
      </c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L89">
        <f>IFERROR(INDEX('_names_lookup'!$C:$C,MATCH(BK89,'_names_lookup'!$A:$A,0)),"")</f>
        <v/>
      </c>
      <c r="BM89">
        <f>IFERROR(INDEX('_names_lookup'!$B:$B,MATCH(BK89,'_names_lookup'!$A:$A,0)),"")</f>
        <v/>
      </c>
      <c r="BS89">
        <f>IFERROR(IF(BR89*AA89=0,"",BR89*AA89),"")</f>
        <v/>
      </c>
    </row>
    <row r="90">
      <c r="O90">
        <f>IFERROR(INDEX('_courses_lookup'!$C:$C,MATCH(K90&amp;L90,'_courses_lookup'!$E:$E,0)),"")</f>
        <v/>
      </c>
      <c r="P90">
        <f>IFERROR(INDEX('_courses_lookup'!$D:$D,MATCH(K90&amp;L90,'_courses_lookup'!$E:$E,0)),"")</f>
        <v/>
      </c>
      <c r="AG90">
        <f>IF(AND(AE90&lt;&gt;"",AF90&lt;&gt;""),ROUNDUP((AF90-AE90)/7,0),"")</f>
        <v/>
      </c>
      <c r="AI90">
        <f>IFERROR(IF(AG90*AH90=0,"",AG90*AH90),"")</f>
        <v/>
      </c>
      <c r="AL90">
        <f>IF(AND(AJ90&lt;&gt;"",AK90&lt;&gt;""),ROUNDUP((AK90-AJ90)/7,0),"")</f>
        <v/>
      </c>
      <c r="AN90">
        <f>IFERROR(IF(AL90*AM90=0,"",AL90*AM90),"")</f>
        <v/>
      </c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L90">
        <f>IFERROR(INDEX('_names_lookup'!$C:$C,MATCH(BK90,'_names_lookup'!$A:$A,0)),"")</f>
        <v/>
      </c>
      <c r="BM90">
        <f>IFERROR(INDEX('_names_lookup'!$B:$B,MATCH(BK90,'_names_lookup'!$A:$A,0)),"")</f>
        <v/>
      </c>
      <c r="BS90">
        <f>IFERROR(IF(BR90*AA90=0,"",BR90*AA90),"")</f>
        <v/>
      </c>
    </row>
    <row r="91">
      <c r="O91">
        <f>IFERROR(INDEX('_courses_lookup'!$C:$C,MATCH(K91&amp;L91,'_courses_lookup'!$E:$E,0)),"")</f>
        <v/>
      </c>
      <c r="P91">
        <f>IFERROR(INDEX('_courses_lookup'!$D:$D,MATCH(K91&amp;L91,'_courses_lookup'!$E:$E,0)),"")</f>
        <v/>
      </c>
      <c r="AG91">
        <f>IF(AND(AE91&lt;&gt;"",AF91&lt;&gt;""),ROUNDUP((AF91-AE91)/7,0),"")</f>
        <v/>
      </c>
      <c r="AI91">
        <f>IFERROR(IF(AG91*AH91=0,"",AG91*AH91),"")</f>
        <v/>
      </c>
      <c r="AL91">
        <f>IF(AND(AJ91&lt;&gt;"",AK91&lt;&gt;""),ROUNDUP((AK91-AJ91)/7,0),"")</f>
        <v/>
      </c>
      <c r="AN91">
        <f>IFERROR(IF(AL91*AM91=0,"",AL91*AM91),"")</f>
        <v/>
      </c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L91">
        <f>IFERROR(INDEX('_names_lookup'!$C:$C,MATCH(BK91,'_names_lookup'!$A:$A,0)),"")</f>
        <v/>
      </c>
      <c r="BM91">
        <f>IFERROR(INDEX('_names_lookup'!$B:$B,MATCH(BK91,'_names_lookup'!$A:$A,0)),"")</f>
        <v/>
      </c>
      <c r="BS91">
        <f>IFERROR(IF(BR91*AA91=0,"",BR91*AA91),"")</f>
        <v/>
      </c>
    </row>
    <row r="92">
      <c r="O92">
        <f>IFERROR(INDEX('_courses_lookup'!$C:$C,MATCH(K92&amp;L92,'_courses_lookup'!$E:$E,0)),"")</f>
        <v/>
      </c>
      <c r="P92">
        <f>IFERROR(INDEX('_courses_lookup'!$D:$D,MATCH(K92&amp;L92,'_courses_lookup'!$E:$E,0)),"")</f>
        <v/>
      </c>
      <c r="AG92">
        <f>IF(AND(AE92&lt;&gt;"",AF92&lt;&gt;""),ROUNDUP((AF92-AE92)/7,0),"")</f>
        <v/>
      </c>
      <c r="AI92">
        <f>IFERROR(IF(AG92*AH92=0,"",AG92*AH92),"")</f>
        <v/>
      </c>
      <c r="AL92">
        <f>IF(AND(AJ92&lt;&gt;"",AK92&lt;&gt;""),ROUNDUP((AK92-AJ92)/7,0),"")</f>
        <v/>
      </c>
      <c r="AN92">
        <f>IFERROR(IF(AL92*AM92=0,"",AL92*AM92),"")</f>
        <v/>
      </c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L92">
        <f>IFERROR(INDEX('_names_lookup'!$C:$C,MATCH(BK92,'_names_lookup'!$A:$A,0)),"")</f>
        <v/>
      </c>
      <c r="BM92">
        <f>IFERROR(INDEX('_names_lookup'!$B:$B,MATCH(BK92,'_names_lookup'!$A:$A,0)),"")</f>
        <v/>
      </c>
      <c r="BS92">
        <f>IFERROR(IF(BR92*AA92=0,"",BR92*AA92),"")</f>
        <v/>
      </c>
    </row>
    <row r="93">
      <c r="O93">
        <f>IFERROR(INDEX('_courses_lookup'!$C:$C,MATCH(K93&amp;L93,'_courses_lookup'!$E:$E,0)),"")</f>
        <v/>
      </c>
      <c r="P93">
        <f>IFERROR(INDEX('_courses_lookup'!$D:$D,MATCH(K93&amp;L93,'_courses_lookup'!$E:$E,0)),"")</f>
        <v/>
      </c>
      <c r="AG93">
        <f>IF(AND(AE93&lt;&gt;"",AF93&lt;&gt;""),ROUNDUP((AF93-AE93)/7,0),"")</f>
        <v/>
      </c>
      <c r="AI93">
        <f>IFERROR(IF(AG93*AH93=0,"",AG93*AH93),"")</f>
        <v/>
      </c>
      <c r="AL93">
        <f>IF(AND(AJ93&lt;&gt;"",AK93&lt;&gt;""),ROUNDUP((AK93-AJ93)/7,0),"")</f>
        <v/>
      </c>
      <c r="AN93">
        <f>IFERROR(IF(AL93*AM93=0,"",AL93*AM93),"")</f>
        <v/>
      </c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L93">
        <f>IFERROR(INDEX('_names_lookup'!$C:$C,MATCH(BK93,'_names_lookup'!$A:$A,0)),"")</f>
        <v/>
      </c>
      <c r="BM93">
        <f>IFERROR(INDEX('_names_lookup'!$B:$B,MATCH(BK93,'_names_lookup'!$A:$A,0)),"")</f>
        <v/>
      </c>
      <c r="BS93">
        <f>IFERROR(IF(BR93*AA93=0,"",BR93*AA93),"")</f>
        <v/>
      </c>
    </row>
    <row r="94">
      <c r="O94">
        <f>IFERROR(INDEX('_courses_lookup'!$C:$C,MATCH(K94&amp;L94,'_courses_lookup'!$E:$E,0)),"")</f>
        <v/>
      </c>
      <c r="P94">
        <f>IFERROR(INDEX('_courses_lookup'!$D:$D,MATCH(K94&amp;L94,'_courses_lookup'!$E:$E,0)),"")</f>
        <v/>
      </c>
      <c r="AG94">
        <f>IF(AND(AE94&lt;&gt;"",AF94&lt;&gt;""),ROUNDUP((AF94-AE94)/7,0),"")</f>
        <v/>
      </c>
      <c r="AI94">
        <f>IFERROR(IF(AG94*AH94=0,"",AG94*AH94),"")</f>
        <v/>
      </c>
      <c r="AL94">
        <f>IF(AND(AJ94&lt;&gt;"",AK94&lt;&gt;""),ROUNDUP((AK94-AJ94)/7,0),"")</f>
        <v/>
      </c>
      <c r="AN94">
        <f>IFERROR(IF(AL94*AM94=0,"",AL94*AM94),"")</f>
        <v/>
      </c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L94">
        <f>IFERROR(INDEX('_names_lookup'!$C:$C,MATCH(BK94,'_names_lookup'!$A:$A,0)),"")</f>
        <v/>
      </c>
      <c r="BM94">
        <f>IFERROR(INDEX('_names_lookup'!$B:$B,MATCH(BK94,'_names_lookup'!$A:$A,0)),"")</f>
        <v/>
      </c>
      <c r="BS94">
        <f>IFERROR(IF(BR94*AA94=0,"",BR94*AA94),"")</f>
        <v/>
      </c>
    </row>
    <row r="95">
      <c r="O95">
        <f>IFERROR(INDEX('_courses_lookup'!$C:$C,MATCH(K95&amp;L95,'_courses_lookup'!$E:$E,0)),"")</f>
        <v/>
      </c>
      <c r="P95">
        <f>IFERROR(INDEX('_courses_lookup'!$D:$D,MATCH(K95&amp;L95,'_courses_lookup'!$E:$E,0)),"")</f>
        <v/>
      </c>
      <c r="AG95">
        <f>IF(AND(AE95&lt;&gt;"",AF95&lt;&gt;""),ROUNDUP((AF95-AE95)/7,0),"")</f>
        <v/>
      </c>
      <c r="AI95">
        <f>IFERROR(IF(AG95*AH95=0,"",AG95*AH95),"")</f>
        <v/>
      </c>
      <c r="AL95">
        <f>IF(AND(AJ95&lt;&gt;"",AK95&lt;&gt;""),ROUNDUP((AK95-AJ95)/7,0),"")</f>
        <v/>
      </c>
      <c r="AN95">
        <f>IFERROR(IF(AL95*AM95=0,"",AL95*AM95),"")</f>
        <v/>
      </c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L95">
        <f>IFERROR(INDEX('_names_lookup'!$C:$C,MATCH(BK95,'_names_lookup'!$A:$A,0)),"")</f>
        <v/>
      </c>
      <c r="BM95">
        <f>IFERROR(INDEX('_names_lookup'!$B:$B,MATCH(BK95,'_names_lookup'!$A:$A,0)),"")</f>
        <v/>
      </c>
      <c r="BS95">
        <f>IFERROR(IF(BR95*AA95=0,"",BR95*AA95),"")</f>
        <v/>
      </c>
    </row>
    <row r="96">
      <c r="O96">
        <f>IFERROR(INDEX('_courses_lookup'!$C:$C,MATCH(K96&amp;L96,'_courses_lookup'!$E:$E,0)),"")</f>
        <v/>
      </c>
      <c r="P96">
        <f>IFERROR(INDEX('_courses_lookup'!$D:$D,MATCH(K96&amp;L96,'_courses_lookup'!$E:$E,0)),"")</f>
        <v/>
      </c>
      <c r="AG96">
        <f>IF(AND(AE96&lt;&gt;"",AF96&lt;&gt;""),ROUNDUP((AF96-AE96)/7,0),"")</f>
        <v/>
      </c>
      <c r="AI96">
        <f>IFERROR(IF(AG96*AH96=0,"",AG96*AH96),"")</f>
        <v/>
      </c>
      <c r="AL96">
        <f>IF(AND(AJ96&lt;&gt;"",AK96&lt;&gt;""),ROUNDUP((AK96-AJ96)/7,0),"")</f>
        <v/>
      </c>
      <c r="AN96">
        <f>IFERROR(IF(AL96*AM96=0,"",AL96*AM96),"")</f>
        <v/>
      </c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L96">
        <f>IFERROR(INDEX('_names_lookup'!$C:$C,MATCH(BK96,'_names_lookup'!$A:$A,0)),"")</f>
        <v/>
      </c>
      <c r="BM96">
        <f>IFERROR(INDEX('_names_lookup'!$B:$B,MATCH(BK96,'_names_lookup'!$A:$A,0)),"")</f>
        <v/>
      </c>
      <c r="BS96">
        <f>IFERROR(IF(BR96*AA96=0,"",BR96*AA96),"")</f>
        <v/>
      </c>
    </row>
    <row r="97">
      <c r="O97">
        <f>IFERROR(INDEX('_courses_lookup'!$C:$C,MATCH(K97&amp;L97,'_courses_lookup'!$E:$E,0)),"")</f>
        <v/>
      </c>
      <c r="P97">
        <f>IFERROR(INDEX('_courses_lookup'!$D:$D,MATCH(K97&amp;L97,'_courses_lookup'!$E:$E,0)),"")</f>
        <v/>
      </c>
      <c r="AG97">
        <f>IF(AND(AE97&lt;&gt;"",AF97&lt;&gt;""),ROUNDUP((AF97-AE97)/7,0),"")</f>
        <v/>
      </c>
      <c r="AI97">
        <f>IFERROR(IF(AG97*AH97=0,"",AG97*AH97),"")</f>
        <v/>
      </c>
      <c r="AL97">
        <f>IF(AND(AJ97&lt;&gt;"",AK97&lt;&gt;""),ROUNDUP((AK97-AJ97)/7,0),"")</f>
        <v/>
      </c>
      <c r="AN97">
        <f>IFERROR(IF(AL97*AM97=0,"",AL97*AM97),"")</f>
        <v/>
      </c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L97">
        <f>IFERROR(INDEX('_names_lookup'!$C:$C,MATCH(BK97,'_names_lookup'!$A:$A,0)),"")</f>
        <v/>
      </c>
      <c r="BM97">
        <f>IFERROR(INDEX('_names_lookup'!$B:$B,MATCH(BK97,'_names_lookup'!$A:$A,0)),"")</f>
        <v/>
      </c>
      <c r="BS97">
        <f>IFERROR(IF(BR97*AA97=0,"",BR97*AA97),"")</f>
        <v/>
      </c>
    </row>
    <row r="98">
      <c r="O98">
        <f>IFERROR(INDEX('_courses_lookup'!$C:$C,MATCH(K98&amp;L98,'_courses_lookup'!$E:$E,0)),"")</f>
        <v/>
      </c>
      <c r="P98">
        <f>IFERROR(INDEX('_courses_lookup'!$D:$D,MATCH(K98&amp;L98,'_courses_lookup'!$E:$E,0)),"")</f>
        <v/>
      </c>
      <c r="AG98">
        <f>IF(AND(AE98&lt;&gt;"",AF98&lt;&gt;""),ROUNDUP((AF98-AE98)/7,0),"")</f>
        <v/>
      </c>
      <c r="AI98">
        <f>IFERROR(IF(AG98*AH98=0,"",AG98*AH98),"")</f>
        <v/>
      </c>
      <c r="AL98">
        <f>IF(AND(AJ98&lt;&gt;"",AK98&lt;&gt;""),ROUNDUP((AK98-AJ98)/7,0),"")</f>
        <v/>
      </c>
      <c r="AN98">
        <f>IFERROR(IF(AL98*AM98=0,"",AL98*AM98),"")</f>
        <v/>
      </c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L98">
        <f>IFERROR(INDEX('_names_lookup'!$C:$C,MATCH(BK98,'_names_lookup'!$A:$A,0)),"")</f>
        <v/>
      </c>
      <c r="BM98">
        <f>IFERROR(INDEX('_names_lookup'!$B:$B,MATCH(BK98,'_names_lookup'!$A:$A,0)),"")</f>
        <v/>
      </c>
      <c r="BS98">
        <f>IFERROR(IF(BR98*AA98=0,"",BR98*AA98),"")</f>
        <v/>
      </c>
    </row>
    <row r="99">
      <c r="O99">
        <f>IFERROR(INDEX('_courses_lookup'!$C:$C,MATCH(K99&amp;L99,'_courses_lookup'!$E:$E,0)),"")</f>
        <v/>
      </c>
      <c r="P99">
        <f>IFERROR(INDEX('_courses_lookup'!$D:$D,MATCH(K99&amp;L99,'_courses_lookup'!$E:$E,0)),"")</f>
        <v/>
      </c>
      <c r="AG99">
        <f>IF(AND(AE99&lt;&gt;"",AF99&lt;&gt;""),ROUNDUP((AF99-AE99)/7,0),"")</f>
        <v/>
      </c>
      <c r="AI99">
        <f>IFERROR(IF(AG99*AH99=0,"",AG99*AH99),"")</f>
        <v/>
      </c>
      <c r="AL99">
        <f>IF(AND(AJ99&lt;&gt;"",AK99&lt;&gt;""),ROUNDUP((AK99-AJ99)/7,0),"")</f>
        <v/>
      </c>
      <c r="AN99">
        <f>IFERROR(IF(AL99*AM99=0,"",AL99*AM99),"")</f>
        <v/>
      </c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L99">
        <f>IFERROR(INDEX('_names_lookup'!$C:$C,MATCH(BK99,'_names_lookup'!$A:$A,0)),"")</f>
        <v/>
      </c>
      <c r="BM99">
        <f>IFERROR(INDEX('_names_lookup'!$B:$B,MATCH(BK99,'_names_lookup'!$A:$A,0)),"")</f>
        <v/>
      </c>
      <c r="BS99">
        <f>IFERROR(IF(BR99*AA99=0,"",BR99*AA99),"")</f>
        <v/>
      </c>
    </row>
    <row r="100">
      <c r="O100">
        <f>IFERROR(INDEX('_courses_lookup'!$C:$C,MATCH(K100&amp;L100,'_courses_lookup'!$E:$E,0)),"")</f>
        <v/>
      </c>
      <c r="P100">
        <f>IFERROR(INDEX('_courses_lookup'!$D:$D,MATCH(K100&amp;L100,'_courses_lookup'!$E:$E,0)),"")</f>
        <v/>
      </c>
      <c r="AG100">
        <f>IF(AND(AE100&lt;&gt;"",AF100&lt;&gt;""),ROUNDUP((AF100-AE100)/7,0),"")</f>
        <v/>
      </c>
      <c r="AI100">
        <f>IFERROR(IF(AG100*AH100=0,"",AG100*AH100),"")</f>
        <v/>
      </c>
      <c r="AL100">
        <f>IF(AND(AJ100&lt;&gt;"",AK100&lt;&gt;""),ROUNDUP((AK100-AJ100)/7,0),"")</f>
        <v/>
      </c>
      <c r="AN100">
        <f>IFERROR(IF(AL100*AM100=0,"",AL100*AM100),"")</f>
        <v/>
      </c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L100">
        <f>IFERROR(INDEX('_names_lookup'!$C:$C,MATCH(BK100,'_names_lookup'!$A:$A,0)),"")</f>
        <v/>
      </c>
      <c r="BM100">
        <f>IFERROR(INDEX('_names_lookup'!$B:$B,MATCH(BK100,'_names_lookup'!$A:$A,0)),"")</f>
        <v/>
      </c>
      <c r="BS100">
        <f>IFERROR(IF(BR100*AA100=0,"",BR100*AA100),"")</f>
        <v/>
      </c>
    </row>
    <row r="101">
      <c r="O101">
        <f>IFERROR(INDEX('_courses_lookup'!$C:$C,MATCH(K101&amp;L101,'_courses_lookup'!$E:$E,0)),"")</f>
        <v/>
      </c>
      <c r="P101">
        <f>IFERROR(INDEX('_courses_lookup'!$D:$D,MATCH(K101&amp;L101,'_courses_lookup'!$E:$E,0)),"")</f>
        <v/>
      </c>
      <c r="AG101">
        <f>IF(AND(AE101&lt;&gt;"",AF101&lt;&gt;""),ROUNDUP((AF101-AE101)/7,0),"")</f>
        <v/>
      </c>
      <c r="AI101">
        <f>IFERROR(IF(AG101*AH101=0,"",AG101*AH101),"")</f>
        <v/>
      </c>
      <c r="AL101">
        <f>IF(AND(AJ101&lt;&gt;"",AK101&lt;&gt;""),ROUNDUP((AK101-AJ101)/7,0),"")</f>
        <v/>
      </c>
      <c r="AN101">
        <f>IFERROR(IF(AL101*AM101=0,"",AL101*AM101),"")</f>
        <v/>
      </c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L101">
        <f>IFERROR(INDEX('_names_lookup'!$C:$C,MATCH(BK101,'_names_lookup'!$A:$A,0)),"")</f>
        <v/>
      </c>
      <c r="BM101">
        <f>IFERROR(INDEX('_names_lookup'!$B:$B,MATCH(BK101,'_names_lookup'!$A:$A,0)),"")</f>
        <v/>
      </c>
      <c r="BS101">
        <f>IFERROR(IF(BR101*AA101=0,"",BR101*AA101),"")</f>
        <v/>
      </c>
    </row>
    <row r="102">
      <c r="O102">
        <f>IFERROR(INDEX('_courses_lookup'!$C:$C,MATCH(K102&amp;L102,'_courses_lookup'!$E:$E,0)),"")</f>
        <v/>
      </c>
      <c r="P102">
        <f>IFERROR(INDEX('_courses_lookup'!$D:$D,MATCH(K102&amp;L102,'_courses_lookup'!$E:$E,0)),"")</f>
        <v/>
      </c>
      <c r="AG102">
        <f>IF(AND(AE102&lt;&gt;"",AF102&lt;&gt;""),ROUNDUP((AF102-AE102)/7,0),"")</f>
        <v/>
      </c>
      <c r="AI102">
        <f>IFERROR(IF(AG102*AH102=0,"",AG102*AH102),"")</f>
        <v/>
      </c>
      <c r="AL102">
        <f>IF(AND(AJ102&lt;&gt;"",AK102&lt;&gt;""),ROUNDUP((AK102-AJ102)/7,0),"")</f>
        <v/>
      </c>
      <c r="AN102">
        <f>IFERROR(IF(AL102*AM102=0,"",AL102*AM102),"")</f>
        <v/>
      </c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L102">
        <f>IFERROR(INDEX('_names_lookup'!$C:$C,MATCH(BK102,'_names_lookup'!$A:$A,0)),"")</f>
        <v/>
      </c>
      <c r="BM102">
        <f>IFERROR(INDEX('_names_lookup'!$B:$B,MATCH(BK102,'_names_lookup'!$A:$A,0)),"")</f>
        <v/>
      </c>
      <c r="BS102">
        <f>IFERROR(IF(BR102*AA102=0,"",BR102*AA102),"")</f>
        <v/>
      </c>
    </row>
    <row r="103">
      <c r="O103">
        <f>IFERROR(INDEX('_courses_lookup'!$C:$C,MATCH(K103&amp;L103,'_courses_lookup'!$E:$E,0)),"")</f>
        <v/>
      </c>
      <c r="P103">
        <f>IFERROR(INDEX('_courses_lookup'!$D:$D,MATCH(K103&amp;L103,'_courses_lookup'!$E:$E,0)),"")</f>
        <v/>
      </c>
      <c r="AG103">
        <f>IF(AND(AE103&lt;&gt;"",AF103&lt;&gt;""),ROUNDUP((AF103-AE103)/7,0),"")</f>
        <v/>
      </c>
      <c r="AI103">
        <f>IFERROR(IF(AG103*AH103=0,"",AG103*AH103),"")</f>
        <v/>
      </c>
      <c r="AL103">
        <f>IF(AND(AJ103&lt;&gt;"",AK103&lt;&gt;""),ROUNDUP((AK103-AJ103)/7,0),"")</f>
        <v/>
      </c>
      <c r="AN103">
        <f>IFERROR(IF(AL103*AM103=0,"",AL103*AM103),"")</f>
        <v/>
      </c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L103">
        <f>IFERROR(INDEX('_names_lookup'!$C:$C,MATCH(BK103,'_names_lookup'!$A:$A,0)),"")</f>
        <v/>
      </c>
      <c r="BM103">
        <f>IFERROR(INDEX('_names_lookup'!$B:$B,MATCH(BK103,'_names_lookup'!$A:$A,0)),"")</f>
        <v/>
      </c>
      <c r="BS103">
        <f>IFERROR(IF(BR103*AA103=0,"",BR103*AA103),"")</f>
        <v/>
      </c>
    </row>
    <row r="104">
      <c r="O104">
        <f>IFERROR(INDEX('_courses_lookup'!$C:$C,MATCH(K104&amp;L104,'_courses_lookup'!$E:$E,0)),"")</f>
        <v/>
      </c>
      <c r="P104">
        <f>IFERROR(INDEX('_courses_lookup'!$D:$D,MATCH(K104&amp;L104,'_courses_lookup'!$E:$E,0)),"")</f>
        <v/>
      </c>
      <c r="AG104">
        <f>IF(AND(AE104&lt;&gt;"",AF104&lt;&gt;""),ROUNDUP((AF104-AE104)/7,0),"")</f>
        <v/>
      </c>
      <c r="AI104">
        <f>IFERROR(IF(AG104*AH104=0,"",AG104*AH104),"")</f>
        <v/>
      </c>
      <c r="AL104">
        <f>IF(AND(AJ104&lt;&gt;"",AK104&lt;&gt;""),ROUNDUP((AK104-AJ104)/7,0),"")</f>
        <v/>
      </c>
      <c r="AN104">
        <f>IFERROR(IF(AL104*AM104=0,"",AL104*AM104),"")</f>
        <v/>
      </c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L104">
        <f>IFERROR(INDEX('_names_lookup'!$C:$C,MATCH(BK104,'_names_lookup'!$A:$A,0)),"")</f>
        <v/>
      </c>
      <c r="BM104">
        <f>IFERROR(INDEX('_names_lookup'!$B:$B,MATCH(BK104,'_names_lookup'!$A:$A,0)),"")</f>
        <v/>
      </c>
      <c r="BS104">
        <f>IFERROR(IF(BR104*AA104=0,"",BR104*AA104),"")</f>
        <v/>
      </c>
    </row>
    <row r="105">
      <c r="O105">
        <f>IFERROR(INDEX('_courses_lookup'!$C:$C,MATCH(K105&amp;L105,'_courses_lookup'!$E:$E,0)),"")</f>
        <v/>
      </c>
      <c r="P105">
        <f>IFERROR(INDEX('_courses_lookup'!$D:$D,MATCH(K105&amp;L105,'_courses_lookup'!$E:$E,0)),"")</f>
        <v/>
      </c>
      <c r="AG105">
        <f>IF(AND(AE105&lt;&gt;"",AF105&lt;&gt;""),ROUNDUP((AF105-AE105)/7,0),"")</f>
        <v/>
      </c>
      <c r="AI105">
        <f>IFERROR(IF(AG105*AH105=0,"",AG105*AH105),"")</f>
        <v/>
      </c>
      <c r="AL105">
        <f>IF(AND(AJ105&lt;&gt;"",AK105&lt;&gt;""),ROUNDUP((AK105-AJ105)/7,0),"")</f>
        <v/>
      </c>
      <c r="AN105">
        <f>IFERROR(IF(AL105*AM105=0,"",AL105*AM105),"")</f>
        <v/>
      </c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L105">
        <f>IFERROR(INDEX('_names_lookup'!$C:$C,MATCH(BK105,'_names_lookup'!$A:$A,0)),"")</f>
        <v/>
      </c>
      <c r="BM105">
        <f>IFERROR(INDEX('_names_lookup'!$B:$B,MATCH(BK105,'_names_lookup'!$A:$A,0)),"")</f>
        <v/>
      </c>
      <c r="BS105">
        <f>IFERROR(IF(BR105*AA105=0,"",BR105*AA105),"")</f>
        <v/>
      </c>
    </row>
    <row r="106">
      <c r="O106">
        <f>IFERROR(INDEX('_courses_lookup'!$C:$C,MATCH(K106&amp;L106,'_courses_lookup'!$E:$E,0)),"")</f>
        <v/>
      </c>
      <c r="P106">
        <f>IFERROR(INDEX('_courses_lookup'!$D:$D,MATCH(K106&amp;L106,'_courses_lookup'!$E:$E,0)),"")</f>
        <v/>
      </c>
      <c r="AG106">
        <f>IF(AND(AE106&lt;&gt;"",AF106&lt;&gt;""),ROUNDUP((AF106-AE106)/7,0),"")</f>
        <v/>
      </c>
      <c r="AI106">
        <f>IFERROR(IF(AG106*AH106=0,"",AG106*AH106),"")</f>
        <v/>
      </c>
      <c r="AL106">
        <f>IF(AND(AJ106&lt;&gt;"",AK106&lt;&gt;""),ROUNDUP((AK106-AJ106)/7,0),"")</f>
        <v/>
      </c>
      <c r="AN106">
        <f>IFERROR(IF(AL106*AM106=0,"",AL106*AM106),"")</f>
        <v/>
      </c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L106">
        <f>IFERROR(INDEX('_names_lookup'!$C:$C,MATCH(BK106,'_names_lookup'!$A:$A,0)),"")</f>
        <v/>
      </c>
      <c r="BM106">
        <f>IFERROR(INDEX('_names_lookup'!$B:$B,MATCH(BK106,'_names_lookup'!$A:$A,0)),"")</f>
        <v/>
      </c>
      <c r="BS106">
        <f>IFERROR(IF(BR106*AA106=0,"",BR106*AA106),"")</f>
        <v/>
      </c>
    </row>
    <row r="107">
      <c r="O107">
        <f>IFERROR(INDEX('_courses_lookup'!$C:$C,MATCH(K107&amp;L107,'_courses_lookup'!$E:$E,0)),"")</f>
        <v/>
      </c>
      <c r="P107">
        <f>IFERROR(INDEX('_courses_lookup'!$D:$D,MATCH(K107&amp;L107,'_courses_lookup'!$E:$E,0)),"")</f>
        <v/>
      </c>
      <c r="AG107">
        <f>IF(AND(AE107&lt;&gt;"",AF107&lt;&gt;""),ROUNDUP((AF107-AE107)/7,0),"")</f>
        <v/>
      </c>
      <c r="AI107">
        <f>IFERROR(IF(AG107*AH107=0,"",AG107*AH107),"")</f>
        <v/>
      </c>
      <c r="AL107">
        <f>IF(AND(AJ107&lt;&gt;"",AK107&lt;&gt;""),ROUNDUP((AK107-AJ107)/7,0),"")</f>
        <v/>
      </c>
      <c r="AN107">
        <f>IFERROR(IF(AL107*AM107=0,"",AL107*AM107),"")</f>
        <v/>
      </c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L107">
        <f>IFERROR(INDEX('_names_lookup'!$C:$C,MATCH(BK107,'_names_lookup'!$A:$A,0)),"")</f>
        <v/>
      </c>
      <c r="BM107">
        <f>IFERROR(INDEX('_names_lookup'!$B:$B,MATCH(BK107,'_names_lookup'!$A:$A,0)),"")</f>
        <v/>
      </c>
      <c r="BS107">
        <f>IFERROR(IF(BR107*AA107=0,"",BR107*AA107),"")</f>
        <v/>
      </c>
    </row>
    <row r="108">
      <c r="O108">
        <f>IFERROR(INDEX('_courses_lookup'!$C:$C,MATCH(K108&amp;L108,'_courses_lookup'!$E:$E,0)),"")</f>
        <v/>
      </c>
      <c r="P108">
        <f>IFERROR(INDEX('_courses_lookup'!$D:$D,MATCH(K108&amp;L108,'_courses_lookup'!$E:$E,0)),"")</f>
        <v/>
      </c>
      <c r="AG108">
        <f>IF(AND(AE108&lt;&gt;"",AF108&lt;&gt;""),ROUNDUP((AF108-AE108)/7,0),"")</f>
        <v/>
      </c>
      <c r="AI108">
        <f>IFERROR(IF(AG108*AH108=0,"",AG108*AH108),"")</f>
        <v/>
      </c>
      <c r="AL108">
        <f>IF(AND(AJ108&lt;&gt;"",AK108&lt;&gt;""),ROUNDUP((AK108-AJ108)/7,0),"")</f>
        <v/>
      </c>
      <c r="AN108">
        <f>IFERROR(IF(AL108*AM108=0,"",AL108*AM108),"")</f>
        <v/>
      </c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L108">
        <f>IFERROR(INDEX('_names_lookup'!$C:$C,MATCH(BK108,'_names_lookup'!$A:$A,0)),"")</f>
        <v/>
      </c>
      <c r="BM108">
        <f>IFERROR(INDEX('_names_lookup'!$B:$B,MATCH(BK108,'_names_lookup'!$A:$A,0)),"")</f>
        <v/>
      </c>
      <c r="BS108">
        <f>IFERROR(IF(BR108*AA108=0,"",BR108*AA108),"")</f>
        <v/>
      </c>
    </row>
    <row r="109">
      <c r="O109">
        <f>IFERROR(INDEX('_courses_lookup'!$C:$C,MATCH(K109&amp;L109,'_courses_lookup'!$E:$E,0)),"")</f>
        <v/>
      </c>
      <c r="P109">
        <f>IFERROR(INDEX('_courses_lookup'!$D:$D,MATCH(K109&amp;L109,'_courses_lookup'!$E:$E,0)),"")</f>
        <v/>
      </c>
      <c r="AG109">
        <f>IF(AND(AE109&lt;&gt;"",AF109&lt;&gt;""),ROUNDUP((AF109-AE109)/7,0),"")</f>
        <v/>
      </c>
      <c r="AI109">
        <f>IFERROR(IF(AG109*AH109=0,"",AG109*AH109),"")</f>
        <v/>
      </c>
      <c r="AL109">
        <f>IF(AND(AJ109&lt;&gt;"",AK109&lt;&gt;""),ROUNDUP((AK109-AJ109)/7,0),"")</f>
        <v/>
      </c>
      <c r="AN109">
        <f>IFERROR(IF(AL109*AM109=0,"",AL109*AM109),"")</f>
        <v/>
      </c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L109">
        <f>IFERROR(INDEX('_names_lookup'!$C:$C,MATCH(BK109,'_names_lookup'!$A:$A,0)),"")</f>
        <v/>
      </c>
      <c r="BM109">
        <f>IFERROR(INDEX('_names_lookup'!$B:$B,MATCH(BK109,'_names_lookup'!$A:$A,0)),"")</f>
        <v/>
      </c>
      <c r="BS109">
        <f>IFERROR(IF(BR109*AA109=0,"",BR109*AA109),"")</f>
        <v/>
      </c>
    </row>
    <row r="110">
      <c r="O110">
        <f>IFERROR(INDEX('_courses_lookup'!$C:$C,MATCH(K110&amp;L110,'_courses_lookup'!$E:$E,0)),"")</f>
        <v/>
      </c>
      <c r="P110">
        <f>IFERROR(INDEX('_courses_lookup'!$D:$D,MATCH(K110&amp;L110,'_courses_lookup'!$E:$E,0)),"")</f>
        <v/>
      </c>
      <c r="AG110">
        <f>IF(AND(AE110&lt;&gt;"",AF110&lt;&gt;""),ROUNDUP((AF110-AE110)/7,0),"")</f>
        <v/>
      </c>
      <c r="AI110">
        <f>IFERROR(IF(AG110*AH110=0,"",AG110*AH110),"")</f>
        <v/>
      </c>
      <c r="AL110">
        <f>IF(AND(AJ110&lt;&gt;"",AK110&lt;&gt;""),ROUNDUP((AK110-AJ110)/7,0),"")</f>
        <v/>
      </c>
      <c r="AN110">
        <f>IFERROR(IF(AL110*AM110=0,"",AL110*AM110),"")</f>
        <v/>
      </c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L110">
        <f>IFERROR(INDEX('_names_lookup'!$C:$C,MATCH(BK110,'_names_lookup'!$A:$A,0)),"")</f>
        <v/>
      </c>
      <c r="BM110">
        <f>IFERROR(INDEX('_names_lookup'!$B:$B,MATCH(BK110,'_names_lookup'!$A:$A,0)),"")</f>
        <v/>
      </c>
      <c r="BS110">
        <f>IFERROR(IF(BR110*AA110=0,"",BR110*AA110),"")</f>
        <v/>
      </c>
    </row>
    <row r="111">
      <c r="O111">
        <f>IFERROR(INDEX('_courses_lookup'!$C:$C,MATCH(K111&amp;L111,'_courses_lookup'!$E:$E,0)),"")</f>
        <v/>
      </c>
      <c r="P111">
        <f>IFERROR(INDEX('_courses_lookup'!$D:$D,MATCH(K111&amp;L111,'_courses_lookup'!$E:$E,0)),"")</f>
        <v/>
      </c>
      <c r="AG111">
        <f>IF(AND(AE111&lt;&gt;"",AF111&lt;&gt;""),ROUNDUP((AF111-AE111)/7,0),"")</f>
        <v/>
      </c>
      <c r="AI111">
        <f>IFERROR(IF(AG111*AH111=0,"",AG111*AH111),"")</f>
        <v/>
      </c>
      <c r="AL111">
        <f>IF(AND(AJ111&lt;&gt;"",AK111&lt;&gt;""),ROUNDUP((AK111-AJ111)/7,0),"")</f>
        <v/>
      </c>
      <c r="AN111">
        <f>IFERROR(IF(AL111*AM111=0,"",AL111*AM111),"")</f>
        <v/>
      </c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L111">
        <f>IFERROR(INDEX('_names_lookup'!$C:$C,MATCH(BK111,'_names_lookup'!$A:$A,0)),"")</f>
        <v/>
      </c>
      <c r="BM111">
        <f>IFERROR(INDEX('_names_lookup'!$B:$B,MATCH(BK111,'_names_lookup'!$A:$A,0)),"")</f>
        <v/>
      </c>
      <c r="BS111">
        <f>IFERROR(IF(BR111*AA111=0,"",BR111*AA111),"")</f>
        <v/>
      </c>
    </row>
    <row r="112">
      <c r="O112">
        <f>IFERROR(INDEX('_courses_lookup'!$C:$C,MATCH(K112&amp;L112,'_courses_lookup'!$E:$E,0)),"")</f>
        <v/>
      </c>
      <c r="P112">
        <f>IFERROR(INDEX('_courses_lookup'!$D:$D,MATCH(K112&amp;L112,'_courses_lookup'!$E:$E,0)),"")</f>
        <v/>
      </c>
      <c r="AG112">
        <f>IF(AND(AE112&lt;&gt;"",AF112&lt;&gt;""),ROUNDUP((AF112-AE112)/7,0),"")</f>
        <v/>
      </c>
      <c r="AI112">
        <f>IFERROR(IF(AG112*AH112=0,"",AG112*AH112),"")</f>
        <v/>
      </c>
      <c r="AL112">
        <f>IF(AND(AJ112&lt;&gt;"",AK112&lt;&gt;""),ROUNDUP((AK112-AJ112)/7,0),"")</f>
        <v/>
      </c>
      <c r="AN112">
        <f>IFERROR(IF(AL112*AM112=0,"",AL112*AM112),"")</f>
        <v/>
      </c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L112">
        <f>IFERROR(INDEX('_names_lookup'!$C:$C,MATCH(BK112,'_names_lookup'!$A:$A,0)),"")</f>
        <v/>
      </c>
      <c r="BM112">
        <f>IFERROR(INDEX('_names_lookup'!$B:$B,MATCH(BK112,'_names_lookup'!$A:$A,0)),"")</f>
        <v/>
      </c>
      <c r="BS112">
        <f>IFERROR(IF(BR112*AA112=0,"",BR112*AA112),"")</f>
        <v/>
      </c>
    </row>
    <row r="113">
      <c r="O113">
        <f>IFERROR(INDEX('_courses_lookup'!$C:$C,MATCH(K113&amp;L113,'_courses_lookup'!$E:$E,0)),"")</f>
        <v/>
      </c>
      <c r="P113">
        <f>IFERROR(INDEX('_courses_lookup'!$D:$D,MATCH(K113&amp;L113,'_courses_lookup'!$E:$E,0)),"")</f>
        <v/>
      </c>
      <c r="AG113">
        <f>IF(AND(AE113&lt;&gt;"",AF113&lt;&gt;""),ROUNDUP((AF113-AE113)/7,0),"")</f>
        <v/>
      </c>
      <c r="AI113">
        <f>IFERROR(IF(AG113*AH113=0,"",AG113*AH113),"")</f>
        <v/>
      </c>
      <c r="AL113">
        <f>IF(AND(AJ113&lt;&gt;"",AK113&lt;&gt;""),ROUNDUP((AK113-AJ113)/7,0),"")</f>
        <v/>
      </c>
      <c r="AN113">
        <f>IFERROR(IF(AL113*AM113=0,"",AL113*AM113),"")</f>
        <v/>
      </c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L113">
        <f>IFERROR(INDEX('_names_lookup'!$C:$C,MATCH(BK113,'_names_lookup'!$A:$A,0)),"")</f>
        <v/>
      </c>
      <c r="BM113">
        <f>IFERROR(INDEX('_names_lookup'!$B:$B,MATCH(BK113,'_names_lookup'!$A:$A,0)),"")</f>
        <v/>
      </c>
      <c r="BS113">
        <f>IFERROR(IF(BR113*AA113=0,"",BR113*AA113),"")</f>
        <v/>
      </c>
    </row>
    <row r="114">
      <c r="O114">
        <f>IFERROR(INDEX('_courses_lookup'!$C:$C,MATCH(K114&amp;L114,'_courses_lookup'!$E:$E,0)),"")</f>
        <v/>
      </c>
      <c r="P114">
        <f>IFERROR(INDEX('_courses_lookup'!$D:$D,MATCH(K114&amp;L114,'_courses_lookup'!$E:$E,0)),"")</f>
        <v/>
      </c>
      <c r="AG114">
        <f>IF(AND(AE114&lt;&gt;"",AF114&lt;&gt;""),ROUNDUP((AF114-AE114)/7,0),"")</f>
        <v/>
      </c>
      <c r="AI114">
        <f>IFERROR(IF(AG114*AH114=0,"",AG114*AH114),"")</f>
        <v/>
      </c>
      <c r="AL114">
        <f>IF(AND(AJ114&lt;&gt;"",AK114&lt;&gt;""),ROUNDUP((AK114-AJ114)/7,0),"")</f>
        <v/>
      </c>
      <c r="AN114">
        <f>IFERROR(IF(AL114*AM114=0,"",AL114*AM114),"")</f>
        <v/>
      </c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L114">
        <f>IFERROR(INDEX('_names_lookup'!$C:$C,MATCH(BK114,'_names_lookup'!$A:$A,0)),"")</f>
        <v/>
      </c>
      <c r="BM114">
        <f>IFERROR(INDEX('_names_lookup'!$B:$B,MATCH(BK114,'_names_lookup'!$A:$A,0)),"")</f>
        <v/>
      </c>
      <c r="BS114">
        <f>IFERROR(IF(BR114*AA114=0,"",BR114*AA114),"")</f>
        <v/>
      </c>
    </row>
    <row r="115">
      <c r="O115">
        <f>IFERROR(INDEX('_courses_lookup'!$C:$C,MATCH(K115&amp;L115,'_courses_lookup'!$E:$E,0)),"")</f>
        <v/>
      </c>
      <c r="P115">
        <f>IFERROR(INDEX('_courses_lookup'!$D:$D,MATCH(K115&amp;L115,'_courses_lookup'!$E:$E,0)),"")</f>
        <v/>
      </c>
      <c r="AG115">
        <f>IF(AND(AE115&lt;&gt;"",AF115&lt;&gt;""),ROUNDUP((AF115-AE115)/7,0),"")</f>
        <v/>
      </c>
      <c r="AI115">
        <f>IFERROR(IF(AG115*AH115=0,"",AG115*AH115),"")</f>
        <v/>
      </c>
      <c r="AL115">
        <f>IF(AND(AJ115&lt;&gt;"",AK115&lt;&gt;""),ROUNDUP((AK115-AJ115)/7,0),"")</f>
        <v/>
      </c>
      <c r="AN115">
        <f>IFERROR(IF(AL115*AM115=0,"",AL115*AM115),"")</f>
        <v/>
      </c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L115">
        <f>IFERROR(INDEX('_names_lookup'!$C:$C,MATCH(BK115,'_names_lookup'!$A:$A,0)),"")</f>
        <v/>
      </c>
      <c r="BM115">
        <f>IFERROR(INDEX('_names_lookup'!$B:$B,MATCH(BK115,'_names_lookup'!$A:$A,0)),"")</f>
        <v/>
      </c>
      <c r="BS115">
        <f>IFERROR(IF(BR115*AA115=0,"",BR115*AA115),"")</f>
        <v/>
      </c>
    </row>
    <row r="116">
      <c r="O116">
        <f>IFERROR(INDEX('_courses_lookup'!$C:$C,MATCH(K116&amp;L116,'_courses_lookup'!$E:$E,0)),"")</f>
        <v/>
      </c>
      <c r="P116">
        <f>IFERROR(INDEX('_courses_lookup'!$D:$D,MATCH(K116&amp;L116,'_courses_lookup'!$E:$E,0)),"")</f>
        <v/>
      </c>
      <c r="AG116">
        <f>IF(AND(AE116&lt;&gt;"",AF116&lt;&gt;""),ROUNDUP((AF116-AE116)/7,0),"")</f>
        <v/>
      </c>
      <c r="AI116">
        <f>IFERROR(IF(AG116*AH116=0,"",AG116*AH116),"")</f>
        <v/>
      </c>
      <c r="AL116">
        <f>IF(AND(AJ116&lt;&gt;"",AK116&lt;&gt;""),ROUNDUP((AK116-AJ116)/7,0),"")</f>
        <v/>
      </c>
      <c r="AN116">
        <f>IFERROR(IF(AL116*AM116=0,"",AL116*AM116),"")</f>
        <v/>
      </c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L116">
        <f>IFERROR(INDEX('_names_lookup'!$C:$C,MATCH(BK116,'_names_lookup'!$A:$A,0)),"")</f>
        <v/>
      </c>
      <c r="BM116">
        <f>IFERROR(INDEX('_names_lookup'!$B:$B,MATCH(BK116,'_names_lookup'!$A:$A,0)),"")</f>
        <v/>
      </c>
      <c r="BS116">
        <f>IFERROR(IF(BR116*AA116=0,"",BR116*AA116),"")</f>
        <v/>
      </c>
    </row>
    <row r="117">
      <c r="O117">
        <f>IFERROR(INDEX('_courses_lookup'!$C:$C,MATCH(K117&amp;L117,'_courses_lookup'!$E:$E,0)),"")</f>
        <v/>
      </c>
      <c r="P117">
        <f>IFERROR(INDEX('_courses_lookup'!$D:$D,MATCH(K117&amp;L117,'_courses_lookup'!$E:$E,0)),"")</f>
        <v/>
      </c>
      <c r="AG117">
        <f>IF(AND(AE117&lt;&gt;"",AF117&lt;&gt;""),ROUNDUP((AF117-AE117)/7,0),"")</f>
        <v/>
      </c>
      <c r="AI117">
        <f>IFERROR(IF(AG117*AH117=0,"",AG117*AH117),"")</f>
        <v/>
      </c>
      <c r="AL117">
        <f>IF(AND(AJ117&lt;&gt;"",AK117&lt;&gt;""),ROUNDUP((AK117-AJ117)/7,0),"")</f>
        <v/>
      </c>
      <c r="AN117">
        <f>IFERROR(IF(AL117*AM117=0,"",AL117*AM117),"")</f>
        <v/>
      </c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L117">
        <f>IFERROR(INDEX('_names_lookup'!$C:$C,MATCH(BK117,'_names_lookup'!$A:$A,0)),"")</f>
        <v/>
      </c>
      <c r="BM117">
        <f>IFERROR(INDEX('_names_lookup'!$B:$B,MATCH(BK117,'_names_lookup'!$A:$A,0)),"")</f>
        <v/>
      </c>
      <c r="BS117">
        <f>IFERROR(IF(BR117*AA117=0,"",BR117*AA117),"")</f>
        <v/>
      </c>
    </row>
    <row r="118">
      <c r="O118">
        <f>IFERROR(INDEX('_courses_lookup'!$C:$C,MATCH(K118&amp;L118,'_courses_lookup'!$E:$E,0)),"")</f>
        <v/>
      </c>
      <c r="P118">
        <f>IFERROR(INDEX('_courses_lookup'!$D:$D,MATCH(K118&amp;L118,'_courses_lookup'!$E:$E,0)),"")</f>
        <v/>
      </c>
      <c r="AG118">
        <f>IF(AND(AE118&lt;&gt;"",AF118&lt;&gt;""),ROUNDUP((AF118-AE118)/7,0),"")</f>
        <v/>
      </c>
      <c r="AI118">
        <f>IFERROR(IF(AG118*AH118=0,"",AG118*AH118),"")</f>
        <v/>
      </c>
      <c r="AL118">
        <f>IF(AND(AJ118&lt;&gt;"",AK118&lt;&gt;""),ROUNDUP((AK118-AJ118)/7,0),"")</f>
        <v/>
      </c>
      <c r="AN118">
        <f>IFERROR(IF(AL118*AM118=0,"",AL118*AM118),"")</f>
        <v/>
      </c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L118">
        <f>IFERROR(INDEX('_names_lookup'!$C:$C,MATCH(BK118,'_names_lookup'!$A:$A,0)),"")</f>
        <v/>
      </c>
      <c r="BM118">
        <f>IFERROR(INDEX('_names_lookup'!$B:$B,MATCH(BK118,'_names_lookup'!$A:$A,0)),"")</f>
        <v/>
      </c>
      <c r="BS118">
        <f>IFERROR(IF(BR118*AA118=0,"",BR118*AA118),"")</f>
        <v/>
      </c>
    </row>
    <row r="119">
      <c r="O119">
        <f>IFERROR(INDEX('_courses_lookup'!$C:$C,MATCH(K119&amp;L119,'_courses_lookup'!$E:$E,0)),"")</f>
        <v/>
      </c>
      <c r="P119">
        <f>IFERROR(INDEX('_courses_lookup'!$D:$D,MATCH(K119&amp;L119,'_courses_lookup'!$E:$E,0)),"")</f>
        <v/>
      </c>
      <c r="AG119">
        <f>IF(AND(AE119&lt;&gt;"",AF119&lt;&gt;""),ROUNDUP((AF119-AE119)/7,0),"")</f>
        <v/>
      </c>
      <c r="AI119">
        <f>IFERROR(IF(AG119*AH119=0,"",AG119*AH119),"")</f>
        <v/>
      </c>
      <c r="AL119">
        <f>IF(AND(AJ119&lt;&gt;"",AK119&lt;&gt;""),ROUNDUP((AK119-AJ119)/7,0),"")</f>
        <v/>
      </c>
      <c r="AN119">
        <f>IFERROR(IF(AL119*AM119=0,"",AL119*AM119),"")</f>
        <v/>
      </c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L119">
        <f>IFERROR(INDEX('_names_lookup'!$C:$C,MATCH(BK119,'_names_lookup'!$A:$A,0)),"")</f>
        <v/>
      </c>
      <c r="BM119">
        <f>IFERROR(INDEX('_names_lookup'!$B:$B,MATCH(BK119,'_names_lookup'!$A:$A,0)),"")</f>
        <v/>
      </c>
      <c r="BS119">
        <f>IFERROR(IF(BR119*AA119=0,"",BR119*AA119),"")</f>
        <v/>
      </c>
    </row>
    <row r="120">
      <c r="O120">
        <f>IFERROR(INDEX('_courses_lookup'!$C:$C,MATCH(K120&amp;L120,'_courses_lookup'!$E:$E,0)),"")</f>
        <v/>
      </c>
      <c r="P120">
        <f>IFERROR(INDEX('_courses_lookup'!$D:$D,MATCH(K120&amp;L120,'_courses_lookup'!$E:$E,0)),"")</f>
        <v/>
      </c>
      <c r="AG120">
        <f>IF(AND(AE120&lt;&gt;"",AF120&lt;&gt;""),ROUNDUP((AF120-AE120)/7,0),"")</f>
        <v/>
      </c>
      <c r="AI120">
        <f>IFERROR(IF(AG120*AH120=0,"",AG120*AH120),"")</f>
        <v/>
      </c>
      <c r="AL120">
        <f>IF(AND(AJ120&lt;&gt;"",AK120&lt;&gt;""),ROUNDUP((AK120-AJ120)/7,0),"")</f>
        <v/>
      </c>
      <c r="AN120">
        <f>IFERROR(IF(AL120*AM120=0,"",AL120*AM120),"")</f>
        <v/>
      </c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L120">
        <f>IFERROR(INDEX('_names_lookup'!$C:$C,MATCH(BK120,'_names_lookup'!$A:$A,0)),"")</f>
        <v/>
      </c>
      <c r="BM120">
        <f>IFERROR(INDEX('_names_lookup'!$B:$B,MATCH(BK120,'_names_lookup'!$A:$A,0)),"")</f>
        <v/>
      </c>
      <c r="BS120">
        <f>IFERROR(IF(BR120*AA120=0,"",BR120*AA120),"")</f>
        <v/>
      </c>
    </row>
    <row r="121">
      <c r="O121">
        <f>IFERROR(INDEX('_courses_lookup'!$C:$C,MATCH(K121&amp;L121,'_courses_lookup'!$E:$E,0)),"")</f>
        <v/>
      </c>
      <c r="P121">
        <f>IFERROR(INDEX('_courses_lookup'!$D:$D,MATCH(K121&amp;L121,'_courses_lookup'!$E:$E,0)),"")</f>
        <v/>
      </c>
      <c r="AG121">
        <f>IF(AND(AE121&lt;&gt;"",AF121&lt;&gt;""),ROUNDUP((AF121-AE121)/7,0),"")</f>
        <v/>
      </c>
      <c r="AI121">
        <f>IFERROR(IF(AG121*AH121=0,"",AG121*AH121),"")</f>
        <v/>
      </c>
      <c r="AL121">
        <f>IF(AND(AJ121&lt;&gt;"",AK121&lt;&gt;""),ROUNDUP((AK121-AJ121)/7,0),"")</f>
        <v/>
      </c>
      <c r="AN121">
        <f>IFERROR(IF(AL121*AM121=0,"",AL121*AM121),"")</f>
        <v/>
      </c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L121">
        <f>IFERROR(INDEX('_names_lookup'!$C:$C,MATCH(BK121,'_names_lookup'!$A:$A,0)),"")</f>
        <v/>
      </c>
      <c r="BM121">
        <f>IFERROR(INDEX('_names_lookup'!$B:$B,MATCH(BK121,'_names_lookup'!$A:$A,0)),"")</f>
        <v/>
      </c>
      <c r="BS121">
        <f>IFERROR(IF(BR121*AA121=0,"",BR121*AA121),"")</f>
        <v/>
      </c>
    </row>
    <row r="122">
      <c r="O122">
        <f>IFERROR(INDEX('_courses_lookup'!$C:$C,MATCH(K122&amp;L122,'_courses_lookup'!$E:$E,0)),"")</f>
        <v/>
      </c>
      <c r="P122">
        <f>IFERROR(INDEX('_courses_lookup'!$D:$D,MATCH(K122&amp;L122,'_courses_lookup'!$E:$E,0)),"")</f>
        <v/>
      </c>
      <c r="AG122">
        <f>IF(AND(AE122&lt;&gt;"",AF122&lt;&gt;""),ROUNDUP((AF122-AE122)/7,0),"")</f>
        <v/>
      </c>
      <c r="AI122">
        <f>IFERROR(IF(AG122*AH122=0,"",AG122*AH122),"")</f>
        <v/>
      </c>
      <c r="AL122">
        <f>IF(AND(AJ122&lt;&gt;"",AK122&lt;&gt;""),ROUNDUP((AK122-AJ122)/7,0),"")</f>
        <v/>
      </c>
      <c r="AN122">
        <f>IFERROR(IF(AL122*AM122=0,"",AL122*AM122),"")</f>
        <v/>
      </c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L122">
        <f>IFERROR(INDEX('_names_lookup'!$C:$C,MATCH(BK122,'_names_lookup'!$A:$A,0)),"")</f>
        <v/>
      </c>
      <c r="BM122">
        <f>IFERROR(INDEX('_names_lookup'!$B:$B,MATCH(BK122,'_names_lookup'!$A:$A,0)),"")</f>
        <v/>
      </c>
      <c r="BS122">
        <f>IFERROR(IF(BR122*AA122=0,"",BR122*AA122),"")</f>
        <v/>
      </c>
    </row>
    <row r="123">
      <c r="O123">
        <f>IFERROR(INDEX('_courses_lookup'!$C:$C,MATCH(K123&amp;L123,'_courses_lookup'!$E:$E,0)),"")</f>
        <v/>
      </c>
      <c r="P123">
        <f>IFERROR(INDEX('_courses_lookup'!$D:$D,MATCH(K123&amp;L123,'_courses_lookup'!$E:$E,0)),"")</f>
        <v/>
      </c>
      <c r="AG123">
        <f>IF(AND(AE123&lt;&gt;"",AF123&lt;&gt;""),ROUNDUP((AF123-AE123)/7,0),"")</f>
        <v/>
      </c>
      <c r="AI123">
        <f>IFERROR(IF(AG123*AH123=0,"",AG123*AH123),"")</f>
        <v/>
      </c>
      <c r="AL123">
        <f>IF(AND(AJ123&lt;&gt;"",AK123&lt;&gt;""),ROUNDUP((AK123-AJ123)/7,0),"")</f>
        <v/>
      </c>
      <c r="AN123">
        <f>IFERROR(IF(AL123*AM123=0,"",AL123*AM123),"")</f>
        <v/>
      </c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L123">
        <f>IFERROR(INDEX('_names_lookup'!$C:$C,MATCH(BK123,'_names_lookup'!$A:$A,0)),"")</f>
        <v/>
      </c>
      <c r="BM123">
        <f>IFERROR(INDEX('_names_lookup'!$B:$B,MATCH(BK123,'_names_lookup'!$A:$A,0)),"")</f>
        <v/>
      </c>
      <c r="BS123">
        <f>IFERROR(IF(BR123*AA123=0,"",BR123*AA123),"")</f>
        <v/>
      </c>
    </row>
    <row r="124">
      <c r="O124">
        <f>IFERROR(INDEX('_courses_lookup'!$C:$C,MATCH(K124&amp;L124,'_courses_lookup'!$E:$E,0)),"")</f>
        <v/>
      </c>
      <c r="P124">
        <f>IFERROR(INDEX('_courses_lookup'!$D:$D,MATCH(K124&amp;L124,'_courses_lookup'!$E:$E,0)),"")</f>
        <v/>
      </c>
      <c r="AG124">
        <f>IF(AND(AE124&lt;&gt;"",AF124&lt;&gt;""),ROUNDUP((AF124-AE124)/7,0),"")</f>
        <v/>
      </c>
      <c r="AI124">
        <f>IFERROR(IF(AG124*AH124=0,"",AG124*AH124),"")</f>
        <v/>
      </c>
      <c r="AL124">
        <f>IF(AND(AJ124&lt;&gt;"",AK124&lt;&gt;""),ROUNDUP((AK124-AJ124)/7,0),"")</f>
        <v/>
      </c>
      <c r="AN124">
        <f>IFERROR(IF(AL124*AM124=0,"",AL124*AM124),"")</f>
        <v/>
      </c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L124">
        <f>IFERROR(INDEX('_names_lookup'!$C:$C,MATCH(BK124,'_names_lookup'!$A:$A,0)),"")</f>
        <v/>
      </c>
      <c r="BM124">
        <f>IFERROR(INDEX('_names_lookup'!$B:$B,MATCH(BK124,'_names_lookup'!$A:$A,0)),"")</f>
        <v/>
      </c>
      <c r="BS124">
        <f>IFERROR(IF(BR124*AA124=0,"",BR124*AA124),"")</f>
        <v/>
      </c>
    </row>
    <row r="125">
      <c r="O125">
        <f>IFERROR(INDEX('_courses_lookup'!$C:$C,MATCH(K125&amp;L125,'_courses_lookup'!$E:$E,0)),"")</f>
        <v/>
      </c>
      <c r="P125">
        <f>IFERROR(INDEX('_courses_lookup'!$D:$D,MATCH(K125&amp;L125,'_courses_lookup'!$E:$E,0)),"")</f>
        <v/>
      </c>
      <c r="AG125">
        <f>IF(AND(AE125&lt;&gt;"",AF125&lt;&gt;""),ROUNDUP((AF125-AE125)/7,0),"")</f>
        <v/>
      </c>
      <c r="AI125">
        <f>IFERROR(IF(AG125*AH125=0,"",AG125*AH125),"")</f>
        <v/>
      </c>
      <c r="AL125">
        <f>IF(AND(AJ125&lt;&gt;"",AK125&lt;&gt;""),ROUNDUP((AK125-AJ125)/7,0),"")</f>
        <v/>
      </c>
      <c r="AN125">
        <f>IFERROR(IF(AL125*AM125=0,"",AL125*AM125),"")</f>
        <v/>
      </c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L125">
        <f>IFERROR(INDEX('_names_lookup'!$C:$C,MATCH(BK125,'_names_lookup'!$A:$A,0)),"")</f>
        <v/>
      </c>
      <c r="BM125">
        <f>IFERROR(INDEX('_names_lookup'!$B:$B,MATCH(BK125,'_names_lookup'!$A:$A,0)),"")</f>
        <v/>
      </c>
      <c r="BS125">
        <f>IFERROR(IF(BR125*AA125=0,"",BR125*AA125),"")</f>
        <v/>
      </c>
    </row>
    <row r="126">
      <c r="O126">
        <f>IFERROR(INDEX('_courses_lookup'!$C:$C,MATCH(K126&amp;L126,'_courses_lookup'!$E:$E,0)),"")</f>
        <v/>
      </c>
      <c r="P126">
        <f>IFERROR(INDEX('_courses_lookup'!$D:$D,MATCH(K126&amp;L126,'_courses_lookup'!$E:$E,0)),"")</f>
        <v/>
      </c>
      <c r="AG126">
        <f>IF(AND(AE126&lt;&gt;"",AF126&lt;&gt;""),ROUNDUP((AF126-AE126)/7,0),"")</f>
        <v/>
      </c>
      <c r="AI126">
        <f>IFERROR(IF(AG126*AH126=0,"",AG126*AH126),"")</f>
        <v/>
      </c>
      <c r="AL126">
        <f>IF(AND(AJ126&lt;&gt;"",AK126&lt;&gt;""),ROUNDUP((AK126-AJ126)/7,0),"")</f>
        <v/>
      </c>
      <c r="AN126">
        <f>IFERROR(IF(AL126*AM126=0,"",AL126*AM126),"")</f>
        <v/>
      </c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L126">
        <f>IFERROR(INDEX('_names_lookup'!$C:$C,MATCH(BK126,'_names_lookup'!$A:$A,0)),"")</f>
        <v/>
      </c>
      <c r="BM126">
        <f>IFERROR(INDEX('_names_lookup'!$B:$B,MATCH(BK126,'_names_lookup'!$A:$A,0)),"")</f>
        <v/>
      </c>
      <c r="BS126">
        <f>IFERROR(IF(BR126*AA126=0,"",BR126*AA126),"")</f>
        <v/>
      </c>
    </row>
    <row r="127">
      <c r="O127">
        <f>IFERROR(INDEX('_courses_lookup'!$C:$C,MATCH(K127&amp;L127,'_courses_lookup'!$E:$E,0)),"")</f>
        <v/>
      </c>
      <c r="P127">
        <f>IFERROR(INDEX('_courses_lookup'!$D:$D,MATCH(K127&amp;L127,'_courses_lookup'!$E:$E,0)),"")</f>
        <v/>
      </c>
      <c r="AG127">
        <f>IF(AND(AE127&lt;&gt;"",AF127&lt;&gt;""),ROUNDUP((AF127-AE127)/7,0),"")</f>
        <v/>
      </c>
      <c r="AI127">
        <f>IFERROR(IF(AG127*AH127=0,"",AG127*AH127),"")</f>
        <v/>
      </c>
      <c r="AL127">
        <f>IF(AND(AJ127&lt;&gt;"",AK127&lt;&gt;""),ROUNDUP((AK127-AJ127)/7,0),"")</f>
        <v/>
      </c>
      <c r="AN127">
        <f>IFERROR(IF(AL127*AM127=0,"",AL127*AM127),"")</f>
        <v/>
      </c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L127">
        <f>IFERROR(INDEX('_names_lookup'!$C:$C,MATCH(BK127,'_names_lookup'!$A:$A,0)),"")</f>
        <v/>
      </c>
      <c r="BM127">
        <f>IFERROR(INDEX('_names_lookup'!$B:$B,MATCH(BK127,'_names_lookup'!$A:$A,0)),"")</f>
        <v/>
      </c>
      <c r="BS127">
        <f>IFERROR(IF(BR127*AA127=0,"",BR127*AA127),"")</f>
        <v/>
      </c>
    </row>
    <row r="128">
      <c r="O128">
        <f>IFERROR(INDEX('_courses_lookup'!$C:$C,MATCH(K128&amp;L128,'_courses_lookup'!$E:$E,0)),"")</f>
        <v/>
      </c>
      <c r="P128">
        <f>IFERROR(INDEX('_courses_lookup'!$D:$D,MATCH(K128&amp;L128,'_courses_lookup'!$E:$E,0)),"")</f>
        <v/>
      </c>
      <c r="AG128">
        <f>IF(AND(AE128&lt;&gt;"",AF128&lt;&gt;""),ROUNDUP((AF128-AE128)/7,0),"")</f>
        <v/>
      </c>
      <c r="AI128">
        <f>IFERROR(IF(AG128*AH128=0,"",AG128*AH128),"")</f>
        <v/>
      </c>
      <c r="AL128">
        <f>IF(AND(AJ128&lt;&gt;"",AK128&lt;&gt;""),ROUNDUP((AK128-AJ128)/7,0),"")</f>
        <v/>
      </c>
      <c r="AN128">
        <f>IFERROR(IF(AL128*AM128=0,"",AL128*AM128),"")</f>
        <v/>
      </c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L128">
        <f>IFERROR(INDEX('_names_lookup'!$C:$C,MATCH(BK128,'_names_lookup'!$A:$A,0)),"")</f>
        <v/>
      </c>
      <c r="BM128">
        <f>IFERROR(INDEX('_names_lookup'!$B:$B,MATCH(BK128,'_names_lookup'!$A:$A,0)),"")</f>
        <v/>
      </c>
      <c r="BS128">
        <f>IFERROR(IF(BR128*AA128=0,"",BR128*AA128),"")</f>
        <v/>
      </c>
    </row>
    <row r="129">
      <c r="O129">
        <f>IFERROR(INDEX('_courses_lookup'!$C:$C,MATCH(K129&amp;L129,'_courses_lookup'!$E:$E,0)),"")</f>
        <v/>
      </c>
      <c r="P129">
        <f>IFERROR(INDEX('_courses_lookup'!$D:$D,MATCH(K129&amp;L129,'_courses_lookup'!$E:$E,0)),"")</f>
        <v/>
      </c>
      <c r="AG129">
        <f>IF(AND(AE129&lt;&gt;"",AF129&lt;&gt;""),ROUNDUP((AF129-AE129)/7,0),"")</f>
        <v/>
      </c>
      <c r="AI129">
        <f>IFERROR(IF(AG129*AH129=0,"",AG129*AH129),"")</f>
        <v/>
      </c>
      <c r="AL129">
        <f>IF(AND(AJ129&lt;&gt;"",AK129&lt;&gt;""),ROUNDUP((AK129-AJ129)/7,0),"")</f>
        <v/>
      </c>
      <c r="AN129">
        <f>IFERROR(IF(AL129*AM129=0,"",AL129*AM129),"")</f>
        <v/>
      </c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L129">
        <f>IFERROR(INDEX('_names_lookup'!$C:$C,MATCH(BK129,'_names_lookup'!$A:$A,0)),"")</f>
        <v/>
      </c>
      <c r="BM129">
        <f>IFERROR(INDEX('_names_lookup'!$B:$B,MATCH(BK129,'_names_lookup'!$A:$A,0)),"")</f>
        <v/>
      </c>
      <c r="BS129">
        <f>IFERROR(IF(BR129*AA129=0,"",BR129*AA129),"")</f>
        <v/>
      </c>
    </row>
    <row r="130">
      <c r="O130">
        <f>IFERROR(INDEX('_courses_lookup'!$C:$C,MATCH(K130&amp;L130,'_courses_lookup'!$E:$E,0)),"")</f>
        <v/>
      </c>
      <c r="P130">
        <f>IFERROR(INDEX('_courses_lookup'!$D:$D,MATCH(K130&amp;L130,'_courses_lookup'!$E:$E,0)),"")</f>
        <v/>
      </c>
      <c r="AG130">
        <f>IF(AND(AE130&lt;&gt;"",AF130&lt;&gt;""),ROUNDUP((AF130-AE130)/7,0),"")</f>
        <v/>
      </c>
      <c r="AI130">
        <f>IFERROR(IF(AG130*AH130=0,"",AG130*AH130),"")</f>
        <v/>
      </c>
      <c r="AL130">
        <f>IF(AND(AJ130&lt;&gt;"",AK130&lt;&gt;""),ROUNDUP((AK130-AJ130)/7,0),"")</f>
        <v/>
      </c>
      <c r="AN130">
        <f>IFERROR(IF(AL130*AM130=0,"",AL130*AM130),"")</f>
        <v/>
      </c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L130">
        <f>IFERROR(INDEX('_names_lookup'!$C:$C,MATCH(BK130,'_names_lookup'!$A:$A,0)),"")</f>
        <v/>
      </c>
      <c r="BM130">
        <f>IFERROR(INDEX('_names_lookup'!$B:$B,MATCH(BK130,'_names_lookup'!$A:$A,0)),"")</f>
        <v/>
      </c>
      <c r="BS130">
        <f>IFERROR(IF(BR130*AA130=0,"",BR130*AA130),"")</f>
        <v/>
      </c>
    </row>
    <row r="131">
      <c r="O131">
        <f>IFERROR(INDEX('_courses_lookup'!$C:$C,MATCH(K131&amp;L131,'_courses_lookup'!$E:$E,0)),"")</f>
        <v/>
      </c>
      <c r="P131">
        <f>IFERROR(INDEX('_courses_lookup'!$D:$D,MATCH(K131&amp;L131,'_courses_lookup'!$E:$E,0)),"")</f>
        <v/>
      </c>
      <c r="AG131">
        <f>IF(AND(AE131&lt;&gt;"",AF131&lt;&gt;""),ROUNDUP((AF131-AE131)/7,0),"")</f>
        <v/>
      </c>
      <c r="AI131">
        <f>IFERROR(IF(AG131*AH131=0,"",AG131*AH131),"")</f>
        <v/>
      </c>
      <c r="AL131">
        <f>IF(AND(AJ131&lt;&gt;"",AK131&lt;&gt;""),ROUNDUP((AK131-AJ131)/7,0),"")</f>
        <v/>
      </c>
      <c r="AN131">
        <f>IFERROR(IF(AL131*AM131=0,"",AL131*AM131),"")</f>
        <v/>
      </c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L131">
        <f>IFERROR(INDEX('_names_lookup'!$C:$C,MATCH(BK131,'_names_lookup'!$A:$A,0)),"")</f>
        <v/>
      </c>
      <c r="BM131">
        <f>IFERROR(INDEX('_names_lookup'!$B:$B,MATCH(BK131,'_names_lookup'!$A:$A,0)),"")</f>
        <v/>
      </c>
      <c r="BS131">
        <f>IFERROR(IF(BR131*AA131=0,"",BR131*AA131),"")</f>
        <v/>
      </c>
    </row>
    <row r="132">
      <c r="O132">
        <f>IFERROR(INDEX('_courses_lookup'!$C:$C,MATCH(K132&amp;L132,'_courses_lookup'!$E:$E,0)),"")</f>
        <v/>
      </c>
      <c r="P132">
        <f>IFERROR(INDEX('_courses_lookup'!$D:$D,MATCH(K132&amp;L132,'_courses_lookup'!$E:$E,0)),"")</f>
        <v/>
      </c>
      <c r="AG132">
        <f>IF(AND(AE132&lt;&gt;"",AF132&lt;&gt;""),ROUNDUP((AF132-AE132)/7,0),"")</f>
        <v/>
      </c>
      <c r="AI132">
        <f>IFERROR(IF(AG132*AH132=0,"",AG132*AH132),"")</f>
        <v/>
      </c>
      <c r="AL132">
        <f>IF(AND(AJ132&lt;&gt;"",AK132&lt;&gt;""),ROUNDUP((AK132-AJ132)/7,0),"")</f>
        <v/>
      </c>
      <c r="AN132">
        <f>IFERROR(IF(AL132*AM132=0,"",AL132*AM132),"")</f>
        <v/>
      </c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L132">
        <f>IFERROR(INDEX('_names_lookup'!$C:$C,MATCH(BK132,'_names_lookup'!$A:$A,0)),"")</f>
        <v/>
      </c>
      <c r="BM132">
        <f>IFERROR(INDEX('_names_lookup'!$B:$B,MATCH(BK132,'_names_lookup'!$A:$A,0)),"")</f>
        <v/>
      </c>
      <c r="BS132">
        <f>IFERROR(IF(BR132*AA132=0,"",BR132*AA132),"")</f>
        <v/>
      </c>
    </row>
    <row r="133">
      <c r="O133">
        <f>IFERROR(INDEX('_courses_lookup'!$C:$C,MATCH(K133&amp;L133,'_courses_lookup'!$E:$E,0)),"")</f>
        <v/>
      </c>
      <c r="P133">
        <f>IFERROR(INDEX('_courses_lookup'!$D:$D,MATCH(K133&amp;L133,'_courses_lookup'!$E:$E,0)),"")</f>
        <v/>
      </c>
      <c r="AG133">
        <f>IF(AND(AE133&lt;&gt;"",AF133&lt;&gt;""),ROUNDUP((AF133-AE133)/7,0),"")</f>
        <v/>
      </c>
      <c r="AI133">
        <f>IFERROR(IF(AG133*AH133=0,"",AG133*AH133),"")</f>
        <v/>
      </c>
      <c r="AL133">
        <f>IF(AND(AJ133&lt;&gt;"",AK133&lt;&gt;""),ROUNDUP((AK133-AJ133)/7,0),"")</f>
        <v/>
      </c>
      <c r="AN133">
        <f>IFERROR(IF(AL133*AM133=0,"",AL133*AM133),"")</f>
        <v/>
      </c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L133">
        <f>IFERROR(INDEX('_names_lookup'!$C:$C,MATCH(BK133,'_names_lookup'!$A:$A,0)),"")</f>
        <v/>
      </c>
      <c r="BM133">
        <f>IFERROR(INDEX('_names_lookup'!$B:$B,MATCH(BK133,'_names_lookup'!$A:$A,0)),"")</f>
        <v/>
      </c>
      <c r="BS133">
        <f>IFERROR(IF(BR133*AA133=0,"",BR133*AA133),"")</f>
        <v/>
      </c>
    </row>
    <row r="134">
      <c r="O134">
        <f>IFERROR(INDEX('_courses_lookup'!$C:$C,MATCH(K134&amp;L134,'_courses_lookup'!$E:$E,0)),"")</f>
        <v/>
      </c>
      <c r="P134">
        <f>IFERROR(INDEX('_courses_lookup'!$D:$D,MATCH(K134&amp;L134,'_courses_lookup'!$E:$E,0)),"")</f>
        <v/>
      </c>
      <c r="AG134">
        <f>IF(AND(AE134&lt;&gt;"",AF134&lt;&gt;""),ROUNDUP((AF134-AE134)/7,0),"")</f>
        <v/>
      </c>
      <c r="AI134">
        <f>IFERROR(IF(AG134*AH134=0,"",AG134*AH134),"")</f>
        <v/>
      </c>
      <c r="AL134">
        <f>IF(AND(AJ134&lt;&gt;"",AK134&lt;&gt;""),ROUNDUP((AK134-AJ134)/7,0),"")</f>
        <v/>
      </c>
      <c r="AN134">
        <f>IFERROR(IF(AL134*AM134=0,"",AL134*AM134),"")</f>
        <v/>
      </c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L134">
        <f>IFERROR(INDEX('_names_lookup'!$C:$C,MATCH(BK134,'_names_lookup'!$A:$A,0)),"")</f>
        <v/>
      </c>
      <c r="BM134">
        <f>IFERROR(INDEX('_names_lookup'!$B:$B,MATCH(BK134,'_names_lookup'!$A:$A,0)),"")</f>
        <v/>
      </c>
      <c r="BS134">
        <f>IFERROR(IF(BR134*AA134=0,"",BR134*AA134),"")</f>
        <v/>
      </c>
    </row>
    <row r="135">
      <c r="O135">
        <f>IFERROR(INDEX('_courses_lookup'!$C:$C,MATCH(K135&amp;L135,'_courses_lookup'!$E:$E,0)),"")</f>
        <v/>
      </c>
      <c r="P135">
        <f>IFERROR(INDEX('_courses_lookup'!$D:$D,MATCH(K135&amp;L135,'_courses_lookup'!$E:$E,0)),"")</f>
        <v/>
      </c>
      <c r="AG135">
        <f>IF(AND(AE135&lt;&gt;"",AF135&lt;&gt;""),ROUNDUP((AF135-AE135)/7,0),"")</f>
        <v/>
      </c>
      <c r="AI135">
        <f>IFERROR(IF(AG135*AH135=0,"",AG135*AH135),"")</f>
        <v/>
      </c>
      <c r="AL135">
        <f>IF(AND(AJ135&lt;&gt;"",AK135&lt;&gt;""),ROUNDUP((AK135-AJ135)/7,0),"")</f>
        <v/>
      </c>
      <c r="AN135">
        <f>IFERROR(IF(AL135*AM135=0,"",AL135*AM135),"")</f>
        <v/>
      </c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L135">
        <f>IFERROR(INDEX('_names_lookup'!$C:$C,MATCH(BK135,'_names_lookup'!$A:$A,0)),"")</f>
        <v/>
      </c>
      <c r="BM135">
        <f>IFERROR(INDEX('_names_lookup'!$B:$B,MATCH(BK135,'_names_lookup'!$A:$A,0)),"")</f>
        <v/>
      </c>
      <c r="BS135">
        <f>IFERROR(IF(BR135*AA135=0,"",BR135*AA135),"")</f>
        <v/>
      </c>
    </row>
    <row r="136">
      <c r="O136">
        <f>IFERROR(INDEX('_courses_lookup'!$C:$C,MATCH(K136&amp;L136,'_courses_lookup'!$E:$E,0)),"")</f>
        <v/>
      </c>
      <c r="P136">
        <f>IFERROR(INDEX('_courses_lookup'!$D:$D,MATCH(K136&amp;L136,'_courses_lookup'!$E:$E,0)),"")</f>
        <v/>
      </c>
      <c r="AG136">
        <f>IF(AND(AE136&lt;&gt;"",AF136&lt;&gt;""),ROUNDUP((AF136-AE136)/7,0),"")</f>
        <v/>
      </c>
      <c r="AI136">
        <f>IFERROR(IF(AG136*AH136=0,"",AG136*AH136),"")</f>
        <v/>
      </c>
      <c r="AL136">
        <f>IF(AND(AJ136&lt;&gt;"",AK136&lt;&gt;""),ROUNDUP((AK136-AJ136)/7,0),"")</f>
        <v/>
      </c>
      <c r="AN136">
        <f>IFERROR(IF(AL136*AM136=0,"",AL136*AM136),"")</f>
        <v/>
      </c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L136">
        <f>IFERROR(INDEX('_names_lookup'!$C:$C,MATCH(BK136,'_names_lookup'!$A:$A,0)),"")</f>
        <v/>
      </c>
      <c r="BM136">
        <f>IFERROR(INDEX('_names_lookup'!$B:$B,MATCH(BK136,'_names_lookup'!$A:$A,0)),"")</f>
        <v/>
      </c>
      <c r="BS136">
        <f>IFERROR(IF(BR136*AA136=0,"",BR136*AA136),"")</f>
        <v/>
      </c>
    </row>
    <row r="137">
      <c r="O137">
        <f>IFERROR(INDEX('_courses_lookup'!$C:$C,MATCH(K137&amp;L137,'_courses_lookup'!$E:$E,0)),"")</f>
        <v/>
      </c>
      <c r="P137">
        <f>IFERROR(INDEX('_courses_lookup'!$D:$D,MATCH(K137&amp;L137,'_courses_lookup'!$E:$E,0)),"")</f>
        <v/>
      </c>
      <c r="AG137">
        <f>IF(AND(AE137&lt;&gt;"",AF137&lt;&gt;""),ROUNDUP((AF137-AE137)/7,0),"")</f>
        <v/>
      </c>
      <c r="AI137">
        <f>IFERROR(IF(AG137*AH137=0,"",AG137*AH137),"")</f>
        <v/>
      </c>
      <c r="AL137">
        <f>IF(AND(AJ137&lt;&gt;"",AK137&lt;&gt;""),ROUNDUP((AK137-AJ137)/7,0),"")</f>
        <v/>
      </c>
      <c r="AN137">
        <f>IFERROR(IF(AL137*AM137=0,"",AL137*AM137),"")</f>
        <v/>
      </c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L137">
        <f>IFERROR(INDEX('_names_lookup'!$C:$C,MATCH(BK137,'_names_lookup'!$A:$A,0)),"")</f>
        <v/>
      </c>
      <c r="BM137">
        <f>IFERROR(INDEX('_names_lookup'!$B:$B,MATCH(BK137,'_names_lookup'!$A:$A,0)),"")</f>
        <v/>
      </c>
      <c r="BS137">
        <f>IFERROR(IF(BR137*AA137=0,"",BR137*AA137),"")</f>
        <v/>
      </c>
    </row>
    <row r="138">
      <c r="O138">
        <f>IFERROR(INDEX('_courses_lookup'!$C:$C,MATCH(K138&amp;L138,'_courses_lookup'!$E:$E,0)),"")</f>
        <v/>
      </c>
      <c r="P138">
        <f>IFERROR(INDEX('_courses_lookup'!$D:$D,MATCH(K138&amp;L138,'_courses_lookup'!$E:$E,0)),"")</f>
        <v/>
      </c>
      <c r="AG138">
        <f>IF(AND(AE138&lt;&gt;"",AF138&lt;&gt;""),ROUNDUP((AF138-AE138)/7,0),"")</f>
        <v/>
      </c>
      <c r="AI138">
        <f>IFERROR(IF(AG138*AH138=0,"",AG138*AH138),"")</f>
        <v/>
      </c>
      <c r="AL138">
        <f>IF(AND(AJ138&lt;&gt;"",AK138&lt;&gt;""),ROUNDUP((AK138-AJ138)/7,0),"")</f>
        <v/>
      </c>
      <c r="AN138">
        <f>IFERROR(IF(AL138*AM138=0,"",AL138*AM138),"")</f>
        <v/>
      </c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L138">
        <f>IFERROR(INDEX('_names_lookup'!$C:$C,MATCH(BK138,'_names_lookup'!$A:$A,0)),"")</f>
        <v/>
      </c>
      <c r="BM138">
        <f>IFERROR(INDEX('_names_lookup'!$B:$B,MATCH(BK138,'_names_lookup'!$A:$A,0)),"")</f>
        <v/>
      </c>
      <c r="BS138">
        <f>IFERROR(IF(BR138*AA138=0,"",BR138*AA138),"")</f>
        <v/>
      </c>
    </row>
    <row r="139">
      <c r="O139">
        <f>IFERROR(INDEX('_courses_lookup'!$C:$C,MATCH(K139&amp;L139,'_courses_lookup'!$E:$E,0)),"")</f>
        <v/>
      </c>
      <c r="P139">
        <f>IFERROR(INDEX('_courses_lookup'!$D:$D,MATCH(K139&amp;L139,'_courses_lookup'!$E:$E,0)),"")</f>
        <v/>
      </c>
      <c r="AG139">
        <f>IF(AND(AE139&lt;&gt;"",AF139&lt;&gt;""),ROUNDUP((AF139-AE139)/7,0),"")</f>
        <v/>
      </c>
      <c r="AI139">
        <f>IFERROR(IF(AG139*AH139=0,"",AG139*AH139),"")</f>
        <v/>
      </c>
      <c r="AL139">
        <f>IF(AND(AJ139&lt;&gt;"",AK139&lt;&gt;""),ROUNDUP((AK139-AJ139)/7,0),"")</f>
        <v/>
      </c>
      <c r="AN139">
        <f>IFERROR(IF(AL139*AM139=0,"",AL139*AM139),"")</f>
        <v/>
      </c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L139">
        <f>IFERROR(INDEX('_names_lookup'!$C:$C,MATCH(BK139,'_names_lookup'!$A:$A,0)),"")</f>
        <v/>
      </c>
      <c r="BM139">
        <f>IFERROR(INDEX('_names_lookup'!$B:$B,MATCH(BK139,'_names_lookup'!$A:$A,0)),"")</f>
        <v/>
      </c>
      <c r="BS139">
        <f>IFERROR(IF(BR139*AA139=0,"",BR139*AA139),"")</f>
        <v/>
      </c>
    </row>
    <row r="140">
      <c r="O140">
        <f>IFERROR(INDEX('_courses_lookup'!$C:$C,MATCH(K140&amp;L140,'_courses_lookup'!$E:$E,0)),"")</f>
        <v/>
      </c>
      <c r="P140">
        <f>IFERROR(INDEX('_courses_lookup'!$D:$D,MATCH(K140&amp;L140,'_courses_lookup'!$E:$E,0)),"")</f>
        <v/>
      </c>
      <c r="AG140">
        <f>IF(AND(AE140&lt;&gt;"",AF140&lt;&gt;""),ROUNDUP((AF140-AE140)/7,0),"")</f>
        <v/>
      </c>
      <c r="AI140">
        <f>IFERROR(IF(AG140*AH140=0,"",AG140*AH140),"")</f>
        <v/>
      </c>
      <c r="AL140">
        <f>IF(AND(AJ140&lt;&gt;"",AK140&lt;&gt;""),ROUNDUP((AK140-AJ140)/7,0),"")</f>
        <v/>
      </c>
      <c r="AN140">
        <f>IFERROR(IF(AL140*AM140=0,"",AL140*AM140),"")</f>
        <v/>
      </c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L140">
        <f>IFERROR(INDEX('_names_lookup'!$C:$C,MATCH(BK140,'_names_lookup'!$A:$A,0)),"")</f>
        <v/>
      </c>
      <c r="BM140">
        <f>IFERROR(INDEX('_names_lookup'!$B:$B,MATCH(BK140,'_names_lookup'!$A:$A,0)),"")</f>
        <v/>
      </c>
      <c r="BS140">
        <f>IFERROR(IF(BR140*AA140=0,"",BR140*AA140),"")</f>
        <v/>
      </c>
    </row>
    <row r="141">
      <c r="O141">
        <f>IFERROR(INDEX('_courses_lookup'!$C:$C,MATCH(K141&amp;L141,'_courses_lookup'!$E:$E,0)),"")</f>
        <v/>
      </c>
      <c r="P141">
        <f>IFERROR(INDEX('_courses_lookup'!$D:$D,MATCH(K141&amp;L141,'_courses_lookup'!$E:$E,0)),"")</f>
        <v/>
      </c>
      <c r="AG141">
        <f>IF(AND(AE141&lt;&gt;"",AF141&lt;&gt;""),ROUNDUP((AF141-AE141)/7,0),"")</f>
        <v/>
      </c>
      <c r="AI141">
        <f>IFERROR(IF(AG141*AH141=0,"",AG141*AH141),"")</f>
        <v/>
      </c>
      <c r="AL141">
        <f>IF(AND(AJ141&lt;&gt;"",AK141&lt;&gt;""),ROUNDUP((AK141-AJ141)/7,0),"")</f>
        <v/>
      </c>
      <c r="AN141">
        <f>IFERROR(IF(AL141*AM141=0,"",AL141*AM141),"")</f>
        <v/>
      </c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L141">
        <f>IFERROR(INDEX('_names_lookup'!$C:$C,MATCH(BK141,'_names_lookup'!$A:$A,0)),"")</f>
        <v/>
      </c>
      <c r="BM141">
        <f>IFERROR(INDEX('_names_lookup'!$B:$B,MATCH(BK141,'_names_lookup'!$A:$A,0)),"")</f>
        <v/>
      </c>
      <c r="BS141">
        <f>IFERROR(IF(BR141*AA141=0,"",BR141*AA141),"")</f>
        <v/>
      </c>
    </row>
    <row r="142">
      <c r="O142">
        <f>IFERROR(INDEX('_courses_lookup'!$C:$C,MATCH(K142&amp;L142,'_courses_lookup'!$E:$E,0)),"")</f>
        <v/>
      </c>
      <c r="P142">
        <f>IFERROR(INDEX('_courses_lookup'!$D:$D,MATCH(K142&amp;L142,'_courses_lookup'!$E:$E,0)),"")</f>
        <v/>
      </c>
      <c r="AG142">
        <f>IF(AND(AE142&lt;&gt;"",AF142&lt;&gt;""),ROUNDUP((AF142-AE142)/7,0),"")</f>
        <v/>
      </c>
      <c r="AI142">
        <f>IFERROR(IF(AG142*AH142=0,"",AG142*AH142),"")</f>
        <v/>
      </c>
      <c r="AL142">
        <f>IF(AND(AJ142&lt;&gt;"",AK142&lt;&gt;""),ROUNDUP((AK142-AJ142)/7,0),"")</f>
        <v/>
      </c>
      <c r="AN142">
        <f>IFERROR(IF(AL142*AM142=0,"",AL142*AM142),"")</f>
        <v/>
      </c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L142">
        <f>IFERROR(INDEX('_names_lookup'!$C:$C,MATCH(BK142,'_names_lookup'!$A:$A,0)),"")</f>
        <v/>
      </c>
      <c r="BM142">
        <f>IFERROR(INDEX('_names_lookup'!$B:$B,MATCH(BK142,'_names_lookup'!$A:$A,0)),"")</f>
        <v/>
      </c>
      <c r="BS142">
        <f>IFERROR(IF(BR142*AA142=0,"",BR142*AA142),"")</f>
        <v/>
      </c>
    </row>
    <row r="143">
      <c r="O143">
        <f>IFERROR(INDEX('_courses_lookup'!$C:$C,MATCH(K143&amp;L143,'_courses_lookup'!$E:$E,0)),"")</f>
        <v/>
      </c>
      <c r="P143">
        <f>IFERROR(INDEX('_courses_lookup'!$D:$D,MATCH(K143&amp;L143,'_courses_lookup'!$E:$E,0)),"")</f>
        <v/>
      </c>
      <c r="AG143">
        <f>IF(AND(AE143&lt;&gt;"",AF143&lt;&gt;""),ROUNDUP((AF143-AE143)/7,0),"")</f>
        <v/>
      </c>
      <c r="AI143">
        <f>IFERROR(IF(AG143*AH143=0,"",AG143*AH143),"")</f>
        <v/>
      </c>
      <c r="AL143">
        <f>IF(AND(AJ143&lt;&gt;"",AK143&lt;&gt;""),ROUNDUP((AK143-AJ143)/7,0),"")</f>
        <v/>
      </c>
      <c r="AN143">
        <f>IFERROR(IF(AL143*AM143=0,"",AL143*AM143),"")</f>
        <v/>
      </c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L143">
        <f>IFERROR(INDEX('_names_lookup'!$C:$C,MATCH(BK143,'_names_lookup'!$A:$A,0)),"")</f>
        <v/>
      </c>
      <c r="BM143">
        <f>IFERROR(INDEX('_names_lookup'!$B:$B,MATCH(BK143,'_names_lookup'!$A:$A,0)),"")</f>
        <v/>
      </c>
      <c r="BS143">
        <f>IFERROR(IF(BR143*AA143=0,"",BR143*AA143),"")</f>
        <v/>
      </c>
    </row>
    <row r="144">
      <c r="O144">
        <f>IFERROR(INDEX('_courses_lookup'!$C:$C,MATCH(K144&amp;L144,'_courses_lookup'!$E:$E,0)),"")</f>
        <v/>
      </c>
      <c r="P144">
        <f>IFERROR(INDEX('_courses_lookup'!$D:$D,MATCH(K144&amp;L144,'_courses_lookup'!$E:$E,0)),"")</f>
        <v/>
      </c>
      <c r="AG144">
        <f>IF(AND(AE144&lt;&gt;"",AF144&lt;&gt;""),ROUNDUP((AF144-AE144)/7,0),"")</f>
        <v/>
      </c>
      <c r="AI144">
        <f>IFERROR(IF(AG144*AH144=0,"",AG144*AH144),"")</f>
        <v/>
      </c>
      <c r="AL144">
        <f>IF(AND(AJ144&lt;&gt;"",AK144&lt;&gt;""),ROUNDUP((AK144-AJ144)/7,0),"")</f>
        <v/>
      </c>
      <c r="AN144">
        <f>IFERROR(IF(AL144*AM144=0,"",AL144*AM144),"")</f>
        <v/>
      </c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L144">
        <f>IFERROR(INDEX('_names_lookup'!$C:$C,MATCH(BK144,'_names_lookup'!$A:$A,0)),"")</f>
        <v/>
      </c>
      <c r="BM144">
        <f>IFERROR(INDEX('_names_lookup'!$B:$B,MATCH(BK144,'_names_lookup'!$A:$A,0)),"")</f>
        <v/>
      </c>
      <c r="BS144">
        <f>IFERROR(IF(BR144*AA144=0,"",BR144*AA144),"")</f>
        <v/>
      </c>
    </row>
    <row r="145">
      <c r="O145">
        <f>IFERROR(INDEX('_courses_lookup'!$C:$C,MATCH(K145&amp;L145,'_courses_lookup'!$E:$E,0)),"")</f>
        <v/>
      </c>
      <c r="P145">
        <f>IFERROR(INDEX('_courses_lookup'!$D:$D,MATCH(K145&amp;L145,'_courses_lookup'!$E:$E,0)),"")</f>
        <v/>
      </c>
      <c r="AG145">
        <f>IF(AND(AE145&lt;&gt;"",AF145&lt;&gt;""),ROUNDUP((AF145-AE145)/7,0),"")</f>
        <v/>
      </c>
      <c r="AI145">
        <f>IFERROR(IF(AG145*AH145=0,"",AG145*AH145),"")</f>
        <v/>
      </c>
      <c r="AL145">
        <f>IF(AND(AJ145&lt;&gt;"",AK145&lt;&gt;""),ROUNDUP((AK145-AJ145)/7,0),"")</f>
        <v/>
      </c>
      <c r="AN145">
        <f>IFERROR(IF(AL145*AM145=0,"",AL145*AM145),"")</f>
        <v/>
      </c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L145">
        <f>IFERROR(INDEX('_names_lookup'!$C:$C,MATCH(BK145,'_names_lookup'!$A:$A,0)),"")</f>
        <v/>
      </c>
      <c r="BM145">
        <f>IFERROR(INDEX('_names_lookup'!$B:$B,MATCH(BK145,'_names_lookup'!$A:$A,0)),"")</f>
        <v/>
      </c>
      <c r="BS145">
        <f>IFERROR(IF(BR145*AA145=0,"",BR145*AA145),"")</f>
        <v/>
      </c>
    </row>
    <row r="146">
      <c r="O146">
        <f>IFERROR(INDEX('_courses_lookup'!$C:$C,MATCH(K146&amp;L146,'_courses_lookup'!$E:$E,0)),"")</f>
        <v/>
      </c>
      <c r="P146">
        <f>IFERROR(INDEX('_courses_lookup'!$D:$D,MATCH(K146&amp;L146,'_courses_lookup'!$E:$E,0)),"")</f>
        <v/>
      </c>
      <c r="AG146">
        <f>IF(AND(AE146&lt;&gt;"",AF146&lt;&gt;""),ROUNDUP((AF146-AE146)/7,0),"")</f>
        <v/>
      </c>
      <c r="AI146">
        <f>IFERROR(IF(AG146*AH146=0,"",AG146*AH146),"")</f>
        <v/>
      </c>
      <c r="AL146">
        <f>IF(AND(AJ146&lt;&gt;"",AK146&lt;&gt;""),ROUNDUP((AK146-AJ146)/7,0),"")</f>
        <v/>
      </c>
      <c r="AN146">
        <f>IFERROR(IF(AL146*AM146=0,"",AL146*AM146),"")</f>
        <v/>
      </c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L146">
        <f>IFERROR(INDEX('_names_lookup'!$C:$C,MATCH(BK146,'_names_lookup'!$A:$A,0)),"")</f>
        <v/>
      </c>
      <c r="BM146">
        <f>IFERROR(INDEX('_names_lookup'!$B:$B,MATCH(BK146,'_names_lookup'!$A:$A,0)),"")</f>
        <v/>
      </c>
      <c r="BS146">
        <f>IFERROR(IF(BR146*AA146=0,"",BR146*AA146),"")</f>
        <v/>
      </c>
    </row>
    <row r="147">
      <c r="O147">
        <f>IFERROR(INDEX('_courses_lookup'!$C:$C,MATCH(K147&amp;L147,'_courses_lookup'!$E:$E,0)),"")</f>
        <v/>
      </c>
      <c r="P147">
        <f>IFERROR(INDEX('_courses_lookup'!$D:$D,MATCH(K147&amp;L147,'_courses_lookup'!$E:$E,0)),"")</f>
        <v/>
      </c>
      <c r="AG147">
        <f>IF(AND(AE147&lt;&gt;"",AF147&lt;&gt;""),ROUNDUP((AF147-AE147)/7,0),"")</f>
        <v/>
      </c>
      <c r="AI147">
        <f>IFERROR(IF(AG147*AH147=0,"",AG147*AH147),"")</f>
        <v/>
      </c>
      <c r="AL147">
        <f>IF(AND(AJ147&lt;&gt;"",AK147&lt;&gt;""),ROUNDUP((AK147-AJ147)/7,0),"")</f>
        <v/>
      </c>
      <c r="AN147">
        <f>IFERROR(IF(AL147*AM147=0,"",AL147*AM147),"")</f>
        <v/>
      </c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L147">
        <f>IFERROR(INDEX('_names_lookup'!$C:$C,MATCH(BK147,'_names_lookup'!$A:$A,0)),"")</f>
        <v/>
      </c>
      <c r="BM147">
        <f>IFERROR(INDEX('_names_lookup'!$B:$B,MATCH(BK147,'_names_lookup'!$A:$A,0)),"")</f>
        <v/>
      </c>
      <c r="BS147">
        <f>IFERROR(IF(BR147*AA147=0,"",BR147*AA147),"")</f>
        <v/>
      </c>
    </row>
    <row r="148">
      <c r="O148">
        <f>IFERROR(INDEX('_courses_lookup'!$C:$C,MATCH(K148&amp;L148,'_courses_lookup'!$E:$E,0)),"")</f>
        <v/>
      </c>
      <c r="P148">
        <f>IFERROR(INDEX('_courses_lookup'!$D:$D,MATCH(K148&amp;L148,'_courses_lookup'!$E:$E,0)),"")</f>
        <v/>
      </c>
      <c r="AG148">
        <f>IF(AND(AE148&lt;&gt;"",AF148&lt;&gt;""),ROUNDUP((AF148-AE148)/7,0),"")</f>
        <v/>
      </c>
      <c r="AI148">
        <f>IFERROR(IF(AG148*AH148=0,"",AG148*AH148),"")</f>
        <v/>
      </c>
      <c r="AL148">
        <f>IF(AND(AJ148&lt;&gt;"",AK148&lt;&gt;""),ROUNDUP((AK148-AJ148)/7,0),"")</f>
        <v/>
      </c>
      <c r="AN148">
        <f>IFERROR(IF(AL148*AM148=0,"",AL148*AM148),"")</f>
        <v/>
      </c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L148">
        <f>IFERROR(INDEX('_names_lookup'!$C:$C,MATCH(BK148,'_names_lookup'!$A:$A,0)),"")</f>
        <v/>
      </c>
      <c r="BM148">
        <f>IFERROR(INDEX('_names_lookup'!$B:$B,MATCH(BK148,'_names_lookup'!$A:$A,0)),"")</f>
        <v/>
      </c>
      <c r="BS148">
        <f>IFERROR(IF(BR148*AA148=0,"",BR148*AA148),"")</f>
        <v/>
      </c>
    </row>
    <row r="149">
      <c r="O149">
        <f>IFERROR(INDEX('_courses_lookup'!$C:$C,MATCH(K149&amp;L149,'_courses_lookup'!$E:$E,0)),"")</f>
        <v/>
      </c>
      <c r="P149">
        <f>IFERROR(INDEX('_courses_lookup'!$D:$D,MATCH(K149&amp;L149,'_courses_lookup'!$E:$E,0)),"")</f>
        <v/>
      </c>
      <c r="AG149">
        <f>IF(AND(AE149&lt;&gt;"",AF149&lt;&gt;""),ROUNDUP((AF149-AE149)/7,0),"")</f>
        <v/>
      </c>
      <c r="AI149">
        <f>IFERROR(IF(AG149*AH149=0,"",AG149*AH149),"")</f>
        <v/>
      </c>
      <c r="AL149">
        <f>IF(AND(AJ149&lt;&gt;"",AK149&lt;&gt;""),ROUNDUP((AK149-AJ149)/7,0),"")</f>
        <v/>
      </c>
      <c r="AN149">
        <f>IFERROR(IF(AL149*AM149=0,"",AL149*AM149),"")</f>
        <v/>
      </c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L149">
        <f>IFERROR(INDEX('_names_lookup'!$C:$C,MATCH(BK149,'_names_lookup'!$A:$A,0)),"")</f>
        <v/>
      </c>
      <c r="BM149">
        <f>IFERROR(INDEX('_names_lookup'!$B:$B,MATCH(BK149,'_names_lookup'!$A:$A,0)),"")</f>
        <v/>
      </c>
      <c r="BS149">
        <f>IFERROR(IF(BR149*AA149=0,"",BR149*AA149),"")</f>
        <v/>
      </c>
    </row>
    <row r="150">
      <c r="O150">
        <f>IFERROR(INDEX('_courses_lookup'!$C:$C,MATCH(K150&amp;L150,'_courses_lookup'!$E:$E,0)),"")</f>
        <v/>
      </c>
      <c r="P150">
        <f>IFERROR(INDEX('_courses_lookup'!$D:$D,MATCH(K150&amp;L150,'_courses_lookup'!$E:$E,0)),"")</f>
        <v/>
      </c>
      <c r="AG150">
        <f>IF(AND(AE150&lt;&gt;"",AF150&lt;&gt;""),ROUNDUP((AF150-AE150)/7,0),"")</f>
        <v/>
      </c>
      <c r="AI150">
        <f>IFERROR(IF(AG150*AH150=0,"",AG150*AH150),"")</f>
        <v/>
      </c>
      <c r="AL150">
        <f>IF(AND(AJ150&lt;&gt;"",AK150&lt;&gt;""),ROUNDUP((AK150-AJ150)/7,0),"")</f>
        <v/>
      </c>
      <c r="AN150">
        <f>IFERROR(IF(AL150*AM150=0,"",AL150*AM150),"")</f>
        <v/>
      </c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L150">
        <f>IFERROR(INDEX('_names_lookup'!$C:$C,MATCH(BK150,'_names_lookup'!$A:$A,0)),"")</f>
        <v/>
      </c>
      <c r="BM150">
        <f>IFERROR(INDEX('_names_lookup'!$B:$B,MATCH(BK150,'_names_lookup'!$A:$A,0)),"")</f>
        <v/>
      </c>
      <c r="BS150">
        <f>IFERROR(IF(BR150*AA150=0,"",BR150*AA150),"")</f>
        <v/>
      </c>
    </row>
    <row r="151">
      <c r="O151">
        <f>IFERROR(INDEX('_courses_lookup'!$C:$C,MATCH(K151&amp;L151,'_courses_lookup'!$E:$E,0)),"")</f>
        <v/>
      </c>
      <c r="P151">
        <f>IFERROR(INDEX('_courses_lookup'!$D:$D,MATCH(K151&amp;L151,'_courses_lookup'!$E:$E,0)),"")</f>
        <v/>
      </c>
      <c r="AG151">
        <f>IF(AND(AE151&lt;&gt;"",AF151&lt;&gt;""),ROUNDUP((AF151-AE151)/7,0),"")</f>
        <v/>
      </c>
      <c r="AI151">
        <f>IFERROR(IF(AG151*AH151=0,"",AG151*AH151),"")</f>
        <v/>
      </c>
      <c r="AL151">
        <f>IF(AND(AJ151&lt;&gt;"",AK151&lt;&gt;""),ROUNDUP((AK151-AJ151)/7,0),"")</f>
        <v/>
      </c>
      <c r="AN151">
        <f>IFERROR(IF(AL151*AM151=0,"",AL151*AM151),"")</f>
        <v/>
      </c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L151">
        <f>IFERROR(INDEX('_names_lookup'!$C:$C,MATCH(BK151,'_names_lookup'!$A:$A,0)),"")</f>
        <v/>
      </c>
      <c r="BM151">
        <f>IFERROR(INDEX('_names_lookup'!$B:$B,MATCH(BK151,'_names_lookup'!$A:$A,0)),"")</f>
        <v/>
      </c>
      <c r="BS151">
        <f>IFERROR(IF(BR151*AA151=0,"",BR151*AA151),"")</f>
        <v/>
      </c>
    </row>
    <row r="152">
      <c r="O152">
        <f>IFERROR(INDEX('_courses_lookup'!$C:$C,MATCH(K152&amp;L152,'_courses_lookup'!$E:$E,0)),"")</f>
        <v/>
      </c>
      <c r="P152">
        <f>IFERROR(INDEX('_courses_lookup'!$D:$D,MATCH(K152&amp;L152,'_courses_lookup'!$E:$E,0)),"")</f>
        <v/>
      </c>
      <c r="AG152">
        <f>IF(AND(AE152&lt;&gt;"",AF152&lt;&gt;""),ROUNDUP((AF152-AE152)/7,0),"")</f>
        <v/>
      </c>
      <c r="AI152">
        <f>IFERROR(IF(AG152*AH152=0,"",AG152*AH152),"")</f>
        <v/>
      </c>
      <c r="AL152">
        <f>IF(AND(AJ152&lt;&gt;"",AK152&lt;&gt;""),ROUNDUP((AK152-AJ152)/7,0),"")</f>
        <v/>
      </c>
      <c r="AN152">
        <f>IFERROR(IF(AL152*AM152=0,"",AL152*AM152),"")</f>
        <v/>
      </c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L152">
        <f>IFERROR(INDEX('_names_lookup'!$C:$C,MATCH(BK152,'_names_lookup'!$A:$A,0)),"")</f>
        <v/>
      </c>
      <c r="BM152">
        <f>IFERROR(INDEX('_names_lookup'!$B:$B,MATCH(BK152,'_names_lookup'!$A:$A,0)),"")</f>
        <v/>
      </c>
      <c r="BS152">
        <f>IFERROR(IF(BR152*AA152=0,"",BR152*AA152),"")</f>
        <v/>
      </c>
    </row>
    <row r="153">
      <c r="O153">
        <f>IFERROR(INDEX('_courses_lookup'!$C:$C,MATCH(K153&amp;L153,'_courses_lookup'!$E:$E,0)),"")</f>
        <v/>
      </c>
      <c r="P153">
        <f>IFERROR(INDEX('_courses_lookup'!$D:$D,MATCH(K153&amp;L153,'_courses_lookup'!$E:$E,0)),"")</f>
        <v/>
      </c>
      <c r="AG153">
        <f>IF(AND(AE153&lt;&gt;"",AF153&lt;&gt;""),ROUNDUP((AF153-AE153)/7,0),"")</f>
        <v/>
      </c>
      <c r="AI153">
        <f>IFERROR(IF(AG153*AH153=0,"",AG153*AH153),"")</f>
        <v/>
      </c>
      <c r="AL153">
        <f>IF(AND(AJ153&lt;&gt;"",AK153&lt;&gt;""),ROUNDUP((AK153-AJ153)/7,0),"")</f>
        <v/>
      </c>
      <c r="AN153">
        <f>IFERROR(IF(AL153*AM153=0,"",AL153*AM153),"")</f>
        <v/>
      </c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L153">
        <f>IFERROR(INDEX('_names_lookup'!$C:$C,MATCH(BK153,'_names_lookup'!$A:$A,0)),"")</f>
        <v/>
      </c>
      <c r="BM153">
        <f>IFERROR(INDEX('_names_lookup'!$B:$B,MATCH(BK153,'_names_lookup'!$A:$A,0)),"")</f>
        <v/>
      </c>
      <c r="BS153">
        <f>IFERROR(IF(BR153*AA153=0,"",BR153*AA153),"")</f>
        <v/>
      </c>
    </row>
    <row r="154">
      <c r="O154">
        <f>IFERROR(INDEX('_courses_lookup'!$C:$C,MATCH(K154&amp;L154,'_courses_lookup'!$E:$E,0)),"")</f>
        <v/>
      </c>
      <c r="P154">
        <f>IFERROR(INDEX('_courses_lookup'!$D:$D,MATCH(K154&amp;L154,'_courses_lookup'!$E:$E,0)),"")</f>
        <v/>
      </c>
      <c r="AG154">
        <f>IF(AND(AE154&lt;&gt;"",AF154&lt;&gt;""),ROUNDUP((AF154-AE154)/7,0),"")</f>
        <v/>
      </c>
      <c r="AI154">
        <f>IFERROR(IF(AG154*AH154=0,"",AG154*AH154),"")</f>
        <v/>
      </c>
      <c r="AL154">
        <f>IF(AND(AJ154&lt;&gt;"",AK154&lt;&gt;""),ROUNDUP((AK154-AJ154)/7,0),"")</f>
        <v/>
      </c>
      <c r="AN154">
        <f>IFERROR(IF(AL154*AM154=0,"",AL154*AM154),"")</f>
        <v/>
      </c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L154">
        <f>IFERROR(INDEX('_names_lookup'!$C:$C,MATCH(BK154,'_names_lookup'!$A:$A,0)),"")</f>
        <v/>
      </c>
      <c r="BM154">
        <f>IFERROR(INDEX('_names_lookup'!$B:$B,MATCH(BK154,'_names_lookup'!$A:$A,0)),"")</f>
        <v/>
      </c>
      <c r="BS154">
        <f>IFERROR(IF(BR154*AA154=0,"",BR154*AA154),"")</f>
        <v/>
      </c>
    </row>
    <row r="155">
      <c r="O155">
        <f>IFERROR(INDEX('_courses_lookup'!$C:$C,MATCH(K155&amp;L155,'_courses_lookup'!$E:$E,0)),"")</f>
        <v/>
      </c>
      <c r="P155">
        <f>IFERROR(INDEX('_courses_lookup'!$D:$D,MATCH(K155&amp;L155,'_courses_lookup'!$E:$E,0)),"")</f>
        <v/>
      </c>
      <c r="AG155">
        <f>IF(AND(AE155&lt;&gt;"",AF155&lt;&gt;""),ROUNDUP((AF155-AE155)/7,0),"")</f>
        <v/>
      </c>
      <c r="AI155">
        <f>IFERROR(IF(AG155*AH155=0,"",AG155*AH155),"")</f>
        <v/>
      </c>
      <c r="AL155">
        <f>IF(AND(AJ155&lt;&gt;"",AK155&lt;&gt;""),ROUNDUP((AK155-AJ155)/7,0),"")</f>
        <v/>
      </c>
      <c r="AN155">
        <f>IFERROR(IF(AL155*AM155=0,"",AL155*AM155),"")</f>
        <v/>
      </c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L155">
        <f>IFERROR(INDEX('_names_lookup'!$C:$C,MATCH(BK155,'_names_lookup'!$A:$A,0)),"")</f>
        <v/>
      </c>
      <c r="BM155">
        <f>IFERROR(INDEX('_names_lookup'!$B:$B,MATCH(BK155,'_names_lookup'!$A:$A,0)),"")</f>
        <v/>
      </c>
      <c r="BS155">
        <f>IFERROR(IF(BR155*AA155=0,"",BR155*AA155),"")</f>
        <v/>
      </c>
    </row>
    <row r="156">
      <c r="O156">
        <f>IFERROR(INDEX('_courses_lookup'!$C:$C,MATCH(K156&amp;L156,'_courses_lookup'!$E:$E,0)),"")</f>
        <v/>
      </c>
      <c r="P156">
        <f>IFERROR(INDEX('_courses_lookup'!$D:$D,MATCH(K156&amp;L156,'_courses_lookup'!$E:$E,0)),"")</f>
        <v/>
      </c>
      <c r="AG156">
        <f>IF(AND(AE156&lt;&gt;"",AF156&lt;&gt;""),ROUNDUP((AF156-AE156)/7,0),"")</f>
        <v/>
      </c>
      <c r="AI156">
        <f>IFERROR(IF(AG156*AH156=0,"",AG156*AH156),"")</f>
        <v/>
      </c>
      <c r="AL156">
        <f>IF(AND(AJ156&lt;&gt;"",AK156&lt;&gt;""),ROUNDUP((AK156-AJ156)/7,0),"")</f>
        <v/>
      </c>
      <c r="AN156">
        <f>IFERROR(IF(AL156*AM156=0,"",AL156*AM156),"")</f>
        <v/>
      </c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L156">
        <f>IFERROR(INDEX('_names_lookup'!$C:$C,MATCH(BK156,'_names_lookup'!$A:$A,0)),"")</f>
        <v/>
      </c>
      <c r="BM156">
        <f>IFERROR(INDEX('_names_lookup'!$B:$B,MATCH(BK156,'_names_lookup'!$A:$A,0)),"")</f>
        <v/>
      </c>
      <c r="BS156">
        <f>IFERROR(IF(BR156*AA156=0,"",BR156*AA156),"")</f>
        <v/>
      </c>
    </row>
    <row r="157">
      <c r="O157">
        <f>IFERROR(INDEX('_courses_lookup'!$C:$C,MATCH(K157&amp;L157,'_courses_lookup'!$E:$E,0)),"")</f>
        <v/>
      </c>
      <c r="P157">
        <f>IFERROR(INDEX('_courses_lookup'!$D:$D,MATCH(K157&amp;L157,'_courses_lookup'!$E:$E,0)),"")</f>
        <v/>
      </c>
      <c r="AG157">
        <f>IF(AND(AE157&lt;&gt;"",AF157&lt;&gt;""),ROUNDUP((AF157-AE157)/7,0),"")</f>
        <v/>
      </c>
      <c r="AI157">
        <f>IFERROR(IF(AG157*AH157=0,"",AG157*AH157),"")</f>
        <v/>
      </c>
      <c r="AL157">
        <f>IF(AND(AJ157&lt;&gt;"",AK157&lt;&gt;""),ROUNDUP((AK157-AJ157)/7,0),"")</f>
        <v/>
      </c>
      <c r="AN157">
        <f>IFERROR(IF(AL157*AM157=0,"",AL157*AM157),"")</f>
        <v/>
      </c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L157">
        <f>IFERROR(INDEX('_names_lookup'!$C:$C,MATCH(BK157,'_names_lookup'!$A:$A,0)),"")</f>
        <v/>
      </c>
      <c r="BM157">
        <f>IFERROR(INDEX('_names_lookup'!$B:$B,MATCH(BK157,'_names_lookup'!$A:$A,0)),"")</f>
        <v/>
      </c>
      <c r="BS157">
        <f>IFERROR(IF(BR157*AA157=0,"",BR157*AA157),"")</f>
        <v/>
      </c>
    </row>
    <row r="158">
      <c r="O158">
        <f>IFERROR(INDEX('_courses_lookup'!$C:$C,MATCH(K158&amp;L158,'_courses_lookup'!$E:$E,0)),"")</f>
        <v/>
      </c>
      <c r="P158">
        <f>IFERROR(INDEX('_courses_lookup'!$D:$D,MATCH(K158&amp;L158,'_courses_lookup'!$E:$E,0)),"")</f>
        <v/>
      </c>
      <c r="AG158">
        <f>IF(AND(AE158&lt;&gt;"",AF158&lt;&gt;""),ROUNDUP((AF158-AE158)/7,0),"")</f>
        <v/>
      </c>
      <c r="AI158">
        <f>IFERROR(IF(AG158*AH158=0,"",AG158*AH158),"")</f>
        <v/>
      </c>
      <c r="AL158">
        <f>IF(AND(AJ158&lt;&gt;"",AK158&lt;&gt;""),ROUNDUP((AK158-AJ158)/7,0),"")</f>
        <v/>
      </c>
      <c r="AN158">
        <f>IFERROR(IF(AL158*AM158=0,"",AL158*AM158),"")</f>
        <v/>
      </c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L158">
        <f>IFERROR(INDEX('_names_lookup'!$C:$C,MATCH(BK158,'_names_lookup'!$A:$A,0)),"")</f>
        <v/>
      </c>
      <c r="BM158">
        <f>IFERROR(INDEX('_names_lookup'!$B:$B,MATCH(BK158,'_names_lookup'!$A:$A,0)),"")</f>
        <v/>
      </c>
      <c r="BS158">
        <f>IFERROR(IF(BR158*AA158=0,"",BR158*AA158),"")</f>
        <v/>
      </c>
    </row>
    <row r="159">
      <c r="O159">
        <f>IFERROR(INDEX('_courses_lookup'!$C:$C,MATCH(K159&amp;L159,'_courses_lookup'!$E:$E,0)),"")</f>
        <v/>
      </c>
      <c r="P159">
        <f>IFERROR(INDEX('_courses_lookup'!$D:$D,MATCH(K159&amp;L159,'_courses_lookup'!$E:$E,0)),"")</f>
        <v/>
      </c>
      <c r="AG159">
        <f>IF(AND(AE159&lt;&gt;"",AF159&lt;&gt;""),ROUNDUP((AF159-AE159)/7,0),"")</f>
        <v/>
      </c>
      <c r="AI159">
        <f>IFERROR(IF(AG159*AH159=0,"",AG159*AH159),"")</f>
        <v/>
      </c>
      <c r="AL159">
        <f>IF(AND(AJ159&lt;&gt;"",AK159&lt;&gt;""),ROUNDUP((AK159-AJ159)/7,0),"")</f>
        <v/>
      </c>
      <c r="AN159">
        <f>IFERROR(IF(AL159*AM159=0,"",AL159*AM159),"")</f>
        <v/>
      </c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L159">
        <f>IFERROR(INDEX('_names_lookup'!$C:$C,MATCH(BK159,'_names_lookup'!$A:$A,0)),"")</f>
        <v/>
      </c>
      <c r="BM159">
        <f>IFERROR(INDEX('_names_lookup'!$B:$B,MATCH(BK159,'_names_lookup'!$A:$A,0)),"")</f>
        <v/>
      </c>
      <c r="BS159">
        <f>IFERROR(IF(BR159*AA159=0,"",BR159*AA159),"")</f>
        <v/>
      </c>
    </row>
    <row r="160">
      <c r="O160">
        <f>IFERROR(INDEX('_courses_lookup'!$C:$C,MATCH(K160&amp;L160,'_courses_lookup'!$E:$E,0)),"")</f>
        <v/>
      </c>
      <c r="P160">
        <f>IFERROR(INDEX('_courses_lookup'!$D:$D,MATCH(K160&amp;L160,'_courses_lookup'!$E:$E,0)),"")</f>
        <v/>
      </c>
      <c r="AG160">
        <f>IF(AND(AE160&lt;&gt;"",AF160&lt;&gt;""),ROUNDUP((AF160-AE160)/7,0),"")</f>
        <v/>
      </c>
      <c r="AI160">
        <f>IFERROR(IF(AG160*AH160=0,"",AG160*AH160),"")</f>
        <v/>
      </c>
      <c r="AL160">
        <f>IF(AND(AJ160&lt;&gt;"",AK160&lt;&gt;""),ROUNDUP((AK160-AJ160)/7,0),"")</f>
        <v/>
      </c>
      <c r="AN160">
        <f>IFERROR(IF(AL160*AM160=0,"",AL160*AM160),"")</f>
        <v/>
      </c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L160">
        <f>IFERROR(INDEX('_names_lookup'!$C:$C,MATCH(BK160,'_names_lookup'!$A:$A,0)),"")</f>
        <v/>
      </c>
      <c r="BM160">
        <f>IFERROR(INDEX('_names_lookup'!$B:$B,MATCH(BK160,'_names_lookup'!$A:$A,0)),"")</f>
        <v/>
      </c>
      <c r="BS160">
        <f>IFERROR(IF(BR160*AA160=0,"",BR160*AA160),"")</f>
        <v/>
      </c>
    </row>
    <row r="161">
      <c r="O161">
        <f>IFERROR(INDEX('_courses_lookup'!$C:$C,MATCH(K161&amp;L161,'_courses_lookup'!$E:$E,0)),"")</f>
        <v/>
      </c>
      <c r="P161">
        <f>IFERROR(INDEX('_courses_lookup'!$D:$D,MATCH(K161&amp;L161,'_courses_lookup'!$E:$E,0)),"")</f>
        <v/>
      </c>
      <c r="AG161">
        <f>IF(AND(AE161&lt;&gt;"",AF161&lt;&gt;""),ROUNDUP((AF161-AE161)/7,0),"")</f>
        <v/>
      </c>
      <c r="AI161">
        <f>IFERROR(IF(AG161*AH161=0,"",AG161*AH161),"")</f>
        <v/>
      </c>
      <c r="AL161">
        <f>IF(AND(AJ161&lt;&gt;"",AK161&lt;&gt;""),ROUNDUP((AK161-AJ161)/7,0),"")</f>
        <v/>
      </c>
      <c r="AN161">
        <f>IFERROR(IF(AL161*AM161=0,"",AL161*AM161),"")</f>
        <v/>
      </c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L161">
        <f>IFERROR(INDEX('_names_lookup'!$C:$C,MATCH(BK161,'_names_lookup'!$A:$A,0)),"")</f>
        <v/>
      </c>
      <c r="BM161">
        <f>IFERROR(INDEX('_names_lookup'!$B:$B,MATCH(BK161,'_names_lookup'!$A:$A,0)),"")</f>
        <v/>
      </c>
      <c r="BS161">
        <f>IFERROR(IF(BR161*AA161=0,"",BR161*AA161),"")</f>
        <v/>
      </c>
    </row>
    <row r="162">
      <c r="O162">
        <f>IFERROR(INDEX('_courses_lookup'!$C:$C,MATCH(K162&amp;L162,'_courses_lookup'!$E:$E,0)),"")</f>
        <v/>
      </c>
      <c r="P162">
        <f>IFERROR(INDEX('_courses_lookup'!$D:$D,MATCH(K162&amp;L162,'_courses_lookup'!$E:$E,0)),"")</f>
        <v/>
      </c>
      <c r="AG162">
        <f>IF(AND(AE162&lt;&gt;"",AF162&lt;&gt;""),ROUNDUP((AF162-AE162)/7,0),"")</f>
        <v/>
      </c>
      <c r="AI162">
        <f>IFERROR(IF(AG162*AH162=0,"",AG162*AH162),"")</f>
        <v/>
      </c>
      <c r="AL162">
        <f>IF(AND(AJ162&lt;&gt;"",AK162&lt;&gt;""),ROUNDUP((AK162-AJ162)/7,0),"")</f>
        <v/>
      </c>
      <c r="AN162">
        <f>IFERROR(IF(AL162*AM162=0,"",AL162*AM162),"")</f>
        <v/>
      </c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L162">
        <f>IFERROR(INDEX('_names_lookup'!$C:$C,MATCH(BK162,'_names_lookup'!$A:$A,0)),"")</f>
        <v/>
      </c>
      <c r="BM162">
        <f>IFERROR(INDEX('_names_lookup'!$B:$B,MATCH(BK162,'_names_lookup'!$A:$A,0)),"")</f>
        <v/>
      </c>
      <c r="BS162">
        <f>IFERROR(IF(BR162*AA162=0,"",BR162*AA162),"")</f>
        <v/>
      </c>
    </row>
    <row r="163">
      <c r="O163">
        <f>IFERROR(INDEX('_courses_lookup'!$C:$C,MATCH(K163&amp;L163,'_courses_lookup'!$E:$E,0)),"")</f>
        <v/>
      </c>
      <c r="P163">
        <f>IFERROR(INDEX('_courses_lookup'!$D:$D,MATCH(K163&amp;L163,'_courses_lookup'!$E:$E,0)),"")</f>
        <v/>
      </c>
      <c r="AG163">
        <f>IF(AND(AE163&lt;&gt;"",AF163&lt;&gt;""),ROUNDUP((AF163-AE163)/7,0),"")</f>
        <v/>
      </c>
      <c r="AI163">
        <f>IFERROR(IF(AG163*AH163=0,"",AG163*AH163),"")</f>
        <v/>
      </c>
      <c r="AL163">
        <f>IF(AND(AJ163&lt;&gt;"",AK163&lt;&gt;""),ROUNDUP((AK163-AJ163)/7,0),"")</f>
        <v/>
      </c>
      <c r="AN163">
        <f>IFERROR(IF(AL163*AM163=0,"",AL163*AM163),"")</f>
        <v/>
      </c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L163">
        <f>IFERROR(INDEX('_names_lookup'!$C:$C,MATCH(BK163,'_names_lookup'!$A:$A,0)),"")</f>
        <v/>
      </c>
      <c r="BM163">
        <f>IFERROR(INDEX('_names_lookup'!$B:$B,MATCH(BK163,'_names_lookup'!$A:$A,0)),"")</f>
        <v/>
      </c>
      <c r="BS163">
        <f>IFERROR(IF(BR163*AA163=0,"",BR163*AA163),"")</f>
        <v/>
      </c>
    </row>
    <row r="164">
      <c r="O164">
        <f>IFERROR(INDEX('_courses_lookup'!$C:$C,MATCH(K164&amp;L164,'_courses_lookup'!$E:$E,0)),"")</f>
        <v/>
      </c>
      <c r="P164">
        <f>IFERROR(INDEX('_courses_lookup'!$D:$D,MATCH(K164&amp;L164,'_courses_lookup'!$E:$E,0)),"")</f>
        <v/>
      </c>
      <c r="AG164">
        <f>IF(AND(AE164&lt;&gt;"",AF164&lt;&gt;""),ROUNDUP((AF164-AE164)/7,0),"")</f>
        <v/>
      </c>
      <c r="AI164">
        <f>IFERROR(IF(AG164*AH164=0,"",AG164*AH164),"")</f>
        <v/>
      </c>
      <c r="AL164">
        <f>IF(AND(AJ164&lt;&gt;"",AK164&lt;&gt;""),ROUNDUP((AK164-AJ164)/7,0),"")</f>
        <v/>
      </c>
      <c r="AN164">
        <f>IFERROR(IF(AL164*AM164=0,"",AL164*AM164),"")</f>
        <v/>
      </c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L164">
        <f>IFERROR(INDEX('_names_lookup'!$C:$C,MATCH(BK164,'_names_lookup'!$A:$A,0)),"")</f>
        <v/>
      </c>
      <c r="BM164">
        <f>IFERROR(INDEX('_names_lookup'!$B:$B,MATCH(BK164,'_names_lookup'!$A:$A,0)),"")</f>
        <v/>
      </c>
      <c r="BS164">
        <f>IFERROR(IF(BR164*AA164=0,"",BR164*AA164),"")</f>
        <v/>
      </c>
    </row>
    <row r="165">
      <c r="O165">
        <f>IFERROR(INDEX('_courses_lookup'!$C:$C,MATCH(K165&amp;L165,'_courses_lookup'!$E:$E,0)),"")</f>
        <v/>
      </c>
      <c r="P165">
        <f>IFERROR(INDEX('_courses_lookup'!$D:$D,MATCH(K165&amp;L165,'_courses_lookup'!$E:$E,0)),"")</f>
        <v/>
      </c>
      <c r="AG165">
        <f>IF(AND(AE165&lt;&gt;"",AF165&lt;&gt;""),ROUNDUP((AF165-AE165)/7,0),"")</f>
        <v/>
      </c>
      <c r="AI165">
        <f>IFERROR(IF(AG165*AH165=0,"",AG165*AH165),"")</f>
        <v/>
      </c>
      <c r="AL165">
        <f>IF(AND(AJ165&lt;&gt;"",AK165&lt;&gt;""),ROUNDUP((AK165-AJ165)/7,0),"")</f>
        <v/>
      </c>
      <c r="AN165">
        <f>IFERROR(IF(AL165*AM165=0,"",AL165*AM165),"")</f>
        <v/>
      </c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L165">
        <f>IFERROR(INDEX('_names_lookup'!$C:$C,MATCH(BK165,'_names_lookup'!$A:$A,0)),"")</f>
        <v/>
      </c>
      <c r="BM165">
        <f>IFERROR(INDEX('_names_lookup'!$B:$B,MATCH(BK165,'_names_lookup'!$A:$A,0)),"")</f>
        <v/>
      </c>
      <c r="BS165">
        <f>IFERROR(IF(BR165*AA165=0,"",BR165*AA165),"")</f>
        <v/>
      </c>
    </row>
    <row r="166">
      <c r="O166">
        <f>IFERROR(INDEX('_courses_lookup'!$C:$C,MATCH(K166&amp;L166,'_courses_lookup'!$E:$E,0)),"")</f>
        <v/>
      </c>
      <c r="P166">
        <f>IFERROR(INDEX('_courses_lookup'!$D:$D,MATCH(K166&amp;L166,'_courses_lookup'!$E:$E,0)),"")</f>
        <v/>
      </c>
      <c r="AG166">
        <f>IF(AND(AE166&lt;&gt;"",AF166&lt;&gt;""),ROUNDUP((AF166-AE166)/7,0),"")</f>
        <v/>
      </c>
      <c r="AI166">
        <f>IFERROR(IF(AG166*AH166=0,"",AG166*AH166),"")</f>
        <v/>
      </c>
      <c r="AL166">
        <f>IF(AND(AJ166&lt;&gt;"",AK166&lt;&gt;""),ROUNDUP((AK166-AJ166)/7,0),"")</f>
        <v/>
      </c>
      <c r="AN166">
        <f>IFERROR(IF(AL166*AM166=0,"",AL166*AM166),"")</f>
        <v/>
      </c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L166">
        <f>IFERROR(INDEX('_names_lookup'!$C:$C,MATCH(BK166,'_names_lookup'!$A:$A,0)),"")</f>
        <v/>
      </c>
      <c r="BM166">
        <f>IFERROR(INDEX('_names_lookup'!$B:$B,MATCH(BK166,'_names_lookup'!$A:$A,0)),"")</f>
        <v/>
      </c>
      <c r="BS166">
        <f>IFERROR(IF(BR166*AA166=0,"",BR166*AA166),"")</f>
        <v/>
      </c>
    </row>
    <row r="167">
      <c r="O167">
        <f>IFERROR(INDEX('_courses_lookup'!$C:$C,MATCH(K167&amp;L167,'_courses_lookup'!$E:$E,0)),"")</f>
        <v/>
      </c>
      <c r="P167">
        <f>IFERROR(INDEX('_courses_lookup'!$D:$D,MATCH(K167&amp;L167,'_courses_lookup'!$E:$E,0)),"")</f>
        <v/>
      </c>
      <c r="AG167">
        <f>IF(AND(AE167&lt;&gt;"",AF167&lt;&gt;""),ROUNDUP((AF167-AE167)/7,0),"")</f>
        <v/>
      </c>
      <c r="AI167">
        <f>IFERROR(IF(AG167*AH167=0,"",AG167*AH167),"")</f>
        <v/>
      </c>
      <c r="AL167">
        <f>IF(AND(AJ167&lt;&gt;"",AK167&lt;&gt;""),ROUNDUP((AK167-AJ167)/7,0),"")</f>
        <v/>
      </c>
      <c r="AN167">
        <f>IFERROR(IF(AL167*AM167=0,"",AL167*AM167),"")</f>
        <v/>
      </c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L167">
        <f>IFERROR(INDEX('_names_lookup'!$C:$C,MATCH(BK167,'_names_lookup'!$A:$A,0)),"")</f>
        <v/>
      </c>
      <c r="BM167">
        <f>IFERROR(INDEX('_names_lookup'!$B:$B,MATCH(BK167,'_names_lookup'!$A:$A,0)),"")</f>
        <v/>
      </c>
      <c r="BS167">
        <f>IFERROR(IF(BR167*AA167=0,"",BR167*AA167),"")</f>
        <v/>
      </c>
    </row>
    <row r="168">
      <c r="O168">
        <f>IFERROR(INDEX('_courses_lookup'!$C:$C,MATCH(K168&amp;L168,'_courses_lookup'!$E:$E,0)),"")</f>
        <v/>
      </c>
      <c r="P168">
        <f>IFERROR(INDEX('_courses_lookup'!$D:$D,MATCH(K168&amp;L168,'_courses_lookup'!$E:$E,0)),"")</f>
        <v/>
      </c>
      <c r="AG168">
        <f>IF(AND(AE168&lt;&gt;"",AF168&lt;&gt;""),ROUNDUP((AF168-AE168)/7,0),"")</f>
        <v/>
      </c>
      <c r="AI168">
        <f>IFERROR(IF(AG168*AH168=0,"",AG168*AH168),"")</f>
        <v/>
      </c>
      <c r="AL168">
        <f>IF(AND(AJ168&lt;&gt;"",AK168&lt;&gt;""),ROUNDUP((AK168-AJ168)/7,0),"")</f>
        <v/>
      </c>
      <c r="AN168">
        <f>IFERROR(IF(AL168*AM168=0,"",AL168*AM168),"")</f>
        <v/>
      </c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L168">
        <f>IFERROR(INDEX('_names_lookup'!$C:$C,MATCH(BK168,'_names_lookup'!$A:$A,0)),"")</f>
        <v/>
      </c>
      <c r="BM168">
        <f>IFERROR(INDEX('_names_lookup'!$B:$B,MATCH(BK168,'_names_lookup'!$A:$A,0)),"")</f>
        <v/>
      </c>
      <c r="BS168">
        <f>IFERROR(IF(BR168*AA168=0,"",BR168*AA168),"")</f>
        <v/>
      </c>
    </row>
    <row r="169">
      <c r="O169">
        <f>IFERROR(INDEX('_courses_lookup'!$C:$C,MATCH(K169&amp;L169,'_courses_lookup'!$E:$E,0)),"")</f>
        <v/>
      </c>
      <c r="P169">
        <f>IFERROR(INDEX('_courses_lookup'!$D:$D,MATCH(K169&amp;L169,'_courses_lookup'!$E:$E,0)),"")</f>
        <v/>
      </c>
      <c r="AG169">
        <f>IF(AND(AE169&lt;&gt;"",AF169&lt;&gt;""),ROUNDUP((AF169-AE169)/7,0),"")</f>
        <v/>
      </c>
      <c r="AI169">
        <f>IFERROR(IF(AG169*AH169=0,"",AG169*AH169),"")</f>
        <v/>
      </c>
      <c r="AL169">
        <f>IF(AND(AJ169&lt;&gt;"",AK169&lt;&gt;""),ROUNDUP((AK169-AJ169)/7,0),"")</f>
        <v/>
      </c>
      <c r="AN169">
        <f>IFERROR(IF(AL169*AM169=0,"",AL169*AM169),"")</f>
        <v/>
      </c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L169">
        <f>IFERROR(INDEX('_names_lookup'!$C:$C,MATCH(BK169,'_names_lookup'!$A:$A,0)),"")</f>
        <v/>
      </c>
      <c r="BM169">
        <f>IFERROR(INDEX('_names_lookup'!$B:$B,MATCH(BK169,'_names_lookup'!$A:$A,0)),"")</f>
        <v/>
      </c>
      <c r="BS169">
        <f>IFERROR(IF(BR169*AA169=0,"",BR169*AA169),"")</f>
        <v/>
      </c>
    </row>
    <row r="170">
      <c r="O170">
        <f>IFERROR(INDEX('_courses_lookup'!$C:$C,MATCH(K170&amp;L170,'_courses_lookup'!$E:$E,0)),"")</f>
        <v/>
      </c>
      <c r="P170">
        <f>IFERROR(INDEX('_courses_lookup'!$D:$D,MATCH(K170&amp;L170,'_courses_lookup'!$E:$E,0)),"")</f>
        <v/>
      </c>
      <c r="AG170">
        <f>IF(AND(AE170&lt;&gt;"",AF170&lt;&gt;""),ROUNDUP((AF170-AE170)/7,0),"")</f>
        <v/>
      </c>
      <c r="AI170">
        <f>IFERROR(IF(AG170*AH170=0,"",AG170*AH170),"")</f>
        <v/>
      </c>
      <c r="AL170">
        <f>IF(AND(AJ170&lt;&gt;"",AK170&lt;&gt;""),ROUNDUP((AK170-AJ170)/7,0),"")</f>
        <v/>
      </c>
      <c r="AN170">
        <f>IFERROR(IF(AL170*AM170=0,"",AL170*AM170),"")</f>
        <v/>
      </c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L170">
        <f>IFERROR(INDEX('_names_lookup'!$C:$C,MATCH(BK170,'_names_lookup'!$A:$A,0)),"")</f>
        <v/>
      </c>
      <c r="BM170">
        <f>IFERROR(INDEX('_names_lookup'!$B:$B,MATCH(BK170,'_names_lookup'!$A:$A,0)),"")</f>
        <v/>
      </c>
      <c r="BS170">
        <f>IFERROR(IF(BR170*AA170=0,"",BR170*AA170),"")</f>
        <v/>
      </c>
    </row>
    <row r="171">
      <c r="O171">
        <f>IFERROR(INDEX('_courses_lookup'!$C:$C,MATCH(K171&amp;L171,'_courses_lookup'!$E:$E,0)),"")</f>
        <v/>
      </c>
      <c r="P171">
        <f>IFERROR(INDEX('_courses_lookup'!$D:$D,MATCH(K171&amp;L171,'_courses_lookup'!$E:$E,0)),"")</f>
        <v/>
      </c>
      <c r="AG171">
        <f>IF(AND(AE171&lt;&gt;"",AF171&lt;&gt;""),ROUNDUP((AF171-AE171)/7,0),"")</f>
        <v/>
      </c>
      <c r="AI171">
        <f>IFERROR(IF(AG171*AH171=0,"",AG171*AH171),"")</f>
        <v/>
      </c>
      <c r="AL171">
        <f>IF(AND(AJ171&lt;&gt;"",AK171&lt;&gt;""),ROUNDUP((AK171-AJ171)/7,0),"")</f>
        <v/>
      </c>
      <c r="AN171">
        <f>IFERROR(IF(AL171*AM171=0,"",AL171*AM171),"")</f>
        <v/>
      </c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L171">
        <f>IFERROR(INDEX('_names_lookup'!$C:$C,MATCH(BK171,'_names_lookup'!$A:$A,0)),"")</f>
        <v/>
      </c>
      <c r="BM171">
        <f>IFERROR(INDEX('_names_lookup'!$B:$B,MATCH(BK171,'_names_lookup'!$A:$A,0)),"")</f>
        <v/>
      </c>
      <c r="BS171">
        <f>IFERROR(IF(BR171*AA171=0,"",BR171*AA171),"")</f>
        <v/>
      </c>
    </row>
    <row r="172">
      <c r="O172">
        <f>IFERROR(INDEX('_courses_lookup'!$C:$C,MATCH(K172&amp;L172,'_courses_lookup'!$E:$E,0)),"")</f>
        <v/>
      </c>
      <c r="P172">
        <f>IFERROR(INDEX('_courses_lookup'!$D:$D,MATCH(K172&amp;L172,'_courses_lookup'!$E:$E,0)),"")</f>
        <v/>
      </c>
      <c r="AG172">
        <f>IF(AND(AE172&lt;&gt;"",AF172&lt;&gt;""),ROUNDUP((AF172-AE172)/7,0),"")</f>
        <v/>
      </c>
      <c r="AI172">
        <f>IFERROR(IF(AG172*AH172=0,"",AG172*AH172),"")</f>
        <v/>
      </c>
      <c r="AL172">
        <f>IF(AND(AJ172&lt;&gt;"",AK172&lt;&gt;""),ROUNDUP((AK172-AJ172)/7,0),"")</f>
        <v/>
      </c>
      <c r="AN172">
        <f>IFERROR(IF(AL172*AM172=0,"",AL172*AM172),"")</f>
        <v/>
      </c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L172">
        <f>IFERROR(INDEX('_names_lookup'!$C:$C,MATCH(BK172,'_names_lookup'!$A:$A,0)),"")</f>
        <v/>
      </c>
      <c r="BM172">
        <f>IFERROR(INDEX('_names_lookup'!$B:$B,MATCH(BK172,'_names_lookup'!$A:$A,0)),"")</f>
        <v/>
      </c>
      <c r="BS172">
        <f>IFERROR(IF(BR172*AA172=0,"",BR172*AA172),"")</f>
        <v/>
      </c>
    </row>
    <row r="173">
      <c r="O173">
        <f>IFERROR(INDEX('_courses_lookup'!$C:$C,MATCH(K173&amp;L173,'_courses_lookup'!$E:$E,0)),"")</f>
        <v/>
      </c>
      <c r="P173">
        <f>IFERROR(INDEX('_courses_lookup'!$D:$D,MATCH(K173&amp;L173,'_courses_lookup'!$E:$E,0)),"")</f>
        <v/>
      </c>
      <c r="AG173">
        <f>IF(AND(AE173&lt;&gt;"",AF173&lt;&gt;""),ROUNDUP((AF173-AE173)/7,0),"")</f>
        <v/>
      </c>
      <c r="AI173">
        <f>IFERROR(IF(AG173*AH173=0,"",AG173*AH173),"")</f>
        <v/>
      </c>
      <c r="AL173">
        <f>IF(AND(AJ173&lt;&gt;"",AK173&lt;&gt;""),ROUNDUP((AK173-AJ173)/7,0),"")</f>
        <v/>
      </c>
      <c r="AN173">
        <f>IFERROR(IF(AL173*AM173=0,"",AL173*AM173),"")</f>
        <v/>
      </c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L173">
        <f>IFERROR(INDEX('_names_lookup'!$C:$C,MATCH(BK173,'_names_lookup'!$A:$A,0)),"")</f>
        <v/>
      </c>
      <c r="BM173">
        <f>IFERROR(INDEX('_names_lookup'!$B:$B,MATCH(BK173,'_names_lookup'!$A:$A,0)),"")</f>
        <v/>
      </c>
      <c r="BS173">
        <f>IFERROR(IF(BR173*AA173=0,"",BR173*AA173),"")</f>
        <v/>
      </c>
    </row>
    <row r="174">
      <c r="O174">
        <f>IFERROR(INDEX('_courses_lookup'!$C:$C,MATCH(K174&amp;L174,'_courses_lookup'!$E:$E,0)),"")</f>
        <v/>
      </c>
      <c r="P174">
        <f>IFERROR(INDEX('_courses_lookup'!$D:$D,MATCH(K174&amp;L174,'_courses_lookup'!$E:$E,0)),"")</f>
        <v/>
      </c>
      <c r="AG174">
        <f>IF(AND(AE174&lt;&gt;"",AF174&lt;&gt;""),ROUNDUP((AF174-AE174)/7,0),"")</f>
        <v/>
      </c>
      <c r="AI174">
        <f>IFERROR(IF(AG174*AH174=0,"",AG174*AH174),"")</f>
        <v/>
      </c>
      <c r="AL174">
        <f>IF(AND(AJ174&lt;&gt;"",AK174&lt;&gt;""),ROUNDUP((AK174-AJ174)/7,0),"")</f>
        <v/>
      </c>
      <c r="AN174">
        <f>IFERROR(IF(AL174*AM174=0,"",AL174*AM174),"")</f>
        <v/>
      </c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L174">
        <f>IFERROR(INDEX('_names_lookup'!$C:$C,MATCH(BK174,'_names_lookup'!$A:$A,0)),"")</f>
        <v/>
      </c>
      <c r="BM174">
        <f>IFERROR(INDEX('_names_lookup'!$B:$B,MATCH(BK174,'_names_lookup'!$A:$A,0)),"")</f>
        <v/>
      </c>
      <c r="BS174">
        <f>IFERROR(IF(BR174*AA174=0,"",BR174*AA174),"")</f>
        <v/>
      </c>
    </row>
    <row r="175">
      <c r="O175">
        <f>IFERROR(INDEX('_courses_lookup'!$C:$C,MATCH(K175&amp;L175,'_courses_lookup'!$E:$E,0)),"")</f>
        <v/>
      </c>
      <c r="P175">
        <f>IFERROR(INDEX('_courses_lookup'!$D:$D,MATCH(K175&amp;L175,'_courses_lookup'!$E:$E,0)),"")</f>
        <v/>
      </c>
      <c r="AG175">
        <f>IF(AND(AE175&lt;&gt;"",AF175&lt;&gt;""),ROUNDUP((AF175-AE175)/7,0),"")</f>
        <v/>
      </c>
      <c r="AI175">
        <f>IFERROR(IF(AG175*AH175=0,"",AG175*AH175),"")</f>
        <v/>
      </c>
      <c r="AL175">
        <f>IF(AND(AJ175&lt;&gt;"",AK175&lt;&gt;""),ROUNDUP((AK175-AJ175)/7,0),"")</f>
        <v/>
      </c>
      <c r="AN175">
        <f>IFERROR(IF(AL175*AM175=0,"",AL175*AM175),"")</f>
        <v/>
      </c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L175">
        <f>IFERROR(INDEX('_names_lookup'!$C:$C,MATCH(BK175,'_names_lookup'!$A:$A,0)),"")</f>
        <v/>
      </c>
      <c r="BM175">
        <f>IFERROR(INDEX('_names_lookup'!$B:$B,MATCH(BK175,'_names_lookup'!$A:$A,0)),"")</f>
        <v/>
      </c>
      <c r="BS175">
        <f>IFERROR(IF(BR175*AA175=0,"",BR175*AA175),"")</f>
        <v/>
      </c>
    </row>
    <row r="176">
      <c r="O176">
        <f>IFERROR(INDEX('_courses_lookup'!$C:$C,MATCH(K176&amp;L176,'_courses_lookup'!$E:$E,0)),"")</f>
        <v/>
      </c>
      <c r="P176">
        <f>IFERROR(INDEX('_courses_lookup'!$D:$D,MATCH(K176&amp;L176,'_courses_lookup'!$E:$E,0)),"")</f>
        <v/>
      </c>
      <c r="AG176">
        <f>IF(AND(AE176&lt;&gt;"",AF176&lt;&gt;""),ROUNDUP((AF176-AE176)/7,0),"")</f>
        <v/>
      </c>
      <c r="AI176">
        <f>IFERROR(IF(AG176*AH176=0,"",AG176*AH176),"")</f>
        <v/>
      </c>
      <c r="AL176">
        <f>IF(AND(AJ176&lt;&gt;"",AK176&lt;&gt;""),ROUNDUP((AK176-AJ176)/7,0),"")</f>
        <v/>
      </c>
      <c r="AN176">
        <f>IFERROR(IF(AL176*AM176=0,"",AL176*AM176),"")</f>
        <v/>
      </c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L176">
        <f>IFERROR(INDEX('_names_lookup'!$C:$C,MATCH(BK176,'_names_lookup'!$A:$A,0)),"")</f>
        <v/>
      </c>
      <c r="BM176">
        <f>IFERROR(INDEX('_names_lookup'!$B:$B,MATCH(BK176,'_names_lookup'!$A:$A,0)),"")</f>
        <v/>
      </c>
      <c r="BS176">
        <f>IFERROR(IF(BR176*AA176=0,"",BR176*AA176),"")</f>
        <v/>
      </c>
    </row>
    <row r="177">
      <c r="O177">
        <f>IFERROR(INDEX('_courses_lookup'!$C:$C,MATCH(K177&amp;L177,'_courses_lookup'!$E:$E,0)),"")</f>
        <v/>
      </c>
      <c r="P177">
        <f>IFERROR(INDEX('_courses_lookup'!$D:$D,MATCH(K177&amp;L177,'_courses_lookup'!$E:$E,0)),"")</f>
        <v/>
      </c>
      <c r="AG177">
        <f>IF(AND(AE177&lt;&gt;"",AF177&lt;&gt;""),ROUNDUP((AF177-AE177)/7,0),"")</f>
        <v/>
      </c>
      <c r="AI177">
        <f>IFERROR(IF(AG177*AH177=0,"",AG177*AH177),"")</f>
        <v/>
      </c>
      <c r="AL177">
        <f>IF(AND(AJ177&lt;&gt;"",AK177&lt;&gt;""),ROUNDUP((AK177-AJ177)/7,0),"")</f>
        <v/>
      </c>
      <c r="AN177">
        <f>IFERROR(IF(AL177*AM177=0,"",AL177*AM177),"")</f>
        <v/>
      </c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L177">
        <f>IFERROR(INDEX('_names_lookup'!$C:$C,MATCH(BK177,'_names_lookup'!$A:$A,0)),"")</f>
        <v/>
      </c>
      <c r="BM177">
        <f>IFERROR(INDEX('_names_lookup'!$B:$B,MATCH(BK177,'_names_lookup'!$A:$A,0)),"")</f>
        <v/>
      </c>
      <c r="BS177">
        <f>IFERROR(IF(BR177*AA177=0,"",BR177*AA177),"")</f>
        <v/>
      </c>
    </row>
    <row r="178">
      <c r="O178">
        <f>IFERROR(INDEX('_courses_lookup'!$C:$C,MATCH(K178&amp;L178,'_courses_lookup'!$E:$E,0)),"")</f>
        <v/>
      </c>
      <c r="P178">
        <f>IFERROR(INDEX('_courses_lookup'!$D:$D,MATCH(K178&amp;L178,'_courses_lookup'!$E:$E,0)),"")</f>
        <v/>
      </c>
      <c r="AG178">
        <f>IF(AND(AE178&lt;&gt;"",AF178&lt;&gt;""),ROUNDUP((AF178-AE178)/7,0),"")</f>
        <v/>
      </c>
      <c r="AI178">
        <f>IFERROR(IF(AG178*AH178=0,"",AG178*AH178),"")</f>
        <v/>
      </c>
      <c r="AL178">
        <f>IF(AND(AJ178&lt;&gt;"",AK178&lt;&gt;""),ROUNDUP((AK178-AJ178)/7,0),"")</f>
        <v/>
      </c>
      <c r="AN178">
        <f>IFERROR(IF(AL178*AM178=0,"",AL178*AM178),"")</f>
        <v/>
      </c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L178">
        <f>IFERROR(INDEX('_names_lookup'!$C:$C,MATCH(BK178,'_names_lookup'!$A:$A,0)),"")</f>
        <v/>
      </c>
      <c r="BM178">
        <f>IFERROR(INDEX('_names_lookup'!$B:$B,MATCH(BK178,'_names_lookup'!$A:$A,0)),"")</f>
        <v/>
      </c>
      <c r="BS178">
        <f>IFERROR(IF(BR178*AA178=0,"",BR178*AA178),"")</f>
        <v/>
      </c>
    </row>
    <row r="179">
      <c r="O179">
        <f>IFERROR(INDEX('_courses_lookup'!$C:$C,MATCH(K179&amp;L179,'_courses_lookup'!$E:$E,0)),"")</f>
        <v/>
      </c>
      <c r="P179">
        <f>IFERROR(INDEX('_courses_lookup'!$D:$D,MATCH(K179&amp;L179,'_courses_lookup'!$E:$E,0)),"")</f>
        <v/>
      </c>
      <c r="AG179">
        <f>IF(AND(AE179&lt;&gt;"",AF179&lt;&gt;""),ROUNDUP((AF179-AE179)/7,0),"")</f>
        <v/>
      </c>
      <c r="AI179">
        <f>IFERROR(IF(AG179*AH179=0,"",AG179*AH179),"")</f>
        <v/>
      </c>
      <c r="AL179">
        <f>IF(AND(AJ179&lt;&gt;"",AK179&lt;&gt;""),ROUNDUP((AK179-AJ179)/7,0),"")</f>
        <v/>
      </c>
      <c r="AN179">
        <f>IFERROR(IF(AL179*AM179=0,"",AL179*AM179),"")</f>
        <v/>
      </c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L179">
        <f>IFERROR(INDEX('_names_lookup'!$C:$C,MATCH(BK179,'_names_lookup'!$A:$A,0)),"")</f>
        <v/>
      </c>
      <c r="BM179">
        <f>IFERROR(INDEX('_names_lookup'!$B:$B,MATCH(BK179,'_names_lookup'!$A:$A,0)),"")</f>
        <v/>
      </c>
      <c r="BS179">
        <f>IFERROR(IF(BR179*AA179=0,"",BR179*AA179),"")</f>
        <v/>
      </c>
    </row>
    <row r="180">
      <c r="O180">
        <f>IFERROR(INDEX('_courses_lookup'!$C:$C,MATCH(K180&amp;L180,'_courses_lookup'!$E:$E,0)),"")</f>
        <v/>
      </c>
      <c r="P180">
        <f>IFERROR(INDEX('_courses_lookup'!$D:$D,MATCH(K180&amp;L180,'_courses_lookup'!$E:$E,0)),"")</f>
        <v/>
      </c>
      <c r="AG180">
        <f>IF(AND(AE180&lt;&gt;"",AF180&lt;&gt;""),ROUNDUP((AF180-AE180)/7,0),"")</f>
        <v/>
      </c>
      <c r="AI180">
        <f>IFERROR(IF(AG180*AH180=0,"",AG180*AH180),"")</f>
        <v/>
      </c>
      <c r="AL180">
        <f>IF(AND(AJ180&lt;&gt;"",AK180&lt;&gt;""),ROUNDUP((AK180-AJ180)/7,0),"")</f>
        <v/>
      </c>
      <c r="AN180">
        <f>IFERROR(IF(AL180*AM180=0,"",AL180*AM180),"")</f>
        <v/>
      </c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L180">
        <f>IFERROR(INDEX('_names_lookup'!$C:$C,MATCH(BK180,'_names_lookup'!$A:$A,0)),"")</f>
        <v/>
      </c>
      <c r="BM180">
        <f>IFERROR(INDEX('_names_lookup'!$B:$B,MATCH(BK180,'_names_lookup'!$A:$A,0)),"")</f>
        <v/>
      </c>
      <c r="BS180">
        <f>IFERROR(IF(BR180*AA180=0,"",BR180*AA180),"")</f>
        <v/>
      </c>
    </row>
    <row r="181">
      <c r="O181">
        <f>IFERROR(INDEX('_courses_lookup'!$C:$C,MATCH(K181&amp;L181,'_courses_lookup'!$E:$E,0)),"")</f>
        <v/>
      </c>
      <c r="P181">
        <f>IFERROR(INDEX('_courses_lookup'!$D:$D,MATCH(K181&amp;L181,'_courses_lookup'!$E:$E,0)),"")</f>
        <v/>
      </c>
      <c r="AG181">
        <f>IF(AND(AE181&lt;&gt;"",AF181&lt;&gt;""),ROUNDUP((AF181-AE181)/7,0),"")</f>
        <v/>
      </c>
      <c r="AI181">
        <f>IFERROR(IF(AG181*AH181=0,"",AG181*AH181),"")</f>
        <v/>
      </c>
      <c r="AL181">
        <f>IF(AND(AJ181&lt;&gt;"",AK181&lt;&gt;""),ROUNDUP((AK181-AJ181)/7,0),"")</f>
        <v/>
      </c>
      <c r="AN181">
        <f>IFERROR(IF(AL181*AM181=0,"",AL181*AM181),"")</f>
        <v/>
      </c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L181">
        <f>IFERROR(INDEX('_names_lookup'!$C:$C,MATCH(BK181,'_names_lookup'!$A:$A,0)),"")</f>
        <v/>
      </c>
      <c r="BM181">
        <f>IFERROR(INDEX('_names_lookup'!$B:$B,MATCH(BK181,'_names_lookup'!$A:$A,0)),"")</f>
        <v/>
      </c>
      <c r="BS181">
        <f>IFERROR(IF(BR181*AA181=0,"",BR181*AA181),"")</f>
        <v/>
      </c>
    </row>
    <row r="182">
      <c r="O182">
        <f>IFERROR(INDEX('_courses_lookup'!$C:$C,MATCH(K182&amp;L182,'_courses_lookup'!$E:$E,0)),"")</f>
        <v/>
      </c>
      <c r="P182">
        <f>IFERROR(INDEX('_courses_lookup'!$D:$D,MATCH(K182&amp;L182,'_courses_lookup'!$E:$E,0)),"")</f>
        <v/>
      </c>
      <c r="AG182">
        <f>IF(AND(AE182&lt;&gt;"",AF182&lt;&gt;""),ROUNDUP((AF182-AE182)/7,0),"")</f>
        <v/>
      </c>
      <c r="AI182">
        <f>IFERROR(IF(AG182*AH182=0,"",AG182*AH182),"")</f>
        <v/>
      </c>
      <c r="AL182">
        <f>IF(AND(AJ182&lt;&gt;"",AK182&lt;&gt;""),ROUNDUP((AK182-AJ182)/7,0),"")</f>
        <v/>
      </c>
      <c r="AN182">
        <f>IFERROR(IF(AL182*AM182=0,"",AL182*AM182),"")</f>
        <v/>
      </c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L182">
        <f>IFERROR(INDEX('_names_lookup'!$C:$C,MATCH(BK182,'_names_lookup'!$A:$A,0)),"")</f>
        <v/>
      </c>
      <c r="BM182">
        <f>IFERROR(INDEX('_names_lookup'!$B:$B,MATCH(BK182,'_names_lookup'!$A:$A,0)),"")</f>
        <v/>
      </c>
      <c r="BS182">
        <f>IFERROR(IF(BR182*AA182=0,"",BR182*AA182),"")</f>
        <v/>
      </c>
    </row>
    <row r="183">
      <c r="O183">
        <f>IFERROR(INDEX('_courses_lookup'!$C:$C,MATCH(K183&amp;L183,'_courses_lookup'!$E:$E,0)),"")</f>
        <v/>
      </c>
      <c r="P183">
        <f>IFERROR(INDEX('_courses_lookup'!$D:$D,MATCH(K183&amp;L183,'_courses_lookup'!$E:$E,0)),"")</f>
        <v/>
      </c>
      <c r="AG183">
        <f>IF(AND(AE183&lt;&gt;"",AF183&lt;&gt;""),ROUNDUP((AF183-AE183)/7,0),"")</f>
        <v/>
      </c>
      <c r="AI183">
        <f>IFERROR(IF(AG183*AH183=0,"",AG183*AH183),"")</f>
        <v/>
      </c>
      <c r="AL183">
        <f>IF(AND(AJ183&lt;&gt;"",AK183&lt;&gt;""),ROUNDUP((AK183-AJ183)/7,0),"")</f>
        <v/>
      </c>
      <c r="AN183">
        <f>IFERROR(IF(AL183*AM183=0,"",AL183*AM183),"")</f>
        <v/>
      </c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L183">
        <f>IFERROR(INDEX('_names_lookup'!$C:$C,MATCH(BK183,'_names_lookup'!$A:$A,0)),"")</f>
        <v/>
      </c>
      <c r="BM183">
        <f>IFERROR(INDEX('_names_lookup'!$B:$B,MATCH(BK183,'_names_lookup'!$A:$A,0)),"")</f>
        <v/>
      </c>
      <c r="BS183">
        <f>IFERROR(IF(BR183*AA183=0,"",BR183*AA183),"")</f>
        <v/>
      </c>
    </row>
    <row r="184">
      <c r="O184">
        <f>IFERROR(INDEX('_courses_lookup'!$C:$C,MATCH(K184&amp;L184,'_courses_lookup'!$E:$E,0)),"")</f>
        <v/>
      </c>
      <c r="P184">
        <f>IFERROR(INDEX('_courses_lookup'!$D:$D,MATCH(K184&amp;L184,'_courses_lookup'!$E:$E,0)),"")</f>
        <v/>
      </c>
      <c r="AG184">
        <f>IF(AND(AE184&lt;&gt;"",AF184&lt;&gt;""),ROUNDUP((AF184-AE184)/7,0),"")</f>
        <v/>
      </c>
      <c r="AI184">
        <f>IFERROR(IF(AG184*AH184=0,"",AG184*AH184),"")</f>
        <v/>
      </c>
      <c r="AL184">
        <f>IF(AND(AJ184&lt;&gt;"",AK184&lt;&gt;""),ROUNDUP((AK184-AJ184)/7,0),"")</f>
        <v/>
      </c>
      <c r="AN184">
        <f>IFERROR(IF(AL184*AM184=0,"",AL184*AM184),"")</f>
        <v/>
      </c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L184">
        <f>IFERROR(INDEX('_names_lookup'!$C:$C,MATCH(BK184,'_names_lookup'!$A:$A,0)),"")</f>
        <v/>
      </c>
      <c r="BM184">
        <f>IFERROR(INDEX('_names_lookup'!$B:$B,MATCH(BK184,'_names_lookup'!$A:$A,0)),"")</f>
        <v/>
      </c>
      <c r="BS184">
        <f>IFERROR(IF(BR184*AA184=0,"",BR184*AA184),"")</f>
        <v/>
      </c>
    </row>
    <row r="185">
      <c r="O185">
        <f>IFERROR(INDEX('_courses_lookup'!$C:$C,MATCH(K185&amp;L185,'_courses_lookup'!$E:$E,0)),"")</f>
        <v/>
      </c>
      <c r="P185">
        <f>IFERROR(INDEX('_courses_lookup'!$D:$D,MATCH(K185&amp;L185,'_courses_lookup'!$E:$E,0)),"")</f>
        <v/>
      </c>
      <c r="AG185">
        <f>IF(AND(AE185&lt;&gt;"",AF185&lt;&gt;""),ROUNDUP((AF185-AE185)/7,0),"")</f>
        <v/>
      </c>
      <c r="AI185">
        <f>IFERROR(IF(AG185*AH185=0,"",AG185*AH185),"")</f>
        <v/>
      </c>
      <c r="AL185">
        <f>IF(AND(AJ185&lt;&gt;"",AK185&lt;&gt;""),ROUNDUP((AK185-AJ185)/7,0),"")</f>
        <v/>
      </c>
      <c r="AN185">
        <f>IFERROR(IF(AL185*AM185=0,"",AL185*AM185),"")</f>
        <v/>
      </c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L185">
        <f>IFERROR(INDEX('_names_lookup'!$C:$C,MATCH(BK185,'_names_lookup'!$A:$A,0)),"")</f>
        <v/>
      </c>
      <c r="BM185">
        <f>IFERROR(INDEX('_names_lookup'!$B:$B,MATCH(BK185,'_names_lookup'!$A:$A,0)),"")</f>
        <v/>
      </c>
      <c r="BS185">
        <f>IFERROR(IF(BR185*AA185=0,"",BR185*AA185),"")</f>
        <v/>
      </c>
    </row>
    <row r="186">
      <c r="O186">
        <f>IFERROR(INDEX('_courses_lookup'!$C:$C,MATCH(K186&amp;L186,'_courses_lookup'!$E:$E,0)),"")</f>
        <v/>
      </c>
      <c r="P186">
        <f>IFERROR(INDEX('_courses_lookup'!$D:$D,MATCH(K186&amp;L186,'_courses_lookup'!$E:$E,0)),"")</f>
        <v/>
      </c>
      <c r="AG186">
        <f>IF(AND(AE186&lt;&gt;"",AF186&lt;&gt;""),ROUNDUP((AF186-AE186)/7,0),"")</f>
        <v/>
      </c>
      <c r="AI186">
        <f>IFERROR(IF(AG186*AH186=0,"",AG186*AH186),"")</f>
        <v/>
      </c>
      <c r="AL186">
        <f>IF(AND(AJ186&lt;&gt;"",AK186&lt;&gt;""),ROUNDUP((AK186-AJ186)/7,0),"")</f>
        <v/>
      </c>
      <c r="AN186">
        <f>IFERROR(IF(AL186*AM186=0,"",AL186*AM186),"")</f>
        <v/>
      </c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L186">
        <f>IFERROR(INDEX('_names_lookup'!$C:$C,MATCH(BK186,'_names_lookup'!$A:$A,0)),"")</f>
        <v/>
      </c>
      <c r="BM186">
        <f>IFERROR(INDEX('_names_lookup'!$B:$B,MATCH(BK186,'_names_lookup'!$A:$A,0)),"")</f>
        <v/>
      </c>
      <c r="BS186">
        <f>IFERROR(IF(BR186*AA186=0,"",BR186*AA186),"")</f>
        <v/>
      </c>
    </row>
    <row r="187">
      <c r="O187">
        <f>IFERROR(INDEX('_courses_lookup'!$C:$C,MATCH(K187&amp;L187,'_courses_lookup'!$E:$E,0)),"")</f>
        <v/>
      </c>
      <c r="P187">
        <f>IFERROR(INDEX('_courses_lookup'!$D:$D,MATCH(K187&amp;L187,'_courses_lookup'!$E:$E,0)),"")</f>
        <v/>
      </c>
      <c r="AG187">
        <f>IF(AND(AE187&lt;&gt;"",AF187&lt;&gt;""),ROUNDUP((AF187-AE187)/7,0),"")</f>
        <v/>
      </c>
      <c r="AI187">
        <f>IFERROR(IF(AG187*AH187=0,"",AG187*AH187),"")</f>
        <v/>
      </c>
      <c r="AL187">
        <f>IF(AND(AJ187&lt;&gt;"",AK187&lt;&gt;""),ROUNDUP((AK187-AJ187)/7,0),"")</f>
        <v/>
      </c>
      <c r="AN187">
        <f>IFERROR(IF(AL187*AM187=0,"",AL187*AM187),"")</f>
        <v/>
      </c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L187">
        <f>IFERROR(INDEX('_names_lookup'!$C:$C,MATCH(BK187,'_names_lookup'!$A:$A,0)),"")</f>
        <v/>
      </c>
      <c r="BM187">
        <f>IFERROR(INDEX('_names_lookup'!$B:$B,MATCH(BK187,'_names_lookup'!$A:$A,0)),"")</f>
        <v/>
      </c>
      <c r="BS187">
        <f>IFERROR(IF(BR187*AA187=0,"",BR187*AA187),"")</f>
        <v/>
      </c>
    </row>
    <row r="188">
      <c r="O188">
        <f>IFERROR(INDEX('_courses_lookup'!$C:$C,MATCH(K188&amp;L188,'_courses_lookup'!$E:$E,0)),"")</f>
        <v/>
      </c>
      <c r="P188">
        <f>IFERROR(INDEX('_courses_lookup'!$D:$D,MATCH(K188&amp;L188,'_courses_lookup'!$E:$E,0)),"")</f>
        <v/>
      </c>
      <c r="AG188">
        <f>IF(AND(AE188&lt;&gt;"",AF188&lt;&gt;""),ROUNDUP((AF188-AE188)/7,0),"")</f>
        <v/>
      </c>
      <c r="AI188">
        <f>IFERROR(IF(AG188*AH188=0,"",AG188*AH188),"")</f>
        <v/>
      </c>
      <c r="AL188">
        <f>IF(AND(AJ188&lt;&gt;"",AK188&lt;&gt;""),ROUNDUP((AK188-AJ188)/7,0),"")</f>
        <v/>
      </c>
      <c r="AN188">
        <f>IFERROR(IF(AL188*AM188=0,"",AL188*AM188),"")</f>
        <v/>
      </c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L188">
        <f>IFERROR(INDEX('_names_lookup'!$C:$C,MATCH(BK188,'_names_lookup'!$A:$A,0)),"")</f>
        <v/>
      </c>
      <c r="BM188">
        <f>IFERROR(INDEX('_names_lookup'!$B:$B,MATCH(BK188,'_names_lookup'!$A:$A,0)),"")</f>
        <v/>
      </c>
      <c r="BS188">
        <f>IFERROR(IF(BR188*AA188=0,"",BR188*AA188),"")</f>
        <v/>
      </c>
    </row>
    <row r="189">
      <c r="O189">
        <f>IFERROR(INDEX('_courses_lookup'!$C:$C,MATCH(K189&amp;L189,'_courses_lookup'!$E:$E,0)),"")</f>
        <v/>
      </c>
      <c r="P189">
        <f>IFERROR(INDEX('_courses_lookup'!$D:$D,MATCH(K189&amp;L189,'_courses_lookup'!$E:$E,0)),"")</f>
        <v/>
      </c>
      <c r="AG189">
        <f>IF(AND(AE189&lt;&gt;"",AF189&lt;&gt;""),ROUNDUP((AF189-AE189)/7,0),"")</f>
        <v/>
      </c>
      <c r="AI189">
        <f>IFERROR(IF(AG189*AH189=0,"",AG189*AH189),"")</f>
        <v/>
      </c>
      <c r="AL189">
        <f>IF(AND(AJ189&lt;&gt;"",AK189&lt;&gt;""),ROUNDUP((AK189-AJ189)/7,0),"")</f>
        <v/>
      </c>
      <c r="AN189">
        <f>IFERROR(IF(AL189*AM189=0,"",AL189*AM189),"")</f>
        <v/>
      </c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L189">
        <f>IFERROR(INDEX('_names_lookup'!$C:$C,MATCH(BK189,'_names_lookup'!$A:$A,0)),"")</f>
        <v/>
      </c>
      <c r="BM189">
        <f>IFERROR(INDEX('_names_lookup'!$B:$B,MATCH(BK189,'_names_lookup'!$A:$A,0)),"")</f>
        <v/>
      </c>
      <c r="BS189">
        <f>IFERROR(IF(BR189*AA189=0,"",BR189*AA189),"")</f>
        <v/>
      </c>
    </row>
    <row r="190">
      <c r="O190">
        <f>IFERROR(INDEX('_courses_lookup'!$C:$C,MATCH(K190&amp;L190,'_courses_lookup'!$E:$E,0)),"")</f>
        <v/>
      </c>
      <c r="P190">
        <f>IFERROR(INDEX('_courses_lookup'!$D:$D,MATCH(K190&amp;L190,'_courses_lookup'!$E:$E,0)),"")</f>
        <v/>
      </c>
      <c r="AG190">
        <f>IF(AND(AE190&lt;&gt;"",AF190&lt;&gt;""),ROUNDUP((AF190-AE190)/7,0),"")</f>
        <v/>
      </c>
      <c r="AI190">
        <f>IFERROR(IF(AG190*AH190=0,"",AG190*AH190),"")</f>
        <v/>
      </c>
      <c r="AL190">
        <f>IF(AND(AJ190&lt;&gt;"",AK190&lt;&gt;""),ROUNDUP((AK190-AJ190)/7,0),"")</f>
        <v/>
      </c>
      <c r="AN190">
        <f>IFERROR(IF(AL190*AM190=0,"",AL190*AM190),"")</f>
        <v/>
      </c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L190">
        <f>IFERROR(INDEX('_names_lookup'!$C:$C,MATCH(BK190,'_names_lookup'!$A:$A,0)),"")</f>
        <v/>
      </c>
      <c r="BM190">
        <f>IFERROR(INDEX('_names_lookup'!$B:$B,MATCH(BK190,'_names_lookup'!$A:$A,0)),"")</f>
        <v/>
      </c>
      <c r="BS190">
        <f>IFERROR(IF(BR190*AA190=0,"",BR190*AA190),"")</f>
        <v/>
      </c>
    </row>
    <row r="191">
      <c r="O191">
        <f>IFERROR(INDEX('_courses_lookup'!$C:$C,MATCH(K191&amp;L191,'_courses_lookup'!$E:$E,0)),"")</f>
        <v/>
      </c>
      <c r="P191">
        <f>IFERROR(INDEX('_courses_lookup'!$D:$D,MATCH(K191&amp;L191,'_courses_lookup'!$E:$E,0)),"")</f>
        <v/>
      </c>
      <c r="AG191">
        <f>IF(AND(AE191&lt;&gt;"",AF191&lt;&gt;""),ROUNDUP((AF191-AE191)/7,0),"")</f>
        <v/>
      </c>
      <c r="AI191">
        <f>IFERROR(IF(AG191*AH191=0,"",AG191*AH191),"")</f>
        <v/>
      </c>
      <c r="AL191">
        <f>IF(AND(AJ191&lt;&gt;"",AK191&lt;&gt;""),ROUNDUP((AK191-AJ191)/7,0),"")</f>
        <v/>
      </c>
      <c r="AN191">
        <f>IFERROR(IF(AL191*AM191=0,"",AL191*AM191),"")</f>
        <v/>
      </c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L191">
        <f>IFERROR(INDEX('_names_lookup'!$C:$C,MATCH(BK191,'_names_lookup'!$A:$A,0)),"")</f>
        <v/>
      </c>
      <c r="BM191">
        <f>IFERROR(INDEX('_names_lookup'!$B:$B,MATCH(BK191,'_names_lookup'!$A:$A,0)),"")</f>
        <v/>
      </c>
      <c r="BS191">
        <f>IFERROR(IF(BR191*AA191=0,"",BR191*AA191),"")</f>
        <v/>
      </c>
    </row>
    <row r="192">
      <c r="O192">
        <f>IFERROR(INDEX('_courses_lookup'!$C:$C,MATCH(K192&amp;L192,'_courses_lookup'!$E:$E,0)),"")</f>
        <v/>
      </c>
      <c r="P192">
        <f>IFERROR(INDEX('_courses_lookup'!$D:$D,MATCH(K192&amp;L192,'_courses_lookup'!$E:$E,0)),"")</f>
        <v/>
      </c>
      <c r="AG192">
        <f>IF(AND(AE192&lt;&gt;"",AF192&lt;&gt;""),ROUNDUP((AF192-AE192)/7,0),"")</f>
        <v/>
      </c>
      <c r="AI192">
        <f>IFERROR(IF(AG192*AH192=0,"",AG192*AH192),"")</f>
        <v/>
      </c>
      <c r="AL192">
        <f>IF(AND(AJ192&lt;&gt;"",AK192&lt;&gt;""),ROUNDUP((AK192-AJ192)/7,0),"")</f>
        <v/>
      </c>
      <c r="AN192">
        <f>IFERROR(IF(AL192*AM192=0,"",AL192*AM192),"")</f>
        <v/>
      </c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L192">
        <f>IFERROR(INDEX('_names_lookup'!$C:$C,MATCH(BK192,'_names_lookup'!$A:$A,0)),"")</f>
        <v/>
      </c>
      <c r="BM192">
        <f>IFERROR(INDEX('_names_lookup'!$B:$B,MATCH(BK192,'_names_lookup'!$A:$A,0)),"")</f>
        <v/>
      </c>
      <c r="BS192">
        <f>IFERROR(IF(BR192*AA192=0,"",BR192*AA192),"")</f>
        <v/>
      </c>
    </row>
    <row r="193">
      <c r="O193">
        <f>IFERROR(INDEX('_courses_lookup'!$C:$C,MATCH(K193&amp;L193,'_courses_lookup'!$E:$E,0)),"")</f>
        <v/>
      </c>
      <c r="P193">
        <f>IFERROR(INDEX('_courses_lookup'!$D:$D,MATCH(K193&amp;L193,'_courses_lookup'!$E:$E,0)),"")</f>
        <v/>
      </c>
      <c r="AG193">
        <f>IF(AND(AE193&lt;&gt;"",AF193&lt;&gt;""),ROUNDUP((AF193-AE193)/7,0),"")</f>
        <v/>
      </c>
      <c r="AI193">
        <f>IFERROR(IF(AG193*AH193=0,"",AG193*AH193),"")</f>
        <v/>
      </c>
      <c r="AL193">
        <f>IF(AND(AJ193&lt;&gt;"",AK193&lt;&gt;""),ROUNDUP((AK193-AJ193)/7,0),"")</f>
        <v/>
      </c>
      <c r="AN193">
        <f>IFERROR(IF(AL193*AM193=0,"",AL193*AM193),"")</f>
        <v/>
      </c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L193">
        <f>IFERROR(INDEX('_names_lookup'!$C:$C,MATCH(BK193,'_names_lookup'!$A:$A,0)),"")</f>
        <v/>
      </c>
      <c r="BM193">
        <f>IFERROR(INDEX('_names_lookup'!$B:$B,MATCH(BK193,'_names_lookup'!$A:$A,0)),"")</f>
        <v/>
      </c>
      <c r="BS193">
        <f>IFERROR(IF(BR193*AA193=0,"",BR193*AA193),"")</f>
        <v/>
      </c>
    </row>
    <row r="194">
      <c r="O194">
        <f>IFERROR(INDEX('_courses_lookup'!$C:$C,MATCH(K194&amp;L194,'_courses_lookup'!$E:$E,0)),"")</f>
        <v/>
      </c>
      <c r="P194">
        <f>IFERROR(INDEX('_courses_lookup'!$D:$D,MATCH(K194&amp;L194,'_courses_lookup'!$E:$E,0)),"")</f>
        <v/>
      </c>
      <c r="AG194">
        <f>IF(AND(AE194&lt;&gt;"",AF194&lt;&gt;""),ROUNDUP((AF194-AE194)/7,0),"")</f>
        <v/>
      </c>
      <c r="AI194">
        <f>IFERROR(IF(AG194*AH194=0,"",AG194*AH194),"")</f>
        <v/>
      </c>
      <c r="AL194">
        <f>IF(AND(AJ194&lt;&gt;"",AK194&lt;&gt;""),ROUNDUP((AK194-AJ194)/7,0),"")</f>
        <v/>
      </c>
      <c r="AN194">
        <f>IFERROR(IF(AL194*AM194=0,"",AL194*AM194),"")</f>
        <v/>
      </c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L194">
        <f>IFERROR(INDEX('_names_lookup'!$C:$C,MATCH(BK194,'_names_lookup'!$A:$A,0)),"")</f>
        <v/>
      </c>
      <c r="BM194">
        <f>IFERROR(INDEX('_names_lookup'!$B:$B,MATCH(BK194,'_names_lookup'!$A:$A,0)),"")</f>
        <v/>
      </c>
      <c r="BS194">
        <f>IFERROR(IF(BR194*AA194=0,"",BR194*AA194),"")</f>
        <v/>
      </c>
    </row>
    <row r="195">
      <c r="O195">
        <f>IFERROR(INDEX('_courses_lookup'!$C:$C,MATCH(K195&amp;L195,'_courses_lookup'!$E:$E,0)),"")</f>
        <v/>
      </c>
      <c r="P195">
        <f>IFERROR(INDEX('_courses_lookup'!$D:$D,MATCH(K195&amp;L195,'_courses_lookup'!$E:$E,0)),"")</f>
        <v/>
      </c>
      <c r="AG195">
        <f>IF(AND(AE195&lt;&gt;"",AF195&lt;&gt;""),ROUNDUP((AF195-AE195)/7,0),"")</f>
        <v/>
      </c>
      <c r="AI195">
        <f>IFERROR(IF(AG195*AH195=0,"",AG195*AH195),"")</f>
        <v/>
      </c>
      <c r="AL195">
        <f>IF(AND(AJ195&lt;&gt;"",AK195&lt;&gt;""),ROUNDUP((AK195-AJ195)/7,0),"")</f>
        <v/>
      </c>
      <c r="AN195">
        <f>IFERROR(IF(AL195*AM195=0,"",AL195*AM195),"")</f>
        <v/>
      </c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L195">
        <f>IFERROR(INDEX('_names_lookup'!$C:$C,MATCH(BK195,'_names_lookup'!$A:$A,0)),"")</f>
        <v/>
      </c>
      <c r="BM195">
        <f>IFERROR(INDEX('_names_lookup'!$B:$B,MATCH(BK195,'_names_lookup'!$A:$A,0)),"")</f>
        <v/>
      </c>
      <c r="BS195">
        <f>IFERROR(IF(BR195*AA195=0,"",BR195*AA195),"")</f>
        <v/>
      </c>
    </row>
    <row r="196">
      <c r="O196">
        <f>IFERROR(INDEX('_courses_lookup'!$C:$C,MATCH(K196&amp;L196,'_courses_lookup'!$E:$E,0)),"")</f>
        <v/>
      </c>
      <c r="P196">
        <f>IFERROR(INDEX('_courses_lookup'!$D:$D,MATCH(K196&amp;L196,'_courses_lookup'!$E:$E,0)),"")</f>
        <v/>
      </c>
      <c r="AG196">
        <f>IF(AND(AE196&lt;&gt;"",AF196&lt;&gt;""),ROUNDUP((AF196-AE196)/7,0),"")</f>
        <v/>
      </c>
      <c r="AI196">
        <f>IFERROR(IF(AG196*AH196=0,"",AG196*AH196),"")</f>
        <v/>
      </c>
      <c r="AL196">
        <f>IF(AND(AJ196&lt;&gt;"",AK196&lt;&gt;""),ROUNDUP((AK196-AJ196)/7,0),"")</f>
        <v/>
      </c>
      <c r="AN196">
        <f>IFERROR(IF(AL196*AM196=0,"",AL196*AM196),"")</f>
        <v/>
      </c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L196">
        <f>IFERROR(INDEX('_names_lookup'!$C:$C,MATCH(BK196,'_names_lookup'!$A:$A,0)),"")</f>
        <v/>
      </c>
      <c r="BM196">
        <f>IFERROR(INDEX('_names_lookup'!$B:$B,MATCH(BK196,'_names_lookup'!$A:$A,0)),"")</f>
        <v/>
      </c>
      <c r="BS196">
        <f>IFERROR(IF(BR196*AA196=0,"",BR196*AA196),"")</f>
        <v/>
      </c>
    </row>
    <row r="197">
      <c r="O197">
        <f>IFERROR(INDEX('_courses_lookup'!$C:$C,MATCH(K197&amp;L197,'_courses_lookup'!$E:$E,0)),"")</f>
        <v/>
      </c>
      <c r="P197">
        <f>IFERROR(INDEX('_courses_lookup'!$D:$D,MATCH(K197&amp;L197,'_courses_lookup'!$E:$E,0)),"")</f>
        <v/>
      </c>
      <c r="AG197">
        <f>IF(AND(AE197&lt;&gt;"",AF197&lt;&gt;""),ROUNDUP((AF197-AE197)/7,0),"")</f>
        <v/>
      </c>
      <c r="AI197">
        <f>IFERROR(IF(AG197*AH197=0,"",AG197*AH197),"")</f>
        <v/>
      </c>
      <c r="AL197">
        <f>IF(AND(AJ197&lt;&gt;"",AK197&lt;&gt;""),ROUNDUP((AK197-AJ197)/7,0),"")</f>
        <v/>
      </c>
      <c r="AN197">
        <f>IFERROR(IF(AL197*AM197=0,"",AL197*AM197),"")</f>
        <v/>
      </c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L197">
        <f>IFERROR(INDEX('_names_lookup'!$C:$C,MATCH(BK197,'_names_lookup'!$A:$A,0)),"")</f>
        <v/>
      </c>
      <c r="BM197">
        <f>IFERROR(INDEX('_names_lookup'!$B:$B,MATCH(BK197,'_names_lookup'!$A:$A,0)),"")</f>
        <v/>
      </c>
      <c r="BS197">
        <f>IFERROR(IF(BR197*AA197=0,"",BR197*AA197),"")</f>
        <v/>
      </c>
    </row>
    <row r="198">
      <c r="O198">
        <f>IFERROR(INDEX('_courses_lookup'!$C:$C,MATCH(K198&amp;L198,'_courses_lookup'!$E:$E,0)),"")</f>
        <v/>
      </c>
      <c r="P198">
        <f>IFERROR(INDEX('_courses_lookup'!$D:$D,MATCH(K198&amp;L198,'_courses_lookup'!$E:$E,0)),"")</f>
        <v/>
      </c>
      <c r="AG198">
        <f>IF(AND(AE198&lt;&gt;"",AF198&lt;&gt;""),ROUNDUP((AF198-AE198)/7,0),"")</f>
        <v/>
      </c>
      <c r="AI198">
        <f>IFERROR(IF(AG198*AH198=0,"",AG198*AH198),"")</f>
        <v/>
      </c>
      <c r="AL198">
        <f>IF(AND(AJ198&lt;&gt;"",AK198&lt;&gt;""),ROUNDUP((AK198-AJ198)/7,0),"")</f>
        <v/>
      </c>
      <c r="AN198">
        <f>IFERROR(IF(AL198*AM198=0,"",AL198*AM198),"")</f>
        <v/>
      </c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L198">
        <f>IFERROR(INDEX('_names_lookup'!$C:$C,MATCH(BK198,'_names_lookup'!$A:$A,0)),"")</f>
        <v/>
      </c>
      <c r="BM198">
        <f>IFERROR(INDEX('_names_lookup'!$B:$B,MATCH(BK198,'_names_lookup'!$A:$A,0)),"")</f>
        <v/>
      </c>
      <c r="BS198">
        <f>IFERROR(IF(BR198*AA198=0,"",BR198*AA198),"")</f>
        <v/>
      </c>
    </row>
    <row r="199">
      <c r="O199">
        <f>IFERROR(INDEX('_courses_lookup'!$C:$C,MATCH(K199&amp;L199,'_courses_lookup'!$E:$E,0)),"")</f>
        <v/>
      </c>
      <c r="P199">
        <f>IFERROR(INDEX('_courses_lookup'!$D:$D,MATCH(K199&amp;L199,'_courses_lookup'!$E:$E,0)),"")</f>
        <v/>
      </c>
      <c r="AG199">
        <f>IF(AND(AE199&lt;&gt;"",AF199&lt;&gt;""),ROUNDUP((AF199-AE199)/7,0),"")</f>
        <v/>
      </c>
      <c r="AI199">
        <f>IFERROR(IF(AG199*AH199=0,"",AG199*AH199),"")</f>
        <v/>
      </c>
      <c r="AL199">
        <f>IF(AND(AJ199&lt;&gt;"",AK199&lt;&gt;""),ROUNDUP((AK199-AJ199)/7,0),"")</f>
        <v/>
      </c>
      <c r="AN199">
        <f>IFERROR(IF(AL199*AM199=0,"",AL199*AM199),"")</f>
        <v/>
      </c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L199">
        <f>IFERROR(INDEX('_names_lookup'!$C:$C,MATCH(BK199,'_names_lookup'!$A:$A,0)),"")</f>
        <v/>
      </c>
      <c r="BM199">
        <f>IFERROR(INDEX('_names_lookup'!$B:$B,MATCH(BK199,'_names_lookup'!$A:$A,0)),"")</f>
        <v/>
      </c>
      <c r="BS199">
        <f>IFERROR(IF(BR199*AA199=0,"",BR199*AA199),"")</f>
        <v/>
      </c>
    </row>
    <row r="200">
      <c r="O200">
        <f>IFERROR(INDEX('_courses_lookup'!$C:$C,MATCH(K200&amp;L200,'_courses_lookup'!$E:$E,0)),"")</f>
        <v/>
      </c>
      <c r="P200">
        <f>IFERROR(INDEX('_courses_lookup'!$D:$D,MATCH(K200&amp;L200,'_courses_lookup'!$E:$E,0)),"")</f>
        <v/>
      </c>
      <c r="AG200">
        <f>IF(AND(AE200&lt;&gt;"",AF200&lt;&gt;""),ROUNDUP((AF200-AE200)/7,0),"")</f>
        <v/>
      </c>
      <c r="AI200">
        <f>IFERROR(IF(AG200*AH200=0,"",AG200*AH200),"")</f>
        <v/>
      </c>
      <c r="AL200">
        <f>IF(AND(AJ200&lt;&gt;"",AK200&lt;&gt;""),ROUNDUP((AK200-AJ200)/7,0),"")</f>
        <v/>
      </c>
      <c r="AN200">
        <f>IFERROR(IF(AL200*AM200=0,"",AL200*AM200),"")</f>
        <v/>
      </c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L200">
        <f>IFERROR(INDEX('_names_lookup'!$C:$C,MATCH(BK200,'_names_lookup'!$A:$A,0)),"")</f>
        <v/>
      </c>
      <c r="BM200">
        <f>IFERROR(INDEX('_names_lookup'!$B:$B,MATCH(BK200,'_names_lookup'!$A:$A,0)),"")</f>
        <v/>
      </c>
      <c r="BS200">
        <f>IFERROR(IF(BR200*AA200=0,"",BR200*AA200),"")</f>
        <v/>
      </c>
    </row>
    <row r="201">
      <c r="O201">
        <f>IFERROR(INDEX('_courses_lookup'!$C:$C,MATCH(K201&amp;L201,'_courses_lookup'!$E:$E,0)),"")</f>
        <v/>
      </c>
      <c r="P201">
        <f>IFERROR(INDEX('_courses_lookup'!$D:$D,MATCH(K201&amp;L201,'_courses_lookup'!$E:$E,0)),"")</f>
        <v/>
      </c>
      <c r="AG201">
        <f>IF(AND(AE201&lt;&gt;"",AF201&lt;&gt;""),ROUNDUP((AF201-AE201)/7,0),"")</f>
        <v/>
      </c>
      <c r="AI201">
        <f>IFERROR(IF(AG201*AH201=0,"",AG201*AH201),"")</f>
        <v/>
      </c>
      <c r="AL201">
        <f>IF(AND(AJ201&lt;&gt;"",AK201&lt;&gt;""),ROUNDUP((AK201-AJ201)/7,0),"")</f>
        <v/>
      </c>
      <c r="AN201">
        <f>IFERROR(IF(AL201*AM201=0,"",AL201*AM201),"")</f>
        <v/>
      </c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L201">
        <f>IFERROR(INDEX('_names_lookup'!$C:$C,MATCH(BK201,'_names_lookup'!$A:$A,0)),"")</f>
        <v/>
      </c>
      <c r="BM201">
        <f>IFERROR(INDEX('_names_lookup'!$B:$B,MATCH(BK201,'_names_lookup'!$A:$A,0)),"")</f>
        <v/>
      </c>
      <c r="BS201">
        <f>IFERROR(IF(BR201*AA201=0,"",BR201*AA201),"")</f>
        <v/>
      </c>
    </row>
    <row r="202">
      <c r="O202">
        <f>IFERROR(INDEX('_courses_lookup'!$C:$C,MATCH(K202&amp;L202,'_courses_lookup'!$E:$E,0)),"")</f>
        <v/>
      </c>
      <c r="P202">
        <f>IFERROR(INDEX('_courses_lookup'!$D:$D,MATCH(K202&amp;L202,'_courses_lookup'!$E:$E,0)),"")</f>
        <v/>
      </c>
      <c r="AG202">
        <f>IF(AND(AE202&lt;&gt;"",AF202&lt;&gt;""),ROUNDUP((AF202-AE202)/7,0),"")</f>
        <v/>
      </c>
      <c r="AI202">
        <f>IFERROR(IF(AG202*AH202=0,"",AG202*AH202),"")</f>
        <v/>
      </c>
      <c r="AL202">
        <f>IF(AND(AJ202&lt;&gt;"",AK202&lt;&gt;""),ROUNDUP((AK202-AJ202)/7,0),"")</f>
        <v/>
      </c>
      <c r="AN202">
        <f>IFERROR(IF(AL202*AM202=0,"",AL202*AM202),"")</f>
        <v/>
      </c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L202">
        <f>IFERROR(INDEX('_names_lookup'!$C:$C,MATCH(BK202,'_names_lookup'!$A:$A,0)),"")</f>
        <v/>
      </c>
      <c r="BM202">
        <f>IFERROR(INDEX('_names_lookup'!$B:$B,MATCH(BK202,'_names_lookup'!$A:$A,0)),"")</f>
        <v/>
      </c>
      <c r="BS202">
        <f>IFERROR(IF(BR202*AA202=0,"",BR202*AA202),"")</f>
        <v/>
      </c>
    </row>
    <row r="203">
      <c r="O203">
        <f>IFERROR(INDEX('_courses_lookup'!$C:$C,MATCH(K203&amp;L203,'_courses_lookup'!$E:$E,0)),"")</f>
        <v/>
      </c>
      <c r="P203">
        <f>IFERROR(INDEX('_courses_lookup'!$D:$D,MATCH(K203&amp;L203,'_courses_lookup'!$E:$E,0)),"")</f>
        <v/>
      </c>
      <c r="AG203">
        <f>IF(AND(AE203&lt;&gt;"",AF203&lt;&gt;""),ROUNDUP((AF203-AE203)/7,0),"")</f>
        <v/>
      </c>
      <c r="AI203">
        <f>IFERROR(IF(AG203*AH203=0,"",AG203*AH203),"")</f>
        <v/>
      </c>
      <c r="AL203">
        <f>IF(AND(AJ203&lt;&gt;"",AK203&lt;&gt;""),ROUNDUP((AK203-AJ203)/7,0),"")</f>
        <v/>
      </c>
      <c r="AN203">
        <f>IFERROR(IF(AL203*AM203=0,"",AL203*AM203),"")</f>
        <v/>
      </c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L203">
        <f>IFERROR(INDEX('_names_lookup'!$C:$C,MATCH(BK203,'_names_lookup'!$A:$A,0)),"")</f>
        <v/>
      </c>
      <c r="BM203">
        <f>IFERROR(INDEX('_names_lookup'!$B:$B,MATCH(BK203,'_names_lookup'!$A:$A,0)),"")</f>
        <v/>
      </c>
      <c r="BS203">
        <f>IFERROR(IF(BR203*AA203=0,"",BR203*AA203),"")</f>
        <v/>
      </c>
    </row>
    <row r="204">
      <c r="O204">
        <f>IFERROR(INDEX('_courses_lookup'!$C:$C,MATCH(K204&amp;L204,'_courses_lookup'!$E:$E,0)),"")</f>
        <v/>
      </c>
      <c r="P204">
        <f>IFERROR(INDEX('_courses_lookup'!$D:$D,MATCH(K204&amp;L204,'_courses_lookup'!$E:$E,0)),"")</f>
        <v/>
      </c>
      <c r="AG204">
        <f>IF(AND(AE204&lt;&gt;"",AF204&lt;&gt;""),ROUNDUP((AF204-AE204)/7,0),"")</f>
        <v/>
      </c>
      <c r="AI204">
        <f>IFERROR(IF(AG204*AH204=0,"",AG204*AH204),"")</f>
        <v/>
      </c>
      <c r="AL204">
        <f>IF(AND(AJ204&lt;&gt;"",AK204&lt;&gt;""),ROUNDUP((AK204-AJ204)/7,0),"")</f>
        <v/>
      </c>
      <c r="AN204">
        <f>IFERROR(IF(AL204*AM204=0,"",AL204*AM204),"")</f>
        <v/>
      </c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L204">
        <f>IFERROR(INDEX('_names_lookup'!$C:$C,MATCH(BK204,'_names_lookup'!$A:$A,0)),"")</f>
        <v/>
      </c>
      <c r="BM204">
        <f>IFERROR(INDEX('_names_lookup'!$B:$B,MATCH(BK204,'_names_lookup'!$A:$A,0)),"")</f>
        <v/>
      </c>
      <c r="BS204">
        <f>IFERROR(IF(BR204*AA204=0,"",BR204*AA204),"")</f>
        <v/>
      </c>
    </row>
    <row r="205">
      <c r="O205">
        <f>IFERROR(INDEX('_courses_lookup'!$C:$C,MATCH(K205&amp;L205,'_courses_lookup'!$E:$E,0)),"")</f>
        <v/>
      </c>
      <c r="P205">
        <f>IFERROR(INDEX('_courses_lookup'!$D:$D,MATCH(K205&amp;L205,'_courses_lookup'!$E:$E,0)),"")</f>
        <v/>
      </c>
      <c r="AG205">
        <f>IF(AND(AE205&lt;&gt;"",AF205&lt;&gt;""),ROUNDUP((AF205-AE205)/7,0),"")</f>
        <v/>
      </c>
      <c r="AI205">
        <f>IFERROR(IF(AG205*AH205=0,"",AG205*AH205),"")</f>
        <v/>
      </c>
      <c r="AL205">
        <f>IF(AND(AJ205&lt;&gt;"",AK205&lt;&gt;""),ROUNDUP((AK205-AJ205)/7,0),"")</f>
        <v/>
      </c>
      <c r="AN205">
        <f>IFERROR(IF(AL205*AM205=0,"",AL205*AM205),"")</f>
        <v/>
      </c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L205">
        <f>IFERROR(INDEX('_names_lookup'!$C:$C,MATCH(BK205,'_names_lookup'!$A:$A,0)),"")</f>
        <v/>
      </c>
      <c r="BM205">
        <f>IFERROR(INDEX('_names_lookup'!$B:$B,MATCH(BK205,'_names_lookup'!$A:$A,0)),"")</f>
        <v/>
      </c>
      <c r="BS205">
        <f>IFERROR(IF(BR205*AA205=0,"",BR205*AA205),"")</f>
        <v/>
      </c>
    </row>
    <row r="206">
      <c r="O206">
        <f>IFERROR(INDEX('_courses_lookup'!$C:$C,MATCH(K206&amp;L206,'_courses_lookup'!$E:$E,0)),"")</f>
        <v/>
      </c>
      <c r="P206">
        <f>IFERROR(INDEX('_courses_lookup'!$D:$D,MATCH(K206&amp;L206,'_courses_lookup'!$E:$E,0)),"")</f>
        <v/>
      </c>
      <c r="AG206">
        <f>IF(AND(AE206&lt;&gt;"",AF206&lt;&gt;""),ROUNDUP((AF206-AE206)/7,0),"")</f>
        <v/>
      </c>
      <c r="AI206">
        <f>IFERROR(IF(AG206*AH206=0,"",AG206*AH206),"")</f>
        <v/>
      </c>
      <c r="AL206">
        <f>IF(AND(AJ206&lt;&gt;"",AK206&lt;&gt;""),ROUNDUP((AK206-AJ206)/7,0),"")</f>
        <v/>
      </c>
      <c r="AN206">
        <f>IFERROR(IF(AL206*AM206=0,"",AL206*AM206),"")</f>
        <v/>
      </c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L206">
        <f>IFERROR(INDEX('_names_lookup'!$C:$C,MATCH(BK206,'_names_lookup'!$A:$A,0)),"")</f>
        <v/>
      </c>
      <c r="BM206">
        <f>IFERROR(INDEX('_names_lookup'!$B:$B,MATCH(BK206,'_names_lookup'!$A:$A,0)),"")</f>
        <v/>
      </c>
      <c r="BS206">
        <f>IFERROR(IF(BR206*AA206=0,"",BR206*AA206),"")</f>
        <v/>
      </c>
    </row>
    <row r="207">
      <c r="O207">
        <f>IFERROR(INDEX('_courses_lookup'!$C:$C,MATCH(K207&amp;L207,'_courses_lookup'!$E:$E,0)),"")</f>
        <v/>
      </c>
      <c r="P207">
        <f>IFERROR(INDEX('_courses_lookup'!$D:$D,MATCH(K207&amp;L207,'_courses_lookup'!$E:$E,0)),"")</f>
        <v/>
      </c>
      <c r="AG207">
        <f>IF(AND(AE207&lt;&gt;"",AF207&lt;&gt;""),ROUNDUP((AF207-AE207)/7,0),"")</f>
        <v/>
      </c>
      <c r="AI207">
        <f>IFERROR(IF(AG207*AH207=0,"",AG207*AH207),"")</f>
        <v/>
      </c>
      <c r="AL207">
        <f>IF(AND(AJ207&lt;&gt;"",AK207&lt;&gt;""),ROUNDUP((AK207-AJ207)/7,0),"")</f>
        <v/>
      </c>
      <c r="AN207">
        <f>IFERROR(IF(AL207*AM207=0,"",AL207*AM207),"")</f>
        <v/>
      </c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L207">
        <f>IFERROR(INDEX('_names_lookup'!$C:$C,MATCH(BK207,'_names_lookup'!$A:$A,0)),"")</f>
        <v/>
      </c>
      <c r="BM207">
        <f>IFERROR(INDEX('_names_lookup'!$B:$B,MATCH(BK207,'_names_lookup'!$A:$A,0)),"")</f>
        <v/>
      </c>
      <c r="BS207">
        <f>IFERROR(IF(BR207*AA207=0,"",BR207*AA207),"")</f>
        <v/>
      </c>
    </row>
    <row r="208">
      <c r="O208">
        <f>IFERROR(INDEX('_courses_lookup'!$C:$C,MATCH(K208&amp;L208,'_courses_lookup'!$E:$E,0)),"")</f>
        <v/>
      </c>
      <c r="P208">
        <f>IFERROR(INDEX('_courses_lookup'!$D:$D,MATCH(K208&amp;L208,'_courses_lookup'!$E:$E,0)),"")</f>
        <v/>
      </c>
      <c r="AG208">
        <f>IF(AND(AE208&lt;&gt;"",AF208&lt;&gt;""),ROUNDUP((AF208-AE208)/7,0),"")</f>
        <v/>
      </c>
      <c r="AI208">
        <f>IFERROR(IF(AG208*AH208=0,"",AG208*AH208),"")</f>
        <v/>
      </c>
      <c r="AL208">
        <f>IF(AND(AJ208&lt;&gt;"",AK208&lt;&gt;""),ROUNDUP((AK208-AJ208)/7,0),"")</f>
        <v/>
      </c>
      <c r="AN208">
        <f>IFERROR(IF(AL208*AM208=0,"",AL208*AM208),"")</f>
        <v/>
      </c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L208">
        <f>IFERROR(INDEX('_names_lookup'!$C:$C,MATCH(BK208,'_names_lookup'!$A:$A,0)),"")</f>
        <v/>
      </c>
      <c r="BM208">
        <f>IFERROR(INDEX('_names_lookup'!$B:$B,MATCH(BK208,'_names_lookup'!$A:$A,0)),"")</f>
        <v/>
      </c>
      <c r="BS208">
        <f>IFERROR(IF(BR208*AA208=0,"",BR208*AA208),"")</f>
        <v/>
      </c>
    </row>
    <row r="209">
      <c r="O209">
        <f>IFERROR(INDEX('_courses_lookup'!$C:$C,MATCH(K209&amp;L209,'_courses_lookup'!$E:$E,0)),"")</f>
        <v/>
      </c>
      <c r="P209">
        <f>IFERROR(INDEX('_courses_lookup'!$D:$D,MATCH(K209&amp;L209,'_courses_lookup'!$E:$E,0)),"")</f>
        <v/>
      </c>
      <c r="AG209">
        <f>IF(AND(AE209&lt;&gt;"",AF209&lt;&gt;""),ROUNDUP((AF209-AE209)/7,0),"")</f>
        <v/>
      </c>
      <c r="AI209">
        <f>IFERROR(IF(AG209*AH209=0,"",AG209*AH209),"")</f>
        <v/>
      </c>
      <c r="AL209">
        <f>IF(AND(AJ209&lt;&gt;"",AK209&lt;&gt;""),ROUNDUP((AK209-AJ209)/7,0),"")</f>
        <v/>
      </c>
      <c r="AN209">
        <f>IFERROR(IF(AL209*AM209=0,"",AL209*AM209),"")</f>
        <v/>
      </c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L209">
        <f>IFERROR(INDEX('_names_lookup'!$C:$C,MATCH(BK209,'_names_lookup'!$A:$A,0)),"")</f>
        <v/>
      </c>
      <c r="BM209">
        <f>IFERROR(INDEX('_names_lookup'!$B:$B,MATCH(BK209,'_names_lookup'!$A:$A,0)),"")</f>
        <v/>
      </c>
      <c r="BS209">
        <f>IFERROR(IF(BR209*AA209=0,"",BR209*AA209),"")</f>
        <v/>
      </c>
    </row>
    <row r="210">
      <c r="O210">
        <f>IFERROR(INDEX('_courses_lookup'!$C:$C,MATCH(K210&amp;L210,'_courses_lookup'!$E:$E,0)),"")</f>
        <v/>
      </c>
      <c r="P210">
        <f>IFERROR(INDEX('_courses_lookup'!$D:$D,MATCH(K210&amp;L210,'_courses_lookup'!$E:$E,0)),"")</f>
        <v/>
      </c>
      <c r="AG210">
        <f>IF(AND(AE210&lt;&gt;"",AF210&lt;&gt;""),ROUNDUP((AF210-AE210)/7,0),"")</f>
        <v/>
      </c>
      <c r="AI210">
        <f>IFERROR(IF(AG210*AH210=0,"",AG210*AH210),"")</f>
        <v/>
      </c>
      <c r="AL210">
        <f>IF(AND(AJ210&lt;&gt;"",AK210&lt;&gt;""),ROUNDUP((AK210-AJ210)/7,0),"")</f>
        <v/>
      </c>
      <c r="AN210">
        <f>IFERROR(IF(AL210*AM210=0,"",AL210*AM210),"")</f>
        <v/>
      </c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L210">
        <f>IFERROR(INDEX('_names_lookup'!$C:$C,MATCH(BK210,'_names_lookup'!$A:$A,0)),"")</f>
        <v/>
      </c>
      <c r="BM210">
        <f>IFERROR(INDEX('_names_lookup'!$B:$B,MATCH(BK210,'_names_lookup'!$A:$A,0)),"")</f>
        <v/>
      </c>
      <c r="BS210">
        <f>IFERROR(IF(BR210*AA210=0,"",BR210*AA210),"")</f>
        <v/>
      </c>
    </row>
    <row r="211">
      <c r="O211">
        <f>IFERROR(INDEX('_courses_lookup'!$C:$C,MATCH(K211&amp;L211,'_courses_lookup'!$E:$E,0)),"")</f>
        <v/>
      </c>
      <c r="P211">
        <f>IFERROR(INDEX('_courses_lookup'!$D:$D,MATCH(K211&amp;L211,'_courses_lookup'!$E:$E,0)),"")</f>
        <v/>
      </c>
      <c r="AG211">
        <f>IF(AND(AE211&lt;&gt;"",AF211&lt;&gt;""),ROUNDUP((AF211-AE211)/7,0),"")</f>
        <v/>
      </c>
      <c r="AI211">
        <f>IFERROR(IF(AG211*AH211=0,"",AG211*AH211),"")</f>
        <v/>
      </c>
      <c r="AL211">
        <f>IF(AND(AJ211&lt;&gt;"",AK211&lt;&gt;""),ROUNDUP((AK211-AJ211)/7,0),"")</f>
        <v/>
      </c>
      <c r="AN211">
        <f>IFERROR(IF(AL211*AM211=0,"",AL211*AM211),"")</f>
        <v/>
      </c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L211">
        <f>IFERROR(INDEX('_names_lookup'!$C:$C,MATCH(BK211,'_names_lookup'!$A:$A,0)),"")</f>
        <v/>
      </c>
      <c r="BM211">
        <f>IFERROR(INDEX('_names_lookup'!$B:$B,MATCH(BK211,'_names_lookup'!$A:$A,0)),"")</f>
        <v/>
      </c>
      <c r="BS211">
        <f>IFERROR(IF(BR211*AA211=0,"",BR211*AA211),"")</f>
        <v/>
      </c>
    </row>
    <row r="212">
      <c r="O212">
        <f>IFERROR(INDEX('_courses_lookup'!$C:$C,MATCH(K212&amp;L212,'_courses_lookup'!$E:$E,0)),"")</f>
        <v/>
      </c>
      <c r="P212">
        <f>IFERROR(INDEX('_courses_lookup'!$D:$D,MATCH(K212&amp;L212,'_courses_lookup'!$E:$E,0)),"")</f>
        <v/>
      </c>
      <c r="AG212">
        <f>IF(AND(AE212&lt;&gt;"",AF212&lt;&gt;""),ROUNDUP((AF212-AE212)/7,0),"")</f>
        <v/>
      </c>
      <c r="AI212">
        <f>IFERROR(IF(AG212*AH212=0,"",AG212*AH212),"")</f>
        <v/>
      </c>
      <c r="AL212">
        <f>IF(AND(AJ212&lt;&gt;"",AK212&lt;&gt;""),ROUNDUP((AK212-AJ212)/7,0),"")</f>
        <v/>
      </c>
      <c r="AN212">
        <f>IFERROR(IF(AL212*AM212=0,"",AL212*AM212),"")</f>
        <v/>
      </c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L212">
        <f>IFERROR(INDEX('_names_lookup'!$C:$C,MATCH(BK212,'_names_lookup'!$A:$A,0)),"")</f>
        <v/>
      </c>
      <c r="BM212">
        <f>IFERROR(INDEX('_names_lookup'!$B:$B,MATCH(BK212,'_names_lookup'!$A:$A,0)),"")</f>
        <v/>
      </c>
      <c r="BS212">
        <f>IFERROR(IF(BR212*AA212=0,"",BR212*AA212),"")</f>
        <v/>
      </c>
    </row>
    <row r="213">
      <c r="O213">
        <f>IFERROR(INDEX('_courses_lookup'!$C:$C,MATCH(K213&amp;L213,'_courses_lookup'!$E:$E,0)),"")</f>
        <v/>
      </c>
      <c r="P213">
        <f>IFERROR(INDEX('_courses_lookup'!$D:$D,MATCH(K213&amp;L213,'_courses_lookup'!$E:$E,0)),"")</f>
        <v/>
      </c>
      <c r="AG213">
        <f>IF(AND(AE213&lt;&gt;"",AF213&lt;&gt;""),ROUNDUP((AF213-AE213)/7,0),"")</f>
        <v/>
      </c>
      <c r="AI213">
        <f>IFERROR(IF(AG213*AH213=0,"",AG213*AH213),"")</f>
        <v/>
      </c>
      <c r="AL213">
        <f>IF(AND(AJ213&lt;&gt;"",AK213&lt;&gt;""),ROUNDUP((AK213-AJ213)/7,0),"")</f>
        <v/>
      </c>
      <c r="AN213">
        <f>IFERROR(IF(AL213*AM213=0,"",AL213*AM213),"")</f>
        <v/>
      </c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L213">
        <f>IFERROR(INDEX('_names_lookup'!$C:$C,MATCH(BK213,'_names_lookup'!$A:$A,0)),"")</f>
        <v/>
      </c>
      <c r="BM213">
        <f>IFERROR(INDEX('_names_lookup'!$B:$B,MATCH(BK213,'_names_lookup'!$A:$A,0)),"")</f>
        <v/>
      </c>
      <c r="BS213">
        <f>IFERROR(IF(BR213*AA213=0,"",BR213*AA213),"")</f>
        <v/>
      </c>
    </row>
    <row r="214">
      <c r="O214">
        <f>IFERROR(INDEX('_courses_lookup'!$C:$C,MATCH(K214&amp;L214,'_courses_lookup'!$E:$E,0)),"")</f>
        <v/>
      </c>
      <c r="P214">
        <f>IFERROR(INDEX('_courses_lookup'!$D:$D,MATCH(K214&amp;L214,'_courses_lookup'!$E:$E,0)),"")</f>
        <v/>
      </c>
      <c r="AG214">
        <f>IF(AND(AE214&lt;&gt;"",AF214&lt;&gt;""),ROUNDUP((AF214-AE214)/7,0),"")</f>
        <v/>
      </c>
      <c r="AI214">
        <f>IFERROR(IF(AG214*AH214=0,"",AG214*AH214),"")</f>
        <v/>
      </c>
      <c r="AL214">
        <f>IF(AND(AJ214&lt;&gt;"",AK214&lt;&gt;""),ROUNDUP((AK214-AJ214)/7,0),"")</f>
        <v/>
      </c>
      <c r="AN214">
        <f>IFERROR(IF(AL214*AM214=0,"",AL214*AM214),"")</f>
        <v/>
      </c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L214">
        <f>IFERROR(INDEX('_names_lookup'!$C:$C,MATCH(BK214,'_names_lookup'!$A:$A,0)),"")</f>
        <v/>
      </c>
      <c r="BM214">
        <f>IFERROR(INDEX('_names_lookup'!$B:$B,MATCH(BK214,'_names_lookup'!$A:$A,0)),"")</f>
        <v/>
      </c>
      <c r="BS214">
        <f>IFERROR(IF(BR214*AA214=0,"",BR214*AA214),"")</f>
        <v/>
      </c>
    </row>
    <row r="215">
      <c r="O215">
        <f>IFERROR(INDEX('_courses_lookup'!$C:$C,MATCH(K215&amp;L215,'_courses_lookup'!$E:$E,0)),"")</f>
        <v/>
      </c>
      <c r="P215">
        <f>IFERROR(INDEX('_courses_lookup'!$D:$D,MATCH(K215&amp;L215,'_courses_lookup'!$E:$E,0)),"")</f>
        <v/>
      </c>
      <c r="AG215">
        <f>IF(AND(AE215&lt;&gt;"",AF215&lt;&gt;""),ROUNDUP((AF215-AE215)/7,0),"")</f>
        <v/>
      </c>
      <c r="AI215">
        <f>IFERROR(IF(AG215*AH215=0,"",AG215*AH215),"")</f>
        <v/>
      </c>
      <c r="AL215">
        <f>IF(AND(AJ215&lt;&gt;"",AK215&lt;&gt;""),ROUNDUP((AK215-AJ215)/7,0),"")</f>
        <v/>
      </c>
      <c r="AN215">
        <f>IFERROR(IF(AL215*AM215=0,"",AL215*AM215),"")</f>
        <v/>
      </c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L215">
        <f>IFERROR(INDEX('_names_lookup'!$C:$C,MATCH(BK215,'_names_lookup'!$A:$A,0)),"")</f>
        <v/>
      </c>
      <c r="BM215">
        <f>IFERROR(INDEX('_names_lookup'!$B:$B,MATCH(BK215,'_names_lookup'!$A:$A,0)),"")</f>
        <v/>
      </c>
      <c r="BS215">
        <f>IFERROR(IF(BR215*AA215=0,"",BR215*AA215),"")</f>
        <v/>
      </c>
    </row>
    <row r="216">
      <c r="O216">
        <f>IFERROR(INDEX('_courses_lookup'!$C:$C,MATCH(K216&amp;L216,'_courses_lookup'!$E:$E,0)),"")</f>
        <v/>
      </c>
      <c r="P216">
        <f>IFERROR(INDEX('_courses_lookup'!$D:$D,MATCH(K216&amp;L216,'_courses_lookup'!$E:$E,0)),"")</f>
        <v/>
      </c>
      <c r="AG216">
        <f>IF(AND(AE216&lt;&gt;"",AF216&lt;&gt;""),ROUNDUP((AF216-AE216)/7,0),"")</f>
        <v/>
      </c>
      <c r="AI216">
        <f>IFERROR(IF(AG216*AH216=0,"",AG216*AH216),"")</f>
        <v/>
      </c>
      <c r="AL216">
        <f>IF(AND(AJ216&lt;&gt;"",AK216&lt;&gt;""),ROUNDUP((AK216-AJ216)/7,0),"")</f>
        <v/>
      </c>
      <c r="AN216">
        <f>IFERROR(IF(AL216*AM216=0,"",AL216*AM216),"")</f>
        <v/>
      </c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L216">
        <f>IFERROR(INDEX('_names_lookup'!$C:$C,MATCH(BK216,'_names_lookup'!$A:$A,0)),"")</f>
        <v/>
      </c>
      <c r="BM216">
        <f>IFERROR(INDEX('_names_lookup'!$B:$B,MATCH(BK216,'_names_lookup'!$A:$A,0)),"")</f>
        <v/>
      </c>
      <c r="BS216">
        <f>IFERROR(IF(BR216*AA216=0,"",BR216*AA216),"")</f>
        <v/>
      </c>
    </row>
    <row r="217">
      <c r="O217">
        <f>IFERROR(INDEX('_courses_lookup'!$C:$C,MATCH(K217&amp;L217,'_courses_lookup'!$E:$E,0)),"")</f>
        <v/>
      </c>
      <c r="P217">
        <f>IFERROR(INDEX('_courses_lookup'!$D:$D,MATCH(K217&amp;L217,'_courses_lookup'!$E:$E,0)),"")</f>
        <v/>
      </c>
      <c r="AG217">
        <f>IF(AND(AE217&lt;&gt;"",AF217&lt;&gt;""),ROUNDUP((AF217-AE217)/7,0),"")</f>
        <v/>
      </c>
      <c r="AI217">
        <f>IFERROR(IF(AG217*AH217=0,"",AG217*AH217),"")</f>
        <v/>
      </c>
      <c r="AL217">
        <f>IF(AND(AJ217&lt;&gt;"",AK217&lt;&gt;""),ROUNDUP((AK217-AJ217)/7,0),"")</f>
        <v/>
      </c>
      <c r="AN217">
        <f>IFERROR(IF(AL217*AM217=0,"",AL217*AM217),"")</f>
        <v/>
      </c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L217">
        <f>IFERROR(INDEX('_names_lookup'!$C:$C,MATCH(BK217,'_names_lookup'!$A:$A,0)),"")</f>
        <v/>
      </c>
      <c r="BM217">
        <f>IFERROR(INDEX('_names_lookup'!$B:$B,MATCH(BK217,'_names_lookup'!$A:$A,0)),"")</f>
        <v/>
      </c>
      <c r="BS217">
        <f>IFERROR(IF(BR217*AA217=0,"",BR217*AA217),"")</f>
        <v/>
      </c>
    </row>
    <row r="218">
      <c r="O218">
        <f>IFERROR(INDEX('_courses_lookup'!$C:$C,MATCH(K218&amp;L218,'_courses_lookup'!$E:$E,0)),"")</f>
        <v/>
      </c>
      <c r="P218">
        <f>IFERROR(INDEX('_courses_lookup'!$D:$D,MATCH(K218&amp;L218,'_courses_lookup'!$E:$E,0)),"")</f>
        <v/>
      </c>
      <c r="AG218">
        <f>IF(AND(AE218&lt;&gt;"",AF218&lt;&gt;""),ROUNDUP((AF218-AE218)/7,0),"")</f>
        <v/>
      </c>
      <c r="AI218">
        <f>IFERROR(IF(AG218*AH218=0,"",AG218*AH218),"")</f>
        <v/>
      </c>
      <c r="AL218">
        <f>IF(AND(AJ218&lt;&gt;"",AK218&lt;&gt;""),ROUNDUP((AK218-AJ218)/7,0),"")</f>
        <v/>
      </c>
      <c r="AN218">
        <f>IFERROR(IF(AL218*AM218=0,"",AL218*AM218),"")</f>
        <v/>
      </c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L218">
        <f>IFERROR(INDEX('_names_lookup'!$C:$C,MATCH(BK218,'_names_lookup'!$A:$A,0)),"")</f>
        <v/>
      </c>
      <c r="BM218">
        <f>IFERROR(INDEX('_names_lookup'!$B:$B,MATCH(BK218,'_names_lookup'!$A:$A,0)),"")</f>
        <v/>
      </c>
      <c r="BS218">
        <f>IFERROR(IF(BR218*AA218=0,"",BR218*AA218),"")</f>
        <v/>
      </c>
    </row>
    <row r="219">
      <c r="O219">
        <f>IFERROR(INDEX('_courses_lookup'!$C:$C,MATCH(K219&amp;L219,'_courses_lookup'!$E:$E,0)),"")</f>
        <v/>
      </c>
      <c r="P219">
        <f>IFERROR(INDEX('_courses_lookup'!$D:$D,MATCH(K219&amp;L219,'_courses_lookup'!$E:$E,0)),"")</f>
        <v/>
      </c>
      <c r="AG219">
        <f>IF(AND(AE219&lt;&gt;"",AF219&lt;&gt;""),ROUNDUP((AF219-AE219)/7,0),"")</f>
        <v/>
      </c>
      <c r="AI219">
        <f>IFERROR(IF(AG219*AH219=0,"",AG219*AH219),"")</f>
        <v/>
      </c>
      <c r="AL219">
        <f>IF(AND(AJ219&lt;&gt;"",AK219&lt;&gt;""),ROUNDUP((AK219-AJ219)/7,0),"")</f>
        <v/>
      </c>
      <c r="AN219">
        <f>IFERROR(IF(AL219*AM219=0,"",AL219*AM219),"")</f>
        <v/>
      </c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L219">
        <f>IFERROR(INDEX('_names_lookup'!$C:$C,MATCH(BK219,'_names_lookup'!$A:$A,0)),"")</f>
        <v/>
      </c>
      <c r="BM219">
        <f>IFERROR(INDEX('_names_lookup'!$B:$B,MATCH(BK219,'_names_lookup'!$A:$A,0)),"")</f>
        <v/>
      </c>
      <c r="BS219">
        <f>IFERROR(IF(BR219*AA219=0,"",BR219*AA219),"")</f>
        <v/>
      </c>
    </row>
    <row r="220">
      <c r="O220">
        <f>IFERROR(INDEX('_courses_lookup'!$C:$C,MATCH(K220&amp;L220,'_courses_lookup'!$E:$E,0)),"")</f>
        <v/>
      </c>
      <c r="P220">
        <f>IFERROR(INDEX('_courses_lookup'!$D:$D,MATCH(K220&amp;L220,'_courses_lookup'!$E:$E,0)),"")</f>
        <v/>
      </c>
      <c r="AG220">
        <f>IF(AND(AE220&lt;&gt;"",AF220&lt;&gt;""),ROUNDUP((AF220-AE220)/7,0),"")</f>
        <v/>
      </c>
      <c r="AI220">
        <f>IFERROR(IF(AG220*AH220=0,"",AG220*AH220),"")</f>
        <v/>
      </c>
      <c r="AL220">
        <f>IF(AND(AJ220&lt;&gt;"",AK220&lt;&gt;""),ROUNDUP((AK220-AJ220)/7,0),"")</f>
        <v/>
      </c>
      <c r="AN220">
        <f>IFERROR(IF(AL220*AM220=0,"",AL220*AM220),"")</f>
        <v/>
      </c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L220">
        <f>IFERROR(INDEX('_names_lookup'!$C:$C,MATCH(BK220,'_names_lookup'!$A:$A,0)),"")</f>
        <v/>
      </c>
      <c r="BM220">
        <f>IFERROR(INDEX('_names_lookup'!$B:$B,MATCH(BK220,'_names_lookup'!$A:$A,0)),"")</f>
        <v/>
      </c>
      <c r="BS220">
        <f>IFERROR(IF(BR220*AA220=0,"",BR220*AA220),"")</f>
        <v/>
      </c>
    </row>
    <row r="221">
      <c r="O221">
        <f>IFERROR(INDEX('_courses_lookup'!$C:$C,MATCH(K221&amp;L221,'_courses_lookup'!$E:$E,0)),"")</f>
        <v/>
      </c>
      <c r="P221">
        <f>IFERROR(INDEX('_courses_lookup'!$D:$D,MATCH(K221&amp;L221,'_courses_lookup'!$E:$E,0)),"")</f>
        <v/>
      </c>
      <c r="AG221">
        <f>IF(AND(AE221&lt;&gt;"",AF221&lt;&gt;""),ROUNDUP((AF221-AE221)/7,0),"")</f>
        <v/>
      </c>
      <c r="AI221">
        <f>IFERROR(IF(AG221*AH221=0,"",AG221*AH221),"")</f>
        <v/>
      </c>
      <c r="AL221">
        <f>IF(AND(AJ221&lt;&gt;"",AK221&lt;&gt;""),ROUNDUP((AK221-AJ221)/7,0),"")</f>
        <v/>
      </c>
      <c r="AN221">
        <f>IFERROR(IF(AL221*AM221=0,"",AL221*AM221),"")</f>
        <v/>
      </c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L221">
        <f>IFERROR(INDEX('_names_lookup'!$C:$C,MATCH(BK221,'_names_lookup'!$A:$A,0)),"")</f>
        <v/>
      </c>
      <c r="BM221">
        <f>IFERROR(INDEX('_names_lookup'!$B:$B,MATCH(BK221,'_names_lookup'!$A:$A,0)),"")</f>
        <v/>
      </c>
      <c r="BS221">
        <f>IFERROR(IF(BR221*AA221=0,"",BR221*AA221),"")</f>
        <v/>
      </c>
    </row>
    <row r="222">
      <c r="O222">
        <f>IFERROR(INDEX('_courses_lookup'!$C:$C,MATCH(K222&amp;L222,'_courses_lookup'!$E:$E,0)),"")</f>
        <v/>
      </c>
      <c r="P222">
        <f>IFERROR(INDEX('_courses_lookup'!$D:$D,MATCH(K222&amp;L222,'_courses_lookup'!$E:$E,0)),"")</f>
        <v/>
      </c>
      <c r="AG222">
        <f>IF(AND(AE222&lt;&gt;"",AF222&lt;&gt;""),ROUNDUP((AF222-AE222)/7,0),"")</f>
        <v/>
      </c>
      <c r="AI222">
        <f>IFERROR(IF(AG222*AH222=0,"",AG222*AH222),"")</f>
        <v/>
      </c>
      <c r="AL222">
        <f>IF(AND(AJ222&lt;&gt;"",AK222&lt;&gt;""),ROUNDUP((AK222-AJ222)/7,0),"")</f>
        <v/>
      </c>
      <c r="AN222">
        <f>IFERROR(IF(AL222*AM222=0,"",AL222*AM222),"")</f>
        <v/>
      </c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L222">
        <f>IFERROR(INDEX('_names_lookup'!$C:$C,MATCH(BK222,'_names_lookup'!$A:$A,0)),"")</f>
        <v/>
      </c>
      <c r="BM222">
        <f>IFERROR(INDEX('_names_lookup'!$B:$B,MATCH(BK222,'_names_lookup'!$A:$A,0)),"")</f>
        <v/>
      </c>
      <c r="BS222">
        <f>IFERROR(IF(BR222*AA222=0,"",BR222*AA222),"")</f>
        <v/>
      </c>
    </row>
    <row r="223">
      <c r="O223">
        <f>IFERROR(INDEX('_courses_lookup'!$C:$C,MATCH(K223&amp;L223,'_courses_lookup'!$E:$E,0)),"")</f>
        <v/>
      </c>
      <c r="P223">
        <f>IFERROR(INDEX('_courses_lookup'!$D:$D,MATCH(K223&amp;L223,'_courses_lookup'!$E:$E,0)),"")</f>
        <v/>
      </c>
      <c r="AG223">
        <f>IF(AND(AE223&lt;&gt;"",AF223&lt;&gt;""),ROUNDUP((AF223-AE223)/7,0),"")</f>
        <v/>
      </c>
      <c r="AI223">
        <f>IFERROR(IF(AG223*AH223=0,"",AG223*AH223),"")</f>
        <v/>
      </c>
      <c r="AL223">
        <f>IF(AND(AJ223&lt;&gt;"",AK223&lt;&gt;""),ROUNDUP((AK223-AJ223)/7,0),"")</f>
        <v/>
      </c>
      <c r="AN223">
        <f>IFERROR(IF(AL223*AM223=0,"",AL223*AM223),"")</f>
        <v/>
      </c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L223">
        <f>IFERROR(INDEX('_names_lookup'!$C:$C,MATCH(BK223,'_names_lookup'!$A:$A,0)),"")</f>
        <v/>
      </c>
      <c r="BM223">
        <f>IFERROR(INDEX('_names_lookup'!$B:$B,MATCH(BK223,'_names_lookup'!$A:$A,0)),"")</f>
        <v/>
      </c>
      <c r="BS223">
        <f>IFERROR(IF(BR223*AA223=0,"",BR223*AA223),"")</f>
        <v/>
      </c>
    </row>
    <row r="224">
      <c r="O224">
        <f>IFERROR(INDEX('_courses_lookup'!$C:$C,MATCH(K224&amp;L224,'_courses_lookup'!$E:$E,0)),"")</f>
        <v/>
      </c>
      <c r="P224">
        <f>IFERROR(INDEX('_courses_lookup'!$D:$D,MATCH(K224&amp;L224,'_courses_lookup'!$E:$E,0)),"")</f>
        <v/>
      </c>
      <c r="AG224">
        <f>IF(AND(AE224&lt;&gt;"",AF224&lt;&gt;""),ROUNDUP((AF224-AE224)/7,0),"")</f>
        <v/>
      </c>
      <c r="AI224">
        <f>IFERROR(IF(AG224*AH224=0,"",AG224*AH224),"")</f>
        <v/>
      </c>
      <c r="AL224">
        <f>IF(AND(AJ224&lt;&gt;"",AK224&lt;&gt;""),ROUNDUP((AK224-AJ224)/7,0),"")</f>
        <v/>
      </c>
      <c r="AN224">
        <f>IFERROR(IF(AL224*AM224=0,"",AL224*AM224),"")</f>
        <v/>
      </c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L224">
        <f>IFERROR(INDEX('_names_lookup'!$C:$C,MATCH(BK224,'_names_lookup'!$A:$A,0)),"")</f>
        <v/>
      </c>
      <c r="BM224">
        <f>IFERROR(INDEX('_names_lookup'!$B:$B,MATCH(BK224,'_names_lookup'!$A:$A,0)),"")</f>
        <v/>
      </c>
      <c r="BS224">
        <f>IFERROR(IF(BR224*AA224=0,"",BR224*AA224),"")</f>
        <v/>
      </c>
    </row>
    <row r="225">
      <c r="O225">
        <f>IFERROR(INDEX('_courses_lookup'!$C:$C,MATCH(K225&amp;L225,'_courses_lookup'!$E:$E,0)),"")</f>
        <v/>
      </c>
      <c r="P225">
        <f>IFERROR(INDEX('_courses_lookup'!$D:$D,MATCH(K225&amp;L225,'_courses_lookup'!$E:$E,0)),"")</f>
        <v/>
      </c>
      <c r="AG225">
        <f>IF(AND(AE225&lt;&gt;"",AF225&lt;&gt;""),ROUNDUP((AF225-AE225)/7,0),"")</f>
        <v/>
      </c>
      <c r="AI225">
        <f>IFERROR(IF(AG225*AH225=0,"",AG225*AH225),"")</f>
        <v/>
      </c>
      <c r="AL225">
        <f>IF(AND(AJ225&lt;&gt;"",AK225&lt;&gt;""),ROUNDUP((AK225-AJ225)/7,0),"")</f>
        <v/>
      </c>
      <c r="AN225">
        <f>IFERROR(IF(AL225*AM225=0,"",AL225*AM225),"")</f>
        <v/>
      </c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L225">
        <f>IFERROR(INDEX('_names_lookup'!$C:$C,MATCH(BK225,'_names_lookup'!$A:$A,0)),"")</f>
        <v/>
      </c>
      <c r="BM225">
        <f>IFERROR(INDEX('_names_lookup'!$B:$B,MATCH(BK225,'_names_lookup'!$A:$A,0)),"")</f>
        <v/>
      </c>
      <c r="BS225">
        <f>IFERROR(IF(BR225*AA225=0,"",BR225*AA225),"")</f>
        <v/>
      </c>
    </row>
    <row r="226">
      <c r="O226">
        <f>IFERROR(INDEX('_courses_lookup'!$C:$C,MATCH(K226&amp;L226,'_courses_lookup'!$E:$E,0)),"")</f>
        <v/>
      </c>
      <c r="P226">
        <f>IFERROR(INDEX('_courses_lookup'!$D:$D,MATCH(K226&amp;L226,'_courses_lookup'!$E:$E,0)),"")</f>
        <v/>
      </c>
      <c r="AG226">
        <f>IF(AND(AE226&lt;&gt;"",AF226&lt;&gt;""),ROUNDUP((AF226-AE226)/7,0),"")</f>
        <v/>
      </c>
      <c r="AI226">
        <f>IFERROR(IF(AG226*AH226=0,"",AG226*AH226),"")</f>
        <v/>
      </c>
      <c r="AL226">
        <f>IF(AND(AJ226&lt;&gt;"",AK226&lt;&gt;""),ROUNDUP((AK226-AJ226)/7,0),"")</f>
        <v/>
      </c>
      <c r="AN226">
        <f>IFERROR(IF(AL226*AM226=0,"",AL226*AM226),"")</f>
        <v/>
      </c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L226">
        <f>IFERROR(INDEX('_names_lookup'!$C:$C,MATCH(BK226,'_names_lookup'!$A:$A,0)),"")</f>
        <v/>
      </c>
      <c r="BM226">
        <f>IFERROR(INDEX('_names_lookup'!$B:$B,MATCH(BK226,'_names_lookup'!$A:$A,0)),"")</f>
        <v/>
      </c>
      <c r="BS226">
        <f>IFERROR(IF(BR226*AA226=0,"",BR226*AA226),"")</f>
        <v/>
      </c>
    </row>
    <row r="227">
      <c r="O227">
        <f>IFERROR(INDEX('_courses_lookup'!$C:$C,MATCH(K227&amp;L227,'_courses_lookup'!$E:$E,0)),"")</f>
        <v/>
      </c>
      <c r="P227">
        <f>IFERROR(INDEX('_courses_lookup'!$D:$D,MATCH(K227&amp;L227,'_courses_lookup'!$E:$E,0)),"")</f>
        <v/>
      </c>
      <c r="AG227">
        <f>IF(AND(AE227&lt;&gt;"",AF227&lt;&gt;""),ROUNDUP((AF227-AE227)/7,0),"")</f>
        <v/>
      </c>
      <c r="AI227">
        <f>IFERROR(IF(AG227*AH227=0,"",AG227*AH227),"")</f>
        <v/>
      </c>
      <c r="AL227">
        <f>IF(AND(AJ227&lt;&gt;"",AK227&lt;&gt;""),ROUNDUP((AK227-AJ227)/7,0),"")</f>
        <v/>
      </c>
      <c r="AN227">
        <f>IFERROR(IF(AL227*AM227=0,"",AL227*AM227),"")</f>
        <v/>
      </c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L227">
        <f>IFERROR(INDEX('_names_lookup'!$C:$C,MATCH(BK227,'_names_lookup'!$A:$A,0)),"")</f>
        <v/>
      </c>
      <c r="BM227">
        <f>IFERROR(INDEX('_names_lookup'!$B:$B,MATCH(BK227,'_names_lookup'!$A:$A,0)),"")</f>
        <v/>
      </c>
      <c r="BS227">
        <f>IFERROR(IF(BR227*AA227=0,"",BR227*AA227),"")</f>
        <v/>
      </c>
    </row>
    <row r="228">
      <c r="O228">
        <f>IFERROR(INDEX('_courses_lookup'!$C:$C,MATCH(K228&amp;L228,'_courses_lookup'!$E:$E,0)),"")</f>
        <v/>
      </c>
      <c r="P228">
        <f>IFERROR(INDEX('_courses_lookup'!$D:$D,MATCH(K228&amp;L228,'_courses_lookup'!$E:$E,0)),"")</f>
        <v/>
      </c>
      <c r="AG228">
        <f>IF(AND(AE228&lt;&gt;"",AF228&lt;&gt;""),ROUNDUP((AF228-AE228)/7,0),"")</f>
        <v/>
      </c>
      <c r="AI228">
        <f>IFERROR(IF(AG228*AH228=0,"",AG228*AH228),"")</f>
        <v/>
      </c>
      <c r="AL228">
        <f>IF(AND(AJ228&lt;&gt;"",AK228&lt;&gt;""),ROUNDUP((AK228-AJ228)/7,0),"")</f>
        <v/>
      </c>
      <c r="AN228">
        <f>IFERROR(IF(AL228*AM228=0,"",AL228*AM228),"")</f>
        <v/>
      </c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L228">
        <f>IFERROR(INDEX('_names_lookup'!$C:$C,MATCH(BK228,'_names_lookup'!$A:$A,0)),"")</f>
        <v/>
      </c>
      <c r="BM228">
        <f>IFERROR(INDEX('_names_lookup'!$B:$B,MATCH(BK228,'_names_lookup'!$A:$A,0)),"")</f>
        <v/>
      </c>
      <c r="BS228">
        <f>IFERROR(IF(BR228*AA228=0,"",BR228*AA228),"")</f>
        <v/>
      </c>
    </row>
    <row r="229">
      <c r="O229">
        <f>IFERROR(INDEX('_courses_lookup'!$C:$C,MATCH(K229&amp;L229,'_courses_lookup'!$E:$E,0)),"")</f>
        <v/>
      </c>
      <c r="P229">
        <f>IFERROR(INDEX('_courses_lookup'!$D:$D,MATCH(K229&amp;L229,'_courses_lookup'!$E:$E,0)),"")</f>
        <v/>
      </c>
      <c r="AG229">
        <f>IF(AND(AE229&lt;&gt;"",AF229&lt;&gt;""),ROUNDUP((AF229-AE229)/7,0),"")</f>
        <v/>
      </c>
      <c r="AI229">
        <f>IFERROR(IF(AG229*AH229=0,"",AG229*AH229),"")</f>
        <v/>
      </c>
      <c r="AL229">
        <f>IF(AND(AJ229&lt;&gt;"",AK229&lt;&gt;""),ROUNDUP((AK229-AJ229)/7,0),"")</f>
        <v/>
      </c>
      <c r="AN229">
        <f>IFERROR(IF(AL229*AM229=0,"",AL229*AM229),"")</f>
        <v/>
      </c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L229">
        <f>IFERROR(INDEX('_names_lookup'!$C:$C,MATCH(BK229,'_names_lookup'!$A:$A,0)),"")</f>
        <v/>
      </c>
      <c r="BM229">
        <f>IFERROR(INDEX('_names_lookup'!$B:$B,MATCH(BK229,'_names_lookup'!$A:$A,0)),"")</f>
        <v/>
      </c>
      <c r="BS229">
        <f>IFERROR(IF(BR229*AA229=0,"",BR229*AA229),"")</f>
        <v/>
      </c>
    </row>
    <row r="230">
      <c r="O230">
        <f>IFERROR(INDEX('_courses_lookup'!$C:$C,MATCH(K230&amp;L230,'_courses_lookup'!$E:$E,0)),"")</f>
        <v/>
      </c>
      <c r="P230">
        <f>IFERROR(INDEX('_courses_lookup'!$D:$D,MATCH(K230&amp;L230,'_courses_lookup'!$E:$E,0)),"")</f>
        <v/>
      </c>
      <c r="AG230">
        <f>IF(AND(AE230&lt;&gt;"",AF230&lt;&gt;""),ROUNDUP((AF230-AE230)/7,0),"")</f>
        <v/>
      </c>
      <c r="AI230">
        <f>IFERROR(IF(AG230*AH230=0,"",AG230*AH230),"")</f>
        <v/>
      </c>
      <c r="AL230">
        <f>IF(AND(AJ230&lt;&gt;"",AK230&lt;&gt;""),ROUNDUP((AK230-AJ230)/7,0),"")</f>
        <v/>
      </c>
      <c r="AN230">
        <f>IFERROR(IF(AL230*AM230=0,"",AL230*AM230),"")</f>
        <v/>
      </c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L230">
        <f>IFERROR(INDEX('_names_lookup'!$C:$C,MATCH(BK230,'_names_lookup'!$A:$A,0)),"")</f>
        <v/>
      </c>
      <c r="BM230">
        <f>IFERROR(INDEX('_names_lookup'!$B:$B,MATCH(BK230,'_names_lookup'!$A:$A,0)),"")</f>
        <v/>
      </c>
      <c r="BS230">
        <f>IFERROR(IF(BR230*AA230=0,"",BR230*AA230),"")</f>
        <v/>
      </c>
    </row>
    <row r="231">
      <c r="O231">
        <f>IFERROR(INDEX('_courses_lookup'!$C:$C,MATCH(K231&amp;L231,'_courses_lookup'!$E:$E,0)),"")</f>
        <v/>
      </c>
      <c r="P231">
        <f>IFERROR(INDEX('_courses_lookup'!$D:$D,MATCH(K231&amp;L231,'_courses_lookup'!$E:$E,0)),"")</f>
        <v/>
      </c>
      <c r="AG231">
        <f>IF(AND(AE231&lt;&gt;"",AF231&lt;&gt;""),ROUNDUP((AF231-AE231)/7,0),"")</f>
        <v/>
      </c>
      <c r="AI231">
        <f>IFERROR(IF(AG231*AH231=0,"",AG231*AH231),"")</f>
        <v/>
      </c>
      <c r="AL231">
        <f>IF(AND(AJ231&lt;&gt;"",AK231&lt;&gt;""),ROUNDUP((AK231-AJ231)/7,0),"")</f>
        <v/>
      </c>
      <c r="AN231">
        <f>IFERROR(IF(AL231*AM231=0,"",AL231*AM231),"")</f>
        <v/>
      </c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L231">
        <f>IFERROR(INDEX('_names_lookup'!$C:$C,MATCH(BK231,'_names_lookup'!$A:$A,0)),"")</f>
        <v/>
      </c>
      <c r="BM231">
        <f>IFERROR(INDEX('_names_lookup'!$B:$B,MATCH(BK231,'_names_lookup'!$A:$A,0)),"")</f>
        <v/>
      </c>
      <c r="BS231">
        <f>IFERROR(IF(BR231*AA231=0,"",BR231*AA231),"")</f>
        <v/>
      </c>
    </row>
    <row r="232">
      <c r="O232">
        <f>IFERROR(INDEX('_courses_lookup'!$C:$C,MATCH(K232&amp;L232,'_courses_lookup'!$E:$E,0)),"")</f>
        <v/>
      </c>
      <c r="P232">
        <f>IFERROR(INDEX('_courses_lookup'!$D:$D,MATCH(K232&amp;L232,'_courses_lookup'!$E:$E,0)),"")</f>
        <v/>
      </c>
      <c r="AG232">
        <f>IF(AND(AE232&lt;&gt;"",AF232&lt;&gt;""),ROUNDUP((AF232-AE232)/7,0),"")</f>
        <v/>
      </c>
      <c r="AI232">
        <f>IFERROR(IF(AG232*AH232=0,"",AG232*AH232),"")</f>
        <v/>
      </c>
      <c r="AL232">
        <f>IF(AND(AJ232&lt;&gt;"",AK232&lt;&gt;""),ROUNDUP((AK232-AJ232)/7,0),"")</f>
        <v/>
      </c>
      <c r="AN232">
        <f>IFERROR(IF(AL232*AM232=0,"",AL232*AM232),"")</f>
        <v/>
      </c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L232">
        <f>IFERROR(INDEX('_names_lookup'!$C:$C,MATCH(BK232,'_names_lookup'!$A:$A,0)),"")</f>
        <v/>
      </c>
      <c r="BM232">
        <f>IFERROR(INDEX('_names_lookup'!$B:$B,MATCH(BK232,'_names_lookup'!$A:$A,0)),"")</f>
        <v/>
      </c>
      <c r="BS232">
        <f>IFERROR(IF(BR232*AA232=0,"",BR232*AA232),"")</f>
        <v/>
      </c>
    </row>
    <row r="233">
      <c r="O233">
        <f>IFERROR(INDEX('_courses_lookup'!$C:$C,MATCH(K233&amp;L233,'_courses_lookup'!$E:$E,0)),"")</f>
        <v/>
      </c>
      <c r="P233">
        <f>IFERROR(INDEX('_courses_lookup'!$D:$D,MATCH(K233&amp;L233,'_courses_lookup'!$E:$E,0)),"")</f>
        <v/>
      </c>
      <c r="AG233">
        <f>IF(AND(AE233&lt;&gt;"",AF233&lt;&gt;""),ROUNDUP((AF233-AE233)/7,0),"")</f>
        <v/>
      </c>
      <c r="AI233">
        <f>IFERROR(IF(AG233*AH233=0,"",AG233*AH233),"")</f>
        <v/>
      </c>
      <c r="AL233">
        <f>IF(AND(AJ233&lt;&gt;"",AK233&lt;&gt;""),ROUNDUP((AK233-AJ233)/7,0),"")</f>
        <v/>
      </c>
      <c r="AN233">
        <f>IFERROR(IF(AL233*AM233=0,"",AL233*AM233),"")</f>
        <v/>
      </c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L233">
        <f>IFERROR(INDEX('_names_lookup'!$C:$C,MATCH(BK233,'_names_lookup'!$A:$A,0)),"")</f>
        <v/>
      </c>
      <c r="BM233">
        <f>IFERROR(INDEX('_names_lookup'!$B:$B,MATCH(BK233,'_names_lookup'!$A:$A,0)),"")</f>
        <v/>
      </c>
      <c r="BS233">
        <f>IFERROR(IF(BR233*AA233=0,"",BR233*AA233),"")</f>
        <v/>
      </c>
    </row>
    <row r="234">
      <c r="O234">
        <f>IFERROR(INDEX('_courses_lookup'!$C:$C,MATCH(K234&amp;L234,'_courses_lookup'!$E:$E,0)),"")</f>
        <v/>
      </c>
      <c r="P234">
        <f>IFERROR(INDEX('_courses_lookup'!$D:$D,MATCH(K234&amp;L234,'_courses_lookup'!$E:$E,0)),"")</f>
        <v/>
      </c>
      <c r="AG234">
        <f>IF(AND(AE234&lt;&gt;"",AF234&lt;&gt;""),ROUNDUP((AF234-AE234)/7,0),"")</f>
        <v/>
      </c>
      <c r="AI234">
        <f>IFERROR(IF(AG234*AH234=0,"",AG234*AH234),"")</f>
        <v/>
      </c>
      <c r="AL234">
        <f>IF(AND(AJ234&lt;&gt;"",AK234&lt;&gt;""),ROUNDUP((AK234-AJ234)/7,0),"")</f>
        <v/>
      </c>
      <c r="AN234">
        <f>IFERROR(IF(AL234*AM234=0,"",AL234*AM234),"")</f>
        <v/>
      </c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L234">
        <f>IFERROR(INDEX('_names_lookup'!$C:$C,MATCH(BK234,'_names_lookup'!$A:$A,0)),"")</f>
        <v/>
      </c>
      <c r="BM234">
        <f>IFERROR(INDEX('_names_lookup'!$B:$B,MATCH(BK234,'_names_lookup'!$A:$A,0)),"")</f>
        <v/>
      </c>
      <c r="BS234">
        <f>IFERROR(IF(BR234*AA234=0,"",BR234*AA234),"")</f>
        <v/>
      </c>
    </row>
    <row r="235">
      <c r="O235">
        <f>IFERROR(INDEX('_courses_lookup'!$C:$C,MATCH(K235&amp;L235,'_courses_lookup'!$E:$E,0)),"")</f>
        <v/>
      </c>
      <c r="P235">
        <f>IFERROR(INDEX('_courses_lookup'!$D:$D,MATCH(K235&amp;L235,'_courses_lookup'!$E:$E,0)),"")</f>
        <v/>
      </c>
      <c r="AG235">
        <f>IF(AND(AE235&lt;&gt;"",AF235&lt;&gt;""),ROUNDUP((AF235-AE235)/7,0),"")</f>
        <v/>
      </c>
      <c r="AI235">
        <f>IFERROR(IF(AG235*AH235=0,"",AG235*AH235),"")</f>
        <v/>
      </c>
      <c r="AL235">
        <f>IF(AND(AJ235&lt;&gt;"",AK235&lt;&gt;""),ROUNDUP((AK235-AJ235)/7,0),"")</f>
        <v/>
      </c>
      <c r="AN235">
        <f>IFERROR(IF(AL235*AM235=0,"",AL235*AM235),"")</f>
        <v/>
      </c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L235">
        <f>IFERROR(INDEX('_names_lookup'!$C:$C,MATCH(BK235,'_names_lookup'!$A:$A,0)),"")</f>
        <v/>
      </c>
      <c r="BM235">
        <f>IFERROR(INDEX('_names_lookup'!$B:$B,MATCH(BK235,'_names_lookup'!$A:$A,0)),"")</f>
        <v/>
      </c>
      <c r="BS235">
        <f>IFERROR(IF(BR235*AA235=0,"",BR235*AA235),"")</f>
        <v/>
      </c>
    </row>
    <row r="236">
      <c r="O236">
        <f>IFERROR(INDEX('_courses_lookup'!$C:$C,MATCH(K236&amp;L236,'_courses_lookup'!$E:$E,0)),"")</f>
        <v/>
      </c>
      <c r="P236">
        <f>IFERROR(INDEX('_courses_lookup'!$D:$D,MATCH(K236&amp;L236,'_courses_lookup'!$E:$E,0)),"")</f>
        <v/>
      </c>
      <c r="AG236">
        <f>IF(AND(AE236&lt;&gt;"",AF236&lt;&gt;""),ROUNDUP((AF236-AE236)/7,0),"")</f>
        <v/>
      </c>
      <c r="AI236">
        <f>IFERROR(IF(AG236*AH236=0,"",AG236*AH236),"")</f>
        <v/>
      </c>
      <c r="AL236">
        <f>IF(AND(AJ236&lt;&gt;"",AK236&lt;&gt;""),ROUNDUP((AK236-AJ236)/7,0),"")</f>
        <v/>
      </c>
      <c r="AN236">
        <f>IFERROR(IF(AL236*AM236=0,"",AL236*AM236),"")</f>
        <v/>
      </c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L236">
        <f>IFERROR(INDEX('_names_lookup'!$C:$C,MATCH(BK236,'_names_lookup'!$A:$A,0)),"")</f>
        <v/>
      </c>
      <c r="BM236">
        <f>IFERROR(INDEX('_names_lookup'!$B:$B,MATCH(BK236,'_names_lookup'!$A:$A,0)),"")</f>
        <v/>
      </c>
      <c r="BS236">
        <f>IFERROR(IF(BR236*AA236=0,"",BR236*AA236),"")</f>
        <v/>
      </c>
    </row>
    <row r="237">
      <c r="O237">
        <f>IFERROR(INDEX('_courses_lookup'!$C:$C,MATCH(K237&amp;L237,'_courses_lookup'!$E:$E,0)),"")</f>
        <v/>
      </c>
      <c r="P237">
        <f>IFERROR(INDEX('_courses_lookup'!$D:$D,MATCH(K237&amp;L237,'_courses_lookup'!$E:$E,0)),"")</f>
        <v/>
      </c>
      <c r="AG237">
        <f>IF(AND(AE237&lt;&gt;"",AF237&lt;&gt;""),ROUNDUP((AF237-AE237)/7,0),"")</f>
        <v/>
      </c>
      <c r="AI237">
        <f>IFERROR(IF(AG237*AH237=0,"",AG237*AH237),"")</f>
        <v/>
      </c>
      <c r="AL237">
        <f>IF(AND(AJ237&lt;&gt;"",AK237&lt;&gt;""),ROUNDUP((AK237-AJ237)/7,0),"")</f>
        <v/>
      </c>
      <c r="AN237">
        <f>IFERROR(IF(AL237*AM237=0,"",AL237*AM237),"")</f>
        <v/>
      </c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L237">
        <f>IFERROR(INDEX('_names_lookup'!$C:$C,MATCH(BK237,'_names_lookup'!$A:$A,0)),"")</f>
        <v/>
      </c>
      <c r="BM237">
        <f>IFERROR(INDEX('_names_lookup'!$B:$B,MATCH(BK237,'_names_lookup'!$A:$A,0)),"")</f>
        <v/>
      </c>
      <c r="BS237">
        <f>IFERROR(IF(BR237*AA237=0,"",BR237*AA237),"")</f>
        <v/>
      </c>
    </row>
    <row r="238">
      <c r="O238">
        <f>IFERROR(INDEX('_courses_lookup'!$C:$C,MATCH(K238&amp;L238,'_courses_lookup'!$E:$E,0)),"")</f>
        <v/>
      </c>
      <c r="P238">
        <f>IFERROR(INDEX('_courses_lookup'!$D:$D,MATCH(K238&amp;L238,'_courses_lookup'!$E:$E,0)),"")</f>
        <v/>
      </c>
      <c r="AG238">
        <f>IF(AND(AE238&lt;&gt;"",AF238&lt;&gt;""),ROUNDUP((AF238-AE238)/7,0),"")</f>
        <v/>
      </c>
      <c r="AI238">
        <f>IFERROR(IF(AG238*AH238=0,"",AG238*AH238),"")</f>
        <v/>
      </c>
      <c r="AL238">
        <f>IF(AND(AJ238&lt;&gt;"",AK238&lt;&gt;""),ROUNDUP((AK238-AJ238)/7,0),"")</f>
        <v/>
      </c>
      <c r="AN238">
        <f>IFERROR(IF(AL238*AM238=0,"",AL238*AM238),"")</f>
        <v/>
      </c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L238">
        <f>IFERROR(INDEX('_names_lookup'!$C:$C,MATCH(BK238,'_names_lookup'!$A:$A,0)),"")</f>
        <v/>
      </c>
      <c r="BM238">
        <f>IFERROR(INDEX('_names_lookup'!$B:$B,MATCH(BK238,'_names_lookup'!$A:$A,0)),"")</f>
        <v/>
      </c>
      <c r="BS238">
        <f>IFERROR(IF(BR238*AA238=0,"",BR238*AA238),"")</f>
        <v/>
      </c>
    </row>
    <row r="239">
      <c r="O239">
        <f>IFERROR(INDEX('_courses_lookup'!$C:$C,MATCH(K239&amp;L239,'_courses_lookup'!$E:$E,0)),"")</f>
        <v/>
      </c>
      <c r="P239">
        <f>IFERROR(INDEX('_courses_lookup'!$D:$D,MATCH(K239&amp;L239,'_courses_lookup'!$E:$E,0)),"")</f>
        <v/>
      </c>
      <c r="AG239">
        <f>IF(AND(AE239&lt;&gt;"",AF239&lt;&gt;""),ROUNDUP((AF239-AE239)/7,0),"")</f>
        <v/>
      </c>
      <c r="AI239">
        <f>IFERROR(IF(AG239*AH239=0,"",AG239*AH239),"")</f>
        <v/>
      </c>
      <c r="AL239">
        <f>IF(AND(AJ239&lt;&gt;"",AK239&lt;&gt;""),ROUNDUP((AK239-AJ239)/7,0),"")</f>
        <v/>
      </c>
      <c r="AN239">
        <f>IFERROR(IF(AL239*AM239=0,"",AL239*AM239),"")</f>
        <v/>
      </c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L239">
        <f>IFERROR(INDEX('_names_lookup'!$C:$C,MATCH(BK239,'_names_lookup'!$A:$A,0)),"")</f>
        <v/>
      </c>
      <c r="BM239">
        <f>IFERROR(INDEX('_names_lookup'!$B:$B,MATCH(BK239,'_names_lookup'!$A:$A,0)),"")</f>
        <v/>
      </c>
      <c r="BS239">
        <f>IFERROR(IF(BR239*AA239=0,"",BR239*AA239),"")</f>
        <v/>
      </c>
    </row>
    <row r="240">
      <c r="O240">
        <f>IFERROR(INDEX('_courses_lookup'!$C:$C,MATCH(K240&amp;L240,'_courses_lookup'!$E:$E,0)),"")</f>
        <v/>
      </c>
      <c r="P240">
        <f>IFERROR(INDEX('_courses_lookup'!$D:$D,MATCH(K240&amp;L240,'_courses_lookup'!$E:$E,0)),"")</f>
        <v/>
      </c>
      <c r="AG240">
        <f>IF(AND(AE240&lt;&gt;"",AF240&lt;&gt;""),ROUNDUP((AF240-AE240)/7,0),"")</f>
        <v/>
      </c>
      <c r="AI240">
        <f>IFERROR(IF(AG240*AH240=0,"",AG240*AH240),"")</f>
        <v/>
      </c>
      <c r="AL240">
        <f>IF(AND(AJ240&lt;&gt;"",AK240&lt;&gt;""),ROUNDUP((AK240-AJ240)/7,0),"")</f>
        <v/>
      </c>
      <c r="AN240">
        <f>IFERROR(IF(AL240*AM240=0,"",AL240*AM240),"")</f>
        <v/>
      </c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L240">
        <f>IFERROR(INDEX('_names_lookup'!$C:$C,MATCH(BK240,'_names_lookup'!$A:$A,0)),"")</f>
        <v/>
      </c>
      <c r="BM240">
        <f>IFERROR(INDEX('_names_lookup'!$B:$B,MATCH(BK240,'_names_lookup'!$A:$A,0)),"")</f>
        <v/>
      </c>
      <c r="BS240">
        <f>IFERROR(IF(BR240*AA240=0,"",BR240*AA240),"")</f>
        <v/>
      </c>
    </row>
    <row r="241">
      <c r="O241">
        <f>IFERROR(INDEX('_courses_lookup'!$C:$C,MATCH(K241&amp;L241,'_courses_lookup'!$E:$E,0)),"")</f>
        <v/>
      </c>
      <c r="P241">
        <f>IFERROR(INDEX('_courses_lookup'!$D:$D,MATCH(K241&amp;L241,'_courses_lookup'!$E:$E,0)),"")</f>
        <v/>
      </c>
      <c r="AG241">
        <f>IF(AND(AE241&lt;&gt;"",AF241&lt;&gt;""),ROUNDUP((AF241-AE241)/7,0),"")</f>
        <v/>
      </c>
      <c r="AI241">
        <f>IFERROR(IF(AG241*AH241=0,"",AG241*AH241),"")</f>
        <v/>
      </c>
      <c r="AL241">
        <f>IF(AND(AJ241&lt;&gt;"",AK241&lt;&gt;""),ROUNDUP((AK241-AJ241)/7,0),"")</f>
        <v/>
      </c>
      <c r="AN241">
        <f>IFERROR(IF(AL241*AM241=0,"",AL241*AM241),"")</f>
        <v/>
      </c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L241">
        <f>IFERROR(INDEX('_names_lookup'!$C:$C,MATCH(BK241,'_names_lookup'!$A:$A,0)),"")</f>
        <v/>
      </c>
      <c r="BM241">
        <f>IFERROR(INDEX('_names_lookup'!$B:$B,MATCH(BK241,'_names_lookup'!$A:$A,0)),"")</f>
        <v/>
      </c>
      <c r="BS241">
        <f>IFERROR(IF(BR241*AA241=0,"",BR241*AA241),"")</f>
        <v/>
      </c>
    </row>
    <row r="242">
      <c r="O242">
        <f>IFERROR(INDEX('_courses_lookup'!$C:$C,MATCH(K242&amp;L242,'_courses_lookup'!$E:$E,0)),"")</f>
        <v/>
      </c>
      <c r="P242">
        <f>IFERROR(INDEX('_courses_lookup'!$D:$D,MATCH(K242&amp;L242,'_courses_lookup'!$E:$E,0)),"")</f>
        <v/>
      </c>
      <c r="AG242">
        <f>IF(AND(AE242&lt;&gt;"",AF242&lt;&gt;""),ROUNDUP((AF242-AE242)/7,0),"")</f>
        <v/>
      </c>
      <c r="AI242">
        <f>IFERROR(IF(AG242*AH242=0,"",AG242*AH242),"")</f>
        <v/>
      </c>
      <c r="AL242">
        <f>IF(AND(AJ242&lt;&gt;"",AK242&lt;&gt;""),ROUNDUP((AK242-AJ242)/7,0),"")</f>
        <v/>
      </c>
      <c r="AN242">
        <f>IFERROR(IF(AL242*AM242=0,"",AL242*AM242),"")</f>
        <v/>
      </c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L242">
        <f>IFERROR(INDEX('_names_lookup'!$C:$C,MATCH(BK242,'_names_lookup'!$A:$A,0)),"")</f>
        <v/>
      </c>
      <c r="BM242">
        <f>IFERROR(INDEX('_names_lookup'!$B:$B,MATCH(BK242,'_names_lookup'!$A:$A,0)),"")</f>
        <v/>
      </c>
      <c r="BS242">
        <f>IFERROR(IF(BR242*AA242=0,"",BR242*AA242),"")</f>
        <v/>
      </c>
    </row>
    <row r="243">
      <c r="O243">
        <f>IFERROR(INDEX('_courses_lookup'!$C:$C,MATCH(K243&amp;L243,'_courses_lookup'!$E:$E,0)),"")</f>
        <v/>
      </c>
      <c r="P243">
        <f>IFERROR(INDEX('_courses_lookup'!$D:$D,MATCH(K243&amp;L243,'_courses_lookup'!$E:$E,0)),"")</f>
        <v/>
      </c>
      <c r="AG243">
        <f>IF(AND(AE243&lt;&gt;"",AF243&lt;&gt;""),ROUNDUP((AF243-AE243)/7,0),"")</f>
        <v/>
      </c>
      <c r="AI243">
        <f>IFERROR(IF(AG243*AH243=0,"",AG243*AH243),"")</f>
        <v/>
      </c>
      <c r="AL243">
        <f>IF(AND(AJ243&lt;&gt;"",AK243&lt;&gt;""),ROUNDUP((AK243-AJ243)/7,0),"")</f>
        <v/>
      </c>
      <c r="AN243">
        <f>IFERROR(IF(AL243*AM243=0,"",AL243*AM243),"")</f>
        <v/>
      </c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L243">
        <f>IFERROR(INDEX('_names_lookup'!$C:$C,MATCH(BK243,'_names_lookup'!$A:$A,0)),"")</f>
        <v/>
      </c>
      <c r="BM243">
        <f>IFERROR(INDEX('_names_lookup'!$B:$B,MATCH(BK243,'_names_lookup'!$A:$A,0)),"")</f>
        <v/>
      </c>
      <c r="BS243">
        <f>IFERROR(IF(BR243*AA243=0,"",BR243*AA243),"")</f>
        <v/>
      </c>
    </row>
    <row r="244">
      <c r="O244">
        <f>IFERROR(INDEX('_courses_lookup'!$C:$C,MATCH(K244&amp;L244,'_courses_lookup'!$E:$E,0)),"")</f>
        <v/>
      </c>
      <c r="P244">
        <f>IFERROR(INDEX('_courses_lookup'!$D:$D,MATCH(K244&amp;L244,'_courses_lookup'!$E:$E,0)),"")</f>
        <v/>
      </c>
      <c r="AG244">
        <f>IF(AND(AE244&lt;&gt;"",AF244&lt;&gt;""),ROUNDUP((AF244-AE244)/7,0),"")</f>
        <v/>
      </c>
      <c r="AI244">
        <f>IFERROR(IF(AG244*AH244=0,"",AG244*AH244),"")</f>
        <v/>
      </c>
      <c r="AL244">
        <f>IF(AND(AJ244&lt;&gt;"",AK244&lt;&gt;""),ROUNDUP((AK244-AJ244)/7,0),"")</f>
        <v/>
      </c>
      <c r="AN244">
        <f>IFERROR(IF(AL244*AM244=0,"",AL244*AM244),"")</f>
        <v/>
      </c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L244">
        <f>IFERROR(INDEX('_names_lookup'!$C:$C,MATCH(BK244,'_names_lookup'!$A:$A,0)),"")</f>
        <v/>
      </c>
      <c r="BM244">
        <f>IFERROR(INDEX('_names_lookup'!$B:$B,MATCH(BK244,'_names_lookup'!$A:$A,0)),"")</f>
        <v/>
      </c>
      <c r="BS244">
        <f>IFERROR(IF(BR244*AA244=0,"",BR244*AA244),"")</f>
        <v/>
      </c>
    </row>
    <row r="245">
      <c r="O245">
        <f>IFERROR(INDEX('_courses_lookup'!$C:$C,MATCH(K245&amp;L245,'_courses_lookup'!$E:$E,0)),"")</f>
        <v/>
      </c>
      <c r="P245">
        <f>IFERROR(INDEX('_courses_lookup'!$D:$D,MATCH(K245&amp;L245,'_courses_lookup'!$E:$E,0)),"")</f>
        <v/>
      </c>
      <c r="AG245">
        <f>IF(AND(AE245&lt;&gt;"",AF245&lt;&gt;""),ROUNDUP((AF245-AE245)/7,0),"")</f>
        <v/>
      </c>
      <c r="AI245">
        <f>IFERROR(IF(AG245*AH245=0,"",AG245*AH245),"")</f>
        <v/>
      </c>
      <c r="AL245">
        <f>IF(AND(AJ245&lt;&gt;"",AK245&lt;&gt;""),ROUNDUP((AK245-AJ245)/7,0),"")</f>
        <v/>
      </c>
      <c r="AN245">
        <f>IFERROR(IF(AL245*AM245=0,"",AL245*AM245),"")</f>
        <v/>
      </c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L245">
        <f>IFERROR(INDEX('_names_lookup'!$C:$C,MATCH(BK245,'_names_lookup'!$A:$A,0)),"")</f>
        <v/>
      </c>
      <c r="BM245">
        <f>IFERROR(INDEX('_names_lookup'!$B:$B,MATCH(BK245,'_names_lookup'!$A:$A,0)),"")</f>
        <v/>
      </c>
      <c r="BS245">
        <f>IFERROR(IF(BR245*AA245=0,"",BR245*AA245),"")</f>
        <v/>
      </c>
    </row>
    <row r="246">
      <c r="O246">
        <f>IFERROR(INDEX('_courses_lookup'!$C:$C,MATCH(K246&amp;L246,'_courses_lookup'!$E:$E,0)),"")</f>
        <v/>
      </c>
      <c r="P246">
        <f>IFERROR(INDEX('_courses_lookup'!$D:$D,MATCH(K246&amp;L246,'_courses_lookup'!$E:$E,0)),"")</f>
        <v/>
      </c>
      <c r="AG246">
        <f>IF(AND(AE246&lt;&gt;"",AF246&lt;&gt;""),ROUNDUP((AF246-AE246)/7,0),"")</f>
        <v/>
      </c>
      <c r="AI246">
        <f>IFERROR(IF(AG246*AH246=0,"",AG246*AH246),"")</f>
        <v/>
      </c>
      <c r="AL246">
        <f>IF(AND(AJ246&lt;&gt;"",AK246&lt;&gt;""),ROUNDUP((AK246-AJ246)/7,0),"")</f>
        <v/>
      </c>
      <c r="AN246">
        <f>IFERROR(IF(AL246*AM246=0,"",AL246*AM246),"")</f>
        <v/>
      </c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L246">
        <f>IFERROR(INDEX('_names_lookup'!$C:$C,MATCH(BK246,'_names_lookup'!$A:$A,0)),"")</f>
        <v/>
      </c>
      <c r="BM246">
        <f>IFERROR(INDEX('_names_lookup'!$B:$B,MATCH(BK246,'_names_lookup'!$A:$A,0)),"")</f>
        <v/>
      </c>
      <c r="BS246">
        <f>IFERROR(IF(BR246*AA246=0,"",BR246*AA246),"")</f>
        <v/>
      </c>
    </row>
    <row r="247">
      <c r="O247">
        <f>IFERROR(INDEX('_courses_lookup'!$C:$C,MATCH(K247&amp;L247,'_courses_lookup'!$E:$E,0)),"")</f>
        <v/>
      </c>
      <c r="P247">
        <f>IFERROR(INDEX('_courses_lookup'!$D:$D,MATCH(K247&amp;L247,'_courses_lookup'!$E:$E,0)),"")</f>
        <v/>
      </c>
      <c r="AG247">
        <f>IF(AND(AE247&lt;&gt;"",AF247&lt;&gt;""),ROUNDUP((AF247-AE247)/7,0),"")</f>
        <v/>
      </c>
      <c r="AI247">
        <f>IFERROR(IF(AG247*AH247=0,"",AG247*AH247),"")</f>
        <v/>
      </c>
      <c r="AL247">
        <f>IF(AND(AJ247&lt;&gt;"",AK247&lt;&gt;""),ROUNDUP((AK247-AJ247)/7,0),"")</f>
        <v/>
      </c>
      <c r="AN247">
        <f>IFERROR(IF(AL247*AM247=0,"",AL247*AM247),"")</f>
        <v/>
      </c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L247">
        <f>IFERROR(INDEX('_names_lookup'!$C:$C,MATCH(BK247,'_names_lookup'!$A:$A,0)),"")</f>
        <v/>
      </c>
      <c r="BM247">
        <f>IFERROR(INDEX('_names_lookup'!$B:$B,MATCH(BK247,'_names_lookup'!$A:$A,0)),"")</f>
        <v/>
      </c>
      <c r="BS247">
        <f>IFERROR(IF(BR247*AA247=0,"",BR247*AA247),"")</f>
        <v/>
      </c>
    </row>
    <row r="248">
      <c r="O248">
        <f>IFERROR(INDEX('_courses_lookup'!$C:$C,MATCH(K248&amp;L248,'_courses_lookup'!$E:$E,0)),"")</f>
        <v/>
      </c>
      <c r="P248">
        <f>IFERROR(INDEX('_courses_lookup'!$D:$D,MATCH(K248&amp;L248,'_courses_lookup'!$E:$E,0)),"")</f>
        <v/>
      </c>
      <c r="AG248">
        <f>IF(AND(AE248&lt;&gt;"",AF248&lt;&gt;""),ROUNDUP((AF248-AE248)/7,0),"")</f>
        <v/>
      </c>
      <c r="AI248">
        <f>IFERROR(IF(AG248*AH248=0,"",AG248*AH248),"")</f>
        <v/>
      </c>
      <c r="AL248">
        <f>IF(AND(AJ248&lt;&gt;"",AK248&lt;&gt;""),ROUNDUP((AK248-AJ248)/7,0),"")</f>
        <v/>
      </c>
      <c r="AN248">
        <f>IFERROR(IF(AL248*AM248=0,"",AL248*AM248),"")</f>
        <v/>
      </c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L248">
        <f>IFERROR(INDEX('_names_lookup'!$C:$C,MATCH(BK248,'_names_lookup'!$A:$A,0)),"")</f>
        <v/>
      </c>
      <c r="BM248">
        <f>IFERROR(INDEX('_names_lookup'!$B:$B,MATCH(BK248,'_names_lookup'!$A:$A,0)),"")</f>
        <v/>
      </c>
      <c r="BS248">
        <f>IFERROR(IF(BR248*AA248=0,"",BR248*AA248),"")</f>
        <v/>
      </c>
    </row>
    <row r="249">
      <c r="O249">
        <f>IFERROR(INDEX('_courses_lookup'!$C:$C,MATCH(K249&amp;L249,'_courses_lookup'!$E:$E,0)),"")</f>
        <v/>
      </c>
      <c r="P249">
        <f>IFERROR(INDEX('_courses_lookup'!$D:$D,MATCH(K249&amp;L249,'_courses_lookup'!$E:$E,0)),"")</f>
        <v/>
      </c>
      <c r="AG249">
        <f>IF(AND(AE249&lt;&gt;"",AF249&lt;&gt;""),ROUNDUP((AF249-AE249)/7,0),"")</f>
        <v/>
      </c>
      <c r="AI249">
        <f>IFERROR(IF(AG249*AH249=0,"",AG249*AH249),"")</f>
        <v/>
      </c>
      <c r="AL249">
        <f>IF(AND(AJ249&lt;&gt;"",AK249&lt;&gt;""),ROUNDUP((AK249-AJ249)/7,0),"")</f>
        <v/>
      </c>
      <c r="AN249">
        <f>IFERROR(IF(AL249*AM249=0,"",AL249*AM249),"")</f>
        <v/>
      </c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L249">
        <f>IFERROR(INDEX('_names_lookup'!$C:$C,MATCH(BK249,'_names_lookup'!$A:$A,0)),"")</f>
        <v/>
      </c>
      <c r="BM249">
        <f>IFERROR(INDEX('_names_lookup'!$B:$B,MATCH(BK249,'_names_lookup'!$A:$A,0)),"")</f>
        <v/>
      </c>
      <c r="BS249">
        <f>IFERROR(IF(BR249*AA249=0,"",BR249*AA249),"")</f>
        <v/>
      </c>
    </row>
    <row r="250">
      <c r="O250">
        <f>IFERROR(INDEX('_courses_lookup'!$C:$C,MATCH(K250&amp;L250,'_courses_lookup'!$E:$E,0)),"")</f>
        <v/>
      </c>
      <c r="P250">
        <f>IFERROR(INDEX('_courses_lookup'!$D:$D,MATCH(K250&amp;L250,'_courses_lookup'!$E:$E,0)),"")</f>
        <v/>
      </c>
      <c r="AG250">
        <f>IF(AND(AE250&lt;&gt;"",AF250&lt;&gt;""),ROUNDUP((AF250-AE250)/7,0),"")</f>
        <v/>
      </c>
      <c r="AI250">
        <f>IFERROR(IF(AG250*AH250=0,"",AG250*AH250),"")</f>
        <v/>
      </c>
      <c r="AL250">
        <f>IF(AND(AJ250&lt;&gt;"",AK250&lt;&gt;""),ROUNDUP((AK250-AJ250)/7,0),"")</f>
        <v/>
      </c>
      <c r="AN250">
        <f>IFERROR(IF(AL250*AM250=0,"",AL250*AM250),"")</f>
        <v/>
      </c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L250">
        <f>IFERROR(INDEX('_names_lookup'!$C:$C,MATCH(BK250,'_names_lookup'!$A:$A,0)),"")</f>
        <v/>
      </c>
      <c r="BM250">
        <f>IFERROR(INDEX('_names_lookup'!$B:$B,MATCH(BK250,'_names_lookup'!$A:$A,0)),"")</f>
        <v/>
      </c>
      <c r="BS250">
        <f>IFERROR(IF(BR250*AA250=0,"",BR250*AA250),"")</f>
        <v/>
      </c>
    </row>
    <row r="251">
      <c r="O251">
        <f>IFERROR(INDEX('_courses_lookup'!$C:$C,MATCH(K251&amp;L251,'_courses_lookup'!$E:$E,0)),"")</f>
        <v/>
      </c>
      <c r="P251">
        <f>IFERROR(INDEX('_courses_lookup'!$D:$D,MATCH(K251&amp;L251,'_courses_lookup'!$E:$E,0)),"")</f>
        <v/>
      </c>
      <c r="AG251">
        <f>IF(AND(AE251&lt;&gt;"",AF251&lt;&gt;""),ROUNDUP((AF251-AE251)/7,0),"")</f>
        <v/>
      </c>
      <c r="AI251">
        <f>IFERROR(IF(AG251*AH251=0,"",AG251*AH251),"")</f>
        <v/>
      </c>
      <c r="AL251">
        <f>IF(AND(AJ251&lt;&gt;"",AK251&lt;&gt;""),ROUNDUP((AK251-AJ251)/7,0),"")</f>
        <v/>
      </c>
      <c r="AN251">
        <f>IFERROR(IF(AL251*AM251=0,"",AL251*AM251),"")</f>
        <v/>
      </c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L251">
        <f>IFERROR(INDEX('_names_lookup'!$C:$C,MATCH(BK251,'_names_lookup'!$A:$A,0)),"")</f>
        <v/>
      </c>
      <c r="BM251">
        <f>IFERROR(INDEX('_names_lookup'!$B:$B,MATCH(BK251,'_names_lookup'!$A:$A,0)),"")</f>
        <v/>
      </c>
      <c r="BS251">
        <f>IFERROR(IF(BR251*AA251=0,"",BR251*AA251),"")</f>
        <v/>
      </c>
    </row>
    <row r="252">
      <c r="O252">
        <f>IFERROR(INDEX('_courses_lookup'!$C:$C,MATCH(K252&amp;L252,'_courses_lookup'!$E:$E,0)),"")</f>
        <v/>
      </c>
      <c r="P252">
        <f>IFERROR(INDEX('_courses_lookup'!$D:$D,MATCH(K252&amp;L252,'_courses_lookup'!$E:$E,0)),"")</f>
        <v/>
      </c>
      <c r="AG252">
        <f>IF(AND(AE252&lt;&gt;"",AF252&lt;&gt;""),ROUNDUP((AF252-AE252)/7,0),"")</f>
        <v/>
      </c>
      <c r="AI252">
        <f>IFERROR(IF(AG252*AH252=0,"",AG252*AH252),"")</f>
        <v/>
      </c>
      <c r="AL252">
        <f>IF(AND(AJ252&lt;&gt;"",AK252&lt;&gt;""),ROUNDUP((AK252-AJ252)/7,0),"")</f>
        <v/>
      </c>
      <c r="AN252">
        <f>IFERROR(IF(AL252*AM252=0,"",AL252*AM252),"")</f>
        <v/>
      </c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L252">
        <f>IFERROR(INDEX('_names_lookup'!$C:$C,MATCH(BK252,'_names_lookup'!$A:$A,0)),"")</f>
        <v/>
      </c>
      <c r="BM252">
        <f>IFERROR(INDEX('_names_lookup'!$B:$B,MATCH(BK252,'_names_lookup'!$A:$A,0)),"")</f>
        <v/>
      </c>
      <c r="BS252">
        <f>IFERROR(IF(BR252*AA252=0,"",BR252*AA252),"")</f>
        <v/>
      </c>
    </row>
    <row r="253">
      <c r="O253">
        <f>IFERROR(INDEX('_courses_lookup'!$C:$C,MATCH(K253&amp;L253,'_courses_lookup'!$E:$E,0)),"")</f>
        <v/>
      </c>
      <c r="P253">
        <f>IFERROR(INDEX('_courses_lookup'!$D:$D,MATCH(K253&amp;L253,'_courses_lookup'!$E:$E,0)),"")</f>
        <v/>
      </c>
      <c r="AG253">
        <f>IF(AND(AE253&lt;&gt;"",AF253&lt;&gt;""),ROUNDUP((AF253-AE253)/7,0),"")</f>
        <v/>
      </c>
      <c r="AI253">
        <f>IFERROR(IF(AG253*AH253=0,"",AG253*AH253),"")</f>
        <v/>
      </c>
      <c r="AL253">
        <f>IF(AND(AJ253&lt;&gt;"",AK253&lt;&gt;""),ROUNDUP((AK253-AJ253)/7,0),"")</f>
        <v/>
      </c>
      <c r="AN253">
        <f>IFERROR(IF(AL253*AM253=0,"",AL253*AM253),"")</f>
        <v/>
      </c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L253">
        <f>IFERROR(INDEX('_names_lookup'!$C:$C,MATCH(BK253,'_names_lookup'!$A:$A,0)),"")</f>
        <v/>
      </c>
      <c r="BM253">
        <f>IFERROR(INDEX('_names_lookup'!$B:$B,MATCH(BK253,'_names_lookup'!$A:$A,0)),"")</f>
        <v/>
      </c>
      <c r="BS253">
        <f>IFERROR(IF(BR253*AA253=0,"",BR253*AA253),"")</f>
        <v/>
      </c>
    </row>
    <row r="254">
      <c r="O254">
        <f>IFERROR(INDEX('_courses_lookup'!$C:$C,MATCH(K254&amp;L254,'_courses_lookup'!$E:$E,0)),"")</f>
        <v/>
      </c>
      <c r="P254">
        <f>IFERROR(INDEX('_courses_lookup'!$D:$D,MATCH(K254&amp;L254,'_courses_lookup'!$E:$E,0)),"")</f>
        <v/>
      </c>
      <c r="AG254">
        <f>IF(AND(AE254&lt;&gt;"",AF254&lt;&gt;""),ROUNDUP((AF254-AE254)/7,0),"")</f>
        <v/>
      </c>
      <c r="AI254">
        <f>IFERROR(IF(AG254*AH254=0,"",AG254*AH254),"")</f>
        <v/>
      </c>
      <c r="AL254">
        <f>IF(AND(AJ254&lt;&gt;"",AK254&lt;&gt;""),ROUNDUP((AK254-AJ254)/7,0),"")</f>
        <v/>
      </c>
      <c r="AN254">
        <f>IFERROR(IF(AL254*AM254=0,"",AL254*AM254),"")</f>
        <v/>
      </c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L254">
        <f>IFERROR(INDEX('_names_lookup'!$C:$C,MATCH(BK254,'_names_lookup'!$A:$A,0)),"")</f>
        <v/>
      </c>
      <c r="BM254">
        <f>IFERROR(INDEX('_names_lookup'!$B:$B,MATCH(BK254,'_names_lookup'!$A:$A,0)),"")</f>
        <v/>
      </c>
      <c r="BS254">
        <f>IFERROR(IF(BR254*AA254=0,"",BR254*AA254),"")</f>
        <v/>
      </c>
    </row>
    <row r="255">
      <c r="O255">
        <f>IFERROR(INDEX('_courses_lookup'!$C:$C,MATCH(K255&amp;L255,'_courses_lookup'!$E:$E,0)),"")</f>
        <v/>
      </c>
      <c r="P255">
        <f>IFERROR(INDEX('_courses_lookup'!$D:$D,MATCH(K255&amp;L255,'_courses_lookup'!$E:$E,0)),"")</f>
        <v/>
      </c>
      <c r="AG255">
        <f>IF(AND(AE255&lt;&gt;"",AF255&lt;&gt;""),ROUNDUP((AF255-AE255)/7,0),"")</f>
        <v/>
      </c>
      <c r="AI255">
        <f>IFERROR(IF(AG255*AH255=0,"",AG255*AH255),"")</f>
        <v/>
      </c>
      <c r="AL255">
        <f>IF(AND(AJ255&lt;&gt;"",AK255&lt;&gt;""),ROUNDUP((AK255-AJ255)/7,0),"")</f>
        <v/>
      </c>
      <c r="AN255">
        <f>IFERROR(IF(AL255*AM255=0,"",AL255*AM255),"")</f>
        <v/>
      </c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L255">
        <f>IFERROR(INDEX('_names_lookup'!$C:$C,MATCH(BK255,'_names_lookup'!$A:$A,0)),"")</f>
        <v/>
      </c>
      <c r="BM255">
        <f>IFERROR(INDEX('_names_lookup'!$B:$B,MATCH(BK255,'_names_lookup'!$A:$A,0)),"")</f>
        <v/>
      </c>
      <c r="BS255">
        <f>IFERROR(IF(BR255*AA255=0,"",BR255*AA255),"")</f>
        <v/>
      </c>
    </row>
    <row r="256">
      <c r="O256">
        <f>IFERROR(INDEX('_courses_lookup'!$C:$C,MATCH(K256&amp;L256,'_courses_lookup'!$E:$E,0)),"")</f>
        <v/>
      </c>
      <c r="P256">
        <f>IFERROR(INDEX('_courses_lookup'!$D:$D,MATCH(K256&amp;L256,'_courses_lookup'!$E:$E,0)),"")</f>
        <v/>
      </c>
      <c r="AG256">
        <f>IF(AND(AE256&lt;&gt;"",AF256&lt;&gt;""),ROUNDUP((AF256-AE256)/7,0),"")</f>
        <v/>
      </c>
      <c r="AI256">
        <f>IFERROR(IF(AG256*AH256=0,"",AG256*AH256),"")</f>
        <v/>
      </c>
      <c r="AL256">
        <f>IF(AND(AJ256&lt;&gt;"",AK256&lt;&gt;""),ROUNDUP((AK256-AJ256)/7,0),"")</f>
        <v/>
      </c>
      <c r="AN256">
        <f>IFERROR(IF(AL256*AM256=0,"",AL256*AM256),"")</f>
        <v/>
      </c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L256">
        <f>IFERROR(INDEX('_names_lookup'!$C:$C,MATCH(BK256,'_names_lookup'!$A:$A,0)),"")</f>
        <v/>
      </c>
      <c r="BM256">
        <f>IFERROR(INDEX('_names_lookup'!$B:$B,MATCH(BK256,'_names_lookup'!$A:$A,0)),"")</f>
        <v/>
      </c>
      <c r="BS256">
        <f>IFERROR(IF(BR256*AA256=0,"",BR256*AA256),"")</f>
        <v/>
      </c>
    </row>
    <row r="257">
      <c r="O257">
        <f>IFERROR(INDEX('_courses_lookup'!$C:$C,MATCH(K257&amp;L257,'_courses_lookup'!$E:$E,0)),"")</f>
        <v/>
      </c>
      <c r="P257">
        <f>IFERROR(INDEX('_courses_lookup'!$D:$D,MATCH(K257&amp;L257,'_courses_lookup'!$E:$E,0)),"")</f>
        <v/>
      </c>
      <c r="AG257">
        <f>IF(AND(AE257&lt;&gt;"",AF257&lt;&gt;""),ROUNDUP((AF257-AE257)/7,0),"")</f>
        <v/>
      </c>
      <c r="AI257">
        <f>IFERROR(IF(AG257*AH257=0,"",AG257*AH257),"")</f>
        <v/>
      </c>
      <c r="AL257">
        <f>IF(AND(AJ257&lt;&gt;"",AK257&lt;&gt;""),ROUNDUP((AK257-AJ257)/7,0),"")</f>
        <v/>
      </c>
      <c r="AN257">
        <f>IFERROR(IF(AL257*AM257=0,"",AL257*AM257),"")</f>
        <v/>
      </c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L257">
        <f>IFERROR(INDEX('_names_lookup'!$C:$C,MATCH(BK257,'_names_lookup'!$A:$A,0)),"")</f>
        <v/>
      </c>
      <c r="BM257">
        <f>IFERROR(INDEX('_names_lookup'!$B:$B,MATCH(BK257,'_names_lookup'!$A:$A,0)),"")</f>
        <v/>
      </c>
      <c r="BS257">
        <f>IFERROR(IF(BR257*AA257=0,"",BR257*AA257),"")</f>
        <v/>
      </c>
    </row>
    <row r="258">
      <c r="O258">
        <f>IFERROR(INDEX('_courses_lookup'!$C:$C,MATCH(K258&amp;L258,'_courses_lookup'!$E:$E,0)),"")</f>
        <v/>
      </c>
      <c r="P258">
        <f>IFERROR(INDEX('_courses_lookup'!$D:$D,MATCH(K258&amp;L258,'_courses_lookup'!$E:$E,0)),"")</f>
        <v/>
      </c>
      <c r="AG258">
        <f>IF(AND(AE258&lt;&gt;"",AF258&lt;&gt;""),ROUNDUP((AF258-AE258)/7,0),"")</f>
        <v/>
      </c>
      <c r="AI258">
        <f>IFERROR(IF(AG258*AH258=0,"",AG258*AH258),"")</f>
        <v/>
      </c>
      <c r="AL258">
        <f>IF(AND(AJ258&lt;&gt;"",AK258&lt;&gt;""),ROUNDUP((AK258-AJ258)/7,0),"")</f>
        <v/>
      </c>
      <c r="AN258">
        <f>IFERROR(IF(AL258*AM258=0,"",AL258*AM258),"")</f>
        <v/>
      </c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L258">
        <f>IFERROR(INDEX('_names_lookup'!$C:$C,MATCH(BK258,'_names_lookup'!$A:$A,0)),"")</f>
        <v/>
      </c>
      <c r="BM258">
        <f>IFERROR(INDEX('_names_lookup'!$B:$B,MATCH(BK258,'_names_lookup'!$A:$A,0)),"")</f>
        <v/>
      </c>
      <c r="BS258">
        <f>IFERROR(IF(BR258*AA258=0,"",BR258*AA258),"")</f>
        <v/>
      </c>
    </row>
    <row r="259">
      <c r="O259">
        <f>IFERROR(INDEX('_courses_lookup'!$C:$C,MATCH(K259&amp;L259,'_courses_lookup'!$E:$E,0)),"")</f>
        <v/>
      </c>
      <c r="P259">
        <f>IFERROR(INDEX('_courses_lookup'!$D:$D,MATCH(K259&amp;L259,'_courses_lookup'!$E:$E,0)),"")</f>
        <v/>
      </c>
      <c r="AG259">
        <f>IF(AND(AE259&lt;&gt;"",AF259&lt;&gt;""),ROUNDUP((AF259-AE259)/7,0),"")</f>
        <v/>
      </c>
      <c r="AI259">
        <f>IFERROR(IF(AG259*AH259=0,"",AG259*AH259),"")</f>
        <v/>
      </c>
      <c r="AL259">
        <f>IF(AND(AJ259&lt;&gt;"",AK259&lt;&gt;""),ROUNDUP((AK259-AJ259)/7,0),"")</f>
        <v/>
      </c>
      <c r="AN259">
        <f>IFERROR(IF(AL259*AM259=0,"",AL259*AM259),"")</f>
        <v/>
      </c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L259">
        <f>IFERROR(INDEX('_names_lookup'!$C:$C,MATCH(BK259,'_names_lookup'!$A:$A,0)),"")</f>
        <v/>
      </c>
      <c r="BM259">
        <f>IFERROR(INDEX('_names_lookup'!$B:$B,MATCH(BK259,'_names_lookup'!$A:$A,0)),"")</f>
        <v/>
      </c>
      <c r="BS259">
        <f>IFERROR(IF(BR259*AA259=0,"",BR259*AA259),"")</f>
        <v/>
      </c>
    </row>
    <row r="260">
      <c r="O260">
        <f>IFERROR(INDEX('_courses_lookup'!$C:$C,MATCH(K260&amp;L260,'_courses_lookup'!$E:$E,0)),"")</f>
        <v/>
      </c>
      <c r="P260">
        <f>IFERROR(INDEX('_courses_lookup'!$D:$D,MATCH(K260&amp;L260,'_courses_lookup'!$E:$E,0)),"")</f>
        <v/>
      </c>
      <c r="AG260">
        <f>IF(AND(AE260&lt;&gt;"",AF260&lt;&gt;""),ROUNDUP((AF260-AE260)/7,0),"")</f>
        <v/>
      </c>
      <c r="AI260">
        <f>IFERROR(IF(AG260*AH260=0,"",AG260*AH260),"")</f>
        <v/>
      </c>
      <c r="AL260">
        <f>IF(AND(AJ260&lt;&gt;"",AK260&lt;&gt;""),ROUNDUP((AK260-AJ260)/7,0),"")</f>
        <v/>
      </c>
      <c r="AN260">
        <f>IFERROR(IF(AL260*AM260=0,"",AL260*AM260),"")</f>
        <v/>
      </c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L260">
        <f>IFERROR(INDEX('_names_lookup'!$C:$C,MATCH(BK260,'_names_lookup'!$A:$A,0)),"")</f>
        <v/>
      </c>
      <c r="BM260">
        <f>IFERROR(INDEX('_names_lookup'!$B:$B,MATCH(BK260,'_names_lookup'!$A:$A,0)),"")</f>
        <v/>
      </c>
      <c r="BS260">
        <f>IFERROR(IF(BR260*AA260=0,"",BR260*AA260),"")</f>
        <v/>
      </c>
    </row>
    <row r="261">
      <c r="O261">
        <f>IFERROR(INDEX('_courses_lookup'!$C:$C,MATCH(K261&amp;L261,'_courses_lookup'!$E:$E,0)),"")</f>
        <v/>
      </c>
      <c r="P261">
        <f>IFERROR(INDEX('_courses_lookup'!$D:$D,MATCH(K261&amp;L261,'_courses_lookup'!$E:$E,0)),"")</f>
        <v/>
      </c>
      <c r="AG261">
        <f>IF(AND(AE261&lt;&gt;"",AF261&lt;&gt;""),ROUNDUP((AF261-AE261)/7,0),"")</f>
        <v/>
      </c>
      <c r="AI261">
        <f>IFERROR(IF(AG261*AH261=0,"",AG261*AH261),"")</f>
        <v/>
      </c>
      <c r="AL261">
        <f>IF(AND(AJ261&lt;&gt;"",AK261&lt;&gt;""),ROUNDUP((AK261-AJ261)/7,0),"")</f>
        <v/>
      </c>
      <c r="AN261">
        <f>IFERROR(IF(AL261*AM261=0,"",AL261*AM261),"")</f>
        <v/>
      </c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L261">
        <f>IFERROR(INDEX('_names_lookup'!$C:$C,MATCH(BK261,'_names_lookup'!$A:$A,0)),"")</f>
        <v/>
      </c>
      <c r="BM261">
        <f>IFERROR(INDEX('_names_lookup'!$B:$B,MATCH(BK261,'_names_lookup'!$A:$A,0)),"")</f>
        <v/>
      </c>
      <c r="BS261">
        <f>IFERROR(IF(BR261*AA261=0,"",BR261*AA261),"")</f>
        <v/>
      </c>
    </row>
    <row r="262">
      <c r="O262">
        <f>IFERROR(INDEX('_courses_lookup'!$C:$C,MATCH(K262&amp;L262,'_courses_lookup'!$E:$E,0)),"")</f>
        <v/>
      </c>
      <c r="P262">
        <f>IFERROR(INDEX('_courses_lookup'!$D:$D,MATCH(K262&amp;L262,'_courses_lookup'!$E:$E,0)),"")</f>
        <v/>
      </c>
      <c r="AG262">
        <f>IF(AND(AE262&lt;&gt;"",AF262&lt;&gt;""),ROUNDUP((AF262-AE262)/7,0),"")</f>
        <v/>
      </c>
      <c r="AI262">
        <f>IFERROR(IF(AG262*AH262=0,"",AG262*AH262),"")</f>
        <v/>
      </c>
      <c r="AL262">
        <f>IF(AND(AJ262&lt;&gt;"",AK262&lt;&gt;""),ROUNDUP((AK262-AJ262)/7,0),"")</f>
        <v/>
      </c>
      <c r="AN262">
        <f>IFERROR(IF(AL262*AM262=0,"",AL262*AM262),"")</f>
        <v/>
      </c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L262">
        <f>IFERROR(INDEX('_names_lookup'!$C:$C,MATCH(BK262,'_names_lookup'!$A:$A,0)),"")</f>
        <v/>
      </c>
      <c r="BM262">
        <f>IFERROR(INDEX('_names_lookup'!$B:$B,MATCH(BK262,'_names_lookup'!$A:$A,0)),"")</f>
        <v/>
      </c>
      <c r="BS262">
        <f>IFERROR(IF(BR262*AA262=0,"",BR262*AA262),"")</f>
        <v/>
      </c>
    </row>
    <row r="263">
      <c r="O263">
        <f>IFERROR(INDEX('_courses_lookup'!$C:$C,MATCH(K263&amp;L263,'_courses_lookup'!$E:$E,0)),"")</f>
        <v/>
      </c>
      <c r="P263">
        <f>IFERROR(INDEX('_courses_lookup'!$D:$D,MATCH(K263&amp;L263,'_courses_lookup'!$E:$E,0)),"")</f>
        <v/>
      </c>
      <c r="AG263">
        <f>IF(AND(AE263&lt;&gt;"",AF263&lt;&gt;""),ROUNDUP((AF263-AE263)/7,0),"")</f>
        <v/>
      </c>
      <c r="AI263">
        <f>IFERROR(IF(AG263*AH263=0,"",AG263*AH263),"")</f>
        <v/>
      </c>
      <c r="AL263">
        <f>IF(AND(AJ263&lt;&gt;"",AK263&lt;&gt;""),ROUNDUP((AK263-AJ263)/7,0),"")</f>
        <v/>
      </c>
      <c r="AN263">
        <f>IFERROR(IF(AL263*AM263=0,"",AL263*AM263),"")</f>
        <v/>
      </c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L263">
        <f>IFERROR(INDEX('_names_lookup'!$C:$C,MATCH(BK263,'_names_lookup'!$A:$A,0)),"")</f>
        <v/>
      </c>
      <c r="BM263">
        <f>IFERROR(INDEX('_names_lookup'!$B:$B,MATCH(BK263,'_names_lookup'!$A:$A,0)),"")</f>
        <v/>
      </c>
      <c r="BS263">
        <f>IFERROR(IF(BR263*AA263=0,"",BR263*AA263),"")</f>
        <v/>
      </c>
    </row>
    <row r="264">
      <c r="O264">
        <f>IFERROR(INDEX('_courses_lookup'!$C:$C,MATCH(K264&amp;L264,'_courses_lookup'!$E:$E,0)),"")</f>
        <v/>
      </c>
      <c r="P264">
        <f>IFERROR(INDEX('_courses_lookup'!$D:$D,MATCH(K264&amp;L264,'_courses_lookup'!$E:$E,0)),"")</f>
        <v/>
      </c>
      <c r="AG264">
        <f>IF(AND(AE264&lt;&gt;"",AF264&lt;&gt;""),ROUNDUP((AF264-AE264)/7,0),"")</f>
        <v/>
      </c>
      <c r="AI264">
        <f>IFERROR(IF(AG264*AH264=0,"",AG264*AH264),"")</f>
        <v/>
      </c>
      <c r="AL264">
        <f>IF(AND(AJ264&lt;&gt;"",AK264&lt;&gt;""),ROUNDUP((AK264-AJ264)/7,0),"")</f>
        <v/>
      </c>
      <c r="AN264">
        <f>IFERROR(IF(AL264*AM264=0,"",AL264*AM264),"")</f>
        <v/>
      </c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L264">
        <f>IFERROR(INDEX('_names_lookup'!$C:$C,MATCH(BK264,'_names_lookup'!$A:$A,0)),"")</f>
        <v/>
      </c>
      <c r="BM264">
        <f>IFERROR(INDEX('_names_lookup'!$B:$B,MATCH(BK264,'_names_lookup'!$A:$A,0)),"")</f>
        <v/>
      </c>
      <c r="BS264">
        <f>IFERROR(IF(BR264*AA264=0,"",BR264*AA264),"")</f>
        <v/>
      </c>
    </row>
    <row r="265">
      <c r="O265">
        <f>IFERROR(INDEX('_courses_lookup'!$C:$C,MATCH(K265&amp;L265,'_courses_lookup'!$E:$E,0)),"")</f>
        <v/>
      </c>
      <c r="P265">
        <f>IFERROR(INDEX('_courses_lookup'!$D:$D,MATCH(K265&amp;L265,'_courses_lookup'!$E:$E,0)),"")</f>
        <v/>
      </c>
      <c r="AG265">
        <f>IF(AND(AE265&lt;&gt;"",AF265&lt;&gt;""),ROUNDUP((AF265-AE265)/7,0),"")</f>
        <v/>
      </c>
      <c r="AI265">
        <f>IFERROR(IF(AG265*AH265=0,"",AG265*AH265),"")</f>
        <v/>
      </c>
      <c r="AL265">
        <f>IF(AND(AJ265&lt;&gt;"",AK265&lt;&gt;""),ROUNDUP((AK265-AJ265)/7,0),"")</f>
        <v/>
      </c>
      <c r="AN265">
        <f>IFERROR(IF(AL265*AM265=0,"",AL265*AM265),"")</f>
        <v/>
      </c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L265">
        <f>IFERROR(INDEX('_names_lookup'!$C:$C,MATCH(BK265,'_names_lookup'!$A:$A,0)),"")</f>
        <v/>
      </c>
      <c r="BM265">
        <f>IFERROR(INDEX('_names_lookup'!$B:$B,MATCH(BK265,'_names_lookup'!$A:$A,0)),"")</f>
        <v/>
      </c>
      <c r="BS265">
        <f>IFERROR(IF(BR265*AA265=0,"",BR265*AA265),"")</f>
        <v/>
      </c>
    </row>
    <row r="266">
      <c r="O266">
        <f>IFERROR(INDEX('_courses_lookup'!$C:$C,MATCH(K266&amp;L266,'_courses_lookup'!$E:$E,0)),"")</f>
        <v/>
      </c>
      <c r="P266">
        <f>IFERROR(INDEX('_courses_lookup'!$D:$D,MATCH(K266&amp;L266,'_courses_lookup'!$E:$E,0)),"")</f>
        <v/>
      </c>
      <c r="AG266">
        <f>IF(AND(AE266&lt;&gt;"",AF266&lt;&gt;""),ROUNDUP((AF266-AE266)/7,0),"")</f>
        <v/>
      </c>
      <c r="AI266">
        <f>IFERROR(IF(AG266*AH266=0,"",AG266*AH266),"")</f>
        <v/>
      </c>
      <c r="AL266">
        <f>IF(AND(AJ266&lt;&gt;"",AK266&lt;&gt;""),ROUNDUP((AK266-AJ266)/7,0),"")</f>
        <v/>
      </c>
      <c r="AN266">
        <f>IFERROR(IF(AL266*AM266=0,"",AL266*AM266),"")</f>
        <v/>
      </c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L266">
        <f>IFERROR(INDEX('_names_lookup'!$C:$C,MATCH(BK266,'_names_lookup'!$A:$A,0)),"")</f>
        <v/>
      </c>
      <c r="BM266">
        <f>IFERROR(INDEX('_names_lookup'!$B:$B,MATCH(BK266,'_names_lookup'!$A:$A,0)),"")</f>
        <v/>
      </c>
      <c r="BS266">
        <f>IFERROR(IF(BR266*AA266=0,"",BR266*AA266),"")</f>
        <v/>
      </c>
    </row>
    <row r="267">
      <c r="O267">
        <f>IFERROR(INDEX('_courses_lookup'!$C:$C,MATCH(K267&amp;L267,'_courses_lookup'!$E:$E,0)),"")</f>
        <v/>
      </c>
      <c r="P267">
        <f>IFERROR(INDEX('_courses_lookup'!$D:$D,MATCH(K267&amp;L267,'_courses_lookup'!$E:$E,0)),"")</f>
        <v/>
      </c>
      <c r="AG267">
        <f>IF(AND(AE267&lt;&gt;"",AF267&lt;&gt;""),ROUNDUP((AF267-AE267)/7,0),"")</f>
        <v/>
      </c>
      <c r="AI267">
        <f>IFERROR(IF(AG267*AH267=0,"",AG267*AH267),"")</f>
        <v/>
      </c>
      <c r="AL267">
        <f>IF(AND(AJ267&lt;&gt;"",AK267&lt;&gt;""),ROUNDUP((AK267-AJ267)/7,0),"")</f>
        <v/>
      </c>
      <c r="AN267">
        <f>IFERROR(IF(AL267*AM267=0,"",AL267*AM267),"")</f>
        <v/>
      </c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L267">
        <f>IFERROR(INDEX('_names_lookup'!$C:$C,MATCH(BK267,'_names_lookup'!$A:$A,0)),"")</f>
        <v/>
      </c>
      <c r="BM267">
        <f>IFERROR(INDEX('_names_lookup'!$B:$B,MATCH(BK267,'_names_lookup'!$A:$A,0)),"")</f>
        <v/>
      </c>
      <c r="BS267">
        <f>IFERROR(IF(BR267*AA267=0,"",BR267*AA267),"")</f>
        <v/>
      </c>
    </row>
    <row r="268">
      <c r="O268">
        <f>IFERROR(INDEX('_courses_lookup'!$C:$C,MATCH(K268&amp;L268,'_courses_lookup'!$E:$E,0)),"")</f>
        <v/>
      </c>
      <c r="P268">
        <f>IFERROR(INDEX('_courses_lookup'!$D:$D,MATCH(K268&amp;L268,'_courses_lookup'!$E:$E,0)),"")</f>
        <v/>
      </c>
      <c r="AG268">
        <f>IF(AND(AE268&lt;&gt;"",AF268&lt;&gt;""),ROUNDUP((AF268-AE268)/7,0),"")</f>
        <v/>
      </c>
      <c r="AI268">
        <f>IFERROR(IF(AG268*AH268=0,"",AG268*AH268),"")</f>
        <v/>
      </c>
      <c r="AL268">
        <f>IF(AND(AJ268&lt;&gt;"",AK268&lt;&gt;""),ROUNDUP((AK268-AJ268)/7,0),"")</f>
        <v/>
      </c>
      <c r="AN268">
        <f>IFERROR(IF(AL268*AM268=0,"",AL268*AM268),"")</f>
        <v/>
      </c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L268">
        <f>IFERROR(INDEX('_names_lookup'!$C:$C,MATCH(BK268,'_names_lookup'!$A:$A,0)),"")</f>
        <v/>
      </c>
      <c r="BM268">
        <f>IFERROR(INDEX('_names_lookup'!$B:$B,MATCH(BK268,'_names_lookup'!$A:$A,0)),"")</f>
        <v/>
      </c>
      <c r="BS268">
        <f>IFERROR(IF(BR268*AA268=0,"",BR268*AA268),"")</f>
        <v/>
      </c>
    </row>
    <row r="269">
      <c r="O269">
        <f>IFERROR(INDEX('_courses_lookup'!$C:$C,MATCH(K269&amp;L269,'_courses_lookup'!$E:$E,0)),"")</f>
        <v/>
      </c>
      <c r="P269">
        <f>IFERROR(INDEX('_courses_lookup'!$D:$D,MATCH(K269&amp;L269,'_courses_lookup'!$E:$E,0)),"")</f>
        <v/>
      </c>
      <c r="AG269">
        <f>IF(AND(AE269&lt;&gt;"",AF269&lt;&gt;""),ROUNDUP((AF269-AE269)/7,0),"")</f>
        <v/>
      </c>
      <c r="AI269">
        <f>IFERROR(IF(AG269*AH269=0,"",AG269*AH269),"")</f>
        <v/>
      </c>
      <c r="AL269">
        <f>IF(AND(AJ269&lt;&gt;"",AK269&lt;&gt;""),ROUNDUP((AK269-AJ269)/7,0),"")</f>
        <v/>
      </c>
      <c r="AN269">
        <f>IFERROR(IF(AL269*AM269=0,"",AL269*AM269),"")</f>
        <v/>
      </c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L269">
        <f>IFERROR(INDEX('_names_lookup'!$C:$C,MATCH(BK269,'_names_lookup'!$A:$A,0)),"")</f>
        <v/>
      </c>
      <c r="BM269">
        <f>IFERROR(INDEX('_names_lookup'!$B:$B,MATCH(BK269,'_names_lookup'!$A:$A,0)),"")</f>
        <v/>
      </c>
      <c r="BS269">
        <f>IFERROR(IF(BR269*AA269=0,"",BR269*AA269),"")</f>
        <v/>
      </c>
    </row>
    <row r="270">
      <c r="O270">
        <f>IFERROR(INDEX('_courses_lookup'!$C:$C,MATCH(K270&amp;L270,'_courses_lookup'!$E:$E,0)),"")</f>
        <v/>
      </c>
      <c r="P270">
        <f>IFERROR(INDEX('_courses_lookup'!$D:$D,MATCH(K270&amp;L270,'_courses_lookup'!$E:$E,0)),"")</f>
        <v/>
      </c>
      <c r="AG270">
        <f>IF(AND(AE270&lt;&gt;"",AF270&lt;&gt;""),ROUNDUP((AF270-AE270)/7,0),"")</f>
        <v/>
      </c>
      <c r="AI270">
        <f>IFERROR(IF(AG270*AH270=0,"",AG270*AH270),"")</f>
        <v/>
      </c>
      <c r="AL270">
        <f>IF(AND(AJ270&lt;&gt;"",AK270&lt;&gt;""),ROUNDUP((AK270-AJ270)/7,0),"")</f>
        <v/>
      </c>
      <c r="AN270">
        <f>IFERROR(IF(AL270*AM270=0,"",AL270*AM270),"")</f>
        <v/>
      </c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L270">
        <f>IFERROR(INDEX('_names_lookup'!$C:$C,MATCH(BK270,'_names_lookup'!$A:$A,0)),"")</f>
        <v/>
      </c>
      <c r="BM270">
        <f>IFERROR(INDEX('_names_lookup'!$B:$B,MATCH(BK270,'_names_lookup'!$A:$A,0)),"")</f>
        <v/>
      </c>
      <c r="BS270">
        <f>IFERROR(IF(BR270*AA270=0,"",BR270*AA270),"")</f>
        <v/>
      </c>
    </row>
    <row r="271">
      <c r="O271">
        <f>IFERROR(INDEX('_courses_lookup'!$C:$C,MATCH(K271&amp;L271,'_courses_lookup'!$E:$E,0)),"")</f>
        <v/>
      </c>
      <c r="P271">
        <f>IFERROR(INDEX('_courses_lookup'!$D:$D,MATCH(K271&amp;L271,'_courses_lookup'!$E:$E,0)),"")</f>
        <v/>
      </c>
      <c r="AG271">
        <f>IF(AND(AE271&lt;&gt;"",AF271&lt;&gt;""),ROUNDUP((AF271-AE271)/7,0),"")</f>
        <v/>
      </c>
      <c r="AI271">
        <f>IFERROR(IF(AG271*AH271=0,"",AG271*AH271),"")</f>
        <v/>
      </c>
      <c r="AL271">
        <f>IF(AND(AJ271&lt;&gt;"",AK271&lt;&gt;""),ROUNDUP((AK271-AJ271)/7,0),"")</f>
        <v/>
      </c>
      <c r="AN271">
        <f>IFERROR(IF(AL271*AM271=0,"",AL271*AM271),"")</f>
        <v/>
      </c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L271">
        <f>IFERROR(INDEX('_names_lookup'!$C:$C,MATCH(BK271,'_names_lookup'!$A:$A,0)),"")</f>
        <v/>
      </c>
      <c r="BM271">
        <f>IFERROR(INDEX('_names_lookup'!$B:$B,MATCH(BK271,'_names_lookup'!$A:$A,0)),"")</f>
        <v/>
      </c>
      <c r="BS271">
        <f>IFERROR(IF(BR271*AA271=0,"",BR271*AA271),"")</f>
        <v/>
      </c>
    </row>
    <row r="272">
      <c r="O272">
        <f>IFERROR(INDEX('_courses_lookup'!$C:$C,MATCH(K272&amp;L272,'_courses_lookup'!$E:$E,0)),"")</f>
        <v/>
      </c>
      <c r="P272">
        <f>IFERROR(INDEX('_courses_lookup'!$D:$D,MATCH(K272&amp;L272,'_courses_lookup'!$E:$E,0)),"")</f>
        <v/>
      </c>
      <c r="AG272">
        <f>IF(AND(AE272&lt;&gt;"",AF272&lt;&gt;""),ROUNDUP((AF272-AE272)/7,0),"")</f>
        <v/>
      </c>
      <c r="AI272">
        <f>IFERROR(IF(AG272*AH272=0,"",AG272*AH272),"")</f>
        <v/>
      </c>
      <c r="AL272">
        <f>IF(AND(AJ272&lt;&gt;"",AK272&lt;&gt;""),ROUNDUP((AK272-AJ272)/7,0),"")</f>
        <v/>
      </c>
      <c r="AN272">
        <f>IFERROR(IF(AL272*AM272=0,"",AL272*AM272),"")</f>
        <v/>
      </c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L272">
        <f>IFERROR(INDEX('_names_lookup'!$C:$C,MATCH(BK272,'_names_lookup'!$A:$A,0)),"")</f>
        <v/>
      </c>
      <c r="BM272">
        <f>IFERROR(INDEX('_names_lookup'!$B:$B,MATCH(BK272,'_names_lookup'!$A:$A,0)),"")</f>
        <v/>
      </c>
      <c r="BS272">
        <f>IFERROR(IF(BR272*AA272=0,"",BR272*AA272),"")</f>
        <v/>
      </c>
    </row>
    <row r="273">
      <c r="O273">
        <f>IFERROR(INDEX('_courses_lookup'!$C:$C,MATCH(K273&amp;L273,'_courses_lookup'!$E:$E,0)),"")</f>
        <v/>
      </c>
      <c r="P273">
        <f>IFERROR(INDEX('_courses_lookup'!$D:$D,MATCH(K273&amp;L273,'_courses_lookup'!$E:$E,0)),"")</f>
        <v/>
      </c>
      <c r="AG273">
        <f>IF(AND(AE273&lt;&gt;"",AF273&lt;&gt;""),ROUNDUP((AF273-AE273)/7,0),"")</f>
        <v/>
      </c>
      <c r="AI273">
        <f>IFERROR(IF(AG273*AH273=0,"",AG273*AH273),"")</f>
        <v/>
      </c>
      <c r="AL273">
        <f>IF(AND(AJ273&lt;&gt;"",AK273&lt;&gt;""),ROUNDUP((AK273-AJ273)/7,0),"")</f>
        <v/>
      </c>
      <c r="AN273">
        <f>IFERROR(IF(AL273*AM273=0,"",AL273*AM273),"")</f>
        <v/>
      </c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L273">
        <f>IFERROR(INDEX('_names_lookup'!$C:$C,MATCH(BK273,'_names_lookup'!$A:$A,0)),"")</f>
        <v/>
      </c>
      <c r="BM273">
        <f>IFERROR(INDEX('_names_lookup'!$B:$B,MATCH(BK273,'_names_lookup'!$A:$A,0)),"")</f>
        <v/>
      </c>
      <c r="BS273">
        <f>IFERROR(IF(BR273*AA273=0,"",BR273*AA273),"")</f>
        <v/>
      </c>
    </row>
    <row r="274">
      <c r="O274">
        <f>IFERROR(INDEX('_courses_lookup'!$C:$C,MATCH(K274&amp;L274,'_courses_lookup'!$E:$E,0)),"")</f>
        <v/>
      </c>
      <c r="P274">
        <f>IFERROR(INDEX('_courses_lookup'!$D:$D,MATCH(K274&amp;L274,'_courses_lookup'!$E:$E,0)),"")</f>
        <v/>
      </c>
      <c r="AG274">
        <f>IF(AND(AE274&lt;&gt;"",AF274&lt;&gt;""),ROUNDUP((AF274-AE274)/7,0),"")</f>
        <v/>
      </c>
      <c r="AI274">
        <f>IFERROR(IF(AG274*AH274=0,"",AG274*AH274),"")</f>
        <v/>
      </c>
      <c r="AL274">
        <f>IF(AND(AJ274&lt;&gt;"",AK274&lt;&gt;""),ROUNDUP((AK274-AJ274)/7,0),"")</f>
        <v/>
      </c>
      <c r="AN274">
        <f>IFERROR(IF(AL274*AM274=0,"",AL274*AM274),"")</f>
        <v/>
      </c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L274">
        <f>IFERROR(INDEX('_names_lookup'!$C:$C,MATCH(BK274,'_names_lookup'!$A:$A,0)),"")</f>
        <v/>
      </c>
      <c r="BM274">
        <f>IFERROR(INDEX('_names_lookup'!$B:$B,MATCH(BK274,'_names_lookup'!$A:$A,0)),"")</f>
        <v/>
      </c>
      <c r="BS274">
        <f>IFERROR(IF(BR274*AA274=0,"",BR274*AA274),"")</f>
        <v/>
      </c>
    </row>
    <row r="275">
      <c r="O275">
        <f>IFERROR(INDEX('_courses_lookup'!$C:$C,MATCH(K275&amp;L275,'_courses_lookup'!$E:$E,0)),"")</f>
        <v/>
      </c>
      <c r="P275">
        <f>IFERROR(INDEX('_courses_lookup'!$D:$D,MATCH(K275&amp;L275,'_courses_lookup'!$E:$E,0)),"")</f>
        <v/>
      </c>
      <c r="AG275">
        <f>IF(AND(AE275&lt;&gt;"",AF275&lt;&gt;""),ROUNDUP((AF275-AE275)/7,0),"")</f>
        <v/>
      </c>
      <c r="AI275">
        <f>IFERROR(IF(AG275*AH275=0,"",AG275*AH275),"")</f>
        <v/>
      </c>
      <c r="AL275">
        <f>IF(AND(AJ275&lt;&gt;"",AK275&lt;&gt;""),ROUNDUP((AK275-AJ275)/7,0),"")</f>
        <v/>
      </c>
      <c r="AN275">
        <f>IFERROR(IF(AL275*AM275=0,"",AL275*AM275),"")</f>
        <v/>
      </c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L275">
        <f>IFERROR(INDEX('_names_lookup'!$C:$C,MATCH(BK275,'_names_lookup'!$A:$A,0)),"")</f>
        <v/>
      </c>
      <c r="BM275">
        <f>IFERROR(INDEX('_names_lookup'!$B:$B,MATCH(BK275,'_names_lookup'!$A:$A,0)),"")</f>
        <v/>
      </c>
      <c r="BS275">
        <f>IFERROR(IF(BR275*AA275=0,"",BR275*AA275),"")</f>
        <v/>
      </c>
    </row>
    <row r="276">
      <c r="O276">
        <f>IFERROR(INDEX('_courses_lookup'!$C:$C,MATCH(K276&amp;L276,'_courses_lookup'!$E:$E,0)),"")</f>
        <v/>
      </c>
      <c r="P276">
        <f>IFERROR(INDEX('_courses_lookup'!$D:$D,MATCH(K276&amp;L276,'_courses_lookup'!$E:$E,0)),"")</f>
        <v/>
      </c>
      <c r="AG276">
        <f>IF(AND(AE276&lt;&gt;"",AF276&lt;&gt;""),ROUNDUP((AF276-AE276)/7,0),"")</f>
        <v/>
      </c>
      <c r="AI276">
        <f>IFERROR(IF(AG276*AH276=0,"",AG276*AH276),"")</f>
        <v/>
      </c>
      <c r="AL276">
        <f>IF(AND(AJ276&lt;&gt;"",AK276&lt;&gt;""),ROUNDUP((AK276-AJ276)/7,0),"")</f>
        <v/>
      </c>
      <c r="AN276">
        <f>IFERROR(IF(AL276*AM276=0,"",AL276*AM276),"")</f>
        <v/>
      </c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L276">
        <f>IFERROR(INDEX('_names_lookup'!$C:$C,MATCH(BK276,'_names_lookup'!$A:$A,0)),"")</f>
        <v/>
      </c>
      <c r="BM276">
        <f>IFERROR(INDEX('_names_lookup'!$B:$B,MATCH(BK276,'_names_lookup'!$A:$A,0)),"")</f>
        <v/>
      </c>
      <c r="BS276">
        <f>IFERROR(IF(BR276*AA276=0,"",BR276*AA276),"")</f>
        <v/>
      </c>
    </row>
    <row r="277">
      <c r="O277">
        <f>IFERROR(INDEX('_courses_lookup'!$C:$C,MATCH(K277&amp;L277,'_courses_lookup'!$E:$E,0)),"")</f>
        <v/>
      </c>
      <c r="P277">
        <f>IFERROR(INDEX('_courses_lookup'!$D:$D,MATCH(K277&amp;L277,'_courses_lookup'!$E:$E,0)),"")</f>
        <v/>
      </c>
      <c r="AG277">
        <f>IF(AND(AE277&lt;&gt;"",AF277&lt;&gt;""),ROUNDUP((AF277-AE277)/7,0),"")</f>
        <v/>
      </c>
      <c r="AI277">
        <f>IFERROR(IF(AG277*AH277=0,"",AG277*AH277),"")</f>
        <v/>
      </c>
      <c r="AL277">
        <f>IF(AND(AJ277&lt;&gt;"",AK277&lt;&gt;""),ROUNDUP((AK277-AJ277)/7,0),"")</f>
        <v/>
      </c>
      <c r="AN277">
        <f>IFERROR(IF(AL277*AM277=0,"",AL277*AM277),"")</f>
        <v/>
      </c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L277">
        <f>IFERROR(INDEX('_names_lookup'!$C:$C,MATCH(BK277,'_names_lookup'!$A:$A,0)),"")</f>
        <v/>
      </c>
      <c r="BM277">
        <f>IFERROR(INDEX('_names_lookup'!$B:$B,MATCH(BK277,'_names_lookup'!$A:$A,0)),"")</f>
        <v/>
      </c>
      <c r="BS277">
        <f>IFERROR(IF(BR277*AA277=0,"",BR277*AA277),"")</f>
        <v/>
      </c>
    </row>
    <row r="278">
      <c r="O278">
        <f>IFERROR(INDEX('_courses_lookup'!$C:$C,MATCH(K278&amp;L278,'_courses_lookup'!$E:$E,0)),"")</f>
        <v/>
      </c>
      <c r="P278">
        <f>IFERROR(INDEX('_courses_lookup'!$D:$D,MATCH(K278&amp;L278,'_courses_lookup'!$E:$E,0)),"")</f>
        <v/>
      </c>
      <c r="AG278">
        <f>IF(AND(AE278&lt;&gt;"",AF278&lt;&gt;""),ROUNDUP((AF278-AE278)/7,0),"")</f>
        <v/>
      </c>
      <c r="AI278">
        <f>IFERROR(IF(AG278*AH278=0,"",AG278*AH278),"")</f>
        <v/>
      </c>
      <c r="AL278">
        <f>IF(AND(AJ278&lt;&gt;"",AK278&lt;&gt;""),ROUNDUP((AK278-AJ278)/7,0),"")</f>
        <v/>
      </c>
      <c r="AN278">
        <f>IFERROR(IF(AL278*AM278=0,"",AL278*AM278),"")</f>
        <v/>
      </c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L278">
        <f>IFERROR(INDEX('_names_lookup'!$C:$C,MATCH(BK278,'_names_lookup'!$A:$A,0)),"")</f>
        <v/>
      </c>
      <c r="BM278">
        <f>IFERROR(INDEX('_names_lookup'!$B:$B,MATCH(BK278,'_names_lookup'!$A:$A,0)),"")</f>
        <v/>
      </c>
      <c r="BS278">
        <f>IFERROR(IF(BR278*AA278=0,"",BR278*AA278),"")</f>
        <v/>
      </c>
    </row>
    <row r="279">
      <c r="O279">
        <f>IFERROR(INDEX('_courses_lookup'!$C:$C,MATCH(K279&amp;L279,'_courses_lookup'!$E:$E,0)),"")</f>
        <v/>
      </c>
      <c r="P279">
        <f>IFERROR(INDEX('_courses_lookup'!$D:$D,MATCH(K279&amp;L279,'_courses_lookup'!$E:$E,0)),"")</f>
        <v/>
      </c>
      <c r="AG279">
        <f>IF(AND(AE279&lt;&gt;"",AF279&lt;&gt;""),ROUNDUP((AF279-AE279)/7,0),"")</f>
        <v/>
      </c>
      <c r="AI279">
        <f>IFERROR(IF(AG279*AH279=0,"",AG279*AH279),"")</f>
        <v/>
      </c>
      <c r="AL279">
        <f>IF(AND(AJ279&lt;&gt;"",AK279&lt;&gt;""),ROUNDUP((AK279-AJ279)/7,0),"")</f>
        <v/>
      </c>
      <c r="AN279">
        <f>IFERROR(IF(AL279*AM279=0,"",AL279*AM279),"")</f>
        <v/>
      </c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L279">
        <f>IFERROR(INDEX('_names_lookup'!$C:$C,MATCH(BK279,'_names_lookup'!$A:$A,0)),"")</f>
        <v/>
      </c>
      <c r="BM279">
        <f>IFERROR(INDEX('_names_lookup'!$B:$B,MATCH(BK279,'_names_lookup'!$A:$A,0)),"")</f>
        <v/>
      </c>
      <c r="BS279">
        <f>IFERROR(IF(BR279*AA279=0,"",BR279*AA279),"")</f>
        <v/>
      </c>
    </row>
    <row r="280">
      <c r="O280">
        <f>IFERROR(INDEX('_courses_lookup'!$C:$C,MATCH(K280&amp;L280,'_courses_lookup'!$E:$E,0)),"")</f>
        <v/>
      </c>
      <c r="P280">
        <f>IFERROR(INDEX('_courses_lookup'!$D:$D,MATCH(K280&amp;L280,'_courses_lookup'!$E:$E,0)),"")</f>
        <v/>
      </c>
      <c r="AG280">
        <f>IF(AND(AE280&lt;&gt;"",AF280&lt;&gt;""),ROUNDUP((AF280-AE280)/7,0),"")</f>
        <v/>
      </c>
      <c r="AI280">
        <f>IFERROR(IF(AG280*AH280=0,"",AG280*AH280),"")</f>
        <v/>
      </c>
      <c r="AL280">
        <f>IF(AND(AJ280&lt;&gt;"",AK280&lt;&gt;""),ROUNDUP((AK280-AJ280)/7,0),"")</f>
        <v/>
      </c>
      <c r="AN280">
        <f>IFERROR(IF(AL280*AM280=0,"",AL280*AM280),"")</f>
        <v/>
      </c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L280">
        <f>IFERROR(INDEX('_names_lookup'!$C:$C,MATCH(BK280,'_names_lookup'!$A:$A,0)),"")</f>
        <v/>
      </c>
      <c r="BM280">
        <f>IFERROR(INDEX('_names_lookup'!$B:$B,MATCH(BK280,'_names_lookup'!$A:$A,0)),"")</f>
        <v/>
      </c>
      <c r="BS280">
        <f>IFERROR(IF(BR280*AA280=0,"",BR280*AA280),"")</f>
        <v/>
      </c>
    </row>
    <row r="281">
      <c r="O281">
        <f>IFERROR(INDEX('_courses_lookup'!$C:$C,MATCH(K281&amp;L281,'_courses_lookup'!$E:$E,0)),"")</f>
        <v/>
      </c>
      <c r="P281">
        <f>IFERROR(INDEX('_courses_lookup'!$D:$D,MATCH(K281&amp;L281,'_courses_lookup'!$E:$E,0)),"")</f>
        <v/>
      </c>
      <c r="AG281">
        <f>IF(AND(AE281&lt;&gt;"",AF281&lt;&gt;""),ROUNDUP((AF281-AE281)/7,0),"")</f>
        <v/>
      </c>
      <c r="AI281">
        <f>IFERROR(IF(AG281*AH281=0,"",AG281*AH281),"")</f>
        <v/>
      </c>
      <c r="AL281">
        <f>IF(AND(AJ281&lt;&gt;"",AK281&lt;&gt;""),ROUNDUP((AK281-AJ281)/7,0),"")</f>
        <v/>
      </c>
      <c r="AN281">
        <f>IFERROR(IF(AL281*AM281=0,"",AL281*AM281),"")</f>
        <v/>
      </c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L281">
        <f>IFERROR(INDEX('_names_lookup'!$C:$C,MATCH(BK281,'_names_lookup'!$A:$A,0)),"")</f>
        <v/>
      </c>
      <c r="BM281">
        <f>IFERROR(INDEX('_names_lookup'!$B:$B,MATCH(BK281,'_names_lookup'!$A:$A,0)),"")</f>
        <v/>
      </c>
      <c r="BS281">
        <f>IFERROR(IF(BR281*AA281=0,"",BR281*AA281),"")</f>
        <v/>
      </c>
    </row>
    <row r="282">
      <c r="O282">
        <f>IFERROR(INDEX('_courses_lookup'!$C:$C,MATCH(K282&amp;L282,'_courses_lookup'!$E:$E,0)),"")</f>
        <v/>
      </c>
      <c r="P282">
        <f>IFERROR(INDEX('_courses_lookup'!$D:$D,MATCH(K282&amp;L282,'_courses_lookup'!$E:$E,0)),"")</f>
        <v/>
      </c>
      <c r="AG282">
        <f>IF(AND(AE282&lt;&gt;"",AF282&lt;&gt;""),ROUNDUP((AF282-AE282)/7,0),"")</f>
        <v/>
      </c>
      <c r="AI282">
        <f>IFERROR(IF(AG282*AH282=0,"",AG282*AH282),"")</f>
        <v/>
      </c>
      <c r="AL282">
        <f>IF(AND(AJ282&lt;&gt;"",AK282&lt;&gt;""),ROUNDUP((AK282-AJ282)/7,0),"")</f>
        <v/>
      </c>
      <c r="AN282">
        <f>IFERROR(IF(AL282*AM282=0,"",AL282*AM282),"")</f>
        <v/>
      </c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L282">
        <f>IFERROR(INDEX('_names_lookup'!$C:$C,MATCH(BK282,'_names_lookup'!$A:$A,0)),"")</f>
        <v/>
      </c>
      <c r="BM282">
        <f>IFERROR(INDEX('_names_lookup'!$B:$B,MATCH(BK282,'_names_lookup'!$A:$A,0)),"")</f>
        <v/>
      </c>
      <c r="BS282">
        <f>IFERROR(IF(BR282*AA282=0,"",BR282*AA282),"")</f>
        <v/>
      </c>
    </row>
    <row r="283">
      <c r="O283">
        <f>IFERROR(INDEX('_courses_lookup'!$C:$C,MATCH(K283&amp;L283,'_courses_lookup'!$E:$E,0)),"")</f>
        <v/>
      </c>
      <c r="P283">
        <f>IFERROR(INDEX('_courses_lookup'!$D:$D,MATCH(K283&amp;L283,'_courses_lookup'!$E:$E,0)),"")</f>
        <v/>
      </c>
      <c r="AG283">
        <f>IF(AND(AE283&lt;&gt;"",AF283&lt;&gt;""),ROUNDUP((AF283-AE283)/7,0),"")</f>
        <v/>
      </c>
      <c r="AI283">
        <f>IFERROR(IF(AG283*AH283=0,"",AG283*AH283),"")</f>
        <v/>
      </c>
      <c r="AL283">
        <f>IF(AND(AJ283&lt;&gt;"",AK283&lt;&gt;""),ROUNDUP((AK283-AJ283)/7,0),"")</f>
        <v/>
      </c>
      <c r="AN283">
        <f>IFERROR(IF(AL283*AM283=0,"",AL283*AM283),"")</f>
        <v/>
      </c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L283">
        <f>IFERROR(INDEX('_names_lookup'!$C:$C,MATCH(BK283,'_names_lookup'!$A:$A,0)),"")</f>
        <v/>
      </c>
      <c r="BM283">
        <f>IFERROR(INDEX('_names_lookup'!$B:$B,MATCH(BK283,'_names_lookup'!$A:$A,0)),"")</f>
        <v/>
      </c>
      <c r="BS283">
        <f>IFERROR(IF(BR283*AA283=0,"",BR283*AA283),"")</f>
        <v/>
      </c>
    </row>
    <row r="284">
      <c r="O284">
        <f>IFERROR(INDEX('_courses_lookup'!$C:$C,MATCH(K284&amp;L284,'_courses_lookup'!$E:$E,0)),"")</f>
        <v/>
      </c>
      <c r="P284">
        <f>IFERROR(INDEX('_courses_lookup'!$D:$D,MATCH(K284&amp;L284,'_courses_lookup'!$E:$E,0)),"")</f>
        <v/>
      </c>
      <c r="AG284">
        <f>IF(AND(AE284&lt;&gt;"",AF284&lt;&gt;""),ROUNDUP((AF284-AE284)/7,0),"")</f>
        <v/>
      </c>
      <c r="AI284">
        <f>IFERROR(IF(AG284*AH284=0,"",AG284*AH284),"")</f>
        <v/>
      </c>
      <c r="AL284">
        <f>IF(AND(AJ284&lt;&gt;"",AK284&lt;&gt;""),ROUNDUP((AK284-AJ284)/7,0),"")</f>
        <v/>
      </c>
      <c r="AN284">
        <f>IFERROR(IF(AL284*AM284=0,"",AL284*AM284),"")</f>
        <v/>
      </c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L284">
        <f>IFERROR(INDEX('_names_lookup'!$C:$C,MATCH(BK284,'_names_lookup'!$A:$A,0)),"")</f>
        <v/>
      </c>
      <c r="BM284">
        <f>IFERROR(INDEX('_names_lookup'!$B:$B,MATCH(BK284,'_names_lookup'!$A:$A,0)),"")</f>
        <v/>
      </c>
      <c r="BS284">
        <f>IFERROR(IF(BR284*AA284=0,"",BR284*AA284),"")</f>
        <v/>
      </c>
    </row>
    <row r="285">
      <c r="O285">
        <f>IFERROR(INDEX('_courses_lookup'!$C:$C,MATCH(K285&amp;L285,'_courses_lookup'!$E:$E,0)),"")</f>
        <v/>
      </c>
      <c r="P285">
        <f>IFERROR(INDEX('_courses_lookup'!$D:$D,MATCH(K285&amp;L285,'_courses_lookup'!$E:$E,0)),"")</f>
        <v/>
      </c>
      <c r="AG285">
        <f>IF(AND(AE285&lt;&gt;"",AF285&lt;&gt;""),ROUNDUP((AF285-AE285)/7,0),"")</f>
        <v/>
      </c>
      <c r="AI285">
        <f>IFERROR(IF(AG285*AH285=0,"",AG285*AH285),"")</f>
        <v/>
      </c>
      <c r="AL285">
        <f>IF(AND(AJ285&lt;&gt;"",AK285&lt;&gt;""),ROUNDUP((AK285-AJ285)/7,0),"")</f>
        <v/>
      </c>
      <c r="AN285">
        <f>IFERROR(IF(AL285*AM285=0,"",AL285*AM285),"")</f>
        <v/>
      </c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L285">
        <f>IFERROR(INDEX('_names_lookup'!$C:$C,MATCH(BK285,'_names_lookup'!$A:$A,0)),"")</f>
        <v/>
      </c>
      <c r="BM285">
        <f>IFERROR(INDEX('_names_lookup'!$B:$B,MATCH(BK285,'_names_lookup'!$A:$A,0)),"")</f>
        <v/>
      </c>
      <c r="BS285">
        <f>IFERROR(IF(BR285*AA285=0,"",BR285*AA285),"")</f>
        <v/>
      </c>
    </row>
    <row r="286">
      <c r="O286">
        <f>IFERROR(INDEX('_courses_lookup'!$C:$C,MATCH(K286&amp;L286,'_courses_lookup'!$E:$E,0)),"")</f>
        <v/>
      </c>
      <c r="P286">
        <f>IFERROR(INDEX('_courses_lookup'!$D:$D,MATCH(K286&amp;L286,'_courses_lookup'!$E:$E,0)),"")</f>
        <v/>
      </c>
      <c r="AG286">
        <f>IF(AND(AE286&lt;&gt;"",AF286&lt;&gt;""),ROUNDUP((AF286-AE286)/7,0),"")</f>
        <v/>
      </c>
      <c r="AI286">
        <f>IFERROR(IF(AG286*AH286=0,"",AG286*AH286),"")</f>
        <v/>
      </c>
      <c r="AL286">
        <f>IF(AND(AJ286&lt;&gt;"",AK286&lt;&gt;""),ROUNDUP((AK286-AJ286)/7,0),"")</f>
        <v/>
      </c>
      <c r="AN286">
        <f>IFERROR(IF(AL286*AM286=0,"",AL286*AM286),"")</f>
        <v/>
      </c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L286">
        <f>IFERROR(INDEX('_names_lookup'!$C:$C,MATCH(BK286,'_names_lookup'!$A:$A,0)),"")</f>
        <v/>
      </c>
      <c r="BM286">
        <f>IFERROR(INDEX('_names_lookup'!$B:$B,MATCH(BK286,'_names_lookup'!$A:$A,0)),"")</f>
        <v/>
      </c>
      <c r="BS286">
        <f>IFERROR(IF(BR286*AA286=0,"",BR286*AA286),"")</f>
        <v/>
      </c>
    </row>
    <row r="287">
      <c r="O287">
        <f>IFERROR(INDEX('_courses_lookup'!$C:$C,MATCH(K287&amp;L287,'_courses_lookup'!$E:$E,0)),"")</f>
        <v/>
      </c>
      <c r="P287">
        <f>IFERROR(INDEX('_courses_lookup'!$D:$D,MATCH(K287&amp;L287,'_courses_lookup'!$E:$E,0)),"")</f>
        <v/>
      </c>
      <c r="AG287">
        <f>IF(AND(AE287&lt;&gt;"",AF287&lt;&gt;""),ROUNDUP((AF287-AE287)/7,0),"")</f>
        <v/>
      </c>
      <c r="AI287">
        <f>IFERROR(IF(AG287*AH287=0,"",AG287*AH287),"")</f>
        <v/>
      </c>
      <c r="AL287">
        <f>IF(AND(AJ287&lt;&gt;"",AK287&lt;&gt;""),ROUNDUP((AK287-AJ287)/7,0),"")</f>
        <v/>
      </c>
      <c r="AN287">
        <f>IFERROR(IF(AL287*AM287=0,"",AL287*AM287),"")</f>
        <v/>
      </c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L287">
        <f>IFERROR(INDEX('_names_lookup'!$C:$C,MATCH(BK287,'_names_lookup'!$A:$A,0)),"")</f>
        <v/>
      </c>
      <c r="BM287">
        <f>IFERROR(INDEX('_names_lookup'!$B:$B,MATCH(BK287,'_names_lookup'!$A:$A,0)),"")</f>
        <v/>
      </c>
      <c r="BS287">
        <f>IFERROR(IF(BR287*AA287=0,"",BR287*AA287),"")</f>
        <v/>
      </c>
    </row>
    <row r="288">
      <c r="O288">
        <f>IFERROR(INDEX('_courses_lookup'!$C:$C,MATCH(K288&amp;L288,'_courses_lookup'!$E:$E,0)),"")</f>
        <v/>
      </c>
      <c r="P288">
        <f>IFERROR(INDEX('_courses_lookup'!$D:$D,MATCH(K288&amp;L288,'_courses_lookup'!$E:$E,0)),"")</f>
        <v/>
      </c>
      <c r="AG288">
        <f>IF(AND(AE288&lt;&gt;"",AF288&lt;&gt;""),ROUNDUP((AF288-AE288)/7,0),"")</f>
        <v/>
      </c>
      <c r="AI288">
        <f>IFERROR(IF(AG288*AH288=0,"",AG288*AH288),"")</f>
        <v/>
      </c>
      <c r="AL288">
        <f>IF(AND(AJ288&lt;&gt;"",AK288&lt;&gt;""),ROUNDUP((AK288-AJ288)/7,0),"")</f>
        <v/>
      </c>
      <c r="AN288">
        <f>IFERROR(IF(AL288*AM288=0,"",AL288*AM288),"")</f>
        <v/>
      </c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L288">
        <f>IFERROR(INDEX('_names_lookup'!$C:$C,MATCH(BK288,'_names_lookup'!$A:$A,0)),"")</f>
        <v/>
      </c>
      <c r="BM288">
        <f>IFERROR(INDEX('_names_lookup'!$B:$B,MATCH(BK288,'_names_lookup'!$A:$A,0)),"")</f>
        <v/>
      </c>
      <c r="BS288">
        <f>IFERROR(IF(BR288*AA288=0,"",BR288*AA288),"")</f>
        <v/>
      </c>
    </row>
    <row r="289">
      <c r="O289">
        <f>IFERROR(INDEX('_courses_lookup'!$C:$C,MATCH(K289&amp;L289,'_courses_lookup'!$E:$E,0)),"")</f>
        <v/>
      </c>
      <c r="P289">
        <f>IFERROR(INDEX('_courses_lookup'!$D:$D,MATCH(K289&amp;L289,'_courses_lookup'!$E:$E,0)),"")</f>
        <v/>
      </c>
      <c r="AG289">
        <f>IF(AND(AE289&lt;&gt;"",AF289&lt;&gt;""),ROUNDUP((AF289-AE289)/7,0),"")</f>
        <v/>
      </c>
      <c r="AI289">
        <f>IFERROR(IF(AG289*AH289=0,"",AG289*AH289),"")</f>
        <v/>
      </c>
      <c r="AL289">
        <f>IF(AND(AJ289&lt;&gt;"",AK289&lt;&gt;""),ROUNDUP((AK289-AJ289)/7,0),"")</f>
        <v/>
      </c>
      <c r="AN289">
        <f>IFERROR(IF(AL289*AM289=0,"",AL289*AM289),"")</f>
        <v/>
      </c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L289">
        <f>IFERROR(INDEX('_names_lookup'!$C:$C,MATCH(BK289,'_names_lookup'!$A:$A,0)),"")</f>
        <v/>
      </c>
      <c r="BM289">
        <f>IFERROR(INDEX('_names_lookup'!$B:$B,MATCH(BK289,'_names_lookup'!$A:$A,0)),"")</f>
        <v/>
      </c>
      <c r="BS289">
        <f>IFERROR(IF(BR289*AA289=0,"",BR289*AA289),"")</f>
        <v/>
      </c>
    </row>
    <row r="290">
      <c r="O290">
        <f>IFERROR(INDEX('_courses_lookup'!$C:$C,MATCH(K290&amp;L290,'_courses_lookup'!$E:$E,0)),"")</f>
        <v/>
      </c>
      <c r="P290">
        <f>IFERROR(INDEX('_courses_lookup'!$D:$D,MATCH(K290&amp;L290,'_courses_lookup'!$E:$E,0)),"")</f>
        <v/>
      </c>
      <c r="AG290">
        <f>IF(AND(AE290&lt;&gt;"",AF290&lt;&gt;""),ROUNDUP((AF290-AE290)/7,0),"")</f>
        <v/>
      </c>
      <c r="AI290">
        <f>IFERROR(IF(AG290*AH290=0,"",AG290*AH290),"")</f>
        <v/>
      </c>
      <c r="AL290">
        <f>IF(AND(AJ290&lt;&gt;"",AK290&lt;&gt;""),ROUNDUP((AK290-AJ290)/7,0),"")</f>
        <v/>
      </c>
      <c r="AN290">
        <f>IFERROR(IF(AL290*AM290=0,"",AL290*AM290),"")</f>
        <v/>
      </c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L290">
        <f>IFERROR(INDEX('_names_lookup'!$C:$C,MATCH(BK290,'_names_lookup'!$A:$A,0)),"")</f>
        <v/>
      </c>
      <c r="BM290">
        <f>IFERROR(INDEX('_names_lookup'!$B:$B,MATCH(BK290,'_names_lookup'!$A:$A,0)),"")</f>
        <v/>
      </c>
      <c r="BS290">
        <f>IFERROR(IF(BR290*AA290=0,"",BR290*AA290),"")</f>
        <v/>
      </c>
    </row>
    <row r="291">
      <c r="O291">
        <f>IFERROR(INDEX('_courses_lookup'!$C:$C,MATCH(K291&amp;L291,'_courses_lookup'!$E:$E,0)),"")</f>
        <v/>
      </c>
      <c r="P291">
        <f>IFERROR(INDEX('_courses_lookup'!$D:$D,MATCH(K291&amp;L291,'_courses_lookup'!$E:$E,0)),"")</f>
        <v/>
      </c>
      <c r="AG291">
        <f>IF(AND(AE291&lt;&gt;"",AF291&lt;&gt;""),ROUNDUP((AF291-AE291)/7,0),"")</f>
        <v/>
      </c>
      <c r="AI291">
        <f>IFERROR(IF(AG291*AH291=0,"",AG291*AH291),"")</f>
        <v/>
      </c>
      <c r="AL291">
        <f>IF(AND(AJ291&lt;&gt;"",AK291&lt;&gt;""),ROUNDUP((AK291-AJ291)/7,0),"")</f>
        <v/>
      </c>
      <c r="AN291">
        <f>IFERROR(IF(AL291*AM291=0,"",AL291*AM291),"")</f>
        <v/>
      </c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L291">
        <f>IFERROR(INDEX('_names_lookup'!$C:$C,MATCH(BK291,'_names_lookup'!$A:$A,0)),"")</f>
        <v/>
      </c>
      <c r="BM291">
        <f>IFERROR(INDEX('_names_lookup'!$B:$B,MATCH(BK291,'_names_lookup'!$A:$A,0)),"")</f>
        <v/>
      </c>
      <c r="BS291">
        <f>IFERROR(IF(BR291*AA291=0,"",BR291*AA291),"")</f>
        <v/>
      </c>
    </row>
    <row r="292">
      <c r="O292">
        <f>IFERROR(INDEX('_courses_lookup'!$C:$C,MATCH(K292&amp;L292,'_courses_lookup'!$E:$E,0)),"")</f>
        <v/>
      </c>
      <c r="P292">
        <f>IFERROR(INDEX('_courses_lookup'!$D:$D,MATCH(K292&amp;L292,'_courses_lookup'!$E:$E,0)),"")</f>
        <v/>
      </c>
      <c r="AG292">
        <f>IF(AND(AE292&lt;&gt;"",AF292&lt;&gt;""),ROUNDUP((AF292-AE292)/7,0),"")</f>
        <v/>
      </c>
      <c r="AI292">
        <f>IFERROR(IF(AG292*AH292=0,"",AG292*AH292),"")</f>
        <v/>
      </c>
      <c r="AL292">
        <f>IF(AND(AJ292&lt;&gt;"",AK292&lt;&gt;""),ROUNDUP((AK292-AJ292)/7,0),"")</f>
        <v/>
      </c>
      <c r="AN292">
        <f>IFERROR(IF(AL292*AM292=0,"",AL292*AM292),"")</f>
        <v/>
      </c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L292">
        <f>IFERROR(INDEX('_names_lookup'!$C:$C,MATCH(BK292,'_names_lookup'!$A:$A,0)),"")</f>
        <v/>
      </c>
      <c r="BM292">
        <f>IFERROR(INDEX('_names_lookup'!$B:$B,MATCH(BK292,'_names_lookup'!$A:$A,0)),"")</f>
        <v/>
      </c>
      <c r="BS292">
        <f>IFERROR(IF(BR292*AA292=0,"",BR292*AA292),"")</f>
        <v/>
      </c>
    </row>
    <row r="293">
      <c r="O293">
        <f>IFERROR(INDEX('_courses_lookup'!$C:$C,MATCH(K293&amp;L293,'_courses_lookup'!$E:$E,0)),"")</f>
        <v/>
      </c>
      <c r="P293">
        <f>IFERROR(INDEX('_courses_lookup'!$D:$D,MATCH(K293&amp;L293,'_courses_lookup'!$E:$E,0)),"")</f>
        <v/>
      </c>
      <c r="AG293">
        <f>IF(AND(AE293&lt;&gt;"",AF293&lt;&gt;""),ROUNDUP((AF293-AE293)/7,0),"")</f>
        <v/>
      </c>
      <c r="AI293">
        <f>IFERROR(IF(AG293*AH293=0,"",AG293*AH293),"")</f>
        <v/>
      </c>
      <c r="AL293">
        <f>IF(AND(AJ293&lt;&gt;"",AK293&lt;&gt;""),ROUNDUP((AK293-AJ293)/7,0),"")</f>
        <v/>
      </c>
      <c r="AN293">
        <f>IFERROR(IF(AL293*AM293=0,"",AL293*AM293),"")</f>
        <v/>
      </c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L293">
        <f>IFERROR(INDEX('_names_lookup'!$C:$C,MATCH(BK293,'_names_lookup'!$A:$A,0)),"")</f>
        <v/>
      </c>
      <c r="BM293">
        <f>IFERROR(INDEX('_names_lookup'!$B:$B,MATCH(BK293,'_names_lookup'!$A:$A,0)),"")</f>
        <v/>
      </c>
      <c r="BS293">
        <f>IFERROR(IF(BR293*AA293=0,"",BR293*AA293),"")</f>
        <v/>
      </c>
    </row>
    <row r="294">
      <c r="O294">
        <f>IFERROR(INDEX('_courses_lookup'!$C:$C,MATCH(K294&amp;L294,'_courses_lookup'!$E:$E,0)),"")</f>
        <v/>
      </c>
      <c r="P294">
        <f>IFERROR(INDEX('_courses_lookup'!$D:$D,MATCH(K294&amp;L294,'_courses_lookup'!$E:$E,0)),"")</f>
        <v/>
      </c>
      <c r="AG294">
        <f>IF(AND(AE294&lt;&gt;"",AF294&lt;&gt;""),ROUNDUP((AF294-AE294)/7,0),"")</f>
        <v/>
      </c>
      <c r="AI294">
        <f>IFERROR(IF(AG294*AH294=0,"",AG294*AH294),"")</f>
        <v/>
      </c>
      <c r="AL294">
        <f>IF(AND(AJ294&lt;&gt;"",AK294&lt;&gt;""),ROUNDUP((AK294-AJ294)/7,0),"")</f>
        <v/>
      </c>
      <c r="AN294">
        <f>IFERROR(IF(AL294*AM294=0,"",AL294*AM294),"")</f>
        <v/>
      </c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L294">
        <f>IFERROR(INDEX('_names_lookup'!$C:$C,MATCH(BK294,'_names_lookup'!$A:$A,0)),"")</f>
        <v/>
      </c>
      <c r="BM294">
        <f>IFERROR(INDEX('_names_lookup'!$B:$B,MATCH(BK294,'_names_lookup'!$A:$A,0)),"")</f>
        <v/>
      </c>
      <c r="BS294">
        <f>IFERROR(IF(BR294*AA294=0,"",BR294*AA294),"")</f>
        <v/>
      </c>
    </row>
    <row r="295">
      <c r="O295">
        <f>IFERROR(INDEX('_courses_lookup'!$C:$C,MATCH(K295&amp;L295,'_courses_lookup'!$E:$E,0)),"")</f>
        <v/>
      </c>
      <c r="P295">
        <f>IFERROR(INDEX('_courses_lookup'!$D:$D,MATCH(K295&amp;L295,'_courses_lookup'!$E:$E,0)),"")</f>
        <v/>
      </c>
      <c r="AG295">
        <f>IF(AND(AE295&lt;&gt;"",AF295&lt;&gt;""),ROUNDUP((AF295-AE295)/7,0),"")</f>
        <v/>
      </c>
      <c r="AI295">
        <f>IFERROR(IF(AG295*AH295=0,"",AG295*AH295),"")</f>
        <v/>
      </c>
      <c r="AL295">
        <f>IF(AND(AJ295&lt;&gt;"",AK295&lt;&gt;""),ROUNDUP((AK295-AJ295)/7,0),"")</f>
        <v/>
      </c>
      <c r="AN295">
        <f>IFERROR(IF(AL295*AM295=0,"",AL295*AM295),"")</f>
        <v/>
      </c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L295">
        <f>IFERROR(INDEX('_names_lookup'!$C:$C,MATCH(BK295,'_names_lookup'!$A:$A,0)),"")</f>
        <v/>
      </c>
      <c r="BM295">
        <f>IFERROR(INDEX('_names_lookup'!$B:$B,MATCH(BK295,'_names_lookup'!$A:$A,0)),"")</f>
        <v/>
      </c>
      <c r="BS295">
        <f>IFERROR(IF(BR295*AA295=0,"",BR295*AA295),"")</f>
        <v/>
      </c>
    </row>
    <row r="296">
      <c r="O296">
        <f>IFERROR(INDEX('_courses_lookup'!$C:$C,MATCH(K296&amp;L296,'_courses_lookup'!$E:$E,0)),"")</f>
        <v/>
      </c>
      <c r="P296">
        <f>IFERROR(INDEX('_courses_lookup'!$D:$D,MATCH(K296&amp;L296,'_courses_lookup'!$E:$E,0)),"")</f>
        <v/>
      </c>
      <c r="AG296">
        <f>IF(AND(AE296&lt;&gt;"",AF296&lt;&gt;""),ROUNDUP((AF296-AE296)/7,0),"")</f>
        <v/>
      </c>
      <c r="AI296">
        <f>IFERROR(IF(AG296*AH296=0,"",AG296*AH296),"")</f>
        <v/>
      </c>
      <c r="AL296">
        <f>IF(AND(AJ296&lt;&gt;"",AK296&lt;&gt;""),ROUNDUP((AK296-AJ296)/7,0),"")</f>
        <v/>
      </c>
      <c r="AN296">
        <f>IFERROR(IF(AL296*AM296=0,"",AL296*AM296),"")</f>
        <v/>
      </c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L296">
        <f>IFERROR(INDEX('_names_lookup'!$C:$C,MATCH(BK296,'_names_lookup'!$A:$A,0)),"")</f>
        <v/>
      </c>
      <c r="BM296">
        <f>IFERROR(INDEX('_names_lookup'!$B:$B,MATCH(BK296,'_names_lookup'!$A:$A,0)),"")</f>
        <v/>
      </c>
      <c r="BS296">
        <f>IFERROR(IF(BR296*AA296=0,"",BR296*AA296),"")</f>
        <v/>
      </c>
    </row>
    <row r="297">
      <c r="O297">
        <f>IFERROR(INDEX('_courses_lookup'!$C:$C,MATCH(K297&amp;L297,'_courses_lookup'!$E:$E,0)),"")</f>
        <v/>
      </c>
      <c r="P297">
        <f>IFERROR(INDEX('_courses_lookup'!$D:$D,MATCH(K297&amp;L297,'_courses_lookup'!$E:$E,0)),"")</f>
        <v/>
      </c>
      <c r="AG297">
        <f>IF(AND(AE297&lt;&gt;"",AF297&lt;&gt;""),ROUNDUP((AF297-AE297)/7,0),"")</f>
        <v/>
      </c>
      <c r="AI297">
        <f>IFERROR(IF(AG297*AH297=0,"",AG297*AH297),"")</f>
        <v/>
      </c>
      <c r="AL297">
        <f>IF(AND(AJ297&lt;&gt;"",AK297&lt;&gt;""),ROUNDUP((AK297-AJ297)/7,0),"")</f>
        <v/>
      </c>
      <c r="AN297">
        <f>IFERROR(IF(AL297*AM297=0,"",AL297*AM297),"")</f>
        <v/>
      </c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L297">
        <f>IFERROR(INDEX('_names_lookup'!$C:$C,MATCH(BK297,'_names_lookup'!$A:$A,0)),"")</f>
        <v/>
      </c>
      <c r="BM297">
        <f>IFERROR(INDEX('_names_lookup'!$B:$B,MATCH(BK297,'_names_lookup'!$A:$A,0)),"")</f>
        <v/>
      </c>
      <c r="BS297">
        <f>IFERROR(IF(BR297*AA297=0,"",BR297*AA297),"")</f>
        <v/>
      </c>
    </row>
    <row r="298">
      <c r="O298">
        <f>IFERROR(INDEX('_courses_lookup'!$C:$C,MATCH(K298&amp;L298,'_courses_lookup'!$E:$E,0)),"")</f>
        <v/>
      </c>
      <c r="P298">
        <f>IFERROR(INDEX('_courses_lookup'!$D:$D,MATCH(K298&amp;L298,'_courses_lookup'!$E:$E,0)),"")</f>
        <v/>
      </c>
      <c r="AG298">
        <f>IF(AND(AE298&lt;&gt;"",AF298&lt;&gt;""),ROUNDUP((AF298-AE298)/7,0),"")</f>
        <v/>
      </c>
      <c r="AI298">
        <f>IFERROR(IF(AG298*AH298=0,"",AG298*AH298),"")</f>
        <v/>
      </c>
      <c r="AL298">
        <f>IF(AND(AJ298&lt;&gt;"",AK298&lt;&gt;""),ROUNDUP((AK298-AJ298)/7,0),"")</f>
        <v/>
      </c>
      <c r="AN298">
        <f>IFERROR(IF(AL298*AM298=0,"",AL298*AM298),"")</f>
        <v/>
      </c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L298">
        <f>IFERROR(INDEX('_names_lookup'!$C:$C,MATCH(BK298,'_names_lookup'!$A:$A,0)),"")</f>
        <v/>
      </c>
      <c r="BM298">
        <f>IFERROR(INDEX('_names_lookup'!$B:$B,MATCH(BK298,'_names_lookup'!$A:$A,0)),"")</f>
        <v/>
      </c>
      <c r="BS298">
        <f>IFERROR(IF(BR298*AA298=0,"",BR298*AA298),"")</f>
        <v/>
      </c>
    </row>
    <row r="299">
      <c r="O299">
        <f>IFERROR(INDEX('_courses_lookup'!$C:$C,MATCH(K299&amp;L299,'_courses_lookup'!$E:$E,0)),"")</f>
        <v/>
      </c>
      <c r="P299">
        <f>IFERROR(INDEX('_courses_lookup'!$D:$D,MATCH(K299&amp;L299,'_courses_lookup'!$E:$E,0)),"")</f>
        <v/>
      </c>
      <c r="AG299">
        <f>IF(AND(AE299&lt;&gt;"",AF299&lt;&gt;""),ROUNDUP((AF299-AE299)/7,0),"")</f>
        <v/>
      </c>
      <c r="AI299">
        <f>IFERROR(IF(AG299*AH299=0,"",AG299*AH299),"")</f>
        <v/>
      </c>
      <c r="AL299">
        <f>IF(AND(AJ299&lt;&gt;"",AK299&lt;&gt;""),ROUNDUP((AK299-AJ299)/7,0),"")</f>
        <v/>
      </c>
      <c r="AN299">
        <f>IFERROR(IF(AL299*AM299=0,"",AL299*AM299),"")</f>
        <v/>
      </c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L299">
        <f>IFERROR(INDEX('_names_lookup'!$C:$C,MATCH(BK299,'_names_lookup'!$A:$A,0)),"")</f>
        <v/>
      </c>
      <c r="BM299">
        <f>IFERROR(INDEX('_names_lookup'!$B:$B,MATCH(BK299,'_names_lookup'!$A:$A,0)),"")</f>
        <v/>
      </c>
      <c r="BS299">
        <f>IFERROR(IF(BR299*AA299=0,"",BR299*AA299),"")</f>
        <v/>
      </c>
    </row>
    <row r="300">
      <c r="O300">
        <f>IFERROR(INDEX('_courses_lookup'!$C:$C,MATCH(K300&amp;L300,'_courses_lookup'!$E:$E,0)),"")</f>
        <v/>
      </c>
      <c r="P300">
        <f>IFERROR(INDEX('_courses_lookup'!$D:$D,MATCH(K300&amp;L300,'_courses_lookup'!$E:$E,0)),"")</f>
        <v/>
      </c>
      <c r="AG300">
        <f>IF(AND(AE300&lt;&gt;"",AF300&lt;&gt;""),ROUNDUP((AF300-AE300)/7,0),"")</f>
        <v/>
      </c>
      <c r="AI300">
        <f>IFERROR(IF(AG300*AH300=0,"",AG300*AH300),"")</f>
        <v/>
      </c>
      <c r="AL300">
        <f>IF(AND(AJ300&lt;&gt;"",AK300&lt;&gt;""),ROUNDUP((AK300-AJ300)/7,0),"")</f>
        <v/>
      </c>
      <c r="AN300">
        <f>IFERROR(IF(AL300*AM300=0,"",AL300*AM300),"")</f>
        <v/>
      </c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L300">
        <f>IFERROR(INDEX('_names_lookup'!$C:$C,MATCH(BK300,'_names_lookup'!$A:$A,0)),"")</f>
        <v/>
      </c>
      <c r="BM300">
        <f>IFERROR(INDEX('_names_lookup'!$B:$B,MATCH(BK300,'_names_lookup'!$A:$A,0)),"")</f>
        <v/>
      </c>
      <c r="BS300">
        <f>IFERROR(IF(BR300*AA300=0,"",BR300*AA300),"")</f>
        <v/>
      </c>
    </row>
  </sheetData>
  <autoFilter ref="A1:DQ1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='DropDownMenu'!$BC$2:$BC$259</formula1>
    </dataValidation>
    <dataValidation sqref="BL2:BL5000" showDropDown="0" showInputMessage="0" showErrorMessage="0" allowBlank="1" type="list">
      <formula1>='DropDownMenu'!$BD$2:$BD$253</formula1>
    </dataValidation>
    <dataValidation sqref="BM2:BM5000" showDropDown="0" showInputMessage="0" showErrorMessage="0" allowBlank="1" type="list">
      <formula1>='DropDownMenu'!$BE$2:$BE$259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zoomScale="150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10" sqref="G10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23" t="inlineStr">
        <is>
          <t>Don {not in Banner}</t>
        </is>
      </c>
      <c r="B1" s="23" t="inlineStr">
        <is>
          <t>Mismatching {not in Banner}</t>
        </is>
      </c>
      <c r="C1" s="23" t="inlineStr">
        <is>
          <t>Dept/Prog Admin {not in Banner}</t>
        </is>
      </c>
      <c r="D1" s="23" t="inlineStr">
        <is>
          <t>Mona {not in Banner}</t>
        </is>
      </c>
      <c r="E1" s="23" t="inlineStr">
        <is>
          <t>Karen {not in Banner}</t>
        </is>
      </c>
      <c r="F1" s="23" t="inlineStr">
        <is>
          <t>DONE {not in Banner}</t>
        </is>
      </c>
      <c r="G1" s="24" t="inlineStr">
        <is>
          <t>Notes {not in Banner}</t>
        </is>
      </c>
      <c r="H1" s="23" t="inlineStr">
        <is>
          <t>CRN sorted {not in Banner}</t>
        </is>
      </c>
      <c r="I1" s="23" t="inlineStr">
        <is>
          <t>CRN</t>
        </is>
      </c>
      <c r="J1" s="23" t="inlineStr">
        <is>
          <t>Attribute {not in Banner}</t>
        </is>
      </c>
      <c r="K1" s="23" t="inlineStr">
        <is>
          <t>Subject</t>
        </is>
      </c>
      <c r="L1" s="23" t="inlineStr">
        <is>
          <t>Course Number {Crse Num}</t>
        </is>
      </c>
      <c r="M1" s="23" t="inlineStr">
        <is>
          <t>Course Section {Seq Crse Num}</t>
        </is>
      </c>
      <c r="N1" s="23" t="inlineStr">
        <is>
          <t>Program {not in Banner}</t>
        </is>
      </c>
      <c r="O1" s="23" t="inlineStr">
        <is>
          <t>Catalog Title</t>
        </is>
      </c>
      <c r="P1" s="23" t="inlineStr">
        <is>
          <t>Section Title</t>
        </is>
      </c>
      <c r="Q1" s="23" t="inlineStr">
        <is>
          <t>Crosslist Details {not in Banner}</t>
        </is>
      </c>
      <c r="R1" s="23" t="inlineStr">
        <is>
          <t>X Lst</t>
        </is>
      </c>
      <c r="S1" s="23" t="inlineStr">
        <is>
          <t>Campus {Ssasect Campus}</t>
        </is>
      </c>
      <c r="T1" s="23" t="inlineStr">
        <is>
          <t>Campus Restriction {Camp Restr CC}</t>
        </is>
      </c>
      <c r="U1" s="23" t="inlineStr">
        <is>
          <t>Schedule Type {not in Banner}</t>
        </is>
      </c>
      <c r="V1" s="23" t="inlineStr">
        <is>
          <t>Instruction Method {Inst Method}</t>
        </is>
      </c>
      <c r="W1" s="23" t="inlineStr">
        <is>
          <t>Level {Level SC}</t>
        </is>
      </c>
      <c r="X1" s="23" t="inlineStr">
        <is>
          <t>Part-Of-Term</t>
        </is>
      </c>
      <c r="Y1" s="23" t="inlineStr">
        <is>
          <t>Credit Catalog {Cat Crs}</t>
        </is>
      </c>
      <c r="Z1" s="23" t="inlineStr">
        <is>
          <t>Credits {Sect Crs}</t>
        </is>
      </c>
      <c r="AA1" s="23" t="inlineStr">
        <is>
          <t>Faculty Load / Contract Credits {not in Banner}</t>
        </is>
      </c>
      <c r="AB1" s="23" t="inlineStr">
        <is>
          <t>Enrollment Cap {Max Enrl}</t>
        </is>
      </c>
      <c r="AC1" s="23" t="inlineStr">
        <is>
          <t>Meeting Type</t>
        </is>
      </c>
      <c r="AD1" s="23" t="inlineStr">
        <is>
          <t>Semester Start Date {Soaterm Start Date}</t>
        </is>
      </c>
      <c r="AE1" s="23" t="inlineStr">
        <is>
          <t>Pre-work Start Date {not in Banner}</t>
        </is>
      </c>
      <c r="AF1" s="23" t="inlineStr">
        <is>
          <t>Pre-work End Date {not in Banner}</t>
        </is>
      </c>
      <c r="AG1" s="25" t="inlineStr">
        <is>
          <t>pre-work # of weeks {not in Banner}</t>
        </is>
      </c>
      <c r="AH1" s="25" t="inlineStr">
        <is>
          <t>pre-work hours/week {not in Banner}</t>
        </is>
      </c>
      <c r="AI1" s="25" t="inlineStr">
        <is>
          <t>pre-work hours/period {not in Banner}</t>
        </is>
      </c>
      <c r="AJ1" s="23" t="inlineStr">
        <is>
          <t>Intensive Period Start Date {Meet Start Date}</t>
        </is>
      </c>
      <c r="AK1" s="23" t="inlineStr">
        <is>
          <t>Intensive Period End Date {Meet End Date}</t>
        </is>
      </c>
      <c r="AL1" s="25" t="inlineStr">
        <is>
          <t>intensive # of weeks {not in Banner}</t>
        </is>
      </c>
      <c r="AM1" s="25" t="inlineStr">
        <is>
          <t>intensive hours/week {not in Banner}</t>
        </is>
      </c>
      <c r="AN1" s="25" t="inlineStr">
        <is>
          <t>intensive hours/period {not in Banner}</t>
        </is>
      </c>
      <c r="AO1" s="23" t="inlineStr">
        <is>
          <t>Post-work Start Date {not in Banner}</t>
        </is>
      </c>
      <c r="AP1" s="23" t="inlineStr">
        <is>
          <t>Post-work End Date {not in Banner}</t>
        </is>
      </c>
      <c r="AQ1" s="25" t="inlineStr">
        <is>
          <t>post-work # of weeks {not in Banner}</t>
        </is>
      </c>
      <c r="AR1" s="25" t="inlineStr">
        <is>
          <t>post-work hours/week {not in Banner}</t>
        </is>
      </c>
      <c r="AS1" s="25" t="inlineStr">
        <is>
          <t>post-work hours/period {not in Banner}</t>
        </is>
      </c>
      <c r="AT1" s="25" t="inlineStr">
        <is>
          <t>sum of weeks (for check) {not in Banner}</t>
        </is>
      </c>
      <c r="AU1" s="25" t="inlineStr">
        <is>
          <t>total contract hours {not in Banner}</t>
        </is>
      </c>
      <c r="AV1" s="23" t="inlineStr">
        <is>
          <t>Semester End Date {Soaterm End Date}</t>
        </is>
      </c>
      <c r="AW1" s="23" t="inlineStr">
        <is>
          <t>Course Beginning Time {Meet Beg Time}</t>
        </is>
      </c>
      <c r="AX1" s="23" t="inlineStr">
        <is>
          <t>Course Ending Time {Meet End Time}</t>
        </is>
      </c>
      <c r="AY1" s="23" t="inlineStr">
        <is>
          <t>SUN</t>
        </is>
      </c>
      <c r="AZ1" s="23" t="inlineStr">
        <is>
          <t>MON</t>
        </is>
      </c>
      <c r="BA1" s="23" t="inlineStr">
        <is>
          <t>TUE</t>
        </is>
      </c>
      <c r="BB1" s="23" t="inlineStr">
        <is>
          <t>WED</t>
        </is>
      </c>
      <c r="BC1" s="23" t="inlineStr">
        <is>
          <t>THU</t>
        </is>
      </c>
      <c r="BD1" s="23" t="inlineStr">
        <is>
          <t>FRI</t>
        </is>
      </c>
      <c r="BE1" s="23" t="inlineStr">
        <is>
          <t>SAT</t>
        </is>
      </c>
      <c r="BF1" s="23" t="inlineStr">
        <is>
          <t>Weeks</t>
        </is>
      </c>
      <c r="BG1" s="23" t="inlineStr">
        <is>
          <t>Fiscal Year {not in Banner}</t>
        </is>
      </c>
      <c r="BH1" s="25" t="inlineStr">
        <is>
          <t>Semester {not in Banner}</t>
        </is>
      </c>
      <c r="BI1" s="23" t="inlineStr">
        <is>
          <t>Room {Meet Room}</t>
        </is>
      </c>
      <c r="BJ1" s="23" t="inlineStr">
        <is>
          <t>Building {Meet Bldg}</t>
        </is>
      </c>
      <c r="BK1" s="23" t="inlineStr">
        <is>
          <t>Instructor Name {Instr Name}</t>
        </is>
      </c>
      <c r="BL1" s="23" t="inlineStr">
        <is>
          <t>Instructor Email {Instr Email}</t>
        </is>
      </c>
      <c r="BM1" s="23" t="inlineStr">
        <is>
          <t>Instructor ID {Instr ID}</t>
        </is>
      </c>
      <c r="BN1" s="25" t="inlineStr">
        <is>
          <t>Remote Employee {not in Banner}</t>
        </is>
      </c>
      <c r="BO1" s="23" t="inlineStr">
        <is>
          <t>% Responsibility</t>
        </is>
      </c>
      <c r="BP1" s="23" t="inlineStr">
        <is>
          <t>load/contract {not in Banner}</t>
        </is>
      </c>
      <c r="BQ1" s="25" t="inlineStr">
        <is>
          <t>Reason for Contract {not in Banner}</t>
        </is>
      </c>
      <c r="BR1" s="25" t="inlineStr">
        <is>
          <t>costs per credit {not in Banner}</t>
        </is>
      </c>
      <c r="BS1" s="25" t="inlineStr">
        <is>
          <t>total costs {not in Banner}</t>
        </is>
      </c>
      <c r="BT1" s="25" t="inlineStr">
        <is>
          <t>dept budget {not in Banner}</t>
        </is>
      </c>
      <c r="BU1" s="25" t="inlineStr">
        <is>
          <t>account to be charged {not in Banner}</t>
        </is>
      </c>
      <c r="BV1" s="25" t="inlineStr">
        <is>
          <t>SEM Department {Scacrse Dept}</t>
        </is>
      </c>
      <c r="BW1" s="26" t="inlineStr">
        <is>
          <t>dean email</t>
        </is>
      </c>
      <c r="BX1" s="26" t="inlineStr">
        <is>
          <t>VP finance email</t>
        </is>
      </c>
      <c r="BY1" s="26" t="inlineStr">
        <is>
          <t>HR email</t>
        </is>
      </c>
      <c r="BZ1" s="26" t="inlineStr">
        <is>
          <t>Fee Amount {Fees Amt}</t>
        </is>
      </c>
      <c r="CA1" s="26" t="inlineStr">
        <is>
          <t>Fee Code {Detl Code}</t>
        </is>
      </c>
      <c r="CB1" s="26" t="inlineStr">
        <is>
          <t>Fee Type</t>
        </is>
      </c>
      <c r="CC1" s="26" t="inlineStr">
        <is>
          <t>Fee Level</t>
        </is>
      </c>
      <c r="CD1" s="26" t="inlineStr">
        <is>
          <t>Fee Ind</t>
        </is>
      </c>
      <c r="CE1" s="26" t="inlineStr">
        <is>
          <t>Fee Term</t>
        </is>
      </c>
      <c r="CF1" s="26" t="inlineStr">
        <is>
          <t>Activity Date</t>
        </is>
      </c>
      <c r="CG1" s="26" t="inlineStr">
        <is>
          <t>Status</t>
        </is>
      </c>
      <c r="CH1" s="26" t="inlineStr">
        <is>
          <t>Bill Hrs</t>
        </is>
      </c>
      <c r="CI1" s="26" t="inlineStr">
        <is>
          <t>Sect Sch Type</t>
        </is>
      </c>
      <c r="CJ1" s="26" t="inlineStr">
        <is>
          <t>Prerequisites {Preq Areas}</t>
        </is>
      </c>
      <c r="CK1" s="26" t="inlineStr">
        <is>
          <t>Link Ind</t>
        </is>
      </c>
      <c r="CL1" s="26" t="inlineStr">
        <is>
          <t>Integration Code</t>
        </is>
      </c>
      <c r="CM1" s="26" t="inlineStr">
        <is>
          <t>Link Conn</t>
        </is>
      </c>
      <c r="CN1" s="26" t="inlineStr">
        <is>
          <t>Crs Attr</t>
        </is>
      </c>
      <c r="CO1" s="26" t="inlineStr">
        <is>
          <t>Comments</t>
        </is>
      </c>
      <c r="CP1" s="26" t="inlineStr">
        <is>
          <t>Major Restr</t>
        </is>
      </c>
      <c r="CQ1" s="26" t="inlineStr">
        <is>
          <t>Scacrse College</t>
        </is>
      </c>
      <c r="CR1" s="26" t="inlineStr">
        <is>
          <t>Enrolled</t>
        </is>
      </c>
      <c r="CS1" s="26" t="inlineStr">
        <is>
          <t>Waitlist Capacity</t>
        </is>
      </c>
      <c r="CT1" s="26" t="inlineStr">
        <is>
          <t>Primary Ind</t>
        </is>
      </c>
      <c r="CU1" s="26" t="inlineStr">
        <is>
          <t>Override</t>
        </is>
      </c>
      <c r="CV1" s="26" t="inlineStr">
        <is>
          <t>1st Date Reg Opens</t>
        </is>
      </c>
      <c r="CW1" s="26" t="inlineStr">
        <is>
          <t>Last Date Reg Opens</t>
        </is>
      </c>
      <c r="CX1" s="26" t="inlineStr">
        <is>
          <t>OL Range From Date</t>
        </is>
      </c>
      <c r="CY1" s="26" t="inlineStr">
        <is>
          <t>OL Range To Date</t>
        </is>
      </c>
      <c r="CZ1" s="26" t="inlineStr">
        <is>
          <t>OL Numb Units</t>
        </is>
      </c>
      <c r="DA1" s="26" t="inlineStr">
        <is>
          <t>OL Duration Code</t>
        </is>
      </c>
      <c r="DB1" s="26" t="inlineStr">
        <is>
          <t>Grade Mode</t>
        </is>
      </c>
      <c r="DC1" s="26" t="inlineStr">
        <is>
          <t>Gradable Ind</t>
        </is>
      </c>
      <c r="DD1" s="26" t="inlineStr">
        <is>
          <t>Tuit Waiver</t>
        </is>
      </c>
      <c r="DE1" s="26" t="inlineStr">
        <is>
          <t>Course Override {Meet Override}</t>
        </is>
      </c>
      <c r="DF1" s="26" t="inlineStr">
        <is>
          <t>Lvl Res Ind</t>
        </is>
      </c>
      <c r="DG1" s="26" t="inlineStr">
        <is>
          <t>Cmp Res Ind</t>
        </is>
      </c>
      <c r="DH1" s="26" t="inlineStr">
        <is>
          <t>Rate Code</t>
        </is>
      </c>
      <c r="DI1" s="26" t="inlineStr">
        <is>
          <t>Cohort Code</t>
        </is>
      </c>
      <c r="DJ1" s="26" t="inlineStr">
        <is>
          <t>St Attr Code</t>
        </is>
      </c>
      <c r="DK1" s="26" t="inlineStr">
        <is>
          <t>Coll SC</t>
        </is>
      </c>
      <c r="DL1" s="26" t="inlineStr">
        <is>
          <t>DegC SC</t>
        </is>
      </c>
      <c r="DM1" s="26" t="inlineStr">
        <is>
          <t>Prog SC</t>
        </is>
      </c>
      <c r="DN1" s="26" t="inlineStr">
        <is>
          <t>FOS Type</t>
        </is>
      </c>
      <c r="DO1" s="26" t="inlineStr">
        <is>
          <t>Special Approval {Special Apvl}</t>
        </is>
      </c>
      <c r="DP1" s="26" t="inlineStr">
        <is>
          <t>Term Code</t>
        </is>
      </c>
      <c r="DQ1" s="26" t="inlineStr">
        <is>
          <t>Camp SC</t>
        </is>
      </c>
    </row>
    <row r="2" ht="16" customHeight="1">
      <c r="A2" s="28" t="n"/>
      <c r="B2" s="28" t="n"/>
      <c r="C2" s="28" t="n"/>
      <c r="D2" s="28" t="n"/>
      <c r="E2" s="28" t="n"/>
      <c r="F2" s="28" t="n"/>
      <c r="G2" s="29" t="n"/>
      <c r="H2" s="30" t="n"/>
      <c r="I2" s="30" t="n"/>
      <c r="J2" s="30" t="n"/>
      <c r="K2" s="30" t="n"/>
      <c r="L2" s="30" t="n"/>
      <c r="M2" s="30" t="n"/>
      <c r="N2" s="31" t="n"/>
      <c r="O2" s="30">
        <f>IFERROR(INDEX('_courses_lookup'!$C:$C,MATCH(K2&amp;L2,'_courses_lookup'!$E:$E,0)),"")</f>
        <v/>
      </c>
      <c r="P2" s="30">
        <f>IFERROR(INDEX('_courses_lookup'!$D:$D,MATCH(K2&amp;L2,'_courses_lookup'!$E:$E,0)),"")</f>
        <v/>
      </c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  <c r="AA2" s="30" t="n"/>
      <c r="AB2" s="30" t="n"/>
      <c r="AC2" s="30" t="n"/>
      <c r="AD2" s="30" t="n"/>
      <c r="AE2" s="30" t="n"/>
      <c r="AF2" s="30" t="n"/>
      <c r="AG2" s="30">
        <f>IF(AND(AE2&lt;&gt;"",AF2&lt;&gt;""),ROUNDUP((AF2-AE2)/7,0),"")</f>
        <v/>
      </c>
      <c r="AH2" s="30" t="n"/>
      <c r="AI2" s="30">
        <f>IFERROR(IF(AG2*AH2=0,"",AG2*AH2),"")</f>
        <v/>
      </c>
      <c r="AJ2" s="30" t="n"/>
      <c r="AK2" s="30" t="n"/>
      <c r="AL2" s="30">
        <f>IF(AND(AJ2&lt;&gt;"",AK2&lt;&gt;""),ROUNDUP((AK2-AJ2)/7,0),"")</f>
        <v/>
      </c>
      <c r="AM2" s="30" t="n"/>
      <c r="AN2" s="30">
        <f>IFERROR(IF(AL2*AM2=0,"",AL2*AM2),"")</f>
        <v/>
      </c>
      <c r="AO2" s="30" t="n"/>
      <c r="AP2" s="30" t="n"/>
      <c r="AQ2" s="30">
        <f>IF(AND(AO2&lt;&gt;"",AP2&lt;&gt;""),ROUNDUP((AP2-AO2)/7,0),"")</f>
        <v/>
      </c>
      <c r="AR2" s="30">
        <f>IFERROR(IF((AU2-(AI2+AN2))/AQ2=0,"",ROUNDUP((AU2-(AI2+AN2))/AQ2,0)),"")</f>
        <v/>
      </c>
      <c r="AS2" s="30">
        <f>IFERROR(IF((AU2-(AI2+AN2))=0,"",(AU2-(AI2+AN2))),"")</f>
        <v/>
      </c>
      <c r="AT2" s="30">
        <f>IF(AND(AG2="",AQ2=""),AL2,IF(SUM(AG2,AL2,AQ2)=0,"",SUM(AG2,AL2,AQ2)))</f>
        <v/>
      </c>
      <c r="AU2" s="30" t="n"/>
      <c r="AV2" s="30" t="n"/>
      <c r="AW2" s="30" t="n"/>
      <c r="AX2" s="30" t="n"/>
      <c r="AY2" s="30" t="n"/>
      <c r="AZ2" s="30" t="n"/>
      <c r="BA2" s="30" t="n"/>
      <c r="BB2" s="30" t="n"/>
      <c r="BC2" s="30" t="n"/>
      <c r="BD2" s="30" t="n"/>
      <c r="BE2" s="30" t="n"/>
      <c r="BF2" s="30" t="n"/>
      <c r="BG2" s="30">
        <f>IF(AD2="","",YEAR(AD2)+IF(MONTH(AD2)&gt;=5,1,0))</f>
        <v/>
      </c>
      <c r="BH2" s="30">
        <f>IF(AD2="","",IF(AND(MONTH(AD2)=8,DAY(AD2)&gt;=15),"Fall",IF(MONTH(AD2)&gt;8,"Fall",IF(MONTH(AD2)=5,"Summer",IF(MONTH(AD2)=1,"Spring","")))))</f>
        <v/>
      </c>
      <c r="BI2" s="30" t="n"/>
      <c r="BJ2" s="30" t="n"/>
      <c r="BK2" s="32" t="n"/>
      <c r="BL2" s="32">
        <f>IFERROR(INDEX('_names_lookup'!$C:$C,MATCH(BK2,'_names_lookup'!$A:$A,0)),"")</f>
        <v/>
      </c>
      <c r="BM2" s="33">
        <f>IFERROR(INDEX('_names_lookup'!$B:$B,MATCH(BK2,'_names_lookup'!$A:$A,0)),"")</f>
        <v/>
      </c>
      <c r="BN2" s="33" t="n"/>
      <c r="BO2" s="30" t="n"/>
      <c r="BP2" s="30" t="n"/>
      <c r="BQ2" s="30" t="n"/>
      <c r="BR2" s="30" t="n"/>
      <c r="BS2" s="34">
        <f>IFERROR(IF(BR2*AA2=0,"",BR2*AA2),"")</f>
        <v/>
      </c>
      <c r="BT2" s="30" t="n"/>
      <c r="BU2" s="30" t="n"/>
      <c r="BV2" s="30" t="n"/>
      <c r="BW2" s="35" t="n"/>
      <c r="BX2" s="35" t="n"/>
      <c r="BY2" s="35" t="n"/>
      <c r="BZ2" s="30" t="n"/>
      <c r="CA2" s="30" t="n"/>
      <c r="CB2" s="30" t="n"/>
      <c r="CC2" s="30" t="n"/>
      <c r="CD2" s="30" t="n"/>
      <c r="CE2" s="30" t="n"/>
      <c r="CF2" s="30" t="n"/>
      <c r="CG2" s="30" t="n"/>
      <c r="CH2" s="30" t="n"/>
      <c r="CI2" s="30" t="n"/>
      <c r="CJ2" s="30" t="n"/>
      <c r="CK2" s="30" t="n"/>
      <c r="CL2" s="30" t="n"/>
      <c r="CM2" s="30" t="n"/>
      <c r="CN2" s="30" t="n"/>
      <c r="CO2" s="30" t="n"/>
      <c r="CP2" s="30" t="n"/>
      <c r="CQ2" s="30" t="n"/>
      <c r="CR2" s="30" t="n"/>
      <c r="CS2" s="30" t="n"/>
      <c r="CT2" s="30" t="n"/>
      <c r="CU2" s="30" t="n"/>
      <c r="CV2" s="30" t="n"/>
      <c r="CW2" s="30" t="n"/>
      <c r="CX2" s="30" t="n"/>
      <c r="CY2" s="30" t="n"/>
      <c r="CZ2" s="30" t="n"/>
      <c r="DA2" s="30" t="n"/>
      <c r="DB2" s="30" t="n"/>
      <c r="DC2" s="30" t="n"/>
      <c r="DD2" s="30" t="n"/>
      <c r="DE2" s="30" t="n"/>
      <c r="DF2" s="34" t="n"/>
      <c r="DG2" s="34" t="n"/>
      <c r="DH2" s="30" t="n"/>
      <c r="DI2" s="30" t="n"/>
      <c r="DJ2" s="30" t="n"/>
      <c r="DK2" s="30" t="n"/>
      <c r="DL2" s="30" t="n"/>
      <c r="DM2" s="30" t="n"/>
      <c r="DN2" s="30" t="n"/>
      <c r="DO2" s="30" t="n"/>
      <c r="DP2" s="30" t="n"/>
      <c r="DQ2" s="30" t="n"/>
    </row>
    <row r="3" ht="16" customHeight="1">
      <c r="A3" s="28" t="n"/>
      <c r="B3" s="28" t="n"/>
      <c r="C3" s="28" t="n"/>
      <c r="D3" s="28" t="n"/>
      <c r="E3" s="28" t="n"/>
      <c r="F3" s="28" t="n"/>
      <c r="G3" s="29" t="n"/>
      <c r="H3" s="30" t="n"/>
      <c r="I3" s="30" t="n"/>
      <c r="J3" s="30" t="n"/>
      <c r="K3" s="30" t="n"/>
      <c r="L3" s="30" t="n"/>
      <c r="M3" s="30" t="n"/>
      <c r="N3" s="31" t="n"/>
      <c r="O3" s="30">
        <f>IFERROR(INDEX('_courses_lookup'!$C:$C,MATCH(K3&amp;L3,'_courses_lookup'!$E:$E,0)),"")</f>
        <v/>
      </c>
      <c r="P3" s="30">
        <f>IFERROR(INDEX('_courses_lookup'!$D:$D,MATCH(K3&amp;L3,'_courses_lookup'!$E:$E,0)),"")</f>
        <v/>
      </c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0" t="n"/>
      <c r="AF3" s="30" t="n"/>
      <c r="AG3" s="30">
        <f>IF(AND(AE3&lt;&gt;"",AF3&lt;&gt;""),ROUNDUP((AF3-AE3)/7,0),"")</f>
        <v/>
      </c>
      <c r="AH3" s="30" t="n"/>
      <c r="AI3" s="30">
        <f>IFERROR(IF(AG3*AH3=0,"",AG3*AH3),"")</f>
        <v/>
      </c>
      <c r="AJ3" s="30" t="n"/>
      <c r="AK3" s="30" t="n"/>
      <c r="AL3" s="30">
        <f>IF(AND(AJ3&lt;&gt;"",AK3&lt;&gt;""),ROUNDUP((AK3-AJ3)/7,0),"")</f>
        <v/>
      </c>
      <c r="AM3" s="30" t="n"/>
      <c r="AN3" s="30">
        <f>IFERROR(IF(AL3*AM3=0,"",AL3*AM3),"")</f>
        <v/>
      </c>
      <c r="AO3" s="30" t="n"/>
      <c r="AP3" s="30" t="n"/>
      <c r="AQ3" s="30">
        <f>IF(AND(AO3&lt;&gt;"",AP3&lt;&gt;""),ROUNDUP((AP3-AO3)/7,0),"")</f>
        <v/>
      </c>
      <c r="AR3" s="30">
        <f>IFERROR(IF((AU3-(AI3+AN3))/AQ3=0,"",ROUNDUP((AU3-(AI3+AN3))/AQ3,0)),"")</f>
        <v/>
      </c>
      <c r="AS3" s="30">
        <f>IFERROR(IF((AU3-(AI3+AN3))=0,"",(AU3-(AI3+AN3))),"")</f>
        <v/>
      </c>
      <c r="AT3" s="30">
        <f>IF(AND(AG3="",AQ3=""),AL3,IF(SUM(AG3,AL3,AQ3)=0,"",SUM(AG3,AL3,AQ3)))</f>
        <v/>
      </c>
      <c r="AU3" s="30" t="n"/>
      <c r="AV3" s="30" t="n"/>
      <c r="AW3" s="30" t="n"/>
      <c r="AX3" s="30" t="n"/>
      <c r="AY3" s="30" t="n"/>
      <c r="AZ3" s="30" t="n"/>
      <c r="BA3" s="30" t="n"/>
      <c r="BB3" s="30" t="n"/>
      <c r="BC3" s="30" t="n"/>
      <c r="BD3" s="30" t="n"/>
      <c r="BE3" s="30" t="n"/>
      <c r="BF3" s="30" t="n"/>
      <c r="BG3" s="30">
        <f>IF(AD3="","",YEAR(AD3)+IF(MONTH(AD3)&gt;=5,1,0))</f>
        <v/>
      </c>
      <c r="BH3" s="30">
        <f>IF(AD3="","",IF(AND(MONTH(AD3)=8,DAY(AD3)&gt;=15),"Fall",IF(MONTH(AD3)&gt;8,"Fall",IF(MONTH(AD3)=5,"Summer",IF(MONTH(AD3)=1,"Spring","")))))</f>
        <v/>
      </c>
      <c r="BI3" s="30" t="n"/>
      <c r="BJ3" s="30" t="n"/>
      <c r="BK3" s="32" t="n"/>
      <c r="BL3" s="32">
        <f>IFERROR(INDEX('_names_lookup'!$C:$C,MATCH(BK3,'_names_lookup'!$A:$A,0)),"")</f>
        <v/>
      </c>
      <c r="BM3" s="33">
        <f>IFERROR(INDEX('_names_lookup'!$B:$B,MATCH(BK3,'_names_lookup'!$A:$A,0)),"")</f>
        <v/>
      </c>
      <c r="BN3" s="33" t="n"/>
      <c r="BO3" s="30" t="n"/>
      <c r="BP3" s="30" t="n"/>
      <c r="BQ3" s="30" t="n"/>
      <c r="BR3" s="30" t="n"/>
      <c r="BS3" s="34">
        <f>IFERROR(IF(BR3*AA3=0,"",BR3*AA3),"")</f>
        <v/>
      </c>
      <c r="BT3" s="30" t="n"/>
      <c r="BU3" s="30" t="n"/>
      <c r="BV3" s="30" t="n"/>
      <c r="BW3" s="34" t="n"/>
      <c r="BX3" s="34" t="n"/>
      <c r="BY3" s="34" t="n"/>
      <c r="BZ3" s="30" t="n"/>
      <c r="CA3" s="30" t="n"/>
      <c r="CB3" s="30" t="n"/>
      <c r="CC3" s="30" t="n"/>
      <c r="CD3" s="30" t="n"/>
      <c r="CE3" s="30" t="n"/>
      <c r="CF3" s="30" t="n"/>
      <c r="CG3" s="30" t="n"/>
      <c r="CH3" s="30" t="n"/>
      <c r="CI3" s="30" t="n"/>
      <c r="CJ3" s="30" t="n"/>
      <c r="CK3" s="30" t="n"/>
      <c r="CL3" s="30" t="n"/>
      <c r="CM3" s="30" t="n"/>
      <c r="CN3" s="30" t="n"/>
      <c r="CO3" s="30" t="n"/>
      <c r="CP3" s="30" t="n"/>
      <c r="CQ3" s="30" t="n"/>
      <c r="CR3" s="30" t="n"/>
      <c r="CS3" s="30" t="n"/>
      <c r="CT3" s="30" t="n"/>
      <c r="CU3" s="30" t="n"/>
      <c r="CV3" s="30" t="n"/>
      <c r="CW3" s="30" t="n"/>
      <c r="CX3" s="30" t="n"/>
      <c r="CY3" s="30" t="n"/>
      <c r="CZ3" s="30" t="n"/>
      <c r="DA3" s="30" t="n"/>
      <c r="DB3" s="30" t="n"/>
      <c r="DC3" s="30" t="n"/>
      <c r="DD3" s="30" t="n"/>
      <c r="DE3" s="30" t="n"/>
      <c r="DF3" s="30" t="n"/>
      <c r="DG3" s="30" t="n"/>
      <c r="DH3" s="30" t="n"/>
      <c r="DI3" s="30" t="n"/>
      <c r="DJ3" s="30" t="n"/>
      <c r="DK3" s="30" t="n"/>
      <c r="DL3" s="30" t="n"/>
      <c r="DM3" s="30" t="n"/>
      <c r="DN3" s="30" t="n"/>
      <c r="DO3" s="30" t="n"/>
      <c r="DP3" s="30" t="n"/>
      <c r="DQ3" s="30" t="n"/>
    </row>
    <row r="4" ht="16" customHeight="1">
      <c r="A4" s="36" t="n"/>
      <c r="B4" s="36" t="n"/>
      <c r="C4" s="36" t="n"/>
      <c r="D4" s="36" t="n"/>
      <c r="E4" s="36" t="n"/>
      <c r="F4" s="36" t="n"/>
      <c r="G4" s="29" t="n"/>
      <c r="H4" s="30" t="n"/>
      <c r="I4" s="30" t="n"/>
      <c r="J4" s="30" t="n"/>
      <c r="K4" s="30" t="n"/>
      <c r="L4" s="30" t="n"/>
      <c r="M4" s="30" t="n"/>
      <c r="N4" s="31" t="n"/>
      <c r="O4" s="30">
        <f>IFERROR(INDEX('_courses_lookup'!$C:$C,MATCH(K4&amp;L4,'_courses_lookup'!$E:$E,0)),"")</f>
        <v/>
      </c>
      <c r="P4" s="30">
        <f>IFERROR(INDEX('_courses_lookup'!$D:$D,MATCH(K4&amp;L4,'_courses_lookup'!$E:$E,0)),"")</f>
        <v/>
      </c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  <c r="AA4" s="30" t="n"/>
      <c r="AB4" s="30" t="n"/>
      <c r="AC4" s="30" t="n"/>
      <c r="AD4" s="30" t="n"/>
      <c r="AE4" s="30" t="n"/>
      <c r="AF4" s="30" t="n"/>
      <c r="AG4" s="30">
        <f>IF(AND(AE4&lt;&gt;"",AF4&lt;&gt;""),ROUNDUP((AF4-AE4)/7,0),"")</f>
        <v/>
      </c>
      <c r="AH4" s="30" t="n"/>
      <c r="AI4" s="30">
        <f>IFERROR(IF(AG4*AH4=0,"",AG4*AH4),"")</f>
        <v/>
      </c>
      <c r="AJ4" s="30" t="n"/>
      <c r="AK4" s="30" t="n"/>
      <c r="AL4" s="30">
        <f>IF(AND(AJ4&lt;&gt;"",AK4&lt;&gt;""),ROUNDUP((AK4-AJ4)/7,0),"")</f>
        <v/>
      </c>
      <c r="AM4" s="30" t="n"/>
      <c r="AN4" s="30">
        <f>IFERROR(IF(AL4*AM4=0,"",AL4*AM4),"")</f>
        <v/>
      </c>
      <c r="AO4" s="30" t="n"/>
      <c r="AP4" s="30" t="n"/>
      <c r="AQ4" s="30">
        <f>IF(AND(AO4&lt;&gt;"",AP4&lt;&gt;""),ROUNDUP((AP4-AO4)/7,0),"")</f>
        <v/>
      </c>
      <c r="AR4" s="30">
        <f>IFERROR(IF((AU4-(AI4+AN4))/AQ4=0,"",ROUNDUP((AU4-(AI4+AN4))/AQ4,0)),"")</f>
        <v/>
      </c>
      <c r="AS4" s="30">
        <f>IFERROR(IF((AU4-(AI4+AN4))=0,"",(AU4-(AI4+AN4))),"")</f>
        <v/>
      </c>
      <c r="AT4" s="30">
        <f>IF(AND(AG4="",AQ4=""),AL4,IF(SUM(AG4,AL4,AQ4)=0,"",SUM(AG4,AL4,AQ4)))</f>
        <v/>
      </c>
      <c r="AU4" s="30" t="n"/>
      <c r="AV4" s="30" t="n"/>
      <c r="AW4" s="30" t="n"/>
      <c r="AX4" s="30" t="n"/>
      <c r="AY4" s="30" t="n"/>
      <c r="AZ4" s="30" t="n"/>
      <c r="BA4" s="30" t="n"/>
      <c r="BB4" s="30" t="n"/>
      <c r="BC4" s="30" t="n"/>
      <c r="BD4" s="30" t="n"/>
      <c r="BE4" s="30" t="n"/>
      <c r="BF4" s="30" t="n"/>
      <c r="BG4" s="30">
        <f>IF(AD4="","",YEAR(AD4)+IF(MONTH(AD4)&gt;=5,1,0))</f>
        <v/>
      </c>
      <c r="BH4" s="30">
        <f>IF(AD4="","",IF(AND(MONTH(AD4)=8,DAY(AD4)&gt;=15),"Fall",IF(MONTH(AD4)&gt;8,"Fall",IF(MONTH(AD4)=5,"Summer",IF(MONTH(AD4)=1,"Spring","")))))</f>
        <v/>
      </c>
      <c r="BI4" s="30" t="n"/>
      <c r="BJ4" s="30" t="n"/>
      <c r="BK4" s="32" t="n"/>
      <c r="BL4" s="32">
        <f>IFERROR(INDEX('_names_lookup'!$C:$C,MATCH(BK4,'_names_lookup'!$A:$A,0)),"")</f>
        <v/>
      </c>
      <c r="BM4" s="33">
        <f>IFERROR(INDEX('_names_lookup'!$B:$B,MATCH(BK4,'_names_lookup'!$A:$A,0)),"")</f>
        <v/>
      </c>
      <c r="BN4" s="37" t="n"/>
      <c r="BO4" s="30" t="n"/>
      <c r="BP4" s="30" t="n"/>
      <c r="BQ4" s="30" t="n"/>
      <c r="BR4" s="34" t="n"/>
      <c r="BS4" s="34">
        <f>IFERROR(IF(BR4*AA4=0,"",BR4*AA4),"")</f>
        <v/>
      </c>
      <c r="BT4" s="34" t="n"/>
      <c r="BU4" s="30" t="n"/>
      <c r="BV4" s="30" t="n"/>
      <c r="BW4" s="34" t="n"/>
      <c r="BX4" s="34" t="n"/>
      <c r="BY4" s="34" t="n"/>
      <c r="BZ4" s="30" t="n"/>
      <c r="CA4" s="30" t="n"/>
      <c r="CB4" s="30" t="n"/>
      <c r="CC4" s="30" t="n"/>
      <c r="CD4" s="30" t="n"/>
      <c r="CE4" s="30" t="n"/>
      <c r="CF4" s="30" t="n"/>
      <c r="CG4" s="30" t="n"/>
      <c r="CH4" s="30" t="n"/>
      <c r="CI4" s="30" t="n"/>
      <c r="CJ4" s="30" t="n"/>
      <c r="CK4" s="30" t="n"/>
      <c r="CL4" s="30" t="n"/>
      <c r="CM4" s="30" t="n"/>
      <c r="CN4" s="30" t="n"/>
      <c r="CO4" s="30" t="n"/>
      <c r="CP4" s="30" t="n"/>
      <c r="CQ4" s="30" t="n"/>
      <c r="CR4" s="30" t="n"/>
      <c r="CS4" s="30" t="n"/>
      <c r="CT4" s="30" t="n"/>
      <c r="CU4" s="30" t="n"/>
      <c r="CV4" s="30" t="n"/>
      <c r="CW4" s="30" t="n"/>
      <c r="CX4" s="30" t="n"/>
      <c r="CY4" s="30" t="n"/>
      <c r="CZ4" s="30" t="n"/>
      <c r="DA4" s="30" t="n"/>
      <c r="DB4" s="30" t="n"/>
      <c r="DC4" s="30" t="n"/>
      <c r="DD4" s="30" t="n"/>
      <c r="DE4" s="30" t="n"/>
      <c r="DF4" s="30" t="n"/>
      <c r="DG4" s="30" t="n"/>
      <c r="DH4" s="30" t="n"/>
      <c r="DI4" s="30" t="n"/>
      <c r="DJ4" s="30" t="n"/>
      <c r="DK4" s="30" t="n"/>
      <c r="DL4" s="30" t="n"/>
      <c r="DM4" s="30" t="n"/>
      <c r="DN4" s="30" t="n"/>
      <c r="DO4" s="30" t="n"/>
      <c r="DP4" s="34" t="n"/>
      <c r="DQ4" s="34" t="n"/>
    </row>
    <row r="5" ht="16" customHeight="1">
      <c r="A5" s="36" t="n"/>
      <c r="B5" s="36" t="n"/>
      <c r="C5" s="36" t="n"/>
      <c r="D5" s="36" t="n"/>
      <c r="E5" s="36" t="n"/>
      <c r="F5" s="36" t="n"/>
      <c r="G5" s="29" t="n"/>
      <c r="H5" s="30" t="n"/>
      <c r="I5" s="30" t="n"/>
      <c r="J5" s="30" t="n"/>
      <c r="K5" s="30" t="n"/>
      <c r="L5" s="30" t="n"/>
      <c r="M5" s="30" t="n"/>
      <c r="N5" s="31" t="n"/>
      <c r="O5" s="30">
        <f>IFERROR(INDEX('_courses_lookup'!$C:$C,MATCH(K5&amp;L5,'_courses_lookup'!$E:$E,0)),"")</f>
        <v/>
      </c>
      <c r="P5" s="30">
        <f>IFERROR(INDEX('_courses_lookup'!$D:$D,MATCH(K5&amp;L5,'_courses_lookup'!$E:$E,0)),"")</f>
        <v/>
      </c>
      <c r="Q5" s="30" t="n"/>
      <c r="R5" s="30" t="n"/>
      <c r="S5" s="30" t="n"/>
      <c r="T5" s="30" t="n"/>
      <c r="U5" s="30" t="n"/>
      <c r="V5" s="30" t="n"/>
      <c r="W5" s="34" t="n"/>
      <c r="X5" s="30" t="n"/>
      <c r="Y5" s="30" t="n"/>
      <c r="Z5" s="30" t="n"/>
      <c r="AA5" s="30" t="n"/>
      <c r="AB5" s="30" t="n"/>
      <c r="AC5" s="30" t="n"/>
      <c r="AD5" s="30" t="n"/>
      <c r="AE5" s="30" t="n"/>
      <c r="AF5" s="30" t="n"/>
      <c r="AG5" s="30">
        <f>IF(AND(AE5&lt;&gt;"",AF5&lt;&gt;""),ROUNDUP((AF5-AE5)/7,0),"")</f>
        <v/>
      </c>
      <c r="AH5" s="30" t="n"/>
      <c r="AI5" s="30">
        <f>IFERROR(IF(AG5*AH5=0,"",AG5*AH5),"")</f>
        <v/>
      </c>
      <c r="AJ5" s="30" t="n"/>
      <c r="AK5" s="30" t="n"/>
      <c r="AL5" s="30">
        <f>IF(AND(AJ5&lt;&gt;"",AK5&lt;&gt;""),ROUNDUP((AK5-AJ5)/7,0),"")</f>
        <v/>
      </c>
      <c r="AM5" s="30" t="n"/>
      <c r="AN5" s="30">
        <f>IFERROR(IF(AL5*AM5=0,"",AL5*AM5),"")</f>
        <v/>
      </c>
      <c r="AO5" s="30" t="n"/>
      <c r="AP5" s="30" t="n"/>
      <c r="AQ5" s="30">
        <f>IF(AND(AO5&lt;&gt;"",AP5&lt;&gt;""),ROUNDUP((AP5-AO5)/7,0),"")</f>
        <v/>
      </c>
      <c r="AR5" s="30">
        <f>IFERROR(IF((AU5-(AI5+AN5))/AQ5=0,"",ROUNDUP((AU5-(AI5+AN5))/AQ5,0)),"")</f>
        <v/>
      </c>
      <c r="AS5" s="30">
        <f>IFERROR(IF((AU5-(AI5+AN5))=0,"",(AU5-(AI5+AN5))),"")</f>
        <v/>
      </c>
      <c r="AT5" s="30">
        <f>IF(AND(AG5="",AQ5=""),AL5,IF(SUM(AG5,AL5,AQ5)=0,"",SUM(AG5,AL5,AQ5)))</f>
        <v/>
      </c>
      <c r="AU5" s="30" t="n"/>
      <c r="AV5" s="30" t="n"/>
      <c r="AW5" s="30" t="n"/>
      <c r="AX5" s="30" t="n"/>
      <c r="AY5" s="30" t="n"/>
      <c r="AZ5" s="30" t="n"/>
      <c r="BA5" s="30" t="n"/>
      <c r="BB5" s="30" t="n"/>
      <c r="BC5" s="30" t="n"/>
      <c r="BD5" s="30" t="n"/>
      <c r="BE5" s="30" t="n"/>
      <c r="BF5" s="30" t="n"/>
      <c r="BG5" s="30">
        <f>IF(AD5="","",YEAR(AD5)+IF(MONTH(AD5)&gt;=5,1,0))</f>
        <v/>
      </c>
      <c r="BH5" s="34">
        <f>IF(AD5="","",IF(AND(MONTH(AD5)=8,DAY(AD5)&gt;=15),"Fall",IF(MONTH(AD5)&gt;8,"Fall",IF(MONTH(AD5)=5,"Summer",IF(MONTH(AD5)=1,"Spring","")))))</f>
        <v/>
      </c>
      <c r="BI5" s="30" t="n"/>
      <c r="BJ5" s="30" t="n"/>
      <c r="BK5" s="32" t="n"/>
      <c r="BL5" s="32">
        <f>IFERROR(INDEX('_names_lookup'!$C:$C,MATCH(BK5,'_names_lookup'!$A:$A,0)),"")</f>
        <v/>
      </c>
      <c r="BM5" s="33">
        <f>IFERROR(INDEX('_names_lookup'!$B:$B,MATCH(BK5,'_names_lookup'!$A:$A,0)),"")</f>
        <v/>
      </c>
      <c r="BN5" s="37" t="n"/>
      <c r="BO5" s="34" t="n"/>
      <c r="BP5" s="30" t="n"/>
      <c r="BQ5" s="34" t="n"/>
      <c r="BR5" s="34" t="n"/>
      <c r="BS5" s="34">
        <f>IFERROR(IF(BR5*AA5=0,"",BR5*AA5),"")</f>
        <v/>
      </c>
      <c r="BT5" s="34" t="n"/>
      <c r="BU5" s="30" t="n"/>
      <c r="BV5" s="30" t="n"/>
      <c r="BW5" s="34" t="n"/>
      <c r="BX5" s="34" t="n"/>
      <c r="BY5" s="34" t="n"/>
      <c r="BZ5" s="30" t="n"/>
      <c r="CA5" s="30" t="n"/>
      <c r="CB5" s="30" t="n"/>
      <c r="CC5" s="30" t="n"/>
      <c r="CD5" s="30" t="n"/>
      <c r="CE5" s="30" t="n"/>
      <c r="CF5" s="30" t="n"/>
      <c r="CG5" s="30" t="n"/>
      <c r="CH5" s="30" t="n"/>
      <c r="CI5" s="30" t="n"/>
      <c r="CJ5" s="30" t="n"/>
      <c r="CK5" s="30" t="n"/>
      <c r="CL5" s="30" t="n"/>
      <c r="CM5" s="30" t="n"/>
      <c r="CN5" s="30" t="n"/>
      <c r="CO5" s="30" t="n"/>
      <c r="CP5" s="30" t="n"/>
      <c r="CQ5" s="30" t="n"/>
      <c r="CR5" s="30" t="n"/>
      <c r="CS5" s="30" t="n"/>
      <c r="CT5" s="30" t="n"/>
      <c r="CU5" s="30" t="n"/>
      <c r="CV5" s="30" t="n"/>
      <c r="CW5" s="30" t="n"/>
      <c r="CX5" s="30" t="n"/>
      <c r="CY5" s="30" t="n"/>
      <c r="CZ5" s="30" t="n"/>
      <c r="DA5" s="30" t="n"/>
      <c r="DB5" s="30" t="n"/>
      <c r="DC5" s="30" t="n"/>
      <c r="DD5" s="30" t="n"/>
      <c r="DE5" s="30" t="n"/>
      <c r="DF5" s="30" t="n"/>
      <c r="DG5" s="30" t="n"/>
      <c r="DH5" s="30" t="n"/>
      <c r="DI5" s="30" t="n"/>
      <c r="DJ5" s="30" t="n"/>
      <c r="DK5" s="30" t="n"/>
      <c r="DL5" s="30" t="n"/>
      <c r="DM5" s="30" t="n"/>
      <c r="DN5" s="30" t="n"/>
      <c r="DO5" s="30" t="n"/>
      <c r="DP5" s="34" t="n"/>
      <c r="DQ5" s="34" t="n"/>
    </row>
    <row r="6" ht="16" customHeight="1">
      <c r="A6" s="36" t="n"/>
      <c r="B6" s="36" t="n"/>
      <c r="C6" s="36" t="n"/>
      <c r="D6" s="36" t="n"/>
      <c r="E6" s="36" t="n"/>
      <c r="F6" s="36" t="n"/>
      <c r="G6" s="29" t="n"/>
      <c r="H6" s="30" t="n"/>
      <c r="I6" s="30" t="n"/>
      <c r="J6" s="30" t="n"/>
      <c r="K6" s="30" t="n"/>
      <c r="L6" s="30" t="n"/>
      <c r="M6" s="30" t="n"/>
      <c r="N6" s="31" t="n"/>
      <c r="O6" s="30">
        <f>IFERROR(INDEX('_courses_lookup'!$C:$C,MATCH(K6&amp;L6,'_courses_lookup'!$E:$E,0)),"")</f>
        <v/>
      </c>
      <c r="P6" s="30">
        <f>IFERROR(INDEX('_courses_lookup'!$D:$D,MATCH(K6&amp;L6,'_courses_lookup'!$E:$E,0)),"")</f>
        <v/>
      </c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  <c r="AG6" s="30">
        <f>IF(AND(AE6&lt;&gt;"",AF6&lt;&gt;""),ROUNDUP((AF6-AE6)/7,0),"")</f>
        <v/>
      </c>
      <c r="AH6" s="30" t="n"/>
      <c r="AI6" s="30">
        <f>IFERROR(IF(AG6*AH6=0,"",AG6*AH6),"")</f>
        <v/>
      </c>
      <c r="AJ6" s="30" t="n"/>
      <c r="AK6" s="30" t="n"/>
      <c r="AL6" s="30">
        <f>IF(AND(AJ6&lt;&gt;"",AK6&lt;&gt;""),ROUNDUP((AK6-AJ6)/7,0),"")</f>
        <v/>
      </c>
      <c r="AM6" s="30" t="n"/>
      <c r="AN6" s="30">
        <f>IFERROR(IF(AL6*AM6=0,"",AL6*AM6),"")</f>
        <v/>
      </c>
      <c r="AO6" s="30" t="n"/>
      <c r="AP6" s="30" t="n"/>
      <c r="AQ6" s="30">
        <f>IF(AND(AO6&lt;&gt;"",AP6&lt;&gt;""),ROUNDUP((AP6-AO6)/7,0),"")</f>
        <v/>
      </c>
      <c r="AR6" s="30">
        <f>IFERROR(IF((AU6-(AI6+AN6))/AQ6=0,"",ROUNDUP((AU6-(AI6+AN6))/AQ6,0)),"")</f>
        <v/>
      </c>
      <c r="AS6" s="30">
        <f>IFERROR(IF((AU6-(AI6+AN6))=0,"",(AU6-(AI6+AN6))),"")</f>
        <v/>
      </c>
      <c r="AT6" s="30">
        <f>IF(AND(AG6="",AQ6=""),AL6,IF(SUM(AG6,AL6,AQ6)=0,"",SUM(AG6,AL6,AQ6)))</f>
        <v/>
      </c>
      <c r="AU6" s="30" t="n"/>
      <c r="AV6" s="30" t="n"/>
      <c r="AW6" s="30" t="n"/>
      <c r="AX6" s="30" t="n"/>
      <c r="AY6" s="30" t="n"/>
      <c r="AZ6" s="30" t="n"/>
      <c r="BA6" s="30" t="n"/>
      <c r="BB6" s="30" t="n"/>
      <c r="BC6" s="30" t="n"/>
      <c r="BD6" s="30" t="n"/>
      <c r="BE6" s="30" t="n"/>
      <c r="BF6" s="30" t="n"/>
      <c r="BG6" s="30">
        <f>IF(AD6="","",YEAR(AD6)+IF(MONTH(AD6)&gt;=5,1,0))</f>
        <v/>
      </c>
      <c r="BH6" s="34">
        <f>IF(AD6="","",IF(AND(MONTH(AD6)=8,DAY(AD6)&gt;=15),"Fall",IF(MONTH(AD6)&gt;8,"Fall",IF(MONTH(AD6)=5,"Summer",IF(MONTH(AD6)=1,"Spring","")))))</f>
        <v/>
      </c>
      <c r="BI6" s="30" t="n"/>
      <c r="BJ6" s="30" t="n"/>
      <c r="BK6" s="32" t="n"/>
      <c r="BL6" s="32">
        <f>IFERROR(INDEX('_names_lookup'!$C:$C,MATCH(BK6,'_names_lookup'!$A:$A,0)),"")</f>
        <v/>
      </c>
      <c r="BM6" s="33">
        <f>IFERROR(INDEX('_names_lookup'!$B:$B,MATCH(BK6,'_names_lookup'!$A:$A,0)),"")</f>
        <v/>
      </c>
      <c r="BN6" s="37" t="n"/>
      <c r="BO6" s="34" t="n"/>
      <c r="BP6" s="33" t="n"/>
      <c r="BQ6" s="34" t="n"/>
      <c r="BR6" s="34" t="n"/>
      <c r="BS6" s="34">
        <f>IFERROR(IF(BR6*AA6=0,"",BR6*AA6),"")</f>
        <v/>
      </c>
      <c r="BT6" s="34" t="n"/>
      <c r="BU6" s="30" t="n"/>
      <c r="BV6" s="30" t="n"/>
      <c r="BW6" s="34" t="n"/>
      <c r="BX6" s="34" t="n"/>
      <c r="BY6" s="34" t="n"/>
      <c r="BZ6" s="30" t="n"/>
      <c r="CA6" s="30" t="n"/>
      <c r="CB6" s="30" t="n"/>
      <c r="CC6" s="30" t="n"/>
      <c r="CD6" s="30" t="n"/>
      <c r="CE6" s="30" t="n"/>
      <c r="CF6" s="30" t="n"/>
      <c r="CG6" s="30" t="n"/>
      <c r="CH6" s="30" t="n"/>
      <c r="CI6" s="30" t="n"/>
      <c r="CJ6" s="30" t="n"/>
      <c r="CK6" s="30" t="n"/>
      <c r="CL6" s="30" t="n"/>
      <c r="CM6" s="30" t="n"/>
      <c r="CN6" s="30" t="n"/>
      <c r="CO6" s="30" t="n"/>
      <c r="CP6" s="30" t="n"/>
      <c r="CQ6" s="30" t="n"/>
      <c r="CR6" s="30" t="n"/>
      <c r="CS6" s="30" t="n"/>
      <c r="CT6" s="30" t="n"/>
      <c r="CU6" s="30" t="n"/>
      <c r="CV6" s="30" t="n"/>
      <c r="CW6" s="30" t="n"/>
      <c r="CX6" s="30" t="n"/>
      <c r="CY6" s="30" t="n"/>
      <c r="CZ6" s="30" t="n"/>
      <c r="DA6" s="30" t="n"/>
      <c r="DB6" s="30" t="n"/>
      <c r="DC6" s="30" t="n"/>
      <c r="DD6" s="30" t="n"/>
      <c r="DE6" s="30" t="n"/>
      <c r="DF6" s="30" t="n"/>
      <c r="DG6" s="30" t="n"/>
      <c r="DH6" s="30" t="n"/>
      <c r="DI6" s="30" t="n"/>
      <c r="DJ6" s="30" t="n"/>
      <c r="DK6" s="30" t="n"/>
      <c r="DL6" s="30" t="n"/>
      <c r="DM6" s="30" t="n"/>
      <c r="DN6" s="30" t="n"/>
      <c r="DO6" s="30" t="n"/>
      <c r="DP6" s="34" t="n"/>
      <c r="DQ6" s="34" t="n"/>
    </row>
    <row r="7" ht="16" customHeight="1">
      <c r="A7" s="36" t="n"/>
      <c r="B7" s="36" t="n"/>
      <c r="C7" s="36" t="n"/>
      <c r="D7" s="36" t="n"/>
      <c r="E7" s="36" t="n"/>
      <c r="F7" s="36" t="n"/>
      <c r="G7" s="29" t="n"/>
      <c r="H7" s="30" t="n"/>
      <c r="I7" s="30" t="n"/>
      <c r="J7" s="30" t="n"/>
      <c r="K7" s="30" t="n"/>
      <c r="L7" s="30" t="n"/>
      <c r="M7" s="30" t="n"/>
      <c r="N7" s="31" t="n"/>
      <c r="O7" s="30">
        <f>IFERROR(INDEX('_courses_lookup'!$C:$C,MATCH(K7&amp;L7,'_courses_lookup'!$E:$E,0)),"")</f>
        <v/>
      </c>
      <c r="P7" s="30">
        <f>IFERROR(INDEX('_courses_lookup'!$D:$D,MATCH(K7&amp;L7,'_courses_lookup'!$E:$E,0)),"")</f>
        <v/>
      </c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0">
        <f>IF(AND(AE7&lt;&gt;"",AF7&lt;&gt;""),ROUNDUP((AF7-AE7)/7,0),"")</f>
        <v/>
      </c>
      <c r="AH7" s="30" t="n"/>
      <c r="AI7" s="30">
        <f>IFERROR(IF(AG7*AH7=0,"",AG7*AH7),"")</f>
        <v/>
      </c>
      <c r="AJ7" s="30" t="n"/>
      <c r="AK7" s="30" t="n"/>
      <c r="AL7" s="30">
        <f>IF(AND(AJ7&lt;&gt;"",AK7&lt;&gt;""),ROUNDUP((AK7-AJ7)/7,0),"")</f>
        <v/>
      </c>
      <c r="AM7" s="30" t="n"/>
      <c r="AN7" s="30">
        <f>IFERROR(IF(AL7*AM7=0,"",AL7*AM7),"")</f>
        <v/>
      </c>
      <c r="AO7" s="30" t="n"/>
      <c r="AP7" s="30" t="n"/>
      <c r="AQ7" s="30">
        <f>IF(AND(AO7&lt;&gt;"",AP7&lt;&gt;""),ROUNDUP((AP7-AO7)/7,0),"")</f>
        <v/>
      </c>
      <c r="AR7" s="30">
        <f>IFERROR(IF((AU7-(AI7+AN7))/AQ7=0,"",ROUNDUP((AU7-(AI7+AN7))/AQ7,0)),"")</f>
        <v/>
      </c>
      <c r="AS7" s="30">
        <f>IFERROR(IF((AU7-(AI7+AN7))=0,"",(AU7-(AI7+AN7))),"")</f>
        <v/>
      </c>
      <c r="AT7" s="30">
        <f>IF(AND(AG7="",AQ7=""),AL7,IF(SUM(AG7,AL7,AQ7)=0,"",SUM(AG7,AL7,AQ7)))</f>
        <v/>
      </c>
      <c r="AU7" s="30" t="n"/>
      <c r="AV7" s="30" t="n"/>
      <c r="AW7" s="30" t="n"/>
      <c r="AX7" s="30" t="n"/>
      <c r="AY7" s="30" t="n"/>
      <c r="AZ7" s="30" t="n"/>
      <c r="BA7" s="30" t="n"/>
      <c r="BB7" s="30" t="n"/>
      <c r="BC7" s="30" t="n"/>
      <c r="BD7" s="30" t="n"/>
      <c r="BE7" s="30" t="n"/>
      <c r="BF7" s="30" t="n"/>
      <c r="BG7" s="30">
        <f>IF(AD7="","",YEAR(AD7)+IF(MONTH(AD7)&gt;=5,1,0))</f>
        <v/>
      </c>
      <c r="BH7" s="34">
        <f>IF(AD7="","",IF(AND(MONTH(AD7)=8,DAY(AD7)&gt;=15),"Fall",IF(MONTH(AD7)&gt;8,"Fall",IF(MONTH(AD7)=5,"Summer",IF(MONTH(AD7)=1,"Spring","")))))</f>
        <v/>
      </c>
      <c r="BI7" s="30" t="n"/>
      <c r="BJ7" s="30" t="n"/>
      <c r="BK7" s="32" t="n"/>
      <c r="BL7" s="32">
        <f>IFERROR(INDEX('_names_lookup'!$C:$C,MATCH(BK7,'_names_lookup'!$A:$A,0)),"")</f>
        <v/>
      </c>
      <c r="BM7" s="33">
        <f>IFERROR(INDEX('_names_lookup'!$B:$B,MATCH(BK7,'_names_lookup'!$A:$A,0)),"")</f>
        <v/>
      </c>
      <c r="BN7" s="37" t="n"/>
      <c r="BO7" s="34" t="n"/>
      <c r="BP7" s="34" t="n"/>
      <c r="BQ7" s="34" t="n"/>
      <c r="BR7" s="34" t="n"/>
      <c r="BS7" s="34">
        <f>IFERROR(IF(BR7*AA7=0,"",BR7*AA7),"")</f>
        <v/>
      </c>
      <c r="BT7" s="34" t="n"/>
      <c r="BU7" s="30" t="n"/>
      <c r="BV7" s="30" t="n"/>
      <c r="BW7" s="34" t="n"/>
      <c r="BX7" s="34" t="n"/>
      <c r="BY7" s="34" t="n"/>
      <c r="BZ7" s="30" t="n"/>
      <c r="CA7" s="30" t="n"/>
      <c r="CB7" s="30" t="n"/>
      <c r="CC7" s="30" t="n"/>
      <c r="CD7" s="30" t="n"/>
      <c r="CE7" s="30" t="n"/>
      <c r="CF7" s="30" t="n"/>
      <c r="CG7" s="30" t="n"/>
      <c r="CH7" s="30" t="n"/>
      <c r="CI7" s="30" t="n"/>
      <c r="CJ7" s="30" t="n"/>
      <c r="CK7" s="30" t="n"/>
      <c r="CL7" s="30" t="n"/>
      <c r="CM7" s="30" t="n"/>
      <c r="CN7" s="30" t="n"/>
      <c r="CO7" s="30" t="n"/>
      <c r="CP7" s="30" t="n"/>
      <c r="CQ7" s="30" t="n"/>
      <c r="CR7" s="30" t="n"/>
      <c r="CS7" s="30" t="n"/>
      <c r="CT7" s="30" t="n"/>
      <c r="CU7" s="30" t="n"/>
      <c r="CV7" s="30" t="n"/>
      <c r="CW7" s="30" t="n"/>
      <c r="CX7" s="30" t="n"/>
      <c r="CY7" s="30" t="n"/>
      <c r="CZ7" s="30" t="n"/>
      <c r="DA7" s="30" t="n"/>
      <c r="DB7" s="30" t="n"/>
      <c r="DC7" s="30" t="n"/>
      <c r="DD7" s="30" t="n"/>
      <c r="DE7" s="30" t="n"/>
      <c r="DF7" s="30" t="n"/>
      <c r="DG7" s="30" t="n"/>
      <c r="DH7" s="30" t="n"/>
      <c r="DI7" s="30" t="n"/>
      <c r="DJ7" s="30" t="n"/>
      <c r="DK7" s="30" t="n"/>
      <c r="DL7" s="30" t="n"/>
      <c r="DM7" s="30" t="n"/>
      <c r="DN7" s="30" t="n"/>
      <c r="DO7" s="30" t="n"/>
      <c r="DP7" s="34" t="n"/>
      <c r="DQ7" s="34" t="n"/>
    </row>
    <row r="8" ht="16" customHeight="1">
      <c r="A8" s="36" t="n"/>
      <c r="B8" s="36" t="n"/>
      <c r="C8" s="36" t="n"/>
      <c r="D8" s="36" t="n"/>
      <c r="E8" s="36" t="n"/>
      <c r="F8" s="36" t="n"/>
      <c r="G8" s="29" t="n"/>
      <c r="H8" s="30" t="n"/>
      <c r="I8" s="30" t="n"/>
      <c r="J8" s="30" t="n"/>
      <c r="K8" s="30" t="n"/>
      <c r="L8" s="30" t="n"/>
      <c r="M8" s="30" t="n"/>
      <c r="N8" s="31" t="n"/>
      <c r="O8" s="30">
        <f>IFERROR(INDEX('_courses_lookup'!$C:$C,MATCH(K8&amp;L8,'_courses_lookup'!$E:$E,0)),"")</f>
        <v/>
      </c>
      <c r="P8" s="30">
        <f>IFERROR(INDEX('_courses_lookup'!$D:$D,MATCH(K8&amp;L8,'_courses_lookup'!$E:$E,0)),"")</f>
        <v/>
      </c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0" t="n"/>
      <c r="AE8" s="30" t="n"/>
      <c r="AF8" s="30" t="n"/>
      <c r="AG8" s="30">
        <f>IF(AND(AE8&lt;&gt;"",AF8&lt;&gt;""),ROUNDUP((AF8-AE8)/7,0),"")</f>
        <v/>
      </c>
      <c r="AH8" s="30" t="n"/>
      <c r="AI8" s="30">
        <f>IFERROR(IF(AG8*AH8=0,"",AG8*AH8),"")</f>
        <v/>
      </c>
      <c r="AJ8" s="30" t="n"/>
      <c r="AK8" s="30" t="n"/>
      <c r="AL8" s="30">
        <f>IF(AND(AJ8&lt;&gt;"",AK8&lt;&gt;""),ROUNDUP((AK8-AJ8)/7,0),"")</f>
        <v/>
      </c>
      <c r="AM8" s="30" t="n"/>
      <c r="AN8" s="30">
        <f>IFERROR(IF(AL8*AM8=0,"",AL8*AM8),"")</f>
        <v/>
      </c>
      <c r="AO8" s="30" t="n"/>
      <c r="AP8" s="30" t="n"/>
      <c r="AQ8" s="30">
        <f>IF(AND(AO8&lt;&gt;"",AP8&lt;&gt;""),ROUNDUP((AP8-AO8)/7,0),"")</f>
        <v/>
      </c>
      <c r="AR8" s="30">
        <f>IFERROR(IF((AU8-(AI8+AN8))/AQ8=0,"",ROUNDUP((AU8-(AI8+AN8))/AQ8,0)),"")</f>
        <v/>
      </c>
      <c r="AS8" s="30">
        <f>IFERROR(IF((AU8-(AI8+AN8))=0,"",(AU8-(AI8+AN8))),"")</f>
        <v/>
      </c>
      <c r="AT8" s="30">
        <f>IF(AND(AG8="",AQ8=""),AL8,IF(SUM(AG8,AL8,AQ8)=0,"",SUM(AG8,AL8,AQ8)))</f>
        <v/>
      </c>
      <c r="AU8" s="30" t="n"/>
      <c r="AV8" s="30" t="n"/>
      <c r="AW8" s="30" t="n"/>
      <c r="AX8" s="30" t="n"/>
      <c r="AY8" s="30" t="n"/>
      <c r="AZ8" s="30" t="n"/>
      <c r="BA8" s="30" t="n"/>
      <c r="BB8" s="30" t="n"/>
      <c r="BC8" s="30" t="n"/>
      <c r="BD8" s="30" t="n"/>
      <c r="BE8" s="30" t="n"/>
      <c r="BF8" s="30" t="n"/>
      <c r="BG8" s="30">
        <f>IF(AD8="","",YEAR(AD8)+IF(MONTH(AD8)&gt;=5,1,0))</f>
        <v/>
      </c>
      <c r="BH8" s="34">
        <f>IF(AD8="","",IF(AND(MONTH(AD8)=8,DAY(AD8)&gt;=15),"Fall",IF(MONTH(AD8)&gt;8,"Fall",IF(MONTH(AD8)=5,"Summer",IF(MONTH(AD8)=1,"Spring","")))))</f>
        <v/>
      </c>
      <c r="BI8" s="30" t="n"/>
      <c r="BJ8" s="30" t="n"/>
      <c r="BK8" s="32" t="n"/>
      <c r="BL8" s="32">
        <f>IFERROR(INDEX('_names_lookup'!$C:$C,MATCH(BK8,'_names_lookup'!$A:$A,0)),"")</f>
        <v/>
      </c>
      <c r="BM8" s="33">
        <f>IFERROR(INDEX('_names_lookup'!$B:$B,MATCH(BK8,'_names_lookup'!$A:$A,0)),"")</f>
        <v/>
      </c>
      <c r="BN8" s="37" t="n"/>
      <c r="BO8" s="34" t="n"/>
      <c r="BP8" s="34" t="n"/>
      <c r="BQ8" s="34" t="n"/>
      <c r="BR8" s="34" t="n"/>
      <c r="BS8" s="34">
        <f>IFERROR(IF(BR8*AA8=0,"",BR8*AA8),"")</f>
        <v/>
      </c>
      <c r="BT8" s="34" t="n"/>
      <c r="BU8" s="30" t="n"/>
      <c r="BV8" s="30" t="n"/>
      <c r="BW8" s="34" t="n"/>
      <c r="BX8" s="34" t="n"/>
      <c r="BY8" s="34" t="n"/>
      <c r="BZ8" s="30" t="n"/>
      <c r="CA8" s="30" t="n"/>
      <c r="CB8" s="30" t="n"/>
      <c r="CC8" s="30" t="n"/>
      <c r="CD8" s="30" t="n"/>
      <c r="CE8" s="30" t="n"/>
      <c r="CF8" s="30" t="n"/>
      <c r="CG8" s="30" t="n"/>
      <c r="CH8" s="30" t="n"/>
      <c r="CI8" s="30" t="n"/>
      <c r="CJ8" s="30" t="n"/>
      <c r="CK8" s="30" t="n"/>
      <c r="CL8" s="30" t="n"/>
      <c r="CM8" s="30" t="n"/>
      <c r="CN8" s="30" t="n"/>
      <c r="CO8" s="30" t="n"/>
      <c r="CP8" s="30" t="n"/>
      <c r="CQ8" s="30" t="n"/>
      <c r="CR8" s="30" t="n"/>
      <c r="CS8" s="30" t="n"/>
      <c r="CT8" s="30" t="n"/>
      <c r="CU8" s="30" t="n"/>
      <c r="CV8" s="30" t="n"/>
      <c r="CW8" s="30" t="n"/>
      <c r="CX8" s="30" t="n"/>
      <c r="CY8" s="30" t="n"/>
      <c r="CZ8" s="30" t="n"/>
      <c r="DA8" s="30" t="n"/>
      <c r="DB8" s="30" t="n"/>
      <c r="DC8" s="30" t="n"/>
      <c r="DD8" s="30" t="n"/>
      <c r="DE8" s="30" t="n"/>
      <c r="DF8" s="30" t="n"/>
      <c r="DG8" s="30" t="n"/>
      <c r="DH8" s="30" t="n"/>
      <c r="DI8" s="30" t="n"/>
      <c r="DJ8" s="30" t="n"/>
      <c r="DK8" s="30" t="n"/>
      <c r="DL8" s="30" t="n"/>
      <c r="DM8" s="30" t="n"/>
      <c r="DN8" s="30" t="n"/>
      <c r="DO8" s="30" t="n"/>
      <c r="DP8" s="34" t="n"/>
      <c r="DQ8" s="34" t="n"/>
    </row>
    <row r="9" ht="16" customHeight="1">
      <c r="A9" s="36" t="n"/>
      <c r="B9" s="36" t="n"/>
      <c r="C9" s="36" t="n"/>
      <c r="D9" s="36" t="n"/>
      <c r="E9" s="36" t="n"/>
      <c r="F9" s="36" t="n"/>
      <c r="G9" s="29" t="n"/>
      <c r="H9" s="30" t="n"/>
      <c r="I9" s="30" t="n"/>
      <c r="J9" s="30" t="n"/>
      <c r="K9" s="30" t="n"/>
      <c r="L9" s="30" t="n"/>
      <c r="M9" s="30" t="n"/>
      <c r="N9" s="31" t="n"/>
      <c r="O9" s="30">
        <f>IFERROR(INDEX('_courses_lookup'!$C:$C,MATCH(K9&amp;L9,'_courses_lookup'!$E:$E,0)),"")</f>
        <v/>
      </c>
      <c r="P9" s="30">
        <f>IFERROR(INDEX('_courses_lookup'!$D:$D,MATCH(K9&amp;L9,'_courses_lookup'!$E:$E,0)),"")</f>
        <v/>
      </c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0" t="n"/>
      <c r="AE9" s="30" t="n"/>
      <c r="AF9" s="30" t="n"/>
      <c r="AG9" s="30">
        <f>IF(AND(AE9&lt;&gt;"",AF9&lt;&gt;""),ROUNDUP((AF9-AE9)/7,0),"")</f>
        <v/>
      </c>
      <c r="AH9" s="30" t="n"/>
      <c r="AI9" s="30">
        <f>IFERROR(IF(AG9*AH9=0,"",AG9*AH9),"")</f>
        <v/>
      </c>
      <c r="AJ9" s="30" t="n"/>
      <c r="AK9" s="30" t="n"/>
      <c r="AL9" s="30">
        <f>IF(AND(AJ9&lt;&gt;"",AK9&lt;&gt;""),ROUNDUP((AK9-AJ9)/7,0),"")</f>
        <v/>
      </c>
      <c r="AM9" s="30" t="n"/>
      <c r="AN9" s="30">
        <f>IFERROR(IF(AL9*AM9=0,"",AL9*AM9),"")</f>
        <v/>
      </c>
      <c r="AO9" s="30" t="n"/>
      <c r="AP9" s="30" t="n"/>
      <c r="AQ9" s="30">
        <f>IF(AND(AO9&lt;&gt;"",AP9&lt;&gt;""),ROUNDUP((AP9-AO9)/7,0),"")</f>
        <v/>
      </c>
      <c r="AR9" s="30">
        <f>IFERROR(IF((AU9-(AI9+AN9))/AQ9=0,"",ROUNDUP((AU9-(AI9+AN9))/AQ9,0)),"")</f>
        <v/>
      </c>
      <c r="AS9" s="30">
        <f>IFERROR(IF((AU9-(AI9+AN9))=0,"",(AU9-(AI9+AN9))),"")</f>
        <v/>
      </c>
      <c r="AT9" s="30">
        <f>IF(AND(AG9="",AQ9=""),AL9,IF(SUM(AG9,AL9,AQ9)=0,"",SUM(AG9,AL9,AQ9)))</f>
        <v/>
      </c>
      <c r="AU9" s="30" t="n"/>
      <c r="AV9" s="30" t="n"/>
      <c r="AW9" s="30" t="n"/>
      <c r="AX9" s="30" t="n"/>
      <c r="AY9" s="30" t="n"/>
      <c r="AZ9" s="30" t="n"/>
      <c r="BA9" s="30" t="n"/>
      <c r="BB9" s="30" t="n"/>
      <c r="BC9" s="30" t="n"/>
      <c r="BD9" s="30" t="n"/>
      <c r="BE9" s="30" t="n"/>
      <c r="BF9" s="30" t="n"/>
      <c r="BG9" s="30">
        <f>IF(AD9="","",YEAR(AD9)+IF(MONTH(AD9)&gt;=5,1,0))</f>
        <v/>
      </c>
      <c r="BH9" s="34">
        <f>IF(AD9="","",IF(AND(MONTH(AD9)=8,DAY(AD9)&gt;=15),"Fall",IF(MONTH(AD9)&gt;8,"Fall",IF(MONTH(AD9)=5,"Summer",IF(MONTH(AD9)=1,"Spring","")))))</f>
        <v/>
      </c>
      <c r="BI9" s="30" t="n"/>
      <c r="BJ9" s="30" t="n"/>
      <c r="BK9" s="32" t="n"/>
      <c r="BL9" s="32">
        <f>IFERROR(INDEX('_names_lookup'!$C:$C,MATCH(BK9,'_names_lookup'!$A:$A,0)),"")</f>
        <v/>
      </c>
      <c r="BM9" s="33">
        <f>IFERROR(INDEX('_names_lookup'!$B:$B,MATCH(BK9,'_names_lookup'!$A:$A,0)),"")</f>
        <v/>
      </c>
      <c r="BN9" s="37" t="n"/>
      <c r="BO9" s="34" t="n"/>
      <c r="BP9" s="34" t="n"/>
      <c r="BQ9" s="34" t="n"/>
      <c r="BR9" s="34" t="n"/>
      <c r="BS9" s="34">
        <f>IFERROR(IF(BR9*AA9=0,"",BR9*AA9),"")</f>
        <v/>
      </c>
      <c r="BT9" s="34" t="n"/>
      <c r="BU9" s="30" t="n"/>
      <c r="BV9" s="30" t="n"/>
      <c r="BW9" s="34" t="n"/>
      <c r="BX9" s="34" t="n"/>
      <c r="BY9" s="34" t="n"/>
      <c r="BZ9" s="30" t="n"/>
      <c r="CA9" s="30" t="n"/>
      <c r="CB9" s="30" t="n"/>
      <c r="CC9" s="30" t="n"/>
      <c r="CD9" s="30" t="n"/>
      <c r="CE9" s="30" t="n"/>
      <c r="CF9" s="30" t="n"/>
      <c r="CG9" s="30" t="n"/>
      <c r="CH9" s="30" t="n"/>
      <c r="CI9" s="30" t="n"/>
      <c r="CJ9" s="30" t="n"/>
      <c r="CK9" s="30" t="n"/>
      <c r="CL9" s="30" t="n"/>
      <c r="CM9" s="30" t="n"/>
      <c r="CN9" s="30" t="n"/>
      <c r="CO9" s="30" t="n"/>
      <c r="CP9" s="30" t="n"/>
      <c r="CQ9" s="30" t="n"/>
      <c r="CR9" s="30" t="n"/>
      <c r="CS9" s="30" t="n"/>
      <c r="CT9" s="30" t="n"/>
      <c r="CU9" s="30" t="n"/>
      <c r="CV9" s="30" t="n"/>
      <c r="CW9" s="30" t="n"/>
      <c r="CX9" s="30" t="n"/>
      <c r="CY9" s="30" t="n"/>
      <c r="CZ9" s="30" t="n"/>
      <c r="DA9" s="30" t="n"/>
      <c r="DB9" s="30" t="n"/>
      <c r="DC9" s="30" t="n"/>
      <c r="DD9" s="30" t="n"/>
      <c r="DE9" s="30" t="n"/>
      <c r="DF9" s="30" t="n"/>
      <c r="DG9" s="30" t="n"/>
      <c r="DH9" s="30" t="n"/>
      <c r="DI9" s="30" t="n"/>
      <c r="DJ9" s="30" t="n"/>
      <c r="DK9" s="30" t="n"/>
      <c r="DL9" s="30" t="n"/>
      <c r="DM9" s="30" t="n"/>
      <c r="DN9" s="30" t="n"/>
      <c r="DO9" s="30" t="n"/>
      <c r="DP9" s="34" t="n"/>
      <c r="DQ9" s="34" t="n"/>
    </row>
    <row r="10" ht="16" customHeight="1">
      <c r="A10" s="36" t="n"/>
      <c r="B10" s="36" t="n"/>
      <c r="C10" s="36" t="n"/>
      <c r="D10" s="36" t="n"/>
      <c r="E10" s="36" t="n"/>
      <c r="F10" s="36" t="n"/>
      <c r="G10" s="29" t="n"/>
      <c r="H10" s="30" t="n"/>
      <c r="I10" s="30" t="n"/>
      <c r="J10" s="30" t="n"/>
      <c r="K10" s="30" t="n"/>
      <c r="L10" s="30" t="n"/>
      <c r="M10" s="30" t="n"/>
      <c r="N10" s="31" t="n"/>
      <c r="O10" s="30">
        <f>IFERROR(INDEX('_courses_lookup'!$C:$C,MATCH(K10&amp;L10,'_courses_lookup'!$E:$E,0)),"")</f>
        <v/>
      </c>
      <c r="P10" s="30">
        <f>IFERROR(INDEX('_courses_lookup'!$D:$D,MATCH(K10&amp;L10,'_courses_lookup'!$E:$E,0)),"")</f>
        <v/>
      </c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0" t="n"/>
      <c r="AE10" s="30" t="n"/>
      <c r="AF10" s="30" t="n"/>
      <c r="AG10" s="30">
        <f>IF(AND(AE10&lt;&gt;"",AF10&lt;&gt;""),ROUNDUP((AF10-AE10)/7,0),"")</f>
        <v/>
      </c>
      <c r="AH10" s="30" t="n"/>
      <c r="AI10" s="30">
        <f>IFERROR(IF(AG10*AH10=0,"",AG10*AH10),"")</f>
        <v/>
      </c>
      <c r="AJ10" s="30" t="n"/>
      <c r="AK10" s="30" t="n"/>
      <c r="AL10" s="30">
        <f>IF(AND(AJ10&lt;&gt;"",AK10&lt;&gt;""),ROUNDUP((AK10-AJ10)/7,0),"")</f>
        <v/>
      </c>
      <c r="AM10" s="30" t="n"/>
      <c r="AN10" s="30">
        <f>IFERROR(IF(AL10*AM10=0,"",AL10*AM10),"")</f>
        <v/>
      </c>
      <c r="AO10" s="30" t="n"/>
      <c r="AP10" s="30" t="n"/>
      <c r="AQ10" s="30">
        <f>IF(AND(AO10&lt;&gt;"",AP10&lt;&gt;""),ROUNDUP((AP10-AO10)/7,0),"")</f>
        <v/>
      </c>
      <c r="AR10" s="30">
        <f>IFERROR(IF((AU10-(AI10+AN10))/AQ10=0,"",ROUNDUP((AU10-(AI10+AN10))/AQ10,0)),"")</f>
        <v/>
      </c>
      <c r="AS10" s="30">
        <f>IFERROR(IF((AU10-(AI10+AN10))=0,"",(AU10-(AI10+AN10))),"")</f>
        <v/>
      </c>
      <c r="AT10" s="30">
        <f>IF(AND(AG10="",AQ10=""),AL10,IF(SUM(AG10,AL10,AQ10)=0,"",SUM(AG10,AL10,AQ10)))</f>
        <v/>
      </c>
      <c r="AU10" s="30" t="n"/>
      <c r="AV10" s="30" t="n"/>
      <c r="AW10" s="30" t="n"/>
      <c r="AX10" s="30" t="n"/>
      <c r="AY10" s="30" t="n"/>
      <c r="AZ10" s="30" t="n"/>
      <c r="BA10" s="30" t="n"/>
      <c r="BB10" s="30" t="n"/>
      <c r="BC10" s="30" t="n"/>
      <c r="BD10" s="30" t="n"/>
      <c r="BE10" s="30" t="n"/>
      <c r="BF10" s="30" t="n"/>
      <c r="BG10" s="30">
        <f>IF(AD10="","",YEAR(AD10)+IF(MONTH(AD10)&gt;=5,1,0))</f>
        <v/>
      </c>
      <c r="BH10" s="34">
        <f>IF(AD10="","",IF(AND(MONTH(AD10)=8,DAY(AD10)&gt;=15),"Fall",IF(MONTH(AD10)&gt;8,"Fall",IF(MONTH(AD10)=5,"Summer",IF(MONTH(AD10)=1,"Spring","")))))</f>
        <v/>
      </c>
      <c r="BI10" s="30" t="n"/>
      <c r="BJ10" s="30" t="n"/>
      <c r="BK10" s="32" t="n"/>
      <c r="BL10" s="32">
        <f>IFERROR(INDEX('_names_lookup'!$C:$C,MATCH(BK10,'_names_lookup'!$A:$A,0)),"")</f>
        <v/>
      </c>
      <c r="BM10" s="33">
        <f>IFERROR(INDEX('_names_lookup'!$B:$B,MATCH(BK10,'_names_lookup'!$A:$A,0)),"")</f>
        <v/>
      </c>
      <c r="BN10" s="37" t="n"/>
      <c r="BO10" s="34" t="n"/>
      <c r="BP10" s="34" t="n"/>
      <c r="BQ10" s="34" t="n"/>
      <c r="BR10" s="34" t="n"/>
      <c r="BS10" s="34">
        <f>IFERROR(IF(BR10*AA10=0,"",BR10*AA10),"")</f>
        <v/>
      </c>
      <c r="BT10" s="34" t="n"/>
      <c r="BU10" s="30" t="n"/>
      <c r="BV10" s="30" t="n"/>
      <c r="BW10" s="34" t="n"/>
      <c r="BX10" s="34" t="n"/>
      <c r="BY10" s="34" t="n"/>
      <c r="BZ10" s="30" t="n"/>
      <c r="CA10" s="30" t="n"/>
      <c r="CB10" s="30" t="n"/>
      <c r="CC10" s="30" t="n"/>
      <c r="CD10" s="30" t="n"/>
      <c r="CE10" s="30" t="n"/>
      <c r="CF10" s="30" t="n"/>
      <c r="CG10" s="30" t="n"/>
      <c r="CH10" s="30" t="n"/>
      <c r="CI10" s="30" t="n"/>
      <c r="CJ10" s="30" t="n"/>
      <c r="CK10" s="30" t="n"/>
      <c r="CL10" s="30" t="n"/>
      <c r="CM10" s="30" t="n"/>
      <c r="CN10" s="30" t="n"/>
      <c r="CO10" s="30" t="n"/>
      <c r="CP10" s="30" t="n"/>
      <c r="CQ10" s="30" t="n"/>
      <c r="CR10" s="30" t="n"/>
      <c r="CS10" s="30" t="n"/>
      <c r="CT10" s="30" t="n"/>
      <c r="CU10" s="30" t="n"/>
      <c r="CV10" s="30" t="n"/>
      <c r="CW10" s="30" t="n"/>
      <c r="CX10" s="30" t="n"/>
      <c r="CY10" s="30" t="n"/>
      <c r="CZ10" s="30" t="n"/>
      <c r="DA10" s="30" t="n"/>
      <c r="DB10" s="30" t="n"/>
      <c r="DC10" s="30" t="n"/>
      <c r="DD10" s="30" t="n"/>
      <c r="DE10" s="30" t="n"/>
      <c r="DF10" s="30" t="n"/>
      <c r="DG10" s="30" t="n"/>
      <c r="DH10" s="30" t="n"/>
      <c r="DI10" s="30" t="n"/>
      <c r="DJ10" s="30" t="n"/>
      <c r="DK10" s="30" t="n"/>
      <c r="DL10" s="30" t="n"/>
      <c r="DM10" s="30" t="n"/>
      <c r="DN10" s="30" t="n"/>
      <c r="DO10" s="30" t="n"/>
      <c r="DP10" s="34" t="n"/>
      <c r="DQ10" s="34" t="n"/>
    </row>
    <row r="11" ht="16" customHeight="1">
      <c r="A11" s="36" t="n"/>
      <c r="B11" s="36" t="n"/>
      <c r="C11" s="36" t="n"/>
      <c r="D11" s="36" t="n"/>
      <c r="E11" s="36" t="n"/>
      <c r="F11" s="36" t="n"/>
      <c r="G11" s="29" t="n"/>
      <c r="H11" s="30" t="n"/>
      <c r="I11" s="30" t="n"/>
      <c r="J11" s="30" t="n"/>
      <c r="K11" s="30" t="n"/>
      <c r="L11" s="30" t="n"/>
      <c r="M11" s="30" t="n"/>
      <c r="N11" s="31" t="n"/>
      <c r="O11" s="30">
        <f>IFERROR(INDEX('_courses_lookup'!$C:$C,MATCH(K11&amp;L11,'_courses_lookup'!$E:$E,0)),"")</f>
        <v/>
      </c>
      <c r="P11" s="30">
        <f>IFERROR(INDEX('_courses_lookup'!$D:$D,MATCH(K11&amp;L11,'_courses_lookup'!$E:$E,0)),"")</f>
        <v/>
      </c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0" t="n"/>
      <c r="AE11" s="30" t="n"/>
      <c r="AF11" s="30" t="n"/>
      <c r="AG11" s="30">
        <f>IF(AND(AE11&lt;&gt;"",AF11&lt;&gt;""),ROUNDUP((AF11-AE11)/7,0),"")</f>
        <v/>
      </c>
      <c r="AH11" s="30" t="n"/>
      <c r="AI11" s="30">
        <f>IFERROR(IF(AG11*AH11=0,"",AG11*AH11),"")</f>
        <v/>
      </c>
      <c r="AJ11" s="30" t="n"/>
      <c r="AK11" s="30" t="n"/>
      <c r="AL11" s="30">
        <f>IF(AND(AJ11&lt;&gt;"",AK11&lt;&gt;""),ROUNDUP((AK11-AJ11)/7,0),"")</f>
        <v/>
      </c>
      <c r="AM11" s="30" t="n"/>
      <c r="AN11" s="30">
        <f>IFERROR(IF(AL11*AM11=0,"",AL11*AM11),"")</f>
        <v/>
      </c>
      <c r="AO11" s="30" t="n"/>
      <c r="AP11" s="30" t="n"/>
      <c r="AQ11" s="30">
        <f>IF(AND(AO11&lt;&gt;"",AP11&lt;&gt;""),ROUNDUP((AP11-AO11)/7,0),"")</f>
        <v/>
      </c>
      <c r="AR11" s="30">
        <f>IFERROR(IF((AU11-(AI11+AN11))/AQ11=0,"",ROUNDUP((AU11-(AI11+AN11))/AQ11,0)),"")</f>
        <v/>
      </c>
      <c r="AS11" s="30">
        <f>IFERROR(IF((AU11-(AI11+AN11))=0,"",(AU11-(AI11+AN11))),"")</f>
        <v/>
      </c>
      <c r="AT11" s="30">
        <f>IF(AND(AG11="",AQ11=""),AL11,IF(SUM(AG11,AL11,AQ11)=0,"",SUM(AG11,AL11,AQ11)))</f>
        <v/>
      </c>
      <c r="AU11" s="30" t="n"/>
      <c r="AV11" s="30" t="n"/>
      <c r="AW11" s="30" t="n"/>
      <c r="AX11" s="30" t="n"/>
      <c r="AY11" s="30" t="n"/>
      <c r="AZ11" s="30" t="n"/>
      <c r="BA11" s="30" t="n"/>
      <c r="BB11" s="30" t="n"/>
      <c r="BC11" s="30" t="n"/>
      <c r="BD11" s="30" t="n"/>
      <c r="BE11" s="30" t="n"/>
      <c r="BF11" s="30" t="n"/>
      <c r="BG11" s="30">
        <f>IF(AD11="","",YEAR(AD11)+IF(MONTH(AD11)&gt;=5,1,0))</f>
        <v/>
      </c>
      <c r="BH11" s="34">
        <f>IF(AD11="","",IF(AND(MONTH(AD11)=8,DAY(AD11)&gt;=15),"Fall",IF(MONTH(AD11)&gt;8,"Fall",IF(MONTH(AD11)=5,"Summer",IF(MONTH(AD11)=1,"Spring","")))))</f>
        <v/>
      </c>
      <c r="BI11" s="30" t="n"/>
      <c r="BJ11" s="30" t="n"/>
      <c r="BK11" s="32" t="n"/>
      <c r="BL11" s="32">
        <f>IFERROR(INDEX('_names_lookup'!$C:$C,MATCH(BK11,'_names_lookup'!$A:$A,0)),"")</f>
        <v/>
      </c>
      <c r="BM11" s="33">
        <f>IFERROR(INDEX('_names_lookup'!$B:$B,MATCH(BK11,'_names_lookup'!$A:$A,0)),"")</f>
        <v/>
      </c>
      <c r="BN11" s="37" t="n"/>
      <c r="BO11" s="34" t="n"/>
      <c r="BP11" s="34" t="n"/>
      <c r="BQ11" s="34" t="n"/>
      <c r="BR11" s="34" t="n"/>
      <c r="BS11" s="34">
        <f>IFERROR(IF(BR11*AA11=0,"",BR11*AA11),"")</f>
        <v/>
      </c>
      <c r="BT11" s="34" t="n"/>
      <c r="BU11" s="30" t="n"/>
      <c r="BV11" s="30" t="n"/>
      <c r="BW11" s="34" t="n"/>
      <c r="BX11" s="34" t="n"/>
      <c r="BY11" s="34" t="n"/>
      <c r="BZ11" s="30" t="n"/>
      <c r="CA11" s="30" t="n"/>
      <c r="CB11" s="30" t="n"/>
      <c r="CC11" s="30" t="n"/>
      <c r="CD11" s="30" t="n"/>
      <c r="CE11" s="30" t="n"/>
      <c r="CF11" s="30" t="n"/>
      <c r="CG11" s="30" t="n"/>
      <c r="CH11" s="30" t="n"/>
      <c r="CI11" s="30" t="n"/>
      <c r="CJ11" s="30" t="n"/>
      <c r="CK11" s="30" t="n"/>
      <c r="CL11" s="30" t="n"/>
      <c r="CM11" s="30" t="n"/>
      <c r="CN11" s="30" t="n"/>
      <c r="CO11" s="30" t="n"/>
      <c r="CP11" s="30" t="n"/>
      <c r="CQ11" s="30" t="n"/>
      <c r="CR11" s="30" t="n"/>
      <c r="CS11" s="30" t="n"/>
      <c r="CT11" s="30" t="n"/>
      <c r="CU11" s="30" t="n"/>
      <c r="CV11" s="30" t="n"/>
      <c r="CW11" s="30" t="n"/>
      <c r="CX11" s="30" t="n"/>
      <c r="CY11" s="30" t="n"/>
      <c r="CZ11" s="30" t="n"/>
      <c r="DA11" s="30" t="n"/>
      <c r="DB11" s="30" t="n"/>
      <c r="DC11" s="30" t="n"/>
      <c r="DD11" s="30" t="n"/>
      <c r="DE11" s="30" t="n"/>
      <c r="DF11" s="30" t="n"/>
      <c r="DG11" s="30" t="n"/>
      <c r="DH11" s="30" t="n"/>
      <c r="DI11" s="30" t="n"/>
      <c r="DJ11" s="30" t="n"/>
      <c r="DK11" s="30" t="n"/>
      <c r="DL11" s="30" t="n"/>
      <c r="DM11" s="30" t="n"/>
      <c r="DN11" s="30" t="n"/>
      <c r="DO11" s="30" t="n"/>
      <c r="DP11" s="34" t="n"/>
      <c r="DQ11" s="34" t="n"/>
    </row>
    <row r="12" ht="16" customHeight="1">
      <c r="A12" s="36" t="n"/>
      <c r="B12" s="36" t="n"/>
      <c r="C12" s="36" t="n"/>
      <c r="D12" s="36" t="n"/>
      <c r="E12" s="36" t="n"/>
      <c r="F12" s="36" t="n"/>
      <c r="G12" s="29" t="n"/>
      <c r="H12" s="30" t="n"/>
      <c r="I12" s="30" t="n"/>
      <c r="J12" s="30" t="n"/>
      <c r="K12" s="30" t="n"/>
      <c r="L12" s="30" t="n"/>
      <c r="M12" s="30" t="n"/>
      <c r="N12" s="31" t="n"/>
      <c r="O12" s="30">
        <f>IFERROR(INDEX('_courses_lookup'!$C:$C,MATCH(K12&amp;L12,'_courses_lookup'!$E:$E,0)),"")</f>
        <v/>
      </c>
      <c r="P12" s="30">
        <f>IFERROR(INDEX('_courses_lookup'!$D:$D,MATCH(K12&amp;L12,'_courses_lookup'!$E:$E,0)),"")</f>
        <v/>
      </c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>
        <f>IF(AND(AE12&lt;&gt;"",AF12&lt;&gt;""),ROUNDUP((AF12-AE12)/7,0),"")</f>
        <v/>
      </c>
      <c r="AH12" s="30" t="n"/>
      <c r="AI12" s="30">
        <f>IFERROR(IF(AG12*AH12=0,"",AG12*AH12),"")</f>
        <v/>
      </c>
      <c r="AJ12" s="30" t="n"/>
      <c r="AK12" s="30" t="n"/>
      <c r="AL12" s="30">
        <f>IF(AND(AJ12&lt;&gt;"",AK12&lt;&gt;""),ROUNDUP((AK12-AJ12)/7,0),"")</f>
        <v/>
      </c>
      <c r="AM12" s="30" t="n"/>
      <c r="AN12" s="30">
        <f>IFERROR(IF(AL12*AM12=0,"",AL12*AM12),"")</f>
        <v/>
      </c>
      <c r="AO12" s="30" t="n"/>
      <c r="AP12" s="30" t="n"/>
      <c r="AQ12" s="30">
        <f>IF(AND(AO12&lt;&gt;"",AP12&lt;&gt;""),ROUNDUP((AP12-AO12)/7,0),"")</f>
        <v/>
      </c>
      <c r="AR12" s="30">
        <f>IFERROR(IF((AU12-(AI12+AN12))/AQ12=0,"",ROUNDUP((AU12-(AI12+AN12))/AQ12,0)),"")</f>
        <v/>
      </c>
      <c r="AS12" s="30">
        <f>IFERROR(IF((AU12-(AI12+AN12))=0,"",(AU12-(AI12+AN12))),"")</f>
        <v/>
      </c>
      <c r="AT12" s="30">
        <f>IF(AND(AG12="",AQ12=""),AL12,IF(SUM(AG12,AL12,AQ12)=0,"",SUM(AG12,AL12,AQ12)))</f>
        <v/>
      </c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>
        <f>IF(AD12="","",YEAR(AD12)+IF(MONTH(AD12)&gt;=5,1,0))</f>
        <v/>
      </c>
      <c r="BH12" s="34">
        <f>IF(AD12="","",IF(AND(MONTH(AD12)=8,DAY(AD12)&gt;=15),"Fall",IF(MONTH(AD12)&gt;8,"Fall",IF(MONTH(AD12)=5,"Summer",IF(MONTH(AD12)=1,"Spring","")))))</f>
        <v/>
      </c>
      <c r="BI12" s="30" t="n"/>
      <c r="BJ12" s="30" t="n"/>
      <c r="BK12" s="32" t="n"/>
      <c r="BL12" s="32">
        <f>IFERROR(INDEX('_names_lookup'!$C:$C,MATCH(BK12,'_names_lookup'!$A:$A,0)),"")</f>
        <v/>
      </c>
      <c r="BM12" s="33">
        <f>IFERROR(INDEX('_names_lookup'!$B:$B,MATCH(BK12,'_names_lookup'!$A:$A,0)),"")</f>
        <v/>
      </c>
      <c r="BN12" s="37" t="n"/>
      <c r="BO12" s="34" t="n"/>
      <c r="BP12" s="34" t="n"/>
      <c r="BQ12" s="34" t="n"/>
      <c r="BR12" s="34" t="n"/>
      <c r="BS12" s="34">
        <f>IFERROR(IF(BR12*AA12=0,"",BR12*AA12),"")</f>
        <v/>
      </c>
      <c r="BT12" s="34" t="n"/>
      <c r="BU12" s="34" t="n"/>
      <c r="BV12" s="30" t="n"/>
      <c r="BW12" s="34" t="n"/>
      <c r="BX12" s="34" t="n"/>
      <c r="BY12" s="34" t="n"/>
      <c r="BZ12" s="30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  <c r="CL12" s="30" t="n"/>
      <c r="CM12" s="30" t="n"/>
      <c r="CN12" s="30" t="n"/>
      <c r="CO12" s="30" t="n"/>
      <c r="CP12" s="30" t="n"/>
      <c r="CQ12" s="30" t="n"/>
      <c r="CR12" s="30" t="n"/>
      <c r="CS12" s="30" t="n"/>
      <c r="CT12" s="30" t="n"/>
      <c r="CU12" s="30" t="n"/>
      <c r="CV12" s="30" t="n"/>
      <c r="CW12" s="30" t="n"/>
      <c r="CX12" s="30" t="n"/>
      <c r="CY12" s="30" t="n"/>
      <c r="CZ12" s="30" t="n"/>
      <c r="DA12" s="30" t="n"/>
      <c r="DB12" s="30" t="n"/>
      <c r="DC12" s="30" t="n"/>
      <c r="DD12" s="30" t="n"/>
      <c r="DE12" s="30" t="n"/>
      <c r="DF12" s="30" t="n"/>
      <c r="DG12" s="30" t="n"/>
      <c r="DH12" s="30" t="n"/>
      <c r="DI12" s="30" t="n"/>
      <c r="DJ12" s="30" t="n"/>
      <c r="DK12" s="30" t="n"/>
      <c r="DL12" s="30" t="n"/>
      <c r="DM12" s="30" t="n"/>
      <c r="DN12" s="30" t="n"/>
      <c r="DO12" s="30" t="n"/>
      <c r="DP12" s="34" t="n"/>
      <c r="DQ12" s="34" t="n"/>
    </row>
    <row r="13" ht="16" customHeight="1">
      <c r="A13" s="36" t="n"/>
      <c r="B13" s="36" t="n"/>
      <c r="C13" s="36" t="n"/>
      <c r="D13" s="36" t="n"/>
      <c r="E13" s="36" t="n"/>
      <c r="F13" s="36" t="n"/>
      <c r="G13" s="29" t="n"/>
      <c r="H13" s="30" t="n"/>
      <c r="I13" s="30" t="n"/>
      <c r="J13" s="30" t="n"/>
      <c r="K13" s="30" t="n"/>
      <c r="L13" s="30" t="n"/>
      <c r="M13" s="30" t="n"/>
      <c r="N13" s="31" t="n"/>
      <c r="O13" s="30">
        <f>IFERROR(INDEX('_courses_lookup'!$C:$C,MATCH(K13&amp;L13,'_courses_lookup'!$E:$E,0)),"")</f>
        <v/>
      </c>
      <c r="P13" s="30">
        <f>IFERROR(INDEX('_courses_lookup'!$D:$D,MATCH(K13&amp;L13,'_courses_lookup'!$E:$E,0)),"")</f>
        <v/>
      </c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0" t="n"/>
      <c r="AG13" s="30">
        <f>IF(AND(AE13&lt;&gt;"",AF13&lt;&gt;""),ROUNDUP((AF13-AE13)/7,0),"")</f>
        <v/>
      </c>
      <c r="AH13" s="30" t="n"/>
      <c r="AI13" s="30">
        <f>IFERROR(IF(AG13*AH13=0,"",AG13*AH13),"")</f>
        <v/>
      </c>
      <c r="AJ13" s="30" t="n"/>
      <c r="AK13" s="30" t="n"/>
      <c r="AL13" s="30">
        <f>IF(AND(AJ13&lt;&gt;"",AK13&lt;&gt;""),ROUNDUP((AK13-AJ13)/7,0),"")</f>
        <v/>
      </c>
      <c r="AM13" s="30" t="n"/>
      <c r="AN13" s="30">
        <f>IFERROR(IF(AL13*AM13=0,"",AL13*AM13),"")</f>
        <v/>
      </c>
      <c r="AO13" s="30" t="n"/>
      <c r="AP13" s="30" t="n"/>
      <c r="AQ13" s="30">
        <f>IF(AND(AO13&lt;&gt;"",AP13&lt;&gt;""),ROUNDUP((AP13-AO13)/7,0),"")</f>
        <v/>
      </c>
      <c r="AR13" s="30">
        <f>IFERROR(IF((AU13-(AI13+AN13))/AQ13=0,"",ROUNDUP((AU13-(AI13+AN13))/AQ13,0)),"")</f>
        <v/>
      </c>
      <c r="AS13" s="30">
        <f>IFERROR(IF((AU13-(AI13+AN13))=0,"",(AU13-(AI13+AN13))),"")</f>
        <v/>
      </c>
      <c r="AT13" s="30">
        <f>IF(AND(AG13="",AQ13=""),AL13,IF(SUM(AG13,AL13,AQ13)=0,"",SUM(AG13,AL13,AQ13)))</f>
        <v/>
      </c>
      <c r="AU13" s="30" t="n"/>
      <c r="AV13" s="30" t="n"/>
      <c r="AW13" s="30" t="n"/>
      <c r="AX13" s="30" t="n"/>
      <c r="AY13" s="30" t="n"/>
      <c r="AZ13" s="30" t="n"/>
      <c r="BA13" s="30" t="n"/>
      <c r="BB13" s="30" t="n"/>
      <c r="BC13" s="30" t="n"/>
      <c r="BD13" s="30" t="n"/>
      <c r="BE13" s="30" t="n"/>
      <c r="BF13" s="30" t="n"/>
      <c r="BG13" s="30">
        <f>IF(AD13="","",YEAR(AD13)+IF(MONTH(AD13)&gt;=5,1,0))</f>
        <v/>
      </c>
      <c r="BH13" s="34">
        <f>IF(AD13="","",IF(AND(MONTH(AD13)=8,DAY(AD13)&gt;=15),"Fall",IF(MONTH(AD13)&gt;8,"Fall",IF(MONTH(AD13)=5,"Summer",IF(MONTH(AD13)=1,"Spring","")))))</f>
        <v/>
      </c>
      <c r="BI13" s="30" t="n"/>
      <c r="BJ13" s="30" t="n"/>
      <c r="BK13" s="32" t="n"/>
      <c r="BL13" s="32">
        <f>IFERROR(INDEX('_names_lookup'!$C:$C,MATCH(BK13,'_names_lookup'!$A:$A,0)),"")</f>
        <v/>
      </c>
      <c r="BM13" s="33">
        <f>IFERROR(INDEX('_names_lookup'!$B:$B,MATCH(BK13,'_names_lookup'!$A:$A,0)),"")</f>
        <v/>
      </c>
      <c r="BN13" s="37" t="n"/>
      <c r="BO13" s="34" t="n"/>
      <c r="BP13" s="34" t="n"/>
      <c r="BQ13" s="34" t="n"/>
      <c r="BR13" s="34" t="n"/>
      <c r="BS13" s="34">
        <f>IFERROR(IF(BR13*AA13=0,"",BR13*AA13),"")</f>
        <v/>
      </c>
      <c r="BT13" s="34" t="n"/>
      <c r="BU13" s="34" t="n"/>
      <c r="BV13" s="30" t="n"/>
      <c r="BW13" s="34" t="n"/>
      <c r="BX13" s="34" t="n"/>
      <c r="BY13" s="34" t="n"/>
      <c r="BZ13" s="30" t="n"/>
      <c r="CA13" s="30" t="n"/>
      <c r="CB13" s="30" t="n"/>
      <c r="CC13" s="30" t="n"/>
      <c r="CD13" s="30" t="n"/>
      <c r="CE13" s="30" t="n"/>
      <c r="CF13" s="30" t="n"/>
      <c r="CG13" s="30" t="n"/>
      <c r="CH13" s="30" t="n"/>
      <c r="CI13" s="30" t="n"/>
      <c r="CJ13" s="30" t="n"/>
      <c r="CK13" s="30" t="n"/>
      <c r="CL13" s="30" t="n"/>
      <c r="CM13" s="30" t="n"/>
      <c r="CN13" s="30" t="n"/>
      <c r="CO13" s="30" t="n"/>
      <c r="CP13" s="30" t="n"/>
      <c r="CQ13" s="30" t="n"/>
      <c r="CR13" s="30" t="n"/>
      <c r="CS13" s="30" t="n"/>
      <c r="CT13" s="30" t="n"/>
      <c r="CU13" s="30" t="n"/>
      <c r="CV13" s="30" t="n"/>
      <c r="CW13" s="30" t="n"/>
      <c r="CX13" s="30" t="n"/>
      <c r="CY13" s="30" t="n"/>
      <c r="CZ13" s="30" t="n"/>
      <c r="DA13" s="30" t="n"/>
      <c r="DB13" s="30" t="n"/>
      <c r="DC13" s="30" t="n"/>
      <c r="DD13" s="30" t="n"/>
      <c r="DE13" s="30" t="n"/>
      <c r="DF13" s="30" t="n"/>
      <c r="DG13" s="30" t="n"/>
      <c r="DH13" s="30" t="n"/>
      <c r="DI13" s="30" t="n"/>
      <c r="DJ13" s="30" t="n"/>
      <c r="DK13" s="30" t="n"/>
      <c r="DL13" s="30" t="n"/>
      <c r="DM13" s="30" t="n"/>
      <c r="DN13" s="30" t="n"/>
      <c r="DO13" s="30" t="n"/>
      <c r="DP13" s="34" t="n"/>
      <c r="DQ13" s="34" t="n"/>
    </row>
    <row r="14" ht="16" customHeight="1">
      <c r="A14" s="36" t="n"/>
      <c r="B14" s="36" t="n"/>
      <c r="C14" s="36" t="n"/>
      <c r="D14" s="36" t="n"/>
      <c r="E14" s="36" t="n"/>
      <c r="F14" s="36" t="n"/>
      <c r="G14" s="29" t="n"/>
      <c r="H14" s="30" t="n"/>
      <c r="I14" s="30" t="n"/>
      <c r="J14" s="30" t="n"/>
      <c r="K14" s="30" t="n"/>
      <c r="L14" s="30" t="n"/>
      <c r="M14" s="30" t="n"/>
      <c r="N14" s="31" t="n"/>
      <c r="O14" s="30">
        <f>IFERROR(INDEX('_courses_lookup'!$C:$C,MATCH(K14&amp;L14,'_courses_lookup'!$E:$E,0)),"")</f>
        <v/>
      </c>
      <c r="P14" s="30">
        <f>IFERROR(INDEX('_courses_lookup'!$D:$D,MATCH(K14&amp;L14,'_courses_lookup'!$E:$E,0)),"")</f>
        <v/>
      </c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0" t="n"/>
      <c r="AE14" s="30" t="n"/>
      <c r="AF14" s="30" t="n"/>
      <c r="AG14" s="30">
        <f>IF(AND(AE14&lt;&gt;"",AF14&lt;&gt;""),ROUNDUP((AF14-AE14)/7,0),"")</f>
        <v/>
      </c>
      <c r="AH14" s="30" t="n"/>
      <c r="AI14" s="30">
        <f>IFERROR(IF(AG14*AH14=0,"",AG14*AH14),"")</f>
        <v/>
      </c>
      <c r="AJ14" s="30" t="n"/>
      <c r="AK14" s="30" t="n"/>
      <c r="AL14" s="30">
        <f>IF(AND(AJ14&lt;&gt;"",AK14&lt;&gt;""),ROUNDUP((AK14-AJ14)/7,0),"")</f>
        <v/>
      </c>
      <c r="AM14" s="30" t="n"/>
      <c r="AN14" s="30">
        <f>IFERROR(IF(AL14*AM14=0,"",AL14*AM14),"")</f>
        <v/>
      </c>
      <c r="AO14" s="30" t="n"/>
      <c r="AP14" s="30" t="n"/>
      <c r="AQ14" s="30">
        <f>IF(AND(AO14&lt;&gt;"",AP14&lt;&gt;""),ROUNDUP((AP14-AO14)/7,0),"")</f>
        <v/>
      </c>
      <c r="AR14" s="30">
        <f>IFERROR(IF((AU14-(AI14+AN14))/AQ14=0,"",ROUNDUP((AU14-(AI14+AN14))/AQ14,0)),"")</f>
        <v/>
      </c>
      <c r="AS14" s="30">
        <f>IFERROR(IF((AU14-(AI14+AN14))=0,"",(AU14-(AI14+AN14))),"")</f>
        <v/>
      </c>
      <c r="AT14" s="30">
        <f>IF(AND(AG14="",AQ14=""),AL14,IF(SUM(AG14,AL14,AQ14)=0,"",SUM(AG14,AL14,AQ14)))</f>
        <v/>
      </c>
      <c r="AU14" s="30" t="n"/>
      <c r="AV14" s="30" t="n"/>
      <c r="AW14" s="30" t="n"/>
      <c r="AX14" s="30" t="n"/>
      <c r="AY14" s="30" t="n"/>
      <c r="AZ14" s="30" t="n"/>
      <c r="BA14" s="30" t="n"/>
      <c r="BB14" s="30" t="n"/>
      <c r="BC14" s="30" t="n"/>
      <c r="BD14" s="30" t="n"/>
      <c r="BE14" s="30" t="n"/>
      <c r="BF14" s="30" t="n"/>
      <c r="BG14" s="30">
        <f>IF(AD14="","",YEAR(AD14)+IF(MONTH(AD14)&gt;=5,1,0))</f>
        <v/>
      </c>
      <c r="BH14" s="34">
        <f>IF(AD14="","",IF(AND(MONTH(AD14)=8,DAY(AD14)&gt;=15),"Fall",IF(MONTH(AD14)&gt;8,"Fall",IF(MONTH(AD14)=5,"Summer",IF(MONTH(AD14)=1,"Spring","")))))</f>
        <v/>
      </c>
      <c r="BI14" s="30" t="n"/>
      <c r="BJ14" s="30" t="n"/>
      <c r="BK14" s="32" t="n"/>
      <c r="BL14" s="32">
        <f>IFERROR(INDEX('_names_lookup'!$C:$C,MATCH(BK14,'_names_lookup'!$A:$A,0)),"")</f>
        <v/>
      </c>
      <c r="BM14" s="33">
        <f>IFERROR(INDEX('_names_lookup'!$B:$B,MATCH(BK14,'_names_lookup'!$A:$A,0)),"")</f>
        <v/>
      </c>
      <c r="BN14" s="37" t="n"/>
      <c r="BO14" s="34" t="n"/>
      <c r="BP14" s="34" t="n"/>
      <c r="BQ14" s="34" t="n"/>
      <c r="BR14" s="34" t="n"/>
      <c r="BS14" s="34">
        <f>IFERROR(IF(BR14*AA14=0,"",BR14*AA14),"")</f>
        <v/>
      </c>
      <c r="BT14" s="34" t="n"/>
      <c r="BU14" s="34" t="n"/>
      <c r="BV14" s="30" t="n"/>
      <c r="BW14" s="34" t="n"/>
      <c r="BX14" s="34" t="n"/>
      <c r="BY14" s="34" t="n"/>
      <c r="BZ14" s="30" t="n"/>
      <c r="CA14" s="30" t="n"/>
      <c r="CB14" s="30" t="n"/>
      <c r="CC14" s="30" t="n"/>
      <c r="CD14" s="30" t="n"/>
      <c r="CE14" s="30" t="n"/>
      <c r="CF14" s="30" t="n"/>
      <c r="CG14" s="30" t="n"/>
      <c r="CH14" s="30" t="n"/>
      <c r="CI14" s="30" t="n"/>
      <c r="CJ14" s="30" t="n"/>
      <c r="CK14" s="30" t="n"/>
      <c r="CL14" s="30" t="n"/>
      <c r="CM14" s="30" t="n"/>
      <c r="CN14" s="30" t="n"/>
      <c r="CO14" s="30" t="n"/>
      <c r="CP14" s="30" t="n"/>
      <c r="CQ14" s="30" t="n"/>
      <c r="CR14" s="30" t="n"/>
      <c r="CS14" s="30" t="n"/>
      <c r="CT14" s="30" t="n"/>
      <c r="CU14" s="30" t="n"/>
      <c r="CV14" s="30" t="n"/>
      <c r="CW14" s="30" t="n"/>
      <c r="CX14" s="30" t="n"/>
      <c r="CY14" s="30" t="n"/>
      <c r="CZ14" s="30" t="n"/>
      <c r="DA14" s="30" t="n"/>
      <c r="DB14" s="30" t="n"/>
      <c r="DC14" s="30" t="n"/>
      <c r="DD14" s="30" t="n"/>
      <c r="DE14" s="30" t="n"/>
      <c r="DF14" s="30" t="n"/>
      <c r="DG14" s="30" t="n"/>
      <c r="DH14" s="30" t="n"/>
      <c r="DI14" s="30" t="n"/>
      <c r="DJ14" s="30" t="n"/>
      <c r="DK14" s="30" t="n"/>
      <c r="DL14" s="30" t="n"/>
      <c r="DM14" s="30" t="n"/>
      <c r="DN14" s="30" t="n"/>
      <c r="DO14" s="30" t="n"/>
      <c r="DP14" s="34" t="n"/>
      <c r="DQ14" s="34" t="n"/>
    </row>
    <row r="15" ht="16" customHeight="1">
      <c r="A15" s="36" t="n"/>
      <c r="B15" s="36" t="n"/>
      <c r="C15" s="36" t="n"/>
      <c r="D15" s="36" t="n"/>
      <c r="E15" s="36" t="n"/>
      <c r="F15" s="36" t="n"/>
      <c r="G15" s="29" t="n"/>
      <c r="H15" s="30" t="n"/>
      <c r="I15" s="30" t="n"/>
      <c r="J15" s="30" t="n"/>
      <c r="K15" s="30" t="n"/>
      <c r="L15" s="30" t="n"/>
      <c r="M15" s="30" t="n"/>
      <c r="N15" s="31" t="n"/>
      <c r="O15" s="30">
        <f>IFERROR(INDEX('_courses_lookup'!$C:$C,MATCH(K15&amp;L15,'_courses_lookup'!$E:$E,0)),"")</f>
        <v/>
      </c>
      <c r="P15" s="30">
        <f>IFERROR(INDEX('_courses_lookup'!$D:$D,MATCH(K15&amp;L15,'_courses_lookup'!$E:$E,0)),"")</f>
        <v/>
      </c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0" t="n"/>
      <c r="AE15" s="30" t="n"/>
      <c r="AF15" s="30" t="n"/>
      <c r="AG15" s="30">
        <f>IF(AND(AE15&lt;&gt;"",AF15&lt;&gt;""),ROUNDUP((AF15-AE15)/7,0),"")</f>
        <v/>
      </c>
      <c r="AH15" s="30" t="n"/>
      <c r="AI15" s="30">
        <f>IFERROR(IF(AG15*AH15=0,"",AG15*AH15),"")</f>
        <v/>
      </c>
      <c r="AJ15" s="30" t="n"/>
      <c r="AK15" s="30" t="n"/>
      <c r="AL15" s="30">
        <f>IF(AND(AJ15&lt;&gt;"",AK15&lt;&gt;""),ROUNDUP((AK15-AJ15)/7,0),"")</f>
        <v/>
      </c>
      <c r="AM15" s="30" t="n"/>
      <c r="AN15" s="30">
        <f>IFERROR(IF(AL15*AM15=0,"",AL15*AM15),"")</f>
        <v/>
      </c>
      <c r="AO15" s="30" t="n"/>
      <c r="AP15" s="30" t="n"/>
      <c r="AQ15" s="30">
        <f>IF(AND(AO15&lt;&gt;"",AP15&lt;&gt;""),ROUNDUP((AP15-AO15)/7,0),"")</f>
        <v/>
      </c>
      <c r="AR15" s="30">
        <f>IFERROR(IF((AU15-(AI15+AN15))/AQ15=0,"",ROUNDUP((AU15-(AI15+AN15))/AQ15,0)),"")</f>
        <v/>
      </c>
      <c r="AS15" s="30">
        <f>IFERROR(IF((AU15-(AI15+AN15))=0,"",(AU15-(AI15+AN15))),"")</f>
        <v/>
      </c>
      <c r="AT15" s="30">
        <f>IF(AND(AG15="",AQ15=""),AL15,IF(SUM(AG15,AL15,AQ15)=0,"",SUM(AG15,AL15,AQ15)))</f>
        <v/>
      </c>
      <c r="AU15" s="30" t="n"/>
      <c r="AV15" s="30" t="n"/>
      <c r="AW15" s="30" t="n"/>
      <c r="AX15" s="30" t="n"/>
      <c r="AY15" s="30" t="n"/>
      <c r="AZ15" s="30" t="n"/>
      <c r="BA15" s="30" t="n"/>
      <c r="BB15" s="30" t="n"/>
      <c r="BC15" s="30" t="n"/>
      <c r="BD15" s="30" t="n"/>
      <c r="BE15" s="30" t="n"/>
      <c r="BF15" s="30" t="n"/>
      <c r="BG15" s="30">
        <f>IF(AD15="","",YEAR(AD15)+IF(MONTH(AD15)&gt;=5,1,0))</f>
        <v/>
      </c>
      <c r="BH15" s="34">
        <f>IF(AD15="","",IF(AND(MONTH(AD15)=8,DAY(AD15)&gt;=15),"Fall",IF(MONTH(AD15)&gt;8,"Fall",IF(MONTH(AD15)=5,"Summer",IF(MONTH(AD15)=1,"Spring","")))))</f>
        <v/>
      </c>
      <c r="BI15" s="30" t="n"/>
      <c r="BJ15" s="30" t="n"/>
      <c r="BK15" s="32" t="n"/>
      <c r="BL15" s="32">
        <f>IFERROR(INDEX('_names_lookup'!$C:$C,MATCH(BK15,'_names_lookup'!$A:$A,0)),"")</f>
        <v/>
      </c>
      <c r="BM15" s="33">
        <f>IFERROR(INDEX('_names_lookup'!$B:$B,MATCH(BK15,'_names_lookup'!$A:$A,0)),"")</f>
        <v/>
      </c>
      <c r="BN15" s="37" t="n"/>
      <c r="BO15" s="34" t="n"/>
      <c r="BP15" s="34" t="n"/>
      <c r="BQ15" s="34" t="n"/>
      <c r="BR15" s="34" t="n"/>
      <c r="BS15" s="34">
        <f>IFERROR(IF(BR15*AA15=0,"",BR15*AA15),"")</f>
        <v/>
      </c>
      <c r="BT15" s="34" t="n"/>
      <c r="BU15" s="34" t="n"/>
      <c r="BV15" s="30" t="n"/>
      <c r="BW15" s="34" t="n"/>
      <c r="BX15" s="34" t="n"/>
      <c r="BY15" s="34" t="n"/>
      <c r="BZ15" s="30" t="n"/>
      <c r="CA15" s="30" t="n"/>
      <c r="CB15" s="30" t="n"/>
      <c r="CC15" s="30" t="n"/>
      <c r="CD15" s="30" t="n"/>
      <c r="CE15" s="30" t="n"/>
      <c r="CF15" s="30" t="n"/>
      <c r="CG15" s="30" t="n"/>
      <c r="CH15" s="30" t="n"/>
      <c r="CI15" s="30" t="n"/>
      <c r="CJ15" s="30" t="n"/>
      <c r="CK15" s="30" t="n"/>
      <c r="CL15" s="30" t="n"/>
      <c r="CM15" s="30" t="n"/>
      <c r="CN15" s="30" t="n"/>
      <c r="CO15" s="30" t="n"/>
      <c r="CP15" s="30" t="n"/>
      <c r="CQ15" s="30" t="n"/>
      <c r="CR15" s="30" t="n"/>
      <c r="CS15" s="30" t="n"/>
      <c r="CT15" s="30" t="n"/>
      <c r="CU15" s="30" t="n"/>
      <c r="CV15" s="30" t="n"/>
      <c r="CW15" s="30" t="n"/>
      <c r="CX15" s="30" t="n"/>
      <c r="CY15" s="30" t="n"/>
      <c r="CZ15" s="30" t="n"/>
      <c r="DA15" s="30" t="n"/>
      <c r="DB15" s="30" t="n"/>
      <c r="DC15" s="30" t="n"/>
      <c r="DD15" s="30" t="n"/>
      <c r="DE15" s="30" t="n"/>
      <c r="DF15" s="30" t="n"/>
      <c r="DG15" s="30" t="n"/>
      <c r="DH15" s="30" t="n"/>
      <c r="DI15" s="30" t="n"/>
      <c r="DJ15" s="30" t="n"/>
      <c r="DK15" s="30" t="n"/>
      <c r="DL15" s="30" t="n"/>
      <c r="DM15" s="30" t="n"/>
      <c r="DN15" s="30" t="n"/>
      <c r="DO15" s="30" t="n"/>
      <c r="DP15" s="34" t="n"/>
      <c r="DQ15" s="34" t="n"/>
    </row>
    <row r="16" ht="16" customHeight="1">
      <c r="A16" s="36" t="n"/>
      <c r="B16" s="36" t="n"/>
      <c r="C16" s="36" t="n"/>
      <c r="D16" s="36" t="n"/>
      <c r="E16" s="36" t="n"/>
      <c r="F16" s="36" t="n"/>
      <c r="G16" s="29" t="n"/>
      <c r="H16" s="30" t="n"/>
      <c r="I16" s="30" t="n"/>
      <c r="J16" s="30" t="n"/>
      <c r="K16" s="30" t="n"/>
      <c r="L16" s="30" t="n"/>
      <c r="M16" s="30" t="n"/>
      <c r="N16" s="34" t="n"/>
      <c r="O16" s="30">
        <f>IFERROR(INDEX('_courses_lookup'!$C:$C,MATCH(K16&amp;L16,'_courses_lookup'!$E:$E,0)),"")</f>
        <v/>
      </c>
      <c r="P16" s="30">
        <f>IFERROR(INDEX('_courses_lookup'!$D:$D,MATCH(K16&amp;L16,'_courses_lookup'!$E:$E,0)),"")</f>
        <v/>
      </c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0" t="n"/>
      <c r="AE16" s="30" t="n"/>
      <c r="AF16" s="30" t="n"/>
      <c r="AG16" s="30">
        <f>IF(AND(AE16&lt;&gt;"",AF16&lt;&gt;""),ROUNDUP((AF16-AE16)/7,0),"")</f>
        <v/>
      </c>
      <c r="AH16" s="30" t="n"/>
      <c r="AI16" s="30">
        <f>IFERROR(IF(AG16*AH16=0,"",AG16*AH16),"")</f>
        <v/>
      </c>
      <c r="AJ16" s="30" t="n"/>
      <c r="AK16" s="30" t="n"/>
      <c r="AL16" s="30">
        <f>IF(AND(AJ16&lt;&gt;"",AK16&lt;&gt;""),ROUNDUP((AK16-AJ16)/7,0),"")</f>
        <v/>
      </c>
      <c r="AM16" s="30" t="n"/>
      <c r="AN16" s="30">
        <f>IFERROR(IF(AL16*AM16=0,"",AL16*AM16),"")</f>
        <v/>
      </c>
      <c r="AO16" s="30" t="n"/>
      <c r="AP16" s="30" t="n"/>
      <c r="AQ16" s="30">
        <f>IF(AND(AO16&lt;&gt;"",AP16&lt;&gt;""),ROUNDUP((AP16-AO16)/7,0),"")</f>
        <v/>
      </c>
      <c r="AR16" s="30">
        <f>IFERROR(IF((AU16-(AI16+AN16))/AQ16=0,"",ROUNDUP((AU16-(AI16+AN16))/AQ16,0)),"")</f>
        <v/>
      </c>
      <c r="AS16" s="30">
        <f>IFERROR(IF((AU16-(AI16+AN16))=0,"",(AU16-(AI16+AN16))),"")</f>
        <v/>
      </c>
      <c r="AT16" s="30">
        <f>IF(AND(AG16="",AQ16=""),AL16,IF(SUM(AG16,AL16,AQ16)=0,"",SUM(AG16,AL16,AQ16)))</f>
        <v/>
      </c>
      <c r="AU16" s="30" t="n"/>
      <c r="AV16" s="30" t="n"/>
      <c r="AW16" s="30" t="n"/>
      <c r="AX16" s="30" t="n"/>
      <c r="AY16" s="30" t="n"/>
      <c r="AZ16" s="30" t="n"/>
      <c r="BA16" s="30" t="n"/>
      <c r="BB16" s="30" t="n"/>
      <c r="BC16" s="30" t="n"/>
      <c r="BD16" s="30" t="n"/>
      <c r="BE16" s="30" t="n"/>
      <c r="BF16" s="30" t="n"/>
      <c r="BG16" s="30">
        <f>IF(AD16="","",YEAR(AD16)+IF(MONTH(AD16)&gt;=5,1,0))</f>
        <v/>
      </c>
      <c r="BH16" s="34">
        <f>IF(AD16="","",IF(AND(MONTH(AD16)=8,DAY(AD16)&gt;=15),"Fall",IF(MONTH(AD16)&gt;8,"Fall",IF(MONTH(AD16)=5,"Summer",IF(MONTH(AD16)=1,"Spring","")))))</f>
        <v/>
      </c>
      <c r="BI16" s="30" t="n"/>
      <c r="BJ16" s="30" t="n"/>
      <c r="BK16" s="32" t="n"/>
      <c r="BL16" s="32">
        <f>IFERROR(INDEX('_names_lookup'!$C:$C,MATCH(BK16,'_names_lookup'!$A:$A,0)),"")</f>
        <v/>
      </c>
      <c r="BM16" s="33">
        <f>IFERROR(INDEX('_names_lookup'!$B:$B,MATCH(BK16,'_names_lookup'!$A:$A,0)),"")</f>
        <v/>
      </c>
      <c r="BN16" s="37" t="n"/>
      <c r="BO16" s="34" t="n"/>
      <c r="BP16" s="34" t="n"/>
      <c r="BQ16" s="34" t="n"/>
      <c r="BR16" s="34" t="n"/>
      <c r="BS16" s="34">
        <f>IFERROR(IF(BR16*AA16=0,"",BR16*AA16),"")</f>
        <v/>
      </c>
      <c r="BT16" s="34" t="n"/>
      <c r="BU16" s="34" t="n"/>
      <c r="BV16" s="30" t="n"/>
      <c r="BW16" s="34" t="n"/>
      <c r="BX16" s="34" t="n"/>
      <c r="BY16" s="34" t="n"/>
      <c r="BZ16" s="30" t="n"/>
      <c r="CA16" s="30" t="n"/>
      <c r="CB16" s="30" t="n"/>
      <c r="CC16" s="30" t="n"/>
      <c r="CD16" s="30" t="n"/>
      <c r="CE16" s="30" t="n"/>
      <c r="CF16" s="30" t="n"/>
      <c r="CG16" s="30" t="n"/>
      <c r="CH16" s="30" t="n"/>
      <c r="CI16" s="30" t="n"/>
      <c r="CJ16" s="30" t="n"/>
      <c r="CK16" s="30" t="n"/>
      <c r="CL16" s="30" t="n"/>
      <c r="CM16" s="30" t="n"/>
      <c r="CN16" s="30" t="n"/>
      <c r="CO16" s="30" t="n"/>
      <c r="CP16" s="30" t="n"/>
      <c r="CQ16" s="30" t="n"/>
      <c r="CR16" s="30" t="n"/>
      <c r="CS16" s="30" t="n"/>
      <c r="CT16" s="30" t="n"/>
      <c r="CU16" s="30" t="n"/>
      <c r="CV16" s="30" t="n"/>
      <c r="CW16" s="30" t="n"/>
      <c r="CX16" s="30" t="n"/>
      <c r="CY16" s="30" t="n"/>
      <c r="CZ16" s="30" t="n"/>
      <c r="DA16" s="30" t="n"/>
      <c r="DB16" s="30" t="n"/>
      <c r="DC16" s="30" t="n"/>
      <c r="DD16" s="30" t="n"/>
      <c r="DE16" s="30" t="n"/>
      <c r="DF16" s="30" t="n"/>
      <c r="DG16" s="30" t="n"/>
      <c r="DH16" s="30" t="n"/>
      <c r="DI16" s="30" t="n"/>
      <c r="DJ16" s="30" t="n"/>
      <c r="DK16" s="30" t="n"/>
      <c r="DL16" s="30" t="n"/>
      <c r="DM16" s="30" t="n"/>
      <c r="DN16" s="30" t="n"/>
      <c r="DO16" s="30" t="n"/>
      <c r="DP16" s="34" t="n"/>
      <c r="DQ16" s="34" t="n"/>
    </row>
    <row r="17" ht="16" customHeight="1">
      <c r="A17" s="36" t="n"/>
      <c r="B17" s="36" t="n"/>
      <c r="C17" s="36" t="n"/>
      <c r="D17" s="36" t="n"/>
      <c r="E17" s="36" t="n"/>
      <c r="F17" s="36" t="n"/>
      <c r="G17" s="29" t="n"/>
      <c r="H17" s="30" t="n"/>
      <c r="I17" s="30" t="n"/>
      <c r="J17" s="30" t="n"/>
      <c r="K17" s="30" t="n"/>
      <c r="L17" s="30" t="n"/>
      <c r="M17" s="30" t="n"/>
      <c r="N17" s="30" t="n"/>
      <c r="O17" s="30">
        <f>IFERROR(INDEX('_courses_lookup'!$C:$C,MATCH(K17&amp;L17,'_courses_lookup'!$E:$E,0)),"")</f>
        <v/>
      </c>
      <c r="P17" s="30">
        <f>IFERROR(INDEX('_courses_lookup'!$D:$D,MATCH(K17&amp;L17,'_courses_lookup'!$E:$E,0)),"")</f>
        <v/>
      </c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0">
        <f>IF(AND(AE17&lt;&gt;"",AF17&lt;&gt;""),ROUNDUP((AF17-AE17)/7,0),"")</f>
        <v/>
      </c>
      <c r="AH17" s="30" t="n"/>
      <c r="AI17" s="30">
        <f>IFERROR(IF(AG17*AH17=0,"",AG17*AH17),"")</f>
        <v/>
      </c>
      <c r="AJ17" s="30" t="n"/>
      <c r="AK17" s="30" t="n"/>
      <c r="AL17" s="30">
        <f>IF(AND(AJ17&lt;&gt;"",AK17&lt;&gt;""),ROUNDUP((AK17-AJ17)/7,0),"")</f>
        <v/>
      </c>
      <c r="AM17" s="30" t="n"/>
      <c r="AN17" s="30">
        <f>IFERROR(IF(AL17*AM17=0,"",AL17*AM17),"")</f>
        <v/>
      </c>
      <c r="AO17" s="30" t="n"/>
      <c r="AP17" s="30" t="n"/>
      <c r="AQ17" s="30">
        <f>IF(AND(AO17&lt;&gt;"",AP17&lt;&gt;""),ROUNDUP((AP17-AO17)/7,0),"")</f>
        <v/>
      </c>
      <c r="AR17" s="30">
        <f>IFERROR(IF((AU17-(AI17+AN17))/AQ17=0,"",ROUNDUP((AU17-(AI17+AN17))/AQ17,0)),"")</f>
        <v/>
      </c>
      <c r="AS17" s="30">
        <f>IFERROR(IF((AU17-(AI17+AN17))=0,"",(AU17-(AI17+AN17))),"")</f>
        <v/>
      </c>
      <c r="AT17" s="30">
        <f>IF(AND(AG17="",AQ17=""),AL17,IF(SUM(AG17,AL17,AQ17)=0,"",SUM(AG17,AL17,AQ17)))</f>
        <v/>
      </c>
      <c r="AU17" s="30" t="n"/>
      <c r="AV17" s="30" t="n"/>
      <c r="AW17" s="30" t="n"/>
      <c r="AX17" s="30" t="n"/>
      <c r="AY17" s="30" t="n"/>
      <c r="AZ17" s="30" t="n"/>
      <c r="BA17" s="30" t="n"/>
      <c r="BB17" s="30" t="n"/>
      <c r="BC17" s="30" t="n"/>
      <c r="BD17" s="30" t="n"/>
      <c r="BE17" s="30" t="n"/>
      <c r="BF17" s="30" t="n"/>
      <c r="BG17" s="30">
        <f>IF(AD17="","",YEAR(AD17)+IF(MONTH(AD17)&gt;=5,1,0))</f>
        <v/>
      </c>
      <c r="BH17" s="34">
        <f>IF(AD17="","",IF(AND(MONTH(AD17)=8,DAY(AD17)&gt;=15),"Fall",IF(MONTH(AD17)&gt;8,"Fall",IF(MONTH(AD17)=5,"Summer",IF(MONTH(AD17)=1,"Spring","")))))</f>
        <v/>
      </c>
      <c r="BI17" s="30" t="n"/>
      <c r="BJ17" s="30" t="n"/>
      <c r="BK17" s="32" t="n"/>
      <c r="BL17" s="32">
        <f>IFERROR(INDEX('_names_lookup'!$C:$C,MATCH(BK17,'_names_lookup'!$A:$A,0)),"")</f>
        <v/>
      </c>
      <c r="BM17" s="33">
        <f>IFERROR(INDEX('_names_lookup'!$B:$B,MATCH(BK17,'_names_lookup'!$A:$A,0)),"")</f>
        <v/>
      </c>
      <c r="BN17" s="37" t="n"/>
      <c r="BO17" s="34" t="n"/>
      <c r="BP17" s="34" t="n"/>
      <c r="BQ17" s="34" t="n"/>
      <c r="BR17" s="34" t="n"/>
      <c r="BS17" s="34">
        <f>IFERROR(IF(BR17*AA17=0,"",BR17*AA17),"")</f>
        <v/>
      </c>
      <c r="BT17" s="34" t="n"/>
      <c r="BU17" s="34" t="n"/>
      <c r="BV17" s="30" t="n"/>
      <c r="BW17" s="34" t="n"/>
      <c r="BX17" s="34" t="n"/>
      <c r="BY17" s="34" t="n"/>
      <c r="BZ17" s="30" t="n"/>
      <c r="CA17" s="30" t="n"/>
      <c r="CB17" s="30" t="n"/>
      <c r="CC17" s="30" t="n"/>
      <c r="CD17" s="30" t="n"/>
      <c r="CE17" s="30" t="n"/>
      <c r="CF17" s="30" t="n"/>
      <c r="CG17" s="30" t="n"/>
      <c r="CH17" s="30" t="n"/>
      <c r="CI17" s="30" t="n"/>
      <c r="CJ17" s="30" t="n"/>
      <c r="CK17" s="30" t="n"/>
      <c r="CL17" s="30" t="n"/>
      <c r="CM17" s="30" t="n"/>
      <c r="CN17" s="30" t="n"/>
      <c r="CO17" s="30" t="n"/>
      <c r="CP17" s="30" t="n"/>
      <c r="CQ17" s="30" t="n"/>
      <c r="CR17" s="30" t="n"/>
      <c r="CS17" s="30" t="n"/>
      <c r="CT17" s="30" t="n"/>
      <c r="CU17" s="30" t="n"/>
      <c r="CV17" s="30" t="n"/>
      <c r="CW17" s="30" t="n"/>
      <c r="CX17" s="30" t="n"/>
      <c r="CY17" s="30" t="n"/>
      <c r="CZ17" s="30" t="n"/>
      <c r="DA17" s="30" t="n"/>
      <c r="DB17" s="30" t="n"/>
      <c r="DC17" s="30" t="n"/>
      <c r="DD17" s="30" t="n"/>
      <c r="DE17" s="30" t="n"/>
      <c r="DF17" s="30" t="n"/>
      <c r="DG17" s="30" t="n"/>
      <c r="DH17" s="30" t="n"/>
      <c r="DI17" s="30" t="n"/>
      <c r="DJ17" s="30" t="n"/>
      <c r="DK17" s="30" t="n"/>
      <c r="DL17" s="30" t="n"/>
      <c r="DM17" s="30" t="n"/>
      <c r="DN17" s="30" t="n"/>
      <c r="DO17" s="30" t="n"/>
      <c r="DP17" s="34" t="n"/>
      <c r="DQ17" s="34" t="n"/>
    </row>
    <row r="18" ht="16" customHeight="1">
      <c r="A18" s="36" t="n"/>
      <c r="B18" s="36" t="n"/>
      <c r="C18" s="36" t="n"/>
      <c r="D18" s="36" t="n"/>
      <c r="E18" s="36" t="n"/>
      <c r="F18" s="36" t="n"/>
      <c r="G18" s="29" t="n"/>
      <c r="H18" s="30" t="n"/>
      <c r="I18" s="30" t="n"/>
      <c r="J18" s="30" t="n"/>
      <c r="K18" s="30" t="n"/>
      <c r="L18" s="30" t="n"/>
      <c r="M18" s="30" t="n"/>
      <c r="N18" s="30" t="n"/>
      <c r="O18" s="30">
        <f>IFERROR(INDEX('_courses_lookup'!$C:$C,MATCH(K18&amp;L18,'_courses_lookup'!$E:$E,0)),"")</f>
        <v/>
      </c>
      <c r="P18" s="30">
        <f>IFERROR(INDEX('_courses_lookup'!$D:$D,MATCH(K18&amp;L18,'_courses_lookup'!$E:$E,0)),"")</f>
        <v/>
      </c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30" t="n"/>
      <c r="AC18" s="30" t="n"/>
      <c r="AD18" s="30" t="n"/>
      <c r="AE18" s="30" t="n"/>
      <c r="AF18" s="30" t="n"/>
      <c r="AG18" s="30">
        <f>IF(AND(AE18&lt;&gt;"",AF18&lt;&gt;""),ROUNDUP((AF18-AE18)/7,0),"")</f>
        <v/>
      </c>
      <c r="AH18" s="30" t="n"/>
      <c r="AI18" s="30">
        <f>IFERROR(IF(AG18*AH18=0,"",AG18*AH18),"")</f>
        <v/>
      </c>
      <c r="AJ18" s="30" t="n"/>
      <c r="AK18" s="30" t="n"/>
      <c r="AL18" s="30">
        <f>IF(AND(AJ18&lt;&gt;"",AK18&lt;&gt;""),ROUNDUP((AK18-AJ18)/7,0),"")</f>
        <v/>
      </c>
      <c r="AM18" s="30" t="n"/>
      <c r="AN18" s="30">
        <f>IFERROR(IF(AL18*AM18=0,"",AL18*AM18),"")</f>
        <v/>
      </c>
      <c r="AO18" s="30" t="n"/>
      <c r="AP18" s="30" t="n"/>
      <c r="AQ18" s="30">
        <f>IF(AND(AO18&lt;&gt;"",AP18&lt;&gt;""),ROUNDUP((AP18-AO18)/7,0),"")</f>
        <v/>
      </c>
      <c r="AR18" s="30">
        <f>IFERROR(IF((AU18-(AI18+AN18))/AQ18=0,"",ROUNDUP((AU18-(AI18+AN18))/AQ18,0)),"")</f>
        <v/>
      </c>
      <c r="AS18" s="30">
        <f>IFERROR(IF((AU18-(AI18+AN18))=0,"",(AU18-(AI18+AN18))),"")</f>
        <v/>
      </c>
      <c r="AT18" s="30">
        <f>IF(AND(AG18="",AQ18=""),AL18,IF(SUM(AG18,AL18,AQ18)=0,"",SUM(AG18,AL18,AQ18)))</f>
        <v/>
      </c>
      <c r="AU18" s="30" t="n"/>
      <c r="AV18" s="30" t="n"/>
      <c r="AW18" s="30" t="n"/>
      <c r="AX18" s="30" t="n"/>
      <c r="AY18" s="30" t="n"/>
      <c r="AZ18" s="30" t="n"/>
      <c r="BA18" s="30" t="n"/>
      <c r="BB18" s="30" t="n"/>
      <c r="BC18" s="30" t="n"/>
      <c r="BD18" s="30" t="n"/>
      <c r="BE18" s="30" t="n"/>
      <c r="BF18" s="30" t="n"/>
      <c r="BG18" s="30">
        <f>IF(AD18="","",YEAR(AD18)+IF(MONTH(AD18)&gt;=5,1,0))</f>
        <v/>
      </c>
      <c r="BH18" s="34">
        <f>IF(AD18="","",IF(AND(MONTH(AD18)=8,DAY(AD18)&gt;=15),"Fall",IF(MONTH(AD18)&gt;8,"Fall",IF(MONTH(AD18)=5,"Summer",IF(MONTH(AD18)=1,"Spring","")))))</f>
        <v/>
      </c>
      <c r="BI18" s="30" t="n"/>
      <c r="BJ18" s="30" t="n"/>
      <c r="BK18" s="32" t="n"/>
      <c r="BL18" s="32">
        <f>IFERROR(INDEX('_names_lookup'!$C:$C,MATCH(BK18,'_names_lookup'!$A:$A,0)),"")</f>
        <v/>
      </c>
      <c r="BM18" s="33">
        <f>IFERROR(INDEX('_names_lookup'!$B:$B,MATCH(BK18,'_names_lookup'!$A:$A,0)),"")</f>
        <v/>
      </c>
      <c r="BN18" s="37" t="n"/>
      <c r="BO18" s="34" t="n"/>
      <c r="BP18" s="34" t="n"/>
      <c r="BQ18" s="34" t="n"/>
      <c r="BR18" s="34" t="n"/>
      <c r="BS18" s="34">
        <f>IFERROR(IF(BR18*AA18=0,"",BR18*AA18),"")</f>
        <v/>
      </c>
      <c r="BT18" s="34" t="n"/>
      <c r="BU18" s="34" t="n"/>
      <c r="BV18" s="30" t="n"/>
      <c r="BW18" s="34" t="n"/>
      <c r="BX18" s="34" t="n"/>
      <c r="BY18" s="34" t="n"/>
      <c r="BZ18" s="30" t="n"/>
      <c r="CA18" s="30" t="n"/>
      <c r="CB18" s="30" t="n"/>
      <c r="CC18" s="30" t="n"/>
      <c r="CD18" s="30" t="n"/>
      <c r="CE18" s="30" t="n"/>
      <c r="CF18" s="30" t="n"/>
      <c r="CG18" s="30" t="n"/>
      <c r="CH18" s="30" t="n"/>
      <c r="CI18" s="30" t="n"/>
      <c r="CJ18" s="30" t="n"/>
      <c r="CK18" s="30" t="n"/>
      <c r="CL18" s="30" t="n"/>
      <c r="CM18" s="30" t="n"/>
      <c r="CN18" s="30" t="n"/>
      <c r="CO18" s="30" t="n"/>
      <c r="CP18" s="30" t="n"/>
      <c r="CQ18" s="30" t="n"/>
      <c r="CR18" s="30" t="n"/>
      <c r="CS18" s="30" t="n"/>
      <c r="CT18" s="30" t="n"/>
      <c r="CU18" s="30" t="n"/>
      <c r="CV18" s="30" t="n"/>
      <c r="CW18" s="30" t="n"/>
      <c r="CX18" s="30" t="n"/>
      <c r="CY18" s="30" t="n"/>
      <c r="CZ18" s="30" t="n"/>
      <c r="DA18" s="30" t="n"/>
      <c r="DB18" s="30" t="n"/>
      <c r="DC18" s="30" t="n"/>
      <c r="DD18" s="30" t="n"/>
      <c r="DE18" s="30" t="n"/>
      <c r="DF18" s="30" t="n"/>
      <c r="DG18" s="30" t="n"/>
      <c r="DH18" s="30" t="n"/>
      <c r="DI18" s="30" t="n"/>
      <c r="DJ18" s="30" t="n"/>
      <c r="DK18" s="30" t="n"/>
      <c r="DL18" s="30" t="n"/>
      <c r="DM18" s="30" t="n"/>
      <c r="DN18" s="30" t="n"/>
      <c r="DO18" s="30" t="n"/>
      <c r="DP18" s="34" t="n"/>
      <c r="DQ18" s="34" t="n"/>
    </row>
    <row r="19">
      <c r="O19">
        <f>IFERROR(INDEX('_courses_lookup'!$C:$C,MATCH(K19&amp;L19,'_courses_lookup'!$E:$E,0)),"")</f>
        <v/>
      </c>
      <c r="P19">
        <f>IFERROR(INDEX('_courses_lookup'!$D:$D,MATCH(K19&amp;L19,'_courses_lookup'!$E:$E,0)),"")</f>
        <v/>
      </c>
      <c r="AG19">
        <f>IF(AND(AE19&lt;&gt;"",AF19&lt;&gt;""),ROUNDUP((AF19-AE19)/7,0),"")</f>
        <v/>
      </c>
      <c r="AI19">
        <f>IFERROR(IF(AG19*AH19=0,"",AG19*AH19),"")</f>
        <v/>
      </c>
      <c r="AL19">
        <f>IF(AND(AJ19&lt;&gt;"",AK19&lt;&gt;""),ROUNDUP((AK19-AJ19)/7,0),"")</f>
        <v/>
      </c>
      <c r="AN19">
        <f>IFERROR(IF(AL19*AM19=0,"",AL19*AM19),"")</f>
        <v/>
      </c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L19">
        <f>IFERROR(INDEX('_names_lookup'!$C:$C,MATCH(BK19,'_names_lookup'!$A:$A,0)),"")</f>
        <v/>
      </c>
      <c r="BM19">
        <f>IFERROR(INDEX('_names_lookup'!$B:$B,MATCH(BK19,'_names_lookup'!$A:$A,0)),"")</f>
        <v/>
      </c>
      <c r="BS19">
        <f>IFERROR(IF(BR19*AA19=0,"",BR19*AA19),"")</f>
        <v/>
      </c>
    </row>
    <row r="20">
      <c r="O20">
        <f>IFERROR(INDEX('_courses_lookup'!$C:$C,MATCH(K20&amp;L20,'_courses_lookup'!$E:$E,0)),"")</f>
        <v/>
      </c>
      <c r="P20">
        <f>IFERROR(INDEX('_courses_lookup'!$D:$D,MATCH(K20&amp;L20,'_courses_lookup'!$E:$E,0)),"")</f>
        <v/>
      </c>
      <c r="AG20">
        <f>IF(AND(AE20&lt;&gt;"",AF20&lt;&gt;""),ROUNDUP((AF20-AE20)/7,0),"")</f>
        <v/>
      </c>
      <c r="AI20">
        <f>IFERROR(IF(AG20*AH20=0,"",AG20*AH20),"")</f>
        <v/>
      </c>
      <c r="AL20">
        <f>IF(AND(AJ20&lt;&gt;"",AK20&lt;&gt;""),ROUNDUP((AK20-AJ20)/7,0),"")</f>
        <v/>
      </c>
      <c r="AN20">
        <f>IFERROR(IF(AL20*AM20=0,"",AL20*AM20),"")</f>
        <v/>
      </c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L20">
        <f>IFERROR(INDEX('_names_lookup'!$C:$C,MATCH(BK20,'_names_lookup'!$A:$A,0)),"")</f>
        <v/>
      </c>
      <c r="BM20">
        <f>IFERROR(INDEX('_names_lookup'!$B:$B,MATCH(BK20,'_names_lookup'!$A:$A,0)),"")</f>
        <v/>
      </c>
      <c r="BS20">
        <f>IFERROR(IF(BR20*AA20=0,"",BR20*AA20),"")</f>
        <v/>
      </c>
    </row>
    <row r="21">
      <c r="O21">
        <f>IFERROR(INDEX('_courses_lookup'!$C:$C,MATCH(K21&amp;L21,'_courses_lookup'!$E:$E,0)),"")</f>
        <v/>
      </c>
      <c r="P21">
        <f>IFERROR(INDEX('_courses_lookup'!$D:$D,MATCH(K21&amp;L21,'_courses_lookup'!$E:$E,0)),"")</f>
        <v/>
      </c>
      <c r="AG21">
        <f>IF(AND(AE21&lt;&gt;"",AF21&lt;&gt;""),ROUNDUP((AF21-AE21)/7,0),"")</f>
        <v/>
      </c>
      <c r="AI21">
        <f>IFERROR(IF(AG21*AH21=0,"",AG21*AH21),"")</f>
        <v/>
      </c>
      <c r="AL21">
        <f>IF(AND(AJ21&lt;&gt;"",AK21&lt;&gt;""),ROUNDUP((AK21-AJ21)/7,0),"")</f>
        <v/>
      </c>
      <c r="AN21">
        <f>IFERROR(IF(AL21*AM21=0,"",AL21*AM21),"")</f>
        <v/>
      </c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L21">
        <f>IFERROR(INDEX('_names_lookup'!$C:$C,MATCH(BK21,'_names_lookup'!$A:$A,0)),"")</f>
        <v/>
      </c>
      <c r="BM21">
        <f>IFERROR(INDEX('_names_lookup'!$B:$B,MATCH(BK21,'_names_lookup'!$A:$A,0)),"")</f>
        <v/>
      </c>
      <c r="BS21">
        <f>IFERROR(IF(BR21*AA21=0,"",BR21*AA21),"")</f>
        <v/>
      </c>
    </row>
    <row r="22">
      <c r="O22">
        <f>IFERROR(INDEX('_courses_lookup'!$C:$C,MATCH(K22&amp;L22,'_courses_lookup'!$E:$E,0)),"")</f>
        <v/>
      </c>
      <c r="P22">
        <f>IFERROR(INDEX('_courses_lookup'!$D:$D,MATCH(K22&amp;L22,'_courses_lookup'!$E:$E,0)),"")</f>
        <v/>
      </c>
      <c r="AG22">
        <f>IF(AND(AE22&lt;&gt;"",AF22&lt;&gt;""),ROUNDUP((AF22-AE22)/7,0),"")</f>
        <v/>
      </c>
      <c r="AI22">
        <f>IFERROR(IF(AG22*AH22=0,"",AG22*AH22),"")</f>
        <v/>
      </c>
      <c r="AL22">
        <f>IF(AND(AJ22&lt;&gt;"",AK22&lt;&gt;""),ROUNDUP((AK22-AJ22)/7,0),"")</f>
        <v/>
      </c>
      <c r="AN22">
        <f>IFERROR(IF(AL22*AM22=0,"",AL22*AM22),"")</f>
        <v/>
      </c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L22">
        <f>IFERROR(INDEX('_names_lookup'!$C:$C,MATCH(BK22,'_names_lookup'!$A:$A,0)),"")</f>
        <v/>
      </c>
      <c r="BM22">
        <f>IFERROR(INDEX('_names_lookup'!$B:$B,MATCH(BK22,'_names_lookup'!$A:$A,0)),"")</f>
        <v/>
      </c>
      <c r="BS22">
        <f>IFERROR(IF(BR22*AA22=0,"",BR22*AA22),"")</f>
        <v/>
      </c>
    </row>
    <row r="23">
      <c r="O23">
        <f>IFERROR(INDEX('_courses_lookup'!$C:$C,MATCH(K23&amp;L23,'_courses_lookup'!$E:$E,0)),"")</f>
        <v/>
      </c>
      <c r="P23">
        <f>IFERROR(INDEX('_courses_lookup'!$D:$D,MATCH(K23&amp;L23,'_courses_lookup'!$E:$E,0)),"")</f>
        <v/>
      </c>
      <c r="AG23">
        <f>IF(AND(AE23&lt;&gt;"",AF23&lt;&gt;""),ROUNDUP((AF23-AE23)/7,0),"")</f>
        <v/>
      </c>
      <c r="AI23">
        <f>IFERROR(IF(AG23*AH23=0,"",AG23*AH23),"")</f>
        <v/>
      </c>
      <c r="AL23">
        <f>IF(AND(AJ23&lt;&gt;"",AK23&lt;&gt;""),ROUNDUP((AK23-AJ23)/7,0),"")</f>
        <v/>
      </c>
      <c r="AN23">
        <f>IFERROR(IF(AL23*AM23=0,"",AL23*AM23),"")</f>
        <v/>
      </c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L23">
        <f>IFERROR(INDEX('_names_lookup'!$C:$C,MATCH(BK23,'_names_lookup'!$A:$A,0)),"")</f>
        <v/>
      </c>
      <c r="BM23">
        <f>IFERROR(INDEX('_names_lookup'!$B:$B,MATCH(BK23,'_names_lookup'!$A:$A,0)),"")</f>
        <v/>
      </c>
      <c r="BS23">
        <f>IFERROR(IF(BR23*AA23=0,"",BR23*AA23),"")</f>
        <v/>
      </c>
    </row>
    <row r="24">
      <c r="O24">
        <f>IFERROR(INDEX('_courses_lookup'!$C:$C,MATCH(K24&amp;L24,'_courses_lookup'!$E:$E,0)),"")</f>
        <v/>
      </c>
      <c r="P24">
        <f>IFERROR(INDEX('_courses_lookup'!$D:$D,MATCH(K24&amp;L24,'_courses_lookup'!$E:$E,0)),"")</f>
        <v/>
      </c>
      <c r="AG24">
        <f>IF(AND(AE24&lt;&gt;"",AF24&lt;&gt;""),ROUNDUP((AF24-AE24)/7,0),"")</f>
        <v/>
      </c>
      <c r="AI24">
        <f>IFERROR(IF(AG24*AH24=0,"",AG24*AH24),"")</f>
        <v/>
      </c>
      <c r="AL24">
        <f>IF(AND(AJ24&lt;&gt;"",AK24&lt;&gt;""),ROUNDUP((AK24-AJ24)/7,0),"")</f>
        <v/>
      </c>
      <c r="AN24">
        <f>IFERROR(IF(AL24*AM24=0,"",AL24*AM24),"")</f>
        <v/>
      </c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L24">
        <f>IFERROR(INDEX('_names_lookup'!$C:$C,MATCH(BK24,'_names_lookup'!$A:$A,0)),"")</f>
        <v/>
      </c>
      <c r="BM24">
        <f>IFERROR(INDEX('_names_lookup'!$B:$B,MATCH(BK24,'_names_lookup'!$A:$A,0)),"")</f>
        <v/>
      </c>
      <c r="BS24">
        <f>IFERROR(IF(BR24*AA24=0,"",BR24*AA24),"")</f>
        <v/>
      </c>
    </row>
    <row r="25">
      <c r="O25">
        <f>IFERROR(INDEX('_courses_lookup'!$C:$C,MATCH(K25&amp;L25,'_courses_lookup'!$E:$E,0)),"")</f>
        <v/>
      </c>
      <c r="P25">
        <f>IFERROR(INDEX('_courses_lookup'!$D:$D,MATCH(K25&amp;L25,'_courses_lookup'!$E:$E,0)),"")</f>
        <v/>
      </c>
      <c r="AG25">
        <f>IF(AND(AE25&lt;&gt;"",AF25&lt;&gt;""),ROUNDUP((AF25-AE25)/7,0),"")</f>
        <v/>
      </c>
      <c r="AI25">
        <f>IFERROR(IF(AG25*AH25=0,"",AG25*AH25),"")</f>
        <v/>
      </c>
      <c r="AL25">
        <f>IF(AND(AJ25&lt;&gt;"",AK25&lt;&gt;""),ROUNDUP((AK25-AJ25)/7,0),"")</f>
        <v/>
      </c>
      <c r="AN25">
        <f>IFERROR(IF(AL25*AM25=0,"",AL25*AM25),"")</f>
        <v/>
      </c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L25">
        <f>IFERROR(INDEX('_names_lookup'!$C:$C,MATCH(BK25,'_names_lookup'!$A:$A,0)),"")</f>
        <v/>
      </c>
      <c r="BM25">
        <f>IFERROR(INDEX('_names_lookup'!$B:$B,MATCH(BK25,'_names_lookup'!$A:$A,0)),"")</f>
        <v/>
      </c>
      <c r="BS25">
        <f>IFERROR(IF(BR25*AA25=0,"",BR25*AA25),"")</f>
        <v/>
      </c>
    </row>
    <row r="26">
      <c r="O26">
        <f>IFERROR(INDEX('_courses_lookup'!$C:$C,MATCH(K26&amp;L26,'_courses_lookup'!$E:$E,0)),"")</f>
        <v/>
      </c>
      <c r="P26">
        <f>IFERROR(INDEX('_courses_lookup'!$D:$D,MATCH(K26&amp;L26,'_courses_lookup'!$E:$E,0)),"")</f>
        <v/>
      </c>
      <c r="AG26">
        <f>IF(AND(AE26&lt;&gt;"",AF26&lt;&gt;""),ROUNDUP((AF26-AE26)/7,0),"")</f>
        <v/>
      </c>
      <c r="AI26">
        <f>IFERROR(IF(AG26*AH26=0,"",AG26*AH26),"")</f>
        <v/>
      </c>
      <c r="AL26">
        <f>IF(AND(AJ26&lt;&gt;"",AK26&lt;&gt;""),ROUNDUP((AK26-AJ26)/7,0),"")</f>
        <v/>
      </c>
      <c r="AN26">
        <f>IFERROR(IF(AL26*AM26=0,"",AL26*AM26),"")</f>
        <v/>
      </c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L26">
        <f>IFERROR(INDEX('_names_lookup'!$C:$C,MATCH(BK26,'_names_lookup'!$A:$A,0)),"")</f>
        <v/>
      </c>
      <c r="BM26">
        <f>IFERROR(INDEX('_names_lookup'!$B:$B,MATCH(BK26,'_names_lookup'!$A:$A,0)),"")</f>
        <v/>
      </c>
      <c r="BS26">
        <f>IFERROR(IF(BR26*AA26=0,"",BR26*AA26),"")</f>
        <v/>
      </c>
    </row>
    <row r="27">
      <c r="O27">
        <f>IFERROR(INDEX('_courses_lookup'!$C:$C,MATCH(K27&amp;L27,'_courses_lookup'!$E:$E,0)),"")</f>
        <v/>
      </c>
      <c r="P27">
        <f>IFERROR(INDEX('_courses_lookup'!$D:$D,MATCH(K27&amp;L27,'_courses_lookup'!$E:$E,0)),"")</f>
        <v/>
      </c>
      <c r="AG27">
        <f>IF(AND(AE27&lt;&gt;"",AF27&lt;&gt;""),ROUNDUP((AF27-AE27)/7,0),"")</f>
        <v/>
      </c>
      <c r="AI27">
        <f>IFERROR(IF(AG27*AH27=0,"",AG27*AH27),"")</f>
        <v/>
      </c>
      <c r="AL27">
        <f>IF(AND(AJ27&lt;&gt;"",AK27&lt;&gt;""),ROUNDUP((AK27-AJ27)/7,0),"")</f>
        <v/>
      </c>
      <c r="AN27">
        <f>IFERROR(IF(AL27*AM27=0,"",AL27*AM27),"")</f>
        <v/>
      </c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L27">
        <f>IFERROR(INDEX('_names_lookup'!$C:$C,MATCH(BK27,'_names_lookup'!$A:$A,0)),"")</f>
        <v/>
      </c>
      <c r="BM27">
        <f>IFERROR(INDEX('_names_lookup'!$B:$B,MATCH(BK27,'_names_lookup'!$A:$A,0)),"")</f>
        <v/>
      </c>
      <c r="BS27">
        <f>IFERROR(IF(BR27*AA27=0,"",BR27*AA27),"")</f>
        <v/>
      </c>
    </row>
    <row r="28">
      <c r="O28">
        <f>IFERROR(INDEX('_courses_lookup'!$C:$C,MATCH(K28&amp;L28,'_courses_lookup'!$E:$E,0)),"")</f>
        <v/>
      </c>
      <c r="P28">
        <f>IFERROR(INDEX('_courses_lookup'!$D:$D,MATCH(K28&amp;L28,'_courses_lookup'!$E:$E,0)),"")</f>
        <v/>
      </c>
      <c r="AG28">
        <f>IF(AND(AE28&lt;&gt;"",AF28&lt;&gt;""),ROUNDUP((AF28-AE28)/7,0),"")</f>
        <v/>
      </c>
      <c r="AI28">
        <f>IFERROR(IF(AG28*AH28=0,"",AG28*AH28),"")</f>
        <v/>
      </c>
      <c r="AL28">
        <f>IF(AND(AJ28&lt;&gt;"",AK28&lt;&gt;""),ROUNDUP((AK28-AJ28)/7,0),"")</f>
        <v/>
      </c>
      <c r="AN28">
        <f>IFERROR(IF(AL28*AM28=0,"",AL28*AM28),"")</f>
        <v/>
      </c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L28">
        <f>IFERROR(INDEX('_names_lookup'!$C:$C,MATCH(BK28,'_names_lookup'!$A:$A,0)),"")</f>
        <v/>
      </c>
      <c r="BM28">
        <f>IFERROR(INDEX('_names_lookup'!$B:$B,MATCH(BK28,'_names_lookup'!$A:$A,0)),"")</f>
        <v/>
      </c>
      <c r="BS28">
        <f>IFERROR(IF(BR28*AA28=0,"",BR28*AA28),"")</f>
        <v/>
      </c>
    </row>
    <row r="29">
      <c r="O29">
        <f>IFERROR(INDEX('_courses_lookup'!$C:$C,MATCH(K29&amp;L29,'_courses_lookup'!$E:$E,0)),"")</f>
        <v/>
      </c>
      <c r="P29">
        <f>IFERROR(INDEX('_courses_lookup'!$D:$D,MATCH(K29&amp;L29,'_courses_lookup'!$E:$E,0)),"")</f>
        <v/>
      </c>
      <c r="AG29">
        <f>IF(AND(AE29&lt;&gt;"",AF29&lt;&gt;""),ROUNDUP((AF29-AE29)/7,0),"")</f>
        <v/>
      </c>
      <c r="AI29">
        <f>IFERROR(IF(AG29*AH29=0,"",AG29*AH29),"")</f>
        <v/>
      </c>
      <c r="AL29">
        <f>IF(AND(AJ29&lt;&gt;"",AK29&lt;&gt;""),ROUNDUP((AK29-AJ29)/7,0),"")</f>
        <v/>
      </c>
      <c r="AN29">
        <f>IFERROR(IF(AL29*AM29=0,"",AL29*AM29),"")</f>
        <v/>
      </c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L29">
        <f>IFERROR(INDEX('_names_lookup'!$C:$C,MATCH(BK29,'_names_lookup'!$A:$A,0)),"")</f>
        <v/>
      </c>
      <c r="BM29">
        <f>IFERROR(INDEX('_names_lookup'!$B:$B,MATCH(BK29,'_names_lookup'!$A:$A,0)),"")</f>
        <v/>
      </c>
      <c r="BS29">
        <f>IFERROR(IF(BR29*AA29=0,"",BR29*AA29),"")</f>
        <v/>
      </c>
    </row>
    <row r="30">
      <c r="O30">
        <f>IFERROR(INDEX('_courses_lookup'!$C:$C,MATCH(K30&amp;L30,'_courses_lookup'!$E:$E,0)),"")</f>
        <v/>
      </c>
      <c r="P30">
        <f>IFERROR(INDEX('_courses_lookup'!$D:$D,MATCH(K30&amp;L30,'_courses_lookup'!$E:$E,0)),"")</f>
        <v/>
      </c>
      <c r="AG30">
        <f>IF(AND(AE30&lt;&gt;"",AF30&lt;&gt;""),ROUNDUP((AF30-AE30)/7,0),"")</f>
        <v/>
      </c>
      <c r="AI30">
        <f>IFERROR(IF(AG30*AH30=0,"",AG30*AH30),"")</f>
        <v/>
      </c>
      <c r="AL30">
        <f>IF(AND(AJ30&lt;&gt;"",AK30&lt;&gt;""),ROUNDUP((AK30-AJ30)/7,0),"")</f>
        <v/>
      </c>
      <c r="AN30">
        <f>IFERROR(IF(AL30*AM30=0,"",AL30*AM30),"")</f>
        <v/>
      </c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L30">
        <f>IFERROR(INDEX('_names_lookup'!$C:$C,MATCH(BK30,'_names_lookup'!$A:$A,0)),"")</f>
        <v/>
      </c>
      <c r="BM30">
        <f>IFERROR(INDEX('_names_lookup'!$B:$B,MATCH(BK30,'_names_lookup'!$A:$A,0)),"")</f>
        <v/>
      </c>
      <c r="BS30">
        <f>IFERROR(IF(BR30*AA30=0,"",BR30*AA30),"")</f>
        <v/>
      </c>
    </row>
    <row r="31">
      <c r="O31">
        <f>IFERROR(INDEX('_courses_lookup'!$C:$C,MATCH(K31&amp;L31,'_courses_lookup'!$E:$E,0)),"")</f>
        <v/>
      </c>
      <c r="P31">
        <f>IFERROR(INDEX('_courses_lookup'!$D:$D,MATCH(K31&amp;L31,'_courses_lookup'!$E:$E,0)),"")</f>
        <v/>
      </c>
      <c r="AG31">
        <f>IF(AND(AE31&lt;&gt;"",AF31&lt;&gt;""),ROUNDUP((AF31-AE31)/7,0),"")</f>
        <v/>
      </c>
      <c r="AI31">
        <f>IFERROR(IF(AG31*AH31=0,"",AG31*AH31),"")</f>
        <v/>
      </c>
      <c r="AL31">
        <f>IF(AND(AJ31&lt;&gt;"",AK31&lt;&gt;""),ROUNDUP((AK31-AJ31)/7,0),"")</f>
        <v/>
      </c>
      <c r="AN31">
        <f>IFERROR(IF(AL31*AM31=0,"",AL31*AM31),"")</f>
        <v/>
      </c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L31">
        <f>IFERROR(INDEX('_names_lookup'!$C:$C,MATCH(BK31,'_names_lookup'!$A:$A,0)),"")</f>
        <v/>
      </c>
      <c r="BM31">
        <f>IFERROR(INDEX('_names_lookup'!$B:$B,MATCH(BK31,'_names_lookup'!$A:$A,0)),"")</f>
        <v/>
      </c>
      <c r="BS31">
        <f>IFERROR(IF(BR31*AA31=0,"",BR31*AA31),"")</f>
        <v/>
      </c>
    </row>
    <row r="32">
      <c r="O32">
        <f>IFERROR(INDEX('_courses_lookup'!$C:$C,MATCH(K32&amp;L32,'_courses_lookup'!$E:$E,0)),"")</f>
        <v/>
      </c>
      <c r="P32">
        <f>IFERROR(INDEX('_courses_lookup'!$D:$D,MATCH(K32&amp;L32,'_courses_lookup'!$E:$E,0)),"")</f>
        <v/>
      </c>
      <c r="AG32">
        <f>IF(AND(AE32&lt;&gt;"",AF32&lt;&gt;""),ROUNDUP((AF32-AE32)/7,0),"")</f>
        <v/>
      </c>
      <c r="AI32">
        <f>IFERROR(IF(AG32*AH32=0,"",AG32*AH32),"")</f>
        <v/>
      </c>
      <c r="AL32">
        <f>IF(AND(AJ32&lt;&gt;"",AK32&lt;&gt;""),ROUNDUP((AK32-AJ32)/7,0),"")</f>
        <v/>
      </c>
      <c r="AN32">
        <f>IFERROR(IF(AL32*AM32=0,"",AL32*AM32),"")</f>
        <v/>
      </c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L32">
        <f>IFERROR(INDEX('_names_lookup'!$C:$C,MATCH(BK32,'_names_lookup'!$A:$A,0)),"")</f>
        <v/>
      </c>
      <c r="BM32">
        <f>IFERROR(INDEX('_names_lookup'!$B:$B,MATCH(BK32,'_names_lookup'!$A:$A,0)),"")</f>
        <v/>
      </c>
      <c r="BS32">
        <f>IFERROR(IF(BR32*AA32=0,"",BR32*AA32),"")</f>
        <v/>
      </c>
    </row>
    <row r="33">
      <c r="O33">
        <f>IFERROR(INDEX('_courses_lookup'!$C:$C,MATCH(K33&amp;L33,'_courses_lookup'!$E:$E,0)),"")</f>
        <v/>
      </c>
      <c r="P33">
        <f>IFERROR(INDEX('_courses_lookup'!$D:$D,MATCH(K33&amp;L33,'_courses_lookup'!$E:$E,0)),"")</f>
        <v/>
      </c>
      <c r="AG33">
        <f>IF(AND(AE33&lt;&gt;"",AF33&lt;&gt;""),ROUNDUP((AF33-AE33)/7,0),"")</f>
        <v/>
      </c>
      <c r="AI33">
        <f>IFERROR(IF(AG33*AH33=0,"",AG33*AH33),"")</f>
        <v/>
      </c>
      <c r="AL33">
        <f>IF(AND(AJ33&lt;&gt;"",AK33&lt;&gt;""),ROUNDUP((AK33-AJ33)/7,0),"")</f>
        <v/>
      </c>
      <c r="AN33">
        <f>IFERROR(IF(AL33*AM33=0,"",AL33*AM33),"")</f>
        <v/>
      </c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L33">
        <f>IFERROR(INDEX('_names_lookup'!$C:$C,MATCH(BK33,'_names_lookup'!$A:$A,0)),"")</f>
        <v/>
      </c>
      <c r="BM33">
        <f>IFERROR(INDEX('_names_lookup'!$B:$B,MATCH(BK33,'_names_lookup'!$A:$A,0)),"")</f>
        <v/>
      </c>
      <c r="BS33">
        <f>IFERROR(IF(BR33*AA33=0,"",BR33*AA33),"")</f>
        <v/>
      </c>
    </row>
    <row r="34">
      <c r="O34">
        <f>IFERROR(INDEX('_courses_lookup'!$C:$C,MATCH(K34&amp;L34,'_courses_lookup'!$E:$E,0)),"")</f>
        <v/>
      </c>
      <c r="P34">
        <f>IFERROR(INDEX('_courses_lookup'!$D:$D,MATCH(K34&amp;L34,'_courses_lookup'!$E:$E,0)),"")</f>
        <v/>
      </c>
      <c r="AG34">
        <f>IF(AND(AE34&lt;&gt;"",AF34&lt;&gt;""),ROUNDUP((AF34-AE34)/7,0),"")</f>
        <v/>
      </c>
      <c r="AI34">
        <f>IFERROR(IF(AG34*AH34=0,"",AG34*AH34),"")</f>
        <v/>
      </c>
      <c r="AL34">
        <f>IF(AND(AJ34&lt;&gt;"",AK34&lt;&gt;""),ROUNDUP((AK34-AJ34)/7,0),"")</f>
        <v/>
      </c>
      <c r="AN34">
        <f>IFERROR(IF(AL34*AM34=0,"",AL34*AM34),"")</f>
        <v/>
      </c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L34">
        <f>IFERROR(INDEX('_names_lookup'!$C:$C,MATCH(BK34,'_names_lookup'!$A:$A,0)),"")</f>
        <v/>
      </c>
      <c r="BM34">
        <f>IFERROR(INDEX('_names_lookup'!$B:$B,MATCH(BK34,'_names_lookup'!$A:$A,0)),"")</f>
        <v/>
      </c>
      <c r="BS34">
        <f>IFERROR(IF(BR34*AA34=0,"",BR34*AA34),"")</f>
        <v/>
      </c>
    </row>
    <row r="35">
      <c r="O35">
        <f>IFERROR(INDEX('_courses_lookup'!$C:$C,MATCH(K35&amp;L35,'_courses_lookup'!$E:$E,0)),"")</f>
        <v/>
      </c>
      <c r="P35">
        <f>IFERROR(INDEX('_courses_lookup'!$D:$D,MATCH(K35&amp;L35,'_courses_lookup'!$E:$E,0)),"")</f>
        <v/>
      </c>
      <c r="AG35">
        <f>IF(AND(AE35&lt;&gt;"",AF35&lt;&gt;""),ROUNDUP((AF35-AE35)/7,0),"")</f>
        <v/>
      </c>
      <c r="AI35">
        <f>IFERROR(IF(AG35*AH35=0,"",AG35*AH35),"")</f>
        <v/>
      </c>
      <c r="AL35">
        <f>IF(AND(AJ35&lt;&gt;"",AK35&lt;&gt;""),ROUNDUP((AK35-AJ35)/7,0),"")</f>
        <v/>
      </c>
      <c r="AN35">
        <f>IFERROR(IF(AL35*AM35=0,"",AL35*AM35),"")</f>
        <v/>
      </c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L35">
        <f>IFERROR(INDEX('_names_lookup'!$C:$C,MATCH(BK35,'_names_lookup'!$A:$A,0)),"")</f>
        <v/>
      </c>
      <c r="BM35">
        <f>IFERROR(INDEX('_names_lookup'!$B:$B,MATCH(BK35,'_names_lookup'!$A:$A,0)),"")</f>
        <v/>
      </c>
      <c r="BS35">
        <f>IFERROR(IF(BR35*AA35=0,"",BR35*AA35),"")</f>
        <v/>
      </c>
    </row>
    <row r="36">
      <c r="O36">
        <f>IFERROR(INDEX('_courses_lookup'!$C:$C,MATCH(K36&amp;L36,'_courses_lookup'!$E:$E,0)),"")</f>
        <v/>
      </c>
      <c r="P36">
        <f>IFERROR(INDEX('_courses_lookup'!$D:$D,MATCH(K36&amp;L36,'_courses_lookup'!$E:$E,0)),"")</f>
        <v/>
      </c>
      <c r="AG36">
        <f>IF(AND(AE36&lt;&gt;"",AF36&lt;&gt;""),ROUNDUP((AF36-AE36)/7,0),"")</f>
        <v/>
      </c>
      <c r="AI36">
        <f>IFERROR(IF(AG36*AH36=0,"",AG36*AH36),"")</f>
        <v/>
      </c>
      <c r="AL36">
        <f>IF(AND(AJ36&lt;&gt;"",AK36&lt;&gt;""),ROUNDUP((AK36-AJ36)/7,0),"")</f>
        <v/>
      </c>
      <c r="AN36">
        <f>IFERROR(IF(AL36*AM36=0,"",AL36*AM36),"")</f>
        <v/>
      </c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L36">
        <f>IFERROR(INDEX('_names_lookup'!$C:$C,MATCH(BK36,'_names_lookup'!$A:$A,0)),"")</f>
        <v/>
      </c>
      <c r="BM36">
        <f>IFERROR(INDEX('_names_lookup'!$B:$B,MATCH(BK36,'_names_lookup'!$A:$A,0)),"")</f>
        <v/>
      </c>
      <c r="BS36">
        <f>IFERROR(IF(BR36*AA36=0,"",BR36*AA36),"")</f>
        <v/>
      </c>
    </row>
    <row r="37">
      <c r="O37">
        <f>IFERROR(INDEX('_courses_lookup'!$C:$C,MATCH(K37&amp;L37,'_courses_lookup'!$E:$E,0)),"")</f>
        <v/>
      </c>
      <c r="P37">
        <f>IFERROR(INDEX('_courses_lookup'!$D:$D,MATCH(K37&amp;L37,'_courses_lookup'!$E:$E,0)),"")</f>
        <v/>
      </c>
      <c r="AG37">
        <f>IF(AND(AE37&lt;&gt;"",AF37&lt;&gt;""),ROUNDUP((AF37-AE37)/7,0),"")</f>
        <v/>
      </c>
      <c r="AI37">
        <f>IFERROR(IF(AG37*AH37=0,"",AG37*AH37),"")</f>
        <v/>
      </c>
      <c r="AL37">
        <f>IF(AND(AJ37&lt;&gt;"",AK37&lt;&gt;""),ROUNDUP((AK37-AJ37)/7,0),"")</f>
        <v/>
      </c>
      <c r="AN37">
        <f>IFERROR(IF(AL37*AM37=0,"",AL37*AM37),"")</f>
        <v/>
      </c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L37">
        <f>IFERROR(INDEX('_names_lookup'!$C:$C,MATCH(BK37,'_names_lookup'!$A:$A,0)),"")</f>
        <v/>
      </c>
      <c r="BM37">
        <f>IFERROR(INDEX('_names_lookup'!$B:$B,MATCH(BK37,'_names_lookup'!$A:$A,0)),"")</f>
        <v/>
      </c>
      <c r="BS37">
        <f>IFERROR(IF(BR37*AA37=0,"",BR37*AA37),"")</f>
        <v/>
      </c>
    </row>
    <row r="38">
      <c r="O38">
        <f>IFERROR(INDEX('_courses_lookup'!$C:$C,MATCH(K38&amp;L38,'_courses_lookup'!$E:$E,0)),"")</f>
        <v/>
      </c>
      <c r="P38">
        <f>IFERROR(INDEX('_courses_lookup'!$D:$D,MATCH(K38&amp;L38,'_courses_lookup'!$E:$E,0)),"")</f>
        <v/>
      </c>
      <c r="AG38">
        <f>IF(AND(AE38&lt;&gt;"",AF38&lt;&gt;""),ROUNDUP((AF38-AE38)/7,0),"")</f>
        <v/>
      </c>
      <c r="AI38">
        <f>IFERROR(IF(AG38*AH38=0,"",AG38*AH38),"")</f>
        <v/>
      </c>
      <c r="AL38">
        <f>IF(AND(AJ38&lt;&gt;"",AK38&lt;&gt;""),ROUNDUP((AK38-AJ38)/7,0),"")</f>
        <v/>
      </c>
      <c r="AN38">
        <f>IFERROR(IF(AL38*AM38=0,"",AL38*AM38),"")</f>
        <v/>
      </c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L38">
        <f>IFERROR(INDEX('_names_lookup'!$C:$C,MATCH(BK38,'_names_lookup'!$A:$A,0)),"")</f>
        <v/>
      </c>
      <c r="BM38">
        <f>IFERROR(INDEX('_names_lookup'!$B:$B,MATCH(BK38,'_names_lookup'!$A:$A,0)),"")</f>
        <v/>
      </c>
      <c r="BS38">
        <f>IFERROR(IF(BR38*AA38=0,"",BR38*AA38),"")</f>
        <v/>
      </c>
    </row>
    <row r="39">
      <c r="O39">
        <f>IFERROR(INDEX('_courses_lookup'!$C:$C,MATCH(K39&amp;L39,'_courses_lookup'!$E:$E,0)),"")</f>
        <v/>
      </c>
      <c r="P39">
        <f>IFERROR(INDEX('_courses_lookup'!$D:$D,MATCH(K39&amp;L39,'_courses_lookup'!$E:$E,0)),"")</f>
        <v/>
      </c>
      <c r="AG39">
        <f>IF(AND(AE39&lt;&gt;"",AF39&lt;&gt;""),ROUNDUP((AF39-AE39)/7,0),"")</f>
        <v/>
      </c>
      <c r="AI39">
        <f>IFERROR(IF(AG39*AH39=0,"",AG39*AH39),"")</f>
        <v/>
      </c>
      <c r="AL39">
        <f>IF(AND(AJ39&lt;&gt;"",AK39&lt;&gt;""),ROUNDUP((AK39-AJ39)/7,0),"")</f>
        <v/>
      </c>
      <c r="AN39">
        <f>IFERROR(IF(AL39*AM39=0,"",AL39*AM39),"")</f>
        <v/>
      </c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L39">
        <f>IFERROR(INDEX('_names_lookup'!$C:$C,MATCH(BK39,'_names_lookup'!$A:$A,0)),"")</f>
        <v/>
      </c>
      <c r="BM39">
        <f>IFERROR(INDEX('_names_lookup'!$B:$B,MATCH(BK39,'_names_lookup'!$A:$A,0)),"")</f>
        <v/>
      </c>
      <c r="BS39">
        <f>IFERROR(IF(BR39*AA39=0,"",BR39*AA39),"")</f>
        <v/>
      </c>
    </row>
    <row r="40">
      <c r="O40">
        <f>IFERROR(INDEX('_courses_lookup'!$C:$C,MATCH(K40&amp;L40,'_courses_lookup'!$E:$E,0)),"")</f>
        <v/>
      </c>
      <c r="P40">
        <f>IFERROR(INDEX('_courses_lookup'!$D:$D,MATCH(K40&amp;L40,'_courses_lookup'!$E:$E,0)),"")</f>
        <v/>
      </c>
      <c r="AG40">
        <f>IF(AND(AE40&lt;&gt;"",AF40&lt;&gt;""),ROUNDUP((AF40-AE40)/7,0),"")</f>
        <v/>
      </c>
      <c r="AI40">
        <f>IFERROR(IF(AG40*AH40=0,"",AG40*AH40),"")</f>
        <v/>
      </c>
      <c r="AL40">
        <f>IF(AND(AJ40&lt;&gt;"",AK40&lt;&gt;""),ROUNDUP((AK40-AJ40)/7,0),"")</f>
        <v/>
      </c>
      <c r="AN40">
        <f>IFERROR(IF(AL40*AM40=0,"",AL40*AM40),"")</f>
        <v/>
      </c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L40">
        <f>IFERROR(INDEX('_names_lookup'!$C:$C,MATCH(BK40,'_names_lookup'!$A:$A,0)),"")</f>
        <v/>
      </c>
      <c r="BM40">
        <f>IFERROR(INDEX('_names_lookup'!$B:$B,MATCH(BK40,'_names_lookup'!$A:$A,0)),"")</f>
        <v/>
      </c>
      <c r="BS40">
        <f>IFERROR(IF(BR40*AA40=0,"",BR40*AA40),"")</f>
        <v/>
      </c>
    </row>
    <row r="41">
      <c r="O41">
        <f>IFERROR(INDEX('_courses_lookup'!$C:$C,MATCH(K41&amp;L41,'_courses_lookup'!$E:$E,0)),"")</f>
        <v/>
      </c>
      <c r="P41">
        <f>IFERROR(INDEX('_courses_lookup'!$D:$D,MATCH(K41&amp;L41,'_courses_lookup'!$E:$E,0)),"")</f>
        <v/>
      </c>
      <c r="AG41">
        <f>IF(AND(AE41&lt;&gt;"",AF41&lt;&gt;""),ROUNDUP((AF41-AE41)/7,0),"")</f>
        <v/>
      </c>
      <c r="AI41">
        <f>IFERROR(IF(AG41*AH41=0,"",AG41*AH41),"")</f>
        <v/>
      </c>
      <c r="AL41">
        <f>IF(AND(AJ41&lt;&gt;"",AK41&lt;&gt;""),ROUNDUP((AK41-AJ41)/7,0),"")</f>
        <v/>
      </c>
      <c r="AN41">
        <f>IFERROR(IF(AL41*AM41=0,"",AL41*AM41),"")</f>
        <v/>
      </c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L41">
        <f>IFERROR(INDEX('_names_lookup'!$C:$C,MATCH(BK41,'_names_lookup'!$A:$A,0)),"")</f>
        <v/>
      </c>
      <c r="BM41">
        <f>IFERROR(INDEX('_names_lookup'!$B:$B,MATCH(BK41,'_names_lookup'!$A:$A,0)),"")</f>
        <v/>
      </c>
      <c r="BS41">
        <f>IFERROR(IF(BR41*AA41=0,"",BR41*AA41),"")</f>
        <v/>
      </c>
    </row>
    <row r="42">
      <c r="O42">
        <f>IFERROR(INDEX('_courses_lookup'!$C:$C,MATCH(K42&amp;L42,'_courses_lookup'!$E:$E,0)),"")</f>
        <v/>
      </c>
      <c r="P42">
        <f>IFERROR(INDEX('_courses_lookup'!$D:$D,MATCH(K42&amp;L42,'_courses_lookup'!$E:$E,0)),"")</f>
        <v/>
      </c>
      <c r="AG42">
        <f>IF(AND(AE42&lt;&gt;"",AF42&lt;&gt;""),ROUNDUP((AF42-AE42)/7,0),"")</f>
        <v/>
      </c>
      <c r="AI42">
        <f>IFERROR(IF(AG42*AH42=0,"",AG42*AH42),"")</f>
        <v/>
      </c>
      <c r="AL42">
        <f>IF(AND(AJ42&lt;&gt;"",AK42&lt;&gt;""),ROUNDUP((AK42-AJ42)/7,0),"")</f>
        <v/>
      </c>
      <c r="AN42">
        <f>IFERROR(IF(AL42*AM42=0,"",AL42*AM42),"")</f>
        <v/>
      </c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L42">
        <f>IFERROR(INDEX('_names_lookup'!$C:$C,MATCH(BK42,'_names_lookup'!$A:$A,0)),"")</f>
        <v/>
      </c>
      <c r="BM42">
        <f>IFERROR(INDEX('_names_lookup'!$B:$B,MATCH(BK42,'_names_lookup'!$A:$A,0)),"")</f>
        <v/>
      </c>
      <c r="BS42">
        <f>IFERROR(IF(BR42*AA42=0,"",BR42*AA42),"")</f>
        <v/>
      </c>
    </row>
    <row r="43">
      <c r="O43">
        <f>IFERROR(INDEX('_courses_lookup'!$C:$C,MATCH(K43&amp;L43,'_courses_lookup'!$E:$E,0)),"")</f>
        <v/>
      </c>
      <c r="P43">
        <f>IFERROR(INDEX('_courses_lookup'!$D:$D,MATCH(K43&amp;L43,'_courses_lookup'!$E:$E,0)),"")</f>
        <v/>
      </c>
      <c r="AG43">
        <f>IF(AND(AE43&lt;&gt;"",AF43&lt;&gt;""),ROUNDUP((AF43-AE43)/7,0),"")</f>
        <v/>
      </c>
      <c r="AI43">
        <f>IFERROR(IF(AG43*AH43=0,"",AG43*AH43),"")</f>
        <v/>
      </c>
      <c r="AL43">
        <f>IF(AND(AJ43&lt;&gt;"",AK43&lt;&gt;""),ROUNDUP((AK43-AJ43)/7,0),"")</f>
        <v/>
      </c>
      <c r="AN43">
        <f>IFERROR(IF(AL43*AM43=0,"",AL43*AM43),"")</f>
        <v/>
      </c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L43">
        <f>IFERROR(INDEX('_names_lookup'!$C:$C,MATCH(BK43,'_names_lookup'!$A:$A,0)),"")</f>
        <v/>
      </c>
      <c r="BM43">
        <f>IFERROR(INDEX('_names_lookup'!$B:$B,MATCH(BK43,'_names_lookup'!$A:$A,0)),"")</f>
        <v/>
      </c>
      <c r="BS43">
        <f>IFERROR(IF(BR43*AA43=0,"",BR43*AA43),"")</f>
        <v/>
      </c>
    </row>
    <row r="44">
      <c r="O44">
        <f>IFERROR(INDEX('_courses_lookup'!$C:$C,MATCH(K44&amp;L44,'_courses_lookup'!$E:$E,0)),"")</f>
        <v/>
      </c>
      <c r="P44">
        <f>IFERROR(INDEX('_courses_lookup'!$D:$D,MATCH(K44&amp;L44,'_courses_lookup'!$E:$E,0)),"")</f>
        <v/>
      </c>
      <c r="AG44">
        <f>IF(AND(AE44&lt;&gt;"",AF44&lt;&gt;""),ROUNDUP((AF44-AE44)/7,0),"")</f>
        <v/>
      </c>
      <c r="AI44">
        <f>IFERROR(IF(AG44*AH44=0,"",AG44*AH44),"")</f>
        <v/>
      </c>
      <c r="AL44">
        <f>IF(AND(AJ44&lt;&gt;"",AK44&lt;&gt;""),ROUNDUP((AK44-AJ44)/7,0),"")</f>
        <v/>
      </c>
      <c r="AN44">
        <f>IFERROR(IF(AL44*AM44=0,"",AL44*AM44),"")</f>
        <v/>
      </c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L44">
        <f>IFERROR(INDEX('_names_lookup'!$C:$C,MATCH(BK44,'_names_lookup'!$A:$A,0)),"")</f>
        <v/>
      </c>
      <c r="BM44">
        <f>IFERROR(INDEX('_names_lookup'!$B:$B,MATCH(BK44,'_names_lookup'!$A:$A,0)),"")</f>
        <v/>
      </c>
      <c r="BS44">
        <f>IFERROR(IF(BR44*AA44=0,"",BR44*AA44),"")</f>
        <v/>
      </c>
    </row>
    <row r="45">
      <c r="O45">
        <f>IFERROR(INDEX('_courses_lookup'!$C:$C,MATCH(K45&amp;L45,'_courses_lookup'!$E:$E,0)),"")</f>
        <v/>
      </c>
      <c r="P45">
        <f>IFERROR(INDEX('_courses_lookup'!$D:$D,MATCH(K45&amp;L45,'_courses_lookup'!$E:$E,0)),"")</f>
        <v/>
      </c>
      <c r="AG45">
        <f>IF(AND(AE45&lt;&gt;"",AF45&lt;&gt;""),ROUNDUP((AF45-AE45)/7,0),"")</f>
        <v/>
      </c>
      <c r="AI45">
        <f>IFERROR(IF(AG45*AH45=0,"",AG45*AH45),"")</f>
        <v/>
      </c>
      <c r="AL45">
        <f>IF(AND(AJ45&lt;&gt;"",AK45&lt;&gt;""),ROUNDUP((AK45-AJ45)/7,0),"")</f>
        <v/>
      </c>
      <c r="AN45">
        <f>IFERROR(IF(AL45*AM45=0,"",AL45*AM45),"")</f>
        <v/>
      </c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L45">
        <f>IFERROR(INDEX('_names_lookup'!$C:$C,MATCH(BK45,'_names_lookup'!$A:$A,0)),"")</f>
        <v/>
      </c>
      <c r="BM45">
        <f>IFERROR(INDEX('_names_lookup'!$B:$B,MATCH(BK45,'_names_lookup'!$A:$A,0)),"")</f>
        <v/>
      </c>
      <c r="BS45">
        <f>IFERROR(IF(BR45*AA45=0,"",BR45*AA45),"")</f>
        <v/>
      </c>
    </row>
    <row r="46">
      <c r="O46">
        <f>IFERROR(INDEX('_courses_lookup'!$C:$C,MATCH(K46&amp;L46,'_courses_lookup'!$E:$E,0)),"")</f>
        <v/>
      </c>
      <c r="P46">
        <f>IFERROR(INDEX('_courses_lookup'!$D:$D,MATCH(K46&amp;L46,'_courses_lookup'!$E:$E,0)),"")</f>
        <v/>
      </c>
      <c r="AG46">
        <f>IF(AND(AE46&lt;&gt;"",AF46&lt;&gt;""),ROUNDUP((AF46-AE46)/7,0),"")</f>
        <v/>
      </c>
      <c r="AI46">
        <f>IFERROR(IF(AG46*AH46=0,"",AG46*AH46),"")</f>
        <v/>
      </c>
      <c r="AL46">
        <f>IF(AND(AJ46&lt;&gt;"",AK46&lt;&gt;""),ROUNDUP((AK46-AJ46)/7,0),"")</f>
        <v/>
      </c>
      <c r="AN46">
        <f>IFERROR(IF(AL46*AM46=0,"",AL46*AM46),"")</f>
        <v/>
      </c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L46">
        <f>IFERROR(INDEX('_names_lookup'!$C:$C,MATCH(BK46,'_names_lookup'!$A:$A,0)),"")</f>
        <v/>
      </c>
      <c r="BM46">
        <f>IFERROR(INDEX('_names_lookup'!$B:$B,MATCH(BK46,'_names_lookup'!$A:$A,0)),"")</f>
        <v/>
      </c>
      <c r="BS46">
        <f>IFERROR(IF(BR46*AA46=0,"",BR46*AA46),"")</f>
        <v/>
      </c>
    </row>
    <row r="47">
      <c r="O47">
        <f>IFERROR(INDEX('_courses_lookup'!$C:$C,MATCH(K47&amp;L47,'_courses_lookup'!$E:$E,0)),"")</f>
        <v/>
      </c>
      <c r="P47">
        <f>IFERROR(INDEX('_courses_lookup'!$D:$D,MATCH(K47&amp;L47,'_courses_lookup'!$E:$E,0)),"")</f>
        <v/>
      </c>
      <c r="AG47">
        <f>IF(AND(AE47&lt;&gt;"",AF47&lt;&gt;""),ROUNDUP((AF47-AE47)/7,0),"")</f>
        <v/>
      </c>
      <c r="AI47">
        <f>IFERROR(IF(AG47*AH47=0,"",AG47*AH47),"")</f>
        <v/>
      </c>
      <c r="AL47">
        <f>IF(AND(AJ47&lt;&gt;"",AK47&lt;&gt;""),ROUNDUP((AK47-AJ47)/7,0),"")</f>
        <v/>
      </c>
      <c r="AN47">
        <f>IFERROR(IF(AL47*AM47=0,"",AL47*AM47),"")</f>
        <v/>
      </c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L47">
        <f>IFERROR(INDEX('_names_lookup'!$C:$C,MATCH(BK47,'_names_lookup'!$A:$A,0)),"")</f>
        <v/>
      </c>
      <c r="BM47">
        <f>IFERROR(INDEX('_names_lookup'!$B:$B,MATCH(BK47,'_names_lookup'!$A:$A,0)),"")</f>
        <v/>
      </c>
      <c r="BS47">
        <f>IFERROR(IF(BR47*AA47=0,"",BR47*AA47),"")</f>
        <v/>
      </c>
    </row>
    <row r="48">
      <c r="O48">
        <f>IFERROR(INDEX('_courses_lookup'!$C:$C,MATCH(K48&amp;L48,'_courses_lookup'!$E:$E,0)),"")</f>
        <v/>
      </c>
      <c r="P48">
        <f>IFERROR(INDEX('_courses_lookup'!$D:$D,MATCH(K48&amp;L48,'_courses_lookup'!$E:$E,0)),"")</f>
        <v/>
      </c>
      <c r="AG48">
        <f>IF(AND(AE48&lt;&gt;"",AF48&lt;&gt;""),ROUNDUP((AF48-AE48)/7,0),"")</f>
        <v/>
      </c>
      <c r="AI48">
        <f>IFERROR(IF(AG48*AH48=0,"",AG48*AH48),"")</f>
        <v/>
      </c>
      <c r="AL48">
        <f>IF(AND(AJ48&lt;&gt;"",AK48&lt;&gt;""),ROUNDUP((AK48-AJ48)/7,0),"")</f>
        <v/>
      </c>
      <c r="AN48">
        <f>IFERROR(IF(AL48*AM48=0,"",AL48*AM48),"")</f>
        <v/>
      </c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L48">
        <f>IFERROR(INDEX('_names_lookup'!$C:$C,MATCH(BK48,'_names_lookup'!$A:$A,0)),"")</f>
        <v/>
      </c>
      <c r="BM48">
        <f>IFERROR(INDEX('_names_lookup'!$B:$B,MATCH(BK48,'_names_lookup'!$A:$A,0)),"")</f>
        <v/>
      </c>
      <c r="BS48">
        <f>IFERROR(IF(BR48*AA48=0,"",BR48*AA48),"")</f>
        <v/>
      </c>
    </row>
    <row r="49">
      <c r="O49">
        <f>IFERROR(INDEX('_courses_lookup'!$C:$C,MATCH(K49&amp;L49,'_courses_lookup'!$E:$E,0)),"")</f>
        <v/>
      </c>
      <c r="P49">
        <f>IFERROR(INDEX('_courses_lookup'!$D:$D,MATCH(K49&amp;L49,'_courses_lookup'!$E:$E,0)),"")</f>
        <v/>
      </c>
      <c r="AG49">
        <f>IF(AND(AE49&lt;&gt;"",AF49&lt;&gt;""),ROUNDUP((AF49-AE49)/7,0),"")</f>
        <v/>
      </c>
      <c r="AI49">
        <f>IFERROR(IF(AG49*AH49=0,"",AG49*AH49),"")</f>
        <v/>
      </c>
      <c r="AL49">
        <f>IF(AND(AJ49&lt;&gt;"",AK49&lt;&gt;""),ROUNDUP((AK49-AJ49)/7,0),"")</f>
        <v/>
      </c>
      <c r="AN49">
        <f>IFERROR(IF(AL49*AM49=0,"",AL49*AM49),"")</f>
        <v/>
      </c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L49">
        <f>IFERROR(INDEX('_names_lookup'!$C:$C,MATCH(BK49,'_names_lookup'!$A:$A,0)),"")</f>
        <v/>
      </c>
      <c r="BM49">
        <f>IFERROR(INDEX('_names_lookup'!$B:$B,MATCH(BK49,'_names_lookup'!$A:$A,0)),"")</f>
        <v/>
      </c>
      <c r="BS49">
        <f>IFERROR(IF(BR49*AA49=0,"",BR49*AA49),"")</f>
        <v/>
      </c>
    </row>
    <row r="50">
      <c r="O50">
        <f>IFERROR(INDEX('_courses_lookup'!$C:$C,MATCH(K50&amp;L50,'_courses_lookup'!$E:$E,0)),"")</f>
        <v/>
      </c>
      <c r="P50">
        <f>IFERROR(INDEX('_courses_lookup'!$D:$D,MATCH(K50&amp;L50,'_courses_lookup'!$E:$E,0)),"")</f>
        <v/>
      </c>
      <c r="AG50">
        <f>IF(AND(AE50&lt;&gt;"",AF50&lt;&gt;""),ROUNDUP((AF50-AE50)/7,0),"")</f>
        <v/>
      </c>
      <c r="AI50">
        <f>IFERROR(IF(AG50*AH50=0,"",AG50*AH50),"")</f>
        <v/>
      </c>
      <c r="AL50">
        <f>IF(AND(AJ50&lt;&gt;"",AK50&lt;&gt;""),ROUNDUP((AK50-AJ50)/7,0),"")</f>
        <v/>
      </c>
      <c r="AN50">
        <f>IFERROR(IF(AL50*AM50=0,"",AL50*AM50),"")</f>
        <v/>
      </c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L50">
        <f>IFERROR(INDEX('_names_lookup'!$C:$C,MATCH(BK50,'_names_lookup'!$A:$A,0)),"")</f>
        <v/>
      </c>
      <c r="BM50">
        <f>IFERROR(INDEX('_names_lookup'!$B:$B,MATCH(BK50,'_names_lookup'!$A:$A,0)),"")</f>
        <v/>
      </c>
      <c r="BS50">
        <f>IFERROR(IF(BR50*AA50=0,"",BR50*AA50),"")</f>
        <v/>
      </c>
    </row>
    <row r="51">
      <c r="O51">
        <f>IFERROR(INDEX('_courses_lookup'!$C:$C,MATCH(K51&amp;L51,'_courses_lookup'!$E:$E,0)),"")</f>
        <v/>
      </c>
      <c r="P51">
        <f>IFERROR(INDEX('_courses_lookup'!$D:$D,MATCH(K51&amp;L51,'_courses_lookup'!$E:$E,0)),"")</f>
        <v/>
      </c>
      <c r="AG51">
        <f>IF(AND(AE51&lt;&gt;"",AF51&lt;&gt;""),ROUNDUP((AF51-AE51)/7,0),"")</f>
        <v/>
      </c>
      <c r="AI51">
        <f>IFERROR(IF(AG51*AH51=0,"",AG51*AH51),"")</f>
        <v/>
      </c>
      <c r="AL51">
        <f>IF(AND(AJ51&lt;&gt;"",AK51&lt;&gt;""),ROUNDUP((AK51-AJ51)/7,0),"")</f>
        <v/>
      </c>
      <c r="AN51">
        <f>IFERROR(IF(AL51*AM51=0,"",AL51*AM51),"")</f>
        <v/>
      </c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L51">
        <f>IFERROR(INDEX('_names_lookup'!$C:$C,MATCH(BK51,'_names_lookup'!$A:$A,0)),"")</f>
        <v/>
      </c>
      <c r="BM51">
        <f>IFERROR(INDEX('_names_lookup'!$B:$B,MATCH(BK51,'_names_lookup'!$A:$A,0)),"")</f>
        <v/>
      </c>
      <c r="BS51">
        <f>IFERROR(IF(BR51*AA51=0,"",BR51*AA51),"")</f>
        <v/>
      </c>
    </row>
    <row r="52">
      <c r="O52">
        <f>IFERROR(INDEX('_courses_lookup'!$C:$C,MATCH(K52&amp;L52,'_courses_lookup'!$E:$E,0)),"")</f>
        <v/>
      </c>
      <c r="P52">
        <f>IFERROR(INDEX('_courses_lookup'!$D:$D,MATCH(K52&amp;L52,'_courses_lookup'!$E:$E,0)),"")</f>
        <v/>
      </c>
      <c r="AG52">
        <f>IF(AND(AE52&lt;&gt;"",AF52&lt;&gt;""),ROUNDUP((AF52-AE52)/7,0),"")</f>
        <v/>
      </c>
      <c r="AI52">
        <f>IFERROR(IF(AG52*AH52=0,"",AG52*AH52),"")</f>
        <v/>
      </c>
      <c r="AL52">
        <f>IF(AND(AJ52&lt;&gt;"",AK52&lt;&gt;""),ROUNDUP((AK52-AJ52)/7,0),"")</f>
        <v/>
      </c>
      <c r="AN52">
        <f>IFERROR(IF(AL52*AM52=0,"",AL52*AM52),"")</f>
        <v/>
      </c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L52">
        <f>IFERROR(INDEX('_names_lookup'!$C:$C,MATCH(BK52,'_names_lookup'!$A:$A,0)),"")</f>
        <v/>
      </c>
      <c r="BM52">
        <f>IFERROR(INDEX('_names_lookup'!$B:$B,MATCH(BK52,'_names_lookup'!$A:$A,0)),"")</f>
        <v/>
      </c>
      <c r="BS52">
        <f>IFERROR(IF(BR52*AA52=0,"",BR52*AA52),"")</f>
        <v/>
      </c>
    </row>
    <row r="53">
      <c r="O53">
        <f>IFERROR(INDEX('_courses_lookup'!$C:$C,MATCH(K53&amp;L53,'_courses_lookup'!$E:$E,0)),"")</f>
        <v/>
      </c>
      <c r="P53">
        <f>IFERROR(INDEX('_courses_lookup'!$D:$D,MATCH(K53&amp;L53,'_courses_lookup'!$E:$E,0)),"")</f>
        <v/>
      </c>
      <c r="AG53">
        <f>IF(AND(AE53&lt;&gt;"",AF53&lt;&gt;""),ROUNDUP((AF53-AE53)/7,0),"")</f>
        <v/>
      </c>
      <c r="AI53">
        <f>IFERROR(IF(AG53*AH53=0,"",AG53*AH53),"")</f>
        <v/>
      </c>
      <c r="AL53">
        <f>IF(AND(AJ53&lt;&gt;"",AK53&lt;&gt;""),ROUNDUP((AK53-AJ53)/7,0),"")</f>
        <v/>
      </c>
      <c r="AN53">
        <f>IFERROR(IF(AL53*AM53=0,"",AL53*AM53),"")</f>
        <v/>
      </c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L53">
        <f>IFERROR(INDEX('_names_lookup'!$C:$C,MATCH(BK53,'_names_lookup'!$A:$A,0)),"")</f>
        <v/>
      </c>
      <c r="BM53">
        <f>IFERROR(INDEX('_names_lookup'!$B:$B,MATCH(BK53,'_names_lookup'!$A:$A,0)),"")</f>
        <v/>
      </c>
      <c r="BS53">
        <f>IFERROR(IF(BR53*AA53=0,"",BR53*AA53),"")</f>
        <v/>
      </c>
    </row>
    <row r="54">
      <c r="O54">
        <f>IFERROR(INDEX('_courses_lookup'!$C:$C,MATCH(K54&amp;L54,'_courses_lookup'!$E:$E,0)),"")</f>
        <v/>
      </c>
      <c r="P54">
        <f>IFERROR(INDEX('_courses_lookup'!$D:$D,MATCH(K54&amp;L54,'_courses_lookup'!$E:$E,0)),"")</f>
        <v/>
      </c>
      <c r="AG54">
        <f>IF(AND(AE54&lt;&gt;"",AF54&lt;&gt;""),ROUNDUP((AF54-AE54)/7,0),"")</f>
        <v/>
      </c>
      <c r="AI54">
        <f>IFERROR(IF(AG54*AH54=0,"",AG54*AH54),"")</f>
        <v/>
      </c>
      <c r="AL54">
        <f>IF(AND(AJ54&lt;&gt;"",AK54&lt;&gt;""),ROUNDUP((AK54-AJ54)/7,0),"")</f>
        <v/>
      </c>
      <c r="AN54">
        <f>IFERROR(IF(AL54*AM54=0,"",AL54*AM54),"")</f>
        <v/>
      </c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L54">
        <f>IFERROR(INDEX('_names_lookup'!$C:$C,MATCH(BK54,'_names_lookup'!$A:$A,0)),"")</f>
        <v/>
      </c>
      <c r="BM54">
        <f>IFERROR(INDEX('_names_lookup'!$B:$B,MATCH(BK54,'_names_lookup'!$A:$A,0)),"")</f>
        <v/>
      </c>
      <c r="BS54">
        <f>IFERROR(IF(BR54*AA54=0,"",BR54*AA54),"")</f>
        <v/>
      </c>
    </row>
    <row r="55">
      <c r="O55">
        <f>IFERROR(INDEX('_courses_lookup'!$C:$C,MATCH(K55&amp;L55,'_courses_lookup'!$E:$E,0)),"")</f>
        <v/>
      </c>
      <c r="P55">
        <f>IFERROR(INDEX('_courses_lookup'!$D:$D,MATCH(K55&amp;L55,'_courses_lookup'!$E:$E,0)),"")</f>
        <v/>
      </c>
      <c r="AG55">
        <f>IF(AND(AE55&lt;&gt;"",AF55&lt;&gt;""),ROUNDUP((AF55-AE55)/7,0),"")</f>
        <v/>
      </c>
      <c r="AI55">
        <f>IFERROR(IF(AG55*AH55=0,"",AG55*AH55),"")</f>
        <v/>
      </c>
      <c r="AL55">
        <f>IF(AND(AJ55&lt;&gt;"",AK55&lt;&gt;""),ROUNDUP((AK55-AJ55)/7,0),"")</f>
        <v/>
      </c>
      <c r="AN55">
        <f>IFERROR(IF(AL55*AM55=0,"",AL55*AM55),"")</f>
        <v/>
      </c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L55">
        <f>IFERROR(INDEX('_names_lookup'!$C:$C,MATCH(BK55,'_names_lookup'!$A:$A,0)),"")</f>
        <v/>
      </c>
      <c r="BM55">
        <f>IFERROR(INDEX('_names_lookup'!$B:$B,MATCH(BK55,'_names_lookup'!$A:$A,0)),"")</f>
        <v/>
      </c>
      <c r="BS55">
        <f>IFERROR(IF(BR55*AA55=0,"",BR55*AA55),"")</f>
        <v/>
      </c>
    </row>
    <row r="56">
      <c r="O56">
        <f>IFERROR(INDEX('_courses_lookup'!$C:$C,MATCH(K56&amp;L56,'_courses_lookup'!$E:$E,0)),"")</f>
        <v/>
      </c>
      <c r="P56">
        <f>IFERROR(INDEX('_courses_lookup'!$D:$D,MATCH(K56&amp;L56,'_courses_lookup'!$E:$E,0)),"")</f>
        <v/>
      </c>
      <c r="AG56">
        <f>IF(AND(AE56&lt;&gt;"",AF56&lt;&gt;""),ROUNDUP((AF56-AE56)/7,0),"")</f>
        <v/>
      </c>
      <c r="AI56">
        <f>IFERROR(IF(AG56*AH56=0,"",AG56*AH56),"")</f>
        <v/>
      </c>
      <c r="AL56">
        <f>IF(AND(AJ56&lt;&gt;"",AK56&lt;&gt;""),ROUNDUP((AK56-AJ56)/7,0),"")</f>
        <v/>
      </c>
      <c r="AN56">
        <f>IFERROR(IF(AL56*AM56=0,"",AL56*AM56),"")</f>
        <v/>
      </c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L56">
        <f>IFERROR(INDEX('_names_lookup'!$C:$C,MATCH(BK56,'_names_lookup'!$A:$A,0)),"")</f>
        <v/>
      </c>
      <c r="BM56">
        <f>IFERROR(INDEX('_names_lookup'!$B:$B,MATCH(BK56,'_names_lookup'!$A:$A,0)),"")</f>
        <v/>
      </c>
      <c r="BS56">
        <f>IFERROR(IF(BR56*AA56=0,"",BR56*AA56),"")</f>
        <v/>
      </c>
    </row>
    <row r="57">
      <c r="O57">
        <f>IFERROR(INDEX('_courses_lookup'!$C:$C,MATCH(K57&amp;L57,'_courses_lookup'!$E:$E,0)),"")</f>
        <v/>
      </c>
      <c r="P57">
        <f>IFERROR(INDEX('_courses_lookup'!$D:$D,MATCH(K57&amp;L57,'_courses_lookup'!$E:$E,0)),"")</f>
        <v/>
      </c>
      <c r="AG57">
        <f>IF(AND(AE57&lt;&gt;"",AF57&lt;&gt;""),ROUNDUP((AF57-AE57)/7,0),"")</f>
        <v/>
      </c>
      <c r="AI57">
        <f>IFERROR(IF(AG57*AH57=0,"",AG57*AH57),"")</f>
        <v/>
      </c>
      <c r="AL57">
        <f>IF(AND(AJ57&lt;&gt;"",AK57&lt;&gt;""),ROUNDUP((AK57-AJ57)/7,0),"")</f>
        <v/>
      </c>
      <c r="AN57">
        <f>IFERROR(IF(AL57*AM57=0,"",AL57*AM57),"")</f>
        <v/>
      </c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L57">
        <f>IFERROR(INDEX('_names_lookup'!$C:$C,MATCH(BK57,'_names_lookup'!$A:$A,0)),"")</f>
        <v/>
      </c>
      <c r="BM57">
        <f>IFERROR(INDEX('_names_lookup'!$B:$B,MATCH(BK57,'_names_lookup'!$A:$A,0)),"")</f>
        <v/>
      </c>
      <c r="BS57">
        <f>IFERROR(IF(BR57*AA57=0,"",BR57*AA57),"")</f>
        <v/>
      </c>
    </row>
    <row r="58">
      <c r="O58">
        <f>IFERROR(INDEX('_courses_lookup'!$C:$C,MATCH(K58&amp;L58,'_courses_lookup'!$E:$E,0)),"")</f>
        <v/>
      </c>
      <c r="P58">
        <f>IFERROR(INDEX('_courses_lookup'!$D:$D,MATCH(K58&amp;L58,'_courses_lookup'!$E:$E,0)),"")</f>
        <v/>
      </c>
      <c r="AG58">
        <f>IF(AND(AE58&lt;&gt;"",AF58&lt;&gt;""),ROUNDUP((AF58-AE58)/7,0),"")</f>
        <v/>
      </c>
      <c r="AI58">
        <f>IFERROR(IF(AG58*AH58=0,"",AG58*AH58),"")</f>
        <v/>
      </c>
      <c r="AL58">
        <f>IF(AND(AJ58&lt;&gt;"",AK58&lt;&gt;""),ROUNDUP((AK58-AJ58)/7,0),"")</f>
        <v/>
      </c>
      <c r="AN58">
        <f>IFERROR(IF(AL58*AM58=0,"",AL58*AM58),"")</f>
        <v/>
      </c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L58">
        <f>IFERROR(INDEX('_names_lookup'!$C:$C,MATCH(BK58,'_names_lookup'!$A:$A,0)),"")</f>
        <v/>
      </c>
      <c r="BM58">
        <f>IFERROR(INDEX('_names_lookup'!$B:$B,MATCH(BK58,'_names_lookup'!$A:$A,0)),"")</f>
        <v/>
      </c>
      <c r="BS58">
        <f>IFERROR(IF(BR58*AA58=0,"",BR58*AA58),"")</f>
        <v/>
      </c>
    </row>
    <row r="59">
      <c r="O59">
        <f>IFERROR(INDEX('_courses_lookup'!$C:$C,MATCH(K59&amp;L59,'_courses_lookup'!$E:$E,0)),"")</f>
        <v/>
      </c>
      <c r="P59">
        <f>IFERROR(INDEX('_courses_lookup'!$D:$D,MATCH(K59&amp;L59,'_courses_lookup'!$E:$E,0)),"")</f>
        <v/>
      </c>
      <c r="AG59">
        <f>IF(AND(AE59&lt;&gt;"",AF59&lt;&gt;""),ROUNDUP((AF59-AE59)/7,0),"")</f>
        <v/>
      </c>
      <c r="AI59">
        <f>IFERROR(IF(AG59*AH59=0,"",AG59*AH59),"")</f>
        <v/>
      </c>
      <c r="AL59">
        <f>IF(AND(AJ59&lt;&gt;"",AK59&lt;&gt;""),ROUNDUP((AK59-AJ59)/7,0),"")</f>
        <v/>
      </c>
      <c r="AN59">
        <f>IFERROR(IF(AL59*AM59=0,"",AL59*AM59),"")</f>
        <v/>
      </c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L59">
        <f>IFERROR(INDEX('_names_lookup'!$C:$C,MATCH(BK59,'_names_lookup'!$A:$A,0)),"")</f>
        <v/>
      </c>
      <c r="BM59">
        <f>IFERROR(INDEX('_names_lookup'!$B:$B,MATCH(BK59,'_names_lookup'!$A:$A,0)),"")</f>
        <v/>
      </c>
      <c r="BS59">
        <f>IFERROR(IF(BR59*AA59=0,"",BR59*AA59),"")</f>
        <v/>
      </c>
    </row>
    <row r="60">
      <c r="O60">
        <f>IFERROR(INDEX('_courses_lookup'!$C:$C,MATCH(K60&amp;L60,'_courses_lookup'!$E:$E,0)),"")</f>
        <v/>
      </c>
      <c r="P60">
        <f>IFERROR(INDEX('_courses_lookup'!$D:$D,MATCH(K60&amp;L60,'_courses_lookup'!$E:$E,0)),"")</f>
        <v/>
      </c>
      <c r="AG60">
        <f>IF(AND(AE60&lt;&gt;"",AF60&lt;&gt;""),ROUNDUP((AF60-AE60)/7,0),"")</f>
        <v/>
      </c>
      <c r="AI60">
        <f>IFERROR(IF(AG60*AH60=0,"",AG60*AH60),"")</f>
        <v/>
      </c>
      <c r="AL60">
        <f>IF(AND(AJ60&lt;&gt;"",AK60&lt;&gt;""),ROUNDUP((AK60-AJ60)/7,0),"")</f>
        <v/>
      </c>
      <c r="AN60">
        <f>IFERROR(IF(AL60*AM60=0,"",AL60*AM60),"")</f>
        <v/>
      </c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L60">
        <f>IFERROR(INDEX('_names_lookup'!$C:$C,MATCH(BK60,'_names_lookup'!$A:$A,0)),"")</f>
        <v/>
      </c>
      <c r="BM60">
        <f>IFERROR(INDEX('_names_lookup'!$B:$B,MATCH(BK60,'_names_lookup'!$A:$A,0)),"")</f>
        <v/>
      </c>
      <c r="BS60">
        <f>IFERROR(IF(BR60*AA60=0,"",BR60*AA60),"")</f>
        <v/>
      </c>
    </row>
    <row r="61">
      <c r="O61">
        <f>IFERROR(INDEX('_courses_lookup'!$C:$C,MATCH(K61&amp;L61,'_courses_lookup'!$E:$E,0)),"")</f>
        <v/>
      </c>
      <c r="P61">
        <f>IFERROR(INDEX('_courses_lookup'!$D:$D,MATCH(K61&amp;L61,'_courses_lookup'!$E:$E,0)),"")</f>
        <v/>
      </c>
      <c r="AG61">
        <f>IF(AND(AE61&lt;&gt;"",AF61&lt;&gt;""),ROUNDUP((AF61-AE61)/7,0),"")</f>
        <v/>
      </c>
      <c r="AI61">
        <f>IFERROR(IF(AG61*AH61=0,"",AG61*AH61),"")</f>
        <v/>
      </c>
      <c r="AL61">
        <f>IF(AND(AJ61&lt;&gt;"",AK61&lt;&gt;""),ROUNDUP((AK61-AJ61)/7,0),"")</f>
        <v/>
      </c>
      <c r="AN61">
        <f>IFERROR(IF(AL61*AM61=0,"",AL61*AM61),"")</f>
        <v/>
      </c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L61">
        <f>IFERROR(INDEX('_names_lookup'!$C:$C,MATCH(BK61,'_names_lookup'!$A:$A,0)),"")</f>
        <v/>
      </c>
      <c r="BM61">
        <f>IFERROR(INDEX('_names_lookup'!$B:$B,MATCH(BK61,'_names_lookup'!$A:$A,0)),"")</f>
        <v/>
      </c>
      <c r="BS61">
        <f>IFERROR(IF(BR61*AA61=0,"",BR61*AA61),"")</f>
        <v/>
      </c>
    </row>
    <row r="62">
      <c r="O62">
        <f>IFERROR(INDEX('_courses_lookup'!$C:$C,MATCH(K62&amp;L62,'_courses_lookup'!$E:$E,0)),"")</f>
        <v/>
      </c>
      <c r="P62">
        <f>IFERROR(INDEX('_courses_lookup'!$D:$D,MATCH(K62&amp;L62,'_courses_lookup'!$E:$E,0)),"")</f>
        <v/>
      </c>
      <c r="AG62">
        <f>IF(AND(AE62&lt;&gt;"",AF62&lt;&gt;""),ROUNDUP((AF62-AE62)/7,0),"")</f>
        <v/>
      </c>
      <c r="AI62">
        <f>IFERROR(IF(AG62*AH62=0,"",AG62*AH62),"")</f>
        <v/>
      </c>
      <c r="AL62">
        <f>IF(AND(AJ62&lt;&gt;"",AK62&lt;&gt;""),ROUNDUP((AK62-AJ62)/7,0),"")</f>
        <v/>
      </c>
      <c r="AN62">
        <f>IFERROR(IF(AL62*AM62=0,"",AL62*AM62),"")</f>
        <v/>
      </c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L62">
        <f>IFERROR(INDEX('_names_lookup'!$C:$C,MATCH(BK62,'_names_lookup'!$A:$A,0)),"")</f>
        <v/>
      </c>
      <c r="BM62">
        <f>IFERROR(INDEX('_names_lookup'!$B:$B,MATCH(BK62,'_names_lookup'!$A:$A,0)),"")</f>
        <v/>
      </c>
      <c r="BS62">
        <f>IFERROR(IF(BR62*AA62=0,"",BR62*AA62),"")</f>
        <v/>
      </c>
    </row>
    <row r="63">
      <c r="O63">
        <f>IFERROR(INDEX('_courses_lookup'!$C:$C,MATCH(K63&amp;L63,'_courses_lookup'!$E:$E,0)),"")</f>
        <v/>
      </c>
      <c r="P63">
        <f>IFERROR(INDEX('_courses_lookup'!$D:$D,MATCH(K63&amp;L63,'_courses_lookup'!$E:$E,0)),"")</f>
        <v/>
      </c>
      <c r="AG63">
        <f>IF(AND(AE63&lt;&gt;"",AF63&lt;&gt;""),ROUNDUP((AF63-AE63)/7,0),"")</f>
        <v/>
      </c>
      <c r="AI63">
        <f>IFERROR(IF(AG63*AH63=0,"",AG63*AH63),"")</f>
        <v/>
      </c>
      <c r="AL63">
        <f>IF(AND(AJ63&lt;&gt;"",AK63&lt;&gt;""),ROUNDUP((AK63-AJ63)/7,0),"")</f>
        <v/>
      </c>
      <c r="AN63">
        <f>IFERROR(IF(AL63*AM63=0,"",AL63*AM63),"")</f>
        <v/>
      </c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L63">
        <f>IFERROR(INDEX('_names_lookup'!$C:$C,MATCH(BK63,'_names_lookup'!$A:$A,0)),"")</f>
        <v/>
      </c>
      <c r="BM63">
        <f>IFERROR(INDEX('_names_lookup'!$B:$B,MATCH(BK63,'_names_lookup'!$A:$A,0)),"")</f>
        <v/>
      </c>
      <c r="BS63">
        <f>IFERROR(IF(BR63*AA63=0,"",BR63*AA63),"")</f>
        <v/>
      </c>
    </row>
    <row r="64">
      <c r="O64">
        <f>IFERROR(INDEX('_courses_lookup'!$C:$C,MATCH(K64&amp;L64,'_courses_lookup'!$E:$E,0)),"")</f>
        <v/>
      </c>
      <c r="P64">
        <f>IFERROR(INDEX('_courses_lookup'!$D:$D,MATCH(K64&amp;L64,'_courses_lookup'!$E:$E,0)),"")</f>
        <v/>
      </c>
      <c r="AG64">
        <f>IF(AND(AE64&lt;&gt;"",AF64&lt;&gt;""),ROUNDUP((AF64-AE64)/7,0),"")</f>
        <v/>
      </c>
      <c r="AI64">
        <f>IFERROR(IF(AG64*AH64=0,"",AG64*AH64),"")</f>
        <v/>
      </c>
      <c r="AL64">
        <f>IF(AND(AJ64&lt;&gt;"",AK64&lt;&gt;""),ROUNDUP((AK64-AJ64)/7,0),"")</f>
        <v/>
      </c>
      <c r="AN64">
        <f>IFERROR(IF(AL64*AM64=0,"",AL64*AM64),"")</f>
        <v/>
      </c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L64">
        <f>IFERROR(INDEX('_names_lookup'!$C:$C,MATCH(BK64,'_names_lookup'!$A:$A,0)),"")</f>
        <v/>
      </c>
      <c r="BM64">
        <f>IFERROR(INDEX('_names_lookup'!$B:$B,MATCH(BK64,'_names_lookup'!$A:$A,0)),"")</f>
        <v/>
      </c>
      <c r="BS64">
        <f>IFERROR(IF(BR64*AA64=0,"",BR64*AA64),"")</f>
        <v/>
      </c>
    </row>
    <row r="65">
      <c r="O65">
        <f>IFERROR(INDEX('_courses_lookup'!$C:$C,MATCH(K65&amp;L65,'_courses_lookup'!$E:$E,0)),"")</f>
        <v/>
      </c>
      <c r="P65">
        <f>IFERROR(INDEX('_courses_lookup'!$D:$D,MATCH(K65&amp;L65,'_courses_lookup'!$E:$E,0)),"")</f>
        <v/>
      </c>
      <c r="AG65">
        <f>IF(AND(AE65&lt;&gt;"",AF65&lt;&gt;""),ROUNDUP((AF65-AE65)/7,0),"")</f>
        <v/>
      </c>
      <c r="AI65">
        <f>IFERROR(IF(AG65*AH65=0,"",AG65*AH65),"")</f>
        <v/>
      </c>
      <c r="AL65">
        <f>IF(AND(AJ65&lt;&gt;"",AK65&lt;&gt;""),ROUNDUP((AK65-AJ65)/7,0),"")</f>
        <v/>
      </c>
      <c r="AN65">
        <f>IFERROR(IF(AL65*AM65=0,"",AL65*AM65),"")</f>
        <v/>
      </c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L65">
        <f>IFERROR(INDEX('_names_lookup'!$C:$C,MATCH(BK65,'_names_lookup'!$A:$A,0)),"")</f>
        <v/>
      </c>
      <c r="BM65">
        <f>IFERROR(INDEX('_names_lookup'!$B:$B,MATCH(BK65,'_names_lookup'!$A:$A,0)),"")</f>
        <v/>
      </c>
      <c r="BS65">
        <f>IFERROR(IF(BR65*AA65=0,"",BR65*AA65),"")</f>
        <v/>
      </c>
    </row>
    <row r="66">
      <c r="O66">
        <f>IFERROR(INDEX('_courses_lookup'!$C:$C,MATCH(K66&amp;L66,'_courses_lookup'!$E:$E,0)),"")</f>
        <v/>
      </c>
      <c r="P66">
        <f>IFERROR(INDEX('_courses_lookup'!$D:$D,MATCH(K66&amp;L66,'_courses_lookup'!$E:$E,0)),"")</f>
        <v/>
      </c>
      <c r="AG66">
        <f>IF(AND(AE66&lt;&gt;"",AF66&lt;&gt;""),ROUNDUP((AF66-AE66)/7,0),"")</f>
        <v/>
      </c>
      <c r="AI66">
        <f>IFERROR(IF(AG66*AH66=0,"",AG66*AH66),"")</f>
        <v/>
      </c>
      <c r="AL66">
        <f>IF(AND(AJ66&lt;&gt;"",AK66&lt;&gt;""),ROUNDUP((AK66-AJ66)/7,0),"")</f>
        <v/>
      </c>
      <c r="AN66">
        <f>IFERROR(IF(AL66*AM66=0,"",AL66*AM66),"")</f>
        <v/>
      </c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L66">
        <f>IFERROR(INDEX('_names_lookup'!$C:$C,MATCH(BK66,'_names_lookup'!$A:$A,0)),"")</f>
        <v/>
      </c>
      <c r="BM66">
        <f>IFERROR(INDEX('_names_lookup'!$B:$B,MATCH(BK66,'_names_lookup'!$A:$A,0)),"")</f>
        <v/>
      </c>
      <c r="BS66">
        <f>IFERROR(IF(BR66*AA66=0,"",BR66*AA66),"")</f>
        <v/>
      </c>
    </row>
    <row r="67">
      <c r="O67">
        <f>IFERROR(INDEX('_courses_lookup'!$C:$C,MATCH(K67&amp;L67,'_courses_lookup'!$E:$E,0)),"")</f>
        <v/>
      </c>
      <c r="P67">
        <f>IFERROR(INDEX('_courses_lookup'!$D:$D,MATCH(K67&amp;L67,'_courses_lookup'!$E:$E,0)),"")</f>
        <v/>
      </c>
      <c r="AG67">
        <f>IF(AND(AE67&lt;&gt;"",AF67&lt;&gt;""),ROUNDUP((AF67-AE67)/7,0),"")</f>
        <v/>
      </c>
      <c r="AI67">
        <f>IFERROR(IF(AG67*AH67=0,"",AG67*AH67),"")</f>
        <v/>
      </c>
      <c r="AL67">
        <f>IF(AND(AJ67&lt;&gt;"",AK67&lt;&gt;""),ROUNDUP((AK67-AJ67)/7,0),"")</f>
        <v/>
      </c>
      <c r="AN67">
        <f>IFERROR(IF(AL67*AM67=0,"",AL67*AM67),"")</f>
        <v/>
      </c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L67">
        <f>IFERROR(INDEX('_names_lookup'!$C:$C,MATCH(BK67,'_names_lookup'!$A:$A,0)),"")</f>
        <v/>
      </c>
      <c r="BM67">
        <f>IFERROR(INDEX('_names_lookup'!$B:$B,MATCH(BK67,'_names_lookup'!$A:$A,0)),"")</f>
        <v/>
      </c>
      <c r="BS67">
        <f>IFERROR(IF(BR67*AA67=0,"",BR67*AA67),"")</f>
        <v/>
      </c>
    </row>
    <row r="68">
      <c r="O68">
        <f>IFERROR(INDEX('_courses_lookup'!$C:$C,MATCH(K68&amp;L68,'_courses_lookup'!$E:$E,0)),"")</f>
        <v/>
      </c>
      <c r="P68">
        <f>IFERROR(INDEX('_courses_lookup'!$D:$D,MATCH(K68&amp;L68,'_courses_lookup'!$E:$E,0)),"")</f>
        <v/>
      </c>
      <c r="AG68">
        <f>IF(AND(AE68&lt;&gt;"",AF68&lt;&gt;""),ROUNDUP((AF68-AE68)/7,0),"")</f>
        <v/>
      </c>
      <c r="AI68">
        <f>IFERROR(IF(AG68*AH68=0,"",AG68*AH68),"")</f>
        <v/>
      </c>
      <c r="AL68">
        <f>IF(AND(AJ68&lt;&gt;"",AK68&lt;&gt;""),ROUNDUP((AK68-AJ68)/7,0),"")</f>
        <v/>
      </c>
      <c r="AN68">
        <f>IFERROR(IF(AL68*AM68=0,"",AL68*AM68),"")</f>
        <v/>
      </c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L68">
        <f>IFERROR(INDEX('_names_lookup'!$C:$C,MATCH(BK68,'_names_lookup'!$A:$A,0)),"")</f>
        <v/>
      </c>
      <c r="BM68">
        <f>IFERROR(INDEX('_names_lookup'!$B:$B,MATCH(BK68,'_names_lookup'!$A:$A,0)),"")</f>
        <v/>
      </c>
      <c r="BS68">
        <f>IFERROR(IF(BR68*AA68=0,"",BR68*AA68),"")</f>
        <v/>
      </c>
    </row>
    <row r="69">
      <c r="O69">
        <f>IFERROR(INDEX('_courses_lookup'!$C:$C,MATCH(K69&amp;L69,'_courses_lookup'!$E:$E,0)),"")</f>
        <v/>
      </c>
      <c r="P69">
        <f>IFERROR(INDEX('_courses_lookup'!$D:$D,MATCH(K69&amp;L69,'_courses_lookup'!$E:$E,0)),"")</f>
        <v/>
      </c>
      <c r="AG69">
        <f>IF(AND(AE69&lt;&gt;"",AF69&lt;&gt;""),ROUNDUP((AF69-AE69)/7,0),"")</f>
        <v/>
      </c>
      <c r="AI69">
        <f>IFERROR(IF(AG69*AH69=0,"",AG69*AH69),"")</f>
        <v/>
      </c>
      <c r="AL69">
        <f>IF(AND(AJ69&lt;&gt;"",AK69&lt;&gt;""),ROUNDUP((AK69-AJ69)/7,0),"")</f>
        <v/>
      </c>
      <c r="AN69">
        <f>IFERROR(IF(AL69*AM69=0,"",AL69*AM69),"")</f>
        <v/>
      </c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L69">
        <f>IFERROR(INDEX('_names_lookup'!$C:$C,MATCH(BK69,'_names_lookup'!$A:$A,0)),"")</f>
        <v/>
      </c>
      <c r="BM69">
        <f>IFERROR(INDEX('_names_lookup'!$B:$B,MATCH(BK69,'_names_lookup'!$A:$A,0)),"")</f>
        <v/>
      </c>
      <c r="BS69">
        <f>IFERROR(IF(BR69*AA69=0,"",BR69*AA69),"")</f>
        <v/>
      </c>
    </row>
    <row r="70">
      <c r="O70">
        <f>IFERROR(INDEX('_courses_lookup'!$C:$C,MATCH(K70&amp;L70,'_courses_lookup'!$E:$E,0)),"")</f>
        <v/>
      </c>
      <c r="P70">
        <f>IFERROR(INDEX('_courses_lookup'!$D:$D,MATCH(K70&amp;L70,'_courses_lookup'!$E:$E,0)),"")</f>
        <v/>
      </c>
      <c r="AG70">
        <f>IF(AND(AE70&lt;&gt;"",AF70&lt;&gt;""),ROUNDUP((AF70-AE70)/7,0),"")</f>
        <v/>
      </c>
      <c r="AI70">
        <f>IFERROR(IF(AG70*AH70=0,"",AG70*AH70),"")</f>
        <v/>
      </c>
      <c r="AL70">
        <f>IF(AND(AJ70&lt;&gt;"",AK70&lt;&gt;""),ROUNDUP((AK70-AJ70)/7,0),"")</f>
        <v/>
      </c>
      <c r="AN70">
        <f>IFERROR(IF(AL70*AM70=0,"",AL70*AM70),"")</f>
        <v/>
      </c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L70">
        <f>IFERROR(INDEX('_names_lookup'!$C:$C,MATCH(BK70,'_names_lookup'!$A:$A,0)),"")</f>
        <v/>
      </c>
      <c r="BM70">
        <f>IFERROR(INDEX('_names_lookup'!$B:$B,MATCH(BK70,'_names_lookup'!$A:$A,0)),"")</f>
        <v/>
      </c>
      <c r="BS70">
        <f>IFERROR(IF(BR70*AA70=0,"",BR70*AA70),"")</f>
        <v/>
      </c>
    </row>
    <row r="71">
      <c r="O71">
        <f>IFERROR(INDEX('_courses_lookup'!$C:$C,MATCH(K71&amp;L71,'_courses_lookup'!$E:$E,0)),"")</f>
        <v/>
      </c>
      <c r="P71">
        <f>IFERROR(INDEX('_courses_lookup'!$D:$D,MATCH(K71&amp;L71,'_courses_lookup'!$E:$E,0)),"")</f>
        <v/>
      </c>
      <c r="AG71">
        <f>IF(AND(AE71&lt;&gt;"",AF71&lt;&gt;""),ROUNDUP((AF71-AE71)/7,0),"")</f>
        <v/>
      </c>
      <c r="AI71">
        <f>IFERROR(IF(AG71*AH71=0,"",AG71*AH71),"")</f>
        <v/>
      </c>
      <c r="AL71">
        <f>IF(AND(AJ71&lt;&gt;"",AK71&lt;&gt;""),ROUNDUP((AK71-AJ71)/7,0),"")</f>
        <v/>
      </c>
      <c r="AN71">
        <f>IFERROR(IF(AL71*AM71=0,"",AL71*AM71),"")</f>
        <v/>
      </c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L71">
        <f>IFERROR(INDEX('_names_lookup'!$C:$C,MATCH(BK71,'_names_lookup'!$A:$A,0)),"")</f>
        <v/>
      </c>
      <c r="BM71">
        <f>IFERROR(INDEX('_names_lookup'!$B:$B,MATCH(BK71,'_names_lookup'!$A:$A,0)),"")</f>
        <v/>
      </c>
      <c r="BS71">
        <f>IFERROR(IF(BR71*AA71=0,"",BR71*AA71),"")</f>
        <v/>
      </c>
    </row>
    <row r="72">
      <c r="O72">
        <f>IFERROR(INDEX('_courses_lookup'!$C:$C,MATCH(K72&amp;L72,'_courses_lookup'!$E:$E,0)),"")</f>
        <v/>
      </c>
      <c r="P72">
        <f>IFERROR(INDEX('_courses_lookup'!$D:$D,MATCH(K72&amp;L72,'_courses_lookup'!$E:$E,0)),"")</f>
        <v/>
      </c>
      <c r="AG72">
        <f>IF(AND(AE72&lt;&gt;"",AF72&lt;&gt;""),ROUNDUP((AF72-AE72)/7,0),"")</f>
        <v/>
      </c>
      <c r="AI72">
        <f>IFERROR(IF(AG72*AH72=0,"",AG72*AH72),"")</f>
        <v/>
      </c>
      <c r="AL72">
        <f>IF(AND(AJ72&lt;&gt;"",AK72&lt;&gt;""),ROUNDUP((AK72-AJ72)/7,0),"")</f>
        <v/>
      </c>
      <c r="AN72">
        <f>IFERROR(IF(AL72*AM72=0,"",AL72*AM72),"")</f>
        <v/>
      </c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L72">
        <f>IFERROR(INDEX('_names_lookup'!$C:$C,MATCH(BK72,'_names_lookup'!$A:$A,0)),"")</f>
        <v/>
      </c>
      <c r="BM72">
        <f>IFERROR(INDEX('_names_lookup'!$B:$B,MATCH(BK72,'_names_lookup'!$A:$A,0)),"")</f>
        <v/>
      </c>
      <c r="BS72">
        <f>IFERROR(IF(BR72*AA72=0,"",BR72*AA72),"")</f>
        <v/>
      </c>
    </row>
    <row r="73">
      <c r="O73">
        <f>IFERROR(INDEX('_courses_lookup'!$C:$C,MATCH(K73&amp;L73,'_courses_lookup'!$E:$E,0)),"")</f>
        <v/>
      </c>
      <c r="P73">
        <f>IFERROR(INDEX('_courses_lookup'!$D:$D,MATCH(K73&amp;L73,'_courses_lookup'!$E:$E,0)),"")</f>
        <v/>
      </c>
      <c r="AG73">
        <f>IF(AND(AE73&lt;&gt;"",AF73&lt;&gt;""),ROUNDUP((AF73-AE73)/7,0),"")</f>
        <v/>
      </c>
      <c r="AI73">
        <f>IFERROR(IF(AG73*AH73=0,"",AG73*AH73),"")</f>
        <v/>
      </c>
      <c r="AL73">
        <f>IF(AND(AJ73&lt;&gt;"",AK73&lt;&gt;""),ROUNDUP((AK73-AJ73)/7,0),"")</f>
        <v/>
      </c>
      <c r="AN73">
        <f>IFERROR(IF(AL73*AM73=0,"",AL73*AM73),"")</f>
        <v/>
      </c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L73">
        <f>IFERROR(INDEX('_names_lookup'!$C:$C,MATCH(BK73,'_names_lookup'!$A:$A,0)),"")</f>
        <v/>
      </c>
      <c r="BM73">
        <f>IFERROR(INDEX('_names_lookup'!$B:$B,MATCH(BK73,'_names_lookup'!$A:$A,0)),"")</f>
        <v/>
      </c>
      <c r="BS73">
        <f>IFERROR(IF(BR73*AA73=0,"",BR73*AA73),"")</f>
        <v/>
      </c>
    </row>
    <row r="74">
      <c r="O74">
        <f>IFERROR(INDEX('_courses_lookup'!$C:$C,MATCH(K74&amp;L74,'_courses_lookup'!$E:$E,0)),"")</f>
        <v/>
      </c>
      <c r="P74">
        <f>IFERROR(INDEX('_courses_lookup'!$D:$D,MATCH(K74&amp;L74,'_courses_lookup'!$E:$E,0)),"")</f>
        <v/>
      </c>
      <c r="AG74">
        <f>IF(AND(AE74&lt;&gt;"",AF74&lt;&gt;""),ROUNDUP((AF74-AE74)/7,0),"")</f>
        <v/>
      </c>
      <c r="AI74">
        <f>IFERROR(IF(AG74*AH74=0,"",AG74*AH74),"")</f>
        <v/>
      </c>
      <c r="AL74">
        <f>IF(AND(AJ74&lt;&gt;"",AK74&lt;&gt;""),ROUNDUP((AK74-AJ74)/7,0),"")</f>
        <v/>
      </c>
      <c r="AN74">
        <f>IFERROR(IF(AL74*AM74=0,"",AL74*AM74),"")</f>
        <v/>
      </c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L74">
        <f>IFERROR(INDEX('_names_lookup'!$C:$C,MATCH(BK74,'_names_lookup'!$A:$A,0)),"")</f>
        <v/>
      </c>
      <c r="BM74">
        <f>IFERROR(INDEX('_names_lookup'!$B:$B,MATCH(BK74,'_names_lookup'!$A:$A,0)),"")</f>
        <v/>
      </c>
      <c r="BS74">
        <f>IFERROR(IF(BR74*AA74=0,"",BR74*AA74),"")</f>
        <v/>
      </c>
    </row>
    <row r="75">
      <c r="O75">
        <f>IFERROR(INDEX('_courses_lookup'!$C:$C,MATCH(K75&amp;L75,'_courses_lookup'!$E:$E,0)),"")</f>
        <v/>
      </c>
      <c r="P75">
        <f>IFERROR(INDEX('_courses_lookup'!$D:$D,MATCH(K75&amp;L75,'_courses_lookup'!$E:$E,0)),"")</f>
        <v/>
      </c>
      <c r="AG75">
        <f>IF(AND(AE75&lt;&gt;"",AF75&lt;&gt;""),ROUNDUP((AF75-AE75)/7,0),"")</f>
        <v/>
      </c>
      <c r="AI75">
        <f>IFERROR(IF(AG75*AH75=0,"",AG75*AH75),"")</f>
        <v/>
      </c>
      <c r="AL75">
        <f>IF(AND(AJ75&lt;&gt;"",AK75&lt;&gt;""),ROUNDUP((AK75-AJ75)/7,0),"")</f>
        <v/>
      </c>
      <c r="AN75">
        <f>IFERROR(IF(AL75*AM75=0,"",AL75*AM75),"")</f>
        <v/>
      </c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L75">
        <f>IFERROR(INDEX('_names_lookup'!$C:$C,MATCH(BK75,'_names_lookup'!$A:$A,0)),"")</f>
        <v/>
      </c>
      <c r="BM75">
        <f>IFERROR(INDEX('_names_lookup'!$B:$B,MATCH(BK75,'_names_lookup'!$A:$A,0)),"")</f>
        <v/>
      </c>
      <c r="BS75">
        <f>IFERROR(IF(BR75*AA75=0,"",BR75*AA75),"")</f>
        <v/>
      </c>
    </row>
    <row r="76">
      <c r="O76">
        <f>IFERROR(INDEX('_courses_lookup'!$C:$C,MATCH(K76&amp;L76,'_courses_lookup'!$E:$E,0)),"")</f>
        <v/>
      </c>
      <c r="P76">
        <f>IFERROR(INDEX('_courses_lookup'!$D:$D,MATCH(K76&amp;L76,'_courses_lookup'!$E:$E,0)),"")</f>
        <v/>
      </c>
      <c r="AG76">
        <f>IF(AND(AE76&lt;&gt;"",AF76&lt;&gt;""),ROUNDUP((AF76-AE76)/7,0),"")</f>
        <v/>
      </c>
      <c r="AI76">
        <f>IFERROR(IF(AG76*AH76=0,"",AG76*AH76),"")</f>
        <v/>
      </c>
      <c r="AL76">
        <f>IF(AND(AJ76&lt;&gt;"",AK76&lt;&gt;""),ROUNDUP((AK76-AJ76)/7,0),"")</f>
        <v/>
      </c>
      <c r="AN76">
        <f>IFERROR(IF(AL76*AM76=0,"",AL76*AM76),"")</f>
        <v/>
      </c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L76">
        <f>IFERROR(INDEX('_names_lookup'!$C:$C,MATCH(BK76,'_names_lookup'!$A:$A,0)),"")</f>
        <v/>
      </c>
      <c r="BM76">
        <f>IFERROR(INDEX('_names_lookup'!$B:$B,MATCH(BK76,'_names_lookup'!$A:$A,0)),"")</f>
        <v/>
      </c>
      <c r="BS76">
        <f>IFERROR(IF(BR76*AA76=0,"",BR76*AA76),"")</f>
        <v/>
      </c>
    </row>
    <row r="77">
      <c r="O77">
        <f>IFERROR(INDEX('_courses_lookup'!$C:$C,MATCH(K77&amp;L77,'_courses_lookup'!$E:$E,0)),"")</f>
        <v/>
      </c>
      <c r="P77">
        <f>IFERROR(INDEX('_courses_lookup'!$D:$D,MATCH(K77&amp;L77,'_courses_lookup'!$E:$E,0)),"")</f>
        <v/>
      </c>
      <c r="AG77">
        <f>IF(AND(AE77&lt;&gt;"",AF77&lt;&gt;""),ROUNDUP((AF77-AE77)/7,0),"")</f>
        <v/>
      </c>
      <c r="AI77">
        <f>IFERROR(IF(AG77*AH77=0,"",AG77*AH77),"")</f>
        <v/>
      </c>
      <c r="AL77">
        <f>IF(AND(AJ77&lt;&gt;"",AK77&lt;&gt;""),ROUNDUP((AK77-AJ77)/7,0),"")</f>
        <v/>
      </c>
      <c r="AN77">
        <f>IFERROR(IF(AL77*AM77=0,"",AL77*AM77),"")</f>
        <v/>
      </c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L77">
        <f>IFERROR(INDEX('_names_lookup'!$C:$C,MATCH(BK77,'_names_lookup'!$A:$A,0)),"")</f>
        <v/>
      </c>
      <c r="BM77">
        <f>IFERROR(INDEX('_names_lookup'!$B:$B,MATCH(BK77,'_names_lookup'!$A:$A,0)),"")</f>
        <v/>
      </c>
      <c r="BS77">
        <f>IFERROR(IF(BR77*AA77=0,"",BR77*AA77),"")</f>
        <v/>
      </c>
    </row>
    <row r="78">
      <c r="O78">
        <f>IFERROR(INDEX('_courses_lookup'!$C:$C,MATCH(K78&amp;L78,'_courses_lookup'!$E:$E,0)),"")</f>
        <v/>
      </c>
      <c r="P78">
        <f>IFERROR(INDEX('_courses_lookup'!$D:$D,MATCH(K78&amp;L78,'_courses_lookup'!$E:$E,0)),"")</f>
        <v/>
      </c>
      <c r="AG78">
        <f>IF(AND(AE78&lt;&gt;"",AF78&lt;&gt;""),ROUNDUP((AF78-AE78)/7,0),"")</f>
        <v/>
      </c>
      <c r="AI78">
        <f>IFERROR(IF(AG78*AH78=0,"",AG78*AH78),"")</f>
        <v/>
      </c>
      <c r="AL78">
        <f>IF(AND(AJ78&lt;&gt;"",AK78&lt;&gt;""),ROUNDUP((AK78-AJ78)/7,0),"")</f>
        <v/>
      </c>
      <c r="AN78">
        <f>IFERROR(IF(AL78*AM78=0,"",AL78*AM78),"")</f>
        <v/>
      </c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L78">
        <f>IFERROR(INDEX('_names_lookup'!$C:$C,MATCH(BK78,'_names_lookup'!$A:$A,0)),"")</f>
        <v/>
      </c>
      <c r="BM78">
        <f>IFERROR(INDEX('_names_lookup'!$B:$B,MATCH(BK78,'_names_lookup'!$A:$A,0)),"")</f>
        <v/>
      </c>
      <c r="BS78">
        <f>IFERROR(IF(BR78*AA78=0,"",BR78*AA78),"")</f>
        <v/>
      </c>
    </row>
    <row r="79">
      <c r="O79">
        <f>IFERROR(INDEX('_courses_lookup'!$C:$C,MATCH(K79&amp;L79,'_courses_lookup'!$E:$E,0)),"")</f>
        <v/>
      </c>
      <c r="P79">
        <f>IFERROR(INDEX('_courses_lookup'!$D:$D,MATCH(K79&amp;L79,'_courses_lookup'!$E:$E,0)),"")</f>
        <v/>
      </c>
      <c r="AG79">
        <f>IF(AND(AE79&lt;&gt;"",AF79&lt;&gt;""),ROUNDUP((AF79-AE79)/7,0),"")</f>
        <v/>
      </c>
      <c r="AI79">
        <f>IFERROR(IF(AG79*AH79=0,"",AG79*AH79),"")</f>
        <v/>
      </c>
      <c r="AL79">
        <f>IF(AND(AJ79&lt;&gt;"",AK79&lt;&gt;""),ROUNDUP((AK79-AJ79)/7,0),"")</f>
        <v/>
      </c>
      <c r="AN79">
        <f>IFERROR(IF(AL79*AM79=0,"",AL79*AM79),"")</f>
        <v/>
      </c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L79">
        <f>IFERROR(INDEX('_names_lookup'!$C:$C,MATCH(BK79,'_names_lookup'!$A:$A,0)),"")</f>
        <v/>
      </c>
      <c r="BM79">
        <f>IFERROR(INDEX('_names_lookup'!$B:$B,MATCH(BK79,'_names_lookup'!$A:$A,0)),"")</f>
        <v/>
      </c>
      <c r="BS79">
        <f>IFERROR(IF(BR79*AA79=0,"",BR79*AA79),"")</f>
        <v/>
      </c>
    </row>
    <row r="80">
      <c r="O80">
        <f>IFERROR(INDEX('_courses_lookup'!$C:$C,MATCH(K80&amp;L80,'_courses_lookup'!$E:$E,0)),"")</f>
        <v/>
      </c>
      <c r="P80">
        <f>IFERROR(INDEX('_courses_lookup'!$D:$D,MATCH(K80&amp;L80,'_courses_lookup'!$E:$E,0)),"")</f>
        <v/>
      </c>
      <c r="AG80">
        <f>IF(AND(AE80&lt;&gt;"",AF80&lt;&gt;""),ROUNDUP((AF80-AE80)/7,0),"")</f>
        <v/>
      </c>
      <c r="AI80">
        <f>IFERROR(IF(AG80*AH80=0,"",AG80*AH80),"")</f>
        <v/>
      </c>
      <c r="AL80">
        <f>IF(AND(AJ80&lt;&gt;"",AK80&lt;&gt;""),ROUNDUP((AK80-AJ80)/7,0),"")</f>
        <v/>
      </c>
      <c r="AN80">
        <f>IFERROR(IF(AL80*AM80=0,"",AL80*AM80),"")</f>
        <v/>
      </c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L80">
        <f>IFERROR(INDEX('_names_lookup'!$C:$C,MATCH(BK80,'_names_lookup'!$A:$A,0)),"")</f>
        <v/>
      </c>
      <c r="BM80">
        <f>IFERROR(INDEX('_names_lookup'!$B:$B,MATCH(BK80,'_names_lookup'!$A:$A,0)),"")</f>
        <v/>
      </c>
      <c r="BS80">
        <f>IFERROR(IF(BR80*AA80=0,"",BR80*AA80),"")</f>
        <v/>
      </c>
    </row>
    <row r="81">
      <c r="O81">
        <f>IFERROR(INDEX('_courses_lookup'!$C:$C,MATCH(K81&amp;L81,'_courses_lookup'!$E:$E,0)),"")</f>
        <v/>
      </c>
      <c r="P81">
        <f>IFERROR(INDEX('_courses_lookup'!$D:$D,MATCH(K81&amp;L81,'_courses_lookup'!$E:$E,0)),"")</f>
        <v/>
      </c>
      <c r="AG81">
        <f>IF(AND(AE81&lt;&gt;"",AF81&lt;&gt;""),ROUNDUP((AF81-AE81)/7,0),"")</f>
        <v/>
      </c>
      <c r="AI81">
        <f>IFERROR(IF(AG81*AH81=0,"",AG81*AH81),"")</f>
        <v/>
      </c>
      <c r="AL81">
        <f>IF(AND(AJ81&lt;&gt;"",AK81&lt;&gt;""),ROUNDUP((AK81-AJ81)/7,0),"")</f>
        <v/>
      </c>
      <c r="AN81">
        <f>IFERROR(IF(AL81*AM81=0,"",AL81*AM81),"")</f>
        <v/>
      </c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L81">
        <f>IFERROR(INDEX('_names_lookup'!$C:$C,MATCH(BK81,'_names_lookup'!$A:$A,0)),"")</f>
        <v/>
      </c>
      <c r="BM81">
        <f>IFERROR(INDEX('_names_lookup'!$B:$B,MATCH(BK81,'_names_lookup'!$A:$A,0)),"")</f>
        <v/>
      </c>
      <c r="BS81">
        <f>IFERROR(IF(BR81*AA81=0,"",BR81*AA81),"")</f>
        <v/>
      </c>
    </row>
    <row r="82">
      <c r="O82">
        <f>IFERROR(INDEX('_courses_lookup'!$C:$C,MATCH(K82&amp;L82,'_courses_lookup'!$E:$E,0)),"")</f>
        <v/>
      </c>
      <c r="P82">
        <f>IFERROR(INDEX('_courses_lookup'!$D:$D,MATCH(K82&amp;L82,'_courses_lookup'!$E:$E,0)),"")</f>
        <v/>
      </c>
      <c r="AG82">
        <f>IF(AND(AE82&lt;&gt;"",AF82&lt;&gt;""),ROUNDUP((AF82-AE82)/7,0),"")</f>
        <v/>
      </c>
      <c r="AI82">
        <f>IFERROR(IF(AG82*AH82=0,"",AG82*AH82),"")</f>
        <v/>
      </c>
      <c r="AL82">
        <f>IF(AND(AJ82&lt;&gt;"",AK82&lt;&gt;""),ROUNDUP((AK82-AJ82)/7,0),"")</f>
        <v/>
      </c>
      <c r="AN82">
        <f>IFERROR(IF(AL82*AM82=0,"",AL82*AM82),"")</f>
        <v/>
      </c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L82">
        <f>IFERROR(INDEX('_names_lookup'!$C:$C,MATCH(BK82,'_names_lookup'!$A:$A,0)),"")</f>
        <v/>
      </c>
      <c r="BM82">
        <f>IFERROR(INDEX('_names_lookup'!$B:$B,MATCH(BK82,'_names_lookup'!$A:$A,0)),"")</f>
        <v/>
      </c>
      <c r="BS82">
        <f>IFERROR(IF(BR82*AA82=0,"",BR82*AA82),"")</f>
        <v/>
      </c>
    </row>
    <row r="83">
      <c r="O83">
        <f>IFERROR(INDEX('_courses_lookup'!$C:$C,MATCH(K83&amp;L83,'_courses_lookup'!$E:$E,0)),"")</f>
        <v/>
      </c>
      <c r="P83">
        <f>IFERROR(INDEX('_courses_lookup'!$D:$D,MATCH(K83&amp;L83,'_courses_lookup'!$E:$E,0)),"")</f>
        <v/>
      </c>
      <c r="AG83">
        <f>IF(AND(AE83&lt;&gt;"",AF83&lt;&gt;""),ROUNDUP((AF83-AE83)/7,0),"")</f>
        <v/>
      </c>
      <c r="AI83">
        <f>IFERROR(IF(AG83*AH83=0,"",AG83*AH83),"")</f>
        <v/>
      </c>
      <c r="AL83">
        <f>IF(AND(AJ83&lt;&gt;"",AK83&lt;&gt;""),ROUNDUP((AK83-AJ83)/7,0),"")</f>
        <v/>
      </c>
      <c r="AN83">
        <f>IFERROR(IF(AL83*AM83=0,"",AL83*AM83),"")</f>
        <v/>
      </c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L83">
        <f>IFERROR(INDEX('_names_lookup'!$C:$C,MATCH(BK83,'_names_lookup'!$A:$A,0)),"")</f>
        <v/>
      </c>
      <c r="BM83">
        <f>IFERROR(INDEX('_names_lookup'!$B:$B,MATCH(BK83,'_names_lookup'!$A:$A,0)),"")</f>
        <v/>
      </c>
      <c r="BS83">
        <f>IFERROR(IF(BR83*AA83=0,"",BR83*AA83),"")</f>
        <v/>
      </c>
    </row>
    <row r="84">
      <c r="O84">
        <f>IFERROR(INDEX('_courses_lookup'!$C:$C,MATCH(K84&amp;L84,'_courses_lookup'!$E:$E,0)),"")</f>
        <v/>
      </c>
      <c r="P84">
        <f>IFERROR(INDEX('_courses_lookup'!$D:$D,MATCH(K84&amp;L84,'_courses_lookup'!$E:$E,0)),"")</f>
        <v/>
      </c>
      <c r="AG84">
        <f>IF(AND(AE84&lt;&gt;"",AF84&lt;&gt;""),ROUNDUP((AF84-AE84)/7,0),"")</f>
        <v/>
      </c>
      <c r="AI84">
        <f>IFERROR(IF(AG84*AH84=0,"",AG84*AH84),"")</f>
        <v/>
      </c>
      <c r="AL84">
        <f>IF(AND(AJ84&lt;&gt;"",AK84&lt;&gt;""),ROUNDUP((AK84-AJ84)/7,0),"")</f>
        <v/>
      </c>
      <c r="AN84">
        <f>IFERROR(IF(AL84*AM84=0,"",AL84*AM84),"")</f>
        <v/>
      </c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L84">
        <f>IFERROR(INDEX('_names_lookup'!$C:$C,MATCH(BK84,'_names_lookup'!$A:$A,0)),"")</f>
        <v/>
      </c>
      <c r="BM84">
        <f>IFERROR(INDEX('_names_lookup'!$B:$B,MATCH(BK84,'_names_lookup'!$A:$A,0)),"")</f>
        <v/>
      </c>
      <c r="BS84">
        <f>IFERROR(IF(BR84*AA84=0,"",BR84*AA84),"")</f>
        <v/>
      </c>
    </row>
    <row r="85">
      <c r="O85">
        <f>IFERROR(INDEX('_courses_lookup'!$C:$C,MATCH(K85&amp;L85,'_courses_lookup'!$E:$E,0)),"")</f>
        <v/>
      </c>
      <c r="P85">
        <f>IFERROR(INDEX('_courses_lookup'!$D:$D,MATCH(K85&amp;L85,'_courses_lookup'!$E:$E,0)),"")</f>
        <v/>
      </c>
      <c r="AG85">
        <f>IF(AND(AE85&lt;&gt;"",AF85&lt;&gt;""),ROUNDUP((AF85-AE85)/7,0),"")</f>
        <v/>
      </c>
      <c r="AI85">
        <f>IFERROR(IF(AG85*AH85=0,"",AG85*AH85),"")</f>
        <v/>
      </c>
      <c r="AL85">
        <f>IF(AND(AJ85&lt;&gt;"",AK85&lt;&gt;""),ROUNDUP((AK85-AJ85)/7,0),"")</f>
        <v/>
      </c>
      <c r="AN85">
        <f>IFERROR(IF(AL85*AM85=0,"",AL85*AM85),"")</f>
        <v/>
      </c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L85">
        <f>IFERROR(INDEX('_names_lookup'!$C:$C,MATCH(BK85,'_names_lookup'!$A:$A,0)),"")</f>
        <v/>
      </c>
      <c r="BM85">
        <f>IFERROR(INDEX('_names_lookup'!$B:$B,MATCH(BK85,'_names_lookup'!$A:$A,0)),"")</f>
        <v/>
      </c>
      <c r="BS85">
        <f>IFERROR(IF(BR85*AA85=0,"",BR85*AA85),"")</f>
        <v/>
      </c>
    </row>
    <row r="86">
      <c r="O86">
        <f>IFERROR(INDEX('_courses_lookup'!$C:$C,MATCH(K86&amp;L86,'_courses_lookup'!$E:$E,0)),"")</f>
        <v/>
      </c>
      <c r="P86">
        <f>IFERROR(INDEX('_courses_lookup'!$D:$D,MATCH(K86&amp;L86,'_courses_lookup'!$E:$E,0)),"")</f>
        <v/>
      </c>
      <c r="AG86">
        <f>IF(AND(AE86&lt;&gt;"",AF86&lt;&gt;""),ROUNDUP((AF86-AE86)/7,0),"")</f>
        <v/>
      </c>
      <c r="AI86">
        <f>IFERROR(IF(AG86*AH86=0,"",AG86*AH86),"")</f>
        <v/>
      </c>
      <c r="AL86">
        <f>IF(AND(AJ86&lt;&gt;"",AK86&lt;&gt;""),ROUNDUP((AK86-AJ86)/7,0),"")</f>
        <v/>
      </c>
      <c r="AN86">
        <f>IFERROR(IF(AL86*AM86=0,"",AL86*AM86),"")</f>
        <v/>
      </c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L86">
        <f>IFERROR(INDEX('_names_lookup'!$C:$C,MATCH(BK86,'_names_lookup'!$A:$A,0)),"")</f>
        <v/>
      </c>
      <c r="BM86">
        <f>IFERROR(INDEX('_names_lookup'!$B:$B,MATCH(BK86,'_names_lookup'!$A:$A,0)),"")</f>
        <v/>
      </c>
      <c r="BS86">
        <f>IFERROR(IF(BR86*AA86=0,"",BR86*AA86),"")</f>
        <v/>
      </c>
    </row>
    <row r="87">
      <c r="O87">
        <f>IFERROR(INDEX('_courses_lookup'!$C:$C,MATCH(K87&amp;L87,'_courses_lookup'!$E:$E,0)),"")</f>
        <v/>
      </c>
      <c r="P87">
        <f>IFERROR(INDEX('_courses_lookup'!$D:$D,MATCH(K87&amp;L87,'_courses_lookup'!$E:$E,0)),"")</f>
        <v/>
      </c>
      <c r="AG87">
        <f>IF(AND(AE87&lt;&gt;"",AF87&lt;&gt;""),ROUNDUP((AF87-AE87)/7,0),"")</f>
        <v/>
      </c>
      <c r="AI87">
        <f>IFERROR(IF(AG87*AH87=0,"",AG87*AH87),"")</f>
        <v/>
      </c>
      <c r="AL87">
        <f>IF(AND(AJ87&lt;&gt;"",AK87&lt;&gt;""),ROUNDUP((AK87-AJ87)/7,0),"")</f>
        <v/>
      </c>
      <c r="AN87">
        <f>IFERROR(IF(AL87*AM87=0,"",AL87*AM87),"")</f>
        <v/>
      </c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L87">
        <f>IFERROR(INDEX('_names_lookup'!$C:$C,MATCH(BK87,'_names_lookup'!$A:$A,0)),"")</f>
        <v/>
      </c>
      <c r="BM87">
        <f>IFERROR(INDEX('_names_lookup'!$B:$B,MATCH(BK87,'_names_lookup'!$A:$A,0)),"")</f>
        <v/>
      </c>
      <c r="BS87">
        <f>IFERROR(IF(BR87*AA87=0,"",BR87*AA87),"")</f>
        <v/>
      </c>
    </row>
    <row r="88">
      <c r="O88">
        <f>IFERROR(INDEX('_courses_lookup'!$C:$C,MATCH(K88&amp;L88,'_courses_lookup'!$E:$E,0)),"")</f>
        <v/>
      </c>
      <c r="P88">
        <f>IFERROR(INDEX('_courses_lookup'!$D:$D,MATCH(K88&amp;L88,'_courses_lookup'!$E:$E,0)),"")</f>
        <v/>
      </c>
      <c r="AG88">
        <f>IF(AND(AE88&lt;&gt;"",AF88&lt;&gt;""),ROUNDUP((AF88-AE88)/7,0),"")</f>
        <v/>
      </c>
      <c r="AI88">
        <f>IFERROR(IF(AG88*AH88=0,"",AG88*AH88),"")</f>
        <v/>
      </c>
      <c r="AL88">
        <f>IF(AND(AJ88&lt;&gt;"",AK88&lt;&gt;""),ROUNDUP((AK88-AJ88)/7,0),"")</f>
        <v/>
      </c>
      <c r="AN88">
        <f>IFERROR(IF(AL88*AM88=0,"",AL88*AM88),"")</f>
        <v/>
      </c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L88">
        <f>IFERROR(INDEX('_names_lookup'!$C:$C,MATCH(BK88,'_names_lookup'!$A:$A,0)),"")</f>
        <v/>
      </c>
      <c r="BM88">
        <f>IFERROR(INDEX('_names_lookup'!$B:$B,MATCH(BK88,'_names_lookup'!$A:$A,0)),"")</f>
        <v/>
      </c>
      <c r="BS88">
        <f>IFERROR(IF(BR88*AA88=0,"",BR88*AA88),"")</f>
        <v/>
      </c>
    </row>
    <row r="89">
      <c r="O89">
        <f>IFERROR(INDEX('_courses_lookup'!$C:$C,MATCH(K89&amp;L89,'_courses_lookup'!$E:$E,0)),"")</f>
        <v/>
      </c>
      <c r="P89">
        <f>IFERROR(INDEX('_courses_lookup'!$D:$D,MATCH(K89&amp;L89,'_courses_lookup'!$E:$E,0)),"")</f>
        <v/>
      </c>
      <c r="AG89">
        <f>IF(AND(AE89&lt;&gt;"",AF89&lt;&gt;""),ROUNDUP((AF89-AE89)/7,0),"")</f>
        <v/>
      </c>
      <c r="AI89">
        <f>IFERROR(IF(AG89*AH89=0,"",AG89*AH89),"")</f>
        <v/>
      </c>
      <c r="AL89">
        <f>IF(AND(AJ89&lt;&gt;"",AK89&lt;&gt;""),ROUNDUP((AK89-AJ89)/7,0),"")</f>
        <v/>
      </c>
      <c r="AN89">
        <f>IFERROR(IF(AL89*AM89=0,"",AL89*AM89),"")</f>
        <v/>
      </c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L89">
        <f>IFERROR(INDEX('_names_lookup'!$C:$C,MATCH(BK89,'_names_lookup'!$A:$A,0)),"")</f>
        <v/>
      </c>
      <c r="BM89">
        <f>IFERROR(INDEX('_names_lookup'!$B:$B,MATCH(BK89,'_names_lookup'!$A:$A,0)),"")</f>
        <v/>
      </c>
      <c r="BS89">
        <f>IFERROR(IF(BR89*AA89=0,"",BR89*AA89),"")</f>
        <v/>
      </c>
    </row>
    <row r="90">
      <c r="O90">
        <f>IFERROR(INDEX('_courses_lookup'!$C:$C,MATCH(K90&amp;L90,'_courses_lookup'!$E:$E,0)),"")</f>
        <v/>
      </c>
      <c r="P90">
        <f>IFERROR(INDEX('_courses_lookup'!$D:$D,MATCH(K90&amp;L90,'_courses_lookup'!$E:$E,0)),"")</f>
        <v/>
      </c>
      <c r="AG90">
        <f>IF(AND(AE90&lt;&gt;"",AF90&lt;&gt;""),ROUNDUP((AF90-AE90)/7,0),"")</f>
        <v/>
      </c>
      <c r="AI90">
        <f>IFERROR(IF(AG90*AH90=0,"",AG90*AH90),"")</f>
        <v/>
      </c>
      <c r="AL90">
        <f>IF(AND(AJ90&lt;&gt;"",AK90&lt;&gt;""),ROUNDUP((AK90-AJ90)/7,0),"")</f>
        <v/>
      </c>
      <c r="AN90">
        <f>IFERROR(IF(AL90*AM90=0,"",AL90*AM90),"")</f>
        <v/>
      </c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L90">
        <f>IFERROR(INDEX('_names_lookup'!$C:$C,MATCH(BK90,'_names_lookup'!$A:$A,0)),"")</f>
        <v/>
      </c>
      <c r="BM90">
        <f>IFERROR(INDEX('_names_lookup'!$B:$B,MATCH(BK90,'_names_lookup'!$A:$A,0)),"")</f>
        <v/>
      </c>
      <c r="BS90">
        <f>IFERROR(IF(BR90*AA90=0,"",BR90*AA90),"")</f>
        <v/>
      </c>
    </row>
    <row r="91">
      <c r="O91">
        <f>IFERROR(INDEX('_courses_lookup'!$C:$C,MATCH(K91&amp;L91,'_courses_lookup'!$E:$E,0)),"")</f>
        <v/>
      </c>
      <c r="P91">
        <f>IFERROR(INDEX('_courses_lookup'!$D:$D,MATCH(K91&amp;L91,'_courses_lookup'!$E:$E,0)),"")</f>
        <v/>
      </c>
      <c r="AG91">
        <f>IF(AND(AE91&lt;&gt;"",AF91&lt;&gt;""),ROUNDUP((AF91-AE91)/7,0),"")</f>
        <v/>
      </c>
      <c r="AI91">
        <f>IFERROR(IF(AG91*AH91=0,"",AG91*AH91),"")</f>
        <v/>
      </c>
      <c r="AL91">
        <f>IF(AND(AJ91&lt;&gt;"",AK91&lt;&gt;""),ROUNDUP((AK91-AJ91)/7,0),"")</f>
        <v/>
      </c>
      <c r="AN91">
        <f>IFERROR(IF(AL91*AM91=0,"",AL91*AM91),"")</f>
        <v/>
      </c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L91">
        <f>IFERROR(INDEX('_names_lookup'!$C:$C,MATCH(BK91,'_names_lookup'!$A:$A,0)),"")</f>
        <v/>
      </c>
      <c r="BM91">
        <f>IFERROR(INDEX('_names_lookup'!$B:$B,MATCH(BK91,'_names_lookup'!$A:$A,0)),"")</f>
        <v/>
      </c>
      <c r="BS91">
        <f>IFERROR(IF(BR91*AA91=0,"",BR91*AA91),"")</f>
        <v/>
      </c>
    </row>
    <row r="92">
      <c r="O92">
        <f>IFERROR(INDEX('_courses_lookup'!$C:$C,MATCH(K92&amp;L92,'_courses_lookup'!$E:$E,0)),"")</f>
        <v/>
      </c>
      <c r="P92">
        <f>IFERROR(INDEX('_courses_lookup'!$D:$D,MATCH(K92&amp;L92,'_courses_lookup'!$E:$E,0)),"")</f>
        <v/>
      </c>
      <c r="AG92">
        <f>IF(AND(AE92&lt;&gt;"",AF92&lt;&gt;""),ROUNDUP((AF92-AE92)/7,0),"")</f>
        <v/>
      </c>
      <c r="AI92">
        <f>IFERROR(IF(AG92*AH92=0,"",AG92*AH92),"")</f>
        <v/>
      </c>
      <c r="AL92">
        <f>IF(AND(AJ92&lt;&gt;"",AK92&lt;&gt;""),ROUNDUP((AK92-AJ92)/7,0),"")</f>
        <v/>
      </c>
      <c r="AN92">
        <f>IFERROR(IF(AL92*AM92=0,"",AL92*AM92),"")</f>
        <v/>
      </c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L92">
        <f>IFERROR(INDEX('_names_lookup'!$C:$C,MATCH(BK92,'_names_lookup'!$A:$A,0)),"")</f>
        <v/>
      </c>
      <c r="BM92">
        <f>IFERROR(INDEX('_names_lookup'!$B:$B,MATCH(BK92,'_names_lookup'!$A:$A,0)),"")</f>
        <v/>
      </c>
      <c r="BS92">
        <f>IFERROR(IF(BR92*AA92=0,"",BR92*AA92),"")</f>
        <v/>
      </c>
    </row>
    <row r="93">
      <c r="O93">
        <f>IFERROR(INDEX('_courses_lookup'!$C:$C,MATCH(K93&amp;L93,'_courses_lookup'!$E:$E,0)),"")</f>
        <v/>
      </c>
      <c r="P93">
        <f>IFERROR(INDEX('_courses_lookup'!$D:$D,MATCH(K93&amp;L93,'_courses_lookup'!$E:$E,0)),"")</f>
        <v/>
      </c>
      <c r="AG93">
        <f>IF(AND(AE93&lt;&gt;"",AF93&lt;&gt;""),ROUNDUP((AF93-AE93)/7,0),"")</f>
        <v/>
      </c>
      <c r="AI93">
        <f>IFERROR(IF(AG93*AH93=0,"",AG93*AH93),"")</f>
        <v/>
      </c>
      <c r="AL93">
        <f>IF(AND(AJ93&lt;&gt;"",AK93&lt;&gt;""),ROUNDUP((AK93-AJ93)/7,0),"")</f>
        <v/>
      </c>
      <c r="AN93">
        <f>IFERROR(IF(AL93*AM93=0,"",AL93*AM93),"")</f>
        <v/>
      </c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L93">
        <f>IFERROR(INDEX('_names_lookup'!$C:$C,MATCH(BK93,'_names_lookup'!$A:$A,0)),"")</f>
        <v/>
      </c>
      <c r="BM93">
        <f>IFERROR(INDEX('_names_lookup'!$B:$B,MATCH(BK93,'_names_lookup'!$A:$A,0)),"")</f>
        <v/>
      </c>
      <c r="BS93">
        <f>IFERROR(IF(BR93*AA93=0,"",BR93*AA93),"")</f>
        <v/>
      </c>
    </row>
    <row r="94">
      <c r="O94">
        <f>IFERROR(INDEX('_courses_lookup'!$C:$C,MATCH(K94&amp;L94,'_courses_lookup'!$E:$E,0)),"")</f>
        <v/>
      </c>
      <c r="P94">
        <f>IFERROR(INDEX('_courses_lookup'!$D:$D,MATCH(K94&amp;L94,'_courses_lookup'!$E:$E,0)),"")</f>
        <v/>
      </c>
      <c r="AG94">
        <f>IF(AND(AE94&lt;&gt;"",AF94&lt;&gt;""),ROUNDUP((AF94-AE94)/7,0),"")</f>
        <v/>
      </c>
      <c r="AI94">
        <f>IFERROR(IF(AG94*AH94=0,"",AG94*AH94),"")</f>
        <v/>
      </c>
      <c r="AL94">
        <f>IF(AND(AJ94&lt;&gt;"",AK94&lt;&gt;""),ROUNDUP((AK94-AJ94)/7,0),"")</f>
        <v/>
      </c>
      <c r="AN94">
        <f>IFERROR(IF(AL94*AM94=0,"",AL94*AM94),"")</f>
        <v/>
      </c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L94">
        <f>IFERROR(INDEX('_names_lookup'!$C:$C,MATCH(BK94,'_names_lookup'!$A:$A,0)),"")</f>
        <v/>
      </c>
      <c r="BM94">
        <f>IFERROR(INDEX('_names_lookup'!$B:$B,MATCH(BK94,'_names_lookup'!$A:$A,0)),"")</f>
        <v/>
      </c>
      <c r="BS94">
        <f>IFERROR(IF(BR94*AA94=0,"",BR94*AA94),"")</f>
        <v/>
      </c>
    </row>
    <row r="95">
      <c r="O95">
        <f>IFERROR(INDEX('_courses_lookup'!$C:$C,MATCH(K95&amp;L95,'_courses_lookup'!$E:$E,0)),"")</f>
        <v/>
      </c>
      <c r="P95">
        <f>IFERROR(INDEX('_courses_lookup'!$D:$D,MATCH(K95&amp;L95,'_courses_lookup'!$E:$E,0)),"")</f>
        <v/>
      </c>
      <c r="AG95">
        <f>IF(AND(AE95&lt;&gt;"",AF95&lt;&gt;""),ROUNDUP((AF95-AE95)/7,0),"")</f>
        <v/>
      </c>
      <c r="AI95">
        <f>IFERROR(IF(AG95*AH95=0,"",AG95*AH95),"")</f>
        <v/>
      </c>
      <c r="AL95">
        <f>IF(AND(AJ95&lt;&gt;"",AK95&lt;&gt;""),ROUNDUP((AK95-AJ95)/7,0),"")</f>
        <v/>
      </c>
      <c r="AN95">
        <f>IFERROR(IF(AL95*AM95=0,"",AL95*AM95),"")</f>
        <v/>
      </c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L95">
        <f>IFERROR(INDEX('_names_lookup'!$C:$C,MATCH(BK95,'_names_lookup'!$A:$A,0)),"")</f>
        <v/>
      </c>
      <c r="BM95">
        <f>IFERROR(INDEX('_names_lookup'!$B:$B,MATCH(BK95,'_names_lookup'!$A:$A,0)),"")</f>
        <v/>
      </c>
      <c r="BS95">
        <f>IFERROR(IF(BR95*AA95=0,"",BR95*AA95),"")</f>
        <v/>
      </c>
    </row>
    <row r="96">
      <c r="O96">
        <f>IFERROR(INDEX('_courses_lookup'!$C:$C,MATCH(K96&amp;L96,'_courses_lookup'!$E:$E,0)),"")</f>
        <v/>
      </c>
      <c r="P96">
        <f>IFERROR(INDEX('_courses_lookup'!$D:$D,MATCH(K96&amp;L96,'_courses_lookup'!$E:$E,0)),"")</f>
        <v/>
      </c>
      <c r="AG96">
        <f>IF(AND(AE96&lt;&gt;"",AF96&lt;&gt;""),ROUNDUP((AF96-AE96)/7,0),"")</f>
        <v/>
      </c>
      <c r="AI96">
        <f>IFERROR(IF(AG96*AH96=0,"",AG96*AH96),"")</f>
        <v/>
      </c>
      <c r="AL96">
        <f>IF(AND(AJ96&lt;&gt;"",AK96&lt;&gt;""),ROUNDUP((AK96-AJ96)/7,0),"")</f>
        <v/>
      </c>
      <c r="AN96">
        <f>IFERROR(IF(AL96*AM96=0,"",AL96*AM96),"")</f>
        <v/>
      </c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L96">
        <f>IFERROR(INDEX('_names_lookup'!$C:$C,MATCH(BK96,'_names_lookup'!$A:$A,0)),"")</f>
        <v/>
      </c>
      <c r="BM96">
        <f>IFERROR(INDEX('_names_lookup'!$B:$B,MATCH(BK96,'_names_lookup'!$A:$A,0)),"")</f>
        <v/>
      </c>
      <c r="BS96">
        <f>IFERROR(IF(BR96*AA96=0,"",BR96*AA96),"")</f>
        <v/>
      </c>
    </row>
    <row r="97">
      <c r="O97">
        <f>IFERROR(INDEX('_courses_lookup'!$C:$C,MATCH(K97&amp;L97,'_courses_lookup'!$E:$E,0)),"")</f>
        <v/>
      </c>
      <c r="P97">
        <f>IFERROR(INDEX('_courses_lookup'!$D:$D,MATCH(K97&amp;L97,'_courses_lookup'!$E:$E,0)),"")</f>
        <v/>
      </c>
      <c r="AG97">
        <f>IF(AND(AE97&lt;&gt;"",AF97&lt;&gt;""),ROUNDUP((AF97-AE97)/7,0),"")</f>
        <v/>
      </c>
      <c r="AI97">
        <f>IFERROR(IF(AG97*AH97=0,"",AG97*AH97),"")</f>
        <v/>
      </c>
      <c r="AL97">
        <f>IF(AND(AJ97&lt;&gt;"",AK97&lt;&gt;""),ROUNDUP((AK97-AJ97)/7,0),"")</f>
        <v/>
      </c>
      <c r="AN97">
        <f>IFERROR(IF(AL97*AM97=0,"",AL97*AM97),"")</f>
        <v/>
      </c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L97">
        <f>IFERROR(INDEX('_names_lookup'!$C:$C,MATCH(BK97,'_names_lookup'!$A:$A,0)),"")</f>
        <v/>
      </c>
      <c r="BM97">
        <f>IFERROR(INDEX('_names_lookup'!$B:$B,MATCH(BK97,'_names_lookup'!$A:$A,0)),"")</f>
        <v/>
      </c>
      <c r="BS97">
        <f>IFERROR(IF(BR97*AA97=0,"",BR97*AA97),"")</f>
        <v/>
      </c>
    </row>
    <row r="98">
      <c r="O98">
        <f>IFERROR(INDEX('_courses_lookup'!$C:$C,MATCH(K98&amp;L98,'_courses_lookup'!$E:$E,0)),"")</f>
        <v/>
      </c>
      <c r="P98">
        <f>IFERROR(INDEX('_courses_lookup'!$D:$D,MATCH(K98&amp;L98,'_courses_lookup'!$E:$E,0)),"")</f>
        <v/>
      </c>
      <c r="AG98">
        <f>IF(AND(AE98&lt;&gt;"",AF98&lt;&gt;""),ROUNDUP((AF98-AE98)/7,0),"")</f>
        <v/>
      </c>
      <c r="AI98">
        <f>IFERROR(IF(AG98*AH98=0,"",AG98*AH98),"")</f>
        <v/>
      </c>
      <c r="AL98">
        <f>IF(AND(AJ98&lt;&gt;"",AK98&lt;&gt;""),ROUNDUP((AK98-AJ98)/7,0),"")</f>
        <v/>
      </c>
      <c r="AN98">
        <f>IFERROR(IF(AL98*AM98=0,"",AL98*AM98),"")</f>
        <v/>
      </c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L98">
        <f>IFERROR(INDEX('_names_lookup'!$C:$C,MATCH(BK98,'_names_lookup'!$A:$A,0)),"")</f>
        <v/>
      </c>
      <c r="BM98">
        <f>IFERROR(INDEX('_names_lookup'!$B:$B,MATCH(BK98,'_names_lookup'!$A:$A,0)),"")</f>
        <v/>
      </c>
      <c r="BS98">
        <f>IFERROR(IF(BR98*AA98=0,"",BR98*AA98),"")</f>
        <v/>
      </c>
    </row>
    <row r="99">
      <c r="O99">
        <f>IFERROR(INDEX('_courses_lookup'!$C:$C,MATCH(K99&amp;L99,'_courses_lookup'!$E:$E,0)),"")</f>
        <v/>
      </c>
      <c r="P99">
        <f>IFERROR(INDEX('_courses_lookup'!$D:$D,MATCH(K99&amp;L99,'_courses_lookup'!$E:$E,0)),"")</f>
        <v/>
      </c>
      <c r="AG99">
        <f>IF(AND(AE99&lt;&gt;"",AF99&lt;&gt;""),ROUNDUP((AF99-AE99)/7,0),"")</f>
        <v/>
      </c>
      <c r="AI99">
        <f>IFERROR(IF(AG99*AH99=0,"",AG99*AH99),"")</f>
        <v/>
      </c>
      <c r="AL99">
        <f>IF(AND(AJ99&lt;&gt;"",AK99&lt;&gt;""),ROUNDUP((AK99-AJ99)/7,0),"")</f>
        <v/>
      </c>
      <c r="AN99">
        <f>IFERROR(IF(AL99*AM99=0,"",AL99*AM99),"")</f>
        <v/>
      </c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L99">
        <f>IFERROR(INDEX('_names_lookup'!$C:$C,MATCH(BK99,'_names_lookup'!$A:$A,0)),"")</f>
        <v/>
      </c>
      <c r="BM99">
        <f>IFERROR(INDEX('_names_lookup'!$B:$B,MATCH(BK99,'_names_lookup'!$A:$A,0)),"")</f>
        <v/>
      </c>
      <c r="BS99">
        <f>IFERROR(IF(BR99*AA99=0,"",BR99*AA99),"")</f>
        <v/>
      </c>
    </row>
    <row r="100">
      <c r="O100">
        <f>IFERROR(INDEX('_courses_lookup'!$C:$C,MATCH(K100&amp;L100,'_courses_lookup'!$E:$E,0)),"")</f>
        <v/>
      </c>
      <c r="P100">
        <f>IFERROR(INDEX('_courses_lookup'!$D:$D,MATCH(K100&amp;L100,'_courses_lookup'!$E:$E,0)),"")</f>
        <v/>
      </c>
      <c r="AG100">
        <f>IF(AND(AE100&lt;&gt;"",AF100&lt;&gt;""),ROUNDUP((AF100-AE100)/7,0),"")</f>
        <v/>
      </c>
      <c r="AI100">
        <f>IFERROR(IF(AG100*AH100=0,"",AG100*AH100),"")</f>
        <v/>
      </c>
      <c r="AL100">
        <f>IF(AND(AJ100&lt;&gt;"",AK100&lt;&gt;""),ROUNDUP((AK100-AJ100)/7,0),"")</f>
        <v/>
      </c>
      <c r="AN100">
        <f>IFERROR(IF(AL100*AM100=0,"",AL100*AM100),"")</f>
        <v/>
      </c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L100">
        <f>IFERROR(INDEX('_names_lookup'!$C:$C,MATCH(BK100,'_names_lookup'!$A:$A,0)),"")</f>
        <v/>
      </c>
      <c r="BM100">
        <f>IFERROR(INDEX('_names_lookup'!$B:$B,MATCH(BK100,'_names_lookup'!$A:$A,0)),"")</f>
        <v/>
      </c>
      <c r="BS100">
        <f>IFERROR(IF(BR100*AA100=0,"",BR100*AA100),"")</f>
        <v/>
      </c>
    </row>
    <row r="101">
      <c r="O101">
        <f>IFERROR(INDEX('_courses_lookup'!$C:$C,MATCH(K101&amp;L101,'_courses_lookup'!$E:$E,0)),"")</f>
        <v/>
      </c>
      <c r="P101">
        <f>IFERROR(INDEX('_courses_lookup'!$D:$D,MATCH(K101&amp;L101,'_courses_lookup'!$E:$E,0)),"")</f>
        <v/>
      </c>
      <c r="AG101">
        <f>IF(AND(AE101&lt;&gt;"",AF101&lt;&gt;""),ROUNDUP((AF101-AE101)/7,0),"")</f>
        <v/>
      </c>
      <c r="AI101">
        <f>IFERROR(IF(AG101*AH101=0,"",AG101*AH101),"")</f>
        <v/>
      </c>
      <c r="AL101">
        <f>IF(AND(AJ101&lt;&gt;"",AK101&lt;&gt;""),ROUNDUP((AK101-AJ101)/7,0),"")</f>
        <v/>
      </c>
      <c r="AN101">
        <f>IFERROR(IF(AL101*AM101=0,"",AL101*AM101),"")</f>
        <v/>
      </c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L101">
        <f>IFERROR(INDEX('_names_lookup'!$C:$C,MATCH(BK101,'_names_lookup'!$A:$A,0)),"")</f>
        <v/>
      </c>
      <c r="BM101">
        <f>IFERROR(INDEX('_names_lookup'!$B:$B,MATCH(BK101,'_names_lookup'!$A:$A,0)),"")</f>
        <v/>
      </c>
      <c r="BS101">
        <f>IFERROR(IF(BR101*AA101=0,"",BR101*AA101),"")</f>
        <v/>
      </c>
    </row>
    <row r="102">
      <c r="O102">
        <f>IFERROR(INDEX('_courses_lookup'!$C:$C,MATCH(K102&amp;L102,'_courses_lookup'!$E:$E,0)),"")</f>
        <v/>
      </c>
      <c r="P102">
        <f>IFERROR(INDEX('_courses_lookup'!$D:$D,MATCH(K102&amp;L102,'_courses_lookup'!$E:$E,0)),"")</f>
        <v/>
      </c>
      <c r="AG102">
        <f>IF(AND(AE102&lt;&gt;"",AF102&lt;&gt;""),ROUNDUP((AF102-AE102)/7,0),"")</f>
        <v/>
      </c>
      <c r="AI102">
        <f>IFERROR(IF(AG102*AH102=0,"",AG102*AH102),"")</f>
        <v/>
      </c>
      <c r="AL102">
        <f>IF(AND(AJ102&lt;&gt;"",AK102&lt;&gt;""),ROUNDUP((AK102-AJ102)/7,0),"")</f>
        <v/>
      </c>
      <c r="AN102">
        <f>IFERROR(IF(AL102*AM102=0,"",AL102*AM102),"")</f>
        <v/>
      </c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L102">
        <f>IFERROR(INDEX('_names_lookup'!$C:$C,MATCH(BK102,'_names_lookup'!$A:$A,0)),"")</f>
        <v/>
      </c>
      <c r="BM102">
        <f>IFERROR(INDEX('_names_lookup'!$B:$B,MATCH(BK102,'_names_lookup'!$A:$A,0)),"")</f>
        <v/>
      </c>
      <c r="BS102">
        <f>IFERROR(IF(BR102*AA102=0,"",BR102*AA102),"")</f>
        <v/>
      </c>
    </row>
    <row r="103">
      <c r="O103">
        <f>IFERROR(INDEX('_courses_lookup'!$C:$C,MATCH(K103&amp;L103,'_courses_lookup'!$E:$E,0)),"")</f>
        <v/>
      </c>
      <c r="P103">
        <f>IFERROR(INDEX('_courses_lookup'!$D:$D,MATCH(K103&amp;L103,'_courses_lookup'!$E:$E,0)),"")</f>
        <v/>
      </c>
      <c r="AG103">
        <f>IF(AND(AE103&lt;&gt;"",AF103&lt;&gt;""),ROUNDUP((AF103-AE103)/7,0),"")</f>
        <v/>
      </c>
      <c r="AI103">
        <f>IFERROR(IF(AG103*AH103=0,"",AG103*AH103),"")</f>
        <v/>
      </c>
      <c r="AL103">
        <f>IF(AND(AJ103&lt;&gt;"",AK103&lt;&gt;""),ROUNDUP((AK103-AJ103)/7,0),"")</f>
        <v/>
      </c>
      <c r="AN103">
        <f>IFERROR(IF(AL103*AM103=0,"",AL103*AM103),"")</f>
        <v/>
      </c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L103">
        <f>IFERROR(INDEX('_names_lookup'!$C:$C,MATCH(BK103,'_names_lookup'!$A:$A,0)),"")</f>
        <v/>
      </c>
      <c r="BM103">
        <f>IFERROR(INDEX('_names_lookup'!$B:$B,MATCH(BK103,'_names_lookup'!$A:$A,0)),"")</f>
        <v/>
      </c>
      <c r="BS103">
        <f>IFERROR(IF(BR103*AA103=0,"",BR103*AA103),"")</f>
        <v/>
      </c>
    </row>
    <row r="104">
      <c r="O104">
        <f>IFERROR(INDEX('_courses_lookup'!$C:$C,MATCH(K104&amp;L104,'_courses_lookup'!$E:$E,0)),"")</f>
        <v/>
      </c>
      <c r="P104">
        <f>IFERROR(INDEX('_courses_lookup'!$D:$D,MATCH(K104&amp;L104,'_courses_lookup'!$E:$E,0)),"")</f>
        <v/>
      </c>
      <c r="AG104">
        <f>IF(AND(AE104&lt;&gt;"",AF104&lt;&gt;""),ROUNDUP((AF104-AE104)/7,0),"")</f>
        <v/>
      </c>
      <c r="AI104">
        <f>IFERROR(IF(AG104*AH104=0,"",AG104*AH104),"")</f>
        <v/>
      </c>
      <c r="AL104">
        <f>IF(AND(AJ104&lt;&gt;"",AK104&lt;&gt;""),ROUNDUP((AK104-AJ104)/7,0),"")</f>
        <v/>
      </c>
      <c r="AN104">
        <f>IFERROR(IF(AL104*AM104=0,"",AL104*AM104),"")</f>
        <v/>
      </c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L104">
        <f>IFERROR(INDEX('_names_lookup'!$C:$C,MATCH(BK104,'_names_lookup'!$A:$A,0)),"")</f>
        <v/>
      </c>
      <c r="BM104">
        <f>IFERROR(INDEX('_names_lookup'!$B:$B,MATCH(BK104,'_names_lookup'!$A:$A,0)),"")</f>
        <v/>
      </c>
      <c r="BS104">
        <f>IFERROR(IF(BR104*AA104=0,"",BR104*AA104),"")</f>
        <v/>
      </c>
    </row>
    <row r="105">
      <c r="O105">
        <f>IFERROR(INDEX('_courses_lookup'!$C:$C,MATCH(K105&amp;L105,'_courses_lookup'!$E:$E,0)),"")</f>
        <v/>
      </c>
      <c r="P105">
        <f>IFERROR(INDEX('_courses_lookup'!$D:$D,MATCH(K105&amp;L105,'_courses_lookup'!$E:$E,0)),"")</f>
        <v/>
      </c>
      <c r="AG105">
        <f>IF(AND(AE105&lt;&gt;"",AF105&lt;&gt;""),ROUNDUP((AF105-AE105)/7,0),"")</f>
        <v/>
      </c>
      <c r="AI105">
        <f>IFERROR(IF(AG105*AH105=0,"",AG105*AH105),"")</f>
        <v/>
      </c>
      <c r="AL105">
        <f>IF(AND(AJ105&lt;&gt;"",AK105&lt;&gt;""),ROUNDUP((AK105-AJ105)/7,0),"")</f>
        <v/>
      </c>
      <c r="AN105">
        <f>IFERROR(IF(AL105*AM105=0,"",AL105*AM105),"")</f>
        <v/>
      </c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L105">
        <f>IFERROR(INDEX('_names_lookup'!$C:$C,MATCH(BK105,'_names_lookup'!$A:$A,0)),"")</f>
        <v/>
      </c>
      <c r="BM105">
        <f>IFERROR(INDEX('_names_lookup'!$B:$B,MATCH(BK105,'_names_lookup'!$A:$A,0)),"")</f>
        <v/>
      </c>
      <c r="BS105">
        <f>IFERROR(IF(BR105*AA105=0,"",BR105*AA105),"")</f>
        <v/>
      </c>
    </row>
    <row r="106">
      <c r="O106">
        <f>IFERROR(INDEX('_courses_lookup'!$C:$C,MATCH(K106&amp;L106,'_courses_lookup'!$E:$E,0)),"")</f>
        <v/>
      </c>
      <c r="P106">
        <f>IFERROR(INDEX('_courses_lookup'!$D:$D,MATCH(K106&amp;L106,'_courses_lookup'!$E:$E,0)),"")</f>
        <v/>
      </c>
      <c r="AG106">
        <f>IF(AND(AE106&lt;&gt;"",AF106&lt;&gt;""),ROUNDUP((AF106-AE106)/7,0),"")</f>
        <v/>
      </c>
      <c r="AI106">
        <f>IFERROR(IF(AG106*AH106=0,"",AG106*AH106),"")</f>
        <v/>
      </c>
      <c r="AL106">
        <f>IF(AND(AJ106&lt;&gt;"",AK106&lt;&gt;""),ROUNDUP((AK106-AJ106)/7,0),"")</f>
        <v/>
      </c>
      <c r="AN106">
        <f>IFERROR(IF(AL106*AM106=0,"",AL106*AM106),"")</f>
        <v/>
      </c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L106">
        <f>IFERROR(INDEX('_names_lookup'!$C:$C,MATCH(BK106,'_names_lookup'!$A:$A,0)),"")</f>
        <v/>
      </c>
      <c r="BM106">
        <f>IFERROR(INDEX('_names_lookup'!$B:$B,MATCH(BK106,'_names_lookup'!$A:$A,0)),"")</f>
        <v/>
      </c>
      <c r="BS106">
        <f>IFERROR(IF(BR106*AA106=0,"",BR106*AA106),"")</f>
        <v/>
      </c>
    </row>
    <row r="107">
      <c r="O107">
        <f>IFERROR(INDEX('_courses_lookup'!$C:$C,MATCH(K107&amp;L107,'_courses_lookup'!$E:$E,0)),"")</f>
        <v/>
      </c>
      <c r="P107">
        <f>IFERROR(INDEX('_courses_lookup'!$D:$D,MATCH(K107&amp;L107,'_courses_lookup'!$E:$E,0)),"")</f>
        <v/>
      </c>
      <c r="AG107">
        <f>IF(AND(AE107&lt;&gt;"",AF107&lt;&gt;""),ROUNDUP((AF107-AE107)/7,0),"")</f>
        <v/>
      </c>
      <c r="AI107">
        <f>IFERROR(IF(AG107*AH107=0,"",AG107*AH107),"")</f>
        <v/>
      </c>
      <c r="AL107">
        <f>IF(AND(AJ107&lt;&gt;"",AK107&lt;&gt;""),ROUNDUP((AK107-AJ107)/7,0),"")</f>
        <v/>
      </c>
      <c r="AN107">
        <f>IFERROR(IF(AL107*AM107=0,"",AL107*AM107),"")</f>
        <v/>
      </c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L107">
        <f>IFERROR(INDEX('_names_lookup'!$C:$C,MATCH(BK107,'_names_lookup'!$A:$A,0)),"")</f>
        <v/>
      </c>
      <c r="BM107">
        <f>IFERROR(INDEX('_names_lookup'!$B:$B,MATCH(BK107,'_names_lookup'!$A:$A,0)),"")</f>
        <v/>
      </c>
      <c r="BS107">
        <f>IFERROR(IF(BR107*AA107=0,"",BR107*AA107),"")</f>
        <v/>
      </c>
    </row>
    <row r="108">
      <c r="O108">
        <f>IFERROR(INDEX('_courses_lookup'!$C:$C,MATCH(K108&amp;L108,'_courses_lookup'!$E:$E,0)),"")</f>
        <v/>
      </c>
      <c r="P108">
        <f>IFERROR(INDEX('_courses_lookup'!$D:$D,MATCH(K108&amp;L108,'_courses_lookup'!$E:$E,0)),"")</f>
        <v/>
      </c>
      <c r="AG108">
        <f>IF(AND(AE108&lt;&gt;"",AF108&lt;&gt;""),ROUNDUP((AF108-AE108)/7,0),"")</f>
        <v/>
      </c>
      <c r="AI108">
        <f>IFERROR(IF(AG108*AH108=0,"",AG108*AH108),"")</f>
        <v/>
      </c>
      <c r="AL108">
        <f>IF(AND(AJ108&lt;&gt;"",AK108&lt;&gt;""),ROUNDUP((AK108-AJ108)/7,0),"")</f>
        <v/>
      </c>
      <c r="AN108">
        <f>IFERROR(IF(AL108*AM108=0,"",AL108*AM108),"")</f>
        <v/>
      </c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L108">
        <f>IFERROR(INDEX('_names_lookup'!$C:$C,MATCH(BK108,'_names_lookup'!$A:$A,0)),"")</f>
        <v/>
      </c>
      <c r="BM108">
        <f>IFERROR(INDEX('_names_lookup'!$B:$B,MATCH(BK108,'_names_lookup'!$A:$A,0)),"")</f>
        <v/>
      </c>
      <c r="BS108">
        <f>IFERROR(IF(BR108*AA108=0,"",BR108*AA108),"")</f>
        <v/>
      </c>
    </row>
    <row r="109">
      <c r="O109">
        <f>IFERROR(INDEX('_courses_lookup'!$C:$C,MATCH(K109&amp;L109,'_courses_lookup'!$E:$E,0)),"")</f>
        <v/>
      </c>
      <c r="P109">
        <f>IFERROR(INDEX('_courses_lookup'!$D:$D,MATCH(K109&amp;L109,'_courses_lookup'!$E:$E,0)),"")</f>
        <v/>
      </c>
      <c r="AG109">
        <f>IF(AND(AE109&lt;&gt;"",AF109&lt;&gt;""),ROUNDUP((AF109-AE109)/7,0),"")</f>
        <v/>
      </c>
      <c r="AI109">
        <f>IFERROR(IF(AG109*AH109=0,"",AG109*AH109),"")</f>
        <v/>
      </c>
      <c r="AL109">
        <f>IF(AND(AJ109&lt;&gt;"",AK109&lt;&gt;""),ROUNDUP((AK109-AJ109)/7,0),"")</f>
        <v/>
      </c>
      <c r="AN109">
        <f>IFERROR(IF(AL109*AM109=0,"",AL109*AM109),"")</f>
        <v/>
      </c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L109">
        <f>IFERROR(INDEX('_names_lookup'!$C:$C,MATCH(BK109,'_names_lookup'!$A:$A,0)),"")</f>
        <v/>
      </c>
      <c r="BM109">
        <f>IFERROR(INDEX('_names_lookup'!$B:$B,MATCH(BK109,'_names_lookup'!$A:$A,0)),"")</f>
        <v/>
      </c>
      <c r="BS109">
        <f>IFERROR(IF(BR109*AA109=0,"",BR109*AA109),"")</f>
        <v/>
      </c>
    </row>
    <row r="110">
      <c r="O110">
        <f>IFERROR(INDEX('_courses_lookup'!$C:$C,MATCH(K110&amp;L110,'_courses_lookup'!$E:$E,0)),"")</f>
        <v/>
      </c>
      <c r="P110">
        <f>IFERROR(INDEX('_courses_lookup'!$D:$D,MATCH(K110&amp;L110,'_courses_lookup'!$E:$E,0)),"")</f>
        <v/>
      </c>
      <c r="AG110">
        <f>IF(AND(AE110&lt;&gt;"",AF110&lt;&gt;""),ROUNDUP((AF110-AE110)/7,0),"")</f>
        <v/>
      </c>
      <c r="AI110">
        <f>IFERROR(IF(AG110*AH110=0,"",AG110*AH110),"")</f>
        <v/>
      </c>
      <c r="AL110">
        <f>IF(AND(AJ110&lt;&gt;"",AK110&lt;&gt;""),ROUNDUP((AK110-AJ110)/7,0),"")</f>
        <v/>
      </c>
      <c r="AN110">
        <f>IFERROR(IF(AL110*AM110=0,"",AL110*AM110),"")</f>
        <v/>
      </c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L110">
        <f>IFERROR(INDEX('_names_lookup'!$C:$C,MATCH(BK110,'_names_lookup'!$A:$A,0)),"")</f>
        <v/>
      </c>
      <c r="BM110">
        <f>IFERROR(INDEX('_names_lookup'!$B:$B,MATCH(BK110,'_names_lookup'!$A:$A,0)),"")</f>
        <v/>
      </c>
      <c r="BS110">
        <f>IFERROR(IF(BR110*AA110=0,"",BR110*AA110),"")</f>
        <v/>
      </c>
    </row>
    <row r="111">
      <c r="O111">
        <f>IFERROR(INDEX('_courses_lookup'!$C:$C,MATCH(K111&amp;L111,'_courses_lookup'!$E:$E,0)),"")</f>
        <v/>
      </c>
      <c r="P111">
        <f>IFERROR(INDEX('_courses_lookup'!$D:$D,MATCH(K111&amp;L111,'_courses_lookup'!$E:$E,0)),"")</f>
        <v/>
      </c>
      <c r="AG111">
        <f>IF(AND(AE111&lt;&gt;"",AF111&lt;&gt;""),ROUNDUP((AF111-AE111)/7,0),"")</f>
        <v/>
      </c>
      <c r="AI111">
        <f>IFERROR(IF(AG111*AH111=0,"",AG111*AH111),"")</f>
        <v/>
      </c>
      <c r="AL111">
        <f>IF(AND(AJ111&lt;&gt;"",AK111&lt;&gt;""),ROUNDUP((AK111-AJ111)/7,0),"")</f>
        <v/>
      </c>
      <c r="AN111">
        <f>IFERROR(IF(AL111*AM111=0,"",AL111*AM111),"")</f>
        <v/>
      </c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L111">
        <f>IFERROR(INDEX('_names_lookup'!$C:$C,MATCH(BK111,'_names_lookup'!$A:$A,0)),"")</f>
        <v/>
      </c>
      <c r="BM111">
        <f>IFERROR(INDEX('_names_lookup'!$B:$B,MATCH(BK111,'_names_lookup'!$A:$A,0)),"")</f>
        <v/>
      </c>
      <c r="BS111">
        <f>IFERROR(IF(BR111*AA111=0,"",BR111*AA111),"")</f>
        <v/>
      </c>
    </row>
    <row r="112">
      <c r="O112">
        <f>IFERROR(INDEX('_courses_lookup'!$C:$C,MATCH(K112&amp;L112,'_courses_lookup'!$E:$E,0)),"")</f>
        <v/>
      </c>
      <c r="P112">
        <f>IFERROR(INDEX('_courses_lookup'!$D:$D,MATCH(K112&amp;L112,'_courses_lookup'!$E:$E,0)),"")</f>
        <v/>
      </c>
      <c r="AG112">
        <f>IF(AND(AE112&lt;&gt;"",AF112&lt;&gt;""),ROUNDUP((AF112-AE112)/7,0),"")</f>
        <v/>
      </c>
      <c r="AI112">
        <f>IFERROR(IF(AG112*AH112=0,"",AG112*AH112),"")</f>
        <v/>
      </c>
      <c r="AL112">
        <f>IF(AND(AJ112&lt;&gt;"",AK112&lt;&gt;""),ROUNDUP((AK112-AJ112)/7,0),"")</f>
        <v/>
      </c>
      <c r="AN112">
        <f>IFERROR(IF(AL112*AM112=0,"",AL112*AM112),"")</f>
        <v/>
      </c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L112">
        <f>IFERROR(INDEX('_names_lookup'!$C:$C,MATCH(BK112,'_names_lookup'!$A:$A,0)),"")</f>
        <v/>
      </c>
      <c r="BM112">
        <f>IFERROR(INDEX('_names_lookup'!$B:$B,MATCH(BK112,'_names_lookup'!$A:$A,0)),"")</f>
        <v/>
      </c>
      <c r="BS112">
        <f>IFERROR(IF(BR112*AA112=0,"",BR112*AA112),"")</f>
        <v/>
      </c>
    </row>
    <row r="113">
      <c r="O113">
        <f>IFERROR(INDEX('_courses_lookup'!$C:$C,MATCH(K113&amp;L113,'_courses_lookup'!$E:$E,0)),"")</f>
        <v/>
      </c>
      <c r="P113">
        <f>IFERROR(INDEX('_courses_lookup'!$D:$D,MATCH(K113&amp;L113,'_courses_lookup'!$E:$E,0)),"")</f>
        <v/>
      </c>
      <c r="AG113">
        <f>IF(AND(AE113&lt;&gt;"",AF113&lt;&gt;""),ROUNDUP((AF113-AE113)/7,0),"")</f>
        <v/>
      </c>
      <c r="AI113">
        <f>IFERROR(IF(AG113*AH113=0,"",AG113*AH113),"")</f>
        <v/>
      </c>
      <c r="AL113">
        <f>IF(AND(AJ113&lt;&gt;"",AK113&lt;&gt;""),ROUNDUP((AK113-AJ113)/7,0),"")</f>
        <v/>
      </c>
      <c r="AN113">
        <f>IFERROR(IF(AL113*AM113=0,"",AL113*AM113),"")</f>
        <v/>
      </c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L113">
        <f>IFERROR(INDEX('_names_lookup'!$C:$C,MATCH(BK113,'_names_lookup'!$A:$A,0)),"")</f>
        <v/>
      </c>
      <c r="BM113">
        <f>IFERROR(INDEX('_names_lookup'!$B:$B,MATCH(BK113,'_names_lookup'!$A:$A,0)),"")</f>
        <v/>
      </c>
      <c r="BS113">
        <f>IFERROR(IF(BR113*AA113=0,"",BR113*AA113),"")</f>
        <v/>
      </c>
    </row>
    <row r="114">
      <c r="O114">
        <f>IFERROR(INDEX('_courses_lookup'!$C:$C,MATCH(K114&amp;L114,'_courses_lookup'!$E:$E,0)),"")</f>
        <v/>
      </c>
      <c r="P114">
        <f>IFERROR(INDEX('_courses_lookup'!$D:$D,MATCH(K114&amp;L114,'_courses_lookup'!$E:$E,0)),"")</f>
        <v/>
      </c>
      <c r="AG114">
        <f>IF(AND(AE114&lt;&gt;"",AF114&lt;&gt;""),ROUNDUP((AF114-AE114)/7,0),"")</f>
        <v/>
      </c>
      <c r="AI114">
        <f>IFERROR(IF(AG114*AH114=0,"",AG114*AH114),"")</f>
        <v/>
      </c>
      <c r="AL114">
        <f>IF(AND(AJ114&lt;&gt;"",AK114&lt;&gt;""),ROUNDUP((AK114-AJ114)/7,0),"")</f>
        <v/>
      </c>
      <c r="AN114">
        <f>IFERROR(IF(AL114*AM114=0,"",AL114*AM114),"")</f>
        <v/>
      </c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L114">
        <f>IFERROR(INDEX('_names_lookup'!$C:$C,MATCH(BK114,'_names_lookup'!$A:$A,0)),"")</f>
        <v/>
      </c>
      <c r="BM114">
        <f>IFERROR(INDEX('_names_lookup'!$B:$B,MATCH(BK114,'_names_lookup'!$A:$A,0)),"")</f>
        <v/>
      </c>
      <c r="BS114">
        <f>IFERROR(IF(BR114*AA114=0,"",BR114*AA114),"")</f>
        <v/>
      </c>
    </row>
    <row r="115">
      <c r="O115">
        <f>IFERROR(INDEX('_courses_lookup'!$C:$C,MATCH(K115&amp;L115,'_courses_lookup'!$E:$E,0)),"")</f>
        <v/>
      </c>
      <c r="P115">
        <f>IFERROR(INDEX('_courses_lookup'!$D:$D,MATCH(K115&amp;L115,'_courses_lookup'!$E:$E,0)),"")</f>
        <v/>
      </c>
      <c r="AG115">
        <f>IF(AND(AE115&lt;&gt;"",AF115&lt;&gt;""),ROUNDUP((AF115-AE115)/7,0),"")</f>
        <v/>
      </c>
      <c r="AI115">
        <f>IFERROR(IF(AG115*AH115=0,"",AG115*AH115),"")</f>
        <v/>
      </c>
      <c r="AL115">
        <f>IF(AND(AJ115&lt;&gt;"",AK115&lt;&gt;""),ROUNDUP((AK115-AJ115)/7,0),"")</f>
        <v/>
      </c>
      <c r="AN115">
        <f>IFERROR(IF(AL115*AM115=0,"",AL115*AM115),"")</f>
        <v/>
      </c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L115">
        <f>IFERROR(INDEX('_names_lookup'!$C:$C,MATCH(BK115,'_names_lookup'!$A:$A,0)),"")</f>
        <v/>
      </c>
      <c r="BM115">
        <f>IFERROR(INDEX('_names_lookup'!$B:$B,MATCH(BK115,'_names_lookup'!$A:$A,0)),"")</f>
        <v/>
      </c>
      <c r="BS115">
        <f>IFERROR(IF(BR115*AA115=0,"",BR115*AA115),"")</f>
        <v/>
      </c>
    </row>
    <row r="116">
      <c r="O116">
        <f>IFERROR(INDEX('_courses_lookup'!$C:$C,MATCH(K116&amp;L116,'_courses_lookup'!$E:$E,0)),"")</f>
        <v/>
      </c>
      <c r="P116">
        <f>IFERROR(INDEX('_courses_lookup'!$D:$D,MATCH(K116&amp;L116,'_courses_lookup'!$E:$E,0)),"")</f>
        <v/>
      </c>
      <c r="AG116">
        <f>IF(AND(AE116&lt;&gt;"",AF116&lt;&gt;""),ROUNDUP((AF116-AE116)/7,0),"")</f>
        <v/>
      </c>
      <c r="AI116">
        <f>IFERROR(IF(AG116*AH116=0,"",AG116*AH116),"")</f>
        <v/>
      </c>
      <c r="AL116">
        <f>IF(AND(AJ116&lt;&gt;"",AK116&lt;&gt;""),ROUNDUP((AK116-AJ116)/7,0),"")</f>
        <v/>
      </c>
      <c r="AN116">
        <f>IFERROR(IF(AL116*AM116=0,"",AL116*AM116),"")</f>
        <v/>
      </c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L116">
        <f>IFERROR(INDEX('_names_lookup'!$C:$C,MATCH(BK116,'_names_lookup'!$A:$A,0)),"")</f>
        <v/>
      </c>
      <c r="BM116">
        <f>IFERROR(INDEX('_names_lookup'!$B:$B,MATCH(BK116,'_names_lookup'!$A:$A,0)),"")</f>
        <v/>
      </c>
      <c r="BS116">
        <f>IFERROR(IF(BR116*AA116=0,"",BR116*AA116),"")</f>
        <v/>
      </c>
    </row>
    <row r="117">
      <c r="O117">
        <f>IFERROR(INDEX('_courses_lookup'!$C:$C,MATCH(K117&amp;L117,'_courses_lookup'!$E:$E,0)),"")</f>
        <v/>
      </c>
      <c r="P117">
        <f>IFERROR(INDEX('_courses_lookup'!$D:$D,MATCH(K117&amp;L117,'_courses_lookup'!$E:$E,0)),"")</f>
        <v/>
      </c>
      <c r="AG117">
        <f>IF(AND(AE117&lt;&gt;"",AF117&lt;&gt;""),ROUNDUP((AF117-AE117)/7,0),"")</f>
        <v/>
      </c>
      <c r="AI117">
        <f>IFERROR(IF(AG117*AH117=0,"",AG117*AH117),"")</f>
        <v/>
      </c>
      <c r="AL117">
        <f>IF(AND(AJ117&lt;&gt;"",AK117&lt;&gt;""),ROUNDUP((AK117-AJ117)/7,0),"")</f>
        <v/>
      </c>
      <c r="AN117">
        <f>IFERROR(IF(AL117*AM117=0,"",AL117*AM117),"")</f>
        <v/>
      </c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L117">
        <f>IFERROR(INDEX('_names_lookup'!$C:$C,MATCH(BK117,'_names_lookup'!$A:$A,0)),"")</f>
        <v/>
      </c>
      <c r="BM117">
        <f>IFERROR(INDEX('_names_lookup'!$B:$B,MATCH(BK117,'_names_lookup'!$A:$A,0)),"")</f>
        <v/>
      </c>
      <c r="BS117">
        <f>IFERROR(IF(BR117*AA117=0,"",BR117*AA117),"")</f>
        <v/>
      </c>
    </row>
    <row r="118">
      <c r="O118">
        <f>IFERROR(INDEX('_courses_lookup'!$C:$C,MATCH(K118&amp;L118,'_courses_lookup'!$E:$E,0)),"")</f>
        <v/>
      </c>
      <c r="P118">
        <f>IFERROR(INDEX('_courses_lookup'!$D:$D,MATCH(K118&amp;L118,'_courses_lookup'!$E:$E,0)),"")</f>
        <v/>
      </c>
      <c r="AG118">
        <f>IF(AND(AE118&lt;&gt;"",AF118&lt;&gt;""),ROUNDUP((AF118-AE118)/7,0),"")</f>
        <v/>
      </c>
      <c r="AI118">
        <f>IFERROR(IF(AG118*AH118=0,"",AG118*AH118),"")</f>
        <v/>
      </c>
      <c r="AL118">
        <f>IF(AND(AJ118&lt;&gt;"",AK118&lt;&gt;""),ROUNDUP((AK118-AJ118)/7,0),"")</f>
        <v/>
      </c>
      <c r="AN118">
        <f>IFERROR(IF(AL118*AM118=0,"",AL118*AM118),"")</f>
        <v/>
      </c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L118">
        <f>IFERROR(INDEX('_names_lookup'!$C:$C,MATCH(BK118,'_names_lookup'!$A:$A,0)),"")</f>
        <v/>
      </c>
      <c r="BM118">
        <f>IFERROR(INDEX('_names_lookup'!$B:$B,MATCH(BK118,'_names_lookup'!$A:$A,0)),"")</f>
        <v/>
      </c>
      <c r="BS118">
        <f>IFERROR(IF(BR118*AA118=0,"",BR118*AA118),"")</f>
        <v/>
      </c>
    </row>
    <row r="119">
      <c r="O119">
        <f>IFERROR(INDEX('_courses_lookup'!$C:$C,MATCH(K119&amp;L119,'_courses_lookup'!$E:$E,0)),"")</f>
        <v/>
      </c>
      <c r="P119">
        <f>IFERROR(INDEX('_courses_lookup'!$D:$D,MATCH(K119&amp;L119,'_courses_lookup'!$E:$E,0)),"")</f>
        <v/>
      </c>
      <c r="AG119">
        <f>IF(AND(AE119&lt;&gt;"",AF119&lt;&gt;""),ROUNDUP((AF119-AE119)/7,0),"")</f>
        <v/>
      </c>
      <c r="AI119">
        <f>IFERROR(IF(AG119*AH119=0,"",AG119*AH119),"")</f>
        <v/>
      </c>
      <c r="AL119">
        <f>IF(AND(AJ119&lt;&gt;"",AK119&lt;&gt;""),ROUNDUP((AK119-AJ119)/7,0),"")</f>
        <v/>
      </c>
      <c r="AN119">
        <f>IFERROR(IF(AL119*AM119=0,"",AL119*AM119),"")</f>
        <v/>
      </c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L119">
        <f>IFERROR(INDEX('_names_lookup'!$C:$C,MATCH(BK119,'_names_lookup'!$A:$A,0)),"")</f>
        <v/>
      </c>
      <c r="BM119">
        <f>IFERROR(INDEX('_names_lookup'!$B:$B,MATCH(BK119,'_names_lookup'!$A:$A,0)),"")</f>
        <v/>
      </c>
      <c r="BS119">
        <f>IFERROR(IF(BR119*AA119=0,"",BR119*AA119),"")</f>
        <v/>
      </c>
    </row>
    <row r="120">
      <c r="O120">
        <f>IFERROR(INDEX('_courses_lookup'!$C:$C,MATCH(K120&amp;L120,'_courses_lookup'!$E:$E,0)),"")</f>
        <v/>
      </c>
      <c r="P120">
        <f>IFERROR(INDEX('_courses_lookup'!$D:$D,MATCH(K120&amp;L120,'_courses_lookup'!$E:$E,0)),"")</f>
        <v/>
      </c>
      <c r="AG120">
        <f>IF(AND(AE120&lt;&gt;"",AF120&lt;&gt;""),ROUNDUP((AF120-AE120)/7,0),"")</f>
        <v/>
      </c>
      <c r="AI120">
        <f>IFERROR(IF(AG120*AH120=0,"",AG120*AH120),"")</f>
        <v/>
      </c>
      <c r="AL120">
        <f>IF(AND(AJ120&lt;&gt;"",AK120&lt;&gt;""),ROUNDUP((AK120-AJ120)/7,0),"")</f>
        <v/>
      </c>
      <c r="AN120">
        <f>IFERROR(IF(AL120*AM120=0,"",AL120*AM120),"")</f>
        <v/>
      </c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L120">
        <f>IFERROR(INDEX('_names_lookup'!$C:$C,MATCH(BK120,'_names_lookup'!$A:$A,0)),"")</f>
        <v/>
      </c>
      <c r="BM120">
        <f>IFERROR(INDEX('_names_lookup'!$B:$B,MATCH(BK120,'_names_lookup'!$A:$A,0)),"")</f>
        <v/>
      </c>
      <c r="BS120">
        <f>IFERROR(IF(BR120*AA120=0,"",BR120*AA120),"")</f>
        <v/>
      </c>
    </row>
    <row r="121">
      <c r="O121">
        <f>IFERROR(INDEX('_courses_lookup'!$C:$C,MATCH(K121&amp;L121,'_courses_lookup'!$E:$E,0)),"")</f>
        <v/>
      </c>
      <c r="P121">
        <f>IFERROR(INDEX('_courses_lookup'!$D:$D,MATCH(K121&amp;L121,'_courses_lookup'!$E:$E,0)),"")</f>
        <v/>
      </c>
      <c r="AG121">
        <f>IF(AND(AE121&lt;&gt;"",AF121&lt;&gt;""),ROUNDUP((AF121-AE121)/7,0),"")</f>
        <v/>
      </c>
      <c r="AI121">
        <f>IFERROR(IF(AG121*AH121=0,"",AG121*AH121),"")</f>
        <v/>
      </c>
      <c r="AL121">
        <f>IF(AND(AJ121&lt;&gt;"",AK121&lt;&gt;""),ROUNDUP((AK121-AJ121)/7,0),"")</f>
        <v/>
      </c>
      <c r="AN121">
        <f>IFERROR(IF(AL121*AM121=0,"",AL121*AM121),"")</f>
        <v/>
      </c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L121">
        <f>IFERROR(INDEX('_names_lookup'!$C:$C,MATCH(BK121,'_names_lookup'!$A:$A,0)),"")</f>
        <v/>
      </c>
      <c r="BM121">
        <f>IFERROR(INDEX('_names_lookup'!$B:$B,MATCH(BK121,'_names_lookup'!$A:$A,0)),"")</f>
        <v/>
      </c>
      <c r="BS121">
        <f>IFERROR(IF(BR121*AA121=0,"",BR121*AA121),"")</f>
        <v/>
      </c>
    </row>
    <row r="122">
      <c r="O122">
        <f>IFERROR(INDEX('_courses_lookup'!$C:$C,MATCH(K122&amp;L122,'_courses_lookup'!$E:$E,0)),"")</f>
        <v/>
      </c>
      <c r="P122">
        <f>IFERROR(INDEX('_courses_lookup'!$D:$D,MATCH(K122&amp;L122,'_courses_lookup'!$E:$E,0)),"")</f>
        <v/>
      </c>
      <c r="AG122">
        <f>IF(AND(AE122&lt;&gt;"",AF122&lt;&gt;""),ROUNDUP((AF122-AE122)/7,0),"")</f>
        <v/>
      </c>
      <c r="AI122">
        <f>IFERROR(IF(AG122*AH122=0,"",AG122*AH122),"")</f>
        <v/>
      </c>
      <c r="AL122">
        <f>IF(AND(AJ122&lt;&gt;"",AK122&lt;&gt;""),ROUNDUP((AK122-AJ122)/7,0),"")</f>
        <v/>
      </c>
      <c r="AN122">
        <f>IFERROR(IF(AL122*AM122=0,"",AL122*AM122),"")</f>
        <v/>
      </c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L122">
        <f>IFERROR(INDEX('_names_lookup'!$C:$C,MATCH(BK122,'_names_lookup'!$A:$A,0)),"")</f>
        <v/>
      </c>
      <c r="BM122">
        <f>IFERROR(INDEX('_names_lookup'!$B:$B,MATCH(BK122,'_names_lookup'!$A:$A,0)),"")</f>
        <v/>
      </c>
      <c r="BS122">
        <f>IFERROR(IF(BR122*AA122=0,"",BR122*AA122),"")</f>
        <v/>
      </c>
    </row>
    <row r="123">
      <c r="O123">
        <f>IFERROR(INDEX('_courses_lookup'!$C:$C,MATCH(K123&amp;L123,'_courses_lookup'!$E:$E,0)),"")</f>
        <v/>
      </c>
      <c r="P123">
        <f>IFERROR(INDEX('_courses_lookup'!$D:$D,MATCH(K123&amp;L123,'_courses_lookup'!$E:$E,0)),"")</f>
        <v/>
      </c>
      <c r="AG123">
        <f>IF(AND(AE123&lt;&gt;"",AF123&lt;&gt;""),ROUNDUP((AF123-AE123)/7,0),"")</f>
        <v/>
      </c>
      <c r="AI123">
        <f>IFERROR(IF(AG123*AH123=0,"",AG123*AH123),"")</f>
        <v/>
      </c>
      <c r="AL123">
        <f>IF(AND(AJ123&lt;&gt;"",AK123&lt;&gt;""),ROUNDUP((AK123-AJ123)/7,0),"")</f>
        <v/>
      </c>
      <c r="AN123">
        <f>IFERROR(IF(AL123*AM123=0,"",AL123*AM123),"")</f>
        <v/>
      </c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L123">
        <f>IFERROR(INDEX('_names_lookup'!$C:$C,MATCH(BK123,'_names_lookup'!$A:$A,0)),"")</f>
        <v/>
      </c>
      <c r="BM123">
        <f>IFERROR(INDEX('_names_lookup'!$B:$B,MATCH(BK123,'_names_lookup'!$A:$A,0)),"")</f>
        <v/>
      </c>
      <c r="BS123">
        <f>IFERROR(IF(BR123*AA123=0,"",BR123*AA123),"")</f>
        <v/>
      </c>
    </row>
    <row r="124">
      <c r="O124">
        <f>IFERROR(INDEX('_courses_lookup'!$C:$C,MATCH(K124&amp;L124,'_courses_lookup'!$E:$E,0)),"")</f>
        <v/>
      </c>
      <c r="P124">
        <f>IFERROR(INDEX('_courses_lookup'!$D:$D,MATCH(K124&amp;L124,'_courses_lookup'!$E:$E,0)),"")</f>
        <v/>
      </c>
      <c r="AG124">
        <f>IF(AND(AE124&lt;&gt;"",AF124&lt;&gt;""),ROUNDUP((AF124-AE124)/7,0),"")</f>
        <v/>
      </c>
      <c r="AI124">
        <f>IFERROR(IF(AG124*AH124=0,"",AG124*AH124),"")</f>
        <v/>
      </c>
      <c r="AL124">
        <f>IF(AND(AJ124&lt;&gt;"",AK124&lt;&gt;""),ROUNDUP((AK124-AJ124)/7,0),"")</f>
        <v/>
      </c>
      <c r="AN124">
        <f>IFERROR(IF(AL124*AM124=0,"",AL124*AM124),"")</f>
        <v/>
      </c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L124">
        <f>IFERROR(INDEX('_names_lookup'!$C:$C,MATCH(BK124,'_names_lookup'!$A:$A,0)),"")</f>
        <v/>
      </c>
      <c r="BM124">
        <f>IFERROR(INDEX('_names_lookup'!$B:$B,MATCH(BK124,'_names_lookup'!$A:$A,0)),"")</f>
        <v/>
      </c>
      <c r="BS124">
        <f>IFERROR(IF(BR124*AA124=0,"",BR124*AA124),"")</f>
        <v/>
      </c>
    </row>
    <row r="125">
      <c r="O125">
        <f>IFERROR(INDEX('_courses_lookup'!$C:$C,MATCH(K125&amp;L125,'_courses_lookup'!$E:$E,0)),"")</f>
        <v/>
      </c>
      <c r="P125">
        <f>IFERROR(INDEX('_courses_lookup'!$D:$D,MATCH(K125&amp;L125,'_courses_lookup'!$E:$E,0)),"")</f>
        <v/>
      </c>
      <c r="AG125">
        <f>IF(AND(AE125&lt;&gt;"",AF125&lt;&gt;""),ROUNDUP((AF125-AE125)/7,0),"")</f>
        <v/>
      </c>
      <c r="AI125">
        <f>IFERROR(IF(AG125*AH125=0,"",AG125*AH125),"")</f>
        <v/>
      </c>
      <c r="AL125">
        <f>IF(AND(AJ125&lt;&gt;"",AK125&lt;&gt;""),ROUNDUP((AK125-AJ125)/7,0),"")</f>
        <v/>
      </c>
      <c r="AN125">
        <f>IFERROR(IF(AL125*AM125=0,"",AL125*AM125),"")</f>
        <v/>
      </c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L125">
        <f>IFERROR(INDEX('_names_lookup'!$C:$C,MATCH(BK125,'_names_lookup'!$A:$A,0)),"")</f>
        <v/>
      </c>
      <c r="BM125">
        <f>IFERROR(INDEX('_names_lookup'!$B:$B,MATCH(BK125,'_names_lookup'!$A:$A,0)),"")</f>
        <v/>
      </c>
      <c r="BS125">
        <f>IFERROR(IF(BR125*AA125=0,"",BR125*AA125),"")</f>
        <v/>
      </c>
    </row>
    <row r="126">
      <c r="O126">
        <f>IFERROR(INDEX('_courses_lookup'!$C:$C,MATCH(K126&amp;L126,'_courses_lookup'!$E:$E,0)),"")</f>
        <v/>
      </c>
      <c r="P126">
        <f>IFERROR(INDEX('_courses_lookup'!$D:$D,MATCH(K126&amp;L126,'_courses_lookup'!$E:$E,0)),"")</f>
        <v/>
      </c>
      <c r="AG126">
        <f>IF(AND(AE126&lt;&gt;"",AF126&lt;&gt;""),ROUNDUP((AF126-AE126)/7,0),"")</f>
        <v/>
      </c>
      <c r="AI126">
        <f>IFERROR(IF(AG126*AH126=0,"",AG126*AH126),"")</f>
        <v/>
      </c>
      <c r="AL126">
        <f>IF(AND(AJ126&lt;&gt;"",AK126&lt;&gt;""),ROUNDUP((AK126-AJ126)/7,0),"")</f>
        <v/>
      </c>
      <c r="AN126">
        <f>IFERROR(IF(AL126*AM126=0,"",AL126*AM126),"")</f>
        <v/>
      </c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L126">
        <f>IFERROR(INDEX('_names_lookup'!$C:$C,MATCH(BK126,'_names_lookup'!$A:$A,0)),"")</f>
        <v/>
      </c>
      <c r="BM126">
        <f>IFERROR(INDEX('_names_lookup'!$B:$B,MATCH(BK126,'_names_lookup'!$A:$A,0)),"")</f>
        <v/>
      </c>
      <c r="BS126">
        <f>IFERROR(IF(BR126*AA126=0,"",BR126*AA126),"")</f>
        <v/>
      </c>
    </row>
    <row r="127">
      <c r="O127">
        <f>IFERROR(INDEX('_courses_lookup'!$C:$C,MATCH(K127&amp;L127,'_courses_lookup'!$E:$E,0)),"")</f>
        <v/>
      </c>
      <c r="P127">
        <f>IFERROR(INDEX('_courses_lookup'!$D:$D,MATCH(K127&amp;L127,'_courses_lookup'!$E:$E,0)),"")</f>
        <v/>
      </c>
      <c r="AG127">
        <f>IF(AND(AE127&lt;&gt;"",AF127&lt;&gt;""),ROUNDUP((AF127-AE127)/7,0),"")</f>
        <v/>
      </c>
      <c r="AI127">
        <f>IFERROR(IF(AG127*AH127=0,"",AG127*AH127),"")</f>
        <v/>
      </c>
      <c r="AL127">
        <f>IF(AND(AJ127&lt;&gt;"",AK127&lt;&gt;""),ROUNDUP((AK127-AJ127)/7,0),"")</f>
        <v/>
      </c>
      <c r="AN127">
        <f>IFERROR(IF(AL127*AM127=0,"",AL127*AM127),"")</f>
        <v/>
      </c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L127">
        <f>IFERROR(INDEX('_names_lookup'!$C:$C,MATCH(BK127,'_names_lookup'!$A:$A,0)),"")</f>
        <v/>
      </c>
      <c r="BM127">
        <f>IFERROR(INDEX('_names_lookup'!$B:$B,MATCH(BK127,'_names_lookup'!$A:$A,0)),"")</f>
        <v/>
      </c>
      <c r="BS127">
        <f>IFERROR(IF(BR127*AA127=0,"",BR127*AA127),"")</f>
        <v/>
      </c>
    </row>
    <row r="128">
      <c r="O128">
        <f>IFERROR(INDEX('_courses_lookup'!$C:$C,MATCH(K128&amp;L128,'_courses_lookup'!$E:$E,0)),"")</f>
        <v/>
      </c>
      <c r="P128">
        <f>IFERROR(INDEX('_courses_lookup'!$D:$D,MATCH(K128&amp;L128,'_courses_lookup'!$E:$E,0)),"")</f>
        <v/>
      </c>
      <c r="AG128">
        <f>IF(AND(AE128&lt;&gt;"",AF128&lt;&gt;""),ROUNDUP((AF128-AE128)/7,0),"")</f>
        <v/>
      </c>
      <c r="AI128">
        <f>IFERROR(IF(AG128*AH128=0,"",AG128*AH128),"")</f>
        <v/>
      </c>
      <c r="AL128">
        <f>IF(AND(AJ128&lt;&gt;"",AK128&lt;&gt;""),ROUNDUP((AK128-AJ128)/7,0),"")</f>
        <v/>
      </c>
      <c r="AN128">
        <f>IFERROR(IF(AL128*AM128=0,"",AL128*AM128),"")</f>
        <v/>
      </c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L128">
        <f>IFERROR(INDEX('_names_lookup'!$C:$C,MATCH(BK128,'_names_lookup'!$A:$A,0)),"")</f>
        <v/>
      </c>
      <c r="BM128">
        <f>IFERROR(INDEX('_names_lookup'!$B:$B,MATCH(BK128,'_names_lookup'!$A:$A,0)),"")</f>
        <v/>
      </c>
      <c r="BS128">
        <f>IFERROR(IF(BR128*AA128=0,"",BR128*AA128),"")</f>
        <v/>
      </c>
    </row>
    <row r="129">
      <c r="O129">
        <f>IFERROR(INDEX('_courses_lookup'!$C:$C,MATCH(K129&amp;L129,'_courses_lookup'!$E:$E,0)),"")</f>
        <v/>
      </c>
      <c r="P129">
        <f>IFERROR(INDEX('_courses_lookup'!$D:$D,MATCH(K129&amp;L129,'_courses_lookup'!$E:$E,0)),"")</f>
        <v/>
      </c>
      <c r="AG129">
        <f>IF(AND(AE129&lt;&gt;"",AF129&lt;&gt;""),ROUNDUP((AF129-AE129)/7,0),"")</f>
        <v/>
      </c>
      <c r="AI129">
        <f>IFERROR(IF(AG129*AH129=0,"",AG129*AH129),"")</f>
        <v/>
      </c>
      <c r="AL129">
        <f>IF(AND(AJ129&lt;&gt;"",AK129&lt;&gt;""),ROUNDUP((AK129-AJ129)/7,0),"")</f>
        <v/>
      </c>
      <c r="AN129">
        <f>IFERROR(IF(AL129*AM129=0,"",AL129*AM129),"")</f>
        <v/>
      </c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L129">
        <f>IFERROR(INDEX('_names_lookup'!$C:$C,MATCH(BK129,'_names_lookup'!$A:$A,0)),"")</f>
        <v/>
      </c>
      <c r="BM129">
        <f>IFERROR(INDEX('_names_lookup'!$B:$B,MATCH(BK129,'_names_lookup'!$A:$A,0)),"")</f>
        <v/>
      </c>
      <c r="BS129">
        <f>IFERROR(IF(BR129*AA129=0,"",BR129*AA129),"")</f>
        <v/>
      </c>
    </row>
    <row r="130">
      <c r="O130">
        <f>IFERROR(INDEX('_courses_lookup'!$C:$C,MATCH(K130&amp;L130,'_courses_lookup'!$E:$E,0)),"")</f>
        <v/>
      </c>
      <c r="P130">
        <f>IFERROR(INDEX('_courses_lookup'!$D:$D,MATCH(K130&amp;L130,'_courses_lookup'!$E:$E,0)),"")</f>
        <v/>
      </c>
      <c r="AG130">
        <f>IF(AND(AE130&lt;&gt;"",AF130&lt;&gt;""),ROUNDUP((AF130-AE130)/7,0),"")</f>
        <v/>
      </c>
      <c r="AI130">
        <f>IFERROR(IF(AG130*AH130=0,"",AG130*AH130),"")</f>
        <v/>
      </c>
      <c r="AL130">
        <f>IF(AND(AJ130&lt;&gt;"",AK130&lt;&gt;""),ROUNDUP((AK130-AJ130)/7,0),"")</f>
        <v/>
      </c>
      <c r="AN130">
        <f>IFERROR(IF(AL130*AM130=0,"",AL130*AM130),"")</f>
        <v/>
      </c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L130">
        <f>IFERROR(INDEX('_names_lookup'!$C:$C,MATCH(BK130,'_names_lookup'!$A:$A,0)),"")</f>
        <v/>
      </c>
      <c r="BM130">
        <f>IFERROR(INDEX('_names_lookup'!$B:$B,MATCH(BK130,'_names_lookup'!$A:$A,0)),"")</f>
        <v/>
      </c>
      <c r="BS130">
        <f>IFERROR(IF(BR130*AA130=0,"",BR130*AA130),"")</f>
        <v/>
      </c>
    </row>
    <row r="131">
      <c r="O131">
        <f>IFERROR(INDEX('_courses_lookup'!$C:$C,MATCH(K131&amp;L131,'_courses_lookup'!$E:$E,0)),"")</f>
        <v/>
      </c>
      <c r="P131">
        <f>IFERROR(INDEX('_courses_lookup'!$D:$D,MATCH(K131&amp;L131,'_courses_lookup'!$E:$E,0)),"")</f>
        <v/>
      </c>
      <c r="AG131">
        <f>IF(AND(AE131&lt;&gt;"",AF131&lt;&gt;""),ROUNDUP((AF131-AE131)/7,0),"")</f>
        <v/>
      </c>
      <c r="AI131">
        <f>IFERROR(IF(AG131*AH131=0,"",AG131*AH131),"")</f>
        <v/>
      </c>
      <c r="AL131">
        <f>IF(AND(AJ131&lt;&gt;"",AK131&lt;&gt;""),ROUNDUP((AK131-AJ131)/7,0),"")</f>
        <v/>
      </c>
      <c r="AN131">
        <f>IFERROR(IF(AL131*AM131=0,"",AL131*AM131),"")</f>
        <v/>
      </c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L131">
        <f>IFERROR(INDEX('_names_lookup'!$C:$C,MATCH(BK131,'_names_lookup'!$A:$A,0)),"")</f>
        <v/>
      </c>
      <c r="BM131">
        <f>IFERROR(INDEX('_names_lookup'!$B:$B,MATCH(BK131,'_names_lookup'!$A:$A,0)),"")</f>
        <v/>
      </c>
      <c r="BS131">
        <f>IFERROR(IF(BR131*AA131=0,"",BR131*AA131),"")</f>
        <v/>
      </c>
    </row>
    <row r="132">
      <c r="O132">
        <f>IFERROR(INDEX('_courses_lookup'!$C:$C,MATCH(K132&amp;L132,'_courses_lookup'!$E:$E,0)),"")</f>
        <v/>
      </c>
      <c r="P132">
        <f>IFERROR(INDEX('_courses_lookup'!$D:$D,MATCH(K132&amp;L132,'_courses_lookup'!$E:$E,0)),"")</f>
        <v/>
      </c>
      <c r="AG132">
        <f>IF(AND(AE132&lt;&gt;"",AF132&lt;&gt;""),ROUNDUP((AF132-AE132)/7,0),"")</f>
        <v/>
      </c>
      <c r="AI132">
        <f>IFERROR(IF(AG132*AH132=0,"",AG132*AH132),"")</f>
        <v/>
      </c>
      <c r="AL132">
        <f>IF(AND(AJ132&lt;&gt;"",AK132&lt;&gt;""),ROUNDUP((AK132-AJ132)/7,0),"")</f>
        <v/>
      </c>
      <c r="AN132">
        <f>IFERROR(IF(AL132*AM132=0,"",AL132*AM132),"")</f>
        <v/>
      </c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L132">
        <f>IFERROR(INDEX('_names_lookup'!$C:$C,MATCH(BK132,'_names_lookup'!$A:$A,0)),"")</f>
        <v/>
      </c>
      <c r="BM132">
        <f>IFERROR(INDEX('_names_lookup'!$B:$B,MATCH(BK132,'_names_lookup'!$A:$A,0)),"")</f>
        <v/>
      </c>
      <c r="BS132">
        <f>IFERROR(IF(BR132*AA132=0,"",BR132*AA132),"")</f>
        <v/>
      </c>
    </row>
    <row r="133">
      <c r="O133">
        <f>IFERROR(INDEX('_courses_lookup'!$C:$C,MATCH(K133&amp;L133,'_courses_lookup'!$E:$E,0)),"")</f>
        <v/>
      </c>
      <c r="P133">
        <f>IFERROR(INDEX('_courses_lookup'!$D:$D,MATCH(K133&amp;L133,'_courses_lookup'!$E:$E,0)),"")</f>
        <v/>
      </c>
      <c r="AG133">
        <f>IF(AND(AE133&lt;&gt;"",AF133&lt;&gt;""),ROUNDUP((AF133-AE133)/7,0),"")</f>
        <v/>
      </c>
      <c r="AI133">
        <f>IFERROR(IF(AG133*AH133=0,"",AG133*AH133),"")</f>
        <v/>
      </c>
      <c r="AL133">
        <f>IF(AND(AJ133&lt;&gt;"",AK133&lt;&gt;""),ROUNDUP((AK133-AJ133)/7,0),"")</f>
        <v/>
      </c>
      <c r="AN133">
        <f>IFERROR(IF(AL133*AM133=0,"",AL133*AM133),"")</f>
        <v/>
      </c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L133">
        <f>IFERROR(INDEX('_names_lookup'!$C:$C,MATCH(BK133,'_names_lookup'!$A:$A,0)),"")</f>
        <v/>
      </c>
      <c r="BM133">
        <f>IFERROR(INDEX('_names_lookup'!$B:$B,MATCH(BK133,'_names_lookup'!$A:$A,0)),"")</f>
        <v/>
      </c>
      <c r="BS133">
        <f>IFERROR(IF(BR133*AA133=0,"",BR133*AA133),"")</f>
        <v/>
      </c>
    </row>
    <row r="134">
      <c r="O134">
        <f>IFERROR(INDEX('_courses_lookup'!$C:$C,MATCH(K134&amp;L134,'_courses_lookup'!$E:$E,0)),"")</f>
        <v/>
      </c>
      <c r="P134">
        <f>IFERROR(INDEX('_courses_lookup'!$D:$D,MATCH(K134&amp;L134,'_courses_lookup'!$E:$E,0)),"")</f>
        <v/>
      </c>
      <c r="AG134">
        <f>IF(AND(AE134&lt;&gt;"",AF134&lt;&gt;""),ROUNDUP((AF134-AE134)/7,0),"")</f>
        <v/>
      </c>
      <c r="AI134">
        <f>IFERROR(IF(AG134*AH134=0,"",AG134*AH134),"")</f>
        <v/>
      </c>
      <c r="AL134">
        <f>IF(AND(AJ134&lt;&gt;"",AK134&lt;&gt;""),ROUNDUP((AK134-AJ134)/7,0),"")</f>
        <v/>
      </c>
      <c r="AN134">
        <f>IFERROR(IF(AL134*AM134=0,"",AL134*AM134),"")</f>
        <v/>
      </c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L134">
        <f>IFERROR(INDEX('_names_lookup'!$C:$C,MATCH(BK134,'_names_lookup'!$A:$A,0)),"")</f>
        <v/>
      </c>
      <c r="BM134">
        <f>IFERROR(INDEX('_names_lookup'!$B:$B,MATCH(BK134,'_names_lookup'!$A:$A,0)),"")</f>
        <v/>
      </c>
      <c r="BS134">
        <f>IFERROR(IF(BR134*AA134=0,"",BR134*AA134),"")</f>
        <v/>
      </c>
    </row>
    <row r="135">
      <c r="O135">
        <f>IFERROR(INDEX('_courses_lookup'!$C:$C,MATCH(K135&amp;L135,'_courses_lookup'!$E:$E,0)),"")</f>
        <v/>
      </c>
      <c r="P135">
        <f>IFERROR(INDEX('_courses_lookup'!$D:$D,MATCH(K135&amp;L135,'_courses_lookup'!$E:$E,0)),"")</f>
        <v/>
      </c>
      <c r="AG135">
        <f>IF(AND(AE135&lt;&gt;"",AF135&lt;&gt;""),ROUNDUP((AF135-AE135)/7,0),"")</f>
        <v/>
      </c>
      <c r="AI135">
        <f>IFERROR(IF(AG135*AH135=0,"",AG135*AH135),"")</f>
        <v/>
      </c>
      <c r="AL135">
        <f>IF(AND(AJ135&lt;&gt;"",AK135&lt;&gt;""),ROUNDUP((AK135-AJ135)/7,0),"")</f>
        <v/>
      </c>
      <c r="AN135">
        <f>IFERROR(IF(AL135*AM135=0,"",AL135*AM135),"")</f>
        <v/>
      </c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L135">
        <f>IFERROR(INDEX('_names_lookup'!$C:$C,MATCH(BK135,'_names_lookup'!$A:$A,0)),"")</f>
        <v/>
      </c>
      <c r="BM135">
        <f>IFERROR(INDEX('_names_lookup'!$B:$B,MATCH(BK135,'_names_lookup'!$A:$A,0)),"")</f>
        <v/>
      </c>
      <c r="BS135">
        <f>IFERROR(IF(BR135*AA135=0,"",BR135*AA135),"")</f>
        <v/>
      </c>
    </row>
    <row r="136">
      <c r="O136">
        <f>IFERROR(INDEX('_courses_lookup'!$C:$C,MATCH(K136&amp;L136,'_courses_lookup'!$E:$E,0)),"")</f>
        <v/>
      </c>
      <c r="P136">
        <f>IFERROR(INDEX('_courses_lookup'!$D:$D,MATCH(K136&amp;L136,'_courses_lookup'!$E:$E,0)),"")</f>
        <v/>
      </c>
      <c r="AG136">
        <f>IF(AND(AE136&lt;&gt;"",AF136&lt;&gt;""),ROUNDUP((AF136-AE136)/7,0),"")</f>
        <v/>
      </c>
      <c r="AI136">
        <f>IFERROR(IF(AG136*AH136=0,"",AG136*AH136),"")</f>
        <v/>
      </c>
      <c r="AL136">
        <f>IF(AND(AJ136&lt;&gt;"",AK136&lt;&gt;""),ROUNDUP((AK136-AJ136)/7,0),"")</f>
        <v/>
      </c>
      <c r="AN136">
        <f>IFERROR(IF(AL136*AM136=0,"",AL136*AM136),"")</f>
        <v/>
      </c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L136">
        <f>IFERROR(INDEX('_names_lookup'!$C:$C,MATCH(BK136,'_names_lookup'!$A:$A,0)),"")</f>
        <v/>
      </c>
      <c r="BM136">
        <f>IFERROR(INDEX('_names_lookup'!$B:$B,MATCH(BK136,'_names_lookup'!$A:$A,0)),"")</f>
        <v/>
      </c>
      <c r="BS136">
        <f>IFERROR(IF(BR136*AA136=0,"",BR136*AA136),"")</f>
        <v/>
      </c>
    </row>
    <row r="137">
      <c r="O137">
        <f>IFERROR(INDEX('_courses_lookup'!$C:$C,MATCH(K137&amp;L137,'_courses_lookup'!$E:$E,0)),"")</f>
        <v/>
      </c>
      <c r="P137">
        <f>IFERROR(INDEX('_courses_lookup'!$D:$D,MATCH(K137&amp;L137,'_courses_lookup'!$E:$E,0)),"")</f>
        <v/>
      </c>
      <c r="AG137">
        <f>IF(AND(AE137&lt;&gt;"",AF137&lt;&gt;""),ROUNDUP((AF137-AE137)/7,0),"")</f>
        <v/>
      </c>
      <c r="AI137">
        <f>IFERROR(IF(AG137*AH137=0,"",AG137*AH137),"")</f>
        <v/>
      </c>
      <c r="AL137">
        <f>IF(AND(AJ137&lt;&gt;"",AK137&lt;&gt;""),ROUNDUP((AK137-AJ137)/7,0),"")</f>
        <v/>
      </c>
      <c r="AN137">
        <f>IFERROR(IF(AL137*AM137=0,"",AL137*AM137),"")</f>
        <v/>
      </c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L137">
        <f>IFERROR(INDEX('_names_lookup'!$C:$C,MATCH(BK137,'_names_lookup'!$A:$A,0)),"")</f>
        <v/>
      </c>
      <c r="BM137">
        <f>IFERROR(INDEX('_names_lookup'!$B:$B,MATCH(BK137,'_names_lookup'!$A:$A,0)),"")</f>
        <v/>
      </c>
      <c r="BS137">
        <f>IFERROR(IF(BR137*AA137=0,"",BR137*AA137),"")</f>
        <v/>
      </c>
    </row>
    <row r="138">
      <c r="O138">
        <f>IFERROR(INDEX('_courses_lookup'!$C:$C,MATCH(K138&amp;L138,'_courses_lookup'!$E:$E,0)),"")</f>
        <v/>
      </c>
      <c r="P138">
        <f>IFERROR(INDEX('_courses_lookup'!$D:$D,MATCH(K138&amp;L138,'_courses_lookup'!$E:$E,0)),"")</f>
        <v/>
      </c>
      <c r="AG138">
        <f>IF(AND(AE138&lt;&gt;"",AF138&lt;&gt;""),ROUNDUP((AF138-AE138)/7,0),"")</f>
        <v/>
      </c>
      <c r="AI138">
        <f>IFERROR(IF(AG138*AH138=0,"",AG138*AH138),"")</f>
        <v/>
      </c>
      <c r="AL138">
        <f>IF(AND(AJ138&lt;&gt;"",AK138&lt;&gt;""),ROUNDUP((AK138-AJ138)/7,0),"")</f>
        <v/>
      </c>
      <c r="AN138">
        <f>IFERROR(IF(AL138*AM138=0,"",AL138*AM138),"")</f>
        <v/>
      </c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L138">
        <f>IFERROR(INDEX('_names_lookup'!$C:$C,MATCH(BK138,'_names_lookup'!$A:$A,0)),"")</f>
        <v/>
      </c>
      <c r="BM138">
        <f>IFERROR(INDEX('_names_lookup'!$B:$B,MATCH(BK138,'_names_lookup'!$A:$A,0)),"")</f>
        <v/>
      </c>
      <c r="BS138">
        <f>IFERROR(IF(BR138*AA138=0,"",BR138*AA138),"")</f>
        <v/>
      </c>
    </row>
    <row r="139">
      <c r="O139">
        <f>IFERROR(INDEX('_courses_lookup'!$C:$C,MATCH(K139&amp;L139,'_courses_lookup'!$E:$E,0)),"")</f>
        <v/>
      </c>
      <c r="P139">
        <f>IFERROR(INDEX('_courses_lookup'!$D:$D,MATCH(K139&amp;L139,'_courses_lookup'!$E:$E,0)),"")</f>
        <v/>
      </c>
      <c r="AG139">
        <f>IF(AND(AE139&lt;&gt;"",AF139&lt;&gt;""),ROUNDUP((AF139-AE139)/7,0),"")</f>
        <v/>
      </c>
      <c r="AI139">
        <f>IFERROR(IF(AG139*AH139=0,"",AG139*AH139),"")</f>
        <v/>
      </c>
      <c r="AL139">
        <f>IF(AND(AJ139&lt;&gt;"",AK139&lt;&gt;""),ROUNDUP((AK139-AJ139)/7,0),"")</f>
        <v/>
      </c>
      <c r="AN139">
        <f>IFERROR(IF(AL139*AM139=0,"",AL139*AM139),"")</f>
        <v/>
      </c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L139">
        <f>IFERROR(INDEX('_names_lookup'!$C:$C,MATCH(BK139,'_names_lookup'!$A:$A,0)),"")</f>
        <v/>
      </c>
      <c r="BM139">
        <f>IFERROR(INDEX('_names_lookup'!$B:$B,MATCH(BK139,'_names_lookup'!$A:$A,0)),"")</f>
        <v/>
      </c>
      <c r="BS139">
        <f>IFERROR(IF(BR139*AA139=0,"",BR139*AA139),"")</f>
        <v/>
      </c>
    </row>
    <row r="140">
      <c r="O140">
        <f>IFERROR(INDEX('_courses_lookup'!$C:$C,MATCH(K140&amp;L140,'_courses_lookup'!$E:$E,0)),"")</f>
        <v/>
      </c>
      <c r="P140">
        <f>IFERROR(INDEX('_courses_lookup'!$D:$D,MATCH(K140&amp;L140,'_courses_lookup'!$E:$E,0)),"")</f>
        <v/>
      </c>
      <c r="AG140">
        <f>IF(AND(AE140&lt;&gt;"",AF140&lt;&gt;""),ROUNDUP((AF140-AE140)/7,0),"")</f>
        <v/>
      </c>
      <c r="AI140">
        <f>IFERROR(IF(AG140*AH140=0,"",AG140*AH140),"")</f>
        <v/>
      </c>
      <c r="AL140">
        <f>IF(AND(AJ140&lt;&gt;"",AK140&lt;&gt;""),ROUNDUP((AK140-AJ140)/7,0),"")</f>
        <v/>
      </c>
      <c r="AN140">
        <f>IFERROR(IF(AL140*AM140=0,"",AL140*AM140),"")</f>
        <v/>
      </c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L140">
        <f>IFERROR(INDEX('_names_lookup'!$C:$C,MATCH(BK140,'_names_lookup'!$A:$A,0)),"")</f>
        <v/>
      </c>
      <c r="BM140">
        <f>IFERROR(INDEX('_names_lookup'!$B:$B,MATCH(BK140,'_names_lookup'!$A:$A,0)),"")</f>
        <v/>
      </c>
      <c r="BS140">
        <f>IFERROR(IF(BR140*AA140=0,"",BR140*AA140),"")</f>
        <v/>
      </c>
    </row>
    <row r="141">
      <c r="O141">
        <f>IFERROR(INDEX('_courses_lookup'!$C:$C,MATCH(K141&amp;L141,'_courses_lookup'!$E:$E,0)),"")</f>
        <v/>
      </c>
      <c r="P141">
        <f>IFERROR(INDEX('_courses_lookup'!$D:$D,MATCH(K141&amp;L141,'_courses_lookup'!$E:$E,0)),"")</f>
        <v/>
      </c>
      <c r="AG141">
        <f>IF(AND(AE141&lt;&gt;"",AF141&lt;&gt;""),ROUNDUP((AF141-AE141)/7,0),"")</f>
        <v/>
      </c>
      <c r="AI141">
        <f>IFERROR(IF(AG141*AH141=0,"",AG141*AH141),"")</f>
        <v/>
      </c>
      <c r="AL141">
        <f>IF(AND(AJ141&lt;&gt;"",AK141&lt;&gt;""),ROUNDUP((AK141-AJ141)/7,0),"")</f>
        <v/>
      </c>
      <c r="AN141">
        <f>IFERROR(IF(AL141*AM141=0,"",AL141*AM141),"")</f>
        <v/>
      </c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L141">
        <f>IFERROR(INDEX('_names_lookup'!$C:$C,MATCH(BK141,'_names_lookup'!$A:$A,0)),"")</f>
        <v/>
      </c>
      <c r="BM141">
        <f>IFERROR(INDEX('_names_lookup'!$B:$B,MATCH(BK141,'_names_lookup'!$A:$A,0)),"")</f>
        <v/>
      </c>
      <c r="BS141">
        <f>IFERROR(IF(BR141*AA141=0,"",BR141*AA141),"")</f>
        <v/>
      </c>
    </row>
    <row r="142">
      <c r="O142">
        <f>IFERROR(INDEX('_courses_lookup'!$C:$C,MATCH(K142&amp;L142,'_courses_lookup'!$E:$E,0)),"")</f>
        <v/>
      </c>
      <c r="P142">
        <f>IFERROR(INDEX('_courses_lookup'!$D:$D,MATCH(K142&amp;L142,'_courses_lookup'!$E:$E,0)),"")</f>
        <v/>
      </c>
      <c r="AG142">
        <f>IF(AND(AE142&lt;&gt;"",AF142&lt;&gt;""),ROUNDUP((AF142-AE142)/7,0),"")</f>
        <v/>
      </c>
      <c r="AI142">
        <f>IFERROR(IF(AG142*AH142=0,"",AG142*AH142),"")</f>
        <v/>
      </c>
      <c r="AL142">
        <f>IF(AND(AJ142&lt;&gt;"",AK142&lt;&gt;""),ROUNDUP((AK142-AJ142)/7,0),"")</f>
        <v/>
      </c>
      <c r="AN142">
        <f>IFERROR(IF(AL142*AM142=0,"",AL142*AM142),"")</f>
        <v/>
      </c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L142">
        <f>IFERROR(INDEX('_names_lookup'!$C:$C,MATCH(BK142,'_names_lookup'!$A:$A,0)),"")</f>
        <v/>
      </c>
      <c r="BM142">
        <f>IFERROR(INDEX('_names_lookup'!$B:$B,MATCH(BK142,'_names_lookup'!$A:$A,0)),"")</f>
        <v/>
      </c>
      <c r="BS142">
        <f>IFERROR(IF(BR142*AA142=0,"",BR142*AA142),"")</f>
        <v/>
      </c>
    </row>
    <row r="143">
      <c r="O143">
        <f>IFERROR(INDEX('_courses_lookup'!$C:$C,MATCH(K143&amp;L143,'_courses_lookup'!$E:$E,0)),"")</f>
        <v/>
      </c>
      <c r="P143">
        <f>IFERROR(INDEX('_courses_lookup'!$D:$D,MATCH(K143&amp;L143,'_courses_lookup'!$E:$E,0)),"")</f>
        <v/>
      </c>
      <c r="AG143">
        <f>IF(AND(AE143&lt;&gt;"",AF143&lt;&gt;""),ROUNDUP((AF143-AE143)/7,0),"")</f>
        <v/>
      </c>
      <c r="AI143">
        <f>IFERROR(IF(AG143*AH143=0,"",AG143*AH143),"")</f>
        <v/>
      </c>
      <c r="AL143">
        <f>IF(AND(AJ143&lt;&gt;"",AK143&lt;&gt;""),ROUNDUP((AK143-AJ143)/7,0),"")</f>
        <v/>
      </c>
      <c r="AN143">
        <f>IFERROR(IF(AL143*AM143=0,"",AL143*AM143),"")</f>
        <v/>
      </c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L143">
        <f>IFERROR(INDEX('_names_lookup'!$C:$C,MATCH(BK143,'_names_lookup'!$A:$A,0)),"")</f>
        <v/>
      </c>
      <c r="BM143">
        <f>IFERROR(INDEX('_names_lookup'!$B:$B,MATCH(BK143,'_names_lookup'!$A:$A,0)),"")</f>
        <v/>
      </c>
      <c r="BS143">
        <f>IFERROR(IF(BR143*AA143=0,"",BR143*AA143),"")</f>
        <v/>
      </c>
    </row>
    <row r="144">
      <c r="O144">
        <f>IFERROR(INDEX('_courses_lookup'!$C:$C,MATCH(K144&amp;L144,'_courses_lookup'!$E:$E,0)),"")</f>
        <v/>
      </c>
      <c r="P144">
        <f>IFERROR(INDEX('_courses_lookup'!$D:$D,MATCH(K144&amp;L144,'_courses_lookup'!$E:$E,0)),"")</f>
        <v/>
      </c>
      <c r="AG144">
        <f>IF(AND(AE144&lt;&gt;"",AF144&lt;&gt;""),ROUNDUP((AF144-AE144)/7,0),"")</f>
        <v/>
      </c>
      <c r="AI144">
        <f>IFERROR(IF(AG144*AH144=0,"",AG144*AH144),"")</f>
        <v/>
      </c>
      <c r="AL144">
        <f>IF(AND(AJ144&lt;&gt;"",AK144&lt;&gt;""),ROUNDUP((AK144-AJ144)/7,0),"")</f>
        <v/>
      </c>
      <c r="AN144">
        <f>IFERROR(IF(AL144*AM144=0,"",AL144*AM144),"")</f>
        <v/>
      </c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L144">
        <f>IFERROR(INDEX('_names_lookup'!$C:$C,MATCH(BK144,'_names_lookup'!$A:$A,0)),"")</f>
        <v/>
      </c>
      <c r="BM144">
        <f>IFERROR(INDEX('_names_lookup'!$B:$B,MATCH(BK144,'_names_lookup'!$A:$A,0)),"")</f>
        <v/>
      </c>
      <c r="BS144">
        <f>IFERROR(IF(BR144*AA144=0,"",BR144*AA144),"")</f>
        <v/>
      </c>
    </row>
    <row r="145">
      <c r="O145">
        <f>IFERROR(INDEX('_courses_lookup'!$C:$C,MATCH(K145&amp;L145,'_courses_lookup'!$E:$E,0)),"")</f>
        <v/>
      </c>
      <c r="P145">
        <f>IFERROR(INDEX('_courses_lookup'!$D:$D,MATCH(K145&amp;L145,'_courses_lookup'!$E:$E,0)),"")</f>
        <v/>
      </c>
      <c r="AG145">
        <f>IF(AND(AE145&lt;&gt;"",AF145&lt;&gt;""),ROUNDUP((AF145-AE145)/7,0),"")</f>
        <v/>
      </c>
      <c r="AI145">
        <f>IFERROR(IF(AG145*AH145=0,"",AG145*AH145),"")</f>
        <v/>
      </c>
      <c r="AL145">
        <f>IF(AND(AJ145&lt;&gt;"",AK145&lt;&gt;""),ROUNDUP((AK145-AJ145)/7,0),"")</f>
        <v/>
      </c>
      <c r="AN145">
        <f>IFERROR(IF(AL145*AM145=0,"",AL145*AM145),"")</f>
        <v/>
      </c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L145">
        <f>IFERROR(INDEX('_names_lookup'!$C:$C,MATCH(BK145,'_names_lookup'!$A:$A,0)),"")</f>
        <v/>
      </c>
      <c r="BM145">
        <f>IFERROR(INDEX('_names_lookup'!$B:$B,MATCH(BK145,'_names_lookup'!$A:$A,0)),"")</f>
        <v/>
      </c>
      <c r="BS145">
        <f>IFERROR(IF(BR145*AA145=0,"",BR145*AA145),"")</f>
        <v/>
      </c>
    </row>
    <row r="146">
      <c r="O146">
        <f>IFERROR(INDEX('_courses_lookup'!$C:$C,MATCH(K146&amp;L146,'_courses_lookup'!$E:$E,0)),"")</f>
        <v/>
      </c>
      <c r="P146">
        <f>IFERROR(INDEX('_courses_lookup'!$D:$D,MATCH(K146&amp;L146,'_courses_lookup'!$E:$E,0)),"")</f>
        <v/>
      </c>
      <c r="AG146">
        <f>IF(AND(AE146&lt;&gt;"",AF146&lt;&gt;""),ROUNDUP((AF146-AE146)/7,0),"")</f>
        <v/>
      </c>
      <c r="AI146">
        <f>IFERROR(IF(AG146*AH146=0,"",AG146*AH146),"")</f>
        <v/>
      </c>
      <c r="AL146">
        <f>IF(AND(AJ146&lt;&gt;"",AK146&lt;&gt;""),ROUNDUP((AK146-AJ146)/7,0),"")</f>
        <v/>
      </c>
      <c r="AN146">
        <f>IFERROR(IF(AL146*AM146=0,"",AL146*AM146),"")</f>
        <v/>
      </c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L146">
        <f>IFERROR(INDEX('_names_lookup'!$C:$C,MATCH(BK146,'_names_lookup'!$A:$A,0)),"")</f>
        <v/>
      </c>
      <c r="BM146">
        <f>IFERROR(INDEX('_names_lookup'!$B:$B,MATCH(BK146,'_names_lookup'!$A:$A,0)),"")</f>
        <v/>
      </c>
      <c r="BS146">
        <f>IFERROR(IF(BR146*AA146=0,"",BR146*AA146),"")</f>
        <v/>
      </c>
    </row>
    <row r="147">
      <c r="O147">
        <f>IFERROR(INDEX('_courses_lookup'!$C:$C,MATCH(K147&amp;L147,'_courses_lookup'!$E:$E,0)),"")</f>
        <v/>
      </c>
      <c r="P147">
        <f>IFERROR(INDEX('_courses_lookup'!$D:$D,MATCH(K147&amp;L147,'_courses_lookup'!$E:$E,0)),"")</f>
        <v/>
      </c>
      <c r="AG147">
        <f>IF(AND(AE147&lt;&gt;"",AF147&lt;&gt;""),ROUNDUP((AF147-AE147)/7,0),"")</f>
        <v/>
      </c>
      <c r="AI147">
        <f>IFERROR(IF(AG147*AH147=0,"",AG147*AH147),"")</f>
        <v/>
      </c>
      <c r="AL147">
        <f>IF(AND(AJ147&lt;&gt;"",AK147&lt;&gt;""),ROUNDUP((AK147-AJ147)/7,0),"")</f>
        <v/>
      </c>
      <c r="AN147">
        <f>IFERROR(IF(AL147*AM147=0,"",AL147*AM147),"")</f>
        <v/>
      </c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L147">
        <f>IFERROR(INDEX('_names_lookup'!$C:$C,MATCH(BK147,'_names_lookup'!$A:$A,0)),"")</f>
        <v/>
      </c>
      <c r="BM147">
        <f>IFERROR(INDEX('_names_lookup'!$B:$B,MATCH(BK147,'_names_lookup'!$A:$A,0)),"")</f>
        <v/>
      </c>
      <c r="BS147">
        <f>IFERROR(IF(BR147*AA147=0,"",BR147*AA147),"")</f>
        <v/>
      </c>
    </row>
    <row r="148">
      <c r="O148">
        <f>IFERROR(INDEX('_courses_lookup'!$C:$C,MATCH(K148&amp;L148,'_courses_lookup'!$E:$E,0)),"")</f>
        <v/>
      </c>
      <c r="P148">
        <f>IFERROR(INDEX('_courses_lookup'!$D:$D,MATCH(K148&amp;L148,'_courses_lookup'!$E:$E,0)),"")</f>
        <v/>
      </c>
      <c r="AG148">
        <f>IF(AND(AE148&lt;&gt;"",AF148&lt;&gt;""),ROUNDUP((AF148-AE148)/7,0),"")</f>
        <v/>
      </c>
      <c r="AI148">
        <f>IFERROR(IF(AG148*AH148=0,"",AG148*AH148),"")</f>
        <v/>
      </c>
      <c r="AL148">
        <f>IF(AND(AJ148&lt;&gt;"",AK148&lt;&gt;""),ROUNDUP((AK148-AJ148)/7,0),"")</f>
        <v/>
      </c>
      <c r="AN148">
        <f>IFERROR(IF(AL148*AM148=0,"",AL148*AM148),"")</f>
        <v/>
      </c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L148">
        <f>IFERROR(INDEX('_names_lookup'!$C:$C,MATCH(BK148,'_names_lookup'!$A:$A,0)),"")</f>
        <v/>
      </c>
      <c r="BM148">
        <f>IFERROR(INDEX('_names_lookup'!$B:$B,MATCH(BK148,'_names_lookup'!$A:$A,0)),"")</f>
        <v/>
      </c>
      <c r="BS148">
        <f>IFERROR(IF(BR148*AA148=0,"",BR148*AA148),"")</f>
        <v/>
      </c>
    </row>
    <row r="149">
      <c r="O149">
        <f>IFERROR(INDEX('_courses_lookup'!$C:$C,MATCH(K149&amp;L149,'_courses_lookup'!$E:$E,0)),"")</f>
        <v/>
      </c>
      <c r="P149">
        <f>IFERROR(INDEX('_courses_lookup'!$D:$D,MATCH(K149&amp;L149,'_courses_lookup'!$E:$E,0)),"")</f>
        <v/>
      </c>
      <c r="AG149">
        <f>IF(AND(AE149&lt;&gt;"",AF149&lt;&gt;""),ROUNDUP((AF149-AE149)/7,0),"")</f>
        <v/>
      </c>
      <c r="AI149">
        <f>IFERROR(IF(AG149*AH149=0,"",AG149*AH149),"")</f>
        <v/>
      </c>
      <c r="AL149">
        <f>IF(AND(AJ149&lt;&gt;"",AK149&lt;&gt;""),ROUNDUP((AK149-AJ149)/7,0),"")</f>
        <v/>
      </c>
      <c r="AN149">
        <f>IFERROR(IF(AL149*AM149=0,"",AL149*AM149),"")</f>
        <v/>
      </c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L149">
        <f>IFERROR(INDEX('_names_lookup'!$C:$C,MATCH(BK149,'_names_lookup'!$A:$A,0)),"")</f>
        <v/>
      </c>
      <c r="BM149">
        <f>IFERROR(INDEX('_names_lookup'!$B:$B,MATCH(BK149,'_names_lookup'!$A:$A,0)),"")</f>
        <v/>
      </c>
      <c r="BS149">
        <f>IFERROR(IF(BR149*AA149=0,"",BR149*AA149),"")</f>
        <v/>
      </c>
    </row>
    <row r="150">
      <c r="O150">
        <f>IFERROR(INDEX('_courses_lookup'!$C:$C,MATCH(K150&amp;L150,'_courses_lookup'!$E:$E,0)),"")</f>
        <v/>
      </c>
      <c r="P150">
        <f>IFERROR(INDEX('_courses_lookup'!$D:$D,MATCH(K150&amp;L150,'_courses_lookup'!$E:$E,0)),"")</f>
        <v/>
      </c>
      <c r="AG150">
        <f>IF(AND(AE150&lt;&gt;"",AF150&lt;&gt;""),ROUNDUP((AF150-AE150)/7,0),"")</f>
        <v/>
      </c>
      <c r="AI150">
        <f>IFERROR(IF(AG150*AH150=0,"",AG150*AH150),"")</f>
        <v/>
      </c>
      <c r="AL150">
        <f>IF(AND(AJ150&lt;&gt;"",AK150&lt;&gt;""),ROUNDUP((AK150-AJ150)/7,0),"")</f>
        <v/>
      </c>
      <c r="AN150">
        <f>IFERROR(IF(AL150*AM150=0,"",AL150*AM150),"")</f>
        <v/>
      </c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L150">
        <f>IFERROR(INDEX('_names_lookup'!$C:$C,MATCH(BK150,'_names_lookup'!$A:$A,0)),"")</f>
        <v/>
      </c>
      <c r="BM150">
        <f>IFERROR(INDEX('_names_lookup'!$B:$B,MATCH(BK150,'_names_lookup'!$A:$A,0)),"")</f>
        <v/>
      </c>
      <c r="BS150">
        <f>IFERROR(IF(BR150*AA150=0,"",BR150*AA150),"")</f>
        <v/>
      </c>
    </row>
    <row r="151">
      <c r="O151">
        <f>IFERROR(INDEX('_courses_lookup'!$C:$C,MATCH(K151&amp;L151,'_courses_lookup'!$E:$E,0)),"")</f>
        <v/>
      </c>
      <c r="P151">
        <f>IFERROR(INDEX('_courses_lookup'!$D:$D,MATCH(K151&amp;L151,'_courses_lookup'!$E:$E,0)),"")</f>
        <v/>
      </c>
      <c r="AG151">
        <f>IF(AND(AE151&lt;&gt;"",AF151&lt;&gt;""),ROUNDUP((AF151-AE151)/7,0),"")</f>
        <v/>
      </c>
      <c r="AI151">
        <f>IFERROR(IF(AG151*AH151=0,"",AG151*AH151),"")</f>
        <v/>
      </c>
      <c r="AL151">
        <f>IF(AND(AJ151&lt;&gt;"",AK151&lt;&gt;""),ROUNDUP((AK151-AJ151)/7,0),"")</f>
        <v/>
      </c>
      <c r="AN151">
        <f>IFERROR(IF(AL151*AM151=0,"",AL151*AM151),"")</f>
        <v/>
      </c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L151">
        <f>IFERROR(INDEX('_names_lookup'!$C:$C,MATCH(BK151,'_names_lookup'!$A:$A,0)),"")</f>
        <v/>
      </c>
      <c r="BM151">
        <f>IFERROR(INDEX('_names_lookup'!$B:$B,MATCH(BK151,'_names_lookup'!$A:$A,0)),"")</f>
        <v/>
      </c>
      <c r="BS151">
        <f>IFERROR(IF(BR151*AA151=0,"",BR151*AA151),"")</f>
        <v/>
      </c>
    </row>
    <row r="152">
      <c r="O152">
        <f>IFERROR(INDEX('_courses_lookup'!$C:$C,MATCH(K152&amp;L152,'_courses_lookup'!$E:$E,0)),"")</f>
        <v/>
      </c>
      <c r="P152">
        <f>IFERROR(INDEX('_courses_lookup'!$D:$D,MATCH(K152&amp;L152,'_courses_lookup'!$E:$E,0)),"")</f>
        <v/>
      </c>
      <c r="AG152">
        <f>IF(AND(AE152&lt;&gt;"",AF152&lt;&gt;""),ROUNDUP((AF152-AE152)/7,0),"")</f>
        <v/>
      </c>
      <c r="AI152">
        <f>IFERROR(IF(AG152*AH152=0,"",AG152*AH152),"")</f>
        <v/>
      </c>
      <c r="AL152">
        <f>IF(AND(AJ152&lt;&gt;"",AK152&lt;&gt;""),ROUNDUP((AK152-AJ152)/7,0),"")</f>
        <v/>
      </c>
      <c r="AN152">
        <f>IFERROR(IF(AL152*AM152=0,"",AL152*AM152),"")</f>
        <v/>
      </c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L152">
        <f>IFERROR(INDEX('_names_lookup'!$C:$C,MATCH(BK152,'_names_lookup'!$A:$A,0)),"")</f>
        <v/>
      </c>
      <c r="BM152">
        <f>IFERROR(INDEX('_names_lookup'!$B:$B,MATCH(BK152,'_names_lookup'!$A:$A,0)),"")</f>
        <v/>
      </c>
      <c r="BS152">
        <f>IFERROR(IF(BR152*AA152=0,"",BR152*AA152),"")</f>
        <v/>
      </c>
    </row>
    <row r="153">
      <c r="O153">
        <f>IFERROR(INDEX('_courses_lookup'!$C:$C,MATCH(K153&amp;L153,'_courses_lookup'!$E:$E,0)),"")</f>
        <v/>
      </c>
      <c r="P153">
        <f>IFERROR(INDEX('_courses_lookup'!$D:$D,MATCH(K153&amp;L153,'_courses_lookup'!$E:$E,0)),"")</f>
        <v/>
      </c>
      <c r="AG153">
        <f>IF(AND(AE153&lt;&gt;"",AF153&lt;&gt;""),ROUNDUP((AF153-AE153)/7,0),"")</f>
        <v/>
      </c>
      <c r="AI153">
        <f>IFERROR(IF(AG153*AH153=0,"",AG153*AH153),"")</f>
        <v/>
      </c>
      <c r="AL153">
        <f>IF(AND(AJ153&lt;&gt;"",AK153&lt;&gt;""),ROUNDUP((AK153-AJ153)/7,0),"")</f>
        <v/>
      </c>
      <c r="AN153">
        <f>IFERROR(IF(AL153*AM153=0,"",AL153*AM153),"")</f>
        <v/>
      </c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L153">
        <f>IFERROR(INDEX('_names_lookup'!$C:$C,MATCH(BK153,'_names_lookup'!$A:$A,0)),"")</f>
        <v/>
      </c>
      <c r="BM153">
        <f>IFERROR(INDEX('_names_lookup'!$B:$B,MATCH(BK153,'_names_lookup'!$A:$A,0)),"")</f>
        <v/>
      </c>
      <c r="BS153">
        <f>IFERROR(IF(BR153*AA153=0,"",BR153*AA153),"")</f>
        <v/>
      </c>
    </row>
    <row r="154">
      <c r="O154">
        <f>IFERROR(INDEX('_courses_lookup'!$C:$C,MATCH(K154&amp;L154,'_courses_lookup'!$E:$E,0)),"")</f>
        <v/>
      </c>
      <c r="P154">
        <f>IFERROR(INDEX('_courses_lookup'!$D:$D,MATCH(K154&amp;L154,'_courses_lookup'!$E:$E,0)),"")</f>
        <v/>
      </c>
      <c r="AG154">
        <f>IF(AND(AE154&lt;&gt;"",AF154&lt;&gt;""),ROUNDUP((AF154-AE154)/7,0),"")</f>
        <v/>
      </c>
      <c r="AI154">
        <f>IFERROR(IF(AG154*AH154=0,"",AG154*AH154),"")</f>
        <v/>
      </c>
      <c r="AL154">
        <f>IF(AND(AJ154&lt;&gt;"",AK154&lt;&gt;""),ROUNDUP((AK154-AJ154)/7,0),"")</f>
        <v/>
      </c>
      <c r="AN154">
        <f>IFERROR(IF(AL154*AM154=0,"",AL154*AM154),"")</f>
        <v/>
      </c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L154">
        <f>IFERROR(INDEX('_names_lookup'!$C:$C,MATCH(BK154,'_names_lookup'!$A:$A,0)),"")</f>
        <v/>
      </c>
      <c r="BM154">
        <f>IFERROR(INDEX('_names_lookup'!$B:$B,MATCH(BK154,'_names_lookup'!$A:$A,0)),"")</f>
        <v/>
      </c>
      <c r="BS154">
        <f>IFERROR(IF(BR154*AA154=0,"",BR154*AA154),"")</f>
        <v/>
      </c>
    </row>
    <row r="155">
      <c r="O155">
        <f>IFERROR(INDEX('_courses_lookup'!$C:$C,MATCH(K155&amp;L155,'_courses_lookup'!$E:$E,0)),"")</f>
        <v/>
      </c>
      <c r="P155">
        <f>IFERROR(INDEX('_courses_lookup'!$D:$D,MATCH(K155&amp;L155,'_courses_lookup'!$E:$E,0)),"")</f>
        <v/>
      </c>
      <c r="AG155">
        <f>IF(AND(AE155&lt;&gt;"",AF155&lt;&gt;""),ROUNDUP((AF155-AE155)/7,0),"")</f>
        <v/>
      </c>
      <c r="AI155">
        <f>IFERROR(IF(AG155*AH155=0,"",AG155*AH155),"")</f>
        <v/>
      </c>
      <c r="AL155">
        <f>IF(AND(AJ155&lt;&gt;"",AK155&lt;&gt;""),ROUNDUP((AK155-AJ155)/7,0),"")</f>
        <v/>
      </c>
      <c r="AN155">
        <f>IFERROR(IF(AL155*AM155=0,"",AL155*AM155),"")</f>
        <v/>
      </c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L155">
        <f>IFERROR(INDEX('_names_lookup'!$C:$C,MATCH(BK155,'_names_lookup'!$A:$A,0)),"")</f>
        <v/>
      </c>
      <c r="BM155">
        <f>IFERROR(INDEX('_names_lookup'!$B:$B,MATCH(BK155,'_names_lookup'!$A:$A,0)),"")</f>
        <v/>
      </c>
      <c r="BS155">
        <f>IFERROR(IF(BR155*AA155=0,"",BR155*AA155),"")</f>
        <v/>
      </c>
    </row>
    <row r="156">
      <c r="O156">
        <f>IFERROR(INDEX('_courses_lookup'!$C:$C,MATCH(K156&amp;L156,'_courses_lookup'!$E:$E,0)),"")</f>
        <v/>
      </c>
      <c r="P156">
        <f>IFERROR(INDEX('_courses_lookup'!$D:$D,MATCH(K156&amp;L156,'_courses_lookup'!$E:$E,0)),"")</f>
        <v/>
      </c>
      <c r="AG156">
        <f>IF(AND(AE156&lt;&gt;"",AF156&lt;&gt;""),ROUNDUP((AF156-AE156)/7,0),"")</f>
        <v/>
      </c>
      <c r="AI156">
        <f>IFERROR(IF(AG156*AH156=0,"",AG156*AH156),"")</f>
        <v/>
      </c>
      <c r="AL156">
        <f>IF(AND(AJ156&lt;&gt;"",AK156&lt;&gt;""),ROUNDUP((AK156-AJ156)/7,0),"")</f>
        <v/>
      </c>
      <c r="AN156">
        <f>IFERROR(IF(AL156*AM156=0,"",AL156*AM156),"")</f>
        <v/>
      </c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L156">
        <f>IFERROR(INDEX('_names_lookup'!$C:$C,MATCH(BK156,'_names_lookup'!$A:$A,0)),"")</f>
        <v/>
      </c>
      <c r="BM156">
        <f>IFERROR(INDEX('_names_lookup'!$B:$B,MATCH(BK156,'_names_lookup'!$A:$A,0)),"")</f>
        <v/>
      </c>
      <c r="BS156">
        <f>IFERROR(IF(BR156*AA156=0,"",BR156*AA156),"")</f>
        <v/>
      </c>
    </row>
    <row r="157">
      <c r="O157">
        <f>IFERROR(INDEX('_courses_lookup'!$C:$C,MATCH(K157&amp;L157,'_courses_lookup'!$E:$E,0)),"")</f>
        <v/>
      </c>
      <c r="P157">
        <f>IFERROR(INDEX('_courses_lookup'!$D:$D,MATCH(K157&amp;L157,'_courses_lookup'!$E:$E,0)),"")</f>
        <v/>
      </c>
      <c r="AG157">
        <f>IF(AND(AE157&lt;&gt;"",AF157&lt;&gt;""),ROUNDUP((AF157-AE157)/7,0),"")</f>
        <v/>
      </c>
      <c r="AI157">
        <f>IFERROR(IF(AG157*AH157=0,"",AG157*AH157),"")</f>
        <v/>
      </c>
      <c r="AL157">
        <f>IF(AND(AJ157&lt;&gt;"",AK157&lt;&gt;""),ROUNDUP((AK157-AJ157)/7,0),"")</f>
        <v/>
      </c>
      <c r="AN157">
        <f>IFERROR(IF(AL157*AM157=0,"",AL157*AM157),"")</f>
        <v/>
      </c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L157">
        <f>IFERROR(INDEX('_names_lookup'!$C:$C,MATCH(BK157,'_names_lookup'!$A:$A,0)),"")</f>
        <v/>
      </c>
      <c r="BM157">
        <f>IFERROR(INDEX('_names_lookup'!$B:$B,MATCH(BK157,'_names_lookup'!$A:$A,0)),"")</f>
        <v/>
      </c>
      <c r="BS157">
        <f>IFERROR(IF(BR157*AA157=0,"",BR157*AA157),"")</f>
        <v/>
      </c>
    </row>
    <row r="158">
      <c r="O158">
        <f>IFERROR(INDEX('_courses_lookup'!$C:$C,MATCH(K158&amp;L158,'_courses_lookup'!$E:$E,0)),"")</f>
        <v/>
      </c>
      <c r="P158">
        <f>IFERROR(INDEX('_courses_lookup'!$D:$D,MATCH(K158&amp;L158,'_courses_lookup'!$E:$E,0)),"")</f>
        <v/>
      </c>
      <c r="AG158">
        <f>IF(AND(AE158&lt;&gt;"",AF158&lt;&gt;""),ROUNDUP((AF158-AE158)/7,0),"")</f>
        <v/>
      </c>
      <c r="AI158">
        <f>IFERROR(IF(AG158*AH158=0,"",AG158*AH158),"")</f>
        <v/>
      </c>
      <c r="AL158">
        <f>IF(AND(AJ158&lt;&gt;"",AK158&lt;&gt;""),ROUNDUP((AK158-AJ158)/7,0),"")</f>
        <v/>
      </c>
      <c r="AN158">
        <f>IFERROR(IF(AL158*AM158=0,"",AL158*AM158),"")</f>
        <v/>
      </c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L158">
        <f>IFERROR(INDEX('_names_lookup'!$C:$C,MATCH(BK158,'_names_lookup'!$A:$A,0)),"")</f>
        <v/>
      </c>
      <c r="BM158">
        <f>IFERROR(INDEX('_names_lookup'!$B:$B,MATCH(BK158,'_names_lookup'!$A:$A,0)),"")</f>
        <v/>
      </c>
      <c r="BS158">
        <f>IFERROR(IF(BR158*AA158=0,"",BR158*AA158),"")</f>
        <v/>
      </c>
    </row>
    <row r="159">
      <c r="O159">
        <f>IFERROR(INDEX('_courses_lookup'!$C:$C,MATCH(K159&amp;L159,'_courses_lookup'!$E:$E,0)),"")</f>
        <v/>
      </c>
      <c r="P159">
        <f>IFERROR(INDEX('_courses_lookup'!$D:$D,MATCH(K159&amp;L159,'_courses_lookup'!$E:$E,0)),"")</f>
        <v/>
      </c>
      <c r="AG159">
        <f>IF(AND(AE159&lt;&gt;"",AF159&lt;&gt;""),ROUNDUP((AF159-AE159)/7,0),"")</f>
        <v/>
      </c>
      <c r="AI159">
        <f>IFERROR(IF(AG159*AH159=0,"",AG159*AH159),"")</f>
        <v/>
      </c>
      <c r="AL159">
        <f>IF(AND(AJ159&lt;&gt;"",AK159&lt;&gt;""),ROUNDUP((AK159-AJ159)/7,0),"")</f>
        <v/>
      </c>
      <c r="AN159">
        <f>IFERROR(IF(AL159*AM159=0,"",AL159*AM159),"")</f>
        <v/>
      </c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L159">
        <f>IFERROR(INDEX('_names_lookup'!$C:$C,MATCH(BK159,'_names_lookup'!$A:$A,0)),"")</f>
        <v/>
      </c>
      <c r="BM159">
        <f>IFERROR(INDEX('_names_lookup'!$B:$B,MATCH(BK159,'_names_lookup'!$A:$A,0)),"")</f>
        <v/>
      </c>
      <c r="BS159">
        <f>IFERROR(IF(BR159*AA159=0,"",BR159*AA159),"")</f>
        <v/>
      </c>
    </row>
    <row r="160">
      <c r="O160">
        <f>IFERROR(INDEX('_courses_lookup'!$C:$C,MATCH(K160&amp;L160,'_courses_lookup'!$E:$E,0)),"")</f>
        <v/>
      </c>
      <c r="P160">
        <f>IFERROR(INDEX('_courses_lookup'!$D:$D,MATCH(K160&amp;L160,'_courses_lookup'!$E:$E,0)),"")</f>
        <v/>
      </c>
      <c r="AG160">
        <f>IF(AND(AE160&lt;&gt;"",AF160&lt;&gt;""),ROUNDUP((AF160-AE160)/7,0),"")</f>
        <v/>
      </c>
      <c r="AI160">
        <f>IFERROR(IF(AG160*AH160=0,"",AG160*AH160),"")</f>
        <v/>
      </c>
      <c r="AL160">
        <f>IF(AND(AJ160&lt;&gt;"",AK160&lt;&gt;""),ROUNDUP((AK160-AJ160)/7,0),"")</f>
        <v/>
      </c>
      <c r="AN160">
        <f>IFERROR(IF(AL160*AM160=0,"",AL160*AM160),"")</f>
        <v/>
      </c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L160">
        <f>IFERROR(INDEX('_names_lookup'!$C:$C,MATCH(BK160,'_names_lookup'!$A:$A,0)),"")</f>
        <v/>
      </c>
      <c r="BM160">
        <f>IFERROR(INDEX('_names_lookup'!$B:$B,MATCH(BK160,'_names_lookup'!$A:$A,0)),"")</f>
        <v/>
      </c>
      <c r="BS160">
        <f>IFERROR(IF(BR160*AA160=0,"",BR160*AA160),"")</f>
        <v/>
      </c>
    </row>
    <row r="161">
      <c r="O161">
        <f>IFERROR(INDEX('_courses_lookup'!$C:$C,MATCH(K161&amp;L161,'_courses_lookup'!$E:$E,0)),"")</f>
        <v/>
      </c>
      <c r="P161">
        <f>IFERROR(INDEX('_courses_lookup'!$D:$D,MATCH(K161&amp;L161,'_courses_lookup'!$E:$E,0)),"")</f>
        <v/>
      </c>
      <c r="AG161">
        <f>IF(AND(AE161&lt;&gt;"",AF161&lt;&gt;""),ROUNDUP((AF161-AE161)/7,0),"")</f>
        <v/>
      </c>
      <c r="AI161">
        <f>IFERROR(IF(AG161*AH161=0,"",AG161*AH161),"")</f>
        <v/>
      </c>
      <c r="AL161">
        <f>IF(AND(AJ161&lt;&gt;"",AK161&lt;&gt;""),ROUNDUP((AK161-AJ161)/7,0),"")</f>
        <v/>
      </c>
      <c r="AN161">
        <f>IFERROR(IF(AL161*AM161=0,"",AL161*AM161),"")</f>
        <v/>
      </c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L161">
        <f>IFERROR(INDEX('_names_lookup'!$C:$C,MATCH(BK161,'_names_lookup'!$A:$A,0)),"")</f>
        <v/>
      </c>
      <c r="BM161">
        <f>IFERROR(INDEX('_names_lookup'!$B:$B,MATCH(BK161,'_names_lookup'!$A:$A,0)),"")</f>
        <v/>
      </c>
      <c r="BS161">
        <f>IFERROR(IF(BR161*AA161=0,"",BR161*AA161),"")</f>
        <v/>
      </c>
    </row>
    <row r="162">
      <c r="O162">
        <f>IFERROR(INDEX('_courses_lookup'!$C:$C,MATCH(K162&amp;L162,'_courses_lookup'!$E:$E,0)),"")</f>
        <v/>
      </c>
      <c r="P162">
        <f>IFERROR(INDEX('_courses_lookup'!$D:$D,MATCH(K162&amp;L162,'_courses_lookup'!$E:$E,0)),"")</f>
        <v/>
      </c>
      <c r="AG162">
        <f>IF(AND(AE162&lt;&gt;"",AF162&lt;&gt;""),ROUNDUP((AF162-AE162)/7,0),"")</f>
        <v/>
      </c>
      <c r="AI162">
        <f>IFERROR(IF(AG162*AH162=0,"",AG162*AH162),"")</f>
        <v/>
      </c>
      <c r="AL162">
        <f>IF(AND(AJ162&lt;&gt;"",AK162&lt;&gt;""),ROUNDUP((AK162-AJ162)/7,0),"")</f>
        <v/>
      </c>
      <c r="AN162">
        <f>IFERROR(IF(AL162*AM162=0,"",AL162*AM162),"")</f>
        <v/>
      </c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L162">
        <f>IFERROR(INDEX('_names_lookup'!$C:$C,MATCH(BK162,'_names_lookup'!$A:$A,0)),"")</f>
        <v/>
      </c>
      <c r="BM162">
        <f>IFERROR(INDEX('_names_lookup'!$B:$B,MATCH(BK162,'_names_lookup'!$A:$A,0)),"")</f>
        <v/>
      </c>
      <c r="BS162">
        <f>IFERROR(IF(BR162*AA162=0,"",BR162*AA162),"")</f>
        <v/>
      </c>
    </row>
    <row r="163">
      <c r="O163">
        <f>IFERROR(INDEX('_courses_lookup'!$C:$C,MATCH(K163&amp;L163,'_courses_lookup'!$E:$E,0)),"")</f>
        <v/>
      </c>
      <c r="P163">
        <f>IFERROR(INDEX('_courses_lookup'!$D:$D,MATCH(K163&amp;L163,'_courses_lookup'!$E:$E,0)),"")</f>
        <v/>
      </c>
      <c r="AG163">
        <f>IF(AND(AE163&lt;&gt;"",AF163&lt;&gt;""),ROUNDUP((AF163-AE163)/7,0),"")</f>
        <v/>
      </c>
      <c r="AI163">
        <f>IFERROR(IF(AG163*AH163=0,"",AG163*AH163),"")</f>
        <v/>
      </c>
      <c r="AL163">
        <f>IF(AND(AJ163&lt;&gt;"",AK163&lt;&gt;""),ROUNDUP((AK163-AJ163)/7,0),"")</f>
        <v/>
      </c>
      <c r="AN163">
        <f>IFERROR(IF(AL163*AM163=0,"",AL163*AM163),"")</f>
        <v/>
      </c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L163">
        <f>IFERROR(INDEX('_names_lookup'!$C:$C,MATCH(BK163,'_names_lookup'!$A:$A,0)),"")</f>
        <v/>
      </c>
      <c r="BM163">
        <f>IFERROR(INDEX('_names_lookup'!$B:$B,MATCH(BK163,'_names_lookup'!$A:$A,0)),"")</f>
        <v/>
      </c>
      <c r="BS163">
        <f>IFERROR(IF(BR163*AA163=0,"",BR163*AA163),"")</f>
        <v/>
      </c>
    </row>
    <row r="164">
      <c r="O164">
        <f>IFERROR(INDEX('_courses_lookup'!$C:$C,MATCH(K164&amp;L164,'_courses_lookup'!$E:$E,0)),"")</f>
        <v/>
      </c>
      <c r="P164">
        <f>IFERROR(INDEX('_courses_lookup'!$D:$D,MATCH(K164&amp;L164,'_courses_lookup'!$E:$E,0)),"")</f>
        <v/>
      </c>
      <c r="AG164">
        <f>IF(AND(AE164&lt;&gt;"",AF164&lt;&gt;""),ROUNDUP((AF164-AE164)/7,0),"")</f>
        <v/>
      </c>
      <c r="AI164">
        <f>IFERROR(IF(AG164*AH164=0,"",AG164*AH164),"")</f>
        <v/>
      </c>
      <c r="AL164">
        <f>IF(AND(AJ164&lt;&gt;"",AK164&lt;&gt;""),ROUNDUP((AK164-AJ164)/7,0),"")</f>
        <v/>
      </c>
      <c r="AN164">
        <f>IFERROR(IF(AL164*AM164=0,"",AL164*AM164),"")</f>
        <v/>
      </c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L164">
        <f>IFERROR(INDEX('_names_lookup'!$C:$C,MATCH(BK164,'_names_lookup'!$A:$A,0)),"")</f>
        <v/>
      </c>
      <c r="BM164">
        <f>IFERROR(INDEX('_names_lookup'!$B:$B,MATCH(BK164,'_names_lookup'!$A:$A,0)),"")</f>
        <v/>
      </c>
      <c r="BS164">
        <f>IFERROR(IF(BR164*AA164=0,"",BR164*AA164),"")</f>
        <v/>
      </c>
    </row>
    <row r="165">
      <c r="O165">
        <f>IFERROR(INDEX('_courses_lookup'!$C:$C,MATCH(K165&amp;L165,'_courses_lookup'!$E:$E,0)),"")</f>
        <v/>
      </c>
      <c r="P165">
        <f>IFERROR(INDEX('_courses_lookup'!$D:$D,MATCH(K165&amp;L165,'_courses_lookup'!$E:$E,0)),"")</f>
        <v/>
      </c>
      <c r="AG165">
        <f>IF(AND(AE165&lt;&gt;"",AF165&lt;&gt;""),ROUNDUP((AF165-AE165)/7,0),"")</f>
        <v/>
      </c>
      <c r="AI165">
        <f>IFERROR(IF(AG165*AH165=0,"",AG165*AH165),"")</f>
        <v/>
      </c>
      <c r="AL165">
        <f>IF(AND(AJ165&lt;&gt;"",AK165&lt;&gt;""),ROUNDUP((AK165-AJ165)/7,0),"")</f>
        <v/>
      </c>
      <c r="AN165">
        <f>IFERROR(IF(AL165*AM165=0,"",AL165*AM165),"")</f>
        <v/>
      </c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L165">
        <f>IFERROR(INDEX('_names_lookup'!$C:$C,MATCH(BK165,'_names_lookup'!$A:$A,0)),"")</f>
        <v/>
      </c>
      <c r="BM165">
        <f>IFERROR(INDEX('_names_lookup'!$B:$B,MATCH(BK165,'_names_lookup'!$A:$A,0)),"")</f>
        <v/>
      </c>
      <c r="BS165">
        <f>IFERROR(IF(BR165*AA165=0,"",BR165*AA165),"")</f>
        <v/>
      </c>
    </row>
    <row r="166">
      <c r="O166">
        <f>IFERROR(INDEX('_courses_lookup'!$C:$C,MATCH(K166&amp;L166,'_courses_lookup'!$E:$E,0)),"")</f>
        <v/>
      </c>
      <c r="P166">
        <f>IFERROR(INDEX('_courses_lookup'!$D:$D,MATCH(K166&amp;L166,'_courses_lookup'!$E:$E,0)),"")</f>
        <v/>
      </c>
      <c r="AG166">
        <f>IF(AND(AE166&lt;&gt;"",AF166&lt;&gt;""),ROUNDUP((AF166-AE166)/7,0),"")</f>
        <v/>
      </c>
      <c r="AI166">
        <f>IFERROR(IF(AG166*AH166=0,"",AG166*AH166),"")</f>
        <v/>
      </c>
      <c r="AL166">
        <f>IF(AND(AJ166&lt;&gt;"",AK166&lt;&gt;""),ROUNDUP((AK166-AJ166)/7,0),"")</f>
        <v/>
      </c>
      <c r="AN166">
        <f>IFERROR(IF(AL166*AM166=0,"",AL166*AM166),"")</f>
        <v/>
      </c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L166">
        <f>IFERROR(INDEX('_names_lookup'!$C:$C,MATCH(BK166,'_names_lookup'!$A:$A,0)),"")</f>
        <v/>
      </c>
      <c r="BM166">
        <f>IFERROR(INDEX('_names_lookup'!$B:$B,MATCH(BK166,'_names_lookup'!$A:$A,0)),"")</f>
        <v/>
      </c>
      <c r="BS166">
        <f>IFERROR(IF(BR166*AA166=0,"",BR166*AA166),"")</f>
        <v/>
      </c>
    </row>
    <row r="167">
      <c r="O167">
        <f>IFERROR(INDEX('_courses_lookup'!$C:$C,MATCH(K167&amp;L167,'_courses_lookup'!$E:$E,0)),"")</f>
        <v/>
      </c>
      <c r="P167">
        <f>IFERROR(INDEX('_courses_lookup'!$D:$D,MATCH(K167&amp;L167,'_courses_lookup'!$E:$E,0)),"")</f>
        <v/>
      </c>
      <c r="AG167">
        <f>IF(AND(AE167&lt;&gt;"",AF167&lt;&gt;""),ROUNDUP((AF167-AE167)/7,0),"")</f>
        <v/>
      </c>
      <c r="AI167">
        <f>IFERROR(IF(AG167*AH167=0,"",AG167*AH167),"")</f>
        <v/>
      </c>
      <c r="AL167">
        <f>IF(AND(AJ167&lt;&gt;"",AK167&lt;&gt;""),ROUNDUP((AK167-AJ167)/7,0),"")</f>
        <v/>
      </c>
      <c r="AN167">
        <f>IFERROR(IF(AL167*AM167=0,"",AL167*AM167),"")</f>
        <v/>
      </c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L167">
        <f>IFERROR(INDEX('_names_lookup'!$C:$C,MATCH(BK167,'_names_lookup'!$A:$A,0)),"")</f>
        <v/>
      </c>
      <c r="BM167">
        <f>IFERROR(INDEX('_names_lookup'!$B:$B,MATCH(BK167,'_names_lookup'!$A:$A,0)),"")</f>
        <v/>
      </c>
      <c r="BS167">
        <f>IFERROR(IF(BR167*AA167=0,"",BR167*AA167),"")</f>
        <v/>
      </c>
    </row>
    <row r="168">
      <c r="O168">
        <f>IFERROR(INDEX('_courses_lookup'!$C:$C,MATCH(K168&amp;L168,'_courses_lookup'!$E:$E,0)),"")</f>
        <v/>
      </c>
      <c r="P168">
        <f>IFERROR(INDEX('_courses_lookup'!$D:$D,MATCH(K168&amp;L168,'_courses_lookup'!$E:$E,0)),"")</f>
        <v/>
      </c>
      <c r="AG168">
        <f>IF(AND(AE168&lt;&gt;"",AF168&lt;&gt;""),ROUNDUP((AF168-AE168)/7,0),"")</f>
        <v/>
      </c>
      <c r="AI168">
        <f>IFERROR(IF(AG168*AH168=0,"",AG168*AH168),"")</f>
        <v/>
      </c>
      <c r="AL168">
        <f>IF(AND(AJ168&lt;&gt;"",AK168&lt;&gt;""),ROUNDUP((AK168-AJ168)/7,0),"")</f>
        <v/>
      </c>
      <c r="AN168">
        <f>IFERROR(IF(AL168*AM168=0,"",AL168*AM168),"")</f>
        <v/>
      </c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L168">
        <f>IFERROR(INDEX('_names_lookup'!$C:$C,MATCH(BK168,'_names_lookup'!$A:$A,0)),"")</f>
        <v/>
      </c>
      <c r="BM168">
        <f>IFERROR(INDEX('_names_lookup'!$B:$B,MATCH(BK168,'_names_lookup'!$A:$A,0)),"")</f>
        <v/>
      </c>
      <c r="BS168">
        <f>IFERROR(IF(BR168*AA168=0,"",BR168*AA168),"")</f>
        <v/>
      </c>
    </row>
    <row r="169">
      <c r="O169">
        <f>IFERROR(INDEX('_courses_lookup'!$C:$C,MATCH(K169&amp;L169,'_courses_lookup'!$E:$E,0)),"")</f>
        <v/>
      </c>
      <c r="P169">
        <f>IFERROR(INDEX('_courses_lookup'!$D:$D,MATCH(K169&amp;L169,'_courses_lookup'!$E:$E,0)),"")</f>
        <v/>
      </c>
      <c r="AG169">
        <f>IF(AND(AE169&lt;&gt;"",AF169&lt;&gt;""),ROUNDUP((AF169-AE169)/7,0),"")</f>
        <v/>
      </c>
      <c r="AI169">
        <f>IFERROR(IF(AG169*AH169=0,"",AG169*AH169),"")</f>
        <v/>
      </c>
      <c r="AL169">
        <f>IF(AND(AJ169&lt;&gt;"",AK169&lt;&gt;""),ROUNDUP((AK169-AJ169)/7,0),"")</f>
        <v/>
      </c>
      <c r="AN169">
        <f>IFERROR(IF(AL169*AM169=0,"",AL169*AM169),"")</f>
        <v/>
      </c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L169">
        <f>IFERROR(INDEX('_names_lookup'!$C:$C,MATCH(BK169,'_names_lookup'!$A:$A,0)),"")</f>
        <v/>
      </c>
      <c r="BM169">
        <f>IFERROR(INDEX('_names_lookup'!$B:$B,MATCH(BK169,'_names_lookup'!$A:$A,0)),"")</f>
        <v/>
      </c>
      <c r="BS169">
        <f>IFERROR(IF(BR169*AA169=0,"",BR169*AA169),"")</f>
        <v/>
      </c>
    </row>
    <row r="170">
      <c r="O170">
        <f>IFERROR(INDEX('_courses_lookup'!$C:$C,MATCH(K170&amp;L170,'_courses_lookup'!$E:$E,0)),"")</f>
        <v/>
      </c>
      <c r="P170">
        <f>IFERROR(INDEX('_courses_lookup'!$D:$D,MATCH(K170&amp;L170,'_courses_lookup'!$E:$E,0)),"")</f>
        <v/>
      </c>
      <c r="AG170">
        <f>IF(AND(AE170&lt;&gt;"",AF170&lt;&gt;""),ROUNDUP((AF170-AE170)/7,0),"")</f>
        <v/>
      </c>
      <c r="AI170">
        <f>IFERROR(IF(AG170*AH170=0,"",AG170*AH170),"")</f>
        <v/>
      </c>
      <c r="AL170">
        <f>IF(AND(AJ170&lt;&gt;"",AK170&lt;&gt;""),ROUNDUP((AK170-AJ170)/7,0),"")</f>
        <v/>
      </c>
      <c r="AN170">
        <f>IFERROR(IF(AL170*AM170=0,"",AL170*AM170),"")</f>
        <v/>
      </c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L170">
        <f>IFERROR(INDEX('_names_lookup'!$C:$C,MATCH(BK170,'_names_lookup'!$A:$A,0)),"")</f>
        <v/>
      </c>
      <c r="BM170">
        <f>IFERROR(INDEX('_names_lookup'!$B:$B,MATCH(BK170,'_names_lookup'!$A:$A,0)),"")</f>
        <v/>
      </c>
      <c r="BS170">
        <f>IFERROR(IF(BR170*AA170=0,"",BR170*AA170),"")</f>
        <v/>
      </c>
    </row>
    <row r="171">
      <c r="O171">
        <f>IFERROR(INDEX('_courses_lookup'!$C:$C,MATCH(K171&amp;L171,'_courses_lookup'!$E:$E,0)),"")</f>
        <v/>
      </c>
      <c r="P171">
        <f>IFERROR(INDEX('_courses_lookup'!$D:$D,MATCH(K171&amp;L171,'_courses_lookup'!$E:$E,0)),"")</f>
        <v/>
      </c>
      <c r="AG171">
        <f>IF(AND(AE171&lt;&gt;"",AF171&lt;&gt;""),ROUNDUP((AF171-AE171)/7,0),"")</f>
        <v/>
      </c>
      <c r="AI171">
        <f>IFERROR(IF(AG171*AH171=0,"",AG171*AH171),"")</f>
        <v/>
      </c>
      <c r="AL171">
        <f>IF(AND(AJ171&lt;&gt;"",AK171&lt;&gt;""),ROUNDUP((AK171-AJ171)/7,0),"")</f>
        <v/>
      </c>
      <c r="AN171">
        <f>IFERROR(IF(AL171*AM171=0,"",AL171*AM171),"")</f>
        <v/>
      </c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L171">
        <f>IFERROR(INDEX('_names_lookup'!$C:$C,MATCH(BK171,'_names_lookup'!$A:$A,0)),"")</f>
        <v/>
      </c>
      <c r="BM171">
        <f>IFERROR(INDEX('_names_lookup'!$B:$B,MATCH(BK171,'_names_lookup'!$A:$A,0)),"")</f>
        <v/>
      </c>
      <c r="BS171">
        <f>IFERROR(IF(BR171*AA171=0,"",BR171*AA171),"")</f>
        <v/>
      </c>
    </row>
    <row r="172">
      <c r="O172">
        <f>IFERROR(INDEX('_courses_lookup'!$C:$C,MATCH(K172&amp;L172,'_courses_lookup'!$E:$E,0)),"")</f>
        <v/>
      </c>
      <c r="P172">
        <f>IFERROR(INDEX('_courses_lookup'!$D:$D,MATCH(K172&amp;L172,'_courses_lookup'!$E:$E,0)),"")</f>
        <v/>
      </c>
      <c r="AG172">
        <f>IF(AND(AE172&lt;&gt;"",AF172&lt;&gt;""),ROUNDUP((AF172-AE172)/7,0),"")</f>
        <v/>
      </c>
      <c r="AI172">
        <f>IFERROR(IF(AG172*AH172=0,"",AG172*AH172),"")</f>
        <v/>
      </c>
      <c r="AL172">
        <f>IF(AND(AJ172&lt;&gt;"",AK172&lt;&gt;""),ROUNDUP((AK172-AJ172)/7,0),"")</f>
        <v/>
      </c>
      <c r="AN172">
        <f>IFERROR(IF(AL172*AM172=0,"",AL172*AM172),"")</f>
        <v/>
      </c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L172">
        <f>IFERROR(INDEX('_names_lookup'!$C:$C,MATCH(BK172,'_names_lookup'!$A:$A,0)),"")</f>
        <v/>
      </c>
      <c r="BM172">
        <f>IFERROR(INDEX('_names_lookup'!$B:$B,MATCH(BK172,'_names_lookup'!$A:$A,0)),"")</f>
        <v/>
      </c>
      <c r="BS172">
        <f>IFERROR(IF(BR172*AA172=0,"",BR172*AA172),"")</f>
        <v/>
      </c>
    </row>
    <row r="173">
      <c r="O173">
        <f>IFERROR(INDEX('_courses_lookup'!$C:$C,MATCH(K173&amp;L173,'_courses_lookup'!$E:$E,0)),"")</f>
        <v/>
      </c>
      <c r="P173">
        <f>IFERROR(INDEX('_courses_lookup'!$D:$D,MATCH(K173&amp;L173,'_courses_lookup'!$E:$E,0)),"")</f>
        <v/>
      </c>
      <c r="AG173">
        <f>IF(AND(AE173&lt;&gt;"",AF173&lt;&gt;""),ROUNDUP((AF173-AE173)/7,0),"")</f>
        <v/>
      </c>
      <c r="AI173">
        <f>IFERROR(IF(AG173*AH173=0,"",AG173*AH173),"")</f>
        <v/>
      </c>
      <c r="AL173">
        <f>IF(AND(AJ173&lt;&gt;"",AK173&lt;&gt;""),ROUNDUP((AK173-AJ173)/7,0),"")</f>
        <v/>
      </c>
      <c r="AN173">
        <f>IFERROR(IF(AL173*AM173=0,"",AL173*AM173),"")</f>
        <v/>
      </c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L173">
        <f>IFERROR(INDEX('_names_lookup'!$C:$C,MATCH(BK173,'_names_lookup'!$A:$A,0)),"")</f>
        <v/>
      </c>
      <c r="BM173">
        <f>IFERROR(INDEX('_names_lookup'!$B:$B,MATCH(BK173,'_names_lookup'!$A:$A,0)),"")</f>
        <v/>
      </c>
      <c r="BS173">
        <f>IFERROR(IF(BR173*AA173=0,"",BR173*AA173),"")</f>
        <v/>
      </c>
    </row>
    <row r="174">
      <c r="O174">
        <f>IFERROR(INDEX('_courses_lookup'!$C:$C,MATCH(K174&amp;L174,'_courses_lookup'!$E:$E,0)),"")</f>
        <v/>
      </c>
      <c r="P174">
        <f>IFERROR(INDEX('_courses_lookup'!$D:$D,MATCH(K174&amp;L174,'_courses_lookup'!$E:$E,0)),"")</f>
        <v/>
      </c>
      <c r="AG174">
        <f>IF(AND(AE174&lt;&gt;"",AF174&lt;&gt;""),ROUNDUP((AF174-AE174)/7,0),"")</f>
        <v/>
      </c>
      <c r="AI174">
        <f>IFERROR(IF(AG174*AH174=0,"",AG174*AH174),"")</f>
        <v/>
      </c>
      <c r="AL174">
        <f>IF(AND(AJ174&lt;&gt;"",AK174&lt;&gt;""),ROUNDUP((AK174-AJ174)/7,0),"")</f>
        <v/>
      </c>
      <c r="AN174">
        <f>IFERROR(IF(AL174*AM174=0,"",AL174*AM174),"")</f>
        <v/>
      </c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L174">
        <f>IFERROR(INDEX('_names_lookup'!$C:$C,MATCH(BK174,'_names_lookup'!$A:$A,0)),"")</f>
        <v/>
      </c>
      <c r="BM174">
        <f>IFERROR(INDEX('_names_lookup'!$B:$B,MATCH(BK174,'_names_lookup'!$A:$A,0)),"")</f>
        <v/>
      </c>
      <c r="BS174">
        <f>IFERROR(IF(BR174*AA174=0,"",BR174*AA174),"")</f>
        <v/>
      </c>
    </row>
    <row r="175">
      <c r="O175">
        <f>IFERROR(INDEX('_courses_lookup'!$C:$C,MATCH(K175&amp;L175,'_courses_lookup'!$E:$E,0)),"")</f>
        <v/>
      </c>
      <c r="P175">
        <f>IFERROR(INDEX('_courses_lookup'!$D:$D,MATCH(K175&amp;L175,'_courses_lookup'!$E:$E,0)),"")</f>
        <v/>
      </c>
      <c r="AG175">
        <f>IF(AND(AE175&lt;&gt;"",AF175&lt;&gt;""),ROUNDUP((AF175-AE175)/7,0),"")</f>
        <v/>
      </c>
      <c r="AI175">
        <f>IFERROR(IF(AG175*AH175=0,"",AG175*AH175),"")</f>
        <v/>
      </c>
      <c r="AL175">
        <f>IF(AND(AJ175&lt;&gt;"",AK175&lt;&gt;""),ROUNDUP((AK175-AJ175)/7,0),"")</f>
        <v/>
      </c>
      <c r="AN175">
        <f>IFERROR(IF(AL175*AM175=0,"",AL175*AM175),"")</f>
        <v/>
      </c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L175">
        <f>IFERROR(INDEX('_names_lookup'!$C:$C,MATCH(BK175,'_names_lookup'!$A:$A,0)),"")</f>
        <v/>
      </c>
      <c r="BM175">
        <f>IFERROR(INDEX('_names_lookup'!$B:$B,MATCH(BK175,'_names_lookup'!$A:$A,0)),"")</f>
        <v/>
      </c>
      <c r="BS175">
        <f>IFERROR(IF(BR175*AA175=0,"",BR175*AA175),"")</f>
        <v/>
      </c>
    </row>
    <row r="176">
      <c r="O176">
        <f>IFERROR(INDEX('_courses_lookup'!$C:$C,MATCH(K176&amp;L176,'_courses_lookup'!$E:$E,0)),"")</f>
        <v/>
      </c>
      <c r="P176">
        <f>IFERROR(INDEX('_courses_lookup'!$D:$D,MATCH(K176&amp;L176,'_courses_lookup'!$E:$E,0)),"")</f>
        <v/>
      </c>
      <c r="AG176">
        <f>IF(AND(AE176&lt;&gt;"",AF176&lt;&gt;""),ROUNDUP((AF176-AE176)/7,0),"")</f>
        <v/>
      </c>
      <c r="AI176">
        <f>IFERROR(IF(AG176*AH176=0,"",AG176*AH176),"")</f>
        <v/>
      </c>
      <c r="AL176">
        <f>IF(AND(AJ176&lt;&gt;"",AK176&lt;&gt;""),ROUNDUP((AK176-AJ176)/7,0),"")</f>
        <v/>
      </c>
      <c r="AN176">
        <f>IFERROR(IF(AL176*AM176=0,"",AL176*AM176),"")</f>
        <v/>
      </c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L176">
        <f>IFERROR(INDEX('_names_lookup'!$C:$C,MATCH(BK176,'_names_lookup'!$A:$A,0)),"")</f>
        <v/>
      </c>
      <c r="BM176">
        <f>IFERROR(INDEX('_names_lookup'!$B:$B,MATCH(BK176,'_names_lookup'!$A:$A,0)),"")</f>
        <v/>
      </c>
      <c r="BS176">
        <f>IFERROR(IF(BR176*AA176=0,"",BR176*AA176),"")</f>
        <v/>
      </c>
    </row>
    <row r="177">
      <c r="O177">
        <f>IFERROR(INDEX('_courses_lookup'!$C:$C,MATCH(K177&amp;L177,'_courses_lookup'!$E:$E,0)),"")</f>
        <v/>
      </c>
      <c r="P177">
        <f>IFERROR(INDEX('_courses_lookup'!$D:$D,MATCH(K177&amp;L177,'_courses_lookup'!$E:$E,0)),"")</f>
        <v/>
      </c>
      <c r="AG177">
        <f>IF(AND(AE177&lt;&gt;"",AF177&lt;&gt;""),ROUNDUP((AF177-AE177)/7,0),"")</f>
        <v/>
      </c>
      <c r="AI177">
        <f>IFERROR(IF(AG177*AH177=0,"",AG177*AH177),"")</f>
        <v/>
      </c>
      <c r="AL177">
        <f>IF(AND(AJ177&lt;&gt;"",AK177&lt;&gt;""),ROUNDUP((AK177-AJ177)/7,0),"")</f>
        <v/>
      </c>
      <c r="AN177">
        <f>IFERROR(IF(AL177*AM177=0,"",AL177*AM177),"")</f>
        <v/>
      </c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L177">
        <f>IFERROR(INDEX('_names_lookup'!$C:$C,MATCH(BK177,'_names_lookup'!$A:$A,0)),"")</f>
        <v/>
      </c>
      <c r="BM177">
        <f>IFERROR(INDEX('_names_lookup'!$B:$B,MATCH(BK177,'_names_lookup'!$A:$A,0)),"")</f>
        <v/>
      </c>
      <c r="BS177">
        <f>IFERROR(IF(BR177*AA177=0,"",BR177*AA177),"")</f>
        <v/>
      </c>
    </row>
    <row r="178">
      <c r="O178">
        <f>IFERROR(INDEX('_courses_lookup'!$C:$C,MATCH(K178&amp;L178,'_courses_lookup'!$E:$E,0)),"")</f>
        <v/>
      </c>
      <c r="P178">
        <f>IFERROR(INDEX('_courses_lookup'!$D:$D,MATCH(K178&amp;L178,'_courses_lookup'!$E:$E,0)),"")</f>
        <v/>
      </c>
      <c r="AG178">
        <f>IF(AND(AE178&lt;&gt;"",AF178&lt;&gt;""),ROUNDUP((AF178-AE178)/7,0),"")</f>
        <v/>
      </c>
      <c r="AI178">
        <f>IFERROR(IF(AG178*AH178=0,"",AG178*AH178),"")</f>
        <v/>
      </c>
      <c r="AL178">
        <f>IF(AND(AJ178&lt;&gt;"",AK178&lt;&gt;""),ROUNDUP((AK178-AJ178)/7,0),"")</f>
        <v/>
      </c>
      <c r="AN178">
        <f>IFERROR(IF(AL178*AM178=0,"",AL178*AM178),"")</f>
        <v/>
      </c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L178">
        <f>IFERROR(INDEX('_names_lookup'!$C:$C,MATCH(BK178,'_names_lookup'!$A:$A,0)),"")</f>
        <v/>
      </c>
      <c r="BM178">
        <f>IFERROR(INDEX('_names_lookup'!$B:$B,MATCH(BK178,'_names_lookup'!$A:$A,0)),"")</f>
        <v/>
      </c>
      <c r="BS178">
        <f>IFERROR(IF(BR178*AA178=0,"",BR178*AA178),"")</f>
        <v/>
      </c>
    </row>
    <row r="179">
      <c r="O179">
        <f>IFERROR(INDEX('_courses_lookup'!$C:$C,MATCH(K179&amp;L179,'_courses_lookup'!$E:$E,0)),"")</f>
        <v/>
      </c>
      <c r="P179">
        <f>IFERROR(INDEX('_courses_lookup'!$D:$D,MATCH(K179&amp;L179,'_courses_lookup'!$E:$E,0)),"")</f>
        <v/>
      </c>
      <c r="AG179">
        <f>IF(AND(AE179&lt;&gt;"",AF179&lt;&gt;""),ROUNDUP((AF179-AE179)/7,0),"")</f>
        <v/>
      </c>
      <c r="AI179">
        <f>IFERROR(IF(AG179*AH179=0,"",AG179*AH179),"")</f>
        <v/>
      </c>
      <c r="AL179">
        <f>IF(AND(AJ179&lt;&gt;"",AK179&lt;&gt;""),ROUNDUP((AK179-AJ179)/7,0),"")</f>
        <v/>
      </c>
      <c r="AN179">
        <f>IFERROR(IF(AL179*AM179=0,"",AL179*AM179),"")</f>
        <v/>
      </c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L179">
        <f>IFERROR(INDEX('_names_lookup'!$C:$C,MATCH(BK179,'_names_lookup'!$A:$A,0)),"")</f>
        <v/>
      </c>
      <c r="BM179">
        <f>IFERROR(INDEX('_names_lookup'!$B:$B,MATCH(BK179,'_names_lookup'!$A:$A,0)),"")</f>
        <v/>
      </c>
      <c r="BS179">
        <f>IFERROR(IF(BR179*AA179=0,"",BR179*AA179),"")</f>
        <v/>
      </c>
    </row>
    <row r="180">
      <c r="O180">
        <f>IFERROR(INDEX('_courses_lookup'!$C:$C,MATCH(K180&amp;L180,'_courses_lookup'!$E:$E,0)),"")</f>
        <v/>
      </c>
      <c r="P180">
        <f>IFERROR(INDEX('_courses_lookup'!$D:$D,MATCH(K180&amp;L180,'_courses_lookup'!$E:$E,0)),"")</f>
        <v/>
      </c>
      <c r="AG180">
        <f>IF(AND(AE180&lt;&gt;"",AF180&lt;&gt;""),ROUNDUP((AF180-AE180)/7,0),"")</f>
        <v/>
      </c>
      <c r="AI180">
        <f>IFERROR(IF(AG180*AH180=0,"",AG180*AH180),"")</f>
        <v/>
      </c>
      <c r="AL180">
        <f>IF(AND(AJ180&lt;&gt;"",AK180&lt;&gt;""),ROUNDUP((AK180-AJ180)/7,0),"")</f>
        <v/>
      </c>
      <c r="AN180">
        <f>IFERROR(IF(AL180*AM180=0,"",AL180*AM180),"")</f>
        <v/>
      </c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L180">
        <f>IFERROR(INDEX('_names_lookup'!$C:$C,MATCH(BK180,'_names_lookup'!$A:$A,0)),"")</f>
        <v/>
      </c>
      <c r="BM180">
        <f>IFERROR(INDEX('_names_lookup'!$B:$B,MATCH(BK180,'_names_lookup'!$A:$A,0)),"")</f>
        <v/>
      </c>
      <c r="BS180">
        <f>IFERROR(IF(BR180*AA180=0,"",BR180*AA180),"")</f>
        <v/>
      </c>
    </row>
    <row r="181">
      <c r="O181">
        <f>IFERROR(INDEX('_courses_lookup'!$C:$C,MATCH(K181&amp;L181,'_courses_lookup'!$E:$E,0)),"")</f>
        <v/>
      </c>
      <c r="P181">
        <f>IFERROR(INDEX('_courses_lookup'!$D:$D,MATCH(K181&amp;L181,'_courses_lookup'!$E:$E,0)),"")</f>
        <v/>
      </c>
      <c r="AG181">
        <f>IF(AND(AE181&lt;&gt;"",AF181&lt;&gt;""),ROUNDUP((AF181-AE181)/7,0),"")</f>
        <v/>
      </c>
      <c r="AI181">
        <f>IFERROR(IF(AG181*AH181=0,"",AG181*AH181),"")</f>
        <v/>
      </c>
      <c r="AL181">
        <f>IF(AND(AJ181&lt;&gt;"",AK181&lt;&gt;""),ROUNDUP((AK181-AJ181)/7,0),"")</f>
        <v/>
      </c>
      <c r="AN181">
        <f>IFERROR(IF(AL181*AM181=0,"",AL181*AM181),"")</f>
        <v/>
      </c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L181">
        <f>IFERROR(INDEX('_names_lookup'!$C:$C,MATCH(BK181,'_names_lookup'!$A:$A,0)),"")</f>
        <v/>
      </c>
      <c r="BM181">
        <f>IFERROR(INDEX('_names_lookup'!$B:$B,MATCH(BK181,'_names_lookup'!$A:$A,0)),"")</f>
        <v/>
      </c>
      <c r="BS181">
        <f>IFERROR(IF(BR181*AA181=0,"",BR181*AA181),"")</f>
        <v/>
      </c>
    </row>
    <row r="182">
      <c r="O182">
        <f>IFERROR(INDEX('_courses_lookup'!$C:$C,MATCH(K182&amp;L182,'_courses_lookup'!$E:$E,0)),"")</f>
        <v/>
      </c>
      <c r="P182">
        <f>IFERROR(INDEX('_courses_lookup'!$D:$D,MATCH(K182&amp;L182,'_courses_lookup'!$E:$E,0)),"")</f>
        <v/>
      </c>
      <c r="AG182">
        <f>IF(AND(AE182&lt;&gt;"",AF182&lt;&gt;""),ROUNDUP((AF182-AE182)/7,0),"")</f>
        <v/>
      </c>
      <c r="AI182">
        <f>IFERROR(IF(AG182*AH182=0,"",AG182*AH182),"")</f>
        <v/>
      </c>
      <c r="AL182">
        <f>IF(AND(AJ182&lt;&gt;"",AK182&lt;&gt;""),ROUNDUP((AK182-AJ182)/7,0),"")</f>
        <v/>
      </c>
      <c r="AN182">
        <f>IFERROR(IF(AL182*AM182=0,"",AL182*AM182),"")</f>
        <v/>
      </c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L182">
        <f>IFERROR(INDEX('_names_lookup'!$C:$C,MATCH(BK182,'_names_lookup'!$A:$A,0)),"")</f>
        <v/>
      </c>
      <c r="BM182">
        <f>IFERROR(INDEX('_names_lookup'!$B:$B,MATCH(BK182,'_names_lookup'!$A:$A,0)),"")</f>
        <v/>
      </c>
      <c r="BS182">
        <f>IFERROR(IF(BR182*AA182=0,"",BR182*AA182),"")</f>
        <v/>
      </c>
    </row>
    <row r="183">
      <c r="O183">
        <f>IFERROR(INDEX('_courses_lookup'!$C:$C,MATCH(K183&amp;L183,'_courses_lookup'!$E:$E,0)),"")</f>
        <v/>
      </c>
      <c r="P183">
        <f>IFERROR(INDEX('_courses_lookup'!$D:$D,MATCH(K183&amp;L183,'_courses_lookup'!$E:$E,0)),"")</f>
        <v/>
      </c>
      <c r="AG183">
        <f>IF(AND(AE183&lt;&gt;"",AF183&lt;&gt;""),ROUNDUP((AF183-AE183)/7,0),"")</f>
        <v/>
      </c>
      <c r="AI183">
        <f>IFERROR(IF(AG183*AH183=0,"",AG183*AH183),"")</f>
        <v/>
      </c>
      <c r="AL183">
        <f>IF(AND(AJ183&lt;&gt;"",AK183&lt;&gt;""),ROUNDUP((AK183-AJ183)/7,0),"")</f>
        <v/>
      </c>
      <c r="AN183">
        <f>IFERROR(IF(AL183*AM183=0,"",AL183*AM183),"")</f>
        <v/>
      </c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L183">
        <f>IFERROR(INDEX('_names_lookup'!$C:$C,MATCH(BK183,'_names_lookup'!$A:$A,0)),"")</f>
        <v/>
      </c>
      <c r="BM183">
        <f>IFERROR(INDEX('_names_lookup'!$B:$B,MATCH(BK183,'_names_lookup'!$A:$A,0)),"")</f>
        <v/>
      </c>
      <c r="BS183">
        <f>IFERROR(IF(BR183*AA183=0,"",BR183*AA183),"")</f>
        <v/>
      </c>
    </row>
    <row r="184">
      <c r="O184">
        <f>IFERROR(INDEX('_courses_lookup'!$C:$C,MATCH(K184&amp;L184,'_courses_lookup'!$E:$E,0)),"")</f>
        <v/>
      </c>
      <c r="P184">
        <f>IFERROR(INDEX('_courses_lookup'!$D:$D,MATCH(K184&amp;L184,'_courses_lookup'!$E:$E,0)),"")</f>
        <v/>
      </c>
      <c r="AG184">
        <f>IF(AND(AE184&lt;&gt;"",AF184&lt;&gt;""),ROUNDUP((AF184-AE184)/7,0),"")</f>
        <v/>
      </c>
      <c r="AI184">
        <f>IFERROR(IF(AG184*AH184=0,"",AG184*AH184),"")</f>
        <v/>
      </c>
      <c r="AL184">
        <f>IF(AND(AJ184&lt;&gt;"",AK184&lt;&gt;""),ROUNDUP((AK184-AJ184)/7,0),"")</f>
        <v/>
      </c>
      <c r="AN184">
        <f>IFERROR(IF(AL184*AM184=0,"",AL184*AM184),"")</f>
        <v/>
      </c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L184">
        <f>IFERROR(INDEX('_names_lookup'!$C:$C,MATCH(BK184,'_names_lookup'!$A:$A,0)),"")</f>
        <v/>
      </c>
      <c r="BM184">
        <f>IFERROR(INDEX('_names_lookup'!$B:$B,MATCH(BK184,'_names_lookup'!$A:$A,0)),"")</f>
        <v/>
      </c>
      <c r="BS184">
        <f>IFERROR(IF(BR184*AA184=0,"",BR184*AA184),"")</f>
        <v/>
      </c>
    </row>
    <row r="185">
      <c r="O185">
        <f>IFERROR(INDEX('_courses_lookup'!$C:$C,MATCH(K185&amp;L185,'_courses_lookup'!$E:$E,0)),"")</f>
        <v/>
      </c>
      <c r="P185">
        <f>IFERROR(INDEX('_courses_lookup'!$D:$D,MATCH(K185&amp;L185,'_courses_lookup'!$E:$E,0)),"")</f>
        <v/>
      </c>
      <c r="AG185">
        <f>IF(AND(AE185&lt;&gt;"",AF185&lt;&gt;""),ROUNDUP((AF185-AE185)/7,0),"")</f>
        <v/>
      </c>
      <c r="AI185">
        <f>IFERROR(IF(AG185*AH185=0,"",AG185*AH185),"")</f>
        <v/>
      </c>
      <c r="AL185">
        <f>IF(AND(AJ185&lt;&gt;"",AK185&lt;&gt;""),ROUNDUP((AK185-AJ185)/7,0),"")</f>
        <v/>
      </c>
      <c r="AN185">
        <f>IFERROR(IF(AL185*AM185=0,"",AL185*AM185),"")</f>
        <v/>
      </c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L185">
        <f>IFERROR(INDEX('_names_lookup'!$C:$C,MATCH(BK185,'_names_lookup'!$A:$A,0)),"")</f>
        <v/>
      </c>
      <c r="BM185">
        <f>IFERROR(INDEX('_names_lookup'!$B:$B,MATCH(BK185,'_names_lookup'!$A:$A,0)),"")</f>
        <v/>
      </c>
      <c r="BS185">
        <f>IFERROR(IF(BR185*AA185=0,"",BR185*AA185),"")</f>
        <v/>
      </c>
    </row>
    <row r="186">
      <c r="O186">
        <f>IFERROR(INDEX('_courses_lookup'!$C:$C,MATCH(K186&amp;L186,'_courses_lookup'!$E:$E,0)),"")</f>
        <v/>
      </c>
      <c r="P186">
        <f>IFERROR(INDEX('_courses_lookup'!$D:$D,MATCH(K186&amp;L186,'_courses_lookup'!$E:$E,0)),"")</f>
        <v/>
      </c>
      <c r="AG186">
        <f>IF(AND(AE186&lt;&gt;"",AF186&lt;&gt;""),ROUNDUP((AF186-AE186)/7,0),"")</f>
        <v/>
      </c>
      <c r="AI186">
        <f>IFERROR(IF(AG186*AH186=0,"",AG186*AH186),"")</f>
        <v/>
      </c>
      <c r="AL186">
        <f>IF(AND(AJ186&lt;&gt;"",AK186&lt;&gt;""),ROUNDUP((AK186-AJ186)/7,0),"")</f>
        <v/>
      </c>
      <c r="AN186">
        <f>IFERROR(IF(AL186*AM186=0,"",AL186*AM186),"")</f>
        <v/>
      </c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L186">
        <f>IFERROR(INDEX('_names_lookup'!$C:$C,MATCH(BK186,'_names_lookup'!$A:$A,0)),"")</f>
        <v/>
      </c>
      <c r="BM186">
        <f>IFERROR(INDEX('_names_lookup'!$B:$B,MATCH(BK186,'_names_lookup'!$A:$A,0)),"")</f>
        <v/>
      </c>
      <c r="BS186">
        <f>IFERROR(IF(BR186*AA186=0,"",BR186*AA186),"")</f>
        <v/>
      </c>
    </row>
    <row r="187">
      <c r="O187">
        <f>IFERROR(INDEX('_courses_lookup'!$C:$C,MATCH(K187&amp;L187,'_courses_lookup'!$E:$E,0)),"")</f>
        <v/>
      </c>
      <c r="P187">
        <f>IFERROR(INDEX('_courses_lookup'!$D:$D,MATCH(K187&amp;L187,'_courses_lookup'!$E:$E,0)),"")</f>
        <v/>
      </c>
      <c r="AG187">
        <f>IF(AND(AE187&lt;&gt;"",AF187&lt;&gt;""),ROUNDUP((AF187-AE187)/7,0),"")</f>
        <v/>
      </c>
      <c r="AI187">
        <f>IFERROR(IF(AG187*AH187=0,"",AG187*AH187),"")</f>
        <v/>
      </c>
      <c r="AL187">
        <f>IF(AND(AJ187&lt;&gt;"",AK187&lt;&gt;""),ROUNDUP((AK187-AJ187)/7,0),"")</f>
        <v/>
      </c>
      <c r="AN187">
        <f>IFERROR(IF(AL187*AM187=0,"",AL187*AM187),"")</f>
        <v/>
      </c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L187">
        <f>IFERROR(INDEX('_names_lookup'!$C:$C,MATCH(BK187,'_names_lookup'!$A:$A,0)),"")</f>
        <v/>
      </c>
      <c r="BM187">
        <f>IFERROR(INDEX('_names_lookup'!$B:$B,MATCH(BK187,'_names_lookup'!$A:$A,0)),"")</f>
        <v/>
      </c>
      <c r="BS187">
        <f>IFERROR(IF(BR187*AA187=0,"",BR187*AA187),"")</f>
        <v/>
      </c>
    </row>
    <row r="188">
      <c r="O188">
        <f>IFERROR(INDEX('_courses_lookup'!$C:$C,MATCH(K188&amp;L188,'_courses_lookup'!$E:$E,0)),"")</f>
        <v/>
      </c>
      <c r="P188">
        <f>IFERROR(INDEX('_courses_lookup'!$D:$D,MATCH(K188&amp;L188,'_courses_lookup'!$E:$E,0)),"")</f>
        <v/>
      </c>
      <c r="AG188">
        <f>IF(AND(AE188&lt;&gt;"",AF188&lt;&gt;""),ROUNDUP((AF188-AE188)/7,0),"")</f>
        <v/>
      </c>
      <c r="AI188">
        <f>IFERROR(IF(AG188*AH188=0,"",AG188*AH188),"")</f>
        <v/>
      </c>
      <c r="AL188">
        <f>IF(AND(AJ188&lt;&gt;"",AK188&lt;&gt;""),ROUNDUP((AK188-AJ188)/7,0),"")</f>
        <v/>
      </c>
      <c r="AN188">
        <f>IFERROR(IF(AL188*AM188=0,"",AL188*AM188),"")</f>
        <v/>
      </c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L188">
        <f>IFERROR(INDEX('_names_lookup'!$C:$C,MATCH(BK188,'_names_lookup'!$A:$A,0)),"")</f>
        <v/>
      </c>
      <c r="BM188">
        <f>IFERROR(INDEX('_names_lookup'!$B:$B,MATCH(BK188,'_names_lookup'!$A:$A,0)),"")</f>
        <v/>
      </c>
      <c r="BS188">
        <f>IFERROR(IF(BR188*AA188=0,"",BR188*AA188),"")</f>
        <v/>
      </c>
    </row>
    <row r="189">
      <c r="O189">
        <f>IFERROR(INDEX('_courses_lookup'!$C:$C,MATCH(K189&amp;L189,'_courses_lookup'!$E:$E,0)),"")</f>
        <v/>
      </c>
      <c r="P189">
        <f>IFERROR(INDEX('_courses_lookup'!$D:$D,MATCH(K189&amp;L189,'_courses_lookup'!$E:$E,0)),"")</f>
        <v/>
      </c>
      <c r="AG189">
        <f>IF(AND(AE189&lt;&gt;"",AF189&lt;&gt;""),ROUNDUP((AF189-AE189)/7,0),"")</f>
        <v/>
      </c>
      <c r="AI189">
        <f>IFERROR(IF(AG189*AH189=0,"",AG189*AH189),"")</f>
        <v/>
      </c>
      <c r="AL189">
        <f>IF(AND(AJ189&lt;&gt;"",AK189&lt;&gt;""),ROUNDUP((AK189-AJ189)/7,0),"")</f>
        <v/>
      </c>
      <c r="AN189">
        <f>IFERROR(IF(AL189*AM189=0,"",AL189*AM189),"")</f>
        <v/>
      </c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L189">
        <f>IFERROR(INDEX('_names_lookup'!$C:$C,MATCH(BK189,'_names_lookup'!$A:$A,0)),"")</f>
        <v/>
      </c>
      <c r="BM189">
        <f>IFERROR(INDEX('_names_lookup'!$B:$B,MATCH(BK189,'_names_lookup'!$A:$A,0)),"")</f>
        <v/>
      </c>
      <c r="BS189">
        <f>IFERROR(IF(BR189*AA189=0,"",BR189*AA189),"")</f>
        <v/>
      </c>
    </row>
    <row r="190">
      <c r="O190">
        <f>IFERROR(INDEX('_courses_lookup'!$C:$C,MATCH(K190&amp;L190,'_courses_lookup'!$E:$E,0)),"")</f>
        <v/>
      </c>
      <c r="P190">
        <f>IFERROR(INDEX('_courses_lookup'!$D:$D,MATCH(K190&amp;L190,'_courses_lookup'!$E:$E,0)),"")</f>
        <v/>
      </c>
      <c r="AG190">
        <f>IF(AND(AE190&lt;&gt;"",AF190&lt;&gt;""),ROUNDUP((AF190-AE190)/7,0),"")</f>
        <v/>
      </c>
      <c r="AI190">
        <f>IFERROR(IF(AG190*AH190=0,"",AG190*AH190),"")</f>
        <v/>
      </c>
      <c r="AL190">
        <f>IF(AND(AJ190&lt;&gt;"",AK190&lt;&gt;""),ROUNDUP((AK190-AJ190)/7,0),"")</f>
        <v/>
      </c>
      <c r="AN190">
        <f>IFERROR(IF(AL190*AM190=0,"",AL190*AM190),"")</f>
        <v/>
      </c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L190">
        <f>IFERROR(INDEX('_names_lookup'!$C:$C,MATCH(BK190,'_names_lookup'!$A:$A,0)),"")</f>
        <v/>
      </c>
      <c r="BM190">
        <f>IFERROR(INDEX('_names_lookup'!$B:$B,MATCH(BK190,'_names_lookup'!$A:$A,0)),"")</f>
        <v/>
      </c>
      <c r="BS190">
        <f>IFERROR(IF(BR190*AA190=0,"",BR190*AA190),"")</f>
        <v/>
      </c>
    </row>
    <row r="191">
      <c r="O191">
        <f>IFERROR(INDEX('_courses_lookup'!$C:$C,MATCH(K191&amp;L191,'_courses_lookup'!$E:$E,0)),"")</f>
        <v/>
      </c>
      <c r="P191">
        <f>IFERROR(INDEX('_courses_lookup'!$D:$D,MATCH(K191&amp;L191,'_courses_lookup'!$E:$E,0)),"")</f>
        <v/>
      </c>
      <c r="AG191">
        <f>IF(AND(AE191&lt;&gt;"",AF191&lt;&gt;""),ROUNDUP((AF191-AE191)/7,0),"")</f>
        <v/>
      </c>
      <c r="AI191">
        <f>IFERROR(IF(AG191*AH191=0,"",AG191*AH191),"")</f>
        <v/>
      </c>
      <c r="AL191">
        <f>IF(AND(AJ191&lt;&gt;"",AK191&lt;&gt;""),ROUNDUP((AK191-AJ191)/7,0),"")</f>
        <v/>
      </c>
      <c r="AN191">
        <f>IFERROR(IF(AL191*AM191=0,"",AL191*AM191),"")</f>
        <v/>
      </c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L191">
        <f>IFERROR(INDEX('_names_lookup'!$C:$C,MATCH(BK191,'_names_lookup'!$A:$A,0)),"")</f>
        <v/>
      </c>
      <c r="BM191">
        <f>IFERROR(INDEX('_names_lookup'!$B:$B,MATCH(BK191,'_names_lookup'!$A:$A,0)),"")</f>
        <v/>
      </c>
      <c r="BS191">
        <f>IFERROR(IF(BR191*AA191=0,"",BR191*AA191),"")</f>
        <v/>
      </c>
    </row>
    <row r="192">
      <c r="O192">
        <f>IFERROR(INDEX('_courses_lookup'!$C:$C,MATCH(K192&amp;L192,'_courses_lookup'!$E:$E,0)),"")</f>
        <v/>
      </c>
      <c r="P192">
        <f>IFERROR(INDEX('_courses_lookup'!$D:$D,MATCH(K192&amp;L192,'_courses_lookup'!$E:$E,0)),"")</f>
        <v/>
      </c>
      <c r="AG192">
        <f>IF(AND(AE192&lt;&gt;"",AF192&lt;&gt;""),ROUNDUP((AF192-AE192)/7,0),"")</f>
        <v/>
      </c>
      <c r="AI192">
        <f>IFERROR(IF(AG192*AH192=0,"",AG192*AH192),"")</f>
        <v/>
      </c>
      <c r="AL192">
        <f>IF(AND(AJ192&lt;&gt;"",AK192&lt;&gt;""),ROUNDUP((AK192-AJ192)/7,0),"")</f>
        <v/>
      </c>
      <c r="AN192">
        <f>IFERROR(IF(AL192*AM192=0,"",AL192*AM192),"")</f>
        <v/>
      </c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L192">
        <f>IFERROR(INDEX('_names_lookup'!$C:$C,MATCH(BK192,'_names_lookup'!$A:$A,0)),"")</f>
        <v/>
      </c>
      <c r="BM192">
        <f>IFERROR(INDEX('_names_lookup'!$B:$B,MATCH(BK192,'_names_lookup'!$A:$A,0)),"")</f>
        <v/>
      </c>
      <c r="BS192">
        <f>IFERROR(IF(BR192*AA192=0,"",BR192*AA192),"")</f>
        <v/>
      </c>
    </row>
    <row r="193">
      <c r="O193">
        <f>IFERROR(INDEX('_courses_lookup'!$C:$C,MATCH(K193&amp;L193,'_courses_lookup'!$E:$E,0)),"")</f>
        <v/>
      </c>
      <c r="P193">
        <f>IFERROR(INDEX('_courses_lookup'!$D:$D,MATCH(K193&amp;L193,'_courses_lookup'!$E:$E,0)),"")</f>
        <v/>
      </c>
      <c r="AG193">
        <f>IF(AND(AE193&lt;&gt;"",AF193&lt;&gt;""),ROUNDUP((AF193-AE193)/7,0),"")</f>
        <v/>
      </c>
      <c r="AI193">
        <f>IFERROR(IF(AG193*AH193=0,"",AG193*AH193),"")</f>
        <v/>
      </c>
      <c r="AL193">
        <f>IF(AND(AJ193&lt;&gt;"",AK193&lt;&gt;""),ROUNDUP((AK193-AJ193)/7,0),"")</f>
        <v/>
      </c>
      <c r="AN193">
        <f>IFERROR(IF(AL193*AM193=0,"",AL193*AM193),"")</f>
        <v/>
      </c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L193">
        <f>IFERROR(INDEX('_names_lookup'!$C:$C,MATCH(BK193,'_names_lookup'!$A:$A,0)),"")</f>
        <v/>
      </c>
      <c r="BM193">
        <f>IFERROR(INDEX('_names_lookup'!$B:$B,MATCH(BK193,'_names_lookup'!$A:$A,0)),"")</f>
        <v/>
      </c>
      <c r="BS193">
        <f>IFERROR(IF(BR193*AA193=0,"",BR193*AA193),"")</f>
        <v/>
      </c>
    </row>
    <row r="194">
      <c r="O194">
        <f>IFERROR(INDEX('_courses_lookup'!$C:$C,MATCH(K194&amp;L194,'_courses_lookup'!$E:$E,0)),"")</f>
        <v/>
      </c>
      <c r="P194">
        <f>IFERROR(INDEX('_courses_lookup'!$D:$D,MATCH(K194&amp;L194,'_courses_lookup'!$E:$E,0)),"")</f>
        <v/>
      </c>
      <c r="AG194">
        <f>IF(AND(AE194&lt;&gt;"",AF194&lt;&gt;""),ROUNDUP((AF194-AE194)/7,0),"")</f>
        <v/>
      </c>
      <c r="AI194">
        <f>IFERROR(IF(AG194*AH194=0,"",AG194*AH194),"")</f>
        <v/>
      </c>
      <c r="AL194">
        <f>IF(AND(AJ194&lt;&gt;"",AK194&lt;&gt;""),ROUNDUP((AK194-AJ194)/7,0),"")</f>
        <v/>
      </c>
      <c r="AN194">
        <f>IFERROR(IF(AL194*AM194=0,"",AL194*AM194),"")</f>
        <v/>
      </c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L194">
        <f>IFERROR(INDEX('_names_lookup'!$C:$C,MATCH(BK194,'_names_lookup'!$A:$A,0)),"")</f>
        <v/>
      </c>
      <c r="BM194">
        <f>IFERROR(INDEX('_names_lookup'!$B:$B,MATCH(BK194,'_names_lookup'!$A:$A,0)),"")</f>
        <v/>
      </c>
      <c r="BS194">
        <f>IFERROR(IF(BR194*AA194=0,"",BR194*AA194),"")</f>
        <v/>
      </c>
    </row>
    <row r="195">
      <c r="O195">
        <f>IFERROR(INDEX('_courses_lookup'!$C:$C,MATCH(K195&amp;L195,'_courses_lookup'!$E:$E,0)),"")</f>
        <v/>
      </c>
      <c r="P195">
        <f>IFERROR(INDEX('_courses_lookup'!$D:$D,MATCH(K195&amp;L195,'_courses_lookup'!$E:$E,0)),"")</f>
        <v/>
      </c>
      <c r="AG195">
        <f>IF(AND(AE195&lt;&gt;"",AF195&lt;&gt;""),ROUNDUP((AF195-AE195)/7,0),"")</f>
        <v/>
      </c>
      <c r="AI195">
        <f>IFERROR(IF(AG195*AH195=0,"",AG195*AH195),"")</f>
        <v/>
      </c>
      <c r="AL195">
        <f>IF(AND(AJ195&lt;&gt;"",AK195&lt;&gt;""),ROUNDUP((AK195-AJ195)/7,0),"")</f>
        <v/>
      </c>
      <c r="AN195">
        <f>IFERROR(IF(AL195*AM195=0,"",AL195*AM195),"")</f>
        <v/>
      </c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L195">
        <f>IFERROR(INDEX('_names_lookup'!$C:$C,MATCH(BK195,'_names_lookup'!$A:$A,0)),"")</f>
        <v/>
      </c>
      <c r="BM195">
        <f>IFERROR(INDEX('_names_lookup'!$B:$B,MATCH(BK195,'_names_lookup'!$A:$A,0)),"")</f>
        <v/>
      </c>
      <c r="BS195">
        <f>IFERROR(IF(BR195*AA195=0,"",BR195*AA195),"")</f>
        <v/>
      </c>
    </row>
    <row r="196">
      <c r="O196">
        <f>IFERROR(INDEX('_courses_lookup'!$C:$C,MATCH(K196&amp;L196,'_courses_lookup'!$E:$E,0)),"")</f>
        <v/>
      </c>
      <c r="P196">
        <f>IFERROR(INDEX('_courses_lookup'!$D:$D,MATCH(K196&amp;L196,'_courses_lookup'!$E:$E,0)),"")</f>
        <v/>
      </c>
      <c r="AG196">
        <f>IF(AND(AE196&lt;&gt;"",AF196&lt;&gt;""),ROUNDUP((AF196-AE196)/7,0),"")</f>
        <v/>
      </c>
      <c r="AI196">
        <f>IFERROR(IF(AG196*AH196=0,"",AG196*AH196),"")</f>
        <v/>
      </c>
      <c r="AL196">
        <f>IF(AND(AJ196&lt;&gt;"",AK196&lt;&gt;""),ROUNDUP((AK196-AJ196)/7,0),"")</f>
        <v/>
      </c>
      <c r="AN196">
        <f>IFERROR(IF(AL196*AM196=0,"",AL196*AM196),"")</f>
        <v/>
      </c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L196">
        <f>IFERROR(INDEX('_names_lookup'!$C:$C,MATCH(BK196,'_names_lookup'!$A:$A,0)),"")</f>
        <v/>
      </c>
      <c r="BM196">
        <f>IFERROR(INDEX('_names_lookup'!$B:$B,MATCH(BK196,'_names_lookup'!$A:$A,0)),"")</f>
        <v/>
      </c>
      <c r="BS196">
        <f>IFERROR(IF(BR196*AA196=0,"",BR196*AA196),"")</f>
        <v/>
      </c>
    </row>
    <row r="197">
      <c r="O197">
        <f>IFERROR(INDEX('_courses_lookup'!$C:$C,MATCH(K197&amp;L197,'_courses_lookup'!$E:$E,0)),"")</f>
        <v/>
      </c>
      <c r="P197">
        <f>IFERROR(INDEX('_courses_lookup'!$D:$D,MATCH(K197&amp;L197,'_courses_lookup'!$E:$E,0)),"")</f>
        <v/>
      </c>
      <c r="AG197">
        <f>IF(AND(AE197&lt;&gt;"",AF197&lt;&gt;""),ROUNDUP((AF197-AE197)/7,0),"")</f>
        <v/>
      </c>
      <c r="AI197">
        <f>IFERROR(IF(AG197*AH197=0,"",AG197*AH197),"")</f>
        <v/>
      </c>
      <c r="AL197">
        <f>IF(AND(AJ197&lt;&gt;"",AK197&lt;&gt;""),ROUNDUP((AK197-AJ197)/7,0),"")</f>
        <v/>
      </c>
      <c r="AN197">
        <f>IFERROR(IF(AL197*AM197=0,"",AL197*AM197),"")</f>
        <v/>
      </c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L197">
        <f>IFERROR(INDEX('_names_lookup'!$C:$C,MATCH(BK197,'_names_lookup'!$A:$A,0)),"")</f>
        <v/>
      </c>
      <c r="BM197">
        <f>IFERROR(INDEX('_names_lookup'!$B:$B,MATCH(BK197,'_names_lookup'!$A:$A,0)),"")</f>
        <v/>
      </c>
      <c r="BS197">
        <f>IFERROR(IF(BR197*AA197=0,"",BR197*AA197),"")</f>
        <v/>
      </c>
    </row>
    <row r="198">
      <c r="O198">
        <f>IFERROR(INDEX('_courses_lookup'!$C:$C,MATCH(K198&amp;L198,'_courses_lookup'!$E:$E,0)),"")</f>
        <v/>
      </c>
      <c r="P198">
        <f>IFERROR(INDEX('_courses_lookup'!$D:$D,MATCH(K198&amp;L198,'_courses_lookup'!$E:$E,0)),"")</f>
        <v/>
      </c>
      <c r="AG198">
        <f>IF(AND(AE198&lt;&gt;"",AF198&lt;&gt;""),ROUNDUP((AF198-AE198)/7,0),"")</f>
        <v/>
      </c>
      <c r="AI198">
        <f>IFERROR(IF(AG198*AH198=0,"",AG198*AH198),"")</f>
        <v/>
      </c>
      <c r="AL198">
        <f>IF(AND(AJ198&lt;&gt;"",AK198&lt;&gt;""),ROUNDUP((AK198-AJ198)/7,0),"")</f>
        <v/>
      </c>
      <c r="AN198">
        <f>IFERROR(IF(AL198*AM198=0,"",AL198*AM198),"")</f>
        <v/>
      </c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L198">
        <f>IFERROR(INDEX('_names_lookup'!$C:$C,MATCH(BK198,'_names_lookup'!$A:$A,0)),"")</f>
        <v/>
      </c>
      <c r="BM198">
        <f>IFERROR(INDEX('_names_lookup'!$B:$B,MATCH(BK198,'_names_lookup'!$A:$A,0)),"")</f>
        <v/>
      </c>
      <c r="BS198">
        <f>IFERROR(IF(BR198*AA198=0,"",BR198*AA198),"")</f>
        <v/>
      </c>
    </row>
    <row r="199">
      <c r="O199">
        <f>IFERROR(INDEX('_courses_lookup'!$C:$C,MATCH(K199&amp;L199,'_courses_lookup'!$E:$E,0)),"")</f>
        <v/>
      </c>
      <c r="P199">
        <f>IFERROR(INDEX('_courses_lookup'!$D:$D,MATCH(K199&amp;L199,'_courses_lookup'!$E:$E,0)),"")</f>
        <v/>
      </c>
      <c r="AG199">
        <f>IF(AND(AE199&lt;&gt;"",AF199&lt;&gt;""),ROUNDUP((AF199-AE199)/7,0),"")</f>
        <v/>
      </c>
      <c r="AI199">
        <f>IFERROR(IF(AG199*AH199=0,"",AG199*AH199),"")</f>
        <v/>
      </c>
      <c r="AL199">
        <f>IF(AND(AJ199&lt;&gt;"",AK199&lt;&gt;""),ROUNDUP((AK199-AJ199)/7,0),"")</f>
        <v/>
      </c>
      <c r="AN199">
        <f>IFERROR(IF(AL199*AM199=0,"",AL199*AM199),"")</f>
        <v/>
      </c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L199">
        <f>IFERROR(INDEX('_names_lookup'!$C:$C,MATCH(BK199,'_names_lookup'!$A:$A,0)),"")</f>
        <v/>
      </c>
      <c r="BM199">
        <f>IFERROR(INDEX('_names_lookup'!$B:$B,MATCH(BK199,'_names_lookup'!$A:$A,0)),"")</f>
        <v/>
      </c>
      <c r="BS199">
        <f>IFERROR(IF(BR199*AA199=0,"",BR199*AA199),"")</f>
        <v/>
      </c>
    </row>
    <row r="200">
      <c r="O200">
        <f>IFERROR(INDEX('_courses_lookup'!$C:$C,MATCH(K200&amp;L200,'_courses_lookup'!$E:$E,0)),"")</f>
        <v/>
      </c>
      <c r="P200">
        <f>IFERROR(INDEX('_courses_lookup'!$D:$D,MATCH(K200&amp;L200,'_courses_lookup'!$E:$E,0)),"")</f>
        <v/>
      </c>
      <c r="AG200">
        <f>IF(AND(AE200&lt;&gt;"",AF200&lt;&gt;""),ROUNDUP((AF200-AE200)/7,0),"")</f>
        <v/>
      </c>
      <c r="AI200">
        <f>IFERROR(IF(AG200*AH200=0,"",AG200*AH200),"")</f>
        <v/>
      </c>
      <c r="AL200">
        <f>IF(AND(AJ200&lt;&gt;"",AK200&lt;&gt;""),ROUNDUP((AK200-AJ200)/7,0),"")</f>
        <v/>
      </c>
      <c r="AN200">
        <f>IFERROR(IF(AL200*AM200=0,"",AL200*AM200),"")</f>
        <v/>
      </c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L200">
        <f>IFERROR(INDEX('_names_lookup'!$C:$C,MATCH(BK200,'_names_lookup'!$A:$A,0)),"")</f>
        <v/>
      </c>
      <c r="BM200">
        <f>IFERROR(INDEX('_names_lookup'!$B:$B,MATCH(BK200,'_names_lookup'!$A:$A,0)),"")</f>
        <v/>
      </c>
      <c r="BS200">
        <f>IFERROR(IF(BR200*AA200=0,"",BR200*AA200),"")</f>
        <v/>
      </c>
    </row>
    <row r="201">
      <c r="O201">
        <f>IFERROR(INDEX('_courses_lookup'!$C:$C,MATCH(K201&amp;L201,'_courses_lookup'!$E:$E,0)),"")</f>
        <v/>
      </c>
      <c r="P201">
        <f>IFERROR(INDEX('_courses_lookup'!$D:$D,MATCH(K201&amp;L201,'_courses_lookup'!$E:$E,0)),"")</f>
        <v/>
      </c>
      <c r="AG201">
        <f>IF(AND(AE201&lt;&gt;"",AF201&lt;&gt;""),ROUNDUP((AF201-AE201)/7,0),"")</f>
        <v/>
      </c>
      <c r="AI201">
        <f>IFERROR(IF(AG201*AH201=0,"",AG201*AH201),"")</f>
        <v/>
      </c>
      <c r="AL201">
        <f>IF(AND(AJ201&lt;&gt;"",AK201&lt;&gt;""),ROUNDUP((AK201-AJ201)/7,0),"")</f>
        <v/>
      </c>
      <c r="AN201">
        <f>IFERROR(IF(AL201*AM201=0,"",AL201*AM201),"")</f>
        <v/>
      </c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L201">
        <f>IFERROR(INDEX('_names_lookup'!$C:$C,MATCH(BK201,'_names_lookup'!$A:$A,0)),"")</f>
        <v/>
      </c>
      <c r="BM201">
        <f>IFERROR(INDEX('_names_lookup'!$B:$B,MATCH(BK201,'_names_lookup'!$A:$A,0)),"")</f>
        <v/>
      </c>
      <c r="BS201">
        <f>IFERROR(IF(BR201*AA201=0,"",BR201*AA201),"")</f>
        <v/>
      </c>
    </row>
    <row r="202">
      <c r="O202">
        <f>IFERROR(INDEX('_courses_lookup'!$C:$C,MATCH(K202&amp;L202,'_courses_lookup'!$E:$E,0)),"")</f>
        <v/>
      </c>
      <c r="P202">
        <f>IFERROR(INDEX('_courses_lookup'!$D:$D,MATCH(K202&amp;L202,'_courses_lookup'!$E:$E,0)),"")</f>
        <v/>
      </c>
      <c r="AG202">
        <f>IF(AND(AE202&lt;&gt;"",AF202&lt;&gt;""),ROUNDUP((AF202-AE202)/7,0),"")</f>
        <v/>
      </c>
      <c r="AI202">
        <f>IFERROR(IF(AG202*AH202=0,"",AG202*AH202),"")</f>
        <v/>
      </c>
      <c r="AL202">
        <f>IF(AND(AJ202&lt;&gt;"",AK202&lt;&gt;""),ROUNDUP((AK202-AJ202)/7,0),"")</f>
        <v/>
      </c>
      <c r="AN202">
        <f>IFERROR(IF(AL202*AM202=0,"",AL202*AM202),"")</f>
        <v/>
      </c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L202">
        <f>IFERROR(INDEX('_names_lookup'!$C:$C,MATCH(BK202,'_names_lookup'!$A:$A,0)),"")</f>
        <v/>
      </c>
      <c r="BM202">
        <f>IFERROR(INDEX('_names_lookup'!$B:$B,MATCH(BK202,'_names_lookup'!$A:$A,0)),"")</f>
        <v/>
      </c>
      <c r="BS202">
        <f>IFERROR(IF(BR202*AA202=0,"",BR202*AA202),"")</f>
        <v/>
      </c>
    </row>
    <row r="203">
      <c r="O203">
        <f>IFERROR(INDEX('_courses_lookup'!$C:$C,MATCH(K203&amp;L203,'_courses_lookup'!$E:$E,0)),"")</f>
        <v/>
      </c>
      <c r="P203">
        <f>IFERROR(INDEX('_courses_lookup'!$D:$D,MATCH(K203&amp;L203,'_courses_lookup'!$E:$E,0)),"")</f>
        <v/>
      </c>
      <c r="AG203">
        <f>IF(AND(AE203&lt;&gt;"",AF203&lt;&gt;""),ROUNDUP((AF203-AE203)/7,0),"")</f>
        <v/>
      </c>
      <c r="AI203">
        <f>IFERROR(IF(AG203*AH203=0,"",AG203*AH203),"")</f>
        <v/>
      </c>
      <c r="AL203">
        <f>IF(AND(AJ203&lt;&gt;"",AK203&lt;&gt;""),ROUNDUP((AK203-AJ203)/7,0),"")</f>
        <v/>
      </c>
      <c r="AN203">
        <f>IFERROR(IF(AL203*AM203=0,"",AL203*AM203),"")</f>
        <v/>
      </c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L203">
        <f>IFERROR(INDEX('_names_lookup'!$C:$C,MATCH(BK203,'_names_lookup'!$A:$A,0)),"")</f>
        <v/>
      </c>
      <c r="BM203">
        <f>IFERROR(INDEX('_names_lookup'!$B:$B,MATCH(BK203,'_names_lookup'!$A:$A,0)),"")</f>
        <v/>
      </c>
      <c r="BS203">
        <f>IFERROR(IF(BR203*AA203=0,"",BR203*AA203),"")</f>
        <v/>
      </c>
    </row>
    <row r="204">
      <c r="O204">
        <f>IFERROR(INDEX('_courses_lookup'!$C:$C,MATCH(K204&amp;L204,'_courses_lookup'!$E:$E,0)),"")</f>
        <v/>
      </c>
      <c r="P204">
        <f>IFERROR(INDEX('_courses_lookup'!$D:$D,MATCH(K204&amp;L204,'_courses_lookup'!$E:$E,0)),"")</f>
        <v/>
      </c>
      <c r="AG204">
        <f>IF(AND(AE204&lt;&gt;"",AF204&lt;&gt;""),ROUNDUP((AF204-AE204)/7,0),"")</f>
        <v/>
      </c>
      <c r="AI204">
        <f>IFERROR(IF(AG204*AH204=0,"",AG204*AH204),"")</f>
        <v/>
      </c>
      <c r="AL204">
        <f>IF(AND(AJ204&lt;&gt;"",AK204&lt;&gt;""),ROUNDUP((AK204-AJ204)/7,0),"")</f>
        <v/>
      </c>
      <c r="AN204">
        <f>IFERROR(IF(AL204*AM204=0,"",AL204*AM204),"")</f>
        <v/>
      </c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L204">
        <f>IFERROR(INDEX('_names_lookup'!$C:$C,MATCH(BK204,'_names_lookup'!$A:$A,0)),"")</f>
        <v/>
      </c>
      <c r="BM204">
        <f>IFERROR(INDEX('_names_lookup'!$B:$B,MATCH(BK204,'_names_lookup'!$A:$A,0)),"")</f>
        <v/>
      </c>
      <c r="BS204">
        <f>IFERROR(IF(BR204*AA204=0,"",BR204*AA204),"")</f>
        <v/>
      </c>
    </row>
    <row r="205">
      <c r="O205">
        <f>IFERROR(INDEX('_courses_lookup'!$C:$C,MATCH(K205&amp;L205,'_courses_lookup'!$E:$E,0)),"")</f>
        <v/>
      </c>
      <c r="P205">
        <f>IFERROR(INDEX('_courses_lookup'!$D:$D,MATCH(K205&amp;L205,'_courses_lookup'!$E:$E,0)),"")</f>
        <v/>
      </c>
      <c r="AG205">
        <f>IF(AND(AE205&lt;&gt;"",AF205&lt;&gt;""),ROUNDUP((AF205-AE205)/7,0),"")</f>
        <v/>
      </c>
      <c r="AI205">
        <f>IFERROR(IF(AG205*AH205=0,"",AG205*AH205),"")</f>
        <v/>
      </c>
      <c r="AL205">
        <f>IF(AND(AJ205&lt;&gt;"",AK205&lt;&gt;""),ROUNDUP((AK205-AJ205)/7,0),"")</f>
        <v/>
      </c>
      <c r="AN205">
        <f>IFERROR(IF(AL205*AM205=0,"",AL205*AM205),"")</f>
        <v/>
      </c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L205">
        <f>IFERROR(INDEX('_names_lookup'!$C:$C,MATCH(BK205,'_names_lookup'!$A:$A,0)),"")</f>
        <v/>
      </c>
      <c r="BM205">
        <f>IFERROR(INDEX('_names_lookup'!$B:$B,MATCH(BK205,'_names_lookup'!$A:$A,0)),"")</f>
        <v/>
      </c>
      <c r="BS205">
        <f>IFERROR(IF(BR205*AA205=0,"",BR205*AA205),"")</f>
        <v/>
      </c>
    </row>
    <row r="206">
      <c r="O206">
        <f>IFERROR(INDEX('_courses_lookup'!$C:$C,MATCH(K206&amp;L206,'_courses_lookup'!$E:$E,0)),"")</f>
        <v/>
      </c>
      <c r="P206">
        <f>IFERROR(INDEX('_courses_lookup'!$D:$D,MATCH(K206&amp;L206,'_courses_lookup'!$E:$E,0)),"")</f>
        <v/>
      </c>
      <c r="AG206">
        <f>IF(AND(AE206&lt;&gt;"",AF206&lt;&gt;""),ROUNDUP((AF206-AE206)/7,0),"")</f>
        <v/>
      </c>
      <c r="AI206">
        <f>IFERROR(IF(AG206*AH206=0,"",AG206*AH206),"")</f>
        <v/>
      </c>
      <c r="AL206">
        <f>IF(AND(AJ206&lt;&gt;"",AK206&lt;&gt;""),ROUNDUP((AK206-AJ206)/7,0),"")</f>
        <v/>
      </c>
      <c r="AN206">
        <f>IFERROR(IF(AL206*AM206=0,"",AL206*AM206),"")</f>
        <v/>
      </c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L206">
        <f>IFERROR(INDEX('_names_lookup'!$C:$C,MATCH(BK206,'_names_lookup'!$A:$A,0)),"")</f>
        <v/>
      </c>
      <c r="BM206">
        <f>IFERROR(INDEX('_names_lookup'!$B:$B,MATCH(BK206,'_names_lookup'!$A:$A,0)),"")</f>
        <v/>
      </c>
      <c r="BS206">
        <f>IFERROR(IF(BR206*AA206=0,"",BR206*AA206),"")</f>
        <v/>
      </c>
    </row>
    <row r="207">
      <c r="O207">
        <f>IFERROR(INDEX('_courses_lookup'!$C:$C,MATCH(K207&amp;L207,'_courses_lookup'!$E:$E,0)),"")</f>
        <v/>
      </c>
      <c r="P207">
        <f>IFERROR(INDEX('_courses_lookup'!$D:$D,MATCH(K207&amp;L207,'_courses_lookup'!$E:$E,0)),"")</f>
        <v/>
      </c>
      <c r="AG207">
        <f>IF(AND(AE207&lt;&gt;"",AF207&lt;&gt;""),ROUNDUP((AF207-AE207)/7,0),"")</f>
        <v/>
      </c>
      <c r="AI207">
        <f>IFERROR(IF(AG207*AH207=0,"",AG207*AH207),"")</f>
        <v/>
      </c>
      <c r="AL207">
        <f>IF(AND(AJ207&lt;&gt;"",AK207&lt;&gt;""),ROUNDUP((AK207-AJ207)/7,0),"")</f>
        <v/>
      </c>
      <c r="AN207">
        <f>IFERROR(IF(AL207*AM207=0,"",AL207*AM207),"")</f>
        <v/>
      </c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L207">
        <f>IFERROR(INDEX('_names_lookup'!$C:$C,MATCH(BK207,'_names_lookup'!$A:$A,0)),"")</f>
        <v/>
      </c>
      <c r="BM207">
        <f>IFERROR(INDEX('_names_lookup'!$B:$B,MATCH(BK207,'_names_lookup'!$A:$A,0)),"")</f>
        <v/>
      </c>
      <c r="BS207">
        <f>IFERROR(IF(BR207*AA207=0,"",BR207*AA207),"")</f>
        <v/>
      </c>
    </row>
    <row r="208">
      <c r="O208">
        <f>IFERROR(INDEX('_courses_lookup'!$C:$C,MATCH(K208&amp;L208,'_courses_lookup'!$E:$E,0)),"")</f>
        <v/>
      </c>
      <c r="P208">
        <f>IFERROR(INDEX('_courses_lookup'!$D:$D,MATCH(K208&amp;L208,'_courses_lookup'!$E:$E,0)),"")</f>
        <v/>
      </c>
      <c r="AG208">
        <f>IF(AND(AE208&lt;&gt;"",AF208&lt;&gt;""),ROUNDUP((AF208-AE208)/7,0),"")</f>
        <v/>
      </c>
      <c r="AI208">
        <f>IFERROR(IF(AG208*AH208=0,"",AG208*AH208),"")</f>
        <v/>
      </c>
      <c r="AL208">
        <f>IF(AND(AJ208&lt;&gt;"",AK208&lt;&gt;""),ROUNDUP((AK208-AJ208)/7,0),"")</f>
        <v/>
      </c>
      <c r="AN208">
        <f>IFERROR(IF(AL208*AM208=0,"",AL208*AM208),"")</f>
        <v/>
      </c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L208">
        <f>IFERROR(INDEX('_names_lookup'!$C:$C,MATCH(BK208,'_names_lookup'!$A:$A,0)),"")</f>
        <v/>
      </c>
      <c r="BM208">
        <f>IFERROR(INDEX('_names_lookup'!$B:$B,MATCH(BK208,'_names_lookup'!$A:$A,0)),"")</f>
        <v/>
      </c>
      <c r="BS208">
        <f>IFERROR(IF(BR208*AA208=0,"",BR208*AA208),"")</f>
        <v/>
      </c>
    </row>
    <row r="209">
      <c r="O209">
        <f>IFERROR(INDEX('_courses_lookup'!$C:$C,MATCH(K209&amp;L209,'_courses_lookup'!$E:$E,0)),"")</f>
        <v/>
      </c>
      <c r="P209">
        <f>IFERROR(INDEX('_courses_lookup'!$D:$D,MATCH(K209&amp;L209,'_courses_lookup'!$E:$E,0)),"")</f>
        <v/>
      </c>
      <c r="AG209">
        <f>IF(AND(AE209&lt;&gt;"",AF209&lt;&gt;""),ROUNDUP((AF209-AE209)/7,0),"")</f>
        <v/>
      </c>
      <c r="AI209">
        <f>IFERROR(IF(AG209*AH209=0,"",AG209*AH209),"")</f>
        <v/>
      </c>
      <c r="AL209">
        <f>IF(AND(AJ209&lt;&gt;"",AK209&lt;&gt;""),ROUNDUP((AK209-AJ209)/7,0),"")</f>
        <v/>
      </c>
      <c r="AN209">
        <f>IFERROR(IF(AL209*AM209=0,"",AL209*AM209),"")</f>
        <v/>
      </c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L209">
        <f>IFERROR(INDEX('_names_lookup'!$C:$C,MATCH(BK209,'_names_lookup'!$A:$A,0)),"")</f>
        <v/>
      </c>
      <c r="BM209">
        <f>IFERROR(INDEX('_names_lookup'!$B:$B,MATCH(BK209,'_names_lookup'!$A:$A,0)),"")</f>
        <v/>
      </c>
      <c r="BS209">
        <f>IFERROR(IF(BR209*AA209=0,"",BR209*AA209),"")</f>
        <v/>
      </c>
    </row>
    <row r="210">
      <c r="O210">
        <f>IFERROR(INDEX('_courses_lookup'!$C:$C,MATCH(K210&amp;L210,'_courses_lookup'!$E:$E,0)),"")</f>
        <v/>
      </c>
      <c r="P210">
        <f>IFERROR(INDEX('_courses_lookup'!$D:$D,MATCH(K210&amp;L210,'_courses_lookup'!$E:$E,0)),"")</f>
        <v/>
      </c>
      <c r="AG210">
        <f>IF(AND(AE210&lt;&gt;"",AF210&lt;&gt;""),ROUNDUP((AF210-AE210)/7,0),"")</f>
        <v/>
      </c>
      <c r="AI210">
        <f>IFERROR(IF(AG210*AH210=0,"",AG210*AH210),"")</f>
        <v/>
      </c>
      <c r="AL210">
        <f>IF(AND(AJ210&lt;&gt;"",AK210&lt;&gt;""),ROUNDUP((AK210-AJ210)/7,0),"")</f>
        <v/>
      </c>
      <c r="AN210">
        <f>IFERROR(IF(AL210*AM210=0,"",AL210*AM210),"")</f>
        <v/>
      </c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L210">
        <f>IFERROR(INDEX('_names_lookup'!$C:$C,MATCH(BK210,'_names_lookup'!$A:$A,0)),"")</f>
        <v/>
      </c>
      <c r="BM210">
        <f>IFERROR(INDEX('_names_lookup'!$B:$B,MATCH(BK210,'_names_lookup'!$A:$A,0)),"")</f>
        <v/>
      </c>
      <c r="BS210">
        <f>IFERROR(IF(BR210*AA210=0,"",BR210*AA210),"")</f>
        <v/>
      </c>
    </row>
    <row r="211">
      <c r="O211">
        <f>IFERROR(INDEX('_courses_lookup'!$C:$C,MATCH(K211&amp;L211,'_courses_lookup'!$E:$E,0)),"")</f>
        <v/>
      </c>
      <c r="P211">
        <f>IFERROR(INDEX('_courses_lookup'!$D:$D,MATCH(K211&amp;L211,'_courses_lookup'!$E:$E,0)),"")</f>
        <v/>
      </c>
      <c r="AG211">
        <f>IF(AND(AE211&lt;&gt;"",AF211&lt;&gt;""),ROUNDUP((AF211-AE211)/7,0),"")</f>
        <v/>
      </c>
      <c r="AI211">
        <f>IFERROR(IF(AG211*AH211=0,"",AG211*AH211),"")</f>
        <v/>
      </c>
      <c r="AL211">
        <f>IF(AND(AJ211&lt;&gt;"",AK211&lt;&gt;""),ROUNDUP((AK211-AJ211)/7,0),"")</f>
        <v/>
      </c>
      <c r="AN211">
        <f>IFERROR(IF(AL211*AM211=0,"",AL211*AM211),"")</f>
        <v/>
      </c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L211">
        <f>IFERROR(INDEX('_names_lookup'!$C:$C,MATCH(BK211,'_names_lookup'!$A:$A,0)),"")</f>
        <v/>
      </c>
      <c r="BM211">
        <f>IFERROR(INDEX('_names_lookup'!$B:$B,MATCH(BK211,'_names_lookup'!$A:$A,0)),"")</f>
        <v/>
      </c>
      <c r="BS211">
        <f>IFERROR(IF(BR211*AA211=0,"",BR211*AA211),"")</f>
        <v/>
      </c>
    </row>
    <row r="212">
      <c r="O212">
        <f>IFERROR(INDEX('_courses_lookup'!$C:$C,MATCH(K212&amp;L212,'_courses_lookup'!$E:$E,0)),"")</f>
        <v/>
      </c>
      <c r="P212">
        <f>IFERROR(INDEX('_courses_lookup'!$D:$D,MATCH(K212&amp;L212,'_courses_lookup'!$E:$E,0)),"")</f>
        <v/>
      </c>
      <c r="AG212">
        <f>IF(AND(AE212&lt;&gt;"",AF212&lt;&gt;""),ROUNDUP((AF212-AE212)/7,0),"")</f>
        <v/>
      </c>
      <c r="AI212">
        <f>IFERROR(IF(AG212*AH212=0,"",AG212*AH212),"")</f>
        <v/>
      </c>
      <c r="AL212">
        <f>IF(AND(AJ212&lt;&gt;"",AK212&lt;&gt;""),ROUNDUP((AK212-AJ212)/7,0),"")</f>
        <v/>
      </c>
      <c r="AN212">
        <f>IFERROR(IF(AL212*AM212=0,"",AL212*AM212),"")</f>
        <v/>
      </c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L212">
        <f>IFERROR(INDEX('_names_lookup'!$C:$C,MATCH(BK212,'_names_lookup'!$A:$A,0)),"")</f>
        <v/>
      </c>
      <c r="BM212">
        <f>IFERROR(INDEX('_names_lookup'!$B:$B,MATCH(BK212,'_names_lookup'!$A:$A,0)),"")</f>
        <v/>
      </c>
      <c r="BS212">
        <f>IFERROR(IF(BR212*AA212=0,"",BR212*AA212),"")</f>
        <v/>
      </c>
    </row>
    <row r="213">
      <c r="O213">
        <f>IFERROR(INDEX('_courses_lookup'!$C:$C,MATCH(K213&amp;L213,'_courses_lookup'!$E:$E,0)),"")</f>
        <v/>
      </c>
      <c r="P213">
        <f>IFERROR(INDEX('_courses_lookup'!$D:$D,MATCH(K213&amp;L213,'_courses_lookup'!$E:$E,0)),"")</f>
        <v/>
      </c>
      <c r="AG213">
        <f>IF(AND(AE213&lt;&gt;"",AF213&lt;&gt;""),ROUNDUP((AF213-AE213)/7,0),"")</f>
        <v/>
      </c>
      <c r="AI213">
        <f>IFERROR(IF(AG213*AH213=0,"",AG213*AH213),"")</f>
        <v/>
      </c>
      <c r="AL213">
        <f>IF(AND(AJ213&lt;&gt;"",AK213&lt;&gt;""),ROUNDUP((AK213-AJ213)/7,0),"")</f>
        <v/>
      </c>
      <c r="AN213">
        <f>IFERROR(IF(AL213*AM213=0,"",AL213*AM213),"")</f>
        <v/>
      </c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L213">
        <f>IFERROR(INDEX('_names_lookup'!$C:$C,MATCH(BK213,'_names_lookup'!$A:$A,0)),"")</f>
        <v/>
      </c>
      <c r="BM213">
        <f>IFERROR(INDEX('_names_lookup'!$B:$B,MATCH(BK213,'_names_lookup'!$A:$A,0)),"")</f>
        <v/>
      </c>
      <c r="BS213">
        <f>IFERROR(IF(BR213*AA213=0,"",BR213*AA213),"")</f>
        <v/>
      </c>
    </row>
    <row r="214">
      <c r="O214">
        <f>IFERROR(INDEX('_courses_lookup'!$C:$C,MATCH(K214&amp;L214,'_courses_lookup'!$E:$E,0)),"")</f>
        <v/>
      </c>
      <c r="P214">
        <f>IFERROR(INDEX('_courses_lookup'!$D:$D,MATCH(K214&amp;L214,'_courses_lookup'!$E:$E,0)),"")</f>
        <v/>
      </c>
      <c r="AG214">
        <f>IF(AND(AE214&lt;&gt;"",AF214&lt;&gt;""),ROUNDUP((AF214-AE214)/7,0),"")</f>
        <v/>
      </c>
      <c r="AI214">
        <f>IFERROR(IF(AG214*AH214=0,"",AG214*AH214),"")</f>
        <v/>
      </c>
      <c r="AL214">
        <f>IF(AND(AJ214&lt;&gt;"",AK214&lt;&gt;""),ROUNDUP((AK214-AJ214)/7,0),"")</f>
        <v/>
      </c>
      <c r="AN214">
        <f>IFERROR(IF(AL214*AM214=0,"",AL214*AM214),"")</f>
        <v/>
      </c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L214">
        <f>IFERROR(INDEX('_names_lookup'!$C:$C,MATCH(BK214,'_names_lookup'!$A:$A,0)),"")</f>
        <v/>
      </c>
      <c r="BM214">
        <f>IFERROR(INDEX('_names_lookup'!$B:$B,MATCH(BK214,'_names_lookup'!$A:$A,0)),"")</f>
        <v/>
      </c>
      <c r="BS214">
        <f>IFERROR(IF(BR214*AA214=0,"",BR214*AA214),"")</f>
        <v/>
      </c>
    </row>
    <row r="215">
      <c r="O215">
        <f>IFERROR(INDEX('_courses_lookup'!$C:$C,MATCH(K215&amp;L215,'_courses_lookup'!$E:$E,0)),"")</f>
        <v/>
      </c>
      <c r="P215">
        <f>IFERROR(INDEX('_courses_lookup'!$D:$D,MATCH(K215&amp;L215,'_courses_lookup'!$E:$E,0)),"")</f>
        <v/>
      </c>
      <c r="AG215">
        <f>IF(AND(AE215&lt;&gt;"",AF215&lt;&gt;""),ROUNDUP((AF215-AE215)/7,0),"")</f>
        <v/>
      </c>
      <c r="AI215">
        <f>IFERROR(IF(AG215*AH215=0,"",AG215*AH215),"")</f>
        <v/>
      </c>
      <c r="AL215">
        <f>IF(AND(AJ215&lt;&gt;"",AK215&lt;&gt;""),ROUNDUP((AK215-AJ215)/7,0),"")</f>
        <v/>
      </c>
      <c r="AN215">
        <f>IFERROR(IF(AL215*AM215=0,"",AL215*AM215),"")</f>
        <v/>
      </c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L215">
        <f>IFERROR(INDEX('_names_lookup'!$C:$C,MATCH(BK215,'_names_lookup'!$A:$A,0)),"")</f>
        <v/>
      </c>
      <c r="BM215">
        <f>IFERROR(INDEX('_names_lookup'!$B:$B,MATCH(BK215,'_names_lookup'!$A:$A,0)),"")</f>
        <v/>
      </c>
      <c r="BS215">
        <f>IFERROR(IF(BR215*AA215=0,"",BR215*AA215),"")</f>
        <v/>
      </c>
    </row>
    <row r="216">
      <c r="O216">
        <f>IFERROR(INDEX('_courses_lookup'!$C:$C,MATCH(K216&amp;L216,'_courses_lookup'!$E:$E,0)),"")</f>
        <v/>
      </c>
      <c r="P216">
        <f>IFERROR(INDEX('_courses_lookup'!$D:$D,MATCH(K216&amp;L216,'_courses_lookup'!$E:$E,0)),"")</f>
        <v/>
      </c>
      <c r="AG216">
        <f>IF(AND(AE216&lt;&gt;"",AF216&lt;&gt;""),ROUNDUP((AF216-AE216)/7,0),"")</f>
        <v/>
      </c>
      <c r="AI216">
        <f>IFERROR(IF(AG216*AH216=0,"",AG216*AH216),"")</f>
        <v/>
      </c>
      <c r="AL216">
        <f>IF(AND(AJ216&lt;&gt;"",AK216&lt;&gt;""),ROUNDUP((AK216-AJ216)/7,0),"")</f>
        <v/>
      </c>
      <c r="AN216">
        <f>IFERROR(IF(AL216*AM216=0,"",AL216*AM216),"")</f>
        <v/>
      </c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L216">
        <f>IFERROR(INDEX('_names_lookup'!$C:$C,MATCH(BK216,'_names_lookup'!$A:$A,0)),"")</f>
        <v/>
      </c>
      <c r="BM216">
        <f>IFERROR(INDEX('_names_lookup'!$B:$B,MATCH(BK216,'_names_lookup'!$A:$A,0)),"")</f>
        <v/>
      </c>
      <c r="BS216">
        <f>IFERROR(IF(BR216*AA216=0,"",BR216*AA216),"")</f>
        <v/>
      </c>
    </row>
    <row r="217">
      <c r="O217">
        <f>IFERROR(INDEX('_courses_lookup'!$C:$C,MATCH(K217&amp;L217,'_courses_lookup'!$E:$E,0)),"")</f>
        <v/>
      </c>
      <c r="P217">
        <f>IFERROR(INDEX('_courses_lookup'!$D:$D,MATCH(K217&amp;L217,'_courses_lookup'!$E:$E,0)),"")</f>
        <v/>
      </c>
      <c r="AG217">
        <f>IF(AND(AE217&lt;&gt;"",AF217&lt;&gt;""),ROUNDUP((AF217-AE217)/7,0),"")</f>
        <v/>
      </c>
      <c r="AI217">
        <f>IFERROR(IF(AG217*AH217=0,"",AG217*AH217),"")</f>
        <v/>
      </c>
      <c r="AL217">
        <f>IF(AND(AJ217&lt;&gt;"",AK217&lt;&gt;""),ROUNDUP((AK217-AJ217)/7,0),"")</f>
        <v/>
      </c>
      <c r="AN217">
        <f>IFERROR(IF(AL217*AM217=0,"",AL217*AM217),"")</f>
        <v/>
      </c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L217">
        <f>IFERROR(INDEX('_names_lookup'!$C:$C,MATCH(BK217,'_names_lookup'!$A:$A,0)),"")</f>
        <v/>
      </c>
      <c r="BM217">
        <f>IFERROR(INDEX('_names_lookup'!$B:$B,MATCH(BK217,'_names_lookup'!$A:$A,0)),"")</f>
        <v/>
      </c>
      <c r="BS217">
        <f>IFERROR(IF(BR217*AA217=0,"",BR217*AA217),"")</f>
        <v/>
      </c>
    </row>
    <row r="218">
      <c r="O218">
        <f>IFERROR(INDEX('_courses_lookup'!$C:$C,MATCH(K218&amp;L218,'_courses_lookup'!$E:$E,0)),"")</f>
        <v/>
      </c>
      <c r="P218">
        <f>IFERROR(INDEX('_courses_lookup'!$D:$D,MATCH(K218&amp;L218,'_courses_lookup'!$E:$E,0)),"")</f>
        <v/>
      </c>
      <c r="AG218">
        <f>IF(AND(AE218&lt;&gt;"",AF218&lt;&gt;""),ROUNDUP((AF218-AE218)/7,0),"")</f>
        <v/>
      </c>
      <c r="AI218">
        <f>IFERROR(IF(AG218*AH218=0,"",AG218*AH218),"")</f>
        <v/>
      </c>
      <c r="AL218">
        <f>IF(AND(AJ218&lt;&gt;"",AK218&lt;&gt;""),ROUNDUP((AK218-AJ218)/7,0),"")</f>
        <v/>
      </c>
      <c r="AN218">
        <f>IFERROR(IF(AL218*AM218=0,"",AL218*AM218),"")</f>
        <v/>
      </c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L218">
        <f>IFERROR(INDEX('_names_lookup'!$C:$C,MATCH(BK218,'_names_lookup'!$A:$A,0)),"")</f>
        <v/>
      </c>
      <c r="BM218">
        <f>IFERROR(INDEX('_names_lookup'!$B:$B,MATCH(BK218,'_names_lookup'!$A:$A,0)),"")</f>
        <v/>
      </c>
      <c r="BS218">
        <f>IFERROR(IF(BR218*AA218=0,"",BR218*AA218),"")</f>
        <v/>
      </c>
    </row>
    <row r="219">
      <c r="O219">
        <f>IFERROR(INDEX('_courses_lookup'!$C:$C,MATCH(K219&amp;L219,'_courses_lookup'!$E:$E,0)),"")</f>
        <v/>
      </c>
      <c r="P219">
        <f>IFERROR(INDEX('_courses_lookup'!$D:$D,MATCH(K219&amp;L219,'_courses_lookup'!$E:$E,0)),"")</f>
        <v/>
      </c>
      <c r="AG219">
        <f>IF(AND(AE219&lt;&gt;"",AF219&lt;&gt;""),ROUNDUP((AF219-AE219)/7,0),"")</f>
        <v/>
      </c>
      <c r="AI219">
        <f>IFERROR(IF(AG219*AH219=0,"",AG219*AH219),"")</f>
        <v/>
      </c>
      <c r="AL219">
        <f>IF(AND(AJ219&lt;&gt;"",AK219&lt;&gt;""),ROUNDUP((AK219-AJ219)/7,0),"")</f>
        <v/>
      </c>
      <c r="AN219">
        <f>IFERROR(IF(AL219*AM219=0,"",AL219*AM219),"")</f>
        <v/>
      </c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L219">
        <f>IFERROR(INDEX('_names_lookup'!$C:$C,MATCH(BK219,'_names_lookup'!$A:$A,0)),"")</f>
        <v/>
      </c>
      <c r="BM219">
        <f>IFERROR(INDEX('_names_lookup'!$B:$B,MATCH(BK219,'_names_lookup'!$A:$A,0)),"")</f>
        <v/>
      </c>
      <c r="BS219">
        <f>IFERROR(IF(BR219*AA219=0,"",BR219*AA219),"")</f>
        <v/>
      </c>
    </row>
    <row r="220">
      <c r="O220">
        <f>IFERROR(INDEX('_courses_lookup'!$C:$C,MATCH(K220&amp;L220,'_courses_lookup'!$E:$E,0)),"")</f>
        <v/>
      </c>
      <c r="P220">
        <f>IFERROR(INDEX('_courses_lookup'!$D:$D,MATCH(K220&amp;L220,'_courses_lookup'!$E:$E,0)),"")</f>
        <v/>
      </c>
      <c r="AG220">
        <f>IF(AND(AE220&lt;&gt;"",AF220&lt;&gt;""),ROUNDUP((AF220-AE220)/7,0),"")</f>
        <v/>
      </c>
      <c r="AI220">
        <f>IFERROR(IF(AG220*AH220=0,"",AG220*AH220),"")</f>
        <v/>
      </c>
      <c r="AL220">
        <f>IF(AND(AJ220&lt;&gt;"",AK220&lt;&gt;""),ROUNDUP((AK220-AJ220)/7,0),"")</f>
        <v/>
      </c>
      <c r="AN220">
        <f>IFERROR(IF(AL220*AM220=0,"",AL220*AM220),"")</f>
        <v/>
      </c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L220">
        <f>IFERROR(INDEX('_names_lookup'!$C:$C,MATCH(BK220,'_names_lookup'!$A:$A,0)),"")</f>
        <v/>
      </c>
      <c r="BM220">
        <f>IFERROR(INDEX('_names_lookup'!$B:$B,MATCH(BK220,'_names_lookup'!$A:$A,0)),"")</f>
        <v/>
      </c>
      <c r="BS220">
        <f>IFERROR(IF(BR220*AA220=0,"",BR220*AA220),"")</f>
        <v/>
      </c>
    </row>
    <row r="221">
      <c r="O221">
        <f>IFERROR(INDEX('_courses_lookup'!$C:$C,MATCH(K221&amp;L221,'_courses_lookup'!$E:$E,0)),"")</f>
        <v/>
      </c>
      <c r="P221">
        <f>IFERROR(INDEX('_courses_lookup'!$D:$D,MATCH(K221&amp;L221,'_courses_lookup'!$E:$E,0)),"")</f>
        <v/>
      </c>
      <c r="AG221">
        <f>IF(AND(AE221&lt;&gt;"",AF221&lt;&gt;""),ROUNDUP((AF221-AE221)/7,0),"")</f>
        <v/>
      </c>
      <c r="AI221">
        <f>IFERROR(IF(AG221*AH221=0,"",AG221*AH221),"")</f>
        <v/>
      </c>
      <c r="AL221">
        <f>IF(AND(AJ221&lt;&gt;"",AK221&lt;&gt;""),ROUNDUP((AK221-AJ221)/7,0),"")</f>
        <v/>
      </c>
      <c r="AN221">
        <f>IFERROR(IF(AL221*AM221=0,"",AL221*AM221),"")</f>
        <v/>
      </c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L221">
        <f>IFERROR(INDEX('_names_lookup'!$C:$C,MATCH(BK221,'_names_lookup'!$A:$A,0)),"")</f>
        <v/>
      </c>
      <c r="BM221">
        <f>IFERROR(INDEX('_names_lookup'!$B:$B,MATCH(BK221,'_names_lookup'!$A:$A,0)),"")</f>
        <v/>
      </c>
      <c r="BS221">
        <f>IFERROR(IF(BR221*AA221=0,"",BR221*AA221),"")</f>
        <v/>
      </c>
    </row>
    <row r="222">
      <c r="O222">
        <f>IFERROR(INDEX('_courses_lookup'!$C:$C,MATCH(K222&amp;L222,'_courses_lookup'!$E:$E,0)),"")</f>
        <v/>
      </c>
      <c r="P222">
        <f>IFERROR(INDEX('_courses_lookup'!$D:$D,MATCH(K222&amp;L222,'_courses_lookup'!$E:$E,0)),"")</f>
        <v/>
      </c>
      <c r="AG222">
        <f>IF(AND(AE222&lt;&gt;"",AF222&lt;&gt;""),ROUNDUP((AF222-AE222)/7,0),"")</f>
        <v/>
      </c>
      <c r="AI222">
        <f>IFERROR(IF(AG222*AH222=0,"",AG222*AH222),"")</f>
        <v/>
      </c>
      <c r="AL222">
        <f>IF(AND(AJ222&lt;&gt;"",AK222&lt;&gt;""),ROUNDUP((AK222-AJ222)/7,0),"")</f>
        <v/>
      </c>
      <c r="AN222">
        <f>IFERROR(IF(AL222*AM222=0,"",AL222*AM222),"")</f>
        <v/>
      </c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L222">
        <f>IFERROR(INDEX('_names_lookup'!$C:$C,MATCH(BK222,'_names_lookup'!$A:$A,0)),"")</f>
        <v/>
      </c>
      <c r="BM222">
        <f>IFERROR(INDEX('_names_lookup'!$B:$B,MATCH(BK222,'_names_lookup'!$A:$A,0)),"")</f>
        <v/>
      </c>
      <c r="BS222">
        <f>IFERROR(IF(BR222*AA222=0,"",BR222*AA222),"")</f>
        <v/>
      </c>
    </row>
    <row r="223">
      <c r="O223">
        <f>IFERROR(INDEX('_courses_lookup'!$C:$C,MATCH(K223&amp;L223,'_courses_lookup'!$E:$E,0)),"")</f>
        <v/>
      </c>
      <c r="P223">
        <f>IFERROR(INDEX('_courses_lookup'!$D:$D,MATCH(K223&amp;L223,'_courses_lookup'!$E:$E,0)),"")</f>
        <v/>
      </c>
      <c r="AG223">
        <f>IF(AND(AE223&lt;&gt;"",AF223&lt;&gt;""),ROUNDUP((AF223-AE223)/7,0),"")</f>
        <v/>
      </c>
      <c r="AI223">
        <f>IFERROR(IF(AG223*AH223=0,"",AG223*AH223),"")</f>
        <v/>
      </c>
      <c r="AL223">
        <f>IF(AND(AJ223&lt;&gt;"",AK223&lt;&gt;""),ROUNDUP((AK223-AJ223)/7,0),"")</f>
        <v/>
      </c>
      <c r="AN223">
        <f>IFERROR(IF(AL223*AM223=0,"",AL223*AM223),"")</f>
        <v/>
      </c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L223">
        <f>IFERROR(INDEX('_names_lookup'!$C:$C,MATCH(BK223,'_names_lookup'!$A:$A,0)),"")</f>
        <v/>
      </c>
      <c r="BM223">
        <f>IFERROR(INDEX('_names_lookup'!$B:$B,MATCH(BK223,'_names_lookup'!$A:$A,0)),"")</f>
        <v/>
      </c>
      <c r="BS223">
        <f>IFERROR(IF(BR223*AA223=0,"",BR223*AA223),"")</f>
        <v/>
      </c>
    </row>
    <row r="224">
      <c r="O224">
        <f>IFERROR(INDEX('_courses_lookup'!$C:$C,MATCH(K224&amp;L224,'_courses_lookup'!$E:$E,0)),"")</f>
        <v/>
      </c>
      <c r="P224">
        <f>IFERROR(INDEX('_courses_lookup'!$D:$D,MATCH(K224&amp;L224,'_courses_lookup'!$E:$E,0)),"")</f>
        <v/>
      </c>
      <c r="AG224">
        <f>IF(AND(AE224&lt;&gt;"",AF224&lt;&gt;""),ROUNDUP((AF224-AE224)/7,0),"")</f>
        <v/>
      </c>
      <c r="AI224">
        <f>IFERROR(IF(AG224*AH224=0,"",AG224*AH224),"")</f>
        <v/>
      </c>
      <c r="AL224">
        <f>IF(AND(AJ224&lt;&gt;"",AK224&lt;&gt;""),ROUNDUP((AK224-AJ224)/7,0),"")</f>
        <v/>
      </c>
      <c r="AN224">
        <f>IFERROR(IF(AL224*AM224=0,"",AL224*AM224),"")</f>
        <v/>
      </c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L224">
        <f>IFERROR(INDEX('_names_lookup'!$C:$C,MATCH(BK224,'_names_lookup'!$A:$A,0)),"")</f>
        <v/>
      </c>
      <c r="BM224">
        <f>IFERROR(INDEX('_names_lookup'!$B:$B,MATCH(BK224,'_names_lookup'!$A:$A,0)),"")</f>
        <v/>
      </c>
      <c r="BS224">
        <f>IFERROR(IF(BR224*AA224=0,"",BR224*AA224),"")</f>
        <v/>
      </c>
    </row>
    <row r="225">
      <c r="O225">
        <f>IFERROR(INDEX('_courses_lookup'!$C:$C,MATCH(K225&amp;L225,'_courses_lookup'!$E:$E,0)),"")</f>
        <v/>
      </c>
      <c r="P225">
        <f>IFERROR(INDEX('_courses_lookup'!$D:$D,MATCH(K225&amp;L225,'_courses_lookup'!$E:$E,0)),"")</f>
        <v/>
      </c>
      <c r="AG225">
        <f>IF(AND(AE225&lt;&gt;"",AF225&lt;&gt;""),ROUNDUP((AF225-AE225)/7,0),"")</f>
        <v/>
      </c>
      <c r="AI225">
        <f>IFERROR(IF(AG225*AH225=0,"",AG225*AH225),"")</f>
        <v/>
      </c>
      <c r="AL225">
        <f>IF(AND(AJ225&lt;&gt;"",AK225&lt;&gt;""),ROUNDUP((AK225-AJ225)/7,0),"")</f>
        <v/>
      </c>
      <c r="AN225">
        <f>IFERROR(IF(AL225*AM225=0,"",AL225*AM225),"")</f>
        <v/>
      </c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L225">
        <f>IFERROR(INDEX('_names_lookup'!$C:$C,MATCH(BK225,'_names_lookup'!$A:$A,0)),"")</f>
        <v/>
      </c>
      <c r="BM225">
        <f>IFERROR(INDEX('_names_lookup'!$B:$B,MATCH(BK225,'_names_lookup'!$A:$A,0)),"")</f>
        <v/>
      </c>
      <c r="BS225">
        <f>IFERROR(IF(BR225*AA225=0,"",BR225*AA225),"")</f>
        <v/>
      </c>
    </row>
    <row r="226">
      <c r="O226">
        <f>IFERROR(INDEX('_courses_lookup'!$C:$C,MATCH(K226&amp;L226,'_courses_lookup'!$E:$E,0)),"")</f>
        <v/>
      </c>
      <c r="P226">
        <f>IFERROR(INDEX('_courses_lookup'!$D:$D,MATCH(K226&amp;L226,'_courses_lookup'!$E:$E,0)),"")</f>
        <v/>
      </c>
      <c r="AG226">
        <f>IF(AND(AE226&lt;&gt;"",AF226&lt;&gt;""),ROUNDUP((AF226-AE226)/7,0),"")</f>
        <v/>
      </c>
      <c r="AI226">
        <f>IFERROR(IF(AG226*AH226=0,"",AG226*AH226),"")</f>
        <v/>
      </c>
      <c r="AL226">
        <f>IF(AND(AJ226&lt;&gt;"",AK226&lt;&gt;""),ROUNDUP((AK226-AJ226)/7,0),"")</f>
        <v/>
      </c>
      <c r="AN226">
        <f>IFERROR(IF(AL226*AM226=0,"",AL226*AM226),"")</f>
        <v/>
      </c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L226">
        <f>IFERROR(INDEX('_names_lookup'!$C:$C,MATCH(BK226,'_names_lookup'!$A:$A,0)),"")</f>
        <v/>
      </c>
      <c r="BM226">
        <f>IFERROR(INDEX('_names_lookup'!$B:$B,MATCH(BK226,'_names_lookup'!$A:$A,0)),"")</f>
        <v/>
      </c>
      <c r="BS226">
        <f>IFERROR(IF(BR226*AA226=0,"",BR226*AA226),"")</f>
        <v/>
      </c>
    </row>
    <row r="227">
      <c r="O227">
        <f>IFERROR(INDEX('_courses_lookup'!$C:$C,MATCH(K227&amp;L227,'_courses_lookup'!$E:$E,0)),"")</f>
        <v/>
      </c>
      <c r="P227">
        <f>IFERROR(INDEX('_courses_lookup'!$D:$D,MATCH(K227&amp;L227,'_courses_lookup'!$E:$E,0)),"")</f>
        <v/>
      </c>
      <c r="AG227">
        <f>IF(AND(AE227&lt;&gt;"",AF227&lt;&gt;""),ROUNDUP((AF227-AE227)/7,0),"")</f>
        <v/>
      </c>
      <c r="AI227">
        <f>IFERROR(IF(AG227*AH227=0,"",AG227*AH227),"")</f>
        <v/>
      </c>
      <c r="AL227">
        <f>IF(AND(AJ227&lt;&gt;"",AK227&lt;&gt;""),ROUNDUP((AK227-AJ227)/7,0),"")</f>
        <v/>
      </c>
      <c r="AN227">
        <f>IFERROR(IF(AL227*AM227=0,"",AL227*AM227),"")</f>
        <v/>
      </c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L227">
        <f>IFERROR(INDEX('_names_lookup'!$C:$C,MATCH(BK227,'_names_lookup'!$A:$A,0)),"")</f>
        <v/>
      </c>
      <c r="BM227">
        <f>IFERROR(INDEX('_names_lookup'!$B:$B,MATCH(BK227,'_names_lookup'!$A:$A,0)),"")</f>
        <v/>
      </c>
      <c r="BS227">
        <f>IFERROR(IF(BR227*AA227=0,"",BR227*AA227),"")</f>
        <v/>
      </c>
    </row>
    <row r="228">
      <c r="O228">
        <f>IFERROR(INDEX('_courses_lookup'!$C:$C,MATCH(K228&amp;L228,'_courses_lookup'!$E:$E,0)),"")</f>
        <v/>
      </c>
      <c r="P228">
        <f>IFERROR(INDEX('_courses_lookup'!$D:$D,MATCH(K228&amp;L228,'_courses_lookup'!$E:$E,0)),"")</f>
        <v/>
      </c>
      <c r="AG228">
        <f>IF(AND(AE228&lt;&gt;"",AF228&lt;&gt;""),ROUNDUP((AF228-AE228)/7,0),"")</f>
        <v/>
      </c>
      <c r="AI228">
        <f>IFERROR(IF(AG228*AH228=0,"",AG228*AH228),"")</f>
        <v/>
      </c>
      <c r="AL228">
        <f>IF(AND(AJ228&lt;&gt;"",AK228&lt;&gt;""),ROUNDUP((AK228-AJ228)/7,0),"")</f>
        <v/>
      </c>
      <c r="AN228">
        <f>IFERROR(IF(AL228*AM228=0,"",AL228*AM228),"")</f>
        <v/>
      </c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L228">
        <f>IFERROR(INDEX('_names_lookup'!$C:$C,MATCH(BK228,'_names_lookup'!$A:$A,0)),"")</f>
        <v/>
      </c>
      <c r="BM228">
        <f>IFERROR(INDEX('_names_lookup'!$B:$B,MATCH(BK228,'_names_lookup'!$A:$A,0)),"")</f>
        <v/>
      </c>
      <c r="BS228">
        <f>IFERROR(IF(BR228*AA228=0,"",BR228*AA228),"")</f>
        <v/>
      </c>
    </row>
    <row r="229">
      <c r="O229">
        <f>IFERROR(INDEX('_courses_lookup'!$C:$C,MATCH(K229&amp;L229,'_courses_lookup'!$E:$E,0)),"")</f>
        <v/>
      </c>
      <c r="P229">
        <f>IFERROR(INDEX('_courses_lookup'!$D:$D,MATCH(K229&amp;L229,'_courses_lookup'!$E:$E,0)),"")</f>
        <v/>
      </c>
      <c r="AG229">
        <f>IF(AND(AE229&lt;&gt;"",AF229&lt;&gt;""),ROUNDUP((AF229-AE229)/7,0),"")</f>
        <v/>
      </c>
      <c r="AI229">
        <f>IFERROR(IF(AG229*AH229=0,"",AG229*AH229),"")</f>
        <v/>
      </c>
      <c r="AL229">
        <f>IF(AND(AJ229&lt;&gt;"",AK229&lt;&gt;""),ROUNDUP((AK229-AJ229)/7,0),"")</f>
        <v/>
      </c>
      <c r="AN229">
        <f>IFERROR(IF(AL229*AM229=0,"",AL229*AM229),"")</f>
        <v/>
      </c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L229">
        <f>IFERROR(INDEX('_names_lookup'!$C:$C,MATCH(BK229,'_names_lookup'!$A:$A,0)),"")</f>
        <v/>
      </c>
      <c r="BM229">
        <f>IFERROR(INDEX('_names_lookup'!$B:$B,MATCH(BK229,'_names_lookup'!$A:$A,0)),"")</f>
        <v/>
      </c>
      <c r="BS229">
        <f>IFERROR(IF(BR229*AA229=0,"",BR229*AA229),"")</f>
        <v/>
      </c>
    </row>
    <row r="230">
      <c r="O230">
        <f>IFERROR(INDEX('_courses_lookup'!$C:$C,MATCH(K230&amp;L230,'_courses_lookup'!$E:$E,0)),"")</f>
        <v/>
      </c>
      <c r="P230">
        <f>IFERROR(INDEX('_courses_lookup'!$D:$D,MATCH(K230&amp;L230,'_courses_lookup'!$E:$E,0)),"")</f>
        <v/>
      </c>
      <c r="AG230">
        <f>IF(AND(AE230&lt;&gt;"",AF230&lt;&gt;""),ROUNDUP((AF230-AE230)/7,0),"")</f>
        <v/>
      </c>
      <c r="AI230">
        <f>IFERROR(IF(AG230*AH230=0,"",AG230*AH230),"")</f>
        <v/>
      </c>
      <c r="AL230">
        <f>IF(AND(AJ230&lt;&gt;"",AK230&lt;&gt;""),ROUNDUP((AK230-AJ230)/7,0),"")</f>
        <v/>
      </c>
      <c r="AN230">
        <f>IFERROR(IF(AL230*AM230=0,"",AL230*AM230),"")</f>
        <v/>
      </c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L230">
        <f>IFERROR(INDEX('_names_lookup'!$C:$C,MATCH(BK230,'_names_lookup'!$A:$A,0)),"")</f>
        <v/>
      </c>
      <c r="BM230">
        <f>IFERROR(INDEX('_names_lookup'!$B:$B,MATCH(BK230,'_names_lookup'!$A:$A,0)),"")</f>
        <v/>
      </c>
      <c r="BS230">
        <f>IFERROR(IF(BR230*AA230=0,"",BR230*AA230),"")</f>
        <v/>
      </c>
    </row>
    <row r="231">
      <c r="O231">
        <f>IFERROR(INDEX('_courses_lookup'!$C:$C,MATCH(K231&amp;L231,'_courses_lookup'!$E:$E,0)),"")</f>
        <v/>
      </c>
      <c r="P231">
        <f>IFERROR(INDEX('_courses_lookup'!$D:$D,MATCH(K231&amp;L231,'_courses_lookup'!$E:$E,0)),"")</f>
        <v/>
      </c>
      <c r="AG231">
        <f>IF(AND(AE231&lt;&gt;"",AF231&lt;&gt;""),ROUNDUP((AF231-AE231)/7,0),"")</f>
        <v/>
      </c>
      <c r="AI231">
        <f>IFERROR(IF(AG231*AH231=0,"",AG231*AH231),"")</f>
        <v/>
      </c>
      <c r="AL231">
        <f>IF(AND(AJ231&lt;&gt;"",AK231&lt;&gt;""),ROUNDUP((AK231-AJ231)/7,0),"")</f>
        <v/>
      </c>
      <c r="AN231">
        <f>IFERROR(IF(AL231*AM231=0,"",AL231*AM231),"")</f>
        <v/>
      </c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L231">
        <f>IFERROR(INDEX('_names_lookup'!$C:$C,MATCH(BK231,'_names_lookup'!$A:$A,0)),"")</f>
        <v/>
      </c>
      <c r="BM231">
        <f>IFERROR(INDEX('_names_lookup'!$B:$B,MATCH(BK231,'_names_lookup'!$A:$A,0)),"")</f>
        <v/>
      </c>
      <c r="BS231">
        <f>IFERROR(IF(BR231*AA231=0,"",BR231*AA231),"")</f>
        <v/>
      </c>
    </row>
    <row r="232">
      <c r="O232">
        <f>IFERROR(INDEX('_courses_lookup'!$C:$C,MATCH(K232&amp;L232,'_courses_lookup'!$E:$E,0)),"")</f>
        <v/>
      </c>
      <c r="P232">
        <f>IFERROR(INDEX('_courses_lookup'!$D:$D,MATCH(K232&amp;L232,'_courses_lookup'!$E:$E,0)),"")</f>
        <v/>
      </c>
      <c r="AG232">
        <f>IF(AND(AE232&lt;&gt;"",AF232&lt;&gt;""),ROUNDUP((AF232-AE232)/7,0),"")</f>
        <v/>
      </c>
      <c r="AI232">
        <f>IFERROR(IF(AG232*AH232=0,"",AG232*AH232),"")</f>
        <v/>
      </c>
      <c r="AL232">
        <f>IF(AND(AJ232&lt;&gt;"",AK232&lt;&gt;""),ROUNDUP((AK232-AJ232)/7,0),"")</f>
        <v/>
      </c>
      <c r="AN232">
        <f>IFERROR(IF(AL232*AM232=0,"",AL232*AM232),"")</f>
        <v/>
      </c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L232">
        <f>IFERROR(INDEX('_names_lookup'!$C:$C,MATCH(BK232,'_names_lookup'!$A:$A,0)),"")</f>
        <v/>
      </c>
      <c r="BM232">
        <f>IFERROR(INDEX('_names_lookup'!$B:$B,MATCH(BK232,'_names_lookup'!$A:$A,0)),"")</f>
        <v/>
      </c>
      <c r="BS232">
        <f>IFERROR(IF(BR232*AA232=0,"",BR232*AA232),"")</f>
        <v/>
      </c>
    </row>
    <row r="233">
      <c r="O233">
        <f>IFERROR(INDEX('_courses_lookup'!$C:$C,MATCH(K233&amp;L233,'_courses_lookup'!$E:$E,0)),"")</f>
        <v/>
      </c>
      <c r="P233">
        <f>IFERROR(INDEX('_courses_lookup'!$D:$D,MATCH(K233&amp;L233,'_courses_lookup'!$E:$E,0)),"")</f>
        <v/>
      </c>
      <c r="AG233">
        <f>IF(AND(AE233&lt;&gt;"",AF233&lt;&gt;""),ROUNDUP((AF233-AE233)/7,0),"")</f>
        <v/>
      </c>
      <c r="AI233">
        <f>IFERROR(IF(AG233*AH233=0,"",AG233*AH233),"")</f>
        <v/>
      </c>
      <c r="AL233">
        <f>IF(AND(AJ233&lt;&gt;"",AK233&lt;&gt;""),ROUNDUP((AK233-AJ233)/7,0),"")</f>
        <v/>
      </c>
      <c r="AN233">
        <f>IFERROR(IF(AL233*AM233=0,"",AL233*AM233),"")</f>
        <v/>
      </c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L233">
        <f>IFERROR(INDEX('_names_lookup'!$C:$C,MATCH(BK233,'_names_lookup'!$A:$A,0)),"")</f>
        <v/>
      </c>
      <c r="BM233">
        <f>IFERROR(INDEX('_names_lookup'!$B:$B,MATCH(BK233,'_names_lookup'!$A:$A,0)),"")</f>
        <v/>
      </c>
      <c r="BS233">
        <f>IFERROR(IF(BR233*AA233=0,"",BR233*AA233),"")</f>
        <v/>
      </c>
    </row>
    <row r="234">
      <c r="O234">
        <f>IFERROR(INDEX('_courses_lookup'!$C:$C,MATCH(K234&amp;L234,'_courses_lookup'!$E:$E,0)),"")</f>
        <v/>
      </c>
      <c r="P234">
        <f>IFERROR(INDEX('_courses_lookup'!$D:$D,MATCH(K234&amp;L234,'_courses_lookup'!$E:$E,0)),"")</f>
        <v/>
      </c>
      <c r="AG234">
        <f>IF(AND(AE234&lt;&gt;"",AF234&lt;&gt;""),ROUNDUP((AF234-AE234)/7,0),"")</f>
        <v/>
      </c>
      <c r="AI234">
        <f>IFERROR(IF(AG234*AH234=0,"",AG234*AH234),"")</f>
        <v/>
      </c>
      <c r="AL234">
        <f>IF(AND(AJ234&lt;&gt;"",AK234&lt;&gt;""),ROUNDUP((AK234-AJ234)/7,0),"")</f>
        <v/>
      </c>
      <c r="AN234">
        <f>IFERROR(IF(AL234*AM234=0,"",AL234*AM234),"")</f>
        <v/>
      </c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L234">
        <f>IFERROR(INDEX('_names_lookup'!$C:$C,MATCH(BK234,'_names_lookup'!$A:$A,0)),"")</f>
        <v/>
      </c>
      <c r="BM234">
        <f>IFERROR(INDEX('_names_lookup'!$B:$B,MATCH(BK234,'_names_lookup'!$A:$A,0)),"")</f>
        <v/>
      </c>
      <c r="BS234">
        <f>IFERROR(IF(BR234*AA234=0,"",BR234*AA234),"")</f>
        <v/>
      </c>
    </row>
    <row r="235">
      <c r="O235">
        <f>IFERROR(INDEX('_courses_lookup'!$C:$C,MATCH(K235&amp;L235,'_courses_lookup'!$E:$E,0)),"")</f>
        <v/>
      </c>
      <c r="P235">
        <f>IFERROR(INDEX('_courses_lookup'!$D:$D,MATCH(K235&amp;L235,'_courses_lookup'!$E:$E,0)),"")</f>
        <v/>
      </c>
      <c r="AG235">
        <f>IF(AND(AE235&lt;&gt;"",AF235&lt;&gt;""),ROUNDUP((AF235-AE235)/7,0),"")</f>
        <v/>
      </c>
      <c r="AI235">
        <f>IFERROR(IF(AG235*AH235=0,"",AG235*AH235),"")</f>
        <v/>
      </c>
      <c r="AL235">
        <f>IF(AND(AJ235&lt;&gt;"",AK235&lt;&gt;""),ROUNDUP((AK235-AJ235)/7,0),"")</f>
        <v/>
      </c>
      <c r="AN235">
        <f>IFERROR(IF(AL235*AM235=0,"",AL235*AM235),"")</f>
        <v/>
      </c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L235">
        <f>IFERROR(INDEX('_names_lookup'!$C:$C,MATCH(BK235,'_names_lookup'!$A:$A,0)),"")</f>
        <v/>
      </c>
      <c r="BM235">
        <f>IFERROR(INDEX('_names_lookup'!$B:$B,MATCH(BK235,'_names_lookup'!$A:$A,0)),"")</f>
        <v/>
      </c>
      <c r="BS235">
        <f>IFERROR(IF(BR235*AA235=0,"",BR235*AA235),"")</f>
        <v/>
      </c>
    </row>
    <row r="236">
      <c r="O236">
        <f>IFERROR(INDEX('_courses_lookup'!$C:$C,MATCH(K236&amp;L236,'_courses_lookup'!$E:$E,0)),"")</f>
        <v/>
      </c>
      <c r="P236">
        <f>IFERROR(INDEX('_courses_lookup'!$D:$D,MATCH(K236&amp;L236,'_courses_lookup'!$E:$E,0)),"")</f>
        <v/>
      </c>
      <c r="AG236">
        <f>IF(AND(AE236&lt;&gt;"",AF236&lt;&gt;""),ROUNDUP((AF236-AE236)/7,0),"")</f>
        <v/>
      </c>
      <c r="AI236">
        <f>IFERROR(IF(AG236*AH236=0,"",AG236*AH236),"")</f>
        <v/>
      </c>
      <c r="AL236">
        <f>IF(AND(AJ236&lt;&gt;"",AK236&lt;&gt;""),ROUNDUP((AK236-AJ236)/7,0),"")</f>
        <v/>
      </c>
      <c r="AN236">
        <f>IFERROR(IF(AL236*AM236=0,"",AL236*AM236),"")</f>
        <v/>
      </c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L236">
        <f>IFERROR(INDEX('_names_lookup'!$C:$C,MATCH(BK236,'_names_lookup'!$A:$A,0)),"")</f>
        <v/>
      </c>
      <c r="BM236">
        <f>IFERROR(INDEX('_names_lookup'!$B:$B,MATCH(BK236,'_names_lookup'!$A:$A,0)),"")</f>
        <v/>
      </c>
      <c r="BS236">
        <f>IFERROR(IF(BR236*AA236=0,"",BR236*AA236),"")</f>
        <v/>
      </c>
    </row>
    <row r="237">
      <c r="O237">
        <f>IFERROR(INDEX('_courses_lookup'!$C:$C,MATCH(K237&amp;L237,'_courses_lookup'!$E:$E,0)),"")</f>
        <v/>
      </c>
      <c r="P237">
        <f>IFERROR(INDEX('_courses_lookup'!$D:$D,MATCH(K237&amp;L237,'_courses_lookup'!$E:$E,0)),"")</f>
        <v/>
      </c>
      <c r="AG237">
        <f>IF(AND(AE237&lt;&gt;"",AF237&lt;&gt;""),ROUNDUP((AF237-AE237)/7,0),"")</f>
        <v/>
      </c>
      <c r="AI237">
        <f>IFERROR(IF(AG237*AH237=0,"",AG237*AH237),"")</f>
        <v/>
      </c>
      <c r="AL237">
        <f>IF(AND(AJ237&lt;&gt;"",AK237&lt;&gt;""),ROUNDUP((AK237-AJ237)/7,0),"")</f>
        <v/>
      </c>
      <c r="AN237">
        <f>IFERROR(IF(AL237*AM237=0,"",AL237*AM237),"")</f>
        <v/>
      </c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L237">
        <f>IFERROR(INDEX('_names_lookup'!$C:$C,MATCH(BK237,'_names_lookup'!$A:$A,0)),"")</f>
        <v/>
      </c>
      <c r="BM237">
        <f>IFERROR(INDEX('_names_lookup'!$B:$B,MATCH(BK237,'_names_lookup'!$A:$A,0)),"")</f>
        <v/>
      </c>
      <c r="BS237">
        <f>IFERROR(IF(BR237*AA237=0,"",BR237*AA237),"")</f>
        <v/>
      </c>
    </row>
    <row r="238">
      <c r="O238">
        <f>IFERROR(INDEX('_courses_lookup'!$C:$C,MATCH(K238&amp;L238,'_courses_lookup'!$E:$E,0)),"")</f>
        <v/>
      </c>
      <c r="P238">
        <f>IFERROR(INDEX('_courses_lookup'!$D:$D,MATCH(K238&amp;L238,'_courses_lookup'!$E:$E,0)),"")</f>
        <v/>
      </c>
      <c r="AG238">
        <f>IF(AND(AE238&lt;&gt;"",AF238&lt;&gt;""),ROUNDUP((AF238-AE238)/7,0),"")</f>
        <v/>
      </c>
      <c r="AI238">
        <f>IFERROR(IF(AG238*AH238=0,"",AG238*AH238),"")</f>
        <v/>
      </c>
      <c r="AL238">
        <f>IF(AND(AJ238&lt;&gt;"",AK238&lt;&gt;""),ROUNDUP((AK238-AJ238)/7,0),"")</f>
        <v/>
      </c>
      <c r="AN238">
        <f>IFERROR(IF(AL238*AM238=0,"",AL238*AM238),"")</f>
        <v/>
      </c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L238">
        <f>IFERROR(INDEX('_names_lookup'!$C:$C,MATCH(BK238,'_names_lookup'!$A:$A,0)),"")</f>
        <v/>
      </c>
      <c r="BM238">
        <f>IFERROR(INDEX('_names_lookup'!$B:$B,MATCH(BK238,'_names_lookup'!$A:$A,0)),"")</f>
        <v/>
      </c>
      <c r="BS238">
        <f>IFERROR(IF(BR238*AA238=0,"",BR238*AA238),"")</f>
        <v/>
      </c>
    </row>
    <row r="239">
      <c r="O239">
        <f>IFERROR(INDEX('_courses_lookup'!$C:$C,MATCH(K239&amp;L239,'_courses_lookup'!$E:$E,0)),"")</f>
        <v/>
      </c>
      <c r="P239">
        <f>IFERROR(INDEX('_courses_lookup'!$D:$D,MATCH(K239&amp;L239,'_courses_lookup'!$E:$E,0)),"")</f>
        <v/>
      </c>
      <c r="AG239">
        <f>IF(AND(AE239&lt;&gt;"",AF239&lt;&gt;""),ROUNDUP((AF239-AE239)/7,0),"")</f>
        <v/>
      </c>
      <c r="AI239">
        <f>IFERROR(IF(AG239*AH239=0,"",AG239*AH239),"")</f>
        <v/>
      </c>
      <c r="AL239">
        <f>IF(AND(AJ239&lt;&gt;"",AK239&lt;&gt;""),ROUNDUP((AK239-AJ239)/7,0),"")</f>
        <v/>
      </c>
      <c r="AN239">
        <f>IFERROR(IF(AL239*AM239=0,"",AL239*AM239),"")</f>
        <v/>
      </c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L239">
        <f>IFERROR(INDEX('_names_lookup'!$C:$C,MATCH(BK239,'_names_lookup'!$A:$A,0)),"")</f>
        <v/>
      </c>
      <c r="BM239">
        <f>IFERROR(INDEX('_names_lookup'!$B:$B,MATCH(BK239,'_names_lookup'!$A:$A,0)),"")</f>
        <v/>
      </c>
      <c r="BS239">
        <f>IFERROR(IF(BR239*AA239=0,"",BR239*AA239),"")</f>
        <v/>
      </c>
    </row>
    <row r="240">
      <c r="O240">
        <f>IFERROR(INDEX('_courses_lookup'!$C:$C,MATCH(K240&amp;L240,'_courses_lookup'!$E:$E,0)),"")</f>
        <v/>
      </c>
      <c r="P240">
        <f>IFERROR(INDEX('_courses_lookup'!$D:$D,MATCH(K240&amp;L240,'_courses_lookup'!$E:$E,0)),"")</f>
        <v/>
      </c>
      <c r="AG240">
        <f>IF(AND(AE240&lt;&gt;"",AF240&lt;&gt;""),ROUNDUP((AF240-AE240)/7,0),"")</f>
        <v/>
      </c>
      <c r="AI240">
        <f>IFERROR(IF(AG240*AH240=0,"",AG240*AH240),"")</f>
        <v/>
      </c>
      <c r="AL240">
        <f>IF(AND(AJ240&lt;&gt;"",AK240&lt;&gt;""),ROUNDUP((AK240-AJ240)/7,0),"")</f>
        <v/>
      </c>
      <c r="AN240">
        <f>IFERROR(IF(AL240*AM240=0,"",AL240*AM240),"")</f>
        <v/>
      </c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L240">
        <f>IFERROR(INDEX('_names_lookup'!$C:$C,MATCH(BK240,'_names_lookup'!$A:$A,0)),"")</f>
        <v/>
      </c>
      <c r="BM240">
        <f>IFERROR(INDEX('_names_lookup'!$B:$B,MATCH(BK240,'_names_lookup'!$A:$A,0)),"")</f>
        <v/>
      </c>
      <c r="BS240">
        <f>IFERROR(IF(BR240*AA240=0,"",BR240*AA240),"")</f>
        <v/>
      </c>
    </row>
    <row r="241">
      <c r="O241">
        <f>IFERROR(INDEX('_courses_lookup'!$C:$C,MATCH(K241&amp;L241,'_courses_lookup'!$E:$E,0)),"")</f>
        <v/>
      </c>
      <c r="P241">
        <f>IFERROR(INDEX('_courses_lookup'!$D:$D,MATCH(K241&amp;L241,'_courses_lookup'!$E:$E,0)),"")</f>
        <v/>
      </c>
      <c r="AG241">
        <f>IF(AND(AE241&lt;&gt;"",AF241&lt;&gt;""),ROUNDUP((AF241-AE241)/7,0),"")</f>
        <v/>
      </c>
      <c r="AI241">
        <f>IFERROR(IF(AG241*AH241=0,"",AG241*AH241),"")</f>
        <v/>
      </c>
      <c r="AL241">
        <f>IF(AND(AJ241&lt;&gt;"",AK241&lt;&gt;""),ROUNDUP((AK241-AJ241)/7,0),"")</f>
        <v/>
      </c>
      <c r="AN241">
        <f>IFERROR(IF(AL241*AM241=0,"",AL241*AM241),"")</f>
        <v/>
      </c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L241">
        <f>IFERROR(INDEX('_names_lookup'!$C:$C,MATCH(BK241,'_names_lookup'!$A:$A,0)),"")</f>
        <v/>
      </c>
      <c r="BM241">
        <f>IFERROR(INDEX('_names_lookup'!$B:$B,MATCH(BK241,'_names_lookup'!$A:$A,0)),"")</f>
        <v/>
      </c>
      <c r="BS241">
        <f>IFERROR(IF(BR241*AA241=0,"",BR241*AA241),"")</f>
        <v/>
      </c>
    </row>
    <row r="242">
      <c r="O242">
        <f>IFERROR(INDEX('_courses_lookup'!$C:$C,MATCH(K242&amp;L242,'_courses_lookup'!$E:$E,0)),"")</f>
        <v/>
      </c>
      <c r="P242">
        <f>IFERROR(INDEX('_courses_lookup'!$D:$D,MATCH(K242&amp;L242,'_courses_lookup'!$E:$E,0)),"")</f>
        <v/>
      </c>
      <c r="AG242">
        <f>IF(AND(AE242&lt;&gt;"",AF242&lt;&gt;""),ROUNDUP((AF242-AE242)/7,0),"")</f>
        <v/>
      </c>
      <c r="AI242">
        <f>IFERROR(IF(AG242*AH242=0,"",AG242*AH242),"")</f>
        <v/>
      </c>
      <c r="AL242">
        <f>IF(AND(AJ242&lt;&gt;"",AK242&lt;&gt;""),ROUNDUP((AK242-AJ242)/7,0),"")</f>
        <v/>
      </c>
      <c r="AN242">
        <f>IFERROR(IF(AL242*AM242=0,"",AL242*AM242),"")</f>
        <v/>
      </c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L242">
        <f>IFERROR(INDEX('_names_lookup'!$C:$C,MATCH(BK242,'_names_lookup'!$A:$A,0)),"")</f>
        <v/>
      </c>
      <c r="BM242">
        <f>IFERROR(INDEX('_names_lookup'!$B:$B,MATCH(BK242,'_names_lookup'!$A:$A,0)),"")</f>
        <v/>
      </c>
      <c r="BS242">
        <f>IFERROR(IF(BR242*AA242=0,"",BR242*AA242),"")</f>
        <v/>
      </c>
    </row>
    <row r="243">
      <c r="O243">
        <f>IFERROR(INDEX('_courses_lookup'!$C:$C,MATCH(K243&amp;L243,'_courses_lookup'!$E:$E,0)),"")</f>
        <v/>
      </c>
      <c r="P243">
        <f>IFERROR(INDEX('_courses_lookup'!$D:$D,MATCH(K243&amp;L243,'_courses_lookup'!$E:$E,0)),"")</f>
        <v/>
      </c>
      <c r="AG243">
        <f>IF(AND(AE243&lt;&gt;"",AF243&lt;&gt;""),ROUNDUP((AF243-AE243)/7,0),"")</f>
        <v/>
      </c>
      <c r="AI243">
        <f>IFERROR(IF(AG243*AH243=0,"",AG243*AH243),"")</f>
        <v/>
      </c>
      <c r="AL243">
        <f>IF(AND(AJ243&lt;&gt;"",AK243&lt;&gt;""),ROUNDUP((AK243-AJ243)/7,0),"")</f>
        <v/>
      </c>
      <c r="AN243">
        <f>IFERROR(IF(AL243*AM243=0,"",AL243*AM243),"")</f>
        <v/>
      </c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L243">
        <f>IFERROR(INDEX('_names_lookup'!$C:$C,MATCH(BK243,'_names_lookup'!$A:$A,0)),"")</f>
        <v/>
      </c>
      <c r="BM243">
        <f>IFERROR(INDEX('_names_lookup'!$B:$B,MATCH(BK243,'_names_lookup'!$A:$A,0)),"")</f>
        <v/>
      </c>
      <c r="BS243">
        <f>IFERROR(IF(BR243*AA243=0,"",BR243*AA243),"")</f>
        <v/>
      </c>
    </row>
    <row r="244">
      <c r="O244">
        <f>IFERROR(INDEX('_courses_lookup'!$C:$C,MATCH(K244&amp;L244,'_courses_lookup'!$E:$E,0)),"")</f>
        <v/>
      </c>
      <c r="P244">
        <f>IFERROR(INDEX('_courses_lookup'!$D:$D,MATCH(K244&amp;L244,'_courses_lookup'!$E:$E,0)),"")</f>
        <v/>
      </c>
      <c r="AG244">
        <f>IF(AND(AE244&lt;&gt;"",AF244&lt;&gt;""),ROUNDUP((AF244-AE244)/7,0),"")</f>
        <v/>
      </c>
      <c r="AI244">
        <f>IFERROR(IF(AG244*AH244=0,"",AG244*AH244),"")</f>
        <v/>
      </c>
      <c r="AL244">
        <f>IF(AND(AJ244&lt;&gt;"",AK244&lt;&gt;""),ROUNDUP((AK244-AJ244)/7,0),"")</f>
        <v/>
      </c>
      <c r="AN244">
        <f>IFERROR(IF(AL244*AM244=0,"",AL244*AM244),"")</f>
        <v/>
      </c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L244">
        <f>IFERROR(INDEX('_names_lookup'!$C:$C,MATCH(BK244,'_names_lookup'!$A:$A,0)),"")</f>
        <v/>
      </c>
      <c r="BM244">
        <f>IFERROR(INDEX('_names_lookup'!$B:$B,MATCH(BK244,'_names_lookup'!$A:$A,0)),"")</f>
        <v/>
      </c>
      <c r="BS244">
        <f>IFERROR(IF(BR244*AA244=0,"",BR244*AA244),"")</f>
        <v/>
      </c>
    </row>
    <row r="245">
      <c r="O245">
        <f>IFERROR(INDEX('_courses_lookup'!$C:$C,MATCH(K245&amp;L245,'_courses_lookup'!$E:$E,0)),"")</f>
        <v/>
      </c>
      <c r="P245">
        <f>IFERROR(INDEX('_courses_lookup'!$D:$D,MATCH(K245&amp;L245,'_courses_lookup'!$E:$E,0)),"")</f>
        <v/>
      </c>
      <c r="AG245">
        <f>IF(AND(AE245&lt;&gt;"",AF245&lt;&gt;""),ROUNDUP((AF245-AE245)/7,0),"")</f>
        <v/>
      </c>
      <c r="AI245">
        <f>IFERROR(IF(AG245*AH245=0,"",AG245*AH245),"")</f>
        <v/>
      </c>
      <c r="AL245">
        <f>IF(AND(AJ245&lt;&gt;"",AK245&lt;&gt;""),ROUNDUP((AK245-AJ245)/7,0),"")</f>
        <v/>
      </c>
      <c r="AN245">
        <f>IFERROR(IF(AL245*AM245=0,"",AL245*AM245),"")</f>
        <v/>
      </c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L245">
        <f>IFERROR(INDEX('_names_lookup'!$C:$C,MATCH(BK245,'_names_lookup'!$A:$A,0)),"")</f>
        <v/>
      </c>
      <c r="BM245">
        <f>IFERROR(INDEX('_names_lookup'!$B:$B,MATCH(BK245,'_names_lookup'!$A:$A,0)),"")</f>
        <v/>
      </c>
      <c r="BS245">
        <f>IFERROR(IF(BR245*AA245=0,"",BR245*AA245),"")</f>
        <v/>
      </c>
    </row>
    <row r="246">
      <c r="O246">
        <f>IFERROR(INDEX('_courses_lookup'!$C:$C,MATCH(K246&amp;L246,'_courses_lookup'!$E:$E,0)),"")</f>
        <v/>
      </c>
      <c r="P246">
        <f>IFERROR(INDEX('_courses_lookup'!$D:$D,MATCH(K246&amp;L246,'_courses_lookup'!$E:$E,0)),"")</f>
        <v/>
      </c>
      <c r="AG246">
        <f>IF(AND(AE246&lt;&gt;"",AF246&lt;&gt;""),ROUNDUP((AF246-AE246)/7,0),"")</f>
        <v/>
      </c>
      <c r="AI246">
        <f>IFERROR(IF(AG246*AH246=0,"",AG246*AH246),"")</f>
        <v/>
      </c>
      <c r="AL246">
        <f>IF(AND(AJ246&lt;&gt;"",AK246&lt;&gt;""),ROUNDUP((AK246-AJ246)/7,0),"")</f>
        <v/>
      </c>
      <c r="AN246">
        <f>IFERROR(IF(AL246*AM246=0,"",AL246*AM246),"")</f>
        <v/>
      </c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L246">
        <f>IFERROR(INDEX('_names_lookup'!$C:$C,MATCH(BK246,'_names_lookup'!$A:$A,0)),"")</f>
        <v/>
      </c>
      <c r="BM246">
        <f>IFERROR(INDEX('_names_lookup'!$B:$B,MATCH(BK246,'_names_lookup'!$A:$A,0)),"")</f>
        <v/>
      </c>
      <c r="BS246">
        <f>IFERROR(IF(BR246*AA246=0,"",BR246*AA246),"")</f>
        <v/>
      </c>
    </row>
    <row r="247">
      <c r="O247">
        <f>IFERROR(INDEX('_courses_lookup'!$C:$C,MATCH(K247&amp;L247,'_courses_lookup'!$E:$E,0)),"")</f>
        <v/>
      </c>
      <c r="P247">
        <f>IFERROR(INDEX('_courses_lookup'!$D:$D,MATCH(K247&amp;L247,'_courses_lookup'!$E:$E,0)),"")</f>
        <v/>
      </c>
      <c r="AG247">
        <f>IF(AND(AE247&lt;&gt;"",AF247&lt;&gt;""),ROUNDUP((AF247-AE247)/7,0),"")</f>
        <v/>
      </c>
      <c r="AI247">
        <f>IFERROR(IF(AG247*AH247=0,"",AG247*AH247),"")</f>
        <v/>
      </c>
      <c r="AL247">
        <f>IF(AND(AJ247&lt;&gt;"",AK247&lt;&gt;""),ROUNDUP((AK247-AJ247)/7,0),"")</f>
        <v/>
      </c>
      <c r="AN247">
        <f>IFERROR(IF(AL247*AM247=0,"",AL247*AM247),"")</f>
        <v/>
      </c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L247">
        <f>IFERROR(INDEX('_names_lookup'!$C:$C,MATCH(BK247,'_names_lookup'!$A:$A,0)),"")</f>
        <v/>
      </c>
      <c r="BM247">
        <f>IFERROR(INDEX('_names_lookup'!$B:$B,MATCH(BK247,'_names_lookup'!$A:$A,0)),"")</f>
        <v/>
      </c>
      <c r="BS247">
        <f>IFERROR(IF(BR247*AA247=0,"",BR247*AA247),"")</f>
        <v/>
      </c>
    </row>
    <row r="248">
      <c r="O248">
        <f>IFERROR(INDEX('_courses_lookup'!$C:$C,MATCH(K248&amp;L248,'_courses_lookup'!$E:$E,0)),"")</f>
        <v/>
      </c>
      <c r="P248">
        <f>IFERROR(INDEX('_courses_lookup'!$D:$D,MATCH(K248&amp;L248,'_courses_lookup'!$E:$E,0)),"")</f>
        <v/>
      </c>
      <c r="AG248">
        <f>IF(AND(AE248&lt;&gt;"",AF248&lt;&gt;""),ROUNDUP((AF248-AE248)/7,0),"")</f>
        <v/>
      </c>
      <c r="AI248">
        <f>IFERROR(IF(AG248*AH248=0,"",AG248*AH248),"")</f>
        <v/>
      </c>
      <c r="AL248">
        <f>IF(AND(AJ248&lt;&gt;"",AK248&lt;&gt;""),ROUNDUP((AK248-AJ248)/7,0),"")</f>
        <v/>
      </c>
      <c r="AN248">
        <f>IFERROR(IF(AL248*AM248=0,"",AL248*AM248),"")</f>
        <v/>
      </c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L248">
        <f>IFERROR(INDEX('_names_lookup'!$C:$C,MATCH(BK248,'_names_lookup'!$A:$A,0)),"")</f>
        <v/>
      </c>
      <c r="BM248">
        <f>IFERROR(INDEX('_names_lookup'!$B:$B,MATCH(BK248,'_names_lookup'!$A:$A,0)),"")</f>
        <v/>
      </c>
      <c r="BS248">
        <f>IFERROR(IF(BR248*AA248=0,"",BR248*AA248),"")</f>
        <v/>
      </c>
    </row>
    <row r="249">
      <c r="O249">
        <f>IFERROR(INDEX('_courses_lookup'!$C:$C,MATCH(K249&amp;L249,'_courses_lookup'!$E:$E,0)),"")</f>
        <v/>
      </c>
      <c r="P249">
        <f>IFERROR(INDEX('_courses_lookup'!$D:$D,MATCH(K249&amp;L249,'_courses_lookup'!$E:$E,0)),"")</f>
        <v/>
      </c>
      <c r="AG249">
        <f>IF(AND(AE249&lt;&gt;"",AF249&lt;&gt;""),ROUNDUP((AF249-AE249)/7,0),"")</f>
        <v/>
      </c>
      <c r="AI249">
        <f>IFERROR(IF(AG249*AH249=0,"",AG249*AH249),"")</f>
        <v/>
      </c>
      <c r="AL249">
        <f>IF(AND(AJ249&lt;&gt;"",AK249&lt;&gt;""),ROUNDUP((AK249-AJ249)/7,0),"")</f>
        <v/>
      </c>
      <c r="AN249">
        <f>IFERROR(IF(AL249*AM249=0,"",AL249*AM249),"")</f>
        <v/>
      </c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L249">
        <f>IFERROR(INDEX('_names_lookup'!$C:$C,MATCH(BK249,'_names_lookup'!$A:$A,0)),"")</f>
        <v/>
      </c>
      <c r="BM249">
        <f>IFERROR(INDEX('_names_lookup'!$B:$B,MATCH(BK249,'_names_lookup'!$A:$A,0)),"")</f>
        <v/>
      </c>
      <c r="BS249">
        <f>IFERROR(IF(BR249*AA249=0,"",BR249*AA249),"")</f>
        <v/>
      </c>
    </row>
    <row r="250">
      <c r="O250">
        <f>IFERROR(INDEX('_courses_lookup'!$C:$C,MATCH(K250&amp;L250,'_courses_lookup'!$E:$E,0)),"")</f>
        <v/>
      </c>
      <c r="P250">
        <f>IFERROR(INDEX('_courses_lookup'!$D:$D,MATCH(K250&amp;L250,'_courses_lookup'!$E:$E,0)),"")</f>
        <v/>
      </c>
      <c r="AG250">
        <f>IF(AND(AE250&lt;&gt;"",AF250&lt;&gt;""),ROUNDUP((AF250-AE250)/7,0),"")</f>
        <v/>
      </c>
      <c r="AI250">
        <f>IFERROR(IF(AG250*AH250=0,"",AG250*AH250),"")</f>
        <v/>
      </c>
      <c r="AL250">
        <f>IF(AND(AJ250&lt;&gt;"",AK250&lt;&gt;""),ROUNDUP((AK250-AJ250)/7,0),"")</f>
        <v/>
      </c>
      <c r="AN250">
        <f>IFERROR(IF(AL250*AM250=0,"",AL250*AM250),"")</f>
        <v/>
      </c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L250">
        <f>IFERROR(INDEX('_names_lookup'!$C:$C,MATCH(BK250,'_names_lookup'!$A:$A,0)),"")</f>
        <v/>
      </c>
      <c r="BM250">
        <f>IFERROR(INDEX('_names_lookup'!$B:$B,MATCH(BK250,'_names_lookup'!$A:$A,0)),"")</f>
        <v/>
      </c>
      <c r="BS250">
        <f>IFERROR(IF(BR250*AA250=0,"",BR250*AA250),"")</f>
        <v/>
      </c>
    </row>
    <row r="251">
      <c r="O251">
        <f>IFERROR(INDEX('_courses_lookup'!$C:$C,MATCH(K251&amp;L251,'_courses_lookup'!$E:$E,0)),"")</f>
        <v/>
      </c>
      <c r="P251">
        <f>IFERROR(INDEX('_courses_lookup'!$D:$D,MATCH(K251&amp;L251,'_courses_lookup'!$E:$E,0)),"")</f>
        <v/>
      </c>
      <c r="AG251">
        <f>IF(AND(AE251&lt;&gt;"",AF251&lt;&gt;""),ROUNDUP((AF251-AE251)/7,0),"")</f>
        <v/>
      </c>
      <c r="AI251">
        <f>IFERROR(IF(AG251*AH251=0,"",AG251*AH251),"")</f>
        <v/>
      </c>
      <c r="AL251">
        <f>IF(AND(AJ251&lt;&gt;"",AK251&lt;&gt;""),ROUNDUP((AK251-AJ251)/7,0),"")</f>
        <v/>
      </c>
      <c r="AN251">
        <f>IFERROR(IF(AL251*AM251=0,"",AL251*AM251),"")</f>
        <v/>
      </c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L251">
        <f>IFERROR(INDEX('_names_lookup'!$C:$C,MATCH(BK251,'_names_lookup'!$A:$A,0)),"")</f>
        <v/>
      </c>
      <c r="BM251">
        <f>IFERROR(INDEX('_names_lookup'!$B:$B,MATCH(BK251,'_names_lookup'!$A:$A,0)),"")</f>
        <v/>
      </c>
      <c r="BS251">
        <f>IFERROR(IF(BR251*AA251=0,"",BR251*AA251),"")</f>
        <v/>
      </c>
    </row>
    <row r="252">
      <c r="O252">
        <f>IFERROR(INDEX('_courses_lookup'!$C:$C,MATCH(K252&amp;L252,'_courses_lookup'!$E:$E,0)),"")</f>
        <v/>
      </c>
      <c r="P252">
        <f>IFERROR(INDEX('_courses_lookup'!$D:$D,MATCH(K252&amp;L252,'_courses_lookup'!$E:$E,0)),"")</f>
        <v/>
      </c>
      <c r="AG252">
        <f>IF(AND(AE252&lt;&gt;"",AF252&lt;&gt;""),ROUNDUP((AF252-AE252)/7,0),"")</f>
        <v/>
      </c>
      <c r="AI252">
        <f>IFERROR(IF(AG252*AH252=0,"",AG252*AH252),"")</f>
        <v/>
      </c>
      <c r="AL252">
        <f>IF(AND(AJ252&lt;&gt;"",AK252&lt;&gt;""),ROUNDUP((AK252-AJ252)/7,0),"")</f>
        <v/>
      </c>
      <c r="AN252">
        <f>IFERROR(IF(AL252*AM252=0,"",AL252*AM252),"")</f>
        <v/>
      </c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L252">
        <f>IFERROR(INDEX('_names_lookup'!$C:$C,MATCH(BK252,'_names_lookup'!$A:$A,0)),"")</f>
        <v/>
      </c>
      <c r="BM252">
        <f>IFERROR(INDEX('_names_lookup'!$B:$B,MATCH(BK252,'_names_lookup'!$A:$A,0)),"")</f>
        <v/>
      </c>
      <c r="BS252">
        <f>IFERROR(IF(BR252*AA252=0,"",BR252*AA252),"")</f>
        <v/>
      </c>
    </row>
    <row r="253">
      <c r="O253">
        <f>IFERROR(INDEX('_courses_lookup'!$C:$C,MATCH(K253&amp;L253,'_courses_lookup'!$E:$E,0)),"")</f>
        <v/>
      </c>
      <c r="P253">
        <f>IFERROR(INDEX('_courses_lookup'!$D:$D,MATCH(K253&amp;L253,'_courses_lookup'!$E:$E,0)),"")</f>
        <v/>
      </c>
      <c r="AG253">
        <f>IF(AND(AE253&lt;&gt;"",AF253&lt;&gt;""),ROUNDUP((AF253-AE253)/7,0),"")</f>
        <v/>
      </c>
      <c r="AI253">
        <f>IFERROR(IF(AG253*AH253=0,"",AG253*AH253),"")</f>
        <v/>
      </c>
      <c r="AL253">
        <f>IF(AND(AJ253&lt;&gt;"",AK253&lt;&gt;""),ROUNDUP((AK253-AJ253)/7,0),"")</f>
        <v/>
      </c>
      <c r="AN253">
        <f>IFERROR(IF(AL253*AM253=0,"",AL253*AM253),"")</f>
        <v/>
      </c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L253">
        <f>IFERROR(INDEX('_names_lookup'!$C:$C,MATCH(BK253,'_names_lookup'!$A:$A,0)),"")</f>
        <v/>
      </c>
      <c r="BM253">
        <f>IFERROR(INDEX('_names_lookup'!$B:$B,MATCH(BK253,'_names_lookup'!$A:$A,0)),"")</f>
        <v/>
      </c>
      <c r="BS253">
        <f>IFERROR(IF(BR253*AA253=0,"",BR253*AA253),"")</f>
        <v/>
      </c>
    </row>
    <row r="254">
      <c r="O254">
        <f>IFERROR(INDEX('_courses_lookup'!$C:$C,MATCH(K254&amp;L254,'_courses_lookup'!$E:$E,0)),"")</f>
        <v/>
      </c>
      <c r="P254">
        <f>IFERROR(INDEX('_courses_lookup'!$D:$D,MATCH(K254&amp;L254,'_courses_lookup'!$E:$E,0)),"")</f>
        <v/>
      </c>
      <c r="AG254">
        <f>IF(AND(AE254&lt;&gt;"",AF254&lt;&gt;""),ROUNDUP((AF254-AE254)/7,0),"")</f>
        <v/>
      </c>
      <c r="AI254">
        <f>IFERROR(IF(AG254*AH254=0,"",AG254*AH254),"")</f>
        <v/>
      </c>
      <c r="AL254">
        <f>IF(AND(AJ254&lt;&gt;"",AK254&lt;&gt;""),ROUNDUP((AK254-AJ254)/7,0),"")</f>
        <v/>
      </c>
      <c r="AN254">
        <f>IFERROR(IF(AL254*AM254=0,"",AL254*AM254),"")</f>
        <v/>
      </c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L254">
        <f>IFERROR(INDEX('_names_lookup'!$C:$C,MATCH(BK254,'_names_lookup'!$A:$A,0)),"")</f>
        <v/>
      </c>
      <c r="BM254">
        <f>IFERROR(INDEX('_names_lookup'!$B:$B,MATCH(BK254,'_names_lookup'!$A:$A,0)),"")</f>
        <v/>
      </c>
      <c r="BS254">
        <f>IFERROR(IF(BR254*AA254=0,"",BR254*AA254),"")</f>
        <v/>
      </c>
    </row>
    <row r="255">
      <c r="O255">
        <f>IFERROR(INDEX('_courses_lookup'!$C:$C,MATCH(K255&amp;L255,'_courses_lookup'!$E:$E,0)),"")</f>
        <v/>
      </c>
      <c r="P255">
        <f>IFERROR(INDEX('_courses_lookup'!$D:$D,MATCH(K255&amp;L255,'_courses_lookup'!$E:$E,0)),"")</f>
        <v/>
      </c>
      <c r="AG255">
        <f>IF(AND(AE255&lt;&gt;"",AF255&lt;&gt;""),ROUNDUP((AF255-AE255)/7,0),"")</f>
        <v/>
      </c>
      <c r="AI255">
        <f>IFERROR(IF(AG255*AH255=0,"",AG255*AH255),"")</f>
        <v/>
      </c>
      <c r="AL255">
        <f>IF(AND(AJ255&lt;&gt;"",AK255&lt;&gt;""),ROUNDUP((AK255-AJ255)/7,0),"")</f>
        <v/>
      </c>
      <c r="AN255">
        <f>IFERROR(IF(AL255*AM255=0,"",AL255*AM255),"")</f>
        <v/>
      </c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L255">
        <f>IFERROR(INDEX('_names_lookup'!$C:$C,MATCH(BK255,'_names_lookup'!$A:$A,0)),"")</f>
        <v/>
      </c>
      <c r="BM255">
        <f>IFERROR(INDEX('_names_lookup'!$B:$B,MATCH(BK255,'_names_lookup'!$A:$A,0)),"")</f>
        <v/>
      </c>
      <c r="BS255">
        <f>IFERROR(IF(BR255*AA255=0,"",BR255*AA255),"")</f>
        <v/>
      </c>
    </row>
    <row r="256">
      <c r="O256">
        <f>IFERROR(INDEX('_courses_lookup'!$C:$C,MATCH(K256&amp;L256,'_courses_lookup'!$E:$E,0)),"")</f>
        <v/>
      </c>
      <c r="P256">
        <f>IFERROR(INDEX('_courses_lookup'!$D:$D,MATCH(K256&amp;L256,'_courses_lookup'!$E:$E,0)),"")</f>
        <v/>
      </c>
      <c r="AG256">
        <f>IF(AND(AE256&lt;&gt;"",AF256&lt;&gt;""),ROUNDUP((AF256-AE256)/7,0),"")</f>
        <v/>
      </c>
      <c r="AI256">
        <f>IFERROR(IF(AG256*AH256=0,"",AG256*AH256),"")</f>
        <v/>
      </c>
      <c r="AL256">
        <f>IF(AND(AJ256&lt;&gt;"",AK256&lt;&gt;""),ROUNDUP((AK256-AJ256)/7,0),"")</f>
        <v/>
      </c>
      <c r="AN256">
        <f>IFERROR(IF(AL256*AM256=0,"",AL256*AM256),"")</f>
        <v/>
      </c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L256">
        <f>IFERROR(INDEX('_names_lookup'!$C:$C,MATCH(BK256,'_names_lookup'!$A:$A,0)),"")</f>
        <v/>
      </c>
      <c r="BM256">
        <f>IFERROR(INDEX('_names_lookup'!$B:$B,MATCH(BK256,'_names_lookup'!$A:$A,0)),"")</f>
        <v/>
      </c>
      <c r="BS256">
        <f>IFERROR(IF(BR256*AA256=0,"",BR256*AA256),"")</f>
        <v/>
      </c>
    </row>
    <row r="257">
      <c r="O257">
        <f>IFERROR(INDEX('_courses_lookup'!$C:$C,MATCH(K257&amp;L257,'_courses_lookup'!$E:$E,0)),"")</f>
        <v/>
      </c>
      <c r="P257">
        <f>IFERROR(INDEX('_courses_lookup'!$D:$D,MATCH(K257&amp;L257,'_courses_lookup'!$E:$E,0)),"")</f>
        <v/>
      </c>
      <c r="AG257">
        <f>IF(AND(AE257&lt;&gt;"",AF257&lt;&gt;""),ROUNDUP((AF257-AE257)/7,0),"")</f>
        <v/>
      </c>
      <c r="AI257">
        <f>IFERROR(IF(AG257*AH257=0,"",AG257*AH257),"")</f>
        <v/>
      </c>
      <c r="AL257">
        <f>IF(AND(AJ257&lt;&gt;"",AK257&lt;&gt;""),ROUNDUP((AK257-AJ257)/7,0),"")</f>
        <v/>
      </c>
      <c r="AN257">
        <f>IFERROR(IF(AL257*AM257=0,"",AL257*AM257),"")</f>
        <v/>
      </c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L257">
        <f>IFERROR(INDEX('_names_lookup'!$C:$C,MATCH(BK257,'_names_lookup'!$A:$A,0)),"")</f>
        <v/>
      </c>
      <c r="BM257">
        <f>IFERROR(INDEX('_names_lookup'!$B:$B,MATCH(BK257,'_names_lookup'!$A:$A,0)),"")</f>
        <v/>
      </c>
      <c r="BS257">
        <f>IFERROR(IF(BR257*AA257=0,"",BR257*AA257),"")</f>
        <v/>
      </c>
    </row>
    <row r="258">
      <c r="O258">
        <f>IFERROR(INDEX('_courses_lookup'!$C:$C,MATCH(K258&amp;L258,'_courses_lookup'!$E:$E,0)),"")</f>
        <v/>
      </c>
      <c r="P258">
        <f>IFERROR(INDEX('_courses_lookup'!$D:$D,MATCH(K258&amp;L258,'_courses_lookup'!$E:$E,0)),"")</f>
        <v/>
      </c>
      <c r="AG258">
        <f>IF(AND(AE258&lt;&gt;"",AF258&lt;&gt;""),ROUNDUP((AF258-AE258)/7,0),"")</f>
        <v/>
      </c>
      <c r="AI258">
        <f>IFERROR(IF(AG258*AH258=0,"",AG258*AH258),"")</f>
        <v/>
      </c>
      <c r="AL258">
        <f>IF(AND(AJ258&lt;&gt;"",AK258&lt;&gt;""),ROUNDUP((AK258-AJ258)/7,0),"")</f>
        <v/>
      </c>
      <c r="AN258">
        <f>IFERROR(IF(AL258*AM258=0,"",AL258*AM258),"")</f>
        <v/>
      </c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L258">
        <f>IFERROR(INDEX('_names_lookup'!$C:$C,MATCH(BK258,'_names_lookup'!$A:$A,0)),"")</f>
        <v/>
      </c>
      <c r="BM258">
        <f>IFERROR(INDEX('_names_lookup'!$B:$B,MATCH(BK258,'_names_lookup'!$A:$A,0)),"")</f>
        <v/>
      </c>
      <c r="BS258">
        <f>IFERROR(IF(BR258*AA258=0,"",BR258*AA258),"")</f>
        <v/>
      </c>
    </row>
    <row r="259">
      <c r="O259">
        <f>IFERROR(INDEX('_courses_lookup'!$C:$C,MATCH(K259&amp;L259,'_courses_lookup'!$E:$E,0)),"")</f>
        <v/>
      </c>
      <c r="P259">
        <f>IFERROR(INDEX('_courses_lookup'!$D:$D,MATCH(K259&amp;L259,'_courses_lookup'!$E:$E,0)),"")</f>
        <v/>
      </c>
      <c r="AG259">
        <f>IF(AND(AE259&lt;&gt;"",AF259&lt;&gt;""),ROUNDUP((AF259-AE259)/7,0),"")</f>
        <v/>
      </c>
      <c r="AI259">
        <f>IFERROR(IF(AG259*AH259=0,"",AG259*AH259),"")</f>
        <v/>
      </c>
      <c r="AL259">
        <f>IF(AND(AJ259&lt;&gt;"",AK259&lt;&gt;""),ROUNDUP((AK259-AJ259)/7,0),"")</f>
        <v/>
      </c>
      <c r="AN259">
        <f>IFERROR(IF(AL259*AM259=0,"",AL259*AM259),"")</f>
        <v/>
      </c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L259">
        <f>IFERROR(INDEX('_names_lookup'!$C:$C,MATCH(BK259,'_names_lookup'!$A:$A,0)),"")</f>
        <v/>
      </c>
      <c r="BM259">
        <f>IFERROR(INDEX('_names_lookup'!$B:$B,MATCH(BK259,'_names_lookup'!$A:$A,0)),"")</f>
        <v/>
      </c>
      <c r="BS259">
        <f>IFERROR(IF(BR259*AA259=0,"",BR259*AA259),"")</f>
        <v/>
      </c>
    </row>
    <row r="260">
      <c r="O260">
        <f>IFERROR(INDEX('_courses_lookup'!$C:$C,MATCH(K260&amp;L260,'_courses_lookup'!$E:$E,0)),"")</f>
        <v/>
      </c>
      <c r="P260">
        <f>IFERROR(INDEX('_courses_lookup'!$D:$D,MATCH(K260&amp;L260,'_courses_lookup'!$E:$E,0)),"")</f>
        <v/>
      </c>
      <c r="AG260">
        <f>IF(AND(AE260&lt;&gt;"",AF260&lt;&gt;""),ROUNDUP((AF260-AE260)/7,0),"")</f>
        <v/>
      </c>
      <c r="AI260">
        <f>IFERROR(IF(AG260*AH260=0,"",AG260*AH260),"")</f>
        <v/>
      </c>
      <c r="AL260">
        <f>IF(AND(AJ260&lt;&gt;"",AK260&lt;&gt;""),ROUNDUP((AK260-AJ260)/7,0),"")</f>
        <v/>
      </c>
      <c r="AN260">
        <f>IFERROR(IF(AL260*AM260=0,"",AL260*AM260),"")</f>
        <v/>
      </c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L260">
        <f>IFERROR(INDEX('_names_lookup'!$C:$C,MATCH(BK260,'_names_lookup'!$A:$A,0)),"")</f>
        <v/>
      </c>
      <c r="BM260">
        <f>IFERROR(INDEX('_names_lookup'!$B:$B,MATCH(BK260,'_names_lookup'!$A:$A,0)),"")</f>
        <v/>
      </c>
      <c r="BS260">
        <f>IFERROR(IF(BR260*AA260=0,"",BR260*AA260),"")</f>
        <v/>
      </c>
    </row>
    <row r="261">
      <c r="O261">
        <f>IFERROR(INDEX('_courses_lookup'!$C:$C,MATCH(K261&amp;L261,'_courses_lookup'!$E:$E,0)),"")</f>
        <v/>
      </c>
      <c r="P261">
        <f>IFERROR(INDEX('_courses_lookup'!$D:$D,MATCH(K261&amp;L261,'_courses_lookup'!$E:$E,0)),"")</f>
        <v/>
      </c>
      <c r="AG261">
        <f>IF(AND(AE261&lt;&gt;"",AF261&lt;&gt;""),ROUNDUP((AF261-AE261)/7,0),"")</f>
        <v/>
      </c>
      <c r="AI261">
        <f>IFERROR(IF(AG261*AH261=0,"",AG261*AH261),"")</f>
        <v/>
      </c>
      <c r="AL261">
        <f>IF(AND(AJ261&lt;&gt;"",AK261&lt;&gt;""),ROUNDUP((AK261-AJ261)/7,0),"")</f>
        <v/>
      </c>
      <c r="AN261">
        <f>IFERROR(IF(AL261*AM261=0,"",AL261*AM261),"")</f>
        <v/>
      </c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L261">
        <f>IFERROR(INDEX('_names_lookup'!$C:$C,MATCH(BK261,'_names_lookup'!$A:$A,0)),"")</f>
        <v/>
      </c>
      <c r="BM261">
        <f>IFERROR(INDEX('_names_lookup'!$B:$B,MATCH(BK261,'_names_lookup'!$A:$A,0)),"")</f>
        <v/>
      </c>
      <c r="BS261">
        <f>IFERROR(IF(BR261*AA261=0,"",BR261*AA261),"")</f>
        <v/>
      </c>
    </row>
    <row r="262">
      <c r="O262">
        <f>IFERROR(INDEX('_courses_lookup'!$C:$C,MATCH(K262&amp;L262,'_courses_lookup'!$E:$E,0)),"")</f>
        <v/>
      </c>
      <c r="P262">
        <f>IFERROR(INDEX('_courses_lookup'!$D:$D,MATCH(K262&amp;L262,'_courses_lookup'!$E:$E,0)),"")</f>
        <v/>
      </c>
      <c r="AG262">
        <f>IF(AND(AE262&lt;&gt;"",AF262&lt;&gt;""),ROUNDUP((AF262-AE262)/7,0),"")</f>
        <v/>
      </c>
      <c r="AI262">
        <f>IFERROR(IF(AG262*AH262=0,"",AG262*AH262),"")</f>
        <v/>
      </c>
      <c r="AL262">
        <f>IF(AND(AJ262&lt;&gt;"",AK262&lt;&gt;""),ROUNDUP((AK262-AJ262)/7,0),"")</f>
        <v/>
      </c>
      <c r="AN262">
        <f>IFERROR(IF(AL262*AM262=0,"",AL262*AM262),"")</f>
        <v/>
      </c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L262">
        <f>IFERROR(INDEX('_names_lookup'!$C:$C,MATCH(BK262,'_names_lookup'!$A:$A,0)),"")</f>
        <v/>
      </c>
      <c r="BM262">
        <f>IFERROR(INDEX('_names_lookup'!$B:$B,MATCH(BK262,'_names_lookup'!$A:$A,0)),"")</f>
        <v/>
      </c>
      <c r="BS262">
        <f>IFERROR(IF(BR262*AA262=0,"",BR262*AA262),"")</f>
        <v/>
      </c>
    </row>
    <row r="263">
      <c r="O263">
        <f>IFERROR(INDEX('_courses_lookup'!$C:$C,MATCH(K263&amp;L263,'_courses_lookup'!$E:$E,0)),"")</f>
        <v/>
      </c>
      <c r="P263">
        <f>IFERROR(INDEX('_courses_lookup'!$D:$D,MATCH(K263&amp;L263,'_courses_lookup'!$E:$E,0)),"")</f>
        <v/>
      </c>
      <c r="AG263">
        <f>IF(AND(AE263&lt;&gt;"",AF263&lt;&gt;""),ROUNDUP((AF263-AE263)/7,0),"")</f>
        <v/>
      </c>
      <c r="AI263">
        <f>IFERROR(IF(AG263*AH263=0,"",AG263*AH263),"")</f>
        <v/>
      </c>
      <c r="AL263">
        <f>IF(AND(AJ263&lt;&gt;"",AK263&lt;&gt;""),ROUNDUP((AK263-AJ263)/7,0),"")</f>
        <v/>
      </c>
      <c r="AN263">
        <f>IFERROR(IF(AL263*AM263=0,"",AL263*AM263),"")</f>
        <v/>
      </c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L263">
        <f>IFERROR(INDEX('_names_lookup'!$C:$C,MATCH(BK263,'_names_lookup'!$A:$A,0)),"")</f>
        <v/>
      </c>
      <c r="BM263">
        <f>IFERROR(INDEX('_names_lookup'!$B:$B,MATCH(BK263,'_names_lookup'!$A:$A,0)),"")</f>
        <v/>
      </c>
      <c r="BS263">
        <f>IFERROR(IF(BR263*AA263=0,"",BR263*AA263),"")</f>
        <v/>
      </c>
    </row>
    <row r="264">
      <c r="O264">
        <f>IFERROR(INDEX('_courses_lookup'!$C:$C,MATCH(K264&amp;L264,'_courses_lookup'!$E:$E,0)),"")</f>
        <v/>
      </c>
      <c r="P264">
        <f>IFERROR(INDEX('_courses_lookup'!$D:$D,MATCH(K264&amp;L264,'_courses_lookup'!$E:$E,0)),"")</f>
        <v/>
      </c>
      <c r="AG264">
        <f>IF(AND(AE264&lt;&gt;"",AF264&lt;&gt;""),ROUNDUP((AF264-AE264)/7,0),"")</f>
        <v/>
      </c>
      <c r="AI264">
        <f>IFERROR(IF(AG264*AH264=0,"",AG264*AH264),"")</f>
        <v/>
      </c>
      <c r="AL264">
        <f>IF(AND(AJ264&lt;&gt;"",AK264&lt;&gt;""),ROUNDUP((AK264-AJ264)/7,0),"")</f>
        <v/>
      </c>
      <c r="AN264">
        <f>IFERROR(IF(AL264*AM264=0,"",AL264*AM264),"")</f>
        <v/>
      </c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L264">
        <f>IFERROR(INDEX('_names_lookup'!$C:$C,MATCH(BK264,'_names_lookup'!$A:$A,0)),"")</f>
        <v/>
      </c>
      <c r="BM264">
        <f>IFERROR(INDEX('_names_lookup'!$B:$B,MATCH(BK264,'_names_lookup'!$A:$A,0)),"")</f>
        <v/>
      </c>
      <c r="BS264">
        <f>IFERROR(IF(BR264*AA264=0,"",BR264*AA264),"")</f>
        <v/>
      </c>
    </row>
    <row r="265">
      <c r="O265">
        <f>IFERROR(INDEX('_courses_lookup'!$C:$C,MATCH(K265&amp;L265,'_courses_lookup'!$E:$E,0)),"")</f>
        <v/>
      </c>
      <c r="P265">
        <f>IFERROR(INDEX('_courses_lookup'!$D:$D,MATCH(K265&amp;L265,'_courses_lookup'!$E:$E,0)),"")</f>
        <v/>
      </c>
      <c r="AG265">
        <f>IF(AND(AE265&lt;&gt;"",AF265&lt;&gt;""),ROUNDUP((AF265-AE265)/7,0),"")</f>
        <v/>
      </c>
      <c r="AI265">
        <f>IFERROR(IF(AG265*AH265=0,"",AG265*AH265),"")</f>
        <v/>
      </c>
      <c r="AL265">
        <f>IF(AND(AJ265&lt;&gt;"",AK265&lt;&gt;""),ROUNDUP((AK265-AJ265)/7,0),"")</f>
        <v/>
      </c>
      <c r="AN265">
        <f>IFERROR(IF(AL265*AM265=0,"",AL265*AM265),"")</f>
        <v/>
      </c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L265">
        <f>IFERROR(INDEX('_names_lookup'!$C:$C,MATCH(BK265,'_names_lookup'!$A:$A,0)),"")</f>
        <v/>
      </c>
      <c r="BM265">
        <f>IFERROR(INDEX('_names_lookup'!$B:$B,MATCH(BK265,'_names_lookup'!$A:$A,0)),"")</f>
        <v/>
      </c>
      <c r="BS265">
        <f>IFERROR(IF(BR265*AA265=0,"",BR265*AA265),"")</f>
        <v/>
      </c>
    </row>
    <row r="266">
      <c r="O266">
        <f>IFERROR(INDEX('_courses_lookup'!$C:$C,MATCH(K266&amp;L266,'_courses_lookup'!$E:$E,0)),"")</f>
        <v/>
      </c>
      <c r="P266">
        <f>IFERROR(INDEX('_courses_lookup'!$D:$D,MATCH(K266&amp;L266,'_courses_lookup'!$E:$E,0)),"")</f>
        <v/>
      </c>
      <c r="AG266">
        <f>IF(AND(AE266&lt;&gt;"",AF266&lt;&gt;""),ROUNDUP((AF266-AE266)/7,0),"")</f>
        <v/>
      </c>
      <c r="AI266">
        <f>IFERROR(IF(AG266*AH266=0,"",AG266*AH266),"")</f>
        <v/>
      </c>
      <c r="AL266">
        <f>IF(AND(AJ266&lt;&gt;"",AK266&lt;&gt;""),ROUNDUP((AK266-AJ266)/7,0),"")</f>
        <v/>
      </c>
      <c r="AN266">
        <f>IFERROR(IF(AL266*AM266=0,"",AL266*AM266),"")</f>
        <v/>
      </c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L266">
        <f>IFERROR(INDEX('_names_lookup'!$C:$C,MATCH(BK266,'_names_lookup'!$A:$A,0)),"")</f>
        <v/>
      </c>
      <c r="BM266">
        <f>IFERROR(INDEX('_names_lookup'!$B:$B,MATCH(BK266,'_names_lookup'!$A:$A,0)),"")</f>
        <v/>
      </c>
      <c r="BS266">
        <f>IFERROR(IF(BR266*AA266=0,"",BR266*AA266),"")</f>
        <v/>
      </c>
    </row>
    <row r="267">
      <c r="O267">
        <f>IFERROR(INDEX('_courses_lookup'!$C:$C,MATCH(K267&amp;L267,'_courses_lookup'!$E:$E,0)),"")</f>
        <v/>
      </c>
      <c r="P267">
        <f>IFERROR(INDEX('_courses_lookup'!$D:$D,MATCH(K267&amp;L267,'_courses_lookup'!$E:$E,0)),"")</f>
        <v/>
      </c>
      <c r="AG267">
        <f>IF(AND(AE267&lt;&gt;"",AF267&lt;&gt;""),ROUNDUP((AF267-AE267)/7,0),"")</f>
        <v/>
      </c>
      <c r="AI267">
        <f>IFERROR(IF(AG267*AH267=0,"",AG267*AH267),"")</f>
        <v/>
      </c>
      <c r="AL267">
        <f>IF(AND(AJ267&lt;&gt;"",AK267&lt;&gt;""),ROUNDUP((AK267-AJ267)/7,0),"")</f>
        <v/>
      </c>
      <c r="AN267">
        <f>IFERROR(IF(AL267*AM267=0,"",AL267*AM267),"")</f>
        <v/>
      </c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L267">
        <f>IFERROR(INDEX('_names_lookup'!$C:$C,MATCH(BK267,'_names_lookup'!$A:$A,0)),"")</f>
        <v/>
      </c>
      <c r="BM267">
        <f>IFERROR(INDEX('_names_lookup'!$B:$B,MATCH(BK267,'_names_lookup'!$A:$A,0)),"")</f>
        <v/>
      </c>
      <c r="BS267">
        <f>IFERROR(IF(BR267*AA267=0,"",BR267*AA267),"")</f>
        <v/>
      </c>
    </row>
    <row r="268">
      <c r="O268">
        <f>IFERROR(INDEX('_courses_lookup'!$C:$C,MATCH(K268&amp;L268,'_courses_lookup'!$E:$E,0)),"")</f>
        <v/>
      </c>
      <c r="P268">
        <f>IFERROR(INDEX('_courses_lookup'!$D:$D,MATCH(K268&amp;L268,'_courses_lookup'!$E:$E,0)),"")</f>
        <v/>
      </c>
      <c r="AG268">
        <f>IF(AND(AE268&lt;&gt;"",AF268&lt;&gt;""),ROUNDUP((AF268-AE268)/7,0),"")</f>
        <v/>
      </c>
      <c r="AI268">
        <f>IFERROR(IF(AG268*AH268=0,"",AG268*AH268),"")</f>
        <v/>
      </c>
      <c r="AL268">
        <f>IF(AND(AJ268&lt;&gt;"",AK268&lt;&gt;""),ROUNDUP((AK268-AJ268)/7,0),"")</f>
        <v/>
      </c>
      <c r="AN268">
        <f>IFERROR(IF(AL268*AM268=0,"",AL268*AM268),"")</f>
        <v/>
      </c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L268">
        <f>IFERROR(INDEX('_names_lookup'!$C:$C,MATCH(BK268,'_names_lookup'!$A:$A,0)),"")</f>
        <v/>
      </c>
      <c r="BM268">
        <f>IFERROR(INDEX('_names_lookup'!$B:$B,MATCH(BK268,'_names_lookup'!$A:$A,0)),"")</f>
        <v/>
      </c>
      <c r="BS268">
        <f>IFERROR(IF(BR268*AA268=0,"",BR268*AA268),"")</f>
        <v/>
      </c>
    </row>
    <row r="269">
      <c r="O269">
        <f>IFERROR(INDEX('_courses_lookup'!$C:$C,MATCH(K269&amp;L269,'_courses_lookup'!$E:$E,0)),"")</f>
        <v/>
      </c>
      <c r="P269">
        <f>IFERROR(INDEX('_courses_lookup'!$D:$D,MATCH(K269&amp;L269,'_courses_lookup'!$E:$E,0)),"")</f>
        <v/>
      </c>
      <c r="AG269">
        <f>IF(AND(AE269&lt;&gt;"",AF269&lt;&gt;""),ROUNDUP((AF269-AE269)/7,0),"")</f>
        <v/>
      </c>
      <c r="AI269">
        <f>IFERROR(IF(AG269*AH269=0,"",AG269*AH269),"")</f>
        <v/>
      </c>
      <c r="AL269">
        <f>IF(AND(AJ269&lt;&gt;"",AK269&lt;&gt;""),ROUNDUP((AK269-AJ269)/7,0),"")</f>
        <v/>
      </c>
      <c r="AN269">
        <f>IFERROR(IF(AL269*AM269=0,"",AL269*AM269),"")</f>
        <v/>
      </c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L269">
        <f>IFERROR(INDEX('_names_lookup'!$C:$C,MATCH(BK269,'_names_lookup'!$A:$A,0)),"")</f>
        <v/>
      </c>
      <c r="BM269">
        <f>IFERROR(INDEX('_names_lookup'!$B:$B,MATCH(BK269,'_names_lookup'!$A:$A,0)),"")</f>
        <v/>
      </c>
      <c r="BS269">
        <f>IFERROR(IF(BR269*AA269=0,"",BR269*AA269),"")</f>
        <v/>
      </c>
    </row>
    <row r="270">
      <c r="O270">
        <f>IFERROR(INDEX('_courses_lookup'!$C:$C,MATCH(K270&amp;L270,'_courses_lookup'!$E:$E,0)),"")</f>
        <v/>
      </c>
      <c r="P270">
        <f>IFERROR(INDEX('_courses_lookup'!$D:$D,MATCH(K270&amp;L270,'_courses_lookup'!$E:$E,0)),"")</f>
        <v/>
      </c>
      <c r="AG270">
        <f>IF(AND(AE270&lt;&gt;"",AF270&lt;&gt;""),ROUNDUP((AF270-AE270)/7,0),"")</f>
        <v/>
      </c>
      <c r="AI270">
        <f>IFERROR(IF(AG270*AH270=0,"",AG270*AH270),"")</f>
        <v/>
      </c>
      <c r="AL270">
        <f>IF(AND(AJ270&lt;&gt;"",AK270&lt;&gt;""),ROUNDUP((AK270-AJ270)/7,0),"")</f>
        <v/>
      </c>
      <c r="AN270">
        <f>IFERROR(IF(AL270*AM270=0,"",AL270*AM270),"")</f>
        <v/>
      </c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L270">
        <f>IFERROR(INDEX('_names_lookup'!$C:$C,MATCH(BK270,'_names_lookup'!$A:$A,0)),"")</f>
        <v/>
      </c>
      <c r="BM270">
        <f>IFERROR(INDEX('_names_lookup'!$B:$B,MATCH(BK270,'_names_lookup'!$A:$A,0)),"")</f>
        <v/>
      </c>
      <c r="BS270">
        <f>IFERROR(IF(BR270*AA270=0,"",BR270*AA270),"")</f>
        <v/>
      </c>
    </row>
    <row r="271">
      <c r="O271">
        <f>IFERROR(INDEX('_courses_lookup'!$C:$C,MATCH(K271&amp;L271,'_courses_lookup'!$E:$E,0)),"")</f>
        <v/>
      </c>
      <c r="P271">
        <f>IFERROR(INDEX('_courses_lookup'!$D:$D,MATCH(K271&amp;L271,'_courses_lookup'!$E:$E,0)),"")</f>
        <v/>
      </c>
      <c r="AG271">
        <f>IF(AND(AE271&lt;&gt;"",AF271&lt;&gt;""),ROUNDUP((AF271-AE271)/7,0),"")</f>
        <v/>
      </c>
      <c r="AI271">
        <f>IFERROR(IF(AG271*AH271=0,"",AG271*AH271),"")</f>
        <v/>
      </c>
      <c r="AL271">
        <f>IF(AND(AJ271&lt;&gt;"",AK271&lt;&gt;""),ROUNDUP((AK271-AJ271)/7,0),"")</f>
        <v/>
      </c>
      <c r="AN271">
        <f>IFERROR(IF(AL271*AM271=0,"",AL271*AM271),"")</f>
        <v/>
      </c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L271">
        <f>IFERROR(INDEX('_names_lookup'!$C:$C,MATCH(BK271,'_names_lookup'!$A:$A,0)),"")</f>
        <v/>
      </c>
      <c r="BM271">
        <f>IFERROR(INDEX('_names_lookup'!$B:$B,MATCH(BK271,'_names_lookup'!$A:$A,0)),"")</f>
        <v/>
      </c>
      <c r="BS271">
        <f>IFERROR(IF(BR271*AA271=0,"",BR271*AA271),"")</f>
        <v/>
      </c>
    </row>
    <row r="272">
      <c r="O272">
        <f>IFERROR(INDEX('_courses_lookup'!$C:$C,MATCH(K272&amp;L272,'_courses_lookup'!$E:$E,0)),"")</f>
        <v/>
      </c>
      <c r="P272">
        <f>IFERROR(INDEX('_courses_lookup'!$D:$D,MATCH(K272&amp;L272,'_courses_lookup'!$E:$E,0)),"")</f>
        <v/>
      </c>
      <c r="AG272">
        <f>IF(AND(AE272&lt;&gt;"",AF272&lt;&gt;""),ROUNDUP((AF272-AE272)/7,0),"")</f>
        <v/>
      </c>
      <c r="AI272">
        <f>IFERROR(IF(AG272*AH272=0,"",AG272*AH272),"")</f>
        <v/>
      </c>
      <c r="AL272">
        <f>IF(AND(AJ272&lt;&gt;"",AK272&lt;&gt;""),ROUNDUP((AK272-AJ272)/7,0),"")</f>
        <v/>
      </c>
      <c r="AN272">
        <f>IFERROR(IF(AL272*AM272=0,"",AL272*AM272),"")</f>
        <v/>
      </c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L272">
        <f>IFERROR(INDEX('_names_lookup'!$C:$C,MATCH(BK272,'_names_lookup'!$A:$A,0)),"")</f>
        <v/>
      </c>
      <c r="BM272">
        <f>IFERROR(INDEX('_names_lookup'!$B:$B,MATCH(BK272,'_names_lookup'!$A:$A,0)),"")</f>
        <v/>
      </c>
      <c r="BS272">
        <f>IFERROR(IF(BR272*AA272=0,"",BR272*AA272),"")</f>
        <v/>
      </c>
    </row>
    <row r="273">
      <c r="O273">
        <f>IFERROR(INDEX('_courses_lookup'!$C:$C,MATCH(K273&amp;L273,'_courses_lookup'!$E:$E,0)),"")</f>
        <v/>
      </c>
      <c r="P273">
        <f>IFERROR(INDEX('_courses_lookup'!$D:$D,MATCH(K273&amp;L273,'_courses_lookup'!$E:$E,0)),"")</f>
        <v/>
      </c>
      <c r="AG273">
        <f>IF(AND(AE273&lt;&gt;"",AF273&lt;&gt;""),ROUNDUP((AF273-AE273)/7,0),"")</f>
        <v/>
      </c>
      <c r="AI273">
        <f>IFERROR(IF(AG273*AH273=0,"",AG273*AH273),"")</f>
        <v/>
      </c>
      <c r="AL273">
        <f>IF(AND(AJ273&lt;&gt;"",AK273&lt;&gt;""),ROUNDUP((AK273-AJ273)/7,0),"")</f>
        <v/>
      </c>
      <c r="AN273">
        <f>IFERROR(IF(AL273*AM273=0,"",AL273*AM273),"")</f>
        <v/>
      </c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L273">
        <f>IFERROR(INDEX('_names_lookup'!$C:$C,MATCH(BK273,'_names_lookup'!$A:$A,0)),"")</f>
        <v/>
      </c>
      <c r="BM273">
        <f>IFERROR(INDEX('_names_lookup'!$B:$B,MATCH(BK273,'_names_lookup'!$A:$A,0)),"")</f>
        <v/>
      </c>
      <c r="BS273">
        <f>IFERROR(IF(BR273*AA273=0,"",BR273*AA273),"")</f>
        <v/>
      </c>
    </row>
    <row r="274">
      <c r="O274">
        <f>IFERROR(INDEX('_courses_lookup'!$C:$C,MATCH(K274&amp;L274,'_courses_lookup'!$E:$E,0)),"")</f>
        <v/>
      </c>
      <c r="P274">
        <f>IFERROR(INDEX('_courses_lookup'!$D:$D,MATCH(K274&amp;L274,'_courses_lookup'!$E:$E,0)),"")</f>
        <v/>
      </c>
      <c r="AG274">
        <f>IF(AND(AE274&lt;&gt;"",AF274&lt;&gt;""),ROUNDUP((AF274-AE274)/7,0),"")</f>
        <v/>
      </c>
      <c r="AI274">
        <f>IFERROR(IF(AG274*AH274=0,"",AG274*AH274),"")</f>
        <v/>
      </c>
      <c r="AL274">
        <f>IF(AND(AJ274&lt;&gt;"",AK274&lt;&gt;""),ROUNDUP((AK274-AJ274)/7,0),"")</f>
        <v/>
      </c>
      <c r="AN274">
        <f>IFERROR(IF(AL274*AM274=0,"",AL274*AM274),"")</f>
        <v/>
      </c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L274">
        <f>IFERROR(INDEX('_names_lookup'!$C:$C,MATCH(BK274,'_names_lookup'!$A:$A,0)),"")</f>
        <v/>
      </c>
      <c r="BM274">
        <f>IFERROR(INDEX('_names_lookup'!$B:$B,MATCH(BK274,'_names_lookup'!$A:$A,0)),"")</f>
        <v/>
      </c>
      <c r="BS274">
        <f>IFERROR(IF(BR274*AA274=0,"",BR274*AA274),"")</f>
        <v/>
      </c>
    </row>
    <row r="275">
      <c r="O275">
        <f>IFERROR(INDEX('_courses_lookup'!$C:$C,MATCH(K275&amp;L275,'_courses_lookup'!$E:$E,0)),"")</f>
        <v/>
      </c>
      <c r="P275">
        <f>IFERROR(INDEX('_courses_lookup'!$D:$D,MATCH(K275&amp;L275,'_courses_lookup'!$E:$E,0)),"")</f>
        <v/>
      </c>
      <c r="AG275">
        <f>IF(AND(AE275&lt;&gt;"",AF275&lt;&gt;""),ROUNDUP((AF275-AE275)/7,0),"")</f>
        <v/>
      </c>
      <c r="AI275">
        <f>IFERROR(IF(AG275*AH275=0,"",AG275*AH275),"")</f>
        <v/>
      </c>
      <c r="AL275">
        <f>IF(AND(AJ275&lt;&gt;"",AK275&lt;&gt;""),ROUNDUP((AK275-AJ275)/7,0),"")</f>
        <v/>
      </c>
      <c r="AN275">
        <f>IFERROR(IF(AL275*AM275=0,"",AL275*AM275),"")</f>
        <v/>
      </c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L275">
        <f>IFERROR(INDEX('_names_lookup'!$C:$C,MATCH(BK275,'_names_lookup'!$A:$A,0)),"")</f>
        <v/>
      </c>
      <c r="BM275">
        <f>IFERROR(INDEX('_names_lookup'!$B:$B,MATCH(BK275,'_names_lookup'!$A:$A,0)),"")</f>
        <v/>
      </c>
      <c r="BS275">
        <f>IFERROR(IF(BR275*AA275=0,"",BR275*AA275),"")</f>
        <v/>
      </c>
    </row>
    <row r="276">
      <c r="O276">
        <f>IFERROR(INDEX('_courses_lookup'!$C:$C,MATCH(K276&amp;L276,'_courses_lookup'!$E:$E,0)),"")</f>
        <v/>
      </c>
      <c r="P276">
        <f>IFERROR(INDEX('_courses_lookup'!$D:$D,MATCH(K276&amp;L276,'_courses_lookup'!$E:$E,0)),"")</f>
        <v/>
      </c>
      <c r="AG276">
        <f>IF(AND(AE276&lt;&gt;"",AF276&lt;&gt;""),ROUNDUP((AF276-AE276)/7,0),"")</f>
        <v/>
      </c>
      <c r="AI276">
        <f>IFERROR(IF(AG276*AH276=0,"",AG276*AH276),"")</f>
        <v/>
      </c>
      <c r="AL276">
        <f>IF(AND(AJ276&lt;&gt;"",AK276&lt;&gt;""),ROUNDUP((AK276-AJ276)/7,0),"")</f>
        <v/>
      </c>
      <c r="AN276">
        <f>IFERROR(IF(AL276*AM276=0,"",AL276*AM276),"")</f>
        <v/>
      </c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L276">
        <f>IFERROR(INDEX('_names_lookup'!$C:$C,MATCH(BK276,'_names_lookup'!$A:$A,0)),"")</f>
        <v/>
      </c>
      <c r="BM276">
        <f>IFERROR(INDEX('_names_lookup'!$B:$B,MATCH(BK276,'_names_lookup'!$A:$A,0)),"")</f>
        <v/>
      </c>
      <c r="BS276">
        <f>IFERROR(IF(BR276*AA276=0,"",BR276*AA276),"")</f>
        <v/>
      </c>
    </row>
    <row r="277">
      <c r="O277">
        <f>IFERROR(INDEX('_courses_lookup'!$C:$C,MATCH(K277&amp;L277,'_courses_lookup'!$E:$E,0)),"")</f>
        <v/>
      </c>
      <c r="P277">
        <f>IFERROR(INDEX('_courses_lookup'!$D:$D,MATCH(K277&amp;L277,'_courses_lookup'!$E:$E,0)),"")</f>
        <v/>
      </c>
      <c r="AG277">
        <f>IF(AND(AE277&lt;&gt;"",AF277&lt;&gt;""),ROUNDUP((AF277-AE277)/7,0),"")</f>
        <v/>
      </c>
      <c r="AI277">
        <f>IFERROR(IF(AG277*AH277=0,"",AG277*AH277),"")</f>
        <v/>
      </c>
      <c r="AL277">
        <f>IF(AND(AJ277&lt;&gt;"",AK277&lt;&gt;""),ROUNDUP((AK277-AJ277)/7,0),"")</f>
        <v/>
      </c>
      <c r="AN277">
        <f>IFERROR(IF(AL277*AM277=0,"",AL277*AM277),"")</f>
        <v/>
      </c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L277">
        <f>IFERROR(INDEX('_names_lookup'!$C:$C,MATCH(BK277,'_names_lookup'!$A:$A,0)),"")</f>
        <v/>
      </c>
      <c r="BM277">
        <f>IFERROR(INDEX('_names_lookup'!$B:$B,MATCH(BK277,'_names_lookup'!$A:$A,0)),"")</f>
        <v/>
      </c>
      <c r="BS277">
        <f>IFERROR(IF(BR277*AA277=0,"",BR277*AA277),"")</f>
        <v/>
      </c>
    </row>
    <row r="278">
      <c r="O278">
        <f>IFERROR(INDEX('_courses_lookup'!$C:$C,MATCH(K278&amp;L278,'_courses_lookup'!$E:$E,0)),"")</f>
        <v/>
      </c>
      <c r="P278">
        <f>IFERROR(INDEX('_courses_lookup'!$D:$D,MATCH(K278&amp;L278,'_courses_lookup'!$E:$E,0)),"")</f>
        <v/>
      </c>
      <c r="AG278">
        <f>IF(AND(AE278&lt;&gt;"",AF278&lt;&gt;""),ROUNDUP((AF278-AE278)/7,0),"")</f>
        <v/>
      </c>
      <c r="AI278">
        <f>IFERROR(IF(AG278*AH278=0,"",AG278*AH278),"")</f>
        <v/>
      </c>
      <c r="AL278">
        <f>IF(AND(AJ278&lt;&gt;"",AK278&lt;&gt;""),ROUNDUP((AK278-AJ278)/7,0),"")</f>
        <v/>
      </c>
      <c r="AN278">
        <f>IFERROR(IF(AL278*AM278=0,"",AL278*AM278),"")</f>
        <v/>
      </c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L278">
        <f>IFERROR(INDEX('_names_lookup'!$C:$C,MATCH(BK278,'_names_lookup'!$A:$A,0)),"")</f>
        <v/>
      </c>
      <c r="BM278">
        <f>IFERROR(INDEX('_names_lookup'!$B:$B,MATCH(BK278,'_names_lookup'!$A:$A,0)),"")</f>
        <v/>
      </c>
      <c r="BS278">
        <f>IFERROR(IF(BR278*AA278=0,"",BR278*AA278),"")</f>
        <v/>
      </c>
    </row>
    <row r="279">
      <c r="O279">
        <f>IFERROR(INDEX('_courses_lookup'!$C:$C,MATCH(K279&amp;L279,'_courses_lookup'!$E:$E,0)),"")</f>
        <v/>
      </c>
      <c r="P279">
        <f>IFERROR(INDEX('_courses_lookup'!$D:$D,MATCH(K279&amp;L279,'_courses_lookup'!$E:$E,0)),"")</f>
        <v/>
      </c>
      <c r="AG279">
        <f>IF(AND(AE279&lt;&gt;"",AF279&lt;&gt;""),ROUNDUP((AF279-AE279)/7,0),"")</f>
        <v/>
      </c>
      <c r="AI279">
        <f>IFERROR(IF(AG279*AH279=0,"",AG279*AH279),"")</f>
        <v/>
      </c>
      <c r="AL279">
        <f>IF(AND(AJ279&lt;&gt;"",AK279&lt;&gt;""),ROUNDUP((AK279-AJ279)/7,0),"")</f>
        <v/>
      </c>
      <c r="AN279">
        <f>IFERROR(IF(AL279*AM279=0,"",AL279*AM279),"")</f>
        <v/>
      </c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L279">
        <f>IFERROR(INDEX('_names_lookup'!$C:$C,MATCH(BK279,'_names_lookup'!$A:$A,0)),"")</f>
        <v/>
      </c>
      <c r="BM279">
        <f>IFERROR(INDEX('_names_lookup'!$B:$B,MATCH(BK279,'_names_lookup'!$A:$A,0)),"")</f>
        <v/>
      </c>
      <c r="BS279">
        <f>IFERROR(IF(BR279*AA279=0,"",BR279*AA279),"")</f>
        <v/>
      </c>
    </row>
    <row r="280">
      <c r="O280">
        <f>IFERROR(INDEX('_courses_lookup'!$C:$C,MATCH(K280&amp;L280,'_courses_lookup'!$E:$E,0)),"")</f>
        <v/>
      </c>
      <c r="P280">
        <f>IFERROR(INDEX('_courses_lookup'!$D:$D,MATCH(K280&amp;L280,'_courses_lookup'!$E:$E,0)),"")</f>
        <v/>
      </c>
      <c r="AG280">
        <f>IF(AND(AE280&lt;&gt;"",AF280&lt;&gt;""),ROUNDUP((AF280-AE280)/7,0),"")</f>
        <v/>
      </c>
      <c r="AI280">
        <f>IFERROR(IF(AG280*AH280=0,"",AG280*AH280),"")</f>
        <v/>
      </c>
      <c r="AL280">
        <f>IF(AND(AJ280&lt;&gt;"",AK280&lt;&gt;""),ROUNDUP((AK280-AJ280)/7,0),"")</f>
        <v/>
      </c>
      <c r="AN280">
        <f>IFERROR(IF(AL280*AM280=0,"",AL280*AM280),"")</f>
        <v/>
      </c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L280">
        <f>IFERROR(INDEX('_names_lookup'!$C:$C,MATCH(BK280,'_names_lookup'!$A:$A,0)),"")</f>
        <v/>
      </c>
      <c r="BM280">
        <f>IFERROR(INDEX('_names_lookup'!$B:$B,MATCH(BK280,'_names_lookup'!$A:$A,0)),"")</f>
        <v/>
      </c>
      <c r="BS280">
        <f>IFERROR(IF(BR280*AA280=0,"",BR280*AA280),"")</f>
        <v/>
      </c>
    </row>
    <row r="281">
      <c r="O281">
        <f>IFERROR(INDEX('_courses_lookup'!$C:$C,MATCH(K281&amp;L281,'_courses_lookup'!$E:$E,0)),"")</f>
        <v/>
      </c>
      <c r="P281">
        <f>IFERROR(INDEX('_courses_lookup'!$D:$D,MATCH(K281&amp;L281,'_courses_lookup'!$E:$E,0)),"")</f>
        <v/>
      </c>
      <c r="AG281">
        <f>IF(AND(AE281&lt;&gt;"",AF281&lt;&gt;""),ROUNDUP((AF281-AE281)/7,0),"")</f>
        <v/>
      </c>
      <c r="AI281">
        <f>IFERROR(IF(AG281*AH281=0,"",AG281*AH281),"")</f>
        <v/>
      </c>
      <c r="AL281">
        <f>IF(AND(AJ281&lt;&gt;"",AK281&lt;&gt;""),ROUNDUP((AK281-AJ281)/7,0),"")</f>
        <v/>
      </c>
      <c r="AN281">
        <f>IFERROR(IF(AL281*AM281=0,"",AL281*AM281),"")</f>
        <v/>
      </c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L281">
        <f>IFERROR(INDEX('_names_lookup'!$C:$C,MATCH(BK281,'_names_lookup'!$A:$A,0)),"")</f>
        <v/>
      </c>
      <c r="BM281">
        <f>IFERROR(INDEX('_names_lookup'!$B:$B,MATCH(BK281,'_names_lookup'!$A:$A,0)),"")</f>
        <v/>
      </c>
      <c r="BS281">
        <f>IFERROR(IF(BR281*AA281=0,"",BR281*AA281),"")</f>
        <v/>
      </c>
    </row>
    <row r="282">
      <c r="O282">
        <f>IFERROR(INDEX('_courses_lookup'!$C:$C,MATCH(K282&amp;L282,'_courses_lookup'!$E:$E,0)),"")</f>
        <v/>
      </c>
      <c r="P282">
        <f>IFERROR(INDEX('_courses_lookup'!$D:$D,MATCH(K282&amp;L282,'_courses_lookup'!$E:$E,0)),"")</f>
        <v/>
      </c>
      <c r="AG282">
        <f>IF(AND(AE282&lt;&gt;"",AF282&lt;&gt;""),ROUNDUP((AF282-AE282)/7,0),"")</f>
        <v/>
      </c>
      <c r="AI282">
        <f>IFERROR(IF(AG282*AH282=0,"",AG282*AH282),"")</f>
        <v/>
      </c>
      <c r="AL282">
        <f>IF(AND(AJ282&lt;&gt;"",AK282&lt;&gt;""),ROUNDUP((AK282-AJ282)/7,0),"")</f>
        <v/>
      </c>
      <c r="AN282">
        <f>IFERROR(IF(AL282*AM282=0,"",AL282*AM282),"")</f>
        <v/>
      </c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L282">
        <f>IFERROR(INDEX('_names_lookup'!$C:$C,MATCH(BK282,'_names_lookup'!$A:$A,0)),"")</f>
        <v/>
      </c>
      <c r="BM282">
        <f>IFERROR(INDEX('_names_lookup'!$B:$B,MATCH(BK282,'_names_lookup'!$A:$A,0)),"")</f>
        <v/>
      </c>
      <c r="BS282">
        <f>IFERROR(IF(BR282*AA282=0,"",BR282*AA282),"")</f>
        <v/>
      </c>
    </row>
    <row r="283">
      <c r="O283">
        <f>IFERROR(INDEX('_courses_lookup'!$C:$C,MATCH(K283&amp;L283,'_courses_lookup'!$E:$E,0)),"")</f>
        <v/>
      </c>
      <c r="P283">
        <f>IFERROR(INDEX('_courses_lookup'!$D:$D,MATCH(K283&amp;L283,'_courses_lookup'!$E:$E,0)),"")</f>
        <v/>
      </c>
      <c r="AG283">
        <f>IF(AND(AE283&lt;&gt;"",AF283&lt;&gt;""),ROUNDUP((AF283-AE283)/7,0),"")</f>
        <v/>
      </c>
      <c r="AI283">
        <f>IFERROR(IF(AG283*AH283=0,"",AG283*AH283),"")</f>
        <v/>
      </c>
      <c r="AL283">
        <f>IF(AND(AJ283&lt;&gt;"",AK283&lt;&gt;""),ROUNDUP((AK283-AJ283)/7,0),"")</f>
        <v/>
      </c>
      <c r="AN283">
        <f>IFERROR(IF(AL283*AM283=0,"",AL283*AM283),"")</f>
        <v/>
      </c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L283">
        <f>IFERROR(INDEX('_names_lookup'!$C:$C,MATCH(BK283,'_names_lookup'!$A:$A,0)),"")</f>
        <v/>
      </c>
      <c r="BM283">
        <f>IFERROR(INDEX('_names_lookup'!$B:$B,MATCH(BK283,'_names_lookup'!$A:$A,0)),"")</f>
        <v/>
      </c>
      <c r="BS283">
        <f>IFERROR(IF(BR283*AA283=0,"",BR283*AA283),"")</f>
        <v/>
      </c>
    </row>
    <row r="284">
      <c r="O284">
        <f>IFERROR(INDEX('_courses_lookup'!$C:$C,MATCH(K284&amp;L284,'_courses_lookup'!$E:$E,0)),"")</f>
        <v/>
      </c>
      <c r="P284">
        <f>IFERROR(INDEX('_courses_lookup'!$D:$D,MATCH(K284&amp;L284,'_courses_lookup'!$E:$E,0)),"")</f>
        <v/>
      </c>
      <c r="AG284">
        <f>IF(AND(AE284&lt;&gt;"",AF284&lt;&gt;""),ROUNDUP((AF284-AE284)/7,0),"")</f>
        <v/>
      </c>
      <c r="AI284">
        <f>IFERROR(IF(AG284*AH284=0,"",AG284*AH284),"")</f>
        <v/>
      </c>
      <c r="AL284">
        <f>IF(AND(AJ284&lt;&gt;"",AK284&lt;&gt;""),ROUNDUP((AK284-AJ284)/7,0),"")</f>
        <v/>
      </c>
      <c r="AN284">
        <f>IFERROR(IF(AL284*AM284=0,"",AL284*AM284),"")</f>
        <v/>
      </c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L284">
        <f>IFERROR(INDEX('_names_lookup'!$C:$C,MATCH(BK284,'_names_lookup'!$A:$A,0)),"")</f>
        <v/>
      </c>
      <c r="BM284">
        <f>IFERROR(INDEX('_names_lookup'!$B:$B,MATCH(BK284,'_names_lookup'!$A:$A,0)),"")</f>
        <v/>
      </c>
      <c r="BS284">
        <f>IFERROR(IF(BR284*AA284=0,"",BR284*AA284),"")</f>
        <v/>
      </c>
    </row>
    <row r="285">
      <c r="O285">
        <f>IFERROR(INDEX('_courses_lookup'!$C:$C,MATCH(K285&amp;L285,'_courses_lookup'!$E:$E,0)),"")</f>
        <v/>
      </c>
      <c r="P285">
        <f>IFERROR(INDEX('_courses_lookup'!$D:$D,MATCH(K285&amp;L285,'_courses_lookup'!$E:$E,0)),"")</f>
        <v/>
      </c>
      <c r="AG285">
        <f>IF(AND(AE285&lt;&gt;"",AF285&lt;&gt;""),ROUNDUP((AF285-AE285)/7,0),"")</f>
        <v/>
      </c>
      <c r="AI285">
        <f>IFERROR(IF(AG285*AH285=0,"",AG285*AH285),"")</f>
        <v/>
      </c>
      <c r="AL285">
        <f>IF(AND(AJ285&lt;&gt;"",AK285&lt;&gt;""),ROUNDUP((AK285-AJ285)/7,0),"")</f>
        <v/>
      </c>
      <c r="AN285">
        <f>IFERROR(IF(AL285*AM285=0,"",AL285*AM285),"")</f>
        <v/>
      </c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L285">
        <f>IFERROR(INDEX('_names_lookup'!$C:$C,MATCH(BK285,'_names_lookup'!$A:$A,0)),"")</f>
        <v/>
      </c>
      <c r="BM285">
        <f>IFERROR(INDEX('_names_lookup'!$B:$B,MATCH(BK285,'_names_lookup'!$A:$A,0)),"")</f>
        <v/>
      </c>
      <c r="BS285">
        <f>IFERROR(IF(BR285*AA285=0,"",BR285*AA285),"")</f>
        <v/>
      </c>
    </row>
    <row r="286">
      <c r="O286">
        <f>IFERROR(INDEX('_courses_lookup'!$C:$C,MATCH(K286&amp;L286,'_courses_lookup'!$E:$E,0)),"")</f>
        <v/>
      </c>
      <c r="P286">
        <f>IFERROR(INDEX('_courses_lookup'!$D:$D,MATCH(K286&amp;L286,'_courses_lookup'!$E:$E,0)),"")</f>
        <v/>
      </c>
      <c r="AG286">
        <f>IF(AND(AE286&lt;&gt;"",AF286&lt;&gt;""),ROUNDUP((AF286-AE286)/7,0),"")</f>
        <v/>
      </c>
      <c r="AI286">
        <f>IFERROR(IF(AG286*AH286=0,"",AG286*AH286),"")</f>
        <v/>
      </c>
      <c r="AL286">
        <f>IF(AND(AJ286&lt;&gt;"",AK286&lt;&gt;""),ROUNDUP((AK286-AJ286)/7,0),"")</f>
        <v/>
      </c>
      <c r="AN286">
        <f>IFERROR(IF(AL286*AM286=0,"",AL286*AM286),"")</f>
        <v/>
      </c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L286">
        <f>IFERROR(INDEX('_names_lookup'!$C:$C,MATCH(BK286,'_names_lookup'!$A:$A,0)),"")</f>
        <v/>
      </c>
      <c r="BM286">
        <f>IFERROR(INDEX('_names_lookup'!$B:$B,MATCH(BK286,'_names_lookup'!$A:$A,0)),"")</f>
        <v/>
      </c>
      <c r="BS286">
        <f>IFERROR(IF(BR286*AA286=0,"",BR286*AA286),"")</f>
        <v/>
      </c>
    </row>
    <row r="287">
      <c r="O287">
        <f>IFERROR(INDEX('_courses_lookup'!$C:$C,MATCH(K287&amp;L287,'_courses_lookup'!$E:$E,0)),"")</f>
        <v/>
      </c>
      <c r="P287">
        <f>IFERROR(INDEX('_courses_lookup'!$D:$D,MATCH(K287&amp;L287,'_courses_lookup'!$E:$E,0)),"")</f>
        <v/>
      </c>
      <c r="AG287">
        <f>IF(AND(AE287&lt;&gt;"",AF287&lt;&gt;""),ROUNDUP((AF287-AE287)/7,0),"")</f>
        <v/>
      </c>
      <c r="AI287">
        <f>IFERROR(IF(AG287*AH287=0,"",AG287*AH287),"")</f>
        <v/>
      </c>
      <c r="AL287">
        <f>IF(AND(AJ287&lt;&gt;"",AK287&lt;&gt;""),ROUNDUP((AK287-AJ287)/7,0),"")</f>
        <v/>
      </c>
      <c r="AN287">
        <f>IFERROR(IF(AL287*AM287=0,"",AL287*AM287),"")</f>
        <v/>
      </c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L287">
        <f>IFERROR(INDEX('_names_lookup'!$C:$C,MATCH(BK287,'_names_lookup'!$A:$A,0)),"")</f>
        <v/>
      </c>
      <c r="BM287">
        <f>IFERROR(INDEX('_names_lookup'!$B:$B,MATCH(BK287,'_names_lookup'!$A:$A,0)),"")</f>
        <v/>
      </c>
      <c r="BS287">
        <f>IFERROR(IF(BR287*AA287=0,"",BR287*AA287),"")</f>
        <v/>
      </c>
    </row>
    <row r="288">
      <c r="O288">
        <f>IFERROR(INDEX('_courses_lookup'!$C:$C,MATCH(K288&amp;L288,'_courses_lookup'!$E:$E,0)),"")</f>
        <v/>
      </c>
      <c r="P288">
        <f>IFERROR(INDEX('_courses_lookup'!$D:$D,MATCH(K288&amp;L288,'_courses_lookup'!$E:$E,0)),"")</f>
        <v/>
      </c>
      <c r="AG288">
        <f>IF(AND(AE288&lt;&gt;"",AF288&lt;&gt;""),ROUNDUP((AF288-AE288)/7,0),"")</f>
        <v/>
      </c>
      <c r="AI288">
        <f>IFERROR(IF(AG288*AH288=0,"",AG288*AH288),"")</f>
        <v/>
      </c>
      <c r="AL288">
        <f>IF(AND(AJ288&lt;&gt;"",AK288&lt;&gt;""),ROUNDUP((AK288-AJ288)/7,0),"")</f>
        <v/>
      </c>
      <c r="AN288">
        <f>IFERROR(IF(AL288*AM288=0,"",AL288*AM288),"")</f>
        <v/>
      </c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L288">
        <f>IFERROR(INDEX('_names_lookup'!$C:$C,MATCH(BK288,'_names_lookup'!$A:$A,0)),"")</f>
        <v/>
      </c>
      <c r="BM288">
        <f>IFERROR(INDEX('_names_lookup'!$B:$B,MATCH(BK288,'_names_lookup'!$A:$A,0)),"")</f>
        <v/>
      </c>
      <c r="BS288">
        <f>IFERROR(IF(BR288*AA288=0,"",BR288*AA288),"")</f>
        <v/>
      </c>
    </row>
    <row r="289">
      <c r="O289">
        <f>IFERROR(INDEX('_courses_lookup'!$C:$C,MATCH(K289&amp;L289,'_courses_lookup'!$E:$E,0)),"")</f>
        <v/>
      </c>
      <c r="P289">
        <f>IFERROR(INDEX('_courses_lookup'!$D:$D,MATCH(K289&amp;L289,'_courses_lookup'!$E:$E,0)),"")</f>
        <v/>
      </c>
      <c r="AG289">
        <f>IF(AND(AE289&lt;&gt;"",AF289&lt;&gt;""),ROUNDUP((AF289-AE289)/7,0),"")</f>
        <v/>
      </c>
      <c r="AI289">
        <f>IFERROR(IF(AG289*AH289=0,"",AG289*AH289),"")</f>
        <v/>
      </c>
      <c r="AL289">
        <f>IF(AND(AJ289&lt;&gt;"",AK289&lt;&gt;""),ROUNDUP((AK289-AJ289)/7,0),"")</f>
        <v/>
      </c>
      <c r="AN289">
        <f>IFERROR(IF(AL289*AM289=0,"",AL289*AM289),"")</f>
        <v/>
      </c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L289">
        <f>IFERROR(INDEX('_names_lookup'!$C:$C,MATCH(BK289,'_names_lookup'!$A:$A,0)),"")</f>
        <v/>
      </c>
      <c r="BM289">
        <f>IFERROR(INDEX('_names_lookup'!$B:$B,MATCH(BK289,'_names_lookup'!$A:$A,0)),"")</f>
        <v/>
      </c>
      <c r="BS289">
        <f>IFERROR(IF(BR289*AA289=0,"",BR289*AA289),"")</f>
        <v/>
      </c>
    </row>
    <row r="290">
      <c r="O290">
        <f>IFERROR(INDEX('_courses_lookup'!$C:$C,MATCH(K290&amp;L290,'_courses_lookup'!$E:$E,0)),"")</f>
        <v/>
      </c>
      <c r="P290">
        <f>IFERROR(INDEX('_courses_lookup'!$D:$D,MATCH(K290&amp;L290,'_courses_lookup'!$E:$E,0)),"")</f>
        <v/>
      </c>
      <c r="AG290">
        <f>IF(AND(AE290&lt;&gt;"",AF290&lt;&gt;""),ROUNDUP((AF290-AE290)/7,0),"")</f>
        <v/>
      </c>
      <c r="AI290">
        <f>IFERROR(IF(AG290*AH290=0,"",AG290*AH290),"")</f>
        <v/>
      </c>
      <c r="AL290">
        <f>IF(AND(AJ290&lt;&gt;"",AK290&lt;&gt;""),ROUNDUP((AK290-AJ290)/7,0),"")</f>
        <v/>
      </c>
      <c r="AN290">
        <f>IFERROR(IF(AL290*AM290=0,"",AL290*AM290),"")</f>
        <v/>
      </c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L290">
        <f>IFERROR(INDEX('_names_lookup'!$C:$C,MATCH(BK290,'_names_lookup'!$A:$A,0)),"")</f>
        <v/>
      </c>
      <c r="BM290">
        <f>IFERROR(INDEX('_names_lookup'!$B:$B,MATCH(BK290,'_names_lookup'!$A:$A,0)),"")</f>
        <v/>
      </c>
      <c r="BS290">
        <f>IFERROR(IF(BR290*AA290=0,"",BR290*AA290),"")</f>
        <v/>
      </c>
    </row>
    <row r="291">
      <c r="O291">
        <f>IFERROR(INDEX('_courses_lookup'!$C:$C,MATCH(K291&amp;L291,'_courses_lookup'!$E:$E,0)),"")</f>
        <v/>
      </c>
      <c r="P291">
        <f>IFERROR(INDEX('_courses_lookup'!$D:$D,MATCH(K291&amp;L291,'_courses_lookup'!$E:$E,0)),"")</f>
        <v/>
      </c>
      <c r="AG291">
        <f>IF(AND(AE291&lt;&gt;"",AF291&lt;&gt;""),ROUNDUP((AF291-AE291)/7,0),"")</f>
        <v/>
      </c>
      <c r="AI291">
        <f>IFERROR(IF(AG291*AH291=0,"",AG291*AH291),"")</f>
        <v/>
      </c>
      <c r="AL291">
        <f>IF(AND(AJ291&lt;&gt;"",AK291&lt;&gt;""),ROUNDUP((AK291-AJ291)/7,0),"")</f>
        <v/>
      </c>
      <c r="AN291">
        <f>IFERROR(IF(AL291*AM291=0,"",AL291*AM291),"")</f>
        <v/>
      </c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L291">
        <f>IFERROR(INDEX('_names_lookup'!$C:$C,MATCH(BK291,'_names_lookup'!$A:$A,0)),"")</f>
        <v/>
      </c>
      <c r="BM291">
        <f>IFERROR(INDEX('_names_lookup'!$B:$B,MATCH(BK291,'_names_lookup'!$A:$A,0)),"")</f>
        <v/>
      </c>
      <c r="BS291">
        <f>IFERROR(IF(BR291*AA291=0,"",BR291*AA291),"")</f>
        <v/>
      </c>
    </row>
    <row r="292">
      <c r="O292">
        <f>IFERROR(INDEX('_courses_lookup'!$C:$C,MATCH(K292&amp;L292,'_courses_lookup'!$E:$E,0)),"")</f>
        <v/>
      </c>
      <c r="P292">
        <f>IFERROR(INDEX('_courses_lookup'!$D:$D,MATCH(K292&amp;L292,'_courses_lookup'!$E:$E,0)),"")</f>
        <v/>
      </c>
      <c r="AG292">
        <f>IF(AND(AE292&lt;&gt;"",AF292&lt;&gt;""),ROUNDUP((AF292-AE292)/7,0),"")</f>
        <v/>
      </c>
      <c r="AI292">
        <f>IFERROR(IF(AG292*AH292=0,"",AG292*AH292),"")</f>
        <v/>
      </c>
      <c r="AL292">
        <f>IF(AND(AJ292&lt;&gt;"",AK292&lt;&gt;""),ROUNDUP((AK292-AJ292)/7,0),"")</f>
        <v/>
      </c>
      <c r="AN292">
        <f>IFERROR(IF(AL292*AM292=0,"",AL292*AM292),"")</f>
        <v/>
      </c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L292">
        <f>IFERROR(INDEX('_names_lookup'!$C:$C,MATCH(BK292,'_names_lookup'!$A:$A,0)),"")</f>
        <v/>
      </c>
      <c r="BM292">
        <f>IFERROR(INDEX('_names_lookup'!$B:$B,MATCH(BK292,'_names_lookup'!$A:$A,0)),"")</f>
        <v/>
      </c>
      <c r="BS292">
        <f>IFERROR(IF(BR292*AA292=0,"",BR292*AA292),"")</f>
        <v/>
      </c>
    </row>
    <row r="293">
      <c r="O293">
        <f>IFERROR(INDEX('_courses_lookup'!$C:$C,MATCH(K293&amp;L293,'_courses_lookup'!$E:$E,0)),"")</f>
        <v/>
      </c>
      <c r="P293">
        <f>IFERROR(INDEX('_courses_lookup'!$D:$D,MATCH(K293&amp;L293,'_courses_lookup'!$E:$E,0)),"")</f>
        <v/>
      </c>
      <c r="AG293">
        <f>IF(AND(AE293&lt;&gt;"",AF293&lt;&gt;""),ROUNDUP((AF293-AE293)/7,0),"")</f>
        <v/>
      </c>
      <c r="AI293">
        <f>IFERROR(IF(AG293*AH293=0,"",AG293*AH293),"")</f>
        <v/>
      </c>
      <c r="AL293">
        <f>IF(AND(AJ293&lt;&gt;"",AK293&lt;&gt;""),ROUNDUP((AK293-AJ293)/7,0),"")</f>
        <v/>
      </c>
      <c r="AN293">
        <f>IFERROR(IF(AL293*AM293=0,"",AL293*AM293),"")</f>
        <v/>
      </c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L293">
        <f>IFERROR(INDEX('_names_lookup'!$C:$C,MATCH(BK293,'_names_lookup'!$A:$A,0)),"")</f>
        <v/>
      </c>
      <c r="BM293">
        <f>IFERROR(INDEX('_names_lookup'!$B:$B,MATCH(BK293,'_names_lookup'!$A:$A,0)),"")</f>
        <v/>
      </c>
      <c r="BS293">
        <f>IFERROR(IF(BR293*AA293=0,"",BR293*AA293),"")</f>
        <v/>
      </c>
    </row>
    <row r="294">
      <c r="O294">
        <f>IFERROR(INDEX('_courses_lookup'!$C:$C,MATCH(K294&amp;L294,'_courses_lookup'!$E:$E,0)),"")</f>
        <v/>
      </c>
      <c r="P294">
        <f>IFERROR(INDEX('_courses_lookup'!$D:$D,MATCH(K294&amp;L294,'_courses_lookup'!$E:$E,0)),"")</f>
        <v/>
      </c>
      <c r="AG294">
        <f>IF(AND(AE294&lt;&gt;"",AF294&lt;&gt;""),ROUNDUP((AF294-AE294)/7,0),"")</f>
        <v/>
      </c>
      <c r="AI294">
        <f>IFERROR(IF(AG294*AH294=0,"",AG294*AH294),"")</f>
        <v/>
      </c>
      <c r="AL294">
        <f>IF(AND(AJ294&lt;&gt;"",AK294&lt;&gt;""),ROUNDUP((AK294-AJ294)/7,0),"")</f>
        <v/>
      </c>
      <c r="AN294">
        <f>IFERROR(IF(AL294*AM294=0,"",AL294*AM294),"")</f>
        <v/>
      </c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L294">
        <f>IFERROR(INDEX('_names_lookup'!$C:$C,MATCH(BK294,'_names_lookup'!$A:$A,0)),"")</f>
        <v/>
      </c>
      <c r="BM294">
        <f>IFERROR(INDEX('_names_lookup'!$B:$B,MATCH(BK294,'_names_lookup'!$A:$A,0)),"")</f>
        <v/>
      </c>
      <c r="BS294">
        <f>IFERROR(IF(BR294*AA294=0,"",BR294*AA294),"")</f>
        <v/>
      </c>
    </row>
    <row r="295">
      <c r="O295">
        <f>IFERROR(INDEX('_courses_lookup'!$C:$C,MATCH(K295&amp;L295,'_courses_lookup'!$E:$E,0)),"")</f>
        <v/>
      </c>
      <c r="P295">
        <f>IFERROR(INDEX('_courses_lookup'!$D:$D,MATCH(K295&amp;L295,'_courses_lookup'!$E:$E,0)),"")</f>
        <v/>
      </c>
      <c r="AG295">
        <f>IF(AND(AE295&lt;&gt;"",AF295&lt;&gt;""),ROUNDUP((AF295-AE295)/7,0),"")</f>
        <v/>
      </c>
      <c r="AI295">
        <f>IFERROR(IF(AG295*AH295=0,"",AG295*AH295),"")</f>
        <v/>
      </c>
      <c r="AL295">
        <f>IF(AND(AJ295&lt;&gt;"",AK295&lt;&gt;""),ROUNDUP((AK295-AJ295)/7,0),"")</f>
        <v/>
      </c>
      <c r="AN295">
        <f>IFERROR(IF(AL295*AM295=0,"",AL295*AM295),"")</f>
        <v/>
      </c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L295">
        <f>IFERROR(INDEX('_names_lookup'!$C:$C,MATCH(BK295,'_names_lookup'!$A:$A,0)),"")</f>
        <v/>
      </c>
      <c r="BM295">
        <f>IFERROR(INDEX('_names_lookup'!$B:$B,MATCH(BK295,'_names_lookup'!$A:$A,0)),"")</f>
        <v/>
      </c>
      <c r="BS295">
        <f>IFERROR(IF(BR295*AA295=0,"",BR295*AA295),"")</f>
        <v/>
      </c>
    </row>
    <row r="296">
      <c r="O296">
        <f>IFERROR(INDEX('_courses_lookup'!$C:$C,MATCH(K296&amp;L296,'_courses_lookup'!$E:$E,0)),"")</f>
        <v/>
      </c>
      <c r="P296">
        <f>IFERROR(INDEX('_courses_lookup'!$D:$D,MATCH(K296&amp;L296,'_courses_lookup'!$E:$E,0)),"")</f>
        <v/>
      </c>
      <c r="AG296">
        <f>IF(AND(AE296&lt;&gt;"",AF296&lt;&gt;""),ROUNDUP((AF296-AE296)/7,0),"")</f>
        <v/>
      </c>
      <c r="AI296">
        <f>IFERROR(IF(AG296*AH296=0,"",AG296*AH296),"")</f>
        <v/>
      </c>
      <c r="AL296">
        <f>IF(AND(AJ296&lt;&gt;"",AK296&lt;&gt;""),ROUNDUP((AK296-AJ296)/7,0),"")</f>
        <v/>
      </c>
      <c r="AN296">
        <f>IFERROR(IF(AL296*AM296=0,"",AL296*AM296),"")</f>
        <v/>
      </c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L296">
        <f>IFERROR(INDEX('_names_lookup'!$C:$C,MATCH(BK296,'_names_lookup'!$A:$A,0)),"")</f>
        <v/>
      </c>
      <c r="BM296">
        <f>IFERROR(INDEX('_names_lookup'!$B:$B,MATCH(BK296,'_names_lookup'!$A:$A,0)),"")</f>
        <v/>
      </c>
      <c r="BS296">
        <f>IFERROR(IF(BR296*AA296=0,"",BR296*AA296),"")</f>
        <v/>
      </c>
    </row>
    <row r="297">
      <c r="O297">
        <f>IFERROR(INDEX('_courses_lookup'!$C:$C,MATCH(K297&amp;L297,'_courses_lookup'!$E:$E,0)),"")</f>
        <v/>
      </c>
      <c r="P297">
        <f>IFERROR(INDEX('_courses_lookup'!$D:$D,MATCH(K297&amp;L297,'_courses_lookup'!$E:$E,0)),"")</f>
        <v/>
      </c>
      <c r="AG297">
        <f>IF(AND(AE297&lt;&gt;"",AF297&lt;&gt;""),ROUNDUP((AF297-AE297)/7,0),"")</f>
        <v/>
      </c>
      <c r="AI297">
        <f>IFERROR(IF(AG297*AH297=0,"",AG297*AH297),"")</f>
        <v/>
      </c>
      <c r="AL297">
        <f>IF(AND(AJ297&lt;&gt;"",AK297&lt;&gt;""),ROUNDUP((AK297-AJ297)/7,0),"")</f>
        <v/>
      </c>
      <c r="AN297">
        <f>IFERROR(IF(AL297*AM297=0,"",AL297*AM297),"")</f>
        <v/>
      </c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L297">
        <f>IFERROR(INDEX('_names_lookup'!$C:$C,MATCH(BK297,'_names_lookup'!$A:$A,0)),"")</f>
        <v/>
      </c>
      <c r="BM297">
        <f>IFERROR(INDEX('_names_lookup'!$B:$B,MATCH(BK297,'_names_lookup'!$A:$A,0)),"")</f>
        <v/>
      </c>
      <c r="BS297">
        <f>IFERROR(IF(BR297*AA297=0,"",BR297*AA297),"")</f>
        <v/>
      </c>
    </row>
    <row r="298">
      <c r="O298">
        <f>IFERROR(INDEX('_courses_lookup'!$C:$C,MATCH(K298&amp;L298,'_courses_lookup'!$E:$E,0)),"")</f>
        <v/>
      </c>
      <c r="P298">
        <f>IFERROR(INDEX('_courses_lookup'!$D:$D,MATCH(K298&amp;L298,'_courses_lookup'!$E:$E,0)),"")</f>
        <v/>
      </c>
      <c r="AG298">
        <f>IF(AND(AE298&lt;&gt;"",AF298&lt;&gt;""),ROUNDUP((AF298-AE298)/7,0),"")</f>
        <v/>
      </c>
      <c r="AI298">
        <f>IFERROR(IF(AG298*AH298=0,"",AG298*AH298),"")</f>
        <v/>
      </c>
      <c r="AL298">
        <f>IF(AND(AJ298&lt;&gt;"",AK298&lt;&gt;""),ROUNDUP((AK298-AJ298)/7,0),"")</f>
        <v/>
      </c>
      <c r="AN298">
        <f>IFERROR(IF(AL298*AM298=0,"",AL298*AM298),"")</f>
        <v/>
      </c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L298">
        <f>IFERROR(INDEX('_names_lookup'!$C:$C,MATCH(BK298,'_names_lookup'!$A:$A,0)),"")</f>
        <v/>
      </c>
      <c r="BM298">
        <f>IFERROR(INDEX('_names_lookup'!$B:$B,MATCH(BK298,'_names_lookup'!$A:$A,0)),"")</f>
        <v/>
      </c>
      <c r="BS298">
        <f>IFERROR(IF(BR298*AA298=0,"",BR298*AA298),"")</f>
        <v/>
      </c>
    </row>
    <row r="299">
      <c r="O299">
        <f>IFERROR(INDEX('_courses_lookup'!$C:$C,MATCH(K299&amp;L299,'_courses_lookup'!$E:$E,0)),"")</f>
        <v/>
      </c>
      <c r="P299">
        <f>IFERROR(INDEX('_courses_lookup'!$D:$D,MATCH(K299&amp;L299,'_courses_lookup'!$E:$E,0)),"")</f>
        <v/>
      </c>
      <c r="AG299">
        <f>IF(AND(AE299&lt;&gt;"",AF299&lt;&gt;""),ROUNDUP((AF299-AE299)/7,0),"")</f>
        <v/>
      </c>
      <c r="AI299">
        <f>IFERROR(IF(AG299*AH299=0,"",AG299*AH299),"")</f>
        <v/>
      </c>
      <c r="AL299">
        <f>IF(AND(AJ299&lt;&gt;"",AK299&lt;&gt;""),ROUNDUP((AK299-AJ299)/7,0),"")</f>
        <v/>
      </c>
      <c r="AN299">
        <f>IFERROR(IF(AL299*AM299=0,"",AL299*AM299),"")</f>
        <v/>
      </c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L299">
        <f>IFERROR(INDEX('_names_lookup'!$C:$C,MATCH(BK299,'_names_lookup'!$A:$A,0)),"")</f>
        <v/>
      </c>
      <c r="BM299">
        <f>IFERROR(INDEX('_names_lookup'!$B:$B,MATCH(BK299,'_names_lookup'!$A:$A,0)),"")</f>
        <v/>
      </c>
      <c r="BS299">
        <f>IFERROR(IF(BR299*AA299=0,"",BR299*AA299),"")</f>
        <v/>
      </c>
    </row>
    <row r="300">
      <c r="O300">
        <f>IFERROR(INDEX('_courses_lookup'!$C:$C,MATCH(K300&amp;L300,'_courses_lookup'!$E:$E,0)),"")</f>
        <v/>
      </c>
      <c r="P300">
        <f>IFERROR(INDEX('_courses_lookup'!$D:$D,MATCH(K300&amp;L300,'_courses_lookup'!$E:$E,0)),"")</f>
        <v/>
      </c>
      <c r="AG300">
        <f>IF(AND(AE300&lt;&gt;"",AF300&lt;&gt;""),ROUNDUP((AF300-AE300)/7,0),"")</f>
        <v/>
      </c>
      <c r="AI300">
        <f>IFERROR(IF(AG300*AH300=0,"",AG300*AH300),"")</f>
        <v/>
      </c>
      <c r="AL300">
        <f>IF(AND(AJ300&lt;&gt;"",AK300&lt;&gt;""),ROUNDUP((AK300-AJ300)/7,0),"")</f>
        <v/>
      </c>
      <c r="AN300">
        <f>IFERROR(IF(AL300*AM300=0,"",AL300*AM300),"")</f>
        <v/>
      </c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L300">
        <f>IFERROR(INDEX('_names_lookup'!$C:$C,MATCH(BK300,'_names_lookup'!$A:$A,0)),"")</f>
        <v/>
      </c>
      <c r="BM300">
        <f>IFERROR(INDEX('_names_lookup'!$B:$B,MATCH(BK300,'_names_lookup'!$A:$A,0)),"")</f>
        <v/>
      </c>
      <c r="BS300">
        <f>IFERROR(IF(BR300*AA300=0,"",BR300*AA300),"")</f>
        <v/>
      </c>
    </row>
  </sheetData>
  <autoFilter ref="A1:DQ18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='DropDownMenu'!$BC$2:$BC$259</formula1>
    </dataValidation>
    <dataValidation sqref="BL2:BL5000" showDropDown="0" showInputMessage="0" showErrorMessage="0" allowBlank="1" type="list">
      <formula1>='DropDownMenu'!$BD$2:$BD$253</formula1>
    </dataValidation>
    <dataValidation sqref="BM2:BM5000" showDropDown="0" showInputMessage="0" showErrorMessage="0" allowBlank="1" type="list">
      <formula1>='DropDownMenu'!$BE$2:$BE$259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J23" sqref="J23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23" t="inlineStr">
        <is>
          <t>Don {not in Banner}</t>
        </is>
      </c>
      <c r="B1" s="23" t="inlineStr">
        <is>
          <t>Mismatching {not in Banner}</t>
        </is>
      </c>
      <c r="C1" s="23" t="inlineStr">
        <is>
          <t>Dept/Prog Admin {not in Banner}</t>
        </is>
      </c>
      <c r="D1" s="23" t="inlineStr">
        <is>
          <t>Mona {not in Banner}</t>
        </is>
      </c>
      <c r="E1" s="23" t="inlineStr">
        <is>
          <t>Karen {not in Banner}</t>
        </is>
      </c>
      <c r="F1" s="23" t="inlineStr">
        <is>
          <t>DONE {not in Banner}</t>
        </is>
      </c>
      <c r="G1" s="24" t="inlineStr">
        <is>
          <t>Notes {not in Banner}</t>
        </is>
      </c>
      <c r="H1" s="23" t="inlineStr">
        <is>
          <t>CRN sorted {not in Banner}</t>
        </is>
      </c>
      <c r="I1" s="23" t="inlineStr">
        <is>
          <t>CRN</t>
        </is>
      </c>
      <c r="J1" s="23" t="inlineStr">
        <is>
          <t>Attribute {not in Banner}</t>
        </is>
      </c>
      <c r="K1" s="23" t="inlineStr">
        <is>
          <t>Subject</t>
        </is>
      </c>
      <c r="L1" s="23" t="inlineStr">
        <is>
          <t>Course Number {Crse Num}</t>
        </is>
      </c>
      <c r="M1" s="23" t="inlineStr">
        <is>
          <t>Course Section {Seq Crse Num}</t>
        </is>
      </c>
      <c r="N1" s="23" t="inlineStr">
        <is>
          <t>Program {not in Banner}</t>
        </is>
      </c>
      <c r="O1" s="23" t="inlineStr">
        <is>
          <t>Catalog Title</t>
        </is>
      </c>
      <c r="P1" s="23" t="inlineStr">
        <is>
          <t>Section Title</t>
        </is>
      </c>
      <c r="Q1" s="23" t="inlineStr">
        <is>
          <t>Crosslist Details {not in Banner}</t>
        </is>
      </c>
      <c r="R1" s="23" t="inlineStr">
        <is>
          <t>X Lst</t>
        </is>
      </c>
      <c r="S1" s="23" t="inlineStr">
        <is>
          <t>Campus {Ssasect Campus}</t>
        </is>
      </c>
      <c r="T1" s="23" t="inlineStr">
        <is>
          <t>Campus Restriction {Camp Restr CC}</t>
        </is>
      </c>
      <c r="U1" s="23" t="inlineStr">
        <is>
          <t>Schedule Type {not in Banner}</t>
        </is>
      </c>
      <c r="V1" s="23" t="inlineStr">
        <is>
          <t>Instruction Method {Inst Method}</t>
        </is>
      </c>
      <c r="W1" s="23" t="inlineStr">
        <is>
          <t>Level {Level SC}</t>
        </is>
      </c>
      <c r="X1" s="23" t="inlineStr">
        <is>
          <t>Part-Of-Term</t>
        </is>
      </c>
      <c r="Y1" s="23" t="inlineStr">
        <is>
          <t>Credit Catalog {Cat Crs}</t>
        </is>
      </c>
      <c r="Z1" s="23" t="inlineStr">
        <is>
          <t>Credits {Sect Crs}</t>
        </is>
      </c>
      <c r="AA1" s="23" t="inlineStr">
        <is>
          <t>Faculty Load / Contract Credits {not in Banner}</t>
        </is>
      </c>
      <c r="AB1" s="23" t="inlineStr">
        <is>
          <t>Enrollment Cap {Max Enrl}</t>
        </is>
      </c>
      <c r="AC1" s="23" t="inlineStr">
        <is>
          <t>Meeting Type</t>
        </is>
      </c>
      <c r="AD1" s="23" t="inlineStr">
        <is>
          <t>Semester Start Date {Soaterm Start Date}</t>
        </is>
      </c>
      <c r="AE1" s="23" t="inlineStr">
        <is>
          <t>Pre-work Start Date {not in Banner}</t>
        </is>
      </c>
      <c r="AF1" s="23" t="inlineStr">
        <is>
          <t>Pre-work End Date {not in Banner}</t>
        </is>
      </c>
      <c r="AG1" s="25" t="inlineStr">
        <is>
          <t>pre-work # of weeks {not in Banner}</t>
        </is>
      </c>
      <c r="AH1" s="25" t="inlineStr">
        <is>
          <t>pre-work hours/week {not in Banner}</t>
        </is>
      </c>
      <c r="AI1" s="25" t="inlineStr">
        <is>
          <t>pre-work hours/period {not in Banner}</t>
        </is>
      </c>
      <c r="AJ1" s="23" t="inlineStr">
        <is>
          <t>Intensive Period Start Date {Meet Start Date}</t>
        </is>
      </c>
      <c r="AK1" s="23" t="inlineStr">
        <is>
          <t>Intensive Period End Date {Meet End Date}</t>
        </is>
      </c>
      <c r="AL1" s="25" t="inlineStr">
        <is>
          <t>intensive # of weeks {not in Banner}</t>
        </is>
      </c>
      <c r="AM1" s="25" t="inlineStr">
        <is>
          <t>intensive hours/week {not in Banner}</t>
        </is>
      </c>
      <c r="AN1" s="25" t="inlineStr">
        <is>
          <t>intensive hours/period {not in Banner}</t>
        </is>
      </c>
      <c r="AO1" s="23" t="inlineStr">
        <is>
          <t>Post-work Start Date {not in Banner}</t>
        </is>
      </c>
      <c r="AP1" s="23" t="inlineStr">
        <is>
          <t>Post-work End Date {not in Banner}</t>
        </is>
      </c>
      <c r="AQ1" s="25" t="inlineStr">
        <is>
          <t>post-work # of weeks {not in Banner}</t>
        </is>
      </c>
      <c r="AR1" s="25" t="inlineStr">
        <is>
          <t>post-work hours/week {not in Banner}</t>
        </is>
      </c>
      <c r="AS1" s="25" t="inlineStr">
        <is>
          <t>post-work hours/period {not in Banner}</t>
        </is>
      </c>
      <c r="AT1" s="25" t="inlineStr">
        <is>
          <t>sum of weeks (for check) {not in Banner}</t>
        </is>
      </c>
      <c r="AU1" s="25" t="inlineStr">
        <is>
          <t>total contract hours {not in Banner}</t>
        </is>
      </c>
      <c r="AV1" s="23" t="inlineStr">
        <is>
          <t>Semester End Date {Soaterm End Date}</t>
        </is>
      </c>
      <c r="AW1" s="23" t="inlineStr">
        <is>
          <t>Course Beginning Time {Meet Beg Time}</t>
        </is>
      </c>
      <c r="AX1" s="23" t="inlineStr">
        <is>
          <t>Course Ending Time {Meet End Time}</t>
        </is>
      </c>
      <c r="AY1" s="23" t="inlineStr">
        <is>
          <t>SUN</t>
        </is>
      </c>
      <c r="AZ1" s="23" t="inlineStr">
        <is>
          <t>MON</t>
        </is>
      </c>
      <c r="BA1" s="23" t="inlineStr">
        <is>
          <t>TUE</t>
        </is>
      </c>
      <c r="BB1" s="23" t="inlineStr">
        <is>
          <t>WED</t>
        </is>
      </c>
      <c r="BC1" s="23" t="inlineStr">
        <is>
          <t>THU</t>
        </is>
      </c>
      <c r="BD1" s="23" t="inlineStr">
        <is>
          <t>FRI</t>
        </is>
      </c>
      <c r="BE1" s="23" t="inlineStr">
        <is>
          <t>SAT</t>
        </is>
      </c>
      <c r="BF1" s="23" t="inlineStr">
        <is>
          <t>Weeks</t>
        </is>
      </c>
      <c r="BG1" s="23" t="inlineStr">
        <is>
          <t>Fiscal Year {not in Banner}</t>
        </is>
      </c>
      <c r="BH1" s="25" t="inlineStr">
        <is>
          <t>Semester {not in Banner}</t>
        </is>
      </c>
      <c r="BI1" s="23" t="inlineStr">
        <is>
          <t>Room {Meet Room}</t>
        </is>
      </c>
      <c r="BJ1" s="23" t="inlineStr">
        <is>
          <t>Building {Meet Bldg}</t>
        </is>
      </c>
      <c r="BK1" s="23" t="inlineStr">
        <is>
          <t>Instructor Name {Instr Name}</t>
        </is>
      </c>
      <c r="BL1" s="23" t="inlineStr">
        <is>
          <t>Instructor Email {Instr Email}</t>
        </is>
      </c>
      <c r="BM1" s="23" t="inlineStr">
        <is>
          <t>Instructor ID {Instr ID}</t>
        </is>
      </c>
      <c r="BN1" s="25" t="inlineStr">
        <is>
          <t>Remote Employee {not in Banner}</t>
        </is>
      </c>
      <c r="BO1" s="23" t="inlineStr">
        <is>
          <t>% Responsibility</t>
        </is>
      </c>
      <c r="BP1" s="23" t="inlineStr">
        <is>
          <t>load/contract {not in Banner}</t>
        </is>
      </c>
      <c r="BQ1" s="25" t="inlineStr">
        <is>
          <t>Reason for Contract {not in Banner}</t>
        </is>
      </c>
      <c r="BR1" s="25" t="inlineStr">
        <is>
          <t>costs per credit {not in Banner}</t>
        </is>
      </c>
      <c r="BS1" s="25" t="inlineStr">
        <is>
          <t>total costs {not in Banner}</t>
        </is>
      </c>
      <c r="BT1" s="25" t="inlineStr">
        <is>
          <t>dept budget {not in Banner}</t>
        </is>
      </c>
      <c r="BU1" s="25" t="inlineStr">
        <is>
          <t>account to be charged {not in Banner}</t>
        </is>
      </c>
      <c r="BV1" s="25" t="inlineStr">
        <is>
          <t>SEM Department {Scacrse Dept}</t>
        </is>
      </c>
      <c r="BW1" s="26" t="inlineStr">
        <is>
          <t>dean email</t>
        </is>
      </c>
      <c r="BX1" s="26" t="inlineStr">
        <is>
          <t>VP finance email</t>
        </is>
      </c>
      <c r="BY1" s="26" t="inlineStr">
        <is>
          <t>HR email</t>
        </is>
      </c>
      <c r="BZ1" s="26" t="inlineStr">
        <is>
          <t>Fee Amount {Fees Amt}</t>
        </is>
      </c>
      <c r="CA1" s="26" t="inlineStr">
        <is>
          <t>Fee Code {Detl Code}</t>
        </is>
      </c>
      <c r="CB1" s="26" t="inlineStr">
        <is>
          <t>Fee Type</t>
        </is>
      </c>
      <c r="CC1" s="26" t="inlineStr">
        <is>
          <t>Fee Level</t>
        </is>
      </c>
      <c r="CD1" s="26" t="inlineStr">
        <is>
          <t>Fee Ind</t>
        </is>
      </c>
      <c r="CE1" s="26" t="inlineStr">
        <is>
          <t>Fee Term</t>
        </is>
      </c>
      <c r="CF1" s="26" t="inlineStr">
        <is>
          <t>Activity Date</t>
        </is>
      </c>
      <c r="CG1" s="26" t="inlineStr">
        <is>
          <t>Status</t>
        </is>
      </c>
      <c r="CH1" s="26" t="inlineStr">
        <is>
          <t>Bill Hrs</t>
        </is>
      </c>
      <c r="CI1" s="26" t="inlineStr">
        <is>
          <t>Sect Sch Type</t>
        </is>
      </c>
      <c r="CJ1" s="26" t="inlineStr">
        <is>
          <t>Prerequisites {Preq Areas}</t>
        </is>
      </c>
      <c r="CK1" s="26" t="inlineStr">
        <is>
          <t>Link Ind</t>
        </is>
      </c>
      <c r="CL1" s="26" t="inlineStr">
        <is>
          <t>Integration Code</t>
        </is>
      </c>
      <c r="CM1" s="26" t="inlineStr">
        <is>
          <t>Link Conn</t>
        </is>
      </c>
      <c r="CN1" s="26" t="inlineStr">
        <is>
          <t>Crs Attr</t>
        </is>
      </c>
      <c r="CO1" s="26" t="inlineStr">
        <is>
          <t>Comments</t>
        </is>
      </c>
      <c r="CP1" s="26" t="inlineStr">
        <is>
          <t>Major Restr</t>
        </is>
      </c>
      <c r="CQ1" s="26" t="inlineStr">
        <is>
          <t>Scacrse College</t>
        </is>
      </c>
      <c r="CR1" s="26" t="inlineStr">
        <is>
          <t>Enrolled</t>
        </is>
      </c>
      <c r="CS1" s="26" t="inlineStr">
        <is>
          <t>Waitlist Capacity</t>
        </is>
      </c>
      <c r="CT1" s="26" t="inlineStr">
        <is>
          <t>Primary Ind</t>
        </is>
      </c>
      <c r="CU1" s="26" t="inlineStr">
        <is>
          <t>Override</t>
        </is>
      </c>
      <c r="CV1" s="26" t="inlineStr">
        <is>
          <t>1st Date Reg Opens</t>
        </is>
      </c>
      <c r="CW1" s="26" t="inlineStr">
        <is>
          <t>Last Date Reg Opens</t>
        </is>
      </c>
      <c r="CX1" s="26" t="inlineStr">
        <is>
          <t>OL Range From Date</t>
        </is>
      </c>
      <c r="CY1" s="26" t="inlineStr">
        <is>
          <t>OL Range To Date</t>
        </is>
      </c>
      <c r="CZ1" s="26" t="inlineStr">
        <is>
          <t>OL Numb Units</t>
        </is>
      </c>
      <c r="DA1" s="26" t="inlineStr">
        <is>
          <t>OL Duration Code</t>
        </is>
      </c>
      <c r="DB1" s="26" t="inlineStr">
        <is>
          <t>Grade Mode</t>
        </is>
      </c>
      <c r="DC1" s="26" t="inlineStr">
        <is>
          <t>Gradable Ind</t>
        </is>
      </c>
      <c r="DD1" s="26" t="inlineStr">
        <is>
          <t>Tuit Waiver</t>
        </is>
      </c>
      <c r="DE1" s="26" t="inlineStr">
        <is>
          <t>Course Override {Meet Override}</t>
        </is>
      </c>
      <c r="DF1" s="26" t="inlineStr">
        <is>
          <t>Lvl Res Ind</t>
        </is>
      </c>
      <c r="DG1" s="26" t="inlineStr">
        <is>
          <t>Cmp Res Ind</t>
        </is>
      </c>
      <c r="DH1" s="26" t="inlineStr">
        <is>
          <t>Rate Code</t>
        </is>
      </c>
      <c r="DI1" s="26" t="inlineStr">
        <is>
          <t>Cohort Code</t>
        </is>
      </c>
      <c r="DJ1" s="26" t="inlineStr">
        <is>
          <t>St Attr Code</t>
        </is>
      </c>
      <c r="DK1" s="26" t="inlineStr">
        <is>
          <t>Coll SC</t>
        </is>
      </c>
      <c r="DL1" s="26" t="inlineStr">
        <is>
          <t>DegC SC</t>
        </is>
      </c>
      <c r="DM1" s="26" t="inlineStr">
        <is>
          <t>Prog SC</t>
        </is>
      </c>
      <c r="DN1" s="26" t="inlineStr">
        <is>
          <t>FOS Type</t>
        </is>
      </c>
      <c r="DO1" s="26" t="inlineStr">
        <is>
          <t>Special Approval {Special Apvl}</t>
        </is>
      </c>
      <c r="DP1" s="26" t="inlineStr">
        <is>
          <t>Term Code</t>
        </is>
      </c>
      <c r="DQ1" s="26" t="inlineStr">
        <is>
          <t>Camp SC</t>
        </is>
      </c>
    </row>
    <row r="2">
      <c r="O2">
        <f>IFERROR(INDEX('_courses_lookup'!$C:$C,MATCH(K2&amp;L2,'_courses_lookup'!$E:$E,0)),"")</f>
        <v/>
      </c>
      <c r="P2">
        <f>IFERROR(INDEX('_courses_lookup'!$D:$D,MATCH(K2&amp;L2,'_courses_lookup'!$E:$E,0)),"")</f>
        <v/>
      </c>
      <c r="AG2">
        <f>IF(AND(AE2&lt;&gt;"",AF2&lt;&gt;""),ROUNDUP((AF2-AE2)/7,0),"")</f>
        <v/>
      </c>
      <c r="AI2">
        <f>IFERROR(IF(AG2*AH2=0,"",AG2*AH2),"")</f>
        <v/>
      </c>
      <c r="AL2">
        <f>IF(AND(AJ2&lt;&gt;"",AK2&lt;&gt;""),ROUNDUP((AK2-AJ2)/7,0),"")</f>
        <v/>
      </c>
      <c r="AN2">
        <f>IFERROR(IF(AL2*AM2=0,"",AL2*AM2),"")</f>
        <v/>
      </c>
      <c r="AQ2">
        <f>IF(AND(AO2&lt;&gt;"",AP2&lt;&gt;""),ROUNDUP((AP2-AO2)/7,0),"")</f>
        <v/>
      </c>
      <c r="AR2">
        <f>IFERROR(IF((AU2-(AI2+AN2))/AQ2=0,"",ROUNDUP((AU2-(AI2+AN2))/AQ2,0)),"")</f>
        <v/>
      </c>
      <c r="AS2">
        <f>IFERROR(IF((AU2-(AI2+AN2))=0,"",(AU2-(AI2+AN2))),"")</f>
        <v/>
      </c>
      <c r="AT2">
        <f>IF(AND(AG2="",AQ2=""),AL2,IF(SUM(AG2,AL2,AQ2)=0,"",SUM(AG2,AL2,AQ2)))</f>
        <v/>
      </c>
      <c r="BG2">
        <f>IF(AD2="","",YEAR(AD2)+IF(MONTH(AD2)&gt;=5,1,0))</f>
        <v/>
      </c>
      <c r="BH2">
        <f>IF(AD2="","",IF(AND(MONTH(AD2)=8,DAY(AD2)&gt;=15),"Fall",IF(MONTH(AD2)&gt;8,"Fall",IF(MONTH(AD2)=5,"Summer",IF(MONTH(AD2)=1,"Spring","")))))</f>
        <v/>
      </c>
      <c r="BL2">
        <f>IFERROR(INDEX('_names_lookup'!$C:$C,MATCH(BK2,'_names_lookup'!$A:$A,0)),"")</f>
        <v/>
      </c>
      <c r="BM2">
        <f>IFERROR(INDEX('_names_lookup'!$B:$B,MATCH(BK2,'_names_lookup'!$A:$A,0)),"")</f>
        <v/>
      </c>
      <c r="BS2">
        <f>IFERROR(IF(BR2*AA2=0,"",BR2*AA2),"")</f>
        <v/>
      </c>
    </row>
    <row r="3">
      <c r="O3">
        <f>IFERROR(INDEX('_courses_lookup'!$C:$C,MATCH(K3&amp;L3,'_courses_lookup'!$E:$E,0)),"")</f>
        <v/>
      </c>
      <c r="P3">
        <f>IFERROR(INDEX('_courses_lookup'!$D:$D,MATCH(K3&amp;L3,'_courses_lookup'!$E:$E,0)),"")</f>
        <v/>
      </c>
      <c r="AG3">
        <f>IF(AND(AE3&lt;&gt;"",AF3&lt;&gt;""),ROUNDUP((AF3-AE3)/7,0),"")</f>
        <v/>
      </c>
      <c r="AI3">
        <f>IFERROR(IF(AG3*AH3=0,"",AG3*AH3),"")</f>
        <v/>
      </c>
      <c r="AL3">
        <f>IF(AND(AJ3&lt;&gt;"",AK3&lt;&gt;""),ROUNDUP((AK3-AJ3)/7,0),"")</f>
        <v/>
      </c>
      <c r="AN3">
        <f>IFERROR(IF(AL3*AM3=0,"",AL3*AM3),"")</f>
        <v/>
      </c>
      <c r="AQ3">
        <f>IF(AND(AO3&lt;&gt;"",AP3&lt;&gt;""),ROUNDUP((AP3-AO3)/7,0),"")</f>
        <v/>
      </c>
      <c r="AR3">
        <f>IFERROR(IF((AU3-(AI3+AN3))/AQ3=0,"",ROUNDUP((AU3-(AI3+AN3))/AQ3,0)),"")</f>
        <v/>
      </c>
      <c r="AS3">
        <f>IFERROR(IF((AU3-(AI3+AN3))=0,"",(AU3-(AI3+AN3))),"")</f>
        <v/>
      </c>
      <c r="AT3">
        <f>IF(AND(AG3="",AQ3=""),AL3,IF(SUM(AG3,AL3,AQ3)=0,"",SUM(AG3,AL3,AQ3)))</f>
        <v/>
      </c>
      <c r="BG3">
        <f>IF(AD3="","",YEAR(AD3)+IF(MONTH(AD3)&gt;=5,1,0))</f>
        <v/>
      </c>
      <c r="BH3">
        <f>IF(AD3="","",IF(AND(MONTH(AD3)=8,DAY(AD3)&gt;=15),"Fall",IF(MONTH(AD3)&gt;8,"Fall",IF(MONTH(AD3)=5,"Summer",IF(MONTH(AD3)=1,"Spring","")))))</f>
        <v/>
      </c>
      <c r="BL3">
        <f>IFERROR(INDEX('_names_lookup'!$C:$C,MATCH(BK3,'_names_lookup'!$A:$A,0)),"")</f>
        <v/>
      </c>
      <c r="BM3">
        <f>IFERROR(INDEX('_names_lookup'!$B:$B,MATCH(BK3,'_names_lookup'!$A:$A,0)),"")</f>
        <v/>
      </c>
      <c r="BS3">
        <f>IFERROR(IF(BR3*AA3=0,"",BR3*AA3),"")</f>
        <v/>
      </c>
    </row>
    <row r="4">
      <c r="O4">
        <f>IFERROR(INDEX('_courses_lookup'!$C:$C,MATCH(K4&amp;L4,'_courses_lookup'!$E:$E,0)),"")</f>
        <v/>
      </c>
      <c r="P4">
        <f>IFERROR(INDEX('_courses_lookup'!$D:$D,MATCH(K4&amp;L4,'_courses_lookup'!$E:$E,0)),"")</f>
        <v/>
      </c>
      <c r="AG4">
        <f>IF(AND(AE4&lt;&gt;"",AF4&lt;&gt;""),ROUNDUP((AF4-AE4)/7,0),"")</f>
        <v/>
      </c>
      <c r="AI4">
        <f>IFERROR(IF(AG4*AH4=0,"",AG4*AH4),"")</f>
        <v/>
      </c>
      <c r="AL4">
        <f>IF(AND(AJ4&lt;&gt;"",AK4&lt;&gt;""),ROUNDUP((AK4-AJ4)/7,0),"")</f>
        <v/>
      </c>
      <c r="AN4">
        <f>IFERROR(IF(AL4*AM4=0,"",AL4*AM4),"")</f>
        <v/>
      </c>
      <c r="AQ4">
        <f>IF(AND(AO4&lt;&gt;"",AP4&lt;&gt;""),ROUNDUP((AP4-AO4)/7,0),"")</f>
        <v/>
      </c>
      <c r="AR4">
        <f>IFERROR(IF((AU4-(AI4+AN4))/AQ4=0,"",ROUNDUP((AU4-(AI4+AN4))/AQ4,0)),"")</f>
        <v/>
      </c>
      <c r="AS4">
        <f>IFERROR(IF((AU4-(AI4+AN4))=0,"",(AU4-(AI4+AN4))),"")</f>
        <v/>
      </c>
      <c r="AT4">
        <f>IF(AND(AG4="",AQ4=""),AL4,IF(SUM(AG4,AL4,AQ4)=0,"",SUM(AG4,AL4,AQ4)))</f>
        <v/>
      </c>
      <c r="BG4">
        <f>IF(AD4="","",YEAR(AD4)+IF(MONTH(AD4)&gt;=5,1,0))</f>
        <v/>
      </c>
      <c r="BH4">
        <f>IF(AD4="","",IF(AND(MONTH(AD4)=8,DAY(AD4)&gt;=15),"Fall",IF(MONTH(AD4)&gt;8,"Fall",IF(MONTH(AD4)=5,"Summer",IF(MONTH(AD4)=1,"Spring","")))))</f>
        <v/>
      </c>
      <c r="BL4">
        <f>IFERROR(INDEX('_names_lookup'!$C:$C,MATCH(BK4,'_names_lookup'!$A:$A,0)),"")</f>
        <v/>
      </c>
      <c r="BM4">
        <f>IFERROR(INDEX('_names_lookup'!$B:$B,MATCH(BK4,'_names_lookup'!$A:$A,0)),"")</f>
        <v/>
      </c>
      <c r="BS4">
        <f>IFERROR(IF(BR4*AA4=0,"",BR4*AA4),"")</f>
        <v/>
      </c>
    </row>
    <row r="5">
      <c r="O5">
        <f>IFERROR(INDEX('_courses_lookup'!$C:$C,MATCH(K5&amp;L5,'_courses_lookup'!$E:$E,0)),"")</f>
        <v/>
      </c>
      <c r="P5">
        <f>IFERROR(INDEX('_courses_lookup'!$D:$D,MATCH(K5&amp;L5,'_courses_lookup'!$E:$E,0)),"")</f>
        <v/>
      </c>
      <c r="AG5">
        <f>IF(AND(AE5&lt;&gt;"",AF5&lt;&gt;""),ROUNDUP((AF5-AE5)/7,0),"")</f>
        <v/>
      </c>
      <c r="AI5">
        <f>IFERROR(IF(AG5*AH5=0,"",AG5*AH5),"")</f>
        <v/>
      </c>
      <c r="AL5">
        <f>IF(AND(AJ5&lt;&gt;"",AK5&lt;&gt;""),ROUNDUP((AK5-AJ5)/7,0),"")</f>
        <v/>
      </c>
      <c r="AN5">
        <f>IFERROR(IF(AL5*AM5=0,"",AL5*AM5),"")</f>
        <v/>
      </c>
      <c r="AQ5">
        <f>IF(AND(AO5&lt;&gt;"",AP5&lt;&gt;""),ROUNDUP((AP5-AO5)/7,0),"")</f>
        <v/>
      </c>
      <c r="AR5">
        <f>IFERROR(IF((AU5-(AI5+AN5))/AQ5=0,"",ROUNDUP((AU5-(AI5+AN5))/AQ5,0)),"")</f>
        <v/>
      </c>
      <c r="AS5">
        <f>IFERROR(IF((AU5-(AI5+AN5))=0,"",(AU5-(AI5+AN5))),"")</f>
        <v/>
      </c>
      <c r="AT5">
        <f>IF(AND(AG5="",AQ5=""),AL5,IF(SUM(AG5,AL5,AQ5)=0,"",SUM(AG5,AL5,AQ5)))</f>
        <v/>
      </c>
      <c r="BG5">
        <f>IF(AD5="","",YEAR(AD5)+IF(MONTH(AD5)&gt;=5,1,0))</f>
        <v/>
      </c>
      <c r="BH5">
        <f>IF(AD5="","",IF(AND(MONTH(AD5)=8,DAY(AD5)&gt;=15),"Fall",IF(MONTH(AD5)&gt;8,"Fall",IF(MONTH(AD5)=5,"Summer",IF(MONTH(AD5)=1,"Spring","")))))</f>
        <v/>
      </c>
      <c r="BL5">
        <f>IFERROR(INDEX('_names_lookup'!$C:$C,MATCH(BK5,'_names_lookup'!$A:$A,0)),"")</f>
        <v/>
      </c>
      <c r="BM5">
        <f>IFERROR(INDEX('_names_lookup'!$B:$B,MATCH(BK5,'_names_lookup'!$A:$A,0)),"")</f>
        <v/>
      </c>
      <c r="BS5">
        <f>IFERROR(IF(BR5*AA5=0,"",BR5*AA5),"")</f>
        <v/>
      </c>
    </row>
    <row r="6">
      <c r="O6">
        <f>IFERROR(INDEX('_courses_lookup'!$C:$C,MATCH(K6&amp;L6,'_courses_lookup'!$E:$E,0)),"")</f>
        <v/>
      </c>
      <c r="P6">
        <f>IFERROR(INDEX('_courses_lookup'!$D:$D,MATCH(K6&amp;L6,'_courses_lookup'!$E:$E,0)),"")</f>
        <v/>
      </c>
      <c r="AG6">
        <f>IF(AND(AE6&lt;&gt;"",AF6&lt;&gt;""),ROUNDUP((AF6-AE6)/7,0),"")</f>
        <v/>
      </c>
      <c r="AI6">
        <f>IFERROR(IF(AG6*AH6=0,"",AG6*AH6),"")</f>
        <v/>
      </c>
      <c r="AL6">
        <f>IF(AND(AJ6&lt;&gt;"",AK6&lt;&gt;""),ROUNDUP((AK6-AJ6)/7,0),"")</f>
        <v/>
      </c>
      <c r="AN6">
        <f>IFERROR(IF(AL6*AM6=0,"",AL6*AM6),"")</f>
        <v/>
      </c>
      <c r="AQ6">
        <f>IF(AND(AO6&lt;&gt;"",AP6&lt;&gt;""),ROUNDUP((AP6-AO6)/7,0),"")</f>
        <v/>
      </c>
      <c r="AR6">
        <f>IFERROR(IF((AU6-(AI6+AN6))/AQ6=0,"",ROUNDUP((AU6-(AI6+AN6))/AQ6,0)),"")</f>
        <v/>
      </c>
      <c r="AS6">
        <f>IFERROR(IF((AU6-(AI6+AN6))=0,"",(AU6-(AI6+AN6))),"")</f>
        <v/>
      </c>
      <c r="AT6">
        <f>IF(AND(AG6="",AQ6=""),AL6,IF(SUM(AG6,AL6,AQ6)=0,"",SUM(AG6,AL6,AQ6)))</f>
        <v/>
      </c>
      <c r="BG6">
        <f>IF(AD6="","",YEAR(AD6)+IF(MONTH(AD6)&gt;=5,1,0))</f>
        <v/>
      </c>
      <c r="BH6">
        <f>IF(AD6="","",IF(AND(MONTH(AD6)=8,DAY(AD6)&gt;=15),"Fall",IF(MONTH(AD6)&gt;8,"Fall",IF(MONTH(AD6)=5,"Summer",IF(MONTH(AD6)=1,"Spring","")))))</f>
        <v/>
      </c>
      <c r="BL6">
        <f>IFERROR(INDEX('_names_lookup'!$C:$C,MATCH(BK6,'_names_lookup'!$A:$A,0)),"")</f>
        <v/>
      </c>
      <c r="BM6">
        <f>IFERROR(INDEX('_names_lookup'!$B:$B,MATCH(BK6,'_names_lookup'!$A:$A,0)),"")</f>
        <v/>
      </c>
      <c r="BS6">
        <f>IFERROR(IF(BR6*AA6=0,"",BR6*AA6),"")</f>
        <v/>
      </c>
    </row>
    <row r="7">
      <c r="O7">
        <f>IFERROR(INDEX('_courses_lookup'!$C:$C,MATCH(K7&amp;L7,'_courses_lookup'!$E:$E,0)),"")</f>
        <v/>
      </c>
      <c r="P7">
        <f>IFERROR(INDEX('_courses_lookup'!$D:$D,MATCH(K7&amp;L7,'_courses_lookup'!$E:$E,0)),"")</f>
        <v/>
      </c>
      <c r="AG7">
        <f>IF(AND(AE7&lt;&gt;"",AF7&lt;&gt;""),ROUNDUP((AF7-AE7)/7,0),"")</f>
        <v/>
      </c>
      <c r="AI7">
        <f>IFERROR(IF(AG7*AH7=0,"",AG7*AH7),"")</f>
        <v/>
      </c>
      <c r="AL7">
        <f>IF(AND(AJ7&lt;&gt;"",AK7&lt;&gt;""),ROUNDUP((AK7-AJ7)/7,0),"")</f>
        <v/>
      </c>
      <c r="AN7">
        <f>IFERROR(IF(AL7*AM7=0,"",AL7*AM7),"")</f>
        <v/>
      </c>
      <c r="AQ7">
        <f>IF(AND(AO7&lt;&gt;"",AP7&lt;&gt;""),ROUNDUP((AP7-AO7)/7,0),"")</f>
        <v/>
      </c>
      <c r="AR7">
        <f>IFERROR(IF((AU7-(AI7+AN7))/AQ7=0,"",ROUNDUP((AU7-(AI7+AN7))/AQ7,0)),"")</f>
        <v/>
      </c>
      <c r="AS7">
        <f>IFERROR(IF((AU7-(AI7+AN7))=0,"",(AU7-(AI7+AN7))),"")</f>
        <v/>
      </c>
      <c r="AT7">
        <f>IF(AND(AG7="",AQ7=""),AL7,IF(SUM(AG7,AL7,AQ7)=0,"",SUM(AG7,AL7,AQ7)))</f>
        <v/>
      </c>
      <c r="BG7">
        <f>IF(AD7="","",YEAR(AD7)+IF(MONTH(AD7)&gt;=5,1,0))</f>
        <v/>
      </c>
      <c r="BH7">
        <f>IF(AD7="","",IF(AND(MONTH(AD7)=8,DAY(AD7)&gt;=15),"Fall",IF(MONTH(AD7)&gt;8,"Fall",IF(MONTH(AD7)=5,"Summer",IF(MONTH(AD7)=1,"Spring","")))))</f>
        <v/>
      </c>
      <c r="BL7">
        <f>IFERROR(INDEX('_names_lookup'!$C:$C,MATCH(BK7,'_names_lookup'!$A:$A,0)),"")</f>
        <v/>
      </c>
      <c r="BM7">
        <f>IFERROR(INDEX('_names_lookup'!$B:$B,MATCH(BK7,'_names_lookup'!$A:$A,0)),"")</f>
        <v/>
      </c>
      <c r="BS7">
        <f>IFERROR(IF(BR7*AA7=0,"",BR7*AA7),"")</f>
        <v/>
      </c>
    </row>
    <row r="8">
      <c r="O8">
        <f>IFERROR(INDEX('_courses_lookup'!$C:$C,MATCH(K8&amp;L8,'_courses_lookup'!$E:$E,0)),"")</f>
        <v/>
      </c>
      <c r="P8">
        <f>IFERROR(INDEX('_courses_lookup'!$D:$D,MATCH(K8&amp;L8,'_courses_lookup'!$E:$E,0)),"")</f>
        <v/>
      </c>
      <c r="AG8">
        <f>IF(AND(AE8&lt;&gt;"",AF8&lt;&gt;""),ROUNDUP((AF8-AE8)/7,0),"")</f>
        <v/>
      </c>
      <c r="AI8">
        <f>IFERROR(IF(AG8*AH8=0,"",AG8*AH8),"")</f>
        <v/>
      </c>
      <c r="AL8">
        <f>IF(AND(AJ8&lt;&gt;"",AK8&lt;&gt;""),ROUNDUP((AK8-AJ8)/7,0),"")</f>
        <v/>
      </c>
      <c r="AN8">
        <f>IFERROR(IF(AL8*AM8=0,"",AL8*AM8),"")</f>
        <v/>
      </c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L8">
        <f>IFERROR(INDEX('_names_lookup'!$C:$C,MATCH(BK8,'_names_lookup'!$A:$A,0)),"")</f>
        <v/>
      </c>
      <c r="BM8">
        <f>IFERROR(INDEX('_names_lookup'!$B:$B,MATCH(BK8,'_names_lookup'!$A:$A,0)),"")</f>
        <v/>
      </c>
      <c r="BS8">
        <f>IFERROR(IF(BR8*AA8=0,"",BR8*AA8),"")</f>
        <v/>
      </c>
    </row>
    <row r="9">
      <c r="O9">
        <f>IFERROR(INDEX('_courses_lookup'!$C:$C,MATCH(K9&amp;L9,'_courses_lookup'!$E:$E,0)),"")</f>
        <v/>
      </c>
      <c r="P9">
        <f>IFERROR(INDEX('_courses_lookup'!$D:$D,MATCH(K9&amp;L9,'_courses_lookup'!$E:$E,0)),"")</f>
        <v/>
      </c>
      <c r="AG9">
        <f>IF(AND(AE9&lt;&gt;"",AF9&lt;&gt;""),ROUNDUP((AF9-AE9)/7,0),"")</f>
        <v/>
      </c>
      <c r="AI9">
        <f>IFERROR(IF(AG9*AH9=0,"",AG9*AH9),"")</f>
        <v/>
      </c>
      <c r="AL9">
        <f>IF(AND(AJ9&lt;&gt;"",AK9&lt;&gt;""),ROUNDUP((AK9-AJ9)/7,0),"")</f>
        <v/>
      </c>
      <c r="AN9">
        <f>IFERROR(IF(AL9*AM9=0,"",AL9*AM9),"")</f>
        <v/>
      </c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L9">
        <f>IFERROR(INDEX('_names_lookup'!$C:$C,MATCH(BK9,'_names_lookup'!$A:$A,0)),"")</f>
        <v/>
      </c>
      <c r="BM9">
        <f>IFERROR(INDEX('_names_lookup'!$B:$B,MATCH(BK9,'_names_lookup'!$A:$A,0)),"")</f>
        <v/>
      </c>
      <c r="BS9">
        <f>IFERROR(IF(BR9*AA9=0,"",BR9*AA9),"")</f>
        <v/>
      </c>
    </row>
    <row r="10">
      <c r="O10">
        <f>IFERROR(INDEX('_courses_lookup'!$C:$C,MATCH(K10&amp;L10,'_courses_lookup'!$E:$E,0)),"")</f>
        <v/>
      </c>
      <c r="P10">
        <f>IFERROR(INDEX('_courses_lookup'!$D:$D,MATCH(K10&amp;L10,'_courses_lookup'!$E:$E,0)),"")</f>
        <v/>
      </c>
      <c r="AG10">
        <f>IF(AND(AE10&lt;&gt;"",AF10&lt;&gt;""),ROUNDUP((AF10-AE10)/7,0),"")</f>
        <v/>
      </c>
      <c r="AI10">
        <f>IFERROR(IF(AG10*AH10=0,"",AG10*AH10),"")</f>
        <v/>
      </c>
      <c r="AL10">
        <f>IF(AND(AJ10&lt;&gt;"",AK10&lt;&gt;""),ROUNDUP((AK10-AJ10)/7,0),"")</f>
        <v/>
      </c>
      <c r="AN10">
        <f>IFERROR(IF(AL10*AM10=0,"",AL10*AM10),"")</f>
        <v/>
      </c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L10">
        <f>IFERROR(INDEX('_names_lookup'!$C:$C,MATCH(BK10,'_names_lookup'!$A:$A,0)),"")</f>
        <v/>
      </c>
      <c r="BM10">
        <f>IFERROR(INDEX('_names_lookup'!$B:$B,MATCH(BK10,'_names_lookup'!$A:$A,0)),"")</f>
        <v/>
      </c>
      <c r="BS10">
        <f>IFERROR(IF(BR10*AA10=0,"",BR10*AA10),"")</f>
        <v/>
      </c>
    </row>
    <row r="11">
      <c r="O11">
        <f>IFERROR(INDEX('_courses_lookup'!$C:$C,MATCH(K11&amp;L11,'_courses_lookup'!$E:$E,0)),"")</f>
        <v/>
      </c>
      <c r="P11">
        <f>IFERROR(INDEX('_courses_lookup'!$D:$D,MATCH(K11&amp;L11,'_courses_lookup'!$E:$E,0)),"")</f>
        <v/>
      </c>
      <c r="AG11">
        <f>IF(AND(AE11&lt;&gt;"",AF11&lt;&gt;""),ROUNDUP((AF11-AE11)/7,0),"")</f>
        <v/>
      </c>
      <c r="AI11">
        <f>IFERROR(IF(AG11*AH11=0,"",AG11*AH11),"")</f>
        <v/>
      </c>
      <c r="AL11">
        <f>IF(AND(AJ11&lt;&gt;"",AK11&lt;&gt;""),ROUNDUP((AK11-AJ11)/7,0),"")</f>
        <v/>
      </c>
      <c r="AN11">
        <f>IFERROR(IF(AL11*AM11=0,"",AL11*AM11),"")</f>
        <v/>
      </c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L11">
        <f>IFERROR(INDEX('_names_lookup'!$C:$C,MATCH(BK11,'_names_lookup'!$A:$A,0)),"")</f>
        <v/>
      </c>
      <c r="BM11">
        <f>IFERROR(INDEX('_names_lookup'!$B:$B,MATCH(BK11,'_names_lookup'!$A:$A,0)),"")</f>
        <v/>
      </c>
      <c r="BS11">
        <f>IFERROR(IF(BR11*AA11=0,"",BR11*AA11),"")</f>
        <v/>
      </c>
    </row>
    <row r="12">
      <c r="O12">
        <f>IFERROR(INDEX('_courses_lookup'!$C:$C,MATCH(K12&amp;L12,'_courses_lookup'!$E:$E,0)),"")</f>
        <v/>
      </c>
      <c r="P12">
        <f>IFERROR(INDEX('_courses_lookup'!$D:$D,MATCH(K12&amp;L12,'_courses_lookup'!$E:$E,0)),"")</f>
        <v/>
      </c>
      <c r="AG12">
        <f>IF(AND(AE12&lt;&gt;"",AF12&lt;&gt;""),ROUNDUP((AF12-AE12)/7,0),"")</f>
        <v/>
      </c>
      <c r="AI12">
        <f>IFERROR(IF(AG12*AH12=0,"",AG12*AH12),"")</f>
        <v/>
      </c>
      <c r="AL12">
        <f>IF(AND(AJ12&lt;&gt;"",AK12&lt;&gt;""),ROUNDUP((AK12-AJ12)/7,0),"")</f>
        <v/>
      </c>
      <c r="AN12">
        <f>IFERROR(IF(AL12*AM12=0,"",AL12*AM12),"")</f>
        <v/>
      </c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L12">
        <f>IFERROR(INDEX('_names_lookup'!$C:$C,MATCH(BK12,'_names_lookup'!$A:$A,0)),"")</f>
        <v/>
      </c>
      <c r="BM12">
        <f>IFERROR(INDEX('_names_lookup'!$B:$B,MATCH(BK12,'_names_lookup'!$A:$A,0)),"")</f>
        <v/>
      </c>
      <c r="BS12">
        <f>IFERROR(IF(BR12*AA12=0,"",BR12*AA12),"")</f>
        <v/>
      </c>
    </row>
    <row r="13">
      <c r="O13">
        <f>IFERROR(INDEX('_courses_lookup'!$C:$C,MATCH(K13&amp;L13,'_courses_lookup'!$E:$E,0)),"")</f>
        <v/>
      </c>
      <c r="P13">
        <f>IFERROR(INDEX('_courses_lookup'!$D:$D,MATCH(K13&amp;L13,'_courses_lookup'!$E:$E,0)),"")</f>
        <v/>
      </c>
      <c r="AG13">
        <f>IF(AND(AE13&lt;&gt;"",AF13&lt;&gt;""),ROUNDUP((AF13-AE13)/7,0),"")</f>
        <v/>
      </c>
      <c r="AI13">
        <f>IFERROR(IF(AG13*AH13=0,"",AG13*AH13),"")</f>
        <v/>
      </c>
      <c r="AL13">
        <f>IF(AND(AJ13&lt;&gt;"",AK13&lt;&gt;""),ROUNDUP((AK13-AJ13)/7,0),"")</f>
        <v/>
      </c>
      <c r="AN13">
        <f>IFERROR(IF(AL13*AM13=0,"",AL13*AM13),"")</f>
        <v/>
      </c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L13">
        <f>IFERROR(INDEX('_names_lookup'!$C:$C,MATCH(BK13,'_names_lookup'!$A:$A,0)),"")</f>
        <v/>
      </c>
      <c r="BM13">
        <f>IFERROR(INDEX('_names_lookup'!$B:$B,MATCH(BK13,'_names_lookup'!$A:$A,0)),"")</f>
        <v/>
      </c>
      <c r="BS13">
        <f>IFERROR(IF(BR13*AA13=0,"",BR13*AA13),"")</f>
        <v/>
      </c>
    </row>
    <row r="14">
      <c r="O14">
        <f>IFERROR(INDEX('_courses_lookup'!$C:$C,MATCH(K14&amp;L14,'_courses_lookup'!$E:$E,0)),"")</f>
        <v/>
      </c>
      <c r="P14">
        <f>IFERROR(INDEX('_courses_lookup'!$D:$D,MATCH(K14&amp;L14,'_courses_lookup'!$E:$E,0)),"")</f>
        <v/>
      </c>
      <c r="AG14">
        <f>IF(AND(AE14&lt;&gt;"",AF14&lt;&gt;""),ROUNDUP((AF14-AE14)/7,0),"")</f>
        <v/>
      </c>
      <c r="AI14">
        <f>IFERROR(IF(AG14*AH14=0,"",AG14*AH14),"")</f>
        <v/>
      </c>
      <c r="AL14">
        <f>IF(AND(AJ14&lt;&gt;"",AK14&lt;&gt;""),ROUNDUP((AK14-AJ14)/7,0),"")</f>
        <v/>
      </c>
      <c r="AN14">
        <f>IFERROR(IF(AL14*AM14=0,"",AL14*AM14),"")</f>
        <v/>
      </c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L14">
        <f>IFERROR(INDEX('_names_lookup'!$C:$C,MATCH(BK14,'_names_lookup'!$A:$A,0)),"")</f>
        <v/>
      </c>
      <c r="BM14">
        <f>IFERROR(INDEX('_names_lookup'!$B:$B,MATCH(BK14,'_names_lookup'!$A:$A,0)),"")</f>
        <v/>
      </c>
      <c r="BS14">
        <f>IFERROR(IF(BR14*AA14=0,"",BR14*AA14),"")</f>
        <v/>
      </c>
    </row>
    <row r="15">
      <c r="O15">
        <f>IFERROR(INDEX('_courses_lookup'!$C:$C,MATCH(K15&amp;L15,'_courses_lookup'!$E:$E,0)),"")</f>
        <v/>
      </c>
      <c r="P15">
        <f>IFERROR(INDEX('_courses_lookup'!$D:$D,MATCH(K15&amp;L15,'_courses_lookup'!$E:$E,0)),"")</f>
        <v/>
      </c>
      <c r="AG15">
        <f>IF(AND(AE15&lt;&gt;"",AF15&lt;&gt;""),ROUNDUP((AF15-AE15)/7,0),"")</f>
        <v/>
      </c>
      <c r="AI15">
        <f>IFERROR(IF(AG15*AH15=0,"",AG15*AH15),"")</f>
        <v/>
      </c>
      <c r="AL15">
        <f>IF(AND(AJ15&lt;&gt;"",AK15&lt;&gt;""),ROUNDUP((AK15-AJ15)/7,0),"")</f>
        <v/>
      </c>
      <c r="AN15">
        <f>IFERROR(IF(AL15*AM15=0,"",AL15*AM15),"")</f>
        <v/>
      </c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L15">
        <f>IFERROR(INDEX('_names_lookup'!$C:$C,MATCH(BK15,'_names_lookup'!$A:$A,0)),"")</f>
        <v/>
      </c>
      <c r="BM15">
        <f>IFERROR(INDEX('_names_lookup'!$B:$B,MATCH(BK15,'_names_lookup'!$A:$A,0)),"")</f>
        <v/>
      </c>
      <c r="BS15">
        <f>IFERROR(IF(BR15*AA15=0,"",BR15*AA15),"")</f>
        <v/>
      </c>
    </row>
    <row r="16">
      <c r="O16">
        <f>IFERROR(INDEX('_courses_lookup'!$C:$C,MATCH(K16&amp;L16,'_courses_lookup'!$E:$E,0)),"")</f>
        <v/>
      </c>
      <c r="P16">
        <f>IFERROR(INDEX('_courses_lookup'!$D:$D,MATCH(K16&amp;L16,'_courses_lookup'!$E:$E,0)),"")</f>
        <v/>
      </c>
      <c r="AG16">
        <f>IF(AND(AE16&lt;&gt;"",AF16&lt;&gt;""),ROUNDUP((AF16-AE16)/7,0),"")</f>
        <v/>
      </c>
      <c r="AI16">
        <f>IFERROR(IF(AG16*AH16=0,"",AG16*AH16),"")</f>
        <v/>
      </c>
      <c r="AL16">
        <f>IF(AND(AJ16&lt;&gt;"",AK16&lt;&gt;""),ROUNDUP((AK16-AJ16)/7,0),"")</f>
        <v/>
      </c>
      <c r="AN16">
        <f>IFERROR(IF(AL16*AM16=0,"",AL16*AM16),"")</f>
        <v/>
      </c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L16">
        <f>IFERROR(INDEX('_names_lookup'!$C:$C,MATCH(BK16,'_names_lookup'!$A:$A,0)),"")</f>
        <v/>
      </c>
      <c r="BM16">
        <f>IFERROR(INDEX('_names_lookup'!$B:$B,MATCH(BK16,'_names_lookup'!$A:$A,0)),"")</f>
        <v/>
      </c>
      <c r="BS16">
        <f>IFERROR(IF(BR16*AA16=0,"",BR16*AA16),"")</f>
        <v/>
      </c>
    </row>
    <row r="17">
      <c r="O17">
        <f>IFERROR(INDEX('_courses_lookup'!$C:$C,MATCH(K17&amp;L17,'_courses_lookup'!$E:$E,0)),"")</f>
        <v/>
      </c>
      <c r="P17">
        <f>IFERROR(INDEX('_courses_lookup'!$D:$D,MATCH(K17&amp;L17,'_courses_lookup'!$E:$E,0)),"")</f>
        <v/>
      </c>
      <c r="AG17">
        <f>IF(AND(AE17&lt;&gt;"",AF17&lt;&gt;""),ROUNDUP((AF17-AE17)/7,0),"")</f>
        <v/>
      </c>
      <c r="AI17">
        <f>IFERROR(IF(AG17*AH17=0,"",AG17*AH17),"")</f>
        <v/>
      </c>
      <c r="AL17">
        <f>IF(AND(AJ17&lt;&gt;"",AK17&lt;&gt;""),ROUNDUP((AK17-AJ17)/7,0),"")</f>
        <v/>
      </c>
      <c r="AN17">
        <f>IFERROR(IF(AL17*AM17=0,"",AL17*AM17),"")</f>
        <v/>
      </c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L17">
        <f>IFERROR(INDEX('_names_lookup'!$C:$C,MATCH(BK17,'_names_lookup'!$A:$A,0)),"")</f>
        <v/>
      </c>
      <c r="BM17">
        <f>IFERROR(INDEX('_names_lookup'!$B:$B,MATCH(BK17,'_names_lookup'!$A:$A,0)),"")</f>
        <v/>
      </c>
      <c r="BS17">
        <f>IFERROR(IF(BR17*AA17=0,"",BR17*AA17),"")</f>
        <v/>
      </c>
    </row>
    <row r="18">
      <c r="O18">
        <f>IFERROR(INDEX('_courses_lookup'!$C:$C,MATCH(K18&amp;L18,'_courses_lookup'!$E:$E,0)),"")</f>
        <v/>
      </c>
      <c r="P18">
        <f>IFERROR(INDEX('_courses_lookup'!$D:$D,MATCH(K18&amp;L18,'_courses_lookup'!$E:$E,0)),"")</f>
        <v/>
      </c>
      <c r="AG18">
        <f>IF(AND(AE18&lt;&gt;"",AF18&lt;&gt;""),ROUNDUP((AF18-AE18)/7,0),"")</f>
        <v/>
      </c>
      <c r="AI18">
        <f>IFERROR(IF(AG18*AH18=0,"",AG18*AH18),"")</f>
        <v/>
      </c>
      <c r="AL18">
        <f>IF(AND(AJ18&lt;&gt;"",AK18&lt;&gt;""),ROUNDUP((AK18-AJ18)/7,0),"")</f>
        <v/>
      </c>
      <c r="AN18">
        <f>IFERROR(IF(AL18*AM18=0,"",AL18*AM18),"")</f>
        <v/>
      </c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L18">
        <f>IFERROR(INDEX('_names_lookup'!$C:$C,MATCH(BK18,'_names_lookup'!$A:$A,0)),"")</f>
        <v/>
      </c>
      <c r="BM18">
        <f>IFERROR(INDEX('_names_lookup'!$B:$B,MATCH(BK18,'_names_lookup'!$A:$A,0)),"")</f>
        <v/>
      </c>
      <c r="BS18">
        <f>IFERROR(IF(BR18*AA18=0,"",BR18*AA18),"")</f>
        <v/>
      </c>
    </row>
    <row r="19">
      <c r="O19">
        <f>IFERROR(INDEX('_courses_lookup'!$C:$C,MATCH(K19&amp;L19,'_courses_lookup'!$E:$E,0)),"")</f>
        <v/>
      </c>
      <c r="P19">
        <f>IFERROR(INDEX('_courses_lookup'!$D:$D,MATCH(K19&amp;L19,'_courses_lookup'!$E:$E,0)),"")</f>
        <v/>
      </c>
      <c r="AG19">
        <f>IF(AND(AE19&lt;&gt;"",AF19&lt;&gt;""),ROUNDUP((AF19-AE19)/7,0),"")</f>
        <v/>
      </c>
      <c r="AI19">
        <f>IFERROR(IF(AG19*AH19=0,"",AG19*AH19),"")</f>
        <v/>
      </c>
      <c r="AL19">
        <f>IF(AND(AJ19&lt;&gt;"",AK19&lt;&gt;""),ROUNDUP((AK19-AJ19)/7,0),"")</f>
        <v/>
      </c>
      <c r="AN19">
        <f>IFERROR(IF(AL19*AM19=0,"",AL19*AM19),"")</f>
        <v/>
      </c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L19">
        <f>IFERROR(INDEX('_names_lookup'!$C:$C,MATCH(BK19,'_names_lookup'!$A:$A,0)),"")</f>
        <v/>
      </c>
      <c r="BM19">
        <f>IFERROR(INDEX('_names_lookup'!$B:$B,MATCH(BK19,'_names_lookup'!$A:$A,0)),"")</f>
        <v/>
      </c>
      <c r="BS19">
        <f>IFERROR(IF(BR19*AA19=0,"",BR19*AA19),"")</f>
        <v/>
      </c>
    </row>
    <row r="20">
      <c r="O20">
        <f>IFERROR(INDEX('_courses_lookup'!$C:$C,MATCH(K20&amp;L20,'_courses_lookup'!$E:$E,0)),"")</f>
        <v/>
      </c>
      <c r="P20">
        <f>IFERROR(INDEX('_courses_lookup'!$D:$D,MATCH(K20&amp;L20,'_courses_lookup'!$E:$E,0)),"")</f>
        <v/>
      </c>
      <c r="AG20">
        <f>IF(AND(AE20&lt;&gt;"",AF20&lt;&gt;""),ROUNDUP((AF20-AE20)/7,0),"")</f>
        <v/>
      </c>
      <c r="AI20">
        <f>IFERROR(IF(AG20*AH20=0,"",AG20*AH20),"")</f>
        <v/>
      </c>
      <c r="AL20">
        <f>IF(AND(AJ20&lt;&gt;"",AK20&lt;&gt;""),ROUNDUP((AK20-AJ20)/7,0),"")</f>
        <v/>
      </c>
      <c r="AN20">
        <f>IFERROR(IF(AL20*AM20=0,"",AL20*AM20),"")</f>
        <v/>
      </c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L20">
        <f>IFERROR(INDEX('_names_lookup'!$C:$C,MATCH(BK20,'_names_lookup'!$A:$A,0)),"")</f>
        <v/>
      </c>
      <c r="BM20">
        <f>IFERROR(INDEX('_names_lookup'!$B:$B,MATCH(BK20,'_names_lookup'!$A:$A,0)),"")</f>
        <v/>
      </c>
      <c r="BS20">
        <f>IFERROR(IF(BR20*AA20=0,"",BR20*AA20),"")</f>
        <v/>
      </c>
    </row>
    <row r="21">
      <c r="O21">
        <f>IFERROR(INDEX('_courses_lookup'!$C:$C,MATCH(K21&amp;L21,'_courses_lookup'!$E:$E,0)),"")</f>
        <v/>
      </c>
      <c r="P21">
        <f>IFERROR(INDEX('_courses_lookup'!$D:$D,MATCH(K21&amp;L21,'_courses_lookup'!$E:$E,0)),"")</f>
        <v/>
      </c>
      <c r="AG21">
        <f>IF(AND(AE21&lt;&gt;"",AF21&lt;&gt;""),ROUNDUP((AF21-AE21)/7,0),"")</f>
        <v/>
      </c>
      <c r="AI21">
        <f>IFERROR(IF(AG21*AH21=0,"",AG21*AH21),"")</f>
        <v/>
      </c>
      <c r="AL21">
        <f>IF(AND(AJ21&lt;&gt;"",AK21&lt;&gt;""),ROUNDUP((AK21-AJ21)/7,0),"")</f>
        <v/>
      </c>
      <c r="AN21">
        <f>IFERROR(IF(AL21*AM21=0,"",AL21*AM21),"")</f>
        <v/>
      </c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L21">
        <f>IFERROR(INDEX('_names_lookup'!$C:$C,MATCH(BK21,'_names_lookup'!$A:$A,0)),"")</f>
        <v/>
      </c>
      <c r="BM21">
        <f>IFERROR(INDEX('_names_lookup'!$B:$B,MATCH(BK21,'_names_lookup'!$A:$A,0)),"")</f>
        <v/>
      </c>
      <c r="BS21">
        <f>IFERROR(IF(BR21*AA21=0,"",BR21*AA21),"")</f>
        <v/>
      </c>
    </row>
    <row r="22">
      <c r="O22">
        <f>IFERROR(INDEX('_courses_lookup'!$C:$C,MATCH(K22&amp;L22,'_courses_lookup'!$E:$E,0)),"")</f>
        <v/>
      </c>
      <c r="P22">
        <f>IFERROR(INDEX('_courses_lookup'!$D:$D,MATCH(K22&amp;L22,'_courses_lookup'!$E:$E,0)),"")</f>
        <v/>
      </c>
      <c r="AG22">
        <f>IF(AND(AE22&lt;&gt;"",AF22&lt;&gt;""),ROUNDUP((AF22-AE22)/7,0),"")</f>
        <v/>
      </c>
      <c r="AI22">
        <f>IFERROR(IF(AG22*AH22=0,"",AG22*AH22),"")</f>
        <v/>
      </c>
      <c r="AL22">
        <f>IF(AND(AJ22&lt;&gt;"",AK22&lt;&gt;""),ROUNDUP((AK22-AJ22)/7,0),"")</f>
        <v/>
      </c>
      <c r="AN22">
        <f>IFERROR(IF(AL22*AM22=0,"",AL22*AM22),"")</f>
        <v/>
      </c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L22">
        <f>IFERROR(INDEX('_names_lookup'!$C:$C,MATCH(BK22,'_names_lookup'!$A:$A,0)),"")</f>
        <v/>
      </c>
      <c r="BM22">
        <f>IFERROR(INDEX('_names_lookup'!$B:$B,MATCH(BK22,'_names_lookup'!$A:$A,0)),"")</f>
        <v/>
      </c>
      <c r="BS22">
        <f>IFERROR(IF(BR22*AA22=0,"",BR22*AA22),"")</f>
        <v/>
      </c>
    </row>
    <row r="23">
      <c r="O23">
        <f>IFERROR(INDEX('_courses_lookup'!$C:$C,MATCH(K23&amp;L23,'_courses_lookup'!$E:$E,0)),"")</f>
        <v/>
      </c>
      <c r="P23">
        <f>IFERROR(INDEX('_courses_lookup'!$D:$D,MATCH(K23&amp;L23,'_courses_lookup'!$E:$E,0)),"")</f>
        <v/>
      </c>
      <c r="AG23">
        <f>IF(AND(AE23&lt;&gt;"",AF23&lt;&gt;""),ROUNDUP((AF23-AE23)/7,0),"")</f>
        <v/>
      </c>
      <c r="AI23">
        <f>IFERROR(IF(AG23*AH23=0,"",AG23*AH23),"")</f>
        <v/>
      </c>
      <c r="AL23">
        <f>IF(AND(AJ23&lt;&gt;"",AK23&lt;&gt;""),ROUNDUP((AK23-AJ23)/7,0),"")</f>
        <v/>
      </c>
      <c r="AN23">
        <f>IFERROR(IF(AL23*AM23=0,"",AL23*AM23),"")</f>
        <v/>
      </c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L23">
        <f>IFERROR(INDEX('_names_lookup'!$C:$C,MATCH(BK23,'_names_lookup'!$A:$A,0)),"")</f>
        <v/>
      </c>
      <c r="BM23">
        <f>IFERROR(INDEX('_names_lookup'!$B:$B,MATCH(BK23,'_names_lookup'!$A:$A,0)),"")</f>
        <v/>
      </c>
      <c r="BS23">
        <f>IFERROR(IF(BR23*AA23=0,"",BR23*AA23),"")</f>
        <v/>
      </c>
    </row>
    <row r="24">
      <c r="O24">
        <f>IFERROR(INDEX('_courses_lookup'!$C:$C,MATCH(K24&amp;L24,'_courses_lookup'!$E:$E,0)),"")</f>
        <v/>
      </c>
      <c r="P24">
        <f>IFERROR(INDEX('_courses_lookup'!$D:$D,MATCH(K24&amp;L24,'_courses_lookup'!$E:$E,0)),"")</f>
        <v/>
      </c>
      <c r="AG24">
        <f>IF(AND(AE24&lt;&gt;"",AF24&lt;&gt;""),ROUNDUP((AF24-AE24)/7,0),"")</f>
        <v/>
      </c>
      <c r="AI24">
        <f>IFERROR(IF(AG24*AH24=0,"",AG24*AH24),"")</f>
        <v/>
      </c>
      <c r="AL24">
        <f>IF(AND(AJ24&lt;&gt;"",AK24&lt;&gt;""),ROUNDUP((AK24-AJ24)/7,0),"")</f>
        <v/>
      </c>
      <c r="AN24">
        <f>IFERROR(IF(AL24*AM24=0,"",AL24*AM24),"")</f>
        <v/>
      </c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L24">
        <f>IFERROR(INDEX('_names_lookup'!$C:$C,MATCH(BK24,'_names_lookup'!$A:$A,0)),"")</f>
        <v/>
      </c>
      <c r="BM24">
        <f>IFERROR(INDEX('_names_lookup'!$B:$B,MATCH(BK24,'_names_lookup'!$A:$A,0)),"")</f>
        <v/>
      </c>
      <c r="BS24">
        <f>IFERROR(IF(BR24*AA24=0,"",BR24*AA24),"")</f>
        <v/>
      </c>
    </row>
    <row r="25">
      <c r="O25">
        <f>IFERROR(INDEX('_courses_lookup'!$C:$C,MATCH(K25&amp;L25,'_courses_lookup'!$E:$E,0)),"")</f>
        <v/>
      </c>
      <c r="P25">
        <f>IFERROR(INDEX('_courses_lookup'!$D:$D,MATCH(K25&amp;L25,'_courses_lookup'!$E:$E,0)),"")</f>
        <v/>
      </c>
      <c r="AG25">
        <f>IF(AND(AE25&lt;&gt;"",AF25&lt;&gt;""),ROUNDUP((AF25-AE25)/7,0),"")</f>
        <v/>
      </c>
      <c r="AI25">
        <f>IFERROR(IF(AG25*AH25=0,"",AG25*AH25),"")</f>
        <v/>
      </c>
      <c r="AL25">
        <f>IF(AND(AJ25&lt;&gt;"",AK25&lt;&gt;""),ROUNDUP((AK25-AJ25)/7,0),"")</f>
        <v/>
      </c>
      <c r="AN25">
        <f>IFERROR(IF(AL25*AM25=0,"",AL25*AM25),"")</f>
        <v/>
      </c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L25">
        <f>IFERROR(INDEX('_names_lookup'!$C:$C,MATCH(BK25,'_names_lookup'!$A:$A,0)),"")</f>
        <v/>
      </c>
      <c r="BM25">
        <f>IFERROR(INDEX('_names_lookup'!$B:$B,MATCH(BK25,'_names_lookup'!$A:$A,0)),"")</f>
        <v/>
      </c>
      <c r="BS25">
        <f>IFERROR(IF(BR25*AA25=0,"",BR25*AA25),"")</f>
        <v/>
      </c>
    </row>
    <row r="26">
      <c r="O26">
        <f>IFERROR(INDEX('_courses_lookup'!$C:$C,MATCH(K26&amp;L26,'_courses_lookup'!$E:$E,0)),"")</f>
        <v/>
      </c>
      <c r="P26">
        <f>IFERROR(INDEX('_courses_lookup'!$D:$D,MATCH(K26&amp;L26,'_courses_lookup'!$E:$E,0)),"")</f>
        <v/>
      </c>
      <c r="AG26">
        <f>IF(AND(AE26&lt;&gt;"",AF26&lt;&gt;""),ROUNDUP((AF26-AE26)/7,0),"")</f>
        <v/>
      </c>
      <c r="AI26">
        <f>IFERROR(IF(AG26*AH26=0,"",AG26*AH26),"")</f>
        <v/>
      </c>
      <c r="AL26">
        <f>IF(AND(AJ26&lt;&gt;"",AK26&lt;&gt;""),ROUNDUP((AK26-AJ26)/7,0),"")</f>
        <v/>
      </c>
      <c r="AN26">
        <f>IFERROR(IF(AL26*AM26=0,"",AL26*AM26),"")</f>
        <v/>
      </c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L26">
        <f>IFERROR(INDEX('_names_lookup'!$C:$C,MATCH(BK26,'_names_lookup'!$A:$A,0)),"")</f>
        <v/>
      </c>
      <c r="BM26">
        <f>IFERROR(INDEX('_names_lookup'!$B:$B,MATCH(BK26,'_names_lookup'!$A:$A,0)),"")</f>
        <v/>
      </c>
      <c r="BS26">
        <f>IFERROR(IF(BR26*AA26=0,"",BR26*AA26),"")</f>
        <v/>
      </c>
    </row>
    <row r="27">
      <c r="O27">
        <f>IFERROR(INDEX('_courses_lookup'!$C:$C,MATCH(K27&amp;L27,'_courses_lookup'!$E:$E,0)),"")</f>
        <v/>
      </c>
      <c r="P27">
        <f>IFERROR(INDEX('_courses_lookup'!$D:$D,MATCH(K27&amp;L27,'_courses_lookup'!$E:$E,0)),"")</f>
        <v/>
      </c>
      <c r="AG27">
        <f>IF(AND(AE27&lt;&gt;"",AF27&lt;&gt;""),ROUNDUP((AF27-AE27)/7,0),"")</f>
        <v/>
      </c>
      <c r="AI27">
        <f>IFERROR(IF(AG27*AH27=0,"",AG27*AH27),"")</f>
        <v/>
      </c>
      <c r="AL27">
        <f>IF(AND(AJ27&lt;&gt;"",AK27&lt;&gt;""),ROUNDUP((AK27-AJ27)/7,0),"")</f>
        <v/>
      </c>
      <c r="AN27">
        <f>IFERROR(IF(AL27*AM27=0,"",AL27*AM27),"")</f>
        <v/>
      </c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L27">
        <f>IFERROR(INDEX('_names_lookup'!$C:$C,MATCH(BK27,'_names_lookup'!$A:$A,0)),"")</f>
        <v/>
      </c>
      <c r="BM27">
        <f>IFERROR(INDEX('_names_lookup'!$B:$B,MATCH(BK27,'_names_lookup'!$A:$A,0)),"")</f>
        <v/>
      </c>
      <c r="BS27">
        <f>IFERROR(IF(BR27*AA27=0,"",BR27*AA27),"")</f>
        <v/>
      </c>
    </row>
    <row r="28">
      <c r="O28">
        <f>IFERROR(INDEX('_courses_lookup'!$C:$C,MATCH(K28&amp;L28,'_courses_lookup'!$E:$E,0)),"")</f>
        <v/>
      </c>
      <c r="P28">
        <f>IFERROR(INDEX('_courses_lookup'!$D:$D,MATCH(K28&amp;L28,'_courses_lookup'!$E:$E,0)),"")</f>
        <v/>
      </c>
      <c r="AG28">
        <f>IF(AND(AE28&lt;&gt;"",AF28&lt;&gt;""),ROUNDUP((AF28-AE28)/7,0),"")</f>
        <v/>
      </c>
      <c r="AI28">
        <f>IFERROR(IF(AG28*AH28=0,"",AG28*AH28),"")</f>
        <v/>
      </c>
      <c r="AL28">
        <f>IF(AND(AJ28&lt;&gt;"",AK28&lt;&gt;""),ROUNDUP((AK28-AJ28)/7,0),"")</f>
        <v/>
      </c>
      <c r="AN28">
        <f>IFERROR(IF(AL28*AM28=0,"",AL28*AM28),"")</f>
        <v/>
      </c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L28">
        <f>IFERROR(INDEX('_names_lookup'!$C:$C,MATCH(BK28,'_names_lookup'!$A:$A,0)),"")</f>
        <v/>
      </c>
      <c r="BM28">
        <f>IFERROR(INDEX('_names_lookup'!$B:$B,MATCH(BK28,'_names_lookup'!$A:$A,0)),"")</f>
        <v/>
      </c>
      <c r="BS28">
        <f>IFERROR(IF(BR28*AA28=0,"",BR28*AA28),"")</f>
        <v/>
      </c>
    </row>
    <row r="29">
      <c r="O29">
        <f>IFERROR(INDEX('_courses_lookup'!$C:$C,MATCH(K29&amp;L29,'_courses_lookup'!$E:$E,0)),"")</f>
        <v/>
      </c>
      <c r="P29">
        <f>IFERROR(INDEX('_courses_lookup'!$D:$D,MATCH(K29&amp;L29,'_courses_lookup'!$E:$E,0)),"")</f>
        <v/>
      </c>
      <c r="AG29">
        <f>IF(AND(AE29&lt;&gt;"",AF29&lt;&gt;""),ROUNDUP((AF29-AE29)/7,0),"")</f>
        <v/>
      </c>
      <c r="AI29">
        <f>IFERROR(IF(AG29*AH29=0,"",AG29*AH29),"")</f>
        <v/>
      </c>
      <c r="AL29">
        <f>IF(AND(AJ29&lt;&gt;"",AK29&lt;&gt;""),ROUNDUP((AK29-AJ29)/7,0),"")</f>
        <v/>
      </c>
      <c r="AN29">
        <f>IFERROR(IF(AL29*AM29=0,"",AL29*AM29),"")</f>
        <v/>
      </c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L29">
        <f>IFERROR(INDEX('_names_lookup'!$C:$C,MATCH(BK29,'_names_lookup'!$A:$A,0)),"")</f>
        <v/>
      </c>
      <c r="BM29">
        <f>IFERROR(INDEX('_names_lookup'!$B:$B,MATCH(BK29,'_names_lookup'!$A:$A,0)),"")</f>
        <v/>
      </c>
      <c r="BS29">
        <f>IFERROR(IF(BR29*AA29=0,"",BR29*AA29),"")</f>
        <v/>
      </c>
    </row>
    <row r="30">
      <c r="O30">
        <f>IFERROR(INDEX('_courses_lookup'!$C:$C,MATCH(K30&amp;L30,'_courses_lookup'!$E:$E,0)),"")</f>
        <v/>
      </c>
      <c r="P30">
        <f>IFERROR(INDEX('_courses_lookup'!$D:$D,MATCH(K30&amp;L30,'_courses_lookup'!$E:$E,0)),"")</f>
        <v/>
      </c>
      <c r="AG30">
        <f>IF(AND(AE30&lt;&gt;"",AF30&lt;&gt;""),ROUNDUP((AF30-AE30)/7,0),"")</f>
        <v/>
      </c>
      <c r="AI30">
        <f>IFERROR(IF(AG30*AH30=0,"",AG30*AH30),"")</f>
        <v/>
      </c>
      <c r="AL30">
        <f>IF(AND(AJ30&lt;&gt;"",AK30&lt;&gt;""),ROUNDUP((AK30-AJ30)/7,0),"")</f>
        <v/>
      </c>
      <c r="AN30">
        <f>IFERROR(IF(AL30*AM30=0,"",AL30*AM30),"")</f>
        <v/>
      </c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L30">
        <f>IFERROR(INDEX('_names_lookup'!$C:$C,MATCH(BK30,'_names_lookup'!$A:$A,0)),"")</f>
        <v/>
      </c>
      <c r="BM30">
        <f>IFERROR(INDEX('_names_lookup'!$B:$B,MATCH(BK30,'_names_lookup'!$A:$A,0)),"")</f>
        <v/>
      </c>
      <c r="BS30">
        <f>IFERROR(IF(BR30*AA30=0,"",BR30*AA30),"")</f>
        <v/>
      </c>
    </row>
    <row r="31">
      <c r="O31">
        <f>IFERROR(INDEX('_courses_lookup'!$C:$C,MATCH(K31&amp;L31,'_courses_lookup'!$E:$E,0)),"")</f>
        <v/>
      </c>
      <c r="P31">
        <f>IFERROR(INDEX('_courses_lookup'!$D:$D,MATCH(K31&amp;L31,'_courses_lookup'!$E:$E,0)),"")</f>
        <v/>
      </c>
      <c r="AG31">
        <f>IF(AND(AE31&lt;&gt;"",AF31&lt;&gt;""),ROUNDUP((AF31-AE31)/7,0),"")</f>
        <v/>
      </c>
      <c r="AI31">
        <f>IFERROR(IF(AG31*AH31=0,"",AG31*AH31),"")</f>
        <v/>
      </c>
      <c r="AL31">
        <f>IF(AND(AJ31&lt;&gt;"",AK31&lt;&gt;""),ROUNDUP((AK31-AJ31)/7,0),"")</f>
        <v/>
      </c>
      <c r="AN31">
        <f>IFERROR(IF(AL31*AM31=0,"",AL31*AM31),"")</f>
        <v/>
      </c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L31">
        <f>IFERROR(INDEX('_names_lookup'!$C:$C,MATCH(BK31,'_names_lookup'!$A:$A,0)),"")</f>
        <v/>
      </c>
      <c r="BM31">
        <f>IFERROR(INDEX('_names_lookup'!$B:$B,MATCH(BK31,'_names_lookup'!$A:$A,0)),"")</f>
        <v/>
      </c>
      <c r="BS31">
        <f>IFERROR(IF(BR31*AA31=0,"",BR31*AA31),"")</f>
        <v/>
      </c>
    </row>
    <row r="32">
      <c r="O32">
        <f>IFERROR(INDEX('_courses_lookup'!$C:$C,MATCH(K32&amp;L32,'_courses_lookup'!$E:$E,0)),"")</f>
        <v/>
      </c>
      <c r="P32">
        <f>IFERROR(INDEX('_courses_lookup'!$D:$D,MATCH(K32&amp;L32,'_courses_lookup'!$E:$E,0)),"")</f>
        <v/>
      </c>
      <c r="AG32">
        <f>IF(AND(AE32&lt;&gt;"",AF32&lt;&gt;""),ROUNDUP((AF32-AE32)/7,0),"")</f>
        <v/>
      </c>
      <c r="AI32">
        <f>IFERROR(IF(AG32*AH32=0,"",AG32*AH32),"")</f>
        <v/>
      </c>
      <c r="AL32">
        <f>IF(AND(AJ32&lt;&gt;"",AK32&lt;&gt;""),ROUNDUP((AK32-AJ32)/7,0),"")</f>
        <v/>
      </c>
      <c r="AN32">
        <f>IFERROR(IF(AL32*AM32=0,"",AL32*AM32),"")</f>
        <v/>
      </c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L32">
        <f>IFERROR(INDEX('_names_lookup'!$C:$C,MATCH(BK32,'_names_lookup'!$A:$A,0)),"")</f>
        <v/>
      </c>
      <c r="BM32">
        <f>IFERROR(INDEX('_names_lookup'!$B:$B,MATCH(BK32,'_names_lookup'!$A:$A,0)),"")</f>
        <v/>
      </c>
      <c r="BS32">
        <f>IFERROR(IF(BR32*AA32=0,"",BR32*AA32),"")</f>
        <v/>
      </c>
    </row>
    <row r="33">
      <c r="O33">
        <f>IFERROR(INDEX('_courses_lookup'!$C:$C,MATCH(K33&amp;L33,'_courses_lookup'!$E:$E,0)),"")</f>
        <v/>
      </c>
      <c r="P33">
        <f>IFERROR(INDEX('_courses_lookup'!$D:$D,MATCH(K33&amp;L33,'_courses_lookup'!$E:$E,0)),"")</f>
        <v/>
      </c>
      <c r="AG33">
        <f>IF(AND(AE33&lt;&gt;"",AF33&lt;&gt;""),ROUNDUP((AF33-AE33)/7,0),"")</f>
        <v/>
      </c>
      <c r="AI33">
        <f>IFERROR(IF(AG33*AH33=0,"",AG33*AH33),"")</f>
        <v/>
      </c>
      <c r="AL33">
        <f>IF(AND(AJ33&lt;&gt;"",AK33&lt;&gt;""),ROUNDUP((AK33-AJ33)/7,0),"")</f>
        <v/>
      </c>
      <c r="AN33">
        <f>IFERROR(IF(AL33*AM33=0,"",AL33*AM33),"")</f>
        <v/>
      </c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L33">
        <f>IFERROR(INDEX('_names_lookup'!$C:$C,MATCH(BK33,'_names_lookup'!$A:$A,0)),"")</f>
        <v/>
      </c>
      <c r="BM33">
        <f>IFERROR(INDEX('_names_lookup'!$B:$B,MATCH(BK33,'_names_lookup'!$A:$A,0)),"")</f>
        <v/>
      </c>
      <c r="BS33">
        <f>IFERROR(IF(BR33*AA33=0,"",BR33*AA33),"")</f>
        <v/>
      </c>
    </row>
    <row r="34">
      <c r="O34">
        <f>IFERROR(INDEX('_courses_lookup'!$C:$C,MATCH(K34&amp;L34,'_courses_lookup'!$E:$E,0)),"")</f>
        <v/>
      </c>
      <c r="P34">
        <f>IFERROR(INDEX('_courses_lookup'!$D:$D,MATCH(K34&amp;L34,'_courses_lookup'!$E:$E,0)),"")</f>
        <v/>
      </c>
      <c r="AG34">
        <f>IF(AND(AE34&lt;&gt;"",AF34&lt;&gt;""),ROUNDUP((AF34-AE34)/7,0),"")</f>
        <v/>
      </c>
      <c r="AI34">
        <f>IFERROR(IF(AG34*AH34=0,"",AG34*AH34),"")</f>
        <v/>
      </c>
      <c r="AL34">
        <f>IF(AND(AJ34&lt;&gt;"",AK34&lt;&gt;""),ROUNDUP((AK34-AJ34)/7,0),"")</f>
        <v/>
      </c>
      <c r="AN34">
        <f>IFERROR(IF(AL34*AM34=0,"",AL34*AM34),"")</f>
        <v/>
      </c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L34">
        <f>IFERROR(INDEX('_names_lookup'!$C:$C,MATCH(BK34,'_names_lookup'!$A:$A,0)),"")</f>
        <v/>
      </c>
      <c r="BM34">
        <f>IFERROR(INDEX('_names_lookup'!$B:$B,MATCH(BK34,'_names_lookup'!$A:$A,0)),"")</f>
        <v/>
      </c>
      <c r="BS34">
        <f>IFERROR(IF(BR34*AA34=0,"",BR34*AA34),"")</f>
        <v/>
      </c>
    </row>
    <row r="35">
      <c r="O35">
        <f>IFERROR(INDEX('_courses_lookup'!$C:$C,MATCH(K35&amp;L35,'_courses_lookup'!$E:$E,0)),"")</f>
        <v/>
      </c>
      <c r="P35">
        <f>IFERROR(INDEX('_courses_lookup'!$D:$D,MATCH(K35&amp;L35,'_courses_lookup'!$E:$E,0)),"")</f>
        <v/>
      </c>
      <c r="AG35">
        <f>IF(AND(AE35&lt;&gt;"",AF35&lt;&gt;""),ROUNDUP((AF35-AE35)/7,0),"")</f>
        <v/>
      </c>
      <c r="AI35">
        <f>IFERROR(IF(AG35*AH35=0,"",AG35*AH35),"")</f>
        <v/>
      </c>
      <c r="AL35">
        <f>IF(AND(AJ35&lt;&gt;"",AK35&lt;&gt;""),ROUNDUP((AK35-AJ35)/7,0),"")</f>
        <v/>
      </c>
      <c r="AN35">
        <f>IFERROR(IF(AL35*AM35=0,"",AL35*AM35),"")</f>
        <v/>
      </c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L35">
        <f>IFERROR(INDEX('_names_lookup'!$C:$C,MATCH(BK35,'_names_lookup'!$A:$A,0)),"")</f>
        <v/>
      </c>
      <c r="BM35">
        <f>IFERROR(INDEX('_names_lookup'!$B:$B,MATCH(BK35,'_names_lookup'!$A:$A,0)),"")</f>
        <v/>
      </c>
      <c r="BS35">
        <f>IFERROR(IF(BR35*AA35=0,"",BR35*AA35),"")</f>
        <v/>
      </c>
    </row>
    <row r="36">
      <c r="O36">
        <f>IFERROR(INDEX('_courses_lookup'!$C:$C,MATCH(K36&amp;L36,'_courses_lookup'!$E:$E,0)),"")</f>
        <v/>
      </c>
      <c r="P36">
        <f>IFERROR(INDEX('_courses_lookup'!$D:$D,MATCH(K36&amp;L36,'_courses_lookup'!$E:$E,0)),"")</f>
        <v/>
      </c>
      <c r="AG36">
        <f>IF(AND(AE36&lt;&gt;"",AF36&lt;&gt;""),ROUNDUP((AF36-AE36)/7,0),"")</f>
        <v/>
      </c>
      <c r="AI36">
        <f>IFERROR(IF(AG36*AH36=0,"",AG36*AH36),"")</f>
        <v/>
      </c>
      <c r="AL36">
        <f>IF(AND(AJ36&lt;&gt;"",AK36&lt;&gt;""),ROUNDUP((AK36-AJ36)/7,0),"")</f>
        <v/>
      </c>
      <c r="AN36">
        <f>IFERROR(IF(AL36*AM36=0,"",AL36*AM36),"")</f>
        <v/>
      </c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L36">
        <f>IFERROR(INDEX('_names_lookup'!$C:$C,MATCH(BK36,'_names_lookup'!$A:$A,0)),"")</f>
        <v/>
      </c>
      <c r="BM36">
        <f>IFERROR(INDEX('_names_lookup'!$B:$B,MATCH(BK36,'_names_lookup'!$A:$A,0)),"")</f>
        <v/>
      </c>
      <c r="BS36">
        <f>IFERROR(IF(BR36*AA36=0,"",BR36*AA36),"")</f>
        <v/>
      </c>
    </row>
    <row r="37">
      <c r="O37">
        <f>IFERROR(INDEX('_courses_lookup'!$C:$C,MATCH(K37&amp;L37,'_courses_lookup'!$E:$E,0)),"")</f>
        <v/>
      </c>
      <c r="P37">
        <f>IFERROR(INDEX('_courses_lookup'!$D:$D,MATCH(K37&amp;L37,'_courses_lookup'!$E:$E,0)),"")</f>
        <v/>
      </c>
      <c r="AG37">
        <f>IF(AND(AE37&lt;&gt;"",AF37&lt;&gt;""),ROUNDUP((AF37-AE37)/7,0),"")</f>
        <v/>
      </c>
      <c r="AI37">
        <f>IFERROR(IF(AG37*AH37=0,"",AG37*AH37),"")</f>
        <v/>
      </c>
      <c r="AL37">
        <f>IF(AND(AJ37&lt;&gt;"",AK37&lt;&gt;""),ROUNDUP((AK37-AJ37)/7,0),"")</f>
        <v/>
      </c>
      <c r="AN37">
        <f>IFERROR(IF(AL37*AM37=0,"",AL37*AM37),"")</f>
        <v/>
      </c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L37">
        <f>IFERROR(INDEX('_names_lookup'!$C:$C,MATCH(BK37,'_names_lookup'!$A:$A,0)),"")</f>
        <v/>
      </c>
      <c r="BM37">
        <f>IFERROR(INDEX('_names_lookup'!$B:$B,MATCH(BK37,'_names_lookup'!$A:$A,0)),"")</f>
        <v/>
      </c>
      <c r="BS37">
        <f>IFERROR(IF(BR37*AA37=0,"",BR37*AA37),"")</f>
        <v/>
      </c>
    </row>
    <row r="38">
      <c r="O38">
        <f>IFERROR(INDEX('_courses_lookup'!$C:$C,MATCH(K38&amp;L38,'_courses_lookup'!$E:$E,0)),"")</f>
        <v/>
      </c>
      <c r="P38">
        <f>IFERROR(INDEX('_courses_lookup'!$D:$D,MATCH(K38&amp;L38,'_courses_lookup'!$E:$E,0)),"")</f>
        <v/>
      </c>
      <c r="AG38">
        <f>IF(AND(AE38&lt;&gt;"",AF38&lt;&gt;""),ROUNDUP((AF38-AE38)/7,0),"")</f>
        <v/>
      </c>
      <c r="AI38">
        <f>IFERROR(IF(AG38*AH38=0,"",AG38*AH38),"")</f>
        <v/>
      </c>
      <c r="AL38">
        <f>IF(AND(AJ38&lt;&gt;"",AK38&lt;&gt;""),ROUNDUP((AK38-AJ38)/7,0),"")</f>
        <v/>
      </c>
      <c r="AN38">
        <f>IFERROR(IF(AL38*AM38=0,"",AL38*AM38),"")</f>
        <v/>
      </c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L38">
        <f>IFERROR(INDEX('_names_lookup'!$C:$C,MATCH(BK38,'_names_lookup'!$A:$A,0)),"")</f>
        <v/>
      </c>
      <c r="BM38">
        <f>IFERROR(INDEX('_names_lookup'!$B:$B,MATCH(BK38,'_names_lookup'!$A:$A,0)),"")</f>
        <v/>
      </c>
      <c r="BS38">
        <f>IFERROR(IF(BR38*AA38=0,"",BR38*AA38),"")</f>
        <v/>
      </c>
    </row>
    <row r="39">
      <c r="O39">
        <f>IFERROR(INDEX('_courses_lookup'!$C:$C,MATCH(K39&amp;L39,'_courses_lookup'!$E:$E,0)),"")</f>
        <v/>
      </c>
      <c r="P39">
        <f>IFERROR(INDEX('_courses_lookup'!$D:$D,MATCH(K39&amp;L39,'_courses_lookup'!$E:$E,0)),"")</f>
        <v/>
      </c>
      <c r="AG39">
        <f>IF(AND(AE39&lt;&gt;"",AF39&lt;&gt;""),ROUNDUP((AF39-AE39)/7,0),"")</f>
        <v/>
      </c>
      <c r="AI39">
        <f>IFERROR(IF(AG39*AH39=0,"",AG39*AH39),"")</f>
        <v/>
      </c>
      <c r="AL39">
        <f>IF(AND(AJ39&lt;&gt;"",AK39&lt;&gt;""),ROUNDUP((AK39-AJ39)/7,0),"")</f>
        <v/>
      </c>
      <c r="AN39">
        <f>IFERROR(IF(AL39*AM39=0,"",AL39*AM39),"")</f>
        <v/>
      </c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L39">
        <f>IFERROR(INDEX('_names_lookup'!$C:$C,MATCH(BK39,'_names_lookup'!$A:$A,0)),"")</f>
        <v/>
      </c>
      <c r="BM39">
        <f>IFERROR(INDEX('_names_lookup'!$B:$B,MATCH(BK39,'_names_lookup'!$A:$A,0)),"")</f>
        <v/>
      </c>
      <c r="BS39">
        <f>IFERROR(IF(BR39*AA39=0,"",BR39*AA39),"")</f>
        <v/>
      </c>
    </row>
    <row r="40">
      <c r="O40">
        <f>IFERROR(INDEX('_courses_lookup'!$C:$C,MATCH(K40&amp;L40,'_courses_lookup'!$E:$E,0)),"")</f>
        <v/>
      </c>
      <c r="P40">
        <f>IFERROR(INDEX('_courses_lookup'!$D:$D,MATCH(K40&amp;L40,'_courses_lookup'!$E:$E,0)),"")</f>
        <v/>
      </c>
      <c r="AG40">
        <f>IF(AND(AE40&lt;&gt;"",AF40&lt;&gt;""),ROUNDUP((AF40-AE40)/7,0),"")</f>
        <v/>
      </c>
      <c r="AI40">
        <f>IFERROR(IF(AG40*AH40=0,"",AG40*AH40),"")</f>
        <v/>
      </c>
      <c r="AL40">
        <f>IF(AND(AJ40&lt;&gt;"",AK40&lt;&gt;""),ROUNDUP((AK40-AJ40)/7,0),"")</f>
        <v/>
      </c>
      <c r="AN40">
        <f>IFERROR(IF(AL40*AM40=0,"",AL40*AM40),"")</f>
        <v/>
      </c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L40">
        <f>IFERROR(INDEX('_names_lookup'!$C:$C,MATCH(BK40,'_names_lookup'!$A:$A,0)),"")</f>
        <v/>
      </c>
      <c r="BM40">
        <f>IFERROR(INDEX('_names_lookup'!$B:$B,MATCH(BK40,'_names_lookup'!$A:$A,0)),"")</f>
        <v/>
      </c>
      <c r="BS40">
        <f>IFERROR(IF(BR40*AA40=0,"",BR40*AA40),"")</f>
        <v/>
      </c>
    </row>
    <row r="41">
      <c r="O41">
        <f>IFERROR(INDEX('_courses_lookup'!$C:$C,MATCH(K41&amp;L41,'_courses_lookup'!$E:$E,0)),"")</f>
        <v/>
      </c>
      <c r="P41">
        <f>IFERROR(INDEX('_courses_lookup'!$D:$D,MATCH(K41&amp;L41,'_courses_lookup'!$E:$E,0)),"")</f>
        <v/>
      </c>
      <c r="AG41">
        <f>IF(AND(AE41&lt;&gt;"",AF41&lt;&gt;""),ROUNDUP((AF41-AE41)/7,0),"")</f>
        <v/>
      </c>
      <c r="AI41">
        <f>IFERROR(IF(AG41*AH41=0,"",AG41*AH41),"")</f>
        <v/>
      </c>
      <c r="AL41">
        <f>IF(AND(AJ41&lt;&gt;"",AK41&lt;&gt;""),ROUNDUP((AK41-AJ41)/7,0),"")</f>
        <v/>
      </c>
      <c r="AN41">
        <f>IFERROR(IF(AL41*AM41=0,"",AL41*AM41),"")</f>
        <v/>
      </c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L41">
        <f>IFERROR(INDEX('_names_lookup'!$C:$C,MATCH(BK41,'_names_lookup'!$A:$A,0)),"")</f>
        <v/>
      </c>
      <c r="BM41">
        <f>IFERROR(INDEX('_names_lookup'!$B:$B,MATCH(BK41,'_names_lookup'!$A:$A,0)),"")</f>
        <v/>
      </c>
      <c r="BS41">
        <f>IFERROR(IF(BR41*AA41=0,"",BR41*AA41),"")</f>
        <v/>
      </c>
    </row>
    <row r="42">
      <c r="O42">
        <f>IFERROR(INDEX('_courses_lookup'!$C:$C,MATCH(K42&amp;L42,'_courses_lookup'!$E:$E,0)),"")</f>
        <v/>
      </c>
      <c r="P42">
        <f>IFERROR(INDEX('_courses_lookup'!$D:$D,MATCH(K42&amp;L42,'_courses_lookup'!$E:$E,0)),"")</f>
        <v/>
      </c>
      <c r="AG42">
        <f>IF(AND(AE42&lt;&gt;"",AF42&lt;&gt;""),ROUNDUP((AF42-AE42)/7,0),"")</f>
        <v/>
      </c>
      <c r="AI42">
        <f>IFERROR(IF(AG42*AH42=0,"",AG42*AH42),"")</f>
        <v/>
      </c>
      <c r="AL42">
        <f>IF(AND(AJ42&lt;&gt;"",AK42&lt;&gt;""),ROUNDUP((AK42-AJ42)/7,0),"")</f>
        <v/>
      </c>
      <c r="AN42">
        <f>IFERROR(IF(AL42*AM42=0,"",AL42*AM42),"")</f>
        <v/>
      </c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L42">
        <f>IFERROR(INDEX('_names_lookup'!$C:$C,MATCH(BK42,'_names_lookup'!$A:$A,0)),"")</f>
        <v/>
      </c>
      <c r="BM42">
        <f>IFERROR(INDEX('_names_lookup'!$B:$B,MATCH(BK42,'_names_lookup'!$A:$A,0)),"")</f>
        <v/>
      </c>
      <c r="BS42">
        <f>IFERROR(IF(BR42*AA42=0,"",BR42*AA42),"")</f>
        <v/>
      </c>
    </row>
    <row r="43">
      <c r="O43">
        <f>IFERROR(INDEX('_courses_lookup'!$C:$C,MATCH(K43&amp;L43,'_courses_lookup'!$E:$E,0)),"")</f>
        <v/>
      </c>
      <c r="P43">
        <f>IFERROR(INDEX('_courses_lookup'!$D:$D,MATCH(K43&amp;L43,'_courses_lookup'!$E:$E,0)),"")</f>
        <v/>
      </c>
      <c r="AG43">
        <f>IF(AND(AE43&lt;&gt;"",AF43&lt;&gt;""),ROUNDUP((AF43-AE43)/7,0),"")</f>
        <v/>
      </c>
      <c r="AI43">
        <f>IFERROR(IF(AG43*AH43=0,"",AG43*AH43),"")</f>
        <v/>
      </c>
      <c r="AL43">
        <f>IF(AND(AJ43&lt;&gt;"",AK43&lt;&gt;""),ROUNDUP((AK43-AJ43)/7,0),"")</f>
        <v/>
      </c>
      <c r="AN43">
        <f>IFERROR(IF(AL43*AM43=0,"",AL43*AM43),"")</f>
        <v/>
      </c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L43">
        <f>IFERROR(INDEX('_names_lookup'!$C:$C,MATCH(BK43,'_names_lookup'!$A:$A,0)),"")</f>
        <v/>
      </c>
      <c r="BM43">
        <f>IFERROR(INDEX('_names_lookup'!$B:$B,MATCH(BK43,'_names_lookup'!$A:$A,0)),"")</f>
        <v/>
      </c>
      <c r="BS43">
        <f>IFERROR(IF(BR43*AA43=0,"",BR43*AA43),"")</f>
        <v/>
      </c>
    </row>
    <row r="44">
      <c r="O44">
        <f>IFERROR(INDEX('_courses_lookup'!$C:$C,MATCH(K44&amp;L44,'_courses_lookup'!$E:$E,0)),"")</f>
        <v/>
      </c>
      <c r="P44">
        <f>IFERROR(INDEX('_courses_lookup'!$D:$D,MATCH(K44&amp;L44,'_courses_lookup'!$E:$E,0)),"")</f>
        <v/>
      </c>
      <c r="AG44">
        <f>IF(AND(AE44&lt;&gt;"",AF44&lt;&gt;""),ROUNDUP((AF44-AE44)/7,0),"")</f>
        <v/>
      </c>
      <c r="AI44">
        <f>IFERROR(IF(AG44*AH44=0,"",AG44*AH44),"")</f>
        <v/>
      </c>
      <c r="AL44">
        <f>IF(AND(AJ44&lt;&gt;"",AK44&lt;&gt;""),ROUNDUP((AK44-AJ44)/7,0),"")</f>
        <v/>
      </c>
      <c r="AN44">
        <f>IFERROR(IF(AL44*AM44=0,"",AL44*AM44),"")</f>
        <v/>
      </c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L44">
        <f>IFERROR(INDEX('_names_lookup'!$C:$C,MATCH(BK44,'_names_lookup'!$A:$A,0)),"")</f>
        <v/>
      </c>
      <c r="BM44">
        <f>IFERROR(INDEX('_names_lookup'!$B:$B,MATCH(BK44,'_names_lookup'!$A:$A,0)),"")</f>
        <v/>
      </c>
      <c r="BS44">
        <f>IFERROR(IF(BR44*AA44=0,"",BR44*AA44),"")</f>
        <v/>
      </c>
    </row>
    <row r="45">
      <c r="O45">
        <f>IFERROR(INDEX('_courses_lookup'!$C:$C,MATCH(K45&amp;L45,'_courses_lookup'!$E:$E,0)),"")</f>
        <v/>
      </c>
      <c r="P45">
        <f>IFERROR(INDEX('_courses_lookup'!$D:$D,MATCH(K45&amp;L45,'_courses_lookup'!$E:$E,0)),"")</f>
        <v/>
      </c>
      <c r="AG45">
        <f>IF(AND(AE45&lt;&gt;"",AF45&lt;&gt;""),ROUNDUP((AF45-AE45)/7,0),"")</f>
        <v/>
      </c>
      <c r="AI45">
        <f>IFERROR(IF(AG45*AH45=0,"",AG45*AH45),"")</f>
        <v/>
      </c>
      <c r="AL45">
        <f>IF(AND(AJ45&lt;&gt;"",AK45&lt;&gt;""),ROUNDUP((AK45-AJ45)/7,0),"")</f>
        <v/>
      </c>
      <c r="AN45">
        <f>IFERROR(IF(AL45*AM45=0,"",AL45*AM45),"")</f>
        <v/>
      </c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L45">
        <f>IFERROR(INDEX('_names_lookup'!$C:$C,MATCH(BK45,'_names_lookup'!$A:$A,0)),"")</f>
        <v/>
      </c>
      <c r="BM45">
        <f>IFERROR(INDEX('_names_lookup'!$B:$B,MATCH(BK45,'_names_lookup'!$A:$A,0)),"")</f>
        <v/>
      </c>
      <c r="BS45">
        <f>IFERROR(IF(BR45*AA45=0,"",BR45*AA45),"")</f>
        <v/>
      </c>
    </row>
    <row r="46">
      <c r="O46">
        <f>IFERROR(INDEX('_courses_lookup'!$C:$C,MATCH(K46&amp;L46,'_courses_lookup'!$E:$E,0)),"")</f>
        <v/>
      </c>
      <c r="P46">
        <f>IFERROR(INDEX('_courses_lookup'!$D:$D,MATCH(K46&amp;L46,'_courses_lookup'!$E:$E,0)),"")</f>
        <v/>
      </c>
      <c r="AG46">
        <f>IF(AND(AE46&lt;&gt;"",AF46&lt;&gt;""),ROUNDUP((AF46-AE46)/7,0),"")</f>
        <v/>
      </c>
      <c r="AI46">
        <f>IFERROR(IF(AG46*AH46=0,"",AG46*AH46),"")</f>
        <v/>
      </c>
      <c r="AL46">
        <f>IF(AND(AJ46&lt;&gt;"",AK46&lt;&gt;""),ROUNDUP((AK46-AJ46)/7,0),"")</f>
        <v/>
      </c>
      <c r="AN46">
        <f>IFERROR(IF(AL46*AM46=0,"",AL46*AM46),"")</f>
        <v/>
      </c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L46">
        <f>IFERROR(INDEX('_names_lookup'!$C:$C,MATCH(BK46,'_names_lookup'!$A:$A,0)),"")</f>
        <v/>
      </c>
      <c r="BM46">
        <f>IFERROR(INDEX('_names_lookup'!$B:$B,MATCH(BK46,'_names_lookup'!$A:$A,0)),"")</f>
        <v/>
      </c>
      <c r="BS46">
        <f>IFERROR(IF(BR46*AA46=0,"",BR46*AA46),"")</f>
        <v/>
      </c>
    </row>
    <row r="47">
      <c r="O47">
        <f>IFERROR(INDEX('_courses_lookup'!$C:$C,MATCH(K47&amp;L47,'_courses_lookup'!$E:$E,0)),"")</f>
        <v/>
      </c>
      <c r="P47">
        <f>IFERROR(INDEX('_courses_lookup'!$D:$D,MATCH(K47&amp;L47,'_courses_lookup'!$E:$E,0)),"")</f>
        <v/>
      </c>
      <c r="AG47">
        <f>IF(AND(AE47&lt;&gt;"",AF47&lt;&gt;""),ROUNDUP((AF47-AE47)/7,0),"")</f>
        <v/>
      </c>
      <c r="AI47">
        <f>IFERROR(IF(AG47*AH47=0,"",AG47*AH47),"")</f>
        <v/>
      </c>
      <c r="AL47">
        <f>IF(AND(AJ47&lt;&gt;"",AK47&lt;&gt;""),ROUNDUP((AK47-AJ47)/7,0),"")</f>
        <v/>
      </c>
      <c r="AN47">
        <f>IFERROR(IF(AL47*AM47=0,"",AL47*AM47),"")</f>
        <v/>
      </c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L47">
        <f>IFERROR(INDEX('_names_lookup'!$C:$C,MATCH(BK47,'_names_lookup'!$A:$A,0)),"")</f>
        <v/>
      </c>
      <c r="BM47">
        <f>IFERROR(INDEX('_names_lookup'!$B:$B,MATCH(BK47,'_names_lookup'!$A:$A,0)),"")</f>
        <v/>
      </c>
      <c r="BS47">
        <f>IFERROR(IF(BR47*AA47=0,"",BR47*AA47),"")</f>
        <v/>
      </c>
    </row>
    <row r="48">
      <c r="O48">
        <f>IFERROR(INDEX('_courses_lookup'!$C:$C,MATCH(K48&amp;L48,'_courses_lookup'!$E:$E,0)),"")</f>
        <v/>
      </c>
      <c r="P48">
        <f>IFERROR(INDEX('_courses_lookup'!$D:$D,MATCH(K48&amp;L48,'_courses_lookup'!$E:$E,0)),"")</f>
        <v/>
      </c>
      <c r="AG48">
        <f>IF(AND(AE48&lt;&gt;"",AF48&lt;&gt;""),ROUNDUP((AF48-AE48)/7,0),"")</f>
        <v/>
      </c>
      <c r="AI48">
        <f>IFERROR(IF(AG48*AH48=0,"",AG48*AH48),"")</f>
        <v/>
      </c>
      <c r="AL48">
        <f>IF(AND(AJ48&lt;&gt;"",AK48&lt;&gt;""),ROUNDUP((AK48-AJ48)/7,0),"")</f>
        <v/>
      </c>
      <c r="AN48">
        <f>IFERROR(IF(AL48*AM48=0,"",AL48*AM48),"")</f>
        <v/>
      </c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L48">
        <f>IFERROR(INDEX('_names_lookup'!$C:$C,MATCH(BK48,'_names_lookup'!$A:$A,0)),"")</f>
        <v/>
      </c>
      <c r="BM48">
        <f>IFERROR(INDEX('_names_lookup'!$B:$B,MATCH(BK48,'_names_lookup'!$A:$A,0)),"")</f>
        <v/>
      </c>
      <c r="BS48">
        <f>IFERROR(IF(BR48*AA48=0,"",BR48*AA48),"")</f>
        <v/>
      </c>
    </row>
    <row r="49">
      <c r="O49">
        <f>IFERROR(INDEX('_courses_lookup'!$C:$C,MATCH(K49&amp;L49,'_courses_lookup'!$E:$E,0)),"")</f>
        <v/>
      </c>
      <c r="P49">
        <f>IFERROR(INDEX('_courses_lookup'!$D:$D,MATCH(K49&amp;L49,'_courses_lookup'!$E:$E,0)),"")</f>
        <v/>
      </c>
      <c r="AG49">
        <f>IF(AND(AE49&lt;&gt;"",AF49&lt;&gt;""),ROUNDUP((AF49-AE49)/7,0),"")</f>
        <v/>
      </c>
      <c r="AI49">
        <f>IFERROR(IF(AG49*AH49=0,"",AG49*AH49),"")</f>
        <v/>
      </c>
      <c r="AL49">
        <f>IF(AND(AJ49&lt;&gt;"",AK49&lt;&gt;""),ROUNDUP((AK49-AJ49)/7,0),"")</f>
        <v/>
      </c>
      <c r="AN49">
        <f>IFERROR(IF(AL49*AM49=0,"",AL49*AM49),"")</f>
        <v/>
      </c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L49">
        <f>IFERROR(INDEX('_names_lookup'!$C:$C,MATCH(BK49,'_names_lookup'!$A:$A,0)),"")</f>
        <v/>
      </c>
      <c r="BM49">
        <f>IFERROR(INDEX('_names_lookup'!$B:$B,MATCH(BK49,'_names_lookup'!$A:$A,0)),"")</f>
        <v/>
      </c>
      <c r="BS49">
        <f>IFERROR(IF(BR49*AA49=0,"",BR49*AA49),"")</f>
        <v/>
      </c>
    </row>
    <row r="50">
      <c r="O50">
        <f>IFERROR(INDEX('_courses_lookup'!$C:$C,MATCH(K50&amp;L50,'_courses_lookup'!$E:$E,0)),"")</f>
        <v/>
      </c>
      <c r="P50">
        <f>IFERROR(INDEX('_courses_lookup'!$D:$D,MATCH(K50&amp;L50,'_courses_lookup'!$E:$E,0)),"")</f>
        <v/>
      </c>
      <c r="AG50">
        <f>IF(AND(AE50&lt;&gt;"",AF50&lt;&gt;""),ROUNDUP((AF50-AE50)/7,0),"")</f>
        <v/>
      </c>
      <c r="AI50">
        <f>IFERROR(IF(AG50*AH50=0,"",AG50*AH50),"")</f>
        <v/>
      </c>
      <c r="AL50">
        <f>IF(AND(AJ50&lt;&gt;"",AK50&lt;&gt;""),ROUNDUP((AK50-AJ50)/7,0),"")</f>
        <v/>
      </c>
      <c r="AN50">
        <f>IFERROR(IF(AL50*AM50=0,"",AL50*AM50),"")</f>
        <v/>
      </c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L50">
        <f>IFERROR(INDEX('_names_lookup'!$C:$C,MATCH(BK50,'_names_lookup'!$A:$A,0)),"")</f>
        <v/>
      </c>
      <c r="BM50">
        <f>IFERROR(INDEX('_names_lookup'!$B:$B,MATCH(BK50,'_names_lookup'!$A:$A,0)),"")</f>
        <v/>
      </c>
      <c r="BS50">
        <f>IFERROR(IF(BR50*AA50=0,"",BR50*AA50),"")</f>
        <v/>
      </c>
    </row>
    <row r="51">
      <c r="O51">
        <f>IFERROR(INDEX('_courses_lookup'!$C:$C,MATCH(K51&amp;L51,'_courses_lookup'!$E:$E,0)),"")</f>
        <v/>
      </c>
      <c r="P51">
        <f>IFERROR(INDEX('_courses_lookup'!$D:$D,MATCH(K51&amp;L51,'_courses_lookup'!$E:$E,0)),"")</f>
        <v/>
      </c>
      <c r="AG51">
        <f>IF(AND(AE51&lt;&gt;"",AF51&lt;&gt;""),ROUNDUP((AF51-AE51)/7,0),"")</f>
        <v/>
      </c>
      <c r="AI51">
        <f>IFERROR(IF(AG51*AH51=0,"",AG51*AH51),"")</f>
        <v/>
      </c>
      <c r="AL51">
        <f>IF(AND(AJ51&lt;&gt;"",AK51&lt;&gt;""),ROUNDUP((AK51-AJ51)/7,0),"")</f>
        <v/>
      </c>
      <c r="AN51">
        <f>IFERROR(IF(AL51*AM51=0,"",AL51*AM51),"")</f>
        <v/>
      </c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L51">
        <f>IFERROR(INDEX('_names_lookup'!$C:$C,MATCH(BK51,'_names_lookup'!$A:$A,0)),"")</f>
        <v/>
      </c>
      <c r="BM51">
        <f>IFERROR(INDEX('_names_lookup'!$B:$B,MATCH(BK51,'_names_lookup'!$A:$A,0)),"")</f>
        <v/>
      </c>
      <c r="BS51">
        <f>IFERROR(IF(BR51*AA51=0,"",BR51*AA51),"")</f>
        <v/>
      </c>
    </row>
    <row r="52">
      <c r="O52">
        <f>IFERROR(INDEX('_courses_lookup'!$C:$C,MATCH(K52&amp;L52,'_courses_lookup'!$E:$E,0)),"")</f>
        <v/>
      </c>
      <c r="P52">
        <f>IFERROR(INDEX('_courses_lookup'!$D:$D,MATCH(K52&amp;L52,'_courses_lookup'!$E:$E,0)),"")</f>
        <v/>
      </c>
      <c r="AG52">
        <f>IF(AND(AE52&lt;&gt;"",AF52&lt;&gt;""),ROUNDUP((AF52-AE52)/7,0),"")</f>
        <v/>
      </c>
      <c r="AI52">
        <f>IFERROR(IF(AG52*AH52=0,"",AG52*AH52),"")</f>
        <v/>
      </c>
      <c r="AL52">
        <f>IF(AND(AJ52&lt;&gt;"",AK52&lt;&gt;""),ROUNDUP((AK52-AJ52)/7,0),"")</f>
        <v/>
      </c>
      <c r="AN52">
        <f>IFERROR(IF(AL52*AM52=0,"",AL52*AM52),"")</f>
        <v/>
      </c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L52">
        <f>IFERROR(INDEX('_names_lookup'!$C:$C,MATCH(BK52,'_names_lookup'!$A:$A,0)),"")</f>
        <v/>
      </c>
      <c r="BM52">
        <f>IFERROR(INDEX('_names_lookup'!$B:$B,MATCH(BK52,'_names_lookup'!$A:$A,0)),"")</f>
        <v/>
      </c>
      <c r="BS52">
        <f>IFERROR(IF(BR52*AA52=0,"",BR52*AA52),"")</f>
        <v/>
      </c>
    </row>
    <row r="53">
      <c r="O53">
        <f>IFERROR(INDEX('_courses_lookup'!$C:$C,MATCH(K53&amp;L53,'_courses_lookup'!$E:$E,0)),"")</f>
        <v/>
      </c>
      <c r="P53">
        <f>IFERROR(INDEX('_courses_lookup'!$D:$D,MATCH(K53&amp;L53,'_courses_lookup'!$E:$E,0)),"")</f>
        <v/>
      </c>
      <c r="AG53">
        <f>IF(AND(AE53&lt;&gt;"",AF53&lt;&gt;""),ROUNDUP((AF53-AE53)/7,0),"")</f>
        <v/>
      </c>
      <c r="AI53">
        <f>IFERROR(IF(AG53*AH53=0,"",AG53*AH53),"")</f>
        <v/>
      </c>
      <c r="AL53">
        <f>IF(AND(AJ53&lt;&gt;"",AK53&lt;&gt;""),ROUNDUP((AK53-AJ53)/7,0),"")</f>
        <v/>
      </c>
      <c r="AN53">
        <f>IFERROR(IF(AL53*AM53=0,"",AL53*AM53),"")</f>
        <v/>
      </c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L53">
        <f>IFERROR(INDEX('_names_lookup'!$C:$C,MATCH(BK53,'_names_lookup'!$A:$A,0)),"")</f>
        <v/>
      </c>
      <c r="BM53">
        <f>IFERROR(INDEX('_names_lookup'!$B:$B,MATCH(BK53,'_names_lookup'!$A:$A,0)),"")</f>
        <v/>
      </c>
      <c r="BS53">
        <f>IFERROR(IF(BR53*AA53=0,"",BR53*AA53),"")</f>
        <v/>
      </c>
    </row>
    <row r="54">
      <c r="O54">
        <f>IFERROR(INDEX('_courses_lookup'!$C:$C,MATCH(K54&amp;L54,'_courses_lookup'!$E:$E,0)),"")</f>
        <v/>
      </c>
      <c r="P54">
        <f>IFERROR(INDEX('_courses_lookup'!$D:$D,MATCH(K54&amp;L54,'_courses_lookup'!$E:$E,0)),"")</f>
        <v/>
      </c>
      <c r="AG54">
        <f>IF(AND(AE54&lt;&gt;"",AF54&lt;&gt;""),ROUNDUP((AF54-AE54)/7,0),"")</f>
        <v/>
      </c>
      <c r="AI54">
        <f>IFERROR(IF(AG54*AH54=0,"",AG54*AH54),"")</f>
        <v/>
      </c>
      <c r="AL54">
        <f>IF(AND(AJ54&lt;&gt;"",AK54&lt;&gt;""),ROUNDUP((AK54-AJ54)/7,0),"")</f>
        <v/>
      </c>
      <c r="AN54">
        <f>IFERROR(IF(AL54*AM54=0,"",AL54*AM54),"")</f>
        <v/>
      </c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L54">
        <f>IFERROR(INDEX('_names_lookup'!$C:$C,MATCH(BK54,'_names_lookup'!$A:$A,0)),"")</f>
        <v/>
      </c>
      <c r="BM54">
        <f>IFERROR(INDEX('_names_lookup'!$B:$B,MATCH(BK54,'_names_lookup'!$A:$A,0)),"")</f>
        <v/>
      </c>
      <c r="BS54">
        <f>IFERROR(IF(BR54*AA54=0,"",BR54*AA54),"")</f>
        <v/>
      </c>
    </row>
    <row r="55">
      <c r="O55">
        <f>IFERROR(INDEX('_courses_lookup'!$C:$C,MATCH(K55&amp;L55,'_courses_lookup'!$E:$E,0)),"")</f>
        <v/>
      </c>
      <c r="P55">
        <f>IFERROR(INDEX('_courses_lookup'!$D:$D,MATCH(K55&amp;L55,'_courses_lookup'!$E:$E,0)),"")</f>
        <v/>
      </c>
      <c r="AG55">
        <f>IF(AND(AE55&lt;&gt;"",AF55&lt;&gt;""),ROUNDUP((AF55-AE55)/7,0),"")</f>
        <v/>
      </c>
      <c r="AI55">
        <f>IFERROR(IF(AG55*AH55=0,"",AG55*AH55),"")</f>
        <v/>
      </c>
      <c r="AL55">
        <f>IF(AND(AJ55&lt;&gt;"",AK55&lt;&gt;""),ROUNDUP((AK55-AJ55)/7,0),"")</f>
        <v/>
      </c>
      <c r="AN55">
        <f>IFERROR(IF(AL55*AM55=0,"",AL55*AM55),"")</f>
        <v/>
      </c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L55">
        <f>IFERROR(INDEX('_names_lookup'!$C:$C,MATCH(BK55,'_names_lookup'!$A:$A,0)),"")</f>
        <v/>
      </c>
      <c r="BM55">
        <f>IFERROR(INDEX('_names_lookup'!$B:$B,MATCH(BK55,'_names_lookup'!$A:$A,0)),"")</f>
        <v/>
      </c>
      <c r="BS55">
        <f>IFERROR(IF(BR55*AA55=0,"",BR55*AA55),"")</f>
        <v/>
      </c>
    </row>
    <row r="56">
      <c r="O56">
        <f>IFERROR(INDEX('_courses_lookup'!$C:$C,MATCH(K56&amp;L56,'_courses_lookup'!$E:$E,0)),"")</f>
        <v/>
      </c>
      <c r="P56">
        <f>IFERROR(INDEX('_courses_lookup'!$D:$D,MATCH(K56&amp;L56,'_courses_lookup'!$E:$E,0)),"")</f>
        <v/>
      </c>
      <c r="AG56">
        <f>IF(AND(AE56&lt;&gt;"",AF56&lt;&gt;""),ROUNDUP((AF56-AE56)/7,0),"")</f>
        <v/>
      </c>
      <c r="AI56">
        <f>IFERROR(IF(AG56*AH56=0,"",AG56*AH56),"")</f>
        <v/>
      </c>
      <c r="AL56">
        <f>IF(AND(AJ56&lt;&gt;"",AK56&lt;&gt;""),ROUNDUP((AK56-AJ56)/7,0),"")</f>
        <v/>
      </c>
      <c r="AN56">
        <f>IFERROR(IF(AL56*AM56=0,"",AL56*AM56),"")</f>
        <v/>
      </c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L56">
        <f>IFERROR(INDEX('_names_lookup'!$C:$C,MATCH(BK56,'_names_lookup'!$A:$A,0)),"")</f>
        <v/>
      </c>
      <c r="BM56">
        <f>IFERROR(INDEX('_names_lookup'!$B:$B,MATCH(BK56,'_names_lookup'!$A:$A,0)),"")</f>
        <v/>
      </c>
      <c r="BS56">
        <f>IFERROR(IF(BR56*AA56=0,"",BR56*AA56),"")</f>
        <v/>
      </c>
    </row>
    <row r="57">
      <c r="O57">
        <f>IFERROR(INDEX('_courses_lookup'!$C:$C,MATCH(K57&amp;L57,'_courses_lookup'!$E:$E,0)),"")</f>
        <v/>
      </c>
      <c r="P57">
        <f>IFERROR(INDEX('_courses_lookup'!$D:$D,MATCH(K57&amp;L57,'_courses_lookup'!$E:$E,0)),"")</f>
        <v/>
      </c>
      <c r="AG57">
        <f>IF(AND(AE57&lt;&gt;"",AF57&lt;&gt;""),ROUNDUP((AF57-AE57)/7,0),"")</f>
        <v/>
      </c>
      <c r="AI57">
        <f>IFERROR(IF(AG57*AH57=0,"",AG57*AH57),"")</f>
        <v/>
      </c>
      <c r="AL57">
        <f>IF(AND(AJ57&lt;&gt;"",AK57&lt;&gt;""),ROUNDUP((AK57-AJ57)/7,0),"")</f>
        <v/>
      </c>
      <c r="AN57">
        <f>IFERROR(IF(AL57*AM57=0,"",AL57*AM57),"")</f>
        <v/>
      </c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L57">
        <f>IFERROR(INDEX('_names_lookup'!$C:$C,MATCH(BK57,'_names_lookup'!$A:$A,0)),"")</f>
        <v/>
      </c>
      <c r="BM57">
        <f>IFERROR(INDEX('_names_lookup'!$B:$B,MATCH(BK57,'_names_lookup'!$A:$A,0)),"")</f>
        <v/>
      </c>
      <c r="BS57">
        <f>IFERROR(IF(BR57*AA57=0,"",BR57*AA57),"")</f>
        <v/>
      </c>
    </row>
    <row r="58">
      <c r="O58">
        <f>IFERROR(INDEX('_courses_lookup'!$C:$C,MATCH(K58&amp;L58,'_courses_lookup'!$E:$E,0)),"")</f>
        <v/>
      </c>
      <c r="P58">
        <f>IFERROR(INDEX('_courses_lookup'!$D:$D,MATCH(K58&amp;L58,'_courses_lookup'!$E:$E,0)),"")</f>
        <v/>
      </c>
      <c r="AG58">
        <f>IF(AND(AE58&lt;&gt;"",AF58&lt;&gt;""),ROUNDUP((AF58-AE58)/7,0),"")</f>
        <v/>
      </c>
      <c r="AI58">
        <f>IFERROR(IF(AG58*AH58=0,"",AG58*AH58),"")</f>
        <v/>
      </c>
      <c r="AL58">
        <f>IF(AND(AJ58&lt;&gt;"",AK58&lt;&gt;""),ROUNDUP((AK58-AJ58)/7,0),"")</f>
        <v/>
      </c>
      <c r="AN58">
        <f>IFERROR(IF(AL58*AM58=0,"",AL58*AM58),"")</f>
        <v/>
      </c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L58">
        <f>IFERROR(INDEX('_names_lookup'!$C:$C,MATCH(BK58,'_names_lookup'!$A:$A,0)),"")</f>
        <v/>
      </c>
      <c r="BM58">
        <f>IFERROR(INDEX('_names_lookup'!$B:$B,MATCH(BK58,'_names_lookup'!$A:$A,0)),"")</f>
        <v/>
      </c>
      <c r="BS58">
        <f>IFERROR(IF(BR58*AA58=0,"",BR58*AA58),"")</f>
        <v/>
      </c>
    </row>
    <row r="59">
      <c r="O59">
        <f>IFERROR(INDEX('_courses_lookup'!$C:$C,MATCH(K59&amp;L59,'_courses_lookup'!$E:$E,0)),"")</f>
        <v/>
      </c>
      <c r="P59">
        <f>IFERROR(INDEX('_courses_lookup'!$D:$D,MATCH(K59&amp;L59,'_courses_lookup'!$E:$E,0)),"")</f>
        <v/>
      </c>
      <c r="AG59">
        <f>IF(AND(AE59&lt;&gt;"",AF59&lt;&gt;""),ROUNDUP((AF59-AE59)/7,0),"")</f>
        <v/>
      </c>
      <c r="AI59">
        <f>IFERROR(IF(AG59*AH59=0,"",AG59*AH59),"")</f>
        <v/>
      </c>
      <c r="AL59">
        <f>IF(AND(AJ59&lt;&gt;"",AK59&lt;&gt;""),ROUNDUP((AK59-AJ59)/7,0),"")</f>
        <v/>
      </c>
      <c r="AN59">
        <f>IFERROR(IF(AL59*AM59=0,"",AL59*AM59),"")</f>
        <v/>
      </c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L59">
        <f>IFERROR(INDEX('_names_lookup'!$C:$C,MATCH(BK59,'_names_lookup'!$A:$A,0)),"")</f>
        <v/>
      </c>
      <c r="BM59">
        <f>IFERROR(INDEX('_names_lookup'!$B:$B,MATCH(BK59,'_names_lookup'!$A:$A,0)),"")</f>
        <v/>
      </c>
      <c r="BS59">
        <f>IFERROR(IF(BR59*AA59=0,"",BR59*AA59),"")</f>
        <v/>
      </c>
    </row>
    <row r="60">
      <c r="O60">
        <f>IFERROR(INDEX('_courses_lookup'!$C:$C,MATCH(K60&amp;L60,'_courses_lookup'!$E:$E,0)),"")</f>
        <v/>
      </c>
      <c r="P60">
        <f>IFERROR(INDEX('_courses_lookup'!$D:$D,MATCH(K60&amp;L60,'_courses_lookup'!$E:$E,0)),"")</f>
        <v/>
      </c>
      <c r="AG60">
        <f>IF(AND(AE60&lt;&gt;"",AF60&lt;&gt;""),ROUNDUP((AF60-AE60)/7,0),"")</f>
        <v/>
      </c>
      <c r="AI60">
        <f>IFERROR(IF(AG60*AH60=0,"",AG60*AH60),"")</f>
        <v/>
      </c>
      <c r="AL60">
        <f>IF(AND(AJ60&lt;&gt;"",AK60&lt;&gt;""),ROUNDUP((AK60-AJ60)/7,0),"")</f>
        <v/>
      </c>
      <c r="AN60">
        <f>IFERROR(IF(AL60*AM60=0,"",AL60*AM60),"")</f>
        <v/>
      </c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L60">
        <f>IFERROR(INDEX('_names_lookup'!$C:$C,MATCH(BK60,'_names_lookup'!$A:$A,0)),"")</f>
        <v/>
      </c>
      <c r="BM60">
        <f>IFERROR(INDEX('_names_lookup'!$B:$B,MATCH(BK60,'_names_lookup'!$A:$A,0)),"")</f>
        <v/>
      </c>
      <c r="BS60">
        <f>IFERROR(IF(BR60*AA60=0,"",BR60*AA60),"")</f>
        <v/>
      </c>
    </row>
    <row r="61">
      <c r="O61">
        <f>IFERROR(INDEX('_courses_lookup'!$C:$C,MATCH(K61&amp;L61,'_courses_lookup'!$E:$E,0)),"")</f>
        <v/>
      </c>
      <c r="P61">
        <f>IFERROR(INDEX('_courses_lookup'!$D:$D,MATCH(K61&amp;L61,'_courses_lookup'!$E:$E,0)),"")</f>
        <v/>
      </c>
      <c r="AG61">
        <f>IF(AND(AE61&lt;&gt;"",AF61&lt;&gt;""),ROUNDUP((AF61-AE61)/7,0),"")</f>
        <v/>
      </c>
      <c r="AI61">
        <f>IFERROR(IF(AG61*AH61=0,"",AG61*AH61),"")</f>
        <v/>
      </c>
      <c r="AL61">
        <f>IF(AND(AJ61&lt;&gt;"",AK61&lt;&gt;""),ROUNDUP((AK61-AJ61)/7,0),"")</f>
        <v/>
      </c>
      <c r="AN61">
        <f>IFERROR(IF(AL61*AM61=0,"",AL61*AM61),"")</f>
        <v/>
      </c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L61">
        <f>IFERROR(INDEX('_names_lookup'!$C:$C,MATCH(BK61,'_names_lookup'!$A:$A,0)),"")</f>
        <v/>
      </c>
      <c r="BM61">
        <f>IFERROR(INDEX('_names_lookup'!$B:$B,MATCH(BK61,'_names_lookup'!$A:$A,0)),"")</f>
        <v/>
      </c>
      <c r="BS61">
        <f>IFERROR(IF(BR61*AA61=0,"",BR61*AA61),"")</f>
        <v/>
      </c>
    </row>
    <row r="62">
      <c r="O62">
        <f>IFERROR(INDEX('_courses_lookup'!$C:$C,MATCH(K62&amp;L62,'_courses_lookup'!$E:$E,0)),"")</f>
        <v/>
      </c>
      <c r="P62">
        <f>IFERROR(INDEX('_courses_lookup'!$D:$D,MATCH(K62&amp;L62,'_courses_lookup'!$E:$E,0)),"")</f>
        <v/>
      </c>
      <c r="AG62">
        <f>IF(AND(AE62&lt;&gt;"",AF62&lt;&gt;""),ROUNDUP((AF62-AE62)/7,0),"")</f>
        <v/>
      </c>
      <c r="AI62">
        <f>IFERROR(IF(AG62*AH62=0,"",AG62*AH62),"")</f>
        <v/>
      </c>
      <c r="AL62">
        <f>IF(AND(AJ62&lt;&gt;"",AK62&lt;&gt;""),ROUNDUP((AK62-AJ62)/7,0),"")</f>
        <v/>
      </c>
      <c r="AN62">
        <f>IFERROR(IF(AL62*AM62=0,"",AL62*AM62),"")</f>
        <v/>
      </c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L62">
        <f>IFERROR(INDEX('_names_lookup'!$C:$C,MATCH(BK62,'_names_lookup'!$A:$A,0)),"")</f>
        <v/>
      </c>
      <c r="BM62">
        <f>IFERROR(INDEX('_names_lookup'!$B:$B,MATCH(BK62,'_names_lookup'!$A:$A,0)),"")</f>
        <v/>
      </c>
      <c r="BS62">
        <f>IFERROR(IF(BR62*AA62=0,"",BR62*AA62),"")</f>
        <v/>
      </c>
    </row>
    <row r="63">
      <c r="O63">
        <f>IFERROR(INDEX('_courses_lookup'!$C:$C,MATCH(K63&amp;L63,'_courses_lookup'!$E:$E,0)),"")</f>
        <v/>
      </c>
      <c r="P63">
        <f>IFERROR(INDEX('_courses_lookup'!$D:$D,MATCH(K63&amp;L63,'_courses_lookup'!$E:$E,0)),"")</f>
        <v/>
      </c>
      <c r="AG63">
        <f>IF(AND(AE63&lt;&gt;"",AF63&lt;&gt;""),ROUNDUP((AF63-AE63)/7,0),"")</f>
        <v/>
      </c>
      <c r="AI63">
        <f>IFERROR(IF(AG63*AH63=0,"",AG63*AH63),"")</f>
        <v/>
      </c>
      <c r="AL63">
        <f>IF(AND(AJ63&lt;&gt;"",AK63&lt;&gt;""),ROUNDUP((AK63-AJ63)/7,0),"")</f>
        <v/>
      </c>
      <c r="AN63">
        <f>IFERROR(IF(AL63*AM63=0,"",AL63*AM63),"")</f>
        <v/>
      </c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L63">
        <f>IFERROR(INDEX('_names_lookup'!$C:$C,MATCH(BK63,'_names_lookup'!$A:$A,0)),"")</f>
        <v/>
      </c>
      <c r="BM63">
        <f>IFERROR(INDEX('_names_lookup'!$B:$B,MATCH(BK63,'_names_lookup'!$A:$A,0)),"")</f>
        <v/>
      </c>
      <c r="BS63">
        <f>IFERROR(IF(BR63*AA63=0,"",BR63*AA63),"")</f>
        <v/>
      </c>
    </row>
    <row r="64">
      <c r="O64">
        <f>IFERROR(INDEX('_courses_lookup'!$C:$C,MATCH(K64&amp;L64,'_courses_lookup'!$E:$E,0)),"")</f>
        <v/>
      </c>
      <c r="P64">
        <f>IFERROR(INDEX('_courses_lookup'!$D:$D,MATCH(K64&amp;L64,'_courses_lookup'!$E:$E,0)),"")</f>
        <v/>
      </c>
      <c r="AG64">
        <f>IF(AND(AE64&lt;&gt;"",AF64&lt;&gt;""),ROUNDUP((AF64-AE64)/7,0),"")</f>
        <v/>
      </c>
      <c r="AI64">
        <f>IFERROR(IF(AG64*AH64=0,"",AG64*AH64),"")</f>
        <v/>
      </c>
      <c r="AL64">
        <f>IF(AND(AJ64&lt;&gt;"",AK64&lt;&gt;""),ROUNDUP((AK64-AJ64)/7,0),"")</f>
        <v/>
      </c>
      <c r="AN64">
        <f>IFERROR(IF(AL64*AM64=0,"",AL64*AM64),"")</f>
        <v/>
      </c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L64">
        <f>IFERROR(INDEX('_names_lookup'!$C:$C,MATCH(BK64,'_names_lookup'!$A:$A,0)),"")</f>
        <v/>
      </c>
      <c r="BM64">
        <f>IFERROR(INDEX('_names_lookup'!$B:$B,MATCH(BK64,'_names_lookup'!$A:$A,0)),"")</f>
        <v/>
      </c>
      <c r="BS64">
        <f>IFERROR(IF(BR64*AA64=0,"",BR64*AA64),"")</f>
        <v/>
      </c>
    </row>
    <row r="65">
      <c r="O65">
        <f>IFERROR(INDEX('_courses_lookup'!$C:$C,MATCH(K65&amp;L65,'_courses_lookup'!$E:$E,0)),"")</f>
        <v/>
      </c>
      <c r="P65">
        <f>IFERROR(INDEX('_courses_lookup'!$D:$D,MATCH(K65&amp;L65,'_courses_lookup'!$E:$E,0)),"")</f>
        <v/>
      </c>
      <c r="AG65">
        <f>IF(AND(AE65&lt;&gt;"",AF65&lt;&gt;""),ROUNDUP((AF65-AE65)/7,0),"")</f>
        <v/>
      </c>
      <c r="AI65">
        <f>IFERROR(IF(AG65*AH65=0,"",AG65*AH65),"")</f>
        <v/>
      </c>
      <c r="AL65">
        <f>IF(AND(AJ65&lt;&gt;"",AK65&lt;&gt;""),ROUNDUP((AK65-AJ65)/7,0),"")</f>
        <v/>
      </c>
      <c r="AN65">
        <f>IFERROR(IF(AL65*AM65=0,"",AL65*AM65),"")</f>
        <v/>
      </c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L65">
        <f>IFERROR(INDEX('_names_lookup'!$C:$C,MATCH(BK65,'_names_lookup'!$A:$A,0)),"")</f>
        <v/>
      </c>
      <c r="BM65">
        <f>IFERROR(INDEX('_names_lookup'!$B:$B,MATCH(BK65,'_names_lookup'!$A:$A,0)),"")</f>
        <v/>
      </c>
      <c r="BS65">
        <f>IFERROR(IF(BR65*AA65=0,"",BR65*AA65),"")</f>
        <v/>
      </c>
    </row>
    <row r="66">
      <c r="O66">
        <f>IFERROR(INDEX('_courses_lookup'!$C:$C,MATCH(K66&amp;L66,'_courses_lookup'!$E:$E,0)),"")</f>
        <v/>
      </c>
      <c r="P66">
        <f>IFERROR(INDEX('_courses_lookup'!$D:$D,MATCH(K66&amp;L66,'_courses_lookup'!$E:$E,0)),"")</f>
        <v/>
      </c>
      <c r="AG66">
        <f>IF(AND(AE66&lt;&gt;"",AF66&lt;&gt;""),ROUNDUP((AF66-AE66)/7,0),"")</f>
        <v/>
      </c>
      <c r="AI66">
        <f>IFERROR(IF(AG66*AH66=0,"",AG66*AH66),"")</f>
        <v/>
      </c>
      <c r="AL66">
        <f>IF(AND(AJ66&lt;&gt;"",AK66&lt;&gt;""),ROUNDUP((AK66-AJ66)/7,0),"")</f>
        <v/>
      </c>
      <c r="AN66">
        <f>IFERROR(IF(AL66*AM66=0,"",AL66*AM66),"")</f>
        <v/>
      </c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L66">
        <f>IFERROR(INDEX('_names_lookup'!$C:$C,MATCH(BK66,'_names_lookup'!$A:$A,0)),"")</f>
        <v/>
      </c>
      <c r="BM66">
        <f>IFERROR(INDEX('_names_lookup'!$B:$B,MATCH(BK66,'_names_lookup'!$A:$A,0)),"")</f>
        <v/>
      </c>
      <c r="BS66">
        <f>IFERROR(IF(BR66*AA66=0,"",BR66*AA66),"")</f>
        <v/>
      </c>
    </row>
    <row r="67">
      <c r="O67">
        <f>IFERROR(INDEX('_courses_lookup'!$C:$C,MATCH(K67&amp;L67,'_courses_lookup'!$E:$E,0)),"")</f>
        <v/>
      </c>
      <c r="P67">
        <f>IFERROR(INDEX('_courses_lookup'!$D:$D,MATCH(K67&amp;L67,'_courses_lookup'!$E:$E,0)),"")</f>
        <v/>
      </c>
      <c r="AG67">
        <f>IF(AND(AE67&lt;&gt;"",AF67&lt;&gt;""),ROUNDUP((AF67-AE67)/7,0),"")</f>
        <v/>
      </c>
      <c r="AI67">
        <f>IFERROR(IF(AG67*AH67=0,"",AG67*AH67),"")</f>
        <v/>
      </c>
      <c r="AL67">
        <f>IF(AND(AJ67&lt;&gt;"",AK67&lt;&gt;""),ROUNDUP((AK67-AJ67)/7,0),"")</f>
        <v/>
      </c>
      <c r="AN67">
        <f>IFERROR(IF(AL67*AM67=0,"",AL67*AM67),"")</f>
        <v/>
      </c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L67">
        <f>IFERROR(INDEX('_names_lookup'!$C:$C,MATCH(BK67,'_names_lookup'!$A:$A,0)),"")</f>
        <v/>
      </c>
      <c r="BM67">
        <f>IFERROR(INDEX('_names_lookup'!$B:$B,MATCH(BK67,'_names_lookup'!$A:$A,0)),"")</f>
        <v/>
      </c>
      <c r="BS67">
        <f>IFERROR(IF(BR67*AA67=0,"",BR67*AA67),"")</f>
        <v/>
      </c>
    </row>
    <row r="68">
      <c r="O68">
        <f>IFERROR(INDEX('_courses_lookup'!$C:$C,MATCH(K68&amp;L68,'_courses_lookup'!$E:$E,0)),"")</f>
        <v/>
      </c>
      <c r="P68">
        <f>IFERROR(INDEX('_courses_lookup'!$D:$D,MATCH(K68&amp;L68,'_courses_lookup'!$E:$E,0)),"")</f>
        <v/>
      </c>
      <c r="AG68">
        <f>IF(AND(AE68&lt;&gt;"",AF68&lt;&gt;""),ROUNDUP((AF68-AE68)/7,0),"")</f>
        <v/>
      </c>
      <c r="AI68">
        <f>IFERROR(IF(AG68*AH68=0,"",AG68*AH68),"")</f>
        <v/>
      </c>
      <c r="AL68">
        <f>IF(AND(AJ68&lt;&gt;"",AK68&lt;&gt;""),ROUNDUP((AK68-AJ68)/7,0),"")</f>
        <v/>
      </c>
      <c r="AN68">
        <f>IFERROR(IF(AL68*AM68=0,"",AL68*AM68),"")</f>
        <v/>
      </c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L68">
        <f>IFERROR(INDEX('_names_lookup'!$C:$C,MATCH(BK68,'_names_lookup'!$A:$A,0)),"")</f>
        <v/>
      </c>
      <c r="BM68">
        <f>IFERROR(INDEX('_names_lookup'!$B:$B,MATCH(BK68,'_names_lookup'!$A:$A,0)),"")</f>
        <v/>
      </c>
      <c r="BS68">
        <f>IFERROR(IF(BR68*AA68=0,"",BR68*AA68),"")</f>
        <v/>
      </c>
    </row>
    <row r="69">
      <c r="O69">
        <f>IFERROR(INDEX('_courses_lookup'!$C:$C,MATCH(K69&amp;L69,'_courses_lookup'!$E:$E,0)),"")</f>
        <v/>
      </c>
      <c r="P69">
        <f>IFERROR(INDEX('_courses_lookup'!$D:$D,MATCH(K69&amp;L69,'_courses_lookup'!$E:$E,0)),"")</f>
        <v/>
      </c>
      <c r="AG69">
        <f>IF(AND(AE69&lt;&gt;"",AF69&lt;&gt;""),ROUNDUP((AF69-AE69)/7,0),"")</f>
        <v/>
      </c>
      <c r="AI69">
        <f>IFERROR(IF(AG69*AH69=0,"",AG69*AH69),"")</f>
        <v/>
      </c>
      <c r="AL69">
        <f>IF(AND(AJ69&lt;&gt;"",AK69&lt;&gt;""),ROUNDUP((AK69-AJ69)/7,0),"")</f>
        <v/>
      </c>
      <c r="AN69">
        <f>IFERROR(IF(AL69*AM69=0,"",AL69*AM69),"")</f>
        <v/>
      </c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L69">
        <f>IFERROR(INDEX('_names_lookup'!$C:$C,MATCH(BK69,'_names_lookup'!$A:$A,0)),"")</f>
        <v/>
      </c>
      <c r="BM69">
        <f>IFERROR(INDEX('_names_lookup'!$B:$B,MATCH(BK69,'_names_lookup'!$A:$A,0)),"")</f>
        <v/>
      </c>
      <c r="BS69">
        <f>IFERROR(IF(BR69*AA69=0,"",BR69*AA69),"")</f>
        <v/>
      </c>
    </row>
    <row r="70">
      <c r="O70">
        <f>IFERROR(INDEX('_courses_lookup'!$C:$C,MATCH(K70&amp;L70,'_courses_lookup'!$E:$E,0)),"")</f>
        <v/>
      </c>
      <c r="P70">
        <f>IFERROR(INDEX('_courses_lookup'!$D:$D,MATCH(K70&amp;L70,'_courses_lookup'!$E:$E,0)),"")</f>
        <v/>
      </c>
      <c r="AG70">
        <f>IF(AND(AE70&lt;&gt;"",AF70&lt;&gt;""),ROUNDUP((AF70-AE70)/7,0),"")</f>
        <v/>
      </c>
      <c r="AI70">
        <f>IFERROR(IF(AG70*AH70=0,"",AG70*AH70),"")</f>
        <v/>
      </c>
      <c r="AL70">
        <f>IF(AND(AJ70&lt;&gt;"",AK70&lt;&gt;""),ROUNDUP((AK70-AJ70)/7,0),"")</f>
        <v/>
      </c>
      <c r="AN70">
        <f>IFERROR(IF(AL70*AM70=0,"",AL70*AM70),"")</f>
        <v/>
      </c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L70">
        <f>IFERROR(INDEX('_names_lookup'!$C:$C,MATCH(BK70,'_names_lookup'!$A:$A,0)),"")</f>
        <v/>
      </c>
      <c r="BM70">
        <f>IFERROR(INDEX('_names_lookup'!$B:$B,MATCH(BK70,'_names_lookup'!$A:$A,0)),"")</f>
        <v/>
      </c>
      <c r="BS70">
        <f>IFERROR(IF(BR70*AA70=0,"",BR70*AA70),"")</f>
        <v/>
      </c>
    </row>
    <row r="71">
      <c r="O71">
        <f>IFERROR(INDEX('_courses_lookup'!$C:$C,MATCH(K71&amp;L71,'_courses_lookup'!$E:$E,0)),"")</f>
        <v/>
      </c>
      <c r="P71">
        <f>IFERROR(INDEX('_courses_lookup'!$D:$D,MATCH(K71&amp;L71,'_courses_lookup'!$E:$E,0)),"")</f>
        <v/>
      </c>
      <c r="AG71">
        <f>IF(AND(AE71&lt;&gt;"",AF71&lt;&gt;""),ROUNDUP((AF71-AE71)/7,0),"")</f>
        <v/>
      </c>
      <c r="AI71">
        <f>IFERROR(IF(AG71*AH71=0,"",AG71*AH71),"")</f>
        <v/>
      </c>
      <c r="AL71">
        <f>IF(AND(AJ71&lt;&gt;"",AK71&lt;&gt;""),ROUNDUP((AK71-AJ71)/7,0),"")</f>
        <v/>
      </c>
      <c r="AN71">
        <f>IFERROR(IF(AL71*AM71=0,"",AL71*AM71),"")</f>
        <v/>
      </c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L71">
        <f>IFERROR(INDEX('_names_lookup'!$C:$C,MATCH(BK71,'_names_lookup'!$A:$A,0)),"")</f>
        <v/>
      </c>
      <c r="BM71">
        <f>IFERROR(INDEX('_names_lookup'!$B:$B,MATCH(BK71,'_names_lookup'!$A:$A,0)),"")</f>
        <v/>
      </c>
      <c r="BS71">
        <f>IFERROR(IF(BR71*AA71=0,"",BR71*AA71),"")</f>
        <v/>
      </c>
    </row>
    <row r="72">
      <c r="O72">
        <f>IFERROR(INDEX('_courses_lookup'!$C:$C,MATCH(K72&amp;L72,'_courses_lookup'!$E:$E,0)),"")</f>
        <v/>
      </c>
      <c r="P72">
        <f>IFERROR(INDEX('_courses_lookup'!$D:$D,MATCH(K72&amp;L72,'_courses_lookup'!$E:$E,0)),"")</f>
        <v/>
      </c>
      <c r="AG72">
        <f>IF(AND(AE72&lt;&gt;"",AF72&lt;&gt;""),ROUNDUP((AF72-AE72)/7,0),"")</f>
        <v/>
      </c>
      <c r="AI72">
        <f>IFERROR(IF(AG72*AH72=0,"",AG72*AH72),"")</f>
        <v/>
      </c>
      <c r="AL72">
        <f>IF(AND(AJ72&lt;&gt;"",AK72&lt;&gt;""),ROUNDUP((AK72-AJ72)/7,0),"")</f>
        <v/>
      </c>
      <c r="AN72">
        <f>IFERROR(IF(AL72*AM72=0,"",AL72*AM72),"")</f>
        <v/>
      </c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L72">
        <f>IFERROR(INDEX('_names_lookup'!$C:$C,MATCH(BK72,'_names_lookup'!$A:$A,0)),"")</f>
        <v/>
      </c>
      <c r="BM72">
        <f>IFERROR(INDEX('_names_lookup'!$B:$B,MATCH(BK72,'_names_lookup'!$A:$A,0)),"")</f>
        <v/>
      </c>
      <c r="BS72">
        <f>IFERROR(IF(BR72*AA72=0,"",BR72*AA72),"")</f>
        <v/>
      </c>
    </row>
    <row r="73">
      <c r="O73">
        <f>IFERROR(INDEX('_courses_lookup'!$C:$C,MATCH(K73&amp;L73,'_courses_lookup'!$E:$E,0)),"")</f>
        <v/>
      </c>
      <c r="P73">
        <f>IFERROR(INDEX('_courses_lookup'!$D:$D,MATCH(K73&amp;L73,'_courses_lookup'!$E:$E,0)),"")</f>
        <v/>
      </c>
      <c r="AG73">
        <f>IF(AND(AE73&lt;&gt;"",AF73&lt;&gt;""),ROUNDUP((AF73-AE73)/7,0),"")</f>
        <v/>
      </c>
      <c r="AI73">
        <f>IFERROR(IF(AG73*AH73=0,"",AG73*AH73),"")</f>
        <v/>
      </c>
      <c r="AL73">
        <f>IF(AND(AJ73&lt;&gt;"",AK73&lt;&gt;""),ROUNDUP((AK73-AJ73)/7,0),"")</f>
        <v/>
      </c>
      <c r="AN73">
        <f>IFERROR(IF(AL73*AM73=0,"",AL73*AM73),"")</f>
        <v/>
      </c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L73">
        <f>IFERROR(INDEX('_names_lookup'!$C:$C,MATCH(BK73,'_names_lookup'!$A:$A,0)),"")</f>
        <v/>
      </c>
      <c r="BM73">
        <f>IFERROR(INDEX('_names_lookup'!$B:$B,MATCH(BK73,'_names_lookup'!$A:$A,0)),"")</f>
        <v/>
      </c>
      <c r="BS73">
        <f>IFERROR(IF(BR73*AA73=0,"",BR73*AA73),"")</f>
        <v/>
      </c>
    </row>
    <row r="74">
      <c r="O74">
        <f>IFERROR(INDEX('_courses_lookup'!$C:$C,MATCH(K74&amp;L74,'_courses_lookup'!$E:$E,0)),"")</f>
        <v/>
      </c>
      <c r="P74">
        <f>IFERROR(INDEX('_courses_lookup'!$D:$D,MATCH(K74&amp;L74,'_courses_lookup'!$E:$E,0)),"")</f>
        <v/>
      </c>
      <c r="AG74">
        <f>IF(AND(AE74&lt;&gt;"",AF74&lt;&gt;""),ROUNDUP((AF74-AE74)/7,0),"")</f>
        <v/>
      </c>
      <c r="AI74">
        <f>IFERROR(IF(AG74*AH74=0,"",AG74*AH74),"")</f>
        <v/>
      </c>
      <c r="AL74">
        <f>IF(AND(AJ74&lt;&gt;"",AK74&lt;&gt;""),ROUNDUP((AK74-AJ74)/7,0),"")</f>
        <v/>
      </c>
      <c r="AN74">
        <f>IFERROR(IF(AL74*AM74=0,"",AL74*AM74),"")</f>
        <v/>
      </c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L74">
        <f>IFERROR(INDEX('_names_lookup'!$C:$C,MATCH(BK74,'_names_lookup'!$A:$A,0)),"")</f>
        <v/>
      </c>
      <c r="BM74">
        <f>IFERROR(INDEX('_names_lookup'!$B:$B,MATCH(BK74,'_names_lookup'!$A:$A,0)),"")</f>
        <v/>
      </c>
      <c r="BS74">
        <f>IFERROR(IF(BR74*AA74=0,"",BR74*AA74),"")</f>
        <v/>
      </c>
    </row>
    <row r="75">
      <c r="O75">
        <f>IFERROR(INDEX('_courses_lookup'!$C:$C,MATCH(K75&amp;L75,'_courses_lookup'!$E:$E,0)),"")</f>
        <v/>
      </c>
      <c r="P75">
        <f>IFERROR(INDEX('_courses_lookup'!$D:$D,MATCH(K75&amp;L75,'_courses_lookup'!$E:$E,0)),"")</f>
        <v/>
      </c>
      <c r="AG75">
        <f>IF(AND(AE75&lt;&gt;"",AF75&lt;&gt;""),ROUNDUP((AF75-AE75)/7,0),"")</f>
        <v/>
      </c>
      <c r="AI75">
        <f>IFERROR(IF(AG75*AH75=0,"",AG75*AH75),"")</f>
        <v/>
      </c>
      <c r="AL75">
        <f>IF(AND(AJ75&lt;&gt;"",AK75&lt;&gt;""),ROUNDUP((AK75-AJ75)/7,0),"")</f>
        <v/>
      </c>
      <c r="AN75">
        <f>IFERROR(IF(AL75*AM75=0,"",AL75*AM75),"")</f>
        <v/>
      </c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L75">
        <f>IFERROR(INDEX('_names_lookup'!$C:$C,MATCH(BK75,'_names_lookup'!$A:$A,0)),"")</f>
        <v/>
      </c>
      <c r="BM75">
        <f>IFERROR(INDEX('_names_lookup'!$B:$B,MATCH(BK75,'_names_lookup'!$A:$A,0)),"")</f>
        <v/>
      </c>
      <c r="BS75">
        <f>IFERROR(IF(BR75*AA75=0,"",BR75*AA75),"")</f>
        <v/>
      </c>
    </row>
    <row r="76">
      <c r="O76">
        <f>IFERROR(INDEX('_courses_lookup'!$C:$C,MATCH(K76&amp;L76,'_courses_lookup'!$E:$E,0)),"")</f>
        <v/>
      </c>
      <c r="P76">
        <f>IFERROR(INDEX('_courses_lookup'!$D:$D,MATCH(K76&amp;L76,'_courses_lookup'!$E:$E,0)),"")</f>
        <v/>
      </c>
      <c r="AG76">
        <f>IF(AND(AE76&lt;&gt;"",AF76&lt;&gt;""),ROUNDUP((AF76-AE76)/7,0),"")</f>
        <v/>
      </c>
      <c r="AI76">
        <f>IFERROR(IF(AG76*AH76=0,"",AG76*AH76),"")</f>
        <v/>
      </c>
      <c r="AL76">
        <f>IF(AND(AJ76&lt;&gt;"",AK76&lt;&gt;""),ROUNDUP((AK76-AJ76)/7,0),"")</f>
        <v/>
      </c>
      <c r="AN76">
        <f>IFERROR(IF(AL76*AM76=0,"",AL76*AM76),"")</f>
        <v/>
      </c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L76">
        <f>IFERROR(INDEX('_names_lookup'!$C:$C,MATCH(BK76,'_names_lookup'!$A:$A,0)),"")</f>
        <v/>
      </c>
      <c r="BM76">
        <f>IFERROR(INDEX('_names_lookup'!$B:$B,MATCH(BK76,'_names_lookup'!$A:$A,0)),"")</f>
        <v/>
      </c>
      <c r="BS76">
        <f>IFERROR(IF(BR76*AA76=0,"",BR76*AA76),"")</f>
        <v/>
      </c>
    </row>
    <row r="77">
      <c r="O77">
        <f>IFERROR(INDEX('_courses_lookup'!$C:$C,MATCH(K77&amp;L77,'_courses_lookup'!$E:$E,0)),"")</f>
        <v/>
      </c>
      <c r="P77">
        <f>IFERROR(INDEX('_courses_lookup'!$D:$D,MATCH(K77&amp;L77,'_courses_lookup'!$E:$E,0)),"")</f>
        <v/>
      </c>
      <c r="AG77">
        <f>IF(AND(AE77&lt;&gt;"",AF77&lt;&gt;""),ROUNDUP((AF77-AE77)/7,0),"")</f>
        <v/>
      </c>
      <c r="AI77">
        <f>IFERROR(IF(AG77*AH77=0,"",AG77*AH77),"")</f>
        <v/>
      </c>
      <c r="AL77">
        <f>IF(AND(AJ77&lt;&gt;"",AK77&lt;&gt;""),ROUNDUP((AK77-AJ77)/7,0),"")</f>
        <v/>
      </c>
      <c r="AN77">
        <f>IFERROR(IF(AL77*AM77=0,"",AL77*AM77),"")</f>
        <v/>
      </c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L77">
        <f>IFERROR(INDEX('_names_lookup'!$C:$C,MATCH(BK77,'_names_lookup'!$A:$A,0)),"")</f>
        <v/>
      </c>
      <c r="BM77">
        <f>IFERROR(INDEX('_names_lookup'!$B:$B,MATCH(BK77,'_names_lookup'!$A:$A,0)),"")</f>
        <v/>
      </c>
      <c r="BS77">
        <f>IFERROR(IF(BR77*AA77=0,"",BR77*AA77),"")</f>
        <v/>
      </c>
    </row>
    <row r="78">
      <c r="O78">
        <f>IFERROR(INDEX('_courses_lookup'!$C:$C,MATCH(K78&amp;L78,'_courses_lookup'!$E:$E,0)),"")</f>
        <v/>
      </c>
      <c r="P78">
        <f>IFERROR(INDEX('_courses_lookup'!$D:$D,MATCH(K78&amp;L78,'_courses_lookup'!$E:$E,0)),"")</f>
        <v/>
      </c>
      <c r="AG78">
        <f>IF(AND(AE78&lt;&gt;"",AF78&lt;&gt;""),ROUNDUP((AF78-AE78)/7,0),"")</f>
        <v/>
      </c>
      <c r="AI78">
        <f>IFERROR(IF(AG78*AH78=0,"",AG78*AH78),"")</f>
        <v/>
      </c>
      <c r="AL78">
        <f>IF(AND(AJ78&lt;&gt;"",AK78&lt;&gt;""),ROUNDUP((AK78-AJ78)/7,0),"")</f>
        <v/>
      </c>
      <c r="AN78">
        <f>IFERROR(IF(AL78*AM78=0,"",AL78*AM78),"")</f>
        <v/>
      </c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L78">
        <f>IFERROR(INDEX('_names_lookup'!$C:$C,MATCH(BK78,'_names_lookup'!$A:$A,0)),"")</f>
        <v/>
      </c>
      <c r="BM78">
        <f>IFERROR(INDEX('_names_lookup'!$B:$B,MATCH(BK78,'_names_lookup'!$A:$A,0)),"")</f>
        <v/>
      </c>
      <c r="BS78">
        <f>IFERROR(IF(BR78*AA78=0,"",BR78*AA78),"")</f>
        <v/>
      </c>
    </row>
    <row r="79">
      <c r="O79">
        <f>IFERROR(INDEX('_courses_lookup'!$C:$C,MATCH(K79&amp;L79,'_courses_lookup'!$E:$E,0)),"")</f>
        <v/>
      </c>
      <c r="P79">
        <f>IFERROR(INDEX('_courses_lookup'!$D:$D,MATCH(K79&amp;L79,'_courses_lookup'!$E:$E,0)),"")</f>
        <v/>
      </c>
      <c r="AG79">
        <f>IF(AND(AE79&lt;&gt;"",AF79&lt;&gt;""),ROUNDUP((AF79-AE79)/7,0),"")</f>
        <v/>
      </c>
      <c r="AI79">
        <f>IFERROR(IF(AG79*AH79=0,"",AG79*AH79),"")</f>
        <v/>
      </c>
      <c r="AL79">
        <f>IF(AND(AJ79&lt;&gt;"",AK79&lt;&gt;""),ROUNDUP((AK79-AJ79)/7,0),"")</f>
        <v/>
      </c>
      <c r="AN79">
        <f>IFERROR(IF(AL79*AM79=0,"",AL79*AM79),"")</f>
        <v/>
      </c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L79">
        <f>IFERROR(INDEX('_names_lookup'!$C:$C,MATCH(BK79,'_names_lookup'!$A:$A,0)),"")</f>
        <v/>
      </c>
      <c r="BM79">
        <f>IFERROR(INDEX('_names_lookup'!$B:$B,MATCH(BK79,'_names_lookup'!$A:$A,0)),"")</f>
        <v/>
      </c>
      <c r="BS79">
        <f>IFERROR(IF(BR79*AA79=0,"",BR79*AA79),"")</f>
        <v/>
      </c>
    </row>
    <row r="80">
      <c r="O80">
        <f>IFERROR(INDEX('_courses_lookup'!$C:$C,MATCH(K80&amp;L80,'_courses_lookup'!$E:$E,0)),"")</f>
        <v/>
      </c>
      <c r="P80">
        <f>IFERROR(INDEX('_courses_lookup'!$D:$D,MATCH(K80&amp;L80,'_courses_lookup'!$E:$E,0)),"")</f>
        <v/>
      </c>
      <c r="AG80">
        <f>IF(AND(AE80&lt;&gt;"",AF80&lt;&gt;""),ROUNDUP((AF80-AE80)/7,0),"")</f>
        <v/>
      </c>
      <c r="AI80">
        <f>IFERROR(IF(AG80*AH80=0,"",AG80*AH80),"")</f>
        <v/>
      </c>
      <c r="AL80">
        <f>IF(AND(AJ80&lt;&gt;"",AK80&lt;&gt;""),ROUNDUP((AK80-AJ80)/7,0),"")</f>
        <v/>
      </c>
      <c r="AN80">
        <f>IFERROR(IF(AL80*AM80=0,"",AL80*AM80),"")</f>
        <v/>
      </c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L80">
        <f>IFERROR(INDEX('_names_lookup'!$C:$C,MATCH(BK80,'_names_lookup'!$A:$A,0)),"")</f>
        <v/>
      </c>
      <c r="BM80">
        <f>IFERROR(INDEX('_names_lookup'!$B:$B,MATCH(BK80,'_names_lookup'!$A:$A,0)),"")</f>
        <v/>
      </c>
      <c r="BS80">
        <f>IFERROR(IF(BR80*AA80=0,"",BR80*AA80),"")</f>
        <v/>
      </c>
    </row>
    <row r="81">
      <c r="O81">
        <f>IFERROR(INDEX('_courses_lookup'!$C:$C,MATCH(K81&amp;L81,'_courses_lookup'!$E:$E,0)),"")</f>
        <v/>
      </c>
      <c r="P81">
        <f>IFERROR(INDEX('_courses_lookup'!$D:$D,MATCH(K81&amp;L81,'_courses_lookup'!$E:$E,0)),"")</f>
        <v/>
      </c>
      <c r="AG81">
        <f>IF(AND(AE81&lt;&gt;"",AF81&lt;&gt;""),ROUNDUP((AF81-AE81)/7,0),"")</f>
        <v/>
      </c>
      <c r="AI81">
        <f>IFERROR(IF(AG81*AH81=0,"",AG81*AH81),"")</f>
        <v/>
      </c>
      <c r="AL81">
        <f>IF(AND(AJ81&lt;&gt;"",AK81&lt;&gt;""),ROUNDUP((AK81-AJ81)/7,0),"")</f>
        <v/>
      </c>
      <c r="AN81">
        <f>IFERROR(IF(AL81*AM81=0,"",AL81*AM81),"")</f>
        <v/>
      </c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L81">
        <f>IFERROR(INDEX('_names_lookup'!$C:$C,MATCH(BK81,'_names_lookup'!$A:$A,0)),"")</f>
        <v/>
      </c>
      <c r="BM81">
        <f>IFERROR(INDEX('_names_lookup'!$B:$B,MATCH(BK81,'_names_lookup'!$A:$A,0)),"")</f>
        <v/>
      </c>
      <c r="BS81">
        <f>IFERROR(IF(BR81*AA81=0,"",BR81*AA81),"")</f>
        <v/>
      </c>
    </row>
    <row r="82">
      <c r="O82">
        <f>IFERROR(INDEX('_courses_lookup'!$C:$C,MATCH(K82&amp;L82,'_courses_lookup'!$E:$E,0)),"")</f>
        <v/>
      </c>
      <c r="P82">
        <f>IFERROR(INDEX('_courses_lookup'!$D:$D,MATCH(K82&amp;L82,'_courses_lookup'!$E:$E,0)),"")</f>
        <v/>
      </c>
      <c r="AG82">
        <f>IF(AND(AE82&lt;&gt;"",AF82&lt;&gt;""),ROUNDUP((AF82-AE82)/7,0),"")</f>
        <v/>
      </c>
      <c r="AI82">
        <f>IFERROR(IF(AG82*AH82=0,"",AG82*AH82),"")</f>
        <v/>
      </c>
      <c r="AL82">
        <f>IF(AND(AJ82&lt;&gt;"",AK82&lt;&gt;""),ROUNDUP((AK82-AJ82)/7,0),"")</f>
        <v/>
      </c>
      <c r="AN82">
        <f>IFERROR(IF(AL82*AM82=0,"",AL82*AM82),"")</f>
        <v/>
      </c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L82">
        <f>IFERROR(INDEX('_names_lookup'!$C:$C,MATCH(BK82,'_names_lookup'!$A:$A,0)),"")</f>
        <v/>
      </c>
      <c r="BM82">
        <f>IFERROR(INDEX('_names_lookup'!$B:$B,MATCH(BK82,'_names_lookup'!$A:$A,0)),"")</f>
        <v/>
      </c>
      <c r="BS82">
        <f>IFERROR(IF(BR82*AA82=0,"",BR82*AA82),"")</f>
        <v/>
      </c>
    </row>
    <row r="83">
      <c r="O83">
        <f>IFERROR(INDEX('_courses_lookup'!$C:$C,MATCH(K83&amp;L83,'_courses_lookup'!$E:$E,0)),"")</f>
        <v/>
      </c>
      <c r="P83">
        <f>IFERROR(INDEX('_courses_lookup'!$D:$D,MATCH(K83&amp;L83,'_courses_lookup'!$E:$E,0)),"")</f>
        <v/>
      </c>
      <c r="AG83">
        <f>IF(AND(AE83&lt;&gt;"",AF83&lt;&gt;""),ROUNDUP((AF83-AE83)/7,0),"")</f>
        <v/>
      </c>
      <c r="AI83">
        <f>IFERROR(IF(AG83*AH83=0,"",AG83*AH83),"")</f>
        <v/>
      </c>
      <c r="AL83">
        <f>IF(AND(AJ83&lt;&gt;"",AK83&lt;&gt;""),ROUNDUP((AK83-AJ83)/7,0),"")</f>
        <v/>
      </c>
      <c r="AN83">
        <f>IFERROR(IF(AL83*AM83=0,"",AL83*AM83),"")</f>
        <v/>
      </c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L83">
        <f>IFERROR(INDEX('_names_lookup'!$C:$C,MATCH(BK83,'_names_lookup'!$A:$A,0)),"")</f>
        <v/>
      </c>
      <c r="BM83">
        <f>IFERROR(INDEX('_names_lookup'!$B:$B,MATCH(BK83,'_names_lookup'!$A:$A,0)),"")</f>
        <v/>
      </c>
      <c r="BS83">
        <f>IFERROR(IF(BR83*AA83=0,"",BR83*AA83),"")</f>
        <v/>
      </c>
    </row>
    <row r="84">
      <c r="O84">
        <f>IFERROR(INDEX('_courses_lookup'!$C:$C,MATCH(K84&amp;L84,'_courses_lookup'!$E:$E,0)),"")</f>
        <v/>
      </c>
      <c r="P84">
        <f>IFERROR(INDEX('_courses_lookup'!$D:$D,MATCH(K84&amp;L84,'_courses_lookup'!$E:$E,0)),"")</f>
        <v/>
      </c>
      <c r="AG84">
        <f>IF(AND(AE84&lt;&gt;"",AF84&lt;&gt;""),ROUNDUP((AF84-AE84)/7,0),"")</f>
        <v/>
      </c>
      <c r="AI84">
        <f>IFERROR(IF(AG84*AH84=0,"",AG84*AH84),"")</f>
        <v/>
      </c>
      <c r="AL84">
        <f>IF(AND(AJ84&lt;&gt;"",AK84&lt;&gt;""),ROUNDUP((AK84-AJ84)/7,0),"")</f>
        <v/>
      </c>
      <c r="AN84">
        <f>IFERROR(IF(AL84*AM84=0,"",AL84*AM84),"")</f>
        <v/>
      </c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L84">
        <f>IFERROR(INDEX('_names_lookup'!$C:$C,MATCH(BK84,'_names_lookup'!$A:$A,0)),"")</f>
        <v/>
      </c>
      <c r="BM84">
        <f>IFERROR(INDEX('_names_lookup'!$B:$B,MATCH(BK84,'_names_lookup'!$A:$A,0)),"")</f>
        <v/>
      </c>
      <c r="BS84">
        <f>IFERROR(IF(BR84*AA84=0,"",BR84*AA84),"")</f>
        <v/>
      </c>
    </row>
    <row r="85">
      <c r="O85">
        <f>IFERROR(INDEX('_courses_lookup'!$C:$C,MATCH(K85&amp;L85,'_courses_lookup'!$E:$E,0)),"")</f>
        <v/>
      </c>
      <c r="P85">
        <f>IFERROR(INDEX('_courses_lookup'!$D:$D,MATCH(K85&amp;L85,'_courses_lookup'!$E:$E,0)),"")</f>
        <v/>
      </c>
      <c r="AG85">
        <f>IF(AND(AE85&lt;&gt;"",AF85&lt;&gt;""),ROUNDUP((AF85-AE85)/7,0),"")</f>
        <v/>
      </c>
      <c r="AI85">
        <f>IFERROR(IF(AG85*AH85=0,"",AG85*AH85),"")</f>
        <v/>
      </c>
      <c r="AL85">
        <f>IF(AND(AJ85&lt;&gt;"",AK85&lt;&gt;""),ROUNDUP((AK85-AJ85)/7,0),"")</f>
        <v/>
      </c>
      <c r="AN85">
        <f>IFERROR(IF(AL85*AM85=0,"",AL85*AM85),"")</f>
        <v/>
      </c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L85">
        <f>IFERROR(INDEX('_names_lookup'!$C:$C,MATCH(BK85,'_names_lookup'!$A:$A,0)),"")</f>
        <v/>
      </c>
      <c r="BM85">
        <f>IFERROR(INDEX('_names_lookup'!$B:$B,MATCH(BK85,'_names_lookup'!$A:$A,0)),"")</f>
        <v/>
      </c>
      <c r="BS85">
        <f>IFERROR(IF(BR85*AA85=0,"",BR85*AA85),"")</f>
        <v/>
      </c>
    </row>
    <row r="86">
      <c r="O86">
        <f>IFERROR(INDEX('_courses_lookup'!$C:$C,MATCH(K86&amp;L86,'_courses_lookup'!$E:$E,0)),"")</f>
        <v/>
      </c>
      <c r="P86">
        <f>IFERROR(INDEX('_courses_lookup'!$D:$D,MATCH(K86&amp;L86,'_courses_lookup'!$E:$E,0)),"")</f>
        <v/>
      </c>
      <c r="AG86">
        <f>IF(AND(AE86&lt;&gt;"",AF86&lt;&gt;""),ROUNDUP((AF86-AE86)/7,0),"")</f>
        <v/>
      </c>
      <c r="AI86">
        <f>IFERROR(IF(AG86*AH86=0,"",AG86*AH86),"")</f>
        <v/>
      </c>
      <c r="AL86">
        <f>IF(AND(AJ86&lt;&gt;"",AK86&lt;&gt;""),ROUNDUP((AK86-AJ86)/7,0),"")</f>
        <v/>
      </c>
      <c r="AN86">
        <f>IFERROR(IF(AL86*AM86=0,"",AL86*AM86),"")</f>
        <v/>
      </c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L86">
        <f>IFERROR(INDEX('_names_lookup'!$C:$C,MATCH(BK86,'_names_lookup'!$A:$A,0)),"")</f>
        <v/>
      </c>
      <c r="BM86">
        <f>IFERROR(INDEX('_names_lookup'!$B:$B,MATCH(BK86,'_names_lookup'!$A:$A,0)),"")</f>
        <v/>
      </c>
      <c r="BS86">
        <f>IFERROR(IF(BR86*AA86=0,"",BR86*AA86),"")</f>
        <v/>
      </c>
    </row>
    <row r="87">
      <c r="O87">
        <f>IFERROR(INDEX('_courses_lookup'!$C:$C,MATCH(K87&amp;L87,'_courses_lookup'!$E:$E,0)),"")</f>
        <v/>
      </c>
      <c r="P87">
        <f>IFERROR(INDEX('_courses_lookup'!$D:$D,MATCH(K87&amp;L87,'_courses_lookup'!$E:$E,0)),"")</f>
        <v/>
      </c>
      <c r="AG87">
        <f>IF(AND(AE87&lt;&gt;"",AF87&lt;&gt;""),ROUNDUP((AF87-AE87)/7,0),"")</f>
        <v/>
      </c>
      <c r="AI87">
        <f>IFERROR(IF(AG87*AH87=0,"",AG87*AH87),"")</f>
        <v/>
      </c>
      <c r="AL87">
        <f>IF(AND(AJ87&lt;&gt;"",AK87&lt;&gt;""),ROUNDUP((AK87-AJ87)/7,0),"")</f>
        <v/>
      </c>
      <c r="AN87">
        <f>IFERROR(IF(AL87*AM87=0,"",AL87*AM87),"")</f>
        <v/>
      </c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L87">
        <f>IFERROR(INDEX('_names_lookup'!$C:$C,MATCH(BK87,'_names_lookup'!$A:$A,0)),"")</f>
        <v/>
      </c>
      <c r="BM87">
        <f>IFERROR(INDEX('_names_lookup'!$B:$B,MATCH(BK87,'_names_lookup'!$A:$A,0)),"")</f>
        <v/>
      </c>
      <c r="BS87">
        <f>IFERROR(IF(BR87*AA87=0,"",BR87*AA87),"")</f>
        <v/>
      </c>
    </row>
    <row r="88">
      <c r="O88">
        <f>IFERROR(INDEX('_courses_lookup'!$C:$C,MATCH(K88&amp;L88,'_courses_lookup'!$E:$E,0)),"")</f>
        <v/>
      </c>
      <c r="P88">
        <f>IFERROR(INDEX('_courses_lookup'!$D:$D,MATCH(K88&amp;L88,'_courses_lookup'!$E:$E,0)),"")</f>
        <v/>
      </c>
      <c r="AG88">
        <f>IF(AND(AE88&lt;&gt;"",AF88&lt;&gt;""),ROUNDUP((AF88-AE88)/7,0),"")</f>
        <v/>
      </c>
      <c r="AI88">
        <f>IFERROR(IF(AG88*AH88=0,"",AG88*AH88),"")</f>
        <v/>
      </c>
      <c r="AL88">
        <f>IF(AND(AJ88&lt;&gt;"",AK88&lt;&gt;""),ROUNDUP((AK88-AJ88)/7,0),"")</f>
        <v/>
      </c>
      <c r="AN88">
        <f>IFERROR(IF(AL88*AM88=0,"",AL88*AM88),"")</f>
        <v/>
      </c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L88">
        <f>IFERROR(INDEX('_names_lookup'!$C:$C,MATCH(BK88,'_names_lookup'!$A:$A,0)),"")</f>
        <v/>
      </c>
      <c r="BM88">
        <f>IFERROR(INDEX('_names_lookup'!$B:$B,MATCH(BK88,'_names_lookup'!$A:$A,0)),"")</f>
        <v/>
      </c>
      <c r="BS88">
        <f>IFERROR(IF(BR88*AA88=0,"",BR88*AA88),"")</f>
        <v/>
      </c>
    </row>
    <row r="89">
      <c r="O89">
        <f>IFERROR(INDEX('_courses_lookup'!$C:$C,MATCH(K89&amp;L89,'_courses_lookup'!$E:$E,0)),"")</f>
        <v/>
      </c>
      <c r="P89">
        <f>IFERROR(INDEX('_courses_lookup'!$D:$D,MATCH(K89&amp;L89,'_courses_lookup'!$E:$E,0)),"")</f>
        <v/>
      </c>
      <c r="AG89">
        <f>IF(AND(AE89&lt;&gt;"",AF89&lt;&gt;""),ROUNDUP((AF89-AE89)/7,0),"")</f>
        <v/>
      </c>
      <c r="AI89">
        <f>IFERROR(IF(AG89*AH89=0,"",AG89*AH89),"")</f>
        <v/>
      </c>
      <c r="AL89">
        <f>IF(AND(AJ89&lt;&gt;"",AK89&lt;&gt;""),ROUNDUP((AK89-AJ89)/7,0),"")</f>
        <v/>
      </c>
      <c r="AN89">
        <f>IFERROR(IF(AL89*AM89=0,"",AL89*AM89),"")</f>
        <v/>
      </c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L89">
        <f>IFERROR(INDEX('_names_lookup'!$C:$C,MATCH(BK89,'_names_lookup'!$A:$A,0)),"")</f>
        <v/>
      </c>
      <c r="BM89">
        <f>IFERROR(INDEX('_names_lookup'!$B:$B,MATCH(BK89,'_names_lookup'!$A:$A,0)),"")</f>
        <v/>
      </c>
      <c r="BS89">
        <f>IFERROR(IF(BR89*AA89=0,"",BR89*AA89),"")</f>
        <v/>
      </c>
    </row>
    <row r="90">
      <c r="O90">
        <f>IFERROR(INDEX('_courses_lookup'!$C:$C,MATCH(K90&amp;L90,'_courses_lookup'!$E:$E,0)),"")</f>
        <v/>
      </c>
      <c r="P90">
        <f>IFERROR(INDEX('_courses_lookup'!$D:$D,MATCH(K90&amp;L90,'_courses_lookup'!$E:$E,0)),"")</f>
        <v/>
      </c>
      <c r="AG90">
        <f>IF(AND(AE90&lt;&gt;"",AF90&lt;&gt;""),ROUNDUP((AF90-AE90)/7,0),"")</f>
        <v/>
      </c>
      <c r="AI90">
        <f>IFERROR(IF(AG90*AH90=0,"",AG90*AH90),"")</f>
        <v/>
      </c>
      <c r="AL90">
        <f>IF(AND(AJ90&lt;&gt;"",AK90&lt;&gt;""),ROUNDUP((AK90-AJ90)/7,0),"")</f>
        <v/>
      </c>
      <c r="AN90">
        <f>IFERROR(IF(AL90*AM90=0,"",AL90*AM90),"")</f>
        <v/>
      </c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L90">
        <f>IFERROR(INDEX('_names_lookup'!$C:$C,MATCH(BK90,'_names_lookup'!$A:$A,0)),"")</f>
        <v/>
      </c>
      <c r="BM90">
        <f>IFERROR(INDEX('_names_lookup'!$B:$B,MATCH(BK90,'_names_lookup'!$A:$A,0)),"")</f>
        <v/>
      </c>
      <c r="BS90">
        <f>IFERROR(IF(BR90*AA90=0,"",BR90*AA90),"")</f>
        <v/>
      </c>
    </row>
    <row r="91">
      <c r="O91">
        <f>IFERROR(INDEX('_courses_lookup'!$C:$C,MATCH(K91&amp;L91,'_courses_lookup'!$E:$E,0)),"")</f>
        <v/>
      </c>
      <c r="P91">
        <f>IFERROR(INDEX('_courses_lookup'!$D:$D,MATCH(K91&amp;L91,'_courses_lookup'!$E:$E,0)),"")</f>
        <v/>
      </c>
      <c r="AG91">
        <f>IF(AND(AE91&lt;&gt;"",AF91&lt;&gt;""),ROUNDUP((AF91-AE91)/7,0),"")</f>
        <v/>
      </c>
      <c r="AI91">
        <f>IFERROR(IF(AG91*AH91=0,"",AG91*AH91),"")</f>
        <v/>
      </c>
      <c r="AL91">
        <f>IF(AND(AJ91&lt;&gt;"",AK91&lt;&gt;""),ROUNDUP((AK91-AJ91)/7,0),"")</f>
        <v/>
      </c>
      <c r="AN91">
        <f>IFERROR(IF(AL91*AM91=0,"",AL91*AM91),"")</f>
        <v/>
      </c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L91">
        <f>IFERROR(INDEX('_names_lookup'!$C:$C,MATCH(BK91,'_names_lookup'!$A:$A,0)),"")</f>
        <v/>
      </c>
      <c r="BM91">
        <f>IFERROR(INDEX('_names_lookup'!$B:$B,MATCH(BK91,'_names_lookup'!$A:$A,0)),"")</f>
        <v/>
      </c>
      <c r="BS91">
        <f>IFERROR(IF(BR91*AA91=0,"",BR91*AA91),"")</f>
        <v/>
      </c>
    </row>
    <row r="92">
      <c r="O92">
        <f>IFERROR(INDEX('_courses_lookup'!$C:$C,MATCH(K92&amp;L92,'_courses_lookup'!$E:$E,0)),"")</f>
        <v/>
      </c>
      <c r="P92">
        <f>IFERROR(INDEX('_courses_lookup'!$D:$D,MATCH(K92&amp;L92,'_courses_lookup'!$E:$E,0)),"")</f>
        <v/>
      </c>
      <c r="AG92">
        <f>IF(AND(AE92&lt;&gt;"",AF92&lt;&gt;""),ROUNDUP((AF92-AE92)/7,0),"")</f>
        <v/>
      </c>
      <c r="AI92">
        <f>IFERROR(IF(AG92*AH92=0,"",AG92*AH92),"")</f>
        <v/>
      </c>
      <c r="AL92">
        <f>IF(AND(AJ92&lt;&gt;"",AK92&lt;&gt;""),ROUNDUP((AK92-AJ92)/7,0),"")</f>
        <v/>
      </c>
      <c r="AN92">
        <f>IFERROR(IF(AL92*AM92=0,"",AL92*AM92),"")</f>
        <v/>
      </c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L92">
        <f>IFERROR(INDEX('_names_lookup'!$C:$C,MATCH(BK92,'_names_lookup'!$A:$A,0)),"")</f>
        <v/>
      </c>
      <c r="BM92">
        <f>IFERROR(INDEX('_names_lookup'!$B:$B,MATCH(BK92,'_names_lookup'!$A:$A,0)),"")</f>
        <v/>
      </c>
      <c r="BS92">
        <f>IFERROR(IF(BR92*AA92=0,"",BR92*AA92),"")</f>
        <v/>
      </c>
    </row>
    <row r="93">
      <c r="O93">
        <f>IFERROR(INDEX('_courses_lookup'!$C:$C,MATCH(K93&amp;L93,'_courses_lookup'!$E:$E,0)),"")</f>
        <v/>
      </c>
      <c r="P93">
        <f>IFERROR(INDEX('_courses_lookup'!$D:$D,MATCH(K93&amp;L93,'_courses_lookup'!$E:$E,0)),"")</f>
        <v/>
      </c>
      <c r="AG93">
        <f>IF(AND(AE93&lt;&gt;"",AF93&lt;&gt;""),ROUNDUP((AF93-AE93)/7,0),"")</f>
        <v/>
      </c>
      <c r="AI93">
        <f>IFERROR(IF(AG93*AH93=0,"",AG93*AH93),"")</f>
        <v/>
      </c>
      <c r="AL93">
        <f>IF(AND(AJ93&lt;&gt;"",AK93&lt;&gt;""),ROUNDUP((AK93-AJ93)/7,0),"")</f>
        <v/>
      </c>
      <c r="AN93">
        <f>IFERROR(IF(AL93*AM93=0,"",AL93*AM93),"")</f>
        <v/>
      </c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L93">
        <f>IFERROR(INDEX('_names_lookup'!$C:$C,MATCH(BK93,'_names_lookup'!$A:$A,0)),"")</f>
        <v/>
      </c>
      <c r="BM93">
        <f>IFERROR(INDEX('_names_lookup'!$B:$B,MATCH(BK93,'_names_lookup'!$A:$A,0)),"")</f>
        <v/>
      </c>
      <c r="BS93">
        <f>IFERROR(IF(BR93*AA93=0,"",BR93*AA93),"")</f>
        <v/>
      </c>
    </row>
    <row r="94">
      <c r="O94">
        <f>IFERROR(INDEX('_courses_lookup'!$C:$C,MATCH(K94&amp;L94,'_courses_lookup'!$E:$E,0)),"")</f>
        <v/>
      </c>
      <c r="P94">
        <f>IFERROR(INDEX('_courses_lookup'!$D:$D,MATCH(K94&amp;L94,'_courses_lookup'!$E:$E,0)),"")</f>
        <v/>
      </c>
      <c r="AG94">
        <f>IF(AND(AE94&lt;&gt;"",AF94&lt;&gt;""),ROUNDUP((AF94-AE94)/7,0),"")</f>
        <v/>
      </c>
      <c r="AI94">
        <f>IFERROR(IF(AG94*AH94=0,"",AG94*AH94),"")</f>
        <v/>
      </c>
      <c r="AL94">
        <f>IF(AND(AJ94&lt;&gt;"",AK94&lt;&gt;""),ROUNDUP((AK94-AJ94)/7,0),"")</f>
        <v/>
      </c>
      <c r="AN94">
        <f>IFERROR(IF(AL94*AM94=0,"",AL94*AM94),"")</f>
        <v/>
      </c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L94">
        <f>IFERROR(INDEX('_names_lookup'!$C:$C,MATCH(BK94,'_names_lookup'!$A:$A,0)),"")</f>
        <v/>
      </c>
      <c r="BM94">
        <f>IFERROR(INDEX('_names_lookup'!$B:$B,MATCH(BK94,'_names_lookup'!$A:$A,0)),"")</f>
        <v/>
      </c>
      <c r="BS94">
        <f>IFERROR(IF(BR94*AA94=0,"",BR94*AA94),"")</f>
        <v/>
      </c>
    </row>
    <row r="95">
      <c r="O95">
        <f>IFERROR(INDEX('_courses_lookup'!$C:$C,MATCH(K95&amp;L95,'_courses_lookup'!$E:$E,0)),"")</f>
        <v/>
      </c>
      <c r="P95">
        <f>IFERROR(INDEX('_courses_lookup'!$D:$D,MATCH(K95&amp;L95,'_courses_lookup'!$E:$E,0)),"")</f>
        <v/>
      </c>
      <c r="AG95">
        <f>IF(AND(AE95&lt;&gt;"",AF95&lt;&gt;""),ROUNDUP((AF95-AE95)/7,0),"")</f>
        <v/>
      </c>
      <c r="AI95">
        <f>IFERROR(IF(AG95*AH95=0,"",AG95*AH95),"")</f>
        <v/>
      </c>
      <c r="AL95">
        <f>IF(AND(AJ95&lt;&gt;"",AK95&lt;&gt;""),ROUNDUP((AK95-AJ95)/7,0),"")</f>
        <v/>
      </c>
      <c r="AN95">
        <f>IFERROR(IF(AL95*AM95=0,"",AL95*AM95),"")</f>
        <v/>
      </c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L95">
        <f>IFERROR(INDEX('_names_lookup'!$C:$C,MATCH(BK95,'_names_lookup'!$A:$A,0)),"")</f>
        <v/>
      </c>
      <c r="BM95">
        <f>IFERROR(INDEX('_names_lookup'!$B:$B,MATCH(BK95,'_names_lookup'!$A:$A,0)),"")</f>
        <v/>
      </c>
      <c r="BS95">
        <f>IFERROR(IF(BR95*AA95=0,"",BR95*AA95),"")</f>
        <v/>
      </c>
    </row>
    <row r="96">
      <c r="O96">
        <f>IFERROR(INDEX('_courses_lookup'!$C:$C,MATCH(K96&amp;L96,'_courses_lookup'!$E:$E,0)),"")</f>
        <v/>
      </c>
      <c r="P96">
        <f>IFERROR(INDEX('_courses_lookup'!$D:$D,MATCH(K96&amp;L96,'_courses_lookup'!$E:$E,0)),"")</f>
        <v/>
      </c>
      <c r="AG96">
        <f>IF(AND(AE96&lt;&gt;"",AF96&lt;&gt;""),ROUNDUP((AF96-AE96)/7,0),"")</f>
        <v/>
      </c>
      <c r="AI96">
        <f>IFERROR(IF(AG96*AH96=0,"",AG96*AH96),"")</f>
        <v/>
      </c>
      <c r="AL96">
        <f>IF(AND(AJ96&lt;&gt;"",AK96&lt;&gt;""),ROUNDUP((AK96-AJ96)/7,0),"")</f>
        <v/>
      </c>
      <c r="AN96">
        <f>IFERROR(IF(AL96*AM96=0,"",AL96*AM96),"")</f>
        <v/>
      </c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L96">
        <f>IFERROR(INDEX('_names_lookup'!$C:$C,MATCH(BK96,'_names_lookup'!$A:$A,0)),"")</f>
        <v/>
      </c>
      <c r="BM96">
        <f>IFERROR(INDEX('_names_lookup'!$B:$B,MATCH(BK96,'_names_lookup'!$A:$A,0)),"")</f>
        <v/>
      </c>
      <c r="BS96">
        <f>IFERROR(IF(BR96*AA96=0,"",BR96*AA96),"")</f>
        <v/>
      </c>
    </row>
    <row r="97">
      <c r="O97">
        <f>IFERROR(INDEX('_courses_lookup'!$C:$C,MATCH(K97&amp;L97,'_courses_lookup'!$E:$E,0)),"")</f>
        <v/>
      </c>
      <c r="P97">
        <f>IFERROR(INDEX('_courses_lookup'!$D:$D,MATCH(K97&amp;L97,'_courses_lookup'!$E:$E,0)),"")</f>
        <v/>
      </c>
      <c r="AG97">
        <f>IF(AND(AE97&lt;&gt;"",AF97&lt;&gt;""),ROUNDUP((AF97-AE97)/7,0),"")</f>
        <v/>
      </c>
      <c r="AI97">
        <f>IFERROR(IF(AG97*AH97=0,"",AG97*AH97),"")</f>
        <v/>
      </c>
      <c r="AL97">
        <f>IF(AND(AJ97&lt;&gt;"",AK97&lt;&gt;""),ROUNDUP((AK97-AJ97)/7,0),"")</f>
        <v/>
      </c>
      <c r="AN97">
        <f>IFERROR(IF(AL97*AM97=0,"",AL97*AM97),"")</f>
        <v/>
      </c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L97">
        <f>IFERROR(INDEX('_names_lookup'!$C:$C,MATCH(BK97,'_names_lookup'!$A:$A,0)),"")</f>
        <v/>
      </c>
      <c r="BM97">
        <f>IFERROR(INDEX('_names_lookup'!$B:$B,MATCH(BK97,'_names_lookup'!$A:$A,0)),"")</f>
        <v/>
      </c>
      <c r="BS97">
        <f>IFERROR(IF(BR97*AA97=0,"",BR97*AA97),"")</f>
        <v/>
      </c>
    </row>
    <row r="98">
      <c r="O98">
        <f>IFERROR(INDEX('_courses_lookup'!$C:$C,MATCH(K98&amp;L98,'_courses_lookup'!$E:$E,0)),"")</f>
        <v/>
      </c>
      <c r="P98">
        <f>IFERROR(INDEX('_courses_lookup'!$D:$D,MATCH(K98&amp;L98,'_courses_lookup'!$E:$E,0)),"")</f>
        <v/>
      </c>
      <c r="AG98">
        <f>IF(AND(AE98&lt;&gt;"",AF98&lt;&gt;""),ROUNDUP((AF98-AE98)/7,0),"")</f>
        <v/>
      </c>
      <c r="AI98">
        <f>IFERROR(IF(AG98*AH98=0,"",AG98*AH98),"")</f>
        <v/>
      </c>
      <c r="AL98">
        <f>IF(AND(AJ98&lt;&gt;"",AK98&lt;&gt;""),ROUNDUP((AK98-AJ98)/7,0),"")</f>
        <v/>
      </c>
      <c r="AN98">
        <f>IFERROR(IF(AL98*AM98=0,"",AL98*AM98),"")</f>
        <v/>
      </c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L98">
        <f>IFERROR(INDEX('_names_lookup'!$C:$C,MATCH(BK98,'_names_lookup'!$A:$A,0)),"")</f>
        <v/>
      </c>
      <c r="BM98">
        <f>IFERROR(INDEX('_names_lookup'!$B:$B,MATCH(BK98,'_names_lookup'!$A:$A,0)),"")</f>
        <v/>
      </c>
      <c r="BS98">
        <f>IFERROR(IF(BR98*AA98=0,"",BR98*AA98),"")</f>
        <v/>
      </c>
    </row>
    <row r="99">
      <c r="O99">
        <f>IFERROR(INDEX('_courses_lookup'!$C:$C,MATCH(K99&amp;L99,'_courses_lookup'!$E:$E,0)),"")</f>
        <v/>
      </c>
      <c r="P99">
        <f>IFERROR(INDEX('_courses_lookup'!$D:$D,MATCH(K99&amp;L99,'_courses_lookup'!$E:$E,0)),"")</f>
        <v/>
      </c>
      <c r="AG99">
        <f>IF(AND(AE99&lt;&gt;"",AF99&lt;&gt;""),ROUNDUP((AF99-AE99)/7,0),"")</f>
        <v/>
      </c>
      <c r="AI99">
        <f>IFERROR(IF(AG99*AH99=0,"",AG99*AH99),"")</f>
        <v/>
      </c>
      <c r="AL99">
        <f>IF(AND(AJ99&lt;&gt;"",AK99&lt;&gt;""),ROUNDUP((AK99-AJ99)/7,0),"")</f>
        <v/>
      </c>
      <c r="AN99">
        <f>IFERROR(IF(AL99*AM99=0,"",AL99*AM99),"")</f>
        <v/>
      </c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L99">
        <f>IFERROR(INDEX('_names_lookup'!$C:$C,MATCH(BK99,'_names_lookup'!$A:$A,0)),"")</f>
        <v/>
      </c>
      <c r="BM99">
        <f>IFERROR(INDEX('_names_lookup'!$B:$B,MATCH(BK99,'_names_lookup'!$A:$A,0)),"")</f>
        <v/>
      </c>
      <c r="BS99">
        <f>IFERROR(IF(BR99*AA99=0,"",BR99*AA99),"")</f>
        <v/>
      </c>
    </row>
    <row r="100">
      <c r="O100">
        <f>IFERROR(INDEX('_courses_lookup'!$C:$C,MATCH(K100&amp;L100,'_courses_lookup'!$E:$E,0)),"")</f>
        <v/>
      </c>
      <c r="P100">
        <f>IFERROR(INDEX('_courses_lookup'!$D:$D,MATCH(K100&amp;L100,'_courses_lookup'!$E:$E,0)),"")</f>
        <v/>
      </c>
      <c r="AG100">
        <f>IF(AND(AE100&lt;&gt;"",AF100&lt;&gt;""),ROUNDUP((AF100-AE100)/7,0),"")</f>
        <v/>
      </c>
      <c r="AI100">
        <f>IFERROR(IF(AG100*AH100=0,"",AG100*AH100),"")</f>
        <v/>
      </c>
      <c r="AL100">
        <f>IF(AND(AJ100&lt;&gt;"",AK100&lt;&gt;""),ROUNDUP((AK100-AJ100)/7,0),"")</f>
        <v/>
      </c>
      <c r="AN100">
        <f>IFERROR(IF(AL100*AM100=0,"",AL100*AM100),"")</f>
        <v/>
      </c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L100">
        <f>IFERROR(INDEX('_names_lookup'!$C:$C,MATCH(BK100,'_names_lookup'!$A:$A,0)),"")</f>
        <v/>
      </c>
      <c r="BM100">
        <f>IFERROR(INDEX('_names_lookup'!$B:$B,MATCH(BK100,'_names_lookup'!$A:$A,0)),"")</f>
        <v/>
      </c>
      <c r="BS100">
        <f>IFERROR(IF(BR100*AA100=0,"",BR100*AA100),"")</f>
        <v/>
      </c>
    </row>
    <row r="101">
      <c r="O101">
        <f>IFERROR(INDEX('_courses_lookup'!$C:$C,MATCH(K101&amp;L101,'_courses_lookup'!$E:$E,0)),"")</f>
        <v/>
      </c>
      <c r="P101">
        <f>IFERROR(INDEX('_courses_lookup'!$D:$D,MATCH(K101&amp;L101,'_courses_lookup'!$E:$E,0)),"")</f>
        <v/>
      </c>
      <c r="AG101">
        <f>IF(AND(AE101&lt;&gt;"",AF101&lt;&gt;""),ROUNDUP((AF101-AE101)/7,0),"")</f>
        <v/>
      </c>
      <c r="AI101">
        <f>IFERROR(IF(AG101*AH101=0,"",AG101*AH101),"")</f>
        <v/>
      </c>
      <c r="AL101">
        <f>IF(AND(AJ101&lt;&gt;"",AK101&lt;&gt;""),ROUNDUP((AK101-AJ101)/7,0),"")</f>
        <v/>
      </c>
      <c r="AN101">
        <f>IFERROR(IF(AL101*AM101=0,"",AL101*AM101),"")</f>
        <v/>
      </c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L101">
        <f>IFERROR(INDEX('_names_lookup'!$C:$C,MATCH(BK101,'_names_lookup'!$A:$A,0)),"")</f>
        <v/>
      </c>
      <c r="BM101">
        <f>IFERROR(INDEX('_names_lookup'!$B:$B,MATCH(BK101,'_names_lookup'!$A:$A,0)),"")</f>
        <v/>
      </c>
      <c r="BS101">
        <f>IFERROR(IF(BR101*AA101=0,"",BR101*AA101),"")</f>
        <v/>
      </c>
    </row>
    <row r="102">
      <c r="O102">
        <f>IFERROR(INDEX('_courses_lookup'!$C:$C,MATCH(K102&amp;L102,'_courses_lookup'!$E:$E,0)),"")</f>
        <v/>
      </c>
      <c r="P102">
        <f>IFERROR(INDEX('_courses_lookup'!$D:$D,MATCH(K102&amp;L102,'_courses_lookup'!$E:$E,0)),"")</f>
        <v/>
      </c>
      <c r="AG102">
        <f>IF(AND(AE102&lt;&gt;"",AF102&lt;&gt;""),ROUNDUP((AF102-AE102)/7,0),"")</f>
        <v/>
      </c>
      <c r="AI102">
        <f>IFERROR(IF(AG102*AH102=0,"",AG102*AH102),"")</f>
        <v/>
      </c>
      <c r="AL102">
        <f>IF(AND(AJ102&lt;&gt;"",AK102&lt;&gt;""),ROUNDUP((AK102-AJ102)/7,0),"")</f>
        <v/>
      </c>
      <c r="AN102">
        <f>IFERROR(IF(AL102*AM102=0,"",AL102*AM102),"")</f>
        <v/>
      </c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L102">
        <f>IFERROR(INDEX('_names_lookup'!$C:$C,MATCH(BK102,'_names_lookup'!$A:$A,0)),"")</f>
        <v/>
      </c>
      <c r="BM102">
        <f>IFERROR(INDEX('_names_lookup'!$B:$B,MATCH(BK102,'_names_lookup'!$A:$A,0)),"")</f>
        <v/>
      </c>
      <c r="BS102">
        <f>IFERROR(IF(BR102*AA102=0,"",BR102*AA102),"")</f>
        <v/>
      </c>
    </row>
    <row r="103">
      <c r="O103">
        <f>IFERROR(INDEX('_courses_lookup'!$C:$C,MATCH(K103&amp;L103,'_courses_lookup'!$E:$E,0)),"")</f>
        <v/>
      </c>
      <c r="P103">
        <f>IFERROR(INDEX('_courses_lookup'!$D:$D,MATCH(K103&amp;L103,'_courses_lookup'!$E:$E,0)),"")</f>
        <v/>
      </c>
      <c r="AG103">
        <f>IF(AND(AE103&lt;&gt;"",AF103&lt;&gt;""),ROUNDUP((AF103-AE103)/7,0),"")</f>
        <v/>
      </c>
      <c r="AI103">
        <f>IFERROR(IF(AG103*AH103=0,"",AG103*AH103),"")</f>
        <v/>
      </c>
      <c r="AL103">
        <f>IF(AND(AJ103&lt;&gt;"",AK103&lt;&gt;""),ROUNDUP((AK103-AJ103)/7,0),"")</f>
        <v/>
      </c>
      <c r="AN103">
        <f>IFERROR(IF(AL103*AM103=0,"",AL103*AM103),"")</f>
        <v/>
      </c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L103">
        <f>IFERROR(INDEX('_names_lookup'!$C:$C,MATCH(BK103,'_names_lookup'!$A:$A,0)),"")</f>
        <v/>
      </c>
      <c r="BM103">
        <f>IFERROR(INDEX('_names_lookup'!$B:$B,MATCH(BK103,'_names_lookup'!$A:$A,0)),"")</f>
        <v/>
      </c>
      <c r="BS103">
        <f>IFERROR(IF(BR103*AA103=0,"",BR103*AA103),"")</f>
        <v/>
      </c>
    </row>
    <row r="104">
      <c r="O104">
        <f>IFERROR(INDEX('_courses_lookup'!$C:$C,MATCH(K104&amp;L104,'_courses_lookup'!$E:$E,0)),"")</f>
        <v/>
      </c>
      <c r="P104">
        <f>IFERROR(INDEX('_courses_lookup'!$D:$D,MATCH(K104&amp;L104,'_courses_lookup'!$E:$E,0)),"")</f>
        <v/>
      </c>
      <c r="AG104">
        <f>IF(AND(AE104&lt;&gt;"",AF104&lt;&gt;""),ROUNDUP((AF104-AE104)/7,0),"")</f>
        <v/>
      </c>
      <c r="AI104">
        <f>IFERROR(IF(AG104*AH104=0,"",AG104*AH104),"")</f>
        <v/>
      </c>
      <c r="AL104">
        <f>IF(AND(AJ104&lt;&gt;"",AK104&lt;&gt;""),ROUNDUP((AK104-AJ104)/7,0),"")</f>
        <v/>
      </c>
      <c r="AN104">
        <f>IFERROR(IF(AL104*AM104=0,"",AL104*AM104),"")</f>
        <v/>
      </c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L104">
        <f>IFERROR(INDEX('_names_lookup'!$C:$C,MATCH(BK104,'_names_lookup'!$A:$A,0)),"")</f>
        <v/>
      </c>
      <c r="BM104">
        <f>IFERROR(INDEX('_names_lookup'!$B:$B,MATCH(BK104,'_names_lookup'!$A:$A,0)),"")</f>
        <v/>
      </c>
      <c r="BS104">
        <f>IFERROR(IF(BR104*AA104=0,"",BR104*AA104),"")</f>
        <v/>
      </c>
    </row>
    <row r="105">
      <c r="O105">
        <f>IFERROR(INDEX('_courses_lookup'!$C:$C,MATCH(K105&amp;L105,'_courses_lookup'!$E:$E,0)),"")</f>
        <v/>
      </c>
      <c r="P105">
        <f>IFERROR(INDEX('_courses_lookup'!$D:$D,MATCH(K105&amp;L105,'_courses_lookup'!$E:$E,0)),"")</f>
        <v/>
      </c>
      <c r="AG105">
        <f>IF(AND(AE105&lt;&gt;"",AF105&lt;&gt;""),ROUNDUP((AF105-AE105)/7,0),"")</f>
        <v/>
      </c>
      <c r="AI105">
        <f>IFERROR(IF(AG105*AH105=0,"",AG105*AH105),"")</f>
        <v/>
      </c>
      <c r="AL105">
        <f>IF(AND(AJ105&lt;&gt;"",AK105&lt;&gt;""),ROUNDUP((AK105-AJ105)/7,0),"")</f>
        <v/>
      </c>
      <c r="AN105">
        <f>IFERROR(IF(AL105*AM105=0,"",AL105*AM105),"")</f>
        <v/>
      </c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L105">
        <f>IFERROR(INDEX('_names_lookup'!$C:$C,MATCH(BK105,'_names_lookup'!$A:$A,0)),"")</f>
        <v/>
      </c>
      <c r="BM105">
        <f>IFERROR(INDEX('_names_lookup'!$B:$B,MATCH(BK105,'_names_lookup'!$A:$A,0)),"")</f>
        <v/>
      </c>
      <c r="BS105">
        <f>IFERROR(IF(BR105*AA105=0,"",BR105*AA105),"")</f>
        <v/>
      </c>
    </row>
    <row r="106">
      <c r="O106">
        <f>IFERROR(INDEX('_courses_lookup'!$C:$C,MATCH(K106&amp;L106,'_courses_lookup'!$E:$E,0)),"")</f>
        <v/>
      </c>
      <c r="P106">
        <f>IFERROR(INDEX('_courses_lookup'!$D:$D,MATCH(K106&amp;L106,'_courses_lookup'!$E:$E,0)),"")</f>
        <v/>
      </c>
      <c r="AG106">
        <f>IF(AND(AE106&lt;&gt;"",AF106&lt;&gt;""),ROUNDUP((AF106-AE106)/7,0),"")</f>
        <v/>
      </c>
      <c r="AI106">
        <f>IFERROR(IF(AG106*AH106=0,"",AG106*AH106),"")</f>
        <v/>
      </c>
      <c r="AL106">
        <f>IF(AND(AJ106&lt;&gt;"",AK106&lt;&gt;""),ROUNDUP((AK106-AJ106)/7,0),"")</f>
        <v/>
      </c>
      <c r="AN106">
        <f>IFERROR(IF(AL106*AM106=0,"",AL106*AM106),"")</f>
        <v/>
      </c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L106">
        <f>IFERROR(INDEX('_names_lookup'!$C:$C,MATCH(BK106,'_names_lookup'!$A:$A,0)),"")</f>
        <v/>
      </c>
      <c r="BM106">
        <f>IFERROR(INDEX('_names_lookup'!$B:$B,MATCH(BK106,'_names_lookup'!$A:$A,0)),"")</f>
        <v/>
      </c>
      <c r="BS106">
        <f>IFERROR(IF(BR106*AA106=0,"",BR106*AA106),"")</f>
        <v/>
      </c>
    </row>
    <row r="107">
      <c r="O107">
        <f>IFERROR(INDEX('_courses_lookup'!$C:$C,MATCH(K107&amp;L107,'_courses_lookup'!$E:$E,0)),"")</f>
        <v/>
      </c>
      <c r="P107">
        <f>IFERROR(INDEX('_courses_lookup'!$D:$D,MATCH(K107&amp;L107,'_courses_lookup'!$E:$E,0)),"")</f>
        <v/>
      </c>
      <c r="AG107">
        <f>IF(AND(AE107&lt;&gt;"",AF107&lt;&gt;""),ROUNDUP((AF107-AE107)/7,0),"")</f>
        <v/>
      </c>
      <c r="AI107">
        <f>IFERROR(IF(AG107*AH107=0,"",AG107*AH107),"")</f>
        <v/>
      </c>
      <c r="AL107">
        <f>IF(AND(AJ107&lt;&gt;"",AK107&lt;&gt;""),ROUNDUP((AK107-AJ107)/7,0),"")</f>
        <v/>
      </c>
      <c r="AN107">
        <f>IFERROR(IF(AL107*AM107=0,"",AL107*AM107),"")</f>
        <v/>
      </c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L107">
        <f>IFERROR(INDEX('_names_lookup'!$C:$C,MATCH(BK107,'_names_lookup'!$A:$A,0)),"")</f>
        <v/>
      </c>
      <c r="BM107">
        <f>IFERROR(INDEX('_names_lookup'!$B:$B,MATCH(BK107,'_names_lookup'!$A:$A,0)),"")</f>
        <v/>
      </c>
      <c r="BS107">
        <f>IFERROR(IF(BR107*AA107=0,"",BR107*AA107),"")</f>
        <v/>
      </c>
    </row>
    <row r="108">
      <c r="O108">
        <f>IFERROR(INDEX('_courses_lookup'!$C:$C,MATCH(K108&amp;L108,'_courses_lookup'!$E:$E,0)),"")</f>
        <v/>
      </c>
      <c r="P108">
        <f>IFERROR(INDEX('_courses_lookup'!$D:$D,MATCH(K108&amp;L108,'_courses_lookup'!$E:$E,0)),"")</f>
        <v/>
      </c>
      <c r="AG108">
        <f>IF(AND(AE108&lt;&gt;"",AF108&lt;&gt;""),ROUNDUP((AF108-AE108)/7,0),"")</f>
        <v/>
      </c>
      <c r="AI108">
        <f>IFERROR(IF(AG108*AH108=0,"",AG108*AH108),"")</f>
        <v/>
      </c>
      <c r="AL108">
        <f>IF(AND(AJ108&lt;&gt;"",AK108&lt;&gt;""),ROUNDUP((AK108-AJ108)/7,0),"")</f>
        <v/>
      </c>
      <c r="AN108">
        <f>IFERROR(IF(AL108*AM108=0,"",AL108*AM108),"")</f>
        <v/>
      </c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L108">
        <f>IFERROR(INDEX('_names_lookup'!$C:$C,MATCH(BK108,'_names_lookup'!$A:$A,0)),"")</f>
        <v/>
      </c>
      <c r="BM108">
        <f>IFERROR(INDEX('_names_lookup'!$B:$B,MATCH(BK108,'_names_lookup'!$A:$A,0)),"")</f>
        <v/>
      </c>
      <c r="BS108">
        <f>IFERROR(IF(BR108*AA108=0,"",BR108*AA108),"")</f>
        <v/>
      </c>
    </row>
    <row r="109">
      <c r="O109">
        <f>IFERROR(INDEX('_courses_lookup'!$C:$C,MATCH(K109&amp;L109,'_courses_lookup'!$E:$E,0)),"")</f>
        <v/>
      </c>
      <c r="P109">
        <f>IFERROR(INDEX('_courses_lookup'!$D:$D,MATCH(K109&amp;L109,'_courses_lookup'!$E:$E,0)),"")</f>
        <v/>
      </c>
      <c r="AG109">
        <f>IF(AND(AE109&lt;&gt;"",AF109&lt;&gt;""),ROUNDUP((AF109-AE109)/7,0),"")</f>
        <v/>
      </c>
      <c r="AI109">
        <f>IFERROR(IF(AG109*AH109=0,"",AG109*AH109),"")</f>
        <v/>
      </c>
      <c r="AL109">
        <f>IF(AND(AJ109&lt;&gt;"",AK109&lt;&gt;""),ROUNDUP((AK109-AJ109)/7,0),"")</f>
        <v/>
      </c>
      <c r="AN109">
        <f>IFERROR(IF(AL109*AM109=0,"",AL109*AM109),"")</f>
        <v/>
      </c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L109">
        <f>IFERROR(INDEX('_names_lookup'!$C:$C,MATCH(BK109,'_names_lookup'!$A:$A,0)),"")</f>
        <v/>
      </c>
      <c r="BM109">
        <f>IFERROR(INDEX('_names_lookup'!$B:$B,MATCH(BK109,'_names_lookup'!$A:$A,0)),"")</f>
        <v/>
      </c>
      <c r="BS109">
        <f>IFERROR(IF(BR109*AA109=0,"",BR109*AA109),"")</f>
        <v/>
      </c>
    </row>
    <row r="110">
      <c r="O110">
        <f>IFERROR(INDEX('_courses_lookup'!$C:$C,MATCH(K110&amp;L110,'_courses_lookup'!$E:$E,0)),"")</f>
        <v/>
      </c>
      <c r="P110">
        <f>IFERROR(INDEX('_courses_lookup'!$D:$D,MATCH(K110&amp;L110,'_courses_lookup'!$E:$E,0)),"")</f>
        <v/>
      </c>
      <c r="AG110">
        <f>IF(AND(AE110&lt;&gt;"",AF110&lt;&gt;""),ROUNDUP((AF110-AE110)/7,0),"")</f>
        <v/>
      </c>
      <c r="AI110">
        <f>IFERROR(IF(AG110*AH110=0,"",AG110*AH110),"")</f>
        <v/>
      </c>
      <c r="AL110">
        <f>IF(AND(AJ110&lt;&gt;"",AK110&lt;&gt;""),ROUNDUP((AK110-AJ110)/7,0),"")</f>
        <v/>
      </c>
      <c r="AN110">
        <f>IFERROR(IF(AL110*AM110=0,"",AL110*AM110),"")</f>
        <v/>
      </c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L110">
        <f>IFERROR(INDEX('_names_lookup'!$C:$C,MATCH(BK110,'_names_lookup'!$A:$A,0)),"")</f>
        <v/>
      </c>
      <c r="BM110">
        <f>IFERROR(INDEX('_names_lookup'!$B:$B,MATCH(BK110,'_names_lookup'!$A:$A,0)),"")</f>
        <v/>
      </c>
      <c r="BS110">
        <f>IFERROR(IF(BR110*AA110=0,"",BR110*AA110),"")</f>
        <v/>
      </c>
    </row>
    <row r="111">
      <c r="O111">
        <f>IFERROR(INDEX('_courses_lookup'!$C:$C,MATCH(K111&amp;L111,'_courses_lookup'!$E:$E,0)),"")</f>
        <v/>
      </c>
      <c r="P111">
        <f>IFERROR(INDEX('_courses_lookup'!$D:$D,MATCH(K111&amp;L111,'_courses_lookup'!$E:$E,0)),"")</f>
        <v/>
      </c>
      <c r="AG111">
        <f>IF(AND(AE111&lt;&gt;"",AF111&lt;&gt;""),ROUNDUP((AF111-AE111)/7,0),"")</f>
        <v/>
      </c>
      <c r="AI111">
        <f>IFERROR(IF(AG111*AH111=0,"",AG111*AH111),"")</f>
        <v/>
      </c>
      <c r="AL111">
        <f>IF(AND(AJ111&lt;&gt;"",AK111&lt;&gt;""),ROUNDUP((AK111-AJ111)/7,0),"")</f>
        <v/>
      </c>
      <c r="AN111">
        <f>IFERROR(IF(AL111*AM111=0,"",AL111*AM111),"")</f>
        <v/>
      </c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L111">
        <f>IFERROR(INDEX('_names_lookup'!$C:$C,MATCH(BK111,'_names_lookup'!$A:$A,0)),"")</f>
        <v/>
      </c>
      <c r="BM111">
        <f>IFERROR(INDEX('_names_lookup'!$B:$B,MATCH(BK111,'_names_lookup'!$A:$A,0)),"")</f>
        <v/>
      </c>
      <c r="BS111">
        <f>IFERROR(IF(BR111*AA111=0,"",BR111*AA111),"")</f>
        <v/>
      </c>
    </row>
    <row r="112">
      <c r="O112">
        <f>IFERROR(INDEX('_courses_lookup'!$C:$C,MATCH(K112&amp;L112,'_courses_lookup'!$E:$E,0)),"")</f>
        <v/>
      </c>
      <c r="P112">
        <f>IFERROR(INDEX('_courses_lookup'!$D:$D,MATCH(K112&amp;L112,'_courses_lookup'!$E:$E,0)),"")</f>
        <v/>
      </c>
      <c r="AG112">
        <f>IF(AND(AE112&lt;&gt;"",AF112&lt;&gt;""),ROUNDUP((AF112-AE112)/7,0),"")</f>
        <v/>
      </c>
      <c r="AI112">
        <f>IFERROR(IF(AG112*AH112=0,"",AG112*AH112),"")</f>
        <v/>
      </c>
      <c r="AL112">
        <f>IF(AND(AJ112&lt;&gt;"",AK112&lt;&gt;""),ROUNDUP((AK112-AJ112)/7,0),"")</f>
        <v/>
      </c>
      <c r="AN112">
        <f>IFERROR(IF(AL112*AM112=0,"",AL112*AM112),"")</f>
        <v/>
      </c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L112">
        <f>IFERROR(INDEX('_names_lookup'!$C:$C,MATCH(BK112,'_names_lookup'!$A:$A,0)),"")</f>
        <v/>
      </c>
      <c r="BM112">
        <f>IFERROR(INDEX('_names_lookup'!$B:$B,MATCH(BK112,'_names_lookup'!$A:$A,0)),"")</f>
        <v/>
      </c>
      <c r="BS112">
        <f>IFERROR(IF(BR112*AA112=0,"",BR112*AA112),"")</f>
        <v/>
      </c>
    </row>
    <row r="113">
      <c r="O113">
        <f>IFERROR(INDEX('_courses_lookup'!$C:$C,MATCH(K113&amp;L113,'_courses_lookup'!$E:$E,0)),"")</f>
        <v/>
      </c>
      <c r="P113">
        <f>IFERROR(INDEX('_courses_lookup'!$D:$D,MATCH(K113&amp;L113,'_courses_lookup'!$E:$E,0)),"")</f>
        <v/>
      </c>
      <c r="AG113">
        <f>IF(AND(AE113&lt;&gt;"",AF113&lt;&gt;""),ROUNDUP((AF113-AE113)/7,0),"")</f>
        <v/>
      </c>
      <c r="AI113">
        <f>IFERROR(IF(AG113*AH113=0,"",AG113*AH113),"")</f>
        <v/>
      </c>
      <c r="AL113">
        <f>IF(AND(AJ113&lt;&gt;"",AK113&lt;&gt;""),ROUNDUP((AK113-AJ113)/7,0),"")</f>
        <v/>
      </c>
      <c r="AN113">
        <f>IFERROR(IF(AL113*AM113=0,"",AL113*AM113),"")</f>
        <v/>
      </c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L113">
        <f>IFERROR(INDEX('_names_lookup'!$C:$C,MATCH(BK113,'_names_lookup'!$A:$A,0)),"")</f>
        <v/>
      </c>
      <c r="BM113">
        <f>IFERROR(INDEX('_names_lookup'!$B:$B,MATCH(BK113,'_names_lookup'!$A:$A,0)),"")</f>
        <v/>
      </c>
      <c r="BS113">
        <f>IFERROR(IF(BR113*AA113=0,"",BR113*AA113),"")</f>
        <v/>
      </c>
    </row>
    <row r="114">
      <c r="O114">
        <f>IFERROR(INDEX('_courses_lookup'!$C:$C,MATCH(K114&amp;L114,'_courses_lookup'!$E:$E,0)),"")</f>
        <v/>
      </c>
      <c r="P114">
        <f>IFERROR(INDEX('_courses_lookup'!$D:$D,MATCH(K114&amp;L114,'_courses_lookup'!$E:$E,0)),"")</f>
        <v/>
      </c>
      <c r="AG114">
        <f>IF(AND(AE114&lt;&gt;"",AF114&lt;&gt;""),ROUNDUP((AF114-AE114)/7,0),"")</f>
        <v/>
      </c>
      <c r="AI114">
        <f>IFERROR(IF(AG114*AH114=0,"",AG114*AH114),"")</f>
        <v/>
      </c>
      <c r="AL114">
        <f>IF(AND(AJ114&lt;&gt;"",AK114&lt;&gt;""),ROUNDUP((AK114-AJ114)/7,0),"")</f>
        <v/>
      </c>
      <c r="AN114">
        <f>IFERROR(IF(AL114*AM114=0,"",AL114*AM114),"")</f>
        <v/>
      </c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L114">
        <f>IFERROR(INDEX('_names_lookup'!$C:$C,MATCH(BK114,'_names_lookup'!$A:$A,0)),"")</f>
        <v/>
      </c>
      <c r="BM114">
        <f>IFERROR(INDEX('_names_lookup'!$B:$B,MATCH(BK114,'_names_lookup'!$A:$A,0)),"")</f>
        <v/>
      </c>
      <c r="BS114">
        <f>IFERROR(IF(BR114*AA114=0,"",BR114*AA114),"")</f>
        <v/>
      </c>
    </row>
    <row r="115">
      <c r="O115">
        <f>IFERROR(INDEX('_courses_lookup'!$C:$C,MATCH(K115&amp;L115,'_courses_lookup'!$E:$E,0)),"")</f>
        <v/>
      </c>
      <c r="P115">
        <f>IFERROR(INDEX('_courses_lookup'!$D:$D,MATCH(K115&amp;L115,'_courses_lookup'!$E:$E,0)),"")</f>
        <v/>
      </c>
      <c r="AG115">
        <f>IF(AND(AE115&lt;&gt;"",AF115&lt;&gt;""),ROUNDUP((AF115-AE115)/7,0),"")</f>
        <v/>
      </c>
      <c r="AI115">
        <f>IFERROR(IF(AG115*AH115=0,"",AG115*AH115),"")</f>
        <v/>
      </c>
      <c r="AL115">
        <f>IF(AND(AJ115&lt;&gt;"",AK115&lt;&gt;""),ROUNDUP((AK115-AJ115)/7,0),"")</f>
        <v/>
      </c>
      <c r="AN115">
        <f>IFERROR(IF(AL115*AM115=0,"",AL115*AM115),"")</f>
        <v/>
      </c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L115">
        <f>IFERROR(INDEX('_names_lookup'!$C:$C,MATCH(BK115,'_names_lookup'!$A:$A,0)),"")</f>
        <v/>
      </c>
      <c r="BM115">
        <f>IFERROR(INDEX('_names_lookup'!$B:$B,MATCH(BK115,'_names_lookup'!$A:$A,0)),"")</f>
        <v/>
      </c>
      <c r="BS115">
        <f>IFERROR(IF(BR115*AA115=0,"",BR115*AA115),"")</f>
        <v/>
      </c>
    </row>
    <row r="116">
      <c r="O116">
        <f>IFERROR(INDEX('_courses_lookup'!$C:$C,MATCH(K116&amp;L116,'_courses_lookup'!$E:$E,0)),"")</f>
        <v/>
      </c>
      <c r="P116">
        <f>IFERROR(INDEX('_courses_lookup'!$D:$D,MATCH(K116&amp;L116,'_courses_lookup'!$E:$E,0)),"")</f>
        <v/>
      </c>
      <c r="AG116">
        <f>IF(AND(AE116&lt;&gt;"",AF116&lt;&gt;""),ROUNDUP((AF116-AE116)/7,0),"")</f>
        <v/>
      </c>
      <c r="AI116">
        <f>IFERROR(IF(AG116*AH116=0,"",AG116*AH116),"")</f>
        <v/>
      </c>
      <c r="AL116">
        <f>IF(AND(AJ116&lt;&gt;"",AK116&lt;&gt;""),ROUNDUP((AK116-AJ116)/7,0),"")</f>
        <v/>
      </c>
      <c r="AN116">
        <f>IFERROR(IF(AL116*AM116=0,"",AL116*AM116),"")</f>
        <v/>
      </c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L116">
        <f>IFERROR(INDEX('_names_lookup'!$C:$C,MATCH(BK116,'_names_lookup'!$A:$A,0)),"")</f>
        <v/>
      </c>
      <c r="BM116">
        <f>IFERROR(INDEX('_names_lookup'!$B:$B,MATCH(BK116,'_names_lookup'!$A:$A,0)),"")</f>
        <v/>
      </c>
      <c r="BS116">
        <f>IFERROR(IF(BR116*AA116=0,"",BR116*AA116),"")</f>
        <v/>
      </c>
    </row>
    <row r="117">
      <c r="O117">
        <f>IFERROR(INDEX('_courses_lookup'!$C:$C,MATCH(K117&amp;L117,'_courses_lookup'!$E:$E,0)),"")</f>
        <v/>
      </c>
      <c r="P117">
        <f>IFERROR(INDEX('_courses_lookup'!$D:$D,MATCH(K117&amp;L117,'_courses_lookup'!$E:$E,0)),"")</f>
        <v/>
      </c>
      <c r="AG117">
        <f>IF(AND(AE117&lt;&gt;"",AF117&lt;&gt;""),ROUNDUP((AF117-AE117)/7,0),"")</f>
        <v/>
      </c>
      <c r="AI117">
        <f>IFERROR(IF(AG117*AH117=0,"",AG117*AH117),"")</f>
        <v/>
      </c>
      <c r="AL117">
        <f>IF(AND(AJ117&lt;&gt;"",AK117&lt;&gt;""),ROUNDUP((AK117-AJ117)/7,0),"")</f>
        <v/>
      </c>
      <c r="AN117">
        <f>IFERROR(IF(AL117*AM117=0,"",AL117*AM117),"")</f>
        <v/>
      </c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L117">
        <f>IFERROR(INDEX('_names_lookup'!$C:$C,MATCH(BK117,'_names_lookup'!$A:$A,0)),"")</f>
        <v/>
      </c>
      <c r="BM117">
        <f>IFERROR(INDEX('_names_lookup'!$B:$B,MATCH(BK117,'_names_lookup'!$A:$A,0)),"")</f>
        <v/>
      </c>
      <c r="BS117">
        <f>IFERROR(IF(BR117*AA117=0,"",BR117*AA117),"")</f>
        <v/>
      </c>
    </row>
    <row r="118">
      <c r="O118">
        <f>IFERROR(INDEX('_courses_lookup'!$C:$C,MATCH(K118&amp;L118,'_courses_lookup'!$E:$E,0)),"")</f>
        <v/>
      </c>
      <c r="P118">
        <f>IFERROR(INDEX('_courses_lookup'!$D:$D,MATCH(K118&amp;L118,'_courses_lookup'!$E:$E,0)),"")</f>
        <v/>
      </c>
      <c r="AG118">
        <f>IF(AND(AE118&lt;&gt;"",AF118&lt;&gt;""),ROUNDUP((AF118-AE118)/7,0),"")</f>
        <v/>
      </c>
      <c r="AI118">
        <f>IFERROR(IF(AG118*AH118=0,"",AG118*AH118),"")</f>
        <v/>
      </c>
      <c r="AL118">
        <f>IF(AND(AJ118&lt;&gt;"",AK118&lt;&gt;""),ROUNDUP((AK118-AJ118)/7,0),"")</f>
        <v/>
      </c>
      <c r="AN118">
        <f>IFERROR(IF(AL118*AM118=0,"",AL118*AM118),"")</f>
        <v/>
      </c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L118">
        <f>IFERROR(INDEX('_names_lookup'!$C:$C,MATCH(BK118,'_names_lookup'!$A:$A,0)),"")</f>
        <v/>
      </c>
      <c r="BM118">
        <f>IFERROR(INDEX('_names_lookup'!$B:$B,MATCH(BK118,'_names_lookup'!$A:$A,0)),"")</f>
        <v/>
      </c>
      <c r="BS118">
        <f>IFERROR(IF(BR118*AA118=0,"",BR118*AA118),"")</f>
        <v/>
      </c>
    </row>
    <row r="119">
      <c r="O119">
        <f>IFERROR(INDEX('_courses_lookup'!$C:$C,MATCH(K119&amp;L119,'_courses_lookup'!$E:$E,0)),"")</f>
        <v/>
      </c>
      <c r="P119">
        <f>IFERROR(INDEX('_courses_lookup'!$D:$D,MATCH(K119&amp;L119,'_courses_lookup'!$E:$E,0)),"")</f>
        <v/>
      </c>
      <c r="AG119">
        <f>IF(AND(AE119&lt;&gt;"",AF119&lt;&gt;""),ROUNDUP((AF119-AE119)/7,0),"")</f>
        <v/>
      </c>
      <c r="AI119">
        <f>IFERROR(IF(AG119*AH119=0,"",AG119*AH119),"")</f>
        <v/>
      </c>
      <c r="AL119">
        <f>IF(AND(AJ119&lt;&gt;"",AK119&lt;&gt;""),ROUNDUP((AK119-AJ119)/7,0),"")</f>
        <v/>
      </c>
      <c r="AN119">
        <f>IFERROR(IF(AL119*AM119=0,"",AL119*AM119),"")</f>
        <v/>
      </c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L119">
        <f>IFERROR(INDEX('_names_lookup'!$C:$C,MATCH(BK119,'_names_lookup'!$A:$A,0)),"")</f>
        <v/>
      </c>
      <c r="BM119">
        <f>IFERROR(INDEX('_names_lookup'!$B:$B,MATCH(BK119,'_names_lookup'!$A:$A,0)),"")</f>
        <v/>
      </c>
      <c r="BS119">
        <f>IFERROR(IF(BR119*AA119=0,"",BR119*AA119),"")</f>
        <v/>
      </c>
    </row>
    <row r="120">
      <c r="O120">
        <f>IFERROR(INDEX('_courses_lookup'!$C:$C,MATCH(K120&amp;L120,'_courses_lookup'!$E:$E,0)),"")</f>
        <v/>
      </c>
      <c r="P120">
        <f>IFERROR(INDEX('_courses_lookup'!$D:$D,MATCH(K120&amp;L120,'_courses_lookup'!$E:$E,0)),"")</f>
        <v/>
      </c>
      <c r="AG120">
        <f>IF(AND(AE120&lt;&gt;"",AF120&lt;&gt;""),ROUNDUP((AF120-AE120)/7,0),"")</f>
        <v/>
      </c>
      <c r="AI120">
        <f>IFERROR(IF(AG120*AH120=0,"",AG120*AH120),"")</f>
        <v/>
      </c>
      <c r="AL120">
        <f>IF(AND(AJ120&lt;&gt;"",AK120&lt;&gt;""),ROUNDUP((AK120-AJ120)/7,0),"")</f>
        <v/>
      </c>
      <c r="AN120">
        <f>IFERROR(IF(AL120*AM120=0,"",AL120*AM120),"")</f>
        <v/>
      </c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L120">
        <f>IFERROR(INDEX('_names_lookup'!$C:$C,MATCH(BK120,'_names_lookup'!$A:$A,0)),"")</f>
        <v/>
      </c>
      <c r="BM120">
        <f>IFERROR(INDEX('_names_lookup'!$B:$B,MATCH(BK120,'_names_lookup'!$A:$A,0)),"")</f>
        <v/>
      </c>
      <c r="BS120">
        <f>IFERROR(IF(BR120*AA120=0,"",BR120*AA120),"")</f>
        <v/>
      </c>
    </row>
    <row r="121">
      <c r="O121">
        <f>IFERROR(INDEX('_courses_lookup'!$C:$C,MATCH(K121&amp;L121,'_courses_lookup'!$E:$E,0)),"")</f>
        <v/>
      </c>
      <c r="P121">
        <f>IFERROR(INDEX('_courses_lookup'!$D:$D,MATCH(K121&amp;L121,'_courses_lookup'!$E:$E,0)),"")</f>
        <v/>
      </c>
      <c r="AG121">
        <f>IF(AND(AE121&lt;&gt;"",AF121&lt;&gt;""),ROUNDUP((AF121-AE121)/7,0),"")</f>
        <v/>
      </c>
      <c r="AI121">
        <f>IFERROR(IF(AG121*AH121=0,"",AG121*AH121),"")</f>
        <v/>
      </c>
      <c r="AL121">
        <f>IF(AND(AJ121&lt;&gt;"",AK121&lt;&gt;""),ROUNDUP((AK121-AJ121)/7,0),"")</f>
        <v/>
      </c>
      <c r="AN121">
        <f>IFERROR(IF(AL121*AM121=0,"",AL121*AM121),"")</f>
        <v/>
      </c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L121">
        <f>IFERROR(INDEX('_names_lookup'!$C:$C,MATCH(BK121,'_names_lookup'!$A:$A,0)),"")</f>
        <v/>
      </c>
      <c r="BM121">
        <f>IFERROR(INDEX('_names_lookup'!$B:$B,MATCH(BK121,'_names_lookup'!$A:$A,0)),"")</f>
        <v/>
      </c>
      <c r="BS121">
        <f>IFERROR(IF(BR121*AA121=0,"",BR121*AA121),"")</f>
        <v/>
      </c>
    </row>
    <row r="122">
      <c r="O122">
        <f>IFERROR(INDEX('_courses_lookup'!$C:$C,MATCH(K122&amp;L122,'_courses_lookup'!$E:$E,0)),"")</f>
        <v/>
      </c>
      <c r="P122">
        <f>IFERROR(INDEX('_courses_lookup'!$D:$D,MATCH(K122&amp;L122,'_courses_lookup'!$E:$E,0)),"")</f>
        <v/>
      </c>
      <c r="AG122">
        <f>IF(AND(AE122&lt;&gt;"",AF122&lt;&gt;""),ROUNDUP((AF122-AE122)/7,0),"")</f>
        <v/>
      </c>
      <c r="AI122">
        <f>IFERROR(IF(AG122*AH122=0,"",AG122*AH122),"")</f>
        <v/>
      </c>
      <c r="AL122">
        <f>IF(AND(AJ122&lt;&gt;"",AK122&lt;&gt;""),ROUNDUP((AK122-AJ122)/7,0),"")</f>
        <v/>
      </c>
      <c r="AN122">
        <f>IFERROR(IF(AL122*AM122=0,"",AL122*AM122),"")</f>
        <v/>
      </c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L122">
        <f>IFERROR(INDEX('_names_lookup'!$C:$C,MATCH(BK122,'_names_lookup'!$A:$A,0)),"")</f>
        <v/>
      </c>
      <c r="BM122">
        <f>IFERROR(INDEX('_names_lookup'!$B:$B,MATCH(BK122,'_names_lookup'!$A:$A,0)),"")</f>
        <v/>
      </c>
      <c r="BS122">
        <f>IFERROR(IF(BR122*AA122=0,"",BR122*AA122),"")</f>
        <v/>
      </c>
    </row>
    <row r="123">
      <c r="O123">
        <f>IFERROR(INDEX('_courses_lookup'!$C:$C,MATCH(K123&amp;L123,'_courses_lookup'!$E:$E,0)),"")</f>
        <v/>
      </c>
      <c r="P123">
        <f>IFERROR(INDEX('_courses_lookup'!$D:$D,MATCH(K123&amp;L123,'_courses_lookup'!$E:$E,0)),"")</f>
        <v/>
      </c>
      <c r="AG123">
        <f>IF(AND(AE123&lt;&gt;"",AF123&lt;&gt;""),ROUNDUP((AF123-AE123)/7,0),"")</f>
        <v/>
      </c>
      <c r="AI123">
        <f>IFERROR(IF(AG123*AH123=0,"",AG123*AH123),"")</f>
        <v/>
      </c>
      <c r="AL123">
        <f>IF(AND(AJ123&lt;&gt;"",AK123&lt;&gt;""),ROUNDUP((AK123-AJ123)/7,0),"")</f>
        <v/>
      </c>
      <c r="AN123">
        <f>IFERROR(IF(AL123*AM123=0,"",AL123*AM123),"")</f>
        <v/>
      </c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L123">
        <f>IFERROR(INDEX('_names_lookup'!$C:$C,MATCH(BK123,'_names_lookup'!$A:$A,0)),"")</f>
        <v/>
      </c>
      <c r="BM123">
        <f>IFERROR(INDEX('_names_lookup'!$B:$B,MATCH(BK123,'_names_lookup'!$A:$A,0)),"")</f>
        <v/>
      </c>
      <c r="BS123">
        <f>IFERROR(IF(BR123*AA123=0,"",BR123*AA123),"")</f>
        <v/>
      </c>
    </row>
    <row r="124">
      <c r="O124">
        <f>IFERROR(INDEX('_courses_lookup'!$C:$C,MATCH(K124&amp;L124,'_courses_lookup'!$E:$E,0)),"")</f>
        <v/>
      </c>
      <c r="P124">
        <f>IFERROR(INDEX('_courses_lookup'!$D:$D,MATCH(K124&amp;L124,'_courses_lookup'!$E:$E,0)),"")</f>
        <v/>
      </c>
      <c r="AG124">
        <f>IF(AND(AE124&lt;&gt;"",AF124&lt;&gt;""),ROUNDUP((AF124-AE124)/7,0),"")</f>
        <v/>
      </c>
      <c r="AI124">
        <f>IFERROR(IF(AG124*AH124=0,"",AG124*AH124),"")</f>
        <v/>
      </c>
      <c r="AL124">
        <f>IF(AND(AJ124&lt;&gt;"",AK124&lt;&gt;""),ROUNDUP((AK124-AJ124)/7,0),"")</f>
        <v/>
      </c>
      <c r="AN124">
        <f>IFERROR(IF(AL124*AM124=0,"",AL124*AM124),"")</f>
        <v/>
      </c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L124">
        <f>IFERROR(INDEX('_names_lookup'!$C:$C,MATCH(BK124,'_names_lookup'!$A:$A,0)),"")</f>
        <v/>
      </c>
      <c r="BM124">
        <f>IFERROR(INDEX('_names_lookup'!$B:$B,MATCH(BK124,'_names_lookup'!$A:$A,0)),"")</f>
        <v/>
      </c>
      <c r="BS124">
        <f>IFERROR(IF(BR124*AA124=0,"",BR124*AA124),"")</f>
        <v/>
      </c>
    </row>
    <row r="125">
      <c r="O125">
        <f>IFERROR(INDEX('_courses_lookup'!$C:$C,MATCH(K125&amp;L125,'_courses_lookup'!$E:$E,0)),"")</f>
        <v/>
      </c>
      <c r="P125">
        <f>IFERROR(INDEX('_courses_lookup'!$D:$D,MATCH(K125&amp;L125,'_courses_lookup'!$E:$E,0)),"")</f>
        <v/>
      </c>
      <c r="AG125">
        <f>IF(AND(AE125&lt;&gt;"",AF125&lt;&gt;""),ROUNDUP((AF125-AE125)/7,0),"")</f>
        <v/>
      </c>
      <c r="AI125">
        <f>IFERROR(IF(AG125*AH125=0,"",AG125*AH125),"")</f>
        <v/>
      </c>
      <c r="AL125">
        <f>IF(AND(AJ125&lt;&gt;"",AK125&lt;&gt;""),ROUNDUP((AK125-AJ125)/7,0),"")</f>
        <v/>
      </c>
      <c r="AN125">
        <f>IFERROR(IF(AL125*AM125=0,"",AL125*AM125),"")</f>
        <v/>
      </c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L125">
        <f>IFERROR(INDEX('_names_lookup'!$C:$C,MATCH(BK125,'_names_lookup'!$A:$A,0)),"")</f>
        <v/>
      </c>
      <c r="BM125">
        <f>IFERROR(INDEX('_names_lookup'!$B:$B,MATCH(BK125,'_names_lookup'!$A:$A,0)),"")</f>
        <v/>
      </c>
      <c r="BS125">
        <f>IFERROR(IF(BR125*AA125=0,"",BR125*AA125),"")</f>
        <v/>
      </c>
    </row>
    <row r="126">
      <c r="O126">
        <f>IFERROR(INDEX('_courses_lookup'!$C:$C,MATCH(K126&amp;L126,'_courses_lookup'!$E:$E,0)),"")</f>
        <v/>
      </c>
      <c r="P126">
        <f>IFERROR(INDEX('_courses_lookup'!$D:$D,MATCH(K126&amp;L126,'_courses_lookup'!$E:$E,0)),"")</f>
        <v/>
      </c>
      <c r="AG126">
        <f>IF(AND(AE126&lt;&gt;"",AF126&lt;&gt;""),ROUNDUP((AF126-AE126)/7,0),"")</f>
        <v/>
      </c>
      <c r="AI126">
        <f>IFERROR(IF(AG126*AH126=0,"",AG126*AH126),"")</f>
        <v/>
      </c>
      <c r="AL126">
        <f>IF(AND(AJ126&lt;&gt;"",AK126&lt;&gt;""),ROUNDUP((AK126-AJ126)/7,0),"")</f>
        <v/>
      </c>
      <c r="AN126">
        <f>IFERROR(IF(AL126*AM126=0,"",AL126*AM126),"")</f>
        <v/>
      </c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L126">
        <f>IFERROR(INDEX('_names_lookup'!$C:$C,MATCH(BK126,'_names_lookup'!$A:$A,0)),"")</f>
        <v/>
      </c>
      <c r="BM126">
        <f>IFERROR(INDEX('_names_lookup'!$B:$B,MATCH(BK126,'_names_lookup'!$A:$A,0)),"")</f>
        <v/>
      </c>
      <c r="BS126">
        <f>IFERROR(IF(BR126*AA126=0,"",BR126*AA126),"")</f>
        <v/>
      </c>
    </row>
    <row r="127">
      <c r="O127">
        <f>IFERROR(INDEX('_courses_lookup'!$C:$C,MATCH(K127&amp;L127,'_courses_lookup'!$E:$E,0)),"")</f>
        <v/>
      </c>
      <c r="P127">
        <f>IFERROR(INDEX('_courses_lookup'!$D:$D,MATCH(K127&amp;L127,'_courses_lookup'!$E:$E,0)),"")</f>
        <v/>
      </c>
      <c r="AG127">
        <f>IF(AND(AE127&lt;&gt;"",AF127&lt;&gt;""),ROUNDUP((AF127-AE127)/7,0),"")</f>
        <v/>
      </c>
      <c r="AI127">
        <f>IFERROR(IF(AG127*AH127=0,"",AG127*AH127),"")</f>
        <v/>
      </c>
      <c r="AL127">
        <f>IF(AND(AJ127&lt;&gt;"",AK127&lt;&gt;""),ROUNDUP((AK127-AJ127)/7,0),"")</f>
        <v/>
      </c>
      <c r="AN127">
        <f>IFERROR(IF(AL127*AM127=0,"",AL127*AM127),"")</f>
        <v/>
      </c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L127">
        <f>IFERROR(INDEX('_names_lookup'!$C:$C,MATCH(BK127,'_names_lookup'!$A:$A,0)),"")</f>
        <v/>
      </c>
      <c r="BM127">
        <f>IFERROR(INDEX('_names_lookup'!$B:$B,MATCH(BK127,'_names_lookup'!$A:$A,0)),"")</f>
        <v/>
      </c>
      <c r="BS127">
        <f>IFERROR(IF(BR127*AA127=0,"",BR127*AA127),"")</f>
        <v/>
      </c>
    </row>
    <row r="128">
      <c r="O128">
        <f>IFERROR(INDEX('_courses_lookup'!$C:$C,MATCH(K128&amp;L128,'_courses_lookup'!$E:$E,0)),"")</f>
        <v/>
      </c>
      <c r="P128">
        <f>IFERROR(INDEX('_courses_lookup'!$D:$D,MATCH(K128&amp;L128,'_courses_lookup'!$E:$E,0)),"")</f>
        <v/>
      </c>
      <c r="AG128">
        <f>IF(AND(AE128&lt;&gt;"",AF128&lt;&gt;""),ROUNDUP((AF128-AE128)/7,0),"")</f>
        <v/>
      </c>
      <c r="AI128">
        <f>IFERROR(IF(AG128*AH128=0,"",AG128*AH128),"")</f>
        <v/>
      </c>
      <c r="AL128">
        <f>IF(AND(AJ128&lt;&gt;"",AK128&lt;&gt;""),ROUNDUP((AK128-AJ128)/7,0),"")</f>
        <v/>
      </c>
      <c r="AN128">
        <f>IFERROR(IF(AL128*AM128=0,"",AL128*AM128),"")</f>
        <v/>
      </c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L128">
        <f>IFERROR(INDEX('_names_lookup'!$C:$C,MATCH(BK128,'_names_lookup'!$A:$A,0)),"")</f>
        <v/>
      </c>
      <c r="BM128">
        <f>IFERROR(INDEX('_names_lookup'!$B:$B,MATCH(BK128,'_names_lookup'!$A:$A,0)),"")</f>
        <v/>
      </c>
      <c r="BS128">
        <f>IFERROR(IF(BR128*AA128=0,"",BR128*AA128),"")</f>
        <v/>
      </c>
    </row>
    <row r="129">
      <c r="O129">
        <f>IFERROR(INDEX('_courses_lookup'!$C:$C,MATCH(K129&amp;L129,'_courses_lookup'!$E:$E,0)),"")</f>
        <v/>
      </c>
      <c r="P129">
        <f>IFERROR(INDEX('_courses_lookup'!$D:$D,MATCH(K129&amp;L129,'_courses_lookup'!$E:$E,0)),"")</f>
        <v/>
      </c>
      <c r="AG129">
        <f>IF(AND(AE129&lt;&gt;"",AF129&lt;&gt;""),ROUNDUP((AF129-AE129)/7,0),"")</f>
        <v/>
      </c>
      <c r="AI129">
        <f>IFERROR(IF(AG129*AH129=0,"",AG129*AH129),"")</f>
        <v/>
      </c>
      <c r="AL129">
        <f>IF(AND(AJ129&lt;&gt;"",AK129&lt;&gt;""),ROUNDUP((AK129-AJ129)/7,0),"")</f>
        <v/>
      </c>
      <c r="AN129">
        <f>IFERROR(IF(AL129*AM129=0,"",AL129*AM129),"")</f>
        <v/>
      </c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L129">
        <f>IFERROR(INDEX('_names_lookup'!$C:$C,MATCH(BK129,'_names_lookup'!$A:$A,0)),"")</f>
        <v/>
      </c>
      <c r="BM129">
        <f>IFERROR(INDEX('_names_lookup'!$B:$B,MATCH(BK129,'_names_lookup'!$A:$A,0)),"")</f>
        <v/>
      </c>
      <c r="BS129">
        <f>IFERROR(IF(BR129*AA129=0,"",BR129*AA129),"")</f>
        <v/>
      </c>
    </row>
    <row r="130">
      <c r="O130">
        <f>IFERROR(INDEX('_courses_lookup'!$C:$C,MATCH(K130&amp;L130,'_courses_lookup'!$E:$E,0)),"")</f>
        <v/>
      </c>
      <c r="P130">
        <f>IFERROR(INDEX('_courses_lookup'!$D:$D,MATCH(K130&amp;L130,'_courses_lookup'!$E:$E,0)),"")</f>
        <v/>
      </c>
      <c r="AG130">
        <f>IF(AND(AE130&lt;&gt;"",AF130&lt;&gt;""),ROUNDUP((AF130-AE130)/7,0),"")</f>
        <v/>
      </c>
      <c r="AI130">
        <f>IFERROR(IF(AG130*AH130=0,"",AG130*AH130),"")</f>
        <v/>
      </c>
      <c r="AL130">
        <f>IF(AND(AJ130&lt;&gt;"",AK130&lt;&gt;""),ROUNDUP((AK130-AJ130)/7,0),"")</f>
        <v/>
      </c>
      <c r="AN130">
        <f>IFERROR(IF(AL130*AM130=0,"",AL130*AM130),"")</f>
        <v/>
      </c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L130">
        <f>IFERROR(INDEX('_names_lookup'!$C:$C,MATCH(BK130,'_names_lookup'!$A:$A,0)),"")</f>
        <v/>
      </c>
      <c r="BM130">
        <f>IFERROR(INDEX('_names_lookup'!$B:$B,MATCH(BK130,'_names_lookup'!$A:$A,0)),"")</f>
        <v/>
      </c>
      <c r="BS130">
        <f>IFERROR(IF(BR130*AA130=0,"",BR130*AA130),"")</f>
        <v/>
      </c>
    </row>
    <row r="131">
      <c r="O131">
        <f>IFERROR(INDEX('_courses_lookup'!$C:$C,MATCH(K131&amp;L131,'_courses_lookup'!$E:$E,0)),"")</f>
        <v/>
      </c>
      <c r="P131">
        <f>IFERROR(INDEX('_courses_lookup'!$D:$D,MATCH(K131&amp;L131,'_courses_lookup'!$E:$E,0)),"")</f>
        <v/>
      </c>
      <c r="AG131">
        <f>IF(AND(AE131&lt;&gt;"",AF131&lt;&gt;""),ROUNDUP((AF131-AE131)/7,0),"")</f>
        <v/>
      </c>
      <c r="AI131">
        <f>IFERROR(IF(AG131*AH131=0,"",AG131*AH131),"")</f>
        <v/>
      </c>
      <c r="AL131">
        <f>IF(AND(AJ131&lt;&gt;"",AK131&lt;&gt;""),ROUNDUP((AK131-AJ131)/7,0),"")</f>
        <v/>
      </c>
      <c r="AN131">
        <f>IFERROR(IF(AL131*AM131=0,"",AL131*AM131),"")</f>
        <v/>
      </c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L131">
        <f>IFERROR(INDEX('_names_lookup'!$C:$C,MATCH(BK131,'_names_lookup'!$A:$A,0)),"")</f>
        <v/>
      </c>
      <c r="BM131">
        <f>IFERROR(INDEX('_names_lookup'!$B:$B,MATCH(BK131,'_names_lookup'!$A:$A,0)),"")</f>
        <v/>
      </c>
      <c r="BS131">
        <f>IFERROR(IF(BR131*AA131=0,"",BR131*AA131),"")</f>
        <v/>
      </c>
    </row>
    <row r="132">
      <c r="O132">
        <f>IFERROR(INDEX('_courses_lookup'!$C:$C,MATCH(K132&amp;L132,'_courses_lookup'!$E:$E,0)),"")</f>
        <v/>
      </c>
      <c r="P132">
        <f>IFERROR(INDEX('_courses_lookup'!$D:$D,MATCH(K132&amp;L132,'_courses_lookup'!$E:$E,0)),"")</f>
        <v/>
      </c>
      <c r="AG132">
        <f>IF(AND(AE132&lt;&gt;"",AF132&lt;&gt;""),ROUNDUP((AF132-AE132)/7,0),"")</f>
        <v/>
      </c>
      <c r="AI132">
        <f>IFERROR(IF(AG132*AH132=0,"",AG132*AH132),"")</f>
        <v/>
      </c>
      <c r="AL132">
        <f>IF(AND(AJ132&lt;&gt;"",AK132&lt;&gt;""),ROUNDUP((AK132-AJ132)/7,0),"")</f>
        <v/>
      </c>
      <c r="AN132">
        <f>IFERROR(IF(AL132*AM132=0,"",AL132*AM132),"")</f>
        <v/>
      </c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L132">
        <f>IFERROR(INDEX('_names_lookup'!$C:$C,MATCH(BK132,'_names_lookup'!$A:$A,0)),"")</f>
        <v/>
      </c>
      <c r="BM132">
        <f>IFERROR(INDEX('_names_lookup'!$B:$B,MATCH(BK132,'_names_lookup'!$A:$A,0)),"")</f>
        <v/>
      </c>
      <c r="BS132">
        <f>IFERROR(IF(BR132*AA132=0,"",BR132*AA132),"")</f>
        <v/>
      </c>
    </row>
    <row r="133">
      <c r="O133">
        <f>IFERROR(INDEX('_courses_lookup'!$C:$C,MATCH(K133&amp;L133,'_courses_lookup'!$E:$E,0)),"")</f>
        <v/>
      </c>
      <c r="P133">
        <f>IFERROR(INDEX('_courses_lookup'!$D:$D,MATCH(K133&amp;L133,'_courses_lookup'!$E:$E,0)),"")</f>
        <v/>
      </c>
      <c r="AG133">
        <f>IF(AND(AE133&lt;&gt;"",AF133&lt;&gt;""),ROUNDUP((AF133-AE133)/7,0),"")</f>
        <v/>
      </c>
      <c r="AI133">
        <f>IFERROR(IF(AG133*AH133=0,"",AG133*AH133),"")</f>
        <v/>
      </c>
      <c r="AL133">
        <f>IF(AND(AJ133&lt;&gt;"",AK133&lt;&gt;""),ROUNDUP((AK133-AJ133)/7,0),"")</f>
        <v/>
      </c>
      <c r="AN133">
        <f>IFERROR(IF(AL133*AM133=0,"",AL133*AM133),"")</f>
        <v/>
      </c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L133">
        <f>IFERROR(INDEX('_names_lookup'!$C:$C,MATCH(BK133,'_names_lookup'!$A:$A,0)),"")</f>
        <v/>
      </c>
      <c r="BM133">
        <f>IFERROR(INDEX('_names_lookup'!$B:$B,MATCH(BK133,'_names_lookup'!$A:$A,0)),"")</f>
        <v/>
      </c>
      <c r="BS133">
        <f>IFERROR(IF(BR133*AA133=0,"",BR133*AA133),"")</f>
        <v/>
      </c>
    </row>
    <row r="134">
      <c r="O134">
        <f>IFERROR(INDEX('_courses_lookup'!$C:$C,MATCH(K134&amp;L134,'_courses_lookup'!$E:$E,0)),"")</f>
        <v/>
      </c>
      <c r="P134">
        <f>IFERROR(INDEX('_courses_lookup'!$D:$D,MATCH(K134&amp;L134,'_courses_lookup'!$E:$E,0)),"")</f>
        <v/>
      </c>
      <c r="AG134">
        <f>IF(AND(AE134&lt;&gt;"",AF134&lt;&gt;""),ROUNDUP((AF134-AE134)/7,0),"")</f>
        <v/>
      </c>
      <c r="AI134">
        <f>IFERROR(IF(AG134*AH134=0,"",AG134*AH134),"")</f>
        <v/>
      </c>
      <c r="AL134">
        <f>IF(AND(AJ134&lt;&gt;"",AK134&lt;&gt;""),ROUNDUP((AK134-AJ134)/7,0),"")</f>
        <v/>
      </c>
      <c r="AN134">
        <f>IFERROR(IF(AL134*AM134=0,"",AL134*AM134),"")</f>
        <v/>
      </c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L134">
        <f>IFERROR(INDEX('_names_lookup'!$C:$C,MATCH(BK134,'_names_lookup'!$A:$A,0)),"")</f>
        <v/>
      </c>
      <c r="BM134">
        <f>IFERROR(INDEX('_names_lookup'!$B:$B,MATCH(BK134,'_names_lookup'!$A:$A,0)),"")</f>
        <v/>
      </c>
      <c r="BS134">
        <f>IFERROR(IF(BR134*AA134=0,"",BR134*AA134),"")</f>
        <v/>
      </c>
    </row>
    <row r="135">
      <c r="O135">
        <f>IFERROR(INDEX('_courses_lookup'!$C:$C,MATCH(K135&amp;L135,'_courses_lookup'!$E:$E,0)),"")</f>
        <v/>
      </c>
      <c r="P135">
        <f>IFERROR(INDEX('_courses_lookup'!$D:$D,MATCH(K135&amp;L135,'_courses_lookup'!$E:$E,0)),"")</f>
        <v/>
      </c>
      <c r="AG135">
        <f>IF(AND(AE135&lt;&gt;"",AF135&lt;&gt;""),ROUNDUP((AF135-AE135)/7,0),"")</f>
        <v/>
      </c>
      <c r="AI135">
        <f>IFERROR(IF(AG135*AH135=0,"",AG135*AH135),"")</f>
        <v/>
      </c>
      <c r="AL135">
        <f>IF(AND(AJ135&lt;&gt;"",AK135&lt;&gt;""),ROUNDUP((AK135-AJ135)/7,0),"")</f>
        <v/>
      </c>
      <c r="AN135">
        <f>IFERROR(IF(AL135*AM135=0,"",AL135*AM135),"")</f>
        <v/>
      </c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L135">
        <f>IFERROR(INDEX('_names_lookup'!$C:$C,MATCH(BK135,'_names_lookup'!$A:$A,0)),"")</f>
        <v/>
      </c>
      <c r="BM135">
        <f>IFERROR(INDEX('_names_lookup'!$B:$B,MATCH(BK135,'_names_lookup'!$A:$A,0)),"")</f>
        <v/>
      </c>
      <c r="BS135">
        <f>IFERROR(IF(BR135*AA135=0,"",BR135*AA135),"")</f>
        <v/>
      </c>
    </row>
    <row r="136">
      <c r="O136">
        <f>IFERROR(INDEX('_courses_lookup'!$C:$C,MATCH(K136&amp;L136,'_courses_lookup'!$E:$E,0)),"")</f>
        <v/>
      </c>
      <c r="P136">
        <f>IFERROR(INDEX('_courses_lookup'!$D:$D,MATCH(K136&amp;L136,'_courses_lookup'!$E:$E,0)),"")</f>
        <v/>
      </c>
      <c r="AG136">
        <f>IF(AND(AE136&lt;&gt;"",AF136&lt;&gt;""),ROUNDUP((AF136-AE136)/7,0),"")</f>
        <v/>
      </c>
      <c r="AI136">
        <f>IFERROR(IF(AG136*AH136=0,"",AG136*AH136),"")</f>
        <v/>
      </c>
      <c r="AL136">
        <f>IF(AND(AJ136&lt;&gt;"",AK136&lt;&gt;""),ROUNDUP((AK136-AJ136)/7,0),"")</f>
        <v/>
      </c>
      <c r="AN136">
        <f>IFERROR(IF(AL136*AM136=0,"",AL136*AM136),"")</f>
        <v/>
      </c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L136">
        <f>IFERROR(INDEX('_names_lookup'!$C:$C,MATCH(BK136,'_names_lookup'!$A:$A,0)),"")</f>
        <v/>
      </c>
      <c r="BM136">
        <f>IFERROR(INDEX('_names_lookup'!$B:$B,MATCH(BK136,'_names_lookup'!$A:$A,0)),"")</f>
        <v/>
      </c>
      <c r="BS136">
        <f>IFERROR(IF(BR136*AA136=0,"",BR136*AA136),"")</f>
        <v/>
      </c>
    </row>
    <row r="137">
      <c r="O137">
        <f>IFERROR(INDEX('_courses_lookup'!$C:$C,MATCH(K137&amp;L137,'_courses_lookup'!$E:$E,0)),"")</f>
        <v/>
      </c>
      <c r="P137">
        <f>IFERROR(INDEX('_courses_lookup'!$D:$D,MATCH(K137&amp;L137,'_courses_lookup'!$E:$E,0)),"")</f>
        <v/>
      </c>
      <c r="AG137">
        <f>IF(AND(AE137&lt;&gt;"",AF137&lt;&gt;""),ROUNDUP((AF137-AE137)/7,0),"")</f>
        <v/>
      </c>
      <c r="AI137">
        <f>IFERROR(IF(AG137*AH137=0,"",AG137*AH137),"")</f>
        <v/>
      </c>
      <c r="AL137">
        <f>IF(AND(AJ137&lt;&gt;"",AK137&lt;&gt;""),ROUNDUP((AK137-AJ137)/7,0),"")</f>
        <v/>
      </c>
      <c r="AN137">
        <f>IFERROR(IF(AL137*AM137=0,"",AL137*AM137),"")</f>
        <v/>
      </c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L137">
        <f>IFERROR(INDEX('_names_lookup'!$C:$C,MATCH(BK137,'_names_lookup'!$A:$A,0)),"")</f>
        <v/>
      </c>
      <c r="BM137">
        <f>IFERROR(INDEX('_names_lookup'!$B:$B,MATCH(BK137,'_names_lookup'!$A:$A,0)),"")</f>
        <v/>
      </c>
      <c r="BS137">
        <f>IFERROR(IF(BR137*AA137=0,"",BR137*AA137),"")</f>
        <v/>
      </c>
    </row>
    <row r="138">
      <c r="O138">
        <f>IFERROR(INDEX('_courses_lookup'!$C:$C,MATCH(K138&amp;L138,'_courses_lookup'!$E:$E,0)),"")</f>
        <v/>
      </c>
      <c r="P138">
        <f>IFERROR(INDEX('_courses_lookup'!$D:$D,MATCH(K138&amp;L138,'_courses_lookup'!$E:$E,0)),"")</f>
        <v/>
      </c>
      <c r="AG138">
        <f>IF(AND(AE138&lt;&gt;"",AF138&lt;&gt;""),ROUNDUP((AF138-AE138)/7,0),"")</f>
        <v/>
      </c>
      <c r="AI138">
        <f>IFERROR(IF(AG138*AH138=0,"",AG138*AH138),"")</f>
        <v/>
      </c>
      <c r="AL138">
        <f>IF(AND(AJ138&lt;&gt;"",AK138&lt;&gt;""),ROUNDUP((AK138-AJ138)/7,0),"")</f>
        <v/>
      </c>
      <c r="AN138">
        <f>IFERROR(IF(AL138*AM138=0,"",AL138*AM138),"")</f>
        <v/>
      </c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L138">
        <f>IFERROR(INDEX('_names_lookup'!$C:$C,MATCH(BK138,'_names_lookup'!$A:$A,0)),"")</f>
        <v/>
      </c>
      <c r="BM138">
        <f>IFERROR(INDEX('_names_lookup'!$B:$B,MATCH(BK138,'_names_lookup'!$A:$A,0)),"")</f>
        <v/>
      </c>
      <c r="BS138">
        <f>IFERROR(IF(BR138*AA138=0,"",BR138*AA138),"")</f>
        <v/>
      </c>
    </row>
    <row r="139">
      <c r="O139">
        <f>IFERROR(INDEX('_courses_lookup'!$C:$C,MATCH(K139&amp;L139,'_courses_lookup'!$E:$E,0)),"")</f>
        <v/>
      </c>
      <c r="P139">
        <f>IFERROR(INDEX('_courses_lookup'!$D:$D,MATCH(K139&amp;L139,'_courses_lookup'!$E:$E,0)),"")</f>
        <v/>
      </c>
      <c r="AG139">
        <f>IF(AND(AE139&lt;&gt;"",AF139&lt;&gt;""),ROUNDUP((AF139-AE139)/7,0),"")</f>
        <v/>
      </c>
      <c r="AI139">
        <f>IFERROR(IF(AG139*AH139=0,"",AG139*AH139),"")</f>
        <v/>
      </c>
      <c r="AL139">
        <f>IF(AND(AJ139&lt;&gt;"",AK139&lt;&gt;""),ROUNDUP((AK139-AJ139)/7,0),"")</f>
        <v/>
      </c>
      <c r="AN139">
        <f>IFERROR(IF(AL139*AM139=0,"",AL139*AM139),"")</f>
        <v/>
      </c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L139">
        <f>IFERROR(INDEX('_names_lookup'!$C:$C,MATCH(BK139,'_names_lookup'!$A:$A,0)),"")</f>
        <v/>
      </c>
      <c r="BM139">
        <f>IFERROR(INDEX('_names_lookup'!$B:$B,MATCH(BK139,'_names_lookup'!$A:$A,0)),"")</f>
        <v/>
      </c>
      <c r="BS139">
        <f>IFERROR(IF(BR139*AA139=0,"",BR139*AA139),"")</f>
        <v/>
      </c>
    </row>
    <row r="140">
      <c r="O140">
        <f>IFERROR(INDEX('_courses_lookup'!$C:$C,MATCH(K140&amp;L140,'_courses_lookup'!$E:$E,0)),"")</f>
        <v/>
      </c>
      <c r="P140">
        <f>IFERROR(INDEX('_courses_lookup'!$D:$D,MATCH(K140&amp;L140,'_courses_lookup'!$E:$E,0)),"")</f>
        <v/>
      </c>
      <c r="AG140">
        <f>IF(AND(AE140&lt;&gt;"",AF140&lt;&gt;""),ROUNDUP((AF140-AE140)/7,0),"")</f>
        <v/>
      </c>
      <c r="AI140">
        <f>IFERROR(IF(AG140*AH140=0,"",AG140*AH140),"")</f>
        <v/>
      </c>
      <c r="AL140">
        <f>IF(AND(AJ140&lt;&gt;"",AK140&lt;&gt;""),ROUNDUP((AK140-AJ140)/7,0),"")</f>
        <v/>
      </c>
      <c r="AN140">
        <f>IFERROR(IF(AL140*AM140=0,"",AL140*AM140),"")</f>
        <v/>
      </c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L140">
        <f>IFERROR(INDEX('_names_lookup'!$C:$C,MATCH(BK140,'_names_lookup'!$A:$A,0)),"")</f>
        <v/>
      </c>
      <c r="BM140">
        <f>IFERROR(INDEX('_names_lookup'!$B:$B,MATCH(BK140,'_names_lookup'!$A:$A,0)),"")</f>
        <v/>
      </c>
      <c r="BS140">
        <f>IFERROR(IF(BR140*AA140=0,"",BR140*AA140),"")</f>
        <v/>
      </c>
    </row>
    <row r="141">
      <c r="O141">
        <f>IFERROR(INDEX('_courses_lookup'!$C:$C,MATCH(K141&amp;L141,'_courses_lookup'!$E:$E,0)),"")</f>
        <v/>
      </c>
      <c r="P141">
        <f>IFERROR(INDEX('_courses_lookup'!$D:$D,MATCH(K141&amp;L141,'_courses_lookup'!$E:$E,0)),"")</f>
        <v/>
      </c>
      <c r="AG141">
        <f>IF(AND(AE141&lt;&gt;"",AF141&lt;&gt;""),ROUNDUP((AF141-AE141)/7,0),"")</f>
        <v/>
      </c>
      <c r="AI141">
        <f>IFERROR(IF(AG141*AH141=0,"",AG141*AH141),"")</f>
        <v/>
      </c>
      <c r="AL141">
        <f>IF(AND(AJ141&lt;&gt;"",AK141&lt;&gt;""),ROUNDUP((AK141-AJ141)/7,0),"")</f>
        <v/>
      </c>
      <c r="AN141">
        <f>IFERROR(IF(AL141*AM141=0,"",AL141*AM141),"")</f>
        <v/>
      </c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L141">
        <f>IFERROR(INDEX('_names_lookup'!$C:$C,MATCH(BK141,'_names_lookup'!$A:$A,0)),"")</f>
        <v/>
      </c>
      <c r="BM141">
        <f>IFERROR(INDEX('_names_lookup'!$B:$B,MATCH(BK141,'_names_lookup'!$A:$A,0)),"")</f>
        <v/>
      </c>
      <c r="BS141">
        <f>IFERROR(IF(BR141*AA141=0,"",BR141*AA141),"")</f>
        <v/>
      </c>
    </row>
    <row r="142">
      <c r="O142">
        <f>IFERROR(INDEX('_courses_lookup'!$C:$C,MATCH(K142&amp;L142,'_courses_lookup'!$E:$E,0)),"")</f>
        <v/>
      </c>
      <c r="P142">
        <f>IFERROR(INDEX('_courses_lookup'!$D:$D,MATCH(K142&amp;L142,'_courses_lookup'!$E:$E,0)),"")</f>
        <v/>
      </c>
      <c r="AG142">
        <f>IF(AND(AE142&lt;&gt;"",AF142&lt;&gt;""),ROUNDUP((AF142-AE142)/7,0),"")</f>
        <v/>
      </c>
      <c r="AI142">
        <f>IFERROR(IF(AG142*AH142=0,"",AG142*AH142),"")</f>
        <v/>
      </c>
      <c r="AL142">
        <f>IF(AND(AJ142&lt;&gt;"",AK142&lt;&gt;""),ROUNDUP((AK142-AJ142)/7,0),"")</f>
        <v/>
      </c>
      <c r="AN142">
        <f>IFERROR(IF(AL142*AM142=0,"",AL142*AM142),"")</f>
        <v/>
      </c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L142">
        <f>IFERROR(INDEX('_names_lookup'!$C:$C,MATCH(BK142,'_names_lookup'!$A:$A,0)),"")</f>
        <v/>
      </c>
      <c r="BM142">
        <f>IFERROR(INDEX('_names_lookup'!$B:$B,MATCH(BK142,'_names_lookup'!$A:$A,0)),"")</f>
        <v/>
      </c>
      <c r="BS142">
        <f>IFERROR(IF(BR142*AA142=0,"",BR142*AA142),"")</f>
        <v/>
      </c>
    </row>
    <row r="143">
      <c r="O143">
        <f>IFERROR(INDEX('_courses_lookup'!$C:$C,MATCH(K143&amp;L143,'_courses_lookup'!$E:$E,0)),"")</f>
        <v/>
      </c>
      <c r="P143">
        <f>IFERROR(INDEX('_courses_lookup'!$D:$D,MATCH(K143&amp;L143,'_courses_lookup'!$E:$E,0)),"")</f>
        <v/>
      </c>
      <c r="AG143">
        <f>IF(AND(AE143&lt;&gt;"",AF143&lt;&gt;""),ROUNDUP((AF143-AE143)/7,0),"")</f>
        <v/>
      </c>
      <c r="AI143">
        <f>IFERROR(IF(AG143*AH143=0,"",AG143*AH143),"")</f>
        <v/>
      </c>
      <c r="AL143">
        <f>IF(AND(AJ143&lt;&gt;"",AK143&lt;&gt;""),ROUNDUP((AK143-AJ143)/7,0),"")</f>
        <v/>
      </c>
      <c r="AN143">
        <f>IFERROR(IF(AL143*AM143=0,"",AL143*AM143),"")</f>
        <v/>
      </c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L143">
        <f>IFERROR(INDEX('_names_lookup'!$C:$C,MATCH(BK143,'_names_lookup'!$A:$A,0)),"")</f>
        <v/>
      </c>
      <c r="BM143">
        <f>IFERROR(INDEX('_names_lookup'!$B:$B,MATCH(BK143,'_names_lookup'!$A:$A,0)),"")</f>
        <v/>
      </c>
      <c r="BS143">
        <f>IFERROR(IF(BR143*AA143=0,"",BR143*AA143),"")</f>
        <v/>
      </c>
    </row>
    <row r="144">
      <c r="O144">
        <f>IFERROR(INDEX('_courses_lookup'!$C:$C,MATCH(K144&amp;L144,'_courses_lookup'!$E:$E,0)),"")</f>
        <v/>
      </c>
      <c r="P144">
        <f>IFERROR(INDEX('_courses_lookup'!$D:$D,MATCH(K144&amp;L144,'_courses_lookup'!$E:$E,0)),"")</f>
        <v/>
      </c>
      <c r="AG144">
        <f>IF(AND(AE144&lt;&gt;"",AF144&lt;&gt;""),ROUNDUP((AF144-AE144)/7,0),"")</f>
        <v/>
      </c>
      <c r="AI144">
        <f>IFERROR(IF(AG144*AH144=0,"",AG144*AH144),"")</f>
        <v/>
      </c>
      <c r="AL144">
        <f>IF(AND(AJ144&lt;&gt;"",AK144&lt;&gt;""),ROUNDUP((AK144-AJ144)/7,0),"")</f>
        <v/>
      </c>
      <c r="AN144">
        <f>IFERROR(IF(AL144*AM144=0,"",AL144*AM144),"")</f>
        <v/>
      </c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L144">
        <f>IFERROR(INDEX('_names_lookup'!$C:$C,MATCH(BK144,'_names_lookup'!$A:$A,0)),"")</f>
        <v/>
      </c>
      <c r="BM144">
        <f>IFERROR(INDEX('_names_lookup'!$B:$B,MATCH(BK144,'_names_lookup'!$A:$A,0)),"")</f>
        <v/>
      </c>
      <c r="BS144">
        <f>IFERROR(IF(BR144*AA144=0,"",BR144*AA144),"")</f>
        <v/>
      </c>
    </row>
    <row r="145">
      <c r="O145">
        <f>IFERROR(INDEX('_courses_lookup'!$C:$C,MATCH(K145&amp;L145,'_courses_lookup'!$E:$E,0)),"")</f>
        <v/>
      </c>
      <c r="P145">
        <f>IFERROR(INDEX('_courses_lookup'!$D:$D,MATCH(K145&amp;L145,'_courses_lookup'!$E:$E,0)),"")</f>
        <v/>
      </c>
      <c r="AG145">
        <f>IF(AND(AE145&lt;&gt;"",AF145&lt;&gt;""),ROUNDUP((AF145-AE145)/7,0),"")</f>
        <v/>
      </c>
      <c r="AI145">
        <f>IFERROR(IF(AG145*AH145=0,"",AG145*AH145),"")</f>
        <v/>
      </c>
      <c r="AL145">
        <f>IF(AND(AJ145&lt;&gt;"",AK145&lt;&gt;""),ROUNDUP((AK145-AJ145)/7,0),"")</f>
        <v/>
      </c>
      <c r="AN145">
        <f>IFERROR(IF(AL145*AM145=0,"",AL145*AM145),"")</f>
        <v/>
      </c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L145">
        <f>IFERROR(INDEX('_names_lookup'!$C:$C,MATCH(BK145,'_names_lookup'!$A:$A,0)),"")</f>
        <v/>
      </c>
      <c r="BM145">
        <f>IFERROR(INDEX('_names_lookup'!$B:$B,MATCH(BK145,'_names_lookup'!$A:$A,0)),"")</f>
        <v/>
      </c>
      <c r="BS145">
        <f>IFERROR(IF(BR145*AA145=0,"",BR145*AA145),"")</f>
        <v/>
      </c>
    </row>
    <row r="146">
      <c r="O146">
        <f>IFERROR(INDEX('_courses_lookup'!$C:$C,MATCH(K146&amp;L146,'_courses_lookup'!$E:$E,0)),"")</f>
        <v/>
      </c>
      <c r="P146">
        <f>IFERROR(INDEX('_courses_lookup'!$D:$D,MATCH(K146&amp;L146,'_courses_lookup'!$E:$E,0)),"")</f>
        <v/>
      </c>
      <c r="AG146">
        <f>IF(AND(AE146&lt;&gt;"",AF146&lt;&gt;""),ROUNDUP((AF146-AE146)/7,0),"")</f>
        <v/>
      </c>
      <c r="AI146">
        <f>IFERROR(IF(AG146*AH146=0,"",AG146*AH146),"")</f>
        <v/>
      </c>
      <c r="AL146">
        <f>IF(AND(AJ146&lt;&gt;"",AK146&lt;&gt;""),ROUNDUP((AK146-AJ146)/7,0),"")</f>
        <v/>
      </c>
      <c r="AN146">
        <f>IFERROR(IF(AL146*AM146=0,"",AL146*AM146),"")</f>
        <v/>
      </c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L146">
        <f>IFERROR(INDEX('_names_lookup'!$C:$C,MATCH(BK146,'_names_lookup'!$A:$A,0)),"")</f>
        <v/>
      </c>
      <c r="BM146">
        <f>IFERROR(INDEX('_names_lookup'!$B:$B,MATCH(BK146,'_names_lookup'!$A:$A,0)),"")</f>
        <v/>
      </c>
      <c r="BS146">
        <f>IFERROR(IF(BR146*AA146=0,"",BR146*AA146),"")</f>
        <v/>
      </c>
    </row>
    <row r="147">
      <c r="O147">
        <f>IFERROR(INDEX('_courses_lookup'!$C:$C,MATCH(K147&amp;L147,'_courses_lookup'!$E:$E,0)),"")</f>
        <v/>
      </c>
      <c r="P147">
        <f>IFERROR(INDEX('_courses_lookup'!$D:$D,MATCH(K147&amp;L147,'_courses_lookup'!$E:$E,0)),"")</f>
        <v/>
      </c>
      <c r="AG147">
        <f>IF(AND(AE147&lt;&gt;"",AF147&lt;&gt;""),ROUNDUP((AF147-AE147)/7,0),"")</f>
        <v/>
      </c>
      <c r="AI147">
        <f>IFERROR(IF(AG147*AH147=0,"",AG147*AH147),"")</f>
        <v/>
      </c>
      <c r="AL147">
        <f>IF(AND(AJ147&lt;&gt;"",AK147&lt;&gt;""),ROUNDUP((AK147-AJ147)/7,0),"")</f>
        <v/>
      </c>
      <c r="AN147">
        <f>IFERROR(IF(AL147*AM147=0,"",AL147*AM147),"")</f>
        <v/>
      </c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L147">
        <f>IFERROR(INDEX('_names_lookup'!$C:$C,MATCH(BK147,'_names_lookup'!$A:$A,0)),"")</f>
        <v/>
      </c>
      <c r="BM147">
        <f>IFERROR(INDEX('_names_lookup'!$B:$B,MATCH(BK147,'_names_lookup'!$A:$A,0)),"")</f>
        <v/>
      </c>
      <c r="BS147">
        <f>IFERROR(IF(BR147*AA147=0,"",BR147*AA147),"")</f>
        <v/>
      </c>
    </row>
    <row r="148">
      <c r="O148">
        <f>IFERROR(INDEX('_courses_lookup'!$C:$C,MATCH(K148&amp;L148,'_courses_lookup'!$E:$E,0)),"")</f>
        <v/>
      </c>
      <c r="P148">
        <f>IFERROR(INDEX('_courses_lookup'!$D:$D,MATCH(K148&amp;L148,'_courses_lookup'!$E:$E,0)),"")</f>
        <v/>
      </c>
      <c r="AG148">
        <f>IF(AND(AE148&lt;&gt;"",AF148&lt;&gt;""),ROUNDUP((AF148-AE148)/7,0),"")</f>
        <v/>
      </c>
      <c r="AI148">
        <f>IFERROR(IF(AG148*AH148=0,"",AG148*AH148),"")</f>
        <v/>
      </c>
      <c r="AL148">
        <f>IF(AND(AJ148&lt;&gt;"",AK148&lt;&gt;""),ROUNDUP((AK148-AJ148)/7,0),"")</f>
        <v/>
      </c>
      <c r="AN148">
        <f>IFERROR(IF(AL148*AM148=0,"",AL148*AM148),"")</f>
        <v/>
      </c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L148">
        <f>IFERROR(INDEX('_names_lookup'!$C:$C,MATCH(BK148,'_names_lookup'!$A:$A,0)),"")</f>
        <v/>
      </c>
      <c r="BM148">
        <f>IFERROR(INDEX('_names_lookup'!$B:$B,MATCH(BK148,'_names_lookup'!$A:$A,0)),"")</f>
        <v/>
      </c>
      <c r="BS148">
        <f>IFERROR(IF(BR148*AA148=0,"",BR148*AA148),"")</f>
        <v/>
      </c>
    </row>
    <row r="149">
      <c r="O149">
        <f>IFERROR(INDEX('_courses_lookup'!$C:$C,MATCH(K149&amp;L149,'_courses_lookup'!$E:$E,0)),"")</f>
        <v/>
      </c>
      <c r="P149">
        <f>IFERROR(INDEX('_courses_lookup'!$D:$D,MATCH(K149&amp;L149,'_courses_lookup'!$E:$E,0)),"")</f>
        <v/>
      </c>
      <c r="AG149">
        <f>IF(AND(AE149&lt;&gt;"",AF149&lt;&gt;""),ROUNDUP((AF149-AE149)/7,0),"")</f>
        <v/>
      </c>
      <c r="AI149">
        <f>IFERROR(IF(AG149*AH149=0,"",AG149*AH149),"")</f>
        <v/>
      </c>
      <c r="AL149">
        <f>IF(AND(AJ149&lt;&gt;"",AK149&lt;&gt;""),ROUNDUP((AK149-AJ149)/7,0),"")</f>
        <v/>
      </c>
      <c r="AN149">
        <f>IFERROR(IF(AL149*AM149=0,"",AL149*AM149),"")</f>
        <v/>
      </c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L149">
        <f>IFERROR(INDEX('_names_lookup'!$C:$C,MATCH(BK149,'_names_lookup'!$A:$A,0)),"")</f>
        <v/>
      </c>
      <c r="BM149">
        <f>IFERROR(INDEX('_names_lookup'!$B:$B,MATCH(BK149,'_names_lookup'!$A:$A,0)),"")</f>
        <v/>
      </c>
      <c r="BS149">
        <f>IFERROR(IF(BR149*AA149=0,"",BR149*AA149),"")</f>
        <v/>
      </c>
    </row>
    <row r="150">
      <c r="O150">
        <f>IFERROR(INDEX('_courses_lookup'!$C:$C,MATCH(K150&amp;L150,'_courses_lookup'!$E:$E,0)),"")</f>
        <v/>
      </c>
      <c r="P150">
        <f>IFERROR(INDEX('_courses_lookup'!$D:$D,MATCH(K150&amp;L150,'_courses_lookup'!$E:$E,0)),"")</f>
        <v/>
      </c>
      <c r="AG150">
        <f>IF(AND(AE150&lt;&gt;"",AF150&lt;&gt;""),ROUNDUP((AF150-AE150)/7,0),"")</f>
        <v/>
      </c>
      <c r="AI150">
        <f>IFERROR(IF(AG150*AH150=0,"",AG150*AH150),"")</f>
        <v/>
      </c>
      <c r="AL150">
        <f>IF(AND(AJ150&lt;&gt;"",AK150&lt;&gt;""),ROUNDUP((AK150-AJ150)/7,0),"")</f>
        <v/>
      </c>
      <c r="AN150">
        <f>IFERROR(IF(AL150*AM150=0,"",AL150*AM150),"")</f>
        <v/>
      </c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L150">
        <f>IFERROR(INDEX('_names_lookup'!$C:$C,MATCH(BK150,'_names_lookup'!$A:$A,0)),"")</f>
        <v/>
      </c>
      <c r="BM150">
        <f>IFERROR(INDEX('_names_lookup'!$B:$B,MATCH(BK150,'_names_lookup'!$A:$A,0)),"")</f>
        <v/>
      </c>
      <c r="BS150">
        <f>IFERROR(IF(BR150*AA150=0,"",BR150*AA150),"")</f>
        <v/>
      </c>
    </row>
    <row r="151">
      <c r="O151">
        <f>IFERROR(INDEX('_courses_lookup'!$C:$C,MATCH(K151&amp;L151,'_courses_lookup'!$E:$E,0)),"")</f>
        <v/>
      </c>
      <c r="P151">
        <f>IFERROR(INDEX('_courses_lookup'!$D:$D,MATCH(K151&amp;L151,'_courses_lookup'!$E:$E,0)),"")</f>
        <v/>
      </c>
      <c r="AG151">
        <f>IF(AND(AE151&lt;&gt;"",AF151&lt;&gt;""),ROUNDUP((AF151-AE151)/7,0),"")</f>
        <v/>
      </c>
      <c r="AI151">
        <f>IFERROR(IF(AG151*AH151=0,"",AG151*AH151),"")</f>
        <v/>
      </c>
      <c r="AL151">
        <f>IF(AND(AJ151&lt;&gt;"",AK151&lt;&gt;""),ROUNDUP((AK151-AJ151)/7,0),"")</f>
        <v/>
      </c>
      <c r="AN151">
        <f>IFERROR(IF(AL151*AM151=0,"",AL151*AM151),"")</f>
        <v/>
      </c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L151">
        <f>IFERROR(INDEX('_names_lookup'!$C:$C,MATCH(BK151,'_names_lookup'!$A:$A,0)),"")</f>
        <v/>
      </c>
      <c r="BM151">
        <f>IFERROR(INDEX('_names_lookup'!$B:$B,MATCH(BK151,'_names_lookup'!$A:$A,0)),"")</f>
        <v/>
      </c>
      <c r="BS151">
        <f>IFERROR(IF(BR151*AA151=0,"",BR151*AA151),"")</f>
        <v/>
      </c>
    </row>
    <row r="152">
      <c r="O152">
        <f>IFERROR(INDEX('_courses_lookup'!$C:$C,MATCH(K152&amp;L152,'_courses_lookup'!$E:$E,0)),"")</f>
        <v/>
      </c>
      <c r="P152">
        <f>IFERROR(INDEX('_courses_lookup'!$D:$D,MATCH(K152&amp;L152,'_courses_lookup'!$E:$E,0)),"")</f>
        <v/>
      </c>
      <c r="AG152">
        <f>IF(AND(AE152&lt;&gt;"",AF152&lt;&gt;""),ROUNDUP((AF152-AE152)/7,0),"")</f>
        <v/>
      </c>
      <c r="AI152">
        <f>IFERROR(IF(AG152*AH152=0,"",AG152*AH152),"")</f>
        <v/>
      </c>
      <c r="AL152">
        <f>IF(AND(AJ152&lt;&gt;"",AK152&lt;&gt;""),ROUNDUP((AK152-AJ152)/7,0),"")</f>
        <v/>
      </c>
      <c r="AN152">
        <f>IFERROR(IF(AL152*AM152=0,"",AL152*AM152),"")</f>
        <v/>
      </c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L152">
        <f>IFERROR(INDEX('_names_lookup'!$C:$C,MATCH(BK152,'_names_lookup'!$A:$A,0)),"")</f>
        <v/>
      </c>
      <c r="BM152">
        <f>IFERROR(INDEX('_names_lookup'!$B:$B,MATCH(BK152,'_names_lookup'!$A:$A,0)),"")</f>
        <v/>
      </c>
      <c r="BS152">
        <f>IFERROR(IF(BR152*AA152=0,"",BR152*AA152),"")</f>
        <v/>
      </c>
    </row>
    <row r="153">
      <c r="O153">
        <f>IFERROR(INDEX('_courses_lookup'!$C:$C,MATCH(K153&amp;L153,'_courses_lookup'!$E:$E,0)),"")</f>
        <v/>
      </c>
      <c r="P153">
        <f>IFERROR(INDEX('_courses_lookup'!$D:$D,MATCH(K153&amp;L153,'_courses_lookup'!$E:$E,0)),"")</f>
        <v/>
      </c>
      <c r="AG153">
        <f>IF(AND(AE153&lt;&gt;"",AF153&lt;&gt;""),ROUNDUP((AF153-AE153)/7,0),"")</f>
        <v/>
      </c>
      <c r="AI153">
        <f>IFERROR(IF(AG153*AH153=0,"",AG153*AH153),"")</f>
        <v/>
      </c>
      <c r="AL153">
        <f>IF(AND(AJ153&lt;&gt;"",AK153&lt;&gt;""),ROUNDUP((AK153-AJ153)/7,0),"")</f>
        <v/>
      </c>
      <c r="AN153">
        <f>IFERROR(IF(AL153*AM153=0,"",AL153*AM153),"")</f>
        <v/>
      </c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L153">
        <f>IFERROR(INDEX('_names_lookup'!$C:$C,MATCH(BK153,'_names_lookup'!$A:$A,0)),"")</f>
        <v/>
      </c>
      <c r="BM153">
        <f>IFERROR(INDEX('_names_lookup'!$B:$B,MATCH(BK153,'_names_lookup'!$A:$A,0)),"")</f>
        <v/>
      </c>
      <c r="BS153">
        <f>IFERROR(IF(BR153*AA153=0,"",BR153*AA153),"")</f>
        <v/>
      </c>
    </row>
    <row r="154">
      <c r="O154">
        <f>IFERROR(INDEX('_courses_lookup'!$C:$C,MATCH(K154&amp;L154,'_courses_lookup'!$E:$E,0)),"")</f>
        <v/>
      </c>
      <c r="P154">
        <f>IFERROR(INDEX('_courses_lookup'!$D:$D,MATCH(K154&amp;L154,'_courses_lookup'!$E:$E,0)),"")</f>
        <v/>
      </c>
      <c r="AG154">
        <f>IF(AND(AE154&lt;&gt;"",AF154&lt;&gt;""),ROUNDUP((AF154-AE154)/7,0),"")</f>
        <v/>
      </c>
      <c r="AI154">
        <f>IFERROR(IF(AG154*AH154=0,"",AG154*AH154),"")</f>
        <v/>
      </c>
      <c r="AL154">
        <f>IF(AND(AJ154&lt;&gt;"",AK154&lt;&gt;""),ROUNDUP((AK154-AJ154)/7,0),"")</f>
        <v/>
      </c>
      <c r="AN154">
        <f>IFERROR(IF(AL154*AM154=0,"",AL154*AM154),"")</f>
        <v/>
      </c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L154">
        <f>IFERROR(INDEX('_names_lookup'!$C:$C,MATCH(BK154,'_names_lookup'!$A:$A,0)),"")</f>
        <v/>
      </c>
      <c r="BM154">
        <f>IFERROR(INDEX('_names_lookup'!$B:$B,MATCH(BK154,'_names_lookup'!$A:$A,0)),"")</f>
        <v/>
      </c>
      <c r="BS154">
        <f>IFERROR(IF(BR154*AA154=0,"",BR154*AA154),"")</f>
        <v/>
      </c>
    </row>
    <row r="155">
      <c r="O155">
        <f>IFERROR(INDEX('_courses_lookup'!$C:$C,MATCH(K155&amp;L155,'_courses_lookup'!$E:$E,0)),"")</f>
        <v/>
      </c>
      <c r="P155">
        <f>IFERROR(INDEX('_courses_lookup'!$D:$D,MATCH(K155&amp;L155,'_courses_lookup'!$E:$E,0)),"")</f>
        <v/>
      </c>
      <c r="AG155">
        <f>IF(AND(AE155&lt;&gt;"",AF155&lt;&gt;""),ROUNDUP((AF155-AE155)/7,0),"")</f>
        <v/>
      </c>
      <c r="AI155">
        <f>IFERROR(IF(AG155*AH155=0,"",AG155*AH155),"")</f>
        <v/>
      </c>
      <c r="AL155">
        <f>IF(AND(AJ155&lt;&gt;"",AK155&lt;&gt;""),ROUNDUP((AK155-AJ155)/7,0),"")</f>
        <v/>
      </c>
      <c r="AN155">
        <f>IFERROR(IF(AL155*AM155=0,"",AL155*AM155),"")</f>
        <v/>
      </c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L155">
        <f>IFERROR(INDEX('_names_lookup'!$C:$C,MATCH(BK155,'_names_lookup'!$A:$A,0)),"")</f>
        <v/>
      </c>
      <c r="BM155">
        <f>IFERROR(INDEX('_names_lookup'!$B:$B,MATCH(BK155,'_names_lookup'!$A:$A,0)),"")</f>
        <v/>
      </c>
      <c r="BS155">
        <f>IFERROR(IF(BR155*AA155=0,"",BR155*AA155),"")</f>
        <v/>
      </c>
    </row>
    <row r="156">
      <c r="O156">
        <f>IFERROR(INDEX('_courses_lookup'!$C:$C,MATCH(K156&amp;L156,'_courses_lookup'!$E:$E,0)),"")</f>
        <v/>
      </c>
      <c r="P156">
        <f>IFERROR(INDEX('_courses_lookup'!$D:$D,MATCH(K156&amp;L156,'_courses_lookup'!$E:$E,0)),"")</f>
        <v/>
      </c>
      <c r="AG156">
        <f>IF(AND(AE156&lt;&gt;"",AF156&lt;&gt;""),ROUNDUP((AF156-AE156)/7,0),"")</f>
        <v/>
      </c>
      <c r="AI156">
        <f>IFERROR(IF(AG156*AH156=0,"",AG156*AH156),"")</f>
        <v/>
      </c>
      <c r="AL156">
        <f>IF(AND(AJ156&lt;&gt;"",AK156&lt;&gt;""),ROUNDUP((AK156-AJ156)/7,0),"")</f>
        <v/>
      </c>
      <c r="AN156">
        <f>IFERROR(IF(AL156*AM156=0,"",AL156*AM156),"")</f>
        <v/>
      </c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L156">
        <f>IFERROR(INDEX('_names_lookup'!$C:$C,MATCH(BK156,'_names_lookup'!$A:$A,0)),"")</f>
        <v/>
      </c>
      <c r="BM156">
        <f>IFERROR(INDEX('_names_lookup'!$B:$B,MATCH(BK156,'_names_lookup'!$A:$A,0)),"")</f>
        <v/>
      </c>
      <c r="BS156">
        <f>IFERROR(IF(BR156*AA156=0,"",BR156*AA156),"")</f>
        <v/>
      </c>
    </row>
    <row r="157">
      <c r="O157">
        <f>IFERROR(INDEX('_courses_lookup'!$C:$C,MATCH(K157&amp;L157,'_courses_lookup'!$E:$E,0)),"")</f>
        <v/>
      </c>
      <c r="P157">
        <f>IFERROR(INDEX('_courses_lookup'!$D:$D,MATCH(K157&amp;L157,'_courses_lookup'!$E:$E,0)),"")</f>
        <v/>
      </c>
      <c r="AG157">
        <f>IF(AND(AE157&lt;&gt;"",AF157&lt;&gt;""),ROUNDUP((AF157-AE157)/7,0),"")</f>
        <v/>
      </c>
      <c r="AI157">
        <f>IFERROR(IF(AG157*AH157=0,"",AG157*AH157),"")</f>
        <v/>
      </c>
      <c r="AL157">
        <f>IF(AND(AJ157&lt;&gt;"",AK157&lt;&gt;""),ROUNDUP((AK157-AJ157)/7,0),"")</f>
        <v/>
      </c>
      <c r="AN157">
        <f>IFERROR(IF(AL157*AM157=0,"",AL157*AM157),"")</f>
        <v/>
      </c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L157">
        <f>IFERROR(INDEX('_names_lookup'!$C:$C,MATCH(BK157,'_names_lookup'!$A:$A,0)),"")</f>
        <v/>
      </c>
      <c r="BM157">
        <f>IFERROR(INDEX('_names_lookup'!$B:$B,MATCH(BK157,'_names_lookup'!$A:$A,0)),"")</f>
        <v/>
      </c>
      <c r="BS157">
        <f>IFERROR(IF(BR157*AA157=0,"",BR157*AA157),"")</f>
        <v/>
      </c>
    </row>
    <row r="158">
      <c r="O158">
        <f>IFERROR(INDEX('_courses_lookup'!$C:$C,MATCH(K158&amp;L158,'_courses_lookup'!$E:$E,0)),"")</f>
        <v/>
      </c>
      <c r="P158">
        <f>IFERROR(INDEX('_courses_lookup'!$D:$D,MATCH(K158&amp;L158,'_courses_lookup'!$E:$E,0)),"")</f>
        <v/>
      </c>
      <c r="AG158">
        <f>IF(AND(AE158&lt;&gt;"",AF158&lt;&gt;""),ROUNDUP((AF158-AE158)/7,0),"")</f>
        <v/>
      </c>
      <c r="AI158">
        <f>IFERROR(IF(AG158*AH158=0,"",AG158*AH158),"")</f>
        <v/>
      </c>
      <c r="AL158">
        <f>IF(AND(AJ158&lt;&gt;"",AK158&lt;&gt;""),ROUNDUP((AK158-AJ158)/7,0),"")</f>
        <v/>
      </c>
      <c r="AN158">
        <f>IFERROR(IF(AL158*AM158=0,"",AL158*AM158),"")</f>
        <v/>
      </c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L158">
        <f>IFERROR(INDEX('_names_lookup'!$C:$C,MATCH(BK158,'_names_lookup'!$A:$A,0)),"")</f>
        <v/>
      </c>
      <c r="BM158">
        <f>IFERROR(INDEX('_names_lookup'!$B:$B,MATCH(BK158,'_names_lookup'!$A:$A,0)),"")</f>
        <v/>
      </c>
      <c r="BS158">
        <f>IFERROR(IF(BR158*AA158=0,"",BR158*AA158),"")</f>
        <v/>
      </c>
    </row>
    <row r="159">
      <c r="O159">
        <f>IFERROR(INDEX('_courses_lookup'!$C:$C,MATCH(K159&amp;L159,'_courses_lookup'!$E:$E,0)),"")</f>
        <v/>
      </c>
      <c r="P159">
        <f>IFERROR(INDEX('_courses_lookup'!$D:$D,MATCH(K159&amp;L159,'_courses_lookup'!$E:$E,0)),"")</f>
        <v/>
      </c>
      <c r="AG159">
        <f>IF(AND(AE159&lt;&gt;"",AF159&lt;&gt;""),ROUNDUP((AF159-AE159)/7,0),"")</f>
        <v/>
      </c>
      <c r="AI159">
        <f>IFERROR(IF(AG159*AH159=0,"",AG159*AH159),"")</f>
        <v/>
      </c>
      <c r="AL159">
        <f>IF(AND(AJ159&lt;&gt;"",AK159&lt;&gt;""),ROUNDUP((AK159-AJ159)/7,0),"")</f>
        <v/>
      </c>
      <c r="AN159">
        <f>IFERROR(IF(AL159*AM159=0,"",AL159*AM159),"")</f>
        <v/>
      </c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L159">
        <f>IFERROR(INDEX('_names_lookup'!$C:$C,MATCH(BK159,'_names_lookup'!$A:$A,0)),"")</f>
        <v/>
      </c>
      <c r="BM159">
        <f>IFERROR(INDEX('_names_lookup'!$B:$B,MATCH(BK159,'_names_lookup'!$A:$A,0)),"")</f>
        <v/>
      </c>
      <c r="BS159">
        <f>IFERROR(IF(BR159*AA159=0,"",BR159*AA159),"")</f>
        <v/>
      </c>
    </row>
    <row r="160">
      <c r="O160">
        <f>IFERROR(INDEX('_courses_lookup'!$C:$C,MATCH(K160&amp;L160,'_courses_lookup'!$E:$E,0)),"")</f>
        <v/>
      </c>
      <c r="P160">
        <f>IFERROR(INDEX('_courses_lookup'!$D:$D,MATCH(K160&amp;L160,'_courses_lookup'!$E:$E,0)),"")</f>
        <v/>
      </c>
      <c r="AG160">
        <f>IF(AND(AE160&lt;&gt;"",AF160&lt;&gt;""),ROUNDUP((AF160-AE160)/7,0),"")</f>
        <v/>
      </c>
      <c r="AI160">
        <f>IFERROR(IF(AG160*AH160=0,"",AG160*AH160),"")</f>
        <v/>
      </c>
      <c r="AL160">
        <f>IF(AND(AJ160&lt;&gt;"",AK160&lt;&gt;""),ROUNDUP((AK160-AJ160)/7,0),"")</f>
        <v/>
      </c>
      <c r="AN160">
        <f>IFERROR(IF(AL160*AM160=0,"",AL160*AM160),"")</f>
        <v/>
      </c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L160">
        <f>IFERROR(INDEX('_names_lookup'!$C:$C,MATCH(BK160,'_names_lookup'!$A:$A,0)),"")</f>
        <v/>
      </c>
      <c r="BM160">
        <f>IFERROR(INDEX('_names_lookup'!$B:$B,MATCH(BK160,'_names_lookup'!$A:$A,0)),"")</f>
        <v/>
      </c>
      <c r="BS160">
        <f>IFERROR(IF(BR160*AA160=0,"",BR160*AA160),"")</f>
        <v/>
      </c>
    </row>
    <row r="161">
      <c r="O161">
        <f>IFERROR(INDEX('_courses_lookup'!$C:$C,MATCH(K161&amp;L161,'_courses_lookup'!$E:$E,0)),"")</f>
        <v/>
      </c>
      <c r="P161">
        <f>IFERROR(INDEX('_courses_lookup'!$D:$D,MATCH(K161&amp;L161,'_courses_lookup'!$E:$E,0)),"")</f>
        <v/>
      </c>
      <c r="AG161">
        <f>IF(AND(AE161&lt;&gt;"",AF161&lt;&gt;""),ROUNDUP((AF161-AE161)/7,0),"")</f>
        <v/>
      </c>
      <c r="AI161">
        <f>IFERROR(IF(AG161*AH161=0,"",AG161*AH161),"")</f>
        <v/>
      </c>
      <c r="AL161">
        <f>IF(AND(AJ161&lt;&gt;"",AK161&lt;&gt;""),ROUNDUP((AK161-AJ161)/7,0),"")</f>
        <v/>
      </c>
      <c r="AN161">
        <f>IFERROR(IF(AL161*AM161=0,"",AL161*AM161),"")</f>
        <v/>
      </c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L161">
        <f>IFERROR(INDEX('_names_lookup'!$C:$C,MATCH(BK161,'_names_lookup'!$A:$A,0)),"")</f>
        <v/>
      </c>
      <c r="BM161">
        <f>IFERROR(INDEX('_names_lookup'!$B:$B,MATCH(BK161,'_names_lookup'!$A:$A,0)),"")</f>
        <v/>
      </c>
      <c r="BS161">
        <f>IFERROR(IF(BR161*AA161=0,"",BR161*AA161),"")</f>
        <v/>
      </c>
    </row>
    <row r="162">
      <c r="O162">
        <f>IFERROR(INDEX('_courses_lookup'!$C:$C,MATCH(K162&amp;L162,'_courses_lookup'!$E:$E,0)),"")</f>
        <v/>
      </c>
      <c r="P162">
        <f>IFERROR(INDEX('_courses_lookup'!$D:$D,MATCH(K162&amp;L162,'_courses_lookup'!$E:$E,0)),"")</f>
        <v/>
      </c>
      <c r="AG162">
        <f>IF(AND(AE162&lt;&gt;"",AF162&lt;&gt;""),ROUNDUP((AF162-AE162)/7,0),"")</f>
        <v/>
      </c>
      <c r="AI162">
        <f>IFERROR(IF(AG162*AH162=0,"",AG162*AH162),"")</f>
        <v/>
      </c>
      <c r="AL162">
        <f>IF(AND(AJ162&lt;&gt;"",AK162&lt;&gt;""),ROUNDUP((AK162-AJ162)/7,0),"")</f>
        <v/>
      </c>
      <c r="AN162">
        <f>IFERROR(IF(AL162*AM162=0,"",AL162*AM162),"")</f>
        <v/>
      </c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L162">
        <f>IFERROR(INDEX('_names_lookup'!$C:$C,MATCH(BK162,'_names_lookup'!$A:$A,0)),"")</f>
        <v/>
      </c>
      <c r="BM162">
        <f>IFERROR(INDEX('_names_lookup'!$B:$B,MATCH(BK162,'_names_lookup'!$A:$A,0)),"")</f>
        <v/>
      </c>
      <c r="BS162">
        <f>IFERROR(IF(BR162*AA162=0,"",BR162*AA162),"")</f>
        <v/>
      </c>
    </row>
    <row r="163">
      <c r="O163">
        <f>IFERROR(INDEX('_courses_lookup'!$C:$C,MATCH(K163&amp;L163,'_courses_lookup'!$E:$E,0)),"")</f>
        <v/>
      </c>
      <c r="P163">
        <f>IFERROR(INDEX('_courses_lookup'!$D:$D,MATCH(K163&amp;L163,'_courses_lookup'!$E:$E,0)),"")</f>
        <v/>
      </c>
      <c r="AG163">
        <f>IF(AND(AE163&lt;&gt;"",AF163&lt;&gt;""),ROUNDUP((AF163-AE163)/7,0),"")</f>
        <v/>
      </c>
      <c r="AI163">
        <f>IFERROR(IF(AG163*AH163=0,"",AG163*AH163),"")</f>
        <v/>
      </c>
      <c r="AL163">
        <f>IF(AND(AJ163&lt;&gt;"",AK163&lt;&gt;""),ROUNDUP((AK163-AJ163)/7,0),"")</f>
        <v/>
      </c>
      <c r="AN163">
        <f>IFERROR(IF(AL163*AM163=0,"",AL163*AM163),"")</f>
        <v/>
      </c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L163">
        <f>IFERROR(INDEX('_names_lookup'!$C:$C,MATCH(BK163,'_names_lookup'!$A:$A,0)),"")</f>
        <v/>
      </c>
      <c r="BM163">
        <f>IFERROR(INDEX('_names_lookup'!$B:$B,MATCH(BK163,'_names_lookup'!$A:$A,0)),"")</f>
        <v/>
      </c>
      <c r="BS163">
        <f>IFERROR(IF(BR163*AA163=0,"",BR163*AA163),"")</f>
        <v/>
      </c>
    </row>
    <row r="164">
      <c r="O164">
        <f>IFERROR(INDEX('_courses_lookup'!$C:$C,MATCH(K164&amp;L164,'_courses_lookup'!$E:$E,0)),"")</f>
        <v/>
      </c>
      <c r="P164">
        <f>IFERROR(INDEX('_courses_lookup'!$D:$D,MATCH(K164&amp;L164,'_courses_lookup'!$E:$E,0)),"")</f>
        <v/>
      </c>
      <c r="AG164">
        <f>IF(AND(AE164&lt;&gt;"",AF164&lt;&gt;""),ROUNDUP((AF164-AE164)/7,0),"")</f>
        <v/>
      </c>
      <c r="AI164">
        <f>IFERROR(IF(AG164*AH164=0,"",AG164*AH164),"")</f>
        <v/>
      </c>
      <c r="AL164">
        <f>IF(AND(AJ164&lt;&gt;"",AK164&lt;&gt;""),ROUNDUP((AK164-AJ164)/7,0),"")</f>
        <v/>
      </c>
      <c r="AN164">
        <f>IFERROR(IF(AL164*AM164=0,"",AL164*AM164),"")</f>
        <v/>
      </c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L164">
        <f>IFERROR(INDEX('_names_lookup'!$C:$C,MATCH(BK164,'_names_lookup'!$A:$A,0)),"")</f>
        <v/>
      </c>
      <c r="BM164">
        <f>IFERROR(INDEX('_names_lookup'!$B:$B,MATCH(BK164,'_names_lookup'!$A:$A,0)),"")</f>
        <v/>
      </c>
      <c r="BS164">
        <f>IFERROR(IF(BR164*AA164=0,"",BR164*AA164),"")</f>
        <v/>
      </c>
    </row>
    <row r="165">
      <c r="O165">
        <f>IFERROR(INDEX('_courses_lookup'!$C:$C,MATCH(K165&amp;L165,'_courses_lookup'!$E:$E,0)),"")</f>
        <v/>
      </c>
      <c r="P165">
        <f>IFERROR(INDEX('_courses_lookup'!$D:$D,MATCH(K165&amp;L165,'_courses_lookup'!$E:$E,0)),"")</f>
        <v/>
      </c>
      <c r="AG165">
        <f>IF(AND(AE165&lt;&gt;"",AF165&lt;&gt;""),ROUNDUP((AF165-AE165)/7,0),"")</f>
        <v/>
      </c>
      <c r="AI165">
        <f>IFERROR(IF(AG165*AH165=0,"",AG165*AH165),"")</f>
        <v/>
      </c>
      <c r="AL165">
        <f>IF(AND(AJ165&lt;&gt;"",AK165&lt;&gt;""),ROUNDUP((AK165-AJ165)/7,0),"")</f>
        <v/>
      </c>
      <c r="AN165">
        <f>IFERROR(IF(AL165*AM165=0,"",AL165*AM165),"")</f>
        <v/>
      </c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L165">
        <f>IFERROR(INDEX('_names_lookup'!$C:$C,MATCH(BK165,'_names_lookup'!$A:$A,0)),"")</f>
        <v/>
      </c>
      <c r="BM165">
        <f>IFERROR(INDEX('_names_lookup'!$B:$B,MATCH(BK165,'_names_lookup'!$A:$A,0)),"")</f>
        <v/>
      </c>
      <c r="BS165">
        <f>IFERROR(IF(BR165*AA165=0,"",BR165*AA165),"")</f>
        <v/>
      </c>
    </row>
    <row r="166">
      <c r="O166">
        <f>IFERROR(INDEX('_courses_lookup'!$C:$C,MATCH(K166&amp;L166,'_courses_lookup'!$E:$E,0)),"")</f>
        <v/>
      </c>
      <c r="P166">
        <f>IFERROR(INDEX('_courses_lookup'!$D:$D,MATCH(K166&amp;L166,'_courses_lookup'!$E:$E,0)),"")</f>
        <v/>
      </c>
      <c r="AG166">
        <f>IF(AND(AE166&lt;&gt;"",AF166&lt;&gt;""),ROUNDUP((AF166-AE166)/7,0),"")</f>
        <v/>
      </c>
      <c r="AI166">
        <f>IFERROR(IF(AG166*AH166=0,"",AG166*AH166),"")</f>
        <v/>
      </c>
      <c r="AL166">
        <f>IF(AND(AJ166&lt;&gt;"",AK166&lt;&gt;""),ROUNDUP((AK166-AJ166)/7,0),"")</f>
        <v/>
      </c>
      <c r="AN166">
        <f>IFERROR(IF(AL166*AM166=0,"",AL166*AM166),"")</f>
        <v/>
      </c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L166">
        <f>IFERROR(INDEX('_names_lookup'!$C:$C,MATCH(BK166,'_names_lookup'!$A:$A,0)),"")</f>
        <v/>
      </c>
      <c r="BM166">
        <f>IFERROR(INDEX('_names_lookup'!$B:$B,MATCH(BK166,'_names_lookup'!$A:$A,0)),"")</f>
        <v/>
      </c>
      <c r="BS166">
        <f>IFERROR(IF(BR166*AA166=0,"",BR166*AA166),"")</f>
        <v/>
      </c>
    </row>
    <row r="167">
      <c r="O167">
        <f>IFERROR(INDEX('_courses_lookup'!$C:$C,MATCH(K167&amp;L167,'_courses_lookup'!$E:$E,0)),"")</f>
        <v/>
      </c>
      <c r="P167">
        <f>IFERROR(INDEX('_courses_lookup'!$D:$D,MATCH(K167&amp;L167,'_courses_lookup'!$E:$E,0)),"")</f>
        <v/>
      </c>
      <c r="AG167">
        <f>IF(AND(AE167&lt;&gt;"",AF167&lt;&gt;""),ROUNDUP((AF167-AE167)/7,0),"")</f>
        <v/>
      </c>
      <c r="AI167">
        <f>IFERROR(IF(AG167*AH167=0,"",AG167*AH167),"")</f>
        <v/>
      </c>
      <c r="AL167">
        <f>IF(AND(AJ167&lt;&gt;"",AK167&lt;&gt;""),ROUNDUP((AK167-AJ167)/7,0),"")</f>
        <v/>
      </c>
      <c r="AN167">
        <f>IFERROR(IF(AL167*AM167=0,"",AL167*AM167),"")</f>
        <v/>
      </c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L167">
        <f>IFERROR(INDEX('_names_lookup'!$C:$C,MATCH(BK167,'_names_lookup'!$A:$A,0)),"")</f>
        <v/>
      </c>
      <c r="BM167">
        <f>IFERROR(INDEX('_names_lookup'!$B:$B,MATCH(BK167,'_names_lookup'!$A:$A,0)),"")</f>
        <v/>
      </c>
      <c r="BS167">
        <f>IFERROR(IF(BR167*AA167=0,"",BR167*AA167),"")</f>
        <v/>
      </c>
    </row>
    <row r="168">
      <c r="O168">
        <f>IFERROR(INDEX('_courses_lookup'!$C:$C,MATCH(K168&amp;L168,'_courses_lookup'!$E:$E,0)),"")</f>
        <v/>
      </c>
      <c r="P168">
        <f>IFERROR(INDEX('_courses_lookup'!$D:$D,MATCH(K168&amp;L168,'_courses_lookup'!$E:$E,0)),"")</f>
        <v/>
      </c>
      <c r="AG168">
        <f>IF(AND(AE168&lt;&gt;"",AF168&lt;&gt;""),ROUNDUP((AF168-AE168)/7,0),"")</f>
        <v/>
      </c>
      <c r="AI168">
        <f>IFERROR(IF(AG168*AH168=0,"",AG168*AH168),"")</f>
        <v/>
      </c>
      <c r="AL168">
        <f>IF(AND(AJ168&lt;&gt;"",AK168&lt;&gt;""),ROUNDUP((AK168-AJ168)/7,0),"")</f>
        <v/>
      </c>
      <c r="AN168">
        <f>IFERROR(IF(AL168*AM168=0,"",AL168*AM168),"")</f>
        <v/>
      </c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L168">
        <f>IFERROR(INDEX('_names_lookup'!$C:$C,MATCH(BK168,'_names_lookup'!$A:$A,0)),"")</f>
        <v/>
      </c>
      <c r="BM168">
        <f>IFERROR(INDEX('_names_lookup'!$B:$B,MATCH(BK168,'_names_lookup'!$A:$A,0)),"")</f>
        <v/>
      </c>
      <c r="BS168">
        <f>IFERROR(IF(BR168*AA168=0,"",BR168*AA168),"")</f>
        <v/>
      </c>
    </row>
    <row r="169">
      <c r="O169">
        <f>IFERROR(INDEX('_courses_lookup'!$C:$C,MATCH(K169&amp;L169,'_courses_lookup'!$E:$E,0)),"")</f>
        <v/>
      </c>
      <c r="P169">
        <f>IFERROR(INDEX('_courses_lookup'!$D:$D,MATCH(K169&amp;L169,'_courses_lookup'!$E:$E,0)),"")</f>
        <v/>
      </c>
      <c r="AG169">
        <f>IF(AND(AE169&lt;&gt;"",AF169&lt;&gt;""),ROUNDUP((AF169-AE169)/7,0),"")</f>
        <v/>
      </c>
      <c r="AI169">
        <f>IFERROR(IF(AG169*AH169=0,"",AG169*AH169),"")</f>
        <v/>
      </c>
      <c r="AL169">
        <f>IF(AND(AJ169&lt;&gt;"",AK169&lt;&gt;""),ROUNDUP((AK169-AJ169)/7,0),"")</f>
        <v/>
      </c>
      <c r="AN169">
        <f>IFERROR(IF(AL169*AM169=0,"",AL169*AM169),"")</f>
        <v/>
      </c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L169">
        <f>IFERROR(INDEX('_names_lookup'!$C:$C,MATCH(BK169,'_names_lookup'!$A:$A,0)),"")</f>
        <v/>
      </c>
      <c r="BM169">
        <f>IFERROR(INDEX('_names_lookup'!$B:$B,MATCH(BK169,'_names_lookup'!$A:$A,0)),"")</f>
        <v/>
      </c>
      <c r="BS169">
        <f>IFERROR(IF(BR169*AA169=0,"",BR169*AA169),"")</f>
        <v/>
      </c>
    </row>
    <row r="170">
      <c r="O170">
        <f>IFERROR(INDEX('_courses_lookup'!$C:$C,MATCH(K170&amp;L170,'_courses_lookup'!$E:$E,0)),"")</f>
        <v/>
      </c>
      <c r="P170">
        <f>IFERROR(INDEX('_courses_lookup'!$D:$D,MATCH(K170&amp;L170,'_courses_lookup'!$E:$E,0)),"")</f>
        <v/>
      </c>
      <c r="AG170">
        <f>IF(AND(AE170&lt;&gt;"",AF170&lt;&gt;""),ROUNDUP((AF170-AE170)/7,0),"")</f>
        <v/>
      </c>
      <c r="AI170">
        <f>IFERROR(IF(AG170*AH170=0,"",AG170*AH170),"")</f>
        <v/>
      </c>
      <c r="AL170">
        <f>IF(AND(AJ170&lt;&gt;"",AK170&lt;&gt;""),ROUNDUP((AK170-AJ170)/7,0),"")</f>
        <v/>
      </c>
      <c r="AN170">
        <f>IFERROR(IF(AL170*AM170=0,"",AL170*AM170),"")</f>
        <v/>
      </c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L170">
        <f>IFERROR(INDEX('_names_lookup'!$C:$C,MATCH(BK170,'_names_lookup'!$A:$A,0)),"")</f>
        <v/>
      </c>
      <c r="BM170">
        <f>IFERROR(INDEX('_names_lookup'!$B:$B,MATCH(BK170,'_names_lookup'!$A:$A,0)),"")</f>
        <v/>
      </c>
      <c r="BS170">
        <f>IFERROR(IF(BR170*AA170=0,"",BR170*AA170),"")</f>
        <v/>
      </c>
    </row>
    <row r="171">
      <c r="O171">
        <f>IFERROR(INDEX('_courses_lookup'!$C:$C,MATCH(K171&amp;L171,'_courses_lookup'!$E:$E,0)),"")</f>
        <v/>
      </c>
      <c r="P171">
        <f>IFERROR(INDEX('_courses_lookup'!$D:$D,MATCH(K171&amp;L171,'_courses_lookup'!$E:$E,0)),"")</f>
        <v/>
      </c>
      <c r="AG171">
        <f>IF(AND(AE171&lt;&gt;"",AF171&lt;&gt;""),ROUNDUP((AF171-AE171)/7,0),"")</f>
        <v/>
      </c>
      <c r="AI171">
        <f>IFERROR(IF(AG171*AH171=0,"",AG171*AH171),"")</f>
        <v/>
      </c>
      <c r="AL171">
        <f>IF(AND(AJ171&lt;&gt;"",AK171&lt;&gt;""),ROUNDUP((AK171-AJ171)/7,0),"")</f>
        <v/>
      </c>
      <c r="AN171">
        <f>IFERROR(IF(AL171*AM171=0,"",AL171*AM171),"")</f>
        <v/>
      </c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L171">
        <f>IFERROR(INDEX('_names_lookup'!$C:$C,MATCH(BK171,'_names_lookup'!$A:$A,0)),"")</f>
        <v/>
      </c>
      <c r="BM171">
        <f>IFERROR(INDEX('_names_lookup'!$B:$B,MATCH(BK171,'_names_lookup'!$A:$A,0)),"")</f>
        <v/>
      </c>
      <c r="BS171">
        <f>IFERROR(IF(BR171*AA171=0,"",BR171*AA171),"")</f>
        <v/>
      </c>
    </row>
    <row r="172">
      <c r="O172">
        <f>IFERROR(INDEX('_courses_lookup'!$C:$C,MATCH(K172&amp;L172,'_courses_lookup'!$E:$E,0)),"")</f>
        <v/>
      </c>
      <c r="P172">
        <f>IFERROR(INDEX('_courses_lookup'!$D:$D,MATCH(K172&amp;L172,'_courses_lookup'!$E:$E,0)),"")</f>
        <v/>
      </c>
      <c r="AG172">
        <f>IF(AND(AE172&lt;&gt;"",AF172&lt;&gt;""),ROUNDUP((AF172-AE172)/7,0),"")</f>
        <v/>
      </c>
      <c r="AI172">
        <f>IFERROR(IF(AG172*AH172=0,"",AG172*AH172),"")</f>
        <v/>
      </c>
      <c r="AL172">
        <f>IF(AND(AJ172&lt;&gt;"",AK172&lt;&gt;""),ROUNDUP((AK172-AJ172)/7,0),"")</f>
        <v/>
      </c>
      <c r="AN172">
        <f>IFERROR(IF(AL172*AM172=0,"",AL172*AM172),"")</f>
        <v/>
      </c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L172">
        <f>IFERROR(INDEX('_names_lookup'!$C:$C,MATCH(BK172,'_names_lookup'!$A:$A,0)),"")</f>
        <v/>
      </c>
      <c r="BM172">
        <f>IFERROR(INDEX('_names_lookup'!$B:$B,MATCH(BK172,'_names_lookup'!$A:$A,0)),"")</f>
        <v/>
      </c>
      <c r="BS172">
        <f>IFERROR(IF(BR172*AA172=0,"",BR172*AA172),"")</f>
        <v/>
      </c>
    </row>
    <row r="173">
      <c r="O173">
        <f>IFERROR(INDEX('_courses_lookup'!$C:$C,MATCH(K173&amp;L173,'_courses_lookup'!$E:$E,0)),"")</f>
        <v/>
      </c>
      <c r="P173">
        <f>IFERROR(INDEX('_courses_lookup'!$D:$D,MATCH(K173&amp;L173,'_courses_lookup'!$E:$E,0)),"")</f>
        <v/>
      </c>
      <c r="AG173">
        <f>IF(AND(AE173&lt;&gt;"",AF173&lt;&gt;""),ROUNDUP((AF173-AE173)/7,0),"")</f>
        <v/>
      </c>
      <c r="AI173">
        <f>IFERROR(IF(AG173*AH173=0,"",AG173*AH173),"")</f>
        <v/>
      </c>
      <c r="AL173">
        <f>IF(AND(AJ173&lt;&gt;"",AK173&lt;&gt;""),ROUNDUP((AK173-AJ173)/7,0),"")</f>
        <v/>
      </c>
      <c r="AN173">
        <f>IFERROR(IF(AL173*AM173=0,"",AL173*AM173),"")</f>
        <v/>
      </c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L173">
        <f>IFERROR(INDEX('_names_lookup'!$C:$C,MATCH(BK173,'_names_lookup'!$A:$A,0)),"")</f>
        <v/>
      </c>
      <c r="BM173">
        <f>IFERROR(INDEX('_names_lookup'!$B:$B,MATCH(BK173,'_names_lookup'!$A:$A,0)),"")</f>
        <v/>
      </c>
      <c r="BS173">
        <f>IFERROR(IF(BR173*AA173=0,"",BR173*AA173),"")</f>
        <v/>
      </c>
    </row>
    <row r="174">
      <c r="O174">
        <f>IFERROR(INDEX('_courses_lookup'!$C:$C,MATCH(K174&amp;L174,'_courses_lookup'!$E:$E,0)),"")</f>
        <v/>
      </c>
      <c r="P174">
        <f>IFERROR(INDEX('_courses_lookup'!$D:$D,MATCH(K174&amp;L174,'_courses_lookup'!$E:$E,0)),"")</f>
        <v/>
      </c>
      <c r="AG174">
        <f>IF(AND(AE174&lt;&gt;"",AF174&lt;&gt;""),ROUNDUP((AF174-AE174)/7,0),"")</f>
        <v/>
      </c>
      <c r="AI174">
        <f>IFERROR(IF(AG174*AH174=0,"",AG174*AH174),"")</f>
        <v/>
      </c>
      <c r="AL174">
        <f>IF(AND(AJ174&lt;&gt;"",AK174&lt;&gt;""),ROUNDUP((AK174-AJ174)/7,0),"")</f>
        <v/>
      </c>
      <c r="AN174">
        <f>IFERROR(IF(AL174*AM174=0,"",AL174*AM174),"")</f>
        <v/>
      </c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L174">
        <f>IFERROR(INDEX('_names_lookup'!$C:$C,MATCH(BK174,'_names_lookup'!$A:$A,0)),"")</f>
        <v/>
      </c>
      <c r="BM174">
        <f>IFERROR(INDEX('_names_lookup'!$B:$B,MATCH(BK174,'_names_lookup'!$A:$A,0)),"")</f>
        <v/>
      </c>
      <c r="BS174">
        <f>IFERROR(IF(BR174*AA174=0,"",BR174*AA174),"")</f>
        <v/>
      </c>
    </row>
    <row r="175">
      <c r="O175">
        <f>IFERROR(INDEX('_courses_lookup'!$C:$C,MATCH(K175&amp;L175,'_courses_lookup'!$E:$E,0)),"")</f>
        <v/>
      </c>
      <c r="P175">
        <f>IFERROR(INDEX('_courses_lookup'!$D:$D,MATCH(K175&amp;L175,'_courses_lookup'!$E:$E,0)),"")</f>
        <v/>
      </c>
      <c r="AG175">
        <f>IF(AND(AE175&lt;&gt;"",AF175&lt;&gt;""),ROUNDUP((AF175-AE175)/7,0),"")</f>
        <v/>
      </c>
      <c r="AI175">
        <f>IFERROR(IF(AG175*AH175=0,"",AG175*AH175),"")</f>
        <v/>
      </c>
      <c r="AL175">
        <f>IF(AND(AJ175&lt;&gt;"",AK175&lt;&gt;""),ROUNDUP((AK175-AJ175)/7,0),"")</f>
        <v/>
      </c>
      <c r="AN175">
        <f>IFERROR(IF(AL175*AM175=0,"",AL175*AM175),"")</f>
        <v/>
      </c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L175">
        <f>IFERROR(INDEX('_names_lookup'!$C:$C,MATCH(BK175,'_names_lookup'!$A:$A,0)),"")</f>
        <v/>
      </c>
      <c r="BM175">
        <f>IFERROR(INDEX('_names_lookup'!$B:$B,MATCH(BK175,'_names_lookup'!$A:$A,0)),"")</f>
        <v/>
      </c>
      <c r="BS175">
        <f>IFERROR(IF(BR175*AA175=0,"",BR175*AA175),"")</f>
        <v/>
      </c>
    </row>
    <row r="176">
      <c r="O176">
        <f>IFERROR(INDEX('_courses_lookup'!$C:$C,MATCH(K176&amp;L176,'_courses_lookup'!$E:$E,0)),"")</f>
        <v/>
      </c>
      <c r="P176">
        <f>IFERROR(INDEX('_courses_lookup'!$D:$D,MATCH(K176&amp;L176,'_courses_lookup'!$E:$E,0)),"")</f>
        <v/>
      </c>
      <c r="AG176">
        <f>IF(AND(AE176&lt;&gt;"",AF176&lt;&gt;""),ROUNDUP((AF176-AE176)/7,0),"")</f>
        <v/>
      </c>
      <c r="AI176">
        <f>IFERROR(IF(AG176*AH176=0,"",AG176*AH176),"")</f>
        <v/>
      </c>
      <c r="AL176">
        <f>IF(AND(AJ176&lt;&gt;"",AK176&lt;&gt;""),ROUNDUP((AK176-AJ176)/7,0),"")</f>
        <v/>
      </c>
      <c r="AN176">
        <f>IFERROR(IF(AL176*AM176=0,"",AL176*AM176),"")</f>
        <v/>
      </c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L176">
        <f>IFERROR(INDEX('_names_lookup'!$C:$C,MATCH(BK176,'_names_lookup'!$A:$A,0)),"")</f>
        <v/>
      </c>
      <c r="BM176">
        <f>IFERROR(INDEX('_names_lookup'!$B:$B,MATCH(BK176,'_names_lookup'!$A:$A,0)),"")</f>
        <v/>
      </c>
      <c r="BS176">
        <f>IFERROR(IF(BR176*AA176=0,"",BR176*AA176),"")</f>
        <v/>
      </c>
    </row>
    <row r="177">
      <c r="O177">
        <f>IFERROR(INDEX('_courses_lookup'!$C:$C,MATCH(K177&amp;L177,'_courses_lookup'!$E:$E,0)),"")</f>
        <v/>
      </c>
      <c r="P177">
        <f>IFERROR(INDEX('_courses_lookup'!$D:$D,MATCH(K177&amp;L177,'_courses_lookup'!$E:$E,0)),"")</f>
        <v/>
      </c>
      <c r="AG177">
        <f>IF(AND(AE177&lt;&gt;"",AF177&lt;&gt;""),ROUNDUP((AF177-AE177)/7,0),"")</f>
        <v/>
      </c>
      <c r="AI177">
        <f>IFERROR(IF(AG177*AH177=0,"",AG177*AH177),"")</f>
        <v/>
      </c>
      <c r="AL177">
        <f>IF(AND(AJ177&lt;&gt;"",AK177&lt;&gt;""),ROUNDUP((AK177-AJ177)/7,0),"")</f>
        <v/>
      </c>
      <c r="AN177">
        <f>IFERROR(IF(AL177*AM177=0,"",AL177*AM177),"")</f>
        <v/>
      </c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L177">
        <f>IFERROR(INDEX('_names_lookup'!$C:$C,MATCH(BK177,'_names_lookup'!$A:$A,0)),"")</f>
        <v/>
      </c>
      <c r="BM177">
        <f>IFERROR(INDEX('_names_lookup'!$B:$B,MATCH(BK177,'_names_lookup'!$A:$A,0)),"")</f>
        <v/>
      </c>
      <c r="BS177">
        <f>IFERROR(IF(BR177*AA177=0,"",BR177*AA177),"")</f>
        <v/>
      </c>
    </row>
    <row r="178">
      <c r="O178">
        <f>IFERROR(INDEX('_courses_lookup'!$C:$C,MATCH(K178&amp;L178,'_courses_lookup'!$E:$E,0)),"")</f>
        <v/>
      </c>
      <c r="P178">
        <f>IFERROR(INDEX('_courses_lookup'!$D:$D,MATCH(K178&amp;L178,'_courses_lookup'!$E:$E,0)),"")</f>
        <v/>
      </c>
      <c r="AG178">
        <f>IF(AND(AE178&lt;&gt;"",AF178&lt;&gt;""),ROUNDUP((AF178-AE178)/7,0),"")</f>
        <v/>
      </c>
      <c r="AI178">
        <f>IFERROR(IF(AG178*AH178=0,"",AG178*AH178),"")</f>
        <v/>
      </c>
      <c r="AL178">
        <f>IF(AND(AJ178&lt;&gt;"",AK178&lt;&gt;""),ROUNDUP((AK178-AJ178)/7,0),"")</f>
        <v/>
      </c>
      <c r="AN178">
        <f>IFERROR(IF(AL178*AM178=0,"",AL178*AM178),"")</f>
        <v/>
      </c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L178">
        <f>IFERROR(INDEX('_names_lookup'!$C:$C,MATCH(BK178,'_names_lookup'!$A:$A,0)),"")</f>
        <v/>
      </c>
      <c r="BM178">
        <f>IFERROR(INDEX('_names_lookup'!$B:$B,MATCH(BK178,'_names_lookup'!$A:$A,0)),"")</f>
        <v/>
      </c>
      <c r="BS178">
        <f>IFERROR(IF(BR178*AA178=0,"",BR178*AA178),"")</f>
        <v/>
      </c>
    </row>
    <row r="179">
      <c r="O179">
        <f>IFERROR(INDEX('_courses_lookup'!$C:$C,MATCH(K179&amp;L179,'_courses_lookup'!$E:$E,0)),"")</f>
        <v/>
      </c>
      <c r="P179">
        <f>IFERROR(INDEX('_courses_lookup'!$D:$D,MATCH(K179&amp;L179,'_courses_lookup'!$E:$E,0)),"")</f>
        <v/>
      </c>
      <c r="AG179">
        <f>IF(AND(AE179&lt;&gt;"",AF179&lt;&gt;""),ROUNDUP((AF179-AE179)/7,0),"")</f>
        <v/>
      </c>
      <c r="AI179">
        <f>IFERROR(IF(AG179*AH179=0,"",AG179*AH179),"")</f>
        <v/>
      </c>
      <c r="AL179">
        <f>IF(AND(AJ179&lt;&gt;"",AK179&lt;&gt;""),ROUNDUP((AK179-AJ179)/7,0),"")</f>
        <v/>
      </c>
      <c r="AN179">
        <f>IFERROR(IF(AL179*AM179=0,"",AL179*AM179),"")</f>
        <v/>
      </c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L179">
        <f>IFERROR(INDEX('_names_lookup'!$C:$C,MATCH(BK179,'_names_lookup'!$A:$A,0)),"")</f>
        <v/>
      </c>
      <c r="BM179">
        <f>IFERROR(INDEX('_names_lookup'!$B:$B,MATCH(BK179,'_names_lookup'!$A:$A,0)),"")</f>
        <v/>
      </c>
      <c r="BS179">
        <f>IFERROR(IF(BR179*AA179=0,"",BR179*AA179),"")</f>
        <v/>
      </c>
    </row>
    <row r="180">
      <c r="O180">
        <f>IFERROR(INDEX('_courses_lookup'!$C:$C,MATCH(K180&amp;L180,'_courses_lookup'!$E:$E,0)),"")</f>
        <v/>
      </c>
      <c r="P180">
        <f>IFERROR(INDEX('_courses_lookup'!$D:$D,MATCH(K180&amp;L180,'_courses_lookup'!$E:$E,0)),"")</f>
        <v/>
      </c>
      <c r="AG180">
        <f>IF(AND(AE180&lt;&gt;"",AF180&lt;&gt;""),ROUNDUP((AF180-AE180)/7,0),"")</f>
        <v/>
      </c>
      <c r="AI180">
        <f>IFERROR(IF(AG180*AH180=0,"",AG180*AH180),"")</f>
        <v/>
      </c>
      <c r="AL180">
        <f>IF(AND(AJ180&lt;&gt;"",AK180&lt;&gt;""),ROUNDUP((AK180-AJ180)/7,0),"")</f>
        <v/>
      </c>
      <c r="AN180">
        <f>IFERROR(IF(AL180*AM180=0,"",AL180*AM180),"")</f>
        <v/>
      </c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L180">
        <f>IFERROR(INDEX('_names_lookup'!$C:$C,MATCH(BK180,'_names_lookup'!$A:$A,0)),"")</f>
        <v/>
      </c>
      <c r="BM180">
        <f>IFERROR(INDEX('_names_lookup'!$B:$B,MATCH(BK180,'_names_lookup'!$A:$A,0)),"")</f>
        <v/>
      </c>
      <c r="BS180">
        <f>IFERROR(IF(BR180*AA180=0,"",BR180*AA180),"")</f>
        <v/>
      </c>
    </row>
    <row r="181">
      <c r="O181">
        <f>IFERROR(INDEX('_courses_lookup'!$C:$C,MATCH(K181&amp;L181,'_courses_lookup'!$E:$E,0)),"")</f>
        <v/>
      </c>
      <c r="P181">
        <f>IFERROR(INDEX('_courses_lookup'!$D:$D,MATCH(K181&amp;L181,'_courses_lookup'!$E:$E,0)),"")</f>
        <v/>
      </c>
      <c r="AG181">
        <f>IF(AND(AE181&lt;&gt;"",AF181&lt;&gt;""),ROUNDUP((AF181-AE181)/7,0),"")</f>
        <v/>
      </c>
      <c r="AI181">
        <f>IFERROR(IF(AG181*AH181=0,"",AG181*AH181),"")</f>
        <v/>
      </c>
      <c r="AL181">
        <f>IF(AND(AJ181&lt;&gt;"",AK181&lt;&gt;""),ROUNDUP((AK181-AJ181)/7,0),"")</f>
        <v/>
      </c>
      <c r="AN181">
        <f>IFERROR(IF(AL181*AM181=0,"",AL181*AM181),"")</f>
        <v/>
      </c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L181">
        <f>IFERROR(INDEX('_names_lookup'!$C:$C,MATCH(BK181,'_names_lookup'!$A:$A,0)),"")</f>
        <v/>
      </c>
      <c r="BM181">
        <f>IFERROR(INDEX('_names_lookup'!$B:$B,MATCH(BK181,'_names_lookup'!$A:$A,0)),"")</f>
        <v/>
      </c>
      <c r="BS181">
        <f>IFERROR(IF(BR181*AA181=0,"",BR181*AA181),"")</f>
        <v/>
      </c>
    </row>
    <row r="182">
      <c r="O182">
        <f>IFERROR(INDEX('_courses_lookup'!$C:$C,MATCH(K182&amp;L182,'_courses_lookup'!$E:$E,0)),"")</f>
        <v/>
      </c>
      <c r="P182">
        <f>IFERROR(INDEX('_courses_lookup'!$D:$D,MATCH(K182&amp;L182,'_courses_lookup'!$E:$E,0)),"")</f>
        <v/>
      </c>
      <c r="AG182">
        <f>IF(AND(AE182&lt;&gt;"",AF182&lt;&gt;""),ROUNDUP((AF182-AE182)/7,0),"")</f>
        <v/>
      </c>
      <c r="AI182">
        <f>IFERROR(IF(AG182*AH182=0,"",AG182*AH182),"")</f>
        <v/>
      </c>
      <c r="AL182">
        <f>IF(AND(AJ182&lt;&gt;"",AK182&lt;&gt;""),ROUNDUP((AK182-AJ182)/7,0),"")</f>
        <v/>
      </c>
      <c r="AN182">
        <f>IFERROR(IF(AL182*AM182=0,"",AL182*AM182),"")</f>
        <v/>
      </c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L182">
        <f>IFERROR(INDEX('_names_lookup'!$C:$C,MATCH(BK182,'_names_lookup'!$A:$A,0)),"")</f>
        <v/>
      </c>
      <c r="BM182">
        <f>IFERROR(INDEX('_names_lookup'!$B:$B,MATCH(BK182,'_names_lookup'!$A:$A,0)),"")</f>
        <v/>
      </c>
      <c r="BS182">
        <f>IFERROR(IF(BR182*AA182=0,"",BR182*AA182),"")</f>
        <v/>
      </c>
    </row>
    <row r="183">
      <c r="O183">
        <f>IFERROR(INDEX('_courses_lookup'!$C:$C,MATCH(K183&amp;L183,'_courses_lookup'!$E:$E,0)),"")</f>
        <v/>
      </c>
      <c r="P183">
        <f>IFERROR(INDEX('_courses_lookup'!$D:$D,MATCH(K183&amp;L183,'_courses_lookup'!$E:$E,0)),"")</f>
        <v/>
      </c>
      <c r="AG183">
        <f>IF(AND(AE183&lt;&gt;"",AF183&lt;&gt;""),ROUNDUP((AF183-AE183)/7,0),"")</f>
        <v/>
      </c>
      <c r="AI183">
        <f>IFERROR(IF(AG183*AH183=0,"",AG183*AH183),"")</f>
        <v/>
      </c>
      <c r="AL183">
        <f>IF(AND(AJ183&lt;&gt;"",AK183&lt;&gt;""),ROUNDUP((AK183-AJ183)/7,0),"")</f>
        <v/>
      </c>
      <c r="AN183">
        <f>IFERROR(IF(AL183*AM183=0,"",AL183*AM183),"")</f>
        <v/>
      </c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L183">
        <f>IFERROR(INDEX('_names_lookup'!$C:$C,MATCH(BK183,'_names_lookup'!$A:$A,0)),"")</f>
        <v/>
      </c>
      <c r="BM183">
        <f>IFERROR(INDEX('_names_lookup'!$B:$B,MATCH(BK183,'_names_lookup'!$A:$A,0)),"")</f>
        <v/>
      </c>
      <c r="BS183">
        <f>IFERROR(IF(BR183*AA183=0,"",BR183*AA183),"")</f>
        <v/>
      </c>
    </row>
    <row r="184">
      <c r="O184">
        <f>IFERROR(INDEX('_courses_lookup'!$C:$C,MATCH(K184&amp;L184,'_courses_lookup'!$E:$E,0)),"")</f>
        <v/>
      </c>
      <c r="P184">
        <f>IFERROR(INDEX('_courses_lookup'!$D:$D,MATCH(K184&amp;L184,'_courses_lookup'!$E:$E,0)),"")</f>
        <v/>
      </c>
      <c r="AG184">
        <f>IF(AND(AE184&lt;&gt;"",AF184&lt;&gt;""),ROUNDUP((AF184-AE184)/7,0),"")</f>
        <v/>
      </c>
      <c r="AI184">
        <f>IFERROR(IF(AG184*AH184=0,"",AG184*AH184),"")</f>
        <v/>
      </c>
      <c r="AL184">
        <f>IF(AND(AJ184&lt;&gt;"",AK184&lt;&gt;""),ROUNDUP((AK184-AJ184)/7,0),"")</f>
        <v/>
      </c>
      <c r="AN184">
        <f>IFERROR(IF(AL184*AM184=0,"",AL184*AM184),"")</f>
        <v/>
      </c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L184">
        <f>IFERROR(INDEX('_names_lookup'!$C:$C,MATCH(BK184,'_names_lookup'!$A:$A,0)),"")</f>
        <v/>
      </c>
      <c r="BM184">
        <f>IFERROR(INDEX('_names_lookup'!$B:$B,MATCH(BK184,'_names_lookup'!$A:$A,0)),"")</f>
        <v/>
      </c>
      <c r="BS184">
        <f>IFERROR(IF(BR184*AA184=0,"",BR184*AA184),"")</f>
        <v/>
      </c>
    </row>
    <row r="185">
      <c r="O185">
        <f>IFERROR(INDEX('_courses_lookup'!$C:$C,MATCH(K185&amp;L185,'_courses_lookup'!$E:$E,0)),"")</f>
        <v/>
      </c>
      <c r="P185">
        <f>IFERROR(INDEX('_courses_lookup'!$D:$D,MATCH(K185&amp;L185,'_courses_lookup'!$E:$E,0)),"")</f>
        <v/>
      </c>
      <c r="AG185">
        <f>IF(AND(AE185&lt;&gt;"",AF185&lt;&gt;""),ROUNDUP((AF185-AE185)/7,0),"")</f>
        <v/>
      </c>
      <c r="AI185">
        <f>IFERROR(IF(AG185*AH185=0,"",AG185*AH185),"")</f>
        <v/>
      </c>
      <c r="AL185">
        <f>IF(AND(AJ185&lt;&gt;"",AK185&lt;&gt;""),ROUNDUP((AK185-AJ185)/7,0),"")</f>
        <v/>
      </c>
      <c r="AN185">
        <f>IFERROR(IF(AL185*AM185=0,"",AL185*AM185),"")</f>
        <v/>
      </c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L185">
        <f>IFERROR(INDEX('_names_lookup'!$C:$C,MATCH(BK185,'_names_lookup'!$A:$A,0)),"")</f>
        <v/>
      </c>
      <c r="BM185">
        <f>IFERROR(INDEX('_names_lookup'!$B:$B,MATCH(BK185,'_names_lookup'!$A:$A,0)),"")</f>
        <v/>
      </c>
      <c r="BS185">
        <f>IFERROR(IF(BR185*AA185=0,"",BR185*AA185),"")</f>
        <v/>
      </c>
    </row>
    <row r="186">
      <c r="O186">
        <f>IFERROR(INDEX('_courses_lookup'!$C:$C,MATCH(K186&amp;L186,'_courses_lookup'!$E:$E,0)),"")</f>
        <v/>
      </c>
      <c r="P186">
        <f>IFERROR(INDEX('_courses_lookup'!$D:$D,MATCH(K186&amp;L186,'_courses_lookup'!$E:$E,0)),"")</f>
        <v/>
      </c>
      <c r="AG186">
        <f>IF(AND(AE186&lt;&gt;"",AF186&lt;&gt;""),ROUNDUP((AF186-AE186)/7,0),"")</f>
        <v/>
      </c>
      <c r="AI186">
        <f>IFERROR(IF(AG186*AH186=0,"",AG186*AH186),"")</f>
        <v/>
      </c>
      <c r="AL186">
        <f>IF(AND(AJ186&lt;&gt;"",AK186&lt;&gt;""),ROUNDUP((AK186-AJ186)/7,0),"")</f>
        <v/>
      </c>
      <c r="AN186">
        <f>IFERROR(IF(AL186*AM186=0,"",AL186*AM186),"")</f>
        <v/>
      </c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L186">
        <f>IFERROR(INDEX('_names_lookup'!$C:$C,MATCH(BK186,'_names_lookup'!$A:$A,0)),"")</f>
        <v/>
      </c>
      <c r="BM186">
        <f>IFERROR(INDEX('_names_lookup'!$B:$B,MATCH(BK186,'_names_lookup'!$A:$A,0)),"")</f>
        <v/>
      </c>
      <c r="BS186">
        <f>IFERROR(IF(BR186*AA186=0,"",BR186*AA186),"")</f>
        <v/>
      </c>
    </row>
    <row r="187">
      <c r="O187">
        <f>IFERROR(INDEX('_courses_lookup'!$C:$C,MATCH(K187&amp;L187,'_courses_lookup'!$E:$E,0)),"")</f>
        <v/>
      </c>
      <c r="P187">
        <f>IFERROR(INDEX('_courses_lookup'!$D:$D,MATCH(K187&amp;L187,'_courses_lookup'!$E:$E,0)),"")</f>
        <v/>
      </c>
      <c r="AG187">
        <f>IF(AND(AE187&lt;&gt;"",AF187&lt;&gt;""),ROUNDUP((AF187-AE187)/7,0),"")</f>
        <v/>
      </c>
      <c r="AI187">
        <f>IFERROR(IF(AG187*AH187=0,"",AG187*AH187),"")</f>
        <v/>
      </c>
      <c r="AL187">
        <f>IF(AND(AJ187&lt;&gt;"",AK187&lt;&gt;""),ROUNDUP((AK187-AJ187)/7,0),"")</f>
        <v/>
      </c>
      <c r="AN187">
        <f>IFERROR(IF(AL187*AM187=0,"",AL187*AM187),"")</f>
        <v/>
      </c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L187">
        <f>IFERROR(INDEX('_names_lookup'!$C:$C,MATCH(BK187,'_names_lookup'!$A:$A,0)),"")</f>
        <v/>
      </c>
      <c r="BM187">
        <f>IFERROR(INDEX('_names_lookup'!$B:$B,MATCH(BK187,'_names_lookup'!$A:$A,0)),"")</f>
        <v/>
      </c>
      <c r="BS187">
        <f>IFERROR(IF(BR187*AA187=0,"",BR187*AA187),"")</f>
        <v/>
      </c>
    </row>
    <row r="188">
      <c r="O188">
        <f>IFERROR(INDEX('_courses_lookup'!$C:$C,MATCH(K188&amp;L188,'_courses_lookup'!$E:$E,0)),"")</f>
        <v/>
      </c>
      <c r="P188">
        <f>IFERROR(INDEX('_courses_lookup'!$D:$D,MATCH(K188&amp;L188,'_courses_lookup'!$E:$E,0)),"")</f>
        <v/>
      </c>
      <c r="AG188">
        <f>IF(AND(AE188&lt;&gt;"",AF188&lt;&gt;""),ROUNDUP((AF188-AE188)/7,0),"")</f>
        <v/>
      </c>
      <c r="AI188">
        <f>IFERROR(IF(AG188*AH188=0,"",AG188*AH188),"")</f>
        <v/>
      </c>
      <c r="AL188">
        <f>IF(AND(AJ188&lt;&gt;"",AK188&lt;&gt;""),ROUNDUP((AK188-AJ188)/7,0),"")</f>
        <v/>
      </c>
      <c r="AN188">
        <f>IFERROR(IF(AL188*AM188=0,"",AL188*AM188),"")</f>
        <v/>
      </c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L188">
        <f>IFERROR(INDEX('_names_lookup'!$C:$C,MATCH(BK188,'_names_lookup'!$A:$A,0)),"")</f>
        <v/>
      </c>
      <c r="BM188">
        <f>IFERROR(INDEX('_names_lookup'!$B:$B,MATCH(BK188,'_names_lookup'!$A:$A,0)),"")</f>
        <v/>
      </c>
      <c r="BS188">
        <f>IFERROR(IF(BR188*AA188=0,"",BR188*AA188),"")</f>
        <v/>
      </c>
    </row>
    <row r="189">
      <c r="O189">
        <f>IFERROR(INDEX('_courses_lookup'!$C:$C,MATCH(K189&amp;L189,'_courses_lookup'!$E:$E,0)),"")</f>
        <v/>
      </c>
      <c r="P189">
        <f>IFERROR(INDEX('_courses_lookup'!$D:$D,MATCH(K189&amp;L189,'_courses_lookup'!$E:$E,0)),"")</f>
        <v/>
      </c>
      <c r="AG189">
        <f>IF(AND(AE189&lt;&gt;"",AF189&lt;&gt;""),ROUNDUP((AF189-AE189)/7,0),"")</f>
        <v/>
      </c>
      <c r="AI189">
        <f>IFERROR(IF(AG189*AH189=0,"",AG189*AH189),"")</f>
        <v/>
      </c>
      <c r="AL189">
        <f>IF(AND(AJ189&lt;&gt;"",AK189&lt;&gt;""),ROUNDUP((AK189-AJ189)/7,0),"")</f>
        <v/>
      </c>
      <c r="AN189">
        <f>IFERROR(IF(AL189*AM189=0,"",AL189*AM189),"")</f>
        <v/>
      </c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L189">
        <f>IFERROR(INDEX('_names_lookup'!$C:$C,MATCH(BK189,'_names_lookup'!$A:$A,0)),"")</f>
        <v/>
      </c>
      <c r="BM189">
        <f>IFERROR(INDEX('_names_lookup'!$B:$B,MATCH(BK189,'_names_lookup'!$A:$A,0)),"")</f>
        <v/>
      </c>
      <c r="BS189">
        <f>IFERROR(IF(BR189*AA189=0,"",BR189*AA189),"")</f>
        <v/>
      </c>
    </row>
    <row r="190">
      <c r="O190">
        <f>IFERROR(INDEX('_courses_lookup'!$C:$C,MATCH(K190&amp;L190,'_courses_lookup'!$E:$E,0)),"")</f>
        <v/>
      </c>
      <c r="P190">
        <f>IFERROR(INDEX('_courses_lookup'!$D:$D,MATCH(K190&amp;L190,'_courses_lookup'!$E:$E,0)),"")</f>
        <v/>
      </c>
      <c r="AG190">
        <f>IF(AND(AE190&lt;&gt;"",AF190&lt;&gt;""),ROUNDUP((AF190-AE190)/7,0),"")</f>
        <v/>
      </c>
      <c r="AI190">
        <f>IFERROR(IF(AG190*AH190=0,"",AG190*AH190),"")</f>
        <v/>
      </c>
      <c r="AL190">
        <f>IF(AND(AJ190&lt;&gt;"",AK190&lt;&gt;""),ROUNDUP((AK190-AJ190)/7,0),"")</f>
        <v/>
      </c>
      <c r="AN190">
        <f>IFERROR(IF(AL190*AM190=0,"",AL190*AM190),"")</f>
        <v/>
      </c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L190">
        <f>IFERROR(INDEX('_names_lookup'!$C:$C,MATCH(BK190,'_names_lookup'!$A:$A,0)),"")</f>
        <v/>
      </c>
      <c r="BM190">
        <f>IFERROR(INDEX('_names_lookup'!$B:$B,MATCH(BK190,'_names_lookup'!$A:$A,0)),"")</f>
        <v/>
      </c>
      <c r="BS190">
        <f>IFERROR(IF(BR190*AA190=0,"",BR190*AA190),"")</f>
        <v/>
      </c>
    </row>
    <row r="191">
      <c r="O191">
        <f>IFERROR(INDEX('_courses_lookup'!$C:$C,MATCH(K191&amp;L191,'_courses_lookup'!$E:$E,0)),"")</f>
        <v/>
      </c>
      <c r="P191">
        <f>IFERROR(INDEX('_courses_lookup'!$D:$D,MATCH(K191&amp;L191,'_courses_lookup'!$E:$E,0)),"")</f>
        <v/>
      </c>
      <c r="AG191">
        <f>IF(AND(AE191&lt;&gt;"",AF191&lt;&gt;""),ROUNDUP((AF191-AE191)/7,0),"")</f>
        <v/>
      </c>
      <c r="AI191">
        <f>IFERROR(IF(AG191*AH191=0,"",AG191*AH191),"")</f>
        <v/>
      </c>
      <c r="AL191">
        <f>IF(AND(AJ191&lt;&gt;"",AK191&lt;&gt;""),ROUNDUP((AK191-AJ191)/7,0),"")</f>
        <v/>
      </c>
      <c r="AN191">
        <f>IFERROR(IF(AL191*AM191=0,"",AL191*AM191),"")</f>
        <v/>
      </c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L191">
        <f>IFERROR(INDEX('_names_lookup'!$C:$C,MATCH(BK191,'_names_lookup'!$A:$A,0)),"")</f>
        <v/>
      </c>
      <c r="BM191">
        <f>IFERROR(INDEX('_names_lookup'!$B:$B,MATCH(BK191,'_names_lookup'!$A:$A,0)),"")</f>
        <v/>
      </c>
      <c r="BS191">
        <f>IFERROR(IF(BR191*AA191=0,"",BR191*AA191),"")</f>
        <v/>
      </c>
    </row>
    <row r="192">
      <c r="O192">
        <f>IFERROR(INDEX('_courses_lookup'!$C:$C,MATCH(K192&amp;L192,'_courses_lookup'!$E:$E,0)),"")</f>
        <v/>
      </c>
      <c r="P192">
        <f>IFERROR(INDEX('_courses_lookup'!$D:$D,MATCH(K192&amp;L192,'_courses_lookup'!$E:$E,0)),"")</f>
        <v/>
      </c>
      <c r="AG192">
        <f>IF(AND(AE192&lt;&gt;"",AF192&lt;&gt;""),ROUNDUP((AF192-AE192)/7,0),"")</f>
        <v/>
      </c>
      <c r="AI192">
        <f>IFERROR(IF(AG192*AH192=0,"",AG192*AH192),"")</f>
        <v/>
      </c>
      <c r="AL192">
        <f>IF(AND(AJ192&lt;&gt;"",AK192&lt;&gt;""),ROUNDUP((AK192-AJ192)/7,0),"")</f>
        <v/>
      </c>
      <c r="AN192">
        <f>IFERROR(IF(AL192*AM192=0,"",AL192*AM192),"")</f>
        <v/>
      </c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L192">
        <f>IFERROR(INDEX('_names_lookup'!$C:$C,MATCH(BK192,'_names_lookup'!$A:$A,0)),"")</f>
        <v/>
      </c>
      <c r="BM192">
        <f>IFERROR(INDEX('_names_lookup'!$B:$B,MATCH(BK192,'_names_lookup'!$A:$A,0)),"")</f>
        <v/>
      </c>
      <c r="BS192">
        <f>IFERROR(IF(BR192*AA192=0,"",BR192*AA192),"")</f>
        <v/>
      </c>
    </row>
    <row r="193">
      <c r="O193">
        <f>IFERROR(INDEX('_courses_lookup'!$C:$C,MATCH(K193&amp;L193,'_courses_lookup'!$E:$E,0)),"")</f>
        <v/>
      </c>
      <c r="P193">
        <f>IFERROR(INDEX('_courses_lookup'!$D:$D,MATCH(K193&amp;L193,'_courses_lookup'!$E:$E,0)),"")</f>
        <v/>
      </c>
      <c r="AG193">
        <f>IF(AND(AE193&lt;&gt;"",AF193&lt;&gt;""),ROUNDUP((AF193-AE193)/7,0),"")</f>
        <v/>
      </c>
      <c r="AI193">
        <f>IFERROR(IF(AG193*AH193=0,"",AG193*AH193),"")</f>
        <v/>
      </c>
      <c r="AL193">
        <f>IF(AND(AJ193&lt;&gt;"",AK193&lt;&gt;""),ROUNDUP((AK193-AJ193)/7,0),"")</f>
        <v/>
      </c>
      <c r="AN193">
        <f>IFERROR(IF(AL193*AM193=0,"",AL193*AM193),"")</f>
        <v/>
      </c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L193">
        <f>IFERROR(INDEX('_names_lookup'!$C:$C,MATCH(BK193,'_names_lookup'!$A:$A,0)),"")</f>
        <v/>
      </c>
      <c r="BM193">
        <f>IFERROR(INDEX('_names_lookup'!$B:$B,MATCH(BK193,'_names_lookup'!$A:$A,0)),"")</f>
        <v/>
      </c>
      <c r="BS193">
        <f>IFERROR(IF(BR193*AA193=0,"",BR193*AA193),"")</f>
        <v/>
      </c>
    </row>
    <row r="194">
      <c r="O194">
        <f>IFERROR(INDEX('_courses_lookup'!$C:$C,MATCH(K194&amp;L194,'_courses_lookup'!$E:$E,0)),"")</f>
        <v/>
      </c>
      <c r="P194">
        <f>IFERROR(INDEX('_courses_lookup'!$D:$D,MATCH(K194&amp;L194,'_courses_lookup'!$E:$E,0)),"")</f>
        <v/>
      </c>
      <c r="AG194">
        <f>IF(AND(AE194&lt;&gt;"",AF194&lt;&gt;""),ROUNDUP((AF194-AE194)/7,0),"")</f>
        <v/>
      </c>
      <c r="AI194">
        <f>IFERROR(IF(AG194*AH194=0,"",AG194*AH194),"")</f>
        <v/>
      </c>
      <c r="AL194">
        <f>IF(AND(AJ194&lt;&gt;"",AK194&lt;&gt;""),ROUNDUP((AK194-AJ194)/7,0),"")</f>
        <v/>
      </c>
      <c r="AN194">
        <f>IFERROR(IF(AL194*AM194=0,"",AL194*AM194),"")</f>
        <v/>
      </c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L194">
        <f>IFERROR(INDEX('_names_lookup'!$C:$C,MATCH(BK194,'_names_lookup'!$A:$A,0)),"")</f>
        <v/>
      </c>
      <c r="BM194">
        <f>IFERROR(INDEX('_names_lookup'!$B:$B,MATCH(BK194,'_names_lookup'!$A:$A,0)),"")</f>
        <v/>
      </c>
      <c r="BS194">
        <f>IFERROR(IF(BR194*AA194=0,"",BR194*AA194),"")</f>
        <v/>
      </c>
    </row>
    <row r="195">
      <c r="O195">
        <f>IFERROR(INDEX('_courses_lookup'!$C:$C,MATCH(K195&amp;L195,'_courses_lookup'!$E:$E,0)),"")</f>
        <v/>
      </c>
      <c r="P195">
        <f>IFERROR(INDEX('_courses_lookup'!$D:$D,MATCH(K195&amp;L195,'_courses_lookup'!$E:$E,0)),"")</f>
        <v/>
      </c>
      <c r="AG195">
        <f>IF(AND(AE195&lt;&gt;"",AF195&lt;&gt;""),ROUNDUP((AF195-AE195)/7,0),"")</f>
        <v/>
      </c>
      <c r="AI195">
        <f>IFERROR(IF(AG195*AH195=0,"",AG195*AH195),"")</f>
        <v/>
      </c>
      <c r="AL195">
        <f>IF(AND(AJ195&lt;&gt;"",AK195&lt;&gt;""),ROUNDUP((AK195-AJ195)/7,0),"")</f>
        <v/>
      </c>
      <c r="AN195">
        <f>IFERROR(IF(AL195*AM195=0,"",AL195*AM195),"")</f>
        <v/>
      </c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L195">
        <f>IFERROR(INDEX('_names_lookup'!$C:$C,MATCH(BK195,'_names_lookup'!$A:$A,0)),"")</f>
        <v/>
      </c>
      <c r="BM195">
        <f>IFERROR(INDEX('_names_lookup'!$B:$B,MATCH(BK195,'_names_lookup'!$A:$A,0)),"")</f>
        <v/>
      </c>
      <c r="BS195">
        <f>IFERROR(IF(BR195*AA195=0,"",BR195*AA195),"")</f>
        <v/>
      </c>
    </row>
    <row r="196">
      <c r="O196">
        <f>IFERROR(INDEX('_courses_lookup'!$C:$C,MATCH(K196&amp;L196,'_courses_lookup'!$E:$E,0)),"")</f>
        <v/>
      </c>
      <c r="P196">
        <f>IFERROR(INDEX('_courses_lookup'!$D:$D,MATCH(K196&amp;L196,'_courses_lookup'!$E:$E,0)),"")</f>
        <v/>
      </c>
      <c r="AG196">
        <f>IF(AND(AE196&lt;&gt;"",AF196&lt;&gt;""),ROUNDUP((AF196-AE196)/7,0),"")</f>
        <v/>
      </c>
      <c r="AI196">
        <f>IFERROR(IF(AG196*AH196=0,"",AG196*AH196),"")</f>
        <v/>
      </c>
      <c r="AL196">
        <f>IF(AND(AJ196&lt;&gt;"",AK196&lt;&gt;""),ROUNDUP((AK196-AJ196)/7,0),"")</f>
        <v/>
      </c>
      <c r="AN196">
        <f>IFERROR(IF(AL196*AM196=0,"",AL196*AM196),"")</f>
        <v/>
      </c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L196">
        <f>IFERROR(INDEX('_names_lookup'!$C:$C,MATCH(BK196,'_names_lookup'!$A:$A,0)),"")</f>
        <v/>
      </c>
      <c r="BM196">
        <f>IFERROR(INDEX('_names_lookup'!$B:$B,MATCH(BK196,'_names_lookup'!$A:$A,0)),"")</f>
        <v/>
      </c>
      <c r="BS196">
        <f>IFERROR(IF(BR196*AA196=0,"",BR196*AA196),"")</f>
        <v/>
      </c>
    </row>
    <row r="197">
      <c r="O197">
        <f>IFERROR(INDEX('_courses_lookup'!$C:$C,MATCH(K197&amp;L197,'_courses_lookup'!$E:$E,0)),"")</f>
        <v/>
      </c>
      <c r="P197">
        <f>IFERROR(INDEX('_courses_lookup'!$D:$D,MATCH(K197&amp;L197,'_courses_lookup'!$E:$E,0)),"")</f>
        <v/>
      </c>
      <c r="AG197">
        <f>IF(AND(AE197&lt;&gt;"",AF197&lt;&gt;""),ROUNDUP((AF197-AE197)/7,0),"")</f>
        <v/>
      </c>
      <c r="AI197">
        <f>IFERROR(IF(AG197*AH197=0,"",AG197*AH197),"")</f>
        <v/>
      </c>
      <c r="AL197">
        <f>IF(AND(AJ197&lt;&gt;"",AK197&lt;&gt;""),ROUNDUP((AK197-AJ197)/7,0),"")</f>
        <v/>
      </c>
      <c r="AN197">
        <f>IFERROR(IF(AL197*AM197=0,"",AL197*AM197),"")</f>
        <v/>
      </c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L197">
        <f>IFERROR(INDEX('_names_lookup'!$C:$C,MATCH(BK197,'_names_lookup'!$A:$A,0)),"")</f>
        <v/>
      </c>
      <c r="BM197">
        <f>IFERROR(INDEX('_names_lookup'!$B:$B,MATCH(BK197,'_names_lookup'!$A:$A,0)),"")</f>
        <v/>
      </c>
      <c r="BS197">
        <f>IFERROR(IF(BR197*AA197=0,"",BR197*AA197),"")</f>
        <v/>
      </c>
    </row>
    <row r="198">
      <c r="O198">
        <f>IFERROR(INDEX('_courses_lookup'!$C:$C,MATCH(K198&amp;L198,'_courses_lookup'!$E:$E,0)),"")</f>
        <v/>
      </c>
      <c r="P198">
        <f>IFERROR(INDEX('_courses_lookup'!$D:$D,MATCH(K198&amp;L198,'_courses_lookup'!$E:$E,0)),"")</f>
        <v/>
      </c>
      <c r="AG198">
        <f>IF(AND(AE198&lt;&gt;"",AF198&lt;&gt;""),ROUNDUP((AF198-AE198)/7,0),"")</f>
        <v/>
      </c>
      <c r="AI198">
        <f>IFERROR(IF(AG198*AH198=0,"",AG198*AH198),"")</f>
        <v/>
      </c>
      <c r="AL198">
        <f>IF(AND(AJ198&lt;&gt;"",AK198&lt;&gt;""),ROUNDUP((AK198-AJ198)/7,0),"")</f>
        <v/>
      </c>
      <c r="AN198">
        <f>IFERROR(IF(AL198*AM198=0,"",AL198*AM198),"")</f>
        <v/>
      </c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L198">
        <f>IFERROR(INDEX('_names_lookup'!$C:$C,MATCH(BK198,'_names_lookup'!$A:$A,0)),"")</f>
        <v/>
      </c>
      <c r="BM198">
        <f>IFERROR(INDEX('_names_lookup'!$B:$B,MATCH(BK198,'_names_lookup'!$A:$A,0)),"")</f>
        <v/>
      </c>
      <c r="BS198">
        <f>IFERROR(IF(BR198*AA198=0,"",BR198*AA198),"")</f>
        <v/>
      </c>
    </row>
    <row r="199">
      <c r="O199">
        <f>IFERROR(INDEX('_courses_lookup'!$C:$C,MATCH(K199&amp;L199,'_courses_lookup'!$E:$E,0)),"")</f>
        <v/>
      </c>
      <c r="P199">
        <f>IFERROR(INDEX('_courses_lookup'!$D:$D,MATCH(K199&amp;L199,'_courses_lookup'!$E:$E,0)),"")</f>
        <v/>
      </c>
      <c r="AG199">
        <f>IF(AND(AE199&lt;&gt;"",AF199&lt;&gt;""),ROUNDUP((AF199-AE199)/7,0),"")</f>
        <v/>
      </c>
      <c r="AI199">
        <f>IFERROR(IF(AG199*AH199=0,"",AG199*AH199),"")</f>
        <v/>
      </c>
      <c r="AL199">
        <f>IF(AND(AJ199&lt;&gt;"",AK199&lt;&gt;""),ROUNDUP((AK199-AJ199)/7,0),"")</f>
        <v/>
      </c>
      <c r="AN199">
        <f>IFERROR(IF(AL199*AM199=0,"",AL199*AM199),"")</f>
        <v/>
      </c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L199">
        <f>IFERROR(INDEX('_names_lookup'!$C:$C,MATCH(BK199,'_names_lookup'!$A:$A,0)),"")</f>
        <v/>
      </c>
      <c r="BM199">
        <f>IFERROR(INDEX('_names_lookup'!$B:$B,MATCH(BK199,'_names_lookup'!$A:$A,0)),"")</f>
        <v/>
      </c>
      <c r="BS199">
        <f>IFERROR(IF(BR199*AA199=0,"",BR199*AA199),"")</f>
        <v/>
      </c>
    </row>
    <row r="200">
      <c r="O200">
        <f>IFERROR(INDEX('_courses_lookup'!$C:$C,MATCH(K200&amp;L200,'_courses_lookup'!$E:$E,0)),"")</f>
        <v/>
      </c>
      <c r="P200">
        <f>IFERROR(INDEX('_courses_lookup'!$D:$D,MATCH(K200&amp;L200,'_courses_lookup'!$E:$E,0)),"")</f>
        <v/>
      </c>
      <c r="AG200">
        <f>IF(AND(AE200&lt;&gt;"",AF200&lt;&gt;""),ROUNDUP((AF200-AE200)/7,0),"")</f>
        <v/>
      </c>
      <c r="AI200">
        <f>IFERROR(IF(AG200*AH200=0,"",AG200*AH200),"")</f>
        <v/>
      </c>
      <c r="AL200">
        <f>IF(AND(AJ200&lt;&gt;"",AK200&lt;&gt;""),ROUNDUP((AK200-AJ200)/7,0),"")</f>
        <v/>
      </c>
      <c r="AN200">
        <f>IFERROR(IF(AL200*AM200=0,"",AL200*AM200),"")</f>
        <v/>
      </c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L200">
        <f>IFERROR(INDEX('_names_lookup'!$C:$C,MATCH(BK200,'_names_lookup'!$A:$A,0)),"")</f>
        <v/>
      </c>
      <c r="BM200">
        <f>IFERROR(INDEX('_names_lookup'!$B:$B,MATCH(BK200,'_names_lookup'!$A:$A,0)),"")</f>
        <v/>
      </c>
      <c r="BS200">
        <f>IFERROR(IF(BR200*AA200=0,"",BR200*AA200),"")</f>
        <v/>
      </c>
    </row>
    <row r="201">
      <c r="O201">
        <f>IFERROR(INDEX('_courses_lookup'!$C:$C,MATCH(K201&amp;L201,'_courses_lookup'!$E:$E,0)),"")</f>
        <v/>
      </c>
      <c r="P201">
        <f>IFERROR(INDEX('_courses_lookup'!$D:$D,MATCH(K201&amp;L201,'_courses_lookup'!$E:$E,0)),"")</f>
        <v/>
      </c>
      <c r="AG201">
        <f>IF(AND(AE201&lt;&gt;"",AF201&lt;&gt;""),ROUNDUP((AF201-AE201)/7,0),"")</f>
        <v/>
      </c>
      <c r="AI201">
        <f>IFERROR(IF(AG201*AH201=0,"",AG201*AH201),"")</f>
        <v/>
      </c>
      <c r="AL201">
        <f>IF(AND(AJ201&lt;&gt;"",AK201&lt;&gt;""),ROUNDUP((AK201-AJ201)/7,0),"")</f>
        <v/>
      </c>
      <c r="AN201">
        <f>IFERROR(IF(AL201*AM201=0,"",AL201*AM201),"")</f>
        <v/>
      </c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L201">
        <f>IFERROR(INDEX('_names_lookup'!$C:$C,MATCH(BK201,'_names_lookup'!$A:$A,0)),"")</f>
        <v/>
      </c>
      <c r="BM201">
        <f>IFERROR(INDEX('_names_lookup'!$B:$B,MATCH(BK201,'_names_lookup'!$A:$A,0)),"")</f>
        <v/>
      </c>
      <c r="BS201">
        <f>IFERROR(IF(BR201*AA201=0,"",BR201*AA201),"")</f>
        <v/>
      </c>
    </row>
    <row r="202">
      <c r="O202">
        <f>IFERROR(INDEX('_courses_lookup'!$C:$C,MATCH(K202&amp;L202,'_courses_lookup'!$E:$E,0)),"")</f>
        <v/>
      </c>
      <c r="P202">
        <f>IFERROR(INDEX('_courses_lookup'!$D:$D,MATCH(K202&amp;L202,'_courses_lookup'!$E:$E,0)),"")</f>
        <v/>
      </c>
      <c r="AG202">
        <f>IF(AND(AE202&lt;&gt;"",AF202&lt;&gt;""),ROUNDUP((AF202-AE202)/7,0),"")</f>
        <v/>
      </c>
      <c r="AI202">
        <f>IFERROR(IF(AG202*AH202=0,"",AG202*AH202),"")</f>
        <v/>
      </c>
      <c r="AL202">
        <f>IF(AND(AJ202&lt;&gt;"",AK202&lt;&gt;""),ROUNDUP((AK202-AJ202)/7,0),"")</f>
        <v/>
      </c>
      <c r="AN202">
        <f>IFERROR(IF(AL202*AM202=0,"",AL202*AM202),"")</f>
        <v/>
      </c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L202">
        <f>IFERROR(INDEX('_names_lookup'!$C:$C,MATCH(BK202,'_names_lookup'!$A:$A,0)),"")</f>
        <v/>
      </c>
      <c r="BM202">
        <f>IFERROR(INDEX('_names_lookup'!$B:$B,MATCH(BK202,'_names_lookup'!$A:$A,0)),"")</f>
        <v/>
      </c>
      <c r="BS202">
        <f>IFERROR(IF(BR202*AA202=0,"",BR202*AA202),"")</f>
        <v/>
      </c>
    </row>
    <row r="203">
      <c r="O203">
        <f>IFERROR(INDEX('_courses_lookup'!$C:$C,MATCH(K203&amp;L203,'_courses_lookup'!$E:$E,0)),"")</f>
        <v/>
      </c>
      <c r="P203">
        <f>IFERROR(INDEX('_courses_lookup'!$D:$D,MATCH(K203&amp;L203,'_courses_lookup'!$E:$E,0)),"")</f>
        <v/>
      </c>
      <c r="AG203">
        <f>IF(AND(AE203&lt;&gt;"",AF203&lt;&gt;""),ROUNDUP((AF203-AE203)/7,0),"")</f>
        <v/>
      </c>
      <c r="AI203">
        <f>IFERROR(IF(AG203*AH203=0,"",AG203*AH203),"")</f>
        <v/>
      </c>
      <c r="AL203">
        <f>IF(AND(AJ203&lt;&gt;"",AK203&lt;&gt;""),ROUNDUP((AK203-AJ203)/7,0),"")</f>
        <v/>
      </c>
      <c r="AN203">
        <f>IFERROR(IF(AL203*AM203=0,"",AL203*AM203),"")</f>
        <v/>
      </c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L203">
        <f>IFERROR(INDEX('_names_lookup'!$C:$C,MATCH(BK203,'_names_lookup'!$A:$A,0)),"")</f>
        <v/>
      </c>
      <c r="BM203">
        <f>IFERROR(INDEX('_names_lookup'!$B:$B,MATCH(BK203,'_names_lookup'!$A:$A,0)),"")</f>
        <v/>
      </c>
      <c r="BS203">
        <f>IFERROR(IF(BR203*AA203=0,"",BR203*AA203),"")</f>
        <v/>
      </c>
    </row>
    <row r="204">
      <c r="O204">
        <f>IFERROR(INDEX('_courses_lookup'!$C:$C,MATCH(K204&amp;L204,'_courses_lookup'!$E:$E,0)),"")</f>
        <v/>
      </c>
      <c r="P204">
        <f>IFERROR(INDEX('_courses_lookup'!$D:$D,MATCH(K204&amp;L204,'_courses_lookup'!$E:$E,0)),"")</f>
        <v/>
      </c>
      <c r="AG204">
        <f>IF(AND(AE204&lt;&gt;"",AF204&lt;&gt;""),ROUNDUP((AF204-AE204)/7,0),"")</f>
        <v/>
      </c>
      <c r="AI204">
        <f>IFERROR(IF(AG204*AH204=0,"",AG204*AH204),"")</f>
        <v/>
      </c>
      <c r="AL204">
        <f>IF(AND(AJ204&lt;&gt;"",AK204&lt;&gt;""),ROUNDUP((AK204-AJ204)/7,0),"")</f>
        <v/>
      </c>
      <c r="AN204">
        <f>IFERROR(IF(AL204*AM204=0,"",AL204*AM204),"")</f>
        <v/>
      </c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L204">
        <f>IFERROR(INDEX('_names_lookup'!$C:$C,MATCH(BK204,'_names_lookup'!$A:$A,0)),"")</f>
        <v/>
      </c>
      <c r="BM204">
        <f>IFERROR(INDEX('_names_lookup'!$B:$B,MATCH(BK204,'_names_lookup'!$A:$A,0)),"")</f>
        <v/>
      </c>
      <c r="BS204">
        <f>IFERROR(IF(BR204*AA204=0,"",BR204*AA204),"")</f>
        <v/>
      </c>
    </row>
    <row r="205">
      <c r="O205">
        <f>IFERROR(INDEX('_courses_lookup'!$C:$C,MATCH(K205&amp;L205,'_courses_lookup'!$E:$E,0)),"")</f>
        <v/>
      </c>
      <c r="P205">
        <f>IFERROR(INDEX('_courses_lookup'!$D:$D,MATCH(K205&amp;L205,'_courses_lookup'!$E:$E,0)),"")</f>
        <v/>
      </c>
      <c r="AG205">
        <f>IF(AND(AE205&lt;&gt;"",AF205&lt;&gt;""),ROUNDUP((AF205-AE205)/7,0),"")</f>
        <v/>
      </c>
      <c r="AI205">
        <f>IFERROR(IF(AG205*AH205=0,"",AG205*AH205),"")</f>
        <v/>
      </c>
      <c r="AL205">
        <f>IF(AND(AJ205&lt;&gt;"",AK205&lt;&gt;""),ROUNDUP((AK205-AJ205)/7,0),"")</f>
        <v/>
      </c>
      <c r="AN205">
        <f>IFERROR(IF(AL205*AM205=0,"",AL205*AM205),"")</f>
        <v/>
      </c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L205">
        <f>IFERROR(INDEX('_names_lookup'!$C:$C,MATCH(BK205,'_names_lookup'!$A:$A,0)),"")</f>
        <v/>
      </c>
      <c r="BM205">
        <f>IFERROR(INDEX('_names_lookup'!$B:$B,MATCH(BK205,'_names_lookup'!$A:$A,0)),"")</f>
        <v/>
      </c>
      <c r="BS205">
        <f>IFERROR(IF(BR205*AA205=0,"",BR205*AA205),"")</f>
        <v/>
      </c>
    </row>
    <row r="206">
      <c r="O206">
        <f>IFERROR(INDEX('_courses_lookup'!$C:$C,MATCH(K206&amp;L206,'_courses_lookup'!$E:$E,0)),"")</f>
        <v/>
      </c>
      <c r="P206">
        <f>IFERROR(INDEX('_courses_lookup'!$D:$D,MATCH(K206&amp;L206,'_courses_lookup'!$E:$E,0)),"")</f>
        <v/>
      </c>
      <c r="AG206">
        <f>IF(AND(AE206&lt;&gt;"",AF206&lt;&gt;""),ROUNDUP((AF206-AE206)/7,0),"")</f>
        <v/>
      </c>
      <c r="AI206">
        <f>IFERROR(IF(AG206*AH206=0,"",AG206*AH206),"")</f>
        <v/>
      </c>
      <c r="AL206">
        <f>IF(AND(AJ206&lt;&gt;"",AK206&lt;&gt;""),ROUNDUP((AK206-AJ206)/7,0),"")</f>
        <v/>
      </c>
      <c r="AN206">
        <f>IFERROR(IF(AL206*AM206=0,"",AL206*AM206),"")</f>
        <v/>
      </c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L206">
        <f>IFERROR(INDEX('_names_lookup'!$C:$C,MATCH(BK206,'_names_lookup'!$A:$A,0)),"")</f>
        <v/>
      </c>
      <c r="BM206">
        <f>IFERROR(INDEX('_names_lookup'!$B:$B,MATCH(BK206,'_names_lookup'!$A:$A,0)),"")</f>
        <v/>
      </c>
      <c r="BS206">
        <f>IFERROR(IF(BR206*AA206=0,"",BR206*AA206),"")</f>
        <v/>
      </c>
    </row>
    <row r="207">
      <c r="O207">
        <f>IFERROR(INDEX('_courses_lookup'!$C:$C,MATCH(K207&amp;L207,'_courses_lookup'!$E:$E,0)),"")</f>
        <v/>
      </c>
      <c r="P207">
        <f>IFERROR(INDEX('_courses_lookup'!$D:$D,MATCH(K207&amp;L207,'_courses_lookup'!$E:$E,0)),"")</f>
        <v/>
      </c>
      <c r="AG207">
        <f>IF(AND(AE207&lt;&gt;"",AF207&lt;&gt;""),ROUNDUP((AF207-AE207)/7,0),"")</f>
        <v/>
      </c>
      <c r="AI207">
        <f>IFERROR(IF(AG207*AH207=0,"",AG207*AH207),"")</f>
        <v/>
      </c>
      <c r="AL207">
        <f>IF(AND(AJ207&lt;&gt;"",AK207&lt;&gt;""),ROUNDUP((AK207-AJ207)/7,0),"")</f>
        <v/>
      </c>
      <c r="AN207">
        <f>IFERROR(IF(AL207*AM207=0,"",AL207*AM207),"")</f>
        <v/>
      </c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L207">
        <f>IFERROR(INDEX('_names_lookup'!$C:$C,MATCH(BK207,'_names_lookup'!$A:$A,0)),"")</f>
        <v/>
      </c>
      <c r="BM207">
        <f>IFERROR(INDEX('_names_lookup'!$B:$B,MATCH(BK207,'_names_lookup'!$A:$A,0)),"")</f>
        <v/>
      </c>
      <c r="BS207">
        <f>IFERROR(IF(BR207*AA207=0,"",BR207*AA207),"")</f>
        <v/>
      </c>
    </row>
    <row r="208">
      <c r="O208">
        <f>IFERROR(INDEX('_courses_lookup'!$C:$C,MATCH(K208&amp;L208,'_courses_lookup'!$E:$E,0)),"")</f>
        <v/>
      </c>
      <c r="P208">
        <f>IFERROR(INDEX('_courses_lookup'!$D:$D,MATCH(K208&amp;L208,'_courses_lookup'!$E:$E,0)),"")</f>
        <v/>
      </c>
      <c r="AG208">
        <f>IF(AND(AE208&lt;&gt;"",AF208&lt;&gt;""),ROUNDUP((AF208-AE208)/7,0),"")</f>
        <v/>
      </c>
      <c r="AI208">
        <f>IFERROR(IF(AG208*AH208=0,"",AG208*AH208),"")</f>
        <v/>
      </c>
      <c r="AL208">
        <f>IF(AND(AJ208&lt;&gt;"",AK208&lt;&gt;""),ROUNDUP((AK208-AJ208)/7,0),"")</f>
        <v/>
      </c>
      <c r="AN208">
        <f>IFERROR(IF(AL208*AM208=0,"",AL208*AM208),"")</f>
        <v/>
      </c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L208">
        <f>IFERROR(INDEX('_names_lookup'!$C:$C,MATCH(BK208,'_names_lookup'!$A:$A,0)),"")</f>
        <v/>
      </c>
      <c r="BM208">
        <f>IFERROR(INDEX('_names_lookup'!$B:$B,MATCH(BK208,'_names_lookup'!$A:$A,0)),"")</f>
        <v/>
      </c>
      <c r="BS208">
        <f>IFERROR(IF(BR208*AA208=0,"",BR208*AA208),"")</f>
        <v/>
      </c>
    </row>
    <row r="209">
      <c r="O209">
        <f>IFERROR(INDEX('_courses_lookup'!$C:$C,MATCH(K209&amp;L209,'_courses_lookup'!$E:$E,0)),"")</f>
        <v/>
      </c>
      <c r="P209">
        <f>IFERROR(INDEX('_courses_lookup'!$D:$D,MATCH(K209&amp;L209,'_courses_lookup'!$E:$E,0)),"")</f>
        <v/>
      </c>
      <c r="AG209">
        <f>IF(AND(AE209&lt;&gt;"",AF209&lt;&gt;""),ROUNDUP((AF209-AE209)/7,0),"")</f>
        <v/>
      </c>
      <c r="AI209">
        <f>IFERROR(IF(AG209*AH209=0,"",AG209*AH209),"")</f>
        <v/>
      </c>
      <c r="AL209">
        <f>IF(AND(AJ209&lt;&gt;"",AK209&lt;&gt;""),ROUNDUP((AK209-AJ209)/7,0),"")</f>
        <v/>
      </c>
      <c r="AN209">
        <f>IFERROR(IF(AL209*AM209=0,"",AL209*AM209),"")</f>
        <v/>
      </c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L209">
        <f>IFERROR(INDEX('_names_lookup'!$C:$C,MATCH(BK209,'_names_lookup'!$A:$A,0)),"")</f>
        <v/>
      </c>
      <c r="BM209">
        <f>IFERROR(INDEX('_names_lookup'!$B:$B,MATCH(BK209,'_names_lookup'!$A:$A,0)),"")</f>
        <v/>
      </c>
      <c r="BS209">
        <f>IFERROR(IF(BR209*AA209=0,"",BR209*AA209),"")</f>
        <v/>
      </c>
    </row>
    <row r="210">
      <c r="O210">
        <f>IFERROR(INDEX('_courses_lookup'!$C:$C,MATCH(K210&amp;L210,'_courses_lookup'!$E:$E,0)),"")</f>
        <v/>
      </c>
      <c r="P210">
        <f>IFERROR(INDEX('_courses_lookup'!$D:$D,MATCH(K210&amp;L210,'_courses_lookup'!$E:$E,0)),"")</f>
        <v/>
      </c>
      <c r="AG210">
        <f>IF(AND(AE210&lt;&gt;"",AF210&lt;&gt;""),ROUNDUP((AF210-AE210)/7,0),"")</f>
        <v/>
      </c>
      <c r="AI210">
        <f>IFERROR(IF(AG210*AH210=0,"",AG210*AH210),"")</f>
        <v/>
      </c>
      <c r="AL210">
        <f>IF(AND(AJ210&lt;&gt;"",AK210&lt;&gt;""),ROUNDUP((AK210-AJ210)/7,0),"")</f>
        <v/>
      </c>
      <c r="AN210">
        <f>IFERROR(IF(AL210*AM210=0,"",AL210*AM210),"")</f>
        <v/>
      </c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L210">
        <f>IFERROR(INDEX('_names_lookup'!$C:$C,MATCH(BK210,'_names_lookup'!$A:$A,0)),"")</f>
        <v/>
      </c>
      <c r="BM210">
        <f>IFERROR(INDEX('_names_lookup'!$B:$B,MATCH(BK210,'_names_lookup'!$A:$A,0)),"")</f>
        <v/>
      </c>
      <c r="BS210">
        <f>IFERROR(IF(BR210*AA210=0,"",BR210*AA210),"")</f>
        <v/>
      </c>
    </row>
    <row r="211">
      <c r="O211">
        <f>IFERROR(INDEX('_courses_lookup'!$C:$C,MATCH(K211&amp;L211,'_courses_lookup'!$E:$E,0)),"")</f>
        <v/>
      </c>
      <c r="P211">
        <f>IFERROR(INDEX('_courses_lookup'!$D:$D,MATCH(K211&amp;L211,'_courses_lookup'!$E:$E,0)),"")</f>
        <v/>
      </c>
      <c r="AG211">
        <f>IF(AND(AE211&lt;&gt;"",AF211&lt;&gt;""),ROUNDUP((AF211-AE211)/7,0),"")</f>
        <v/>
      </c>
      <c r="AI211">
        <f>IFERROR(IF(AG211*AH211=0,"",AG211*AH211),"")</f>
        <v/>
      </c>
      <c r="AL211">
        <f>IF(AND(AJ211&lt;&gt;"",AK211&lt;&gt;""),ROUNDUP((AK211-AJ211)/7,0),"")</f>
        <v/>
      </c>
      <c r="AN211">
        <f>IFERROR(IF(AL211*AM211=0,"",AL211*AM211),"")</f>
        <v/>
      </c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L211">
        <f>IFERROR(INDEX('_names_lookup'!$C:$C,MATCH(BK211,'_names_lookup'!$A:$A,0)),"")</f>
        <v/>
      </c>
      <c r="BM211">
        <f>IFERROR(INDEX('_names_lookup'!$B:$B,MATCH(BK211,'_names_lookup'!$A:$A,0)),"")</f>
        <v/>
      </c>
      <c r="BS211">
        <f>IFERROR(IF(BR211*AA211=0,"",BR211*AA211),"")</f>
        <v/>
      </c>
    </row>
    <row r="212">
      <c r="O212">
        <f>IFERROR(INDEX('_courses_lookup'!$C:$C,MATCH(K212&amp;L212,'_courses_lookup'!$E:$E,0)),"")</f>
        <v/>
      </c>
      <c r="P212">
        <f>IFERROR(INDEX('_courses_lookup'!$D:$D,MATCH(K212&amp;L212,'_courses_lookup'!$E:$E,0)),"")</f>
        <v/>
      </c>
      <c r="AG212">
        <f>IF(AND(AE212&lt;&gt;"",AF212&lt;&gt;""),ROUNDUP((AF212-AE212)/7,0),"")</f>
        <v/>
      </c>
      <c r="AI212">
        <f>IFERROR(IF(AG212*AH212=0,"",AG212*AH212),"")</f>
        <v/>
      </c>
      <c r="AL212">
        <f>IF(AND(AJ212&lt;&gt;"",AK212&lt;&gt;""),ROUNDUP((AK212-AJ212)/7,0),"")</f>
        <v/>
      </c>
      <c r="AN212">
        <f>IFERROR(IF(AL212*AM212=0,"",AL212*AM212),"")</f>
        <v/>
      </c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L212">
        <f>IFERROR(INDEX('_names_lookup'!$C:$C,MATCH(BK212,'_names_lookup'!$A:$A,0)),"")</f>
        <v/>
      </c>
      <c r="BM212">
        <f>IFERROR(INDEX('_names_lookup'!$B:$B,MATCH(BK212,'_names_lookup'!$A:$A,0)),"")</f>
        <v/>
      </c>
      <c r="BS212">
        <f>IFERROR(IF(BR212*AA212=0,"",BR212*AA212),"")</f>
        <v/>
      </c>
    </row>
    <row r="213">
      <c r="O213">
        <f>IFERROR(INDEX('_courses_lookup'!$C:$C,MATCH(K213&amp;L213,'_courses_lookup'!$E:$E,0)),"")</f>
        <v/>
      </c>
      <c r="P213">
        <f>IFERROR(INDEX('_courses_lookup'!$D:$D,MATCH(K213&amp;L213,'_courses_lookup'!$E:$E,0)),"")</f>
        <v/>
      </c>
      <c r="AG213">
        <f>IF(AND(AE213&lt;&gt;"",AF213&lt;&gt;""),ROUNDUP((AF213-AE213)/7,0),"")</f>
        <v/>
      </c>
      <c r="AI213">
        <f>IFERROR(IF(AG213*AH213=0,"",AG213*AH213),"")</f>
        <v/>
      </c>
      <c r="AL213">
        <f>IF(AND(AJ213&lt;&gt;"",AK213&lt;&gt;""),ROUNDUP((AK213-AJ213)/7,0),"")</f>
        <v/>
      </c>
      <c r="AN213">
        <f>IFERROR(IF(AL213*AM213=0,"",AL213*AM213),"")</f>
        <v/>
      </c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L213">
        <f>IFERROR(INDEX('_names_lookup'!$C:$C,MATCH(BK213,'_names_lookup'!$A:$A,0)),"")</f>
        <v/>
      </c>
      <c r="BM213">
        <f>IFERROR(INDEX('_names_lookup'!$B:$B,MATCH(BK213,'_names_lookup'!$A:$A,0)),"")</f>
        <v/>
      </c>
      <c r="BS213">
        <f>IFERROR(IF(BR213*AA213=0,"",BR213*AA213),"")</f>
        <v/>
      </c>
    </row>
    <row r="214">
      <c r="O214">
        <f>IFERROR(INDEX('_courses_lookup'!$C:$C,MATCH(K214&amp;L214,'_courses_lookup'!$E:$E,0)),"")</f>
        <v/>
      </c>
      <c r="P214">
        <f>IFERROR(INDEX('_courses_lookup'!$D:$D,MATCH(K214&amp;L214,'_courses_lookup'!$E:$E,0)),"")</f>
        <v/>
      </c>
      <c r="AG214">
        <f>IF(AND(AE214&lt;&gt;"",AF214&lt;&gt;""),ROUNDUP((AF214-AE214)/7,0),"")</f>
        <v/>
      </c>
      <c r="AI214">
        <f>IFERROR(IF(AG214*AH214=0,"",AG214*AH214),"")</f>
        <v/>
      </c>
      <c r="AL214">
        <f>IF(AND(AJ214&lt;&gt;"",AK214&lt;&gt;""),ROUNDUP((AK214-AJ214)/7,0),"")</f>
        <v/>
      </c>
      <c r="AN214">
        <f>IFERROR(IF(AL214*AM214=0,"",AL214*AM214),"")</f>
        <v/>
      </c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L214">
        <f>IFERROR(INDEX('_names_lookup'!$C:$C,MATCH(BK214,'_names_lookup'!$A:$A,0)),"")</f>
        <v/>
      </c>
      <c r="BM214">
        <f>IFERROR(INDEX('_names_lookup'!$B:$B,MATCH(BK214,'_names_lookup'!$A:$A,0)),"")</f>
        <v/>
      </c>
      <c r="BS214">
        <f>IFERROR(IF(BR214*AA214=0,"",BR214*AA214),"")</f>
        <v/>
      </c>
    </row>
    <row r="215">
      <c r="O215">
        <f>IFERROR(INDEX('_courses_lookup'!$C:$C,MATCH(K215&amp;L215,'_courses_lookup'!$E:$E,0)),"")</f>
        <v/>
      </c>
      <c r="P215">
        <f>IFERROR(INDEX('_courses_lookup'!$D:$D,MATCH(K215&amp;L215,'_courses_lookup'!$E:$E,0)),"")</f>
        <v/>
      </c>
      <c r="AG215">
        <f>IF(AND(AE215&lt;&gt;"",AF215&lt;&gt;""),ROUNDUP((AF215-AE215)/7,0),"")</f>
        <v/>
      </c>
      <c r="AI215">
        <f>IFERROR(IF(AG215*AH215=0,"",AG215*AH215),"")</f>
        <v/>
      </c>
      <c r="AL215">
        <f>IF(AND(AJ215&lt;&gt;"",AK215&lt;&gt;""),ROUNDUP((AK215-AJ215)/7,0),"")</f>
        <v/>
      </c>
      <c r="AN215">
        <f>IFERROR(IF(AL215*AM215=0,"",AL215*AM215),"")</f>
        <v/>
      </c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L215">
        <f>IFERROR(INDEX('_names_lookup'!$C:$C,MATCH(BK215,'_names_lookup'!$A:$A,0)),"")</f>
        <v/>
      </c>
      <c r="BM215">
        <f>IFERROR(INDEX('_names_lookup'!$B:$B,MATCH(BK215,'_names_lookup'!$A:$A,0)),"")</f>
        <v/>
      </c>
      <c r="BS215">
        <f>IFERROR(IF(BR215*AA215=0,"",BR215*AA215),"")</f>
        <v/>
      </c>
    </row>
    <row r="216">
      <c r="O216">
        <f>IFERROR(INDEX('_courses_lookup'!$C:$C,MATCH(K216&amp;L216,'_courses_lookup'!$E:$E,0)),"")</f>
        <v/>
      </c>
      <c r="P216">
        <f>IFERROR(INDEX('_courses_lookup'!$D:$D,MATCH(K216&amp;L216,'_courses_lookup'!$E:$E,0)),"")</f>
        <v/>
      </c>
      <c r="AG216">
        <f>IF(AND(AE216&lt;&gt;"",AF216&lt;&gt;""),ROUNDUP((AF216-AE216)/7,0),"")</f>
        <v/>
      </c>
      <c r="AI216">
        <f>IFERROR(IF(AG216*AH216=0,"",AG216*AH216),"")</f>
        <v/>
      </c>
      <c r="AL216">
        <f>IF(AND(AJ216&lt;&gt;"",AK216&lt;&gt;""),ROUNDUP((AK216-AJ216)/7,0),"")</f>
        <v/>
      </c>
      <c r="AN216">
        <f>IFERROR(IF(AL216*AM216=0,"",AL216*AM216),"")</f>
        <v/>
      </c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L216">
        <f>IFERROR(INDEX('_names_lookup'!$C:$C,MATCH(BK216,'_names_lookup'!$A:$A,0)),"")</f>
        <v/>
      </c>
      <c r="BM216">
        <f>IFERROR(INDEX('_names_lookup'!$B:$B,MATCH(BK216,'_names_lookup'!$A:$A,0)),"")</f>
        <v/>
      </c>
      <c r="BS216">
        <f>IFERROR(IF(BR216*AA216=0,"",BR216*AA216),"")</f>
        <v/>
      </c>
    </row>
    <row r="217">
      <c r="O217">
        <f>IFERROR(INDEX('_courses_lookup'!$C:$C,MATCH(K217&amp;L217,'_courses_lookup'!$E:$E,0)),"")</f>
        <v/>
      </c>
      <c r="P217">
        <f>IFERROR(INDEX('_courses_lookup'!$D:$D,MATCH(K217&amp;L217,'_courses_lookup'!$E:$E,0)),"")</f>
        <v/>
      </c>
      <c r="AG217">
        <f>IF(AND(AE217&lt;&gt;"",AF217&lt;&gt;""),ROUNDUP((AF217-AE217)/7,0),"")</f>
        <v/>
      </c>
      <c r="AI217">
        <f>IFERROR(IF(AG217*AH217=0,"",AG217*AH217),"")</f>
        <v/>
      </c>
      <c r="AL217">
        <f>IF(AND(AJ217&lt;&gt;"",AK217&lt;&gt;""),ROUNDUP((AK217-AJ217)/7,0),"")</f>
        <v/>
      </c>
      <c r="AN217">
        <f>IFERROR(IF(AL217*AM217=0,"",AL217*AM217),"")</f>
        <v/>
      </c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L217">
        <f>IFERROR(INDEX('_names_lookup'!$C:$C,MATCH(BK217,'_names_lookup'!$A:$A,0)),"")</f>
        <v/>
      </c>
      <c r="BM217">
        <f>IFERROR(INDEX('_names_lookup'!$B:$B,MATCH(BK217,'_names_lookup'!$A:$A,0)),"")</f>
        <v/>
      </c>
      <c r="BS217">
        <f>IFERROR(IF(BR217*AA217=0,"",BR217*AA217),"")</f>
        <v/>
      </c>
    </row>
    <row r="218">
      <c r="O218">
        <f>IFERROR(INDEX('_courses_lookup'!$C:$C,MATCH(K218&amp;L218,'_courses_lookup'!$E:$E,0)),"")</f>
        <v/>
      </c>
      <c r="P218">
        <f>IFERROR(INDEX('_courses_lookup'!$D:$D,MATCH(K218&amp;L218,'_courses_lookup'!$E:$E,0)),"")</f>
        <v/>
      </c>
      <c r="AG218">
        <f>IF(AND(AE218&lt;&gt;"",AF218&lt;&gt;""),ROUNDUP((AF218-AE218)/7,0),"")</f>
        <v/>
      </c>
      <c r="AI218">
        <f>IFERROR(IF(AG218*AH218=0,"",AG218*AH218),"")</f>
        <v/>
      </c>
      <c r="AL218">
        <f>IF(AND(AJ218&lt;&gt;"",AK218&lt;&gt;""),ROUNDUP((AK218-AJ218)/7,0),"")</f>
        <v/>
      </c>
      <c r="AN218">
        <f>IFERROR(IF(AL218*AM218=0,"",AL218*AM218),"")</f>
        <v/>
      </c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L218">
        <f>IFERROR(INDEX('_names_lookup'!$C:$C,MATCH(BK218,'_names_lookup'!$A:$A,0)),"")</f>
        <v/>
      </c>
      <c r="BM218">
        <f>IFERROR(INDEX('_names_lookup'!$B:$B,MATCH(BK218,'_names_lookup'!$A:$A,0)),"")</f>
        <v/>
      </c>
      <c r="BS218">
        <f>IFERROR(IF(BR218*AA218=0,"",BR218*AA218),"")</f>
        <v/>
      </c>
    </row>
    <row r="219">
      <c r="O219">
        <f>IFERROR(INDEX('_courses_lookup'!$C:$C,MATCH(K219&amp;L219,'_courses_lookup'!$E:$E,0)),"")</f>
        <v/>
      </c>
      <c r="P219">
        <f>IFERROR(INDEX('_courses_lookup'!$D:$D,MATCH(K219&amp;L219,'_courses_lookup'!$E:$E,0)),"")</f>
        <v/>
      </c>
      <c r="AG219">
        <f>IF(AND(AE219&lt;&gt;"",AF219&lt;&gt;""),ROUNDUP((AF219-AE219)/7,0),"")</f>
        <v/>
      </c>
      <c r="AI219">
        <f>IFERROR(IF(AG219*AH219=0,"",AG219*AH219),"")</f>
        <v/>
      </c>
      <c r="AL219">
        <f>IF(AND(AJ219&lt;&gt;"",AK219&lt;&gt;""),ROUNDUP((AK219-AJ219)/7,0),"")</f>
        <v/>
      </c>
      <c r="AN219">
        <f>IFERROR(IF(AL219*AM219=0,"",AL219*AM219),"")</f>
        <v/>
      </c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L219">
        <f>IFERROR(INDEX('_names_lookup'!$C:$C,MATCH(BK219,'_names_lookup'!$A:$A,0)),"")</f>
        <v/>
      </c>
      <c r="BM219">
        <f>IFERROR(INDEX('_names_lookup'!$B:$B,MATCH(BK219,'_names_lookup'!$A:$A,0)),"")</f>
        <v/>
      </c>
      <c r="BS219">
        <f>IFERROR(IF(BR219*AA219=0,"",BR219*AA219),"")</f>
        <v/>
      </c>
    </row>
    <row r="220">
      <c r="O220">
        <f>IFERROR(INDEX('_courses_lookup'!$C:$C,MATCH(K220&amp;L220,'_courses_lookup'!$E:$E,0)),"")</f>
        <v/>
      </c>
      <c r="P220">
        <f>IFERROR(INDEX('_courses_lookup'!$D:$D,MATCH(K220&amp;L220,'_courses_lookup'!$E:$E,0)),"")</f>
        <v/>
      </c>
      <c r="AG220">
        <f>IF(AND(AE220&lt;&gt;"",AF220&lt;&gt;""),ROUNDUP((AF220-AE220)/7,0),"")</f>
        <v/>
      </c>
      <c r="AI220">
        <f>IFERROR(IF(AG220*AH220=0,"",AG220*AH220),"")</f>
        <v/>
      </c>
      <c r="AL220">
        <f>IF(AND(AJ220&lt;&gt;"",AK220&lt;&gt;""),ROUNDUP((AK220-AJ220)/7,0),"")</f>
        <v/>
      </c>
      <c r="AN220">
        <f>IFERROR(IF(AL220*AM220=0,"",AL220*AM220),"")</f>
        <v/>
      </c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L220">
        <f>IFERROR(INDEX('_names_lookup'!$C:$C,MATCH(BK220,'_names_lookup'!$A:$A,0)),"")</f>
        <v/>
      </c>
      <c r="BM220">
        <f>IFERROR(INDEX('_names_lookup'!$B:$B,MATCH(BK220,'_names_lookup'!$A:$A,0)),"")</f>
        <v/>
      </c>
      <c r="BS220">
        <f>IFERROR(IF(BR220*AA220=0,"",BR220*AA220),"")</f>
        <v/>
      </c>
    </row>
    <row r="221">
      <c r="O221">
        <f>IFERROR(INDEX('_courses_lookup'!$C:$C,MATCH(K221&amp;L221,'_courses_lookup'!$E:$E,0)),"")</f>
        <v/>
      </c>
      <c r="P221">
        <f>IFERROR(INDEX('_courses_lookup'!$D:$D,MATCH(K221&amp;L221,'_courses_lookup'!$E:$E,0)),"")</f>
        <v/>
      </c>
      <c r="AG221">
        <f>IF(AND(AE221&lt;&gt;"",AF221&lt;&gt;""),ROUNDUP((AF221-AE221)/7,0),"")</f>
        <v/>
      </c>
      <c r="AI221">
        <f>IFERROR(IF(AG221*AH221=0,"",AG221*AH221),"")</f>
        <v/>
      </c>
      <c r="AL221">
        <f>IF(AND(AJ221&lt;&gt;"",AK221&lt;&gt;""),ROUNDUP((AK221-AJ221)/7,0),"")</f>
        <v/>
      </c>
      <c r="AN221">
        <f>IFERROR(IF(AL221*AM221=0,"",AL221*AM221),"")</f>
        <v/>
      </c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L221">
        <f>IFERROR(INDEX('_names_lookup'!$C:$C,MATCH(BK221,'_names_lookup'!$A:$A,0)),"")</f>
        <v/>
      </c>
      <c r="BM221">
        <f>IFERROR(INDEX('_names_lookup'!$B:$B,MATCH(BK221,'_names_lookup'!$A:$A,0)),"")</f>
        <v/>
      </c>
      <c r="BS221">
        <f>IFERROR(IF(BR221*AA221=0,"",BR221*AA221),"")</f>
        <v/>
      </c>
    </row>
    <row r="222">
      <c r="O222">
        <f>IFERROR(INDEX('_courses_lookup'!$C:$C,MATCH(K222&amp;L222,'_courses_lookup'!$E:$E,0)),"")</f>
        <v/>
      </c>
      <c r="P222">
        <f>IFERROR(INDEX('_courses_lookup'!$D:$D,MATCH(K222&amp;L222,'_courses_lookup'!$E:$E,0)),"")</f>
        <v/>
      </c>
      <c r="AG222">
        <f>IF(AND(AE222&lt;&gt;"",AF222&lt;&gt;""),ROUNDUP((AF222-AE222)/7,0),"")</f>
        <v/>
      </c>
      <c r="AI222">
        <f>IFERROR(IF(AG222*AH222=0,"",AG222*AH222),"")</f>
        <v/>
      </c>
      <c r="AL222">
        <f>IF(AND(AJ222&lt;&gt;"",AK222&lt;&gt;""),ROUNDUP((AK222-AJ222)/7,0),"")</f>
        <v/>
      </c>
      <c r="AN222">
        <f>IFERROR(IF(AL222*AM222=0,"",AL222*AM222),"")</f>
        <v/>
      </c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L222">
        <f>IFERROR(INDEX('_names_lookup'!$C:$C,MATCH(BK222,'_names_lookup'!$A:$A,0)),"")</f>
        <v/>
      </c>
      <c r="BM222">
        <f>IFERROR(INDEX('_names_lookup'!$B:$B,MATCH(BK222,'_names_lookup'!$A:$A,0)),"")</f>
        <v/>
      </c>
      <c r="BS222">
        <f>IFERROR(IF(BR222*AA222=0,"",BR222*AA222),"")</f>
        <v/>
      </c>
    </row>
    <row r="223">
      <c r="O223">
        <f>IFERROR(INDEX('_courses_lookup'!$C:$C,MATCH(K223&amp;L223,'_courses_lookup'!$E:$E,0)),"")</f>
        <v/>
      </c>
      <c r="P223">
        <f>IFERROR(INDEX('_courses_lookup'!$D:$D,MATCH(K223&amp;L223,'_courses_lookup'!$E:$E,0)),"")</f>
        <v/>
      </c>
      <c r="AG223">
        <f>IF(AND(AE223&lt;&gt;"",AF223&lt;&gt;""),ROUNDUP((AF223-AE223)/7,0),"")</f>
        <v/>
      </c>
      <c r="AI223">
        <f>IFERROR(IF(AG223*AH223=0,"",AG223*AH223),"")</f>
        <v/>
      </c>
      <c r="AL223">
        <f>IF(AND(AJ223&lt;&gt;"",AK223&lt;&gt;""),ROUNDUP((AK223-AJ223)/7,0),"")</f>
        <v/>
      </c>
      <c r="AN223">
        <f>IFERROR(IF(AL223*AM223=0,"",AL223*AM223),"")</f>
        <v/>
      </c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L223">
        <f>IFERROR(INDEX('_names_lookup'!$C:$C,MATCH(BK223,'_names_lookup'!$A:$A,0)),"")</f>
        <v/>
      </c>
      <c r="BM223">
        <f>IFERROR(INDEX('_names_lookup'!$B:$B,MATCH(BK223,'_names_lookup'!$A:$A,0)),"")</f>
        <v/>
      </c>
      <c r="BS223">
        <f>IFERROR(IF(BR223*AA223=0,"",BR223*AA223),"")</f>
        <v/>
      </c>
    </row>
    <row r="224">
      <c r="O224">
        <f>IFERROR(INDEX('_courses_lookup'!$C:$C,MATCH(K224&amp;L224,'_courses_lookup'!$E:$E,0)),"")</f>
        <v/>
      </c>
      <c r="P224">
        <f>IFERROR(INDEX('_courses_lookup'!$D:$D,MATCH(K224&amp;L224,'_courses_lookup'!$E:$E,0)),"")</f>
        <v/>
      </c>
      <c r="AG224">
        <f>IF(AND(AE224&lt;&gt;"",AF224&lt;&gt;""),ROUNDUP((AF224-AE224)/7,0),"")</f>
        <v/>
      </c>
      <c r="AI224">
        <f>IFERROR(IF(AG224*AH224=0,"",AG224*AH224),"")</f>
        <v/>
      </c>
      <c r="AL224">
        <f>IF(AND(AJ224&lt;&gt;"",AK224&lt;&gt;""),ROUNDUP((AK224-AJ224)/7,0),"")</f>
        <v/>
      </c>
      <c r="AN224">
        <f>IFERROR(IF(AL224*AM224=0,"",AL224*AM224),"")</f>
        <v/>
      </c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L224">
        <f>IFERROR(INDEX('_names_lookup'!$C:$C,MATCH(BK224,'_names_lookup'!$A:$A,0)),"")</f>
        <v/>
      </c>
      <c r="BM224">
        <f>IFERROR(INDEX('_names_lookup'!$B:$B,MATCH(BK224,'_names_lookup'!$A:$A,0)),"")</f>
        <v/>
      </c>
      <c r="BS224">
        <f>IFERROR(IF(BR224*AA224=0,"",BR224*AA224),"")</f>
        <v/>
      </c>
    </row>
    <row r="225">
      <c r="O225">
        <f>IFERROR(INDEX('_courses_lookup'!$C:$C,MATCH(K225&amp;L225,'_courses_lookup'!$E:$E,0)),"")</f>
        <v/>
      </c>
      <c r="P225">
        <f>IFERROR(INDEX('_courses_lookup'!$D:$D,MATCH(K225&amp;L225,'_courses_lookup'!$E:$E,0)),"")</f>
        <v/>
      </c>
      <c r="AG225">
        <f>IF(AND(AE225&lt;&gt;"",AF225&lt;&gt;""),ROUNDUP((AF225-AE225)/7,0),"")</f>
        <v/>
      </c>
      <c r="AI225">
        <f>IFERROR(IF(AG225*AH225=0,"",AG225*AH225),"")</f>
        <v/>
      </c>
      <c r="AL225">
        <f>IF(AND(AJ225&lt;&gt;"",AK225&lt;&gt;""),ROUNDUP((AK225-AJ225)/7,0),"")</f>
        <v/>
      </c>
      <c r="AN225">
        <f>IFERROR(IF(AL225*AM225=0,"",AL225*AM225),"")</f>
        <v/>
      </c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L225">
        <f>IFERROR(INDEX('_names_lookup'!$C:$C,MATCH(BK225,'_names_lookup'!$A:$A,0)),"")</f>
        <v/>
      </c>
      <c r="BM225">
        <f>IFERROR(INDEX('_names_lookup'!$B:$B,MATCH(BK225,'_names_lookup'!$A:$A,0)),"")</f>
        <v/>
      </c>
      <c r="BS225">
        <f>IFERROR(IF(BR225*AA225=0,"",BR225*AA225),"")</f>
        <v/>
      </c>
    </row>
    <row r="226">
      <c r="O226">
        <f>IFERROR(INDEX('_courses_lookup'!$C:$C,MATCH(K226&amp;L226,'_courses_lookup'!$E:$E,0)),"")</f>
        <v/>
      </c>
      <c r="P226">
        <f>IFERROR(INDEX('_courses_lookup'!$D:$D,MATCH(K226&amp;L226,'_courses_lookup'!$E:$E,0)),"")</f>
        <v/>
      </c>
      <c r="AG226">
        <f>IF(AND(AE226&lt;&gt;"",AF226&lt;&gt;""),ROUNDUP((AF226-AE226)/7,0),"")</f>
        <v/>
      </c>
      <c r="AI226">
        <f>IFERROR(IF(AG226*AH226=0,"",AG226*AH226),"")</f>
        <v/>
      </c>
      <c r="AL226">
        <f>IF(AND(AJ226&lt;&gt;"",AK226&lt;&gt;""),ROUNDUP((AK226-AJ226)/7,0),"")</f>
        <v/>
      </c>
      <c r="AN226">
        <f>IFERROR(IF(AL226*AM226=0,"",AL226*AM226),"")</f>
        <v/>
      </c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L226">
        <f>IFERROR(INDEX('_names_lookup'!$C:$C,MATCH(BK226,'_names_lookup'!$A:$A,0)),"")</f>
        <v/>
      </c>
      <c r="BM226">
        <f>IFERROR(INDEX('_names_lookup'!$B:$B,MATCH(BK226,'_names_lookup'!$A:$A,0)),"")</f>
        <v/>
      </c>
      <c r="BS226">
        <f>IFERROR(IF(BR226*AA226=0,"",BR226*AA226),"")</f>
        <v/>
      </c>
    </row>
    <row r="227">
      <c r="O227">
        <f>IFERROR(INDEX('_courses_lookup'!$C:$C,MATCH(K227&amp;L227,'_courses_lookup'!$E:$E,0)),"")</f>
        <v/>
      </c>
      <c r="P227">
        <f>IFERROR(INDEX('_courses_lookup'!$D:$D,MATCH(K227&amp;L227,'_courses_lookup'!$E:$E,0)),"")</f>
        <v/>
      </c>
      <c r="AG227">
        <f>IF(AND(AE227&lt;&gt;"",AF227&lt;&gt;""),ROUNDUP((AF227-AE227)/7,0),"")</f>
        <v/>
      </c>
      <c r="AI227">
        <f>IFERROR(IF(AG227*AH227=0,"",AG227*AH227),"")</f>
        <v/>
      </c>
      <c r="AL227">
        <f>IF(AND(AJ227&lt;&gt;"",AK227&lt;&gt;""),ROUNDUP((AK227-AJ227)/7,0),"")</f>
        <v/>
      </c>
      <c r="AN227">
        <f>IFERROR(IF(AL227*AM227=0,"",AL227*AM227),"")</f>
        <v/>
      </c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L227">
        <f>IFERROR(INDEX('_names_lookup'!$C:$C,MATCH(BK227,'_names_lookup'!$A:$A,0)),"")</f>
        <v/>
      </c>
      <c r="BM227">
        <f>IFERROR(INDEX('_names_lookup'!$B:$B,MATCH(BK227,'_names_lookup'!$A:$A,0)),"")</f>
        <v/>
      </c>
      <c r="BS227">
        <f>IFERROR(IF(BR227*AA227=0,"",BR227*AA227),"")</f>
        <v/>
      </c>
    </row>
    <row r="228">
      <c r="O228">
        <f>IFERROR(INDEX('_courses_lookup'!$C:$C,MATCH(K228&amp;L228,'_courses_lookup'!$E:$E,0)),"")</f>
        <v/>
      </c>
      <c r="P228">
        <f>IFERROR(INDEX('_courses_lookup'!$D:$D,MATCH(K228&amp;L228,'_courses_lookup'!$E:$E,0)),"")</f>
        <v/>
      </c>
      <c r="AG228">
        <f>IF(AND(AE228&lt;&gt;"",AF228&lt;&gt;""),ROUNDUP((AF228-AE228)/7,0),"")</f>
        <v/>
      </c>
      <c r="AI228">
        <f>IFERROR(IF(AG228*AH228=0,"",AG228*AH228),"")</f>
        <v/>
      </c>
      <c r="AL228">
        <f>IF(AND(AJ228&lt;&gt;"",AK228&lt;&gt;""),ROUNDUP((AK228-AJ228)/7,0),"")</f>
        <v/>
      </c>
      <c r="AN228">
        <f>IFERROR(IF(AL228*AM228=0,"",AL228*AM228),"")</f>
        <v/>
      </c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L228">
        <f>IFERROR(INDEX('_names_lookup'!$C:$C,MATCH(BK228,'_names_lookup'!$A:$A,0)),"")</f>
        <v/>
      </c>
      <c r="BM228">
        <f>IFERROR(INDEX('_names_lookup'!$B:$B,MATCH(BK228,'_names_lookup'!$A:$A,0)),"")</f>
        <v/>
      </c>
      <c r="BS228">
        <f>IFERROR(IF(BR228*AA228=0,"",BR228*AA228),"")</f>
        <v/>
      </c>
    </row>
    <row r="229">
      <c r="O229">
        <f>IFERROR(INDEX('_courses_lookup'!$C:$C,MATCH(K229&amp;L229,'_courses_lookup'!$E:$E,0)),"")</f>
        <v/>
      </c>
      <c r="P229">
        <f>IFERROR(INDEX('_courses_lookup'!$D:$D,MATCH(K229&amp;L229,'_courses_lookup'!$E:$E,0)),"")</f>
        <v/>
      </c>
      <c r="AG229">
        <f>IF(AND(AE229&lt;&gt;"",AF229&lt;&gt;""),ROUNDUP((AF229-AE229)/7,0),"")</f>
        <v/>
      </c>
      <c r="AI229">
        <f>IFERROR(IF(AG229*AH229=0,"",AG229*AH229),"")</f>
        <v/>
      </c>
      <c r="AL229">
        <f>IF(AND(AJ229&lt;&gt;"",AK229&lt;&gt;""),ROUNDUP((AK229-AJ229)/7,0),"")</f>
        <v/>
      </c>
      <c r="AN229">
        <f>IFERROR(IF(AL229*AM229=0,"",AL229*AM229),"")</f>
        <v/>
      </c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L229">
        <f>IFERROR(INDEX('_names_lookup'!$C:$C,MATCH(BK229,'_names_lookup'!$A:$A,0)),"")</f>
        <v/>
      </c>
      <c r="BM229">
        <f>IFERROR(INDEX('_names_lookup'!$B:$B,MATCH(BK229,'_names_lookup'!$A:$A,0)),"")</f>
        <v/>
      </c>
      <c r="BS229">
        <f>IFERROR(IF(BR229*AA229=0,"",BR229*AA229),"")</f>
        <v/>
      </c>
    </row>
    <row r="230">
      <c r="O230">
        <f>IFERROR(INDEX('_courses_lookup'!$C:$C,MATCH(K230&amp;L230,'_courses_lookup'!$E:$E,0)),"")</f>
        <v/>
      </c>
      <c r="P230">
        <f>IFERROR(INDEX('_courses_lookup'!$D:$D,MATCH(K230&amp;L230,'_courses_lookup'!$E:$E,0)),"")</f>
        <v/>
      </c>
      <c r="AG230">
        <f>IF(AND(AE230&lt;&gt;"",AF230&lt;&gt;""),ROUNDUP((AF230-AE230)/7,0),"")</f>
        <v/>
      </c>
      <c r="AI230">
        <f>IFERROR(IF(AG230*AH230=0,"",AG230*AH230),"")</f>
        <v/>
      </c>
      <c r="AL230">
        <f>IF(AND(AJ230&lt;&gt;"",AK230&lt;&gt;""),ROUNDUP((AK230-AJ230)/7,0),"")</f>
        <v/>
      </c>
      <c r="AN230">
        <f>IFERROR(IF(AL230*AM230=0,"",AL230*AM230),"")</f>
        <v/>
      </c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L230">
        <f>IFERROR(INDEX('_names_lookup'!$C:$C,MATCH(BK230,'_names_lookup'!$A:$A,0)),"")</f>
        <v/>
      </c>
      <c r="BM230">
        <f>IFERROR(INDEX('_names_lookup'!$B:$B,MATCH(BK230,'_names_lookup'!$A:$A,0)),"")</f>
        <v/>
      </c>
      <c r="BS230">
        <f>IFERROR(IF(BR230*AA230=0,"",BR230*AA230),"")</f>
        <v/>
      </c>
    </row>
    <row r="231">
      <c r="O231">
        <f>IFERROR(INDEX('_courses_lookup'!$C:$C,MATCH(K231&amp;L231,'_courses_lookup'!$E:$E,0)),"")</f>
        <v/>
      </c>
      <c r="P231">
        <f>IFERROR(INDEX('_courses_lookup'!$D:$D,MATCH(K231&amp;L231,'_courses_lookup'!$E:$E,0)),"")</f>
        <v/>
      </c>
      <c r="AG231">
        <f>IF(AND(AE231&lt;&gt;"",AF231&lt;&gt;""),ROUNDUP((AF231-AE231)/7,0),"")</f>
        <v/>
      </c>
      <c r="AI231">
        <f>IFERROR(IF(AG231*AH231=0,"",AG231*AH231),"")</f>
        <v/>
      </c>
      <c r="AL231">
        <f>IF(AND(AJ231&lt;&gt;"",AK231&lt;&gt;""),ROUNDUP((AK231-AJ231)/7,0),"")</f>
        <v/>
      </c>
      <c r="AN231">
        <f>IFERROR(IF(AL231*AM231=0,"",AL231*AM231),"")</f>
        <v/>
      </c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L231">
        <f>IFERROR(INDEX('_names_lookup'!$C:$C,MATCH(BK231,'_names_lookup'!$A:$A,0)),"")</f>
        <v/>
      </c>
      <c r="BM231">
        <f>IFERROR(INDEX('_names_lookup'!$B:$B,MATCH(BK231,'_names_lookup'!$A:$A,0)),"")</f>
        <v/>
      </c>
      <c r="BS231">
        <f>IFERROR(IF(BR231*AA231=0,"",BR231*AA231),"")</f>
        <v/>
      </c>
    </row>
    <row r="232">
      <c r="O232">
        <f>IFERROR(INDEX('_courses_lookup'!$C:$C,MATCH(K232&amp;L232,'_courses_lookup'!$E:$E,0)),"")</f>
        <v/>
      </c>
      <c r="P232">
        <f>IFERROR(INDEX('_courses_lookup'!$D:$D,MATCH(K232&amp;L232,'_courses_lookup'!$E:$E,0)),"")</f>
        <v/>
      </c>
      <c r="AG232">
        <f>IF(AND(AE232&lt;&gt;"",AF232&lt;&gt;""),ROUNDUP((AF232-AE232)/7,0),"")</f>
        <v/>
      </c>
      <c r="AI232">
        <f>IFERROR(IF(AG232*AH232=0,"",AG232*AH232),"")</f>
        <v/>
      </c>
      <c r="AL232">
        <f>IF(AND(AJ232&lt;&gt;"",AK232&lt;&gt;""),ROUNDUP((AK232-AJ232)/7,0),"")</f>
        <v/>
      </c>
      <c r="AN232">
        <f>IFERROR(IF(AL232*AM232=0,"",AL232*AM232),"")</f>
        <v/>
      </c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L232">
        <f>IFERROR(INDEX('_names_lookup'!$C:$C,MATCH(BK232,'_names_lookup'!$A:$A,0)),"")</f>
        <v/>
      </c>
      <c r="BM232">
        <f>IFERROR(INDEX('_names_lookup'!$B:$B,MATCH(BK232,'_names_lookup'!$A:$A,0)),"")</f>
        <v/>
      </c>
      <c r="BS232">
        <f>IFERROR(IF(BR232*AA232=0,"",BR232*AA232),"")</f>
        <v/>
      </c>
    </row>
    <row r="233">
      <c r="O233">
        <f>IFERROR(INDEX('_courses_lookup'!$C:$C,MATCH(K233&amp;L233,'_courses_lookup'!$E:$E,0)),"")</f>
        <v/>
      </c>
      <c r="P233">
        <f>IFERROR(INDEX('_courses_lookup'!$D:$D,MATCH(K233&amp;L233,'_courses_lookup'!$E:$E,0)),"")</f>
        <v/>
      </c>
      <c r="AG233">
        <f>IF(AND(AE233&lt;&gt;"",AF233&lt;&gt;""),ROUNDUP((AF233-AE233)/7,0),"")</f>
        <v/>
      </c>
      <c r="AI233">
        <f>IFERROR(IF(AG233*AH233=0,"",AG233*AH233),"")</f>
        <v/>
      </c>
      <c r="AL233">
        <f>IF(AND(AJ233&lt;&gt;"",AK233&lt;&gt;""),ROUNDUP((AK233-AJ233)/7,0),"")</f>
        <v/>
      </c>
      <c r="AN233">
        <f>IFERROR(IF(AL233*AM233=0,"",AL233*AM233),"")</f>
        <v/>
      </c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L233">
        <f>IFERROR(INDEX('_names_lookup'!$C:$C,MATCH(BK233,'_names_lookup'!$A:$A,0)),"")</f>
        <v/>
      </c>
      <c r="BM233">
        <f>IFERROR(INDEX('_names_lookup'!$B:$B,MATCH(BK233,'_names_lookup'!$A:$A,0)),"")</f>
        <v/>
      </c>
      <c r="BS233">
        <f>IFERROR(IF(BR233*AA233=0,"",BR233*AA233),"")</f>
        <v/>
      </c>
    </row>
    <row r="234">
      <c r="O234">
        <f>IFERROR(INDEX('_courses_lookup'!$C:$C,MATCH(K234&amp;L234,'_courses_lookup'!$E:$E,0)),"")</f>
        <v/>
      </c>
      <c r="P234">
        <f>IFERROR(INDEX('_courses_lookup'!$D:$D,MATCH(K234&amp;L234,'_courses_lookup'!$E:$E,0)),"")</f>
        <v/>
      </c>
      <c r="AG234">
        <f>IF(AND(AE234&lt;&gt;"",AF234&lt;&gt;""),ROUNDUP((AF234-AE234)/7,0),"")</f>
        <v/>
      </c>
      <c r="AI234">
        <f>IFERROR(IF(AG234*AH234=0,"",AG234*AH234),"")</f>
        <v/>
      </c>
      <c r="AL234">
        <f>IF(AND(AJ234&lt;&gt;"",AK234&lt;&gt;""),ROUNDUP((AK234-AJ234)/7,0),"")</f>
        <v/>
      </c>
      <c r="AN234">
        <f>IFERROR(IF(AL234*AM234=0,"",AL234*AM234),"")</f>
        <v/>
      </c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L234">
        <f>IFERROR(INDEX('_names_lookup'!$C:$C,MATCH(BK234,'_names_lookup'!$A:$A,0)),"")</f>
        <v/>
      </c>
      <c r="BM234">
        <f>IFERROR(INDEX('_names_lookup'!$B:$B,MATCH(BK234,'_names_lookup'!$A:$A,0)),"")</f>
        <v/>
      </c>
      <c r="BS234">
        <f>IFERROR(IF(BR234*AA234=0,"",BR234*AA234),"")</f>
        <v/>
      </c>
    </row>
    <row r="235">
      <c r="O235">
        <f>IFERROR(INDEX('_courses_lookup'!$C:$C,MATCH(K235&amp;L235,'_courses_lookup'!$E:$E,0)),"")</f>
        <v/>
      </c>
      <c r="P235">
        <f>IFERROR(INDEX('_courses_lookup'!$D:$D,MATCH(K235&amp;L235,'_courses_lookup'!$E:$E,0)),"")</f>
        <v/>
      </c>
      <c r="AG235">
        <f>IF(AND(AE235&lt;&gt;"",AF235&lt;&gt;""),ROUNDUP((AF235-AE235)/7,0),"")</f>
        <v/>
      </c>
      <c r="AI235">
        <f>IFERROR(IF(AG235*AH235=0,"",AG235*AH235),"")</f>
        <v/>
      </c>
      <c r="AL235">
        <f>IF(AND(AJ235&lt;&gt;"",AK235&lt;&gt;""),ROUNDUP((AK235-AJ235)/7,0),"")</f>
        <v/>
      </c>
      <c r="AN235">
        <f>IFERROR(IF(AL235*AM235=0,"",AL235*AM235),"")</f>
        <v/>
      </c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L235">
        <f>IFERROR(INDEX('_names_lookup'!$C:$C,MATCH(BK235,'_names_lookup'!$A:$A,0)),"")</f>
        <v/>
      </c>
      <c r="BM235">
        <f>IFERROR(INDEX('_names_lookup'!$B:$B,MATCH(BK235,'_names_lookup'!$A:$A,0)),"")</f>
        <v/>
      </c>
      <c r="BS235">
        <f>IFERROR(IF(BR235*AA235=0,"",BR235*AA235),"")</f>
        <v/>
      </c>
    </row>
    <row r="236">
      <c r="O236">
        <f>IFERROR(INDEX('_courses_lookup'!$C:$C,MATCH(K236&amp;L236,'_courses_lookup'!$E:$E,0)),"")</f>
        <v/>
      </c>
      <c r="P236">
        <f>IFERROR(INDEX('_courses_lookup'!$D:$D,MATCH(K236&amp;L236,'_courses_lookup'!$E:$E,0)),"")</f>
        <v/>
      </c>
      <c r="AG236">
        <f>IF(AND(AE236&lt;&gt;"",AF236&lt;&gt;""),ROUNDUP((AF236-AE236)/7,0),"")</f>
        <v/>
      </c>
      <c r="AI236">
        <f>IFERROR(IF(AG236*AH236=0,"",AG236*AH236),"")</f>
        <v/>
      </c>
      <c r="AL236">
        <f>IF(AND(AJ236&lt;&gt;"",AK236&lt;&gt;""),ROUNDUP((AK236-AJ236)/7,0),"")</f>
        <v/>
      </c>
      <c r="AN236">
        <f>IFERROR(IF(AL236*AM236=0,"",AL236*AM236),"")</f>
        <v/>
      </c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L236">
        <f>IFERROR(INDEX('_names_lookup'!$C:$C,MATCH(BK236,'_names_lookup'!$A:$A,0)),"")</f>
        <v/>
      </c>
      <c r="BM236">
        <f>IFERROR(INDEX('_names_lookup'!$B:$B,MATCH(BK236,'_names_lookup'!$A:$A,0)),"")</f>
        <v/>
      </c>
      <c r="BS236">
        <f>IFERROR(IF(BR236*AA236=0,"",BR236*AA236),"")</f>
        <v/>
      </c>
    </row>
    <row r="237">
      <c r="O237">
        <f>IFERROR(INDEX('_courses_lookup'!$C:$C,MATCH(K237&amp;L237,'_courses_lookup'!$E:$E,0)),"")</f>
        <v/>
      </c>
      <c r="P237">
        <f>IFERROR(INDEX('_courses_lookup'!$D:$D,MATCH(K237&amp;L237,'_courses_lookup'!$E:$E,0)),"")</f>
        <v/>
      </c>
      <c r="AG237">
        <f>IF(AND(AE237&lt;&gt;"",AF237&lt;&gt;""),ROUNDUP((AF237-AE237)/7,0),"")</f>
        <v/>
      </c>
      <c r="AI237">
        <f>IFERROR(IF(AG237*AH237=0,"",AG237*AH237),"")</f>
        <v/>
      </c>
      <c r="AL237">
        <f>IF(AND(AJ237&lt;&gt;"",AK237&lt;&gt;""),ROUNDUP((AK237-AJ237)/7,0),"")</f>
        <v/>
      </c>
      <c r="AN237">
        <f>IFERROR(IF(AL237*AM237=0,"",AL237*AM237),"")</f>
        <v/>
      </c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L237">
        <f>IFERROR(INDEX('_names_lookup'!$C:$C,MATCH(BK237,'_names_lookup'!$A:$A,0)),"")</f>
        <v/>
      </c>
      <c r="BM237">
        <f>IFERROR(INDEX('_names_lookup'!$B:$B,MATCH(BK237,'_names_lookup'!$A:$A,0)),"")</f>
        <v/>
      </c>
      <c r="BS237">
        <f>IFERROR(IF(BR237*AA237=0,"",BR237*AA237),"")</f>
        <v/>
      </c>
    </row>
    <row r="238">
      <c r="O238">
        <f>IFERROR(INDEX('_courses_lookup'!$C:$C,MATCH(K238&amp;L238,'_courses_lookup'!$E:$E,0)),"")</f>
        <v/>
      </c>
      <c r="P238">
        <f>IFERROR(INDEX('_courses_lookup'!$D:$D,MATCH(K238&amp;L238,'_courses_lookup'!$E:$E,0)),"")</f>
        <v/>
      </c>
      <c r="AG238">
        <f>IF(AND(AE238&lt;&gt;"",AF238&lt;&gt;""),ROUNDUP((AF238-AE238)/7,0),"")</f>
        <v/>
      </c>
      <c r="AI238">
        <f>IFERROR(IF(AG238*AH238=0,"",AG238*AH238),"")</f>
        <v/>
      </c>
      <c r="AL238">
        <f>IF(AND(AJ238&lt;&gt;"",AK238&lt;&gt;""),ROUNDUP((AK238-AJ238)/7,0),"")</f>
        <v/>
      </c>
      <c r="AN238">
        <f>IFERROR(IF(AL238*AM238=0,"",AL238*AM238),"")</f>
        <v/>
      </c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L238">
        <f>IFERROR(INDEX('_names_lookup'!$C:$C,MATCH(BK238,'_names_lookup'!$A:$A,0)),"")</f>
        <v/>
      </c>
      <c r="BM238">
        <f>IFERROR(INDEX('_names_lookup'!$B:$B,MATCH(BK238,'_names_lookup'!$A:$A,0)),"")</f>
        <v/>
      </c>
      <c r="BS238">
        <f>IFERROR(IF(BR238*AA238=0,"",BR238*AA238),"")</f>
        <v/>
      </c>
    </row>
    <row r="239">
      <c r="O239">
        <f>IFERROR(INDEX('_courses_lookup'!$C:$C,MATCH(K239&amp;L239,'_courses_lookup'!$E:$E,0)),"")</f>
        <v/>
      </c>
      <c r="P239">
        <f>IFERROR(INDEX('_courses_lookup'!$D:$D,MATCH(K239&amp;L239,'_courses_lookup'!$E:$E,0)),"")</f>
        <v/>
      </c>
      <c r="AG239">
        <f>IF(AND(AE239&lt;&gt;"",AF239&lt;&gt;""),ROUNDUP((AF239-AE239)/7,0),"")</f>
        <v/>
      </c>
      <c r="AI239">
        <f>IFERROR(IF(AG239*AH239=0,"",AG239*AH239),"")</f>
        <v/>
      </c>
      <c r="AL239">
        <f>IF(AND(AJ239&lt;&gt;"",AK239&lt;&gt;""),ROUNDUP((AK239-AJ239)/7,0),"")</f>
        <v/>
      </c>
      <c r="AN239">
        <f>IFERROR(IF(AL239*AM239=0,"",AL239*AM239),"")</f>
        <v/>
      </c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L239">
        <f>IFERROR(INDEX('_names_lookup'!$C:$C,MATCH(BK239,'_names_lookup'!$A:$A,0)),"")</f>
        <v/>
      </c>
      <c r="BM239">
        <f>IFERROR(INDEX('_names_lookup'!$B:$B,MATCH(BK239,'_names_lookup'!$A:$A,0)),"")</f>
        <v/>
      </c>
      <c r="BS239">
        <f>IFERROR(IF(BR239*AA239=0,"",BR239*AA239),"")</f>
        <v/>
      </c>
    </row>
    <row r="240">
      <c r="O240">
        <f>IFERROR(INDEX('_courses_lookup'!$C:$C,MATCH(K240&amp;L240,'_courses_lookup'!$E:$E,0)),"")</f>
        <v/>
      </c>
      <c r="P240">
        <f>IFERROR(INDEX('_courses_lookup'!$D:$D,MATCH(K240&amp;L240,'_courses_lookup'!$E:$E,0)),"")</f>
        <v/>
      </c>
      <c r="AG240">
        <f>IF(AND(AE240&lt;&gt;"",AF240&lt;&gt;""),ROUNDUP((AF240-AE240)/7,0),"")</f>
        <v/>
      </c>
      <c r="AI240">
        <f>IFERROR(IF(AG240*AH240=0,"",AG240*AH240),"")</f>
        <v/>
      </c>
      <c r="AL240">
        <f>IF(AND(AJ240&lt;&gt;"",AK240&lt;&gt;""),ROUNDUP((AK240-AJ240)/7,0),"")</f>
        <v/>
      </c>
      <c r="AN240">
        <f>IFERROR(IF(AL240*AM240=0,"",AL240*AM240),"")</f>
        <v/>
      </c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L240">
        <f>IFERROR(INDEX('_names_lookup'!$C:$C,MATCH(BK240,'_names_lookup'!$A:$A,0)),"")</f>
        <v/>
      </c>
      <c r="BM240">
        <f>IFERROR(INDEX('_names_lookup'!$B:$B,MATCH(BK240,'_names_lookup'!$A:$A,0)),"")</f>
        <v/>
      </c>
      <c r="BS240">
        <f>IFERROR(IF(BR240*AA240=0,"",BR240*AA240),"")</f>
        <v/>
      </c>
    </row>
    <row r="241">
      <c r="O241">
        <f>IFERROR(INDEX('_courses_lookup'!$C:$C,MATCH(K241&amp;L241,'_courses_lookup'!$E:$E,0)),"")</f>
        <v/>
      </c>
      <c r="P241">
        <f>IFERROR(INDEX('_courses_lookup'!$D:$D,MATCH(K241&amp;L241,'_courses_lookup'!$E:$E,0)),"")</f>
        <v/>
      </c>
      <c r="AG241">
        <f>IF(AND(AE241&lt;&gt;"",AF241&lt;&gt;""),ROUNDUP((AF241-AE241)/7,0),"")</f>
        <v/>
      </c>
      <c r="AI241">
        <f>IFERROR(IF(AG241*AH241=0,"",AG241*AH241),"")</f>
        <v/>
      </c>
      <c r="AL241">
        <f>IF(AND(AJ241&lt;&gt;"",AK241&lt;&gt;""),ROUNDUP((AK241-AJ241)/7,0),"")</f>
        <v/>
      </c>
      <c r="AN241">
        <f>IFERROR(IF(AL241*AM241=0,"",AL241*AM241),"")</f>
        <v/>
      </c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L241">
        <f>IFERROR(INDEX('_names_lookup'!$C:$C,MATCH(BK241,'_names_lookup'!$A:$A,0)),"")</f>
        <v/>
      </c>
      <c r="BM241">
        <f>IFERROR(INDEX('_names_lookup'!$B:$B,MATCH(BK241,'_names_lookup'!$A:$A,0)),"")</f>
        <v/>
      </c>
      <c r="BS241">
        <f>IFERROR(IF(BR241*AA241=0,"",BR241*AA241),"")</f>
        <v/>
      </c>
    </row>
    <row r="242">
      <c r="O242">
        <f>IFERROR(INDEX('_courses_lookup'!$C:$C,MATCH(K242&amp;L242,'_courses_lookup'!$E:$E,0)),"")</f>
        <v/>
      </c>
      <c r="P242">
        <f>IFERROR(INDEX('_courses_lookup'!$D:$D,MATCH(K242&amp;L242,'_courses_lookup'!$E:$E,0)),"")</f>
        <v/>
      </c>
      <c r="AG242">
        <f>IF(AND(AE242&lt;&gt;"",AF242&lt;&gt;""),ROUNDUP((AF242-AE242)/7,0),"")</f>
        <v/>
      </c>
      <c r="AI242">
        <f>IFERROR(IF(AG242*AH242=0,"",AG242*AH242),"")</f>
        <v/>
      </c>
      <c r="AL242">
        <f>IF(AND(AJ242&lt;&gt;"",AK242&lt;&gt;""),ROUNDUP((AK242-AJ242)/7,0),"")</f>
        <v/>
      </c>
      <c r="AN242">
        <f>IFERROR(IF(AL242*AM242=0,"",AL242*AM242),"")</f>
        <v/>
      </c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L242">
        <f>IFERROR(INDEX('_names_lookup'!$C:$C,MATCH(BK242,'_names_lookup'!$A:$A,0)),"")</f>
        <v/>
      </c>
      <c r="BM242">
        <f>IFERROR(INDEX('_names_lookup'!$B:$B,MATCH(BK242,'_names_lookup'!$A:$A,0)),"")</f>
        <v/>
      </c>
      <c r="BS242">
        <f>IFERROR(IF(BR242*AA242=0,"",BR242*AA242),"")</f>
        <v/>
      </c>
    </row>
    <row r="243">
      <c r="O243">
        <f>IFERROR(INDEX('_courses_lookup'!$C:$C,MATCH(K243&amp;L243,'_courses_lookup'!$E:$E,0)),"")</f>
        <v/>
      </c>
      <c r="P243">
        <f>IFERROR(INDEX('_courses_lookup'!$D:$D,MATCH(K243&amp;L243,'_courses_lookup'!$E:$E,0)),"")</f>
        <v/>
      </c>
      <c r="AG243">
        <f>IF(AND(AE243&lt;&gt;"",AF243&lt;&gt;""),ROUNDUP((AF243-AE243)/7,0),"")</f>
        <v/>
      </c>
      <c r="AI243">
        <f>IFERROR(IF(AG243*AH243=0,"",AG243*AH243),"")</f>
        <v/>
      </c>
      <c r="AL243">
        <f>IF(AND(AJ243&lt;&gt;"",AK243&lt;&gt;""),ROUNDUP((AK243-AJ243)/7,0),"")</f>
        <v/>
      </c>
      <c r="AN243">
        <f>IFERROR(IF(AL243*AM243=0,"",AL243*AM243),"")</f>
        <v/>
      </c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L243">
        <f>IFERROR(INDEX('_names_lookup'!$C:$C,MATCH(BK243,'_names_lookup'!$A:$A,0)),"")</f>
        <v/>
      </c>
      <c r="BM243">
        <f>IFERROR(INDEX('_names_lookup'!$B:$B,MATCH(BK243,'_names_lookup'!$A:$A,0)),"")</f>
        <v/>
      </c>
      <c r="BS243">
        <f>IFERROR(IF(BR243*AA243=0,"",BR243*AA243),"")</f>
        <v/>
      </c>
    </row>
    <row r="244">
      <c r="O244">
        <f>IFERROR(INDEX('_courses_lookup'!$C:$C,MATCH(K244&amp;L244,'_courses_lookup'!$E:$E,0)),"")</f>
        <v/>
      </c>
      <c r="P244">
        <f>IFERROR(INDEX('_courses_lookup'!$D:$D,MATCH(K244&amp;L244,'_courses_lookup'!$E:$E,0)),"")</f>
        <v/>
      </c>
      <c r="AG244">
        <f>IF(AND(AE244&lt;&gt;"",AF244&lt;&gt;""),ROUNDUP((AF244-AE244)/7,0),"")</f>
        <v/>
      </c>
      <c r="AI244">
        <f>IFERROR(IF(AG244*AH244=0,"",AG244*AH244),"")</f>
        <v/>
      </c>
      <c r="AL244">
        <f>IF(AND(AJ244&lt;&gt;"",AK244&lt;&gt;""),ROUNDUP((AK244-AJ244)/7,0),"")</f>
        <v/>
      </c>
      <c r="AN244">
        <f>IFERROR(IF(AL244*AM244=0,"",AL244*AM244),"")</f>
        <v/>
      </c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L244">
        <f>IFERROR(INDEX('_names_lookup'!$C:$C,MATCH(BK244,'_names_lookup'!$A:$A,0)),"")</f>
        <v/>
      </c>
      <c r="BM244">
        <f>IFERROR(INDEX('_names_lookup'!$B:$B,MATCH(BK244,'_names_lookup'!$A:$A,0)),"")</f>
        <v/>
      </c>
      <c r="BS244">
        <f>IFERROR(IF(BR244*AA244=0,"",BR244*AA244),"")</f>
        <v/>
      </c>
    </row>
    <row r="245">
      <c r="O245">
        <f>IFERROR(INDEX('_courses_lookup'!$C:$C,MATCH(K245&amp;L245,'_courses_lookup'!$E:$E,0)),"")</f>
        <v/>
      </c>
      <c r="P245">
        <f>IFERROR(INDEX('_courses_lookup'!$D:$D,MATCH(K245&amp;L245,'_courses_lookup'!$E:$E,0)),"")</f>
        <v/>
      </c>
      <c r="AG245">
        <f>IF(AND(AE245&lt;&gt;"",AF245&lt;&gt;""),ROUNDUP((AF245-AE245)/7,0),"")</f>
        <v/>
      </c>
      <c r="AI245">
        <f>IFERROR(IF(AG245*AH245=0,"",AG245*AH245),"")</f>
        <v/>
      </c>
      <c r="AL245">
        <f>IF(AND(AJ245&lt;&gt;"",AK245&lt;&gt;""),ROUNDUP((AK245-AJ245)/7,0),"")</f>
        <v/>
      </c>
      <c r="AN245">
        <f>IFERROR(IF(AL245*AM245=0,"",AL245*AM245),"")</f>
        <v/>
      </c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L245">
        <f>IFERROR(INDEX('_names_lookup'!$C:$C,MATCH(BK245,'_names_lookup'!$A:$A,0)),"")</f>
        <v/>
      </c>
      <c r="BM245">
        <f>IFERROR(INDEX('_names_lookup'!$B:$B,MATCH(BK245,'_names_lookup'!$A:$A,0)),"")</f>
        <v/>
      </c>
      <c r="BS245">
        <f>IFERROR(IF(BR245*AA245=0,"",BR245*AA245),"")</f>
        <v/>
      </c>
    </row>
    <row r="246">
      <c r="O246">
        <f>IFERROR(INDEX('_courses_lookup'!$C:$C,MATCH(K246&amp;L246,'_courses_lookup'!$E:$E,0)),"")</f>
        <v/>
      </c>
      <c r="P246">
        <f>IFERROR(INDEX('_courses_lookup'!$D:$D,MATCH(K246&amp;L246,'_courses_lookup'!$E:$E,0)),"")</f>
        <v/>
      </c>
      <c r="AG246">
        <f>IF(AND(AE246&lt;&gt;"",AF246&lt;&gt;""),ROUNDUP((AF246-AE246)/7,0),"")</f>
        <v/>
      </c>
      <c r="AI246">
        <f>IFERROR(IF(AG246*AH246=0,"",AG246*AH246),"")</f>
        <v/>
      </c>
      <c r="AL246">
        <f>IF(AND(AJ246&lt;&gt;"",AK246&lt;&gt;""),ROUNDUP((AK246-AJ246)/7,0),"")</f>
        <v/>
      </c>
      <c r="AN246">
        <f>IFERROR(IF(AL246*AM246=0,"",AL246*AM246),"")</f>
        <v/>
      </c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L246">
        <f>IFERROR(INDEX('_names_lookup'!$C:$C,MATCH(BK246,'_names_lookup'!$A:$A,0)),"")</f>
        <v/>
      </c>
      <c r="BM246">
        <f>IFERROR(INDEX('_names_lookup'!$B:$B,MATCH(BK246,'_names_lookup'!$A:$A,0)),"")</f>
        <v/>
      </c>
      <c r="BS246">
        <f>IFERROR(IF(BR246*AA246=0,"",BR246*AA246),"")</f>
        <v/>
      </c>
    </row>
    <row r="247">
      <c r="O247">
        <f>IFERROR(INDEX('_courses_lookup'!$C:$C,MATCH(K247&amp;L247,'_courses_lookup'!$E:$E,0)),"")</f>
        <v/>
      </c>
      <c r="P247">
        <f>IFERROR(INDEX('_courses_lookup'!$D:$D,MATCH(K247&amp;L247,'_courses_lookup'!$E:$E,0)),"")</f>
        <v/>
      </c>
      <c r="AG247">
        <f>IF(AND(AE247&lt;&gt;"",AF247&lt;&gt;""),ROUNDUP((AF247-AE247)/7,0),"")</f>
        <v/>
      </c>
      <c r="AI247">
        <f>IFERROR(IF(AG247*AH247=0,"",AG247*AH247),"")</f>
        <v/>
      </c>
      <c r="AL247">
        <f>IF(AND(AJ247&lt;&gt;"",AK247&lt;&gt;""),ROUNDUP((AK247-AJ247)/7,0),"")</f>
        <v/>
      </c>
      <c r="AN247">
        <f>IFERROR(IF(AL247*AM247=0,"",AL247*AM247),"")</f>
        <v/>
      </c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L247">
        <f>IFERROR(INDEX('_names_lookup'!$C:$C,MATCH(BK247,'_names_lookup'!$A:$A,0)),"")</f>
        <v/>
      </c>
      <c r="BM247">
        <f>IFERROR(INDEX('_names_lookup'!$B:$B,MATCH(BK247,'_names_lookup'!$A:$A,0)),"")</f>
        <v/>
      </c>
      <c r="BS247">
        <f>IFERROR(IF(BR247*AA247=0,"",BR247*AA247),"")</f>
        <v/>
      </c>
    </row>
    <row r="248">
      <c r="O248">
        <f>IFERROR(INDEX('_courses_lookup'!$C:$C,MATCH(K248&amp;L248,'_courses_lookup'!$E:$E,0)),"")</f>
        <v/>
      </c>
      <c r="P248">
        <f>IFERROR(INDEX('_courses_lookup'!$D:$D,MATCH(K248&amp;L248,'_courses_lookup'!$E:$E,0)),"")</f>
        <v/>
      </c>
      <c r="AG248">
        <f>IF(AND(AE248&lt;&gt;"",AF248&lt;&gt;""),ROUNDUP((AF248-AE248)/7,0),"")</f>
        <v/>
      </c>
      <c r="AI248">
        <f>IFERROR(IF(AG248*AH248=0,"",AG248*AH248),"")</f>
        <v/>
      </c>
      <c r="AL248">
        <f>IF(AND(AJ248&lt;&gt;"",AK248&lt;&gt;""),ROUNDUP((AK248-AJ248)/7,0),"")</f>
        <v/>
      </c>
      <c r="AN248">
        <f>IFERROR(IF(AL248*AM248=0,"",AL248*AM248),"")</f>
        <v/>
      </c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L248">
        <f>IFERROR(INDEX('_names_lookup'!$C:$C,MATCH(BK248,'_names_lookup'!$A:$A,0)),"")</f>
        <v/>
      </c>
      <c r="BM248">
        <f>IFERROR(INDEX('_names_lookup'!$B:$B,MATCH(BK248,'_names_lookup'!$A:$A,0)),"")</f>
        <v/>
      </c>
      <c r="BS248">
        <f>IFERROR(IF(BR248*AA248=0,"",BR248*AA248),"")</f>
        <v/>
      </c>
    </row>
    <row r="249">
      <c r="O249">
        <f>IFERROR(INDEX('_courses_lookup'!$C:$C,MATCH(K249&amp;L249,'_courses_lookup'!$E:$E,0)),"")</f>
        <v/>
      </c>
      <c r="P249">
        <f>IFERROR(INDEX('_courses_lookup'!$D:$D,MATCH(K249&amp;L249,'_courses_lookup'!$E:$E,0)),"")</f>
        <v/>
      </c>
      <c r="AG249">
        <f>IF(AND(AE249&lt;&gt;"",AF249&lt;&gt;""),ROUNDUP((AF249-AE249)/7,0),"")</f>
        <v/>
      </c>
      <c r="AI249">
        <f>IFERROR(IF(AG249*AH249=0,"",AG249*AH249),"")</f>
        <v/>
      </c>
      <c r="AL249">
        <f>IF(AND(AJ249&lt;&gt;"",AK249&lt;&gt;""),ROUNDUP((AK249-AJ249)/7,0),"")</f>
        <v/>
      </c>
      <c r="AN249">
        <f>IFERROR(IF(AL249*AM249=0,"",AL249*AM249),"")</f>
        <v/>
      </c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L249">
        <f>IFERROR(INDEX('_names_lookup'!$C:$C,MATCH(BK249,'_names_lookup'!$A:$A,0)),"")</f>
        <v/>
      </c>
      <c r="BM249">
        <f>IFERROR(INDEX('_names_lookup'!$B:$B,MATCH(BK249,'_names_lookup'!$A:$A,0)),"")</f>
        <v/>
      </c>
      <c r="BS249">
        <f>IFERROR(IF(BR249*AA249=0,"",BR249*AA249),"")</f>
        <v/>
      </c>
    </row>
    <row r="250">
      <c r="O250">
        <f>IFERROR(INDEX('_courses_lookup'!$C:$C,MATCH(K250&amp;L250,'_courses_lookup'!$E:$E,0)),"")</f>
        <v/>
      </c>
      <c r="P250">
        <f>IFERROR(INDEX('_courses_lookup'!$D:$D,MATCH(K250&amp;L250,'_courses_lookup'!$E:$E,0)),"")</f>
        <v/>
      </c>
      <c r="AG250">
        <f>IF(AND(AE250&lt;&gt;"",AF250&lt;&gt;""),ROUNDUP((AF250-AE250)/7,0),"")</f>
        <v/>
      </c>
      <c r="AI250">
        <f>IFERROR(IF(AG250*AH250=0,"",AG250*AH250),"")</f>
        <v/>
      </c>
      <c r="AL250">
        <f>IF(AND(AJ250&lt;&gt;"",AK250&lt;&gt;""),ROUNDUP((AK250-AJ250)/7,0),"")</f>
        <v/>
      </c>
      <c r="AN250">
        <f>IFERROR(IF(AL250*AM250=0,"",AL250*AM250),"")</f>
        <v/>
      </c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L250">
        <f>IFERROR(INDEX('_names_lookup'!$C:$C,MATCH(BK250,'_names_lookup'!$A:$A,0)),"")</f>
        <v/>
      </c>
      <c r="BM250">
        <f>IFERROR(INDEX('_names_lookup'!$B:$B,MATCH(BK250,'_names_lookup'!$A:$A,0)),"")</f>
        <v/>
      </c>
      <c r="BS250">
        <f>IFERROR(IF(BR250*AA250=0,"",BR250*AA250),"")</f>
        <v/>
      </c>
    </row>
    <row r="251">
      <c r="O251">
        <f>IFERROR(INDEX('_courses_lookup'!$C:$C,MATCH(K251&amp;L251,'_courses_lookup'!$E:$E,0)),"")</f>
        <v/>
      </c>
      <c r="P251">
        <f>IFERROR(INDEX('_courses_lookup'!$D:$D,MATCH(K251&amp;L251,'_courses_lookup'!$E:$E,0)),"")</f>
        <v/>
      </c>
      <c r="AG251">
        <f>IF(AND(AE251&lt;&gt;"",AF251&lt;&gt;""),ROUNDUP((AF251-AE251)/7,0),"")</f>
        <v/>
      </c>
      <c r="AI251">
        <f>IFERROR(IF(AG251*AH251=0,"",AG251*AH251),"")</f>
        <v/>
      </c>
      <c r="AL251">
        <f>IF(AND(AJ251&lt;&gt;"",AK251&lt;&gt;""),ROUNDUP((AK251-AJ251)/7,0),"")</f>
        <v/>
      </c>
      <c r="AN251">
        <f>IFERROR(IF(AL251*AM251=0,"",AL251*AM251),"")</f>
        <v/>
      </c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L251">
        <f>IFERROR(INDEX('_names_lookup'!$C:$C,MATCH(BK251,'_names_lookup'!$A:$A,0)),"")</f>
        <v/>
      </c>
      <c r="BM251">
        <f>IFERROR(INDEX('_names_lookup'!$B:$B,MATCH(BK251,'_names_lookup'!$A:$A,0)),"")</f>
        <v/>
      </c>
      <c r="BS251">
        <f>IFERROR(IF(BR251*AA251=0,"",BR251*AA251),"")</f>
        <v/>
      </c>
    </row>
    <row r="252">
      <c r="O252">
        <f>IFERROR(INDEX('_courses_lookup'!$C:$C,MATCH(K252&amp;L252,'_courses_lookup'!$E:$E,0)),"")</f>
        <v/>
      </c>
      <c r="P252">
        <f>IFERROR(INDEX('_courses_lookup'!$D:$D,MATCH(K252&amp;L252,'_courses_lookup'!$E:$E,0)),"")</f>
        <v/>
      </c>
      <c r="AG252">
        <f>IF(AND(AE252&lt;&gt;"",AF252&lt;&gt;""),ROUNDUP((AF252-AE252)/7,0),"")</f>
        <v/>
      </c>
      <c r="AI252">
        <f>IFERROR(IF(AG252*AH252=0,"",AG252*AH252),"")</f>
        <v/>
      </c>
      <c r="AL252">
        <f>IF(AND(AJ252&lt;&gt;"",AK252&lt;&gt;""),ROUNDUP((AK252-AJ252)/7,0),"")</f>
        <v/>
      </c>
      <c r="AN252">
        <f>IFERROR(IF(AL252*AM252=0,"",AL252*AM252),"")</f>
        <v/>
      </c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L252">
        <f>IFERROR(INDEX('_names_lookup'!$C:$C,MATCH(BK252,'_names_lookup'!$A:$A,0)),"")</f>
        <v/>
      </c>
      <c r="BM252">
        <f>IFERROR(INDEX('_names_lookup'!$B:$B,MATCH(BK252,'_names_lookup'!$A:$A,0)),"")</f>
        <v/>
      </c>
      <c r="BS252">
        <f>IFERROR(IF(BR252*AA252=0,"",BR252*AA252),"")</f>
        <v/>
      </c>
    </row>
    <row r="253">
      <c r="O253">
        <f>IFERROR(INDEX('_courses_lookup'!$C:$C,MATCH(K253&amp;L253,'_courses_lookup'!$E:$E,0)),"")</f>
        <v/>
      </c>
      <c r="P253">
        <f>IFERROR(INDEX('_courses_lookup'!$D:$D,MATCH(K253&amp;L253,'_courses_lookup'!$E:$E,0)),"")</f>
        <v/>
      </c>
      <c r="AG253">
        <f>IF(AND(AE253&lt;&gt;"",AF253&lt;&gt;""),ROUNDUP((AF253-AE253)/7,0),"")</f>
        <v/>
      </c>
      <c r="AI253">
        <f>IFERROR(IF(AG253*AH253=0,"",AG253*AH253),"")</f>
        <v/>
      </c>
      <c r="AL253">
        <f>IF(AND(AJ253&lt;&gt;"",AK253&lt;&gt;""),ROUNDUP((AK253-AJ253)/7,0),"")</f>
        <v/>
      </c>
      <c r="AN253">
        <f>IFERROR(IF(AL253*AM253=0,"",AL253*AM253),"")</f>
        <v/>
      </c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L253">
        <f>IFERROR(INDEX('_names_lookup'!$C:$C,MATCH(BK253,'_names_lookup'!$A:$A,0)),"")</f>
        <v/>
      </c>
      <c r="BM253">
        <f>IFERROR(INDEX('_names_lookup'!$B:$B,MATCH(BK253,'_names_lookup'!$A:$A,0)),"")</f>
        <v/>
      </c>
      <c r="BS253">
        <f>IFERROR(IF(BR253*AA253=0,"",BR253*AA253),"")</f>
        <v/>
      </c>
    </row>
    <row r="254">
      <c r="O254">
        <f>IFERROR(INDEX('_courses_lookup'!$C:$C,MATCH(K254&amp;L254,'_courses_lookup'!$E:$E,0)),"")</f>
        <v/>
      </c>
      <c r="P254">
        <f>IFERROR(INDEX('_courses_lookup'!$D:$D,MATCH(K254&amp;L254,'_courses_lookup'!$E:$E,0)),"")</f>
        <v/>
      </c>
      <c r="AG254">
        <f>IF(AND(AE254&lt;&gt;"",AF254&lt;&gt;""),ROUNDUP((AF254-AE254)/7,0),"")</f>
        <v/>
      </c>
      <c r="AI254">
        <f>IFERROR(IF(AG254*AH254=0,"",AG254*AH254),"")</f>
        <v/>
      </c>
      <c r="AL254">
        <f>IF(AND(AJ254&lt;&gt;"",AK254&lt;&gt;""),ROUNDUP((AK254-AJ254)/7,0),"")</f>
        <v/>
      </c>
      <c r="AN254">
        <f>IFERROR(IF(AL254*AM254=0,"",AL254*AM254),"")</f>
        <v/>
      </c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L254">
        <f>IFERROR(INDEX('_names_lookup'!$C:$C,MATCH(BK254,'_names_lookup'!$A:$A,0)),"")</f>
        <v/>
      </c>
      <c r="BM254">
        <f>IFERROR(INDEX('_names_lookup'!$B:$B,MATCH(BK254,'_names_lookup'!$A:$A,0)),"")</f>
        <v/>
      </c>
      <c r="BS254">
        <f>IFERROR(IF(BR254*AA254=0,"",BR254*AA254),"")</f>
        <v/>
      </c>
    </row>
    <row r="255">
      <c r="O255">
        <f>IFERROR(INDEX('_courses_lookup'!$C:$C,MATCH(K255&amp;L255,'_courses_lookup'!$E:$E,0)),"")</f>
        <v/>
      </c>
      <c r="P255">
        <f>IFERROR(INDEX('_courses_lookup'!$D:$D,MATCH(K255&amp;L255,'_courses_lookup'!$E:$E,0)),"")</f>
        <v/>
      </c>
      <c r="AG255">
        <f>IF(AND(AE255&lt;&gt;"",AF255&lt;&gt;""),ROUNDUP((AF255-AE255)/7,0),"")</f>
        <v/>
      </c>
      <c r="AI255">
        <f>IFERROR(IF(AG255*AH255=0,"",AG255*AH255),"")</f>
        <v/>
      </c>
      <c r="AL255">
        <f>IF(AND(AJ255&lt;&gt;"",AK255&lt;&gt;""),ROUNDUP((AK255-AJ255)/7,0),"")</f>
        <v/>
      </c>
      <c r="AN255">
        <f>IFERROR(IF(AL255*AM255=0,"",AL255*AM255),"")</f>
        <v/>
      </c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L255">
        <f>IFERROR(INDEX('_names_lookup'!$C:$C,MATCH(BK255,'_names_lookup'!$A:$A,0)),"")</f>
        <v/>
      </c>
      <c r="BM255">
        <f>IFERROR(INDEX('_names_lookup'!$B:$B,MATCH(BK255,'_names_lookup'!$A:$A,0)),"")</f>
        <v/>
      </c>
      <c r="BS255">
        <f>IFERROR(IF(BR255*AA255=0,"",BR255*AA255),"")</f>
        <v/>
      </c>
    </row>
    <row r="256">
      <c r="O256">
        <f>IFERROR(INDEX('_courses_lookup'!$C:$C,MATCH(K256&amp;L256,'_courses_lookup'!$E:$E,0)),"")</f>
        <v/>
      </c>
      <c r="P256">
        <f>IFERROR(INDEX('_courses_lookup'!$D:$D,MATCH(K256&amp;L256,'_courses_lookup'!$E:$E,0)),"")</f>
        <v/>
      </c>
      <c r="AG256">
        <f>IF(AND(AE256&lt;&gt;"",AF256&lt;&gt;""),ROUNDUP((AF256-AE256)/7,0),"")</f>
        <v/>
      </c>
      <c r="AI256">
        <f>IFERROR(IF(AG256*AH256=0,"",AG256*AH256),"")</f>
        <v/>
      </c>
      <c r="AL256">
        <f>IF(AND(AJ256&lt;&gt;"",AK256&lt;&gt;""),ROUNDUP((AK256-AJ256)/7,0),"")</f>
        <v/>
      </c>
      <c r="AN256">
        <f>IFERROR(IF(AL256*AM256=0,"",AL256*AM256),"")</f>
        <v/>
      </c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L256">
        <f>IFERROR(INDEX('_names_lookup'!$C:$C,MATCH(BK256,'_names_lookup'!$A:$A,0)),"")</f>
        <v/>
      </c>
      <c r="BM256">
        <f>IFERROR(INDEX('_names_lookup'!$B:$B,MATCH(BK256,'_names_lookup'!$A:$A,0)),"")</f>
        <v/>
      </c>
      <c r="BS256">
        <f>IFERROR(IF(BR256*AA256=0,"",BR256*AA256),"")</f>
        <v/>
      </c>
    </row>
    <row r="257">
      <c r="O257">
        <f>IFERROR(INDEX('_courses_lookup'!$C:$C,MATCH(K257&amp;L257,'_courses_lookup'!$E:$E,0)),"")</f>
        <v/>
      </c>
      <c r="P257">
        <f>IFERROR(INDEX('_courses_lookup'!$D:$D,MATCH(K257&amp;L257,'_courses_lookup'!$E:$E,0)),"")</f>
        <v/>
      </c>
      <c r="AG257">
        <f>IF(AND(AE257&lt;&gt;"",AF257&lt;&gt;""),ROUNDUP((AF257-AE257)/7,0),"")</f>
        <v/>
      </c>
      <c r="AI257">
        <f>IFERROR(IF(AG257*AH257=0,"",AG257*AH257),"")</f>
        <v/>
      </c>
      <c r="AL257">
        <f>IF(AND(AJ257&lt;&gt;"",AK257&lt;&gt;""),ROUNDUP((AK257-AJ257)/7,0),"")</f>
        <v/>
      </c>
      <c r="AN257">
        <f>IFERROR(IF(AL257*AM257=0,"",AL257*AM257),"")</f>
        <v/>
      </c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L257">
        <f>IFERROR(INDEX('_names_lookup'!$C:$C,MATCH(BK257,'_names_lookup'!$A:$A,0)),"")</f>
        <v/>
      </c>
      <c r="BM257">
        <f>IFERROR(INDEX('_names_lookup'!$B:$B,MATCH(BK257,'_names_lookup'!$A:$A,0)),"")</f>
        <v/>
      </c>
      <c r="BS257">
        <f>IFERROR(IF(BR257*AA257=0,"",BR257*AA257),"")</f>
        <v/>
      </c>
    </row>
    <row r="258">
      <c r="O258">
        <f>IFERROR(INDEX('_courses_lookup'!$C:$C,MATCH(K258&amp;L258,'_courses_lookup'!$E:$E,0)),"")</f>
        <v/>
      </c>
      <c r="P258">
        <f>IFERROR(INDEX('_courses_lookup'!$D:$D,MATCH(K258&amp;L258,'_courses_lookup'!$E:$E,0)),"")</f>
        <v/>
      </c>
      <c r="AG258">
        <f>IF(AND(AE258&lt;&gt;"",AF258&lt;&gt;""),ROUNDUP((AF258-AE258)/7,0),"")</f>
        <v/>
      </c>
      <c r="AI258">
        <f>IFERROR(IF(AG258*AH258=0,"",AG258*AH258),"")</f>
        <v/>
      </c>
      <c r="AL258">
        <f>IF(AND(AJ258&lt;&gt;"",AK258&lt;&gt;""),ROUNDUP((AK258-AJ258)/7,0),"")</f>
        <v/>
      </c>
      <c r="AN258">
        <f>IFERROR(IF(AL258*AM258=0,"",AL258*AM258),"")</f>
        <v/>
      </c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L258">
        <f>IFERROR(INDEX('_names_lookup'!$C:$C,MATCH(BK258,'_names_lookup'!$A:$A,0)),"")</f>
        <v/>
      </c>
      <c r="BM258">
        <f>IFERROR(INDEX('_names_lookup'!$B:$B,MATCH(BK258,'_names_lookup'!$A:$A,0)),"")</f>
        <v/>
      </c>
      <c r="BS258">
        <f>IFERROR(IF(BR258*AA258=0,"",BR258*AA258),"")</f>
        <v/>
      </c>
    </row>
    <row r="259">
      <c r="O259">
        <f>IFERROR(INDEX('_courses_lookup'!$C:$C,MATCH(K259&amp;L259,'_courses_lookup'!$E:$E,0)),"")</f>
        <v/>
      </c>
      <c r="P259">
        <f>IFERROR(INDEX('_courses_lookup'!$D:$D,MATCH(K259&amp;L259,'_courses_lookup'!$E:$E,0)),"")</f>
        <v/>
      </c>
      <c r="AG259">
        <f>IF(AND(AE259&lt;&gt;"",AF259&lt;&gt;""),ROUNDUP((AF259-AE259)/7,0),"")</f>
        <v/>
      </c>
      <c r="AI259">
        <f>IFERROR(IF(AG259*AH259=0,"",AG259*AH259),"")</f>
        <v/>
      </c>
      <c r="AL259">
        <f>IF(AND(AJ259&lt;&gt;"",AK259&lt;&gt;""),ROUNDUP((AK259-AJ259)/7,0),"")</f>
        <v/>
      </c>
      <c r="AN259">
        <f>IFERROR(IF(AL259*AM259=0,"",AL259*AM259),"")</f>
        <v/>
      </c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L259">
        <f>IFERROR(INDEX('_names_lookup'!$C:$C,MATCH(BK259,'_names_lookup'!$A:$A,0)),"")</f>
        <v/>
      </c>
      <c r="BM259">
        <f>IFERROR(INDEX('_names_lookup'!$B:$B,MATCH(BK259,'_names_lookup'!$A:$A,0)),"")</f>
        <v/>
      </c>
      <c r="BS259">
        <f>IFERROR(IF(BR259*AA259=0,"",BR259*AA259),"")</f>
        <v/>
      </c>
    </row>
    <row r="260">
      <c r="O260">
        <f>IFERROR(INDEX('_courses_lookup'!$C:$C,MATCH(K260&amp;L260,'_courses_lookup'!$E:$E,0)),"")</f>
        <v/>
      </c>
      <c r="P260">
        <f>IFERROR(INDEX('_courses_lookup'!$D:$D,MATCH(K260&amp;L260,'_courses_lookup'!$E:$E,0)),"")</f>
        <v/>
      </c>
      <c r="AG260">
        <f>IF(AND(AE260&lt;&gt;"",AF260&lt;&gt;""),ROUNDUP((AF260-AE260)/7,0),"")</f>
        <v/>
      </c>
      <c r="AI260">
        <f>IFERROR(IF(AG260*AH260=0,"",AG260*AH260),"")</f>
        <v/>
      </c>
      <c r="AL260">
        <f>IF(AND(AJ260&lt;&gt;"",AK260&lt;&gt;""),ROUNDUP((AK260-AJ260)/7,0),"")</f>
        <v/>
      </c>
      <c r="AN260">
        <f>IFERROR(IF(AL260*AM260=0,"",AL260*AM260),"")</f>
        <v/>
      </c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L260">
        <f>IFERROR(INDEX('_names_lookup'!$C:$C,MATCH(BK260,'_names_lookup'!$A:$A,0)),"")</f>
        <v/>
      </c>
      <c r="BM260">
        <f>IFERROR(INDEX('_names_lookup'!$B:$B,MATCH(BK260,'_names_lookup'!$A:$A,0)),"")</f>
        <v/>
      </c>
      <c r="BS260">
        <f>IFERROR(IF(BR260*AA260=0,"",BR260*AA260),"")</f>
        <v/>
      </c>
    </row>
    <row r="261">
      <c r="O261">
        <f>IFERROR(INDEX('_courses_lookup'!$C:$C,MATCH(K261&amp;L261,'_courses_lookup'!$E:$E,0)),"")</f>
        <v/>
      </c>
      <c r="P261">
        <f>IFERROR(INDEX('_courses_lookup'!$D:$D,MATCH(K261&amp;L261,'_courses_lookup'!$E:$E,0)),"")</f>
        <v/>
      </c>
      <c r="AG261">
        <f>IF(AND(AE261&lt;&gt;"",AF261&lt;&gt;""),ROUNDUP((AF261-AE261)/7,0),"")</f>
        <v/>
      </c>
      <c r="AI261">
        <f>IFERROR(IF(AG261*AH261=0,"",AG261*AH261),"")</f>
        <v/>
      </c>
      <c r="AL261">
        <f>IF(AND(AJ261&lt;&gt;"",AK261&lt;&gt;""),ROUNDUP((AK261-AJ261)/7,0),"")</f>
        <v/>
      </c>
      <c r="AN261">
        <f>IFERROR(IF(AL261*AM261=0,"",AL261*AM261),"")</f>
        <v/>
      </c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L261">
        <f>IFERROR(INDEX('_names_lookup'!$C:$C,MATCH(BK261,'_names_lookup'!$A:$A,0)),"")</f>
        <v/>
      </c>
      <c r="BM261">
        <f>IFERROR(INDEX('_names_lookup'!$B:$B,MATCH(BK261,'_names_lookup'!$A:$A,0)),"")</f>
        <v/>
      </c>
      <c r="BS261">
        <f>IFERROR(IF(BR261*AA261=0,"",BR261*AA261),"")</f>
        <v/>
      </c>
    </row>
    <row r="262">
      <c r="O262">
        <f>IFERROR(INDEX('_courses_lookup'!$C:$C,MATCH(K262&amp;L262,'_courses_lookup'!$E:$E,0)),"")</f>
        <v/>
      </c>
      <c r="P262">
        <f>IFERROR(INDEX('_courses_lookup'!$D:$D,MATCH(K262&amp;L262,'_courses_lookup'!$E:$E,0)),"")</f>
        <v/>
      </c>
      <c r="AG262">
        <f>IF(AND(AE262&lt;&gt;"",AF262&lt;&gt;""),ROUNDUP((AF262-AE262)/7,0),"")</f>
        <v/>
      </c>
      <c r="AI262">
        <f>IFERROR(IF(AG262*AH262=0,"",AG262*AH262),"")</f>
        <v/>
      </c>
      <c r="AL262">
        <f>IF(AND(AJ262&lt;&gt;"",AK262&lt;&gt;""),ROUNDUP((AK262-AJ262)/7,0),"")</f>
        <v/>
      </c>
      <c r="AN262">
        <f>IFERROR(IF(AL262*AM262=0,"",AL262*AM262),"")</f>
        <v/>
      </c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L262">
        <f>IFERROR(INDEX('_names_lookup'!$C:$C,MATCH(BK262,'_names_lookup'!$A:$A,0)),"")</f>
        <v/>
      </c>
      <c r="BM262">
        <f>IFERROR(INDEX('_names_lookup'!$B:$B,MATCH(BK262,'_names_lookup'!$A:$A,0)),"")</f>
        <v/>
      </c>
      <c r="BS262">
        <f>IFERROR(IF(BR262*AA262=0,"",BR262*AA262),"")</f>
        <v/>
      </c>
    </row>
    <row r="263">
      <c r="O263">
        <f>IFERROR(INDEX('_courses_lookup'!$C:$C,MATCH(K263&amp;L263,'_courses_lookup'!$E:$E,0)),"")</f>
        <v/>
      </c>
      <c r="P263">
        <f>IFERROR(INDEX('_courses_lookup'!$D:$D,MATCH(K263&amp;L263,'_courses_lookup'!$E:$E,0)),"")</f>
        <v/>
      </c>
      <c r="AG263">
        <f>IF(AND(AE263&lt;&gt;"",AF263&lt;&gt;""),ROUNDUP((AF263-AE263)/7,0),"")</f>
        <v/>
      </c>
      <c r="AI263">
        <f>IFERROR(IF(AG263*AH263=0,"",AG263*AH263),"")</f>
        <v/>
      </c>
      <c r="AL263">
        <f>IF(AND(AJ263&lt;&gt;"",AK263&lt;&gt;""),ROUNDUP((AK263-AJ263)/7,0),"")</f>
        <v/>
      </c>
      <c r="AN263">
        <f>IFERROR(IF(AL263*AM263=0,"",AL263*AM263),"")</f>
        <v/>
      </c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L263">
        <f>IFERROR(INDEX('_names_lookup'!$C:$C,MATCH(BK263,'_names_lookup'!$A:$A,0)),"")</f>
        <v/>
      </c>
      <c r="BM263">
        <f>IFERROR(INDEX('_names_lookup'!$B:$B,MATCH(BK263,'_names_lookup'!$A:$A,0)),"")</f>
        <v/>
      </c>
      <c r="BS263">
        <f>IFERROR(IF(BR263*AA263=0,"",BR263*AA263),"")</f>
        <v/>
      </c>
    </row>
    <row r="264">
      <c r="O264">
        <f>IFERROR(INDEX('_courses_lookup'!$C:$C,MATCH(K264&amp;L264,'_courses_lookup'!$E:$E,0)),"")</f>
        <v/>
      </c>
      <c r="P264">
        <f>IFERROR(INDEX('_courses_lookup'!$D:$D,MATCH(K264&amp;L264,'_courses_lookup'!$E:$E,0)),"")</f>
        <v/>
      </c>
      <c r="AG264">
        <f>IF(AND(AE264&lt;&gt;"",AF264&lt;&gt;""),ROUNDUP((AF264-AE264)/7,0),"")</f>
        <v/>
      </c>
      <c r="AI264">
        <f>IFERROR(IF(AG264*AH264=0,"",AG264*AH264),"")</f>
        <v/>
      </c>
      <c r="AL264">
        <f>IF(AND(AJ264&lt;&gt;"",AK264&lt;&gt;""),ROUNDUP((AK264-AJ264)/7,0),"")</f>
        <v/>
      </c>
      <c r="AN264">
        <f>IFERROR(IF(AL264*AM264=0,"",AL264*AM264),"")</f>
        <v/>
      </c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L264">
        <f>IFERROR(INDEX('_names_lookup'!$C:$C,MATCH(BK264,'_names_lookup'!$A:$A,0)),"")</f>
        <v/>
      </c>
      <c r="BM264">
        <f>IFERROR(INDEX('_names_lookup'!$B:$B,MATCH(BK264,'_names_lookup'!$A:$A,0)),"")</f>
        <v/>
      </c>
      <c r="BS264">
        <f>IFERROR(IF(BR264*AA264=0,"",BR264*AA264),"")</f>
        <v/>
      </c>
    </row>
    <row r="265">
      <c r="O265">
        <f>IFERROR(INDEX('_courses_lookup'!$C:$C,MATCH(K265&amp;L265,'_courses_lookup'!$E:$E,0)),"")</f>
        <v/>
      </c>
      <c r="P265">
        <f>IFERROR(INDEX('_courses_lookup'!$D:$D,MATCH(K265&amp;L265,'_courses_lookup'!$E:$E,0)),"")</f>
        <v/>
      </c>
      <c r="AG265">
        <f>IF(AND(AE265&lt;&gt;"",AF265&lt;&gt;""),ROUNDUP((AF265-AE265)/7,0),"")</f>
        <v/>
      </c>
      <c r="AI265">
        <f>IFERROR(IF(AG265*AH265=0,"",AG265*AH265),"")</f>
        <v/>
      </c>
      <c r="AL265">
        <f>IF(AND(AJ265&lt;&gt;"",AK265&lt;&gt;""),ROUNDUP((AK265-AJ265)/7,0),"")</f>
        <v/>
      </c>
      <c r="AN265">
        <f>IFERROR(IF(AL265*AM265=0,"",AL265*AM265),"")</f>
        <v/>
      </c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L265">
        <f>IFERROR(INDEX('_names_lookup'!$C:$C,MATCH(BK265,'_names_lookup'!$A:$A,0)),"")</f>
        <v/>
      </c>
      <c r="BM265">
        <f>IFERROR(INDEX('_names_lookup'!$B:$B,MATCH(BK265,'_names_lookup'!$A:$A,0)),"")</f>
        <v/>
      </c>
      <c r="BS265">
        <f>IFERROR(IF(BR265*AA265=0,"",BR265*AA265),"")</f>
        <v/>
      </c>
    </row>
    <row r="266">
      <c r="O266">
        <f>IFERROR(INDEX('_courses_lookup'!$C:$C,MATCH(K266&amp;L266,'_courses_lookup'!$E:$E,0)),"")</f>
        <v/>
      </c>
      <c r="P266">
        <f>IFERROR(INDEX('_courses_lookup'!$D:$D,MATCH(K266&amp;L266,'_courses_lookup'!$E:$E,0)),"")</f>
        <v/>
      </c>
      <c r="AG266">
        <f>IF(AND(AE266&lt;&gt;"",AF266&lt;&gt;""),ROUNDUP((AF266-AE266)/7,0),"")</f>
        <v/>
      </c>
      <c r="AI266">
        <f>IFERROR(IF(AG266*AH266=0,"",AG266*AH266),"")</f>
        <v/>
      </c>
      <c r="AL266">
        <f>IF(AND(AJ266&lt;&gt;"",AK266&lt;&gt;""),ROUNDUP((AK266-AJ266)/7,0),"")</f>
        <v/>
      </c>
      <c r="AN266">
        <f>IFERROR(IF(AL266*AM266=0,"",AL266*AM266),"")</f>
        <v/>
      </c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L266">
        <f>IFERROR(INDEX('_names_lookup'!$C:$C,MATCH(BK266,'_names_lookup'!$A:$A,0)),"")</f>
        <v/>
      </c>
      <c r="BM266">
        <f>IFERROR(INDEX('_names_lookup'!$B:$B,MATCH(BK266,'_names_lookup'!$A:$A,0)),"")</f>
        <v/>
      </c>
      <c r="BS266">
        <f>IFERROR(IF(BR266*AA266=0,"",BR266*AA266),"")</f>
        <v/>
      </c>
    </row>
    <row r="267">
      <c r="O267">
        <f>IFERROR(INDEX('_courses_lookup'!$C:$C,MATCH(K267&amp;L267,'_courses_lookup'!$E:$E,0)),"")</f>
        <v/>
      </c>
      <c r="P267">
        <f>IFERROR(INDEX('_courses_lookup'!$D:$D,MATCH(K267&amp;L267,'_courses_lookup'!$E:$E,0)),"")</f>
        <v/>
      </c>
      <c r="AG267">
        <f>IF(AND(AE267&lt;&gt;"",AF267&lt;&gt;""),ROUNDUP((AF267-AE267)/7,0),"")</f>
        <v/>
      </c>
      <c r="AI267">
        <f>IFERROR(IF(AG267*AH267=0,"",AG267*AH267),"")</f>
        <v/>
      </c>
      <c r="AL267">
        <f>IF(AND(AJ267&lt;&gt;"",AK267&lt;&gt;""),ROUNDUP((AK267-AJ267)/7,0),"")</f>
        <v/>
      </c>
      <c r="AN267">
        <f>IFERROR(IF(AL267*AM267=0,"",AL267*AM267),"")</f>
        <v/>
      </c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L267">
        <f>IFERROR(INDEX('_names_lookup'!$C:$C,MATCH(BK267,'_names_lookup'!$A:$A,0)),"")</f>
        <v/>
      </c>
      <c r="BM267">
        <f>IFERROR(INDEX('_names_lookup'!$B:$B,MATCH(BK267,'_names_lookup'!$A:$A,0)),"")</f>
        <v/>
      </c>
      <c r="BS267">
        <f>IFERROR(IF(BR267*AA267=0,"",BR267*AA267),"")</f>
        <v/>
      </c>
    </row>
    <row r="268">
      <c r="O268">
        <f>IFERROR(INDEX('_courses_lookup'!$C:$C,MATCH(K268&amp;L268,'_courses_lookup'!$E:$E,0)),"")</f>
        <v/>
      </c>
      <c r="P268">
        <f>IFERROR(INDEX('_courses_lookup'!$D:$D,MATCH(K268&amp;L268,'_courses_lookup'!$E:$E,0)),"")</f>
        <v/>
      </c>
      <c r="AG268">
        <f>IF(AND(AE268&lt;&gt;"",AF268&lt;&gt;""),ROUNDUP((AF268-AE268)/7,0),"")</f>
        <v/>
      </c>
      <c r="AI268">
        <f>IFERROR(IF(AG268*AH268=0,"",AG268*AH268),"")</f>
        <v/>
      </c>
      <c r="AL268">
        <f>IF(AND(AJ268&lt;&gt;"",AK268&lt;&gt;""),ROUNDUP((AK268-AJ268)/7,0),"")</f>
        <v/>
      </c>
      <c r="AN268">
        <f>IFERROR(IF(AL268*AM268=0,"",AL268*AM268),"")</f>
        <v/>
      </c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L268">
        <f>IFERROR(INDEX('_names_lookup'!$C:$C,MATCH(BK268,'_names_lookup'!$A:$A,0)),"")</f>
        <v/>
      </c>
      <c r="BM268">
        <f>IFERROR(INDEX('_names_lookup'!$B:$B,MATCH(BK268,'_names_lookup'!$A:$A,0)),"")</f>
        <v/>
      </c>
      <c r="BS268">
        <f>IFERROR(IF(BR268*AA268=0,"",BR268*AA268),"")</f>
        <v/>
      </c>
    </row>
    <row r="269">
      <c r="O269">
        <f>IFERROR(INDEX('_courses_lookup'!$C:$C,MATCH(K269&amp;L269,'_courses_lookup'!$E:$E,0)),"")</f>
        <v/>
      </c>
      <c r="P269">
        <f>IFERROR(INDEX('_courses_lookup'!$D:$D,MATCH(K269&amp;L269,'_courses_lookup'!$E:$E,0)),"")</f>
        <v/>
      </c>
      <c r="AG269">
        <f>IF(AND(AE269&lt;&gt;"",AF269&lt;&gt;""),ROUNDUP((AF269-AE269)/7,0),"")</f>
        <v/>
      </c>
      <c r="AI269">
        <f>IFERROR(IF(AG269*AH269=0,"",AG269*AH269),"")</f>
        <v/>
      </c>
      <c r="AL269">
        <f>IF(AND(AJ269&lt;&gt;"",AK269&lt;&gt;""),ROUNDUP((AK269-AJ269)/7,0),"")</f>
        <v/>
      </c>
      <c r="AN269">
        <f>IFERROR(IF(AL269*AM269=0,"",AL269*AM269),"")</f>
        <v/>
      </c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L269">
        <f>IFERROR(INDEX('_names_lookup'!$C:$C,MATCH(BK269,'_names_lookup'!$A:$A,0)),"")</f>
        <v/>
      </c>
      <c r="BM269">
        <f>IFERROR(INDEX('_names_lookup'!$B:$B,MATCH(BK269,'_names_lookup'!$A:$A,0)),"")</f>
        <v/>
      </c>
      <c r="BS269">
        <f>IFERROR(IF(BR269*AA269=0,"",BR269*AA269),"")</f>
        <v/>
      </c>
    </row>
    <row r="270">
      <c r="O270">
        <f>IFERROR(INDEX('_courses_lookup'!$C:$C,MATCH(K270&amp;L270,'_courses_lookup'!$E:$E,0)),"")</f>
        <v/>
      </c>
      <c r="P270">
        <f>IFERROR(INDEX('_courses_lookup'!$D:$D,MATCH(K270&amp;L270,'_courses_lookup'!$E:$E,0)),"")</f>
        <v/>
      </c>
      <c r="AG270">
        <f>IF(AND(AE270&lt;&gt;"",AF270&lt;&gt;""),ROUNDUP((AF270-AE270)/7,0),"")</f>
        <v/>
      </c>
      <c r="AI270">
        <f>IFERROR(IF(AG270*AH270=0,"",AG270*AH270),"")</f>
        <v/>
      </c>
      <c r="AL270">
        <f>IF(AND(AJ270&lt;&gt;"",AK270&lt;&gt;""),ROUNDUP((AK270-AJ270)/7,0),"")</f>
        <v/>
      </c>
      <c r="AN270">
        <f>IFERROR(IF(AL270*AM270=0,"",AL270*AM270),"")</f>
        <v/>
      </c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L270">
        <f>IFERROR(INDEX('_names_lookup'!$C:$C,MATCH(BK270,'_names_lookup'!$A:$A,0)),"")</f>
        <v/>
      </c>
      <c r="BM270">
        <f>IFERROR(INDEX('_names_lookup'!$B:$B,MATCH(BK270,'_names_lookup'!$A:$A,0)),"")</f>
        <v/>
      </c>
      <c r="BS270">
        <f>IFERROR(IF(BR270*AA270=0,"",BR270*AA270),"")</f>
        <v/>
      </c>
    </row>
    <row r="271">
      <c r="O271">
        <f>IFERROR(INDEX('_courses_lookup'!$C:$C,MATCH(K271&amp;L271,'_courses_lookup'!$E:$E,0)),"")</f>
        <v/>
      </c>
      <c r="P271">
        <f>IFERROR(INDEX('_courses_lookup'!$D:$D,MATCH(K271&amp;L271,'_courses_lookup'!$E:$E,0)),"")</f>
        <v/>
      </c>
      <c r="AG271">
        <f>IF(AND(AE271&lt;&gt;"",AF271&lt;&gt;""),ROUNDUP((AF271-AE271)/7,0),"")</f>
        <v/>
      </c>
      <c r="AI271">
        <f>IFERROR(IF(AG271*AH271=0,"",AG271*AH271),"")</f>
        <v/>
      </c>
      <c r="AL271">
        <f>IF(AND(AJ271&lt;&gt;"",AK271&lt;&gt;""),ROUNDUP((AK271-AJ271)/7,0),"")</f>
        <v/>
      </c>
      <c r="AN271">
        <f>IFERROR(IF(AL271*AM271=0,"",AL271*AM271),"")</f>
        <v/>
      </c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L271">
        <f>IFERROR(INDEX('_names_lookup'!$C:$C,MATCH(BK271,'_names_lookup'!$A:$A,0)),"")</f>
        <v/>
      </c>
      <c r="BM271">
        <f>IFERROR(INDEX('_names_lookup'!$B:$B,MATCH(BK271,'_names_lookup'!$A:$A,0)),"")</f>
        <v/>
      </c>
      <c r="BS271">
        <f>IFERROR(IF(BR271*AA271=0,"",BR271*AA271),"")</f>
        <v/>
      </c>
    </row>
    <row r="272">
      <c r="O272">
        <f>IFERROR(INDEX('_courses_lookup'!$C:$C,MATCH(K272&amp;L272,'_courses_lookup'!$E:$E,0)),"")</f>
        <v/>
      </c>
      <c r="P272">
        <f>IFERROR(INDEX('_courses_lookup'!$D:$D,MATCH(K272&amp;L272,'_courses_lookup'!$E:$E,0)),"")</f>
        <v/>
      </c>
      <c r="AG272">
        <f>IF(AND(AE272&lt;&gt;"",AF272&lt;&gt;""),ROUNDUP((AF272-AE272)/7,0),"")</f>
        <v/>
      </c>
      <c r="AI272">
        <f>IFERROR(IF(AG272*AH272=0,"",AG272*AH272),"")</f>
        <v/>
      </c>
      <c r="AL272">
        <f>IF(AND(AJ272&lt;&gt;"",AK272&lt;&gt;""),ROUNDUP((AK272-AJ272)/7,0),"")</f>
        <v/>
      </c>
      <c r="AN272">
        <f>IFERROR(IF(AL272*AM272=0,"",AL272*AM272),"")</f>
        <v/>
      </c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L272">
        <f>IFERROR(INDEX('_names_lookup'!$C:$C,MATCH(BK272,'_names_lookup'!$A:$A,0)),"")</f>
        <v/>
      </c>
      <c r="BM272">
        <f>IFERROR(INDEX('_names_lookup'!$B:$B,MATCH(BK272,'_names_lookup'!$A:$A,0)),"")</f>
        <v/>
      </c>
      <c r="BS272">
        <f>IFERROR(IF(BR272*AA272=0,"",BR272*AA272),"")</f>
        <v/>
      </c>
    </row>
    <row r="273">
      <c r="O273">
        <f>IFERROR(INDEX('_courses_lookup'!$C:$C,MATCH(K273&amp;L273,'_courses_lookup'!$E:$E,0)),"")</f>
        <v/>
      </c>
      <c r="P273">
        <f>IFERROR(INDEX('_courses_lookup'!$D:$D,MATCH(K273&amp;L273,'_courses_lookup'!$E:$E,0)),"")</f>
        <v/>
      </c>
      <c r="AG273">
        <f>IF(AND(AE273&lt;&gt;"",AF273&lt;&gt;""),ROUNDUP((AF273-AE273)/7,0),"")</f>
        <v/>
      </c>
      <c r="AI273">
        <f>IFERROR(IF(AG273*AH273=0,"",AG273*AH273),"")</f>
        <v/>
      </c>
      <c r="AL273">
        <f>IF(AND(AJ273&lt;&gt;"",AK273&lt;&gt;""),ROUNDUP((AK273-AJ273)/7,0),"")</f>
        <v/>
      </c>
      <c r="AN273">
        <f>IFERROR(IF(AL273*AM273=0,"",AL273*AM273),"")</f>
        <v/>
      </c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L273">
        <f>IFERROR(INDEX('_names_lookup'!$C:$C,MATCH(BK273,'_names_lookup'!$A:$A,0)),"")</f>
        <v/>
      </c>
      <c r="BM273">
        <f>IFERROR(INDEX('_names_lookup'!$B:$B,MATCH(BK273,'_names_lookup'!$A:$A,0)),"")</f>
        <v/>
      </c>
      <c r="BS273">
        <f>IFERROR(IF(BR273*AA273=0,"",BR273*AA273),"")</f>
        <v/>
      </c>
    </row>
    <row r="274">
      <c r="O274">
        <f>IFERROR(INDEX('_courses_lookup'!$C:$C,MATCH(K274&amp;L274,'_courses_lookup'!$E:$E,0)),"")</f>
        <v/>
      </c>
      <c r="P274">
        <f>IFERROR(INDEX('_courses_lookup'!$D:$D,MATCH(K274&amp;L274,'_courses_lookup'!$E:$E,0)),"")</f>
        <v/>
      </c>
      <c r="AG274">
        <f>IF(AND(AE274&lt;&gt;"",AF274&lt;&gt;""),ROUNDUP((AF274-AE274)/7,0),"")</f>
        <v/>
      </c>
      <c r="AI274">
        <f>IFERROR(IF(AG274*AH274=0,"",AG274*AH274),"")</f>
        <v/>
      </c>
      <c r="AL274">
        <f>IF(AND(AJ274&lt;&gt;"",AK274&lt;&gt;""),ROUNDUP((AK274-AJ274)/7,0),"")</f>
        <v/>
      </c>
      <c r="AN274">
        <f>IFERROR(IF(AL274*AM274=0,"",AL274*AM274),"")</f>
        <v/>
      </c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L274">
        <f>IFERROR(INDEX('_names_lookup'!$C:$C,MATCH(BK274,'_names_lookup'!$A:$A,0)),"")</f>
        <v/>
      </c>
      <c r="BM274">
        <f>IFERROR(INDEX('_names_lookup'!$B:$B,MATCH(BK274,'_names_lookup'!$A:$A,0)),"")</f>
        <v/>
      </c>
      <c r="BS274">
        <f>IFERROR(IF(BR274*AA274=0,"",BR274*AA274),"")</f>
        <v/>
      </c>
    </row>
    <row r="275">
      <c r="O275">
        <f>IFERROR(INDEX('_courses_lookup'!$C:$C,MATCH(K275&amp;L275,'_courses_lookup'!$E:$E,0)),"")</f>
        <v/>
      </c>
      <c r="P275">
        <f>IFERROR(INDEX('_courses_lookup'!$D:$D,MATCH(K275&amp;L275,'_courses_lookup'!$E:$E,0)),"")</f>
        <v/>
      </c>
      <c r="AG275">
        <f>IF(AND(AE275&lt;&gt;"",AF275&lt;&gt;""),ROUNDUP((AF275-AE275)/7,0),"")</f>
        <v/>
      </c>
      <c r="AI275">
        <f>IFERROR(IF(AG275*AH275=0,"",AG275*AH275),"")</f>
        <v/>
      </c>
      <c r="AL275">
        <f>IF(AND(AJ275&lt;&gt;"",AK275&lt;&gt;""),ROUNDUP((AK275-AJ275)/7,0),"")</f>
        <v/>
      </c>
      <c r="AN275">
        <f>IFERROR(IF(AL275*AM275=0,"",AL275*AM275),"")</f>
        <v/>
      </c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L275">
        <f>IFERROR(INDEX('_names_lookup'!$C:$C,MATCH(BK275,'_names_lookup'!$A:$A,0)),"")</f>
        <v/>
      </c>
      <c r="BM275">
        <f>IFERROR(INDEX('_names_lookup'!$B:$B,MATCH(BK275,'_names_lookup'!$A:$A,0)),"")</f>
        <v/>
      </c>
      <c r="BS275">
        <f>IFERROR(IF(BR275*AA275=0,"",BR275*AA275),"")</f>
        <v/>
      </c>
    </row>
    <row r="276">
      <c r="O276">
        <f>IFERROR(INDEX('_courses_lookup'!$C:$C,MATCH(K276&amp;L276,'_courses_lookup'!$E:$E,0)),"")</f>
        <v/>
      </c>
      <c r="P276">
        <f>IFERROR(INDEX('_courses_lookup'!$D:$D,MATCH(K276&amp;L276,'_courses_lookup'!$E:$E,0)),"")</f>
        <v/>
      </c>
      <c r="AG276">
        <f>IF(AND(AE276&lt;&gt;"",AF276&lt;&gt;""),ROUNDUP((AF276-AE276)/7,0),"")</f>
        <v/>
      </c>
      <c r="AI276">
        <f>IFERROR(IF(AG276*AH276=0,"",AG276*AH276),"")</f>
        <v/>
      </c>
      <c r="AL276">
        <f>IF(AND(AJ276&lt;&gt;"",AK276&lt;&gt;""),ROUNDUP((AK276-AJ276)/7,0),"")</f>
        <v/>
      </c>
      <c r="AN276">
        <f>IFERROR(IF(AL276*AM276=0,"",AL276*AM276),"")</f>
        <v/>
      </c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L276">
        <f>IFERROR(INDEX('_names_lookup'!$C:$C,MATCH(BK276,'_names_lookup'!$A:$A,0)),"")</f>
        <v/>
      </c>
      <c r="BM276">
        <f>IFERROR(INDEX('_names_lookup'!$B:$B,MATCH(BK276,'_names_lookup'!$A:$A,0)),"")</f>
        <v/>
      </c>
      <c r="BS276">
        <f>IFERROR(IF(BR276*AA276=0,"",BR276*AA276),"")</f>
        <v/>
      </c>
    </row>
    <row r="277">
      <c r="O277">
        <f>IFERROR(INDEX('_courses_lookup'!$C:$C,MATCH(K277&amp;L277,'_courses_lookup'!$E:$E,0)),"")</f>
        <v/>
      </c>
      <c r="P277">
        <f>IFERROR(INDEX('_courses_lookup'!$D:$D,MATCH(K277&amp;L277,'_courses_lookup'!$E:$E,0)),"")</f>
        <v/>
      </c>
      <c r="AG277">
        <f>IF(AND(AE277&lt;&gt;"",AF277&lt;&gt;""),ROUNDUP((AF277-AE277)/7,0),"")</f>
        <v/>
      </c>
      <c r="AI277">
        <f>IFERROR(IF(AG277*AH277=0,"",AG277*AH277),"")</f>
        <v/>
      </c>
      <c r="AL277">
        <f>IF(AND(AJ277&lt;&gt;"",AK277&lt;&gt;""),ROUNDUP((AK277-AJ277)/7,0),"")</f>
        <v/>
      </c>
      <c r="AN277">
        <f>IFERROR(IF(AL277*AM277=0,"",AL277*AM277),"")</f>
        <v/>
      </c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L277">
        <f>IFERROR(INDEX('_names_lookup'!$C:$C,MATCH(BK277,'_names_lookup'!$A:$A,0)),"")</f>
        <v/>
      </c>
      <c r="BM277">
        <f>IFERROR(INDEX('_names_lookup'!$B:$B,MATCH(BK277,'_names_lookup'!$A:$A,0)),"")</f>
        <v/>
      </c>
      <c r="BS277">
        <f>IFERROR(IF(BR277*AA277=0,"",BR277*AA277),"")</f>
        <v/>
      </c>
    </row>
    <row r="278">
      <c r="O278">
        <f>IFERROR(INDEX('_courses_lookup'!$C:$C,MATCH(K278&amp;L278,'_courses_lookup'!$E:$E,0)),"")</f>
        <v/>
      </c>
      <c r="P278">
        <f>IFERROR(INDEX('_courses_lookup'!$D:$D,MATCH(K278&amp;L278,'_courses_lookup'!$E:$E,0)),"")</f>
        <v/>
      </c>
      <c r="AG278">
        <f>IF(AND(AE278&lt;&gt;"",AF278&lt;&gt;""),ROUNDUP((AF278-AE278)/7,0),"")</f>
        <v/>
      </c>
      <c r="AI278">
        <f>IFERROR(IF(AG278*AH278=0,"",AG278*AH278),"")</f>
        <v/>
      </c>
      <c r="AL278">
        <f>IF(AND(AJ278&lt;&gt;"",AK278&lt;&gt;""),ROUNDUP((AK278-AJ278)/7,0),"")</f>
        <v/>
      </c>
      <c r="AN278">
        <f>IFERROR(IF(AL278*AM278=0,"",AL278*AM278),"")</f>
        <v/>
      </c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L278">
        <f>IFERROR(INDEX('_names_lookup'!$C:$C,MATCH(BK278,'_names_lookup'!$A:$A,0)),"")</f>
        <v/>
      </c>
      <c r="BM278">
        <f>IFERROR(INDEX('_names_lookup'!$B:$B,MATCH(BK278,'_names_lookup'!$A:$A,0)),"")</f>
        <v/>
      </c>
      <c r="BS278">
        <f>IFERROR(IF(BR278*AA278=0,"",BR278*AA278),"")</f>
        <v/>
      </c>
    </row>
    <row r="279">
      <c r="O279">
        <f>IFERROR(INDEX('_courses_lookup'!$C:$C,MATCH(K279&amp;L279,'_courses_lookup'!$E:$E,0)),"")</f>
        <v/>
      </c>
      <c r="P279">
        <f>IFERROR(INDEX('_courses_lookup'!$D:$D,MATCH(K279&amp;L279,'_courses_lookup'!$E:$E,0)),"")</f>
        <v/>
      </c>
      <c r="AG279">
        <f>IF(AND(AE279&lt;&gt;"",AF279&lt;&gt;""),ROUNDUP((AF279-AE279)/7,0),"")</f>
        <v/>
      </c>
      <c r="AI279">
        <f>IFERROR(IF(AG279*AH279=0,"",AG279*AH279),"")</f>
        <v/>
      </c>
      <c r="AL279">
        <f>IF(AND(AJ279&lt;&gt;"",AK279&lt;&gt;""),ROUNDUP((AK279-AJ279)/7,0),"")</f>
        <v/>
      </c>
      <c r="AN279">
        <f>IFERROR(IF(AL279*AM279=0,"",AL279*AM279),"")</f>
        <v/>
      </c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L279">
        <f>IFERROR(INDEX('_names_lookup'!$C:$C,MATCH(BK279,'_names_lookup'!$A:$A,0)),"")</f>
        <v/>
      </c>
      <c r="BM279">
        <f>IFERROR(INDEX('_names_lookup'!$B:$B,MATCH(BK279,'_names_lookup'!$A:$A,0)),"")</f>
        <v/>
      </c>
      <c r="BS279">
        <f>IFERROR(IF(BR279*AA279=0,"",BR279*AA279),"")</f>
        <v/>
      </c>
    </row>
    <row r="280">
      <c r="O280">
        <f>IFERROR(INDEX('_courses_lookup'!$C:$C,MATCH(K280&amp;L280,'_courses_lookup'!$E:$E,0)),"")</f>
        <v/>
      </c>
      <c r="P280">
        <f>IFERROR(INDEX('_courses_lookup'!$D:$D,MATCH(K280&amp;L280,'_courses_lookup'!$E:$E,0)),"")</f>
        <v/>
      </c>
      <c r="AG280">
        <f>IF(AND(AE280&lt;&gt;"",AF280&lt;&gt;""),ROUNDUP((AF280-AE280)/7,0),"")</f>
        <v/>
      </c>
      <c r="AI280">
        <f>IFERROR(IF(AG280*AH280=0,"",AG280*AH280),"")</f>
        <v/>
      </c>
      <c r="AL280">
        <f>IF(AND(AJ280&lt;&gt;"",AK280&lt;&gt;""),ROUNDUP((AK280-AJ280)/7,0),"")</f>
        <v/>
      </c>
      <c r="AN280">
        <f>IFERROR(IF(AL280*AM280=0,"",AL280*AM280),"")</f>
        <v/>
      </c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L280">
        <f>IFERROR(INDEX('_names_lookup'!$C:$C,MATCH(BK280,'_names_lookup'!$A:$A,0)),"")</f>
        <v/>
      </c>
      <c r="BM280">
        <f>IFERROR(INDEX('_names_lookup'!$B:$B,MATCH(BK280,'_names_lookup'!$A:$A,0)),"")</f>
        <v/>
      </c>
      <c r="BS280">
        <f>IFERROR(IF(BR280*AA280=0,"",BR280*AA280),"")</f>
        <v/>
      </c>
    </row>
    <row r="281">
      <c r="O281">
        <f>IFERROR(INDEX('_courses_lookup'!$C:$C,MATCH(K281&amp;L281,'_courses_lookup'!$E:$E,0)),"")</f>
        <v/>
      </c>
      <c r="P281">
        <f>IFERROR(INDEX('_courses_lookup'!$D:$D,MATCH(K281&amp;L281,'_courses_lookup'!$E:$E,0)),"")</f>
        <v/>
      </c>
      <c r="AG281">
        <f>IF(AND(AE281&lt;&gt;"",AF281&lt;&gt;""),ROUNDUP((AF281-AE281)/7,0),"")</f>
        <v/>
      </c>
      <c r="AI281">
        <f>IFERROR(IF(AG281*AH281=0,"",AG281*AH281),"")</f>
        <v/>
      </c>
      <c r="AL281">
        <f>IF(AND(AJ281&lt;&gt;"",AK281&lt;&gt;""),ROUNDUP((AK281-AJ281)/7,0),"")</f>
        <v/>
      </c>
      <c r="AN281">
        <f>IFERROR(IF(AL281*AM281=0,"",AL281*AM281),"")</f>
        <v/>
      </c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L281">
        <f>IFERROR(INDEX('_names_lookup'!$C:$C,MATCH(BK281,'_names_lookup'!$A:$A,0)),"")</f>
        <v/>
      </c>
      <c r="BM281">
        <f>IFERROR(INDEX('_names_lookup'!$B:$B,MATCH(BK281,'_names_lookup'!$A:$A,0)),"")</f>
        <v/>
      </c>
      <c r="BS281">
        <f>IFERROR(IF(BR281*AA281=0,"",BR281*AA281),"")</f>
        <v/>
      </c>
    </row>
    <row r="282">
      <c r="O282">
        <f>IFERROR(INDEX('_courses_lookup'!$C:$C,MATCH(K282&amp;L282,'_courses_lookup'!$E:$E,0)),"")</f>
        <v/>
      </c>
      <c r="P282">
        <f>IFERROR(INDEX('_courses_lookup'!$D:$D,MATCH(K282&amp;L282,'_courses_lookup'!$E:$E,0)),"")</f>
        <v/>
      </c>
      <c r="AG282">
        <f>IF(AND(AE282&lt;&gt;"",AF282&lt;&gt;""),ROUNDUP((AF282-AE282)/7,0),"")</f>
        <v/>
      </c>
      <c r="AI282">
        <f>IFERROR(IF(AG282*AH282=0,"",AG282*AH282),"")</f>
        <v/>
      </c>
      <c r="AL282">
        <f>IF(AND(AJ282&lt;&gt;"",AK282&lt;&gt;""),ROUNDUP((AK282-AJ282)/7,0),"")</f>
        <v/>
      </c>
      <c r="AN282">
        <f>IFERROR(IF(AL282*AM282=0,"",AL282*AM282),"")</f>
        <v/>
      </c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L282">
        <f>IFERROR(INDEX('_names_lookup'!$C:$C,MATCH(BK282,'_names_lookup'!$A:$A,0)),"")</f>
        <v/>
      </c>
      <c r="BM282">
        <f>IFERROR(INDEX('_names_lookup'!$B:$B,MATCH(BK282,'_names_lookup'!$A:$A,0)),"")</f>
        <v/>
      </c>
      <c r="BS282">
        <f>IFERROR(IF(BR282*AA282=0,"",BR282*AA282),"")</f>
        <v/>
      </c>
    </row>
    <row r="283">
      <c r="O283">
        <f>IFERROR(INDEX('_courses_lookup'!$C:$C,MATCH(K283&amp;L283,'_courses_lookup'!$E:$E,0)),"")</f>
        <v/>
      </c>
      <c r="P283">
        <f>IFERROR(INDEX('_courses_lookup'!$D:$D,MATCH(K283&amp;L283,'_courses_lookup'!$E:$E,0)),"")</f>
        <v/>
      </c>
      <c r="AG283">
        <f>IF(AND(AE283&lt;&gt;"",AF283&lt;&gt;""),ROUNDUP((AF283-AE283)/7,0),"")</f>
        <v/>
      </c>
      <c r="AI283">
        <f>IFERROR(IF(AG283*AH283=0,"",AG283*AH283),"")</f>
        <v/>
      </c>
      <c r="AL283">
        <f>IF(AND(AJ283&lt;&gt;"",AK283&lt;&gt;""),ROUNDUP((AK283-AJ283)/7,0),"")</f>
        <v/>
      </c>
      <c r="AN283">
        <f>IFERROR(IF(AL283*AM283=0,"",AL283*AM283),"")</f>
        <v/>
      </c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L283">
        <f>IFERROR(INDEX('_names_lookup'!$C:$C,MATCH(BK283,'_names_lookup'!$A:$A,0)),"")</f>
        <v/>
      </c>
      <c r="BM283">
        <f>IFERROR(INDEX('_names_lookup'!$B:$B,MATCH(BK283,'_names_lookup'!$A:$A,0)),"")</f>
        <v/>
      </c>
      <c r="BS283">
        <f>IFERROR(IF(BR283*AA283=0,"",BR283*AA283),"")</f>
        <v/>
      </c>
    </row>
    <row r="284">
      <c r="O284">
        <f>IFERROR(INDEX('_courses_lookup'!$C:$C,MATCH(K284&amp;L284,'_courses_lookup'!$E:$E,0)),"")</f>
        <v/>
      </c>
      <c r="P284">
        <f>IFERROR(INDEX('_courses_lookup'!$D:$D,MATCH(K284&amp;L284,'_courses_lookup'!$E:$E,0)),"")</f>
        <v/>
      </c>
      <c r="AG284">
        <f>IF(AND(AE284&lt;&gt;"",AF284&lt;&gt;""),ROUNDUP((AF284-AE284)/7,0),"")</f>
        <v/>
      </c>
      <c r="AI284">
        <f>IFERROR(IF(AG284*AH284=0,"",AG284*AH284),"")</f>
        <v/>
      </c>
      <c r="AL284">
        <f>IF(AND(AJ284&lt;&gt;"",AK284&lt;&gt;""),ROUNDUP((AK284-AJ284)/7,0),"")</f>
        <v/>
      </c>
      <c r="AN284">
        <f>IFERROR(IF(AL284*AM284=0,"",AL284*AM284),"")</f>
        <v/>
      </c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L284">
        <f>IFERROR(INDEX('_names_lookup'!$C:$C,MATCH(BK284,'_names_lookup'!$A:$A,0)),"")</f>
        <v/>
      </c>
      <c r="BM284">
        <f>IFERROR(INDEX('_names_lookup'!$B:$B,MATCH(BK284,'_names_lookup'!$A:$A,0)),"")</f>
        <v/>
      </c>
      <c r="BS284">
        <f>IFERROR(IF(BR284*AA284=0,"",BR284*AA284),"")</f>
        <v/>
      </c>
    </row>
    <row r="285">
      <c r="O285">
        <f>IFERROR(INDEX('_courses_lookup'!$C:$C,MATCH(K285&amp;L285,'_courses_lookup'!$E:$E,0)),"")</f>
        <v/>
      </c>
      <c r="P285">
        <f>IFERROR(INDEX('_courses_lookup'!$D:$D,MATCH(K285&amp;L285,'_courses_lookup'!$E:$E,0)),"")</f>
        <v/>
      </c>
      <c r="AG285">
        <f>IF(AND(AE285&lt;&gt;"",AF285&lt;&gt;""),ROUNDUP((AF285-AE285)/7,0),"")</f>
        <v/>
      </c>
      <c r="AI285">
        <f>IFERROR(IF(AG285*AH285=0,"",AG285*AH285),"")</f>
        <v/>
      </c>
      <c r="AL285">
        <f>IF(AND(AJ285&lt;&gt;"",AK285&lt;&gt;""),ROUNDUP((AK285-AJ285)/7,0),"")</f>
        <v/>
      </c>
      <c r="AN285">
        <f>IFERROR(IF(AL285*AM285=0,"",AL285*AM285),"")</f>
        <v/>
      </c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L285">
        <f>IFERROR(INDEX('_names_lookup'!$C:$C,MATCH(BK285,'_names_lookup'!$A:$A,0)),"")</f>
        <v/>
      </c>
      <c r="BM285">
        <f>IFERROR(INDEX('_names_lookup'!$B:$B,MATCH(BK285,'_names_lookup'!$A:$A,0)),"")</f>
        <v/>
      </c>
      <c r="BS285">
        <f>IFERROR(IF(BR285*AA285=0,"",BR285*AA285),"")</f>
        <v/>
      </c>
    </row>
    <row r="286">
      <c r="O286">
        <f>IFERROR(INDEX('_courses_lookup'!$C:$C,MATCH(K286&amp;L286,'_courses_lookup'!$E:$E,0)),"")</f>
        <v/>
      </c>
      <c r="P286">
        <f>IFERROR(INDEX('_courses_lookup'!$D:$D,MATCH(K286&amp;L286,'_courses_lookup'!$E:$E,0)),"")</f>
        <v/>
      </c>
      <c r="AG286">
        <f>IF(AND(AE286&lt;&gt;"",AF286&lt;&gt;""),ROUNDUP((AF286-AE286)/7,0),"")</f>
        <v/>
      </c>
      <c r="AI286">
        <f>IFERROR(IF(AG286*AH286=0,"",AG286*AH286),"")</f>
        <v/>
      </c>
      <c r="AL286">
        <f>IF(AND(AJ286&lt;&gt;"",AK286&lt;&gt;""),ROUNDUP((AK286-AJ286)/7,0),"")</f>
        <v/>
      </c>
      <c r="AN286">
        <f>IFERROR(IF(AL286*AM286=0,"",AL286*AM286),"")</f>
        <v/>
      </c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L286">
        <f>IFERROR(INDEX('_names_lookup'!$C:$C,MATCH(BK286,'_names_lookup'!$A:$A,0)),"")</f>
        <v/>
      </c>
      <c r="BM286">
        <f>IFERROR(INDEX('_names_lookup'!$B:$B,MATCH(BK286,'_names_lookup'!$A:$A,0)),"")</f>
        <v/>
      </c>
      <c r="BS286">
        <f>IFERROR(IF(BR286*AA286=0,"",BR286*AA286),"")</f>
        <v/>
      </c>
    </row>
    <row r="287">
      <c r="O287">
        <f>IFERROR(INDEX('_courses_lookup'!$C:$C,MATCH(K287&amp;L287,'_courses_lookup'!$E:$E,0)),"")</f>
        <v/>
      </c>
      <c r="P287">
        <f>IFERROR(INDEX('_courses_lookup'!$D:$D,MATCH(K287&amp;L287,'_courses_lookup'!$E:$E,0)),"")</f>
        <v/>
      </c>
      <c r="AG287">
        <f>IF(AND(AE287&lt;&gt;"",AF287&lt;&gt;""),ROUNDUP((AF287-AE287)/7,0),"")</f>
        <v/>
      </c>
      <c r="AI287">
        <f>IFERROR(IF(AG287*AH287=0,"",AG287*AH287),"")</f>
        <v/>
      </c>
      <c r="AL287">
        <f>IF(AND(AJ287&lt;&gt;"",AK287&lt;&gt;""),ROUNDUP((AK287-AJ287)/7,0),"")</f>
        <v/>
      </c>
      <c r="AN287">
        <f>IFERROR(IF(AL287*AM287=0,"",AL287*AM287),"")</f>
        <v/>
      </c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L287">
        <f>IFERROR(INDEX('_names_lookup'!$C:$C,MATCH(BK287,'_names_lookup'!$A:$A,0)),"")</f>
        <v/>
      </c>
      <c r="BM287">
        <f>IFERROR(INDEX('_names_lookup'!$B:$B,MATCH(BK287,'_names_lookup'!$A:$A,0)),"")</f>
        <v/>
      </c>
      <c r="BS287">
        <f>IFERROR(IF(BR287*AA287=0,"",BR287*AA287),"")</f>
        <v/>
      </c>
    </row>
    <row r="288">
      <c r="O288">
        <f>IFERROR(INDEX('_courses_lookup'!$C:$C,MATCH(K288&amp;L288,'_courses_lookup'!$E:$E,0)),"")</f>
        <v/>
      </c>
      <c r="P288">
        <f>IFERROR(INDEX('_courses_lookup'!$D:$D,MATCH(K288&amp;L288,'_courses_lookup'!$E:$E,0)),"")</f>
        <v/>
      </c>
      <c r="AG288">
        <f>IF(AND(AE288&lt;&gt;"",AF288&lt;&gt;""),ROUNDUP((AF288-AE288)/7,0),"")</f>
        <v/>
      </c>
      <c r="AI288">
        <f>IFERROR(IF(AG288*AH288=0,"",AG288*AH288),"")</f>
        <v/>
      </c>
      <c r="AL288">
        <f>IF(AND(AJ288&lt;&gt;"",AK288&lt;&gt;""),ROUNDUP((AK288-AJ288)/7,0),"")</f>
        <v/>
      </c>
      <c r="AN288">
        <f>IFERROR(IF(AL288*AM288=0,"",AL288*AM288),"")</f>
        <v/>
      </c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L288">
        <f>IFERROR(INDEX('_names_lookup'!$C:$C,MATCH(BK288,'_names_lookup'!$A:$A,0)),"")</f>
        <v/>
      </c>
      <c r="BM288">
        <f>IFERROR(INDEX('_names_lookup'!$B:$B,MATCH(BK288,'_names_lookup'!$A:$A,0)),"")</f>
        <v/>
      </c>
      <c r="BS288">
        <f>IFERROR(IF(BR288*AA288=0,"",BR288*AA288),"")</f>
        <v/>
      </c>
    </row>
    <row r="289">
      <c r="O289">
        <f>IFERROR(INDEX('_courses_lookup'!$C:$C,MATCH(K289&amp;L289,'_courses_lookup'!$E:$E,0)),"")</f>
        <v/>
      </c>
      <c r="P289">
        <f>IFERROR(INDEX('_courses_lookup'!$D:$D,MATCH(K289&amp;L289,'_courses_lookup'!$E:$E,0)),"")</f>
        <v/>
      </c>
      <c r="AG289">
        <f>IF(AND(AE289&lt;&gt;"",AF289&lt;&gt;""),ROUNDUP((AF289-AE289)/7,0),"")</f>
        <v/>
      </c>
      <c r="AI289">
        <f>IFERROR(IF(AG289*AH289=0,"",AG289*AH289),"")</f>
        <v/>
      </c>
      <c r="AL289">
        <f>IF(AND(AJ289&lt;&gt;"",AK289&lt;&gt;""),ROUNDUP((AK289-AJ289)/7,0),"")</f>
        <v/>
      </c>
      <c r="AN289">
        <f>IFERROR(IF(AL289*AM289=0,"",AL289*AM289),"")</f>
        <v/>
      </c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L289">
        <f>IFERROR(INDEX('_names_lookup'!$C:$C,MATCH(BK289,'_names_lookup'!$A:$A,0)),"")</f>
        <v/>
      </c>
      <c r="BM289">
        <f>IFERROR(INDEX('_names_lookup'!$B:$B,MATCH(BK289,'_names_lookup'!$A:$A,0)),"")</f>
        <v/>
      </c>
      <c r="BS289">
        <f>IFERROR(IF(BR289*AA289=0,"",BR289*AA289),"")</f>
        <v/>
      </c>
    </row>
    <row r="290">
      <c r="O290">
        <f>IFERROR(INDEX('_courses_lookup'!$C:$C,MATCH(K290&amp;L290,'_courses_lookup'!$E:$E,0)),"")</f>
        <v/>
      </c>
      <c r="P290">
        <f>IFERROR(INDEX('_courses_lookup'!$D:$D,MATCH(K290&amp;L290,'_courses_lookup'!$E:$E,0)),"")</f>
        <v/>
      </c>
      <c r="AG290">
        <f>IF(AND(AE290&lt;&gt;"",AF290&lt;&gt;""),ROUNDUP((AF290-AE290)/7,0),"")</f>
        <v/>
      </c>
      <c r="AI290">
        <f>IFERROR(IF(AG290*AH290=0,"",AG290*AH290),"")</f>
        <v/>
      </c>
      <c r="AL290">
        <f>IF(AND(AJ290&lt;&gt;"",AK290&lt;&gt;""),ROUNDUP((AK290-AJ290)/7,0),"")</f>
        <v/>
      </c>
      <c r="AN290">
        <f>IFERROR(IF(AL290*AM290=0,"",AL290*AM290),"")</f>
        <v/>
      </c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L290">
        <f>IFERROR(INDEX('_names_lookup'!$C:$C,MATCH(BK290,'_names_lookup'!$A:$A,0)),"")</f>
        <v/>
      </c>
      <c r="BM290">
        <f>IFERROR(INDEX('_names_lookup'!$B:$B,MATCH(BK290,'_names_lookup'!$A:$A,0)),"")</f>
        <v/>
      </c>
      <c r="BS290">
        <f>IFERROR(IF(BR290*AA290=0,"",BR290*AA290),"")</f>
        <v/>
      </c>
    </row>
    <row r="291">
      <c r="O291">
        <f>IFERROR(INDEX('_courses_lookup'!$C:$C,MATCH(K291&amp;L291,'_courses_lookup'!$E:$E,0)),"")</f>
        <v/>
      </c>
      <c r="P291">
        <f>IFERROR(INDEX('_courses_lookup'!$D:$D,MATCH(K291&amp;L291,'_courses_lookup'!$E:$E,0)),"")</f>
        <v/>
      </c>
      <c r="AG291">
        <f>IF(AND(AE291&lt;&gt;"",AF291&lt;&gt;""),ROUNDUP((AF291-AE291)/7,0),"")</f>
        <v/>
      </c>
      <c r="AI291">
        <f>IFERROR(IF(AG291*AH291=0,"",AG291*AH291),"")</f>
        <v/>
      </c>
      <c r="AL291">
        <f>IF(AND(AJ291&lt;&gt;"",AK291&lt;&gt;""),ROUNDUP((AK291-AJ291)/7,0),"")</f>
        <v/>
      </c>
      <c r="AN291">
        <f>IFERROR(IF(AL291*AM291=0,"",AL291*AM291),"")</f>
        <v/>
      </c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L291">
        <f>IFERROR(INDEX('_names_lookup'!$C:$C,MATCH(BK291,'_names_lookup'!$A:$A,0)),"")</f>
        <v/>
      </c>
      <c r="BM291">
        <f>IFERROR(INDEX('_names_lookup'!$B:$B,MATCH(BK291,'_names_lookup'!$A:$A,0)),"")</f>
        <v/>
      </c>
      <c r="BS291">
        <f>IFERROR(IF(BR291*AA291=0,"",BR291*AA291),"")</f>
        <v/>
      </c>
    </row>
    <row r="292">
      <c r="O292">
        <f>IFERROR(INDEX('_courses_lookup'!$C:$C,MATCH(K292&amp;L292,'_courses_lookup'!$E:$E,0)),"")</f>
        <v/>
      </c>
      <c r="P292">
        <f>IFERROR(INDEX('_courses_lookup'!$D:$D,MATCH(K292&amp;L292,'_courses_lookup'!$E:$E,0)),"")</f>
        <v/>
      </c>
      <c r="AG292">
        <f>IF(AND(AE292&lt;&gt;"",AF292&lt;&gt;""),ROUNDUP((AF292-AE292)/7,0),"")</f>
        <v/>
      </c>
      <c r="AI292">
        <f>IFERROR(IF(AG292*AH292=0,"",AG292*AH292),"")</f>
        <v/>
      </c>
      <c r="AL292">
        <f>IF(AND(AJ292&lt;&gt;"",AK292&lt;&gt;""),ROUNDUP((AK292-AJ292)/7,0),"")</f>
        <v/>
      </c>
      <c r="AN292">
        <f>IFERROR(IF(AL292*AM292=0,"",AL292*AM292),"")</f>
        <v/>
      </c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L292">
        <f>IFERROR(INDEX('_names_lookup'!$C:$C,MATCH(BK292,'_names_lookup'!$A:$A,0)),"")</f>
        <v/>
      </c>
      <c r="BM292">
        <f>IFERROR(INDEX('_names_lookup'!$B:$B,MATCH(BK292,'_names_lookup'!$A:$A,0)),"")</f>
        <v/>
      </c>
      <c r="BS292">
        <f>IFERROR(IF(BR292*AA292=0,"",BR292*AA292),"")</f>
        <v/>
      </c>
    </row>
    <row r="293">
      <c r="O293">
        <f>IFERROR(INDEX('_courses_lookup'!$C:$C,MATCH(K293&amp;L293,'_courses_lookup'!$E:$E,0)),"")</f>
        <v/>
      </c>
      <c r="P293">
        <f>IFERROR(INDEX('_courses_lookup'!$D:$D,MATCH(K293&amp;L293,'_courses_lookup'!$E:$E,0)),"")</f>
        <v/>
      </c>
      <c r="AG293">
        <f>IF(AND(AE293&lt;&gt;"",AF293&lt;&gt;""),ROUNDUP((AF293-AE293)/7,0),"")</f>
        <v/>
      </c>
      <c r="AI293">
        <f>IFERROR(IF(AG293*AH293=0,"",AG293*AH293),"")</f>
        <v/>
      </c>
      <c r="AL293">
        <f>IF(AND(AJ293&lt;&gt;"",AK293&lt;&gt;""),ROUNDUP((AK293-AJ293)/7,0),"")</f>
        <v/>
      </c>
      <c r="AN293">
        <f>IFERROR(IF(AL293*AM293=0,"",AL293*AM293),"")</f>
        <v/>
      </c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L293">
        <f>IFERROR(INDEX('_names_lookup'!$C:$C,MATCH(BK293,'_names_lookup'!$A:$A,0)),"")</f>
        <v/>
      </c>
      <c r="BM293">
        <f>IFERROR(INDEX('_names_lookup'!$B:$B,MATCH(BK293,'_names_lookup'!$A:$A,0)),"")</f>
        <v/>
      </c>
      <c r="BS293">
        <f>IFERROR(IF(BR293*AA293=0,"",BR293*AA293),"")</f>
        <v/>
      </c>
    </row>
    <row r="294">
      <c r="O294">
        <f>IFERROR(INDEX('_courses_lookup'!$C:$C,MATCH(K294&amp;L294,'_courses_lookup'!$E:$E,0)),"")</f>
        <v/>
      </c>
      <c r="P294">
        <f>IFERROR(INDEX('_courses_lookup'!$D:$D,MATCH(K294&amp;L294,'_courses_lookup'!$E:$E,0)),"")</f>
        <v/>
      </c>
      <c r="AG294">
        <f>IF(AND(AE294&lt;&gt;"",AF294&lt;&gt;""),ROUNDUP((AF294-AE294)/7,0),"")</f>
        <v/>
      </c>
      <c r="AI294">
        <f>IFERROR(IF(AG294*AH294=0,"",AG294*AH294),"")</f>
        <v/>
      </c>
      <c r="AL294">
        <f>IF(AND(AJ294&lt;&gt;"",AK294&lt;&gt;""),ROUNDUP((AK294-AJ294)/7,0),"")</f>
        <v/>
      </c>
      <c r="AN294">
        <f>IFERROR(IF(AL294*AM294=0,"",AL294*AM294),"")</f>
        <v/>
      </c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L294">
        <f>IFERROR(INDEX('_names_lookup'!$C:$C,MATCH(BK294,'_names_lookup'!$A:$A,0)),"")</f>
        <v/>
      </c>
      <c r="BM294">
        <f>IFERROR(INDEX('_names_lookup'!$B:$B,MATCH(BK294,'_names_lookup'!$A:$A,0)),"")</f>
        <v/>
      </c>
      <c r="BS294">
        <f>IFERROR(IF(BR294*AA294=0,"",BR294*AA294),"")</f>
        <v/>
      </c>
    </row>
    <row r="295">
      <c r="O295">
        <f>IFERROR(INDEX('_courses_lookup'!$C:$C,MATCH(K295&amp;L295,'_courses_lookup'!$E:$E,0)),"")</f>
        <v/>
      </c>
      <c r="P295">
        <f>IFERROR(INDEX('_courses_lookup'!$D:$D,MATCH(K295&amp;L295,'_courses_lookup'!$E:$E,0)),"")</f>
        <v/>
      </c>
      <c r="AG295">
        <f>IF(AND(AE295&lt;&gt;"",AF295&lt;&gt;""),ROUNDUP((AF295-AE295)/7,0),"")</f>
        <v/>
      </c>
      <c r="AI295">
        <f>IFERROR(IF(AG295*AH295=0,"",AG295*AH295),"")</f>
        <v/>
      </c>
      <c r="AL295">
        <f>IF(AND(AJ295&lt;&gt;"",AK295&lt;&gt;""),ROUNDUP((AK295-AJ295)/7,0),"")</f>
        <v/>
      </c>
      <c r="AN295">
        <f>IFERROR(IF(AL295*AM295=0,"",AL295*AM295),"")</f>
        <v/>
      </c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L295">
        <f>IFERROR(INDEX('_names_lookup'!$C:$C,MATCH(BK295,'_names_lookup'!$A:$A,0)),"")</f>
        <v/>
      </c>
      <c r="BM295">
        <f>IFERROR(INDEX('_names_lookup'!$B:$B,MATCH(BK295,'_names_lookup'!$A:$A,0)),"")</f>
        <v/>
      </c>
      <c r="BS295">
        <f>IFERROR(IF(BR295*AA295=0,"",BR295*AA295),"")</f>
        <v/>
      </c>
    </row>
    <row r="296">
      <c r="O296">
        <f>IFERROR(INDEX('_courses_lookup'!$C:$C,MATCH(K296&amp;L296,'_courses_lookup'!$E:$E,0)),"")</f>
        <v/>
      </c>
      <c r="P296">
        <f>IFERROR(INDEX('_courses_lookup'!$D:$D,MATCH(K296&amp;L296,'_courses_lookup'!$E:$E,0)),"")</f>
        <v/>
      </c>
      <c r="AG296">
        <f>IF(AND(AE296&lt;&gt;"",AF296&lt;&gt;""),ROUNDUP((AF296-AE296)/7,0),"")</f>
        <v/>
      </c>
      <c r="AI296">
        <f>IFERROR(IF(AG296*AH296=0,"",AG296*AH296),"")</f>
        <v/>
      </c>
      <c r="AL296">
        <f>IF(AND(AJ296&lt;&gt;"",AK296&lt;&gt;""),ROUNDUP((AK296-AJ296)/7,0),"")</f>
        <v/>
      </c>
      <c r="AN296">
        <f>IFERROR(IF(AL296*AM296=0,"",AL296*AM296),"")</f>
        <v/>
      </c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L296">
        <f>IFERROR(INDEX('_names_lookup'!$C:$C,MATCH(BK296,'_names_lookup'!$A:$A,0)),"")</f>
        <v/>
      </c>
      <c r="BM296">
        <f>IFERROR(INDEX('_names_lookup'!$B:$B,MATCH(BK296,'_names_lookup'!$A:$A,0)),"")</f>
        <v/>
      </c>
      <c r="BS296">
        <f>IFERROR(IF(BR296*AA296=0,"",BR296*AA296),"")</f>
        <v/>
      </c>
    </row>
    <row r="297">
      <c r="O297">
        <f>IFERROR(INDEX('_courses_lookup'!$C:$C,MATCH(K297&amp;L297,'_courses_lookup'!$E:$E,0)),"")</f>
        <v/>
      </c>
      <c r="P297">
        <f>IFERROR(INDEX('_courses_lookup'!$D:$D,MATCH(K297&amp;L297,'_courses_lookup'!$E:$E,0)),"")</f>
        <v/>
      </c>
      <c r="AG297">
        <f>IF(AND(AE297&lt;&gt;"",AF297&lt;&gt;""),ROUNDUP((AF297-AE297)/7,0),"")</f>
        <v/>
      </c>
      <c r="AI297">
        <f>IFERROR(IF(AG297*AH297=0,"",AG297*AH297),"")</f>
        <v/>
      </c>
      <c r="AL297">
        <f>IF(AND(AJ297&lt;&gt;"",AK297&lt;&gt;""),ROUNDUP((AK297-AJ297)/7,0),"")</f>
        <v/>
      </c>
      <c r="AN297">
        <f>IFERROR(IF(AL297*AM297=0,"",AL297*AM297),"")</f>
        <v/>
      </c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L297">
        <f>IFERROR(INDEX('_names_lookup'!$C:$C,MATCH(BK297,'_names_lookup'!$A:$A,0)),"")</f>
        <v/>
      </c>
      <c r="BM297">
        <f>IFERROR(INDEX('_names_lookup'!$B:$B,MATCH(BK297,'_names_lookup'!$A:$A,0)),"")</f>
        <v/>
      </c>
      <c r="BS297">
        <f>IFERROR(IF(BR297*AA297=0,"",BR297*AA297),"")</f>
        <v/>
      </c>
    </row>
    <row r="298">
      <c r="O298">
        <f>IFERROR(INDEX('_courses_lookup'!$C:$C,MATCH(K298&amp;L298,'_courses_lookup'!$E:$E,0)),"")</f>
        <v/>
      </c>
      <c r="P298">
        <f>IFERROR(INDEX('_courses_lookup'!$D:$D,MATCH(K298&amp;L298,'_courses_lookup'!$E:$E,0)),"")</f>
        <v/>
      </c>
      <c r="AG298">
        <f>IF(AND(AE298&lt;&gt;"",AF298&lt;&gt;""),ROUNDUP((AF298-AE298)/7,0),"")</f>
        <v/>
      </c>
      <c r="AI298">
        <f>IFERROR(IF(AG298*AH298=0,"",AG298*AH298),"")</f>
        <v/>
      </c>
      <c r="AL298">
        <f>IF(AND(AJ298&lt;&gt;"",AK298&lt;&gt;""),ROUNDUP((AK298-AJ298)/7,0),"")</f>
        <v/>
      </c>
      <c r="AN298">
        <f>IFERROR(IF(AL298*AM298=0,"",AL298*AM298),"")</f>
        <v/>
      </c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L298">
        <f>IFERROR(INDEX('_names_lookup'!$C:$C,MATCH(BK298,'_names_lookup'!$A:$A,0)),"")</f>
        <v/>
      </c>
      <c r="BM298">
        <f>IFERROR(INDEX('_names_lookup'!$B:$B,MATCH(BK298,'_names_lookup'!$A:$A,0)),"")</f>
        <v/>
      </c>
      <c r="BS298">
        <f>IFERROR(IF(BR298*AA298=0,"",BR298*AA298),"")</f>
        <v/>
      </c>
    </row>
    <row r="299">
      <c r="O299">
        <f>IFERROR(INDEX('_courses_lookup'!$C:$C,MATCH(K299&amp;L299,'_courses_lookup'!$E:$E,0)),"")</f>
        <v/>
      </c>
      <c r="P299">
        <f>IFERROR(INDEX('_courses_lookup'!$D:$D,MATCH(K299&amp;L299,'_courses_lookup'!$E:$E,0)),"")</f>
        <v/>
      </c>
      <c r="AG299">
        <f>IF(AND(AE299&lt;&gt;"",AF299&lt;&gt;""),ROUNDUP((AF299-AE299)/7,0),"")</f>
        <v/>
      </c>
      <c r="AI299">
        <f>IFERROR(IF(AG299*AH299=0,"",AG299*AH299),"")</f>
        <v/>
      </c>
      <c r="AL299">
        <f>IF(AND(AJ299&lt;&gt;"",AK299&lt;&gt;""),ROUNDUP((AK299-AJ299)/7,0),"")</f>
        <v/>
      </c>
      <c r="AN299">
        <f>IFERROR(IF(AL299*AM299=0,"",AL299*AM299),"")</f>
        <v/>
      </c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L299">
        <f>IFERROR(INDEX('_names_lookup'!$C:$C,MATCH(BK299,'_names_lookup'!$A:$A,0)),"")</f>
        <v/>
      </c>
      <c r="BM299">
        <f>IFERROR(INDEX('_names_lookup'!$B:$B,MATCH(BK299,'_names_lookup'!$A:$A,0)),"")</f>
        <v/>
      </c>
      <c r="BS299">
        <f>IFERROR(IF(BR299*AA299=0,"",BR299*AA299),"")</f>
        <v/>
      </c>
    </row>
    <row r="300">
      <c r="O300">
        <f>IFERROR(INDEX('_courses_lookup'!$C:$C,MATCH(K300&amp;L300,'_courses_lookup'!$E:$E,0)),"")</f>
        <v/>
      </c>
      <c r="P300">
        <f>IFERROR(INDEX('_courses_lookup'!$D:$D,MATCH(K300&amp;L300,'_courses_lookup'!$E:$E,0)),"")</f>
        <v/>
      </c>
      <c r="AG300">
        <f>IF(AND(AE300&lt;&gt;"",AF300&lt;&gt;""),ROUNDUP((AF300-AE300)/7,0),"")</f>
        <v/>
      </c>
      <c r="AI300">
        <f>IFERROR(IF(AG300*AH300=0,"",AG300*AH300),"")</f>
        <v/>
      </c>
      <c r="AL300">
        <f>IF(AND(AJ300&lt;&gt;"",AK300&lt;&gt;""),ROUNDUP((AK300-AJ300)/7,0),"")</f>
        <v/>
      </c>
      <c r="AN300">
        <f>IFERROR(IF(AL300*AM300=0,"",AL300*AM300),"")</f>
        <v/>
      </c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L300">
        <f>IFERROR(INDEX('_names_lookup'!$C:$C,MATCH(BK300,'_names_lookup'!$A:$A,0)),"")</f>
        <v/>
      </c>
      <c r="BM300">
        <f>IFERROR(INDEX('_names_lookup'!$B:$B,MATCH(BK300,'_names_lookup'!$A:$A,0)),"")</f>
        <v/>
      </c>
      <c r="BS300">
        <f>IFERROR(IF(BR300*AA300=0,"",BR300*AA300),"")</f>
        <v/>
      </c>
    </row>
  </sheetData>
  <autoFilter ref="A1:DQ1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='DropDownMenu'!$BC$2:$BC$259</formula1>
    </dataValidation>
    <dataValidation sqref="BL2:BL5000" showDropDown="0" showInputMessage="0" showErrorMessage="0" allowBlank="1" type="list">
      <formula1>='DropDownMenu'!$BD$2:$BD$253</formula1>
    </dataValidation>
    <dataValidation sqref="BM2:BM5000" showDropDown="0" showInputMessage="0" showErrorMessage="0" allowBlank="1" type="list">
      <formula1>='DropDownMenu'!$BE$2:$BE$259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M18" sqref="M18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23" t="inlineStr">
        <is>
          <t>Don {not in Banner}</t>
        </is>
      </c>
      <c r="B1" s="23" t="inlineStr">
        <is>
          <t>Mismatching {not in Banner}</t>
        </is>
      </c>
      <c r="C1" s="23" t="inlineStr">
        <is>
          <t>Dept/Prog Admin {not in Banner}</t>
        </is>
      </c>
      <c r="D1" s="23" t="inlineStr">
        <is>
          <t>Mona {not in Banner}</t>
        </is>
      </c>
      <c r="E1" s="23" t="inlineStr">
        <is>
          <t>Karen {not in Banner}</t>
        </is>
      </c>
      <c r="F1" s="23" t="inlineStr">
        <is>
          <t>DONE {not in Banner}</t>
        </is>
      </c>
      <c r="G1" s="24" t="inlineStr">
        <is>
          <t>Notes {not in Banner}</t>
        </is>
      </c>
      <c r="H1" s="23" t="inlineStr">
        <is>
          <t>CRN sorted {not in Banner}</t>
        </is>
      </c>
      <c r="I1" s="23" t="inlineStr">
        <is>
          <t>CRN</t>
        </is>
      </c>
      <c r="J1" s="23" t="inlineStr">
        <is>
          <t>Attribute {not in Banner}</t>
        </is>
      </c>
      <c r="K1" s="23" t="inlineStr">
        <is>
          <t>Subject</t>
        </is>
      </c>
      <c r="L1" s="23" t="inlineStr">
        <is>
          <t>Course Number {Crse Num}</t>
        </is>
      </c>
      <c r="M1" s="23" t="inlineStr">
        <is>
          <t>Course Section {Seq Crse Num}</t>
        </is>
      </c>
      <c r="N1" s="23" t="inlineStr">
        <is>
          <t>Program {not in Banner}</t>
        </is>
      </c>
      <c r="O1" s="23" t="inlineStr">
        <is>
          <t>Catalog Title</t>
        </is>
      </c>
      <c r="P1" s="23" t="inlineStr">
        <is>
          <t>Section Title</t>
        </is>
      </c>
      <c r="Q1" s="23" t="inlineStr">
        <is>
          <t>Crosslist Details {not in Banner}</t>
        </is>
      </c>
      <c r="R1" s="23" t="inlineStr">
        <is>
          <t>X Lst</t>
        </is>
      </c>
      <c r="S1" s="23" t="inlineStr">
        <is>
          <t>Campus {Ssasect Campus}</t>
        </is>
      </c>
      <c r="T1" s="23" t="inlineStr">
        <is>
          <t>Campus Restriction {Camp Restr CC}</t>
        </is>
      </c>
      <c r="U1" s="23" t="inlineStr">
        <is>
          <t>Schedule Type {not in Banner}</t>
        </is>
      </c>
      <c r="V1" s="23" t="inlineStr">
        <is>
          <t>Instruction Method {Inst Method}</t>
        </is>
      </c>
      <c r="W1" s="23" t="inlineStr">
        <is>
          <t>Level {Level SC}</t>
        </is>
      </c>
      <c r="X1" s="23" t="inlineStr">
        <is>
          <t>Part-Of-Term</t>
        </is>
      </c>
      <c r="Y1" s="23" t="inlineStr">
        <is>
          <t>Credit Catalog {Cat Crs}</t>
        </is>
      </c>
      <c r="Z1" s="23" t="inlineStr">
        <is>
          <t>Credits {Sect Crs}</t>
        </is>
      </c>
      <c r="AA1" s="23" t="inlineStr">
        <is>
          <t>Faculty Load / Contract Credits {not in Banner}</t>
        </is>
      </c>
      <c r="AB1" s="23" t="inlineStr">
        <is>
          <t>Enrollment Cap {Max Enrl}</t>
        </is>
      </c>
      <c r="AC1" s="23" t="inlineStr">
        <is>
          <t>Meeting Type</t>
        </is>
      </c>
      <c r="AD1" s="23" t="inlineStr">
        <is>
          <t>Semester Start Date {Soaterm Start Date}</t>
        </is>
      </c>
      <c r="AE1" s="23" t="inlineStr">
        <is>
          <t>Pre-work Start Date {not in Banner}</t>
        </is>
      </c>
      <c r="AF1" s="23" t="inlineStr">
        <is>
          <t>Pre-work End Date {not in Banner}</t>
        </is>
      </c>
      <c r="AG1" s="25" t="inlineStr">
        <is>
          <t>pre-work # of weeks {not in Banner}</t>
        </is>
      </c>
      <c r="AH1" s="25" t="inlineStr">
        <is>
          <t>pre-work hours/week {not in Banner}</t>
        </is>
      </c>
      <c r="AI1" s="25" t="inlineStr">
        <is>
          <t>pre-work hours/period {not in Banner}</t>
        </is>
      </c>
      <c r="AJ1" s="23" t="inlineStr">
        <is>
          <t>Intensive Period Start Date {Meet Start Date}</t>
        </is>
      </c>
      <c r="AK1" s="23" t="inlineStr">
        <is>
          <t>Intensive Period End Date {Meet End Date}</t>
        </is>
      </c>
      <c r="AL1" s="25" t="inlineStr">
        <is>
          <t>intensive # of weeks {not in Banner}</t>
        </is>
      </c>
      <c r="AM1" s="25" t="inlineStr">
        <is>
          <t>intensive hours/week {not in Banner}</t>
        </is>
      </c>
      <c r="AN1" s="25" t="inlineStr">
        <is>
          <t>intensive hours/period {not in Banner}</t>
        </is>
      </c>
      <c r="AO1" s="23" t="inlineStr">
        <is>
          <t>Post-work Start Date {not in Banner}</t>
        </is>
      </c>
      <c r="AP1" s="23" t="inlineStr">
        <is>
          <t>Post-work End Date {not in Banner}</t>
        </is>
      </c>
      <c r="AQ1" s="25" t="inlineStr">
        <is>
          <t>post-work # of weeks {not in Banner}</t>
        </is>
      </c>
      <c r="AR1" s="25" t="inlineStr">
        <is>
          <t>post-work hours/week {not in Banner}</t>
        </is>
      </c>
      <c r="AS1" s="25" t="inlineStr">
        <is>
          <t>post-work hours/period {not in Banner}</t>
        </is>
      </c>
      <c r="AT1" s="25" t="inlineStr">
        <is>
          <t>sum of weeks (for check) {not in Banner}</t>
        </is>
      </c>
      <c r="AU1" s="25" t="inlineStr">
        <is>
          <t>total contract hours {not in Banner}</t>
        </is>
      </c>
      <c r="AV1" s="23" t="inlineStr">
        <is>
          <t>Semester End Date {Soaterm End Date}</t>
        </is>
      </c>
      <c r="AW1" s="23" t="inlineStr">
        <is>
          <t>Course Beginning Time {Meet Beg Time}</t>
        </is>
      </c>
      <c r="AX1" s="23" t="inlineStr">
        <is>
          <t>Course Ending Time {Meet End Time}</t>
        </is>
      </c>
      <c r="AY1" s="23" t="inlineStr">
        <is>
          <t>SUN</t>
        </is>
      </c>
      <c r="AZ1" s="23" t="inlineStr">
        <is>
          <t>MON</t>
        </is>
      </c>
      <c r="BA1" s="23" t="inlineStr">
        <is>
          <t>TUE</t>
        </is>
      </c>
      <c r="BB1" s="23" t="inlineStr">
        <is>
          <t>WED</t>
        </is>
      </c>
      <c r="BC1" s="23" t="inlineStr">
        <is>
          <t>THU</t>
        </is>
      </c>
      <c r="BD1" s="23" t="inlineStr">
        <is>
          <t>FRI</t>
        </is>
      </c>
      <c r="BE1" s="23" t="inlineStr">
        <is>
          <t>SAT</t>
        </is>
      </c>
      <c r="BF1" s="23" t="inlineStr">
        <is>
          <t>Weeks</t>
        </is>
      </c>
      <c r="BG1" s="23" t="inlineStr">
        <is>
          <t>Fiscal Year {not in Banner}</t>
        </is>
      </c>
      <c r="BH1" s="25" t="inlineStr">
        <is>
          <t>Semester {not in Banner}</t>
        </is>
      </c>
      <c r="BI1" s="23" t="inlineStr">
        <is>
          <t>Room {Meet Room}</t>
        </is>
      </c>
      <c r="BJ1" s="23" t="inlineStr">
        <is>
          <t>Building {Meet Bldg}</t>
        </is>
      </c>
      <c r="BK1" s="23" t="inlineStr">
        <is>
          <t>Instructor Name {Instr Name}</t>
        </is>
      </c>
      <c r="BL1" s="23" t="inlineStr">
        <is>
          <t>Instructor Email {Instr Email}</t>
        </is>
      </c>
      <c r="BM1" s="23" t="inlineStr">
        <is>
          <t>Instructor ID {Instr ID}</t>
        </is>
      </c>
      <c r="BN1" s="25" t="inlineStr">
        <is>
          <t>Remote Employee {not in Banner}</t>
        </is>
      </c>
      <c r="BO1" s="23" t="inlineStr">
        <is>
          <t>% Responsibility</t>
        </is>
      </c>
      <c r="BP1" s="23" t="inlineStr">
        <is>
          <t>load/contract {not in Banner}</t>
        </is>
      </c>
      <c r="BQ1" s="25" t="inlineStr">
        <is>
          <t>Reason for Contract {not in Banner}</t>
        </is>
      </c>
      <c r="BR1" s="25" t="inlineStr">
        <is>
          <t>costs per credit {not in Banner}</t>
        </is>
      </c>
      <c r="BS1" s="25" t="inlineStr">
        <is>
          <t>total costs {not in Banner}</t>
        </is>
      </c>
      <c r="BT1" s="25" t="inlineStr">
        <is>
          <t>dept budget {not in Banner}</t>
        </is>
      </c>
      <c r="BU1" s="25" t="inlineStr">
        <is>
          <t>account to be charged {not in Banner}</t>
        </is>
      </c>
      <c r="BV1" s="25" t="inlineStr">
        <is>
          <t>SEM Department {Scacrse Dept}</t>
        </is>
      </c>
      <c r="BW1" s="26" t="inlineStr">
        <is>
          <t>dean email</t>
        </is>
      </c>
      <c r="BX1" s="26" t="inlineStr">
        <is>
          <t>VP finance email</t>
        </is>
      </c>
      <c r="BY1" s="26" t="inlineStr">
        <is>
          <t>HR email</t>
        </is>
      </c>
      <c r="BZ1" s="26" t="inlineStr">
        <is>
          <t>Fee Amount {Fees Amt}</t>
        </is>
      </c>
      <c r="CA1" s="26" t="inlineStr">
        <is>
          <t>Fee Code {Detl Code}</t>
        </is>
      </c>
      <c r="CB1" s="26" t="inlineStr">
        <is>
          <t>Fee Type</t>
        </is>
      </c>
      <c r="CC1" s="26" t="inlineStr">
        <is>
          <t>Fee Level</t>
        </is>
      </c>
      <c r="CD1" s="26" t="inlineStr">
        <is>
          <t>Fee Ind</t>
        </is>
      </c>
      <c r="CE1" s="26" t="inlineStr">
        <is>
          <t>Fee Term</t>
        </is>
      </c>
      <c r="CF1" s="26" t="inlineStr">
        <is>
          <t>Activity Date</t>
        </is>
      </c>
      <c r="CG1" s="26" t="inlineStr">
        <is>
          <t>Status</t>
        </is>
      </c>
      <c r="CH1" s="26" t="inlineStr">
        <is>
          <t>Bill Hrs</t>
        </is>
      </c>
      <c r="CI1" s="26" t="inlineStr">
        <is>
          <t>Sect Sch Type</t>
        </is>
      </c>
      <c r="CJ1" s="26" t="inlineStr">
        <is>
          <t>Prerequisites {Preq Areas}</t>
        </is>
      </c>
      <c r="CK1" s="26" t="inlineStr">
        <is>
          <t>Link Ind</t>
        </is>
      </c>
      <c r="CL1" s="26" t="inlineStr">
        <is>
          <t>Integration Code</t>
        </is>
      </c>
      <c r="CM1" s="26" t="inlineStr">
        <is>
          <t>Link Conn</t>
        </is>
      </c>
      <c r="CN1" s="26" t="inlineStr">
        <is>
          <t>Crs Attr</t>
        </is>
      </c>
      <c r="CO1" s="26" t="inlineStr">
        <is>
          <t>Comments</t>
        </is>
      </c>
      <c r="CP1" s="26" t="inlineStr">
        <is>
          <t>Major Restr</t>
        </is>
      </c>
      <c r="CQ1" s="26" t="inlineStr">
        <is>
          <t>Scacrse College</t>
        </is>
      </c>
      <c r="CR1" s="26" t="inlineStr">
        <is>
          <t>Enrolled</t>
        </is>
      </c>
      <c r="CS1" s="26" t="inlineStr">
        <is>
          <t>Waitlist Capacity</t>
        </is>
      </c>
      <c r="CT1" s="26" t="inlineStr">
        <is>
          <t>Primary Ind</t>
        </is>
      </c>
      <c r="CU1" s="26" t="inlineStr">
        <is>
          <t>Override</t>
        </is>
      </c>
      <c r="CV1" s="26" t="inlineStr">
        <is>
          <t>1st Date Reg Opens</t>
        </is>
      </c>
      <c r="CW1" s="26" t="inlineStr">
        <is>
          <t>Last Date Reg Opens</t>
        </is>
      </c>
      <c r="CX1" s="26" t="inlineStr">
        <is>
          <t>OL Range From Date</t>
        </is>
      </c>
      <c r="CY1" s="26" t="inlineStr">
        <is>
          <t>OL Range To Date</t>
        </is>
      </c>
      <c r="CZ1" s="26" t="inlineStr">
        <is>
          <t>OL Numb Units</t>
        </is>
      </c>
      <c r="DA1" s="26" t="inlineStr">
        <is>
          <t>OL Duration Code</t>
        </is>
      </c>
      <c r="DB1" s="26" t="inlineStr">
        <is>
          <t>Grade Mode</t>
        </is>
      </c>
      <c r="DC1" s="26" t="inlineStr">
        <is>
          <t>Gradable Ind</t>
        </is>
      </c>
      <c r="DD1" s="26" t="inlineStr">
        <is>
          <t>Tuit Waiver</t>
        </is>
      </c>
      <c r="DE1" s="26" t="inlineStr">
        <is>
          <t>Course Override {Meet Override}</t>
        </is>
      </c>
      <c r="DF1" s="26" t="inlineStr">
        <is>
          <t>Lvl Res Ind</t>
        </is>
      </c>
      <c r="DG1" s="26" t="inlineStr">
        <is>
          <t>Cmp Res Ind</t>
        </is>
      </c>
      <c r="DH1" s="26" t="inlineStr">
        <is>
          <t>Rate Code</t>
        </is>
      </c>
      <c r="DI1" s="26" t="inlineStr">
        <is>
          <t>Cohort Code</t>
        </is>
      </c>
      <c r="DJ1" s="26" t="inlineStr">
        <is>
          <t>St Attr Code</t>
        </is>
      </c>
      <c r="DK1" s="26" t="inlineStr">
        <is>
          <t>Coll SC</t>
        </is>
      </c>
      <c r="DL1" s="26" t="inlineStr">
        <is>
          <t>DegC SC</t>
        </is>
      </c>
      <c r="DM1" s="26" t="inlineStr">
        <is>
          <t>Prog SC</t>
        </is>
      </c>
      <c r="DN1" s="26" t="inlineStr">
        <is>
          <t>FOS Type</t>
        </is>
      </c>
      <c r="DO1" s="26" t="inlineStr">
        <is>
          <t>Special Approval {Special Apvl}</t>
        </is>
      </c>
      <c r="DP1" s="26" t="inlineStr">
        <is>
          <t>Term Code</t>
        </is>
      </c>
      <c r="DQ1" s="26" t="inlineStr">
        <is>
          <t>Camp SC</t>
        </is>
      </c>
    </row>
    <row r="2" ht="16" customHeight="1">
      <c r="A2" s="38" t="n"/>
      <c r="B2" s="38" t="n"/>
      <c r="C2" s="38" t="n"/>
      <c r="D2" s="38" t="n"/>
      <c r="E2" s="38" t="n"/>
      <c r="F2" s="38" t="n"/>
      <c r="G2" s="38" t="n"/>
      <c r="H2" s="34" t="n"/>
      <c r="I2" s="34" t="n"/>
      <c r="J2" s="34" t="n"/>
      <c r="K2" s="34" t="n"/>
      <c r="L2" s="34" t="n"/>
      <c r="M2" s="34" t="n"/>
      <c r="N2" s="34" t="n"/>
      <c r="O2" s="34">
        <f>IFERROR(INDEX('_courses_lookup'!$C:$C,MATCH(K2&amp;L2,'_courses_lookup'!$E:$E,0)),"")</f>
        <v/>
      </c>
      <c r="P2" s="34">
        <f>IFERROR(INDEX('_courses_lookup'!$D:$D,MATCH(K2&amp;L2,'_courses_lookup'!$E:$E,0)),"")</f>
        <v/>
      </c>
      <c r="Q2" s="34" t="n"/>
      <c r="R2" s="34" t="n"/>
      <c r="S2" s="34" t="n"/>
      <c r="T2" s="34" t="n"/>
      <c r="U2" s="34" t="n"/>
      <c r="V2" s="34" t="n"/>
      <c r="W2" s="34" t="n"/>
      <c r="X2" s="34" t="n"/>
      <c r="Y2" s="30" t="n"/>
      <c r="Z2" s="34" t="n"/>
      <c r="AA2" s="34" t="n"/>
      <c r="AB2" s="34" t="n"/>
      <c r="AC2" s="34" t="n"/>
      <c r="AD2" s="34" t="n"/>
      <c r="AE2" s="34" t="n"/>
      <c r="AF2" s="34" t="n"/>
      <c r="AG2" s="34">
        <f>IF(AND(AE2&lt;&gt;"",AF2&lt;&gt;""),ROUNDUP((AF2-AE2)/7,0),"")</f>
        <v/>
      </c>
      <c r="AH2" s="34" t="n"/>
      <c r="AI2" s="34">
        <f>IFERROR(IF(AG2*AH2=0,"",AG2*AH2),"")</f>
        <v/>
      </c>
      <c r="AJ2" s="34" t="n"/>
      <c r="AK2" s="34" t="n"/>
      <c r="AL2" s="34">
        <f>IF(AND(AJ2&lt;&gt;"",AK2&lt;&gt;""),ROUNDUP((AK2-AJ2)/7,0),"")</f>
        <v/>
      </c>
      <c r="AM2" s="34" t="n"/>
      <c r="AN2" s="34">
        <f>IFERROR(IF(AL2*AM2=0,"",AL2*AM2),"")</f>
        <v/>
      </c>
      <c r="AO2" s="34" t="n"/>
      <c r="AP2" s="34" t="n"/>
      <c r="AQ2" s="34">
        <f>IF(AND(AO2&lt;&gt;"",AP2&lt;&gt;""),ROUNDUP((AP2-AO2)/7,0),"")</f>
        <v/>
      </c>
      <c r="AR2" s="34">
        <f>IFERROR(IF((AU2-(AI2+AN2))/AQ2=0,"",ROUNDUP((AU2-(AI2+AN2))/AQ2,0)),"")</f>
        <v/>
      </c>
      <c r="AS2" s="34">
        <f>IFERROR(IF((AU2-(AI2+AN2))=0,"",(AU2-(AI2+AN2))),"")</f>
        <v/>
      </c>
      <c r="AT2" s="34">
        <f>IF(AND(AG2="",AQ2=""),AL2,IF(SUM(AG2,AL2,AQ2)=0,"",SUM(AG2,AL2,AQ2)))</f>
        <v/>
      </c>
      <c r="AU2" s="34" t="n"/>
      <c r="AV2" s="34" t="n"/>
      <c r="AW2" s="34" t="n"/>
      <c r="AX2" s="34" t="n"/>
      <c r="AY2" s="34" t="n"/>
      <c r="AZ2" s="30" t="n"/>
      <c r="BA2" s="34" t="n"/>
      <c r="BB2" s="34" t="n"/>
      <c r="BC2" s="34" t="n"/>
      <c r="BD2" s="34" t="n"/>
      <c r="BE2" s="34" t="n"/>
      <c r="BF2" s="34" t="n"/>
      <c r="BG2" s="34">
        <f>IF(AD2="","",YEAR(AD2)+IF(MONTH(AD2)&gt;=5,1,0))</f>
        <v/>
      </c>
      <c r="BH2" s="34">
        <f>IF(AD2="","",IF(AND(MONTH(AD2)=8,DAY(AD2)&gt;=15),"Fall",IF(MONTH(AD2)&gt;8,"Fall",IF(MONTH(AD2)=5,"Summer",IF(MONTH(AD2)=1,"Spring","")))))</f>
        <v/>
      </c>
      <c r="BI2" s="34" t="n"/>
      <c r="BJ2" s="34" t="n"/>
      <c r="BK2" s="30">
        <f>IF($BJ2="","",IFERROR(INDEX(InstructorMap!$B:$B, MATCH($BJ2, InstructorMap!$A:$A, 0)),""))</f>
        <v/>
      </c>
      <c r="BL2" s="30">
        <f>IFERROR(INDEX('_names_lookup'!$C:$C,MATCH(BK2,'_names_lookup'!$A:$A,0)),"")</f>
        <v/>
      </c>
      <c r="BM2" s="34">
        <f>IFERROR(INDEX('_names_lookup'!$B:$B,MATCH(BK2,'_names_lookup'!$A:$A,0)),"")</f>
        <v/>
      </c>
      <c r="BN2" s="34" t="n"/>
      <c r="BO2" s="34" t="n"/>
      <c r="BP2" s="34" t="n"/>
      <c r="BQ2" s="34" t="n"/>
      <c r="BR2" s="34" t="n"/>
      <c r="BS2" s="34">
        <f>IFERROR(IF(BR2*AA2=0,"",BR2*AA2),"")</f>
        <v/>
      </c>
      <c r="BT2" s="34" t="n"/>
      <c r="BU2" s="34" t="n"/>
      <c r="BV2" s="34" t="n"/>
      <c r="BW2" s="34" t="n"/>
      <c r="BX2" s="34" t="n"/>
      <c r="BY2" s="34" t="n"/>
      <c r="BZ2" s="34" t="n"/>
      <c r="CA2" s="34" t="n"/>
      <c r="CB2" s="34" t="n"/>
      <c r="CC2" s="34" t="n"/>
      <c r="CD2" s="34" t="n"/>
      <c r="CE2" s="34" t="n"/>
      <c r="CF2" s="34" t="n"/>
      <c r="CG2" s="34" t="n"/>
      <c r="CH2" s="34" t="n"/>
      <c r="CI2" s="34" t="n"/>
      <c r="CJ2" s="34" t="n"/>
      <c r="CK2" s="34" t="n"/>
      <c r="CL2" s="34" t="n"/>
      <c r="CM2" s="34" t="n"/>
      <c r="CN2" s="34" t="n"/>
      <c r="CO2" s="34" t="n"/>
      <c r="CP2" s="34" t="n"/>
      <c r="CQ2" s="34" t="n"/>
      <c r="CR2" s="34" t="n"/>
      <c r="CS2" s="34" t="n"/>
      <c r="CT2" s="34" t="n"/>
      <c r="CU2" s="34" t="n"/>
      <c r="CV2" s="34" t="n"/>
      <c r="CW2" s="34" t="n"/>
      <c r="CX2" s="34" t="n"/>
      <c r="CY2" s="34" t="n"/>
      <c r="CZ2" s="34" t="n"/>
      <c r="DA2" s="34" t="n"/>
      <c r="DB2" s="34" t="n"/>
      <c r="DC2" s="34" t="n"/>
      <c r="DD2" s="34" t="n"/>
      <c r="DE2" s="34" t="n"/>
      <c r="DF2" s="34" t="n"/>
      <c r="DG2" s="34" t="n"/>
      <c r="DH2" s="34" t="n"/>
      <c r="DI2" s="34" t="n"/>
      <c r="DJ2" s="34" t="n"/>
      <c r="DK2" s="34" t="n"/>
      <c r="DL2" s="34" t="n"/>
      <c r="DM2" s="34" t="n"/>
      <c r="DN2" s="34" t="n"/>
      <c r="DO2" s="34" t="n"/>
      <c r="DP2" s="34" t="n"/>
      <c r="DQ2" s="34" t="n"/>
    </row>
    <row r="3" ht="16" customHeight="1">
      <c r="A3" s="38" t="n"/>
      <c r="B3" s="38" t="n"/>
      <c r="C3" s="38" t="n"/>
      <c r="D3" s="38" t="n"/>
      <c r="E3" s="38" t="n"/>
      <c r="F3" s="38" t="n"/>
      <c r="G3" s="38" t="n"/>
      <c r="H3" s="34" t="n"/>
      <c r="I3" s="34" t="n"/>
      <c r="J3" s="34" t="n"/>
      <c r="K3" s="34" t="n"/>
      <c r="L3" s="34" t="n"/>
      <c r="M3" s="34" t="n"/>
      <c r="N3" s="34" t="n"/>
      <c r="O3" s="34">
        <f>IFERROR(INDEX('_courses_lookup'!$C:$C,MATCH(K3&amp;L3,'_courses_lookup'!$E:$E,0)),"")</f>
        <v/>
      </c>
      <c r="P3" s="34">
        <f>IFERROR(INDEX('_courses_lookup'!$D:$D,MATCH(K3&amp;L3,'_courses_lookup'!$E:$E,0)),"")</f>
        <v/>
      </c>
      <c r="Q3" s="34" t="n"/>
      <c r="R3" s="34" t="n"/>
      <c r="S3" s="34" t="n"/>
      <c r="T3" s="34" t="n"/>
      <c r="U3" s="34" t="n"/>
      <c r="V3" s="34" t="n"/>
      <c r="W3" s="34" t="n"/>
      <c r="X3" s="34" t="n"/>
      <c r="Y3" s="30" t="n"/>
      <c r="Z3" s="34" t="n"/>
      <c r="AA3" s="34" t="n"/>
      <c r="AB3" s="34" t="n"/>
      <c r="AC3" s="34" t="n"/>
      <c r="AD3" s="34" t="n"/>
      <c r="AE3" s="34" t="n"/>
      <c r="AF3" s="34" t="n"/>
      <c r="AG3" s="34">
        <f>IF(AND(AE3&lt;&gt;"",AF3&lt;&gt;""),ROUNDUP((AF3-AE3)/7,0),"")</f>
        <v/>
      </c>
      <c r="AH3" s="34" t="n"/>
      <c r="AI3" s="34">
        <f>IFERROR(IF(AG3*AH3=0,"",AG3*AH3),"")</f>
        <v/>
      </c>
      <c r="AJ3" s="34" t="n"/>
      <c r="AK3" s="34" t="n"/>
      <c r="AL3" s="34">
        <f>IF(AND(AJ3&lt;&gt;"",AK3&lt;&gt;""),ROUNDUP((AK3-AJ3)/7,0),"")</f>
        <v/>
      </c>
      <c r="AM3" s="34" t="n"/>
      <c r="AN3" s="34">
        <f>IFERROR(IF(AL3*AM3=0,"",AL3*AM3),"")</f>
        <v/>
      </c>
      <c r="AO3" s="34" t="n"/>
      <c r="AP3" s="34" t="n"/>
      <c r="AQ3" s="34">
        <f>IF(AND(AO3&lt;&gt;"",AP3&lt;&gt;""),ROUNDUP((AP3-AO3)/7,0),"")</f>
        <v/>
      </c>
      <c r="AR3" s="34">
        <f>IFERROR(IF((AU3-(AI3+AN3))/AQ3=0,"",ROUNDUP((AU3-(AI3+AN3))/AQ3,0)),"")</f>
        <v/>
      </c>
      <c r="AS3" s="34">
        <f>IFERROR(IF((AU3-(AI3+AN3))=0,"",(AU3-(AI3+AN3))),"")</f>
        <v/>
      </c>
      <c r="AT3" s="34">
        <f>IF(AND(AG3="",AQ3=""),AL3,IF(SUM(AG3,AL3,AQ3)=0,"",SUM(AG3,AL3,AQ3)))</f>
        <v/>
      </c>
      <c r="AU3" s="34" t="n"/>
      <c r="AV3" s="34" t="n"/>
      <c r="AW3" s="34" t="n"/>
      <c r="AX3" s="34" t="n"/>
      <c r="AY3" s="34" t="n"/>
      <c r="AZ3" s="30" t="n"/>
      <c r="BA3" s="34" t="n"/>
      <c r="BB3" s="34" t="n"/>
      <c r="BC3" s="34" t="n"/>
      <c r="BD3" s="34" t="n"/>
      <c r="BE3" s="34" t="n"/>
      <c r="BF3" s="34" t="n"/>
      <c r="BG3" s="34">
        <f>IF(AD3="","",YEAR(AD3)+IF(MONTH(AD3)&gt;=5,1,0))</f>
        <v/>
      </c>
      <c r="BH3" s="34">
        <f>IF(AD3="","",IF(AND(MONTH(AD3)=8,DAY(AD3)&gt;=15),"Fall",IF(MONTH(AD3)&gt;8,"Fall",IF(MONTH(AD3)=5,"Summer",IF(MONTH(AD3)=1,"Spring","")))))</f>
        <v/>
      </c>
      <c r="BI3" s="34" t="n"/>
      <c r="BJ3" s="34" t="n"/>
      <c r="BK3" s="30">
        <f>IF($BJ3="","",IFERROR(INDEX(InstructorMap!$B:$B, MATCH($BJ3, InstructorMap!$A:$A, 0)),""))</f>
        <v/>
      </c>
      <c r="BL3" s="30">
        <f>IFERROR(INDEX('_names_lookup'!$C:$C,MATCH(BK3,'_names_lookup'!$A:$A,0)),"")</f>
        <v/>
      </c>
      <c r="BM3" s="34">
        <f>IFERROR(INDEX('_names_lookup'!$B:$B,MATCH(BK3,'_names_lookup'!$A:$A,0)),"")</f>
        <v/>
      </c>
      <c r="BN3" s="34" t="n"/>
      <c r="BO3" s="34" t="n"/>
      <c r="BP3" s="34" t="n"/>
      <c r="BQ3" s="34" t="n"/>
      <c r="BR3" s="34" t="n"/>
      <c r="BS3" s="34">
        <f>IFERROR(IF(BR3*AA3=0,"",BR3*AA3),"")</f>
        <v/>
      </c>
      <c r="BT3" s="34" t="n"/>
      <c r="BU3" s="34" t="n"/>
      <c r="BV3" s="34" t="n"/>
      <c r="BW3" s="34" t="n"/>
      <c r="BX3" s="34" t="n"/>
      <c r="BY3" s="34" t="n"/>
      <c r="BZ3" s="34" t="n"/>
      <c r="CA3" s="34" t="n"/>
      <c r="CB3" s="34" t="n"/>
      <c r="CC3" s="34" t="n"/>
      <c r="CD3" s="34" t="n"/>
      <c r="CE3" s="34" t="n"/>
      <c r="CF3" s="34" t="n"/>
      <c r="CG3" s="34" t="n"/>
      <c r="CH3" s="34" t="n"/>
      <c r="CI3" s="34" t="n"/>
      <c r="CJ3" s="34" t="n"/>
      <c r="CK3" s="34" t="n"/>
      <c r="CL3" s="34" t="n"/>
      <c r="CM3" s="34" t="n"/>
      <c r="CN3" s="34" t="n"/>
      <c r="CO3" s="34" t="n"/>
      <c r="CP3" s="34" t="n"/>
      <c r="CQ3" s="34" t="n"/>
      <c r="CR3" s="34" t="n"/>
      <c r="CS3" s="34" t="n"/>
      <c r="CT3" s="34" t="n"/>
      <c r="CU3" s="34" t="n"/>
      <c r="CV3" s="34" t="n"/>
      <c r="CW3" s="34" t="n"/>
      <c r="CX3" s="34" t="n"/>
      <c r="CY3" s="34" t="n"/>
      <c r="CZ3" s="34" t="n"/>
      <c r="DA3" s="34" t="n"/>
      <c r="DB3" s="34" t="n"/>
      <c r="DC3" s="34" t="n"/>
      <c r="DD3" s="34" t="n"/>
      <c r="DE3" s="34" t="n"/>
      <c r="DF3" s="34" t="n"/>
      <c r="DG3" s="34" t="n"/>
      <c r="DH3" s="34" t="n"/>
      <c r="DI3" s="34" t="n"/>
      <c r="DJ3" s="34" t="n"/>
      <c r="DK3" s="34" t="n"/>
      <c r="DL3" s="34" t="n"/>
      <c r="DM3" s="34" t="n"/>
      <c r="DN3" s="34" t="n"/>
      <c r="DO3" s="34" t="n"/>
      <c r="DP3" s="34" t="n"/>
      <c r="DQ3" s="34" t="n"/>
    </row>
    <row r="4" ht="16" customHeight="1">
      <c r="A4" s="38" t="n"/>
      <c r="B4" s="38" t="n"/>
      <c r="C4" s="38" t="n"/>
      <c r="D4" s="38" t="n"/>
      <c r="E4" s="38" t="n"/>
      <c r="F4" s="38" t="n"/>
      <c r="G4" s="38" t="n"/>
      <c r="H4" s="34" t="n"/>
      <c r="I4" s="34" t="n"/>
      <c r="J4" s="34" t="n"/>
      <c r="K4" s="34" t="n"/>
      <c r="L4" s="34" t="n"/>
      <c r="M4" s="34" t="n"/>
      <c r="N4" s="34" t="n"/>
      <c r="O4" s="34">
        <f>IFERROR(INDEX('_courses_lookup'!$C:$C,MATCH(K4&amp;L4,'_courses_lookup'!$E:$E,0)),"")</f>
        <v/>
      </c>
      <c r="P4" s="34">
        <f>IFERROR(INDEX('_courses_lookup'!$D:$D,MATCH(K4&amp;L4,'_courses_lookup'!$E:$E,0)),"")</f>
        <v/>
      </c>
      <c r="Q4" s="34" t="n"/>
      <c r="R4" s="34" t="n"/>
      <c r="S4" s="34" t="n"/>
      <c r="T4" s="34" t="n"/>
      <c r="U4" s="34" t="n"/>
      <c r="V4" s="34" t="n"/>
      <c r="W4" s="34" t="n"/>
      <c r="X4" s="34" t="n"/>
      <c r="Y4" s="30" t="n"/>
      <c r="Z4" s="34" t="n"/>
      <c r="AA4" s="34" t="n"/>
      <c r="AB4" s="34" t="n"/>
      <c r="AC4" s="34" t="n"/>
      <c r="AD4" s="34" t="n"/>
      <c r="AE4" s="34" t="n"/>
      <c r="AF4" s="34" t="n"/>
      <c r="AG4" s="34">
        <f>IF(AND(AE4&lt;&gt;"",AF4&lt;&gt;""),ROUNDUP((AF4-AE4)/7,0),"")</f>
        <v/>
      </c>
      <c r="AH4" s="34" t="n"/>
      <c r="AI4" s="34">
        <f>IFERROR(IF(AG4*AH4=0,"",AG4*AH4),"")</f>
        <v/>
      </c>
      <c r="AJ4" s="34" t="n"/>
      <c r="AK4" s="34" t="n"/>
      <c r="AL4" s="34">
        <f>IF(AND(AJ4&lt;&gt;"",AK4&lt;&gt;""),ROUNDUP((AK4-AJ4)/7,0),"")</f>
        <v/>
      </c>
      <c r="AM4" s="34" t="n"/>
      <c r="AN4" s="34">
        <f>IFERROR(IF(AL4*AM4=0,"",AL4*AM4),"")</f>
        <v/>
      </c>
      <c r="AO4" s="34" t="n"/>
      <c r="AP4" s="34" t="n"/>
      <c r="AQ4" s="34">
        <f>IF(AND(AO4&lt;&gt;"",AP4&lt;&gt;""),ROUNDUP((AP4-AO4)/7,0),"")</f>
        <v/>
      </c>
      <c r="AR4" s="34">
        <f>IFERROR(IF((AU4-(AI4+AN4))/AQ4=0,"",ROUNDUP((AU4-(AI4+AN4))/AQ4,0)),"")</f>
        <v/>
      </c>
      <c r="AS4" s="34">
        <f>IFERROR(IF((AU4-(AI4+AN4))=0,"",(AU4-(AI4+AN4))),"")</f>
        <v/>
      </c>
      <c r="AT4" s="34">
        <f>IF(AND(AG4="",AQ4=""),AL4,IF(SUM(AG4,AL4,AQ4)=0,"",SUM(AG4,AL4,AQ4)))</f>
        <v/>
      </c>
      <c r="AU4" s="34" t="n"/>
      <c r="AV4" s="34" t="n"/>
      <c r="AW4" s="34" t="n"/>
      <c r="AX4" s="34" t="n"/>
      <c r="AY4" s="34" t="n"/>
      <c r="AZ4" s="30" t="n"/>
      <c r="BA4" s="34" t="n"/>
      <c r="BB4" s="34" t="n"/>
      <c r="BC4" s="34" t="n"/>
      <c r="BD4" s="34" t="n"/>
      <c r="BE4" s="34" t="n"/>
      <c r="BF4" s="34" t="n"/>
      <c r="BG4" s="34">
        <f>IF(AD4="","",YEAR(AD4)+IF(MONTH(AD4)&gt;=5,1,0))</f>
        <v/>
      </c>
      <c r="BH4" s="34">
        <f>IF(AD4="","",IF(AND(MONTH(AD4)=8,DAY(AD4)&gt;=15),"Fall",IF(MONTH(AD4)&gt;8,"Fall",IF(MONTH(AD4)=5,"Summer",IF(MONTH(AD4)=1,"Spring","")))))</f>
        <v/>
      </c>
      <c r="BI4" s="34" t="n"/>
      <c r="BJ4" s="34" t="n"/>
      <c r="BK4" s="30">
        <f>IF($BJ4="","",IFERROR(INDEX(InstructorMap!$B:$B, MATCH($BJ4, InstructorMap!$A:$A, 0)),""))</f>
        <v/>
      </c>
      <c r="BL4" s="30">
        <f>IFERROR(INDEX('_names_lookup'!$C:$C,MATCH(BK4,'_names_lookup'!$A:$A,0)),"")</f>
        <v/>
      </c>
      <c r="BM4" s="34">
        <f>IFERROR(INDEX('_names_lookup'!$B:$B,MATCH(BK4,'_names_lookup'!$A:$A,0)),"")</f>
        <v/>
      </c>
      <c r="BN4" s="34" t="n"/>
      <c r="BO4" s="34" t="n"/>
      <c r="BP4" s="34" t="n"/>
      <c r="BQ4" s="34" t="n"/>
      <c r="BR4" s="34" t="n"/>
      <c r="BS4" s="34">
        <f>IFERROR(IF(BR4*AA4=0,"",BR4*AA4),"")</f>
        <v/>
      </c>
      <c r="BT4" s="34" t="n"/>
      <c r="BU4" s="34" t="n"/>
      <c r="BV4" s="34" t="n"/>
      <c r="BW4" s="34" t="n"/>
      <c r="BX4" s="34" t="n"/>
      <c r="BY4" s="34" t="n"/>
      <c r="BZ4" s="34" t="n"/>
      <c r="CA4" s="34" t="n"/>
      <c r="CB4" s="34" t="n"/>
      <c r="CC4" s="34" t="n"/>
      <c r="CD4" s="34" t="n"/>
      <c r="CE4" s="34" t="n"/>
      <c r="CF4" s="34" t="n"/>
      <c r="CG4" s="34" t="n"/>
      <c r="CH4" s="34" t="n"/>
      <c r="CI4" s="34" t="n"/>
      <c r="CJ4" s="34" t="n"/>
      <c r="CK4" s="34" t="n"/>
      <c r="CL4" s="34" t="n"/>
      <c r="CM4" s="34" t="n"/>
      <c r="CN4" s="34" t="n"/>
      <c r="CO4" s="34" t="n"/>
      <c r="CP4" s="34" t="n"/>
      <c r="CQ4" s="34" t="n"/>
      <c r="CR4" s="34" t="n"/>
      <c r="CS4" s="34" t="n"/>
      <c r="CT4" s="34" t="n"/>
      <c r="CU4" s="34" t="n"/>
      <c r="CV4" s="34" t="n"/>
      <c r="CW4" s="34" t="n"/>
      <c r="CX4" s="34" t="n"/>
      <c r="CY4" s="34" t="n"/>
      <c r="CZ4" s="34" t="n"/>
      <c r="DA4" s="34" t="n"/>
      <c r="DB4" s="34" t="n"/>
      <c r="DC4" s="34" t="n"/>
      <c r="DD4" s="34" t="n"/>
      <c r="DE4" s="34" t="n"/>
      <c r="DF4" s="34" t="n"/>
      <c r="DG4" s="34" t="n"/>
      <c r="DH4" s="34" t="n"/>
      <c r="DI4" s="34" t="n"/>
      <c r="DJ4" s="34" t="n"/>
      <c r="DK4" s="34" t="n"/>
      <c r="DL4" s="34" t="n"/>
      <c r="DM4" s="34" t="n"/>
      <c r="DN4" s="34" t="n"/>
      <c r="DO4" s="34" t="n"/>
      <c r="DP4" s="34" t="n"/>
      <c r="DQ4" s="34" t="n"/>
    </row>
    <row r="5" ht="16" customHeight="1">
      <c r="A5" s="38" t="n"/>
      <c r="B5" s="38" t="n"/>
      <c r="C5" s="38" t="n"/>
      <c r="D5" s="38" t="n"/>
      <c r="E5" s="38" t="n"/>
      <c r="F5" s="38" t="n"/>
      <c r="G5" s="38" t="n"/>
      <c r="H5" s="34" t="n"/>
      <c r="I5" s="34" t="n"/>
      <c r="J5" s="34" t="n"/>
      <c r="K5" s="34" t="n"/>
      <c r="L5" s="34" t="n"/>
      <c r="M5" s="34" t="n"/>
      <c r="N5" s="34" t="n"/>
      <c r="O5" s="34">
        <f>IFERROR(INDEX('_courses_lookup'!$C:$C,MATCH(K5&amp;L5,'_courses_lookup'!$E:$E,0)),"")</f>
        <v/>
      </c>
      <c r="P5" s="34">
        <f>IFERROR(INDEX('_courses_lookup'!$D:$D,MATCH(K5&amp;L5,'_courses_lookup'!$E:$E,0)),"")</f>
        <v/>
      </c>
      <c r="Q5" s="34" t="n"/>
      <c r="R5" s="34" t="n"/>
      <c r="S5" s="34" t="n"/>
      <c r="T5" s="34" t="n"/>
      <c r="U5" s="34" t="n"/>
      <c r="V5" s="34" t="n"/>
      <c r="W5" s="34" t="n"/>
      <c r="X5" s="34" t="n"/>
      <c r="Y5" s="30" t="n"/>
      <c r="Z5" s="34" t="n"/>
      <c r="AA5" s="34" t="n"/>
      <c r="AB5" s="34" t="n"/>
      <c r="AC5" s="34" t="n"/>
      <c r="AD5" s="34" t="n"/>
      <c r="AE5" s="34" t="n"/>
      <c r="AF5" s="34" t="n"/>
      <c r="AG5" s="34">
        <f>IF(AND(AE5&lt;&gt;"",AF5&lt;&gt;""),ROUNDUP((AF5-AE5)/7,0),"")</f>
        <v/>
      </c>
      <c r="AH5" s="34" t="n"/>
      <c r="AI5" s="34">
        <f>IFERROR(IF(AG5*AH5=0,"",AG5*AH5),"")</f>
        <v/>
      </c>
      <c r="AJ5" s="34" t="n"/>
      <c r="AK5" s="34" t="n"/>
      <c r="AL5" s="34">
        <f>IF(AND(AJ5&lt;&gt;"",AK5&lt;&gt;""),ROUNDUP((AK5-AJ5)/7,0),"")</f>
        <v/>
      </c>
      <c r="AM5" s="34" t="n"/>
      <c r="AN5" s="34">
        <f>IFERROR(IF(AL5*AM5=0,"",AL5*AM5),"")</f>
        <v/>
      </c>
      <c r="AO5" s="34" t="n"/>
      <c r="AP5" s="34" t="n"/>
      <c r="AQ5" s="34">
        <f>IF(AND(AO5&lt;&gt;"",AP5&lt;&gt;""),ROUNDUP((AP5-AO5)/7,0),"")</f>
        <v/>
      </c>
      <c r="AR5" s="34">
        <f>IFERROR(IF((AU5-(AI5+AN5))/AQ5=0,"",ROUNDUP((AU5-(AI5+AN5))/AQ5,0)),"")</f>
        <v/>
      </c>
      <c r="AS5" s="34">
        <f>IFERROR(IF((AU5-(AI5+AN5))=0,"",(AU5-(AI5+AN5))),"")</f>
        <v/>
      </c>
      <c r="AT5" s="34">
        <f>IF(AND(AG5="",AQ5=""),AL5,IF(SUM(AG5,AL5,AQ5)=0,"",SUM(AG5,AL5,AQ5)))</f>
        <v/>
      </c>
      <c r="AU5" s="34" t="n"/>
      <c r="AV5" s="34" t="n"/>
      <c r="AW5" s="34" t="n"/>
      <c r="AX5" s="34" t="n"/>
      <c r="AY5" s="34" t="n"/>
      <c r="AZ5" s="30" t="n"/>
      <c r="BA5" s="34" t="n"/>
      <c r="BB5" s="34" t="n"/>
      <c r="BC5" s="34" t="n"/>
      <c r="BD5" s="34" t="n"/>
      <c r="BE5" s="34" t="n"/>
      <c r="BF5" s="34" t="n"/>
      <c r="BG5" s="34">
        <f>IF(AD5="","",YEAR(AD5)+IF(MONTH(AD5)&gt;=5,1,0))</f>
        <v/>
      </c>
      <c r="BH5" s="34">
        <f>IF(AD5="","",IF(AND(MONTH(AD5)=8,DAY(AD5)&gt;=15),"Fall",IF(MONTH(AD5)&gt;8,"Fall",IF(MONTH(AD5)=5,"Summer",IF(MONTH(AD5)=1,"Spring","")))))</f>
        <v/>
      </c>
      <c r="BI5" s="34" t="n"/>
      <c r="BJ5" s="34" t="n"/>
      <c r="BK5" s="30">
        <f>IF($BJ5="","",IFERROR(INDEX(InstructorMap!$B:$B, MATCH($BJ5, InstructorMap!$A:$A, 0)),""))</f>
        <v/>
      </c>
      <c r="BL5" s="30">
        <f>IFERROR(INDEX('_names_lookup'!$C:$C,MATCH(BK5,'_names_lookup'!$A:$A,0)),"")</f>
        <v/>
      </c>
      <c r="BM5" s="34">
        <f>IFERROR(INDEX('_names_lookup'!$B:$B,MATCH(BK5,'_names_lookup'!$A:$A,0)),"")</f>
        <v/>
      </c>
      <c r="BN5" s="34" t="n"/>
      <c r="BO5" s="34" t="n"/>
      <c r="BP5" s="34" t="n"/>
      <c r="BQ5" s="34" t="n"/>
      <c r="BR5" s="34" t="n"/>
      <c r="BS5" s="34">
        <f>IFERROR(IF(BR5*AA5=0,"",BR5*AA5),"")</f>
        <v/>
      </c>
      <c r="BT5" s="34" t="n"/>
      <c r="BU5" s="34" t="n"/>
      <c r="BV5" s="34" t="n"/>
      <c r="BW5" s="34" t="n"/>
      <c r="BX5" s="34" t="n"/>
      <c r="BY5" s="34" t="n"/>
      <c r="BZ5" s="34" t="n"/>
      <c r="CA5" s="34" t="n"/>
      <c r="CB5" s="34" t="n"/>
      <c r="CC5" s="34" t="n"/>
      <c r="CD5" s="34" t="n"/>
      <c r="CE5" s="34" t="n"/>
      <c r="CF5" s="34" t="n"/>
      <c r="CG5" s="34" t="n"/>
      <c r="CH5" s="34" t="n"/>
      <c r="CI5" s="34" t="n"/>
      <c r="CJ5" s="34" t="n"/>
      <c r="CK5" s="34" t="n"/>
      <c r="CL5" s="34" t="n"/>
      <c r="CM5" s="34" t="n"/>
      <c r="CN5" s="34" t="n"/>
      <c r="CO5" s="34" t="n"/>
      <c r="CP5" s="34" t="n"/>
      <c r="CQ5" s="34" t="n"/>
      <c r="CR5" s="34" t="n"/>
      <c r="CS5" s="34" t="n"/>
      <c r="CT5" s="34" t="n"/>
      <c r="CU5" s="34" t="n"/>
      <c r="CV5" s="34" t="n"/>
      <c r="CW5" s="34" t="n"/>
      <c r="CX5" s="34" t="n"/>
      <c r="CY5" s="34" t="n"/>
      <c r="CZ5" s="34" t="n"/>
      <c r="DA5" s="34" t="n"/>
      <c r="DB5" s="34" t="n"/>
      <c r="DC5" s="34" t="n"/>
      <c r="DD5" s="34" t="n"/>
      <c r="DE5" s="34" t="n"/>
      <c r="DF5" s="34" t="n"/>
      <c r="DG5" s="34" t="n"/>
      <c r="DH5" s="34" t="n"/>
      <c r="DI5" s="34" t="n"/>
      <c r="DJ5" s="34" t="n"/>
      <c r="DK5" s="34" t="n"/>
      <c r="DL5" s="34" t="n"/>
      <c r="DM5" s="34" t="n"/>
      <c r="DN5" s="34" t="n"/>
      <c r="DO5" s="34" t="n"/>
      <c r="DP5" s="34" t="n"/>
      <c r="DQ5" s="34" t="n"/>
    </row>
    <row r="6" ht="16" customHeight="1">
      <c r="A6" s="38" t="n"/>
      <c r="B6" s="38" t="n"/>
      <c r="C6" s="38" t="n"/>
      <c r="D6" s="38" t="n"/>
      <c r="E6" s="38" t="n"/>
      <c r="F6" s="38" t="n"/>
      <c r="G6" s="38" t="n"/>
      <c r="H6" s="34" t="n"/>
      <c r="I6" s="34" t="n"/>
      <c r="J6" s="34" t="n"/>
      <c r="K6" s="34" t="n"/>
      <c r="L6" s="34" t="n"/>
      <c r="M6" s="34" t="n"/>
      <c r="N6" s="34" t="n"/>
      <c r="O6" s="34">
        <f>IFERROR(INDEX('_courses_lookup'!$C:$C,MATCH(K6&amp;L6,'_courses_lookup'!$E:$E,0)),"")</f>
        <v/>
      </c>
      <c r="P6" s="34">
        <f>IFERROR(INDEX('_courses_lookup'!$D:$D,MATCH(K6&amp;L6,'_courses_lookup'!$E:$E,0)),"")</f>
        <v/>
      </c>
      <c r="Q6" s="34" t="n"/>
      <c r="R6" s="34" t="n"/>
      <c r="S6" s="34" t="n"/>
      <c r="T6" s="34" t="n"/>
      <c r="U6" s="34" t="n"/>
      <c r="V6" s="34" t="n"/>
      <c r="W6" s="34" t="n"/>
      <c r="X6" s="34" t="n"/>
      <c r="Y6" s="30" t="n"/>
      <c r="Z6" s="34" t="n"/>
      <c r="AA6" s="34" t="n"/>
      <c r="AB6" s="34" t="n"/>
      <c r="AC6" s="34" t="n"/>
      <c r="AD6" s="34" t="n"/>
      <c r="AE6" s="34" t="n"/>
      <c r="AF6" s="34" t="n"/>
      <c r="AG6" s="34">
        <f>IF(AND(AE6&lt;&gt;"",AF6&lt;&gt;""),ROUNDUP((AF6-AE6)/7,0),"")</f>
        <v/>
      </c>
      <c r="AH6" s="34" t="n"/>
      <c r="AI6" s="34">
        <f>IFERROR(IF(AG6*AH6=0,"",AG6*AH6),"")</f>
        <v/>
      </c>
      <c r="AJ6" s="34" t="n"/>
      <c r="AK6" s="34" t="n"/>
      <c r="AL6" s="34">
        <f>IF(AND(AJ6&lt;&gt;"",AK6&lt;&gt;""),ROUNDUP((AK6-AJ6)/7,0),"")</f>
        <v/>
      </c>
      <c r="AM6" s="34" t="n"/>
      <c r="AN6" s="34">
        <f>IFERROR(IF(AL6*AM6=0,"",AL6*AM6),"")</f>
        <v/>
      </c>
      <c r="AO6" s="34" t="n"/>
      <c r="AP6" s="34" t="n"/>
      <c r="AQ6" s="34">
        <f>IF(AND(AO6&lt;&gt;"",AP6&lt;&gt;""),ROUNDUP((AP6-AO6)/7,0),"")</f>
        <v/>
      </c>
      <c r="AR6" s="34">
        <f>IFERROR(IF((AU6-(AI6+AN6))/AQ6=0,"",ROUNDUP((AU6-(AI6+AN6))/AQ6,0)),"")</f>
        <v/>
      </c>
      <c r="AS6" s="34">
        <f>IFERROR(IF((AU6-(AI6+AN6))=0,"",(AU6-(AI6+AN6))),"")</f>
        <v/>
      </c>
      <c r="AT6" s="34">
        <f>IF(AND(AG6="",AQ6=""),AL6,IF(SUM(AG6,AL6,AQ6)=0,"",SUM(AG6,AL6,AQ6)))</f>
        <v/>
      </c>
      <c r="AU6" s="34" t="n"/>
      <c r="AV6" s="34" t="n"/>
      <c r="AW6" s="34" t="n"/>
      <c r="AX6" s="34" t="n"/>
      <c r="AY6" s="34" t="n"/>
      <c r="AZ6" s="30" t="n"/>
      <c r="BA6" s="34" t="n"/>
      <c r="BB6" s="34" t="n"/>
      <c r="BC6" s="34" t="n"/>
      <c r="BD6" s="34" t="n"/>
      <c r="BE6" s="34" t="n"/>
      <c r="BF6" s="34" t="n"/>
      <c r="BG6" s="34">
        <f>IF(AD6="","",YEAR(AD6)+IF(MONTH(AD6)&gt;=5,1,0))</f>
        <v/>
      </c>
      <c r="BH6" s="34">
        <f>IF(AD6="","",IF(AND(MONTH(AD6)=8,DAY(AD6)&gt;=15),"Fall",IF(MONTH(AD6)&gt;8,"Fall",IF(MONTH(AD6)=5,"Summer",IF(MONTH(AD6)=1,"Spring","")))))</f>
        <v/>
      </c>
      <c r="BI6" s="34" t="n"/>
      <c r="BJ6" s="34" t="n"/>
      <c r="BK6" s="30">
        <f>IF($BJ6="","",IFERROR(INDEX(InstructorMap!$B:$B, MATCH($BJ6, InstructorMap!$A:$A, 0)),""))</f>
        <v/>
      </c>
      <c r="BL6" s="30">
        <f>IFERROR(INDEX('_names_lookup'!$C:$C,MATCH(BK6,'_names_lookup'!$A:$A,0)),"")</f>
        <v/>
      </c>
      <c r="BM6" s="34">
        <f>IFERROR(INDEX('_names_lookup'!$B:$B,MATCH(BK6,'_names_lookup'!$A:$A,0)),"")</f>
        <v/>
      </c>
      <c r="BN6" s="34" t="n"/>
      <c r="BO6" s="34" t="n"/>
      <c r="BP6" s="34" t="n"/>
      <c r="BQ6" s="34" t="n"/>
      <c r="BR6" s="34" t="n"/>
      <c r="BS6" s="34">
        <f>IFERROR(IF(BR6*AA6=0,"",BR6*AA6),"")</f>
        <v/>
      </c>
      <c r="BT6" s="34" t="n"/>
      <c r="BU6" s="34" t="n"/>
      <c r="BV6" s="34" t="n"/>
      <c r="BW6" s="34" t="n"/>
      <c r="BX6" s="34" t="n"/>
      <c r="BY6" s="34" t="n"/>
      <c r="BZ6" s="34" t="n"/>
      <c r="CA6" s="34" t="n"/>
      <c r="CB6" s="34" t="n"/>
      <c r="CC6" s="34" t="n"/>
      <c r="CD6" s="34" t="n"/>
      <c r="CE6" s="34" t="n"/>
      <c r="CF6" s="34" t="n"/>
      <c r="CG6" s="34" t="n"/>
      <c r="CH6" s="34" t="n"/>
      <c r="CI6" s="34" t="n"/>
      <c r="CJ6" s="34" t="n"/>
      <c r="CK6" s="34" t="n"/>
      <c r="CL6" s="34" t="n"/>
      <c r="CM6" s="34" t="n"/>
      <c r="CN6" s="34" t="n"/>
      <c r="CO6" s="34" t="n"/>
      <c r="CP6" s="34" t="n"/>
      <c r="CQ6" s="34" t="n"/>
      <c r="CR6" s="34" t="n"/>
      <c r="CS6" s="34" t="n"/>
      <c r="CT6" s="34" t="n"/>
      <c r="CU6" s="34" t="n"/>
      <c r="CV6" s="34" t="n"/>
      <c r="CW6" s="34" t="n"/>
      <c r="CX6" s="34" t="n"/>
      <c r="CY6" s="34" t="n"/>
      <c r="CZ6" s="34" t="n"/>
      <c r="DA6" s="34" t="n"/>
      <c r="DB6" s="34" t="n"/>
      <c r="DC6" s="34" t="n"/>
      <c r="DD6" s="34" t="n"/>
      <c r="DE6" s="34" t="n"/>
      <c r="DF6" s="34" t="n"/>
      <c r="DG6" s="34" t="n"/>
      <c r="DH6" s="34" t="n"/>
      <c r="DI6" s="34" t="n"/>
      <c r="DJ6" s="34" t="n"/>
      <c r="DK6" s="34" t="n"/>
      <c r="DL6" s="34" t="n"/>
      <c r="DM6" s="34" t="n"/>
      <c r="DN6" s="34" t="n"/>
      <c r="DO6" s="34" t="n"/>
      <c r="DP6" s="34" t="n"/>
      <c r="DQ6" s="34" t="n"/>
    </row>
    <row r="7" ht="16" customHeight="1">
      <c r="A7" s="38" t="n"/>
      <c r="B7" s="38" t="n"/>
      <c r="C7" s="38" t="n"/>
      <c r="D7" s="38" t="n"/>
      <c r="E7" s="38" t="n"/>
      <c r="F7" s="38" t="n"/>
      <c r="G7" s="38" t="n"/>
      <c r="H7" s="34" t="n"/>
      <c r="I7" s="34" t="n"/>
      <c r="J7" s="34" t="n"/>
      <c r="K7" s="34" t="n"/>
      <c r="L7" s="34" t="n"/>
      <c r="M7" s="34" t="n"/>
      <c r="N7" s="34" t="n"/>
      <c r="O7" s="34">
        <f>IFERROR(INDEX('_courses_lookup'!$C:$C,MATCH(K7&amp;L7,'_courses_lookup'!$E:$E,0)),"")</f>
        <v/>
      </c>
      <c r="P7" s="34">
        <f>IFERROR(INDEX('_courses_lookup'!$D:$D,MATCH(K7&amp;L7,'_courses_lookup'!$E:$E,0)),"")</f>
        <v/>
      </c>
      <c r="Q7" s="34" t="n"/>
      <c r="R7" s="34" t="n"/>
      <c r="S7" s="34" t="n"/>
      <c r="T7" s="34" t="n"/>
      <c r="U7" s="34" t="n"/>
      <c r="V7" s="34" t="n"/>
      <c r="W7" s="34" t="n"/>
      <c r="X7" s="34" t="n"/>
      <c r="Y7" s="30" t="n"/>
      <c r="Z7" s="34" t="n"/>
      <c r="AA7" s="34" t="n"/>
      <c r="AB7" s="34" t="n"/>
      <c r="AC7" s="34" t="n"/>
      <c r="AD7" s="34" t="n"/>
      <c r="AE7" s="34" t="n"/>
      <c r="AF7" s="34" t="n"/>
      <c r="AG7" s="34">
        <f>IF(AND(AE7&lt;&gt;"",AF7&lt;&gt;""),ROUNDUP((AF7-AE7)/7,0),"")</f>
        <v/>
      </c>
      <c r="AH7" s="34" t="n"/>
      <c r="AI7" s="34">
        <f>IFERROR(IF(AG7*AH7=0,"",AG7*AH7),"")</f>
        <v/>
      </c>
      <c r="AJ7" s="34" t="n"/>
      <c r="AK7" s="34" t="n"/>
      <c r="AL7" s="34">
        <f>IF(AND(AJ7&lt;&gt;"",AK7&lt;&gt;""),ROUNDUP((AK7-AJ7)/7,0),"")</f>
        <v/>
      </c>
      <c r="AM7" s="34" t="n"/>
      <c r="AN7" s="34">
        <f>IFERROR(IF(AL7*AM7=0,"",AL7*AM7),"")</f>
        <v/>
      </c>
      <c r="AO7" s="34" t="n"/>
      <c r="AP7" s="34" t="n"/>
      <c r="AQ7" s="34">
        <f>IF(AND(AO7&lt;&gt;"",AP7&lt;&gt;""),ROUNDUP((AP7-AO7)/7,0),"")</f>
        <v/>
      </c>
      <c r="AR7" s="34">
        <f>IFERROR(IF((AU7-(AI7+AN7))/AQ7=0,"",ROUNDUP((AU7-(AI7+AN7))/AQ7,0)),"")</f>
        <v/>
      </c>
      <c r="AS7" s="34">
        <f>IFERROR(IF((AU7-(AI7+AN7))=0,"",(AU7-(AI7+AN7))),"")</f>
        <v/>
      </c>
      <c r="AT7" s="34">
        <f>IF(AND(AG7="",AQ7=""),AL7,IF(SUM(AG7,AL7,AQ7)=0,"",SUM(AG7,AL7,AQ7)))</f>
        <v/>
      </c>
      <c r="AU7" s="34" t="n"/>
      <c r="AV7" s="34" t="n"/>
      <c r="AW7" s="34" t="n"/>
      <c r="AX7" s="34" t="n"/>
      <c r="AY7" s="34" t="n"/>
      <c r="AZ7" s="30" t="n"/>
      <c r="BA7" s="34" t="n"/>
      <c r="BB7" s="34" t="n"/>
      <c r="BC7" s="34" t="n"/>
      <c r="BD7" s="34" t="n"/>
      <c r="BE7" s="34" t="n"/>
      <c r="BF7" s="34" t="n"/>
      <c r="BG7" s="34">
        <f>IF(AD7="","",YEAR(AD7)+IF(MONTH(AD7)&gt;=5,1,0))</f>
        <v/>
      </c>
      <c r="BH7" s="34">
        <f>IF(AD7="","",IF(AND(MONTH(AD7)=8,DAY(AD7)&gt;=15),"Fall",IF(MONTH(AD7)&gt;8,"Fall",IF(MONTH(AD7)=5,"Summer",IF(MONTH(AD7)=1,"Spring","")))))</f>
        <v/>
      </c>
      <c r="BI7" s="34" t="n"/>
      <c r="BJ7" s="34" t="n"/>
      <c r="BK7" s="30">
        <f>IF($BJ7="","",IFERROR(INDEX(InstructorMap!$B:$B, MATCH($BJ7, InstructorMap!$A:$A, 0)),""))</f>
        <v/>
      </c>
      <c r="BL7" s="30">
        <f>IFERROR(INDEX('_names_lookup'!$C:$C,MATCH(BK7,'_names_lookup'!$A:$A,0)),"")</f>
        <v/>
      </c>
      <c r="BM7" s="34">
        <f>IFERROR(INDEX('_names_lookup'!$B:$B,MATCH(BK7,'_names_lookup'!$A:$A,0)),"")</f>
        <v/>
      </c>
      <c r="BN7" s="34" t="n"/>
      <c r="BO7" s="34" t="n"/>
      <c r="BP7" s="34" t="n"/>
      <c r="BQ7" s="34" t="n"/>
      <c r="BR7" s="34" t="n"/>
      <c r="BS7" s="34">
        <f>IFERROR(IF(BR7*AA7=0,"",BR7*AA7),"")</f>
        <v/>
      </c>
      <c r="BT7" s="34" t="n"/>
      <c r="BU7" s="34" t="n"/>
      <c r="BV7" s="34" t="n"/>
      <c r="BW7" s="34" t="n"/>
      <c r="BX7" s="34" t="n"/>
      <c r="BY7" s="34" t="n"/>
      <c r="BZ7" s="34" t="n"/>
      <c r="CA7" s="34" t="n"/>
      <c r="CB7" s="34" t="n"/>
      <c r="CC7" s="34" t="n"/>
      <c r="CD7" s="34" t="n"/>
      <c r="CE7" s="34" t="n"/>
      <c r="CF7" s="34" t="n"/>
      <c r="CG7" s="34" t="n"/>
      <c r="CH7" s="34" t="n"/>
      <c r="CI7" s="34" t="n"/>
      <c r="CJ7" s="34" t="n"/>
      <c r="CK7" s="34" t="n"/>
      <c r="CL7" s="34" t="n"/>
      <c r="CM7" s="34" t="n"/>
      <c r="CN7" s="34" t="n"/>
      <c r="CO7" s="34" t="n"/>
      <c r="CP7" s="34" t="n"/>
      <c r="CQ7" s="34" t="n"/>
      <c r="CR7" s="34" t="n"/>
      <c r="CS7" s="34" t="n"/>
      <c r="CT7" s="34" t="n"/>
      <c r="CU7" s="34" t="n"/>
      <c r="CV7" s="34" t="n"/>
      <c r="CW7" s="34" t="n"/>
      <c r="CX7" s="34" t="n"/>
      <c r="CY7" s="34" t="n"/>
      <c r="CZ7" s="34" t="n"/>
      <c r="DA7" s="34" t="n"/>
      <c r="DB7" s="34" t="n"/>
      <c r="DC7" s="34" t="n"/>
      <c r="DD7" s="34" t="n"/>
      <c r="DE7" s="34" t="n"/>
      <c r="DF7" s="34" t="n"/>
      <c r="DG7" s="34" t="n"/>
      <c r="DH7" s="34" t="n"/>
      <c r="DI7" s="34" t="n"/>
      <c r="DJ7" s="34" t="n"/>
      <c r="DK7" s="34" t="n"/>
      <c r="DL7" s="34" t="n"/>
      <c r="DM7" s="34" t="n"/>
      <c r="DN7" s="34" t="n"/>
      <c r="DO7" s="34" t="n"/>
      <c r="DP7" s="34" t="n"/>
      <c r="DQ7" s="34" t="n"/>
    </row>
    <row r="8">
      <c r="O8">
        <f>IFERROR(INDEX('_courses_lookup'!$C:$C,MATCH(K8&amp;L8,'_courses_lookup'!$E:$E,0)),"")</f>
        <v/>
      </c>
      <c r="P8">
        <f>IFERROR(INDEX('_courses_lookup'!$D:$D,MATCH(K8&amp;L8,'_courses_lookup'!$E:$E,0)),"")</f>
        <v/>
      </c>
      <c r="AG8">
        <f>IF(AND(AE8&lt;&gt;"",AF8&lt;&gt;""),ROUNDUP((AF8-AE8)/7,0),"")</f>
        <v/>
      </c>
      <c r="AI8">
        <f>IFERROR(IF(AG8*AH8=0,"",AG8*AH8),"")</f>
        <v/>
      </c>
      <c r="AL8">
        <f>IF(AND(AJ8&lt;&gt;"",AK8&lt;&gt;""),ROUNDUP((AK8-AJ8)/7,0),"")</f>
        <v/>
      </c>
      <c r="AN8">
        <f>IFERROR(IF(AL8*AM8=0,"",AL8*AM8),"")</f>
        <v/>
      </c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L8">
        <f>IFERROR(INDEX('_names_lookup'!$C:$C,MATCH(BK8,'_names_lookup'!$A:$A,0)),"")</f>
        <v/>
      </c>
      <c r="BM8">
        <f>IFERROR(INDEX('_names_lookup'!$B:$B,MATCH(BK8,'_names_lookup'!$A:$A,0)),"")</f>
        <v/>
      </c>
      <c r="BS8">
        <f>IFERROR(IF(BR8*AA8=0,"",BR8*AA8),"")</f>
        <v/>
      </c>
    </row>
    <row r="9">
      <c r="O9">
        <f>IFERROR(INDEX('_courses_lookup'!$C:$C,MATCH(K9&amp;L9,'_courses_lookup'!$E:$E,0)),"")</f>
        <v/>
      </c>
      <c r="P9">
        <f>IFERROR(INDEX('_courses_lookup'!$D:$D,MATCH(K9&amp;L9,'_courses_lookup'!$E:$E,0)),"")</f>
        <v/>
      </c>
      <c r="AG9">
        <f>IF(AND(AE9&lt;&gt;"",AF9&lt;&gt;""),ROUNDUP((AF9-AE9)/7,0),"")</f>
        <v/>
      </c>
      <c r="AI9">
        <f>IFERROR(IF(AG9*AH9=0,"",AG9*AH9),"")</f>
        <v/>
      </c>
      <c r="AL9">
        <f>IF(AND(AJ9&lt;&gt;"",AK9&lt;&gt;""),ROUNDUP((AK9-AJ9)/7,0),"")</f>
        <v/>
      </c>
      <c r="AN9">
        <f>IFERROR(IF(AL9*AM9=0,"",AL9*AM9),"")</f>
        <v/>
      </c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L9">
        <f>IFERROR(INDEX('_names_lookup'!$C:$C,MATCH(BK9,'_names_lookup'!$A:$A,0)),"")</f>
        <v/>
      </c>
      <c r="BM9">
        <f>IFERROR(INDEX('_names_lookup'!$B:$B,MATCH(BK9,'_names_lookup'!$A:$A,0)),"")</f>
        <v/>
      </c>
      <c r="BS9">
        <f>IFERROR(IF(BR9*AA9=0,"",BR9*AA9),"")</f>
        <v/>
      </c>
    </row>
    <row r="10">
      <c r="O10">
        <f>IFERROR(INDEX('_courses_lookup'!$C:$C,MATCH(K10&amp;L10,'_courses_lookup'!$E:$E,0)),"")</f>
        <v/>
      </c>
      <c r="P10">
        <f>IFERROR(INDEX('_courses_lookup'!$D:$D,MATCH(K10&amp;L10,'_courses_lookup'!$E:$E,0)),"")</f>
        <v/>
      </c>
      <c r="AG10">
        <f>IF(AND(AE10&lt;&gt;"",AF10&lt;&gt;""),ROUNDUP((AF10-AE10)/7,0),"")</f>
        <v/>
      </c>
      <c r="AI10">
        <f>IFERROR(IF(AG10*AH10=0,"",AG10*AH10),"")</f>
        <v/>
      </c>
      <c r="AL10">
        <f>IF(AND(AJ10&lt;&gt;"",AK10&lt;&gt;""),ROUNDUP((AK10-AJ10)/7,0),"")</f>
        <v/>
      </c>
      <c r="AN10">
        <f>IFERROR(IF(AL10*AM10=0,"",AL10*AM10),"")</f>
        <v/>
      </c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L10">
        <f>IFERROR(INDEX('_names_lookup'!$C:$C,MATCH(BK10,'_names_lookup'!$A:$A,0)),"")</f>
        <v/>
      </c>
      <c r="BM10">
        <f>IFERROR(INDEX('_names_lookup'!$B:$B,MATCH(BK10,'_names_lookup'!$A:$A,0)),"")</f>
        <v/>
      </c>
      <c r="BS10">
        <f>IFERROR(IF(BR10*AA10=0,"",BR10*AA10),"")</f>
        <v/>
      </c>
    </row>
    <row r="11">
      <c r="O11">
        <f>IFERROR(INDEX('_courses_lookup'!$C:$C,MATCH(K11&amp;L11,'_courses_lookup'!$E:$E,0)),"")</f>
        <v/>
      </c>
      <c r="P11">
        <f>IFERROR(INDEX('_courses_lookup'!$D:$D,MATCH(K11&amp;L11,'_courses_lookup'!$E:$E,0)),"")</f>
        <v/>
      </c>
      <c r="AG11">
        <f>IF(AND(AE11&lt;&gt;"",AF11&lt;&gt;""),ROUNDUP((AF11-AE11)/7,0),"")</f>
        <v/>
      </c>
      <c r="AI11">
        <f>IFERROR(IF(AG11*AH11=0,"",AG11*AH11),"")</f>
        <v/>
      </c>
      <c r="AL11">
        <f>IF(AND(AJ11&lt;&gt;"",AK11&lt;&gt;""),ROUNDUP((AK11-AJ11)/7,0),"")</f>
        <v/>
      </c>
      <c r="AN11">
        <f>IFERROR(IF(AL11*AM11=0,"",AL11*AM11),"")</f>
        <v/>
      </c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L11">
        <f>IFERROR(INDEX('_names_lookup'!$C:$C,MATCH(BK11,'_names_lookup'!$A:$A,0)),"")</f>
        <v/>
      </c>
      <c r="BM11">
        <f>IFERROR(INDEX('_names_lookup'!$B:$B,MATCH(BK11,'_names_lookup'!$A:$A,0)),"")</f>
        <v/>
      </c>
      <c r="BS11">
        <f>IFERROR(IF(BR11*AA11=0,"",BR11*AA11),"")</f>
        <v/>
      </c>
    </row>
    <row r="12">
      <c r="O12">
        <f>IFERROR(INDEX('_courses_lookup'!$C:$C,MATCH(K12&amp;L12,'_courses_lookup'!$E:$E,0)),"")</f>
        <v/>
      </c>
      <c r="P12">
        <f>IFERROR(INDEX('_courses_lookup'!$D:$D,MATCH(K12&amp;L12,'_courses_lookup'!$E:$E,0)),"")</f>
        <v/>
      </c>
      <c r="AG12">
        <f>IF(AND(AE12&lt;&gt;"",AF12&lt;&gt;""),ROUNDUP((AF12-AE12)/7,0),"")</f>
        <v/>
      </c>
      <c r="AI12">
        <f>IFERROR(IF(AG12*AH12=0,"",AG12*AH12),"")</f>
        <v/>
      </c>
      <c r="AL12">
        <f>IF(AND(AJ12&lt;&gt;"",AK12&lt;&gt;""),ROUNDUP((AK12-AJ12)/7,0),"")</f>
        <v/>
      </c>
      <c r="AN12">
        <f>IFERROR(IF(AL12*AM12=0,"",AL12*AM12),"")</f>
        <v/>
      </c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L12">
        <f>IFERROR(INDEX('_names_lookup'!$C:$C,MATCH(BK12,'_names_lookup'!$A:$A,0)),"")</f>
        <v/>
      </c>
      <c r="BM12">
        <f>IFERROR(INDEX('_names_lookup'!$B:$B,MATCH(BK12,'_names_lookup'!$A:$A,0)),"")</f>
        <v/>
      </c>
      <c r="BS12">
        <f>IFERROR(IF(BR12*AA12=0,"",BR12*AA12),"")</f>
        <v/>
      </c>
    </row>
    <row r="13">
      <c r="O13">
        <f>IFERROR(INDEX('_courses_lookup'!$C:$C,MATCH(K13&amp;L13,'_courses_lookup'!$E:$E,0)),"")</f>
        <v/>
      </c>
      <c r="P13">
        <f>IFERROR(INDEX('_courses_lookup'!$D:$D,MATCH(K13&amp;L13,'_courses_lookup'!$E:$E,0)),"")</f>
        <v/>
      </c>
      <c r="AG13">
        <f>IF(AND(AE13&lt;&gt;"",AF13&lt;&gt;""),ROUNDUP((AF13-AE13)/7,0),"")</f>
        <v/>
      </c>
      <c r="AI13">
        <f>IFERROR(IF(AG13*AH13=0,"",AG13*AH13),"")</f>
        <v/>
      </c>
      <c r="AL13">
        <f>IF(AND(AJ13&lt;&gt;"",AK13&lt;&gt;""),ROUNDUP((AK13-AJ13)/7,0),"")</f>
        <v/>
      </c>
      <c r="AN13">
        <f>IFERROR(IF(AL13*AM13=0,"",AL13*AM13),"")</f>
        <v/>
      </c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L13">
        <f>IFERROR(INDEX('_names_lookup'!$C:$C,MATCH(BK13,'_names_lookup'!$A:$A,0)),"")</f>
        <v/>
      </c>
      <c r="BM13">
        <f>IFERROR(INDEX('_names_lookup'!$B:$B,MATCH(BK13,'_names_lookup'!$A:$A,0)),"")</f>
        <v/>
      </c>
      <c r="BS13">
        <f>IFERROR(IF(BR13*AA13=0,"",BR13*AA13),"")</f>
        <v/>
      </c>
    </row>
    <row r="14">
      <c r="O14">
        <f>IFERROR(INDEX('_courses_lookup'!$C:$C,MATCH(K14&amp;L14,'_courses_lookup'!$E:$E,0)),"")</f>
        <v/>
      </c>
      <c r="P14">
        <f>IFERROR(INDEX('_courses_lookup'!$D:$D,MATCH(K14&amp;L14,'_courses_lookup'!$E:$E,0)),"")</f>
        <v/>
      </c>
      <c r="AG14">
        <f>IF(AND(AE14&lt;&gt;"",AF14&lt;&gt;""),ROUNDUP((AF14-AE14)/7,0),"")</f>
        <v/>
      </c>
      <c r="AI14">
        <f>IFERROR(IF(AG14*AH14=0,"",AG14*AH14),"")</f>
        <v/>
      </c>
      <c r="AL14">
        <f>IF(AND(AJ14&lt;&gt;"",AK14&lt;&gt;""),ROUNDUP((AK14-AJ14)/7,0),"")</f>
        <v/>
      </c>
      <c r="AN14">
        <f>IFERROR(IF(AL14*AM14=0,"",AL14*AM14),"")</f>
        <v/>
      </c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L14">
        <f>IFERROR(INDEX('_names_lookup'!$C:$C,MATCH(BK14,'_names_lookup'!$A:$A,0)),"")</f>
        <v/>
      </c>
      <c r="BM14">
        <f>IFERROR(INDEX('_names_lookup'!$B:$B,MATCH(BK14,'_names_lookup'!$A:$A,0)),"")</f>
        <v/>
      </c>
      <c r="BS14">
        <f>IFERROR(IF(BR14*AA14=0,"",BR14*AA14),"")</f>
        <v/>
      </c>
    </row>
    <row r="15">
      <c r="O15">
        <f>IFERROR(INDEX('_courses_lookup'!$C:$C,MATCH(K15&amp;L15,'_courses_lookup'!$E:$E,0)),"")</f>
        <v/>
      </c>
      <c r="P15">
        <f>IFERROR(INDEX('_courses_lookup'!$D:$D,MATCH(K15&amp;L15,'_courses_lookup'!$E:$E,0)),"")</f>
        <v/>
      </c>
      <c r="AG15">
        <f>IF(AND(AE15&lt;&gt;"",AF15&lt;&gt;""),ROUNDUP((AF15-AE15)/7,0),"")</f>
        <v/>
      </c>
      <c r="AI15">
        <f>IFERROR(IF(AG15*AH15=0,"",AG15*AH15),"")</f>
        <v/>
      </c>
      <c r="AL15">
        <f>IF(AND(AJ15&lt;&gt;"",AK15&lt;&gt;""),ROUNDUP((AK15-AJ15)/7,0),"")</f>
        <v/>
      </c>
      <c r="AN15">
        <f>IFERROR(IF(AL15*AM15=0,"",AL15*AM15),"")</f>
        <v/>
      </c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L15">
        <f>IFERROR(INDEX('_names_lookup'!$C:$C,MATCH(BK15,'_names_lookup'!$A:$A,0)),"")</f>
        <v/>
      </c>
      <c r="BM15">
        <f>IFERROR(INDEX('_names_lookup'!$B:$B,MATCH(BK15,'_names_lookup'!$A:$A,0)),"")</f>
        <v/>
      </c>
      <c r="BS15">
        <f>IFERROR(IF(BR15*AA15=0,"",BR15*AA15),"")</f>
        <v/>
      </c>
    </row>
    <row r="16">
      <c r="O16">
        <f>IFERROR(INDEX('_courses_lookup'!$C:$C,MATCH(K16&amp;L16,'_courses_lookup'!$E:$E,0)),"")</f>
        <v/>
      </c>
      <c r="P16">
        <f>IFERROR(INDEX('_courses_lookup'!$D:$D,MATCH(K16&amp;L16,'_courses_lookup'!$E:$E,0)),"")</f>
        <v/>
      </c>
      <c r="AG16">
        <f>IF(AND(AE16&lt;&gt;"",AF16&lt;&gt;""),ROUNDUP((AF16-AE16)/7,0),"")</f>
        <v/>
      </c>
      <c r="AI16">
        <f>IFERROR(IF(AG16*AH16=0,"",AG16*AH16),"")</f>
        <v/>
      </c>
      <c r="AL16">
        <f>IF(AND(AJ16&lt;&gt;"",AK16&lt;&gt;""),ROUNDUP((AK16-AJ16)/7,0),"")</f>
        <v/>
      </c>
      <c r="AN16">
        <f>IFERROR(IF(AL16*AM16=0,"",AL16*AM16),"")</f>
        <v/>
      </c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L16">
        <f>IFERROR(INDEX('_names_lookup'!$C:$C,MATCH(BK16,'_names_lookup'!$A:$A,0)),"")</f>
        <v/>
      </c>
      <c r="BM16">
        <f>IFERROR(INDEX('_names_lookup'!$B:$B,MATCH(BK16,'_names_lookup'!$A:$A,0)),"")</f>
        <v/>
      </c>
      <c r="BS16">
        <f>IFERROR(IF(BR16*AA16=0,"",BR16*AA16),"")</f>
        <v/>
      </c>
    </row>
    <row r="17">
      <c r="O17">
        <f>IFERROR(INDEX('_courses_lookup'!$C:$C,MATCH(K17&amp;L17,'_courses_lookup'!$E:$E,0)),"")</f>
        <v/>
      </c>
      <c r="P17">
        <f>IFERROR(INDEX('_courses_lookup'!$D:$D,MATCH(K17&amp;L17,'_courses_lookup'!$E:$E,0)),"")</f>
        <v/>
      </c>
      <c r="AG17">
        <f>IF(AND(AE17&lt;&gt;"",AF17&lt;&gt;""),ROUNDUP((AF17-AE17)/7,0),"")</f>
        <v/>
      </c>
      <c r="AI17">
        <f>IFERROR(IF(AG17*AH17=0,"",AG17*AH17),"")</f>
        <v/>
      </c>
      <c r="AL17">
        <f>IF(AND(AJ17&lt;&gt;"",AK17&lt;&gt;""),ROUNDUP((AK17-AJ17)/7,0),"")</f>
        <v/>
      </c>
      <c r="AN17">
        <f>IFERROR(IF(AL17*AM17=0,"",AL17*AM17),"")</f>
        <v/>
      </c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L17">
        <f>IFERROR(INDEX('_names_lookup'!$C:$C,MATCH(BK17,'_names_lookup'!$A:$A,0)),"")</f>
        <v/>
      </c>
      <c r="BM17">
        <f>IFERROR(INDEX('_names_lookup'!$B:$B,MATCH(BK17,'_names_lookup'!$A:$A,0)),"")</f>
        <v/>
      </c>
      <c r="BS17">
        <f>IFERROR(IF(BR17*AA17=0,"",BR17*AA17),"")</f>
        <v/>
      </c>
    </row>
    <row r="18">
      <c r="O18">
        <f>IFERROR(INDEX('_courses_lookup'!$C:$C,MATCH(K18&amp;L18,'_courses_lookup'!$E:$E,0)),"")</f>
        <v/>
      </c>
      <c r="P18">
        <f>IFERROR(INDEX('_courses_lookup'!$D:$D,MATCH(K18&amp;L18,'_courses_lookup'!$E:$E,0)),"")</f>
        <v/>
      </c>
      <c r="AG18">
        <f>IF(AND(AE18&lt;&gt;"",AF18&lt;&gt;""),ROUNDUP((AF18-AE18)/7,0),"")</f>
        <v/>
      </c>
      <c r="AI18">
        <f>IFERROR(IF(AG18*AH18=0,"",AG18*AH18),"")</f>
        <v/>
      </c>
      <c r="AL18">
        <f>IF(AND(AJ18&lt;&gt;"",AK18&lt;&gt;""),ROUNDUP((AK18-AJ18)/7,0),"")</f>
        <v/>
      </c>
      <c r="AN18">
        <f>IFERROR(IF(AL18*AM18=0,"",AL18*AM18),"")</f>
        <v/>
      </c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L18">
        <f>IFERROR(INDEX('_names_lookup'!$C:$C,MATCH(BK18,'_names_lookup'!$A:$A,0)),"")</f>
        <v/>
      </c>
      <c r="BM18">
        <f>IFERROR(INDEX('_names_lookup'!$B:$B,MATCH(BK18,'_names_lookup'!$A:$A,0)),"")</f>
        <v/>
      </c>
      <c r="BS18">
        <f>IFERROR(IF(BR18*AA18=0,"",BR18*AA18),"")</f>
        <v/>
      </c>
    </row>
    <row r="19">
      <c r="O19">
        <f>IFERROR(INDEX('_courses_lookup'!$C:$C,MATCH(K19&amp;L19,'_courses_lookup'!$E:$E,0)),"")</f>
        <v/>
      </c>
      <c r="P19">
        <f>IFERROR(INDEX('_courses_lookup'!$D:$D,MATCH(K19&amp;L19,'_courses_lookup'!$E:$E,0)),"")</f>
        <v/>
      </c>
      <c r="AG19">
        <f>IF(AND(AE19&lt;&gt;"",AF19&lt;&gt;""),ROUNDUP((AF19-AE19)/7,0),"")</f>
        <v/>
      </c>
      <c r="AI19">
        <f>IFERROR(IF(AG19*AH19=0,"",AG19*AH19),"")</f>
        <v/>
      </c>
      <c r="AL19">
        <f>IF(AND(AJ19&lt;&gt;"",AK19&lt;&gt;""),ROUNDUP((AK19-AJ19)/7,0),"")</f>
        <v/>
      </c>
      <c r="AN19">
        <f>IFERROR(IF(AL19*AM19=0,"",AL19*AM19),"")</f>
        <v/>
      </c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L19">
        <f>IFERROR(INDEX('_names_lookup'!$C:$C,MATCH(BK19,'_names_lookup'!$A:$A,0)),"")</f>
        <v/>
      </c>
      <c r="BM19">
        <f>IFERROR(INDEX('_names_lookup'!$B:$B,MATCH(BK19,'_names_lookup'!$A:$A,0)),"")</f>
        <v/>
      </c>
      <c r="BS19">
        <f>IFERROR(IF(BR19*AA19=0,"",BR19*AA19),"")</f>
        <v/>
      </c>
    </row>
    <row r="20">
      <c r="O20">
        <f>IFERROR(INDEX('_courses_lookup'!$C:$C,MATCH(K20&amp;L20,'_courses_lookup'!$E:$E,0)),"")</f>
        <v/>
      </c>
      <c r="P20">
        <f>IFERROR(INDEX('_courses_lookup'!$D:$D,MATCH(K20&amp;L20,'_courses_lookup'!$E:$E,0)),"")</f>
        <v/>
      </c>
      <c r="AG20">
        <f>IF(AND(AE20&lt;&gt;"",AF20&lt;&gt;""),ROUNDUP((AF20-AE20)/7,0),"")</f>
        <v/>
      </c>
      <c r="AI20">
        <f>IFERROR(IF(AG20*AH20=0,"",AG20*AH20),"")</f>
        <v/>
      </c>
      <c r="AL20">
        <f>IF(AND(AJ20&lt;&gt;"",AK20&lt;&gt;""),ROUNDUP((AK20-AJ20)/7,0),"")</f>
        <v/>
      </c>
      <c r="AN20">
        <f>IFERROR(IF(AL20*AM20=0,"",AL20*AM20),"")</f>
        <v/>
      </c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L20">
        <f>IFERROR(INDEX('_names_lookup'!$C:$C,MATCH(BK20,'_names_lookup'!$A:$A,0)),"")</f>
        <v/>
      </c>
      <c r="BM20">
        <f>IFERROR(INDEX('_names_lookup'!$B:$B,MATCH(BK20,'_names_lookup'!$A:$A,0)),"")</f>
        <v/>
      </c>
      <c r="BS20">
        <f>IFERROR(IF(BR20*AA20=0,"",BR20*AA20),"")</f>
        <v/>
      </c>
    </row>
    <row r="21">
      <c r="O21">
        <f>IFERROR(INDEX('_courses_lookup'!$C:$C,MATCH(K21&amp;L21,'_courses_lookup'!$E:$E,0)),"")</f>
        <v/>
      </c>
      <c r="P21">
        <f>IFERROR(INDEX('_courses_lookup'!$D:$D,MATCH(K21&amp;L21,'_courses_lookup'!$E:$E,0)),"")</f>
        <v/>
      </c>
      <c r="AG21">
        <f>IF(AND(AE21&lt;&gt;"",AF21&lt;&gt;""),ROUNDUP((AF21-AE21)/7,0),"")</f>
        <v/>
      </c>
      <c r="AI21">
        <f>IFERROR(IF(AG21*AH21=0,"",AG21*AH21),"")</f>
        <v/>
      </c>
      <c r="AL21">
        <f>IF(AND(AJ21&lt;&gt;"",AK21&lt;&gt;""),ROUNDUP((AK21-AJ21)/7,0),"")</f>
        <v/>
      </c>
      <c r="AN21">
        <f>IFERROR(IF(AL21*AM21=0,"",AL21*AM21),"")</f>
        <v/>
      </c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L21">
        <f>IFERROR(INDEX('_names_lookup'!$C:$C,MATCH(BK21,'_names_lookup'!$A:$A,0)),"")</f>
        <v/>
      </c>
      <c r="BM21">
        <f>IFERROR(INDEX('_names_lookup'!$B:$B,MATCH(BK21,'_names_lookup'!$A:$A,0)),"")</f>
        <v/>
      </c>
      <c r="BS21">
        <f>IFERROR(IF(BR21*AA21=0,"",BR21*AA21),"")</f>
        <v/>
      </c>
    </row>
    <row r="22">
      <c r="O22">
        <f>IFERROR(INDEX('_courses_lookup'!$C:$C,MATCH(K22&amp;L22,'_courses_lookup'!$E:$E,0)),"")</f>
        <v/>
      </c>
      <c r="P22">
        <f>IFERROR(INDEX('_courses_lookup'!$D:$D,MATCH(K22&amp;L22,'_courses_lookup'!$E:$E,0)),"")</f>
        <v/>
      </c>
      <c r="AG22">
        <f>IF(AND(AE22&lt;&gt;"",AF22&lt;&gt;""),ROUNDUP((AF22-AE22)/7,0),"")</f>
        <v/>
      </c>
      <c r="AI22">
        <f>IFERROR(IF(AG22*AH22=0,"",AG22*AH22),"")</f>
        <v/>
      </c>
      <c r="AL22">
        <f>IF(AND(AJ22&lt;&gt;"",AK22&lt;&gt;""),ROUNDUP((AK22-AJ22)/7,0),"")</f>
        <v/>
      </c>
      <c r="AN22">
        <f>IFERROR(IF(AL22*AM22=0,"",AL22*AM22),"")</f>
        <v/>
      </c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L22">
        <f>IFERROR(INDEX('_names_lookup'!$C:$C,MATCH(BK22,'_names_lookup'!$A:$A,0)),"")</f>
        <v/>
      </c>
      <c r="BM22">
        <f>IFERROR(INDEX('_names_lookup'!$B:$B,MATCH(BK22,'_names_lookup'!$A:$A,0)),"")</f>
        <v/>
      </c>
      <c r="BS22">
        <f>IFERROR(IF(BR22*AA22=0,"",BR22*AA22),"")</f>
        <v/>
      </c>
    </row>
    <row r="23">
      <c r="O23">
        <f>IFERROR(INDEX('_courses_lookup'!$C:$C,MATCH(K23&amp;L23,'_courses_lookup'!$E:$E,0)),"")</f>
        <v/>
      </c>
      <c r="P23">
        <f>IFERROR(INDEX('_courses_lookup'!$D:$D,MATCH(K23&amp;L23,'_courses_lookup'!$E:$E,0)),"")</f>
        <v/>
      </c>
      <c r="AG23">
        <f>IF(AND(AE23&lt;&gt;"",AF23&lt;&gt;""),ROUNDUP((AF23-AE23)/7,0),"")</f>
        <v/>
      </c>
      <c r="AI23">
        <f>IFERROR(IF(AG23*AH23=0,"",AG23*AH23),"")</f>
        <v/>
      </c>
      <c r="AL23">
        <f>IF(AND(AJ23&lt;&gt;"",AK23&lt;&gt;""),ROUNDUP((AK23-AJ23)/7,0),"")</f>
        <v/>
      </c>
      <c r="AN23">
        <f>IFERROR(IF(AL23*AM23=0,"",AL23*AM23),"")</f>
        <v/>
      </c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L23">
        <f>IFERROR(INDEX('_names_lookup'!$C:$C,MATCH(BK23,'_names_lookup'!$A:$A,0)),"")</f>
        <v/>
      </c>
      <c r="BM23">
        <f>IFERROR(INDEX('_names_lookup'!$B:$B,MATCH(BK23,'_names_lookup'!$A:$A,0)),"")</f>
        <v/>
      </c>
      <c r="BS23">
        <f>IFERROR(IF(BR23*AA23=0,"",BR23*AA23),"")</f>
        <v/>
      </c>
    </row>
    <row r="24">
      <c r="O24">
        <f>IFERROR(INDEX('_courses_lookup'!$C:$C,MATCH(K24&amp;L24,'_courses_lookup'!$E:$E,0)),"")</f>
        <v/>
      </c>
      <c r="P24">
        <f>IFERROR(INDEX('_courses_lookup'!$D:$D,MATCH(K24&amp;L24,'_courses_lookup'!$E:$E,0)),"")</f>
        <v/>
      </c>
      <c r="AG24">
        <f>IF(AND(AE24&lt;&gt;"",AF24&lt;&gt;""),ROUNDUP((AF24-AE24)/7,0),"")</f>
        <v/>
      </c>
      <c r="AI24">
        <f>IFERROR(IF(AG24*AH24=0,"",AG24*AH24),"")</f>
        <v/>
      </c>
      <c r="AL24">
        <f>IF(AND(AJ24&lt;&gt;"",AK24&lt;&gt;""),ROUNDUP((AK24-AJ24)/7,0),"")</f>
        <v/>
      </c>
      <c r="AN24">
        <f>IFERROR(IF(AL24*AM24=0,"",AL24*AM24),"")</f>
        <v/>
      </c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L24">
        <f>IFERROR(INDEX('_names_lookup'!$C:$C,MATCH(BK24,'_names_lookup'!$A:$A,0)),"")</f>
        <v/>
      </c>
      <c r="BM24">
        <f>IFERROR(INDEX('_names_lookup'!$B:$B,MATCH(BK24,'_names_lookup'!$A:$A,0)),"")</f>
        <v/>
      </c>
      <c r="BS24">
        <f>IFERROR(IF(BR24*AA24=0,"",BR24*AA24),"")</f>
        <v/>
      </c>
    </row>
    <row r="25">
      <c r="O25">
        <f>IFERROR(INDEX('_courses_lookup'!$C:$C,MATCH(K25&amp;L25,'_courses_lookup'!$E:$E,0)),"")</f>
        <v/>
      </c>
      <c r="P25">
        <f>IFERROR(INDEX('_courses_lookup'!$D:$D,MATCH(K25&amp;L25,'_courses_lookup'!$E:$E,0)),"")</f>
        <v/>
      </c>
      <c r="AG25">
        <f>IF(AND(AE25&lt;&gt;"",AF25&lt;&gt;""),ROUNDUP((AF25-AE25)/7,0),"")</f>
        <v/>
      </c>
      <c r="AI25">
        <f>IFERROR(IF(AG25*AH25=0,"",AG25*AH25),"")</f>
        <v/>
      </c>
      <c r="AL25">
        <f>IF(AND(AJ25&lt;&gt;"",AK25&lt;&gt;""),ROUNDUP((AK25-AJ25)/7,0),"")</f>
        <v/>
      </c>
      <c r="AN25">
        <f>IFERROR(IF(AL25*AM25=0,"",AL25*AM25),"")</f>
        <v/>
      </c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L25">
        <f>IFERROR(INDEX('_names_lookup'!$C:$C,MATCH(BK25,'_names_lookup'!$A:$A,0)),"")</f>
        <v/>
      </c>
      <c r="BM25">
        <f>IFERROR(INDEX('_names_lookup'!$B:$B,MATCH(BK25,'_names_lookup'!$A:$A,0)),"")</f>
        <v/>
      </c>
      <c r="BS25">
        <f>IFERROR(IF(BR25*AA25=0,"",BR25*AA25),"")</f>
        <v/>
      </c>
    </row>
    <row r="26">
      <c r="O26">
        <f>IFERROR(INDEX('_courses_lookup'!$C:$C,MATCH(K26&amp;L26,'_courses_lookup'!$E:$E,0)),"")</f>
        <v/>
      </c>
      <c r="P26">
        <f>IFERROR(INDEX('_courses_lookup'!$D:$D,MATCH(K26&amp;L26,'_courses_lookup'!$E:$E,0)),"")</f>
        <v/>
      </c>
      <c r="AG26">
        <f>IF(AND(AE26&lt;&gt;"",AF26&lt;&gt;""),ROUNDUP((AF26-AE26)/7,0),"")</f>
        <v/>
      </c>
      <c r="AI26">
        <f>IFERROR(IF(AG26*AH26=0,"",AG26*AH26),"")</f>
        <v/>
      </c>
      <c r="AL26">
        <f>IF(AND(AJ26&lt;&gt;"",AK26&lt;&gt;""),ROUNDUP((AK26-AJ26)/7,0),"")</f>
        <v/>
      </c>
      <c r="AN26">
        <f>IFERROR(IF(AL26*AM26=0,"",AL26*AM26),"")</f>
        <v/>
      </c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L26">
        <f>IFERROR(INDEX('_names_lookup'!$C:$C,MATCH(BK26,'_names_lookup'!$A:$A,0)),"")</f>
        <v/>
      </c>
      <c r="BM26">
        <f>IFERROR(INDEX('_names_lookup'!$B:$B,MATCH(BK26,'_names_lookup'!$A:$A,0)),"")</f>
        <v/>
      </c>
      <c r="BS26">
        <f>IFERROR(IF(BR26*AA26=0,"",BR26*AA26),"")</f>
        <v/>
      </c>
    </row>
    <row r="27">
      <c r="O27">
        <f>IFERROR(INDEX('_courses_lookup'!$C:$C,MATCH(K27&amp;L27,'_courses_lookup'!$E:$E,0)),"")</f>
        <v/>
      </c>
      <c r="P27">
        <f>IFERROR(INDEX('_courses_lookup'!$D:$D,MATCH(K27&amp;L27,'_courses_lookup'!$E:$E,0)),"")</f>
        <v/>
      </c>
      <c r="AG27">
        <f>IF(AND(AE27&lt;&gt;"",AF27&lt;&gt;""),ROUNDUP((AF27-AE27)/7,0),"")</f>
        <v/>
      </c>
      <c r="AI27">
        <f>IFERROR(IF(AG27*AH27=0,"",AG27*AH27),"")</f>
        <v/>
      </c>
      <c r="AL27">
        <f>IF(AND(AJ27&lt;&gt;"",AK27&lt;&gt;""),ROUNDUP((AK27-AJ27)/7,0),"")</f>
        <v/>
      </c>
      <c r="AN27">
        <f>IFERROR(IF(AL27*AM27=0,"",AL27*AM27),"")</f>
        <v/>
      </c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L27">
        <f>IFERROR(INDEX('_names_lookup'!$C:$C,MATCH(BK27,'_names_lookup'!$A:$A,0)),"")</f>
        <v/>
      </c>
      <c r="BM27">
        <f>IFERROR(INDEX('_names_lookup'!$B:$B,MATCH(BK27,'_names_lookup'!$A:$A,0)),"")</f>
        <v/>
      </c>
      <c r="BS27">
        <f>IFERROR(IF(BR27*AA27=0,"",BR27*AA27),"")</f>
        <v/>
      </c>
    </row>
    <row r="28">
      <c r="O28">
        <f>IFERROR(INDEX('_courses_lookup'!$C:$C,MATCH(K28&amp;L28,'_courses_lookup'!$E:$E,0)),"")</f>
        <v/>
      </c>
      <c r="P28">
        <f>IFERROR(INDEX('_courses_lookup'!$D:$D,MATCH(K28&amp;L28,'_courses_lookup'!$E:$E,0)),"")</f>
        <v/>
      </c>
      <c r="AG28">
        <f>IF(AND(AE28&lt;&gt;"",AF28&lt;&gt;""),ROUNDUP((AF28-AE28)/7,0),"")</f>
        <v/>
      </c>
      <c r="AI28">
        <f>IFERROR(IF(AG28*AH28=0,"",AG28*AH28),"")</f>
        <v/>
      </c>
      <c r="AL28">
        <f>IF(AND(AJ28&lt;&gt;"",AK28&lt;&gt;""),ROUNDUP((AK28-AJ28)/7,0),"")</f>
        <v/>
      </c>
      <c r="AN28">
        <f>IFERROR(IF(AL28*AM28=0,"",AL28*AM28),"")</f>
        <v/>
      </c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L28">
        <f>IFERROR(INDEX('_names_lookup'!$C:$C,MATCH(BK28,'_names_lookup'!$A:$A,0)),"")</f>
        <v/>
      </c>
      <c r="BM28">
        <f>IFERROR(INDEX('_names_lookup'!$B:$B,MATCH(BK28,'_names_lookup'!$A:$A,0)),"")</f>
        <v/>
      </c>
      <c r="BS28">
        <f>IFERROR(IF(BR28*AA28=0,"",BR28*AA28),"")</f>
        <v/>
      </c>
    </row>
    <row r="29">
      <c r="O29">
        <f>IFERROR(INDEX('_courses_lookup'!$C:$C,MATCH(K29&amp;L29,'_courses_lookup'!$E:$E,0)),"")</f>
        <v/>
      </c>
      <c r="P29">
        <f>IFERROR(INDEX('_courses_lookup'!$D:$D,MATCH(K29&amp;L29,'_courses_lookup'!$E:$E,0)),"")</f>
        <v/>
      </c>
      <c r="AG29">
        <f>IF(AND(AE29&lt;&gt;"",AF29&lt;&gt;""),ROUNDUP((AF29-AE29)/7,0),"")</f>
        <v/>
      </c>
      <c r="AI29">
        <f>IFERROR(IF(AG29*AH29=0,"",AG29*AH29),"")</f>
        <v/>
      </c>
      <c r="AL29">
        <f>IF(AND(AJ29&lt;&gt;"",AK29&lt;&gt;""),ROUNDUP((AK29-AJ29)/7,0),"")</f>
        <v/>
      </c>
      <c r="AN29">
        <f>IFERROR(IF(AL29*AM29=0,"",AL29*AM29),"")</f>
        <v/>
      </c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L29">
        <f>IFERROR(INDEX('_names_lookup'!$C:$C,MATCH(BK29,'_names_lookup'!$A:$A,0)),"")</f>
        <v/>
      </c>
      <c r="BM29">
        <f>IFERROR(INDEX('_names_lookup'!$B:$B,MATCH(BK29,'_names_lookup'!$A:$A,0)),"")</f>
        <v/>
      </c>
      <c r="BS29">
        <f>IFERROR(IF(BR29*AA29=0,"",BR29*AA29),"")</f>
        <v/>
      </c>
    </row>
    <row r="30">
      <c r="O30">
        <f>IFERROR(INDEX('_courses_lookup'!$C:$C,MATCH(K30&amp;L30,'_courses_lookup'!$E:$E,0)),"")</f>
        <v/>
      </c>
      <c r="P30">
        <f>IFERROR(INDEX('_courses_lookup'!$D:$D,MATCH(K30&amp;L30,'_courses_lookup'!$E:$E,0)),"")</f>
        <v/>
      </c>
      <c r="AG30">
        <f>IF(AND(AE30&lt;&gt;"",AF30&lt;&gt;""),ROUNDUP((AF30-AE30)/7,0),"")</f>
        <v/>
      </c>
      <c r="AI30">
        <f>IFERROR(IF(AG30*AH30=0,"",AG30*AH30),"")</f>
        <v/>
      </c>
      <c r="AL30">
        <f>IF(AND(AJ30&lt;&gt;"",AK30&lt;&gt;""),ROUNDUP((AK30-AJ30)/7,0),"")</f>
        <v/>
      </c>
      <c r="AN30">
        <f>IFERROR(IF(AL30*AM30=0,"",AL30*AM30),"")</f>
        <v/>
      </c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L30">
        <f>IFERROR(INDEX('_names_lookup'!$C:$C,MATCH(BK30,'_names_lookup'!$A:$A,0)),"")</f>
        <v/>
      </c>
      <c r="BM30">
        <f>IFERROR(INDEX('_names_lookup'!$B:$B,MATCH(BK30,'_names_lookup'!$A:$A,0)),"")</f>
        <v/>
      </c>
      <c r="BS30">
        <f>IFERROR(IF(BR30*AA30=0,"",BR30*AA30),"")</f>
        <v/>
      </c>
    </row>
    <row r="31">
      <c r="O31">
        <f>IFERROR(INDEX('_courses_lookup'!$C:$C,MATCH(K31&amp;L31,'_courses_lookup'!$E:$E,0)),"")</f>
        <v/>
      </c>
      <c r="P31">
        <f>IFERROR(INDEX('_courses_lookup'!$D:$D,MATCH(K31&amp;L31,'_courses_lookup'!$E:$E,0)),"")</f>
        <v/>
      </c>
      <c r="AG31">
        <f>IF(AND(AE31&lt;&gt;"",AF31&lt;&gt;""),ROUNDUP((AF31-AE31)/7,0),"")</f>
        <v/>
      </c>
      <c r="AI31">
        <f>IFERROR(IF(AG31*AH31=0,"",AG31*AH31),"")</f>
        <v/>
      </c>
      <c r="AL31">
        <f>IF(AND(AJ31&lt;&gt;"",AK31&lt;&gt;""),ROUNDUP((AK31-AJ31)/7,0),"")</f>
        <v/>
      </c>
      <c r="AN31">
        <f>IFERROR(IF(AL31*AM31=0,"",AL31*AM31),"")</f>
        <v/>
      </c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L31">
        <f>IFERROR(INDEX('_names_lookup'!$C:$C,MATCH(BK31,'_names_lookup'!$A:$A,0)),"")</f>
        <v/>
      </c>
      <c r="BM31">
        <f>IFERROR(INDEX('_names_lookup'!$B:$B,MATCH(BK31,'_names_lookup'!$A:$A,0)),"")</f>
        <v/>
      </c>
      <c r="BS31">
        <f>IFERROR(IF(BR31*AA31=0,"",BR31*AA31),"")</f>
        <v/>
      </c>
    </row>
    <row r="32">
      <c r="O32">
        <f>IFERROR(INDEX('_courses_lookup'!$C:$C,MATCH(K32&amp;L32,'_courses_lookup'!$E:$E,0)),"")</f>
        <v/>
      </c>
      <c r="P32">
        <f>IFERROR(INDEX('_courses_lookup'!$D:$D,MATCH(K32&amp;L32,'_courses_lookup'!$E:$E,0)),"")</f>
        <v/>
      </c>
      <c r="AG32">
        <f>IF(AND(AE32&lt;&gt;"",AF32&lt;&gt;""),ROUNDUP((AF32-AE32)/7,0),"")</f>
        <v/>
      </c>
      <c r="AI32">
        <f>IFERROR(IF(AG32*AH32=0,"",AG32*AH32),"")</f>
        <v/>
      </c>
      <c r="AL32">
        <f>IF(AND(AJ32&lt;&gt;"",AK32&lt;&gt;""),ROUNDUP((AK32-AJ32)/7,0),"")</f>
        <v/>
      </c>
      <c r="AN32">
        <f>IFERROR(IF(AL32*AM32=0,"",AL32*AM32),"")</f>
        <v/>
      </c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L32">
        <f>IFERROR(INDEX('_names_lookup'!$C:$C,MATCH(BK32,'_names_lookup'!$A:$A,0)),"")</f>
        <v/>
      </c>
      <c r="BM32">
        <f>IFERROR(INDEX('_names_lookup'!$B:$B,MATCH(BK32,'_names_lookup'!$A:$A,0)),"")</f>
        <v/>
      </c>
      <c r="BS32">
        <f>IFERROR(IF(BR32*AA32=0,"",BR32*AA32),"")</f>
        <v/>
      </c>
    </row>
    <row r="33">
      <c r="O33">
        <f>IFERROR(INDEX('_courses_lookup'!$C:$C,MATCH(K33&amp;L33,'_courses_lookup'!$E:$E,0)),"")</f>
        <v/>
      </c>
      <c r="P33">
        <f>IFERROR(INDEX('_courses_lookup'!$D:$D,MATCH(K33&amp;L33,'_courses_lookup'!$E:$E,0)),"")</f>
        <v/>
      </c>
      <c r="AG33">
        <f>IF(AND(AE33&lt;&gt;"",AF33&lt;&gt;""),ROUNDUP((AF33-AE33)/7,0),"")</f>
        <v/>
      </c>
      <c r="AI33">
        <f>IFERROR(IF(AG33*AH33=0,"",AG33*AH33),"")</f>
        <v/>
      </c>
      <c r="AL33">
        <f>IF(AND(AJ33&lt;&gt;"",AK33&lt;&gt;""),ROUNDUP((AK33-AJ33)/7,0),"")</f>
        <v/>
      </c>
      <c r="AN33">
        <f>IFERROR(IF(AL33*AM33=0,"",AL33*AM33),"")</f>
        <v/>
      </c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L33">
        <f>IFERROR(INDEX('_names_lookup'!$C:$C,MATCH(BK33,'_names_lookup'!$A:$A,0)),"")</f>
        <v/>
      </c>
      <c r="BM33">
        <f>IFERROR(INDEX('_names_lookup'!$B:$B,MATCH(BK33,'_names_lookup'!$A:$A,0)),"")</f>
        <v/>
      </c>
      <c r="BS33">
        <f>IFERROR(IF(BR33*AA33=0,"",BR33*AA33),"")</f>
        <v/>
      </c>
    </row>
    <row r="34">
      <c r="O34">
        <f>IFERROR(INDEX('_courses_lookup'!$C:$C,MATCH(K34&amp;L34,'_courses_lookup'!$E:$E,0)),"")</f>
        <v/>
      </c>
      <c r="P34">
        <f>IFERROR(INDEX('_courses_lookup'!$D:$D,MATCH(K34&amp;L34,'_courses_lookup'!$E:$E,0)),"")</f>
        <v/>
      </c>
      <c r="AG34">
        <f>IF(AND(AE34&lt;&gt;"",AF34&lt;&gt;""),ROUNDUP((AF34-AE34)/7,0),"")</f>
        <v/>
      </c>
      <c r="AI34">
        <f>IFERROR(IF(AG34*AH34=0,"",AG34*AH34),"")</f>
        <v/>
      </c>
      <c r="AL34">
        <f>IF(AND(AJ34&lt;&gt;"",AK34&lt;&gt;""),ROUNDUP((AK34-AJ34)/7,0),"")</f>
        <v/>
      </c>
      <c r="AN34">
        <f>IFERROR(IF(AL34*AM34=0,"",AL34*AM34),"")</f>
        <v/>
      </c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L34">
        <f>IFERROR(INDEX('_names_lookup'!$C:$C,MATCH(BK34,'_names_lookup'!$A:$A,0)),"")</f>
        <v/>
      </c>
      <c r="BM34">
        <f>IFERROR(INDEX('_names_lookup'!$B:$B,MATCH(BK34,'_names_lookup'!$A:$A,0)),"")</f>
        <v/>
      </c>
      <c r="BS34">
        <f>IFERROR(IF(BR34*AA34=0,"",BR34*AA34),"")</f>
        <v/>
      </c>
    </row>
    <row r="35">
      <c r="O35">
        <f>IFERROR(INDEX('_courses_lookup'!$C:$C,MATCH(K35&amp;L35,'_courses_lookup'!$E:$E,0)),"")</f>
        <v/>
      </c>
      <c r="P35">
        <f>IFERROR(INDEX('_courses_lookup'!$D:$D,MATCH(K35&amp;L35,'_courses_lookup'!$E:$E,0)),"")</f>
        <v/>
      </c>
      <c r="AG35">
        <f>IF(AND(AE35&lt;&gt;"",AF35&lt;&gt;""),ROUNDUP((AF35-AE35)/7,0),"")</f>
        <v/>
      </c>
      <c r="AI35">
        <f>IFERROR(IF(AG35*AH35=0,"",AG35*AH35),"")</f>
        <v/>
      </c>
      <c r="AL35">
        <f>IF(AND(AJ35&lt;&gt;"",AK35&lt;&gt;""),ROUNDUP((AK35-AJ35)/7,0),"")</f>
        <v/>
      </c>
      <c r="AN35">
        <f>IFERROR(IF(AL35*AM35=0,"",AL35*AM35),"")</f>
        <v/>
      </c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L35">
        <f>IFERROR(INDEX('_names_lookup'!$C:$C,MATCH(BK35,'_names_lookup'!$A:$A,0)),"")</f>
        <v/>
      </c>
      <c r="BM35">
        <f>IFERROR(INDEX('_names_lookup'!$B:$B,MATCH(BK35,'_names_lookup'!$A:$A,0)),"")</f>
        <v/>
      </c>
      <c r="BS35">
        <f>IFERROR(IF(BR35*AA35=0,"",BR35*AA35),"")</f>
        <v/>
      </c>
    </row>
    <row r="36">
      <c r="O36">
        <f>IFERROR(INDEX('_courses_lookup'!$C:$C,MATCH(K36&amp;L36,'_courses_lookup'!$E:$E,0)),"")</f>
        <v/>
      </c>
      <c r="P36">
        <f>IFERROR(INDEX('_courses_lookup'!$D:$D,MATCH(K36&amp;L36,'_courses_lookup'!$E:$E,0)),"")</f>
        <v/>
      </c>
      <c r="AG36">
        <f>IF(AND(AE36&lt;&gt;"",AF36&lt;&gt;""),ROUNDUP((AF36-AE36)/7,0),"")</f>
        <v/>
      </c>
      <c r="AI36">
        <f>IFERROR(IF(AG36*AH36=0,"",AG36*AH36),"")</f>
        <v/>
      </c>
      <c r="AL36">
        <f>IF(AND(AJ36&lt;&gt;"",AK36&lt;&gt;""),ROUNDUP((AK36-AJ36)/7,0),"")</f>
        <v/>
      </c>
      <c r="AN36">
        <f>IFERROR(IF(AL36*AM36=0,"",AL36*AM36),"")</f>
        <v/>
      </c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L36">
        <f>IFERROR(INDEX('_names_lookup'!$C:$C,MATCH(BK36,'_names_lookup'!$A:$A,0)),"")</f>
        <v/>
      </c>
      <c r="BM36">
        <f>IFERROR(INDEX('_names_lookup'!$B:$B,MATCH(BK36,'_names_lookup'!$A:$A,0)),"")</f>
        <v/>
      </c>
      <c r="BS36">
        <f>IFERROR(IF(BR36*AA36=0,"",BR36*AA36),"")</f>
        <v/>
      </c>
    </row>
    <row r="37">
      <c r="O37">
        <f>IFERROR(INDEX('_courses_lookup'!$C:$C,MATCH(K37&amp;L37,'_courses_lookup'!$E:$E,0)),"")</f>
        <v/>
      </c>
      <c r="P37">
        <f>IFERROR(INDEX('_courses_lookup'!$D:$D,MATCH(K37&amp;L37,'_courses_lookup'!$E:$E,0)),"")</f>
        <v/>
      </c>
      <c r="AG37">
        <f>IF(AND(AE37&lt;&gt;"",AF37&lt;&gt;""),ROUNDUP((AF37-AE37)/7,0),"")</f>
        <v/>
      </c>
      <c r="AI37">
        <f>IFERROR(IF(AG37*AH37=0,"",AG37*AH37),"")</f>
        <v/>
      </c>
      <c r="AL37">
        <f>IF(AND(AJ37&lt;&gt;"",AK37&lt;&gt;""),ROUNDUP((AK37-AJ37)/7,0),"")</f>
        <v/>
      </c>
      <c r="AN37">
        <f>IFERROR(IF(AL37*AM37=0,"",AL37*AM37),"")</f>
        <v/>
      </c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L37">
        <f>IFERROR(INDEX('_names_lookup'!$C:$C,MATCH(BK37,'_names_lookup'!$A:$A,0)),"")</f>
        <v/>
      </c>
      <c r="BM37">
        <f>IFERROR(INDEX('_names_lookup'!$B:$B,MATCH(BK37,'_names_lookup'!$A:$A,0)),"")</f>
        <v/>
      </c>
      <c r="BS37">
        <f>IFERROR(IF(BR37*AA37=0,"",BR37*AA37),"")</f>
        <v/>
      </c>
    </row>
    <row r="38">
      <c r="O38">
        <f>IFERROR(INDEX('_courses_lookup'!$C:$C,MATCH(K38&amp;L38,'_courses_lookup'!$E:$E,0)),"")</f>
        <v/>
      </c>
      <c r="P38">
        <f>IFERROR(INDEX('_courses_lookup'!$D:$D,MATCH(K38&amp;L38,'_courses_lookup'!$E:$E,0)),"")</f>
        <v/>
      </c>
      <c r="AG38">
        <f>IF(AND(AE38&lt;&gt;"",AF38&lt;&gt;""),ROUNDUP((AF38-AE38)/7,0),"")</f>
        <v/>
      </c>
      <c r="AI38">
        <f>IFERROR(IF(AG38*AH38=0,"",AG38*AH38),"")</f>
        <v/>
      </c>
      <c r="AL38">
        <f>IF(AND(AJ38&lt;&gt;"",AK38&lt;&gt;""),ROUNDUP((AK38-AJ38)/7,0),"")</f>
        <v/>
      </c>
      <c r="AN38">
        <f>IFERROR(IF(AL38*AM38=0,"",AL38*AM38),"")</f>
        <v/>
      </c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L38">
        <f>IFERROR(INDEX('_names_lookup'!$C:$C,MATCH(BK38,'_names_lookup'!$A:$A,0)),"")</f>
        <v/>
      </c>
      <c r="BM38">
        <f>IFERROR(INDEX('_names_lookup'!$B:$B,MATCH(BK38,'_names_lookup'!$A:$A,0)),"")</f>
        <v/>
      </c>
      <c r="BS38">
        <f>IFERROR(IF(BR38*AA38=0,"",BR38*AA38),"")</f>
        <v/>
      </c>
    </row>
    <row r="39">
      <c r="O39">
        <f>IFERROR(INDEX('_courses_lookup'!$C:$C,MATCH(K39&amp;L39,'_courses_lookup'!$E:$E,0)),"")</f>
        <v/>
      </c>
      <c r="P39">
        <f>IFERROR(INDEX('_courses_lookup'!$D:$D,MATCH(K39&amp;L39,'_courses_lookup'!$E:$E,0)),"")</f>
        <v/>
      </c>
      <c r="AG39">
        <f>IF(AND(AE39&lt;&gt;"",AF39&lt;&gt;""),ROUNDUP((AF39-AE39)/7,0),"")</f>
        <v/>
      </c>
      <c r="AI39">
        <f>IFERROR(IF(AG39*AH39=0,"",AG39*AH39),"")</f>
        <v/>
      </c>
      <c r="AL39">
        <f>IF(AND(AJ39&lt;&gt;"",AK39&lt;&gt;""),ROUNDUP((AK39-AJ39)/7,0),"")</f>
        <v/>
      </c>
      <c r="AN39">
        <f>IFERROR(IF(AL39*AM39=0,"",AL39*AM39),"")</f>
        <v/>
      </c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L39">
        <f>IFERROR(INDEX('_names_lookup'!$C:$C,MATCH(BK39,'_names_lookup'!$A:$A,0)),"")</f>
        <v/>
      </c>
      <c r="BM39">
        <f>IFERROR(INDEX('_names_lookup'!$B:$B,MATCH(BK39,'_names_lookup'!$A:$A,0)),"")</f>
        <v/>
      </c>
      <c r="BS39">
        <f>IFERROR(IF(BR39*AA39=0,"",BR39*AA39),"")</f>
        <v/>
      </c>
    </row>
    <row r="40">
      <c r="O40">
        <f>IFERROR(INDEX('_courses_lookup'!$C:$C,MATCH(K40&amp;L40,'_courses_lookup'!$E:$E,0)),"")</f>
        <v/>
      </c>
      <c r="P40">
        <f>IFERROR(INDEX('_courses_lookup'!$D:$D,MATCH(K40&amp;L40,'_courses_lookup'!$E:$E,0)),"")</f>
        <v/>
      </c>
      <c r="AG40">
        <f>IF(AND(AE40&lt;&gt;"",AF40&lt;&gt;""),ROUNDUP((AF40-AE40)/7,0),"")</f>
        <v/>
      </c>
      <c r="AI40">
        <f>IFERROR(IF(AG40*AH40=0,"",AG40*AH40),"")</f>
        <v/>
      </c>
      <c r="AL40">
        <f>IF(AND(AJ40&lt;&gt;"",AK40&lt;&gt;""),ROUNDUP((AK40-AJ40)/7,0),"")</f>
        <v/>
      </c>
      <c r="AN40">
        <f>IFERROR(IF(AL40*AM40=0,"",AL40*AM40),"")</f>
        <v/>
      </c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L40">
        <f>IFERROR(INDEX('_names_lookup'!$C:$C,MATCH(BK40,'_names_lookup'!$A:$A,0)),"")</f>
        <v/>
      </c>
      <c r="BM40">
        <f>IFERROR(INDEX('_names_lookup'!$B:$B,MATCH(BK40,'_names_lookup'!$A:$A,0)),"")</f>
        <v/>
      </c>
      <c r="BS40">
        <f>IFERROR(IF(BR40*AA40=0,"",BR40*AA40),"")</f>
        <v/>
      </c>
    </row>
    <row r="41">
      <c r="O41">
        <f>IFERROR(INDEX('_courses_lookup'!$C:$C,MATCH(K41&amp;L41,'_courses_lookup'!$E:$E,0)),"")</f>
        <v/>
      </c>
      <c r="P41">
        <f>IFERROR(INDEX('_courses_lookup'!$D:$D,MATCH(K41&amp;L41,'_courses_lookup'!$E:$E,0)),"")</f>
        <v/>
      </c>
      <c r="AG41">
        <f>IF(AND(AE41&lt;&gt;"",AF41&lt;&gt;""),ROUNDUP((AF41-AE41)/7,0),"")</f>
        <v/>
      </c>
      <c r="AI41">
        <f>IFERROR(IF(AG41*AH41=0,"",AG41*AH41),"")</f>
        <v/>
      </c>
      <c r="AL41">
        <f>IF(AND(AJ41&lt;&gt;"",AK41&lt;&gt;""),ROUNDUP((AK41-AJ41)/7,0),"")</f>
        <v/>
      </c>
      <c r="AN41">
        <f>IFERROR(IF(AL41*AM41=0,"",AL41*AM41),"")</f>
        <v/>
      </c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L41">
        <f>IFERROR(INDEX('_names_lookup'!$C:$C,MATCH(BK41,'_names_lookup'!$A:$A,0)),"")</f>
        <v/>
      </c>
      <c r="BM41">
        <f>IFERROR(INDEX('_names_lookup'!$B:$B,MATCH(BK41,'_names_lookup'!$A:$A,0)),"")</f>
        <v/>
      </c>
      <c r="BS41">
        <f>IFERROR(IF(BR41*AA41=0,"",BR41*AA41),"")</f>
        <v/>
      </c>
    </row>
    <row r="42">
      <c r="O42">
        <f>IFERROR(INDEX('_courses_lookup'!$C:$C,MATCH(K42&amp;L42,'_courses_lookup'!$E:$E,0)),"")</f>
        <v/>
      </c>
      <c r="P42">
        <f>IFERROR(INDEX('_courses_lookup'!$D:$D,MATCH(K42&amp;L42,'_courses_lookup'!$E:$E,0)),"")</f>
        <v/>
      </c>
      <c r="AG42">
        <f>IF(AND(AE42&lt;&gt;"",AF42&lt;&gt;""),ROUNDUP((AF42-AE42)/7,0),"")</f>
        <v/>
      </c>
      <c r="AI42">
        <f>IFERROR(IF(AG42*AH42=0,"",AG42*AH42),"")</f>
        <v/>
      </c>
      <c r="AL42">
        <f>IF(AND(AJ42&lt;&gt;"",AK42&lt;&gt;""),ROUNDUP((AK42-AJ42)/7,0),"")</f>
        <v/>
      </c>
      <c r="AN42">
        <f>IFERROR(IF(AL42*AM42=0,"",AL42*AM42),"")</f>
        <v/>
      </c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L42">
        <f>IFERROR(INDEX('_names_lookup'!$C:$C,MATCH(BK42,'_names_lookup'!$A:$A,0)),"")</f>
        <v/>
      </c>
      <c r="BM42">
        <f>IFERROR(INDEX('_names_lookup'!$B:$B,MATCH(BK42,'_names_lookup'!$A:$A,0)),"")</f>
        <v/>
      </c>
      <c r="BS42">
        <f>IFERROR(IF(BR42*AA42=0,"",BR42*AA42),"")</f>
        <v/>
      </c>
    </row>
    <row r="43">
      <c r="O43">
        <f>IFERROR(INDEX('_courses_lookup'!$C:$C,MATCH(K43&amp;L43,'_courses_lookup'!$E:$E,0)),"")</f>
        <v/>
      </c>
      <c r="P43">
        <f>IFERROR(INDEX('_courses_lookup'!$D:$D,MATCH(K43&amp;L43,'_courses_lookup'!$E:$E,0)),"")</f>
        <v/>
      </c>
      <c r="AG43">
        <f>IF(AND(AE43&lt;&gt;"",AF43&lt;&gt;""),ROUNDUP((AF43-AE43)/7,0),"")</f>
        <v/>
      </c>
      <c r="AI43">
        <f>IFERROR(IF(AG43*AH43=0,"",AG43*AH43),"")</f>
        <v/>
      </c>
      <c r="AL43">
        <f>IF(AND(AJ43&lt;&gt;"",AK43&lt;&gt;""),ROUNDUP((AK43-AJ43)/7,0),"")</f>
        <v/>
      </c>
      <c r="AN43">
        <f>IFERROR(IF(AL43*AM43=0,"",AL43*AM43),"")</f>
        <v/>
      </c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L43">
        <f>IFERROR(INDEX('_names_lookup'!$C:$C,MATCH(BK43,'_names_lookup'!$A:$A,0)),"")</f>
        <v/>
      </c>
      <c r="BM43">
        <f>IFERROR(INDEX('_names_lookup'!$B:$B,MATCH(BK43,'_names_lookup'!$A:$A,0)),"")</f>
        <v/>
      </c>
      <c r="BS43">
        <f>IFERROR(IF(BR43*AA43=0,"",BR43*AA43),"")</f>
        <v/>
      </c>
    </row>
    <row r="44">
      <c r="O44">
        <f>IFERROR(INDEX('_courses_lookup'!$C:$C,MATCH(K44&amp;L44,'_courses_lookup'!$E:$E,0)),"")</f>
        <v/>
      </c>
      <c r="P44">
        <f>IFERROR(INDEX('_courses_lookup'!$D:$D,MATCH(K44&amp;L44,'_courses_lookup'!$E:$E,0)),"")</f>
        <v/>
      </c>
      <c r="AG44">
        <f>IF(AND(AE44&lt;&gt;"",AF44&lt;&gt;""),ROUNDUP((AF44-AE44)/7,0),"")</f>
        <v/>
      </c>
      <c r="AI44">
        <f>IFERROR(IF(AG44*AH44=0,"",AG44*AH44),"")</f>
        <v/>
      </c>
      <c r="AL44">
        <f>IF(AND(AJ44&lt;&gt;"",AK44&lt;&gt;""),ROUNDUP((AK44-AJ44)/7,0),"")</f>
        <v/>
      </c>
      <c r="AN44">
        <f>IFERROR(IF(AL44*AM44=0,"",AL44*AM44),"")</f>
        <v/>
      </c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L44">
        <f>IFERROR(INDEX('_names_lookup'!$C:$C,MATCH(BK44,'_names_lookup'!$A:$A,0)),"")</f>
        <v/>
      </c>
      <c r="BM44">
        <f>IFERROR(INDEX('_names_lookup'!$B:$B,MATCH(BK44,'_names_lookup'!$A:$A,0)),"")</f>
        <v/>
      </c>
      <c r="BS44">
        <f>IFERROR(IF(BR44*AA44=0,"",BR44*AA44),"")</f>
        <v/>
      </c>
    </row>
    <row r="45">
      <c r="O45">
        <f>IFERROR(INDEX('_courses_lookup'!$C:$C,MATCH(K45&amp;L45,'_courses_lookup'!$E:$E,0)),"")</f>
        <v/>
      </c>
      <c r="P45">
        <f>IFERROR(INDEX('_courses_lookup'!$D:$D,MATCH(K45&amp;L45,'_courses_lookup'!$E:$E,0)),"")</f>
        <v/>
      </c>
      <c r="AG45">
        <f>IF(AND(AE45&lt;&gt;"",AF45&lt;&gt;""),ROUNDUP((AF45-AE45)/7,0),"")</f>
        <v/>
      </c>
      <c r="AI45">
        <f>IFERROR(IF(AG45*AH45=0,"",AG45*AH45),"")</f>
        <v/>
      </c>
      <c r="AL45">
        <f>IF(AND(AJ45&lt;&gt;"",AK45&lt;&gt;""),ROUNDUP((AK45-AJ45)/7,0),"")</f>
        <v/>
      </c>
      <c r="AN45">
        <f>IFERROR(IF(AL45*AM45=0,"",AL45*AM45),"")</f>
        <v/>
      </c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L45">
        <f>IFERROR(INDEX('_names_lookup'!$C:$C,MATCH(BK45,'_names_lookup'!$A:$A,0)),"")</f>
        <v/>
      </c>
      <c r="BM45">
        <f>IFERROR(INDEX('_names_lookup'!$B:$B,MATCH(BK45,'_names_lookup'!$A:$A,0)),"")</f>
        <v/>
      </c>
      <c r="BS45">
        <f>IFERROR(IF(BR45*AA45=0,"",BR45*AA45),"")</f>
        <v/>
      </c>
    </row>
    <row r="46">
      <c r="O46">
        <f>IFERROR(INDEX('_courses_lookup'!$C:$C,MATCH(K46&amp;L46,'_courses_lookup'!$E:$E,0)),"")</f>
        <v/>
      </c>
      <c r="P46">
        <f>IFERROR(INDEX('_courses_lookup'!$D:$D,MATCH(K46&amp;L46,'_courses_lookup'!$E:$E,0)),"")</f>
        <v/>
      </c>
      <c r="AG46">
        <f>IF(AND(AE46&lt;&gt;"",AF46&lt;&gt;""),ROUNDUP((AF46-AE46)/7,0),"")</f>
        <v/>
      </c>
      <c r="AI46">
        <f>IFERROR(IF(AG46*AH46=0,"",AG46*AH46),"")</f>
        <v/>
      </c>
      <c r="AL46">
        <f>IF(AND(AJ46&lt;&gt;"",AK46&lt;&gt;""),ROUNDUP((AK46-AJ46)/7,0),"")</f>
        <v/>
      </c>
      <c r="AN46">
        <f>IFERROR(IF(AL46*AM46=0,"",AL46*AM46),"")</f>
        <v/>
      </c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L46">
        <f>IFERROR(INDEX('_names_lookup'!$C:$C,MATCH(BK46,'_names_lookup'!$A:$A,0)),"")</f>
        <v/>
      </c>
      <c r="BM46">
        <f>IFERROR(INDEX('_names_lookup'!$B:$B,MATCH(BK46,'_names_lookup'!$A:$A,0)),"")</f>
        <v/>
      </c>
      <c r="BS46">
        <f>IFERROR(IF(BR46*AA46=0,"",BR46*AA46),"")</f>
        <v/>
      </c>
    </row>
    <row r="47">
      <c r="O47">
        <f>IFERROR(INDEX('_courses_lookup'!$C:$C,MATCH(K47&amp;L47,'_courses_lookup'!$E:$E,0)),"")</f>
        <v/>
      </c>
      <c r="P47">
        <f>IFERROR(INDEX('_courses_lookup'!$D:$D,MATCH(K47&amp;L47,'_courses_lookup'!$E:$E,0)),"")</f>
        <v/>
      </c>
      <c r="AG47">
        <f>IF(AND(AE47&lt;&gt;"",AF47&lt;&gt;""),ROUNDUP((AF47-AE47)/7,0),"")</f>
        <v/>
      </c>
      <c r="AI47">
        <f>IFERROR(IF(AG47*AH47=0,"",AG47*AH47),"")</f>
        <v/>
      </c>
      <c r="AL47">
        <f>IF(AND(AJ47&lt;&gt;"",AK47&lt;&gt;""),ROUNDUP((AK47-AJ47)/7,0),"")</f>
        <v/>
      </c>
      <c r="AN47">
        <f>IFERROR(IF(AL47*AM47=0,"",AL47*AM47),"")</f>
        <v/>
      </c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L47">
        <f>IFERROR(INDEX('_names_lookup'!$C:$C,MATCH(BK47,'_names_lookup'!$A:$A,0)),"")</f>
        <v/>
      </c>
      <c r="BM47">
        <f>IFERROR(INDEX('_names_lookup'!$B:$B,MATCH(BK47,'_names_lookup'!$A:$A,0)),"")</f>
        <v/>
      </c>
      <c r="BS47">
        <f>IFERROR(IF(BR47*AA47=0,"",BR47*AA47),"")</f>
        <v/>
      </c>
    </row>
    <row r="48">
      <c r="O48">
        <f>IFERROR(INDEX('_courses_lookup'!$C:$C,MATCH(K48&amp;L48,'_courses_lookup'!$E:$E,0)),"")</f>
        <v/>
      </c>
      <c r="P48">
        <f>IFERROR(INDEX('_courses_lookup'!$D:$D,MATCH(K48&amp;L48,'_courses_lookup'!$E:$E,0)),"")</f>
        <v/>
      </c>
      <c r="AG48">
        <f>IF(AND(AE48&lt;&gt;"",AF48&lt;&gt;""),ROUNDUP((AF48-AE48)/7,0),"")</f>
        <v/>
      </c>
      <c r="AI48">
        <f>IFERROR(IF(AG48*AH48=0,"",AG48*AH48),"")</f>
        <v/>
      </c>
      <c r="AL48">
        <f>IF(AND(AJ48&lt;&gt;"",AK48&lt;&gt;""),ROUNDUP((AK48-AJ48)/7,0),"")</f>
        <v/>
      </c>
      <c r="AN48">
        <f>IFERROR(IF(AL48*AM48=0,"",AL48*AM48),"")</f>
        <v/>
      </c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L48">
        <f>IFERROR(INDEX('_names_lookup'!$C:$C,MATCH(BK48,'_names_lookup'!$A:$A,0)),"")</f>
        <v/>
      </c>
      <c r="BM48">
        <f>IFERROR(INDEX('_names_lookup'!$B:$B,MATCH(BK48,'_names_lookup'!$A:$A,0)),"")</f>
        <v/>
      </c>
      <c r="BS48">
        <f>IFERROR(IF(BR48*AA48=0,"",BR48*AA48),"")</f>
        <v/>
      </c>
    </row>
    <row r="49">
      <c r="O49">
        <f>IFERROR(INDEX('_courses_lookup'!$C:$C,MATCH(K49&amp;L49,'_courses_lookup'!$E:$E,0)),"")</f>
        <v/>
      </c>
      <c r="P49">
        <f>IFERROR(INDEX('_courses_lookup'!$D:$D,MATCH(K49&amp;L49,'_courses_lookup'!$E:$E,0)),"")</f>
        <v/>
      </c>
      <c r="AG49">
        <f>IF(AND(AE49&lt;&gt;"",AF49&lt;&gt;""),ROUNDUP((AF49-AE49)/7,0),"")</f>
        <v/>
      </c>
      <c r="AI49">
        <f>IFERROR(IF(AG49*AH49=0,"",AG49*AH49),"")</f>
        <v/>
      </c>
      <c r="AL49">
        <f>IF(AND(AJ49&lt;&gt;"",AK49&lt;&gt;""),ROUNDUP((AK49-AJ49)/7,0),"")</f>
        <v/>
      </c>
      <c r="AN49">
        <f>IFERROR(IF(AL49*AM49=0,"",AL49*AM49),"")</f>
        <v/>
      </c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L49">
        <f>IFERROR(INDEX('_names_lookup'!$C:$C,MATCH(BK49,'_names_lookup'!$A:$A,0)),"")</f>
        <v/>
      </c>
      <c r="BM49">
        <f>IFERROR(INDEX('_names_lookup'!$B:$B,MATCH(BK49,'_names_lookup'!$A:$A,0)),"")</f>
        <v/>
      </c>
      <c r="BS49">
        <f>IFERROR(IF(BR49*AA49=0,"",BR49*AA49),"")</f>
        <v/>
      </c>
    </row>
    <row r="50">
      <c r="O50">
        <f>IFERROR(INDEX('_courses_lookup'!$C:$C,MATCH(K50&amp;L50,'_courses_lookup'!$E:$E,0)),"")</f>
        <v/>
      </c>
      <c r="P50">
        <f>IFERROR(INDEX('_courses_lookup'!$D:$D,MATCH(K50&amp;L50,'_courses_lookup'!$E:$E,0)),"")</f>
        <v/>
      </c>
      <c r="AG50">
        <f>IF(AND(AE50&lt;&gt;"",AF50&lt;&gt;""),ROUNDUP((AF50-AE50)/7,0),"")</f>
        <v/>
      </c>
      <c r="AI50">
        <f>IFERROR(IF(AG50*AH50=0,"",AG50*AH50),"")</f>
        <v/>
      </c>
      <c r="AL50">
        <f>IF(AND(AJ50&lt;&gt;"",AK50&lt;&gt;""),ROUNDUP((AK50-AJ50)/7,0),"")</f>
        <v/>
      </c>
      <c r="AN50">
        <f>IFERROR(IF(AL50*AM50=0,"",AL50*AM50),"")</f>
        <v/>
      </c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L50">
        <f>IFERROR(INDEX('_names_lookup'!$C:$C,MATCH(BK50,'_names_lookup'!$A:$A,0)),"")</f>
        <v/>
      </c>
      <c r="BM50">
        <f>IFERROR(INDEX('_names_lookup'!$B:$B,MATCH(BK50,'_names_lookup'!$A:$A,0)),"")</f>
        <v/>
      </c>
      <c r="BS50">
        <f>IFERROR(IF(BR50*AA50=0,"",BR50*AA50),"")</f>
        <v/>
      </c>
    </row>
    <row r="51">
      <c r="O51">
        <f>IFERROR(INDEX('_courses_lookup'!$C:$C,MATCH(K51&amp;L51,'_courses_lookup'!$E:$E,0)),"")</f>
        <v/>
      </c>
      <c r="P51">
        <f>IFERROR(INDEX('_courses_lookup'!$D:$D,MATCH(K51&amp;L51,'_courses_lookup'!$E:$E,0)),"")</f>
        <v/>
      </c>
      <c r="AG51">
        <f>IF(AND(AE51&lt;&gt;"",AF51&lt;&gt;""),ROUNDUP((AF51-AE51)/7,0),"")</f>
        <v/>
      </c>
      <c r="AI51">
        <f>IFERROR(IF(AG51*AH51=0,"",AG51*AH51),"")</f>
        <v/>
      </c>
      <c r="AL51">
        <f>IF(AND(AJ51&lt;&gt;"",AK51&lt;&gt;""),ROUNDUP((AK51-AJ51)/7,0),"")</f>
        <v/>
      </c>
      <c r="AN51">
        <f>IFERROR(IF(AL51*AM51=0,"",AL51*AM51),"")</f>
        <v/>
      </c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L51">
        <f>IFERROR(INDEX('_names_lookup'!$C:$C,MATCH(BK51,'_names_lookup'!$A:$A,0)),"")</f>
        <v/>
      </c>
      <c r="BM51">
        <f>IFERROR(INDEX('_names_lookup'!$B:$B,MATCH(BK51,'_names_lookup'!$A:$A,0)),"")</f>
        <v/>
      </c>
      <c r="BS51">
        <f>IFERROR(IF(BR51*AA51=0,"",BR51*AA51),"")</f>
        <v/>
      </c>
    </row>
    <row r="52">
      <c r="O52">
        <f>IFERROR(INDEX('_courses_lookup'!$C:$C,MATCH(K52&amp;L52,'_courses_lookup'!$E:$E,0)),"")</f>
        <v/>
      </c>
      <c r="P52">
        <f>IFERROR(INDEX('_courses_lookup'!$D:$D,MATCH(K52&amp;L52,'_courses_lookup'!$E:$E,0)),"")</f>
        <v/>
      </c>
      <c r="AG52">
        <f>IF(AND(AE52&lt;&gt;"",AF52&lt;&gt;""),ROUNDUP((AF52-AE52)/7,0),"")</f>
        <v/>
      </c>
      <c r="AI52">
        <f>IFERROR(IF(AG52*AH52=0,"",AG52*AH52),"")</f>
        <v/>
      </c>
      <c r="AL52">
        <f>IF(AND(AJ52&lt;&gt;"",AK52&lt;&gt;""),ROUNDUP((AK52-AJ52)/7,0),"")</f>
        <v/>
      </c>
      <c r="AN52">
        <f>IFERROR(IF(AL52*AM52=0,"",AL52*AM52),"")</f>
        <v/>
      </c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L52">
        <f>IFERROR(INDEX('_names_lookup'!$C:$C,MATCH(BK52,'_names_lookup'!$A:$A,0)),"")</f>
        <v/>
      </c>
      <c r="BM52">
        <f>IFERROR(INDEX('_names_lookup'!$B:$B,MATCH(BK52,'_names_lookup'!$A:$A,0)),"")</f>
        <v/>
      </c>
      <c r="BS52">
        <f>IFERROR(IF(BR52*AA52=0,"",BR52*AA52),"")</f>
        <v/>
      </c>
    </row>
    <row r="53">
      <c r="O53">
        <f>IFERROR(INDEX('_courses_lookup'!$C:$C,MATCH(K53&amp;L53,'_courses_lookup'!$E:$E,0)),"")</f>
        <v/>
      </c>
      <c r="P53">
        <f>IFERROR(INDEX('_courses_lookup'!$D:$D,MATCH(K53&amp;L53,'_courses_lookup'!$E:$E,0)),"")</f>
        <v/>
      </c>
      <c r="AG53">
        <f>IF(AND(AE53&lt;&gt;"",AF53&lt;&gt;""),ROUNDUP((AF53-AE53)/7,0),"")</f>
        <v/>
      </c>
      <c r="AI53">
        <f>IFERROR(IF(AG53*AH53=0,"",AG53*AH53),"")</f>
        <v/>
      </c>
      <c r="AL53">
        <f>IF(AND(AJ53&lt;&gt;"",AK53&lt;&gt;""),ROUNDUP((AK53-AJ53)/7,0),"")</f>
        <v/>
      </c>
      <c r="AN53">
        <f>IFERROR(IF(AL53*AM53=0,"",AL53*AM53),"")</f>
        <v/>
      </c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L53">
        <f>IFERROR(INDEX('_names_lookup'!$C:$C,MATCH(BK53,'_names_lookup'!$A:$A,0)),"")</f>
        <v/>
      </c>
      <c r="BM53">
        <f>IFERROR(INDEX('_names_lookup'!$B:$B,MATCH(BK53,'_names_lookup'!$A:$A,0)),"")</f>
        <v/>
      </c>
      <c r="BS53">
        <f>IFERROR(IF(BR53*AA53=0,"",BR53*AA53),"")</f>
        <v/>
      </c>
    </row>
    <row r="54">
      <c r="O54">
        <f>IFERROR(INDEX('_courses_lookup'!$C:$C,MATCH(K54&amp;L54,'_courses_lookup'!$E:$E,0)),"")</f>
        <v/>
      </c>
      <c r="P54">
        <f>IFERROR(INDEX('_courses_lookup'!$D:$D,MATCH(K54&amp;L54,'_courses_lookup'!$E:$E,0)),"")</f>
        <v/>
      </c>
      <c r="AG54">
        <f>IF(AND(AE54&lt;&gt;"",AF54&lt;&gt;""),ROUNDUP((AF54-AE54)/7,0),"")</f>
        <v/>
      </c>
      <c r="AI54">
        <f>IFERROR(IF(AG54*AH54=0,"",AG54*AH54),"")</f>
        <v/>
      </c>
      <c r="AL54">
        <f>IF(AND(AJ54&lt;&gt;"",AK54&lt;&gt;""),ROUNDUP((AK54-AJ54)/7,0),"")</f>
        <v/>
      </c>
      <c r="AN54">
        <f>IFERROR(IF(AL54*AM54=0,"",AL54*AM54),"")</f>
        <v/>
      </c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L54">
        <f>IFERROR(INDEX('_names_lookup'!$C:$C,MATCH(BK54,'_names_lookup'!$A:$A,0)),"")</f>
        <v/>
      </c>
      <c r="BM54">
        <f>IFERROR(INDEX('_names_lookup'!$B:$B,MATCH(BK54,'_names_lookup'!$A:$A,0)),"")</f>
        <v/>
      </c>
      <c r="BS54">
        <f>IFERROR(IF(BR54*AA54=0,"",BR54*AA54),"")</f>
        <v/>
      </c>
    </row>
    <row r="55">
      <c r="O55">
        <f>IFERROR(INDEX('_courses_lookup'!$C:$C,MATCH(K55&amp;L55,'_courses_lookup'!$E:$E,0)),"")</f>
        <v/>
      </c>
      <c r="P55">
        <f>IFERROR(INDEX('_courses_lookup'!$D:$D,MATCH(K55&amp;L55,'_courses_lookup'!$E:$E,0)),"")</f>
        <v/>
      </c>
      <c r="AG55">
        <f>IF(AND(AE55&lt;&gt;"",AF55&lt;&gt;""),ROUNDUP((AF55-AE55)/7,0),"")</f>
        <v/>
      </c>
      <c r="AI55">
        <f>IFERROR(IF(AG55*AH55=0,"",AG55*AH55),"")</f>
        <v/>
      </c>
      <c r="AL55">
        <f>IF(AND(AJ55&lt;&gt;"",AK55&lt;&gt;""),ROUNDUP((AK55-AJ55)/7,0),"")</f>
        <v/>
      </c>
      <c r="AN55">
        <f>IFERROR(IF(AL55*AM55=0,"",AL55*AM55),"")</f>
        <v/>
      </c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L55">
        <f>IFERROR(INDEX('_names_lookup'!$C:$C,MATCH(BK55,'_names_lookup'!$A:$A,0)),"")</f>
        <v/>
      </c>
      <c r="BM55">
        <f>IFERROR(INDEX('_names_lookup'!$B:$B,MATCH(BK55,'_names_lookup'!$A:$A,0)),"")</f>
        <v/>
      </c>
      <c r="BS55">
        <f>IFERROR(IF(BR55*AA55=0,"",BR55*AA55),"")</f>
        <v/>
      </c>
    </row>
    <row r="56">
      <c r="O56">
        <f>IFERROR(INDEX('_courses_lookup'!$C:$C,MATCH(K56&amp;L56,'_courses_lookup'!$E:$E,0)),"")</f>
        <v/>
      </c>
      <c r="P56">
        <f>IFERROR(INDEX('_courses_lookup'!$D:$D,MATCH(K56&amp;L56,'_courses_lookup'!$E:$E,0)),"")</f>
        <v/>
      </c>
      <c r="AG56">
        <f>IF(AND(AE56&lt;&gt;"",AF56&lt;&gt;""),ROUNDUP((AF56-AE56)/7,0),"")</f>
        <v/>
      </c>
      <c r="AI56">
        <f>IFERROR(IF(AG56*AH56=0,"",AG56*AH56),"")</f>
        <v/>
      </c>
      <c r="AL56">
        <f>IF(AND(AJ56&lt;&gt;"",AK56&lt;&gt;""),ROUNDUP((AK56-AJ56)/7,0),"")</f>
        <v/>
      </c>
      <c r="AN56">
        <f>IFERROR(IF(AL56*AM56=0,"",AL56*AM56),"")</f>
        <v/>
      </c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L56">
        <f>IFERROR(INDEX('_names_lookup'!$C:$C,MATCH(BK56,'_names_lookup'!$A:$A,0)),"")</f>
        <v/>
      </c>
      <c r="BM56">
        <f>IFERROR(INDEX('_names_lookup'!$B:$B,MATCH(BK56,'_names_lookup'!$A:$A,0)),"")</f>
        <v/>
      </c>
      <c r="BS56">
        <f>IFERROR(IF(BR56*AA56=0,"",BR56*AA56),"")</f>
        <v/>
      </c>
    </row>
    <row r="57">
      <c r="O57">
        <f>IFERROR(INDEX('_courses_lookup'!$C:$C,MATCH(K57&amp;L57,'_courses_lookup'!$E:$E,0)),"")</f>
        <v/>
      </c>
      <c r="P57">
        <f>IFERROR(INDEX('_courses_lookup'!$D:$D,MATCH(K57&amp;L57,'_courses_lookup'!$E:$E,0)),"")</f>
        <v/>
      </c>
      <c r="AG57">
        <f>IF(AND(AE57&lt;&gt;"",AF57&lt;&gt;""),ROUNDUP((AF57-AE57)/7,0),"")</f>
        <v/>
      </c>
      <c r="AI57">
        <f>IFERROR(IF(AG57*AH57=0,"",AG57*AH57),"")</f>
        <v/>
      </c>
      <c r="AL57">
        <f>IF(AND(AJ57&lt;&gt;"",AK57&lt;&gt;""),ROUNDUP((AK57-AJ57)/7,0),"")</f>
        <v/>
      </c>
      <c r="AN57">
        <f>IFERROR(IF(AL57*AM57=0,"",AL57*AM57),"")</f>
        <v/>
      </c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L57">
        <f>IFERROR(INDEX('_names_lookup'!$C:$C,MATCH(BK57,'_names_lookup'!$A:$A,0)),"")</f>
        <v/>
      </c>
      <c r="BM57">
        <f>IFERROR(INDEX('_names_lookup'!$B:$B,MATCH(BK57,'_names_lookup'!$A:$A,0)),"")</f>
        <v/>
      </c>
      <c r="BS57">
        <f>IFERROR(IF(BR57*AA57=0,"",BR57*AA57),"")</f>
        <v/>
      </c>
    </row>
    <row r="58">
      <c r="O58">
        <f>IFERROR(INDEX('_courses_lookup'!$C:$C,MATCH(K58&amp;L58,'_courses_lookup'!$E:$E,0)),"")</f>
        <v/>
      </c>
      <c r="P58">
        <f>IFERROR(INDEX('_courses_lookup'!$D:$D,MATCH(K58&amp;L58,'_courses_lookup'!$E:$E,0)),"")</f>
        <v/>
      </c>
      <c r="AG58">
        <f>IF(AND(AE58&lt;&gt;"",AF58&lt;&gt;""),ROUNDUP((AF58-AE58)/7,0),"")</f>
        <v/>
      </c>
      <c r="AI58">
        <f>IFERROR(IF(AG58*AH58=0,"",AG58*AH58),"")</f>
        <v/>
      </c>
      <c r="AL58">
        <f>IF(AND(AJ58&lt;&gt;"",AK58&lt;&gt;""),ROUNDUP((AK58-AJ58)/7,0),"")</f>
        <v/>
      </c>
      <c r="AN58">
        <f>IFERROR(IF(AL58*AM58=0,"",AL58*AM58),"")</f>
        <v/>
      </c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L58">
        <f>IFERROR(INDEX('_names_lookup'!$C:$C,MATCH(BK58,'_names_lookup'!$A:$A,0)),"")</f>
        <v/>
      </c>
      <c r="BM58">
        <f>IFERROR(INDEX('_names_lookup'!$B:$B,MATCH(BK58,'_names_lookup'!$A:$A,0)),"")</f>
        <v/>
      </c>
      <c r="BS58">
        <f>IFERROR(IF(BR58*AA58=0,"",BR58*AA58),"")</f>
        <v/>
      </c>
    </row>
    <row r="59">
      <c r="O59">
        <f>IFERROR(INDEX('_courses_lookup'!$C:$C,MATCH(K59&amp;L59,'_courses_lookup'!$E:$E,0)),"")</f>
        <v/>
      </c>
      <c r="P59">
        <f>IFERROR(INDEX('_courses_lookup'!$D:$D,MATCH(K59&amp;L59,'_courses_lookup'!$E:$E,0)),"")</f>
        <v/>
      </c>
      <c r="AG59">
        <f>IF(AND(AE59&lt;&gt;"",AF59&lt;&gt;""),ROUNDUP((AF59-AE59)/7,0),"")</f>
        <v/>
      </c>
      <c r="AI59">
        <f>IFERROR(IF(AG59*AH59=0,"",AG59*AH59),"")</f>
        <v/>
      </c>
      <c r="AL59">
        <f>IF(AND(AJ59&lt;&gt;"",AK59&lt;&gt;""),ROUNDUP((AK59-AJ59)/7,0),"")</f>
        <v/>
      </c>
      <c r="AN59">
        <f>IFERROR(IF(AL59*AM59=0,"",AL59*AM59),"")</f>
        <v/>
      </c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L59">
        <f>IFERROR(INDEX('_names_lookup'!$C:$C,MATCH(BK59,'_names_lookup'!$A:$A,0)),"")</f>
        <v/>
      </c>
      <c r="BM59">
        <f>IFERROR(INDEX('_names_lookup'!$B:$B,MATCH(BK59,'_names_lookup'!$A:$A,0)),"")</f>
        <v/>
      </c>
      <c r="BS59">
        <f>IFERROR(IF(BR59*AA59=0,"",BR59*AA59),"")</f>
        <v/>
      </c>
    </row>
    <row r="60">
      <c r="O60">
        <f>IFERROR(INDEX('_courses_lookup'!$C:$C,MATCH(K60&amp;L60,'_courses_lookup'!$E:$E,0)),"")</f>
        <v/>
      </c>
      <c r="P60">
        <f>IFERROR(INDEX('_courses_lookup'!$D:$D,MATCH(K60&amp;L60,'_courses_lookup'!$E:$E,0)),"")</f>
        <v/>
      </c>
      <c r="AG60">
        <f>IF(AND(AE60&lt;&gt;"",AF60&lt;&gt;""),ROUNDUP((AF60-AE60)/7,0),"")</f>
        <v/>
      </c>
      <c r="AI60">
        <f>IFERROR(IF(AG60*AH60=0,"",AG60*AH60),"")</f>
        <v/>
      </c>
      <c r="AL60">
        <f>IF(AND(AJ60&lt;&gt;"",AK60&lt;&gt;""),ROUNDUP((AK60-AJ60)/7,0),"")</f>
        <v/>
      </c>
      <c r="AN60">
        <f>IFERROR(IF(AL60*AM60=0,"",AL60*AM60),"")</f>
        <v/>
      </c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L60">
        <f>IFERROR(INDEX('_names_lookup'!$C:$C,MATCH(BK60,'_names_lookup'!$A:$A,0)),"")</f>
        <v/>
      </c>
      <c r="BM60">
        <f>IFERROR(INDEX('_names_lookup'!$B:$B,MATCH(BK60,'_names_lookup'!$A:$A,0)),"")</f>
        <v/>
      </c>
      <c r="BS60">
        <f>IFERROR(IF(BR60*AA60=0,"",BR60*AA60),"")</f>
        <v/>
      </c>
    </row>
    <row r="61">
      <c r="O61">
        <f>IFERROR(INDEX('_courses_lookup'!$C:$C,MATCH(K61&amp;L61,'_courses_lookup'!$E:$E,0)),"")</f>
        <v/>
      </c>
      <c r="P61">
        <f>IFERROR(INDEX('_courses_lookup'!$D:$D,MATCH(K61&amp;L61,'_courses_lookup'!$E:$E,0)),"")</f>
        <v/>
      </c>
      <c r="AG61">
        <f>IF(AND(AE61&lt;&gt;"",AF61&lt;&gt;""),ROUNDUP((AF61-AE61)/7,0),"")</f>
        <v/>
      </c>
      <c r="AI61">
        <f>IFERROR(IF(AG61*AH61=0,"",AG61*AH61),"")</f>
        <v/>
      </c>
      <c r="AL61">
        <f>IF(AND(AJ61&lt;&gt;"",AK61&lt;&gt;""),ROUNDUP((AK61-AJ61)/7,0),"")</f>
        <v/>
      </c>
      <c r="AN61">
        <f>IFERROR(IF(AL61*AM61=0,"",AL61*AM61),"")</f>
        <v/>
      </c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L61">
        <f>IFERROR(INDEX('_names_lookup'!$C:$C,MATCH(BK61,'_names_lookup'!$A:$A,0)),"")</f>
        <v/>
      </c>
      <c r="BM61">
        <f>IFERROR(INDEX('_names_lookup'!$B:$B,MATCH(BK61,'_names_lookup'!$A:$A,0)),"")</f>
        <v/>
      </c>
      <c r="BS61">
        <f>IFERROR(IF(BR61*AA61=0,"",BR61*AA61),"")</f>
        <v/>
      </c>
    </row>
    <row r="62">
      <c r="O62">
        <f>IFERROR(INDEX('_courses_lookup'!$C:$C,MATCH(K62&amp;L62,'_courses_lookup'!$E:$E,0)),"")</f>
        <v/>
      </c>
      <c r="P62">
        <f>IFERROR(INDEX('_courses_lookup'!$D:$D,MATCH(K62&amp;L62,'_courses_lookup'!$E:$E,0)),"")</f>
        <v/>
      </c>
      <c r="AG62">
        <f>IF(AND(AE62&lt;&gt;"",AF62&lt;&gt;""),ROUNDUP((AF62-AE62)/7,0),"")</f>
        <v/>
      </c>
      <c r="AI62">
        <f>IFERROR(IF(AG62*AH62=0,"",AG62*AH62),"")</f>
        <v/>
      </c>
      <c r="AL62">
        <f>IF(AND(AJ62&lt;&gt;"",AK62&lt;&gt;""),ROUNDUP((AK62-AJ62)/7,0),"")</f>
        <v/>
      </c>
      <c r="AN62">
        <f>IFERROR(IF(AL62*AM62=0,"",AL62*AM62),"")</f>
        <v/>
      </c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L62">
        <f>IFERROR(INDEX('_names_lookup'!$C:$C,MATCH(BK62,'_names_lookup'!$A:$A,0)),"")</f>
        <v/>
      </c>
      <c r="BM62">
        <f>IFERROR(INDEX('_names_lookup'!$B:$B,MATCH(BK62,'_names_lookup'!$A:$A,0)),"")</f>
        <v/>
      </c>
      <c r="BS62">
        <f>IFERROR(IF(BR62*AA62=0,"",BR62*AA62),"")</f>
        <v/>
      </c>
    </row>
    <row r="63">
      <c r="O63">
        <f>IFERROR(INDEX('_courses_lookup'!$C:$C,MATCH(K63&amp;L63,'_courses_lookup'!$E:$E,0)),"")</f>
        <v/>
      </c>
      <c r="P63">
        <f>IFERROR(INDEX('_courses_lookup'!$D:$D,MATCH(K63&amp;L63,'_courses_lookup'!$E:$E,0)),"")</f>
        <v/>
      </c>
      <c r="AG63">
        <f>IF(AND(AE63&lt;&gt;"",AF63&lt;&gt;""),ROUNDUP((AF63-AE63)/7,0),"")</f>
        <v/>
      </c>
      <c r="AI63">
        <f>IFERROR(IF(AG63*AH63=0,"",AG63*AH63),"")</f>
        <v/>
      </c>
      <c r="AL63">
        <f>IF(AND(AJ63&lt;&gt;"",AK63&lt;&gt;""),ROUNDUP((AK63-AJ63)/7,0),"")</f>
        <v/>
      </c>
      <c r="AN63">
        <f>IFERROR(IF(AL63*AM63=0,"",AL63*AM63),"")</f>
        <v/>
      </c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L63">
        <f>IFERROR(INDEX('_names_lookup'!$C:$C,MATCH(BK63,'_names_lookup'!$A:$A,0)),"")</f>
        <v/>
      </c>
      <c r="BM63">
        <f>IFERROR(INDEX('_names_lookup'!$B:$B,MATCH(BK63,'_names_lookup'!$A:$A,0)),"")</f>
        <v/>
      </c>
      <c r="BS63">
        <f>IFERROR(IF(BR63*AA63=0,"",BR63*AA63),"")</f>
        <v/>
      </c>
    </row>
    <row r="64">
      <c r="O64">
        <f>IFERROR(INDEX('_courses_lookup'!$C:$C,MATCH(K64&amp;L64,'_courses_lookup'!$E:$E,0)),"")</f>
        <v/>
      </c>
      <c r="P64">
        <f>IFERROR(INDEX('_courses_lookup'!$D:$D,MATCH(K64&amp;L64,'_courses_lookup'!$E:$E,0)),"")</f>
        <v/>
      </c>
      <c r="AG64">
        <f>IF(AND(AE64&lt;&gt;"",AF64&lt;&gt;""),ROUNDUP((AF64-AE64)/7,0),"")</f>
        <v/>
      </c>
      <c r="AI64">
        <f>IFERROR(IF(AG64*AH64=0,"",AG64*AH64),"")</f>
        <v/>
      </c>
      <c r="AL64">
        <f>IF(AND(AJ64&lt;&gt;"",AK64&lt;&gt;""),ROUNDUP((AK64-AJ64)/7,0),"")</f>
        <v/>
      </c>
      <c r="AN64">
        <f>IFERROR(IF(AL64*AM64=0,"",AL64*AM64),"")</f>
        <v/>
      </c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L64">
        <f>IFERROR(INDEX('_names_lookup'!$C:$C,MATCH(BK64,'_names_lookup'!$A:$A,0)),"")</f>
        <v/>
      </c>
      <c r="BM64">
        <f>IFERROR(INDEX('_names_lookup'!$B:$B,MATCH(BK64,'_names_lookup'!$A:$A,0)),"")</f>
        <v/>
      </c>
      <c r="BS64">
        <f>IFERROR(IF(BR64*AA64=0,"",BR64*AA64),"")</f>
        <v/>
      </c>
    </row>
    <row r="65">
      <c r="O65">
        <f>IFERROR(INDEX('_courses_lookup'!$C:$C,MATCH(K65&amp;L65,'_courses_lookup'!$E:$E,0)),"")</f>
        <v/>
      </c>
      <c r="P65">
        <f>IFERROR(INDEX('_courses_lookup'!$D:$D,MATCH(K65&amp;L65,'_courses_lookup'!$E:$E,0)),"")</f>
        <v/>
      </c>
      <c r="AG65">
        <f>IF(AND(AE65&lt;&gt;"",AF65&lt;&gt;""),ROUNDUP((AF65-AE65)/7,0),"")</f>
        <v/>
      </c>
      <c r="AI65">
        <f>IFERROR(IF(AG65*AH65=0,"",AG65*AH65),"")</f>
        <v/>
      </c>
      <c r="AL65">
        <f>IF(AND(AJ65&lt;&gt;"",AK65&lt;&gt;""),ROUNDUP((AK65-AJ65)/7,0),"")</f>
        <v/>
      </c>
      <c r="AN65">
        <f>IFERROR(IF(AL65*AM65=0,"",AL65*AM65),"")</f>
        <v/>
      </c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L65">
        <f>IFERROR(INDEX('_names_lookup'!$C:$C,MATCH(BK65,'_names_lookup'!$A:$A,0)),"")</f>
        <v/>
      </c>
      <c r="BM65">
        <f>IFERROR(INDEX('_names_lookup'!$B:$B,MATCH(BK65,'_names_lookup'!$A:$A,0)),"")</f>
        <v/>
      </c>
      <c r="BS65">
        <f>IFERROR(IF(BR65*AA65=0,"",BR65*AA65),"")</f>
        <v/>
      </c>
    </row>
    <row r="66">
      <c r="O66">
        <f>IFERROR(INDEX('_courses_lookup'!$C:$C,MATCH(K66&amp;L66,'_courses_lookup'!$E:$E,0)),"")</f>
        <v/>
      </c>
      <c r="P66">
        <f>IFERROR(INDEX('_courses_lookup'!$D:$D,MATCH(K66&amp;L66,'_courses_lookup'!$E:$E,0)),"")</f>
        <v/>
      </c>
      <c r="AG66">
        <f>IF(AND(AE66&lt;&gt;"",AF66&lt;&gt;""),ROUNDUP((AF66-AE66)/7,0),"")</f>
        <v/>
      </c>
      <c r="AI66">
        <f>IFERROR(IF(AG66*AH66=0,"",AG66*AH66),"")</f>
        <v/>
      </c>
      <c r="AL66">
        <f>IF(AND(AJ66&lt;&gt;"",AK66&lt;&gt;""),ROUNDUP((AK66-AJ66)/7,0),"")</f>
        <v/>
      </c>
      <c r="AN66">
        <f>IFERROR(IF(AL66*AM66=0,"",AL66*AM66),"")</f>
        <v/>
      </c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L66">
        <f>IFERROR(INDEX('_names_lookup'!$C:$C,MATCH(BK66,'_names_lookup'!$A:$A,0)),"")</f>
        <v/>
      </c>
      <c r="BM66">
        <f>IFERROR(INDEX('_names_lookup'!$B:$B,MATCH(BK66,'_names_lookup'!$A:$A,0)),"")</f>
        <v/>
      </c>
      <c r="BS66">
        <f>IFERROR(IF(BR66*AA66=0,"",BR66*AA66),"")</f>
        <v/>
      </c>
    </row>
    <row r="67">
      <c r="O67">
        <f>IFERROR(INDEX('_courses_lookup'!$C:$C,MATCH(K67&amp;L67,'_courses_lookup'!$E:$E,0)),"")</f>
        <v/>
      </c>
      <c r="P67">
        <f>IFERROR(INDEX('_courses_lookup'!$D:$D,MATCH(K67&amp;L67,'_courses_lookup'!$E:$E,0)),"")</f>
        <v/>
      </c>
      <c r="AG67">
        <f>IF(AND(AE67&lt;&gt;"",AF67&lt;&gt;""),ROUNDUP((AF67-AE67)/7,0),"")</f>
        <v/>
      </c>
      <c r="AI67">
        <f>IFERROR(IF(AG67*AH67=0,"",AG67*AH67),"")</f>
        <v/>
      </c>
      <c r="AL67">
        <f>IF(AND(AJ67&lt;&gt;"",AK67&lt;&gt;""),ROUNDUP((AK67-AJ67)/7,0),"")</f>
        <v/>
      </c>
      <c r="AN67">
        <f>IFERROR(IF(AL67*AM67=0,"",AL67*AM67),"")</f>
        <v/>
      </c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L67">
        <f>IFERROR(INDEX('_names_lookup'!$C:$C,MATCH(BK67,'_names_lookup'!$A:$A,0)),"")</f>
        <v/>
      </c>
      <c r="BM67">
        <f>IFERROR(INDEX('_names_lookup'!$B:$B,MATCH(BK67,'_names_lookup'!$A:$A,0)),"")</f>
        <v/>
      </c>
      <c r="BS67">
        <f>IFERROR(IF(BR67*AA67=0,"",BR67*AA67),"")</f>
        <v/>
      </c>
    </row>
    <row r="68">
      <c r="O68">
        <f>IFERROR(INDEX('_courses_lookup'!$C:$C,MATCH(K68&amp;L68,'_courses_lookup'!$E:$E,0)),"")</f>
        <v/>
      </c>
      <c r="P68">
        <f>IFERROR(INDEX('_courses_lookup'!$D:$D,MATCH(K68&amp;L68,'_courses_lookup'!$E:$E,0)),"")</f>
        <v/>
      </c>
      <c r="AG68">
        <f>IF(AND(AE68&lt;&gt;"",AF68&lt;&gt;""),ROUNDUP((AF68-AE68)/7,0),"")</f>
        <v/>
      </c>
      <c r="AI68">
        <f>IFERROR(IF(AG68*AH68=0,"",AG68*AH68),"")</f>
        <v/>
      </c>
      <c r="AL68">
        <f>IF(AND(AJ68&lt;&gt;"",AK68&lt;&gt;""),ROUNDUP((AK68-AJ68)/7,0),"")</f>
        <v/>
      </c>
      <c r="AN68">
        <f>IFERROR(IF(AL68*AM68=0,"",AL68*AM68),"")</f>
        <v/>
      </c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L68">
        <f>IFERROR(INDEX('_names_lookup'!$C:$C,MATCH(BK68,'_names_lookup'!$A:$A,0)),"")</f>
        <v/>
      </c>
      <c r="BM68">
        <f>IFERROR(INDEX('_names_lookup'!$B:$B,MATCH(BK68,'_names_lookup'!$A:$A,0)),"")</f>
        <v/>
      </c>
      <c r="BS68">
        <f>IFERROR(IF(BR68*AA68=0,"",BR68*AA68),"")</f>
        <v/>
      </c>
    </row>
    <row r="69">
      <c r="O69">
        <f>IFERROR(INDEX('_courses_lookup'!$C:$C,MATCH(K69&amp;L69,'_courses_lookup'!$E:$E,0)),"")</f>
        <v/>
      </c>
      <c r="P69">
        <f>IFERROR(INDEX('_courses_lookup'!$D:$D,MATCH(K69&amp;L69,'_courses_lookup'!$E:$E,0)),"")</f>
        <v/>
      </c>
      <c r="AG69">
        <f>IF(AND(AE69&lt;&gt;"",AF69&lt;&gt;""),ROUNDUP((AF69-AE69)/7,0),"")</f>
        <v/>
      </c>
      <c r="AI69">
        <f>IFERROR(IF(AG69*AH69=0,"",AG69*AH69),"")</f>
        <v/>
      </c>
      <c r="AL69">
        <f>IF(AND(AJ69&lt;&gt;"",AK69&lt;&gt;""),ROUNDUP((AK69-AJ69)/7,0),"")</f>
        <v/>
      </c>
      <c r="AN69">
        <f>IFERROR(IF(AL69*AM69=0,"",AL69*AM69),"")</f>
        <v/>
      </c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L69">
        <f>IFERROR(INDEX('_names_lookup'!$C:$C,MATCH(BK69,'_names_lookup'!$A:$A,0)),"")</f>
        <v/>
      </c>
      <c r="BM69">
        <f>IFERROR(INDEX('_names_lookup'!$B:$B,MATCH(BK69,'_names_lookup'!$A:$A,0)),"")</f>
        <v/>
      </c>
      <c r="BS69">
        <f>IFERROR(IF(BR69*AA69=0,"",BR69*AA69),"")</f>
        <v/>
      </c>
    </row>
    <row r="70">
      <c r="O70">
        <f>IFERROR(INDEX('_courses_lookup'!$C:$C,MATCH(K70&amp;L70,'_courses_lookup'!$E:$E,0)),"")</f>
        <v/>
      </c>
      <c r="P70">
        <f>IFERROR(INDEX('_courses_lookup'!$D:$D,MATCH(K70&amp;L70,'_courses_lookup'!$E:$E,0)),"")</f>
        <v/>
      </c>
      <c r="AG70">
        <f>IF(AND(AE70&lt;&gt;"",AF70&lt;&gt;""),ROUNDUP((AF70-AE70)/7,0),"")</f>
        <v/>
      </c>
      <c r="AI70">
        <f>IFERROR(IF(AG70*AH70=0,"",AG70*AH70),"")</f>
        <v/>
      </c>
      <c r="AL70">
        <f>IF(AND(AJ70&lt;&gt;"",AK70&lt;&gt;""),ROUNDUP((AK70-AJ70)/7,0),"")</f>
        <v/>
      </c>
      <c r="AN70">
        <f>IFERROR(IF(AL70*AM70=0,"",AL70*AM70),"")</f>
        <v/>
      </c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L70">
        <f>IFERROR(INDEX('_names_lookup'!$C:$C,MATCH(BK70,'_names_lookup'!$A:$A,0)),"")</f>
        <v/>
      </c>
      <c r="BM70">
        <f>IFERROR(INDEX('_names_lookup'!$B:$B,MATCH(BK70,'_names_lookup'!$A:$A,0)),"")</f>
        <v/>
      </c>
      <c r="BS70">
        <f>IFERROR(IF(BR70*AA70=0,"",BR70*AA70),"")</f>
        <v/>
      </c>
    </row>
    <row r="71">
      <c r="O71">
        <f>IFERROR(INDEX('_courses_lookup'!$C:$C,MATCH(K71&amp;L71,'_courses_lookup'!$E:$E,0)),"")</f>
        <v/>
      </c>
      <c r="P71">
        <f>IFERROR(INDEX('_courses_lookup'!$D:$D,MATCH(K71&amp;L71,'_courses_lookup'!$E:$E,0)),"")</f>
        <v/>
      </c>
      <c r="AG71">
        <f>IF(AND(AE71&lt;&gt;"",AF71&lt;&gt;""),ROUNDUP((AF71-AE71)/7,0),"")</f>
        <v/>
      </c>
      <c r="AI71">
        <f>IFERROR(IF(AG71*AH71=0,"",AG71*AH71),"")</f>
        <v/>
      </c>
      <c r="AL71">
        <f>IF(AND(AJ71&lt;&gt;"",AK71&lt;&gt;""),ROUNDUP((AK71-AJ71)/7,0),"")</f>
        <v/>
      </c>
      <c r="AN71">
        <f>IFERROR(IF(AL71*AM71=0,"",AL71*AM71),"")</f>
        <v/>
      </c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L71">
        <f>IFERROR(INDEX('_names_lookup'!$C:$C,MATCH(BK71,'_names_lookup'!$A:$A,0)),"")</f>
        <v/>
      </c>
      <c r="BM71">
        <f>IFERROR(INDEX('_names_lookup'!$B:$B,MATCH(BK71,'_names_lookup'!$A:$A,0)),"")</f>
        <v/>
      </c>
      <c r="BS71">
        <f>IFERROR(IF(BR71*AA71=0,"",BR71*AA71),"")</f>
        <v/>
      </c>
    </row>
    <row r="72">
      <c r="O72">
        <f>IFERROR(INDEX('_courses_lookup'!$C:$C,MATCH(K72&amp;L72,'_courses_lookup'!$E:$E,0)),"")</f>
        <v/>
      </c>
      <c r="P72">
        <f>IFERROR(INDEX('_courses_lookup'!$D:$D,MATCH(K72&amp;L72,'_courses_lookup'!$E:$E,0)),"")</f>
        <v/>
      </c>
      <c r="AG72">
        <f>IF(AND(AE72&lt;&gt;"",AF72&lt;&gt;""),ROUNDUP((AF72-AE72)/7,0),"")</f>
        <v/>
      </c>
      <c r="AI72">
        <f>IFERROR(IF(AG72*AH72=0,"",AG72*AH72),"")</f>
        <v/>
      </c>
      <c r="AL72">
        <f>IF(AND(AJ72&lt;&gt;"",AK72&lt;&gt;""),ROUNDUP((AK72-AJ72)/7,0),"")</f>
        <v/>
      </c>
      <c r="AN72">
        <f>IFERROR(IF(AL72*AM72=0,"",AL72*AM72),"")</f>
        <v/>
      </c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L72">
        <f>IFERROR(INDEX('_names_lookup'!$C:$C,MATCH(BK72,'_names_lookup'!$A:$A,0)),"")</f>
        <v/>
      </c>
      <c r="BM72">
        <f>IFERROR(INDEX('_names_lookup'!$B:$B,MATCH(BK72,'_names_lookup'!$A:$A,0)),"")</f>
        <v/>
      </c>
      <c r="BS72">
        <f>IFERROR(IF(BR72*AA72=0,"",BR72*AA72),"")</f>
        <v/>
      </c>
    </row>
    <row r="73">
      <c r="O73">
        <f>IFERROR(INDEX('_courses_lookup'!$C:$C,MATCH(K73&amp;L73,'_courses_lookup'!$E:$E,0)),"")</f>
        <v/>
      </c>
      <c r="P73">
        <f>IFERROR(INDEX('_courses_lookup'!$D:$D,MATCH(K73&amp;L73,'_courses_lookup'!$E:$E,0)),"")</f>
        <v/>
      </c>
      <c r="AG73">
        <f>IF(AND(AE73&lt;&gt;"",AF73&lt;&gt;""),ROUNDUP((AF73-AE73)/7,0),"")</f>
        <v/>
      </c>
      <c r="AI73">
        <f>IFERROR(IF(AG73*AH73=0,"",AG73*AH73),"")</f>
        <v/>
      </c>
      <c r="AL73">
        <f>IF(AND(AJ73&lt;&gt;"",AK73&lt;&gt;""),ROUNDUP((AK73-AJ73)/7,0),"")</f>
        <v/>
      </c>
      <c r="AN73">
        <f>IFERROR(IF(AL73*AM73=0,"",AL73*AM73),"")</f>
        <v/>
      </c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L73">
        <f>IFERROR(INDEX('_names_lookup'!$C:$C,MATCH(BK73,'_names_lookup'!$A:$A,0)),"")</f>
        <v/>
      </c>
      <c r="BM73">
        <f>IFERROR(INDEX('_names_lookup'!$B:$B,MATCH(BK73,'_names_lookup'!$A:$A,0)),"")</f>
        <v/>
      </c>
      <c r="BS73">
        <f>IFERROR(IF(BR73*AA73=0,"",BR73*AA73),"")</f>
        <v/>
      </c>
    </row>
    <row r="74">
      <c r="O74">
        <f>IFERROR(INDEX('_courses_lookup'!$C:$C,MATCH(K74&amp;L74,'_courses_lookup'!$E:$E,0)),"")</f>
        <v/>
      </c>
      <c r="P74">
        <f>IFERROR(INDEX('_courses_lookup'!$D:$D,MATCH(K74&amp;L74,'_courses_lookup'!$E:$E,0)),"")</f>
        <v/>
      </c>
      <c r="AG74">
        <f>IF(AND(AE74&lt;&gt;"",AF74&lt;&gt;""),ROUNDUP((AF74-AE74)/7,0),"")</f>
        <v/>
      </c>
      <c r="AI74">
        <f>IFERROR(IF(AG74*AH74=0,"",AG74*AH74),"")</f>
        <v/>
      </c>
      <c r="AL74">
        <f>IF(AND(AJ74&lt;&gt;"",AK74&lt;&gt;""),ROUNDUP((AK74-AJ74)/7,0),"")</f>
        <v/>
      </c>
      <c r="AN74">
        <f>IFERROR(IF(AL74*AM74=0,"",AL74*AM74),"")</f>
        <v/>
      </c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L74">
        <f>IFERROR(INDEX('_names_lookup'!$C:$C,MATCH(BK74,'_names_lookup'!$A:$A,0)),"")</f>
        <v/>
      </c>
      <c r="BM74">
        <f>IFERROR(INDEX('_names_lookup'!$B:$B,MATCH(BK74,'_names_lookup'!$A:$A,0)),"")</f>
        <v/>
      </c>
      <c r="BS74">
        <f>IFERROR(IF(BR74*AA74=0,"",BR74*AA74),"")</f>
        <v/>
      </c>
    </row>
    <row r="75">
      <c r="O75">
        <f>IFERROR(INDEX('_courses_lookup'!$C:$C,MATCH(K75&amp;L75,'_courses_lookup'!$E:$E,0)),"")</f>
        <v/>
      </c>
      <c r="P75">
        <f>IFERROR(INDEX('_courses_lookup'!$D:$D,MATCH(K75&amp;L75,'_courses_lookup'!$E:$E,0)),"")</f>
        <v/>
      </c>
      <c r="AG75">
        <f>IF(AND(AE75&lt;&gt;"",AF75&lt;&gt;""),ROUNDUP((AF75-AE75)/7,0),"")</f>
        <v/>
      </c>
      <c r="AI75">
        <f>IFERROR(IF(AG75*AH75=0,"",AG75*AH75),"")</f>
        <v/>
      </c>
      <c r="AL75">
        <f>IF(AND(AJ75&lt;&gt;"",AK75&lt;&gt;""),ROUNDUP((AK75-AJ75)/7,0),"")</f>
        <v/>
      </c>
      <c r="AN75">
        <f>IFERROR(IF(AL75*AM75=0,"",AL75*AM75),"")</f>
        <v/>
      </c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L75">
        <f>IFERROR(INDEX('_names_lookup'!$C:$C,MATCH(BK75,'_names_lookup'!$A:$A,0)),"")</f>
        <v/>
      </c>
      <c r="BM75">
        <f>IFERROR(INDEX('_names_lookup'!$B:$B,MATCH(BK75,'_names_lookup'!$A:$A,0)),"")</f>
        <v/>
      </c>
      <c r="BS75">
        <f>IFERROR(IF(BR75*AA75=0,"",BR75*AA75),"")</f>
        <v/>
      </c>
    </row>
    <row r="76">
      <c r="O76">
        <f>IFERROR(INDEX('_courses_lookup'!$C:$C,MATCH(K76&amp;L76,'_courses_lookup'!$E:$E,0)),"")</f>
        <v/>
      </c>
      <c r="P76">
        <f>IFERROR(INDEX('_courses_lookup'!$D:$D,MATCH(K76&amp;L76,'_courses_lookup'!$E:$E,0)),"")</f>
        <v/>
      </c>
      <c r="AG76">
        <f>IF(AND(AE76&lt;&gt;"",AF76&lt;&gt;""),ROUNDUP((AF76-AE76)/7,0),"")</f>
        <v/>
      </c>
      <c r="AI76">
        <f>IFERROR(IF(AG76*AH76=0,"",AG76*AH76),"")</f>
        <v/>
      </c>
      <c r="AL76">
        <f>IF(AND(AJ76&lt;&gt;"",AK76&lt;&gt;""),ROUNDUP((AK76-AJ76)/7,0),"")</f>
        <v/>
      </c>
      <c r="AN76">
        <f>IFERROR(IF(AL76*AM76=0,"",AL76*AM76),"")</f>
        <v/>
      </c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L76">
        <f>IFERROR(INDEX('_names_lookup'!$C:$C,MATCH(BK76,'_names_lookup'!$A:$A,0)),"")</f>
        <v/>
      </c>
      <c r="BM76">
        <f>IFERROR(INDEX('_names_lookup'!$B:$B,MATCH(BK76,'_names_lookup'!$A:$A,0)),"")</f>
        <v/>
      </c>
      <c r="BS76">
        <f>IFERROR(IF(BR76*AA76=0,"",BR76*AA76),"")</f>
        <v/>
      </c>
    </row>
    <row r="77">
      <c r="O77">
        <f>IFERROR(INDEX('_courses_lookup'!$C:$C,MATCH(K77&amp;L77,'_courses_lookup'!$E:$E,0)),"")</f>
        <v/>
      </c>
      <c r="P77">
        <f>IFERROR(INDEX('_courses_lookup'!$D:$D,MATCH(K77&amp;L77,'_courses_lookup'!$E:$E,0)),"")</f>
        <v/>
      </c>
      <c r="AG77">
        <f>IF(AND(AE77&lt;&gt;"",AF77&lt;&gt;""),ROUNDUP((AF77-AE77)/7,0),"")</f>
        <v/>
      </c>
      <c r="AI77">
        <f>IFERROR(IF(AG77*AH77=0,"",AG77*AH77),"")</f>
        <v/>
      </c>
      <c r="AL77">
        <f>IF(AND(AJ77&lt;&gt;"",AK77&lt;&gt;""),ROUNDUP((AK77-AJ77)/7,0),"")</f>
        <v/>
      </c>
      <c r="AN77">
        <f>IFERROR(IF(AL77*AM77=0,"",AL77*AM77),"")</f>
        <v/>
      </c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L77">
        <f>IFERROR(INDEX('_names_lookup'!$C:$C,MATCH(BK77,'_names_lookup'!$A:$A,0)),"")</f>
        <v/>
      </c>
      <c r="BM77">
        <f>IFERROR(INDEX('_names_lookup'!$B:$B,MATCH(BK77,'_names_lookup'!$A:$A,0)),"")</f>
        <v/>
      </c>
      <c r="BS77">
        <f>IFERROR(IF(BR77*AA77=0,"",BR77*AA77),"")</f>
        <v/>
      </c>
    </row>
    <row r="78">
      <c r="O78">
        <f>IFERROR(INDEX('_courses_lookup'!$C:$C,MATCH(K78&amp;L78,'_courses_lookup'!$E:$E,0)),"")</f>
        <v/>
      </c>
      <c r="P78">
        <f>IFERROR(INDEX('_courses_lookup'!$D:$D,MATCH(K78&amp;L78,'_courses_lookup'!$E:$E,0)),"")</f>
        <v/>
      </c>
      <c r="AG78">
        <f>IF(AND(AE78&lt;&gt;"",AF78&lt;&gt;""),ROUNDUP((AF78-AE78)/7,0),"")</f>
        <v/>
      </c>
      <c r="AI78">
        <f>IFERROR(IF(AG78*AH78=0,"",AG78*AH78),"")</f>
        <v/>
      </c>
      <c r="AL78">
        <f>IF(AND(AJ78&lt;&gt;"",AK78&lt;&gt;""),ROUNDUP((AK78-AJ78)/7,0),"")</f>
        <v/>
      </c>
      <c r="AN78">
        <f>IFERROR(IF(AL78*AM78=0,"",AL78*AM78),"")</f>
        <v/>
      </c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L78">
        <f>IFERROR(INDEX('_names_lookup'!$C:$C,MATCH(BK78,'_names_lookup'!$A:$A,0)),"")</f>
        <v/>
      </c>
      <c r="BM78">
        <f>IFERROR(INDEX('_names_lookup'!$B:$B,MATCH(BK78,'_names_lookup'!$A:$A,0)),"")</f>
        <v/>
      </c>
      <c r="BS78">
        <f>IFERROR(IF(BR78*AA78=0,"",BR78*AA78),"")</f>
        <v/>
      </c>
    </row>
    <row r="79">
      <c r="O79">
        <f>IFERROR(INDEX('_courses_lookup'!$C:$C,MATCH(K79&amp;L79,'_courses_lookup'!$E:$E,0)),"")</f>
        <v/>
      </c>
      <c r="P79">
        <f>IFERROR(INDEX('_courses_lookup'!$D:$D,MATCH(K79&amp;L79,'_courses_lookup'!$E:$E,0)),"")</f>
        <v/>
      </c>
      <c r="AG79">
        <f>IF(AND(AE79&lt;&gt;"",AF79&lt;&gt;""),ROUNDUP((AF79-AE79)/7,0),"")</f>
        <v/>
      </c>
      <c r="AI79">
        <f>IFERROR(IF(AG79*AH79=0,"",AG79*AH79),"")</f>
        <v/>
      </c>
      <c r="AL79">
        <f>IF(AND(AJ79&lt;&gt;"",AK79&lt;&gt;""),ROUNDUP((AK79-AJ79)/7,0),"")</f>
        <v/>
      </c>
      <c r="AN79">
        <f>IFERROR(IF(AL79*AM79=0,"",AL79*AM79),"")</f>
        <v/>
      </c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L79">
        <f>IFERROR(INDEX('_names_lookup'!$C:$C,MATCH(BK79,'_names_lookup'!$A:$A,0)),"")</f>
        <v/>
      </c>
      <c r="BM79">
        <f>IFERROR(INDEX('_names_lookup'!$B:$B,MATCH(BK79,'_names_lookup'!$A:$A,0)),"")</f>
        <v/>
      </c>
      <c r="BS79">
        <f>IFERROR(IF(BR79*AA79=0,"",BR79*AA79),"")</f>
        <v/>
      </c>
    </row>
    <row r="80">
      <c r="O80">
        <f>IFERROR(INDEX('_courses_lookup'!$C:$C,MATCH(K80&amp;L80,'_courses_lookup'!$E:$E,0)),"")</f>
        <v/>
      </c>
      <c r="P80">
        <f>IFERROR(INDEX('_courses_lookup'!$D:$D,MATCH(K80&amp;L80,'_courses_lookup'!$E:$E,0)),"")</f>
        <v/>
      </c>
      <c r="AG80">
        <f>IF(AND(AE80&lt;&gt;"",AF80&lt;&gt;""),ROUNDUP((AF80-AE80)/7,0),"")</f>
        <v/>
      </c>
      <c r="AI80">
        <f>IFERROR(IF(AG80*AH80=0,"",AG80*AH80),"")</f>
        <v/>
      </c>
      <c r="AL80">
        <f>IF(AND(AJ80&lt;&gt;"",AK80&lt;&gt;""),ROUNDUP((AK80-AJ80)/7,0),"")</f>
        <v/>
      </c>
      <c r="AN80">
        <f>IFERROR(IF(AL80*AM80=0,"",AL80*AM80),"")</f>
        <v/>
      </c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L80">
        <f>IFERROR(INDEX('_names_lookup'!$C:$C,MATCH(BK80,'_names_lookup'!$A:$A,0)),"")</f>
        <v/>
      </c>
      <c r="BM80">
        <f>IFERROR(INDEX('_names_lookup'!$B:$B,MATCH(BK80,'_names_lookup'!$A:$A,0)),"")</f>
        <v/>
      </c>
      <c r="BS80">
        <f>IFERROR(IF(BR80*AA80=0,"",BR80*AA80),"")</f>
        <v/>
      </c>
    </row>
    <row r="81">
      <c r="O81">
        <f>IFERROR(INDEX('_courses_lookup'!$C:$C,MATCH(K81&amp;L81,'_courses_lookup'!$E:$E,0)),"")</f>
        <v/>
      </c>
      <c r="P81">
        <f>IFERROR(INDEX('_courses_lookup'!$D:$D,MATCH(K81&amp;L81,'_courses_lookup'!$E:$E,0)),"")</f>
        <v/>
      </c>
      <c r="AG81">
        <f>IF(AND(AE81&lt;&gt;"",AF81&lt;&gt;""),ROUNDUP((AF81-AE81)/7,0),"")</f>
        <v/>
      </c>
      <c r="AI81">
        <f>IFERROR(IF(AG81*AH81=0,"",AG81*AH81),"")</f>
        <v/>
      </c>
      <c r="AL81">
        <f>IF(AND(AJ81&lt;&gt;"",AK81&lt;&gt;""),ROUNDUP((AK81-AJ81)/7,0),"")</f>
        <v/>
      </c>
      <c r="AN81">
        <f>IFERROR(IF(AL81*AM81=0,"",AL81*AM81),"")</f>
        <v/>
      </c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L81">
        <f>IFERROR(INDEX('_names_lookup'!$C:$C,MATCH(BK81,'_names_lookup'!$A:$A,0)),"")</f>
        <v/>
      </c>
      <c r="BM81">
        <f>IFERROR(INDEX('_names_lookup'!$B:$B,MATCH(BK81,'_names_lookup'!$A:$A,0)),"")</f>
        <v/>
      </c>
      <c r="BS81">
        <f>IFERROR(IF(BR81*AA81=0,"",BR81*AA81),"")</f>
        <v/>
      </c>
    </row>
    <row r="82">
      <c r="O82">
        <f>IFERROR(INDEX('_courses_lookup'!$C:$C,MATCH(K82&amp;L82,'_courses_lookup'!$E:$E,0)),"")</f>
        <v/>
      </c>
      <c r="P82">
        <f>IFERROR(INDEX('_courses_lookup'!$D:$D,MATCH(K82&amp;L82,'_courses_lookup'!$E:$E,0)),"")</f>
        <v/>
      </c>
      <c r="AG82">
        <f>IF(AND(AE82&lt;&gt;"",AF82&lt;&gt;""),ROUNDUP((AF82-AE82)/7,0),"")</f>
        <v/>
      </c>
      <c r="AI82">
        <f>IFERROR(IF(AG82*AH82=0,"",AG82*AH82),"")</f>
        <v/>
      </c>
      <c r="AL82">
        <f>IF(AND(AJ82&lt;&gt;"",AK82&lt;&gt;""),ROUNDUP((AK82-AJ82)/7,0),"")</f>
        <v/>
      </c>
      <c r="AN82">
        <f>IFERROR(IF(AL82*AM82=0,"",AL82*AM82),"")</f>
        <v/>
      </c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L82">
        <f>IFERROR(INDEX('_names_lookup'!$C:$C,MATCH(BK82,'_names_lookup'!$A:$A,0)),"")</f>
        <v/>
      </c>
      <c r="BM82">
        <f>IFERROR(INDEX('_names_lookup'!$B:$B,MATCH(BK82,'_names_lookup'!$A:$A,0)),"")</f>
        <v/>
      </c>
      <c r="BS82">
        <f>IFERROR(IF(BR82*AA82=0,"",BR82*AA82),"")</f>
        <v/>
      </c>
    </row>
    <row r="83">
      <c r="O83">
        <f>IFERROR(INDEX('_courses_lookup'!$C:$C,MATCH(K83&amp;L83,'_courses_lookup'!$E:$E,0)),"")</f>
        <v/>
      </c>
      <c r="P83">
        <f>IFERROR(INDEX('_courses_lookup'!$D:$D,MATCH(K83&amp;L83,'_courses_lookup'!$E:$E,0)),"")</f>
        <v/>
      </c>
      <c r="AG83">
        <f>IF(AND(AE83&lt;&gt;"",AF83&lt;&gt;""),ROUNDUP((AF83-AE83)/7,0),"")</f>
        <v/>
      </c>
      <c r="AI83">
        <f>IFERROR(IF(AG83*AH83=0,"",AG83*AH83),"")</f>
        <v/>
      </c>
      <c r="AL83">
        <f>IF(AND(AJ83&lt;&gt;"",AK83&lt;&gt;""),ROUNDUP((AK83-AJ83)/7,0),"")</f>
        <v/>
      </c>
      <c r="AN83">
        <f>IFERROR(IF(AL83*AM83=0,"",AL83*AM83),"")</f>
        <v/>
      </c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L83">
        <f>IFERROR(INDEX('_names_lookup'!$C:$C,MATCH(BK83,'_names_lookup'!$A:$A,0)),"")</f>
        <v/>
      </c>
      <c r="BM83">
        <f>IFERROR(INDEX('_names_lookup'!$B:$B,MATCH(BK83,'_names_lookup'!$A:$A,0)),"")</f>
        <v/>
      </c>
      <c r="BS83">
        <f>IFERROR(IF(BR83*AA83=0,"",BR83*AA83),"")</f>
        <v/>
      </c>
    </row>
    <row r="84">
      <c r="O84">
        <f>IFERROR(INDEX('_courses_lookup'!$C:$C,MATCH(K84&amp;L84,'_courses_lookup'!$E:$E,0)),"")</f>
        <v/>
      </c>
      <c r="P84">
        <f>IFERROR(INDEX('_courses_lookup'!$D:$D,MATCH(K84&amp;L84,'_courses_lookup'!$E:$E,0)),"")</f>
        <v/>
      </c>
      <c r="AG84">
        <f>IF(AND(AE84&lt;&gt;"",AF84&lt;&gt;""),ROUNDUP((AF84-AE84)/7,0),"")</f>
        <v/>
      </c>
      <c r="AI84">
        <f>IFERROR(IF(AG84*AH84=0,"",AG84*AH84),"")</f>
        <v/>
      </c>
      <c r="AL84">
        <f>IF(AND(AJ84&lt;&gt;"",AK84&lt;&gt;""),ROUNDUP((AK84-AJ84)/7,0),"")</f>
        <v/>
      </c>
      <c r="AN84">
        <f>IFERROR(IF(AL84*AM84=0,"",AL84*AM84),"")</f>
        <v/>
      </c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L84">
        <f>IFERROR(INDEX('_names_lookup'!$C:$C,MATCH(BK84,'_names_lookup'!$A:$A,0)),"")</f>
        <v/>
      </c>
      <c r="BM84">
        <f>IFERROR(INDEX('_names_lookup'!$B:$B,MATCH(BK84,'_names_lookup'!$A:$A,0)),"")</f>
        <v/>
      </c>
      <c r="BS84">
        <f>IFERROR(IF(BR84*AA84=0,"",BR84*AA84),"")</f>
        <v/>
      </c>
    </row>
    <row r="85">
      <c r="O85">
        <f>IFERROR(INDEX('_courses_lookup'!$C:$C,MATCH(K85&amp;L85,'_courses_lookup'!$E:$E,0)),"")</f>
        <v/>
      </c>
      <c r="P85">
        <f>IFERROR(INDEX('_courses_lookup'!$D:$D,MATCH(K85&amp;L85,'_courses_lookup'!$E:$E,0)),"")</f>
        <v/>
      </c>
      <c r="AG85">
        <f>IF(AND(AE85&lt;&gt;"",AF85&lt;&gt;""),ROUNDUP((AF85-AE85)/7,0),"")</f>
        <v/>
      </c>
      <c r="AI85">
        <f>IFERROR(IF(AG85*AH85=0,"",AG85*AH85),"")</f>
        <v/>
      </c>
      <c r="AL85">
        <f>IF(AND(AJ85&lt;&gt;"",AK85&lt;&gt;""),ROUNDUP((AK85-AJ85)/7,0),"")</f>
        <v/>
      </c>
      <c r="AN85">
        <f>IFERROR(IF(AL85*AM85=0,"",AL85*AM85),"")</f>
        <v/>
      </c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L85">
        <f>IFERROR(INDEX('_names_lookup'!$C:$C,MATCH(BK85,'_names_lookup'!$A:$A,0)),"")</f>
        <v/>
      </c>
      <c r="BM85">
        <f>IFERROR(INDEX('_names_lookup'!$B:$B,MATCH(BK85,'_names_lookup'!$A:$A,0)),"")</f>
        <v/>
      </c>
      <c r="BS85">
        <f>IFERROR(IF(BR85*AA85=0,"",BR85*AA85),"")</f>
        <v/>
      </c>
    </row>
    <row r="86">
      <c r="O86">
        <f>IFERROR(INDEX('_courses_lookup'!$C:$C,MATCH(K86&amp;L86,'_courses_lookup'!$E:$E,0)),"")</f>
        <v/>
      </c>
      <c r="P86">
        <f>IFERROR(INDEX('_courses_lookup'!$D:$D,MATCH(K86&amp;L86,'_courses_lookup'!$E:$E,0)),"")</f>
        <v/>
      </c>
      <c r="AG86">
        <f>IF(AND(AE86&lt;&gt;"",AF86&lt;&gt;""),ROUNDUP((AF86-AE86)/7,0),"")</f>
        <v/>
      </c>
      <c r="AI86">
        <f>IFERROR(IF(AG86*AH86=0,"",AG86*AH86),"")</f>
        <v/>
      </c>
      <c r="AL86">
        <f>IF(AND(AJ86&lt;&gt;"",AK86&lt;&gt;""),ROUNDUP((AK86-AJ86)/7,0),"")</f>
        <v/>
      </c>
      <c r="AN86">
        <f>IFERROR(IF(AL86*AM86=0,"",AL86*AM86),"")</f>
        <v/>
      </c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L86">
        <f>IFERROR(INDEX('_names_lookup'!$C:$C,MATCH(BK86,'_names_lookup'!$A:$A,0)),"")</f>
        <v/>
      </c>
      <c r="BM86">
        <f>IFERROR(INDEX('_names_lookup'!$B:$B,MATCH(BK86,'_names_lookup'!$A:$A,0)),"")</f>
        <v/>
      </c>
      <c r="BS86">
        <f>IFERROR(IF(BR86*AA86=0,"",BR86*AA86),"")</f>
        <v/>
      </c>
    </row>
    <row r="87">
      <c r="O87">
        <f>IFERROR(INDEX('_courses_lookup'!$C:$C,MATCH(K87&amp;L87,'_courses_lookup'!$E:$E,0)),"")</f>
        <v/>
      </c>
      <c r="P87">
        <f>IFERROR(INDEX('_courses_lookup'!$D:$D,MATCH(K87&amp;L87,'_courses_lookup'!$E:$E,0)),"")</f>
        <v/>
      </c>
      <c r="AG87">
        <f>IF(AND(AE87&lt;&gt;"",AF87&lt;&gt;""),ROUNDUP((AF87-AE87)/7,0),"")</f>
        <v/>
      </c>
      <c r="AI87">
        <f>IFERROR(IF(AG87*AH87=0,"",AG87*AH87),"")</f>
        <v/>
      </c>
      <c r="AL87">
        <f>IF(AND(AJ87&lt;&gt;"",AK87&lt;&gt;""),ROUNDUP((AK87-AJ87)/7,0),"")</f>
        <v/>
      </c>
      <c r="AN87">
        <f>IFERROR(IF(AL87*AM87=0,"",AL87*AM87),"")</f>
        <v/>
      </c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L87">
        <f>IFERROR(INDEX('_names_lookup'!$C:$C,MATCH(BK87,'_names_lookup'!$A:$A,0)),"")</f>
        <v/>
      </c>
      <c r="BM87">
        <f>IFERROR(INDEX('_names_lookup'!$B:$B,MATCH(BK87,'_names_lookup'!$A:$A,0)),"")</f>
        <v/>
      </c>
      <c r="BS87">
        <f>IFERROR(IF(BR87*AA87=0,"",BR87*AA87),"")</f>
        <v/>
      </c>
    </row>
    <row r="88">
      <c r="O88">
        <f>IFERROR(INDEX('_courses_lookup'!$C:$C,MATCH(K88&amp;L88,'_courses_lookup'!$E:$E,0)),"")</f>
        <v/>
      </c>
      <c r="P88">
        <f>IFERROR(INDEX('_courses_lookup'!$D:$D,MATCH(K88&amp;L88,'_courses_lookup'!$E:$E,0)),"")</f>
        <v/>
      </c>
      <c r="AG88">
        <f>IF(AND(AE88&lt;&gt;"",AF88&lt;&gt;""),ROUNDUP((AF88-AE88)/7,0),"")</f>
        <v/>
      </c>
      <c r="AI88">
        <f>IFERROR(IF(AG88*AH88=0,"",AG88*AH88),"")</f>
        <v/>
      </c>
      <c r="AL88">
        <f>IF(AND(AJ88&lt;&gt;"",AK88&lt;&gt;""),ROUNDUP((AK88-AJ88)/7,0),"")</f>
        <v/>
      </c>
      <c r="AN88">
        <f>IFERROR(IF(AL88*AM88=0,"",AL88*AM88),"")</f>
        <v/>
      </c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L88">
        <f>IFERROR(INDEX('_names_lookup'!$C:$C,MATCH(BK88,'_names_lookup'!$A:$A,0)),"")</f>
        <v/>
      </c>
      <c r="BM88">
        <f>IFERROR(INDEX('_names_lookup'!$B:$B,MATCH(BK88,'_names_lookup'!$A:$A,0)),"")</f>
        <v/>
      </c>
      <c r="BS88">
        <f>IFERROR(IF(BR88*AA88=0,"",BR88*AA88),"")</f>
        <v/>
      </c>
    </row>
    <row r="89">
      <c r="O89">
        <f>IFERROR(INDEX('_courses_lookup'!$C:$C,MATCH(K89&amp;L89,'_courses_lookup'!$E:$E,0)),"")</f>
        <v/>
      </c>
      <c r="P89">
        <f>IFERROR(INDEX('_courses_lookup'!$D:$D,MATCH(K89&amp;L89,'_courses_lookup'!$E:$E,0)),"")</f>
        <v/>
      </c>
      <c r="AG89">
        <f>IF(AND(AE89&lt;&gt;"",AF89&lt;&gt;""),ROUNDUP((AF89-AE89)/7,0),"")</f>
        <v/>
      </c>
      <c r="AI89">
        <f>IFERROR(IF(AG89*AH89=0,"",AG89*AH89),"")</f>
        <v/>
      </c>
      <c r="AL89">
        <f>IF(AND(AJ89&lt;&gt;"",AK89&lt;&gt;""),ROUNDUP((AK89-AJ89)/7,0),"")</f>
        <v/>
      </c>
      <c r="AN89">
        <f>IFERROR(IF(AL89*AM89=0,"",AL89*AM89),"")</f>
        <v/>
      </c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L89">
        <f>IFERROR(INDEX('_names_lookup'!$C:$C,MATCH(BK89,'_names_lookup'!$A:$A,0)),"")</f>
        <v/>
      </c>
      <c r="BM89">
        <f>IFERROR(INDEX('_names_lookup'!$B:$B,MATCH(BK89,'_names_lookup'!$A:$A,0)),"")</f>
        <v/>
      </c>
      <c r="BS89">
        <f>IFERROR(IF(BR89*AA89=0,"",BR89*AA89),"")</f>
        <v/>
      </c>
    </row>
    <row r="90">
      <c r="O90">
        <f>IFERROR(INDEX('_courses_lookup'!$C:$C,MATCH(K90&amp;L90,'_courses_lookup'!$E:$E,0)),"")</f>
        <v/>
      </c>
      <c r="P90">
        <f>IFERROR(INDEX('_courses_lookup'!$D:$D,MATCH(K90&amp;L90,'_courses_lookup'!$E:$E,0)),"")</f>
        <v/>
      </c>
      <c r="AG90">
        <f>IF(AND(AE90&lt;&gt;"",AF90&lt;&gt;""),ROUNDUP((AF90-AE90)/7,0),"")</f>
        <v/>
      </c>
      <c r="AI90">
        <f>IFERROR(IF(AG90*AH90=0,"",AG90*AH90),"")</f>
        <v/>
      </c>
      <c r="AL90">
        <f>IF(AND(AJ90&lt;&gt;"",AK90&lt;&gt;""),ROUNDUP((AK90-AJ90)/7,0),"")</f>
        <v/>
      </c>
      <c r="AN90">
        <f>IFERROR(IF(AL90*AM90=0,"",AL90*AM90),"")</f>
        <v/>
      </c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L90">
        <f>IFERROR(INDEX('_names_lookup'!$C:$C,MATCH(BK90,'_names_lookup'!$A:$A,0)),"")</f>
        <v/>
      </c>
      <c r="BM90">
        <f>IFERROR(INDEX('_names_lookup'!$B:$B,MATCH(BK90,'_names_lookup'!$A:$A,0)),"")</f>
        <v/>
      </c>
      <c r="BS90">
        <f>IFERROR(IF(BR90*AA90=0,"",BR90*AA90),"")</f>
        <v/>
      </c>
    </row>
    <row r="91">
      <c r="O91">
        <f>IFERROR(INDEX('_courses_lookup'!$C:$C,MATCH(K91&amp;L91,'_courses_lookup'!$E:$E,0)),"")</f>
        <v/>
      </c>
      <c r="P91">
        <f>IFERROR(INDEX('_courses_lookup'!$D:$D,MATCH(K91&amp;L91,'_courses_lookup'!$E:$E,0)),"")</f>
        <v/>
      </c>
      <c r="AG91">
        <f>IF(AND(AE91&lt;&gt;"",AF91&lt;&gt;""),ROUNDUP((AF91-AE91)/7,0),"")</f>
        <v/>
      </c>
      <c r="AI91">
        <f>IFERROR(IF(AG91*AH91=0,"",AG91*AH91),"")</f>
        <v/>
      </c>
      <c r="AL91">
        <f>IF(AND(AJ91&lt;&gt;"",AK91&lt;&gt;""),ROUNDUP((AK91-AJ91)/7,0),"")</f>
        <v/>
      </c>
      <c r="AN91">
        <f>IFERROR(IF(AL91*AM91=0,"",AL91*AM91),"")</f>
        <v/>
      </c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L91">
        <f>IFERROR(INDEX('_names_lookup'!$C:$C,MATCH(BK91,'_names_lookup'!$A:$A,0)),"")</f>
        <v/>
      </c>
      <c r="BM91">
        <f>IFERROR(INDEX('_names_lookup'!$B:$B,MATCH(BK91,'_names_lookup'!$A:$A,0)),"")</f>
        <v/>
      </c>
      <c r="BS91">
        <f>IFERROR(IF(BR91*AA91=0,"",BR91*AA91),"")</f>
        <v/>
      </c>
    </row>
    <row r="92">
      <c r="O92">
        <f>IFERROR(INDEX('_courses_lookup'!$C:$C,MATCH(K92&amp;L92,'_courses_lookup'!$E:$E,0)),"")</f>
        <v/>
      </c>
      <c r="P92">
        <f>IFERROR(INDEX('_courses_lookup'!$D:$D,MATCH(K92&amp;L92,'_courses_lookup'!$E:$E,0)),"")</f>
        <v/>
      </c>
      <c r="AG92">
        <f>IF(AND(AE92&lt;&gt;"",AF92&lt;&gt;""),ROUNDUP((AF92-AE92)/7,0),"")</f>
        <v/>
      </c>
      <c r="AI92">
        <f>IFERROR(IF(AG92*AH92=0,"",AG92*AH92),"")</f>
        <v/>
      </c>
      <c r="AL92">
        <f>IF(AND(AJ92&lt;&gt;"",AK92&lt;&gt;""),ROUNDUP((AK92-AJ92)/7,0),"")</f>
        <v/>
      </c>
      <c r="AN92">
        <f>IFERROR(IF(AL92*AM92=0,"",AL92*AM92),"")</f>
        <v/>
      </c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L92">
        <f>IFERROR(INDEX('_names_lookup'!$C:$C,MATCH(BK92,'_names_lookup'!$A:$A,0)),"")</f>
        <v/>
      </c>
      <c r="BM92">
        <f>IFERROR(INDEX('_names_lookup'!$B:$B,MATCH(BK92,'_names_lookup'!$A:$A,0)),"")</f>
        <v/>
      </c>
      <c r="BS92">
        <f>IFERROR(IF(BR92*AA92=0,"",BR92*AA92),"")</f>
        <v/>
      </c>
    </row>
    <row r="93">
      <c r="O93">
        <f>IFERROR(INDEX('_courses_lookup'!$C:$C,MATCH(K93&amp;L93,'_courses_lookup'!$E:$E,0)),"")</f>
        <v/>
      </c>
      <c r="P93">
        <f>IFERROR(INDEX('_courses_lookup'!$D:$D,MATCH(K93&amp;L93,'_courses_lookup'!$E:$E,0)),"")</f>
        <v/>
      </c>
      <c r="AG93">
        <f>IF(AND(AE93&lt;&gt;"",AF93&lt;&gt;""),ROUNDUP((AF93-AE93)/7,0),"")</f>
        <v/>
      </c>
      <c r="AI93">
        <f>IFERROR(IF(AG93*AH93=0,"",AG93*AH93),"")</f>
        <v/>
      </c>
      <c r="AL93">
        <f>IF(AND(AJ93&lt;&gt;"",AK93&lt;&gt;""),ROUNDUP((AK93-AJ93)/7,0),"")</f>
        <v/>
      </c>
      <c r="AN93">
        <f>IFERROR(IF(AL93*AM93=0,"",AL93*AM93),"")</f>
        <v/>
      </c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L93">
        <f>IFERROR(INDEX('_names_lookup'!$C:$C,MATCH(BK93,'_names_lookup'!$A:$A,0)),"")</f>
        <v/>
      </c>
      <c r="BM93">
        <f>IFERROR(INDEX('_names_lookup'!$B:$B,MATCH(BK93,'_names_lookup'!$A:$A,0)),"")</f>
        <v/>
      </c>
      <c r="BS93">
        <f>IFERROR(IF(BR93*AA93=0,"",BR93*AA93),"")</f>
        <v/>
      </c>
    </row>
    <row r="94">
      <c r="O94">
        <f>IFERROR(INDEX('_courses_lookup'!$C:$C,MATCH(K94&amp;L94,'_courses_lookup'!$E:$E,0)),"")</f>
        <v/>
      </c>
      <c r="P94">
        <f>IFERROR(INDEX('_courses_lookup'!$D:$D,MATCH(K94&amp;L94,'_courses_lookup'!$E:$E,0)),"")</f>
        <v/>
      </c>
      <c r="AG94">
        <f>IF(AND(AE94&lt;&gt;"",AF94&lt;&gt;""),ROUNDUP((AF94-AE94)/7,0),"")</f>
        <v/>
      </c>
      <c r="AI94">
        <f>IFERROR(IF(AG94*AH94=0,"",AG94*AH94),"")</f>
        <v/>
      </c>
      <c r="AL94">
        <f>IF(AND(AJ94&lt;&gt;"",AK94&lt;&gt;""),ROUNDUP((AK94-AJ94)/7,0),"")</f>
        <v/>
      </c>
      <c r="AN94">
        <f>IFERROR(IF(AL94*AM94=0,"",AL94*AM94),"")</f>
        <v/>
      </c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L94">
        <f>IFERROR(INDEX('_names_lookup'!$C:$C,MATCH(BK94,'_names_lookup'!$A:$A,0)),"")</f>
        <v/>
      </c>
      <c r="BM94">
        <f>IFERROR(INDEX('_names_lookup'!$B:$B,MATCH(BK94,'_names_lookup'!$A:$A,0)),"")</f>
        <v/>
      </c>
      <c r="BS94">
        <f>IFERROR(IF(BR94*AA94=0,"",BR94*AA94),"")</f>
        <v/>
      </c>
    </row>
    <row r="95">
      <c r="O95">
        <f>IFERROR(INDEX('_courses_lookup'!$C:$C,MATCH(K95&amp;L95,'_courses_lookup'!$E:$E,0)),"")</f>
        <v/>
      </c>
      <c r="P95">
        <f>IFERROR(INDEX('_courses_lookup'!$D:$D,MATCH(K95&amp;L95,'_courses_lookup'!$E:$E,0)),"")</f>
        <v/>
      </c>
      <c r="AG95">
        <f>IF(AND(AE95&lt;&gt;"",AF95&lt;&gt;""),ROUNDUP((AF95-AE95)/7,0),"")</f>
        <v/>
      </c>
      <c r="AI95">
        <f>IFERROR(IF(AG95*AH95=0,"",AG95*AH95),"")</f>
        <v/>
      </c>
      <c r="AL95">
        <f>IF(AND(AJ95&lt;&gt;"",AK95&lt;&gt;""),ROUNDUP((AK95-AJ95)/7,0),"")</f>
        <v/>
      </c>
      <c r="AN95">
        <f>IFERROR(IF(AL95*AM95=0,"",AL95*AM95),"")</f>
        <v/>
      </c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L95">
        <f>IFERROR(INDEX('_names_lookup'!$C:$C,MATCH(BK95,'_names_lookup'!$A:$A,0)),"")</f>
        <v/>
      </c>
      <c r="BM95">
        <f>IFERROR(INDEX('_names_lookup'!$B:$B,MATCH(BK95,'_names_lookup'!$A:$A,0)),"")</f>
        <v/>
      </c>
      <c r="BS95">
        <f>IFERROR(IF(BR95*AA95=0,"",BR95*AA95),"")</f>
        <v/>
      </c>
    </row>
    <row r="96">
      <c r="O96">
        <f>IFERROR(INDEX('_courses_lookup'!$C:$C,MATCH(K96&amp;L96,'_courses_lookup'!$E:$E,0)),"")</f>
        <v/>
      </c>
      <c r="P96">
        <f>IFERROR(INDEX('_courses_lookup'!$D:$D,MATCH(K96&amp;L96,'_courses_lookup'!$E:$E,0)),"")</f>
        <v/>
      </c>
      <c r="AG96">
        <f>IF(AND(AE96&lt;&gt;"",AF96&lt;&gt;""),ROUNDUP((AF96-AE96)/7,0),"")</f>
        <v/>
      </c>
      <c r="AI96">
        <f>IFERROR(IF(AG96*AH96=0,"",AG96*AH96),"")</f>
        <v/>
      </c>
      <c r="AL96">
        <f>IF(AND(AJ96&lt;&gt;"",AK96&lt;&gt;""),ROUNDUP((AK96-AJ96)/7,0),"")</f>
        <v/>
      </c>
      <c r="AN96">
        <f>IFERROR(IF(AL96*AM96=0,"",AL96*AM96),"")</f>
        <v/>
      </c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L96">
        <f>IFERROR(INDEX('_names_lookup'!$C:$C,MATCH(BK96,'_names_lookup'!$A:$A,0)),"")</f>
        <v/>
      </c>
      <c r="BM96">
        <f>IFERROR(INDEX('_names_lookup'!$B:$B,MATCH(BK96,'_names_lookup'!$A:$A,0)),"")</f>
        <v/>
      </c>
      <c r="BS96">
        <f>IFERROR(IF(BR96*AA96=0,"",BR96*AA96),"")</f>
        <v/>
      </c>
    </row>
    <row r="97">
      <c r="O97">
        <f>IFERROR(INDEX('_courses_lookup'!$C:$C,MATCH(K97&amp;L97,'_courses_lookup'!$E:$E,0)),"")</f>
        <v/>
      </c>
      <c r="P97">
        <f>IFERROR(INDEX('_courses_lookup'!$D:$D,MATCH(K97&amp;L97,'_courses_lookup'!$E:$E,0)),"")</f>
        <v/>
      </c>
      <c r="AG97">
        <f>IF(AND(AE97&lt;&gt;"",AF97&lt;&gt;""),ROUNDUP((AF97-AE97)/7,0),"")</f>
        <v/>
      </c>
      <c r="AI97">
        <f>IFERROR(IF(AG97*AH97=0,"",AG97*AH97),"")</f>
        <v/>
      </c>
      <c r="AL97">
        <f>IF(AND(AJ97&lt;&gt;"",AK97&lt;&gt;""),ROUNDUP((AK97-AJ97)/7,0),"")</f>
        <v/>
      </c>
      <c r="AN97">
        <f>IFERROR(IF(AL97*AM97=0,"",AL97*AM97),"")</f>
        <v/>
      </c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L97">
        <f>IFERROR(INDEX('_names_lookup'!$C:$C,MATCH(BK97,'_names_lookup'!$A:$A,0)),"")</f>
        <v/>
      </c>
      <c r="BM97">
        <f>IFERROR(INDEX('_names_lookup'!$B:$B,MATCH(BK97,'_names_lookup'!$A:$A,0)),"")</f>
        <v/>
      </c>
      <c r="BS97">
        <f>IFERROR(IF(BR97*AA97=0,"",BR97*AA97),"")</f>
        <v/>
      </c>
    </row>
    <row r="98">
      <c r="O98">
        <f>IFERROR(INDEX('_courses_lookup'!$C:$C,MATCH(K98&amp;L98,'_courses_lookup'!$E:$E,0)),"")</f>
        <v/>
      </c>
      <c r="P98">
        <f>IFERROR(INDEX('_courses_lookup'!$D:$D,MATCH(K98&amp;L98,'_courses_lookup'!$E:$E,0)),"")</f>
        <v/>
      </c>
      <c r="AG98">
        <f>IF(AND(AE98&lt;&gt;"",AF98&lt;&gt;""),ROUNDUP((AF98-AE98)/7,0),"")</f>
        <v/>
      </c>
      <c r="AI98">
        <f>IFERROR(IF(AG98*AH98=0,"",AG98*AH98),"")</f>
        <v/>
      </c>
      <c r="AL98">
        <f>IF(AND(AJ98&lt;&gt;"",AK98&lt;&gt;""),ROUNDUP((AK98-AJ98)/7,0),"")</f>
        <v/>
      </c>
      <c r="AN98">
        <f>IFERROR(IF(AL98*AM98=0,"",AL98*AM98),"")</f>
        <v/>
      </c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L98">
        <f>IFERROR(INDEX('_names_lookup'!$C:$C,MATCH(BK98,'_names_lookup'!$A:$A,0)),"")</f>
        <v/>
      </c>
      <c r="BM98">
        <f>IFERROR(INDEX('_names_lookup'!$B:$B,MATCH(BK98,'_names_lookup'!$A:$A,0)),"")</f>
        <v/>
      </c>
      <c r="BS98">
        <f>IFERROR(IF(BR98*AA98=0,"",BR98*AA98),"")</f>
        <v/>
      </c>
    </row>
    <row r="99">
      <c r="O99">
        <f>IFERROR(INDEX('_courses_lookup'!$C:$C,MATCH(K99&amp;L99,'_courses_lookup'!$E:$E,0)),"")</f>
        <v/>
      </c>
      <c r="P99">
        <f>IFERROR(INDEX('_courses_lookup'!$D:$D,MATCH(K99&amp;L99,'_courses_lookup'!$E:$E,0)),"")</f>
        <v/>
      </c>
      <c r="AG99">
        <f>IF(AND(AE99&lt;&gt;"",AF99&lt;&gt;""),ROUNDUP((AF99-AE99)/7,0),"")</f>
        <v/>
      </c>
      <c r="AI99">
        <f>IFERROR(IF(AG99*AH99=0,"",AG99*AH99),"")</f>
        <v/>
      </c>
      <c r="AL99">
        <f>IF(AND(AJ99&lt;&gt;"",AK99&lt;&gt;""),ROUNDUP((AK99-AJ99)/7,0),"")</f>
        <v/>
      </c>
      <c r="AN99">
        <f>IFERROR(IF(AL99*AM99=0,"",AL99*AM99),"")</f>
        <v/>
      </c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L99">
        <f>IFERROR(INDEX('_names_lookup'!$C:$C,MATCH(BK99,'_names_lookup'!$A:$A,0)),"")</f>
        <v/>
      </c>
      <c r="BM99">
        <f>IFERROR(INDEX('_names_lookup'!$B:$B,MATCH(BK99,'_names_lookup'!$A:$A,0)),"")</f>
        <v/>
      </c>
      <c r="BS99">
        <f>IFERROR(IF(BR99*AA99=0,"",BR99*AA99),"")</f>
        <v/>
      </c>
    </row>
    <row r="100">
      <c r="O100">
        <f>IFERROR(INDEX('_courses_lookup'!$C:$C,MATCH(K100&amp;L100,'_courses_lookup'!$E:$E,0)),"")</f>
        <v/>
      </c>
      <c r="P100">
        <f>IFERROR(INDEX('_courses_lookup'!$D:$D,MATCH(K100&amp;L100,'_courses_lookup'!$E:$E,0)),"")</f>
        <v/>
      </c>
      <c r="AG100">
        <f>IF(AND(AE100&lt;&gt;"",AF100&lt;&gt;""),ROUNDUP((AF100-AE100)/7,0),"")</f>
        <v/>
      </c>
      <c r="AI100">
        <f>IFERROR(IF(AG100*AH100=0,"",AG100*AH100),"")</f>
        <v/>
      </c>
      <c r="AL100">
        <f>IF(AND(AJ100&lt;&gt;"",AK100&lt;&gt;""),ROUNDUP((AK100-AJ100)/7,0),"")</f>
        <v/>
      </c>
      <c r="AN100">
        <f>IFERROR(IF(AL100*AM100=0,"",AL100*AM100),"")</f>
        <v/>
      </c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L100">
        <f>IFERROR(INDEX('_names_lookup'!$C:$C,MATCH(BK100,'_names_lookup'!$A:$A,0)),"")</f>
        <v/>
      </c>
      <c r="BM100">
        <f>IFERROR(INDEX('_names_lookup'!$B:$B,MATCH(BK100,'_names_lookup'!$A:$A,0)),"")</f>
        <v/>
      </c>
      <c r="BS100">
        <f>IFERROR(IF(BR100*AA100=0,"",BR100*AA100),"")</f>
        <v/>
      </c>
    </row>
    <row r="101">
      <c r="O101">
        <f>IFERROR(INDEX('_courses_lookup'!$C:$C,MATCH(K101&amp;L101,'_courses_lookup'!$E:$E,0)),"")</f>
        <v/>
      </c>
      <c r="P101">
        <f>IFERROR(INDEX('_courses_lookup'!$D:$D,MATCH(K101&amp;L101,'_courses_lookup'!$E:$E,0)),"")</f>
        <v/>
      </c>
      <c r="AG101">
        <f>IF(AND(AE101&lt;&gt;"",AF101&lt;&gt;""),ROUNDUP((AF101-AE101)/7,0),"")</f>
        <v/>
      </c>
      <c r="AI101">
        <f>IFERROR(IF(AG101*AH101=0,"",AG101*AH101),"")</f>
        <v/>
      </c>
      <c r="AL101">
        <f>IF(AND(AJ101&lt;&gt;"",AK101&lt;&gt;""),ROUNDUP((AK101-AJ101)/7,0),"")</f>
        <v/>
      </c>
      <c r="AN101">
        <f>IFERROR(IF(AL101*AM101=0,"",AL101*AM101),"")</f>
        <v/>
      </c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L101">
        <f>IFERROR(INDEX('_names_lookup'!$C:$C,MATCH(BK101,'_names_lookup'!$A:$A,0)),"")</f>
        <v/>
      </c>
      <c r="BM101">
        <f>IFERROR(INDEX('_names_lookup'!$B:$B,MATCH(BK101,'_names_lookup'!$A:$A,0)),"")</f>
        <v/>
      </c>
      <c r="BS101">
        <f>IFERROR(IF(BR101*AA101=0,"",BR101*AA101),"")</f>
        <v/>
      </c>
    </row>
    <row r="102">
      <c r="O102">
        <f>IFERROR(INDEX('_courses_lookup'!$C:$C,MATCH(K102&amp;L102,'_courses_lookup'!$E:$E,0)),"")</f>
        <v/>
      </c>
      <c r="P102">
        <f>IFERROR(INDEX('_courses_lookup'!$D:$D,MATCH(K102&amp;L102,'_courses_lookup'!$E:$E,0)),"")</f>
        <v/>
      </c>
      <c r="AG102">
        <f>IF(AND(AE102&lt;&gt;"",AF102&lt;&gt;""),ROUNDUP((AF102-AE102)/7,0),"")</f>
        <v/>
      </c>
      <c r="AI102">
        <f>IFERROR(IF(AG102*AH102=0,"",AG102*AH102),"")</f>
        <v/>
      </c>
      <c r="AL102">
        <f>IF(AND(AJ102&lt;&gt;"",AK102&lt;&gt;""),ROUNDUP((AK102-AJ102)/7,0),"")</f>
        <v/>
      </c>
      <c r="AN102">
        <f>IFERROR(IF(AL102*AM102=0,"",AL102*AM102),"")</f>
        <v/>
      </c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L102">
        <f>IFERROR(INDEX('_names_lookup'!$C:$C,MATCH(BK102,'_names_lookup'!$A:$A,0)),"")</f>
        <v/>
      </c>
      <c r="BM102">
        <f>IFERROR(INDEX('_names_lookup'!$B:$B,MATCH(BK102,'_names_lookup'!$A:$A,0)),"")</f>
        <v/>
      </c>
      <c r="BS102">
        <f>IFERROR(IF(BR102*AA102=0,"",BR102*AA102),"")</f>
        <v/>
      </c>
    </row>
    <row r="103">
      <c r="O103">
        <f>IFERROR(INDEX('_courses_lookup'!$C:$C,MATCH(K103&amp;L103,'_courses_lookup'!$E:$E,0)),"")</f>
        <v/>
      </c>
      <c r="P103">
        <f>IFERROR(INDEX('_courses_lookup'!$D:$D,MATCH(K103&amp;L103,'_courses_lookup'!$E:$E,0)),"")</f>
        <v/>
      </c>
      <c r="AG103">
        <f>IF(AND(AE103&lt;&gt;"",AF103&lt;&gt;""),ROUNDUP((AF103-AE103)/7,0),"")</f>
        <v/>
      </c>
      <c r="AI103">
        <f>IFERROR(IF(AG103*AH103=0,"",AG103*AH103),"")</f>
        <v/>
      </c>
      <c r="AL103">
        <f>IF(AND(AJ103&lt;&gt;"",AK103&lt;&gt;""),ROUNDUP((AK103-AJ103)/7,0),"")</f>
        <v/>
      </c>
      <c r="AN103">
        <f>IFERROR(IF(AL103*AM103=0,"",AL103*AM103),"")</f>
        <v/>
      </c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L103">
        <f>IFERROR(INDEX('_names_lookup'!$C:$C,MATCH(BK103,'_names_lookup'!$A:$A,0)),"")</f>
        <v/>
      </c>
      <c r="BM103">
        <f>IFERROR(INDEX('_names_lookup'!$B:$B,MATCH(BK103,'_names_lookup'!$A:$A,0)),"")</f>
        <v/>
      </c>
      <c r="BS103">
        <f>IFERROR(IF(BR103*AA103=0,"",BR103*AA103),"")</f>
        <v/>
      </c>
    </row>
    <row r="104">
      <c r="O104">
        <f>IFERROR(INDEX('_courses_lookup'!$C:$C,MATCH(K104&amp;L104,'_courses_lookup'!$E:$E,0)),"")</f>
        <v/>
      </c>
      <c r="P104">
        <f>IFERROR(INDEX('_courses_lookup'!$D:$D,MATCH(K104&amp;L104,'_courses_lookup'!$E:$E,0)),"")</f>
        <v/>
      </c>
      <c r="AG104">
        <f>IF(AND(AE104&lt;&gt;"",AF104&lt;&gt;""),ROUNDUP((AF104-AE104)/7,0),"")</f>
        <v/>
      </c>
      <c r="AI104">
        <f>IFERROR(IF(AG104*AH104=0,"",AG104*AH104),"")</f>
        <v/>
      </c>
      <c r="AL104">
        <f>IF(AND(AJ104&lt;&gt;"",AK104&lt;&gt;""),ROUNDUP((AK104-AJ104)/7,0),"")</f>
        <v/>
      </c>
      <c r="AN104">
        <f>IFERROR(IF(AL104*AM104=0,"",AL104*AM104),"")</f>
        <v/>
      </c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L104">
        <f>IFERROR(INDEX('_names_lookup'!$C:$C,MATCH(BK104,'_names_lookup'!$A:$A,0)),"")</f>
        <v/>
      </c>
      <c r="BM104">
        <f>IFERROR(INDEX('_names_lookup'!$B:$B,MATCH(BK104,'_names_lookup'!$A:$A,0)),"")</f>
        <v/>
      </c>
      <c r="BS104">
        <f>IFERROR(IF(BR104*AA104=0,"",BR104*AA104),"")</f>
        <v/>
      </c>
    </row>
    <row r="105">
      <c r="O105">
        <f>IFERROR(INDEX('_courses_lookup'!$C:$C,MATCH(K105&amp;L105,'_courses_lookup'!$E:$E,0)),"")</f>
        <v/>
      </c>
      <c r="P105">
        <f>IFERROR(INDEX('_courses_lookup'!$D:$D,MATCH(K105&amp;L105,'_courses_lookup'!$E:$E,0)),"")</f>
        <v/>
      </c>
      <c r="AG105">
        <f>IF(AND(AE105&lt;&gt;"",AF105&lt;&gt;""),ROUNDUP((AF105-AE105)/7,0),"")</f>
        <v/>
      </c>
      <c r="AI105">
        <f>IFERROR(IF(AG105*AH105=0,"",AG105*AH105),"")</f>
        <v/>
      </c>
      <c r="AL105">
        <f>IF(AND(AJ105&lt;&gt;"",AK105&lt;&gt;""),ROUNDUP((AK105-AJ105)/7,0),"")</f>
        <v/>
      </c>
      <c r="AN105">
        <f>IFERROR(IF(AL105*AM105=0,"",AL105*AM105),"")</f>
        <v/>
      </c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L105">
        <f>IFERROR(INDEX('_names_lookup'!$C:$C,MATCH(BK105,'_names_lookup'!$A:$A,0)),"")</f>
        <v/>
      </c>
      <c r="BM105">
        <f>IFERROR(INDEX('_names_lookup'!$B:$B,MATCH(BK105,'_names_lookup'!$A:$A,0)),"")</f>
        <v/>
      </c>
      <c r="BS105">
        <f>IFERROR(IF(BR105*AA105=0,"",BR105*AA105),"")</f>
        <v/>
      </c>
    </row>
    <row r="106">
      <c r="O106">
        <f>IFERROR(INDEX('_courses_lookup'!$C:$C,MATCH(K106&amp;L106,'_courses_lookup'!$E:$E,0)),"")</f>
        <v/>
      </c>
      <c r="P106">
        <f>IFERROR(INDEX('_courses_lookup'!$D:$D,MATCH(K106&amp;L106,'_courses_lookup'!$E:$E,0)),"")</f>
        <v/>
      </c>
      <c r="AG106">
        <f>IF(AND(AE106&lt;&gt;"",AF106&lt;&gt;""),ROUNDUP((AF106-AE106)/7,0),"")</f>
        <v/>
      </c>
      <c r="AI106">
        <f>IFERROR(IF(AG106*AH106=0,"",AG106*AH106),"")</f>
        <v/>
      </c>
      <c r="AL106">
        <f>IF(AND(AJ106&lt;&gt;"",AK106&lt;&gt;""),ROUNDUP((AK106-AJ106)/7,0),"")</f>
        <v/>
      </c>
      <c r="AN106">
        <f>IFERROR(IF(AL106*AM106=0,"",AL106*AM106),"")</f>
        <v/>
      </c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L106">
        <f>IFERROR(INDEX('_names_lookup'!$C:$C,MATCH(BK106,'_names_lookup'!$A:$A,0)),"")</f>
        <v/>
      </c>
      <c r="BM106">
        <f>IFERROR(INDEX('_names_lookup'!$B:$B,MATCH(BK106,'_names_lookup'!$A:$A,0)),"")</f>
        <v/>
      </c>
      <c r="BS106">
        <f>IFERROR(IF(BR106*AA106=0,"",BR106*AA106),"")</f>
        <v/>
      </c>
    </row>
    <row r="107">
      <c r="O107">
        <f>IFERROR(INDEX('_courses_lookup'!$C:$C,MATCH(K107&amp;L107,'_courses_lookup'!$E:$E,0)),"")</f>
        <v/>
      </c>
      <c r="P107">
        <f>IFERROR(INDEX('_courses_lookup'!$D:$D,MATCH(K107&amp;L107,'_courses_lookup'!$E:$E,0)),"")</f>
        <v/>
      </c>
      <c r="AG107">
        <f>IF(AND(AE107&lt;&gt;"",AF107&lt;&gt;""),ROUNDUP((AF107-AE107)/7,0),"")</f>
        <v/>
      </c>
      <c r="AI107">
        <f>IFERROR(IF(AG107*AH107=0,"",AG107*AH107),"")</f>
        <v/>
      </c>
      <c r="AL107">
        <f>IF(AND(AJ107&lt;&gt;"",AK107&lt;&gt;""),ROUNDUP((AK107-AJ107)/7,0),"")</f>
        <v/>
      </c>
      <c r="AN107">
        <f>IFERROR(IF(AL107*AM107=0,"",AL107*AM107),"")</f>
        <v/>
      </c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L107">
        <f>IFERROR(INDEX('_names_lookup'!$C:$C,MATCH(BK107,'_names_lookup'!$A:$A,0)),"")</f>
        <v/>
      </c>
      <c r="BM107">
        <f>IFERROR(INDEX('_names_lookup'!$B:$B,MATCH(BK107,'_names_lookup'!$A:$A,0)),"")</f>
        <v/>
      </c>
      <c r="BS107">
        <f>IFERROR(IF(BR107*AA107=0,"",BR107*AA107),"")</f>
        <v/>
      </c>
    </row>
    <row r="108">
      <c r="O108">
        <f>IFERROR(INDEX('_courses_lookup'!$C:$C,MATCH(K108&amp;L108,'_courses_lookup'!$E:$E,0)),"")</f>
        <v/>
      </c>
      <c r="P108">
        <f>IFERROR(INDEX('_courses_lookup'!$D:$D,MATCH(K108&amp;L108,'_courses_lookup'!$E:$E,0)),"")</f>
        <v/>
      </c>
      <c r="AG108">
        <f>IF(AND(AE108&lt;&gt;"",AF108&lt;&gt;""),ROUNDUP((AF108-AE108)/7,0),"")</f>
        <v/>
      </c>
      <c r="AI108">
        <f>IFERROR(IF(AG108*AH108=0,"",AG108*AH108),"")</f>
        <v/>
      </c>
      <c r="AL108">
        <f>IF(AND(AJ108&lt;&gt;"",AK108&lt;&gt;""),ROUNDUP((AK108-AJ108)/7,0),"")</f>
        <v/>
      </c>
      <c r="AN108">
        <f>IFERROR(IF(AL108*AM108=0,"",AL108*AM108),"")</f>
        <v/>
      </c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L108">
        <f>IFERROR(INDEX('_names_lookup'!$C:$C,MATCH(BK108,'_names_lookup'!$A:$A,0)),"")</f>
        <v/>
      </c>
      <c r="BM108">
        <f>IFERROR(INDEX('_names_lookup'!$B:$B,MATCH(BK108,'_names_lookup'!$A:$A,0)),"")</f>
        <v/>
      </c>
      <c r="BS108">
        <f>IFERROR(IF(BR108*AA108=0,"",BR108*AA108),"")</f>
        <v/>
      </c>
    </row>
    <row r="109">
      <c r="O109">
        <f>IFERROR(INDEX('_courses_lookup'!$C:$C,MATCH(K109&amp;L109,'_courses_lookup'!$E:$E,0)),"")</f>
        <v/>
      </c>
      <c r="P109">
        <f>IFERROR(INDEX('_courses_lookup'!$D:$D,MATCH(K109&amp;L109,'_courses_lookup'!$E:$E,0)),"")</f>
        <v/>
      </c>
      <c r="AG109">
        <f>IF(AND(AE109&lt;&gt;"",AF109&lt;&gt;""),ROUNDUP((AF109-AE109)/7,0),"")</f>
        <v/>
      </c>
      <c r="AI109">
        <f>IFERROR(IF(AG109*AH109=0,"",AG109*AH109),"")</f>
        <v/>
      </c>
      <c r="AL109">
        <f>IF(AND(AJ109&lt;&gt;"",AK109&lt;&gt;""),ROUNDUP((AK109-AJ109)/7,0),"")</f>
        <v/>
      </c>
      <c r="AN109">
        <f>IFERROR(IF(AL109*AM109=0,"",AL109*AM109),"")</f>
        <v/>
      </c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L109">
        <f>IFERROR(INDEX('_names_lookup'!$C:$C,MATCH(BK109,'_names_lookup'!$A:$A,0)),"")</f>
        <v/>
      </c>
      <c r="BM109">
        <f>IFERROR(INDEX('_names_lookup'!$B:$B,MATCH(BK109,'_names_lookup'!$A:$A,0)),"")</f>
        <v/>
      </c>
      <c r="BS109">
        <f>IFERROR(IF(BR109*AA109=0,"",BR109*AA109),"")</f>
        <v/>
      </c>
    </row>
    <row r="110">
      <c r="O110">
        <f>IFERROR(INDEX('_courses_lookup'!$C:$C,MATCH(K110&amp;L110,'_courses_lookup'!$E:$E,0)),"")</f>
        <v/>
      </c>
      <c r="P110">
        <f>IFERROR(INDEX('_courses_lookup'!$D:$D,MATCH(K110&amp;L110,'_courses_lookup'!$E:$E,0)),"")</f>
        <v/>
      </c>
      <c r="AG110">
        <f>IF(AND(AE110&lt;&gt;"",AF110&lt;&gt;""),ROUNDUP((AF110-AE110)/7,0),"")</f>
        <v/>
      </c>
      <c r="AI110">
        <f>IFERROR(IF(AG110*AH110=0,"",AG110*AH110),"")</f>
        <v/>
      </c>
      <c r="AL110">
        <f>IF(AND(AJ110&lt;&gt;"",AK110&lt;&gt;""),ROUNDUP((AK110-AJ110)/7,0),"")</f>
        <v/>
      </c>
      <c r="AN110">
        <f>IFERROR(IF(AL110*AM110=0,"",AL110*AM110),"")</f>
        <v/>
      </c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L110">
        <f>IFERROR(INDEX('_names_lookup'!$C:$C,MATCH(BK110,'_names_lookup'!$A:$A,0)),"")</f>
        <v/>
      </c>
      <c r="BM110">
        <f>IFERROR(INDEX('_names_lookup'!$B:$B,MATCH(BK110,'_names_lookup'!$A:$A,0)),"")</f>
        <v/>
      </c>
      <c r="BS110">
        <f>IFERROR(IF(BR110*AA110=0,"",BR110*AA110),"")</f>
        <v/>
      </c>
    </row>
    <row r="111">
      <c r="O111">
        <f>IFERROR(INDEX('_courses_lookup'!$C:$C,MATCH(K111&amp;L111,'_courses_lookup'!$E:$E,0)),"")</f>
        <v/>
      </c>
      <c r="P111">
        <f>IFERROR(INDEX('_courses_lookup'!$D:$D,MATCH(K111&amp;L111,'_courses_lookup'!$E:$E,0)),"")</f>
        <v/>
      </c>
      <c r="AG111">
        <f>IF(AND(AE111&lt;&gt;"",AF111&lt;&gt;""),ROUNDUP((AF111-AE111)/7,0),"")</f>
        <v/>
      </c>
      <c r="AI111">
        <f>IFERROR(IF(AG111*AH111=0,"",AG111*AH111),"")</f>
        <v/>
      </c>
      <c r="AL111">
        <f>IF(AND(AJ111&lt;&gt;"",AK111&lt;&gt;""),ROUNDUP((AK111-AJ111)/7,0),"")</f>
        <v/>
      </c>
      <c r="AN111">
        <f>IFERROR(IF(AL111*AM111=0,"",AL111*AM111),"")</f>
        <v/>
      </c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L111">
        <f>IFERROR(INDEX('_names_lookup'!$C:$C,MATCH(BK111,'_names_lookup'!$A:$A,0)),"")</f>
        <v/>
      </c>
      <c r="BM111">
        <f>IFERROR(INDEX('_names_lookup'!$B:$B,MATCH(BK111,'_names_lookup'!$A:$A,0)),"")</f>
        <v/>
      </c>
      <c r="BS111">
        <f>IFERROR(IF(BR111*AA111=0,"",BR111*AA111),"")</f>
        <v/>
      </c>
    </row>
    <row r="112">
      <c r="O112">
        <f>IFERROR(INDEX('_courses_lookup'!$C:$C,MATCH(K112&amp;L112,'_courses_lookup'!$E:$E,0)),"")</f>
        <v/>
      </c>
      <c r="P112">
        <f>IFERROR(INDEX('_courses_lookup'!$D:$D,MATCH(K112&amp;L112,'_courses_lookup'!$E:$E,0)),"")</f>
        <v/>
      </c>
      <c r="AG112">
        <f>IF(AND(AE112&lt;&gt;"",AF112&lt;&gt;""),ROUNDUP((AF112-AE112)/7,0),"")</f>
        <v/>
      </c>
      <c r="AI112">
        <f>IFERROR(IF(AG112*AH112=0,"",AG112*AH112),"")</f>
        <v/>
      </c>
      <c r="AL112">
        <f>IF(AND(AJ112&lt;&gt;"",AK112&lt;&gt;""),ROUNDUP((AK112-AJ112)/7,0),"")</f>
        <v/>
      </c>
      <c r="AN112">
        <f>IFERROR(IF(AL112*AM112=0,"",AL112*AM112),"")</f>
        <v/>
      </c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L112">
        <f>IFERROR(INDEX('_names_lookup'!$C:$C,MATCH(BK112,'_names_lookup'!$A:$A,0)),"")</f>
        <v/>
      </c>
      <c r="BM112">
        <f>IFERROR(INDEX('_names_lookup'!$B:$B,MATCH(BK112,'_names_lookup'!$A:$A,0)),"")</f>
        <v/>
      </c>
      <c r="BS112">
        <f>IFERROR(IF(BR112*AA112=0,"",BR112*AA112),"")</f>
        <v/>
      </c>
    </row>
    <row r="113">
      <c r="O113">
        <f>IFERROR(INDEX('_courses_lookup'!$C:$C,MATCH(K113&amp;L113,'_courses_lookup'!$E:$E,0)),"")</f>
        <v/>
      </c>
      <c r="P113">
        <f>IFERROR(INDEX('_courses_lookup'!$D:$D,MATCH(K113&amp;L113,'_courses_lookup'!$E:$E,0)),"")</f>
        <v/>
      </c>
      <c r="AG113">
        <f>IF(AND(AE113&lt;&gt;"",AF113&lt;&gt;""),ROUNDUP((AF113-AE113)/7,0),"")</f>
        <v/>
      </c>
      <c r="AI113">
        <f>IFERROR(IF(AG113*AH113=0,"",AG113*AH113),"")</f>
        <v/>
      </c>
      <c r="AL113">
        <f>IF(AND(AJ113&lt;&gt;"",AK113&lt;&gt;""),ROUNDUP((AK113-AJ113)/7,0),"")</f>
        <v/>
      </c>
      <c r="AN113">
        <f>IFERROR(IF(AL113*AM113=0,"",AL113*AM113),"")</f>
        <v/>
      </c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L113">
        <f>IFERROR(INDEX('_names_lookup'!$C:$C,MATCH(BK113,'_names_lookup'!$A:$A,0)),"")</f>
        <v/>
      </c>
      <c r="BM113">
        <f>IFERROR(INDEX('_names_lookup'!$B:$B,MATCH(BK113,'_names_lookup'!$A:$A,0)),"")</f>
        <v/>
      </c>
      <c r="BS113">
        <f>IFERROR(IF(BR113*AA113=0,"",BR113*AA113),"")</f>
        <v/>
      </c>
    </row>
    <row r="114">
      <c r="O114">
        <f>IFERROR(INDEX('_courses_lookup'!$C:$C,MATCH(K114&amp;L114,'_courses_lookup'!$E:$E,0)),"")</f>
        <v/>
      </c>
      <c r="P114">
        <f>IFERROR(INDEX('_courses_lookup'!$D:$D,MATCH(K114&amp;L114,'_courses_lookup'!$E:$E,0)),"")</f>
        <v/>
      </c>
      <c r="AG114">
        <f>IF(AND(AE114&lt;&gt;"",AF114&lt;&gt;""),ROUNDUP((AF114-AE114)/7,0),"")</f>
        <v/>
      </c>
      <c r="AI114">
        <f>IFERROR(IF(AG114*AH114=0,"",AG114*AH114),"")</f>
        <v/>
      </c>
      <c r="AL114">
        <f>IF(AND(AJ114&lt;&gt;"",AK114&lt;&gt;""),ROUNDUP((AK114-AJ114)/7,0),"")</f>
        <v/>
      </c>
      <c r="AN114">
        <f>IFERROR(IF(AL114*AM114=0,"",AL114*AM114),"")</f>
        <v/>
      </c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L114">
        <f>IFERROR(INDEX('_names_lookup'!$C:$C,MATCH(BK114,'_names_lookup'!$A:$A,0)),"")</f>
        <v/>
      </c>
      <c r="BM114">
        <f>IFERROR(INDEX('_names_lookup'!$B:$B,MATCH(BK114,'_names_lookup'!$A:$A,0)),"")</f>
        <v/>
      </c>
      <c r="BS114">
        <f>IFERROR(IF(BR114*AA114=0,"",BR114*AA114),"")</f>
        <v/>
      </c>
    </row>
    <row r="115">
      <c r="O115">
        <f>IFERROR(INDEX('_courses_lookup'!$C:$C,MATCH(K115&amp;L115,'_courses_lookup'!$E:$E,0)),"")</f>
        <v/>
      </c>
      <c r="P115">
        <f>IFERROR(INDEX('_courses_lookup'!$D:$D,MATCH(K115&amp;L115,'_courses_lookup'!$E:$E,0)),"")</f>
        <v/>
      </c>
      <c r="AG115">
        <f>IF(AND(AE115&lt;&gt;"",AF115&lt;&gt;""),ROUNDUP((AF115-AE115)/7,0),"")</f>
        <v/>
      </c>
      <c r="AI115">
        <f>IFERROR(IF(AG115*AH115=0,"",AG115*AH115),"")</f>
        <v/>
      </c>
      <c r="AL115">
        <f>IF(AND(AJ115&lt;&gt;"",AK115&lt;&gt;""),ROUNDUP((AK115-AJ115)/7,0),"")</f>
        <v/>
      </c>
      <c r="AN115">
        <f>IFERROR(IF(AL115*AM115=0,"",AL115*AM115),"")</f>
        <v/>
      </c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L115">
        <f>IFERROR(INDEX('_names_lookup'!$C:$C,MATCH(BK115,'_names_lookup'!$A:$A,0)),"")</f>
        <v/>
      </c>
      <c r="BM115">
        <f>IFERROR(INDEX('_names_lookup'!$B:$B,MATCH(BK115,'_names_lookup'!$A:$A,0)),"")</f>
        <v/>
      </c>
      <c r="BS115">
        <f>IFERROR(IF(BR115*AA115=0,"",BR115*AA115),"")</f>
        <v/>
      </c>
    </row>
    <row r="116">
      <c r="O116">
        <f>IFERROR(INDEX('_courses_lookup'!$C:$C,MATCH(K116&amp;L116,'_courses_lookup'!$E:$E,0)),"")</f>
        <v/>
      </c>
      <c r="P116">
        <f>IFERROR(INDEX('_courses_lookup'!$D:$D,MATCH(K116&amp;L116,'_courses_lookup'!$E:$E,0)),"")</f>
        <v/>
      </c>
      <c r="AG116">
        <f>IF(AND(AE116&lt;&gt;"",AF116&lt;&gt;""),ROUNDUP((AF116-AE116)/7,0),"")</f>
        <v/>
      </c>
      <c r="AI116">
        <f>IFERROR(IF(AG116*AH116=0,"",AG116*AH116),"")</f>
        <v/>
      </c>
      <c r="AL116">
        <f>IF(AND(AJ116&lt;&gt;"",AK116&lt;&gt;""),ROUNDUP((AK116-AJ116)/7,0),"")</f>
        <v/>
      </c>
      <c r="AN116">
        <f>IFERROR(IF(AL116*AM116=0,"",AL116*AM116),"")</f>
        <v/>
      </c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L116">
        <f>IFERROR(INDEX('_names_lookup'!$C:$C,MATCH(BK116,'_names_lookup'!$A:$A,0)),"")</f>
        <v/>
      </c>
      <c r="BM116">
        <f>IFERROR(INDEX('_names_lookup'!$B:$B,MATCH(BK116,'_names_lookup'!$A:$A,0)),"")</f>
        <v/>
      </c>
      <c r="BS116">
        <f>IFERROR(IF(BR116*AA116=0,"",BR116*AA116),"")</f>
        <v/>
      </c>
    </row>
    <row r="117">
      <c r="O117">
        <f>IFERROR(INDEX('_courses_lookup'!$C:$C,MATCH(K117&amp;L117,'_courses_lookup'!$E:$E,0)),"")</f>
        <v/>
      </c>
      <c r="P117">
        <f>IFERROR(INDEX('_courses_lookup'!$D:$D,MATCH(K117&amp;L117,'_courses_lookup'!$E:$E,0)),"")</f>
        <v/>
      </c>
      <c r="AG117">
        <f>IF(AND(AE117&lt;&gt;"",AF117&lt;&gt;""),ROUNDUP((AF117-AE117)/7,0),"")</f>
        <v/>
      </c>
      <c r="AI117">
        <f>IFERROR(IF(AG117*AH117=0,"",AG117*AH117),"")</f>
        <v/>
      </c>
      <c r="AL117">
        <f>IF(AND(AJ117&lt;&gt;"",AK117&lt;&gt;""),ROUNDUP((AK117-AJ117)/7,0),"")</f>
        <v/>
      </c>
      <c r="AN117">
        <f>IFERROR(IF(AL117*AM117=0,"",AL117*AM117),"")</f>
        <v/>
      </c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L117">
        <f>IFERROR(INDEX('_names_lookup'!$C:$C,MATCH(BK117,'_names_lookup'!$A:$A,0)),"")</f>
        <v/>
      </c>
      <c r="BM117">
        <f>IFERROR(INDEX('_names_lookup'!$B:$B,MATCH(BK117,'_names_lookup'!$A:$A,0)),"")</f>
        <v/>
      </c>
      <c r="BS117">
        <f>IFERROR(IF(BR117*AA117=0,"",BR117*AA117),"")</f>
        <v/>
      </c>
    </row>
    <row r="118">
      <c r="O118">
        <f>IFERROR(INDEX('_courses_lookup'!$C:$C,MATCH(K118&amp;L118,'_courses_lookup'!$E:$E,0)),"")</f>
        <v/>
      </c>
      <c r="P118">
        <f>IFERROR(INDEX('_courses_lookup'!$D:$D,MATCH(K118&amp;L118,'_courses_lookup'!$E:$E,0)),"")</f>
        <v/>
      </c>
      <c r="AG118">
        <f>IF(AND(AE118&lt;&gt;"",AF118&lt;&gt;""),ROUNDUP((AF118-AE118)/7,0),"")</f>
        <v/>
      </c>
      <c r="AI118">
        <f>IFERROR(IF(AG118*AH118=0,"",AG118*AH118),"")</f>
        <v/>
      </c>
      <c r="AL118">
        <f>IF(AND(AJ118&lt;&gt;"",AK118&lt;&gt;""),ROUNDUP((AK118-AJ118)/7,0),"")</f>
        <v/>
      </c>
      <c r="AN118">
        <f>IFERROR(IF(AL118*AM118=0,"",AL118*AM118),"")</f>
        <v/>
      </c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L118">
        <f>IFERROR(INDEX('_names_lookup'!$C:$C,MATCH(BK118,'_names_lookup'!$A:$A,0)),"")</f>
        <v/>
      </c>
      <c r="BM118">
        <f>IFERROR(INDEX('_names_lookup'!$B:$B,MATCH(BK118,'_names_lookup'!$A:$A,0)),"")</f>
        <v/>
      </c>
      <c r="BS118">
        <f>IFERROR(IF(BR118*AA118=0,"",BR118*AA118),"")</f>
        <v/>
      </c>
    </row>
    <row r="119">
      <c r="O119">
        <f>IFERROR(INDEX('_courses_lookup'!$C:$C,MATCH(K119&amp;L119,'_courses_lookup'!$E:$E,0)),"")</f>
        <v/>
      </c>
      <c r="P119">
        <f>IFERROR(INDEX('_courses_lookup'!$D:$D,MATCH(K119&amp;L119,'_courses_lookup'!$E:$E,0)),"")</f>
        <v/>
      </c>
      <c r="AG119">
        <f>IF(AND(AE119&lt;&gt;"",AF119&lt;&gt;""),ROUNDUP((AF119-AE119)/7,0),"")</f>
        <v/>
      </c>
      <c r="AI119">
        <f>IFERROR(IF(AG119*AH119=0,"",AG119*AH119),"")</f>
        <v/>
      </c>
      <c r="AL119">
        <f>IF(AND(AJ119&lt;&gt;"",AK119&lt;&gt;""),ROUNDUP((AK119-AJ119)/7,0),"")</f>
        <v/>
      </c>
      <c r="AN119">
        <f>IFERROR(IF(AL119*AM119=0,"",AL119*AM119),"")</f>
        <v/>
      </c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L119">
        <f>IFERROR(INDEX('_names_lookup'!$C:$C,MATCH(BK119,'_names_lookup'!$A:$A,0)),"")</f>
        <v/>
      </c>
      <c r="BM119">
        <f>IFERROR(INDEX('_names_lookup'!$B:$B,MATCH(BK119,'_names_lookup'!$A:$A,0)),"")</f>
        <v/>
      </c>
      <c r="BS119">
        <f>IFERROR(IF(BR119*AA119=0,"",BR119*AA119),"")</f>
        <v/>
      </c>
    </row>
    <row r="120">
      <c r="O120">
        <f>IFERROR(INDEX('_courses_lookup'!$C:$C,MATCH(K120&amp;L120,'_courses_lookup'!$E:$E,0)),"")</f>
        <v/>
      </c>
      <c r="P120">
        <f>IFERROR(INDEX('_courses_lookup'!$D:$D,MATCH(K120&amp;L120,'_courses_lookup'!$E:$E,0)),"")</f>
        <v/>
      </c>
      <c r="AG120">
        <f>IF(AND(AE120&lt;&gt;"",AF120&lt;&gt;""),ROUNDUP((AF120-AE120)/7,0),"")</f>
        <v/>
      </c>
      <c r="AI120">
        <f>IFERROR(IF(AG120*AH120=0,"",AG120*AH120),"")</f>
        <v/>
      </c>
      <c r="AL120">
        <f>IF(AND(AJ120&lt;&gt;"",AK120&lt;&gt;""),ROUNDUP((AK120-AJ120)/7,0),"")</f>
        <v/>
      </c>
      <c r="AN120">
        <f>IFERROR(IF(AL120*AM120=0,"",AL120*AM120),"")</f>
        <v/>
      </c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L120">
        <f>IFERROR(INDEX('_names_lookup'!$C:$C,MATCH(BK120,'_names_lookup'!$A:$A,0)),"")</f>
        <v/>
      </c>
      <c r="BM120">
        <f>IFERROR(INDEX('_names_lookup'!$B:$B,MATCH(BK120,'_names_lookup'!$A:$A,0)),"")</f>
        <v/>
      </c>
      <c r="BS120">
        <f>IFERROR(IF(BR120*AA120=0,"",BR120*AA120),"")</f>
        <v/>
      </c>
    </row>
    <row r="121">
      <c r="O121">
        <f>IFERROR(INDEX('_courses_lookup'!$C:$C,MATCH(K121&amp;L121,'_courses_lookup'!$E:$E,0)),"")</f>
        <v/>
      </c>
      <c r="P121">
        <f>IFERROR(INDEX('_courses_lookup'!$D:$D,MATCH(K121&amp;L121,'_courses_lookup'!$E:$E,0)),"")</f>
        <v/>
      </c>
      <c r="AG121">
        <f>IF(AND(AE121&lt;&gt;"",AF121&lt;&gt;""),ROUNDUP((AF121-AE121)/7,0),"")</f>
        <v/>
      </c>
      <c r="AI121">
        <f>IFERROR(IF(AG121*AH121=0,"",AG121*AH121),"")</f>
        <v/>
      </c>
      <c r="AL121">
        <f>IF(AND(AJ121&lt;&gt;"",AK121&lt;&gt;""),ROUNDUP((AK121-AJ121)/7,0),"")</f>
        <v/>
      </c>
      <c r="AN121">
        <f>IFERROR(IF(AL121*AM121=0,"",AL121*AM121),"")</f>
        <v/>
      </c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L121">
        <f>IFERROR(INDEX('_names_lookup'!$C:$C,MATCH(BK121,'_names_lookup'!$A:$A,0)),"")</f>
        <v/>
      </c>
      <c r="BM121">
        <f>IFERROR(INDEX('_names_lookup'!$B:$B,MATCH(BK121,'_names_lookup'!$A:$A,0)),"")</f>
        <v/>
      </c>
      <c r="BS121">
        <f>IFERROR(IF(BR121*AA121=0,"",BR121*AA121),"")</f>
        <v/>
      </c>
    </row>
    <row r="122">
      <c r="O122">
        <f>IFERROR(INDEX('_courses_lookup'!$C:$C,MATCH(K122&amp;L122,'_courses_lookup'!$E:$E,0)),"")</f>
        <v/>
      </c>
      <c r="P122">
        <f>IFERROR(INDEX('_courses_lookup'!$D:$D,MATCH(K122&amp;L122,'_courses_lookup'!$E:$E,0)),"")</f>
        <v/>
      </c>
      <c r="AG122">
        <f>IF(AND(AE122&lt;&gt;"",AF122&lt;&gt;""),ROUNDUP((AF122-AE122)/7,0),"")</f>
        <v/>
      </c>
      <c r="AI122">
        <f>IFERROR(IF(AG122*AH122=0,"",AG122*AH122),"")</f>
        <v/>
      </c>
      <c r="AL122">
        <f>IF(AND(AJ122&lt;&gt;"",AK122&lt;&gt;""),ROUNDUP((AK122-AJ122)/7,0),"")</f>
        <v/>
      </c>
      <c r="AN122">
        <f>IFERROR(IF(AL122*AM122=0,"",AL122*AM122),"")</f>
        <v/>
      </c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L122">
        <f>IFERROR(INDEX('_names_lookup'!$C:$C,MATCH(BK122,'_names_lookup'!$A:$A,0)),"")</f>
        <v/>
      </c>
      <c r="BM122">
        <f>IFERROR(INDEX('_names_lookup'!$B:$B,MATCH(BK122,'_names_lookup'!$A:$A,0)),"")</f>
        <v/>
      </c>
      <c r="BS122">
        <f>IFERROR(IF(BR122*AA122=0,"",BR122*AA122),"")</f>
        <v/>
      </c>
    </row>
    <row r="123">
      <c r="O123">
        <f>IFERROR(INDEX('_courses_lookup'!$C:$C,MATCH(K123&amp;L123,'_courses_lookup'!$E:$E,0)),"")</f>
        <v/>
      </c>
      <c r="P123">
        <f>IFERROR(INDEX('_courses_lookup'!$D:$D,MATCH(K123&amp;L123,'_courses_lookup'!$E:$E,0)),"")</f>
        <v/>
      </c>
      <c r="AG123">
        <f>IF(AND(AE123&lt;&gt;"",AF123&lt;&gt;""),ROUNDUP((AF123-AE123)/7,0),"")</f>
        <v/>
      </c>
      <c r="AI123">
        <f>IFERROR(IF(AG123*AH123=0,"",AG123*AH123),"")</f>
        <v/>
      </c>
      <c r="AL123">
        <f>IF(AND(AJ123&lt;&gt;"",AK123&lt;&gt;""),ROUNDUP((AK123-AJ123)/7,0),"")</f>
        <v/>
      </c>
      <c r="AN123">
        <f>IFERROR(IF(AL123*AM123=0,"",AL123*AM123),"")</f>
        <v/>
      </c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L123">
        <f>IFERROR(INDEX('_names_lookup'!$C:$C,MATCH(BK123,'_names_lookup'!$A:$A,0)),"")</f>
        <v/>
      </c>
      <c r="BM123">
        <f>IFERROR(INDEX('_names_lookup'!$B:$B,MATCH(BK123,'_names_lookup'!$A:$A,0)),"")</f>
        <v/>
      </c>
      <c r="BS123">
        <f>IFERROR(IF(BR123*AA123=0,"",BR123*AA123),"")</f>
        <v/>
      </c>
    </row>
    <row r="124">
      <c r="O124">
        <f>IFERROR(INDEX('_courses_lookup'!$C:$C,MATCH(K124&amp;L124,'_courses_lookup'!$E:$E,0)),"")</f>
        <v/>
      </c>
      <c r="P124">
        <f>IFERROR(INDEX('_courses_lookup'!$D:$D,MATCH(K124&amp;L124,'_courses_lookup'!$E:$E,0)),"")</f>
        <v/>
      </c>
      <c r="AG124">
        <f>IF(AND(AE124&lt;&gt;"",AF124&lt;&gt;""),ROUNDUP((AF124-AE124)/7,0),"")</f>
        <v/>
      </c>
      <c r="AI124">
        <f>IFERROR(IF(AG124*AH124=0,"",AG124*AH124),"")</f>
        <v/>
      </c>
      <c r="AL124">
        <f>IF(AND(AJ124&lt;&gt;"",AK124&lt;&gt;""),ROUNDUP((AK124-AJ124)/7,0),"")</f>
        <v/>
      </c>
      <c r="AN124">
        <f>IFERROR(IF(AL124*AM124=0,"",AL124*AM124),"")</f>
        <v/>
      </c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L124">
        <f>IFERROR(INDEX('_names_lookup'!$C:$C,MATCH(BK124,'_names_lookup'!$A:$A,0)),"")</f>
        <v/>
      </c>
      <c r="BM124">
        <f>IFERROR(INDEX('_names_lookup'!$B:$B,MATCH(BK124,'_names_lookup'!$A:$A,0)),"")</f>
        <v/>
      </c>
      <c r="BS124">
        <f>IFERROR(IF(BR124*AA124=0,"",BR124*AA124),"")</f>
        <v/>
      </c>
    </row>
    <row r="125">
      <c r="O125">
        <f>IFERROR(INDEX('_courses_lookup'!$C:$C,MATCH(K125&amp;L125,'_courses_lookup'!$E:$E,0)),"")</f>
        <v/>
      </c>
      <c r="P125">
        <f>IFERROR(INDEX('_courses_lookup'!$D:$D,MATCH(K125&amp;L125,'_courses_lookup'!$E:$E,0)),"")</f>
        <v/>
      </c>
      <c r="AG125">
        <f>IF(AND(AE125&lt;&gt;"",AF125&lt;&gt;""),ROUNDUP((AF125-AE125)/7,0),"")</f>
        <v/>
      </c>
      <c r="AI125">
        <f>IFERROR(IF(AG125*AH125=0,"",AG125*AH125),"")</f>
        <v/>
      </c>
      <c r="AL125">
        <f>IF(AND(AJ125&lt;&gt;"",AK125&lt;&gt;""),ROUNDUP((AK125-AJ125)/7,0),"")</f>
        <v/>
      </c>
      <c r="AN125">
        <f>IFERROR(IF(AL125*AM125=0,"",AL125*AM125),"")</f>
        <v/>
      </c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L125">
        <f>IFERROR(INDEX('_names_lookup'!$C:$C,MATCH(BK125,'_names_lookup'!$A:$A,0)),"")</f>
        <v/>
      </c>
      <c r="BM125">
        <f>IFERROR(INDEX('_names_lookup'!$B:$B,MATCH(BK125,'_names_lookup'!$A:$A,0)),"")</f>
        <v/>
      </c>
      <c r="BS125">
        <f>IFERROR(IF(BR125*AA125=0,"",BR125*AA125),"")</f>
        <v/>
      </c>
    </row>
    <row r="126">
      <c r="O126">
        <f>IFERROR(INDEX('_courses_lookup'!$C:$C,MATCH(K126&amp;L126,'_courses_lookup'!$E:$E,0)),"")</f>
        <v/>
      </c>
      <c r="P126">
        <f>IFERROR(INDEX('_courses_lookup'!$D:$D,MATCH(K126&amp;L126,'_courses_lookup'!$E:$E,0)),"")</f>
        <v/>
      </c>
      <c r="AG126">
        <f>IF(AND(AE126&lt;&gt;"",AF126&lt;&gt;""),ROUNDUP((AF126-AE126)/7,0),"")</f>
        <v/>
      </c>
      <c r="AI126">
        <f>IFERROR(IF(AG126*AH126=0,"",AG126*AH126),"")</f>
        <v/>
      </c>
      <c r="AL126">
        <f>IF(AND(AJ126&lt;&gt;"",AK126&lt;&gt;""),ROUNDUP((AK126-AJ126)/7,0),"")</f>
        <v/>
      </c>
      <c r="AN126">
        <f>IFERROR(IF(AL126*AM126=0,"",AL126*AM126),"")</f>
        <v/>
      </c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L126">
        <f>IFERROR(INDEX('_names_lookup'!$C:$C,MATCH(BK126,'_names_lookup'!$A:$A,0)),"")</f>
        <v/>
      </c>
      <c r="BM126">
        <f>IFERROR(INDEX('_names_lookup'!$B:$B,MATCH(BK126,'_names_lookup'!$A:$A,0)),"")</f>
        <v/>
      </c>
      <c r="BS126">
        <f>IFERROR(IF(BR126*AA126=0,"",BR126*AA126),"")</f>
        <v/>
      </c>
    </row>
    <row r="127">
      <c r="O127">
        <f>IFERROR(INDEX('_courses_lookup'!$C:$C,MATCH(K127&amp;L127,'_courses_lookup'!$E:$E,0)),"")</f>
        <v/>
      </c>
      <c r="P127">
        <f>IFERROR(INDEX('_courses_lookup'!$D:$D,MATCH(K127&amp;L127,'_courses_lookup'!$E:$E,0)),"")</f>
        <v/>
      </c>
      <c r="AG127">
        <f>IF(AND(AE127&lt;&gt;"",AF127&lt;&gt;""),ROUNDUP((AF127-AE127)/7,0),"")</f>
        <v/>
      </c>
      <c r="AI127">
        <f>IFERROR(IF(AG127*AH127=0,"",AG127*AH127),"")</f>
        <v/>
      </c>
      <c r="AL127">
        <f>IF(AND(AJ127&lt;&gt;"",AK127&lt;&gt;""),ROUNDUP((AK127-AJ127)/7,0),"")</f>
        <v/>
      </c>
      <c r="AN127">
        <f>IFERROR(IF(AL127*AM127=0,"",AL127*AM127),"")</f>
        <v/>
      </c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L127">
        <f>IFERROR(INDEX('_names_lookup'!$C:$C,MATCH(BK127,'_names_lookup'!$A:$A,0)),"")</f>
        <v/>
      </c>
      <c r="BM127">
        <f>IFERROR(INDEX('_names_lookup'!$B:$B,MATCH(BK127,'_names_lookup'!$A:$A,0)),"")</f>
        <v/>
      </c>
      <c r="BS127">
        <f>IFERROR(IF(BR127*AA127=0,"",BR127*AA127),"")</f>
        <v/>
      </c>
    </row>
    <row r="128">
      <c r="O128">
        <f>IFERROR(INDEX('_courses_lookup'!$C:$C,MATCH(K128&amp;L128,'_courses_lookup'!$E:$E,0)),"")</f>
        <v/>
      </c>
      <c r="P128">
        <f>IFERROR(INDEX('_courses_lookup'!$D:$D,MATCH(K128&amp;L128,'_courses_lookup'!$E:$E,0)),"")</f>
        <v/>
      </c>
      <c r="AG128">
        <f>IF(AND(AE128&lt;&gt;"",AF128&lt;&gt;""),ROUNDUP((AF128-AE128)/7,0),"")</f>
        <v/>
      </c>
      <c r="AI128">
        <f>IFERROR(IF(AG128*AH128=0,"",AG128*AH128),"")</f>
        <v/>
      </c>
      <c r="AL128">
        <f>IF(AND(AJ128&lt;&gt;"",AK128&lt;&gt;""),ROUNDUP((AK128-AJ128)/7,0),"")</f>
        <v/>
      </c>
      <c r="AN128">
        <f>IFERROR(IF(AL128*AM128=0,"",AL128*AM128),"")</f>
        <v/>
      </c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L128">
        <f>IFERROR(INDEX('_names_lookup'!$C:$C,MATCH(BK128,'_names_lookup'!$A:$A,0)),"")</f>
        <v/>
      </c>
      <c r="BM128">
        <f>IFERROR(INDEX('_names_lookup'!$B:$B,MATCH(BK128,'_names_lookup'!$A:$A,0)),"")</f>
        <v/>
      </c>
      <c r="BS128">
        <f>IFERROR(IF(BR128*AA128=0,"",BR128*AA128),"")</f>
        <v/>
      </c>
    </row>
    <row r="129">
      <c r="O129">
        <f>IFERROR(INDEX('_courses_lookup'!$C:$C,MATCH(K129&amp;L129,'_courses_lookup'!$E:$E,0)),"")</f>
        <v/>
      </c>
      <c r="P129">
        <f>IFERROR(INDEX('_courses_lookup'!$D:$D,MATCH(K129&amp;L129,'_courses_lookup'!$E:$E,0)),"")</f>
        <v/>
      </c>
      <c r="AG129">
        <f>IF(AND(AE129&lt;&gt;"",AF129&lt;&gt;""),ROUNDUP((AF129-AE129)/7,0),"")</f>
        <v/>
      </c>
      <c r="AI129">
        <f>IFERROR(IF(AG129*AH129=0,"",AG129*AH129),"")</f>
        <v/>
      </c>
      <c r="AL129">
        <f>IF(AND(AJ129&lt;&gt;"",AK129&lt;&gt;""),ROUNDUP((AK129-AJ129)/7,0),"")</f>
        <v/>
      </c>
      <c r="AN129">
        <f>IFERROR(IF(AL129*AM129=0,"",AL129*AM129),"")</f>
        <v/>
      </c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L129">
        <f>IFERROR(INDEX('_names_lookup'!$C:$C,MATCH(BK129,'_names_lookup'!$A:$A,0)),"")</f>
        <v/>
      </c>
      <c r="BM129">
        <f>IFERROR(INDEX('_names_lookup'!$B:$B,MATCH(BK129,'_names_lookup'!$A:$A,0)),"")</f>
        <v/>
      </c>
      <c r="BS129">
        <f>IFERROR(IF(BR129*AA129=0,"",BR129*AA129),"")</f>
        <v/>
      </c>
    </row>
    <row r="130">
      <c r="O130">
        <f>IFERROR(INDEX('_courses_lookup'!$C:$C,MATCH(K130&amp;L130,'_courses_lookup'!$E:$E,0)),"")</f>
        <v/>
      </c>
      <c r="P130">
        <f>IFERROR(INDEX('_courses_lookup'!$D:$D,MATCH(K130&amp;L130,'_courses_lookup'!$E:$E,0)),"")</f>
        <v/>
      </c>
      <c r="AG130">
        <f>IF(AND(AE130&lt;&gt;"",AF130&lt;&gt;""),ROUNDUP((AF130-AE130)/7,0),"")</f>
        <v/>
      </c>
      <c r="AI130">
        <f>IFERROR(IF(AG130*AH130=0,"",AG130*AH130),"")</f>
        <v/>
      </c>
      <c r="AL130">
        <f>IF(AND(AJ130&lt;&gt;"",AK130&lt;&gt;""),ROUNDUP((AK130-AJ130)/7,0),"")</f>
        <v/>
      </c>
      <c r="AN130">
        <f>IFERROR(IF(AL130*AM130=0,"",AL130*AM130),"")</f>
        <v/>
      </c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L130">
        <f>IFERROR(INDEX('_names_lookup'!$C:$C,MATCH(BK130,'_names_lookup'!$A:$A,0)),"")</f>
        <v/>
      </c>
      <c r="BM130">
        <f>IFERROR(INDEX('_names_lookup'!$B:$B,MATCH(BK130,'_names_lookup'!$A:$A,0)),"")</f>
        <v/>
      </c>
      <c r="BS130">
        <f>IFERROR(IF(BR130*AA130=0,"",BR130*AA130),"")</f>
        <v/>
      </c>
    </row>
    <row r="131">
      <c r="O131">
        <f>IFERROR(INDEX('_courses_lookup'!$C:$C,MATCH(K131&amp;L131,'_courses_lookup'!$E:$E,0)),"")</f>
        <v/>
      </c>
      <c r="P131">
        <f>IFERROR(INDEX('_courses_lookup'!$D:$D,MATCH(K131&amp;L131,'_courses_lookup'!$E:$E,0)),"")</f>
        <v/>
      </c>
      <c r="AG131">
        <f>IF(AND(AE131&lt;&gt;"",AF131&lt;&gt;""),ROUNDUP((AF131-AE131)/7,0),"")</f>
        <v/>
      </c>
      <c r="AI131">
        <f>IFERROR(IF(AG131*AH131=0,"",AG131*AH131),"")</f>
        <v/>
      </c>
      <c r="AL131">
        <f>IF(AND(AJ131&lt;&gt;"",AK131&lt;&gt;""),ROUNDUP((AK131-AJ131)/7,0),"")</f>
        <v/>
      </c>
      <c r="AN131">
        <f>IFERROR(IF(AL131*AM131=0,"",AL131*AM131),"")</f>
        <v/>
      </c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L131">
        <f>IFERROR(INDEX('_names_lookup'!$C:$C,MATCH(BK131,'_names_lookup'!$A:$A,0)),"")</f>
        <v/>
      </c>
      <c r="BM131">
        <f>IFERROR(INDEX('_names_lookup'!$B:$B,MATCH(BK131,'_names_lookup'!$A:$A,0)),"")</f>
        <v/>
      </c>
      <c r="BS131">
        <f>IFERROR(IF(BR131*AA131=0,"",BR131*AA131),"")</f>
        <v/>
      </c>
    </row>
    <row r="132">
      <c r="O132">
        <f>IFERROR(INDEX('_courses_lookup'!$C:$C,MATCH(K132&amp;L132,'_courses_lookup'!$E:$E,0)),"")</f>
        <v/>
      </c>
      <c r="P132">
        <f>IFERROR(INDEX('_courses_lookup'!$D:$D,MATCH(K132&amp;L132,'_courses_lookup'!$E:$E,0)),"")</f>
        <v/>
      </c>
      <c r="AG132">
        <f>IF(AND(AE132&lt;&gt;"",AF132&lt;&gt;""),ROUNDUP((AF132-AE132)/7,0),"")</f>
        <v/>
      </c>
      <c r="AI132">
        <f>IFERROR(IF(AG132*AH132=0,"",AG132*AH132),"")</f>
        <v/>
      </c>
      <c r="AL132">
        <f>IF(AND(AJ132&lt;&gt;"",AK132&lt;&gt;""),ROUNDUP((AK132-AJ132)/7,0),"")</f>
        <v/>
      </c>
      <c r="AN132">
        <f>IFERROR(IF(AL132*AM132=0,"",AL132*AM132),"")</f>
        <v/>
      </c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L132">
        <f>IFERROR(INDEX('_names_lookup'!$C:$C,MATCH(BK132,'_names_lookup'!$A:$A,0)),"")</f>
        <v/>
      </c>
      <c r="BM132">
        <f>IFERROR(INDEX('_names_lookup'!$B:$B,MATCH(BK132,'_names_lookup'!$A:$A,0)),"")</f>
        <v/>
      </c>
      <c r="BS132">
        <f>IFERROR(IF(BR132*AA132=0,"",BR132*AA132),"")</f>
        <v/>
      </c>
    </row>
    <row r="133">
      <c r="O133">
        <f>IFERROR(INDEX('_courses_lookup'!$C:$C,MATCH(K133&amp;L133,'_courses_lookup'!$E:$E,0)),"")</f>
        <v/>
      </c>
      <c r="P133">
        <f>IFERROR(INDEX('_courses_lookup'!$D:$D,MATCH(K133&amp;L133,'_courses_lookup'!$E:$E,0)),"")</f>
        <v/>
      </c>
      <c r="AG133">
        <f>IF(AND(AE133&lt;&gt;"",AF133&lt;&gt;""),ROUNDUP((AF133-AE133)/7,0),"")</f>
        <v/>
      </c>
      <c r="AI133">
        <f>IFERROR(IF(AG133*AH133=0,"",AG133*AH133),"")</f>
        <v/>
      </c>
      <c r="AL133">
        <f>IF(AND(AJ133&lt;&gt;"",AK133&lt;&gt;""),ROUNDUP((AK133-AJ133)/7,0),"")</f>
        <v/>
      </c>
      <c r="AN133">
        <f>IFERROR(IF(AL133*AM133=0,"",AL133*AM133),"")</f>
        <v/>
      </c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L133">
        <f>IFERROR(INDEX('_names_lookup'!$C:$C,MATCH(BK133,'_names_lookup'!$A:$A,0)),"")</f>
        <v/>
      </c>
      <c r="BM133">
        <f>IFERROR(INDEX('_names_lookup'!$B:$B,MATCH(BK133,'_names_lookup'!$A:$A,0)),"")</f>
        <v/>
      </c>
      <c r="BS133">
        <f>IFERROR(IF(BR133*AA133=0,"",BR133*AA133),"")</f>
        <v/>
      </c>
    </row>
    <row r="134">
      <c r="O134">
        <f>IFERROR(INDEX('_courses_lookup'!$C:$C,MATCH(K134&amp;L134,'_courses_lookup'!$E:$E,0)),"")</f>
        <v/>
      </c>
      <c r="P134">
        <f>IFERROR(INDEX('_courses_lookup'!$D:$D,MATCH(K134&amp;L134,'_courses_lookup'!$E:$E,0)),"")</f>
        <v/>
      </c>
      <c r="AG134">
        <f>IF(AND(AE134&lt;&gt;"",AF134&lt;&gt;""),ROUNDUP((AF134-AE134)/7,0),"")</f>
        <v/>
      </c>
      <c r="AI134">
        <f>IFERROR(IF(AG134*AH134=0,"",AG134*AH134),"")</f>
        <v/>
      </c>
      <c r="AL134">
        <f>IF(AND(AJ134&lt;&gt;"",AK134&lt;&gt;""),ROUNDUP((AK134-AJ134)/7,0),"")</f>
        <v/>
      </c>
      <c r="AN134">
        <f>IFERROR(IF(AL134*AM134=0,"",AL134*AM134),"")</f>
        <v/>
      </c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L134">
        <f>IFERROR(INDEX('_names_lookup'!$C:$C,MATCH(BK134,'_names_lookup'!$A:$A,0)),"")</f>
        <v/>
      </c>
      <c r="BM134">
        <f>IFERROR(INDEX('_names_lookup'!$B:$B,MATCH(BK134,'_names_lookup'!$A:$A,0)),"")</f>
        <v/>
      </c>
      <c r="BS134">
        <f>IFERROR(IF(BR134*AA134=0,"",BR134*AA134),"")</f>
        <v/>
      </c>
    </row>
    <row r="135">
      <c r="O135">
        <f>IFERROR(INDEX('_courses_lookup'!$C:$C,MATCH(K135&amp;L135,'_courses_lookup'!$E:$E,0)),"")</f>
        <v/>
      </c>
      <c r="P135">
        <f>IFERROR(INDEX('_courses_lookup'!$D:$D,MATCH(K135&amp;L135,'_courses_lookup'!$E:$E,0)),"")</f>
        <v/>
      </c>
      <c r="AG135">
        <f>IF(AND(AE135&lt;&gt;"",AF135&lt;&gt;""),ROUNDUP((AF135-AE135)/7,0),"")</f>
        <v/>
      </c>
      <c r="AI135">
        <f>IFERROR(IF(AG135*AH135=0,"",AG135*AH135),"")</f>
        <v/>
      </c>
      <c r="AL135">
        <f>IF(AND(AJ135&lt;&gt;"",AK135&lt;&gt;""),ROUNDUP((AK135-AJ135)/7,0),"")</f>
        <v/>
      </c>
      <c r="AN135">
        <f>IFERROR(IF(AL135*AM135=0,"",AL135*AM135),"")</f>
        <v/>
      </c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L135">
        <f>IFERROR(INDEX('_names_lookup'!$C:$C,MATCH(BK135,'_names_lookup'!$A:$A,0)),"")</f>
        <v/>
      </c>
      <c r="BM135">
        <f>IFERROR(INDEX('_names_lookup'!$B:$B,MATCH(BK135,'_names_lookup'!$A:$A,0)),"")</f>
        <v/>
      </c>
      <c r="BS135">
        <f>IFERROR(IF(BR135*AA135=0,"",BR135*AA135),"")</f>
        <v/>
      </c>
    </row>
    <row r="136">
      <c r="O136">
        <f>IFERROR(INDEX('_courses_lookup'!$C:$C,MATCH(K136&amp;L136,'_courses_lookup'!$E:$E,0)),"")</f>
        <v/>
      </c>
      <c r="P136">
        <f>IFERROR(INDEX('_courses_lookup'!$D:$D,MATCH(K136&amp;L136,'_courses_lookup'!$E:$E,0)),"")</f>
        <v/>
      </c>
      <c r="AG136">
        <f>IF(AND(AE136&lt;&gt;"",AF136&lt;&gt;""),ROUNDUP((AF136-AE136)/7,0),"")</f>
        <v/>
      </c>
      <c r="AI136">
        <f>IFERROR(IF(AG136*AH136=0,"",AG136*AH136),"")</f>
        <v/>
      </c>
      <c r="AL136">
        <f>IF(AND(AJ136&lt;&gt;"",AK136&lt;&gt;""),ROUNDUP((AK136-AJ136)/7,0),"")</f>
        <v/>
      </c>
      <c r="AN136">
        <f>IFERROR(IF(AL136*AM136=0,"",AL136*AM136),"")</f>
        <v/>
      </c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L136">
        <f>IFERROR(INDEX('_names_lookup'!$C:$C,MATCH(BK136,'_names_lookup'!$A:$A,0)),"")</f>
        <v/>
      </c>
      <c r="BM136">
        <f>IFERROR(INDEX('_names_lookup'!$B:$B,MATCH(BK136,'_names_lookup'!$A:$A,0)),"")</f>
        <v/>
      </c>
      <c r="BS136">
        <f>IFERROR(IF(BR136*AA136=0,"",BR136*AA136),"")</f>
        <v/>
      </c>
    </row>
    <row r="137">
      <c r="O137">
        <f>IFERROR(INDEX('_courses_lookup'!$C:$C,MATCH(K137&amp;L137,'_courses_lookup'!$E:$E,0)),"")</f>
        <v/>
      </c>
      <c r="P137">
        <f>IFERROR(INDEX('_courses_lookup'!$D:$D,MATCH(K137&amp;L137,'_courses_lookup'!$E:$E,0)),"")</f>
        <v/>
      </c>
      <c r="AG137">
        <f>IF(AND(AE137&lt;&gt;"",AF137&lt;&gt;""),ROUNDUP((AF137-AE137)/7,0),"")</f>
        <v/>
      </c>
      <c r="AI137">
        <f>IFERROR(IF(AG137*AH137=0,"",AG137*AH137),"")</f>
        <v/>
      </c>
      <c r="AL137">
        <f>IF(AND(AJ137&lt;&gt;"",AK137&lt;&gt;""),ROUNDUP((AK137-AJ137)/7,0),"")</f>
        <v/>
      </c>
      <c r="AN137">
        <f>IFERROR(IF(AL137*AM137=0,"",AL137*AM137),"")</f>
        <v/>
      </c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L137">
        <f>IFERROR(INDEX('_names_lookup'!$C:$C,MATCH(BK137,'_names_lookup'!$A:$A,0)),"")</f>
        <v/>
      </c>
      <c r="BM137">
        <f>IFERROR(INDEX('_names_lookup'!$B:$B,MATCH(BK137,'_names_lookup'!$A:$A,0)),"")</f>
        <v/>
      </c>
      <c r="BS137">
        <f>IFERROR(IF(BR137*AA137=0,"",BR137*AA137),"")</f>
        <v/>
      </c>
    </row>
    <row r="138">
      <c r="O138">
        <f>IFERROR(INDEX('_courses_lookup'!$C:$C,MATCH(K138&amp;L138,'_courses_lookup'!$E:$E,0)),"")</f>
        <v/>
      </c>
      <c r="P138">
        <f>IFERROR(INDEX('_courses_lookup'!$D:$D,MATCH(K138&amp;L138,'_courses_lookup'!$E:$E,0)),"")</f>
        <v/>
      </c>
      <c r="AG138">
        <f>IF(AND(AE138&lt;&gt;"",AF138&lt;&gt;""),ROUNDUP((AF138-AE138)/7,0),"")</f>
        <v/>
      </c>
      <c r="AI138">
        <f>IFERROR(IF(AG138*AH138=0,"",AG138*AH138),"")</f>
        <v/>
      </c>
      <c r="AL138">
        <f>IF(AND(AJ138&lt;&gt;"",AK138&lt;&gt;""),ROUNDUP((AK138-AJ138)/7,0),"")</f>
        <v/>
      </c>
      <c r="AN138">
        <f>IFERROR(IF(AL138*AM138=0,"",AL138*AM138),"")</f>
        <v/>
      </c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L138">
        <f>IFERROR(INDEX('_names_lookup'!$C:$C,MATCH(BK138,'_names_lookup'!$A:$A,0)),"")</f>
        <v/>
      </c>
      <c r="BM138">
        <f>IFERROR(INDEX('_names_lookup'!$B:$B,MATCH(BK138,'_names_lookup'!$A:$A,0)),"")</f>
        <v/>
      </c>
      <c r="BS138">
        <f>IFERROR(IF(BR138*AA138=0,"",BR138*AA138),"")</f>
        <v/>
      </c>
    </row>
    <row r="139">
      <c r="O139">
        <f>IFERROR(INDEX('_courses_lookup'!$C:$C,MATCH(K139&amp;L139,'_courses_lookup'!$E:$E,0)),"")</f>
        <v/>
      </c>
      <c r="P139">
        <f>IFERROR(INDEX('_courses_lookup'!$D:$D,MATCH(K139&amp;L139,'_courses_lookup'!$E:$E,0)),"")</f>
        <v/>
      </c>
      <c r="AG139">
        <f>IF(AND(AE139&lt;&gt;"",AF139&lt;&gt;""),ROUNDUP((AF139-AE139)/7,0),"")</f>
        <v/>
      </c>
      <c r="AI139">
        <f>IFERROR(IF(AG139*AH139=0,"",AG139*AH139),"")</f>
        <v/>
      </c>
      <c r="AL139">
        <f>IF(AND(AJ139&lt;&gt;"",AK139&lt;&gt;""),ROUNDUP((AK139-AJ139)/7,0),"")</f>
        <v/>
      </c>
      <c r="AN139">
        <f>IFERROR(IF(AL139*AM139=0,"",AL139*AM139),"")</f>
        <v/>
      </c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L139">
        <f>IFERROR(INDEX('_names_lookup'!$C:$C,MATCH(BK139,'_names_lookup'!$A:$A,0)),"")</f>
        <v/>
      </c>
      <c r="BM139">
        <f>IFERROR(INDEX('_names_lookup'!$B:$B,MATCH(BK139,'_names_lookup'!$A:$A,0)),"")</f>
        <v/>
      </c>
      <c r="BS139">
        <f>IFERROR(IF(BR139*AA139=0,"",BR139*AA139),"")</f>
        <v/>
      </c>
    </row>
    <row r="140">
      <c r="O140">
        <f>IFERROR(INDEX('_courses_lookup'!$C:$C,MATCH(K140&amp;L140,'_courses_lookup'!$E:$E,0)),"")</f>
        <v/>
      </c>
      <c r="P140">
        <f>IFERROR(INDEX('_courses_lookup'!$D:$D,MATCH(K140&amp;L140,'_courses_lookup'!$E:$E,0)),"")</f>
        <v/>
      </c>
      <c r="AG140">
        <f>IF(AND(AE140&lt;&gt;"",AF140&lt;&gt;""),ROUNDUP((AF140-AE140)/7,0),"")</f>
        <v/>
      </c>
      <c r="AI140">
        <f>IFERROR(IF(AG140*AH140=0,"",AG140*AH140),"")</f>
        <v/>
      </c>
      <c r="AL140">
        <f>IF(AND(AJ140&lt;&gt;"",AK140&lt;&gt;""),ROUNDUP((AK140-AJ140)/7,0),"")</f>
        <v/>
      </c>
      <c r="AN140">
        <f>IFERROR(IF(AL140*AM140=0,"",AL140*AM140),"")</f>
        <v/>
      </c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L140">
        <f>IFERROR(INDEX('_names_lookup'!$C:$C,MATCH(BK140,'_names_lookup'!$A:$A,0)),"")</f>
        <v/>
      </c>
      <c r="BM140">
        <f>IFERROR(INDEX('_names_lookup'!$B:$B,MATCH(BK140,'_names_lookup'!$A:$A,0)),"")</f>
        <v/>
      </c>
      <c r="BS140">
        <f>IFERROR(IF(BR140*AA140=0,"",BR140*AA140),"")</f>
        <v/>
      </c>
    </row>
    <row r="141">
      <c r="O141">
        <f>IFERROR(INDEX('_courses_lookup'!$C:$C,MATCH(K141&amp;L141,'_courses_lookup'!$E:$E,0)),"")</f>
        <v/>
      </c>
      <c r="P141">
        <f>IFERROR(INDEX('_courses_lookup'!$D:$D,MATCH(K141&amp;L141,'_courses_lookup'!$E:$E,0)),"")</f>
        <v/>
      </c>
      <c r="AG141">
        <f>IF(AND(AE141&lt;&gt;"",AF141&lt;&gt;""),ROUNDUP((AF141-AE141)/7,0),"")</f>
        <v/>
      </c>
      <c r="AI141">
        <f>IFERROR(IF(AG141*AH141=0,"",AG141*AH141),"")</f>
        <v/>
      </c>
      <c r="AL141">
        <f>IF(AND(AJ141&lt;&gt;"",AK141&lt;&gt;""),ROUNDUP((AK141-AJ141)/7,0),"")</f>
        <v/>
      </c>
      <c r="AN141">
        <f>IFERROR(IF(AL141*AM141=0,"",AL141*AM141),"")</f>
        <v/>
      </c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L141">
        <f>IFERROR(INDEX('_names_lookup'!$C:$C,MATCH(BK141,'_names_lookup'!$A:$A,0)),"")</f>
        <v/>
      </c>
      <c r="BM141">
        <f>IFERROR(INDEX('_names_lookup'!$B:$B,MATCH(BK141,'_names_lookup'!$A:$A,0)),"")</f>
        <v/>
      </c>
      <c r="BS141">
        <f>IFERROR(IF(BR141*AA141=0,"",BR141*AA141),"")</f>
        <v/>
      </c>
    </row>
    <row r="142">
      <c r="O142">
        <f>IFERROR(INDEX('_courses_lookup'!$C:$C,MATCH(K142&amp;L142,'_courses_lookup'!$E:$E,0)),"")</f>
        <v/>
      </c>
      <c r="P142">
        <f>IFERROR(INDEX('_courses_lookup'!$D:$D,MATCH(K142&amp;L142,'_courses_lookup'!$E:$E,0)),"")</f>
        <v/>
      </c>
      <c r="AG142">
        <f>IF(AND(AE142&lt;&gt;"",AF142&lt;&gt;""),ROUNDUP((AF142-AE142)/7,0),"")</f>
        <v/>
      </c>
      <c r="AI142">
        <f>IFERROR(IF(AG142*AH142=0,"",AG142*AH142),"")</f>
        <v/>
      </c>
      <c r="AL142">
        <f>IF(AND(AJ142&lt;&gt;"",AK142&lt;&gt;""),ROUNDUP((AK142-AJ142)/7,0),"")</f>
        <v/>
      </c>
      <c r="AN142">
        <f>IFERROR(IF(AL142*AM142=0,"",AL142*AM142),"")</f>
        <v/>
      </c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L142">
        <f>IFERROR(INDEX('_names_lookup'!$C:$C,MATCH(BK142,'_names_lookup'!$A:$A,0)),"")</f>
        <v/>
      </c>
      <c r="BM142">
        <f>IFERROR(INDEX('_names_lookup'!$B:$B,MATCH(BK142,'_names_lookup'!$A:$A,0)),"")</f>
        <v/>
      </c>
      <c r="BS142">
        <f>IFERROR(IF(BR142*AA142=0,"",BR142*AA142),"")</f>
        <v/>
      </c>
    </row>
    <row r="143">
      <c r="O143">
        <f>IFERROR(INDEX('_courses_lookup'!$C:$C,MATCH(K143&amp;L143,'_courses_lookup'!$E:$E,0)),"")</f>
        <v/>
      </c>
      <c r="P143">
        <f>IFERROR(INDEX('_courses_lookup'!$D:$D,MATCH(K143&amp;L143,'_courses_lookup'!$E:$E,0)),"")</f>
        <v/>
      </c>
      <c r="AG143">
        <f>IF(AND(AE143&lt;&gt;"",AF143&lt;&gt;""),ROUNDUP((AF143-AE143)/7,0),"")</f>
        <v/>
      </c>
      <c r="AI143">
        <f>IFERROR(IF(AG143*AH143=0,"",AG143*AH143),"")</f>
        <v/>
      </c>
      <c r="AL143">
        <f>IF(AND(AJ143&lt;&gt;"",AK143&lt;&gt;""),ROUNDUP((AK143-AJ143)/7,0),"")</f>
        <v/>
      </c>
      <c r="AN143">
        <f>IFERROR(IF(AL143*AM143=0,"",AL143*AM143),"")</f>
        <v/>
      </c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L143">
        <f>IFERROR(INDEX('_names_lookup'!$C:$C,MATCH(BK143,'_names_lookup'!$A:$A,0)),"")</f>
        <v/>
      </c>
      <c r="BM143">
        <f>IFERROR(INDEX('_names_lookup'!$B:$B,MATCH(BK143,'_names_lookup'!$A:$A,0)),"")</f>
        <v/>
      </c>
      <c r="BS143">
        <f>IFERROR(IF(BR143*AA143=0,"",BR143*AA143),"")</f>
        <v/>
      </c>
    </row>
    <row r="144">
      <c r="O144">
        <f>IFERROR(INDEX('_courses_lookup'!$C:$C,MATCH(K144&amp;L144,'_courses_lookup'!$E:$E,0)),"")</f>
        <v/>
      </c>
      <c r="P144">
        <f>IFERROR(INDEX('_courses_lookup'!$D:$D,MATCH(K144&amp;L144,'_courses_lookup'!$E:$E,0)),"")</f>
        <v/>
      </c>
      <c r="AG144">
        <f>IF(AND(AE144&lt;&gt;"",AF144&lt;&gt;""),ROUNDUP((AF144-AE144)/7,0),"")</f>
        <v/>
      </c>
      <c r="AI144">
        <f>IFERROR(IF(AG144*AH144=0,"",AG144*AH144),"")</f>
        <v/>
      </c>
      <c r="AL144">
        <f>IF(AND(AJ144&lt;&gt;"",AK144&lt;&gt;""),ROUNDUP((AK144-AJ144)/7,0),"")</f>
        <v/>
      </c>
      <c r="AN144">
        <f>IFERROR(IF(AL144*AM144=0,"",AL144*AM144),"")</f>
        <v/>
      </c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L144">
        <f>IFERROR(INDEX('_names_lookup'!$C:$C,MATCH(BK144,'_names_lookup'!$A:$A,0)),"")</f>
        <v/>
      </c>
      <c r="BM144">
        <f>IFERROR(INDEX('_names_lookup'!$B:$B,MATCH(BK144,'_names_lookup'!$A:$A,0)),"")</f>
        <v/>
      </c>
      <c r="BS144">
        <f>IFERROR(IF(BR144*AA144=0,"",BR144*AA144),"")</f>
        <v/>
      </c>
    </row>
    <row r="145">
      <c r="O145">
        <f>IFERROR(INDEX('_courses_lookup'!$C:$C,MATCH(K145&amp;L145,'_courses_lookup'!$E:$E,0)),"")</f>
        <v/>
      </c>
      <c r="P145">
        <f>IFERROR(INDEX('_courses_lookup'!$D:$D,MATCH(K145&amp;L145,'_courses_lookup'!$E:$E,0)),"")</f>
        <v/>
      </c>
      <c r="AG145">
        <f>IF(AND(AE145&lt;&gt;"",AF145&lt;&gt;""),ROUNDUP((AF145-AE145)/7,0),"")</f>
        <v/>
      </c>
      <c r="AI145">
        <f>IFERROR(IF(AG145*AH145=0,"",AG145*AH145),"")</f>
        <v/>
      </c>
      <c r="AL145">
        <f>IF(AND(AJ145&lt;&gt;"",AK145&lt;&gt;""),ROUNDUP((AK145-AJ145)/7,0),"")</f>
        <v/>
      </c>
      <c r="AN145">
        <f>IFERROR(IF(AL145*AM145=0,"",AL145*AM145),"")</f>
        <v/>
      </c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L145">
        <f>IFERROR(INDEX('_names_lookup'!$C:$C,MATCH(BK145,'_names_lookup'!$A:$A,0)),"")</f>
        <v/>
      </c>
      <c r="BM145">
        <f>IFERROR(INDEX('_names_lookup'!$B:$B,MATCH(BK145,'_names_lookup'!$A:$A,0)),"")</f>
        <v/>
      </c>
      <c r="BS145">
        <f>IFERROR(IF(BR145*AA145=0,"",BR145*AA145),"")</f>
        <v/>
      </c>
    </row>
    <row r="146">
      <c r="O146">
        <f>IFERROR(INDEX('_courses_lookup'!$C:$C,MATCH(K146&amp;L146,'_courses_lookup'!$E:$E,0)),"")</f>
        <v/>
      </c>
      <c r="P146">
        <f>IFERROR(INDEX('_courses_lookup'!$D:$D,MATCH(K146&amp;L146,'_courses_lookup'!$E:$E,0)),"")</f>
        <v/>
      </c>
      <c r="AG146">
        <f>IF(AND(AE146&lt;&gt;"",AF146&lt;&gt;""),ROUNDUP((AF146-AE146)/7,0),"")</f>
        <v/>
      </c>
      <c r="AI146">
        <f>IFERROR(IF(AG146*AH146=0,"",AG146*AH146),"")</f>
        <v/>
      </c>
      <c r="AL146">
        <f>IF(AND(AJ146&lt;&gt;"",AK146&lt;&gt;""),ROUNDUP((AK146-AJ146)/7,0),"")</f>
        <v/>
      </c>
      <c r="AN146">
        <f>IFERROR(IF(AL146*AM146=0,"",AL146*AM146),"")</f>
        <v/>
      </c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L146">
        <f>IFERROR(INDEX('_names_lookup'!$C:$C,MATCH(BK146,'_names_lookup'!$A:$A,0)),"")</f>
        <v/>
      </c>
      <c r="BM146">
        <f>IFERROR(INDEX('_names_lookup'!$B:$B,MATCH(BK146,'_names_lookup'!$A:$A,0)),"")</f>
        <v/>
      </c>
      <c r="BS146">
        <f>IFERROR(IF(BR146*AA146=0,"",BR146*AA146),"")</f>
        <v/>
      </c>
    </row>
    <row r="147">
      <c r="O147">
        <f>IFERROR(INDEX('_courses_lookup'!$C:$C,MATCH(K147&amp;L147,'_courses_lookup'!$E:$E,0)),"")</f>
        <v/>
      </c>
      <c r="P147">
        <f>IFERROR(INDEX('_courses_lookup'!$D:$D,MATCH(K147&amp;L147,'_courses_lookup'!$E:$E,0)),"")</f>
        <v/>
      </c>
      <c r="AG147">
        <f>IF(AND(AE147&lt;&gt;"",AF147&lt;&gt;""),ROUNDUP((AF147-AE147)/7,0),"")</f>
        <v/>
      </c>
      <c r="AI147">
        <f>IFERROR(IF(AG147*AH147=0,"",AG147*AH147),"")</f>
        <v/>
      </c>
      <c r="AL147">
        <f>IF(AND(AJ147&lt;&gt;"",AK147&lt;&gt;""),ROUNDUP((AK147-AJ147)/7,0),"")</f>
        <v/>
      </c>
      <c r="AN147">
        <f>IFERROR(IF(AL147*AM147=0,"",AL147*AM147),"")</f>
        <v/>
      </c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L147">
        <f>IFERROR(INDEX('_names_lookup'!$C:$C,MATCH(BK147,'_names_lookup'!$A:$A,0)),"")</f>
        <v/>
      </c>
      <c r="BM147">
        <f>IFERROR(INDEX('_names_lookup'!$B:$B,MATCH(BK147,'_names_lookup'!$A:$A,0)),"")</f>
        <v/>
      </c>
      <c r="BS147">
        <f>IFERROR(IF(BR147*AA147=0,"",BR147*AA147),"")</f>
        <v/>
      </c>
    </row>
    <row r="148">
      <c r="O148">
        <f>IFERROR(INDEX('_courses_lookup'!$C:$C,MATCH(K148&amp;L148,'_courses_lookup'!$E:$E,0)),"")</f>
        <v/>
      </c>
      <c r="P148">
        <f>IFERROR(INDEX('_courses_lookup'!$D:$D,MATCH(K148&amp;L148,'_courses_lookup'!$E:$E,0)),"")</f>
        <v/>
      </c>
      <c r="AG148">
        <f>IF(AND(AE148&lt;&gt;"",AF148&lt;&gt;""),ROUNDUP((AF148-AE148)/7,0),"")</f>
        <v/>
      </c>
      <c r="AI148">
        <f>IFERROR(IF(AG148*AH148=0,"",AG148*AH148),"")</f>
        <v/>
      </c>
      <c r="AL148">
        <f>IF(AND(AJ148&lt;&gt;"",AK148&lt;&gt;""),ROUNDUP((AK148-AJ148)/7,0),"")</f>
        <v/>
      </c>
      <c r="AN148">
        <f>IFERROR(IF(AL148*AM148=0,"",AL148*AM148),"")</f>
        <v/>
      </c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L148">
        <f>IFERROR(INDEX('_names_lookup'!$C:$C,MATCH(BK148,'_names_lookup'!$A:$A,0)),"")</f>
        <v/>
      </c>
      <c r="BM148">
        <f>IFERROR(INDEX('_names_lookup'!$B:$B,MATCH(BK148,'_names_lookup'!$A:$A,0)),"")</f>
        <v/>
      </c>
      <c r="BS148">
        <f>IFERROR(IF(BR148*AA148=0,"",BR148*AA148),"")</f>
        <v/>
      </c>
    </row>
    <row r="149">
      <c r="O149">
        <f>IFERROR(INDEX('_courses_lookup'!$C:$C,MATCH(K149&amp;L149,'_courses_lookup'!$E:$E,0)),"")</f>
        <v/>
      </c>
      <c r="P149">
        <f>IFERROR(INDEX('_courses_lookup'!$D:$D,MATCH(K149&amp;L149,'_courses_lookup'!$E:$E,0)),"")</f>
        <v/>
      </c>
      <c r="AG149">
        <f>IF(AND(AE149&lt;&gt;"",AF149&lt;&gt;""),ROUNDUP((AF149-AE149)/7,0),"")</f>
        <v/>
      </c>
      <c r="AI149">
        <f>IFERROR(IF(AG149*AH149=0,"",AG149*AH149),"")</f>
        <v/>
      </c>
      <c r="AL149">
        <f>IF(AND(AJ149&lt;&gt;"",AK149&lt;&gt;""),ROUNDUP((AK149-AJ149)/7,0),"")</f>
        <v/>
      </c>
      <c r="AN149">
        <f>IFERROR(IF(AL149*AM149=0,"",AL149*AM149),"")</f>
        <v/>
      </c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L149">
        <f>IFERROR(INDEX('_names_lookup'!$C:$C,MATCH(BK149,'_names_lookup'!$A:$A,0)),"")</f>
        <v/>
      </c>
      <c r="BM149">
        <f>IFERROR(INDEX('_names_lookup'!$B:$B,MATCH(BK149,'_names_lookup'!$A:$A,0)),"")</f>
        <v/>
      </c>
      <c r="BS149">
        <f>IFERROR(IF(BR149*AA149=0,"",BR149*AA149),"")</f>
        <v/>
      </c>
    </row>
    <row r="150">
      <c r="O150">
        <f>IFERROR(INDEX('_courses_lookup'!$C:$C,MATCH(K150&amp;L150,'_courses_lookup'!$E:$E,0)),"")</f>
        <v/>
      </c>
      <c r="P150">
        <f>IFERROR(INDEX('_courses_lookup'!$D:$D,MATCH(K150&amp;L150,'_courses_lookup'!$E:$E,0)),"")</f>
        <v/>
      </c>
      <c r="AG150">
        <f>IF(AND(AE150&lt;&gt;"",AF150&lt;&gt;""),ROUNDUP((AF150-AE150)/7,0),"")</f>
        <v/>
      </c>
      <c r="AI150">
        <f>IFERROR(IF(AG150*AH150=0,"",AG150*AH150),"")</f>
        <v/>
      </c>
      <c r="AL150">
        <f>IF(AND(AJ150&lt;&gt;"",AK150&lt;&gt;""),ROUNDUP((AK150-AJ150)/7,0),"")</f>
        <v/>
      </c>
      <c r="AN150">
        <f>IFERROR(IF(AL150*AM150=0,"",AL150*AM150),"")</f>
        <v/>
      </c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L150">
        <f>IFERROR(INDEX('_names_lookup'!$C:$C,MATCH(BK150,'_names_lookup'!$A:$A,0)),"")</f>
        <v/>
      </c>
      <c r="BM150">
        <f>IFERROR(INDEX('_names_lookup'!$B:$B,MATCH(BK150,'_names_lookup'!$A:$A,0)),"")</f>
        <v/>
      </c>
      <c r="BS150">
        <f>IFERROR(IF(BR150*AA150=0,"",BR150*AA150),"")</f>
        <v/>
      </c>
    </row>
    <row r="151">
      <c r="O151">
        <f>IFERROR(INDEX('_courses_lookup'!$C:$C,MATCH(K151&amp;L151,'_courses_lookup'!$E:$E,0)),"")</f>
        <v/>
      </c>
      <c r="P151">
        <f>IFERROR(INDEX('_courses_lookup'!$D:$D,MATCH(K151&amp;L151,'_courses_lookup'!$E:$E,0)),"")</f>
        <v/>
      </c>
      <c r="AG151">
        <f>IF(AND(AE151&lt;&gt;"",AF151&lt;&gt;""),ROUNDUP((AF151-AE151)/7,0),"")</f>
        <v/>
      </c>
      <c r="AI151">
        <f>IFERROR(IF(AG151*AH151=0,"",AG151*AH151),"")</f>
        <v/>
      </c>
      <c r="AL151">
        <f>IF(AND(AJ151&lt;&gt;"",AK151&lt;&gt;""),ROUNDUP((AK151-AJ151)/7,0),"")</f>
        <v/>
      </c>
      <c r="AN151">
        <f>IFERROR(IF(AL151*AM151=0,"",AL151*AM151),"")</f>
        <v/>
      </c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L151">
        <f>IFERROR(INDEX('_names_lookup'!$C:$C,MATCH(BK151,'_names_lookup'!$A:$A,0)),"")</f>
        <v/>
      </c>
      <c r="BM151">
        <f>IFERROR(INDEX('_names_lookup'!$B:$B,MATCH(BK151,'_names_lookup'!$A:$A,0)),"")</f>
        <v/>
      </c>
      <c r="BS151">
        <f>IFERROR(IF(BR151*AA151=0,"",BR151*AA151),"")</f>
        <v/>
      </c>
    </row>
    <row r="152">
      <c r="O152">
        <f>IFERROR(INDEX('_courses_lookup'!$C:$C,MATCH(K152&amp;L152,'_courses_lookup'!$E:$E,0)),"")</f>
        <v/>
      </c>
      <c r="P152">
        <f>IFERROR(INDEX('_courses_lookup'!$D:$D,MATCH(K152&amp;L152,'_courses_lookup'!$E:$E,0)),"")</f>
        <v/>
      </c>
      <c r="AG152">
        <f>IF(AND(AE152&lt;&gt;"",AF152&lt;&gt;""),ROUNDUP((AF152-AE152)/7,0),"")</f>
        <v/>
      </c>
      <c r="AI152">
        <f>IFERROR(IF(AG152*AH152=0,"",AG152*AH152),"")</f>
        <v/>
      </c>
      <c r="AL152">
        <f>IF(AND(AJ152&lt;&gt;"",AK152&lt;&gt;""),ROUNDUP((AK152-AJ152)/7,0),"")</f>
        <v/>
      </c>
      <c r="AN152">
        <f>IFERROR(IF(AL152*AM152=0,"",AL152*AM152),"")</f>
        <v/>
      </c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L152">
        <f>IFERROR(INDEX('_names_lookup'!$C:$C,MATCH(BK152,'_names_lookup'!$A:$A,0)),"")</f>
        <v/>
      </c>
      <c r="BM152">
        <f>IFERROR(INDEX('_names_lookup'!$B:$B,MATCH(BK152,'_names_lookup'!$A:$A,0)),"")</f>
        <v/>
      </c>
      <c r="BS152">
        <f>IFERROR(IF(BR152*AA152=0,"",BR152*AA152),"")</f>
        <v/>
      </c>
    </row>
    <row r="153">
      <c r="O153">
        <f>IFERROR(INDEX('_courses_lookup'!$C:$C,MATCH(K153&amp;L153,'_courses_lookup'!$E:$E,0)),"")</f>
        <v/>
      </c>
      <c r="P153">
        <f>IFERROR(INDEX('_courses_lookup'!$D:$D,MATCH(K153&amp;L153,'_courses_lookup'!$E:$E,0)),"")</f>
        <v/>
      </c>
      <c r="AG153">
        <f>IF(AND(AE153&lt;&gt;"",AF153&lt;&gt;""),ROUNDUP((AF153-AE153)/7,0),"")</f>
        <v/>
      </c>
      <c r="AI153">
        <f>IFERROR(IF(AG153*AH153=0,"",AG153*AH153),"")</f>
        <v/>
      </c>
      <c r="AL153">
        <f>IF(AND(AJ153&lt;&gt;"",AK153&lt;&gt;""),ROUNDUP((AK153-AJ153)/7,0),"")</f>
        <v/>
      </c>
      <c r="AN153">
        <f>IFERROR(IF(AL153*AM153=0,"",AL153*AM153),"")</f>
        <v/>
      </c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L153">
        <f>IFERROR(INDEX('_names_lookup'!$C:$C,MATCH(BK153,'_names_lookup'!$A:$A,0)),"")</f>
        <v/>
      </c>
      <c r="BM153">
        <f>IFERROR(INDEX('_names_lookup'!$B:$B,MATCH(BK153,'_names_lookup'!$A:$A,0)),"")</f>
        <v/>
      </c>
      <c r="BS153">
        <f>IFERROR(IF(BR153*AA153=0,"",BR153*AA153),"")</f>
        <v/>
      </c>
    </row>
    <row r="154">
      <c r="O154">
        <f>IFERROR(INDEX('_courses_lookup'!$C:$C,MATCH(K154&amp;L154,'_courses_lookup'!$E:$E,0)),"")</f>
        <v/>
      </c>
      <c r="P154">
        <f>IFERROR(INDEX('_courses_lookup'!$D:$D,MATCH(K154&amp;L154,'_courses_lookup'!$E:$E,0)),"")</f>
        <v/>
      </c>
      <c r="AG154">
        <f>IF(AND(AE154&lt;&gt;"",AF154&lt;&gt;""),ROUNDUP((AF154-AE154)/7,0),"")</f>
        <v/>
      </c>
      <c r="AI154">
        <f>IFERROR(IF(AG154*AH154=0,"",AG154*AH154),"")</f>
        <v/>
      </c>
      <c r="AL154">
        <f>IF(AND(AJ154&lt;&gt;"",AK154&lt;&gt;""),ROUNDUP((AK154-AJ154)/7,0),"")</f>
        <v/>
      </c>
      <c r="AN154">
        <f>IFERROR(IF(AL154*AM154=0,"",AL154*AM154),"")</f>
        <v/>
      </c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L154">
        <f>IFERROR(INDEX('_names_lookup'!$C:$C,MATCH(BK154,'_names_lookup'!$A:$A,0)),"")</f>
        <v/>
      </c>
      <c r="BM154">
        <f>IFERROR(INDEX('_names_lookup'!$B:$B,MATCH(BK154,'_names_lookup'!$A:$A,0)),"")</f>
        <v/>
      </c>
      <c r="BS154">
        <f>IFERROR(IF(BR154*AA154=0,"",BR154*AA154),"")</f>
        <v/>
      </c>
    </row>
    <row r="155">
      <c r="O155">
        <f>IFERROR(INDEX('_courses_lookup'!$C:$C,MATCH(K155&amp;L155,'_courses_lookup'!$E:$E,0)),"")</f>
        <v/>
      </c>
      <c r="P155">
        <f>IFERROR(INDEX('_courses_lookup'!$D:$D,MATCH(K155&amp;L155,'_courses_lookup'!$E:$E,0)),"")</f>
        <v/>
      </c>
      <c r="AG155">
        <f>IF(AND(AE155&lt;&gt;"",AF155&lt;&gt;""),ROUNDUP((AF155-AE155)/7,0),"")</f>
        <v/>
      </c>
      <c r="AI155">
        <f>IFERROR(IF(AG155*AH155=0,"",AG155*AH155),"")</f>
        <v/>
      </c>
      <c r="AL155">
        <f>IF(AND(AJ155&lt;&gt;"",AK155&lt;&gt;""),ROUNDUP((AK155-AJ155)/7,0),"")</f>
        <v/>
      </c>
      <c r="AN155">
        <f>IFERROR(IF(AL155*AM155=0,"",AL155*AM155),"")</f>
        <v/>
      </c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L155">
        <f>IFERROR(INDEX('_names_lookup'!$C:$C,MATCH(BK155,'_names_lookup'!$A:$A,0)),"")</f>
        <v/>
      </c>
      <c r="BM155">
        <f>IFERROR(INDEX('_names_lookup'!$B:$B,MATCH(BK155,'_names_lookup'!$A:$A,0)),"")</f>
        <v/>
      </c>
      <c r="BS155">
        <f>IFERROR(IF(BR155*AA155=0,"",BR155*AA155),"")</f>
        <v/>
      </c>
    </row>
    <row r="156">
      <c r="O156">
        <f>IFERROR(INDEX('_courses_lookup'!$C:$C,MATCH(K156&amp;L156,'_courses_lookup'!$E:$E,0)),"")</f>
        <v/>
      </c>
      <c r="P156">
        <f>IFERROR(INDEX('_courses_lookup'!$D:$D,MATCH(K156&amp;L156,'_courses_lookup'!$E:$E,0)),"")</f>
        <v/>
      </c>
      <c r="AG156">
        <f>IF(AND(AE156&lt;&gt;"",AF156&lt;&gt;""),ROUNDUP((AF156-AE156)/7,0),"")</f>
        <v/>
      </c>
      <c r="AI156">
        <f>IFERROR(IF(AG156*AH156=0,"",AG156*AH156),"")</f>
        <v/>
      </c>
      <c r="AL156">
        <f>IF(AND(AJ156&lt;&gt;"",AK156&lt;&gt;""),ROUNDUP((AK156-AJ156)/7,0),"")</f>
        <v/>
      </c>
      <c r="AN156">
        <f>IFERROR(IF(AL156*AM156=0,"",AL156*AM156),"")</f>
        <v/>
      </c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L156">
        <f>IFERROR(INDEX('_names_lookup'!$C:$C,MATCH(BK156,'_names_lookup'!$A:$A,0)),"")</f>
        <v/>
      </c>
      <c r="BM156">
        <f>IFERROR(INDEX('_names_lookup'!$B:$B,MATCH(BK156,'_names_lookup'!$A:$A,0)),"")</f>
        <v/>
      </c>
      <c r="BS156">
        <f>IFERROR(IF(BR156*AA156=0,"",BR156*AA156),"")</f>
        <v/>
      </c>
    </row>
    <row r="157">
      <c r="O157">
        <f>IFERROR(INDEX('_courses_lookup'!$C:$C,MATCH(K157&amp;L157,'_courses_lookup'!$E:$E,0)),"")</f>
        <v/>
      </c>
      <c r="P157">
        <f>IFERROR(INDEX('_courses_lookup'!$D:$D,MATCH(K157&amp;L157,'_courses_lookup'!$E:$E,0)),"")</f>
        <v/>
      </c>
      <c r="AG157">
        <f>IF(AND(AE157&lt;&gt;"",AF157&lt;&gt;""),ROUNDUP((AF157-AE157)/7,0),"")</f>
        <v/>
      </c>
      <c r="AI157">
        <f>IFERROR(IF(AG157*AH157=0,"",AG157*AH157),"")</f>
        <v/>
      </c>
      <c r="AL157">
        <f>IF(AND(AJ157&lt;&gt;"",AK157&lt;&gt;""),ROUNDUP((AK157-AJ157)/7,0),"")</f>
        <v/>
      </c>
      <c r="AN157">
        <f>IFERROR(IF(AL157*AM157=0,"",AL157*AM157),"")</f>
        <v/>
      </c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L157">
        <f>IFERROR(INDEX('_names_lookup'!$C:$C,MATCH(BK157,'_names_lookup'!$A:$A,0)),"")</f>
        <v/>
      </c>
      <c r="BM157">
        <f>IFERROR(INDEX('_names_lookup'!$B:$B,MATCH(BK157,'_names_lookup'!$A:$A,0)),"")</f>
        <v/>
      </c>
      <c r="BS157">
        <f>IFERROR(IF(BR157*AA157=0,"",BR157*AA157),"")</f>
        <v/>
      </c>
    </row>
    <row r="158">
      <c r="O158">
        <f>IFERROR(INDEX('_courses_lookup'!$C:$C,MATCH(K158&amp;L158,'_courses_lookup'!$E:$E,0)),"")</f>
        <v/>
      </c>
      <c r="P158">
        <f>IFERROR(INDEX('_courses_lookup'!$D:$D,MATCH(K158&amp;L158,'_courses_lookup'!$E:$E,0)),"")</f>
        <v/>
      </c>
      <c r="AG158">
        <f>IF(AND(AE158&lt;&gt;"",AF158&lt;&gt;""),ROUNDUP((AF158-AE158)/7,0),"")</f>
        <v/>
      </c>
      <c r="AI158">
        <f>IFERROR(IF(AG158*AH158=0,"",AG158*AH158),"")</f>
        <v/>
      </c>
      <c r="AL158">
        <f>IF(AND(AJ158&lt;&gt;"",AK158&lt;&gt;""),ROUNDUP((AK158-AJ158)/7,0),"")</f>
        <v/>
      </c>
      <c r="AN158">
        <f>IFERROR(IF(AL158*AM158=0,"",AL158*AM158),"")</f>
        <v/>
      </c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L158">
        <f>IFERROR(INDEX('_names_lookup'!$C:$C,MATCH(BK158,'_names_lookup'!$A:$A,0)),"")</f>
        <v/>
      </c>
      <c r="BM158">
        <f>IFERROR(INDEX('_names_lookup'!$B:$B,MATCH(BK158,'_names_lookup'!$A:$A,0)),"")</f>
        <v/>
      </c>
      <c r="BS158">
        <f>IFERROR(IF(BR158*AA158=0,"",BR158*AA158),"")</f>
        <v/>
      </c>
    </row>
    <row r="159">
      <c r="O159">
        <f>IFERROR(INDEX('_courses_lookup'!$C:$C,MATCH(K159&amp;L159,'_courses_lookup'!$E:$E,0)),"")</f>
        <v/>
      </c>
      <c r="P159">
        <f>IFERROR(INDEX('_courses_lookup'!$D:$D,MATCH(K159&amp;L159,'_courses_lookup'!$E:$E,0)),"")</f>
        <v/>
      </c>
      <c r="AG159">
        <f>IF(AND(AE159&lt;&gt;"",AF159&lt;&gt;""),ROUNDUP((AF159-AE159)/7,0),"")</f>
        <v/>
      </c>
      <c r="AI159">
        <f>IFERROR(IF(AG159*AH159=0,"",AG159*AH159),"")</f>
        <v/>
      </c>
      <c r="AL159">
        <f>IF(AND(AJ159&lt;&gt;"",AK159&lt;&gt;""),ROUNDUP((AK159-AJ159)/7,0),"")</f>
        <v/>
      </c>
      <c r="AN159">
        <f>IFERROR(IF(AL159*AM159=0,"",AL159*AM159),"")</f>
        <v/>
      </c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L159">
        <f>IFERROR(INDEX('_names_lookup'!$C:$C,MATCH(BK159,'_names_lookup'!$A:$A,0)),"")</f>
        <v/>
      </c>
      <c r="BM159">
        <f>IFERROR(INDEX('_names_lookup'!$B:$B,MATCH(BK159,'_names_lookup'!$A:$A,0)),"")</f>
        <v/>
      </c>
      <c r="BS159">
        <f>IFERROR(IF(BR159*AA159=0,"",BR159*AA159),"")</f>
        <v/>
      </c>
    </row>
    <row r="160">
      <c r="O160">
        <f>IFERROR(INDEX('_courses_lookup'!$C:$C,MATCH(K160&amp;L160,'_courses_lookup'!$E:$E,0)),"")</f>
        <v/>
      </c>
      <c r="P160">
        <f>IFERROR(INDEX('_courses_lookup'!$D:$D,MATCH(K160&amp;L160,'_courses_lookup'!$E:$E,0)),"")</f>
        <v/>
      </c>
      <c r="AG160">
        <f>IF(AND(AE160&lt;&gt;"",AF160&lt;&gt;""),ROUNDUP((AF160-AE160)/7,0),"")</f>
        <v/>
      </c>
      <c r="AI160">
        <f>IFERROR(IF(AG160*AH160=0,"",AG160*AH160),"")</f>
        <v/>
      </c>
      <c r="AL160">
        <f>IF(AND(AJ160&lt;&gt;"",AK160&lt;&gt;""),ROUNDUP((AK160-AJ160)/7,0),"")</f>
        <v/>
      </c>
      <c r="AN160">
        <f>IFERROR(IF(AL160*AM160=0,"",AL160*AM160),"")</f>
        <v/>
      </c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L160">
        <f>IFERROR(INDEX('_names_lookup'!$C:$C,MATCH(BK160,'_names_lookup'!$A:$A,0)),"")</f>
        <v/>
      </c>
      <c r="BM160">
        <f>IFERROR(INDEX('_names_lookup'!$B:$B,MATCH(BK160,'_names_lookup'!$A:$A,0)),"")</f>
        <v/>
      </c>
      <c r="BS160">
        <f>IFERROR(IF(BR160*AA160=0,"",BR160*AA160),"")</f>
        <v/>
      </c>
    </row>
    <row r="161">
      <c r="O161">
        <f>IFERROR(INDEX('_courses_lookup'!$C:$C,MATCH(K161&amp;L161,'_courses_lookup'!$E:$E,0)),"")</f>
        <v/>
      </c>
      <c r="P161">
        <f>IFERROR(INDEX('_courses_lookup'!$D:$D,MATCH(K161&amp;L161,'_courses_lookup'!$E:$E,0)),"")</f>
        <v/>
      </c>
      <c r="AG161">
        <f>IF(AND(AE161&lt;&gt;"",AF161&lt;&gt;""),ROUNDUP((AF161-AE161)/7,0),"")</f>
        <v/>
      </c>
      <c r="AI161">
        <f>IFERROR(IF(AG161*AH161=0,"",AG161*AH161),"")</f>
        <v/>
      </c>
      <c r="AL161">
        <f>IF(AND(AJ161&lt;&gt;"",AK161&lt;&gt;""),ROUNDUP((AK161-AJ161)/7,0),"")</f>
        <v/>
      </c>
      <c r="AN161">
        <f>IFERROR(IF(AL161*AM161=0,"",AL161*AM161),"")</f>
        <v/>
      </c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L161">
        <f>IFERROR(INDEX('_names_lookup'!$C:$C,MATCH(BK161,'_names_lookup'!$A:$A,0)),"")</f>
        <v/>
      </c>
      <c r="BM161">
        <f>IFERROR(INDEX('_names_lookup'!$B:$B,MATCH(BK161,'_names_lookup'!$A:$A,0)),"")</f>
        <v/>
      </c>
      <c r="BS161">
        <f>IFERROR(IF(BR161*AA161=0,"",BR161*AA161),"")</f>
        <v/>
      </c>
    </row>
    <row r="162">
      <c r="O162">
        <f>IFERROR(INDEX('_courses_lookup'!$C:$C,MATCH(K162&amp;L162,'_courses_lookup'!$E:$E,0)),"")</f>
        <v/>
      </c>
      <c r="P162">
        <f>IFERROR(INDEX('_courses_lookup'!$D:$D,MATCH(K162&amp;L162,'_courses_lookup'!$E:$E,0)),"")</f>
        <v/>
      </c>
      <c r="AG162">
        <f>IF(AND(AE162&lt;&gt;"",AF162&lt;&gt;""),ROUNDUP((AF162-AE162)/7,0),"")</f>
        <v/>
      </c>
      <c r="AI162">
        <f>IFERROR(IF(AG162*AH162=0,"",AG162*AH162),"")</f>
        <v/>
      </c>
      <c r="AL162">
        <f>IF(AND(AJ162&lt;&gt;"",AK162&lt;&gt;""),ROUNDUP((AK162-AJ162)/7,0),"")</f>
        <v/>
      </c>
      <c r="AN162">
        <f>IFERROR(IF(AL162*AM162=0,"",AL162*AM162),"")</f>
        <v/>
      </c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L162">
        <f>IFERROR(INDEX('_names_lookup'!$C:$C,MATCH(BK162,'_names_lookup'!$A:$A,0)),"")</f>
        <v/>
      </c>
      <c r="BM162">
        <f>IFERROR(INDEX('_names_lookup'!$B:$B,MATCH(BK162,'_names_lookup'!$A:$A,0)),"")</f>
        <v/>
      </c>
      <c r="BS162">
        <f>IFERROR(IF(BR162*AA162=0,"",BR162*AA162),"")</f>
        <v/>
      </c>
    </row>
    <row r="163">
      <c r="O163">
        <f>IFERROR(INDEX('_courses_lookup'!$C:$C,MATCH(K163&amp;L163,'_courses_lookup'!$E:$E,0)),"")</f>
        <v/>
      </c>
      <c r="P163">
        <f>IFERROR(INDEX('_courses_lookup'!$D:$D,MATCH(K163&amp;L163,'_courses_lookup'!$E:$E,0)),"")</f>
        <v/>
      </c>
      <c r="AG163">
        <f>IF(AND(AE163&lt;&gt;"",AF163&lt;&gt;""),ROUNDUP((AF163-AE163)/7,0),"")</f>
        <v/>
      </c>
      <c r="AI163">
        <f>IFERROR(IF(AG163*AH163=0,"",AG163*AH163),"")</f>
        <v/>
      </c>
      <c r="AL163">
        <f>IF(AND(AJ163&lt;&gt;"",AK163&lt;&gt;""),ROUNDUP((AK163-AJ163)/7,0),"")</f>
        <v/>
      </c>
      <c r="AN163">
        <f>IFERROR(IF(AL163*AM163=0,"",AL163*AM163),"")</f>
        <v/>
      </c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L163">
        <f>IFERROR(INDEX('_names_lookup'!$C:$C,MATCH(BK163,'_names_lookup'!$A:$A,0)),"")</f>
        <v/>
      </c>
      <c r="BM163">
        <f>IFERROR(INDEX('_names_lookup'!$B:$B,MATCH(BK163,'_names_lookup'!$A:$A,0)),"")</f>
        <v/>
      </c>
      <c r="BS163">
        <f>IFERROR(IF(BR163*AA163=0,"",BR163*AA163),"")</f>
        <v/>
      </c>
    </row>
    <row r="164">
      <c r="O164">
        <f>IFERROR(INDEX('_courses_lookup'!$C:$C,MATCH(K164&amp;L164,'_courses_lookup'!$E:$E,0)),"")</f>
        <v/>
      </c>
      <c r="P164">
        <f>IFERROR(INDEX('_courses_lookup'!$D:$D,MATCH(K164&amp;L164,'_courses_lookup'!$E:$E,0)),"")</f>
        <v/>
      </c>
      <c r="AG164">
        <f>IF(AND(AE164&lt;&gt;"",AF164&lt;&gt;""),ROUNDUP((AF164-AE164)/7,0),"")</f>
        <v/>
      </c>
      <c r="AI164">
        <f>IFERROR(IF(AG164*AH164=0,"",AG164*AH164),"")</f>
        <v/>
      </c>
      <c r="AL164">
        <f>IF(AND(AJ164&lt;&gt;"",AK164&lt;&gt;""),ROUNDUP((AK164-AJ164)/7,0),"")</f>
        <v/>
      </c>
      <c r="AN164">
        <f>IFERROR(IF(AL164*AM164=0,"",AL164*AM164),"")</f>
        <v/>
      </c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L164">
        <f>IFERROR(INDEX('_names_lookup'!$C:$C,MATCH(BK164,'_names_lookup'!$A:$A,0)),"")</f>
        <v/>
      </c>
      <c r="BM164">
        <f>IFERROR(INDEX('_names_lookup'!$B:$B,MATCH(BK164,'_names_lookup'!$A:$A,0)),"")</f>
        <v/>
      </c>
      <c r="BS164">
        <f>IFERROR(IF(BR164*AA164=0,"",BR164*AA164),"")</f>
        <v/>
      </c>
    </row>
    <row r="165">
      <c r="O165">
        <f>IFERROR(INDEX('_courses_lookup'!$C:$C,MATCH(K165&amp;L165,'_courses_lookup'!$E:$E,0)),"")</f>
        <v/>
      </c>
      <c r="P165">
        <f>IFERROR(INDEX('_courses_lookup'!$D:$D,MATCH(K165&amp;L165,'_courses_lookup'!$E:$E,0)),"")</f>
        <v/>
      </c>
      <c r="AG165">
        <f>IF(AND(AE165&lt;&gt;"",AF165&lt;&gt;""),ROUNDUP((AF165-AE165)/7,0),"")</f>
        <v/>
      </c>
      <c r="AI165">
        <f>IFERROR(IF(AG165*AH165=0,"",AG165*AH165),"")</f>
        <v/>
      </c>
      <c r="AL165">
        <f>IF(AND(AJ165&lt;&gt;"",AK165&lt;&gt;""),ROUNDUP((AK165-AJ165)/7,0),"")</f>
        <v/>
      </c>
      <c r="AN165">
        <f>IFERROR(IF(AL165*AM165=0,"",AL165*AM165),"")</f>
        <v/>
      </c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L165">
        <f>IFERROR(INDEX('_names_lookup'!$C:$C,MATCH(BK165,'_names_lookup'!$A:$A,0)),"")</f>
        <v/>
      </c>
      <c r="BM165">
        <f>IFERROR(INDEX('_names_lookup'!$B:$B,MATCH(BK165,'_names_lookup'!$A:$A,0)),"")</f>
        <v/>
      </c>
      <c r="BS165">
        <f>IFERROR(IF(BR165*AA165=0,"",BR165*AA165),"")</f>
        <v/>
      </c>
    </row>
    <row r="166">
      <c r="O166">
        <f>IFERROR(INDEX('_courses_lookup'!$C:$C,MATCH(K166&amp;L166,'_courses_lookup'!$E:$E,0)),"")</f>
        <v/>
      </c>
      <c r="P166">
        <f>IFERROR(INDEX('_courses_lookup'!$D:$D,MATCH(K166&amp;L166,'_courses_lookup'!$E:$E,0)),"")</f>
        <v/>
      </c>
      <c r="AG166">
        <f>IF(AND(AE166&lt;&gt;"",AF166&lt;&gt;""),ROUNDUP((AF166-AE166)/7,0),"")</f>
        <v/>
      </c>
      <c r="AI166">
        <f>IFERROR(IF(AG166*AH166=0,"",AG166*AH166),"")</f>
        <v/>
      </c>
      <c r="AL166">
        <f>IF(AND(AJ166&lt;&gt;"",AK166&lt;&gt;""),ROUNDUP((AK166-AJ166)/7,0),"")</f>
        <v/>
      </c>
      <c r="AN166">
        <f>IFERROR(IF(AL166*AM166=0,"",AL166*AM166),"")</f>
        <v/>
      </c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L166">
        <f>IFERROR(INDEX('_names_lookup'!$C:$C,MATCH(BK166,'_names_lookup'!$A:$A,0)),"")</f>
        <v/>
      </c>
      <c r="BM166">
        <f>IFERROR(INDEX('_names_lookup'!$B:$B,MATCH(BK166,'_names_lookup'!$A:$A,0)),"")</f>
        <v/>
      </c>
      <c r="BS166">
        <f>IFERROR(IF(BR166*AA166=0,"",BR166*AA166),"")</f>
        <v/>
      </c>
    </row>
    <row r="167">
      <c r="O167">
        <f>IFERROR(INDEX('_courses_lookup'!$C:$C,MATCH(K167&amp;L167,'_courses_lookup'!$E:$E,0)),"")</f>
        <v/>
      </c>
      <c r="P167">
        <f>IFERROR(INDEX('_courses_lookup'!$D:$D,MATCH(K167&amp;L167,'_courses_lookup'!$E:$E,0)),"")</f>
        <v/>
      </c>
      <c r="AG167">
        <f>IF(AND(AE167&lt;&gt;"",AF167&lt;&gt;""),ROUNDUP((AF167-AE167)/7,0),"")</f>
        <v/>
      </c>
      <c r="AI167">
        <f>IFERROR(IF(AG167*AH167=0,"",AG167*AH167),"")</f>
        <v/>
      </c>
      <c r="AL167">
        <f>IF(AND(AJ167&lt;&gt;"",AK167&lt;&gt;""),ROUNDUP((AK167-AJ167)/7,0),"")</f>
        <v/>
      </c>
      <c r="AN167">
        <f>IFERROR(IF(AL167*AM167=0,"",AL167*AM167),"")</f>
        <v/>
      </c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L167">
        <f>IFERROR(INDEX('_names_lookup'!$C:$C,MATCH(BK167,'_names_lookup'!$A:$A,0)),"")</f>
        <v/>
      </c>
      <c r="BM167">
        <f>IFERROR(INDEX('_names_lookup'!$B:$B,MATCH(BK167,'_names_lookup'!$A:$A,0)),"")</f>
        <v/>
      </c>
      <c r="BS167">
        <f>IFERROR(IF(BR167*AA167=0,"",BR167*AA167),"")</f>
        <v/>
      </c>
    </row>
    <row r="168">
      <c r="O168">
        <f>IFERROR(INDEX('_courses_lookup'!$C:$C,MATCH(K168&amp;L168,'_courses_lookup'!$E:$E,0)),"")</f>
        <v/>
      </c>
      <c r="P168">
        <f>IFERROR(INDEX('_courses_lookup'!$D:$D,MATCH(K168&amp;L168,'_courses_lookup'!$E:$E,0)),"")</f>
        <v/>
      </c>
      <c r="AG168">
        <f>IF(AND(AE168&lt;&gt;"",AF168&lt;&gt;""),ROUNDUP((AF168-AE168)/7,0),"")</f>
        <v/>
      </c>
      <c r="AI168">
        <f>IFERROR(IF(AG168*AH168=0,"",AG168*AH168),"")</f>
        <v/>
      </c>
      <c r="AL168">
        <f>IF(AND(AJ168&lt;&gt;"",AK168&lt;&gt;""),ROUNDUP((AK168-AJ168)/7,0),"")</f>
        <v/>
      </c>
      <c r="AN168">
        <f>IFERROR(IF(AL168*AM168=0,"",AL168*AM168),"")</f>
        <v/>
      </c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L168">
        <f>IFERROR(INDEX('_names_lookup'!$C:$C,MATCH(BK168,'_names_lookup'!$A:$A,0)),"")</f>
        <v/>
      </c>
      <c r="BM168">
        <f>IFERROR(INDEX('_names_lookup'!$B:$B,MATCH(BK168,'_names_lookup'!$A:$A,0)),"")</f>
        <v/>
      </c>
      <c r="BS168">
        <f>IFERROR(IF(BR168*AA168=0,"",BR168*AA168),"")</f>
        <v/>
      </c>
    </row>
    <row r="169">
      <c r="O169">
        <f>IFERROR(INDEX('_courses_lookup'!$C:$C,MATCH(K169&amp;L169,'_courses_lookup'!$E:$E,0)),"")</f>
        <v/>
      </c>
      <c r="P169">
        <f>IFERROR(INDEX('_courses_lookup'!$D:$D,MATCH(K169&amp;L169,'_courses_lookup'!$E:$E,0)),"")</f>
        <v/>
      </c>
      <c r="AG169">
        <f>IF(AND(AE169&lt;&gt;"",AF169&lt;&gt;""),ROUNDUP((AF169-AE169)/7,0),"")</f>
        <v/>
      </c>
      <c r="AI169">
        <f>IFERROR(IF(AG169*AH169=0,"",AG169*AH169),"")</f>
        <v/>
      </c>
      <c r="AL169">
        <f>IF(AND(AJ169&lt;&gt;"",AK169&lt;&gt;""),ROUNDUP((AK169-AJ169)/7,0),"")</f>
        <v/>
      </c>
      <c r="AN169">
        <f>IFERROR(IF(AL169*AM169=0,"",AL169*AM169),"")</f>
        <v/>
      </c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L169">
        <f>IFERROR(INDEX('_names_lookup'!$C:$C,MATCH(BK169,'_names_lookup'!$A:$A,0)),"")</f>
        <v/>
      </c>
      <c r="BM169">
        <f>IFERROR(INDEX('_names_lookup'!$B:$B,MATCH(BK169,'_names_lookup'!$A:$A,0)),"")</f>
        <v/>
      </c>
      <c r="BS169">
        <f>IFERROR(IF(BR169*AA169=0,"",BR169*AA169),"")</f>
        <v/>
      </c>
    </row>
    <row r="170">
      <c r="O170">
        <f>IFERROR(INDEX('_courses_lookup'!$C:$C,MATCH(K170&amp;L170,'_courses_lookup'!$E:$E,0)),"")</f>
        <v/>
      </c>
      <c r="P170">
        <f>IFERROR(INDEX('_courses_lookup'!$D:$D,MATCH(K170&amp;L170,'_courses_lookup'!$E:$E,0)),"")</f>
        <v/>
      </c>
      <c r="AG170">
        <f>IF(AND(AE170&lt;&gt;"",AF170&lt;&gt;""),ROUNDUP((AF170-AE170)/7,0),"")</f>
        <v/>
      </c>
      <c r="AI170">
        <f>IFERROR(IF(AG170*AH170=0,"",AG170*AH170),"")</f>
        <v/>
      </c>
      <c r="AL170">
        <f>IF(AND(AJ170&lt;&gt;"",AK170&lt;&gt;""),ROUNDUP((AK170-AJ170)/7,0),"")</f>
        <v/>
      </c>
      <c r="AN170">
        <f>IFERROR(IF(AL170*AM170=0,"",AL170*AM170),"")</f>
        <v/>
      </c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L170">
        <f>IFERROR(INDEX('_names_lookup'!$C:$C,MATCH(BK170,'_names_lookup'!$A:$A,0)),"")</f>
        <v/>
      </c>
      <c r="BM170">
        <f>IFERROR(INDEX('_names_lookup'!$B:$B,MATCH(BK170,'_names_lookup'!$A:$A,0)),"")</f>
        <v/>
      </c>
      <c r="BS170">
        <f>IFERROR(IF(BR170*AA170=0,"",BR170*AA170),"")</f>
        <v/>
      </c>
    </row>
    <row r="171">
      <c r="O171">
        <f>IFERROR(INDEX('_courses_lookup'!$C:$C,MATCH(K171&amp;L171,'_courses_lookup'!$E:$E,0)),"")</f>
        <v/>
      </c>
      <c r="P171">
        <f>IFERROR(INDEX('_courses_lookup'!$D:$D,MATCH(K171&amp;L171,'_courses_lookup'!$E:$E,0)),"")</f>
        <v/>
      </c>
      <c r="AG171">
        <f>IF(AND(AE171&lt;&gt;"",AF171&lt;&gt;""),ROUNDUP((AF171-AE171)/7,0),"")</f>
        <v/>
      </c>
      <c r="AI171">
        <f>IFERROR(IF(AG171*AH171=0,"",AG171*AH171),"")</f>
        <v/>
      </c>
      <c r="AL171">
        <f>IF(AND(AJ171&lt;&gt;"",AK171&lt;&gt;""),ROUNDUP((AK171-AJ171)/7,0),"")</f>
        <v/>
      </c>
      <c r="AN171">
        <f>IFERROR(IF(AL171*AM171=0,"",AL171*AM171),"")</f>
        <v/>
      </c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L171">
        <f>IFERROR(INDEX('_names_lookup'!$C:$C,MATCH(BK171,'_names_lookup'!$A:$A,0)),"")</f>
        <v/>
      </c>
      <c r="BM171">
        <f>IFERROR(INDEX('_names_lookup'!$B:$B,MATCH(BK171,'_names_lookup'!$A:$A,0)),"")</f>
        <v/>
      </c>
      <c r="BS171">
        <f>IFERROR(IF(BR171*AA171=0,"",BR171*AA171),"")</f>
        <v/>
      </c>
    </row>
    <row r="172">
      <c r="O172">
        <f>IFERROR(INDEX('_courses_lookup'!$C:$C,MATCH(K172&amp;L172,'_courses_lookup'!$E:$E,0)),"")</f>
        <v/>
      </c>
      <c r="P172">
        <f>IFERROR(INDEX('_courses_lookup'!$D:$D,MATCH(K172&amp;L172,'_courses_lookup'!$E:$E,0)),"")</f>
        <v/>
      </c>
      <c r="AG172">
        <f>IF(AND(AE172&lt;&gt;"",AF172&lt;&gt;""),ROUNDUP((AF172-AE172)/7,0),"")</f>
        <v/>
      </c>
      <c r="AI172">
        <f>IFERROR(IF(AG172*AH172=0,"",AG172*AH172),"")</f>
        <v/>
      </c>
      <c r="AL172">
        <f>IF(AND(AJ172&lt;&gt;"",AK172&lt;&gt;""),ROUNDUP((AK172-AJ172)/7,0),"")</f>
        <v/>
      </c>
      <c r="AN172">
        <f>IFERROR(IF(AL172*AM172=0,"",AL172*AM172),"")</f>
        <v/>
      </c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L172">
        <f>IFERROR(INDEX('_names_lookup'!$C:$C,MATCH(BK172,'_names_lookup'!$A:$A,0)),"")</f>
        <v/>
      </c>
      <c r="BM172">
        <f>IFERROR(INDEX('_names_lookup'!$B:$B,MATCH(BK172,'_names_lookup'!$A:$A,0)),"")</f>
        <v/>
      </c>
      <c r="BS172">
        <f>IFERROR(IF(BR172*AA172=0,"",BR172*AA172),"")</f>
        <v/>
      </c>
    </row>
    <row r="173">
      <c r="O173">
        <f>IFERROR(INDEX('_courses_lookup'!$C:$C,MATCH(K173&amp;L173,'_courses_lookup'!$E:$E,0)),"")</f>
        <v/>
      </c>
      <c r="P173">
        <f>IFERROR(INDEX('_courses_lookup'!$D:$D,MATCH(K173&amp;L173,'_courses_lookup'!$E:$E,0)),"")</f>
        <v/>
      </c>
      <c r="AG173">
        <f>IF(AND(AE173&lt;&gt;"",AF173&lt;&gt;""),ROUNDUP((AF173-AE173)/7,0),"")</f>
        <v/>
      </c>
      <c r="AI173">
        <f>IFERROR(IF(AG173*AH173=0,"",AG173*AH173),"")</f>
        <v/>
      </c>
      <c r="AL173">
        <f>IF(AND(AJ173&lt;&gt;"",AK173&lt;&gt;""),ROUNDUP((AK173-AJ173)/7,0),"")</f>
        <v/>
      </c>
      <c r="AN173">
        <f>IFERROR(IF(AL173*AM173=0,"",AL173*AM173),"")</f>
        <v/>
      </c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L173">
        <f>IFERROR(INDEX('_names_lookup'!$C:$C,MATCH(BK173,'_names_lookup'!$A:$A,0)),"")</f>
        <v/>
      </c>
      <c r="BM173">
        <f>IFERROR(INDEX('_names_lookup'!$B:$B,MATCH(BK173,'_names_lookup'!$A:$A,0)),"")</f>
        <v/>
      </c>
      <c r="BS173">
        <f>IFERROR(IF(BR173*AA173=0,"",BR173*AA173),"")</f>
        <v/>
      </c>
    </row>
    <row r="174">
      <c r="O174">
        <f>IFERROR(INDEX('_courses_lookup'!$C:$C,MATCH(K174&amp;L174,'_courses_lookup'!$E:$E,0)),"")</f>
        <v/>
      </c>
      <c r="P174">
        <f>IFERROR(INDEX('_courses_lookup'!$D:$D,MATCH(K174&amp;L174,'_courses_lookup'!$E:$E,0)),"")</f>
        <v/>
      </c>
      <c r="AG174">
        <f>IF(AND(AE174&lt;&gt;"",AF174&lt;&gt;""),ROUNDUP((AF174-AE174)/7,0),"")</f>
        <v/>
      </c>
      <c r="AI174">
        <f>IFERROR(IF(AG174*AH174=0,"",AG174*AH174),"")</f>
        <v/>
      </c>
      <c r="AL174">
        <f>IF(AND(AJ174&lt;&gt;"",AK174&lt;&gt;""),ROUNDUP((AK174-AJ174)/7,0),"")</f>
        <v/>
      </c>
      <c r="AN174">
        <f>IFERROR(IF(AL174*AM174=0,"",AL174*AM174),"")</f>
        <v/>
      </c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L174">
        <f>IFERROR(INDEX('_names_lookup'!$C:$C,MATCH(BK174,'_names_lookup'!$A:$A,0)),"")</f>
        <v/>
      </c>
      <c r="BM174">
        <f>IFERROR(INDEX('_names_lookup'!$B:$B,MATCH(BK174,'_names_lookup'!$A:$A,0)),"")</f>
        <v/>
      </c>
      <c r="BS174">
        <f>IFERROR(IF(BR174*AA174=0,"",BR174*AA174),"")</f>
        <v/>
      </c>
    </row>
    <row r="175">
      <c r="O175">
        <f>IFERROR(INDEX('_courses_lookup'!$C:$C,MATCH(K175&amp;L175,'_courses_lookup'!$E:$E,0)),"")</f>
        <v/>
      </c>
      <c r="P175">
        <f>IFERROR(INDEX('_courses_lookup'!$D:$D,MATCH(K175&amp;L175,'_courses_lookup'!$E:$E,0)),"")</f>
        <v/>
      </c>
      <c r="AG175">
        <f>IF(AND(AE175&lt;&gt;"",AF175&lt;&gt;""),ROUNDUP((AF175-AE175)/7,0),"")</f>
        <v/>
      </c>
      <c r="AI175">
        <f>IFERROR(IF(AG175*AH175=0,"",AG175*AH175),"")</f>
        <v/>
      </c>
      <c r="AL175">
        <f>IF(AND(AJ175&lt;&gt;"",AK175&lt;&gt;""),ROUNDUP((AK175-AJ175)/7,0),"")</f>
        <v/>
      </c>
      <c r="AN175">
        <f>IFERROR(IF(AL175*AM175=0,"",AL175*AM175),"")</f>
        <v/>
      </c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L175">
        <f>IFERROR(INDEX('_names_lookup'!$C:$C,MATCH(BK175,'_names_lookup'!$A:$A,0)),"")</f>
        <v/>
      </c>
      <c r="BM175">
        <f>IFERROR(INDEX('_names_lookup'!$B:$B,MATCH(BK175,'_names_lookup'!$A:$A,0)),"")</f>
        <v/>
      </c>
      <c r="BS175">
        <f>IFERROR(IF(BR175*AA175=0,"",BR175*AA175),"")</f>
        <v/>
      </c>
    </row>
    <row r="176">
      <c r="O176">
        <f>IFERROR(INDEX('_courses_lookup'!$C:$C,MATCH(K176&amp;L176,'_courses_lookup'!$E:$E,0)),"")</f>
        <v/>
      </c>
      <c r="P176">
        <f>IFERROR(INDEX('_courses_lookup'!$D:$D,MATCH(K176&amp;L176,'_courses_lookup'!$E:$E,0)),"")</f>
        <v/>
      </c>
      <c r="AG176">
        <f>IF(AND(AE176&lt;&gt;"",AF176&lt;&gt;""),ROUNDUP((AF176-AE176)/7,0),"")</f>
        <v/>
      </c>
      <c r="AI176">
        <f>IFERROR(IF(AG176*AH176=0,"",AG176*AH176),"")</f>
        <v/>
      </c>
      <c r="AL176">
        <f>IF(AND(AJ176&lt;&gt;"",AK176&lt;&gt;""),ROUNDUP((AK176-AJ176)/7,0),"")</f>
        <v/>
      </c>
      <c r="AN176">
        <f>IFERROR(IF(AL176*AM176=0,"",AL176*AM176),"")</f>
        <v/>
      </c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L176">
        <f>IFERROR(INDEX('_names_lookup'!$C:$C,MATCH(BK176,'_names_lookup'!$A:$A,0)),"")</f>
        <v/>
      </c>
      <c r="BM176">
        <f>IFERROR(INDEX('_names_lookup'!$B:$B,MATCH(BK176,'_names_lookup'!$A:$A,0)),"")</f>
        <v/>
      </c>
      <c r="BS176">
        <f>IFERROR(IF(BR176*AA176=0,"",BR176*AA176),"")</f>
        <v/>
      </c>
    </row>
    <row r="177">
      <c r="O177">
        <f>IFERROR(INDEX('_courses_lookup'!$C:$C,MATCH(K177&amp;L177,'_courses_lookup'!$E:$E,0)),"")</f>
        <v/>
      </c>
      <c r="P177">
        <f>IFERROR(INDEX('_courses_lookup'!$D:$D,MATCH(K177&amp;L177,'_courses_lookup'!$E:$E,0)),"")</f>
        <v/>
      </c>
      <c r="AG177">
        <f>IF(AND(AE177&lt;&gt;"",AF177&lt;&gt;""),ROUNDUP((AF177-AE177)/7,0),"")</f>
        <v/>
      </c>
      <c r="AI177">
        <f>IFERROR(IF(AG177*AH177=0,"",AG177*AH177),"")</f>
        <v/>
      </c>
      <c r="AL177">
        <f>IF(AND(AJ177&lt;&gt;"",AK177&lt;&gt;""),ROUNDUP((AK177-AJ177)/7,0),"")</f>
        <v/>
      </c>
      <c r="AN177">
        <f>IFERROR(IF(AL177*AM177=0,"",AL177*AM177),"")</f>
        <v/>
      </c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L177">
        <f>IFERROR(INDEX('_names_lookup'!$C:$C,MATCH(BK177,'_names_lookup'!$A:$A,0)),"")</f>
        <v/>
      </c>
      <c r="BM177">
        <f>IFERROR(INDEX('_names_lookup'!$B:$B,MATCH(BK177,'_names_lookup'!$A:$A,0)),"")</f>
        <v/>
      </c>
      <c r="BS177">
        <f>IFERROR(IF(BR177*AA177=0,"",BR177*AA177),"")</f>
        <v/>
      </c>
    </row>
    <row r="178">
      <c r="O178">
        <f>IFERROR(INDEX('_courses_lookup'!$C:$C,MATCH(K178&amp;L178,'_courses_lookup'!$E:$E,0)),"")</f>
        <v/>
      </c>
      <c r="P178">
        <f>IFERROR(INDEX('_courses_lookup'!$D:$D,MATCH(K178&amp;L178,'_courses_lookup'!$E:$E,0)),"")</f>
        <v/>
      </c>
      <c r="AG178">
        <f>IF(AND(AE178&lt;&gt;"",AF178&lt;&gt;""),ROUNDUP((AF178-AE178)/7,0),"")</f>
        <v/>
      </c>
      <c r="AI178">
        <f>IFERROR(IF(AG178*AH178=0,"",AG178*AH178),"")</f>
        <v/>
      </c>
      <c r="AL178">
        <f>IF(AND(AJ178&lt;&gt;"",AK178&lt;&gt;""),ROUNDUP((AK178-AJ178)/7,0),"")</f>
        <v/>
      </c>
      <c r="AN178">
        <f>IFERROR(IF(AL178*AM178=0,"",AL178*AM178),"")</f>
        <v/>
      </c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L178">
        <f>IFERROR(INDEX('_names_lookup'!$C:$C,MATCH(BK178,'_names_lookup'!$A:$A,0)),"")</f>
        <v/>
      </c>
      <c r="BM178">
        <f>IFERROR(INDEX('_names_lookup'!$B:$B,MATCH(BK178,'_names_lookup'!$A:$A,0)),"")</f>
        <v/>
      </c>
      <c r="BS178">
        <f>IFERROR(IF(BR178*AA178=0,"",BR178*AA178),"")</f>
        <v/>
      </c>
    </row>
    <row r="179">
      <c r="O179">
        <f>IFERROR(INDEX('_courses_lookup'!$C:$C,MATCH(K179&amp;L179,'_courses_lookup'!$E:$E,0)),"")</f>
        <v/>
      </c>
      <c r="P179">
        <f>IFERROR(INDEX('_courses_lookup'!$D:$D,MATCH(K179&amp;L179,'_courses_lookup'!$E:$E,0)),"")</f>
        <v/>
      </c>
      <c r="AG179">
        <f>IF(AND(AE179&lt;&gt;"",AF179&lt;&gt;""),ROUNDUP((AF179-AE179)/7,0),"")</f>
        <v/>
      </c>
      <c r="AI179">
        <f>IFERROR(IF(AG179*AH179=0,"",AG179*AH179),"")</f>
        <v/>
      </c>
      <c r="AL179">
        <f>IF(AND(AJ179&lt;&gt;"",AK179&lt;&gt;""),ROUNDUP((AK179-AJ179)/7,0),"")</f>
        <v/>
      </c>
      <c r="AN179">
        <f>IFERROR(IF(AL179*AM179=0,"",AL179*AM179),"")</f>
        <v/>
      </c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L179">
        <f>IFERROR(INDEX('_names_lookup'!$C:$C,MATCH(BK179,'_names_lookup'!$A:$A,0)),"")</f>
        <v/>
      </c>
      <c r="BM179">
        <f>IFERROR(INDEX('_names_lookup'!$B:$B,MATCH(BK179,'_names_lookup'!$A:$A,0)),"")</f>
        <v/>
      </c>
      <c r="BS179">
        <f>IFERROR(IF(BR179*AA179=0,"",BR179*AA179),"")</f>
        <v/>
      </c>
    </row>
    <row r="180">
      <c r="O180">
        <f>IFERROR(INDEX('_courses_lookup'!$C:$C,MATCH(K180&amp;L180,'_courses_lookup'!$E:$E,0)),"")</f>
        <v/>
      </c>
      <c r="P180">
        <f>IFERROR(INDEX('_courses_lookup'!$D:$D,MATCH(K180&amp;L180,'_courses_lookup'!$E:$E,0)),"")</f>
        <v/>
      </c>
      <c r="AG180">
        <f>IF(AND(AE180&lt;&gt;"",AF180&lt;&gt;""),ROUNDUP((AF180-AE180)/7,0),"")</f>
        <v/>
      </c>
      <c r="AI180">
        <f>IFERROR(IF(AG180*AH180=0,"",AG180*AH180),"")</f>
        <v/>
      </c>
      <c r="AL180">
        <f>IF(AND(AJ180&lt;&gt;"",AK180&lt;&gt;""),ROUNDUP((AK180-AJ180)/7,0),"")</f>
        <v/>
      </c>
      <c r="AN180">
        <f>IFERROR(IF(AL180*AM180=0,"",AL180*AM180),"")</f>
        <v/>
      </c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L180">
        <f>IFERROR(INDEX('_names_lookup'!$C:$C,MATCH(BK180,'_names_lookup'!$A:$A,0)),"")</f>
        <v/>
      </c>
      <c r="BM180">
        <f>IFERROR(INDEX('_names_lookup'!$B:$B,MATCH(BK180,'_names_lookup'!$A:$A,0)),"")</f>
        <v/>
      </c>
      <c r="BS180">
        <f>IFERROR(IF(BR180*AA180=0,"",BR180*AA180),"")</f>
        <v/>
      </c>
    </row>
    <row r="181">
      <c r="O181">
        <f>IFERROR(INDEX('_courses_lookup'!$C:$C,MATCH(K181&amp;L181,'_courses_lookup'!$E:$E,0)),"")</f>
        <v/>
      </c>
      <c r="P181">
        <f>IFERROR(INDEX('_courses_lookup'!$D:$D,MATCH(K181&amp;L181,'_courses_lookup'!$E:$E,0)),"")</f>
        <v/>
      </c>
      <c r="AG181">
        <f>IF(AND(AE181&lt;&gt;"",AF181&lt;&gt;""),ROUNDUP((AF181-AE181)/7,0),"")</f>
        <v/>
      </c>
      <c r="AI181">
        <f>IFERROR(IF(AG181*AH181=0,"",AG181*AH181),"")</f>
        <v/>
      </c>
      <c r="AL181">
        <f>IF(AND(AJ181&lt;&gt;"",AK181&lt;&gt;""),ROUNDUP((AK181-AJ181)/7,0),"")</f>
        <v/>
      </c>
      <c r="AN181">
        <f>IFERROR(IF(AL181*AM181=0,"",AL181*AM181),"")</f>
        <v/>
      </c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L181">
        <f>IFERROR(INDEX('_names_lookup'!$C:$C,MATCH(BK181,'_names_lookup'!$A:$A,0)),"")</f>
        <v/>
      </c>
      <c r="BM181">
        <f>IFERROR(INDEX('_names_lookup'!$B:$B,MATCH(BK181,'_names_lookup'!$A:$A,0)),"")</f>
        <v/>
      </c>
      <c r="BS181">
        <f>IFERROR(IF(BR181*AA181=0,"",BR181*AA181),"")</f>
        <v/>
      </c>
    </row>
    <row r="182">
      <c r="O182">
        <f>IFERROR(INDEX('_courses_lookup'!$C:$C,MATCH(K182&amp;L182,'_courses_lookup'!$E:$E,0)),"")</f>
        <v/>
      </c>
      <c r="P182">
        <f>IFERROR(INDEX('_courses_lookup'!$D:$D,MATCH(K182&amp;L182,'_courses_lookup'!$E:$E,0)),"")</f>
        <v/>
      </c>
      <c r="AG182">
        <f>IF(AND(AE182&lt;&gt;"",AF182&lt;&gt;""),ROUNDUP((AF182-AE182)/7,0),"")</f>
        <v/>
      </c>
      <c r="AI182">
        <f>IFERROR(IF(AG182*AH182=0,"",AG182*AH182),"")</f>
        <v/>
      </c>
      <c r="AL182">
        <f>IF(AND(AJ182&lt;&gt;"",AK182&lt;&gt;""),ROUNDUP((AK182-AJ182)/7,0),"")</f>
        <v/>
      </c>
      <c r="AN182">
        <f>IFERROR(IF(AL182*AM182=0,"",AL182*AM182),"")</f>
        <v/>
      </c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L182">
        <f>IFERROR(INDEX('_names_lookup'!$C:$C,MATCH(BK182,'_names_lookup'!$A:$A,0)),"")</f>
        <v/>
      </c>
      <c r="BM182">
        <f>IFERROR(INDEX('_names_lookup'!$B:$B,MATCH(BK182,'_names_lookup'!$A:$A,0)),"")</f>
        <v/>
      </c>
      <c r="BS182">
        <f>IFERROR(IF(BR182*AA182=0,"",BR182*AA182),"")</f>
        <v/>
      </c>
    </row>
    <row r="183">
      <c r="O183">
        <f>IFERROR(INDEX('_courses_lookup'!$C:$C,MATCH(K183&amp;L183,'_courses_lookup'!$E:$E,0)),"")</f>
        <v/>
      </c>
      <c r="P183">
        <f>IFERROR(INDEX('_courses_lookup'!$D:$D,MATCH(K183&amp;L183,'_courses_lookup'!$E:$E,0)),"")</f>
        <v/>
      </c>
      <c r="AG183">
        <f>IF(AND(AE183&lt;&gt;"",AF183&lt;&gt;""),ROUNDUP((AF183-AE183)/7,0),"")</f>
        <v/>
      </c>
      <c r="AI183">
        <f>IFERROR(IF(AG183*AH183=0,"",AG183*AH183),"")</f>
        <v/>
      </c>
      <c r="AL183">
        <f>IF(AND(AJ183&lt;&gt;"",AK183&lt;&gt;""),ROUNDUP((AK183-AJ183)/7,0),"")</f>
        <v/>
      </c>
      <c r="AN183">
        <f>IFERROR(IF(AL183*AM183=0,"",AL183*AM183),"")</f>
        <v/>
      </c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L183">
        <f>IFERROR(INDEX('_names_lookup'!$C:$C,MATCH(BK183,'_names_lookup'!$A:$A,0)),"")</f>
        <v/>
      </c>
      <c r="BM183">
        <f>IFERROR(INDEX('_names_lookup'!$B:$B,MATCH(BK183,'_names_lookup'!$A:$A,0)),"")</f>
        <v/>
      </c>
      <c r="BS183">
        <f>IFERROR(IF(BR183*AA183=0,"",BR183*AA183),"")</f>
        <v/>
      </c>
    </row>
    <row r="184">
      <c r="O184">
        <f>IFERROR(INDEX('_courses_lookup'!$C:$C,MATCH(K184&amp;L184,'_courses_lookup'!$E:$E,0)),"")</f>
        <v/>
      </c>
      <c r="P184">
        <f>IFERROR(INDEX('_courses_lookup'!$D:$D,MATCH(K184&amp;L184,'_courses_lookup'!$E:$E,0)),"")</f>
        <v/>
      </c>
      <c r="AG184">
        <f>IF(AND(AE184&lt;&gt;"",AF184&lt;&gt;""),ROUNDUP((AF184-AE184)/7,0),"")</f>
        <v/>
      </c>
      <c r="AI184">
        <f>IFERROR(IF(AG184*AH184=0,"",AG184*AH184),"")</f>
        <v/>
      </c>
      <c r="AL184">
        <f>IF(AND(AJ184&lt;&gt;"",AK184&lt;&gt;""),ROUNDUP((AK184-AJ184)/7,0),"")</f>
        <v/>
      </c>
      <c r="AN184">
        <f>IFERROR(IF(AL184*AM184=0,"",AL184*AM184),"")</f>
        <v/>
      </c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L184">
        <f>IFERROR(INDEX('_names_lookup'!$C:$C,MATCH(BK184,'_names_lookup'!$A:$A,0)),"")</f>
        <v/>
      </c>
      <c r="BM184">
        <f>IFERROR(INDEX('_names_lookup'!$B:$B,MATCH(BK184,'_names_lookup'!$A:$A,0)),"")</f>
        <v/>
      </c>
      <c r="BS184">
        <f>IFERROR(IF(BR184*AA184=0,"",BR184*AA184),"")</f>
        <v/>
      </c>
    </row>
    <row r="185">
      <c r="O185">
        <f>IFERROR(INDEX('_courses_lookup'!$C:$C,MATCH(K185&amp;L185,'_courses_lookup'!$E:$E,0)),"")</f>
        <v/>
      </c>
      <c r="P185">
        <f>IFERROR(INDEX('_courses_lookup'!$D:$D,MATCH(K185&amp;L185,'_courses_lookup'!$E:$E,0)),"")</f>
        <v/>
      </c>
      <c r="AG185">
        <f>IF(AND(AE185&lt;&gt;"",AF185&lt;&gt;""),ROUNDUP((AF185-AE185)/7,0),"")</f>
        <v/>
      </c>
      <c r="AI185">
        <f>IFERROR(IF(AG185*AH185=0,"",AG185*AH185),"")</f>
        <v/>
      </c>
      <c r="AL185">
        <f>IF(AND(AJ185&lt;&gt;"",AK185&lt;&gt;""),ROUNDUP((AK185-AJ185)/7,0),"")</f>
        <v/>
      </c>
      <c r="AN185">
        <f>IFERROR(IF(AL185*AM185=0,"",AL185*AM185),"")</f>
        <v/>
      </c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L185">
        <f>IFERROR(INDEX('_names_lookup'!$C:$C,MATCH(BK185,'_names_lookup'!$A:$A,0)),"")</f>
        <v/>
      </c>
      <c r="BM185">
        <f>IFERROR(INDEX('_names_lookup'!$B:$B,MATCH(BK185,'_names_lookup'!$A:$A,0)),"")</f>
        <v/>
      </c>
      <c r="BS185">
        <f>IFERROR(IF(BR185*AA185=0,"",BR185*AA185),"")</f>
        <v/>
      </c>
    </row>
    <row r="186">
      <c r="O186">
        <f>IFERROR(INDEX('_courses_lookup'!$C:$C,MATCH(K186&amp;L186,'_courses_lookup'!$E:$E,0)),"")</f>
        <v/>
      </c>
      <c r="P186">
        <f>IFERROR(INDEX('_courses_lookup'!$D:$D,MATCH(K186&amp;L186,'_courses_lookup'!$E:$E,0)),"")</f>
        <v/>
      </c>
      <c r="AG186">
        <f>IF(AND(AE186&lt;&gt;"",AF186&lt;&gt;""),ROUNDUP((AF186-AE186)/7,0),"")</f>
        <v/>
      </c>
      <c r="AI186">
        <f>IFERROR(IF(AG186*AH186=0,"",AG186*AH186),"")</f>
        <v/>
      </c>
      <c r="AL186">
        <f>IF(AND(AJ186&lt;&gt;"",AK186&lt;&gt;""),ROUNDUP((AK186-AJ186)/7,0),"")</f>
        <v/>
      </c>
      <c r="AN186">
        <f>IFERROR(IF(AL186*AM186=0,"",AL186*AM186),"")</f>
        <v/>
      </c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L186">
        <f>IFERROR(INDEX('_names_lookup'!$C:$C,MATCH(BK186,'_names_lookup'!$A:$A,0)),"")</f>
        <v/>
      </c>
      <c r="BM186">
        <f>IFERROR(INDEX('_names_lookup'!$B:$B,MATCH(BK186,'_names_lookup'!$A:$A,0)),"")</f>
        <v/>
      </c>
      <c r="BS186">
        <f>IFERROR(IF(BR186*AA186=0,"",BR186*AA186),"")</f>
        <v/>
      </c>
    </row>
    <row r="187">
      <c r="O187">
        <f>IFERROR(INDEX('_courses_lookup'!$C:$C,MATCH(K187&amp;L187,'_courses_lookup'!$E:$E,0)),"")</f>
        <v/>
      </c>
      <c r="P187">
        <f>IFERROR(INDEX('_courses_lookup'!$D:$D,MATCH(K187&amp;L187,'_courses_lookup'!$E:$E,0)),"")</f>
        <v/>
      </c>
      <c r="AG187">
        <f>IF(AND(AE187&lt;&gt;"",AF187&lt;&gt;""),ROUNDUP((AF187-AE187)/7,0),"")</f>
        <v/>
      </c>
      <c r="AI187">
        <f>IFERROR(IF(AG187*AH187=0,"",AG187*AH187),"")</f>
        <v/>
      </c>
      <c r="AL187">
        <f>IF(AND(AJ187&lt;&gt;"",AK187&lt;&gt;""),ROUNDUP((AK187-AJ187)/7,0),"")</f>
        <v/>
      </c>
      <c r="AN187">
        <f>IFERROR(IF(AL187*AM187=0,"",AL187*AM187),"")</f>
        <v/>
      </c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L187">
        <f>IFERROR(INDEX('_names_lookup'!$C:$C,MATCH(BK187,'_names_lookup'!$A:$A,0)),"")</f>
        <v/>
      </c>
      <c r="BM187">
        <f>IFERROR(INDEX('_names_lookup'!$B:$B,MATCH(BK187,'_names_lookup'!$A:$A,0)),"")</f>
        <v/>
      </c>
      <c r="BS187">
        <f>IFERROR(IF(BR187*AA187=0,"",BR187*AA187),"")</f>
        <v/>
      </c>
    </row>
    <row r="188">
      <c r="O188">
        <f>IFERROR(INDEX('_courses_lookup'!$C:$C,MATCH(K188&amp;L188,'_courses_lookup'!$E:$E,0)),"")</f>
        <v/>
      </c>
      <c r="P188">
        <f>IFERROR(INDEX('_courses_lookup'!$D:$D,MATCH(K188&amp;L188,'_courses_lookup'!$E:$E,0)),"")</f>
        <v/>
      </c>
      <c r="AG188">
        <f>IF(AND(AE188&lt;&gt;"",AF188&lt;&gt;""),ROUNDUP((AF188-AE188)/7,0),"")</f>
        <v/>
      </c>
      <c r="AI188">
        <f>IFERROR(IF(AG188*AH188=0,"",AG188*AH188),"")</f>
        <v/>
      </c>
      <c r="AL188">
        <f>IF(AND(AJ188&lt;&gt;"",AK188&lt;&gt;""),ROUNDUP((AK188-AJ188)/7,0),"")</f>
        <v/>
      </c>
      <c r="AN188">
        <f>IFERROR(IF(AL188*AM188=0,"",AL188*AM188),"")</f>
        <v/>
      </c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L188">
        <f>IFERROR(INDEX('_names_lookup'!$C:$C,MATCH(BK188,'_names_lookup'!$A:$A,0)),"")</f>
        <v/>
      </c>
      <c r="BM188">
        <f>IFERROR(INDEX('_names_lookup'!$B:$B,MATCH(BK188,'_names_lookup'!$A:$A,0)),"")</f>
        <v/>
      </c>
      <c r="BS188">
        <f>IFERROR(IF(BR188*AA188=0,"",BR188*AA188),"")</f>
        <v/>
      </c>
    </row>
    <row r="189">
      <c r="O189">
        <f>IFERROR(INDEX('_courses_lookup'!$C:$C,MATCH(K189&amp;L189,'_courses_lookup'!$E:$E,0)),"")</f>
        <v/>
      </c>
      <c r="P189">
        <f>IFERROR(INDEX('_courses_lookup'!$D:$D,MATCH(K189&amp;L189,'_courses_lookup'!$E:$E,0)),"")</f>
        <v/>
      </c>
      <c r="AG189">
        <f>IF(AND(AE189&lt;&gt;"",AF189&lt;&gt;""),ROUNDUP((AF189-AE189)/7,0),"")</f>
        <v/>
      </c>
      <c r="AI189">
        <f>IFERROR(IF(AG189*AH189=0,"",AG189*AH189),"")</f>
        <v/>
      </c>
      <c r="AL189">
        <f>IF(AND(AJ189&lt;&gt;"",AK189&lt;&gt;""),ROUNDUP((AK189-AJ189)/7,0),"")</f>
        <v/>
      </c>
      <c r="AN189">
        <f>IFERROR(IF(AL189*AM189=0,"",AL189*AM189),"")</f>
        <v/>
      </c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L189">
        <f>IFERROR(INDEX('_names_lookup'!$C:$C,MATCH(BK189,'_names_lookup'!$A:$A,0)),"")</f>
        <v/>
      </c>
      <c r="BM189">
        <f>IFERROR(INDEX('_names_lookup'!$B:$B,MATCH(BK189,'_names_lookup'!$A:$A,0)),"")</f>
        <v/>
      </c>
      <c r="BS189">
        <f>IFERROR(IF(BR189*AA189=0,"",BR189*AA189),"")</f>
        <v/>
      </c>
    </row>
    <row r="190">
      <c r="O190">
        <f>IFERROR(INDEX('_courses_lookup'!$C:$C,MATCH(K190&amp;L190,'_courses_lookup'!$E:$E,0)),"")</f>
        <v/>
      </c>
      <c r="P190">
        <f>IFERROR(INDEX('_courses_lookup'!$D:$D,MATCH(K190&amp;L190,'_courses_lookup'!$E:$E,0)),"")</f>
        <v/>
      </c>
      <c r="AG190">
        <f>IF(AND(AE190&lt;&gt;"",AF190&lt;&gt;""),ROUNDUP((AF190-AE190)/7,0),"")</f>
        <v/>
      </c>
      <c r="AI190">
        <f>IFERROR(IF(AG190*AH190=0,"",AG190*AH190),"")</f>
        <v/>
      </c>
      <c r="AL190">
        <f>IF(AND(AJ190&lt;&gt;"",AK190&lt;&gt;""),ROUNDUP((AK190-AJ190)/7,0),"")</f>
        <v/>
      </c>
      <c r="AN190">
        <f>IFERROR(IF(AL190*AM190=0,"",AL190*AM190),"")</f>
        <v/>
      </c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L190">
        <f>IFERROR(INDEX('_names_lookup'!$C:$C,MATCH(BK190,'_names_lookup'!$A:$A,0)),"")</f>
        <v/>
      </c>
      <c r="BM190">
        <f>IFERROR(INDEX('_names_lookup'!$B:$B,MATCH(BK190,'_names_lookup'!$A:$A,0)),"")</f>
        <v/>
      </c>
      <c r="BS190">
        <f>IFERROR(IF(BR190*AA190=0,"",BR190*AA190),"")</f>
        <v/>
      </c>
    </row>
    <row r="191">
      <c r="O191">
        <f>IFERROR(INDEX('_courses_lookup'!$C:$C,MATCH(K191&amp;L191,'_courses_lookup'!$E:$E,0)),"")</f>
        <v/>
      </c>
      <c r="P191">
        <f>IFERROR(INDEX('_courses_lookup'!$D:$D,MATCH(K191&amp;L191,'_courses_lookup'!$E:$E,0)),"")</f>
        <v/>
      </c>
      <c r="AG191">
        <f>IF(AND(AE191&lt;&gt;"",AF191&lt;&gt;""),ROUNDUP((AF191-AE191)/7,0),"")</f>
        <v/>
      </c>
      <c r="AI191">
        <f>IFERROR(IF(AG191*AH191=0,"",AG191*AH191),"")</f>
        <v/>
      </c>
      <c r="AL191">
        <f>IF(AND(AJ191&lt;&gt;"",AK191&lt;&gt;""),ROUNDUP((AK191-AJ191)/7,0),"")</f>
        <v/>
      </c>
      <c r="AN191">
        <f>IFERROR(IF(AL191*AM191=0,"",AL191*AM191),"")</f>
        <v/>
      </c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L191">
        <f>IFERROR(INDEX('_names_lookup'!$C:$C,MATCH(BK191,'_names_lookup'!$A:$A,0)),"")</f>
        <v/>
      </c>
      <c r="BM191">
        <f>IFERROR(INDEX('_names_lookup'!$B:$B,MATCH(BK191,'_names_lookup'!$A:$A,0)),"")</f>
        <v/>
      </c>
      <c r="BS191">
        <f>IFERROR(IF(BR191*AA191=0,"",BR191*AA191),"")</f>
        <v/>
      </c>
    </row>
    <row r="192">
      <c r="O192">
        <f>IFERROR(INDEX('_courses_lookup'!$C:$C,MATCH(K192&amp;L192,'_courses_lookup'!$E:$E,0)),"")</f>
        <v/>
      </c>
      <c r="P192">
        <f>IFERROR(INDEX('_courses_lookup'!$D:$D,MATCH(K192&amp;L192,'_courses_lookup'!$E:$E,0)),"")</f>
        <v/>
      </c>
      <c r="AG192">
        <f>IF(AND(AE192&lt;&gt;"",AF192&lt;&gt;""),ROUNDUP((AF192-AE192)/7,0),"")</f>
        <v/>
      </c>
      <c r="AI192">
        <f>IFERROR(IF(AG192*AH192=0,"",AG192*AH192),"")</f>
        <v/>
      </c>
      <c r="AL192">
        <f>IF(AND(AJ192&lt;&gt;"",AK192&lt;&gt;""),ROUNDUP((AK192-AJ192)/7,0),"")</f>
        <v/>
      </c>
      <c r="AN192">
        <f>IFERROR(IF(AL192*AM192=0,"",AL192*AM192),"")</f>
        <v/>
      </c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L192">
        <f>IFERROR(INDEX('_names_lookup'!$C:$C,MATCH(BK192,'_names_lookup'!$A:$A,0)),"")</f>
        <v/>
      </c>
      <c r="BM192">
        <f>IFERROR(INDEX('_names_lookup'!$B:$B,MATCH(BK192,'_names_lookup'!$A:$A,0)),"")</f>
        <v/>
      </c>
      <c r="BS192">
        <f>IFERROR(IF(BR192*AA192=0,"",BR192*AA192),"")</f>
        <v/>
      </c>
    </row>
    <row r="193">
      <c r="O193">
        <f>IFERROR(INDEX('_courses_lookup'!$C:$C,MATCH(K193&amp;L193,'_courses_lookup'!$E:$E,0)),"")</f>
        <v/>
      </c>
      <c r="P193">
        <f>IFERROR(INDEX('_courses_lookup'!$D:$D,MATCH(K193&amp;L193,'_courses_lookup'!$E:$E,0)),"")</f>
        <v/>
      </c>
      <c r="AG193">
        <f>IF(AND(AE193&lt;&gt;"",AF193&lt;&gt;""),ROUNDUP((AF193-AE193)/7,0),"")</f>
        <v/>
      </c>
      <c r="AI193">
        <f>IFERROR(IF(AG193*AH193=0,"",AG193*AH193),"")</f>
        <v/>
      </c>
      <c r="AL193">
        <f>IF(AND(AJ193&lt;&gt;"",AK193&lt;&gt;""),ROUNDUP((AK193-AJ193)/7,0),"")</f>
        <v/>
      </c>
      <c r="AN193">
        <f>IFERROR(IF(AL193*AM193=0,"",AL193*AM193),"")</f>
        <v/>
      </c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L193">
        <f>IFERROR(INDEX('_names_lookup'!$C:$C,MATCH(BK193,'_names_lookup'!$A:$A,0)),"")</f>
        <v/>
      </c>
      <c r="BM193">
        <f>IFERROR(INDEX('_names_lookup'!$B:$B,MATCH(BK193,'_names_lookup'!$A:$A,0)),"")</f>
        <v/>
      </c>
      <c r="BS193">
        <f>IFERROR(IF(BR193*AA193=0,"",BR193*AA193),"")</f>
        <v/>
      </c>
    </row>
    <row r="194">
      <c r="O194">
        <f>IFERROR(INDEX('_courses_lookup'!$C:$C,MATCH(K194&amp;L194,'_courses_lookup'!$E:$E,0)),"")</f>
        <v/>
      </c>
      <c r="P194">
        <f>IFERROR(INDEX('_courses_lookup'!$D:$D,MATCH(K194&amp;L194,'_courses_lookup'!$E:$E,0)),"")</f>
        <v/>
      </c>
      <c r="AG194">
        <f>IF(AND(AE194&lt;&gt;"",AF194&lt;&gt;""),ROUNDUP((AF194-AE194)/7,0),"")</f>
        <v/>
      </c>
      <c r="AI194">
        <f>IFERROR(IF(AG194*AH194=0,"",AG194*AH194),"")</f>
        <v/>
      </c>
      <c r="AL194">
        <f>IF(AND(AJ194&lt;&gt;"",AK194&lt;&gt;""),ROUNDUP((AK194-AJ194)/7,0),"")</f>
        <v/>
      </c>
      <c r="AN194">
        <f>IFERROR(IF(AL194*AM194=0,"",AL194*AM194),"")</f>
        <v/>
      </c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L194">
        <f>IFERROR(INDEX('_names_lookup'!$C:$C,MATCH(BK194,'_names_lookup'!$A:$A,0)),"")</f>
        <v/>
      </c>
      <c r="BM194">
        <f>IFERROR(INDEX('_names_lookup'!$B:$B,MATCH(BK194,'_names_lookup'!$A:$A,0)),"")</f>
        <v/>
      </c>
      <c r="BS194">
        <f>IFERROR(IF(BR194*AA194=0,"",BR194*AA194),"")</f>
        <v/>
      </c>
    </row>
    <row r="195">
      <c r="O195">
        <f>IFERROR(INDEX('_courses_lookup'!$C:$C,MATCH(K195&amp;L195,'_courses_lookup'!$E:$E,0)),"")</f>
        <v/>
      </c>
      <c r="P195">
        <f>IFERROR(INDEX('_courses_lookup'!$D:$D,MATCH(K195&amp;L195,'_courses_lookup'!$E:$E,0)),"")</f>
        <v/>
      </c>
      <c r="AG195">
        <f>IF(AND(AE195&lt;&gt;"",AF195&lt;&gt;""),ROUNDUP((AF195-AE195)/7,0),"")</f>
        <v/>
      </c>
      <c r="AI195">
        <f>IFERROR(IF(AG195*AH195=0,"",AG195*AH195),"")</f>
        <v/>
      </c>
      <c r="AL195">
        <f>IF(AND(AJ195&lt;&gt;"",AK195&lt;&gt;""),ROUNDUP((AK195-AJ195)/7,0),"")</f>
        <v/>
      </c>
      <c r="AN195">
        <f>IFERROR(IF(AL195*AM195=0,"",AL195*AM195),"")</f>
        <v/>
      </c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L195">
        <f>IFERROR(INDEX('_names_lookup'!$C:$C,MATCH(BK195,'_names_lookup'!$A:$A,0)),"")</f>
        <v/>
      </c>
      <c r="BM195">
        <f>IFERROR(INDEX('_names_lookup'!$B:$B,MATCH(BK195,'_names_lookup'!$A:$A,0)),"")</f>
        <v/>
      </c>
      <c r="BS195">
        <f>IFERROR(IF(BR195*AA195=0,"",BR195*AA195),"")</f>
        <v/>
      </c>
    </row>
    <row r="196">
      <c r="O196">
        <f>IFERROR(INDEX('_courses_lookup'!$C:$C,MATCH(K196&amp;L196,'_courses_lookup'!$E:$E,0)),"")</f>
        <v/>
      </c>
      <c r="P196">
        <f>IFERROR(INDEX('_courses_lookup'!$D:$D,MATCH(K196&amp;L196,'_courses_lookup'!$E:$E,0)),"")</f>
        <v/>
      </c>
      <c r="AG196">
        <f>IF(AND(AE196&lt;&gt;"",AF196&lt;&gt;""),ROUNDUP((AF196-AE196)/7,0),"")</f>
        <v/>
      </c>
      <c r="AI196">
        <f>IFERROR(IF(AG196*AH196=0,"",AG196*AH196),"")</f>
        <v/>
      </c>
      <c r="AL196">
        <f>IF(AND(AJ196&lt;&gt;"",AK196&lt;&gt;""),ROUNDUP((AK196-AJ196)/7,0),"")</f>
        <v/>
      </c>
      <c r="AN196">
        <f>IFERROR(IF(AL196*AM196=0,"",AL196*AM196),"")</f>
        <v/>
      </c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L196">
        <f>IFERROR(INDEX('_names_lookup'!$C:$C,MATCH(BK196,'_names_lookup'!$A:$A,0)),"")</f>
        <v/>
      </c>
      <c r="BM196">
        <f>IFERROR(INDEX('_names_lookup'!$B:$B,MATCH(BK196,'_names_lookup'!$A:$A,0)),"")</f>
        <v/>
      </c>
      <c r="BS196">
        <f>IFERROR(IF(BR196*AA196=0,"",BR196*AA196),"")</f>
        <v/>
      </c>
    </row>
    <row r="197">
      <c r="O197">
        <f>IFERROR(INDEX('_courses_lookup'!$C:$C,MATCH(K197&amp;L197,'_courses_lookup'!$E:$E,0)),"")</f>
        <v/>
      </c>
      <c r="P197">
        <f>IFERROR(INDEX('_courses_lookup'!$D:$D,MATCH(K197&amp;L197,'_courses_lookup'!$E:$E,0)),"")</f>
        <v/>
      </c>
      <c r="AG197">
        <f>IF(AND(AE197&lt;&gt;"",AF197&lt;&gt;""),ROUNDUP((AF197-AE197)/7,0),"")</f>
        <v/>
      </c>
      <c r="AI197">
        <f>IFERROR(IF(AG197*AH197=0,"",AG197*AH197),"")</f>
        <v/>
      </c>
      <c r="AL197">
        <f>IF(AND(AJ197&lt;&gt;"",AK197&lt;&gt;""),ROUNDUP((AK197-AJ197)/7,0),"")</f>
        <v/>
      </c>
      <c r="AN197">
        <f>IFERROR(IF(AL197*AM197=0,"",AL197*AM197),"")</f>
        <v/>
      </c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L197">
        <f>IFERROR(INDEX('_names_lookup'!$C:$C,MATCH(BK197,'_names_lookup'!$A:$A,0)),"")</f>
        <v/>
      </c>
      <c r="BM197">
        <f>IFERROR(INDEX('_names_lookup'!$B:$B,MATCH(BK197,'_names_lookup'!$A:$A,0)),"")</f>
        <v/>
      </c>
      <c r="BS197">
        <f>IFERROR(IF(BR197*AA197=0,"",BR197*AA197),"")</f>
        <v/>
      </c>
    </row>
    <row r="198">
      <c r="O198">
        <f>IFERROR(INDEX('_courses_lookup'!$C:$C,MATCH(K198&amp;L198,'_courses_lookup'!$E:$E,0)),"")</f>
        <v/>
      </c>
      <c r="P198">
        <f>IFERROR(INDEX('_courses_lookup'!$D:$D,MATCH(K198&amp;L198,'_courses_lookup'!$E:$E,0)),"")</f>
        <v/>
      </c>
      <c r="AG198">
        <f>IF(AND(AE198&lt;&gt;"",AF198&lt;&gt;""),ROUNDUP((AF198-AE198)/7,0),"")</f>
        <v/>
      </c>
      <c r="AI198">
        <f>IFERROR(IF(AG198*AH198=0,"",AG198*AH198),"")</f>
        <v/>
      </c>
      <c r="AL198">
        <f>IF(AND(AJ198&lt;&gt;"",AK198&lt;&gt;""),ROUNDUP((AK198-AJ198)/7,0),"")</f>
        <v/>
      </c>
      <c r="AN198">
        <f>IFERROR(IF(AL198*AM198=0,"",AL198*AM198),"")</f>
        <v/>
      </c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L198">
        <f>IFERROR(INDEX('_names_lookup'!$C:$C,MATCH(BK198,'_names_lookup'!$A:$A,0)),"")</f>
        <v/>
      </c>
      <c r="BM198">
        <f>IFERROR(INDEX('_names_lookup'!$B:$B,MATCH(BK198,'_names_lookup'!$A:$A,0)),"")</f>
        <v/>
      </c>
      <c r="BS198">
        <f>IFERROR(IF(BR198*AA198=0,"",BR198*AA198),"")</f>
        <v/>
      </c>
    </row>
    <row r="199">
      <c r="O199">
        <f>IFERROR(INDEX('_courses_lookup'!$C:$C,MATCH(K199&amp;L199,'_courses_lookup'!$E:$E,0)),"")</f>
        <v/>
      </c>
      <c r="P199">
        <f>IFERROR(INDEX('_courses_lookup'!$D:$D,MATCH(K199&amp;L199,'_courses_lookup'!$E:$E,0)),"")</f>
        <v/>
      </c>
      <c r="AG199">
        <f>IF(AND(AE199&lt;&gt;"",AF199&lt;&gt;""),ROUNDUP((AF199-AE199)/7,0),"")</f>
        <v/>
      </c>
      <c r="AI199">
        <f>IFERROR(IF(AG199*AH199=0,"",AG199*AH199),"")</f>
        <v/>
      </c>
      <c r="AL199">
        <f>IF(AND(AJ199&lt;&gt;"",AK199&lt;&gt;""),ROUNDUP((AK199-AJ199)/7,0),"")</f>
        <v/>
      </c>
      <c r="AN199">
        <f>IFERROR(IF(AL199*AM199=0,"",AL199*AM199),"")</f>
        <v/>
      </c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L199">
        <f>IFERROR(INDEX('_names_lookup'!$C:$C,MATCH(BK199,'_names_lookup'!$A:$A,0)),"")</f>
        <v/>
      </c>
      <c r="BM199">
        <f>IFERROR(INDEX('_names_lookup'!$B:$B,MATCH(BK199,'_names_lookup'!$A:$A,0)),"")</f>
        <v/>
      </c>
      <c r="BS199">
        <f>IFERROR(IF(BR199*AA199=0,"",BR199*AA199),"")</f>
        <v/>
      </c>
    </row>
    <row r="200">
      <c r="O200">
        <f>IFERROR(INDEX('_courses_lookup'!$C:$C,MATCH(K200&amp;L200,'_courses_lookup'!$E:$E,0)),"")</f>
        <v/>
      </c>
      <c r="P200">
        <f>IFERROR(INDEX('_courses_lookup'!$D:$D,MATCH(K200&amp;L200,'_courses_lookup'!$E:$E,0)),"")</f>
        <v/>
      </c>
      <c r="AG200">
        <f>IF(AND(AE200&lt;&gt;"",AF200&lt;&gt;""),ROUNDUP((AF200-AE200)/7,0),"")</f>
        <v/>
      </c>
      <c r="AI200">
        <f>IFERROR(IF(AG200*AH200=0,"",AG200*AH200),"")</f>
        <v/>
      </c>
      <c r="AL200">
        <f>IF(AND(AJ200&lt;&gt;"",AK200&lt;&gt;""),ROUNDUP((AK200-AJ200)/7,0),"")</f>
        <v/>
      </c>
      <c r="AN200">
        <f>IFERROR(IF(AL200*AM200=0,"",AL200*AM200),"")</f>
        <v/>
      </c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L200">
        <f>IFERROR(INDEX('_names_lookup'!$C:$C,MATCH(BK200,'_names_lookup'!$A:$A,0)),"")</f>
        <v/>
      </c>
      <c r="BM200">
        <f>IFERROR(INDEX('_names_lookup'!$B:$B,MATCH(BK200,'_names_lookup'!$A:$A,0)),"")</f>
        <v/>
      </c>
      <c r="BS200">
        <f>IFERROR(IF(BR200*AA200=0,"",BR200*AA200),"")</f>
        <v/>
      </c>
    </row>
    <row r="201">
      <c r="O201">
        <f>IFERROR(INDEX('_courses_lookup'!$C:$C,MATCH(K201&amp;L201,'_courses_lookup'!$E:$E,0)),"")</f>
        <v/>
      </c>
      <c r="P201">
        <f>IFERROR(INDEX('_courses_lookup'!$D:$D,MATCH(K201&amp;L201,'_courses_lookup'!$E:$E,0)),"")</f>
        <v/>
      </c>
      <c r="AG201">
        <f>IF(AND(AE201&lt;&gt;"",AF201&lt;&gt;""),ROUNDUP((AF201-AE201)/7,0),"")</f>
        <v/>
      </c>
      <c r="AI201">
        <f>IFERROR(IF(AG201*AH201=0,"",AG201*AH201),"")</f>
        <v/>
      </c>
      <c r="AL201">
        <f>IF(AND(AJ201&lt;&gt;"",AK201&lt;&gt;""),ROUNDUP((AK201-AJ201)/7,0),"")</f>
        <v/>
      </c>
      <c r="AN201">
        <f>IFERROR(IF(AL201*AM201=0,"",AL201*AM201),"")</f>
        <v/>
      </c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L201">
        <f>IFERROR(INDEX('_names_lookup'!$C:$C,MATCH(BK201,'_names_lookup'!$A:$A,0)),"")</f>
        <v/>
      </c>
      <c r="BM201">
        <f>IFERROR(INDEX('_names_lookup'!$B:$B,MATCH(BK201,'_names_lookup'!$A:$A,0)),"")</f>
        <v/>
      </c>
      <c r="BS201">
        <f>IFERROR(IF(BR201*AA201=0,"",BR201*AA201),"")</f>
        <v/>
      </c>
    </row>
    <row r="202">
      <c r="O202">
        <f>IFERROR(INDEX('_courses_lookup'!$C:$C,MATCH(K202&amp;L202,'_courses_lookup'!$E:$E,0)),"")</f>
        <v/>
      </c>
      <c r="P202">
        <f>IFERROR(INDEX('_courses_lookup'!$D:$D,MATCH(K202&amp;L202,'_courses_lookup'!$E:$E,0)),"")</f>
        <v/>
      </c>
      <c r="AG202">
        <f>IF(AND(AE202&lt;&gt;"",AF202&lt;&gt;""),ROUNDUP((AF202-AE202)/7,0),"")</f>
        <v/>
      </c>
      <c r="AI202">
        <f>IFERROR(IF(AG202*AH202=0,"",AG202*AH202),"")</f>
        <v/>
      </c>
      <c r="AL202">
        <f>IF(AND(AJ202&lt;&gt;"",AK202&lt;&gt;""),ROUNDUP((AK202-AJ202)/7,0),"")</f>
        <v/>
      </c>
      <c r="AN202">
        <f>IFERROR(IF(AL202*AM202=0,"",AL202*AM202),"")</f>
        <v/>
      </c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L202">
        <f>IFERROR(INDEX('_names_lookup'!$C:$C,MATCH(BK202,'_names_lookup'!$A:$A,0)),"")</f>
        <v/>
      </c>
      <c r="BM202">
        <f>IFERROR(INDEX('_names_lookup'!$B:$B,MATCH(BK202,'_names_lookup'!$A:$A,0)),"")</f>
        <v/>
      </c>
      <c r="BS202">
        <f>IFERROR(IF(BR202*AA202=0,"",BR202*AA202),"")</f>
        <v/>
      </c>
    </row>
    <row r="203">
      <c r="O203">
        <f>IFERROR(INDEX('_courses_lookup'!$C:$C,MATCH(K203&amp;L203,'_courses_lookup'!$E:$E,0)),"")</f>
        <v/>
      </c>
      <c r="P203">
        <f>IFERROR(INDEX('_courses_lookup'!$D:$D,MATCH(K203&amp;L203,'_courses_lookup'!$E:$E,0)),"")</f>
        <v/>
      </c>
      <c r="AG203">
        <f>IF(AND(AE203&lt;&gt;"",AF203&lt;&gt;""),ROUNDUP((AF203-AE203)/7,0),"")</f>
        <v/>
      </c>
      <c r="AI203">
        <f>IFERROR(IF(AG203*AH203=0,"",AG203*AH203),"")</f>
        <v/>
      </c>
      <c r="AL203">
        <f>IF(AND(AJ203&lt;&gt;"",AK203&lt;&gt;""),ROUNDUP((AK203-AJ203)/7,0),"")</f>
        <v/>
      </c>
      <c r="AN203">
        <f>IFERROR(IF(AL203*AM203=0,"",AL203*AM203),"")</f>
        <v/>
      </c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L203">
        <f>IFERROR(INDEX('_names_lookup'!$C:$C,MATCH(BK203,'_names_lookup'!$A:$A,0)),"")</f>
        <v/>
      </c>
      <c r="BM203">
        <f>IFERROR(INDEX('_names_lookup'!$B:$B,MATCH(BK203,'_names_lookup'!$A:$A,0)),"")</f>
        <v/>
      </c>
      <c r="BS203">
        <f>IFERROR(IF(BR203*AA203=0,"",BR203*AA203),"")</f>
        <v/>
      </c>
    </row>
    <row r="204">
      <c r="O204">
        <f>IFERROR(INDEX('_courses_lookup'!$C:$C,MATCH(K204&amp;L204,'_courses_lookup'!$E:$E,0)),"")</f>
        <v/>
      </c>
      <c r="P204">
        <f>IFERROR(INDEX('_courses_lookup'!$D:$D,MATCH(K204&amp;L204,'_courses_lookup'!$E:$E,0)),"")</f>
        <v/>
      </c>
      <c r="AG204">
        <f>IF(AND(AE204&lt;&gt;"",AF204&lt;&gt;""),ROUNDUP((AF204-AE204)/7,0),"")</f>
        <v/>
      </c>
      <c r="AI204">
        <f>IFERROR(IF(AG204*AH204=0,"",AG204*AH204),"")</f>
        <v/>
      </c>
      <c r="AL204">
        <f>IF(AND(AJ204&lt;&gt;"",AK204&lt;&gt;""),ROUNDUP((AK204-AJ204)/7,0),"")</f>
        <v/>
      </c>
      <c r="AN204">
        <f>IFERROR(IF(AL204*AM204=0,"",AL204*AM204),"")</f>
        <v/>
      </c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L204">
        <f>IFERROR(INDEX('_names_lookup'!$C:$C,MATCH(BK204,'_names_lookup'!$A:$A,0)),"")</f>
        <v/>
      </c>
      <c r="BM204">
        <f>IFERROR(INDEX('_names_lookup'!$B:$B,MATCH(BK204,'_names_lookup'!$A:$A,0)),"")</f>
        <v/>
      </c>
      <c r="BS204">
        <f>IFERROR(IF(BR204*AA204=0,"",BR204*AA204),"")</f>
        <v/>
      </c>
    </row>
    <row r="205">
      <c r="O205">
        <f>IFERROR(INDEX('_courses_lookup'!$C:$C,MATCH(K205&amp;L205,'_courses_lookup'!$E:$E,0)),"")</f>
        <v/>
      </c>
      <c r="P205">
        <f>IFERROR(INDEX('_courses_lookup'!$D:$D,MATCH(K205&amp;L205,'_courses_lookup'!$E:$E,0)),"")</f>
        <v/>
      </c>
      <c r="AG205">
        <f>IF(AND(AE205&lt;&gt;"",AF205&lt;&gt;""),ROUNDUP((AF205-AE205)/7,0),"")</f>
        <v/>
      </c>
      <c r="AI205">
        <f>IFERROR(IF(AG205*AH205=0,"",AG205*AH205),"")</f>
        <v/>
      </c>
      <c r="AL205">
        <f>IF(AND(AJ205&lt;&gt;"",AK205&lt;&gt;""),ROUNDUP((AK205-AJ205)/7,0),"")</f>
        <v/>
      </c>
      <c r="AN205">
        <f>IFERROR(IF(AL205*AM205=0,"",AL205*AM205),"")</f>
        <v/>
      </c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L205">
        <f>IFERROR(INDEX('_names_lookup'!$C:$C,MATCH(BK205,'_names_lookup'!$A:$A,0)),"")</f>
        <v/>
      </c>
      <c r="BM205">
        <f>IFERROR(INDEX('_names_lookup'!$B:$B,MATCH(BK205,'_names_lookup'!$A:$A,0)),"")</f>
        <v/>
      </c>
      <c r="BS205">
        <f>IFERROR(IF(BR205*AA205=0,"",BR205*AA205),"")</f>
        <v/>
      </c>
    </row>
    <row r="206">
      <c r="O206">
        <f>IFERROR(INDEX('_courses_lookup'!$C:$C,MATCH(K206&amp;L206,'_courses_lookup'!$E:$E,0)),"")</f>
        <v/>
      </c>
      <c r="P206">
        <f>IFERROR(INDEX('_courses_lookup'!$D:$D,MATCH(K206&amp;L206,'_courses_lookup'!$E:$E,0)),"")</f>
        <v/>
      </c>
      <c r="AG206">
        <f>IF(AND(AE206&lt;&gt;"",AF206&lt;&gt;""),ROUNDUP((AF206-AE206)/7,0),"")</f>
        <v/>
      </c>
      <c r="AI206">
        <f>IFERROR(IF(AG206*AH206=0,"",AG206*AH206),"")</f>
        <v/>
      </c>
      <c r="AL206">
        <f>IF(AND(AJ206&lt;&gt;"",AK206&lt;&gt;""),ROUNDUP((AK206-AJ206)/7,0),"")</f>
        <v/>
      </c>
      <c r="AN206">
        <f>IFERROR(IF(AL206*AM206=0,"",AL206*AM206),"")</f>
        <v/>
      </c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L206">
        <f>IFERROR(INDEX('_names_lookup'!$C:$C,MATCH(BK206,'_names_lookup'!$A:$A,0)),"")</f>
        <v/>
      </c>
      <c r="BM206">
        <f>IFERROR(INDEX('_names_lookup'!$B:$B,MATCH(BK206,'_names_lookup'!$A:$A,0)),"")</f>
        <v/>
      </c>
      <c r="BS206">
        <f>IFERROR(IF(BR206*AA206=0,"",BR206*AA206),"")</f>
        <v/>
      </c>
    </row>
    <row r="207">
      <c r="O207">
        <f>IFERROR(INDEX('_courses_lookup'!$C:$C,MATCH(K207&amp;L207,'_courses_lookup'!$E:$E,0)),"")</f>
        <v/>
      </c>
      <c r="P207">
        <f>IFERROR(INDEX('_courses_lookup'!$D:$D,MATCH(K207&amp;L207,'_courses_lookup'!$E:$E,0)),"")</f>
        <v/>
      </c>
      <c r="AG207">
        <f>IF(AND(AE207&lt;&gt;"",AF207&lt;&gt;""),ROUNDUP((AF207-AE207)/7,0),"")</f>
        <v/>
      </c>
      <c r="AI207">
        <f>IFERROR(IF(AG207*AH207=0,"",AG207*AH207),"")</f>
        <v/>
      </c>
      <c r="AL207">
        <f>IF(AND(AJ207&lt;&gt;"",AK207&lt;&gt;""),ROUNDUP((AK207-AJ207)/7,0),"")</f>
        <v/>
      </c>
      <c r="AN207">
        <f>IFERROR(IF(AL207*AM207=0,"",AL207*AM207),"")</f>
        <v/>
      </c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L207">
        <f>IFERROR(INDEX('_names_lookup'!$C:$C,MATCH(BK207,'_names_lookup'!$A:$A,0)),"")</f>
        <v/>
      </c>
      <c r="BM207">
        <f>IFERROR(INDEX('_names_lookup'!$B:$B,MATCH(BK207,'_names_lookup'!$A:$A,0)),"")</f>
        <v/>
      </c>
      <c r="BS207">
        <f>IFERROR(IF(BR207*AA207=0,"",BR207*AA207),"")</f>
        <v/>
      </c>
    </row>
    <row r="208">
      <c r="O208">
        <f>IFERROR(INDEX('_courses_lookup'!$C:$C,MATCH(K208&amp;L208,'_courses_lookup'!$E:$E,0)),"")</f>
        <v/>
      </c>
      <c r="P208">
        <f>IFERROR(INDEX('_courses_lookup'!$D:$D,MATCH(K208&amp;L208,'_courses_lookup'!$E:$E,0)),"")</f>
        <v/>
      </c>
      <c r="AG208">
        <f>IF(AND(AE208&lt;&gt;"",AF208&lt;&gt;""),ROUNDUP((AF208-AE208)/7,0),"")</f>
        <v/>
      </c>
      <c r="AI208">
        <f>IFERROR(IF(AG208*AH208=0,"",AG208*AH208),"")</f>
        <v/>
      </c>
      <c r="AL208">
        <f>IF(AND(AJ208&lt;&gt;"",AK208&lt;&gt;""),ROUNDUP((AK208-AJ208)/7,0),"")</f>
        <v/>
      </c>
      <c r="AN208">
        <f>IFERROR(IF(AL208*AM208=0,"",AL208*AM208),"")</f>
        <v/>
      </c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L208">
        <f>IFERROR(INDEX('_names_lookup'!$C:$C,MATCH(BK208,'_names_lookup'!$A:$A,0)),"")</f>
        <v/>
      </c>
      <c r="BM208">
        <f>IFERROR(INDEX('_names_lookup'!$B:$B,MATCH(BK208,'_names_lookup'!$A:$A,0)),"")</f>
        <v/>
      </c>
      <c r="BS208">
        <f>IFERROR(IF(BR208*AA208=0,"",BR208*AA208),"")</f>
        <v/>
      </c>
    </row>
    <row r="209">
      <c r="O209">
        <f>IFERROR(INDEX('_courses_lookup'!$C:$C,MATCH(K209&amp;L209,'_courses_lookup'!$E:$E,0)),"")</f>
        <v/>
      </c>
      <c r="P209">
        <f>IFERROR(INDEX('_courses_lookup'!$D:$D,MATCH(K209&amp;L209,'_courses_lookup'!$E:$E,0)),"")</f>
        <v/>
      </c>
      <c r="AG209">
        <f>IF(AND(AE209&lt;&gt;"",AF209&lt;&gt;""),ROUNDUP((AF209-AE209)/7,0),"")</f>
        <v/>
      </c>
      <c r="AI209">
        <f>IFERROR(IF(AG209*AH209=0,"",AG209*AH209),"")</f>
        <v/>
      </c>
      <c r="AL209">
        <f>IF(AND(AJ209&lt;&gt;"",AK209&lt;&gt;""),ROUNDUP((AK209-AJ209)/7,0),"")</f>
        <v/>
      </c>
      <c r="AN209">
        <f>IFERROR(IF(AL209*AM209=0,"",AL209*AM209),"")</f>
        <v/>
      </c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L209">
        <f>IFERROR(INDEX('_names_lookup'!$C:$C,MATCH(BK209,'_names_lookup'!$A:$A,0)),"")</f>
        <v/>
      </c>
      <c r="BM209">
        <f>IFERROR(INDEX('_names_lookup'!$B:$B,MATCH(BK209,'_names_lookup'!$A:$A,0)),"")</f>
        <v/>
      </c>
      <c r="BS209">
        <f>IFERROR(IF(BR209*AA209=0,"",BR209*AA209),"")</f>
        <v/>
      </c>
    </row>
    <row r="210">
      <c r="O210">
        <f>IFERROR(INDEX('_courses_lookup'!$C:$C,MATCH(K210&amp;L210,'_courses_lookup'!$E:$E,0)),"")</f>
        <v/>
      </c>
      <c r="P210">
        <f>IFERROR(INDEX('_courses_lookup'!$D:$D,MATCH(K210&amp;L210,'_courses_lookup'!$E:$E,0)),"")</f>
        <v/>
      </c>
      <c r="AG210">
        <f>IF(AND(AE210&lt;&gt;"",AF210&lt;&gt;""),ROUNDUP((AF210-AE210)/7,0),"")</f>
        <v/>
      </c>
      <c r="AI210">
        <f>IFERROR(IF(AG210*AH210=0,"",AG210*AH210),"")</f>
        <v/>
      </c>
      <c r="AL210">
        <f>IF(AND(AJ210&lt;&gt;"",AK210&lt;&gt;""),ROUNDUP((AK210-AJ210)/7,0),"")</f>
        <v/>
      </c>
      <c r="AN210">
        <f>IFERROR(IF(AL210*AM210=0,"",AL210*AM210),"")</f>
        <v/>
      </c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L210">
        <f>IFERROR(INDEX('_names_lookup'!$C:$C,MATCH(BK210,'_names_lookup'!$A:$A,0)),"")</f>
        <v/>
      </c>
      <c r="BM210">
        <f>IFERROR(INDEX('_names_lookup'!$B:$B,MATCH(BK210,'_names_lookup'!$A:$A,0)),"")</f>
        <v/>
      </c>
      <c r="BS210">
        <f>IFERROR(IF(BR210*AA210=0,"",BR210*AA210),"")</f>
        <v/>
      </c>
    </row>
    <row r="211">
      <c r="O211">
        <f>IFERROR(INDEX('_courses_lookup'!$C:$C,MATCH(K211&amp;L211,'_courses_lookup'!$E:$E,0)),"")</f>
        <v/>
      </c>
      <c r="P211">
        <f>IFERROR(INDEX('_courses_lookup'!$D:$D,MATCH(K211&amp;L211,'_courses_lookup'!$E:$E,0)),"")</f>
        <v/>
      </c>
      <c r="AG211">
        <f>IF(AND(AE211&lt;&gt;"",AF211&lt;&gt;""),ROUNDUP((AF211-AE211)/7,0),"")</f>
        <v/>
      </c>
      <c r="AI211">
        <f>IFERROR(IF(AG211*AH211=0,"",AG211*AH211),"")</f>
        <v/>
      </c>
      <c r="AL211">
        <f>IF(AND(AJ211&lt;&gt;"",AK211&lt;&gt;""),ROUNDUP((AK211-AJ211)/7,0),"")</f>
        <v/>
      </c>
      <c r="AN211">
        <f>IFERROR(IF(AL211*AM211=0,"",AL211*AM211),"")</f>
        <v/>
      </c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L211">
        <f>IFERROR(INDEX('_names_lookup'!$C:$C,MATCH(BK211,'_names_lookup'!$A:$A,0)),"")</f>
        <v/>
      </c>
      <c r="BM211">
        <f>IFERROR(INDEX('_names_lookup'!$B:$B,MATCH(BK211,'_names_lookup'!$A:$A,0)),"")</f>
        <v/>
      </c>
      <c r="BS211">
        <f>IFERROR(IF(BR211*AA211=0,"",BR211*AA211),"")</f>
        <v/>
      </c>
    </row>
    <row r="212">
      <c r="O212">
        <f>IFERROR(INDEX('_courses_lookup'!$C:$C,MATCH(K212&amp;L212,'_courses_lookup'!$E:$E,0)),"")</f>
        <v/>
      </c>
      <c r="P212">
        <f>IFERROR(INDEX('_courses_lookup'!$D:$D,MATCH(K212&amp;L212,'_courses_lookup'!$E:$E,0)),"")</f>
        <v/>
      </c>
      <c r="AG212">
        <f>IF(AND(AE212&lt;&gt;"",AF212&lt;&gt;""),ROUNDUP((AF212-AE212)/7,0),"")</f>
        <v/>
      </c>
      <c r="AI212">
        <f>IFERROR(IF(AG212*AH212=0,"",AG212*AH212),"")</f>
        <v/>
      </c>
      <c r="AL212">
        <f>IF(AND(AJ212&lt;&gt;"",AK212&lt;&gt;""),ROUNDUP((AK212-AJ212)/7,0),"")</f>
        <v/>
      </c>
      <c r="AN212">
        <f>IFERROR(IF(AL212*AM212=0,"",AL212*AM212),"")</f>
        <v/>
      </c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L212">
        <f>IFERROR(INDEX('_names_lookup'!$C:$C,MATCH(BK212,'_names_lookup'!$A:$A,0)),"")</f>
        <v/>
      </c>
      <c r="BM212">
        <f>IFERROR(INDEX('_names_lookup'!$B:$B,MATCH(BK212,'_names_lookup'!$A:$A,0)),"")</f>
        <v/>
      </c>
      <c r="BS212">
        <f>IFERROR(IF(BR212*AA212=0,"",BR212*AA212),"")</f>
        <v/>
      </c>
    </row>
    <row r="213">
      <c r="O213">
        <f>IFERROR(INDEX('_courses_lookup'!$C:$C,MATCH(K213&amp;L213,'_courses_lookup'!$E:$E,0)),"")</f>
        <v/>
      </c>
      <c r="P213">
        <f>IFERROR(INDEX('_courses_lookup'!$D:$D,MATCH(K213&amp;L213,'_courses_lookup'!$E:$E,0)),"")</f>
        <v/>
      </c>
      <c r="AG213">
        <f>IF(AND(AE213&lt;&gt;"",AF213&lt;&gt;""),ROUNDUP((AF213-AE213)/7,0),"")</f>
        <v/>
      </c>
      <c r="AI213">
        <f>IFERROR(IF(AG213*AH213=0,"",AG213*AH213),"")</f>
        <v/>
      </c>
      <c r="AL213">
        <f>IF(AND(AJ213&lt;&gt;"",AK213&lt;&gt;""),ROUNDUP((AK213-AJ213)/7,0),"")</f>
        <v/>
      </c>
      <c r="AN213">
        <f>IFERROR(IF(AL213*AM213=0,"",AL213*AM213),"")</f>
        <v/>
      </c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L213">
        <f>IFERROR(INDEX('_names_lookup'!$C:$C,MATCH(BK213,'_names_lookup'!$A:$A,0)),"")</f>
        <v/>
      </c>
      <c r="BM213">
        <f>IFERROR(INDEX('_names_lookup'!$B:$B,MATCH(BK213,'_names_lookup'!$A:$A,0)),"")</f>
        <v/>
      </c>
      <c r="BS213">
        <f>IFERROR(IF(BR213*AA213=0,"",BR213*AA213),"")</f>
        <v/>
      </c>
    </row>
    <row r="214">
      <c r="O214">
        <f>IFERROR(INDEX('_courses_lookup'!$C:$C,MATCH(K214&amp;L214,'_courses_lookup'!$E:$E,0)),"")</f>
        <v/>
      </c>
      <c r="P214">
        <f>IFERROR(INDEX('_courses_lookup'!$D:$D,MATCH(K214&amp;L214,'_courses_lookup'!$E:$E,0)),"")</f>
        <v/>
      </c>
      <c r="AG214">
        <f>IF(AND(AE214&lt;&gt;"",AF214&lt;&gt;""),ROUNDUP((AF214-AE214)/7,0),"")</f>
        <v/>
      </c>
      <c r="AI214">
        <f>IFERROR(IF(AG214*AH214=0,"",AG214*AH214),"")</f>
        <v/>
      </c>
      <c r="AL214">
        <f>IF(AND(AJ214&lt;&gt;"",AK214&lt;&gt;""),ROUNDUP((AK214-AJ214)/7,0),"")</f>
        <v/>
      </c>
      <c r="AN214">
        <f>IFERROR(IF(AL214*AM214=0,"",AL214*AM214),"")</f>
        <v/>
      </c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L214">
        <f>IFERROR(INDEX('_names_lookup'!$C:$C,MATCH(BK214,'_names_lookup'!$A:$A,0)),"")</f>
        <v/>
      </c>
      <c r="BM214">
        <f>IFERROR(INDEX('_names_lookup'!$B:$B,MATCH(BK214,'_names_lookup'!$A:$A,0)),"")</f>
        <v/>
      </c>
      <c r="BS214">
        <f>IFERROR(IF(BR214*AA214=0,"",BR214*AA214),"")</f>
        <v/>
      </c>
    </row>
    <row r="215">
      <c r="O215">
        <f>IFERROR(INDEX('_courses_lookup'!$C:$C,MATCH(K215&amp;L215,'_courses_lookup'!$E:$E,0)),"")</f>
        <v/>
      </c>
      <c r="P215">
        <f>IFERROR(INDEX('_courses_lookup'!$D:$D,MATCH(K215&amp;L215,'_courses_lookup'!$E:$E,0)),"")</f>
        <v/>
      </c>
      <c r="AG215">
        <f>IF(AND(AE215&lt;&gt;"",AF215&lt;&gt;""),ROUNDUP((AF215-AE215)/7,0),"")</f>
        <v/>
      </c>
      <c r="AI215">
        <f>IFERROR(IF(AG215*AH215=0,"",AG215*AH215),"")</f>
        <v/>
      </c>
      <c r="AL215">
        <f>IF(AND(AJ215&lt;&gt;"",AK215&lt;&gt;""),ROUNDUP((AK215-AJ215)/7,0),"")</f>
        <v/>
      </c>
      <c r="AN215">
        <f>IFERROR(IF(AL215*AM215=0,"",AL215*AM215),"")</f>
        <v/>
      </c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L215">
        <f>IFERROR(INDEX('_names_lookup'!$C:$C,MATCH(BK215,'_names_lookup'!$A:$A,0)),"")</f>
        <v/>
      </c>
      <c r="BM215">
        <f>IFERROR(INDEX('_names_lookup'!$B:$B,MATCH(BK215,'_names_lookup'!$A:$A,0)),"")</f>
        <v/>
      </c>
      <c r="BS215">
        <f>IFERROR(IF(BR215*AA215=0,"",BR215*AA215),"")</f>
        <v/>
      </c>
    </row>
    <row r="216">
      <c r="O216">
        <f>IFERROR(INDEX('_courses_lookup'!$C:$C,MATCH(K216&amp;L216,'_courses_lookup'!$E:$E,0)),"")</f>
        <v/>
      </c>
      <c r="P216">
        <f>IFERROR(INDEX('_courses_lookup'!$D:$D,MATCH(K216&amp;L216,'_courses_lookup'!$E:$E,0)),"")</f>
        <v/>
      </c>
      <c r="AG216">
        <f>IF(AND(AE216&lt;&gt;"",AF216&lt;&gt;""),ROUNDUP((AF216-AE216)/7,0),"")</f>
        <v/>
      </c>
      <c r="AI216">
        <f>IFERROR(IF(AG216*AH216=0,"",AG216*AH216),"")</f>
        <v/>
      </c>
      <c r="AL216">
        <f>IF(AND(AJ216&lt;&gt;"",AK216&lt;&gt;""),ROUNDUP((AK216-AJ216)/7,0),"")</f>
        <v/>
      </c>
      <c r="AN216">
        <f>IFERROR(IF(AL216*AM216=0,"",AL216*AM216),"")</f>
        <v/>
      </c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L216">
        <f>IFERROR(INDEX('_names_lookup'!$C:$C,MATCH(BK216,'_names_lookup'!$A:$A,0)),"")</f>
        <v/>
      </c>
      <c r="BM216">
        <f>IFERROR(INDEX('_names_lookup'!$B:$B,MATCH(BK216,'_names_lookup'!$A:$A,0)),"")</f>
        <v/>
      </c>
      <c r="BS216">
        <f>IFERROR(IF(BR216*AA216=0,"",BR216*AA216),"")</f>
        <v/>
      </c>
    </row>
    <row r="217">
      <c r="O217">
        <f>IFERROR(INDEX('_courses_lookup'!$C:$C,MATCH(K217&amp;L217,'_courses_lookup'!$E:$E,0)),"")</f>
        <v/>
      </c>
      <c r="P217">
        <f>IFERROR(INDEX('_courses_lookup'!$D:$D,MATCH(K217&amp;L217,'_courses_lookup'!$E:$E,0)),"")</f>
        <v/>
      </c>
      <c r="AG217">
        <f>IF(AND(AE217&lt;&gt;"",AF217&lt;&gt;""),ROUNDUP((AF217-AE217)/7,0),"")</f>
        <v/>
      </c>
      <c r="AI217">
        <f>IFERROR(IF(AG217*AH217=0,"",AG217*AH217),"")</f>
        <v/>
      </c>
      <c r="AL217">
        <f>IF(AND(AJ217&lt;&gt;"",AK217&lt;&gt;""),ROUNDUP((AK217-AJ217)/7,0),"")</f>
        <v/>
      </c>
      <c r="AN217">
        <f>IFERROR(IF(AL217*AM217=0,"",AL217*AM217),"")</f>
        <v/>
      </c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L217">
        <f>IFERROR(INDEX('_names_lookup'!$C:$C,MATCH(BK217,'_names_lookup'!$A:$A,0)),"")</f>
        <v/>
      </c>
      <c r="BM217">
        <f>IFERROR(INDEX('_names_lookup'!$B:$B,MATCH(BK217,'_names_lookup'!$A:$A,0)),"")</f>
        <v/>
      </c>
      <c r="BS217">
        <f>IFERROR(IF(BR217*AA217=0,"",BR217*AA217),"")</f>
        <v/>
      </c>
    </row>
    <row r="218">
      <c r="O218">
        <f>IFERROR(INDEX('_courses_lookup'!$C:$C,MATCH(K218&amp;L218,'_courses_lookup'!$E:$E,0)),"")</f>
        <v/>
      </c>
      <c r="P218">
        <f>IFERROR(INDEX('_courses_lookup'!$D:$D,MATCH(K218&amp;L218,'_courses_lookup'!$E:$E,0)),"")</f>
        <v/>
      </c>
      <c r="AG218">
        <f>IF(AND(AE218&lt;&gt;"",AF218&lt;&gt;""),ROUNDUP((AF218-AE218)/7,0),"")</f>
        <v/>
      </c>
      <c r="AI218">
        <f>IFERROR(IF(AG218*AH218=0,"",AG218*AH218),"")</f>
        <v/>
      </c>
      <c r="AL218">
        <f>IF(AND(AJ218&lt;&gt;"",AK218&lt;&gt;""),ROUNDUP((AK218-AJ218)/7,0),"")</f>
        <v/>
      </c>
      <c r="AN218">
        <f>IFERROR(IF(AL218*AM218=0,"",AL218*AM218),"")</f>
        <v/>
      </c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L218">
        <f>IFERROR(INDEX('_names_lookup'!$C:$C,MATCH(BK218,'_names_lookup'!$A:$A,0)),"")</f>
        <v/>
      </c>
      <c r="BM218">
        <f>IFERROR(INDEX('_names_lookup'!$B:$B,MATCH(BK218,'_names_lookup'!$A:$A,0)),"")</f>
        <v/>
      </c>
      <c r="BS218">
        <f>IFERROR(IF(BR218*AA218=0,"",BR218*AA218),"")</f>
        <v/>
      </c>
    </row>
    <row r="219">
      <c r="O219">
        <f>IFERROR(INDEX('_courses_lookup'!$C:$C,MATCH(K219&amp;L219,'_courses_lookup'!$E:$E,0)),"")</f>
        <v/>
      </c>
      <c r="P219">
        <f>IFERROR(INDEX('_courses_lookup'!$D:$D,MATCH(K219&amp;L219,'_courses_lookup'!$E:$E,0)),"")</f>
        <v/>
      </c>
      <c r="AG219">
        <f>IF(AND(AE219&lt;&gt;"",AF219&lt;&gt;""),ROUNDUP((AF219-AE219)/7,0),"")</f>
        <v/>
      </c>
      <c r="AI219">
        <f>IFERROR(IF(AG219*AH219=0,"",AG219*AH219),"")</f>
        <v/>
      </c>
      <c r="AL219">
        <f>IF(AND(AJ219&lt;&gt;"",AK219&lt;&gt;""),ROUNDUP((AK219-AJ219)/7,0),"")</f>
        <v/>
      </c>
      <c r="AN219">
        <f>IFERROR(IF(AL219*AM219=0,"",AL219*AM219),"")</f>
        <v/>
      </c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L219">
        <f>IFERROR(INDEX('_names_lookup'!$C:$C,MATCH(BK219,'_names_lookup'!$A:$A,0)),"")</f>
        <v/>
      </c>
      <c r="BM219">
        <f>IFERROR(INDEX('_names_lookup'!$B:$B,MATCH(BK219,'_names_lookup'!$A:$A,0)),"")</f>
        <v/>
      </c>
      <c r="BS219">
        <f>IFERROR(IF(BR219*AA219=0,"",BR219*AA219),"")</f>
        <v/>
      </c>
    </row>
    <row r="220">
      <c r="O220">
        <f>IFERROR(INDEX('_courses_lookup'!$C:$C,MATCH(K220&amp;L220,'_courses_lookup'!$E:$E,0)),"")</f>
        <v/>
      </c>
      <c r="P220">
        <f>IFERROR(INDEX('_courses_lookup'!$D:$D,MATCH(K220&amp;L220,'_courses_lookup'!$E:$E,0)),"")</f>
        <v/>
      </c>
      <c r="AG220">
        <f>IF(AND(AE220&lt;&gt;"",AF220&lt;&gt;""),ROUNDUP((AF220-AE220)/7,0),"")</f>
        <v/>
      </c>
      <c r="AI220">
        <f>IFERROR(IF(AG220*AH220=0,"",AG220*AH220),"")</f>
        <v/>
      </c>
      <c r="AL220">
        <f>IF(AND(AJ220&lt;&gt;"",AK220&lt;&gt;""),ROUNDUP((AK220-AJ220)/7,0),"")</f>
        <v/>
      </c>
      <c r="AN220">
        <f>IFERROR(IF(AL220*AM220=0,"",AL220*AM220),"")</f>
        <v/>
      </c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L220">
        <f>IFERROR(INDEX('_names_lookup'!$C:$C,MATCH(BK220,'_names_lookup'!$A:$A,0)),"")</f>
        <v/>
      </c>
      <c r="BM220">
        <f>IFERROR(INDEX('_names_lookup'!$B:$B,MATCH(BK220,'_names_lookup'!$A:$A,0)),"")</f>
        <v/>
      </c>
      <c r="BS220">
        <f>IFERROR(IF(BR220*AA220=0,"",BR220*AA220),"")</f>
        <v/>
      </c>
    </row>
    <row r="221">
      <c r="O221">
        <f>IFERROR(INDEX('_courses_lookup'!$C:$C,MATCH(K221&amp;L221,'_courses_lookup'!$E:$E,0)),"")</f>
        <v/>
      </c>
      <c r="P221">
        <f>IFERROR(INDEX('_courses_lookup'!$D:$D,MATCH(K221&amp;L221,'_courses_lookup'!$E:$E,0)),"")</f>
        <v/>
      </c>
      <c r="AG221">
        <f>IF(AND(AE221&lt;&gt;"",AF221&lt;&gt;""),ROUNDUP((AF221-AE221)/7,0),"")</f>
        <v/>
      </c>
      <c r="AI221">
        <f>IFERROR(IF(AG221*AH221=0,"",AG221*AH221),"")</f>
        <v/>
      </c>
      <c r="AL221">
        <f>IF(AND(AJ221&lt;&gt;"",AK221&lt;&gt;""),ROUNDUP((AK221-AJ221)/7,0),"")</f>
        <v/>
      </c>
      <c r="AN221">
        <f>IFERROR(IF(AL221*AM221=0,"",AL221*AM221),"")</f>
        <v/>
      </c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L221">
        <f>IFERROR(INDEX('_names_lookup'!$C:$C,MATCH(BK221,'_names_lookup'!$A:$A,0)),"")</f>
        <v/>
      </c>
      <c r="BM221">
        <f>IFERROR(INDEX('_names_lookup'!$B:$B,MATCH(BK221,'_names_lookup'!$A:$A,0)),"")</f>
        <v/>
      </c>
      <c r="BS221">
        <f>IFERROR(IF(BR221*AA221=0,"",BR221*AA221),"")</f>
        <v/>
      </c>
    </row>
    <row r="222">
      <c r="O222">
        <f>IFERROR(INDEX('_courses_lookup'!$C:$C,MATCH(K222&amp;L222,'_courses_lookup'!$E:$E,0)),"")</f>
        <v/>
      </c>
      <c r="P222">
        <f>IFERROR(INDEX('_courses_lookup'!$D:$D,MATCH(K222&amp;L222,'_courses_lookup'!$E:$E,0)),"")</f>
        <v/>
      </c>
      <c r="AG222">
        <f>IF(AND(AE222&lt;&gt;"",AF222&lt;&gt;""),ROUNDUP((AF222-AE222)/7,0),"")</f>
        <v/>
      </c>
      <c r="AI222">
        <f>IFERROR(IF(AG222*AH222=0,"",AG222*AH222),"")</f>
        <v/>
      </c>
      <c r="AL222">
        <f>IF(AND(AJ222&lt;&gt;"",AK222&lt;&gt;""),ROUNDUP((AK222-AJ222)/7,0),"")</f>
        <v/>
      </c>
      <c r="AN222">
        <f>IFERROR(IF(AL222*AM222=0,"",AL222*AM222),"")</f>
        <v/>
      </c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L222">
        <f>IFERROR(INDEX('_names_lookup'!$C:$C,MATCH(BK222,'_names_lookup'!$A:$A,0)),"")</f>
        <v/>
      </c>
      <c r="BM222">
        <f>IFERROR(INDEX('_names_lookup'!$B:$B,MATCH(BK222,'_names_lookup'!$A:$A,0)),"")</f>
        <v/>
      </c>
      <c r="BS222">
        <f>IFERROR(IF(BR222*AA222=0,"",BR222*AA222),"")</f>
        <v/>
      </c>
    </row>
    <row r="223">
      <c r="O223">
        <f>IFERROR(INDEX('_courses_lookup'!$C:$C,MATCH(K223&amp;L223,'_courses_lookup'!$E:$E,0)),"")</f>
        <v/>
      </c>
      <c r="P223">
        <f>IFERROR(INDEX('_courses_lookup'!$D:$D,MATCH(K223&amp;L223,'_courses_lookup'!$E:$E,0)),"")</f>
        <v/>
      </c>
      <c r="AG223">
        <f>IF(AND(AE223&lt;&gt;"",AF223&lt;&gt;""),ROUNDUP((AF223-AE223)/7,0),"")</f>
        <v/>
      </c>
      <c r="AI223">
        <f>IFERROR(IF(AG223*AH223=0,"",AG223*AH223),"")</f>
        <v/>
      </c>
      <c r="AL223">
        <f>IF(AND(AJ223&lt;&gt;"",AK223&lt;&gt;""),ROUNDUP((AK223-AJ223)/7,0),"")</f>
        <v/>
      </c>
      <c r="AN223">
        <f>IFERROR(IF(AL223*AM223=0,"",AL223*AM223),"")</f>
        <v/>
      </c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L223">
        <f>IFERROR(INDEX('_names_lookup'!$C:$C,MATCH(BK223,'_names_lookup'!$A:$A,0)),"")</f>
        <v/>
      </c>
      <c r="BM223">
        <f>IFERROR(INDEX('_names_lookup'!$B:$B,MATCH(BK223,'_names_lookup'!$A:$A,0)),"")</f>
        <v/>
      </c>
      <c r="BS223">
        <f>IFERROR(IF(BR223*AA223=0,"",BR223*AA223),"")</f>
        <v/>
      </c>
    </row>
    <row r="224">
      <c r="O224">
        <f>IFERROR(INDEX('_courses_lookup'!$C:$C,MATCH(K224&amp;L224,'_courses_lookup'!$E:$E,0)),"")</f>
        <v/>
      </c>
      <c r="P224">
        <f>IFERROR(INDEX('_courses_lookup'!$D:$D,MATCH(K224&amp;L224,'_courses_lookup'!$E:$E,0)),"")</f>
        <v/>
      </c>
      <c r="AG224">
        <f>IF(AND(AE224&lt;&gt;"",AF224&lt;&gt;""),ROUNDUP((AF224-AE224)/7,0),"")</f>
        <v/>
      </c>
      <c r="AI224">
        <f>IFERROR(IF(AG224*AH224=0,"",AG224*AH224),"")</f>
        <v/>
      </c>
      <c r="AL224">
        <f>IF(AND(AJ224&lt;&gt;"",AK224&lt;&gt;""),ROUNDUP((AK224-AJ224)/7,0),"")</f>
        <v/>
      </c>
      <c r="AN224">
        <f>IFERROR(IF(AL224*AM224=0,"",AL224*AM224),"")</f>
        <v/>
      </c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L224">
        <f>IFERROR(INDEX('_names_lookup'!$C:$C,MATCH(BK224,'_names_lookup'!$A:$A,0)),"")</f>
        <v/>
      </c>
      <c r="BM224">
        <f>IFERROR(INDEX('_names_lookup'!$B:$B,MATCH(BK224,'_names_lookup'!$A:$A,0)),"")</f>
        <v/>
      </c>
      <c r="BS224">
        <f>IFERROR(IF(BR224*AA224=0,"",BR224*AA224),"")</f>
        <v/>
      </c>
    </row>
    <row r="225">
      <c r="O225">
        <f>IFERROR(INDEX('_courses_lookup'!$C:$C,MATCH(K225&amp;L225,'_courses_lookup'!$E:$E,0)),"")</f>
        <v/>
      </c>
      <c r="P225">
        <f>IFERROR(INDEX('_courses_lookup'!$D:$D,MATCH(K225&amp;L225,'_courses_lookup'!$E:$E,0)),"")</f>
        <v/>
      </c>
      <c r="AG225">
        <f>IF(AND(AE225&lt;&gt;"",AF225&lt;&gt;""),ROUNDUP((AF225-AE225)/7,0),"")</f>
        <v/>
      </c>
      <c r="AI225">
        <f>IFERROR(IF(AG225*AH225=0,"",AG225*AH225),"")</f>
        <v/>
      </c>
      <c r="AL225">
        <f>IF(AND(AJ225&lt;&gt;"",AK225&lt;&gt;""),ROUNDUP((AK225-AJ225)/7,0),"")</f>
        <v/>
      </c>
      <c r="AN225">
        <f>IFERROR(IF(AL225*AM225=0,"",AL225*AM225),"")</f>
        <v/>
      </c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L225">
        <f>IFERROR(INDEX('_names_lookup'!$C:$C,MATCH(BK225,'_names_lookup'!$A:$A,0)),"")</f>
        <v/>
      </c>
      <c r="BM225">
        <f>IFERROR(INDEX('_names_lookup'!$B:$B,MATCH(BK225,'_names_lookup'!$A:$A,0)),"")</f>
        <v/>
      </c>
      <c r="BS225">
        <f>IFERROR(IF(BR225*AA225=0,"",BR225*AA225),"")</f>
        <v/>
      </c>
    </row>
    <row r="226">
      <c r="O226">
        <f>IFERROR(INDEX('_courses_lookup'!$C:$C,MATCH(K226&amp;L226,'_courses_lookup'!$E:$E,0)),"")</f>
        <v/>
      </c>
      <c r="P226">
        <f>IFERROR(INDEX('_courses_lookup'!$D:$D,MATCH(K226&amp;L226,'_courses_lookup'!$E:$E,0)),"")</f>
        <v/>
      </c>
      <c r="AG226">
        <f>IF(AND(AE226&lt;&gt;"",AF226&lt;&gt;""),ROUNDUP((AF226-AE226)/7,0),"")</f>
        <v/>
      </c>
      <c r="AI226">
        <f>IFERROR(IF(AG226*AH226=0,"",AG226*AH226),"")</f>
        <v/>
      </c>
      <c r="AL226">
        <f>IF(AND(AJ226&lt;&gt;"",AK226&lt;&gt;""),ROUNDUP((AK226-AJ226)/7,0),"")</f>
        <v/>
      </c>
      <c r="AN226">
        <f>IFERROR(IF(AL226*AM226=0,"",AL226*AM226),"")</f>
        <v/>
      </c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L226">
        <f>IFERROR(INDEX('_names_lookup'!$C:$C,MATCH(BK226,'_names_lookup'!$A:$A,0)),"")</f>
        <v/>
      </c>
      <c r="BM226">
        <f>IFERROR(INDEX('_names_lookup'!$B:$B,MATCH(BK226,'_names_lookup'!$A:$A,0)),"")</f>
        <v/>
      </c>
      <c r="BS226">
        <f>IFERROR(IF(BR226*AA226=0,"",BR226*AA226),"")</f>
        <v/>
      </c>
    </row>
    <row r="227">
      <c r="O227">
        <f>IFERROR(INDEX('_courses_lookup'!$C:$C,MATCH(K227&amp;L227,'_courses_lookup'!$E:$E,0)),"")</f>
        <v/>
      </c>
      <c r="P227">
        <f>IFERROR(INDEX('_courses_lookup'!$D:$D,MATCH(K227&amp;L227,'_courses_lookup'!$E:$E,0)),"")</f>
        <v/>
      </c>
      <c r="AG227">
        <f>IF(AND(AE227&lt;&gt;"",AF227&lt;&gt;""),ROUNDUP((AF227-AE227)/7,0),"")</f>
        <v/>
      </c>
      <c r="AI227">
        <f>IFERROR(IF(AG227*AH227=0,"",AG227*AH227),"")</f>
        <v/>
      </c>
      <c r="AL227">
        <f>IF(AND(AJ227&lt;&gt;"",AK227&lt;&gt;""),ROUNDUP((AK227-AJ227)/7,0),"")</f>
        <v/>
      </c>
      <c r="AN227">
        <f>IFERROR(IF(AL227*AM227=0,"",AL227*AM227),"")</f>
        <v/>
      </c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L227">
        <f>IFERROR(INDEX('_names_lookup'!$C:$C,MATCH(BK227,'_names_lookup'!$A:$A,0)),"")</f>
        <v/>
      </c>
      <c r="BM227">
        <f>IFERROR(INDEX('_names_lookup'!$B:$B,MATCH(BK227,'_names_lookup'!$A:$A,0)),"")</f>
        <v/>
      </c>
      <c r="BS227">
        <f>IFERROR(IF(BR227*AA227=0,"",BR227*AA227),"")</f>
        <v/>
      </c>
    </row>
    <row r="228">
      <c r="O228">
        <f>IFERROR(INDEX('_courses_lookup'!$C:$C,MATCH(K228&amp;L228,'_courses_lookup'!$E:$E,0)),"")</f>
        <v/>
      </c>
      <c r="P228">
        <f>IFERROR(INDEX('_courses_lookup'!$D:$D,MATCH(K228&amp;L228,'_courses_lookup'!$E:$E,0)),"")</f>
        <v/>
      </c>
      <c r="AG228">
        <f>IF(AND(AE228&lt;&gt;"",AF228&lt;&gt;""),ROUNDUP((AF228-AE228)/7,0),"")</f>
        <v/>
      </c>
      <c r="AI228">
        <f>IFERROR(IF(AG228*AH228=0,"",AG228*AH228),"")</f>
        <v/>
      </c>
      <c r="AL228">
        <f>IF(AND(AJ228&lt;&gt;"",AK228&lt;&gt;""),ROUNDUP((AK228-AJ228)/7,0),"")</f>
        <v/>
      </c>
      <c r="AN228">
        <f>IFERROR(IF(AL228*AM228=0,"",AL228*AM228),"")</f>
        <v/>
      </c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L228">
        <f>IFERROR(INDEX('_names_lookup'!$C:$C,MATCH(BK228,'_names_lookup'!$A:$A,0)),"")</f>
        <v/>
      </c>
      <c r="BM228">
        <f>IFERROR(INDEX('_names_lookup'!$B:$B,MATCH(BK228,'_names_lookup'!$A:$A,0)),"")</f>
        <v/>
      </c>
      <c r="BS228">
        <f>IFERROR(IF(BR228*AA228=0,"",BR228*AA228),"")</f>
        <v/>
      </c>
    </row>
    <row r="229">
      <c r="O229">
        <f>IFERROR(INDEX('_courses_lookup'!$C:$C,MATCH(K229&amp;L229,'_courses_lookup'!$E:$E,0)),"")</f>
        <v/>
      </c>
      <c r="P229">
        <f>IFERROR(INDEX('_courses_lookup'!$D:$D,MATCH(K229&amp;L229,'_courses_lookup'!$E:$E,0)),"")</f>
        <v/>
      </c>
      <c r="AG229">
        <f>IF(AND(AE229&lt;&gt;"",AF229&lt;&gt;""),ROUNDUP((AF229-AE229)/7,0),"")</f>
        <v/>
      </c>
      <c r="AI229">
        <f>IFERROR(IF(AG229*AH229=0,"",AG229*AH229),"")</f>
        <v/>
      </c>
      <c r="AL229">
        <f>IF(AND(AJ229&lt;&gt;"",AK229&lt;&gt;""),ROUNDUP((AK229-AJ229)/7,0),"")</f>
        <v/>
      </c>
      <c r="AN229">
        <f>IFERROR(IF(AL229*AM229=0,"",AL229*AM229),"")</f>
        <v/>
      </c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L229">
        <f>IFERROR(INDEX('_names_lookup'!$C:$C,MATCH(BK229,'_names_lookup'!$A:$A,0)),"")</f>
        <v/>
      </c>
      <c r="BM229">
        <f>IFERROR(INDEX('_names_lookup'!$B:$B,MATCH(BK229,'_names_lookup'!$A:$A,0)),"")</f>
        <v/>
      </c>
      <c r="BS229">
        <f>IFERROR(IF(BR229*AA229=0,"",BR229*AA229),"")</f>
        <v/>
      </c>
    </row>
    <row r="230">
      <c r="O230">
        <f>IFERROR(INDEX('_courses_lookup'!$C:$C,MATCH(K230&amp;L230,'_courses_lookup'!$E:$E,0)),"")</f>
        <v/>
      </c>
      <c r="P230">
        <f>IFERROR(INDEX('_courses_lookup'!$D:$D,MATCH(K230&amp;L230,'_courses_lookup'!$E:$E,0)),"")</f>
        <v/>
      </c>
      <c r="AG230">
        <f>IF(AND(AE230&lt;&gt;"",AF230&lt;&gt;""),ROUNDUP((AF230-AE230)/7,0),"")</f>
        <v/>
      </c>
      <c r="AI230">
        <f>IFERROR(IF(AG230*AH230=0,"",AG230*AH230),"")</f>
        <v/>
      </c>
      <c r="AL230">
        <f>IF(AND(AJ230&lt;&gt;"",AK230&lt;&gt;""),ROUNDUP((AK230-AJ230)/7,0),"")</f>
        <v/>
      </c>
      <c r="AN230">
        <f>IFERROR(IF(AL230*AM230=0,"",AL230*AM230),"")</f>
        <v/>
      </c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L230">
        <f>IFERROR(INDEX('_names_lookup'!$C:$C,MATCH(BK230,'_names_lookup'!$A:$A,0)),"")</f>
        <v/>
      </c>
      <c r="BM230">
        <f>IFERROR(INDEX('_names_lookup'!$B:$B,MATCH(BK230,'_names_lookup'!$A:$A,0)),"")</f>
        <v/>
      </c>
      <c r="BS230">
        <f>IFERROR(IF(BR230*AA230=0,"",BR230*AA230),"")</f>
        <v/>
      </c>
    </row>
    <row r="231">
      <c r="O231">
        <f>IFERROR(INDEX('_courses_lookup'!$C:$C,MATCH(K231&amp;L231,'_courses_lookup'!$E:$E,0)),"")</f>
        <v/>
      </c>
      <c r="P231">
        <f>IFERROR(INDEX('_courses_lookup'!$D:$D,MATCH(K231&amp;L231,'_courses_lookup'!$E:$E,0)),"")</f>
        <v/>
      </c>
      <c r="AG231">
        <f>IF(AND(AE231&lt;&gt;"",AF231&lt;&gt;""),ROUNDUP((AF231-AE231)/7,0),"")</f>
        <v/>
      </c>
      <c r="AI231">
        <f>IFERROR(IF(AG231*AH231=0,"",AG231*AH231),"")</f>
        <v/>
      </c>
      <c r="AL231">
        <f>IF(AND(AJ231&lt;&gt;"",AK231&lt;&gt;""),ROUNDUP((AK231-AJ231)/7,0),"")</f>
        <v/>
      </c>
      <c r="AN231">
        <f>IFERROR(IF(AL231*AM231=0,"",AL231*AM231),"")</f>
        <v/>
      </c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L231">
        <f>IFERROR(INDEX('_names_lookup'!$C:$C,MATCH(BK231,'_names_lookup'!$A:$A,0)),"")</f>
        <v/>
      </c>
      <c r="BM231">
        <f>IFERROR(INDEX('_names_lookup'!$B:$B,MATCH(BK231,'_names_lookup'!$A:$A,0)),"")</f>
        <v/>
      </c>
      <c r="BS231">
        <f>IFERROR(IF(BR231*AA231=0,"",BR231*AA231),"")</f>
        <v/>
      </c>
    </row>
    <row r="232">
      <c r="O232">
        <f>IFERROR(INDEX('_courses_lookup'!$C:$C,MATCH(K232&amp;L232,'_courses_lookup'!$E:$E,0)),"")</f>
        <v/>
      </c>
      <c r="P232">
        <f>IFERROR(INDEX('_courses_lookup'!$D:$D,MATCH(K232&amp;L232,'_courses_lookup'!$E:$E,0)),"")</f>
        <v/>
      </c>
      <c r="AG232">
        <f>IF(AND(AE232&lt;&gt;"",AF232&lt;&gt;""),ROUNDUP((AF232-AE232)/7,0),"")</f>
        <v/>
      </c>
      <c r="AI232">
        <f>IFERROR(IF(AG232*AH232=0,"",AG232*AH232),"")</f>
        <v/>
      </c>
      <c r="AL232">
        <f>IF(AND(AJ232&lt;&gt;"",AK232&lt;&gt;""),ROUNDUP((AK232-AJ232)/7,0),"")</f>
        <v/>
      </c>
      <c r="AN232">
        <f>IFERROR(IF(AL232*AM232=0,"",AL232*AM232),"")</f>
        <v/>
      </c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L232">
        <f>IFERROR(INDEX('_names_lookup'!$C:$C,MATCH(BK232,'_names_lookup'!$A:$A,0)),"")</f>
        <v/>
      </c>
      <c r="BM232">
        <f>IFERROR(INDEX('_names_lookup'!$B:$B,MATCH(BK232,'_names_lookup'!$A:$A,0)),"")</f>
        <v/>
      </c>
      <c r="BS232">
        <f>IFERROR(IF(BR232*AA232=0,"",BR232*AA232),"")</f>
        <v/>
      </c>
    </row>
    <row r="233">
      <c r="O233">
        <f>IFERROR(INDEX('_courses_lookup'!$C:$C,MATCH(K233&amp;L233,'_courses_lookup'!$E:$E,0)),"")</f>
        <v/>
      </c>
      <c r="P233">
        <f>IFERROR(INDEX('_courses_lookup'!$D:$D,MATCH(K233&amp;L233,'_courses_lookup'!$E:$E,0)),"")</f>
        <v/>
      </c>
      <c r="AG233">
        <f>IF(AND(AE233&lt;&gt;"",AF233&lt;&gt;""),ROUNDUP((AF233-AE233)/7,0),"")</f>
        <v/>
      </c>
      <c r="AI233">
        <f>IFERROR(IF(AG233*AH233=0,"",AG233*AH233),"")</f>
        <v/>
      </c>
      <c r="AL233">
        <f>IF(AND(AJ233&lt;&gt;"",AK233&lt;&gt;""),ROUNDUP((AK233-AJ233)/7,0),"")</f>
        <v/>
      </c>
      <c r="AN233">
        <f>IFERROR(IF(AL233*AM233=0,"",AL233*AM233),"")</f>
        <v/>
      </c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L233">
        <f>IFERROR(INDEX('_names_lookup'!$C:$C,MATCH(BK233,'_names_lookup'!$A:$A,0)),"")</f>
        <v/>
      </c>
      <c r="BM233">
        <f>IFERROR(INDEX('_names_lookup'!$B:$B,MATCH(BK233,'_names_lookup'!$A:$A,0)),"")</f>
        <v/>
      </c>
      <c r="BS233">
        <f>IFERROR(IF(BR233*AA233=0,"",BR233*AA233),"")</f>
        <v/>
      </c>
    </row>
    <row r="234">
      <c r="O234">
        <f>IFERROR(INDEX('_courses_lookup'!$C:$C,MATCH(K234&amp;L234,'_courses_lookup'!$E:$E,0)),"")</f>
        <v/>
      </c>
      <c r="P234">
        <f>IFERROR(INDEX('_courses_lookup'!$D:$D,MATCH(K234&amp;L234,'_courses_lookup'!$E:$E,0)),"")</f>
        <v/>
      </c>
      <c r="AG234">
        <f>IF(AND(AE234&lt;&gt;"",AF234&lt;&gt;""),ROUNDUP((AF234-AE234)/7,0),"")</f>
        <v/>
      </c>
      <c r="AI234">
        <f>IFERROR(IF(AG234*AH234=0,"",AG234*AH234),"")</f>
        <v/>
      </c>
      <c r="AL234">
        <f>IF(AND(AJ234&lt;&gt;"",AK234&lt;&gt;""),ROUNDUP((AK234-AJ234)/7,0),"")</f>
        <v/>
      </c>
      <c r="AN234">
        <f>IFERROR(IF(AL234*AM234=0,"",AL234*AM234),"")</f>
        <v/>
      </c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L234">
        <f>IFERROR(INDEX('_names_lookup'!$C:$C,MATCH(BK234,'_names_lookup'!$A:$A,0)),"")</f>
        <v/>
      </c>
      <c r="BM234">
        <f>IFERROR(INDEX('_names_lookup'!$B:$B,MATCH(BK234,'_names_lookup'!$A:$A,0)),"")</f>
        <v/>
      </c>
      <c r="BS234">
        <f>IFERROR(IF(BR234*AA234=0,"",BR234*AA234),"")</f>
        <v/>
      </c>
    </row>
    <row r="235">
      <c r="O235">
        <f>IFERROR(INDEX('_courses_lookup'!$C:$C,MATCH(K235&amp;L235,'_courses_lookup'!$E:$E,0)),"")</f>
        <v/>
      </c>
      <c r="P235">
        <f>IFERROR(INDEX('_courses_lookup'!$D:$D,MATCH(K235&amp;L235,'_courses_lookup'!$E:$E,0)),"")</f>
        <v/>
      </c>
      <c r="AG235">
        <f>IF(AND(AE235&lt;&gt;"",AF235&lt;&gt;""),ROUNDUP((AF235-AE235)/7,0),"")</f>
        <v/>
      </c>
      <c r="AI235">
        <f>IFERROR(IF(AG235*AH235=0,"",AG235*AH235),"")</f>
        <v/>
      </c>
      <c r="AL235">
        <f>IF(AND(AJ235&lt;&gt;"",AK235&lt;&gt;""),ROUNDUP((AK235-AJ235)/7,0),"")</f>
        <v/>
      </c>
      <c r="AN235">
        <f>IFERROR(IF(AL235*AM235=0,"",AL235*AM235),"")</f>
        <v/>
      </c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L235">
        <f>IFERROR(INDEX('_names_lookup'!$C:$C,MATCH(BK235,'_names_lookup'!$A:$A,0)),"")</f>
        <v/>
      </c>
      <c r="BM235">
        <f>IFERROR(INDEX('_names_lookup'!$B:$B,MATCH(BK235,'_names_lookup'!$A:$A,0)),"")</f>
        <v/>
      </c>
      <c r="BS235">
        <f>IFERROR(IF(BR235*AA235=0,"",BR235*AA235),"")</f>
        <v/>
      </c>
    </row>
    <row r="236">
      <c r="O236">
        <f>IFERROR(INDEX('_courses_lookup'!$C:$C,MATCH(K236&amp;L236,'_courses_lookup'!$E:$E,0)),"")</f>
        <v/>
      </c>
      <c r="P236">
        <f>IFERROR(INDEX('_courses_lookup'!$D:$D,MATCH(K236&amp;L236,'_courses_lookup'!$E:$E,0)),"")</f>
        <v/>
      </c>
      <c r="AG236">
        <f>IF(AND(AE236&lt;&gt;"",AF236&lt;&gt;""),ROUNDUP((AF236-AE236)/7,0),"")</f>
        <v/>
      </c>
      <c r="AI236">
        <f>IFERROR(IF(AG236*AH236=0,"",AG236*AH236),"")</f>
        <v/>
      </c>
      <c r="AL236">
        <f>IF(AND(AJ236&lt;&gt;"",AK236&lt;&gt;""),ROUNDUP((AK236-AJ236)/7,0),"")</f>
        <v/>
      </c>
      <c r="AN236">
        <f>IFERROR(IF(AL236*AM236=0,"",AL236*AM236),"")</f>
        <v/>
      </c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L236">
        <f>IFERROR(INDEX('_names_lookup'!$C:$C,MATCH(BK236,'_names_lookup'!$A:$A,0)),"")</f>
        <v/>
      </c>
      <c r="BM236">
        <f>IFERROR(INDEX('_names_lookup'!$B:$B,MATCH(BK236,'_names_lookup'!$A:$A,0)),"")</f>
        <v/>
      </c>
      <c r="BS236">
        <f>IFERROR(IF(BR236*AA236=0,"",BR236*AA236),"")</f>
        <v/>
      </c>
    </row>
    <row r="237">
      <c r="O237">
        <f>IFERROR(INDEX('_courses_lookup'!$C:$C,MATCH(K237&amp;L237,'_courses_lookup'!$E:$E,0)),"")</f>
        <v/>
      </c>
      <c r="P237">
        <f>IFERROR(INDEX('_courses_lookup'!$D:$D,MATCH(K237&amp;L237,'_courses_lookup'!$E:$E,0)),"")</f>
        <v/>
      </c>
      <c r="AG237">
        <f>IF(AND(AE237&lt;&gt;"",AF237&lt;&gt;""),ROUNDUP((AF237-AE237)/7,0),"")</f>
        <v/>
      </c>
      <c r="AI237">
        <f>IFERROR(IF(AG237*AH237=0,"",AG237*AH237),"")</f>
        <v/>
      </c>
      <c r="AL237">
        <f>IF(AND(AJ237&lt;&gt;"",AK237&lt;&gt;""),ROUNDUP((AK237-AJ237)/7,0),"")</f>
        <v/>
      </c>
      <c r="AN237">
        <f>IFERROR(IF(AL237*AM237=0,"",AL237*AM237),"")</f>
        <v/>
      </c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L237">
        <f>IFERROR(INDEX('_names_lookup'!$C:$C,MATCH(BK237,'_names_lookup'!$A:$A,0)),"")</f>
        <v/>
      </c>
      <c r="BM237">
        <f>IFERROR(INDEX('_names_lookup'!$B:$B,MATCH(BK237,'_names_lookup'!$A:$A,0)),"")</f>
        <v/>
      </c>
      <c r="BS237">
        <f>IFERROR(IF(BR237*AA237=0,"",BR237*AA237),"")</f>
        <v/>
      </c>
    </row>
    <row r="238">
      <c r="O238">
        <f>IFERROR(INDEX('_courses_lookup'!$C:$C,MATCH(K238&amp;L238,'_courses_lookup'!$E:$E,0)),"")</f>
        <v/>
      </c>
      <c r="P238">
        <f>IFERROR(INDEX('_courses_lookup'!$D:$D,MATCH(K238&amp;L238,'_courses_lookup'!$E:$E,0)),"")</f>
        <v/>
      </c>
      <c r="AG238">
        <f>IF(AND(AE238&lt;&gt;"",AF238&lt;&gt;""),ROUNDUP((AF238-AE238)/7,0),"")</f>
        <v/>
      </c>
      <c r="AI238">
        <f>IFERROR(IF(AG238*AH238=0,"",AG238*AH238),"")</f>
        <v/>
      </c>
      <c r="AL238">
        <f>IF(AND(AJ238&lt;&gt;"",AK238&lt;&gt;""),ROUNDUP((AK238-AJ238)/7,0),"")</f>
        <v/>
      </c>
      <c r="AN238">
        <f>IFERROR(IF(AL238*AM238=0,"",AL238*AM238),"")</f>
        <v/>
      </c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L238">
        <f>IFERROR(INDEX('_names_lookup'!$C:$C,MATCH(BK238,'_names_lookup'!$A:$A,0)),"")</f>
        <v/>
      </c>
      <c r="BM238">
        <f>IFERROR(INDEX('_names_lookup'!$B:$B,MATCH(BK238,'_names_lookup'!$A:$A,0)),"")</f>
        <v/>
      </c>
      <c r="BS238">
        <f>IFERROR(IF(BR238*AA238=0,"",BR238*AA238),"")</f>
        <v/>
      </c>
    </row>
    <row r="239">
      <c r="O239">
        <f>IFERROR(INDEX('_courses_lookup'!$C:$C,MATCH(K239&amp;L239,'_courses_lookup'!$E:$E,0)),"")</f>
        <v/>
      </c>
      <c r="P239">
        <f>IFERROR(INDEX('_courses_lookup'!$D:$D,MATCH(K239&amp;L239,'_courses_lookup'!$E:$E,0)),"")</f>
        <v/>
      </c>
      <c r="AG239">
        <f>IF(AND(AE239&lt;&gt;"",AF239&lt;&gt;""),ROUNDUP((AF239-AE239)/7,0),"")</f>
        <v/>
      </c>
      <c r="AI239">
        <f>IFERROR(IF(AG239*AH239=0,"",AG239*AH239),"")</f>
        <v/>
      </c>
      <c r="AL239">
        <f>IF(AND(AJ239&lt;&gt;"",AK239&lt;&gt;""),ROUNDUP((AK239-AJ239)/7,0),"")</f>
        <v/>
      </c>
      <c r="AN239">
        <f>IFERROR(IF(AL239*AM239=0,"",AL239*AM239),"")</f>
        <v/>
      </c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L239">
        <f>IFERROR(INDEX('_names_lookup'!$C:$C,MATCH(BK239,'_names_lookup'!$A:$A,0)),"")</f>
        <v/>
      </c>
      <c r="BM239">
        <f>IFERROR(INDEX('_names_lookup'!$B:$B,MATCH(BK239,'_names_lookup'!$A:$A,0)),"")</f>
        <v/>
      </c>
      <c r="BS239">
        <f>IFERROR(IF(BR239*AA239=0,"",BR239*AA239),"")</f>
        <v/>
      </c>
    </row>
    <row r="240">
      <c r="O240">
        <f>IFERROR(INDEX('_courses_lookup'!$C:$C,MATCH(K240&amp;L240,'_courses_lookup'!$E:$E,0)),"")</f>
        <v/>
      </c>
      <c r="P240">
        <f>IFERROR(INDEX('_courses_lookup'!$D:$D,MATCH(K240&amp;L240,'_courses_lookup'!$E:$E,0)),"")</f>
        <v/>
      </c>
      <c r="AG240">
        <f>IF(AND(AE240&lt;&gt;"",AF240&lt;&gt;""),ROUNDUP((AF240-AE240)/7,0),"")</f>
        <v/>
      </c>
      <c r="AI240">
        <f>IFERROR(IF(AG240*AH240=0,"",AG240*AH240),"")</f>
        <v/>
      </c>
      <c r="AL240">
        <f>IF(AND(AJ240&lt;&gt;"",AK240&lt;&gt;""),ROUNDUP((AK240-AJ240)/7,0),"")</f>
        <v/>
      </c>
      <c r="AN240">
        <f>IFERROR(IF(AL240*AM240=0,"",AL240*AM240),"")</f>
        <v/>
      </c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L240">
        <f>IFERROR(INDEX('_names_lookup'!$C:$C,MATCH(BK240,'_names_lookup'!$A:$A,0)),"")</f>
        <v/>
      </c>
      <c r="BM240">
        <f>IFERROR(INDEX('_names_lookup'!$B:$B,MATCH(BK240,'_names_lookup'!$A:$A,0)),"")</f>
        <v/>
      </c>
      <c r="BS240">
        <f>IFERROR(IF(BR240*AA240=0,"",BR240*AA240),"")</f>
        <v/>
      </c>
    </row>
    <row r="241">
      <c r="O241">
        <f>IFERROR(INDEX('_courses_lookup'!$C:$C,MATCH(K241&amp;L241,'_courses_lookup'!$E:$E,0)),"")</f>
        <v/>
      </c>
      <c r="P241">
        <f>IFERROR(INDEX('_courses_lookup'!$D:$D,MATCH(K241&amp;L241,'_courses_lookup'!$E:$E,0)),"")</f>
        <v/>
      </c>
      <c r="AG241">
        <f>IF(AND(AE241&lt;&gt;"",AF241&lt;&gt;""),ROUNDUP((AF241-AE241)/7,0),"")</f>
        <v/>
      </c>
      <c r="AI241">
        <f>IFERROR(IF(AG241*AH241=0,"",AG241*AH241),"")</f>
        <v/>
      </c>
      <c r="AL241">
        <f>IF(AND(AJ241&lt;&gt;"",AK241&lt;&gt;""),ROUNDUP((AK241-AJ241)/7,0),"")</f>
        <v/>
      </c>
      <c r="AN241">
        <f>IFERROR(IF(AL241*AM241=0,"",AL241*AM241),"")</f>
        <v/>
      </c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L241">
        <f>IFERROR(INDEX('_names_lookup'!$C:$C,MATCH(BK241,'_names_lookup'!$A:$A,0)),"")</f>
        <v/>
      </c>
      <c r="BM241">
        <f>IFERROR(INDEX('_names_lookup'!$B:$B,MATCH(BK241,'_names_lookup'!$A:$A,0)),"")</f>
        <v/>
      </c>
      <c r="BS241">
        <f>IFERROR(IF(BR241*AA241=0,"",BR241*AA241),"")</f>
        <v/>
      </c>
    </row>
    <row r="242">
      <c r="O242">
        <f>IFERROR(INDEX('_courses_lookup'!$C:$C,MATCH(K242&amp;L242,'_courses_lookup'!$E:$E,0)),"")</f>
        <v/>
      </c>
      <c r="P242">
        <f>IFERROR(INDEX('_courses_lookup'!$D:$D,MATCH(K242&amp;L242,'_courses_lookup'!$E:$E,0)),"")</f>
        <v/>
      </c>
      <c r="AG242">
        <f>IF(AND(AE242&lt;&gt;"",AF242&lt;&gt;""),ROUNDUP((AF242-AE242)/7,0),"")</f>
        <v/>
      </c>
      <c r="AI242">
        <f>IFERROR(IF(AG242*AH242=0,"",AG242*AH242),"")</f>
        <v/>
      </c>
      <c r="AL242">
        <f>IF(AND(AJ242&lt;&gt;"",AK242&lt;&gt;""),ROUNDUP((AK242-AJ242)/7,0),"")</f>
        <v/>
      </c>
      <c r="AN242">
        <f>IFERROR(IF(AL242*AM242=0,"",AL242*AM242),"")</f>
        <v/>
      </c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L242">
        <f>IFERROR(INDEX('_names_lookup'!$C:$C,MATCH(BK242,'_names_lookup'!$A:$A,0)),"")</f>
        <v/>
      </c>
      <c r="BM242">
        <f>IFERROR(INDEX('_names_lookup'!$B:$B,MATCH(BK242,'_names_lookup'!$A:$A,0)),"")</f>
        <v/>
      </c>
      <c r="BS242">
        <f>IFERROR(IF(BR242*AA242=0,"",BR242*AA242),"")</f>
        <v/>
      </c>
    </row>
    <row r="243">
      <c r="O243">
        <f>IFERROR(INDEX('_courses_lookup'!$C:$C,MATCH(K243&amp;L243,'_courses_lookup'!$E:$E,0)),"")</f>
        <v/>
      </c>
      <c r="P243">
        <f>IFERROR(INDEX('_courses_lookup'!$D:$D,MATCH(K243&amp;L243,'_courses_lookup'!$E:$E,0)),"")</f>
        <v/>
      </c>
      <c r="AG243">
        <f>IF(AND(AE243&lt;&gt;"",AF243&lt;&gt;""),ROUNDUP((AF243-AE243)/7,0),"")</f>
        <v/>
      </c>
      <c r="AI243">
        <f>IFERROR(IF(AG243*AH243=0,"",AG243*AH243),"")</f>
        <v/>
      </c>
      <c r="AL243">
        <f>IF(AND(AJ243&lt;&gt;"",AK243&lt;&gt;""),ROUNDUP((AK243-AJ243)/7,0),"")</f>
        <v/>
      </c>
      <c r="AN243">
        <f>IFERROR(IF(AL243*AM243=0,"",AL243*AM243),"")</f>
        <v/>
      </c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L243">
        <f>IFERROR(INDEX('_names_lookup'!$C:$C,MATCH(BK243,'_names_lookup'!$A:$A,0)),"")</f>
        <v/>
      </c>
      <c r="BM243">
        <f>IFERROR(INDEX('_names_lookup'!$B:$B,MATCH(BK243,'_names_lookup'!$A:$A,0)),"")</f>
        <v/>
      </c>
      <c r="BS243">
        <f>IFERROR(IF(BR243*AA243=0,"",BR243*AA243),"")</f>
        <v/>
      </c>
    </row>
    <row r="244">
      <c r="O244">
        <f>IFERROR(INDEX('_courses_lookup'!$C:$C,MATCH(K244&amp;L244,'_courses_lookup'!$E:$E,0)),"")</f>
        <v/>
      </c>
      <c r="P244">
        <f>IFERROR(INDEX('_courses_lookup'!$D:$D,MATCH(K244&amp;L244,'_courses_lookup'!$E:$E,0)),"")</f>
        <v/>
      </c>
      <c r="AG244">
        <f>IF(AND(AE244&lt;&gt;"",AF244&lt;&gt;""),ROUNDUP((AF244-AE244)/7,0),"")</f>
        <v/>
      </c>
      <c r="AI244">
        <f>IFERROR(IF(AG244*AH244=0,"",AG244*AH244),"")</f>
        <v/>
      </c>
      <c r="AL244">
        <f>IF(AND(AJ244&lt;&gt;"",AK244&lt;&gt;""),ROUNDUP((AK244-AJ244)/7,0),"")</f>
        <v/>
      </c>
      <c r="AN244">
        <f>IFERROR(IF(AL244*AM244=0,"",AL244*AM244),"")</f>
        <v/>
      </c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L244">
        <f>IFERROR(INDEX('_names_lookup'!$C:$C,MATCH(BK244,'_names_lookup'!$A:$A,0)),"")</f>
        <v/>
      </c>
      <c r="BM244">
        <f>IFERROR(INDEX('_names_lookup'!$B:$B,MATCH(BK244,'_names_lookup'!$A:$A,0)),"")</f>
        <v/>
      </c>
      <c r="BS244">
        <f>IFERROR(IF(BR244*AA244=0,"",BR244*AA244),"")</f>
        <v/>
      </c>
    </row>
    <row r="245">
      <c r="O245">
        <f>IFERROR(INDEX('_courses_lookup'!$C:$C,MATCH(K245&amp;L245,'_courses_lookup'!$E:$E,0)),"")</f>
        <v/>
      </c>
      <c r="P245">
        <f>IFERROR(INDEX('_courses_lookup'!$D:$D,MATCH(K245&amp;L245,'_courses_lookup'!$E:$E,0)),"")</f>
        <v/>
      </c>
      <c r="AG245">
        <f>IF(AND(AE245&lt;&gt;"",AF245&lt;&gt;""),ROUNDUP((AF245-AE245)/7,0),"")</f>
        <v/>
      </c>
      <c r="AI245">
        <f>IFERROR(IF(AG245*AH245=0,"",AG245*AH245),"")</f>
        <v/>
      </c>
      <c r="AL245">
        <f>IF(AND(AJ245&lt;&gt;"",AK245&lt;&gt;""),ROUNDUP((AK245-AJ245)/7,0),"")</f>
        <v/>
      </c>
      <c r="AN245">
        <f>IFERROR(IF(AL245*AM245=0,"",AL245*AM245),"")</f>
        <v/>
      </c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L245">
        <f>IFERROR(INDEX('_names_lookup'!$C:$C,MATCH(BK245,'_names_lookup'!$A:$A,0)),"")</f>
        <v/>
      </c>
      <c r="BM245">
        <f>IFERROR(INDEX('_names_lookup'!$B:$B,MATCH(BK245,'_names_lookup'!$A:$A,0)),"")</f>
        <v/>
      </c>
      <c r="BS245">
        <f>IFERROR(IF(BR245*AA245=0,"",BR245*AA245),"")</f>
        <v/>
      </c>
    </row>
    <row r="246">
      <c r="O246">
        <f>IFERROR(INDEX('_courses_lookup'!$C:$C,MATCH(K246&amp;L246,'_courses_lookup'!$E:$E,0)),"")</f>
        <v/>
      </c>
      <c r="P246">
        <f>IFERROR(INDEX('_courses_lookup'!$D:$D,MATCH(K246&amp;L246,'_courses_lookup'!$E:$E,0)),"")</f>
        <v/>
      </c>
      <c r="AG246">
        <f>IF(AND(AE246&lt;&gt;"",AF246&lt;&gt;""),ROUNDUP((AF246-AE246)/7,0),"")</f>
        <v/>
      </c>
      <c r="AI246">
        <f>IFERROR(IF(AG246*AH246=0,"",AG246*AH246),"")</f>
        <v/>
      </c>
      <c r="AL246">
        <f>IF(AND(AJ246&lt;&gt;"",AK246&lt;&gt;""),ROUNDUP((AK246-AJ246)/7,0),"")</f>
        <v/>
      </c>
      <c r="AN246">
        <f>IFERROR(IF(AL246*AM246=0,"",AL246*AM246),"")</f>
        <v/>
      </c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L246">
        <f>IFERROR(INDEX('_names_lookup'!$C:$C,MATCH(BK246,'_names_lookup'!$A:$A,0)),"")</f>
        <v/>
      </c>
      <c r="BM246">
        <f>IFERROR(INDEX('_names_lookup'!$B:$B,MATCH(BK246,'_names_lookup'!$A:$A,0)),"")</f>
        <v/>
      </c>
      <c r="BS246">
        <f>IFERROR(IF(BR246*AA246=0,"",BR246*AA246),"")</f>
        <v/>
      </c>
    </row>
    <row r="247">
      <c r="O247">
        <f>IFERROR(INDEX('_courses_lookup'!$C:$C,MATCH(K247&amp;L247,'_courses_lookup'!$E:$E,0)),"")</f>
        <v/>
      </c>
      <c r="P247">
        <f>IFERROR(INDEX('_courses_lookup'!$D:$D,MATCH(K247&amp;L247,'_courses_lookup'!$E:$E,0)),"")</f>
        <v/>
      </c>
      <c r="AG247">
        <f>IF(AND(AE247&lt;&gt;"",AF247&lt;&gt;""),ROUNDUP((AF247-AE247)/7,0),"")</f>
        <v/>
      </c>
      <c r="AI247">
        <f>IFERROR(IF(AG247*AH247=0,"",AG247*AH247),"")</f>
        <v/>
      </c>
      <c r="AL247">
        <f>IF(AND(AJ247&lt;&gt;"",AK247&lt;&gt;""),ROUNDUP((AK247-AJ247)/7,0),"")</f>
        <v/>
      </c>
      <c r="AN247">
        <f>IFERROR(IF(AL247*AM247=0,"",AL247*AM247),"")</f>
        <v/>
      </c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L247">
        <f>IFERROR(INDEX('_names_lookup'!$C:$C,MATCH(BK247,'_names_lookup'!$A:$A,0)),"")</f>
        <v/>
      </c>
      <c r="BM247">
        <f>IFERROR(INDEX('_names_lookup'!$B:$B,MATCH(BK247,'_names_lookup'!$A:$A,0)),"")</f>
        <v/>
      </c>
      <c r="BS247">
        <f>IFERROR(IF(BR247*AA247=0,"",BR247*AA247),"")</f>
        <v/>
      </c>
    </row>
    <row r="248">
      <c r="O248">
        <f>IFERROR(INDEX('_courses_lookup'!$C:$C,MATCH(K248&amp;L248,'_courses_lookup'!$E:$E,0)),"")</f>
        <v/>
      </c>
      <c r="P248">
        <f>IFERROR(INDEX('_courses_lookup'!$D:$D,MATCH(K248&amp;L248,'_courses_lookup'!$E:$E,0)),"")</f>
        <v/>
      </c>
      <c r="AG248">
        <f>IF(AND(AE248&lt;&gt;"",AF248&lt;&gt;""),ROUNDUP((AF248-AE248)/7,0),"")</f>
        <v/>
      </c>
      <c r="AI248">
        <f>IFERROR(IF(AG248*AH248=0,"",AG248*AH248),"")</f>
        <v/>
      </c>
      <c r="AL248">
        <f>IF(AND(AJ248&lt;&gt;"",AK248&lt;&gt;""),ROUNDUP((AK248-AJ248)/7,0),"")</f>
        <v/>
      </c>
      <c r="AN248">
        <f>IFERROR(IF(AL248*AM248=0,"",AL248*AM248),"")</f>
        <v/>
      </c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L248">
        <f>IFERROR(INDEX('_names_lookup'!$C:$C,MATCH(BK248,'_names_lookup'!$A:$A,0)),"")</f>
        <v/>
      </c>
      <c r="BM248">
        <f>IFERROR(INDEX('_names_lookup'!$B:$B,MATCH(BK248,'_names_lookup'!$A:$A,0)),"")</f>
        <v/>
      </c>
      <c r="BS248">
        <f>IFERROR(IF(BR248*AA248=0,"",BR248*AA248),"")</f>
        <v/>
      </c>
    </row>
    <row r="249">
      <c r="O249">
        <f>IFERROR(INDEX('_courses_lookup'!$C:$C,MATCH(K249&amp;L249,'_courses_lookup'!$E:$E,0)),"")</f>
        <v/>
      </c>
      <c r="P249">
        <f>IFERROR(INDEX('_courses_lookup'!$D:$D,MATCH(K249&amp;L249,'_courses_lookup'!$E:$E,0)),"")</f>
        <v/>
      </c>
      <c r="AG249">
        <f>IF(AND(AE249&lt;&gt;"",AF249&lt;&gt;""),ROUNDUP((AF249-AE249)/7,0),"")</f>
        <v/>
      </c>
      <c r="AI249">
        <f>IFERROR(IF(AG249*AH249=0,"",AG249*AH249),"")</f>
        <v/>
      </c>
      <c r="AL249">
        <f>IF(AND(AJ249&lt;&gt;"",AK249&lt;&gt;""),ROUNDUP((AK249-AJ249)/7,0),"")</f>
        <v/>
      </c>
      <c r="AN249">
        <f>IFERROR(IF(AL249*AM249=0,"",AL249*AM249),"")</f>
        <v/>
      </c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L249">
        <f>IFERROR(INDEX('_names_lookup'!$C:$C,MATCH(BK249,'_names_lookup'!$A:$A,0)),"")</f>
        <v/>
      </c>
      <c r="BM249">
        <f>IFERROR(INDEX('_names_lookup'!$B:$B,MATCH(BK249,'_names_lookup'!$A:$A,0)),"")</f>
        <v/>
      </c>
      <c r="BS249">
        <f>IFERROR(IF(BR249*AA249=0,"",BR249*AA249),"")</f>
        <v/>
      </c>
    </row>
    <row r="250">
      <c r="O250">
        <f>IFERROR(INDEX('_courses_lookup'!$C:$C,MATCH(K250&amp;L250,'_courses_lookup'!$E:$E,0)),"")</f>
        <v/>
      </c>
      <c r="P250">
        <f>IFERROR(INDEX('_courses_lookup'!$D:$D,MATCH(K250&amp;L250,'_courses_lookup'!$E:$E,0)),"")</f>
        <v/>
      </c>
      <c r="AG250">
        <f>IF(AND(AE250&lt;&gt;"",AF250&lt;&gt;""),ROUNDUP((AF250-AE250)/7,0),"")</f>
        <v/>
      </c>
      <c r="AI250">
        <f>IFERROR(IF(AG250*AH250=0,"",AG250*AH250),"")</f>
        <v/>
      </c>
      <c r="AL250">
        <f>IF(AND(AJ250&lt;&gt;"",AK250&lt;&gt;""),ROUNDUP((AK250-AJ250)/7,0),"")</f>
        <v/>
      </c>
      <c r="AN250">
        <f>IFERROR(IF(AL250*AM250=0,"",AL250*AM250),"")</f>
        <v/>
      </c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L250">
        <f>IFERROR(INDEX('_names_lookup'!$C:$C,MATCH(BK250,'_names_lookup'!$A:$A,0)),"")</f>
        <v/>
      </c>
      <c r="BM250">
        <f>IFERROR(INDEX('_names_lookup'!$B:$B,MATCH(BK250,'_names_lookup'!$A:$A,0)),"")</f>
        <v/>
      </c>
      <c r="BS250">
        <f>IFERROR(IF(BR250*AA250=0,"",BR250*AA250),"")</f>
        <v/>
      </c>
    </row>
    <row r="251">
      <c r="O251">
        <f>IFERROR(INDEX('_courses_lookup'!$C:$C,MATCH(K251&amp;L251,'_courses_lookup'!$E:$E,0)),"")</f>
        <v/>
      </c>
      <c r="P251">
        <f>IFERROR(INDEX('_courses_lookup'!$D:$D,MATCH(K251&amp;L251,'_courses_lookup'!$E:$E,0)),"")</f>
        <v/>
      </c>
      <c r="AG251">
        <f>IF(AND(AE251&lt;&gt;"",AF251&lt;&gt;""),ROUNDUP((AF251-AE251)/7,0),"")</f>
        <v/>
      </c>
      <c r="AI251">
        <f>IFERROR(IF(AG251*AH251=0,"",AG251*AH251),"")</f>
        <v/>
      </c>
      <c r="AL251">
        <f>IF(AND(AJ251&lt;&gt;"",AK251&lt;&gt;""),ROUNDUP((AK251-AJ251)/7,0),"")</f>
        <v/>
      </c>
      <c r="AN251">
        <f>IFERROR(IF(AL251*AM251=0,"",AL251*AM251),"")</f>
        <v/>
      </c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L251">
        <f>IFERROR(INDEX('_names_lookup'!$C:$C,MATCH(BK251,'_names_lookup'!$A:$A,0)),"")</f>
        <v/>
      </c>
      <c r="BM251">
        <f>IFERROR(INDEX('_names_lookup'!$B:$B,MATCH(BK251,'_names_lookup'!$A:$A,0)),"")</f>
        <v/>
      </c>
      <c r="BS251">
        <f>IFERROR(IF(BR251*AA251=0,"",BR251*AA251),"")</f>
        <v/>
      </c>
    </row>
    <row r="252">
      <c r="O252">
        <f>IFERROR(INDEX('_courses_lookup'!$C:$C,MATCH(K252&amp;L252,'_courses_lookup'!$E:$E,0)),"")</f>
        <v/>
      </c>
      <c r="P252">
        <f>IFERROR(INDEX('_courses_lookup'!$D:$D,MATCH(K252&amp;L252,'_courses_lookup'!$E:$E,0)),"")</f>
        <v/>
      </c>
      <c r="AG252">
        <f>IF(AND(AE252&lt;&gt;"",AF252&lt;&gt;""),ROUNDUP((AF252-AE252)/7,0),"")</f>
        <v/>
      </c>
      <c r="AI252">
        <f>IFERROR(IF(AG252*AH252=0,"",AG252*AH252),"")</f>
        <v/>
      </c>
      <c r="AL252">
        <f>IF(AND(AJ252&lt;&gt;"",AK252&lt;&gt;""),ROUNDUP((AK252-AJ252)/7,0),"")</f>
        <v/>
      </c>
      <c r="AN252">
        <f>IFERROR(IF(AL252*AM252=0,"",AL252*AM252),"")</f>
        <v/>
      </c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L252">
        <f>IFERROR(INDEX('_names_lookup'!$C:$C,MATCH(BK252,'_names_lookup'!$A:$A,0)),"")</f>
        <v/>
      </c>
      <c r="BM252">
        <f>IFERROR(INDEX('_names_lookup'!$B:$B,MATCH(BK252,'_names_lookup'!$A:$A,0)),"")</f>
        <v/>
      </c>
      <c r="BS252">
        <f>IFERROR(IF(BR252*AA252=0,"",BR252*AA252),"")</f>
        <v/>
      </c>
    </row>
    <row r="253">
      <c r="O253">
        <f>IFERROR(INDEX('_courses_lookup'!$C:$C,MATCH(K253&amp;L253,'_courses_lookup'!$E:$E,0)),"")</f>
        <v/>
      </c>
      <c r="P253">
        <f>IFERROR(INDEX('_courses_lookup'!$D:$D,MATCH(K253&amp;L253,'_courses_lookup'!$E:$E,0)),"")</f>
        <v/>
      </c>
      <c r="AG253">
        <f>IF(AND(AE253&lt;&gt;"",AF253&lt;&gt;""),ROUNDUP((AF253-AE253)/7,0),"")</f>
        <v/>
      </c>
      <c r="AI253">
        <f>IFERROR(IF(AG253*AH253=0,"",AG253*AH253),"")</f>
        <v/>
      </c>
      <c r="AL253">
        <f>IF(AND(AJ253&lt;&gt;"",AK253&lt;&gt;""),ROUNDUP((AK253-AJ253)/7,0),"")</f>
        <v/>
      </c>
      <c r="AN253">
        <f>IFERROR(IF(AL253*AM253=0,"",AL253*AM253),"")</f>
        <v/>
      </c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L253">
        <f>IFERROR(INDEX('_names_lookup'!$C:$C,MATCH(BK253,'_names_lookup'!$A:$A,0)),"")</f>
        <v/>
      </c>
      <c r="BM253">
        <f>IFERROR(INDEX('_names_lookup'!$B:$B,MATCH(BK253,'_names_lookup'!$A:$A,0)),"")</f>
        <v/>
      </c>
      <c r="BS253">
        <f>IFERROR(IF(BR253*AA253=0,"",BR253*AA253),"")</f>
        <v/>
      </c>
    </row>
    <row r="254">
      <c r="O254">
        <f>IFERROR(INDEX('_courses_lookup'!$C:$C,MATCH(K254&amp;L254,'_courses_lookup'!$E:$E,0)),"")</f>
        <v/>
      </c>
      <c r="P254">
        <f>IFERROR(INDEX('_courses_lookup'!$D:$D,MATCH(K254&amp;L254,'_courses_lookup'!$E:$E,0)),"")</f>
        <v/>
      </c>
      <c r="AG254">
        <f>IF(AND(AE254&lt;&gt;"",AF254&lt;&gt;""),ROUNDUP((AF254-AE254)/7,0),"")</f>
        <v/>
      </c>
      <c r="AI254">
        <f>IFERROR(IF(AG254*AH254=0,"",AG254*AH254),"")</f>
        <v/>
      </c>
      <c r="AL254">
        <f>IF(AND(AJ254&lt;&gt;"",AK254&lt;&gt;""),ROUNDUP((AK254-AJ254)/7,0),"")</f>
        <v/>
      </c>
      <c r="AN254">
        <f>IFERROR(IF(AL254*AM254=0,"",AL254*AM254),"")</f>
        <v/>
      </c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L254">
        <f>IFERROR(INDEX('_names_lookup'!$C:$C,MATCH(BK254,'_names_lookup'!$A:$A,0)),"")</f>
        <v/>
      </c>
      <c r="BM254">
        <f>IFERROR(INDEX('_names_lookup'!$B:$B,MATCH(BK254,'_names_lookup'!$A:$A,0)),"")</f>
        <v/>
      </c>
      <c r="BS254">
        <f>IFERROR(IF(BR254*AA254=0,"",BR254*AA254),"")</f>
        <v/>
      </c>
    </row>
    <row r="255">
      <c r="O255">
        <f>IFERROR(INDEX('_courses_lookup'!$C:$C,MATCH(K255&amp;L255,'_courses_lookup'!$E:$E,0)),"")</f>
        <v/>
      </c>
      <c r="P255">
        <f>IFERROR(INDEX('_courses_lookup'!$D:$D,MATCH(K255&amp;L255,'_courses_lookup'!$E:$E,0)),"")</f>
        <v/>
      </c>
      <c r="AG255">
        <f>IF(AND(AE255&lt;&gt;"",AF255&lt;&gt;""),ROUNDUP((AF255-AE255)/7,0),"")</f>
        <v/>
      </c>
      <c r="AI255">
        <f>IFERROR(IF(AG255*AH255=0,"",AG255*AH255),"")</f>
        <v/>
      </c>
      <c r="AL255">
        <f>IF(AND(AJ255&lt;&gt;"",AK255&lt;&gt;""),ROUNDUP((AK255-AJ255)/7,0),"")</f>
        <v/>
      </c>
      <c r="AN255">
        <f>IFERROR(IF(AL255*AM255=0,"",AL255*AM255),"")</f>
        <v/>
      </c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L255">
        <f>IFERROR(INDEX('_names_lookup'!$C:$C,MATCH(BK255,'_names_lookup'!$A:$A,0)),"")</f>
        <v/>
      </c>
      <c r="BM255">
        <f>IFERROR(INDEX('_names_lookup'!$B:$B,MATCH(BK255,'_names_lookup'!$A:$A,0)),"")</f>
        <v/>
      </c>
      <c r="BS255">
        <f>IFERROR(IF(BR255*AA255=0,"",BR255*AA255),"")</f>
        <v/>
      </c>
    </row>
    <row r="256">
      <c r="O256">
        <f>IFERROR(INDEX('_courses_lookup'!$C:$C,MATCH(K256&amp;L256,'_courses_lookup'!$E:$E,0)),"")</f>
        <v/>
      </c>
      <c r="P256">
        <f>IFERROR(INDEX('_courses_lookup'!$D:$D,MATCH(K256&amp;L256,'_courses_lookup'!$E:$E,0)),"")</f>
        <v/>
      </c>
      <c r="AG256">
        <f>IF(AND(AE256&lt;&gt;"",AF256&lt;&gt;""),ROUNDUP((AF256-AE256)/7,0),"")</f>
        <v/>
      </c>
      <c r="AI256">
        <f>IFERROR(IF(AG256*AH256=0,"",AG256*AH256),"")</f>
        <v/>
      </c>
      <c r="AL256">
        <f>IF(AND(AJ256&lt;&gt;"",AK256&lt;&gt;""),ROUNDUP((AK256-AJ256)/7,0),"")</f>
        <v/>
      </c>
      <c r="AN256">
        <f>IFERROR(IF(AL256*AM256=0,"",AL256*AM256),"")</f>
        <v/>
      </c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L256">
        <f>IFERROR(INDEX('_names_lookup'!$C:$C,MATCH(BK256,'_names_lookup'!$A:$A,0)),"")</f>
        <v/>
      </c>
      <c r="BM256">
        <f>IFERROR(INDEX('_names_lookup'!$B:$B,MATCH(BK256,'_names_lookup'!$A:$A,0)),"")</f>
        <v/>
      </c>
      <c r="BS256">
        <f>IFERROR(IF(BR256*AA256=0,"",BR256*AA256),"")</f>
        <v/>
      </c>
    </row>
    <row r="257">
      <c r="O257">
        <f>IFERROR(INDEX('_courses_lookup'!$C:$C,MATCH(K257&amp;L257,'_courses_lookup'!$E:$E,0)),"")</f>
        <v/>
      </c>
      <c r="P257">
        <f>IFERROR(INDEX('_courses_lookup'!$D:$D,MATCH(K257&amp;L257,'_courses_lookup'!$E:$E,0)),"")</f>
        <v/>
      </c>
      <c r="AG257">
        <f>IF(AND(AE257&lt;&gt;"",AF257&lt;&gt;""),ROUNDUP((AF257-AE257)/7,0),"")</f>
        <v/>
      </c>
      <c r="AI257">
        <f>IFERROR(IF(AG257*AH257=0,"",AG257*AH257),"")</f>
        <v/>
      </c>
      <c r="AL257">
        <f>IF(AND(AJ257&lt;&gt;"",AK257&lt;&gt;""),ROUNDUP((AK257-AJ257)/7,0),"")</f>
        <v/>
      </c>
      <c r="AN257">
        <f>IFERROR(IF(AL257*AM257=0,"",AL257*AM257),"")</f>
        <v/>
      </c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L257">
        <f>IFERROR(INDEX('_names_lookup'!$C:$C,MATCH(BK257,'_names_lookup'!$A:$A,0)),"")</f>
        <v/>
      </c>
      <c r="BM257">
        <f>IFERROR(INDEX('_names_lookup'!$B:$B,MATCH(BK257,'_names_lookup'!$A:$A,0)),"")</f>
        <v/>
      </c>
      <c r="BS257">
        <f>IFERROR(IF(BR257*AA257=0,"",BR257*AA257),"")</f>
        <v/>
      </c>
    </row>
    <row r="258">
      <c r="O258">
        <f>IFERROR(INDEX('_courses_lookup'!$C:$C,MATCH(K258&amp;L258,'_courses_lookup'!$E:$E,0)),"")</f>
        <v/>
      </c>
      <c r="P258">
        <f>IFERROR(INDEX('_courses_lookup'!$D:$D,MATCH(K258&amp;L258,'_courses_lookup'!$E:$E,0)),"")</f>
        <v/>
      </c>
      <c r="AG258">
        <f>IF(AND(AE258&lt;&gt;"",AF258&lt;&gt;""),ROUNDUP((AF258-AE258)/7,0),"")</f>
        <v/>
      </c>
      <c r="AI258">
        <f>IFERROR(IF(AG258*AH258=0,"",AG258*AH258),"")</f>
        <v/>
      </c>
      <c r="AL258">
        <f>IF(AND(AJ258&lt;&gt;"",AK258&lt;&gt;""),ROUNDUP((AK258-AJ258)/7,0),"")</f>
        <v/>
      </c>
      <c r="AN258">
        <f>IFERROR(IF(AL258*AM258=0,"",AL258*AM258),"")</f>
        <v/>
      </c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L258">
        <f>IFERROR(INDEX('_names_lookup'!$C:$C,MATCH(BK258,'_names_lookup'!$A:$A,0)),"")</f>
        <v/>
      </c>
      <c r="BM258">
        <f>IFERROR(INDEX('_names_lookup'!$B:$B,MATCH(BK258,'_names_lookup'!$A:$A,0)),"")</f>
        <v/>
      </c>
      <c r="BS258">
        <f>IFERROR(IF(BR258*AA258=0,"",BR258*AA258),"")</f>
        <v/>
      </c>
    </row>
    <row r="259">
      <c r="O259">
        <f>IFERROR(INDEX('_courses_lookup'!$C:$C,MATCH(K259&amp;L259,'_courses_lookup'!$E:$E,0)),"")</f>
        <v/>
      </c>
      <c r="P259">
        <f>IFERROR(INDEX('_courses_lookup'!$D:$D,MATCH(K259&amp;L259,'_courses_lookup'!$E:$E,0)),"")</f>
        <v/>
      </c>
      <c r="AG259">
        <f>IF(AND(AE259&lt;&gt;"",AF259&lt;&gt;""),ROUNDUP((AF259-AE259)/7,0),"")</f>
        <v/>
      </c>
      <c r="AI259">
        <f>IFERROR(IF(AG259*AH259=0,"",AG259*AH259),"")</f>
        <v/>
      </c>
      <c r="AL259">
        <f>IF(AND(AJ259&lt;&gt;"",AK259&lt;&gt;""),ROUNDUP((AK259-AJ259)/7,0),"")</f>
        <v/>
      </c>
      <c r="AN259">
        <f>IFERROR(IF(AL259*AM259=0,"",AL259*AM259),"")</f>
        <v/>
      </c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L259">
        <f>IFERROR(INDEX('_names_lookup'!$C:$C,MATCH(BK259,'_names_lookup'!$A:$A,0)),"")</f>
        <v/>
      </c>
      <c r="BM259">
        <f>IFERROR(INDEX('_names_lookup'!$B:$B,MATCH(BK259,'_names_lookup'!$A:$A,0)),"")</f>
        <v/>
      </c>
      <c r="BS259">
        <f>IFERROR(IF(BR259*AA259=0,"",BR259*AA259),"")</f>
        <v/>
      </c>
    </row>
    <row r="260">
      <c r="O260">
        <f>IFERROR(INDEX('_courses_lookup'!$C:$C,MATCH(K260&amp;L260,'_courses_lookup'!$E:$E,0)),"")</f>
        <v/>
      </c>
      <c r="P260">
        <f>IFERROR(INDEX('_courses_lookup'!$D:$D,MATCH(K260&amp;L260,'_courses_lookup'!$E:$E,0)),"")</f>
        <v/>
      </c>
      <c r="AG260">
        <f>IF(AND(AE260&lt;&gt;"",AF260&lt;&gt;""),ROUNDUP((AF260-AE260)/7,0),"")</f>
        <v/>
      </c>
      <c r="AI260">
        <f>IFERROR(IF(AG260*AH260=0,"",AG260*AH260),"")</f>
        <v/>
      </c>
      <c r="AL260">
        <f>IF(AND(AJ260&lt;&gt;"",AK260&lt;&gt;""),ROUNDUP((AK260-AJ260)/7,0),"")</f>
        <v/>
      </c>
      <c r="AN260">
        <f>IFERROR(IF(AL260*AM260=0,"",AL260*AM260),"")</f>
        <v/>
      </c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L260">
        <f>IFERROR(INDEX('_names_lookup'!$C:$C,MATCH(BK260,'_names_lookup'!$A:$A,0)),"")</f>
        <v/>
      </c>
      <c r="BM260">
        <f>IFERROR(INDEX('_names_lookup'!$B:$B,MATCH(BK260,'_names_lookup'!$A:$A,0)),"")</f>
        <v/>
      </c>
      <c r="BS260">
        <f>IFERROR(IF(BR260*AA260=0,"",BR260*AA260),"")</f>
        <v/>
      </c>
    </row>
    <row r="261">
      <c r="O261">
        <f>IFERROR(INDEX('_courses_lookup'!$C:$C,MATCH(K261&amp;L261,'_courses_lookup'!$E:$E,0)),"")</f>
        <v/>
      </c>
      <c r="P261">
        <f>IFERROR(INDEX('_courses_lookup'!$D:$D,MATCH(K261&amp;L261,'_courses_lookup'!$E:$E,0)),"")</f>
        <v/>
      </c>
      <c r="AG261">
        <f>IF(AND(AE261&lt;&gt;"",AF261&lt;&gt;""),ROUNDUP((AF261-AE261)/7,0),"")</f>
        <v/>
      </c>
      <c r="AI261">
        <f>IFERROR(IF(AG261*AH261=0,"",AG261*AH261),"")</f>
        <v/>
      </c>
      <c r="AL261">
        <f>IF(AND(AJ261&lt;&gt;"",AK261&lt;&gt;""),ROUNDUP((AK261-AJ261)/7,0),"")</f>
        <v/>
      </c>
      <c r="AN261">
        <f>IFERROR(IF(AL261*AM261=0,"",AL261*AM261),"")</f>
        <v/>
      </c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L261">
        <f>IFERROR(INDEX('_names_lookup'!$C:$C,MATCH(BK261,'_names_lookup'!$A:$A,0)),"")</f>
        <v/>
      </c>
      <c r="BM261">
        <f>IFERROR(INDEX('_names_lookup'!$B:$B,MATCH(BK261,'_names_lookup'!$A:$A,0)),"")</f>
        <v/>
      </c>
      <c r="BS261">
        <f>IFERROR(IF(BR261*AA261=0,"",BR261*AA261),"")</f>
        <v/>
      </c>
    </row>
    <row r="262">
      <c r="O262">
        <f>IFERROR(INDEX('_courses_lookup'!$C:$C,MATCH(K262&amp;L262,'_courses_lookup'!$E:$E,0)),"")</f>
        <v/>
      </c>
      <c r="P262">
        <f>IFERROR(INDEX('_courses_lookup'!$D:$D,MATCH(K262&amp;L262,'_courses_lookup'!$E:$E,0)),"")</f>
        <v/>
      </c>
      <c r="AG262">
        <f>IF(AND(AE262&lt;&gt;"",AF262&lt;&gt;""),ROUNDUP((AF262-AE262)/7,0),"")</f>
        <v/>
      </c>
      <c r="AI262">
        <f>IFERROR(IF(AG262*AH262=0,"",AG262*AH262),"")</f>
        <v/>
      </c>
      <c r="AL262">
        <f>IF(AND(AJ262&lt;&gt;"",AK262&lt;&gt;""),ROUNDUP((AK262-AJ262)/7,0),"")</f>
        <v/>
      </c>
      <c r="AN262">
        <f>IFERROR(IF(AL262*AM262=0,"",AL262*AM262),"")</f>
        <v/>
      </c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L262">
        <f>IFERROR(INDEX('_names_lookup'!$C:$C,MATCH(BK262,'_names_lookup'!$A:$A,0)),"")</f>
        <v/>
      </c>
      <c r="BM262">
        <f>IFERROR(INDEX('_names_lookup'!$B:$B,MATCH(BK262,'_names_lookup'!$A:$A,0)),"")</f>
        <v/>
      </c>
      <c r="BS262">
        <f>IFERROR(IF(BR262*AA262=0,"",BR262*AA262),"")</f>
        <v/>
      </c>
    </row>
    <row r="263">
      <c r="O263">
        <f>IFERROR(INDEX('_courses_lookup'!$C:$C,MATCH(K263&amp;L263,'_courses_lookup'!$E:$E,0)),"")</f>
        <v/>
      </c>
      <c r="P263">
        <f>IFERROR(INDEX('_courses_lookup'!$D:$D,MATCH(K263&amp;L263,'_courses_lookup'!$E:$E,0)),"")</f>
        <v/>
      </c>
      <c r="AG263">
        <f>IF(AND(AE263&lt;&gt;"",AF263&lt;&gt;""),ROUNDUP((AF263-AE263)/7,0),"")</f>
        <v/>
      </c>
      <c r="AI263">
        <f>IFERROR(IF(AG263*AH263=0,"",AG263*AH263),"")</f>
        <v/>
      </c>
      <c r="AL263">
        <f>IF(AND(AJ263&lt;&gt;"",AK263&lt;&gt;""),ROUNDUP((AK263-AJ263)/7,0),"")</f>
        <v/>
      </c>
      <c r="AN263">
        <f>IFERROR(IF(AL263*AM263=0,"",AL263*AM263),"")</f>
        <v/>
      </c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L263">
        <f>IFERROR(INDEX('_names_lookup'!$C:$C,MATCH(BK263,'_names_lookup'!$A:$A,0)),"")</f>
        <v/>
      </c>
      <c r="BM263">
        <f>IFERROR(INDEX('_names_lookup'!$B:$B,MATCH(BK263,'_names_lookup'!$A:$A,0)),"")</f>
        <v/>
      </c>
      <c r="BS263">
        <f>IFERROR(IF(BR263*AA263=0,"",BR263*AA263),"")</f>
        <v/>
      </c>
    </row>
    <row r="264">
      <c r="O264">
        <f>IFERROR(INDEX('_courses_lookup'!$C:$C,MATCH(K264&amp;L264,'_courses_lookup'!$E:$E,0)),"")</f>
        <v/>
      </c>
      <c r="P264">
        <f>IFERROR(INDEX('_courses_lookup'!$D:$D,MATCH(K264&amp;L264,'_courses_lookup'!$E:$E,0)),"")</f>
        <v/>
      </c>
      <c r="AG264">
        <f>IF(AND(AE264&lt;&gt;"",AF264&lt;&gt;""),ROUNDUP((AF264-AE264)/7,0),"")</f>
        <v/>
      </c>
      <c r="AI264">
        <f>IFERROR(IF(AG264*AH264=0,"",AG264*AH264),"")</f>
        <v/>
      </c>
      <c r="AL264">
        <f>IF(AND(AJ264&lt;&gt;"",AK264&lt;&gt;""),ROUNDUP((AK264-AJ264)/7,0),"")</f>
        <v/>
      </c>
      <c r="AN264">
        <f>IFERROR(IF(AL264*AM264=0,"",AL264*AM264),"")</f>
        <v/>
      </c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L264">
        <f>IFERROR(INDEX('_names_lookup'!$C:$C,MATCH(BK264,'_names_lookup'!$A:$A,0)),"")</f>
        <v/>
      </c>
      <c r="BM264">
        <f>IFERROR(INDEX('_names_lookup'!$B:$B,MATCH(BK264,'_names_lookup'!$A:$A,0)),"")</f>
        <v/>
      </c>
      <c r="BS264">
        <f>IFERROR(IF(BR264*AA264=0,"",BR264*AA264),"")</f>
        <v/>
      </c>
    </row>
    <row r="265">
      <c r="O265">
        <f>IFERROR(INDEX('_courses_lookup'!$C:$C,MATCH(K265&amp;L265,'_courses_lookup'!$E:$E,0)),"")</f>
        <v/>
      </c>
      <c r="P265">
        <f>IFERROR(INDEX('_courses_lookup'!$D:$D,MATCH(K265&amp;L265,'_courses_lookup'!$E:$E,0)),"")</f>
        <v/>
      </c>
      <c r="AG265">
        <f>IF(AND(AE265&lt;&gt;"",AF265&lt;&gt;""),ROUNDUP((AF265-AE265)/7,0),"")</f>
        <v/>
      </c>
      <c r="AI265">
        <f>IFERROR(IF(AG265*AH265=0,"",AG265*AH265),"")</f>
        <v/>
      </c>
      <c r="AL265">
        <f>IF(AND(AJ265&lt;&gt;"",AK265&lt;&gt;""),ROUNDUP((AK265-AJ265)/7,0),"")</f>
        <v/>
      </c>
      <c r="AN265">
        <f>IFERROR(IF(AL265*AM265=0,"",AL265*AM265),"")</f>
        <v/>
      </c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L265">
        <f>IFERROR(INDEX('_names_lookup'!$C:$C,MATCH(BK265,'_names_lookup'!$A:$A,0)),"")</f>
        <v/>
      </c>
      <c r="BM265">
        <f>IFERROR(INDEX('_names_lookup'!$B:$B,MATCH(BK265,'_names_lookup'!$A:$A,0)),"")</f>
        <v/>
      </c>
      <c r="BS265">
        <f>IFERROR(IF(BR265*AA265=0,"",BR265*AA265),"")</f>
        <v/>
      </c>
    </row>
    <row r="266">
      <c r="O266">
        <f>IFERROR(INDEX('_courses_lookup'!$C:$C,MATCH(K266&amp;L266,'_courses_lookup'!$E:$E,0)),"")</f>
        <v/>
      </c>
      <c r="P266">
        <f>IFERROR(INDEX('_courses_lookup'!$D:$D,MATCH(K266&amp;L266,'_courses_lookup'!$E:$E,0)),"")</f>
        <v/>
      </c>
      <c r="AG266">
        <f>IF(AND(AE266&lt;&gt;"",AF266&lt;&gt;""),ROUNDUP((AF266-AE266)/7,0),"")</f>
        <v/>
      </c>
      <c r="AI266">
        <f>IFERROR(IF(AG266*AH266=0,"",AG266*AH266),"")</f>
        <v/>
      </c>
      <c r="AL266">
        <f>IF(AND(AJ266&lt;&gt;"",AK266&lt;&gt;""),ROUNDUP((AK266-AJ266)/7,0),"")</f>
        <v/>
      </c>
      <c r="AN266">
        <f>IFERROR(IF(AL266*AM266=0,"",AL266*AM266),"")</f>
        <v/>
      </c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L266">
        <f>IFERROR(INDEX('_names_lookup'!$C:$C,MATCH(BK266,'_names_lookup'!$A:$A,0)),"")</f>
        <v/>
      </c>
      <c r="BM266">
        <f>IFERROR(INDEX('_names_lookup'!$B:$B,MATCH(BK266,'_names_lookup'!$A:$A,0)),"")</f>
        <v/>
      </c>
      <c r="BS266">
        <f>IFERROR(IF(BR266*AA266=0,"",BR266*AA266),"")</f>
        <v/>
      </c>
    </row>
    <row r="267">
      <c r="O267">
        <f>IFERROR(INDEX('_courses_lookup'!$C:$C,MATCH(K267&amp;L267,'_courses_lookup'!$E:$E,0)),"")</f>
        <v/>
      </c>
      <c r="P267">
        <f>IFERROR(INDEX('_courses_lookup'!$D:$D,MATCH(K267&amp;L267,'_courses_lookup'!$E:$E,0)),"")</f>
        <v/>
      </c>
      <c r="AG267">
        <f>IF(AND(AE267&lt;&gt;"",AF267&lt;&gt;""),ROUNDUP((AF267-AE267)/7,0),"")</f>
        <v/>
      </c>
      <c r="AI267">
        <f>IFERROR(IF(AG267*AH267=0,"",AG267*AH267),"")</f>
        <v/>
      </c>
      <c r="AL267">
        <f>IF(AND(AJ267&lt;&gt;"",AK267&lt;&gt;""),ROUNDUP((AK267-AJ267)/7,0),"")</f>
        <v/>
      </c>
      <c r="AN267">
        <f>IFERROR(IF(AL267*AM267=0,"",AL267*AM267),"")</f>
        <v/>
      </c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L267">
        <f>IFERROR(INDEX('_names_lookup'!$C:$C,MATCH(BK267,'_names_lookup'!$A:$A,0)),"")</f>
        <v/>
      </c>
      <c r="BM267">
        <f>IFERROR(INDEX('_names_lookup'!$B:$B,MATCH(BK267,'_names_lookup'!$A:$A,0)),"")</f>
        <v/>
      </c>
      <c r="BS267">
        <f>IFERROR(IF(BR267*AA267=0,"",BR267*AA267),"")</f>
        <v/>
      </c>
    </row>
    <row r="268">
      <c r="O268">
        <f>IFERROR(INDEX('_courses_lookup'!$C:$C,MATCH(K268&amp;L268,'_courses_lookup'!$E:$E,0)),"")</f>
        <v/>
      </c>
      <c r="P268">
        <f>IFERROR(INDEX('_courses_lookup'!$D:$D,MATCH(K268&amp;L268,'_courses_lookup'!$E:$E,0)),"")</f>
        <v/>
      </c>
      <c r="AG268">
        <f>IF(AND(AE268&lt;&gt;"",AF268&lt;&gt;""),ROUNDUP((AF268-AE268)/7,0),"")</f>
        <v/>
      </c>
      <c r="AI268">
        <f>IFERROR(IF(AG268*AH268=0,"",AG268*AH268),"")</f>
        <v/>
      </c>
      <c r="AL268">
        <f>IF(AND(AJ268&lt;&gt;"",AK268&lt;&gt;""),ROUNDUP((AK268-AJ268)/7,0),"")</f>
        <v/>
      </c>
      <c r="AN268">
        <f>IFERROR(IF(AL268*AM268=0,"",AL268*AM268),"")</f>
        <v/>
      </c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L268">
        <f>IFERROR(INDEX('_names_lookup'!$C:$C,MATCH(BK268,'_names_lookup'!$A:$A,0)),"")</f>
        <v/>
      </c>
      <c r="BM268">
        <f>IFERROR(INDEX('_names_lookup'!$B:$B,MATCH(BK268,'_names_lookup'!$A:$A,0)),"")</f>
        <v/>
      </c>
      <c r="BS268">
        <f>IFERROR(IF(BR268*AA268=0,"",BR268*AA268),"")</f>
        <v/>
      </c>
    </row>
    <row r="269">
      <c r="O269">
        <f>IFERROR(INDEX('_courses_lookup'!$C:$C,MATCH(K269&amp;L269,'_courses_lookup'!$E:$E,0)),"")</f>
        <v/>
      </c>
      <c r="P269">
        <f>IFERROR(INDEX('_courses_lookup'!$D:$D,MATCH(K269&amp;L269,'_courses_lookup'!$E:$E,0)),"")</f>
        <v/>
      </c>
      <c r="AG269">
        <f>IF(AND(AE269&lt;&gt;"",AF269&lt;&gt;""),ROUNDUP((AF269-AE269)/7,0),"")</f>
        <v/>
      </c>
      <c r="AI269">
        <f>IFERROR(IF(AG269*AH269=0,"",AG269*AH269),"")</f>
        <v/>
      </c>
      <c r="AL269">
        <f>IF(AND(AJ269&lt;&gt;"",AK269&lt;&gt;""),ROUNDUP((AK269-AJ269)/7,0),"")</f>
        <v/>
      </c>
      <c r="AN269">
        <f>IFERROR(IF(AL269*AM269=0,"",AL269*AM269),"")</f>
        <v/>
      </c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L269">
        <f>IFERROR(INDEX('_names_lookup'!$C:$C,MATCH(BK269,'_names_lookup'!$A:$A,0)),"")</f>
        <v/>
      </c>
      <c r="BM269">
        <f>IFERROR(INDEX('_names_lookup'!$B:$B,MATCH(BK269,'_names_lookup'!$A:$A,0)),"")</f>
        <v/>
      </c>
      <c r="BS269">
        <f>IFERROR(IF(BR269*AA269=0,"",BR269*AA269),"")</f>
        <v/>
      </c>
    </row>
    <row r="270">
      <c r="O270">
        <f>IFERROR(INDEX('_courses_lookup'!$C:$C,MATCH(K270&amp;L270,'_courses_lookup'!$E:$E,0)),"")</f>
        <v/>
      </c>
      <c r="P270">
        <f>IFERROR(INDEX('_courses_lookup'!$D:$D,MATCH(K270&amp;L270,'_courses_lookup'!$E:$E,0)),"")</f>
        <v/>
      </c>
      <c r="AG270">
        <f>IF(AND(AE270&lt;&gt;"",AF270&lt;&gt;""),ROUNDUP((AF270-AE270)/7,0),"")</f>
        <v/>
      </c>
      <c r="AI270">
        <f>IFERROR(IF(AG270*AH270=0,"",AG270*AH270),"")</f>
        <v/>
      </c>
      <c r="AL270">
        <f>IF(AND(AJ270&lt;&gt;"",AK270&lt;&gt;""),ROUNDUP((AK270-AJ270)/7,0),"")</f>
        <v/>
      </c>
      <c r="AN270">
        <f>IFERROR(IF(AL270*AM270=0,"",AL270*AM270),"")</f>
        <v/>
      </c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L270">
        <f>IFERROR(INDEX('_names_lookup'!$C:$C,MATCH(BK270,'_names_lookup'!$A:$A,0)),"")</f>
        <v/>
      </c>
      <c r="BM270">
        <f>IFERROR(INDEX('_names_lookup'!$B:$B,MATCH(BK270,'_names_lookup'!$A:$A,0)),"")</f>
        <v/>
      </c>
      <c r="BS270">
        <f>IFERROR(IF(BR270*AA270=0,"",BR270*AA270),"")</f>
        <v/>
      </c>
    </row>
    <row r="271">
      <c r="O271">
        <f>IFERROR(INDEX('_courses_lookup'!$C:$C,MATCH(K271&amp;L271,'_courses_lookup'!$E:$E,0)),"")</f>
        <v/>
      </c>
      <c r="P271">
        <f>IFERROR(INDEX('_courses_lookup'!$D:$D,MATCH(K271&amp;L271,'_courses_lookup'!$E:$E,0)),"")</f>
        <v/>
      </c>
      <c r="AG271">
        <f>IF(AND(AE271&lt;&gt;"",AF271&lt;&gt;""),ROUNDUP((AF271-AE271)/7,0),"")</f>
        <v/>
      </c>
      <c r="AI271">
        <f>IFERROR(IF(AG271*AH271=0,"",AG271*AH271),"")</f>
        <v/>
      </c>
      <c r="AL271">
        <f>IF(AND(AJ271&lt;&gt;"",AK271&lt;&gt;""),ROUNDUP((AK271-AJ271)/7,0),"")</f>
        <v/>
      </c>
      <c r="AN271">
        <f>IFERROR(IF(AL271*AM271=0,"",AL271*AM271),"")</f>
        <v/>
      </c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L271">
        <f>IFERROR(INDEX('_names_lookup'!$C:$C,MATCH(BK271,'_names_lookup'!$A:$A,0)),"")</f>
        <v/>
      </c>
      <c r="BM271">
        <f>IFERROR(INDEX('_names_lookup'!$B:$B,MATCH(BK271,'_names_lookup'!$A:$A,0)),"")</f>
        <v/>
      </c>
      <c r="BS271">
        <f>IFERROR(IF(BR271*AA271=0,"",BR271*AA271),"")</f>
        <v/>
      </c>
    </row>
    <row r="272">
      <c r="O272">
        <f>IFERROR(INDEX('_courses_lookup'!$C:$C,MATCH(K272&amp;L272,'_courses_lookup'!$E:$E,0)),"")</f>
        <v/>
      </c>
      <c r="P272">
        <f>IFERROR(INDEX('_courses_lookup'!$D:$D,MATCH(K272&amp;L272,'_courses_lookup'!$E:$E,0)),"")</f>
        <v/>
      </c>
      <c r="AG272">
        <f>IF(AND(AE272&lt;&gt;"",AF272&lt;&gt;""),ROUNDUP((AF272-AE272)/7,0),"")</f>
        <v/>
      </c>
      <c r="AI272">
        <f>IFERROR(IF(AG272*AH272=0,"",AG272*AH272),"")</f>
        <v/>
      </c>
      <c r="AL272">
        <f>IF(AND(AJ272&lt;&gt;"",AK272&lt;&gt;""),ROUNDUP((AK272-AJ272)/7,0),"")</f>
        <v/>
      </c>
      <c r="AN272">
        <f>IFERROR(IF(AL272*AM272=0,"",AL272*AM272),"")</f>
        <v/>
      </c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L272">
        <f>IFERROR(INDEX('_names_lookup'!$C:$C,MATCH(BK272,'_names_lookup'!$A:$A,0)),"")</f>
        <v/>
      </c>
      <c r="BM272">
        <f>IFERROR(INDEX('_names_lookup'!$B:$B,MATCH(BK272,'_names_lookup'!$A:$A,0)),"")</f>
        <v/>
      </c>
      <c r="BS272">
        <f>IFERROR(IF(BR272*AA272=0,"",BR272*AA272),"")</f>
        <v/>
      </c>
    </row>
    <row r="273">
      <c r="O273">
        <f>IFERROR(INDEX('_courses_lookup'!$C:$C,MATCH(K273&amp;L273,'_courses_lookup'!$E:$E,0)),"")</f>
        <v/>
      </c>
      <c r="P273">
        <f>IFERROR(INDEX('_courses_lookup'!$D:$D,MATCH(K273&amp;L273,'_courses_lookup'!$E:$E,0)),"")</f>
        <v/>
      </c>
      <c r="AG273">
        <f>IF(AND(AE273&lt;&gt;"",AF273&lt;&gt;""),ROUNDUP((AF273-AE273)/7,0),"")</f>
        <v/>
      </c>
      <c r="AI273">
        <f>IFERROR(IF(AG273*AH273=0,"",AG273*AH273),"")</f>
        <v/>
      </c>
      <c r="AL273">
        <f>IF(AND(AJ273&lt;&gt;"",AK273&lt;&gt;""),ROUNDUP((AK273-AJ273)/7,0),"")</f>
        <v/>
      </c>
      <c r="AN273">
        <f>IFERROR(IF(AL273*AM273=0,"",AL273*AM273),"")</f>
        <v/>
      </c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L273">
        <f>IFERROR(INDEX('_names_lookup'!$C:$C,MATCH(BK273,'_names_lookup'!$A:$A,0)),"")</f>
        <v/>
      </c>
      <c r="BM273">
        <f>IFERROR(INDEX('_names_lookup'!$B:$B,MATCH(BK273,'_names_lookup'!$A:$A,0)),"")</f>
        <v/>
      </c>
      <c r="BS273">
        <f>IFERROR(IF(BR273*AA273=0,"",BR273*AA273),"")</f>
        <v/>
      </c>
    </row>
    <row r="274">
      <c r="O274">
        <f>IFERROR(INDEX('_courses_lookup'!$C:$C,MATCH(K274&amp;L274,'_courses_lookup'!$E:$E,0)),"")</f>
        <v/>
      </c>
      <c r="P274">
        <f>IFERROR(INDEX('_courses_lookup'!$D:$D,MATCH(K274&amp;L274,'_courses_lookup'!$E:$E,0)),"")</f>
        <v/>
      </c>
      <c r="AG274">
        <f>IF(AND(AE274&lt;&gt;"",AF274&lt;&gt;""),ROUNDUP((AF274-AE274)/7,0),"")</f>
        <v/>
      </c>
      <c r="AI274">
        <f>IFERROR(IF(AG274*AH274=0,"",AG274*AH274),"")</f>
        <v/>
      </c>
      <c r="AL274">
        <f>IF(AND(AJ274&lt;&gt;"",AK274&lt;&gt;""),ROUNDUP((AK274-AJ274)/7,0),"")</f>
        <v/>
      </c>
      <c r="AN274">
        <f>IFERROR(IF(AL274*AM274=0,"",AL274*AM274),"")</f>
        <v/>
      </c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L274">
        <f>IFERROR(INDEX('_names_lookup'!$C:$C,MATCH(BK274,'_names_lookup'!$A:$A,0)),"")</f>
        <v/>
      </c>
      <c r="BM274">
        <f>IFERROR(INDEX('_names_lookup'!$B:$B,MATCH(BK274,'_names_lookup'!$A:$A,0)),"")</f>
        <v/>
      </c>
      <c r="BS274">
        <f>IFERROR(IF(BR274*AA274=0,"",BR274*AA274),"")</f>
        <v/>
      </c>
    </row>
    <row r="275">
      <c r="O275">
        <f>IFERROR(INDEX('_courses_lookup'!$C:$C,MATCH(K275&amp;L275,'_courses_lookup'!$E:$E,0)),"")</f>
        <v/>
      </c>
      <c r="P275">
        <f>IFERROR(INDEX('_courses_lookup'!$D:$D,MATCH(K275&amp;L275,'_courses_lookup'!$E:$E,0)),"")</f>
        <v/>
      </c>
      <c r="AG275">
        <f>IF(AND(AE275&lt;&gt;"",AF275&lt;&gt;""),ROUNDUP((AF275-AE275)/7,0),"")</f>
        <v/>
      </c>
      <c r="AI275">
        <f>IFERROR(IF(AG275*AH275=0,"",AG275*AH275),"")</f>
        <v/>
      </c>
      <c r="AL275">
        <f>IF(AND(AJ275&lt;&gt;"",AK275&lt;&gt;""),ROUNDUP((AK275-AJ275)/7,0),"")</f>
        <v/>
      </c>
      <c r="AN275">
        <f>IFERROR(IF(AL275*AM275=0,"",AL275*AM275),"")</f>
        <v/>
      </c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L275">
        <f>IFERROR(INDEX('_names_lookup'!$C:$C,MATCH(BK275,'_names_lookup'!$A:$A,0)),"")</f>
        <v/>
      </c>
      <c r="BM275">
        <f>IFERROR(INDEX('_names_lookup'!$B:$B,MATCH(BK275,'_names_lookup'!$A:$A,0)),"")</f>
        <v/>
      </c>
      <c r="BS275">
        <f>IFERROR(IF(BR275*AA275=0,"",BR275*AA275),"")</f>
        <v/>
      </c>
    </row>
    <row r="276">
      <c r="O276">
        <f>IFERROR(INDEX('_courses_lookup'!$C:$C,MATCH(K276&amp;L276,'_courses_lookup'!$E:$E,0)),"")</f>
        <v/>
      </c>
      <c r="P276">
        <f>IFERROR(INDEX('_courses_lookup'!$D:$D,MATCH(K276&amp;L276,'_courses_lookup'!$E:$E,0)),"")</f>
        <v/>
      </c>
      <c r="AG276">
        <f>IF(AND(AE276&lt;&gt;"",AF276&lt;&gt;""),ROUNDUP((AF276-AE276)/7,0),"")</f>
        <v/>
      </c>
      <c r="AI276">
        <f>IFERROR(IF(AG276*AH276=0,"",AG276*AH276),"")</f>
        <v/>
      </c>
      <c r="AL276">
        <f>IF(AND(AJ276&lt;&gt;"",AK276&lt;&gt;""),ROUNDUP((AK276-AJ276)/7,0),"")</f>
        <v/>
      </c>
      <c r="AN276">
        <f>IFERROR(IF(AL276*AM276=0,"",AL276*AM276),"")</f>
        <v/>
      </c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L276">
        <f>IFERROR(INDEX('_names_lookup'!$C:$C,MATCH(BK276,'_names_lookup'!$A:$A,0)),"")</f>
        <v/>
      </c>
      <c r="BM276">
        <f>IFERROR(INDEX('_names_lookup'!$B:$B,MATCH(BK276,'_names_lookup'!$A:$A,0)),"")</f>
        <v/>
      </c>
      <c r="BS276">
        <f>IFERROR(IF(BR276*AA276=0,"",BR276*AA276),"")</f>
        <v/>
      </c>
    </row>
    <row r="277">
      <c r="O277">
        <f>IFERROR(INDEX('_courses_lookup'!$C:$C,MATCH(K277&amp;L277,'_courses_lookup'!$E:$E,0)),"")</f>
        <v/>
      </c>
      <c r="P277">
        <f>IFERROR(INDEX('_courses_lookup'!$D:$D,MATCH(K277&amp;L277,'_courses_lookup'!$E:$E,0)),"")</f>
        <v/>
      </c>
      <c r="AG277">
        <f>IF(AND(AE277&lt;&gt;"",AF277&lt;&gt;""),ROUNDUP((AF277-AE277)/7,0),"")</f>
        <v/>
      </c>
      <c r="AI277">
        <f>IFERROR(IF(AG277*AH277=0,"",AG277*AH277),"")</f>
        <v/>
      </c>
      <c r="AL277">
        <f>IF(AND(AJ277&lt;&gt;"",AK277&lt;&gt;""),ROUNDUP((AK277-AJ277)/7,0),"")</f>
        <v/>
      </c>
      <c r="AN277">
        <f>IFERROR(IF(AL277*AM277=0,"",AL277*AM277),"")</f>
        <v/>
      </c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L277">
        <f>IFERROR(INDEX('_names_lookup'!$C:$C,MATCH(BK277,'_names_lookup'!$A:$A,0)),"")</f>
        <v/>
      </c>
      <c r="BM277">
        <f>IFERROR(INDEX('_names_lookup'!$B:$B,MATCH(BK277,'_names_lookup'!$A:$A,0)),"")</f>
        <v/>
      </c>
      <c r="BS277">
        <f>IFERROR(IF(BR277*AA277=0,"",BR277*AA277),"")</f>
        <v/>
      </c>
    </row>
    <row r="278">
      <c r="O278">
        <f>IFERROR(INDEX('_courses_lookup'!$C:$C,MATCH(K278&amp;L278,'_courses_lookup'!$E:$E,0)),"")</f>
        <v/>
      </c>
      <c r="P278">
        <f>IFERROR(INDEX('_courses_lookup'!$D:$D,MATCH(K278&amp;L278,'_courses_lookup'!$E:$E,0)),"")</f>
        <v/>
      </c>
      <c r="AG278">
        <f>IF(AND(AE278&lt;&gt;"",AF278&lt;&gt;""),ROUNDUP((AF278-AE278)/7,0),"")</f>
        <v/>
      </c>
      <c r="AI278">
        <f>IFERROR(IF(AG278*AH278=0,"",AG278*AH278),"")</f>
        <v/>
      </c>
      <c r="AL278">
        <f>IF(AND(AJ278&lt;&gt;"",AK278&lt;&gt;""),ROUNDUP((AK278-AJ278)/7,0),"")</f>
        <v/>
      </c>
      <c r="AN278">
        <f>IFERROR(IF(AL278*AM278=0,"",AL278*AM278),"")</f>
        <v/>
      </c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L278">
        <f>IFERROR(INDEX('_names_lookup'!$C:$C,MATCH(BK278,'_names_lookup'!$A:$A,0)),"")</f>
        <v/>
      </c>
      <c r="BM278">
        <f>IFERROR(INDEX('_names_lookup'!$B:$B,MATCH(BK278,'_names_lookup'!$A:$A,0)),"")</f>
        <v/>
      </c>
      <c r="BS278">
        <f>IFERROR(IF(BR278*AA278=0,"",BR278*AA278),"")</f>
        <v/>
      </c>
    </row>
    <row r="279">
      <c r="O279">
        <f>IFERROR(INDEX('_courses_lookup'!$C:$C,MATCH(K279&amp;L279,'_courses_lookup'!$E:$E,0)),"")</f>
        <v/>
      </c>
      <c r="P279">
        <f>IFERROR(INDEX('_courses_lookup'!$D:$D,MATCH(K279&amp;L279,'_courses_lookup'!$E:$E,0)),"")</f>
        <v/>
      </c>
      <c r="AG279">
        <f>IF(AND(AE279&lt;&gt;"",AF279&lt;&gt;""),ROUNDUP((AF279-AE279)/7,0),"")</f>
        <v/>
      </c>
      <c r="AI279">
        <f>IFERROR(IF(AG279*AH279=0,"",AG279*AH279),"")</f>
        <v/>
      </c>
      <c r="AL279">
        <f>IF(AND(AJ279&lt;&gt;"",AK279&lt;&gt;""),ROUNDUP((AK279-AJ279)/7,0),"")</f>
        <v/>
      </c>
      <c r="AN279">
        <f>IFERROR(IF(AL279*AM279=0,"",AL279*AM279),"")</f>
        <v/>
      </c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L279">
        <f>IFERROR(INDEX('_names_lookup'!$C:$C,MATCH(BK279,'_names_lookup'!$A:$A,0)),"")</f>
        <v/>
      </c>
      <c r="BM279">
        <f>IFERROR(INDEX('_names_lookup'!$B:$B,MATCH(BK279,'_names_lookup'!$A:$A,0)),"")</f>
        <v/>
      </c>
      <c r="BS279">
        <f>IFERROR(IF(BR279*AA279=0,"",BR279*AA279),"")</f>
        <v/>
      </c>
    </row>
    <row r="280">
      <c r="O280">
        <f>IFERROR(INDEX('_courses_lookup'!$C:$C,MATCH(K280&amp;L280,'_courses_lookup'!$E:$E,0)),"")</f>
        <v/>
      </c>
      <c r="P280">
        <f>IFERROR(INDEX('_courses_lookup'!$D:$D,MATCH(K280&amp;L280,'_courses_lookup'!$E:$E,0)),"")</f>
        <v/>
      </c>
      <c r="AG280">
        <f>IF(AND(AE280&lt;&gt;"",AF280&lt;&gt;""),ROUNDUP((AF280-AE280)/7,0),"")</f>
        <v/>
      </c>
      <c r="AI280">
        <f>IFERROR(IF(AG280*AH280=0,"",AG280*AH280),"")</f>
        <v/>
      </c>
      <c r="AL280">
        <f>IF(AND(AJ280&lt;&gt;"",AK280&lt;&gt;""),ROUNDUP((AK280-AJ280)/7,0),"")</f>
        <v/>
      </c>
      <c r="AN280">
        <f>IFERROR(IF(AL280*AM280=0,"",AL280*AM280),"")</f>
        <v/>
      </c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L280">
        <f>IFERROR(INDEX('_names_lookup'!$C:$C,MATCH(BK280,'_names_lookup'!$A:$A,0)),"")</f>
        <v/>
      </c>
      <c r="BM280">
        <f>IFERROR(INDEX('_names_lookup'!$B:$B,MATCH(BK280,'_names_lookup'!$A:$A,0)),"")</f>
        <v/>
      </c>
      <c r="BS280">
        <f>IFERROR(IF(BR280*AA280=0,"",BR280*AA280),"")</f>
        <v/>
      </c>
    </row>
    <row r="281">
      <c r="O281">
        <f>IFERROR(INDEX('_courses_lookup'!$C:$C,MATCH(K281&amp;L281,'_courses_lookup'!$E:$E,0)),"")</f>
        <v/>
      </c>
      <c r="P281">
        <f>IFERROR(INDEX('_courses_lookup'!$D:$D,MATCH(K281&amp;L281,'_courses_lookup'!$E:$E,0)),"")</f>
        <v/>
      </c>
      <c r="AG281">
        <f>IF(AND(AE281&lt;&gt;"",AF281&lt;&gt;""),ROUNDUP((AF281-AE281)/7,0),"")</f>
        <v/>
      </c>
      <c r="AI281">
        <f>IFERROR(IF(AG281*AH281=0,"",AG281*AH281),"")</f>
        <v/>
      </c>
      <c r="AL281">
        <f>IF(AND(AJ281&lt;&gt;"",AK281&lt;&gt;""),ROUNDUP((AK281-AJ281)/7,0),"")</f>
        <v/>
      </c>
      <c r="AN281">
        <f>IFERROR(IF(AL281*AM281=0,"",AL281*AM281),"")</f>
        <v/>
      </c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L281">
        <f>IFERROR(INDEX('_names_lookup'!$C:$C,MATCH(BK281,'_names_lookup'!$A:$A,0)),"")</f>
        <v/>
      </c>
      <c r="BM281">
        <f>IFERROR(INDEX('_names_lookup'!$B:$B,MATCH(BK281,'_names_lookup'!$A:$A,0)),"")</f>
        <v/>
      </c>
      <c r="BS281">
        <f>IFERROR(IF(BR281*AA281=0,"",BR281*AA281),"")</f>
        <v/>
      </c>
    </row>
    <row r="282">
      <c r="O282">
        <f>IFERROR(INDEX('_courses_lookup'!$C:$C,MATCH(K282&amp;L282,'_courses_lookup'!$E:$E,0)),"")</f>
        <v/>
      </c>
      <c r="P282">
        <f>IFERROR(INDEX('_courses_lookup'!$D:$D,MATCH(K282&amp;L282,'_courses_lookup'!$E:$E,0)),"")</f>
        <v/>
      </c>
      <c r="AG282">
        <f>IF(AND(AE282&lt;&gt;"",AF282&lt;&gt;""),ROUNDUP((AF282-AE282)/7,0),"")</f>
        <v/>
      </c>
      <c r="AI282">
        <f>IFERROR(IF(AG282*AH282=0,"",AG282*AH282),"")</f>
        <v/>
      </c>
      <c r="AL282">
        <f>IF(AND(AJ282&lt;&gt;"",AK282&lt;&gt;""),ROUNDUP((AK282-AJ282)/7,0),"")</f>
        <v/>
      </c>
      <c r="AN282">
        <f>IFERROR(IF(AL282*AM282=0,"",AL282*AM282),"")</f>
        <v/>
      </c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L282">
        <f>IFERROR(INDEX('_names_lookup'!$C:$C,MATCH(BK282,'_names_lookup'!$A:$A,0)),"")</f>
        <v/>
      </c>
      <c r="BM282">
        <f>IFERROR(INDEX('_names_lookup'!$B:$B,MATCH(BK282,'_names_lookup'!$A:$A,0)),"")</f>
        <v/>
      </c>
      <c r="BS282">
        <f>IFERROR(IF(BR282*AA282=0,"",BR282*AA282),"")</f>
        <v/>
      </c>
    </row>
    <row r="283">
      <c r="O283">
        <f>IFERROR(INDEX('_courses_lookup'!$C:$C,MATCH(K283&amp;L283,'_courses_lookup'!$E:$E,0)),"")</f>
        <v/>
      </c>
      <c r="P283">
        <f>IFERROR(INDEX('_courses_lookup'!$D:$D,MATCH(K283&amp;L283,'_courses_lookup'!$E:$E,0)),"")</f>
        <v/>
      </c>
      <c r="AG283">
        <f>IF(AND(AE283&lt;&gt;"",AF283&lt;&gt;""),ROUNDUP((AF283-AE283)/7,0),"")</f>
        <v/>
      </c>
      <c r="AI283">
        <f>IFERROR(IF(AG283*AH283=0,"",AG283*AH283),"")</f>
        <v/>
      </c>
      <c r="AL283">
        <f>IF(AND(AJ283&lt;&gt;"",AK283&lt;&gt;""),ROUNDUP((AK283-AJ283)/7,0),"")</f>
        <v/>
      </c>
      <c r="AN283">
        <f>IFERROR(IF(AL283*AM283=0,"",AL283*AM283),"")</f>
        <v/>
      </c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L283">
        <f>IFERROR(INDEX('_names_lookup'!$C:$C,MATCH(BK283,'_names_lookup'!$A:$A,0)),"")</f>
        <v/>
      </c>
      <c r="BM283">
        <f>IFERROR(INDEX('_names_lookup'!$B:$B,MATCH(BK283,'_names_lookup'!$A:$A,0)),"")</f>
        <v/>
      </c>
      <c r="BS283">
        <f>IFERROR(IF(BR283*AA283=0,"",BR283*AA283),"")</f>
        <v/>
      </c>
    </row>
    <row r="284">
      <c r="O284">
        <f>IFERROR(INDEX('_courses_lookup'!$C:$C,MATCH(K284&amp;L284,'_courses_lookup'!$E:$E,0)),"")</f>
        <v/>
      </c>
      <c r="P284">
        <f>IFERROR(INDEX('_courses_lookup'!$D:$D,MATCH(K284&amp;L284,'_courses_lookup'!$E:$E,0)),"")</f>
        <v/>
      </c>
      <c r="AG284">
        <f>IF(AND(AE284&lt;&gt;"",AF284&lt;&gt;""),ROUNDUP((AF284-AE284)/7,0),"")</f>
        <v/>
      </c>
      <c r="AI284">
        <f>IFERROR(IF(AG284*AH284=0,"",AG284*AH284),"")</f>
        <v/>
      </c>
      <c r="AL284">
        <f>IF(AND(AJ284&lt;&gt;"",AK284&lt;&gt;""),ROUNDUP((AK284-AJ284)/7,0),"")</f>
        <v/>
      </c>
      <c r="AN284">
        <f>IFERROR(IF(AL284*AM284=0,"",AL284*AM284),"")</f>
        <v/>
      </c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L284">
        <f>IFERROR(INDEX('_names_lookup'!$C:$C,MATCH(BK284,'_names_lookup'!$A:$A,0)),"")</f>
        <v/>
      </c>
      <c r="BM284">
        <f>IFERROR(INDEX('_names_lookup'!$B:$B,MATCH(BK284,'_names_lookup'!$A:$A,0)),"")</f>
        <v/>
      </c>
      <c r="BS284">
        <f>IFERROR(IF(BR284*AA284=0,"",BR284*AA284),"")</f>
        <v/>
      </c>
    </row>
    <row r="285">
      <c r="O285">
        <f>IFERROR(INDEX('_courses_lookup'!$C:$C,MATCH(K285&amp;L285,'_courses_lookup'!$E:$E,0)),"")</f>
        <v/>
      </c>
      <c r="P285">
        <f>IFERROR(INDEX('_courses_lookup'!$D:$D,MATCH(K285&amp;L285,'_courses_lookup'!$E:$E,0)),"")</f>
        <v/>
      </c>
      <c r="AG285">
        <f>IF(AND(AE285&lt;&gt;"",AF285&lt;&gt;""),ROUNDUP((AF285-AE285)/7,0),"")</f>
        <v/>
      </c>
      <c r="AI285">
        <f>IFERROR(IF(AG285*AH285=0,"",AG285*AH285),"")</f>
        <v/>
      </c>
      <c r="AL285">
        <f>IF(AND(AJ285&lt;&gt;"",AK285&lt;&gt;""),ROUNDUP((AK285-AJ285)/7,0),"")</f>
        <v/>
      </c>
      <c r="AN285">
        <f>IFERROR(IF(AL285*AM285=0,"",AL285*AM285),"")</f>
        <v/>
      </c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L285">
        <f>IFERROR(INDEX('_names_lookup'!$C:$C,MATCH(BK285,'_names_lookup'!$A:$A,0)),"")</f>
        <v/>
      </c>
      <c r="BM285">
        <f>IFERROR(INDEX('_names_lookup'!$B:$B,MATCH(BK285,'_names_lookup'!$A:$A,0)),"")</f>
        <v/>
      </c>
      <c r="BS285">
        <f>IFERROR(IF(BR285*AA285=0,"",BR285*AA285),"")</f>
        <v/>
      </c>
    </row>
    <row r="286">
      <c r="O286">
        <f>IFERROR(INDEX('_courses_lookup'!$C:$C,MATCH(K286&amp;L286,'_courses_lookup'!$E:$E,0)),"")</f>
        <v/>
      </c>
      <c r="P286">
        <f>IFERROR(INDEX('_courses_lookup'!$D:$D,MATCH(K286&amp;L286,'_courses_lookup'!$E:$E,0)),"")</f>
        <v/>
      </c>
      <c r="AG286">
        <f>IF(AND(AE286&lt;&gt;"",AF286&lt;&gt;""),ROUNDUP((AF286-AE286)/7,0),"")</f>
        <v/>
      </c>
      <c r="AI286">
        <f>IFERROR(IF(AG286*AH286=0,"",AG286*AH286),"")</f>
        <v/>
      </c>
      <c r="AL286">
        <f>IF(AND(AJ286&lt;&gt;"",AK286&lt;&gt;""),ROUNDUP((AK286-AJ286)/7,0),"")</f>
        <v/>
      </c>
      <c r="AN286">
        <f>IFERROR(IF(AL286*AM286=0,"",AL286*AM286),"")</f>
        <v/>
      </c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L286">
        <f>IFERROR(INDEX('_names_lookup'!$C:$C,MATCH(BK286,'_names_lookup'!$A:$A,0)),"")</f>
        <v/>
      </c>
      <c r="BM286">
        <f>IFERROR(INDEX('_names_lookup'!$B:$B,MATCH(BK286,'_names_lookup'!$A:$A,0)),"")</f>
        <v/>
      </c>
      <c r="BS286">
        <f>IFERROR(IF(BR286*AA286=0,"",BR286*AA286),"")</f>
        <v/>
      </c>
    </row>
    <row r="287">
      <c r="O287">
        <f>IFERROR(INDEX('_courses_lookup'!$C:$C,MATCH(K287&amp;L287,'_courses_lookup'!$E:$E,0)),"")</f>
        <v/>
      </c>
      <c r="P287">
        <f>IFERROR(INDEX('_courses_lookup'!$D:$D,MATCH(K287&amp;L287,'_courses_lookup'!$E:$E,0)),"")</f>
        <v/>
      </c>
      <c r="AG287">
        <f>IF(AND(AE287&lt;&gt;"",AF287&lt;&gt;""),ROUNDUP((AF287-AE287)/7,0),"")</f>
        <v/>
      </c>
      <c r="AI287">
        <f>IFERROR(IF(AG287*AH287=0,"",AG287*AH287),"")</f>
        <v/>
      </c>
      <c r="AL287">
        <f>IF(AND(AJ287&lt;&gt;"",AK287&lt;&gt;""),ROUNDUP((AK287-AJ287)/7,0),"")</f>
        <v/>
      </c>
      <c r="AN287">
        <f>IFERROR(IF(AL287*AM287=0,"",AL287*AM287),"")</f>
        <v/>
      </c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L287">
        <f>IFERROR(INDEX('_names_lookup'!$C:$C,MATCH(BK287,'_names_lookup'!$A:$A,0)),"")</f>
        <v/>
      </c>
      <c r="BM287">
        <f>IFERROR(INDEX('_names_lookup'!$B:$B,MATCH(BK287,'_names_lookup'!$A:$A,0)),"")</f>
        <v/>
      </c>
      <c r="BS287">
        <f>IFERROR(IF(BR287*AA287=0,"",BR287*AA287),"")</f>
        <v/>
      </c>
    </row>
    <row r="288">
      <c r="O288">
        <f>IFERROR(INDEX('_courses_lookup'!$C:$C,MATCH(K288&amp;L288,'_courses_lookup'!$E:$E,0)),"")</f>
        <v/>
      </c>
      <c r="P288">
        <f>IFERROR(INDEX('_courses_lookup'!$D:$D,MATCH(K288&amp;L288,'_courses_lookup'!$E:$E,0)),"")</f>
        <v/>
      </c>
      <c r="AG288">
        <f>IF(AND(AE288&lt;&gt;"",AF288&lt;&gt;""),ROUNDUP((AF288-AE288)/7,0),"")</f>
        <v/>
      </c>
      <c r="AI288">
        <f>IFERROR(IF(AG288*AH288=0,"",AG288*AH288),"")</f>
        <v/>
      </c>
      <c r="AL288">
        <f>IF(AND(AJ288&lt;&gt;"",AK288&lt;&gt;""),ROUNDUP((AK288-AJ288)/7,0),"")</f>
        <v/>
      </c>
      <c r="AN288">
        <f>IFERROR(IF(AL288*AM288=0,"",AL288*AM288),"")</f>
        <v/>
      </c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L288">
        <f>IFERROR(INDEX('_names_lookup'!$C:$C,MATCH(BK288,'_names_lookup'!$A:$A,0)),"")</f>
        <v/>
      </c>
      <c r="BM288">
        <f>IFERROR(INDEX('_names_lookup'!$B:$B,MATCH(BK288,'_names_lookup'!$A:$A,0)),"")</f>
        <v/>
      </c>
      <c r="BS288">
        <f>IFERROR(IF(BR288*AA288=0,"",BR288*AA288),"")</f>
        <v/>
      </c>
    </row>
    <row r="289">
      <c r="O289">
        <f>IFERROR(INDEX('_courses_lookup'!$C:$C,MATCH(K289&amp;L289,'_courses_lookup'!$E:$E,0)),"")</f>
        <v/>
      </c>
      <c r="P289">
        <f>IFERROR(INDEX('_courses_lookup'!$D:$D,MATCH(K289&amp;L289,'_courses_lookup'!$E:$E,0)),"")</f>
        <v/>
      </c>
      <c r="AG289">
        <f>IF(AND(AE289&lt;&gt;"",AF289&lt;&gt;""),ROUNDUP((AF289-AE289)/7,0),"")</f>
        <v/>
      </c>
      <c r="AI289">
        <f>IFERROR(IF(AG289*AH289=0,"",AG289*AH289),"")</f>
        <v/>
      </c>
      <c r="AL289">
        <f>IF(AND(AJ289&lt;&gt;"",AK289&lt;&gt;""),ROUNDUP((AK289-AJ289)/7,0),"")</f>
        <v/>
      </c>
      <c r="AN289">
        <f>IFERROR(IF(AL289*AM289=0,"",AL289*AM289),"")</f>
        <v/>
      </c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L289">
        <f>IFERROR(INDEX('_names_lookup'!$C:$C,MATCH(BK289,'_names_lookup'!$A:$A,0)),"")</f>
        <v/>
      </c>
      <c r="BM289">
        <f>IFERROR(INDEX('_names_lookup'!$B:$B,MATCH(BK289,'_names_lookup'!$A:$A,0)),"")</f>
        <v/>
      </c>
      <c r="BS289">
        <f>IFERROR(IF(BR289*AA289=0,"",BR289*AA289),"")</f>
        <v/>
      </c>
    </row>
    <row r="290">
      <c r="O290">
        <f>IFERROR(INDEX('_courses_lookup'!$C:$C,MATCH(K290&amp;L290,'_courses_lookup'!$E:$E,0)),"")</f>
        <v/>
      </c>
      <c r="P290">
        <f>IFERROR(INDEX('_courses_lookup'!$D:$D,MATCH(K290&amp;L290,'_courses_lookup'!$E:$E,0)),"")</f>
        <v/>
      </c>
      <c r="AG290">
        <f>IF(AND(AE290&lt;&gt;"",AF290&lt;&gt;""),ROUNDUP((AF290-AE290)/7,0),"")</f>
        <v/>
      </c>
      <c r="AI290">
        <f>IFERROR(IF(AG290*AH290=0,"",AG290*AH290),"")</f>
        <v/>
      </c>
      <c r="AL290">
        <f>IF(AND(AJ290&lt;&gt;"",AK290&lt;&gt;""),ROUNDUP((AK290-AJ290)/7,0),"")</f>
        <v/>
      </c>
      <c r="AN290">
        <f>IFERROR(IF(AL290*AM290=0,"",AL290*AM290),"")</f>
        <v/>
      </c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L290">
        <f>IFERROR(INDEX('_names_lookup'!$C:$C,MATCH(BK290,'_names_lookup'!$A:$A,0)),"")</f>
        <v/>
      </c>
      <c r="BM290">
        <f>IFERROR(INDEX('_names_lookup'!$B:$B,MATCH(BK290,'_names_lookup'!$A:$A,0)),"")</f>
        <v/>
      </c>
      <c r="BS290">
        <f>IFERROR(IF(BR290*AA290=0,"",BR290*AA290),"")</f>
        <v/>
      </c>
    </row>
    <row r="291">
      <c r="O291">
        <f>IFERROR(INDEX('_courses_lookup'!$C:$C,MATCH(K291&amp;L291,'_courses_lookup'!$E:$E,0)),"")</f>
        <v/>
      </c>
      <c r="P291">
        <f>IFERROR(INDEX('_courses_lookup'!$D:$D,MATCH(K291&amp;L291,'_courses_lookup'!$E:$E,0)),"")</f>
        <v/>
      </c>
      <c r="AG291">
        <f>IF(AND(AE291&lt;&gt;"",AF291&lt;&gt;""),ROUNDUP((AF291-AE291)/7,0),"")</f>
        <v/>
      </c>
      <c r="AI291">
        <f>IFERROR(IF(AG291*AH291=0,"",AG291*AH291),"")</f>
        <v/>
      </c>
      <c r="AL291">
        <f>IF(AND(AJ291&lt;&gt;"",AK291&lt;&gt;""),ROUNDUP((AK291-AJ291)/7,0),"")</f>
        <v/>
      </c>
      <c r="AN291">
        <f>IFERROR(IF(AL291*AM291=0,"",AL291*AM291),"")</f>
        <v/>
      </c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L291">
        <f>IFERROR(INDEX('_names_lookup'!$C:$C,MATCH(BK291,'_names_lookup'!$A:$A,0)),"")</f>
        <v/>
      </c>
      <c r="BM291">
        <f>IFERROR(INDEX('_names_lookup'!$B:$B,MATCH(BK291,'_names_lookup'!$A:$A,0)),"")</f>
        <v/>
      </c>
      <c r="BS291">
        <f>IFERROR(IF(BR291*AA291=0,"",BR291*AA291),"")</f>
        <v/>
      </c>
    </row>
    <row r="292">
      <c r="O292">
        <f>IFERROR(INDEX('_courses_lookup'!$C:$C,MATCH(K292&amp;L292,'_courses_lookup'!$E:$E,0)),"")</f>
        <v/>
      </c>
      <c r="P292">
        <f>IFERROR(INDEX('_courses_lookup'!$D:$D,MATCH(K292&amp;L292,'_courses_lookup'!$E:$E,0)),"")</f>
        <v/>
      </c>
      <c r="AG292">
        <f>IF(AND(AE292&lt;&gt;"",AF292&lt;&gt;""),ROUNDUP((AF292-AE292)/7,0),"")</f>
        <v/>
      </c>
      <c r="AI292">
        <f>IFERROR(IF(AG292*AH292=0,"",AG292*AH292),"")</f>
        <v/>
      </c>
      <c r="AL292">
        <f>IF(AND(AJ292&lt;&gt;"",AK292&lt;&gt;""),ROUNDUP((AK292-AJ292)/7,0),"")</f>
        <v/>
      </c>
      <c r="AN292">
        <f>IFERROR(IF(AL292*AM292=0,"",AL292*AM292),"")</f>
        <v/>
      </c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L292">
        <f>IFERROR(INDEX('_names_lookup'!$C:$C,MATCH(BK292,'_names_lookup'!$A:$A,0)),"")</f>
        <v/>
      </c>
      <c r="BM292">
        <f>IFERROR(INDEX('_names_lookup'!$B:$B,MATCH(BK292,'_names_lookup'!$A:$A,0)),"")</f>
        <v/>
      </c>
      <c r="BS292">
        <f>IFERROR(IF(BR292*AA292=0,"",BR292*AA292),"")</f>
        <v/>
      </c>
    </row>
    <row r="293">
      <c r="O293">
        <f>IFERROR(INDEX('_courses_lookup'!$C:$C,MATCH(K293&amp;L293,'_courses_lookup'!$E:$E,0)),"")</f>
        <v/>
      </c>
      <c r="P293">
        <f>IFERROR(INDEX('_courses_lookup'!$D:$D,MATCH(K293&amp;L293,'_courses_lookup'!$E:$E,0)),"")</f>
        <v/>
      </c>
      <c r="AG293">
        <f>IF(AND(AE293&lt;&gt;"",AF293&lt;&gt;""),ROUNDUP((AF293-AE293)/7,0),"")</f>
        <v/>
      </c>
      <c r="AI293">
        <f>IFERROR(IF(AG293*AH293=0,"",AG293*AH293),"")</f>
        <v/>
      </c>
      <c r="AL293">
        <f>IF(AND(AJ293&lt;&gt;"",AK293&lt;&gt;""),ROUNDUP((AK293-AJ293)/7,0),"")</f>
        <v/>
      </c>
      <c r="AN293">
        <f>IFERROR(IF(AL293*AM293=0,"",AL293*AM293),"")</f>
        <v/>
      </c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L293">
        <f>IFERROR(INDEX('_names_lookup'!$C:$C,MATCH(BK293,'_names_lookup'!$A:$A,0)),"")</f>
        <v/>
      </c>
      <c r="BM293">
        <f>IFERROR(INDEX('_names_lookup'!$B:$B,MATCH(BK293,'_names_lookup'!$A:$A,0)),"")</f>
        <v/>
      </c>
      <c r="BS293">
        <f>IFERROR(IF(BR293*AA293=0,"",BR293*AA293),"")</f>
        <v/>
      </c>
    </row>
    <row r="294">
      <c r="O294">
        <f>IFERROR(INDEX('_courses_lookup'!$C:$C,MATCH(K294&amp;L294,'_courses_lookup'!$E:$E,0)),"")</f>
        <v/>
      </c>
      <c r="P294">
        <f>IFERROR(INDEX('_courses_lookup'!$D:$D,MATCH(K294&amp;L294,'_courses_lookup'!$E:$E,0)),"")</f>
        <v/>
      </c>
      <c r="AG294">
        <f>IF(AND(AE294&lt;&gt;"",AF294&lt;&gt;""),ROUNDUP((AF294-AE294)/7,0),"")</f>
        <v/>
      </c>
      <c r="AI294">
        <f>IFERROR(IF(AG294*AH294=0,"",AG294*AH294),"")</f>
        <v/>
      </c>
      <c r="AL294">
        <f>IF(AND(AJ294&lt;&gt;"",AK294&lt;&gt;""),ROUNDUP((AK294-AJ294)/7,0),"")</f>
        <v/>
      </c>
      <c r="AN294">
        <f>IFERROR(IF(AL294*AM294=0,"",AL294*AM294),"")</f>
        <v/>
      </c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L294">
        <f>IFERROR(INDEX('_names_lookup'!$C:$C,MATCH(BK294,'_names_lookup'!$A:$A,0)),"")</f>
        <v/>
      </c>
      <c r="BM294">
        <f>IFERROR(INDEX('_names_lookup'!$B:$B,MATCH(BK294,'_names_lookup'!$A:$A,0)),"")</f>
        <v/>
      </c>
      <c r="BS294">
        <f>IFERROR(IF(BR294*AA294=0,"",BR294*AA294),"")</f>
        <v/>
      </c>
    </row>
    <row r="295">
      <c r="O295">
        <f>IFERROR(INDEX('_courses_lookup'!$C:$C,MATCH(K295&amp;L295,'_courses_lookup'!$E:$E,0)),"")</f>
        <v/>
      </c>
      <c r="P295">
        <f>IFERROR(INDEX('_courses_lookup'!$D:$D,MATCH(K295&amp;L295,'_courses_lookup'!$E:$E,0)),"")</f>
        <v/>
      </c>
      <c r="AG295">
        <f>IF(AND(AE295&lt;&gt;"",AF295&lt;&gt;""),ROUNDUP((AF295-AE295)/7,0),"")</f>
        <v/>
      </c>
      <c r="AI295">
        <f>IFERROR(IF(AG295*AH295=0,"",AG295*AH295),"")</f>
        <v/>
      </c>
      <c r="AL295">
        <f>IF(AND(AJ295&lt;&gt;"",AK295&lt;&gt;""),ROUNDUP((AK295-AJ295)/7,0),"")</f>
        <v/>
      </c>
      <c r="AN295">
        <f>IFERROR(IF(AL295*AM295=0,"",AL295*AM295),"")</f>
        <v/>
      </c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L295">
        <f>IFERROR(INDEX('_names_lookup'!$C:$C,MATCH(BK295,'_names_lookup'!$A:$A,0)),"")</f>
        <v/>
      </c>
      <c r="BM295">
        <f>IFERROR(INDEX('_names_lookup'!$B:$B,MATCH(BK295,'_names_lookup'!$A:$A,0)),"")</f>
        <v/>
      </c>
      <c r="BS295">
        <f>IFERROR(IF(BR295*AA295=0,"",BR295*AA295),"")</f>
        <v/>
      </c>
    </row>
    <row r="296">
      <c r="O296">
        <f>IFERROR(INDEX('_courses_lookup'!$C:$C,MATCH(K296&amp;L296,'_courses_lookup'!$E:$E,0)),"")</f>
        <v/>
      </c>
      <c r="P296">
        <f>IFERROR(INDEX('_courses_lookup'!$D:$D,MATCH(K296&amp;L296,'_courses_lookup'!$E:$E,0)),"")</f>
        <v/>
      </c>
      <c r="AG296">
        <f>IF(AND(AE296&lt;&gt;"",AF296&lt;&gt;""),ROUNDUP((AF296-AE296)/7,0),"")</f>
        <v/>
      </c>
      <c r="AI296">
        <f>IFERROR(IF(AG296*AH296=0,"",AG296*AH296),"")</f>
        <v/>
      </c>
      <c r="AL296">
        <f>IF(AND(AJ296&lt;&gt;"",AK296&lt;&gt;""),ROUNDUP((AK296-AJ296)/7,0),"")</f>
        <v/>
      </c>
      <c r="AN296">
        <f>IFERROR(IF(AL296*AM296=0,"",AL296*AM296),"")</f>
        <v/>
      </c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L296">
        <f>IFERROR(INDEX('_names_lookup'!$C:$C,MATCH(BK296,'_names_lookup'!$A:$A,0)),"")</f>
        <v/>
      </c>
      <c r="BM296">
        <f>IFERROR(INDEX('_names_lookup'!$B:$B,MATCH(BK296,'_names_lookup'!$A:$A,0)),"")</f>
        <v/>
      </c>
      <c r="BS296">
        <f>IFERROR(IF(BR296*AA296=0,"",BR296*AA296),"")</f>
        <v/>
      </c>
    </row>
    <row r="297">
      <c r="O297">
        <f>IFERROR(INDEX('_courses_lookup'!$C:$C,MATCH(K297&amp;L297,'_courses_lookup'!$E:$E,0)),"")</f>
        <v/>
      </c>
      <c r="P297">
        <f>IFERROR(INDEX('_courses_lookup'!$D:$D,MATCH(K297&amp;L297,'_courses_lookup'!$E:$E,0)),"")</f>
        <v/>
      </c>
      <c r="AG297">
        <f>IF(AND(AE297&lt;&gt;"",AF297&lt;&gt;""),ROUNDUP((AF297-AE297)/7,0),"")</f>
        <v/>
      </c>
      <c r="AI297">
        <f>IFERROR(IF(AG297*AH297=0,"",AG297*AH297),"")</f>
        <v/>
      </c>
      <c r="AL297">
        <f>IF(AND(AJ297&lt;&gt;"",AK297&lt;&gt;""),ROUNDUP((AK297-AJ297)/7,0),"")</f>
        <v/>
      </c>
      <c r="AN297">
        <f>IFERROR(IF(AL297*AM297=0,"",AL297*AM297),"")</f>
        <v/>
      </c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L297">
        <f>IFERROR(INDEX('_names_lookup'!$C:$C,MATCH(BK297,'_names_lookup'!$A:$A,0)),"")</f>
        <v/>
      </c>
      <c r="BM297">
        <f>IFERROR(INDEX('_names_lookup'!$B:$B,MATCH(BK297,'_names_lookup'!$A:$A,0)),"")</f>
        <v/>
      </c>
      <c r="BS297">
        <f>IFERROR(IF(BR297*AA297=0,"",BR297*AA297),"")</f>
        <v/>
      </c>
    </row>
    <row r="298">
      <c r="O298">
        <f>IFERROR(INDEX('_courses_lookup'!$C:$C,MATCH(K298&amp;L298,'_courses_lookup'!$E:$E,0)),"")</f>
        <v/>
      </c>
      <c r="P298">
        <f>IFERROR(INDEX('_courses_lookup'!$D:$D,MATCH(K298&amp;L298,'_courses_lookup'!$E:$E,0)),"")</f>
        <v/>
      </c>
      <c r="AG298">
        <f>IF(AND(AE298&lt;&gt;"",AF298&lt;&gt;""),ROUNDUP((AF298-AE298)/7,0),"")</f>
        <v/>
      </c>
      <c r="AI298">
        <f>IFERROR(IF(AG298*AH298=0,"",AG298*AH298),"")</f>
        <v/>
      </c>
      <c r="AL298">
        <f>IF(AND(AJ298&lt;&gt;"",AK298&lt;&gt;""),ROUNDUP((AK298-AJ298)/7,0),"")</f>
        <v/>
      </c>
      <c r="AN298">
        <f>IFERROR(IF(AL298*AM298=0,"",AL298*AM298),"")</f>
        <v/>
      </c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L298">
        <f>IFERROR(INDEX('_names_lookup'!$C:$C,MATCH(BK298,'_names_lookup'!$A:$A,0)),"")</f>
        <v/>
      </c>
      <c r="BM298">
        <f>IFERROR(INDEX('_names_lookup'!$B:$B,MATCH(BK298,'_names_lookup'!$A:$A,0)),"")</f>
        <v/>
      </c>
      <c r="BS298">
        <f>IFERROR(IF(BR298*AA298=0,"",BR298*AA298),"")</f>
        <v/>
      </c>
    </row>
    <row r="299">
      <c r="O299">
        <f>IFERROR(INDEX('_courses_lookup'!$C:$C,MATCH(K299&amp;L299,'_courses_lookup'!$E:$E,0)),"")</f>
        <v/>
      </c>
      <c r="P299">
        <f>IFERROR(INDEX('_courses_lookup'!$D:$D,MATCH(K299&amp;L299,'_courses_lookup'!$E:$E,0)),"")</f>
        <v/>
      </c>
      <c r="AG299">
        <f>IF(AND(AE299&lt;&gt;"",AF299&lt;&gt;""),ROUNDUP((AF299-AE299)/7,0),"")</f>
        <v/>
      </c>
      <c r="AI299">
        <f>IFERROR(IF(AG299*AH299=0,"",AG299*AH299),"")</f>
        <v/>
      </c>
      <c r="AL299">
        <f>IF(AND(AJ299&lt;&gt;"",AK299&lt;&gt;""),ROUNDUP((AK299-AJ299)/7,0),"")</f>
        <v/>
      </c>
      <c r="AN299">
        <f>IFERROR(IF(AL299*AM299=0,"",AL299*AM299),"")</f>
        <v/>
      </c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L299">
        <f>IFERROR(INDEX('_names_lookup'!$C:$C,MATCH(BK299,'_names_lookup'!$A:$A,0)),"")</f>
        <v/>
      </c>
      <c r="BM299">
        <f>IFERROR(INDEX('_names_lookup'!$B:$B,MATCH(BK299,'_names_lookup'!$A:$A,0)),"")</f>
        <v/>
      </c>
      <c r="BS299">
        <f>IFERROR(IF(BR299*AA299=0,"",BR299*AA299),"")</f>
        <v/>
      </c>
    </row>
    <row r="300">
      <c r="O300">
        <f>IFERROR(INDEX('_courses_lookup'!$C:$C,MATCH(K300&amp;L300,'_courses_lookup'!$E:$E,0)),"")</f>
        <v/>
      </c>
      <c r="P300">
        <f>IFERROR(INDEX('_courses_lookup'!$D:$D,MATCH(K300&amp;L300,'_courses_lookup'!$E:$E,0)),"")</f>
        <v/>
      </c>
      <c r="AG300">
        <f>IF(AND(AE300&lt;&gt;"",AF300&lt;&gt;""),ROUNDUP((AF300-AE300)/7,0),"")</f>
        <v/>
      </c>
      <c r="AI300">
        <f>IFERROR(IF(AG300*AH300=0,"",AG300*AH300),"")</f>
        <v/>
      </c>
      <c r="AL300">
        <f>IF(AND(AJ300&lt;&gt;"",AK300&lt;&gt;""),ROUNDUP((AK300-AJ300)/7,0),"")</f>
        <v/>
      </c>
      <c r="AN300">
        <f>IFERROR(IF(AL300*AM300=0,"",AL300*AM300),"")</f>
        <v/>
      </c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L300">
        <f>IFERROR(INDEX('_names_lookup'!$C:$C,MATCH(BK300,'_names_lookup'!$A:$A,0)),"")</f>
        <v/>
      </c>
      <c r="BM300">
        <f>IFERROR(INDEX('_names_lookup'!$B:$B,MATCH(BK300,'_names_lookup'!$A:$A,0)),"")</f>
        <v/>
      </c>
      <c r="BS300">
        <f>IFERROR(IF(BR300*AA300=0,"",BR300*AA300),"")</f>
        <v/>
      </c>
    </row>
  </sheetData>
  <autoFilter ref="A1:DQ7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='DropDownMenu'!$BC$2:$BC$259</formula1>
    </dataValidation>
    <dataValidation sqref="BL2:BL5000" showDropDown="0" showInputMessage="0" showErrorMessage="0" allowBlank="1" type="list">
      <formula1>='DropDownMenu'!$BD$2:$BD$253</formula1>
    </dataValidation>
    <dataValidation sqref="BM2:BM5000" showDropDown="0" showInputMessage="0" showErrorMessage="0" allowBlank="1" type="list">
      <formula1>='DropDownMenu'!$BE$2:$BE$259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O19" sqref="O19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23" t="inlineStr">
        <is>
          <t>Don {not in Banner}</t>
        </is>
      </c>
      <c r="B1" s="23" t="inlineStr">
        <is>
          <t>Mismatching {not in Banner}</t>
        </is>
      </c>
      <c r="C1" s="23" t="inlineStr">
        <is>
          <t>Dept/Prog Admin {not in Banner}</t>
        </is>
      </c>
      <c r="D1" s="23" t="inlineStr">
        <is>
          <t>Mona {not in Banner}</t>
        </is>
      </c>
      <c r="E1" s="23" t="inlineStr">
        <is>
          <t>Karen {not in Banner}</t>
        </is>
      </c>
      <c r="F1" s="23" t="inlineStr">
        <is>
          <t>DONE {not in Banner}</t>
        </is>
      </c>
      <c r="G1" s="24" t="inlineStr">
        <is>
          <t>Notes {not in Banner}</t>
        </is>
      </c>
      <c r="H1" s="23" t="inlineStr">
        <is>
          <t>CRN sorted {not in Banner}</t>
        </is>
      </c>
      <c r="I1" s="23" t="inlineStr">
        <is>
          <t>CRN</t>
        </is>
      </c>
      <c r="J1" s="23" t="inlineStr">
        <is>
          <t>Attribute {not in Banner}</t>
        </is>
      </c>
      <c r="K1" s="23" t="inlineStr">
        <is>
          <t>Subject</t>
        </is>
      </c>
      <c r="L1" s="23" t="inlineStr">
        <is>
          <t>Course Number {Crse Num}</t>
        </is>
      </c>
      <c r="M1" s="23" t="inlineStr">
        <is>
          <t>Course Section {Seq Crse Num}</t>
        </is>
      </c>
      <c r="N1" s="23" t="inlineStr">
        <is>
          <t>Program {not in Banner}</t>
        </is>
      </c>
      <c r="O1" s="23" t="inlineStr">
        <is>
          <t>Catalog Title</t>
        </is>
      </c>
      <c r="P1" s="23" t="inlineStr">
        <is>
          <t>Section Title</t>
        </is>
      </c>
      <c r="Q1" s="23" t="inlineStr">
        <is>
          <t>Crosslist Details {not in Banner}</t>
        </is>
      </c>
      <c r="R1" s="23" t="inlineStr">
        <is>
          <t>X Lst</t>
        </is>
      </c>
      <c r="S1" s="23" t="inlineStr">
        <is>
          <t>Campus {Ssasect Campus}</t>
        </is>
      </c>
      <c r="T1" s="23" t="inlineStr">
        <is>
          <t>Campus Restriction {Camp Restr CC}</t>
        </is>
      </c>
      <c r="U1" s="23" t="inlineStr">
        <is>
          <t>Schedule Type {not in Banner}</t>
        </is>
      </c>
      <c r="V1" s="23" t="inlineStr">
        <is>
          <t>Instruction Method {Inst Method}</t>
        </is>
      </c>
      <c r="W1" s="23" t="inlineStr">
        <is>
          <t>Level {Level SC}</t>
        </is>
      </c>
      <c r="X1" s="23" t="inlineStr">
        <is>
          <t>Part-Of-Term</t>
        </is>
      </c>
      <c r="Y1" s="23" t="inlineStr">
        <is>
          <t>Credit Catalog {Cat Crs}</t>
        </is>
      </c>
      <c r="Z1" s="23" t="inlineStr">
        <is>
          <t>Credits {Sect Crs}</t>
        </is>
      </c>
      <c r="AA1" s="23" t="inlineStr">
        <is>
          <t>Faculty Load / Contract Credits {not in Banner}</t>
        </is>
      </c>
      <c r="AB1" s="23" t="inlineStr">
        <is>
          <t>Enrollment Cap {Max Enrl}</t>
        </is>
      </c>
      <c r="AC1" s="23" t="inlineStr">
        <is>
          <t>Meeting Type</t>
        </is>
      </c>
      <c r="AD1" s="23" t="inlineStr">
        <is>
          <t>Semester Start Date {Soaterm Start Date}</t>
        </is>
      </c>
      <c r="AE1" s="23" t="inlineStr">
        <is>
          <t>Pre-work Start Date {not in Banner}</t>
        </is>
      </c>
      <c r="AF1" s="23" t="inlineStr">
        <is>
          <t>Pre-work End Date {not in Banner}</t>
        </is>
      </c>
      <c r="AG1" s="25" t="inlineStr">
        <is>
          <t>pre-work # of weeks {not in Banner}</t>
        </is>
      </c>
      <c r="AH1" s="25" t="inlineStr">
        <is>
          <t>pre-work hours/week {not in Banner}</t>
        </is>
      </c>
      <c r="AI1" s="25" t="inlineStr">
        <is>
          <t>pre-work hours/period {not in Banner}</t>
        </is>
      </c>
      <c r="AJ1" s="23" t="inlineStr">
        <is>
          <t>Intensive Period Start Date {Meet Start Date}</t>
        </is>
      </c>
      <c r="AK1" s="23" t="inlineStr">
        <is>
          <t>Intensive Period End Date {Meet End Date}</t>
        </is>
      </c>
      <c r="AL1" s="25" t="inlineStr">
        <is>
          <t>intensive # of weeks {not in Banner}</t>
        </is>
      </c>
      <c r="AM1" s="25" t="inlineStr">
        <is>
          <t>intensive hours/week {not in Banner}</t>
        </is>
      </c>
      <c r="AN1" s="25" t="inlineStr">
        <is>
          <t>intensive hours/period {not in Banner}</t>
        </is>
      </c>
      <c r="AO1" s="23" t="inlineStr">
        <is>
          <t>Post-work Start Date {not in Banner}</t>
        </is>
      </c>
      <c r="AP1" s="23" t="inlineStr">
        <is>
          <t>Post-work End Date {not in Banner}</t>
        </is>
      </c>
      <c r="AQ1" s="25" t="inlineStr">
        <is>
          <t>post-work # of weeks {not in Banner}</t>
        </is>
      </c>
      <c r="AR1" s="25" t="inlineStr">
        <is>
          <t>post-work hours/week {not in Banner}</t>
        </is>
      </c>
      <c r="AS1" s="25" t="inlineStr">
        <is>
          <t>post-work hours/period {not in Banner}</t>
        </is>
      </c>
      <c r="AT1" s="25" t="inlineStr">
        <is>
          <t>sum of weeks (for check) {not in Banner}</t>
        </is>
      </c>
      <c r="AU1" s="25" t="inlineStr">
        <is>
          <t>total contract hours {not in Banner}</t>
        </is>
      </c>
      <c r="AV1" s="23" t="inlineStr">
        <is>
          <t>Semester End Date {Soaterm End Date}</t>
        </is>
      </c>
      <c r="AW1" s="23" t="inlineStr">
        <is>
          <t>Course Beginning Time {Meet Beg Time}</t>
        </is>
      </c>
      <c r="AX1" s="23" t="inlineStr">
        <is>
          <t>Course Ending Time {Meet End Time}</t>
        </is>
      </c>
      <c r="AY1" s="23" t="inlineStr">
        <is>
          <t>SUN</t>
        </is>
      </c>
      <c r="AZ1" s="23" t="inlineStr">
        <is>
          <t>MON</t>
        </is>
      </c>
      <c r="BA1" s="23" t="inlineStr">
        <is>
          <t>TUE</t>
        </is>
      </c>
      <c r="BB1" s="23" t="inlineStr">
        <is>
          <t>WED</t>
        </is>
      </c>
      <c r="BC1" s="23" t="inlineStr">
        <is>
          <t>THU</t>
        </is>
      </c>
      <c r="BD1" s="23" t="inlineStr">
        <is>
          <t>FRI</t>
        </is>
      </c>
      <c r="BE1" s="23" t="inlineStr">
        <is>
          <t>SAT</t>
        </is>
      </c>
      <c r="BF1" s="23" t="inlineStr">
        <is>
          <t>Weeks</t>
        </is>
      </c>
      <c r="BG1" s="23" t="inlineStr">
        <is>
          <t>Fiscal Year {not in Banner}</t>
        </is>
      </c>
      <c r="BH1" s="25" t="inlineStr">
        <is>
          <t>Semester {not in Banner}</t>
        </is>
      </c>
      <c r="BI1" s="23" t="inlineStr">
        <is>
          <t>Room {Meet Room}</t>
        </is>
      </c>
      <c r="BJ1" s="23" t="inlineStr">
        <is>
          <t>Building {Meet Bldg}</t>
        </is>
      </c>
      <c r="BK1" s="23" t="inlineStr">
        <is>
          <t>Instructor Name {Instr Name}</t>
        </is>
      </c>
      <c r="BL1" s="23" t="inlineStr">
        <is>
          <t>Instructor Email {Instr Email}</t>
        </is>
      </c>
      <c r="BM1" s="23" t="inlineStr">
        <is>
          <t>Instructor ID {Instr ID}</t>
        </is>
      </c>
      <c r="BN1" s="25" t="inlineStr">
        <is>
          <t>Remote Employee {not in Banner}</t>
        </is>
      </c>
      <c r="BO1" s="23" t="inlineStr">
        <is>
          <t>% Responsibility</t>
        </is>
      </c>
      <c r="BP1" s="23" t="inlineStr">
        <is>
          <t>load/contract {not in Banner}</t>
        </is>
      </c>
      <c r="BQ1" s="25" t="inlineStr">
        <is>
          <t>Reason for Contract {not in Banner}</t>
        </is>
      </c>
      <c r="BR1" s="25" t="inlineStr">
        <is>
          <t>costs per credit {not in Banner}</t>
        </is>
      </c>
      <c r="BS1" s="25" t="inlineStr">
        <is>
          <t>total costs {not in Banner}</t>
        </is>
      </c>
      <c r="BT1" s="25" t="inlineStr">
        <is>
          <t>dept budget {not in Banner}</t>
        </is>
      </c>
      <c r="BU1" s="25" t="inlineStr">
        <is>
          <t>account to be charged {not in Banner}</t>
        </is>
      </c>
      <c r="BV1" s="25" t="inlineStr">
        <is>
          <t>SEM Department {Scacrse Dept}</t>
        </is>
      </c>
      <c r="BW1" s="26" t="inlineStr">
        <is>
          <t>dean email</t>
        </is>
      </c>
      <c r="BX1" s="26" t="inlineStr">
        <is>
          <t>VP finance email</t>
        </is>
      </c>
      <c r="BY1" s="26" t="inlineStr">
        <is>
          <t>HR email</t>
        </is>
      </c>
      <c r="BZ1" s="26" t="inlineStr">
        <is>
          <t>Fee Amount {Fees Amt}</t>
        </is>
      </c>
      <c r="CA1" s="26" t="inlineStr">
        <is>
          <t>Fee Code {Detl Code}</t>
        </is>
      </c>
      <c r="CB1" s="26" t="inlineStr">
        <is>
          <t>Fee Type</t>
        </is>
      </c>
      <c r="CC1" s="26" t="inlineStr">
        <is>
          <t>Fee Level</t>
        </is>
      </c>
      <c r="CD1" s="26" t="inlineStr">
        <is>
          <t>Fee Ind</t>
        </is>
      </c>
      <c r="CE1" s="26" t="inlineStr">
        <is>
          <t>Fee Term</t>
        </is>
      </c>
      <c r="CF1" s="26" t="inlineStr">
        <is>
          <t>Activity Date</t>
        </is>
      </c>
      <c r="CG1" s="26" t="inlineStr">
        <is>
          <t>Status</t>
        </is>
      </c>
      <c r="CH1" s="26" t="inlineStr">
        <is>
          <t>Bill Hrs</t>
        </is>
      </c>
      <c r="CI1" s="26" t="inlineStr">
        <is>
          <t>Sect Sch Type</t>
        </is>
      </c>
      <c r="CJ1" s="26" t="inlineStr">
        <is>
          <t>Prerequisites {Preq Areas}</t>
        </is>
      </c>
      <c r="CK1" s="26" t="inlineStr">
        <is>
          <t>Link Ind</t>
        </is>
      </c>
      <c r="CL1" s="26" t="inlineStr">
        <is>
          <t>Integration Code</t>
        </is>
      </c>
      <c r="CM1" s="26" t="inlineStr">
        <is>
          <t>Link Conn</t>
        </is>
      </c>
      <c r="CN1" s="26" t="inlineStr">
        <is>
          <t>Crs Attr</t>
        </is>
      </c>
      <c r="CO1" s="26" t="inlineStr">
        <is>
          <t>Comments</t>
        </is>
      </c>
      <c r="CP1" s="26" t="inlineStr">
        <is>
          <t>Major Restr</t>
        </is>
      </c>
      <c r="CQ1" s="26" t="inlineStr">
        <is>
          <t>Scacrse College</t>
        </is>
      </c>
      <c r="CR1" s="26" t="inlineStr">
        <is>
          <t>Enrolled</t>
        </is>
      </c>
      <c r="CS1" s="26" t="inlineStr">
        <is>
          <t>Waitlist Capacity</t>
        </is>
      </c>
      <c r="CT1" s="26" t="inlineStr">
        <is>
          <t>Primary Ind</t>
        </is>
      </c>
      <c r="CU1" s="26" t="inlineStr">
        <is>
          <t>Override</t>
        </is>
      </c>
      <c r="CV1" s="26" t="inlineStr">
        <is>
          <t>1st Date Reg Opens</t>
        </is>
      </c>
      <c r="CW1" s="26" t="inlineStr">
        <is>
          <t>Last Date Reg Opens</t>
        </is>
      </c>
      <c r="CX1" s="26" t="inlineStr">
        <is>
          <t>OL Range From Date</t>
        </is>
      </c>
      <c r="CY1" s="26" t="inlineStr">
        <is>
          <t>OL Range To Date</t>
        </is>
      </c>
      <c r="CZ1" s="26" t="inlineStr">
        <is>
          <t>OL Numb Units</t>
        </is>
      </c>
      <c r="DA1" s="26" t="inlineStr">
        <is>
          <t>OL Duration Code</t>
        </is>
      </c>
      <c r="DB1" s="26" t="inlineStr">
        <is>
          <t>Grade Mode</t>
        </is>
      </c>
      <c r="DC1" s="26" t="inlineStr">
        <is>
          <t>Gradable Ind</t>
        </is>
      </c>
      <c r="DD1" s="26" t="inlineStr">
        <is>
          <t>Tuit Waiver</t>
        </is>
      </c>
      <c r="DE1" s="26" t="inlineStr">
        <is>
          <t>Course Override {Meet Override}</t>
        </is>
      </c>
      <c r="DF1" s="26" t="inlineStr">
        <is>
          <t>Lvl Res Ind</t>
        </is>
      </c>
      <c r="DG1" s="26" t="inlineStr">
        <is>
          <t>Cmp Res Ind</t>
        </is>
      </c>
      <c r="DH1" s="26" t="inlineStr">
        <is>
          <t>Rate Code</t>
        </is>
      </c>
      <c r="DI1" s="26" t="inlineStr">
        <is>
          <t>Cohort Code</t>
        </is>
      </c>
      <c r="DJ1" s="26" t="inlineStr">
        <is>
          <t>St Attr Code</t>
        </is>
      </c>
      <c r="DK1" s="26" t="inlineStr">
        <is>
          <t>Coll SC</t>
        </is>
      </c>
      <c r="DL1" s="26" t="inlineStr">
        <is>
          <t>DegC SC</t>
        </is>
      </c>
      <c r="DM1" s="26" t="inlineStr">
        <is>
          <t>Prog SC</t>
        </is>
      </c>
      <c r="DN1" s="26" t="inlineStr">
        <is>
          <t>FOS Type</t>
        </is>
      </c>
      <c r="DO1" s="26" t="inlineStr">
        <is>
          <t>Special Approval {Special Apvl}</t>
        </is>
      </c>
      <c r="DP1" s="26" t="inlineStr">
        <is>
          <t>Term Code</t>
        </is>
      </c>
      <c r="DQ1" s="26" t="inlineStr">
        <is>
          <t>Camp SC</t>
        </is>
      </c>
    </row>
    <row r="2" ht="16" customHeight="1">
      <c r="A2" s="38" t="n"/>
      <c r="B2" s="38" t="n"/>
      <c r="C2" s="38" t="n"/>
      <c r="D2" s="38" t="n"/>
      <c r="E2" s="38" t="n"/>
      <c r="F2" s="38" t="n"/>
      <c r="G2" s="38" t="n"/>
      <c r="H2" s="34" t="n"/>
      <c r="I2" s="34" t="n"/>
      <c r="J2" s="34" t="n"/>
      <c r="K2" s="34" t="n"/>
      <c r="L2" s="34" t="n"/>
      <c r="M2" s="34" t="n"/>
      <c r="N2" s="34" t="n"/>
      <c r="O2" s="34">
        <f>IFERROR(INDEX('_courses_lookup'!$C:$C,MATCH(K2&amp;L2,'_courses_lookup'!$E:$E,0)),"")</f>
        <v/>
      </c>
      <c r="P2" s="34">
        <f>IFERROR(INDEX('_courses_lookup'!$D:$D,MATCH(K2&amp;L2,'_courses_lookup'!$E:$E,0)),"")</f>
        <v/>
      </c>
      <c r="Q2" s="34" t="n"/>
      <c r="R2" s="34" t="n"/>
      <c r="S2" s="34" t="n"/>
      <c r="T2" s="34" t="n"/>
      <c r="U2" s="34" t="n"/>
      <c r="V2" s="34" t="n"/>
      <c r="W2" s="34" t="n"/>
      <c r="X2" s="34" t="n"/>
      <c r="Y2" s="30" t="n"/>
      <c r="Z2" s="34" t="n"/>
      <c r="AA2" s="34" t="n"/>
      <c r="AB2" s="34" t="n"/>
      <c r="AC2" s="34" t="n"/>
      <c r="AD2" s="34" t="n"/>
      <c r="AE2" s="34" t="n"/>
      <c r="AF2" s="34" t="n"/>
      <c r="AG2" s="34">
        <f>IF(AND(AE2&lt;&gt;"",AF2&lt;&gt;""),ROUNDUP((AF2-AE2)/7,0),"")</f>
        <v/>
      </c>
      <c r="AH2" s="34" t="n"/>
      <c r="AI2" s="34">
        <f>IFERROR(IF(AG2*AH2=0,"",AG2*AH2),"")</f>
        <v/>
      </c>
      <c r="AJ2" s="34" t="n"/>
      <c r="AK2" s="34" t="n"/>
      <c r="AL2" s="34">
        <f>IF(AND(AJ2&lt;&gt;"",AK2&lt;&gt;""),ROUNDUP((AK2-AJ2)/7,0),"")</f>
        <v/>
      </c>
      <c r="AM2" s="34" t="n"/>
      <c r="AN2" s="34">
        <f>IFERROR(IF(AL2*AM2=0,"",AL2*AM2),"")</f>
        <v/>
      </c>
      <c r="AO2" s="34" t="n"/>
      <c r="AP2" s="34" t="n"/>
      <c r="AQ2" s="34">
        <f>IF(AND(AO2&lt;&gt;"",AP2&lt;&gt;""),ROUNDUP((AP2-AO2)/7,0),"")</f>
        <v/>
      </c>
      <c r="AR2" s="34">
        <f>IFERROR(IF((AU2-(AI2+AN2))/AQ2=0,"",ROUNDUP((AU2-(AI2+AN2))/AQ2,0)),"")</f>
        <v/>
      </c>
      <c r="AS2" s="34">
        <f>IFERROR(IF((AU2-(AI2+AN2))=0,"",(AU2-(AI2+AN2))),"")</f>
        <v/>
      </c>
      <c r="AT2" s="34">
        <f>IF(AND(AG2="",AQ2=""),AL2,IF(SUM(AG2,AL2,AQ2)=0,"",SUM(AG2,AL2,AQ2)))</f>
        <v/>
      </c>
      <c r="AU2" s="34" t="n"/>
      <c r="AV2" s="34" t="n"/>
      <c r="AW2" s="34" t="n"/>
      <c r="AX2" s="34" t="n"/>
      <c r="AY2" s="34" t="n"/>
      <c r="AZ2" s="30" t="n"/>
      <c r="BA2" s="34" t="n"/>
      <c r="BB2" s="34" t="n"/>
      <c r="BC2" s="34" t="n"/>
      <c r="BD2" s="34" t="n"/>
      <c r="BE2" s="34" t="n"/>
      <c r="BF2" s="34" t="n"/>
      <c r="BG2" s="34">
        <f>IF(AD2="","",YEAR(AD2)+IF(MONTH(AD2)&gt;=5,1,0))</f>
        <v/>
      </c>
      <c r="BH2" s="34">
        <f>IF(AD2="","",IF(AND(MONTH(AD2)=8,DAY(AD2)&gt;=15),"Fall",IF(MONTH(AD2)&gt;8,"Fall",IF(MONTH(AD2)=5,"Summer",IF(MONTH(AD2)=1,"Spring","")))))</f>
        <v/>
      </c>
      <c r="BI2" s="34" t="n"/>
      <c r="BJ2" s="34" t="n"/>
      <c r="BK2" s="30">
        <f>IF($BJ2="","",IFERROR(INDEX(InstructorMap!$B:$B, MATCH($BJ2, InstructorMap!$A:$A, 0)),""))</f>
        <v/>
      </c>
      <c r="BL2" s="30">
        <f>IFERROR(INDEX('_names_lookup'!$C:$C,MATCH(BK2,'_names_lookup'!$A:$A,0)),"")</f>
        <v/>
      </c>
      <c r="BM2" s="34">
        <f>IFERROR(INDEX('_names_lookup'!$B:$B,MATCH(BK2,'_names_lookup'!$A:$A,0)),"")</f>
        <v/>
      </c>
      <c r="BN2" s="34" t="n"/>
      <c r="BO2" s="34" t="n"/>
      <c r="BP2" s="34" t="n"/>
      <c r="BQ2" s="34" t="n"/>
      <c r="BR2" s="34" t="n"/>
      <c r="BS2" s="34">
        <f>IFERROR(IF(BR2*AA2=0,"",BR2*AA2),"")</f>
        <v/>
      </c>
      <c r="BT2" s="34" t="n"/>
      <c r="BU2" s="34" t="n"/>
      <c r="BV2" s="34" t="n"/>
      <c r="BW2" s="34" t="n"/>
      <c r="BX2" s="34" t="n"/>
      <c r="BY2" s="34" t="n"/>
      <c r="BZ2" s="34" t="n"/>
      <c r="CA2" s="34" t="n"/>
      <c r="CB2" s="34" t="n"/>
      <c r="CC2" s="34" t="n"/>
      <c r="CD2" s="34" t="n"/>
      <c r="CE2" s="34" t="n"/>
      <c r="CF2" s="34" t="n"/>
      <c r="CG2" s="34" t="n"/>
      <c r="CH2" s="34" t="n"/>
      <c r="CI2" s="34" t="n"/>
      <c r="CJ2" s="34" t="n"/>
      <c r="CK2" s="34" t="n"/>
      <c r="CL2" s="34" t="n"/>
      <c r="CM2" s="34" t="n"/>
      <c r="CN2" s="34" t="n"/>
      <c r="CO2" s="34" t="n"/>
      <c r="CP2" s="34" t="n"/>
      <c r="CQ2" s="34" t="n"/>
      <c r="CR2" s="34" t="n"/>
      <c r="CS2" s="34" t="n"/>
      <c r="CT2" s="34" t="n"/>
      <c r="CU2" s="34" t="n"/>
      <c r="CV2" s="34" t="n"/>
      <c r="CW2" s="34" t="n"/>
      <c r="CX2" s="34" t="n"/>
      <c r="CY2" s="34" t="n"/>
      <c r="CZ2" s="34" t="n"/>
      <c r="DA2" s="34" t="n"/>
      <c r="DB2" s="34" t="n"/>
      <c r="DC2" s="34" t="n"/>
      <c r="DD2" s="34" t="n"/>
      <c r="DE2" s="34" t="n"/>
      <c r="DF2" s="34" t="n"/>
      <c r="DG2" s="34" t="n"/>
      <c r="DH2" s="34" t="n"/>
      <c r="DI2" s="34" t="n"/>
      <c r="DJ2" s="34" t="n"/>
      <c r="DK2" s="34" t="n"/>
      <c r="DL2" s="34" t="n"/>
      <c r="DM2" s="34" t="n"/>
      <c r="DN2" s="34" t="n"/>
      <c r="DO2" s="34" t="n"/>
      <c r="DP2" s="34" t="n"/>
      <c r="DQ2" s="34" t="n"/>
    </row>
    <row r="3" ht="16" customHeight="1">
      <c r="A3" s="38" t="n"/>
      <c r="B3" s="38" t="n"/>
      <c r="C3" s="38" t="n"/>
      <c r="D3" s="38" t="n"/>
      <c r="E3" s="38" t="n"/>
      <c r="F3" s="38" t="n"/>
      <c r="G3" s="38" t="n"/>
      <c r="H3" s="34" t="n"/>
      <c r="I3" s="34" t="n"/>
      <c r="J3" s="34" t="n"/>
      <c r="K3" s="34" t="n"/>
      <c r="L3" s="34" t="n"/>
      <c r="M3" s="34" t="n"/>
      <c r="N3" s="34" t="n"/>
      <c r="O3" s="34">
        <f>IFERROR(INDEX('_courses_lookup'!$C:$C,MATCH(K3&amp;L3,'_courses_lookup'!$E:$E,0)),"")</f>
        <v/>
      </c>
      <c r="P3" s="34">
        <f>IFERROR(INDEX('_courses_lookup'!$D:$D,MATCH(K3&amp;L3,'_courses_lookup'!$E:$E,0)),"")</f>
        <v/>
      </c>
      <c r="Q3" s="34" t="n"/>
      <c r="R3" s="34" t="n"/>
      <c r="S3" s="34" t="n"/>
      <c r="T3" s="34" t="n"/>
      <c r="U3" s="34" t="n"/>
      <c r="V3" s="34" t="n"/>
      <c r="W3" s="34" t="n"/>
      <c r="X3" s="34" t="n"/>
      <c r="Y3" s="30" t="n"/>
      <c r="Z3" s="34" t="n"/>
      <c r="AA3" s="34" t="n"/>
      <c r="AB3" s="34" t="n"/>
      <c r="AC3" s="34" t="n"/>
      <c r="AD3" s="34" t="n"/>
      <c r="AE3" s="34" t="n"/>
      <c r="AF3" s="34" t="n"/>
      <c r="AG3" s="34">
        <f>IF(AND(AE3&lt;&gt;"",AF3&lt;&gt;""),ROUNDUP((AF3-AE3)/7,0),"")</f>
        <v/>
      </c>
      <c r="AH3" s="34" t="n"/>
      <c r="AI3" s="34">
        <f>IFERROR(IF(AG3*AH3=0,"",AG3*AH3),"")</f>
        <v/>
      </c>
      <c r="AJ3" s="34" t="n"/>
      <c r="AK3" s="34" t="n"/>
      <c r="AL3" s="34">
        <f>IF(AND(AJ3&lt;&gt;"",AK3&lt;&gt;""),ROUNDUP((AK3-AJ3)/7,0),"")</f>
        <v/>
      </c>
      <c r="AM3" s="34" t="n"/>
      <c r="AN3" s="34">
        <f>IFERROR(IF(AL3*AM3=0,"",AL3*AM3),"")</f>
        <v/>
      </c>
      <c r="AO3" s="34" t="n"/>
      <c r="AP3" s="34" t="n"/>
      <c r="AQ3" s="34">
        <f>IF(AND(AO3&lt;&gt;"",AP3&lt;&gt;""),ROUNDUP((AP3-AO3)/7,0),"")</f>
        <v/>
      </c>
      <c r="AR3" s="34">
        <f>IFERROR(IF((AU3-(AI3+AN3))/AQ3=0,"",ROUNDUP((AU3-(AI3+AN3))/AQ3,0)),"")</f>
        <v/>
      </c>
      <c r="AS3" s="34">
        <f>IFERROR(IF((AU3-(AI3+AN3))=0,"",(AU3-(AI3+AN3))),"")</f>
        <v/>
      </c>
      <c r="AT3" s="34">
        <f>IF(AND(AG3="",AQ3=""),AL3,IF(SUM(AG3,AL3,AQ3)=0,"",SUM(AG3,AL3,AQ3)))</f>
        <v/>
      </c>
      <c r="AU3" s="34" t="n"/>
      <c r="AV3" s="34" t="n"/>
      <c r="AW3" s="34" t="n"/>
      <c r="AX3" s="34" t="n"/>
      <c r="AY3" s="34" t="n"/>
      <c r="AZ3" s="30" t="n"/>
      <c r="BA3" s="34" t="n"/>
      <c r="BB3" s="34" t="n"/>
      <c r="BC3" s="34" t="n"/>
      <c r="BD3" s="34" t="n"/>
      <c r="BE3" s="34" t="n"/>
      <c r="BF3" s="34" t="n"/>
      <c r="BG3" s="34">
        <f>IF(AD3="","",YEAR(AD3)+IF(MONTH(AD3)&gt;=5,1,0))</f>
        <v/>
      </c>
      <c r="BH3" s="34">
        <f>IF(AD3="","",IF(AND(MONTH(AD3)=8,DAY(AD3)&gt;=15),"Fall",IF(MONTH(AD3)&gt;8,"Fall",IF(MONTH(AD3)=5,"Summer",IF(MONTH(AD3)=1,"Spring","")))))</f>
        <v/>
      </c>
      <c r="BI3" s="34" t="n"/>
      <c r="BJ3" s="34" t="n"/>
      <c r="BK3" s="30">
        <f>IF($BJ3="","",IFERROR(INDEX(InstructorMap!$B:$B, MATCH($BJ3, InstructorMap!$A:$A, 0)),""))</f>
        <v/>
      </c>
      <c r="BL3" s="30">
        <f>IFERROR(INDEX('_names_lookup'!$C:$C,MATCH(BK3,'_names_lookup'!$A:$A,0)),"")</f>
        <v/>
      </c>
      <c r="BM3" s="34">
        <f>IFERROR(INDEX('_names_lookup'!$B:$B,MATCH(BK3,'_names_lookup'!$A:$A,0)),"")</f>
        <v/>
      </c>
      <c r="BN3" s="34" t="n"/>
      <c r="BO3" s="34" t="n"/>
      <c r="BP3" s="34" t="n"/>
      <c r="BQ3" s="34" t="n"/>
      <c r="BR3" s="34" t="n"/>
      <c r="BS3" s="34">
        <f>IFERROR(IF(BR3*AA3=0,"",BR3*AA3),"")</f>
        <v/>
      </c>
      <c r="BT3" s="34" t="n"/>
      <c r="BU3" s="34" t="n"/>
      <c r="BV3" s="34" t="n"/>
      <c r="BW3" s="34" t="n"/>
      <c r="BX3" s="34" t="n"/>
      <c r="BY3" s="34" t="n"/>
      <c r="BZ3" s="34" t="n"/>
      <c r="CA3" s="34" t="n"/>
      <c r="CB3" s="34" t="n"/>
      <c r="CC3" s="34" t="n"/>
      <c r="CD3" s="34" t="n"/>
      <c r="CE3" s="34" t="n"/>
      <c r="CF3" s="34" t="n"/>
      <c r="CG3" s="34" t="n"/>
      <c r="CH3" s="34" t="n"/>
      <c r="CI3" s="34" t="n"/>
      <c r="CJ3" s="34" t="n"/>
      <c r="CK3" s="34" t="n"/>
      <c r="CL3" s="34" t="n"/>
      <c r="CM3" s="34" t="n"/>
      <c r="CN3" s="34" t="n"/>
      <c r="CO3" s="34" t="n"/>
      <c r="CP3" s="34" t="n"/>
      <c r="CQ3" s="34" t="n"/>
      <c r="CR3" s="34" t="n"/>
      <c r="CS3" s="34" t="n"/>
      <c r="CT3" s="34" t="n"/>
      <c r="CU3" s="34" t="n"/>
      <c r="CV3" s="34" t="n"/>
      <c r="CW3" s="34" t="n"/>
      <c r="CX3" s="34" t="n"/>
      <c r="CY3" s="34" t="n"/>
      <c r="CZ3" s="34" t="n"/>
      <c r="DA3" s="34" t="n"/>
      <c r="DB3" s="34" t="n"/>
      <c r="DC3" s="34" t="n"/>
      <c r="DD3" s="34" t="n"/>
      <c r="DE3" s="34" t="n"/>
      <c r="DF3" s="34" t="n"/>
      <c r="DG3" s="34" t="n"/>
      <c r="DH3" s="34" t="n"/>
      <c r="DI3" s="34" t="n"/>
      <c r="DJ3" s="34" t="n"/>
      <c r="DK3" s="34" t="n"/>
      <c r="DL3" s="34" t="n"/>
      <c r="DM3" s="34" t="n"/>
      <c r="DN3" s="34" t="n"/>
      <c r="DO3" s="34" t="n"/>
      <c r="DP3" s="34" t="n"/>
      <c r="DQ3" s="34" t="n"/>
    </row>
    <row r="4" ht="16" customHeight="1">
      <c r="A4" s="38" t="n"/>
      <c r="B4" s="38" t="n"/>
      <c r="C4" s="38" t="n"/>
      <c r="D4" s="38" t="n"/>
      <c r="E4" s="38" t="n"/>
      <c r="F4" s="38" t="n"/>
      <c r="G4" s="38" t="n"/>
      <c r="H4" s="34" t="n"/>
      <c r="I4" s="34" t="n"/>
      <c r="J4" s="34" t="n"/>
      <c r="K4" s="34" t="n"/>
      <c r="L4" s="34" t="n"/>
      <c r="M4" s="34" t="n"/>
      <c r="N4" s="34" t="n"/>
      <c r="O4" s="34">
        <f>IFERROR(INDEX('_courses_lookup'!$C:$C,MATCH(K4&amp;L4,'_courses_lookup'!$E:$E,0)),"")</f>
        <v/>
      </c>
      <c r="P4" s="34">
        <f>IFERROR(INDEX('_courses_lookup'!$D:$D,MATCH(K4&amp;L4,'_courses_lookup'!$E:$E,0)),"")</f>
        <v/>
      </c>
      <c r="Q4" s="34" t="n"/>
      <c r="R4" s="34" t="n"/>
      <c r="S4" s="34" t="n"/>
      <c r="T4" s="34" t="n"/>
      <c r="U4" s="34" t="n"/>
      <c r="V4" s="34" t="n"/>
      <c r="W4" s="34" t="n"/>
      <c r="X4" s="34" t="n"/>
      <c r="Y4" s="30" t="n"/>
      <c r="Z4" s="34" t="n"/>
      <c r="AA4" s="34" t="n"/>
      <c r="AB4" s="34" t="n"/>
      <c r="AC4" s="34" t="n"/>
      <c r="AD4" s="34" t="n"/>
      <c r="AE4" s="34" t="n"/>
      <c r="AF4" s="34" t="n"/>
      <c r="AG4" s="34">
        <f>IF(AND(AE4&lt;&gt;"",AF4&lt;&gt;""),ROUNDUP((AF4-AE4)/7,0),"")</f>
        <v/>
      </c>
      <c r="AH4" s="34" t="n"/>
      <c r="AI4" s="34">
        <f>IFERROR(IF(AG4*AH4=0,"",AG4*AH4),"")</f>
        <v/>
      </c>
      <c r="AJ4" s="34" t="n"/>
      <c r="AK4" s="34" t="n"/>
      <c r="AL4" s="34">
        <f>IF(AND(AJ4&lt;&gt;"",AK4&lt;&gt;""),ROUNDUP((AK4-AJ4)/7,0),"")</f>
        <v/>
      </c>
      <c r="AM4" s="34" t="n"/>
      <c r="AN4" s="34">
        <f>IFERROR(IF(AL4*AM4=0,"",AL4*AM4),"")</f>
        <v/>
      </c>
      <c r="AO4" s="34" t="n"/>
      <c r="AP4" s="34" t="n"/>
      <c r="AQ4" s="34">
        <f>IF(AND(AO4&lt;&gt;"",AP4&lt;&gt;""),ROUNDUP((AP4-AO4)/7,0),"")</f>
        <v/>
      </c>
      <c r="AR4" s="34">
        <f>IFERROR(IF((AU4-(AI4+AN4))/AQ4=0,"",ROUNDUP((AU4-(AI4+AN4))/AQ4,0)),"")</f>
        <v/>
      </c>
      <c r="AS4" s="34">
        <f>IFERROR(IF((AU4-(AI4+AN4))=0,"",(AU4-(AI4+AN4))),"")</f>
        <v/>
      </c>
      <c r="AT4" s="34">
        <f>IF(AND(AG4="",AQ4=""),AL4,IF(SUM(AG4,AL4,AQ4)=0,"",SUM(AG4,AL4,AQ4)))</f>
        <v/>
      </c>
      <c r="AU4" s="34" t="n"/>
      <c r="AV4" s="34" t="n"/>
      <c r="AW4" s="34" t="n"/>
      <c r="AX4" s="34" t="n"/>
      <c r="AY4" s="34" t="n"/>
      <c r="AZ4" s="30" t="n"/>
      <c r="BA4" s="34" t="n"/>
      <c r="BB4" s="34" t="n"/>
      <c r="BC4" s="34" t="n"/>
      <c r="BD4" s="34" t="n"/>
      <c r="BE4" s="34" t="n"/>
      <c r="BF4" s="34" t="n"/>
      <c r="BG4" s="34">
        <f>IF(AD4="","",YEAR(AD4)+IF(MONTH(AD4)&gt;=5,1,0))</f>
        <v/>
      </c>
      <c r="BH4" s="34">
        <f>IF(AD4="","",IF(AND(MONTH(AD4)=8,DAY(AD4)&gt;=15),"Fall",IF(MONTH(AD4)&gt;8,"Fall",IF(MONTH(AD4)=5,"Summer",IF(MONTH(AD4)=1,"Spring","")))))</f>
        <v/>
      </c>
      <c r="BI4" s="34" t="n"/>
      <c r="BJ4" s="34" t="n"/>
      <c r="BK4" s="30">
        <f>IF($BJ4="","",IFERROR(INDEX(InstructorMap!$B:$B, MATCH($BJ4, InstructorMap!$A:$A, 0)),""))</f>
        <v/>
      </c>
      <c r="BL4" s="30">
        <f>IFERROR(INDEX('_names_lookup'!$C:$C,MATCH(BK4,'_names_lookup'!$A:$A,0)),"")</f>
        <v/>
      </c>
      <c r="BM4" s="34">
        <f>IFERROR(INDEX('_names_lookup'!$B:$B,MATCH(BK4,'_names_lookup'!$A:$A,0)),"")</f>
        <v/>
      </c>
      <c r="BN4" s="34" t="n"/>
      <c r="BO4" s="34" t="n"/>
      <c r="BP4" s="34" t="n"/>
      <c r="BQ4" s="34" t="n"/>
      <c r="BR4" s="34" t="n"/>
      <c r="BS4" s="34">
        <f>IFERROR(IF(BR4*AA4=0,"",BR4*AA4),"")</f>
        <v/>
      </c>
      <c r="BT4" s="34" t="n"/>
      <c r="BU4" s="34" t="n"/>
      <c r="BV4" s="34" t="n"/>
      <c r="BW4" s="34" t="n"/>
      <c r="BX4" s="34" t="n"/>
      <c r="BY4" s="34" t="n"/>
      <c r="BZ4" s="34" t="n"/>
      <c r="CA4" s="34" t="n"/>
      <c r="CB4" s="34" t="n"/>
      <c r="CC4" s="34" t="n"/>
      <c r="CD4" s="34" t="n"/>
      <c r="CE4" s="34" t="n"/>
      <c r="CF4" s="34" t="n"/>
      <c r="CG4" s="34" t="n"/>
      <c r="CH4" s="34" t="n"/>
      <c r="CI4" s="34" t="n"/>
      <c r="CJ4" s="34" t="n"/>
      <c r="CK4" s="34" t="n"/>
      <c r="CL4" s="34" t="n"/>
      <c r="CM4" s="34" t="n"/>
      <c r="CN4" s="34" t="n"/>
      <c r="CO4" s="34" t="n"/>
      <c r="CP4" s="34" t="n"/>
      <c r="CQ4" s="34" t="n"/>
      <c r="CR4" s="34" t="n"/>
      <c r="CS4" s="34" t="n"/>
      <c r="CT4" s="34" t="n"/>
      <c r="CU4" s="34" t="n"/>
      <c r="CV4" s="34" t="n"/>
      <c r="CW4" s="34" t="n"/>
      <c r="CX4" s="34" t="n"/>
      <c r="CY4" s="34" t="n"/>
      <c r="CZ4" s="34" t="n"/>
      <c r="DA4" s="34" t="n"/>
      <c r="DB4" s="34" t="n"/>
      <c r="DC4" s="34" t="n"/>
      <c r="DD4" s="34" t="n"/>
      <c r="DE4" s="34" t="n"/>
      <c r="DF4" s="34" t="n"/>
      <c r="DG4" s="34" t="n"/>
      <c r="DH4" s="34" t="n"/>
      <c r="DI4" s="34" t="n"/>
      <c r="DJ4" s="34" t="n"/>
      <c r="DK4" s="34" t="n"/>
      <c r="DL4" s="34" t="n"/>
      <c r="DM4" s="34" t="n"/>
      <c r="DN4" s="34" t="n"/>
      <c r="DO4" s="34" t="n"/>
      <c r="DP4" s="34" t="n"/>
      <c r="DQ4" s="34" t="n"/>
    </row>
    <row r="5" ht="16" customHeight="1">
      <c r="A5" s="38" t="n"/>
      <c r="B5" s="38" t="n"/>
      <c r="C5" s="38" t="n"/>
      <c r="D5" s="38" t="n"/>
      <c r="E5" s="38" t="n"/>
      <c r="F5" s="38" t="n"/>
      <c r="G5" s="38" t="n"/>
      <c r="H5" s="34" t="n"/>
      <c r="I5" s="34" t="n"/>
      <c r="J5" s="34" t="n"/>
      <c r="K5" s="34" t="n"/>
      <c r="L5" s="34" t="n"/>
      <c r="M5" s="34" t="n"/>
      <c r="N5" s="34" t="n"/>
      <c r="O5" s="34">
        <f>IFERROR(INDEX('_courses_lookup'!$C:$C,MATCH(K5&amp;L5,'_courses_lookup'!$E:$E,0)),"")</f>
        <v/>
      </c>
      <c r="P5" s="34">
        <f>IFERROR(INDEX('_courses_lookup'!$D:$D,MATCH(K5&amp;L5,'_courses_lookup'!$E:$E,0)),"")</f>
        <v/>
      </c>
      <c r="Q5" s="34" t="n"/>
      <c r="R5" s="34" t="n"/>
      <c r="S5" s="34" t="n"/>
      <c r="T5" s="34" t="n"/>
      <c r="U5" s="34" t="n"/>
      <c r="V5" s="34" t="n"/>
      <c r="W5" s="34" t="n"/>
      <c r="X5" s="34" t="n"/>
      <c r="Y5" s="30" t="n"/>
      <c r="Z5" s="34" t="n"/>
      <c r="AA5" s="34" t="n"/>
      <c r="AB5" s="34" t="n"/>
      <c r="AC5" s="34" t="n"/>
      <c r="AD5" s="34" t="n"/>
      <c r="AE5" s="34" t="n"/>
      <c r="AF5" s="34" t="n"/>
      <c r="AG5" s="34">
        <f>IF(AND(AE5&lt;&gt;"",AF5&lt;&gt;""),ROUNDUP((AF5-AE5)/7,0),"")</f>
        <v/>
      </c>
      <c r="AH5" s="34" t="n"/>
      <c r="AI5" s="34">
        <f>IFERROR(IF(AG5*AH5=0,"",AG5*AH5),"")</f>
        <v/>
      </c>
      <c r="AJ5" s="34" t="n"/>
      <c r="AK5" s="34" t="n"/>
      <c r="AL5" s="34">
        <f>IF(AND(AJ5&lt;&gt;"",AK5&lt;&gt;""),ROUNDUP((AK5-AJ5)/7,0),"")</f>
        <v/>
      </c>
      <c r="AM5" s="34" t="n"/>
      <c r="AN5" s="34">
        <f>IFERROR(IF(AL5*AM5=0,"",AL5*AM5),"")</f>
        <v/>
      </c>
      <c r="AO5" s="34" t="n"/>
      <c r="AP5" s="34" t="n"/>
      <c r="AQ5" s="34">
        <f>IF(AND(AO5&lt;&gt;"",AP5&lt;&gt;""),ROUNDUP((AP5-AO5)/7,0),"")</f>
        <v/>
      </c>
      <c r="AR5" s="34">
        <f>IFERROR(IF((AU5-(AI5+AN5))/AQ5=0,"",ROUNDUP((AU5-(AI5+AN5))/AQ5,0)),"")</f>
        <v/>
      </c>
      <c r="AS5" s="34">
        <f>IFERROR(IF((AU5-(AI5+AN5))=0,"",(AU5-(AI5+AN5))),"")</f>
        <v/>
      </c>
      <c r="AT5" s="34">
        <f>IF(AND(AG5="",AQ5=""),AL5,IF(SUM(AG5,AL5,AQ5)=0,"",SUM(AG5,AL5,AQ5)))</f>
        <v/>
      </c>
      <c r="AU5" s="34" t="n"/>
      <c r="AV5" s="34" t="n"/>
      <c r="AW5" s="34" t="n"/>
      <c r="AX5" s="34" t="n"/>
      <c r="AY5" s="34" t="n"/>
      <c r="AZ5" s="30" t="n"/>
      <c r="BA5" s="34" t="n"/>
      <c r="BB5" s="34" t="n"/>
      <c r="BC5" s="34" t="n"/>
      <c r="BD5" s="34" t="n"/>
      <c r="BE5" s="34" t="n"/>
      <c r="BF5" s="34" t="n"/>
      <c r="BG5" s="34">
        <f>IF(AD5="","",YEAR(AD5)+IF(MONTH(AD5)&gt;=5,1,0))</f>
        <v/>
      </c>
      <c r="BH5" s="34">
        <f>IF(AD5="","",IF(AND(MONTH(AD5)=8,DAY(AD5)&gt;=15),"Fall",IF(MONTH(AD5)&gt;8,"Fall",IF(MONTH(AD5)=5,"Summer",IF(MONTH(AD5)=1,"Spring","")))))</f>
        <v/>
      </c>
      <c r="BI5" s="34" t="n"/>
      <c r="BJ5" s="34" t="n"/>
      <c r="BK5" s="30">
        <f>IF($BJ5="","",IFERROR(INDEX(InstructorMap!$B:$B, MATCH($BJ5, InstructorMap!$A:$A, 0)),""))</f>
        <v/>
      </c>
      <c r="BL5" s="30">
        <f>IFERROR(INDEX('_names_lookup'!$C:$C,MATCH(BK5,'_names_lookup'!$A:$A,0)),"")</f>
        <v/>
      </c>
      <c r="BM5" s="34">
        <f>IFERROR(INDEX('_names_lookup'!$B:$B,MATCH(BK5,'_names_lookup'!$A:$A,0)),"")</f>
        <v/>
      </c>
      <c r="BN5" s="34" t="n"/>
      <c r="BO5" s="34" t="n"/>
      <c r="BP5" s="34" t="n"/>
      <c r="BQ5" s="34" t="n"/>
      <c r="BR5" s="34" t="n"/>
      <c r="BS5" s="34">
        <f>IFERROR(IF(BR5*AA5=0,"",BR5*AA5),"")</f>
        <v/>
      </c>
      <c r="BT5" s="34" t="n"/>
      <c r="BU5" s="34" t="n"/>
      <c r="BV5" s="34" t="n"/>
      <c r="BW5" s="34" t="n"/>
      <c r="BX5" s="34" t="n"/>
      <c r="BY5" s="34" t="n"/>
      <c r="BZ5" s="34" t="n"/>
      <c r="CA5" s="34" t="n"/>
      <c r="CB5" s="34" t="n"/>
      <c r="CC5" s="34" t="n"/>
      <c r="CD5" s="34" t="n"/>
      <c r="CE5" s="34" t="n"/>
      <c r="CF5" s="34" t="n"/>
      <c r="CG5" s="34" t="n"/>
      <c r="CH5" s="34" t="n"/>
      <c r="CI5" s="34" t="n"/>
      <c r="CJ5" s="34" t="n"/>
      <c r="CK5" s="34" t="n"/>
      <c r="CL5" s="34" t="n"/>
      <c r="CM5" s="34" t="n"/>
      <c r="CN5" s="34" t="n"/>
      <c r="CO5" s="34" t="n"/>
      <c r="CP5" s="34" t="n"/>
      <c r="CQ5" s="34" t="n"/>
      <c r="CR5" s="34" t="n"/>
      <c r="CS5" s="34" t="n"/>
      <c r="CT5" s="34" t="n"/>
      <c r="CU5" s="34" t="n"/>
      <c r="CV5" s="34" t="n"/>
      <c r="CW5" s="34" t="n"/>
      <c r="CX5" s="34" t="n"/>
      <c r="CY5" s="34" t="n"/>
      <c r="CZ5" s="34" t="n"/>
      <c r="DA5" s="34" t="n"/>
      <c r="DB5" s="34" t="n"/>
      <c r="DC5" s="34" t="n"/>
      <c r="DD5" s="34" t="n"/>
      <c r="DE5" s="34" t="n"/>
      <c r="DF5" s="34" t="n"/>
      <c r="DG5" s="34" t="n"/>
      <c r="DH5" s="34" t="n"/>
      <c r="DI5" s="34" t="n"/>
      <c r="DJ5" s="34" t="n"/>
      <c r="DK5" s="34" t="n"/>
      <c r="DL5" s="34" t="n"/>
      <c r="DM5" s="34" t="n"/>
      <c r="DN5" s="34" t="n"/>
      <c r="DO5" s="34" t="n"/>
      <c r="DP5" s="34" t="n"/>
      <c r="DQ5" s="34" t="n"/>
    </row>
    <row r="6" ht="16" customHeight="1">
      <c r="A6" s="38" t="n"/>
      <c r="B6" s="38" t="n"/>
      <c r="C6" s="38" t="n"/>
      <c r="D6" s="38" t="n"/>
      <c r="E6" s="38" t="n"/>
      <c r="F6" s="38" t="n"/>
      <c r="G6" s="38" t="n"/>
      <c r="H6" s="34" t="n"/>
      <c r="I6" s="34" t="n"/>
      <c r="J6" s="34" t="n"/>
      <c r="K6" s="34" t="n"/>
      <c r="L6" s="34" t="n"/>
      <c r="M6" s="34" t="n"/>
      <c r="N6" s="34" t="n"/>
      <c r="O6" s="34">
        <f>IFERROR(INDEX('_courses_lookup'!$C:$C,MATCH(K6&amp;L6,'_courses_lookup'!$E:$E,0)),"")</f>
        <v/>
      </c>
      <c r="P6" s="34">
        <f>IFERROR(INDEX('_courses_lookup'!$D:$D,MATCH(K6&amp;L6,'_courses_lookup'!$E:$E,0)),"")</f>
        <v/>
      </c>
      <c r="Q6" s="34" t="n"/>
      <c r="R6" s="34" t="n"/>
      <c r="S6" s="34" t="n"/>
      <c r="T6" s="34" t="n"/>
      <c r="U6" s="34" t="n"/>
      <c r="V6" s="34" t="n"/>
      <c r="W6" s="34" t="n"/>
      <c r="X6" s="34" t="n"/>
      <c r="Y6" s="30" t="n"/>
      <c r="Z6" s="34" t="n"/>
      <c r="AA6" s="34" t="n"/>
      <c r="AB6" s="34" t="n"/>
      <c r="AC6" s="34" t="n"/>
      <c r="AD6" s="34" t="n"/>
      <c r="AE6" s="34" t="n"/>
      <c r="AF6" s="34" t="n"/>
      <c r="AG6" s="34">
        <f>IF(AND(AE6&lt;&gt;"",AF6&lt;&gt;""),ROUNDUP((AF6-AE6)/7,0),"")</f>
        <v/>
      </c>
      <c r="AH6" s="34" t="n"/>
      <c r="AI6" s="34">
        <f>IFERROR(IF(AG6*AH6=0,"",AG6*AH6),"")</f>
        <v/>
      </c>
      <c r="AJ6" s="34" t="n"/>
      <c r="AK6" s="34" t="n"/>
      <c r="AL6" s="34">
        <f>IF(AND(AJ6&lt;&gt;"",AK6&lt;&gt;""),ROUNDUP((AK6-AJ6)/7,0),"")</f>
        <v/>
      </c>
      <c r="AM6" s="34" t="n"/>
      <c r="AN6" s="34">
        <f>IFERROR(IF(AL6*AM6=0,"",AL6*AM6),"")</f>
        <v/>
      </c>
      <c r="AO6" s="34" t="n"/>
      <c r="AP6" s="34" t="n"/>
      <c r="AQ6" s="34">
        <f>IF(AND(AO6&lt;&gt;"",AP6&lt;&gt;""),ROUNDUP((AP6-AO6)/7,0),"")</f>
        <v/>
      </c>
      <c r="AR6" s="34">
        <f>IFERROR(IF((AU6-(AI6+AN6))/AQ6=0,"",ROUNDUP((AU6-(AI6+AN6))/AQ6,0)),"")</f>
        <v/>
      </c>
      <c r="AS6" s="34">
        <f>IFERROR(IF((AU6-(AI6+AN6))=0,"",(AU6-(AI6+AN6))),"")</f>
        <v/>
      </c>
      <c r="AT6" s="34">
        <f>IF(AND(AG6="",AQ6=""),AL6,IF(SUM(AG6,AL6,AQ6)=0,"",SUM(AG6,AL6,AQ6)))</f>
        <v/>
      </c>
      <c r="AU6" s="34" t="n"/>
      <c r="AV6" s="34" t="n"/>
      <c r="AW6" s="34" t="n"/>
      <c r="AX6" s="34" t="n"/>
      <c r="AY6" s="34" t="n"/>
      <c r="AZ6" s="30" t="n"/>
      <c r="BA6" s="34" t="n"/>
      <c r="BB6" s="34" t="n"/>
      <c r="BC6" s="34" t="n"/>
      <c r="BD6" s="34" t="n"/>
      <c r="BE6" s="34" t="n"/>
      <c r="BF6" s="34" t="n"/>
      <c r="BG6" s="34">
        <f>IF(AD6="","",YEAR(AD6)+IF(MONTH(AD6)&gt;=5,1,0))</f>
        <v/>
      </c>
      <c r="BH6" s="34">
        <f>IF(AD6="","",IF(AND(MONTH(AD6)=8,DAY(AD6)&gt;=15),"Fall",IF(MONTH(AD6)&gt;8,"Fall",IF(MONTH(AD6)=5,"Summer",IF(MONTH(AD6)=1,"Spring","")))))</f>
        <v/>
      </c>
      <c r="BI6" s="34" t="n"/>
      <c r="BJ6" s="34" t="n"/>
      <c r="BK6" s="30">
        <f>IF($BJ6="","",IFERROR(INDEX(InstructorMap!$B:$B, MATCH($BJ6, InstructorMap!$A:$A, 0)),""))</f>
        <v/>
      </c>
      <c r="BL6" s="30">
        <f>IFERROR(INDEX('_names_lookup'!$C:$C,MATCH(BK6,'_names_lookup'!$A:$A,0)),"")</f>
        <v/>
      </c>
      <c r="BM6" s="34">
        <f>IFERROR(INDEX('_names_lookup'!$B:$B,MATCH(BK6,'_names_lookup'!$A:$A,0)),"")</f>
        <v/>
      </c>
      <c r="BN6" s="34" t="n"/>
      <c r="BO6" s="34" t="n"/>
      <c r="BP6" s="34" t="n"/>
      <c r="BQ6" s="34" t="n"/>
      <c r="BR6" s="34" t="n"/>
      <c r="BS6" s="34">
        <f>IFERROR(IF(BR6*AA6=0,"",BR6*AA6),"")</f>
        <v/>
      </c>
      <c r="BT6" s="34" t="n"/>
      <c r="BU6" s="34" t="n"/>
      <c r="BV6" s="34" t="n"/>
      <c r="BW6" s="34" t="n"/>
      <c r="BX6" s="34" t="n"/>
      <c r="BY6" s="34" t="n"/>
      <c r="BZ6" s="34" t="n"/>
      <c r="CA6" s="34" t="n"/>
      <c r="CB6" s="34" t="n"/>
      <c r="CC6" s="34" t="n"/>
      <c r="CD6" s="34" t="n"/>
      <c r="CE6" s="34" t="n"/>
      <c r="CF6" s="34" t="n"/>
      <c r="CG6" s="34" t="n"/>
      <c r="CH6" s="34" t="n"/>
      <c r="CI6" s="34" t="n"/>
      <c r="CJ6" s="34" t="n"/>
      <c r="CK6" s="34" t="n"/>
      <c r="CL6" s="34" t="n"/>
      <c r="CM6" s="34" t="n"/>
      <c r="CN6" s="34" t="n"/>
      <c r="CO6" s="34" t="n"/>
      <c r="CP6" s="34" t="n"/>
      <c r="CQ6" s="34" t="n"/>
      <c r="CR6" s="34" t="n"/>
      <c r="CS6" s="34" t="n"/>
      <c r="CT6" s="34" t="n"/>
      <c r="CU6" s="34" t="n"/>
      <c r="CV6" s="34" t="n"/>
      <c r="CW6" s="34" t="n"/>
      <c r="CX6" s="34" t="n"/>
      <c r="CY6" s="34" t="n"/>
      <c r="CZ6" s="34" t="n"/>
      <c r="DA6" s="34" t="n"/>
      <c r="DB6" s="34" t="n"/>
      <c r="DC6" s="34" t="n"/>
      <c r="DD6" s="34" t="n"/>
      <c r="DE6" s="34" t="n"/>
      <c r="DF6" s="34" t="n"/>
      <c r="DG6" s="34" t="n"/>
      <c r="DH6" s="34" t="n"/>
      <c r="DI6" s="34" t="n"/>
      <c r="DJ6" s="34" t="n"/>
      <c r="DK6" s="34" t="n"/>
      <c r="DL6" s="34" t="n"/>
      <c r="DM6" s="34" t="n"/>
      <c r="DN6" s="34" t="n"/>
      <c r="DO6" s="34" t="n"/>
      <c r="DP6" s="34" t="n"/>
      <c r="DQ6" s="34" t="n"/>
    </row>
    <row r="7" ht="16" customHeight="1">
      <c r="A7" s="38" t="n"/>
      <c r="B7" s="38" t="n"/>
      <c r="C7" s="38" t="n"/>
      <c r="D7" s="38" t="n"/>
      <c r="E7" s="38" t="n"/>
      <c r="F7" s="38" t="n"/>
      <c r="G7" s="38" t="n"/>
      <c r="H7" s="34" t="n"/>
      <c r="I7" s="34" t="n"/>
      <c r="J7" s="34" t="n"/>
      <c r="K7" s="34" t="n"/>
      <c r="L7" s="34" t="n"/>
      <c r="M7" s="34" t="n"/>
      <c r="N7" s="34" t="n"/>
      <c r="O7" s="34">
        <f>IFERROR(INDEX('_courses_lookup'!$C:$C,MATCH(K7&amp;L7,'_courses_lookup'!$E:$E,0)),"")</f>
        <v/>
      </c>
      <c r="P7" s="34">
        <f>IFERROR(INDEX('_courses_lookup'!$D:$D,MATCH(K7&amp;L7,'_courses_lookup'!$E:$E,0)),"")</f>
        <v/>
      </c>
      <c r="Q7" s="34" t="n"/>
      <c r="R7" s="34" t="n"/>
      <c r="S7" s="34" t="n"/>
      <c r="T7" s="34" t="n"/>
      <c r="U7" s="34" t="n"/>
      <c r="V7" s="34" t="n"/>
      <c r="W7" s="34" t="n"/>
      <c r="X7" s="34" t="n"/>
      <c r="Y7" s="30" t="n"/>
      <c r="Z7" s="34" t="n"/>
      <c r="AA7" s="34" t="n"/>
      <c r="AB7" s="34" t="n"/>
      <c r="AC7" s="34" t="n"/>
      <c r="AD7" s="34" t="n"/>
      <c r="AE7" s="34" t="n"/>
      <c r="AF7" s="34" t="n"/>
      <c r="AG7" s="34">
        <f>IF(AND(AE7&lt;&gt;"",AF7&lt;&gt;""),ROUNDUP((AF7-AE7)/7,0),"")</f>
        <v/>
      </c>
      <c r="AH7" s="34" t="n"/>
      <c r="AI7" s="34">
        <f>IFERROR(IF(AG7*AH7=0,"",AG7*AH7),"")</f>
        <v/>
      </c>
      <c r="AJ7" s="34" t="n"/>
      <c r="AK7" s="34" t="n"/>
      <c r="AL7" s="34">
        <f>IF(AND(AJ7&lt;&gt;"",AK7&lt;&gt;""),ROUNDUP((AK7-AJ7)/7,0),"")</f>
        <v/>
      </c>
      <c r="AM7" s="34" t="n"/>
      <c r="AN7" s="34">
        <f>IFERROR(IF(AL7*AM7=0,"",AL7*AM7),"")</f>
        <v/>
      </c>
      <c r="AO7" s="34" t="n"/>
      <c r="AP7" s="34" t="n"/>
      <c r="AQ7" s="34">
        <f>IF(AND(AO7&lt;&gt;"",AP7&lt;&gt;""),ROUNDUP((AP7-AO7)/7,0),"")</f>
        <v/>
      </c>
      <c r="AR7" s="34">
        <f>IFERROR(IF((AU7-(AI7+AN7))/AQ7=0,"",ROUNDUP((AU7-(AI7+AN7))/AQ7,0)),"")</f>
        <v/>
      </c>
      <c r="AS7" s="34">
        <f>IFERROR(IF((AU7-(AI7+AN7))=0,"",(AU7-(AI7+AN7))),"")</f>
        <v/>
      </c>
      <c r="AT7" s="34">
        <f>IF(AND(AG7="",AQ7=""),AL7,IF(SUM(AG7,AL7,AQ7)=0,"",SUM(AG7,AL7,AQ7)))</f>
        <v/>
      </c>
      <c r="AU7" s="34" t="n"/>
      <c r="AV7" s="34" t="n"/>
      <c r="AW7" s="34" t="n"/>
      <c r="AX7" s="34" t="n"/>
      <c r="AY7" s="34" t="n"/>
      <c r="AZ7" s="30" t="n"/>
      <c r="BA7" s="34" t="n"/>
      <c r="BB7" s="34" t="n"/>
      <c r="BC7" s="34" t="n"/>
      <c r="BD7" s="34" t="n"/>
      <c r="BE7" s="34" t="n"/>
      <c r="BF7" s="34" t="n"/>
      <c r="BG7" s="34">
        <f>IF(AD7="","",YEAR(AD7)+IF(MONTH(AD7)&gt;=5,1,0))</f>
        <v/>
      </c>
      <c r="BH7" s="34">
        <f>IF(AD7="","",IF(AND(MONTH(AD7)=8,DAY(AD7)&gt;=15),"Fall",IF(MONTH(AD7)&gt;8,"Fall",IF(MONTH(AD7)=5,"Summer",IF(MONTH(AD7)=1,"Spring","")))))</f>
        <v/>
      </c>
      <c r="BI7" s="34" t="n"/>
      <c r="BJ7" s="34" t="n"/>
      <c r="BK7" s="30">
        <f>IF($BJ7="","",IFERROR(INDEX(InstructorMap!$B:$B, MATCH($BJ7, InstructorMap!$A:$A, 0)),""))</f>
        <v/>
      </c>
      <c r="BL7" s="30">
        <f>IFERROR(INDEX('_names_lookup'!$C:$C,MATCH(BK7,'_names_lookup'!$A:$A,0)),"")</f>
        <v/>
      </c>
      <c r="BM7" s="34">
        <f>IFERROR(INDEX('_names_lookup'!$B:$B,MATCH(BK7,'_names_lookup'!$A:$A,0)),"")</f>
        <v/>
      </c>
      <c r="BN7" s="34" t="n"/>
      <c r="BO7" s="34" t="n"/>
      <c r="BP7" s="34" t="n"/>
      <c r="BQ7" s="34" t="n"/>
      <c r="BR7" s="34" t="n"/>
      <c r="BS7" s="34">
        <f>IFERROR(IF(BR7*AA7=0,"",BR7*AA7),"")</f>
        <v/>
      </c>
      <c r="BT7" s="34" t="n"/>
      <c r="BU7" s="34" t="n"/>
      <c r="BV7" s="34" t="n"/>
      <c r="BW7" s="34" t="n"/>
      <c r="BX7" s="34" t="n"/>
      <c r="BY7" s="34" t="n"/>
      <c r="BZ7" s="34" t="n"/>
      <c r="CA7" s="34" t="n"/>
      <c r="CB7" s="34" t="n"/>
      <c r="CC7" s="34" t="n"/>
      <c r="CD7" s="34" t="n"/>
      <c r="CE7" s="34" t="n"/>
      <c r="CF7" s="34" t="n"/>
      <c r="CG7" s="34" t="n"/>
      <c r="CH7" s="34" t="n"/>
      <c r="CI7" s="34" t="n"/>
      <c r="CJ7" s="34" t="n"/>
      <c r="CK7" s="34" t="n"/>
      <c r="CL7" s="34" t="n"/>
      <c r="CM7" s="34" t="n"/>
      <c r="CN7" s="34" t="n"/>
      <c r="CO7" s="34" t="n"/>
      <c r="CP7" s="34" t="n"/>
      <c r="CQ7" s="34" t="n"/>
      <c r="CR7" s="34" t="n"/>
      <c r="CS7" s="34" t="n"/>
      <c r="CT7" s="34" t="n"/>
      <c r="CU7" s="34" t="n"/>
      <c r="CV7" s="34" t="n"/>
      <c r="CW7" s="34" t="n"/>
      <c r="CX7" s="34" t="n"/>
      <c r="CY7" s="34" t="n"/>
      <c r="CZ7" s="34" t="n"/>
      <c r="DA7" s="34" t="n"/>
      <c r="DB7" s="34" t="n"/>
      <c r="DC7" s="34" t="n"/>
      <c r="DD7" s="34" t="n"/>
      <c r="DE7" s="34" t="n"/>
      <c r="DF7" s="34" t="n"/>
      <c r="DG7" s="34" t="n"/>
      <c r="DH7" s="34" t="n"/>
      <c r="DI7" s="34" t="n"/>
      <c r="DJ7" s="34" t="n"/>
      <c r="DK7" s="34" t="n"/>
      <c r="DL7" s="34" t="n"/>
      <c r="DM7" s="34" t="n"/>
      <c r="DN7" s="34" t="n"/>
      <c r="DO7" s="34" t="n"/>
      <c r="DP7" s="34" t="n"/>
      <c r="DQ7" s="34" t="n"/>
    </row>
    <row r="8" ht="16" customHeight="1">
      <c r="A8" s="38" t="n"/>
      <c r="B8" s="38" t="n"/>
      <c r="C8" s="38" t="n"/>
      <c r="D8" s="38" t="n"/>
      <c r="E8" s="38" t="n"/>
      <c r="F8" s="38" t="n"/>
      <c r="G8" s="38" t="n"/>
      <c r="H8" s="34" t="n"/>
      <c r="I8" s="34" t="n"/>
      <c r="J8" s="34" t="n"/>
      <c r="K8" s="34" t="n"/>
      <c r="L8" s="34" t="n"/>
      <c r="M8" s="34" t="n"/>
      <c r="N8" s="34" t="n"/>
      <c r="O8" s="34">
        <f>IFERROR(INDEX('_courses_lookup'!$C:$C,MATCH(K8&amp;L8,'_courses_lookup'!$E:$E,0)),"")</f>
        <v/>
      </c>
      <c r="P8" s="34">
        <f>IFERROR(INDEX('_courses_lookup'!$D:$D,MATCH(K8&amp;L8,'_courses_lookup'!$E:$E,0)),"")</f>
        <v/>
      </c>
      <c r="Q8" s="34" t="n"/>
      <c r="R8" s="34" t="n"/>
      <c r="S8" s="34" t="n"/>
      <c r="T8" s="34" t="n"/>
      <c r="U8" s="34" t="n"/>
      <c r="V8" s="34" t="n"/>
      <c r="W8" s="34" t="n"/>
      <c r="X8" s="34" t="n"/>
      <c r="Y8" s="30" t="n"/>
      <c r="Z8" s="34" t="n"/>
      <c r="AA8" s="34" t="n"/>
      <c r="AB8" s="34" t="n"/>
      <c r="AC8" s="34" t="n"/>
      <c r="AD8" s="34" t="n"/>
      <c r="AE8" s="34" t="n"/>
      <c r="AF8" s="34" t="n"/>
      <c r="AG8" s="34">
        <f>IF(AND(AE8&lt;&gt;"",AF8&lt;&gt;""),ROUNDUP((AF8-AE8)/7,0),"")</f>
        <v/>
      </c>
      <c r="AH8" s="34" t="n"/>
      <c r="AI8" s="34">
        <f>IFERROR(IF(AG8*AH8=0,"",AG8*AH8),"")</f>
        <v/>
      </c>
      <c r="AJ8" s="34" t="n"/>
      <c r="AK8" s="34" t="n"/>
      <c r="AL8" s="34">
        <f>IF(AND(AJ8&lt;&gt;"",AK8&lt;&gt;""),ROUNDUP((AK8-AJ8)/7,0),"")</f>
        <v/>
      </c>
      <c r="AM8" s="34" t="n"/>
      <c r="AN8" s="34">
        <f>IFERROR(IF(AL8*AM8=0,"",AL8*AM8),"")</f>
        <v/>
      </c>
      <c r="AO8" s="34" t="n"/>
      <c r="AP8" s="34" t="n"/>
      <c r="AQ8" s="34">
        <f>IF(AND(AO8&lt;&gt;"",AP8&lt;&gt;""),ROUNDUP((AP8-AO8)/7,0),"")</f>
        <v/>
      </c>
      <c r="AR8" s="34">
        <f>IFERROR(IF((AU8-(AI8+AN8))/AQ8=0,"",ROUNDUP((AU8-(AI8+AN8))/AQ8,0)),"")</f>
        <v/>
      </c>
      <c r="AS8" s="34">
        <f>IFERROR(IF((AU8-(AI8+AN8))=0,"",(AU8-(AI8+AN8))),"")</f>
        <v/>
      </c>
      <c r="AT8" s="34">
        <f>IF(AND(AG8="",AQ8=""),AL8,IF(SUM(AG8,AL8,AQ8)=0,"",SUM(AG8,AL8,AQ8)))</f>
        <v/>
      </c>
      <c r="AU8" s="34" t="n"/>
      <c r="AV8" s="34" t="n"/>
      <c r="AW8" s="34" t="n"/>
      <c r="AX8" s="34" t="n"/>
      <c r="AY8" s="34" t="n"/>
      <c r="AZ8" s="30" t="n"/>
      <c r="BA8" s="34" t="n"/>
      <c r="BB8" s="34" t="n"/>
      <c r="BC8" s="34" t="n"/>
      <c r="BD8" s="34" t="n"/>
      <c r="BE8" s="34" t="n"/>
      <c r="BF8" s="34" t="n"/>
      <c r="BG8" s="34">
        <f>IF(AD8="","",YEAR(AD8)+IF(MONTH(AD8)&gt;=5,1,0))</f>
        <v/>
      </c>
      <c r="BH8" s="34">
        <f>IF(AD8="","",IF(AND(MONTH(AD8)=8,DAY(AD8)&gt;=15),"Fall",IF(MONTH(AD8)&gt;8,"Fall",IF(MONTH(AD8)=5,"Summer",IF(MONTH(AD8)=1,"Spring","")))))</f>
        <v/>
      </c>
      <c r="BI8" s="34" t="n"/>
      <c r="BJ8" s="34" t="n"/>
      <c r="BK8" s="30">
        <f>IF($BJ8="","",IFERROR(INDEX(InstructorMap!$B:$B, MATCH($BJ8, InstructorMap!$A:$A, 0)),""))</f>
        <v/>
      </c>
      <c r="BL8" s="30">
        <f>IFERROR(INDEX('_names_lookup'!$C:$C,MATCH(BK8,'_names_lookup'!$A:$A,0)),"")</f>
        <v/>
      </c>
      <c r="BM8" s="34">
        <f>IFERROR(INDEX('_names_lookup'!$B:$B,MATCH(BK8,'_names_lookup'!$A:$A,0)),"")</f>
        <v/>
      </c>
      <c r="BN8" s="34" t="n"/>
      <c r="BO8" s="34" t="n"/>
      <c r="BP8" s="34" t="n"/>
      <c r="BQ8" s="34" t="n"/>
      <c r="BR8" s="34" t="n"/>
      <c r="BS8" s="34">
        <f>IFERROR(IF(BR8*AA8=0,"",BR8*AA8),"")</f>
        <v/>
      </c>
      <c r="BT8" s="34" t="n"/>
      <c r="BU8" s="34" t="n"/>
      <c r="BV8" s="34" t="n"/>
      <c r="BW8" s="34" t="n"/>
      <c r="BX8" s="34" t="n"/>
      <c r="BY8" s="34" t="n"/>
      <c r="BZ8" s="34" t="n"/>
      <c r="CA8" s="34" t="n"/>
      <c r="CB8" s="34" t="n"/>
      <c r="CC8" s="34" t="n"/>
      <c r="CD8" s="34" t="n"/>
      <c r="CE8" s="34" t="n"/>
      <c r="CF8" s="34" t="n"/>
      <c r="CG8" s="34" t="n"/>
      <c r="CH8" s="34" t="n"/>
      <c r="CI8" s="34" t="n"/>
      <c r="CJ8" s="34" t="n"/>
      <c r="CK8" s="34" t="n"/>
      <c r="CL8" s="34" t="n"/>
      <c r="CM8" s="34" t="n"/>
      <c r="CN8" s="34" t="n"/>
      <c r="CO8" s="34" t="n"/>
      <c r="CP8" s="34" t="n"/>
      <c r="CQ8" s="34" t="n"/>
      <c r="CR8" s="34" t="n"/>
      <c r="CS8" s="34" t="n"/>
      <c r="CT8" s="34" t="n"/>
      <c r="CU8" s="34" t="n"/>
      <c r="CV8" s="34" t="n"/>
      <c r="CW8" s="34" t="n"/>
      <c r="CX8" s="34" t="n"/>
      <c r="CY8" s="34" t="n"/>
      <c r="CZ8" s="34" t="n"/>
      <c r="DA8" s="34" t="n"/>
      <c r="DB8" s="34" t="n"/>
      <c r="DC8" s="34" t="n"/>
      <c r="DD8" s="34" t="n"/>
      <c r="DE8" s="34" t="n"/>
      <c r="DF8" s="34" t="n"/>
      <c r="DG8" s="34" t="n"/>
      <c r="DH8" s="34" t="n"/>
      <c r="DI8" s="34" t="n"/>
      <c r="DJ8" s="34" t="n"/>
      <c r="DK8" s="34" t="n"/>
      <c r="DL8" s="34" t="n"/>
      <c r="DM8" s="34" t="n"/>
      <c r="DN8" s="34" t="n"/>
      <c r="DO8" s="34" t="n"/>
      <c r="DP8" s="34" t="n"/>
      <c r="DQ8" s="34" t="n"/>
    </row>
    <row r="9" ht="16" customHeight="1">
      <c r="A9" s="38" t="n"/>
      <c r="B9" s="38" t="n"/>
      <c r="C9" s="38" t="n"/>
      <c r="D9" s="38" t="n"/>
      <c r="E9" s="38" t="n"/>
      <c r="F9" s="38" t="n"/>
      <c r="G9" s="38" t="n"/>
      <c r="H9" s="34" t="n"/>
      <c r="I9" s="34" t="n"/>
      <c r="J9" s="34" t="n"/>
      <c r="K9" s="34" t="n"/>
      <c r="L9" s="34" t="n"/>
      <c r="M9" s="34" t="n"/>
      <c r="N9" s="34" t="n"/>
      <c r="O9" s="34">
        <f>IFERROR(INDEX('_courses_lookup'!$C:$C,MATCH(K9&amp;L9,'_courses_lookup'!$E:$E,0)),"")</f>
        <v/>
      </c>
      <c r="P9" s="34">
        <f>IFERROR(INDEX('_courses_lookup'!$D:$D,MATCH(K9&amp;L9,'_courses_lookup'!$E:$E,0)),"")</f>
        <v/>
      </c>
      <c r="Q9" s="34" t="n"/>
      <c r="R9" s="34" t="n"/>
      <c r="S9" s="34" t="n"/>
      <c r="T9" s="34" t="n"/>
      <c r="U9" s="34" t="n"/>
      <c r="V9" s="34" t="n"/>
      <c r="W9" s="34" t="n"/>
      <c r="X9" s="34" t="n"/>
      <c r="Y9" s="30" t="n"/>
      <c r="Z9" s="34" t="n"/>
      <c r="AA9" s="34" t="n"/>
      <c r="AB9" s="34" t="n"/>
      <c r="AC9" s="34" t="n"/>
      <c r="AD9" s="34" t="n"/>
      <c r="AE9" s="34" t="n"/>
      <c r="AF9" s="34" t="n"/>
      <c r="AG9" s="34">
        <f>IF(AND(AE9&lt;&gt;"",AF9&lt;&gt;""),ROUNDUP((AF9-AE9)/7,0),"")</f>
        <v/>
      </c>
      <c r="AH9" s="34" t="n"/>
      <c r="AI9" s="34">
        <f>IFERROR(IF(AG9*AH9=0,"",AG9*AH9),"")</f>
        <v/>
      </c>
      <c r="AJ9" s="34" t="n"/>
      <c r="AK9" s="34" t="n"/>
      <c r="AL9" s="34">
        <f>IF(AND(AJ9&lt;&gt;"",AK9&lt;&gt;""),ROUNDUP((AK9-AJ9)/7,0),"")</f>
        <v/>
      </c>
      <c r="AM9" s="34" t="n"/>
      <c r="AN9" s="34">
        <f>IFERROR(IF(AL9*AM9=0,"",AL9*AM9),"")</f>
        <v/>
      </c>
      <c r="AO9" s="34" t="n"/>
      <c r="AP9" s="34" t="n"/>
      <c r="AQ9" s="34">
        <f>IF(AND(AO9&lt;&gt;"",AP9&lt;&gt;""),ROUNDUP((AP9-AO9)/7,0),"")</f>
        <v/>
      </c>
      <c r="AR9" s="34">
        <f>IFERROR(IF((AU9-(AI9+AN9))/AQ9=0,"",ROUNDUP((AU9-(AI9+AN9))/AQ9,0)),"")</f>
        <v/>
      </c>
      <c r="AS9" s="34">
        <f>IFERROR(IF((AU9-(AI9+AN9))=0,"",(AU9-(AI9+AN9))),"")</f>
        <v/>
      </c>
      <c r="AT9" s="34">
        <f>IF(AND(AG9="",AQ9=""),AL9,IF(SUM(AG9,AL9,AQ9)=0,"",SUM(AG9,AL9,AQ9)))</f>
        <v/>
      </c>
      <c r="AU9" s="34" t="n"/>
      <c r="AV9" s="34" t="n"/>
      <c r="AW9" s="34" t="n"/>
      <c r="AX9" s="34" t="n"/>
      <c r="AY9" s="34" t="n"/>
      <c r="AZ9" s="30" t="n"/>
      <c r="BA9" s="34" t="n"/>
      <c r="BB9" s="34" t="n"/>
      <c r="BC9" s="34" t="n"/>
      <c r="BD9" s="34" t="n"/>
      <c r="BE9" s="34" t="n"/>
      <c r="BF9" s="34" t="n"/>
      <c r="BG9" s="34">
        <f>IF(AD9="","",YEAR(AD9)+IF(MONTH(AD9)&gt;=5,1,0))</f>
        <v/>
      </c>
      <c r="BH9" s="34">
        <f>IF(AD9="","",IF(AND(MONTH(AD9)=8,DAY(AD9)&gt;=15),"Fall",IF(MONTH(AD9)&gt;8,"Fall",IF(MONTH(AD9)=5,"Summer",IF(MONTH(AD9)=1,"Spring","")))))</f>
        <v/>
      </c>
      <c r="BI9" s="34" t="n"/>
      <c r="BJ9" s="34" t="n"/>
      <c r="BK9" s="30">
        <f>IF($BJ9="","",IFERROR(INDEX(InstructorMap!$B:$B, MATCH($BJ9, InstructorMap!$A:$A, 0)),""))</f>
        <v/>
      </c>
      <c r="BL9" s="30">
        <f>IFERROR(INDEX('_names_lookup'!$C:$C,MATCH(BK9,'_names_lookup'!$A:$A,0)),"")</f>
        <v/>
      </c>
      <c r="BM9" s="34">
        <f>IFERROR(INDEX('_names_lookup'!$B:$B,MATCH(BK9,'_names_lookup'!$A:$A,0)),"")</f>
        <v/>
      </c>
      <c r="BN9" s="34" t="n"/>
      <c r="BO9" s="34" t="n"/>
      <c r="BP9" s="34" t="n"/>
      <c r="BQ9" s="34" t="n"/>
      <c r="BR9" s="34" t="n"/>
      <c r="BS9" s="34">
        <f>IFERROR(IF(BR9*AA9=0,"",BR9*AA9),"")</f>
        <v/>
      </c>
      <c r="BT9" s="34" t="n"/>
      <c r="BU9" s="34" t="n"/>
      <c r="BV9" s="34" t="n"/>
      <c r="BW9" s="34" t="n"/>
      <c r="BX9" s="34" t="n"/>
      <c r="BY9" s="34" t="n"/>
      <c r="BZ9" s="34" t="n"/>
      <c r="CA9" s="34" t="n"/>
      <c r="CB9" s="34" t="n"/>
      <c r="CC9" s="34" t="n"/>
      <c r="CD9" s="34" t="n"/>
      <c r="CE9" s="34" t="n"/>
      <c r="CF9" s="34" t="n"/>
      <c r="CG9" s="34" t="n"/>
      <c r="CH9" s="34" t="n"/>
      <c r="CI9" s="34" t="n"/>
      <c r="CJ9" s="34" t="n"/>
      <c r="CK9" s="34" t="n"/>
      <c r="CL9" s="34" t="n"/>
      <c r="CM9" s="34" t="n"/>
      <c r="CN9" s="34" t="n"/>
      <c r="CO9" s="34" t="n"/>
      <c r="CP9" s="34" t="n"/>
      <c r="CQ9" s="34" t="n"/>
      <c r="CR9" s="34" t="n"/>
      <c r="CS9" s="34" t="n"/>
      <c r="CT9" s="34" t="n"/>
      <c r="CU9" s="34" t="n"/>
      <c r="CV9" s="34" t="n"/>
      <c r="CW9" s="34" t="n"/>
      <c r="CX9" s="34" t="n"/>
      <c r="CY9" s="34" t="n"/>
      <c r="CZ9" s="34" t="n"/>
      <c r="DA9" s="34" t="n"/>
      <c r="DB9" s="34" t="n"/>
      <c r="DC9" s="34" t="n"/>
      <c r="DD9" s="34" t="n"/>
      <c r="DE9" s="34" t="n"/>
      <c r="DF9" s="34" t="n"/>
      <c r="DG9" s="34" t="n"/>
      <c r="DH9" s="34" t="n"/>
      <c r="DI9" s="34" t="n"/>
      <c r="DJ9" s="34" t="n"/>
      <c r="DK9" s="34" t="n"/>
      <c r="DL9" s="34" t="n"/>
      <c r="DM9" s="34" t="n"/>
      <c r="DN9" s="34" t="n"/>
      <c r="DO9" s="34" t="n"/>
      <c r="DP9" s="34" t="n"/>
      <c r="DQ9" s="34" t="n"/>
    </row>
    <row r="10" ht="16" customHeight="1">
      <c r="A10" s="38" t="n"/>
      <c r="B10" s="38" t="n"/>
      <c r="C10" s="38" t="n"/>
      <c r="D10" s="38" t="n"/>
      <c r="E10" s="38" t="n"/>
      <c r="F10" s="38" t="n"/>
      <c r="G10" s="38" t="n"/>
      <c r="H10" s="34" t="n"/>
      <c r="I10" s="34" t="n"/>
      <c r="J10" s="34" t="n"/>
      <c r="K10" s="34" t="n"/>
      <c r="L10" s="34" t="n"/>
      <c r="M10" s="34" t="n"/>
      <c r="N10" s="34" t="n"/>
      <c r="O10" s="34">
        <f>IFERROR(INDEX('_courses_lookup'!$C:$C,MATCH(K10&amp;L10,'_courses_lookup'!$E:$E,0)),"")</f>
        <v/>
      </c>
      <c r="P10" s="34">
        <f>IFERROR(INDEX('_courses_lookup'!$D:$D,MATCH(K10&amp;L10,'_courses_lookup'!$E:$E,0)),"")</f>
        <v/>
      </c>
      <c r="Q10" s="34" t="n"/>
      <c r="R10" s="34" t="n"/>
      <c r="S10" s="34" t="n"/>
      <c r="T10" s="34" t="n"/>
      <c r="U10" s="34" t="n"/>
      <c r="V10" s="34" t="n"/>
      <c r="W10" s="34" t="n"/>
      <c r="X10" s="34" t="n"/>
      <c r="Y10" s="30" t="n"/>
      <c r="Z10" s="34" t="n"/>
      <c r="AA10" s="34" t="n"/>
      <c r="AB10" s="34" t="n"/>
      <c r="AC10" s="34" t="n"/>
      <c r="AD10" s="34" t="n"/>
      <c r="AE10" s="34" t="n"/>
      <c r="AF10" s="34" t="n"/>
      <c r="AG10" s="34">
        <f>IF(AND(AE10&lt;&gt;"",AF10&lt;&gt;""),ROUNDUP((AF10-AE10)/7,0),"")</f>
        <v/>
      </c>
      <c r="AH10" s="34" t="n"/>
      <c r="AI10" s="34">
        <f>IFERROR(IF(AG10*AH10=0,"",AG10*AH10),"")</f>
        <v/>
      </c>
      <c r="AJ10" s="34" t="n"/>
      <c r="AK10" s="34" t="n"/>
      <c r="AL10" s="34">
        <f>IF(AND(AJ10&lt;&gt;"",AK10&lt;&gt;""),ROUNDUP((AK10-AJ10)/7,0),"")</f>
        <v/>
      </c>
      <c r="AM10" s="34" t="n"/>
      <c r="AN10" s="34">
        <f>IFERROR(IF(AL10*AM10=0,"",AL10*AM10),"")</f>
        <v/>
      </c>
      <c r="AO10" s="34" t="n"/>
      <c r="AP10" s="34" t="n"/>
      <c r="AQ10" s="34">
        <f>IF(AND(AO10&lt;&gt;"",AP10&lt;&gt;""),ROUNDUP((AP10-AO10)/7,0),"")</f>
        <v/>
      </c>
      <c r="AR10" s="34">
        <f>IFERROR(IF((AU10-(AI10+AN10))/AQ10=0,"",ROUNDUP((AU10-(AI10+AN10))/AQ10,0)),"")</f>
        <v/>
      </c>
      <c r="AS10" s="34">
        <f>IFERROR(IF((AU10-(AI10+AN10))=0,"",(AU10-(AI10+AN10))),"")</f>
        <v/>
      </c>
      <c r="AT10" s="34">
        <f>IF(AND(AG10="",AQ10=""),AL10,IF(SUM(AG10,AL10,AQ10)=0,"",SUM(AG10,AL10,AQ10)))</f>
        <v/>
      </c>
      <c r="AU10" s="34" t="n"/>
      <c r="AV10" s="34" t="n"/>
      <c r="AW10" s="34" t="n"/>
      <c r="AX10" s="34" t="n"/>
      <c r="AY10" s="34" t="n"/>
      <c r="AZ10" s="30" t="n"/>
      <c r="BA10" s="34" t="n"/>
      <c r="BB10" s="34" t="n"/>
      <c r="BC10" s="34" t="n"/>
      <c r="BD10" s="34" t="n"/>
      <c r="BE10" s="34" t="n"/>
      <c r="BF10" s="34" t="n"/>
      <c r="BG10" s="34">
        <f>IF(AD10="","",YEAR(AD10)+IF(MONTH(AD10)&gt;=5,1,0))</f>
        <v/>
      </c>
      <c r="BH10" s="34">
        <f>IF(AD10="","",IF(AND(MONTH(AD10)=8,DAY(AD10)&gt;=15),"Fall",IF(MONTH(AD10)&gt;8,"Fall",IF(MONTH(AD10)=5,"Summer",IF(MONTH(AD10)=1,"Spring","")))))</f>
        <v/>
      </c>
      <c r="BI10" s="34" t="n"/>
      <c r="BJ10" s="34" t="n"/>
      <c r="BK10" s="30">
        <f>IF($BJ10="","",IFERROR(INDEX(InstructorMap!$B:$B, MATCH($BJ10, InstructorMap!$A:$A, 0)),""))</f>
        <v/>
      </c>
      <c r="BL10" s="30">
        <f>IFERROR(INDEX('_names_lookup'!$C:$C,MATCH(BK10,'_names_lookup'!$A:$A,0)),"")</f>
        <v/>
      </c>
      <c r="BM10" s="34">
        <f>IFERROR(INDEX('_names_lookup'!$B:$B,MATCH(BK10,'_names_lookup'!$A:$A,0)),"")</f>
        <v/>
      </c>
      <c r="BN10" s="34" t="n"/>
      <c r="BO10" s="34" t="n"/>
      <c r="BP10" s="34" t="n"/>
      <c r="BQ10" s="34" t="n"/>
      <c r="BR10" s="34" t="n"/>
      <c r="BS10" s="34">
        <f>IFERROR(IF(BR10*AA10=0,"",BR10*AA10),"")</f>
        <v/>
      </c>
      <c r="BT10" s="34" t="n"/>
      <c r="BU10" s="34" t="n"/>
      <c r="BV10" s="34" t="n"/>
      <c r="BW10" s="34" t="n"/>
      <c r="BX10" s="34" t="n"/>
      <c r="BY10" s="34" t="n"/>
      <c r="BZ10" s="34" t="n"/>
      <c r="CA10" s="34" t="n"/>
      <c r="CB10" s="34" t="n"/>
      <c r="CC10" s="34" t="n"/>
      <c r="CD10" s="34" t="n"/>
      <c r="CE10" s="34" t="n"/>
      <c r="CF10" s="34" t="n"/>
      <c r="CG10" s="34" t="n"/>
      <c r="CH10" s="34" t="n"/>
      <c r="CI10" s="34" t="n"/>
      <c r="CJ10" s="34" t="n"/>
      <c r="CK10" s="34" t="n"/>
      <c r="CL10" s="34" t="n"/>
      <c r="CM10" s="34" t="n"/>
      <c r="CN10" s="34" t="n"/>
      <c r="CO10" s="34" t="n"/>
      <c r="CP10" s="34" t="n"/>
      <c r="CQ10" s="34" t="n"/>
      <c r="CR10" s="34" t="n"/>
      <c r="CS10" s="34" t="n"/>
      <c r="CT10" s="34" t="n"/>
      <c r="CU10" s="34" t="n"/>
      <c r="CV10" s="34" t="n"/>
      <c r="CW10" s="34" t="n"/>
      <c r="CX10" s="34" t="n"/>
      <c r="CY10" s="34" t="n"/>
      <c r="CZ10" s="34" t="n"/>
      <c r="DA10" s="34" t="n"/>
      <c r="DB10" s="34" t="n"/>
      <c r="DC10" s="34" t="n"/>
      <c r="DD10" s="34" t="n"/>
      <c r="DE10" s="34" t="n"/>
      <c r="DF10" s="34" t="n"/>
      <c r="DG10" s="34" t="n"/>
      <c r="DH10" s="34" t="n"/>
      <c r="DI10" s="34" t="n"/>
      <c r="DJ10" s="34" t="n"/>
      <c r="DK10" s="34" t="n"/>
      <c r="DL10" s="34" t="n"/>
      <c r="DM10" s="34" t="n"/>
      <c r="DN10" s="34" t="n"/>
      <c r="DO10" s="34" t="n"/>
      <c r="DP10" s="34" t="n"/>
      <c r="DQ10" s="34" t="n"/>
    </row>
    <row r="11" ht="16" customHeight="1">
      <c r="A11" s="38" t="n"/>
      <c r="B11" s="38" t="n"/>
      <c r="C11" s="38" t="n"/>
      <c r="D11" s="38" t="n"/>
      <c r="E11" s="38" t="n"/>
      <c r="F11" s="38" t="n"/>
      <c r="G11" s="38" t="n"/>
      <c r="H11" s="34" t="n"/>
      <c r="I11" s="34" t="n"/>
      <c r="J11" s="34" t="n"/>
      <c r="K11" s="34" t="n"/>
      <c r="L11" s="34" t="n"/>
      <c r="M11" s="34" t="n"/>
      <c r="N11" s="34" t="n"/>
      <c r="O11" s="34">
        <f>IFERROR(INDEX('_courses_lookup'!$C:$C,MATCH(K11&amp;L11,'_courses_lookup'!$E:$E,0)),"")</f>
        <v/>
      </c>
      <c r="P11" s="34">
        <f>IFERROR(INDEX('_courses_lookup'!$D:$D,MATCH(K11&amp;L11,'_courses_lookup'!$E:$E,0)),"")</f>
        <v/>
      </c>
      <c r="Q11" s="34" t="n"/>
      <c r="R11" s="34" t="n"/>
      <c r="S11" s="34" t="n"/>
      <c r="T11" s="34" t="n"/>
      <c r="U11" s="34" t="n"/>
      <c r="V11" s="34" t="n"/>
      <c r="W11" s="34" t="n"/>
      <c r="X11" s="34" t="n"/>
      <c r="Y11" s="30" t="n"/>
      <c r="Z11" s="34" t="n"/>
      <c r="AA11" s="34" t="n"/>
      <c r="AB11" s="34" t="n"/>
      <c r="AC11" s="34" t="n"/>
      <c r="AD11" s="34" t="n"/>
      <c r="AE11" s="34" t="n"/>
      <c r="AF11" s="34" t="n"/>
      <c r="AG11" s="34">
        <f>IF(AND(AE11&lt;&gt;"",AF11&lt;&gt;""),ROUNDUP((AF11-AE11)/7,0),"")</f>
        <v/>
      </c>
      <c r="AH11" s="34" t="n"/>
      <c r="AI11" s="34">
        <f>IFERROR(IF(AG11*AH11=0,"",AG11*AH11),"")</f>
        <v/>
      </c>
      <c r="AJ11" s="34" t="n"/>
      <c r="AK11" s="34" t="n"/>
      <c r="AL11" s="34">
        <f>IF(AND(AJ11&lt;&gt;"",AK11&lt;&gt;""),ROUNDUP((AK11-AJ11)/7,0),"")</f>
        <v/>
      </c>
      <c r="AM11" s="34" t="n"/>
      <c r="AN11" s="34">
        <f>IFERROR(IF(AL11*AM11=0,"",AL11*AM11),"")</f>
        <v/>
      </c>
      <c r="AO11" s="34" t="n"/>
      <c r="AP11" s="34" t="n"/>
      <c r="AQ11" s="34">
        <f>IF(AND(AO11&lt;&gt;"",AP11&lt;&gt;""),ROUNDUP((AP11-AO11)/7,0),"")</f>
        <v/>
      </c>
      <c r="AR11" s="34">
        <f>IFERROR(IF((AU11-(AI11+AN11))/AQ11=0,"",ROUNDUP((AU11-(AI11+AN11))/AQ11,0)),"")</f>
        <v/>
      </c>
      <c r="AS11" s="34">
        <f>IFERROR(IF((AU11-(AI11+AN11))=0,"",(AU11-(AI11+AN11))),"")</f>
        <v/>
      </c>
      <c r="AT11" s="34">
        <f>IF(AND(AG11="",AQ11=""),AL11,IF(SUM(AG11,AL11,AQ11)=0,"",SUM(AG11,AL11,AQ11)))</f>
        <v/>
      </c>
      <c r="AU11" s="34" t="n"/>
      <c r="AV11" s="34" t="n"/>
      <c r="AW11" s="34" t="n"/>
      <c r="AX11" s="34" t="n"/>
      <c r="AY11" s="34" t="n"/>
      <c r="AZ11" s="30" t="n"/>
      <c r="BA11" s="34" t="n"/>
      <c r="BB11" s="34" t="n"/>
      <c r="BC11" s="34" t="n"/>
      <c r="BD11" s="34" t="n"/>
      <c r="BE11" s="34" t="n"/>
      <c r="BF11" s="34" t="n"/>
      <c r="BG11" s="34">
        <f>IF(AD11="","",YEAR(AD11)+IF(MONTH(AD11)&gt;=5,1,0))</f>
        <v/>
      </c>
      <c r="BH11" s="34">
        <f>IF(AD11="","",IF(AND(MONTH(AD11)=8,DAY(AD11)&gt;=15),"Fall",IF(MONTH(AD11)&gt;8,"Fall",IF(MONTH(AD11)=5,"Summer",IF(MONTH(AD11)=1,"Spring","")))))</f>
        <v/>
      </c>
      <c r="BI11" s="34" t="n"/>
      <c r="BJ11" s="34" t="n"/>
      <c r="BK11" s="30">
        <f>IF($BJ11="","",IFERROR(INDEX(InstructorMap!$B:$B, MATCH($BJ11, InstructorMap!$A:$A, 0)),""))</f>
        <v/>
      </c>
      <c r="BL11" s="30">
        <f>IFERROR(INDEX('_names_lookup'!$C:$C,MATCH(BK11,'_names_lookup'!$A:$A,0)),"")</f>
        <v/>
      </c>
      <c r="BM11" s="34">
        <f>IFERROR(INDEX('_names_lookup'!$B:$B,MATCH(BK11,'_names_lookup'!$A:$A,0)),"")</f>
        <v/>
      </c>
      <c r="BN11" s="34" t="n"/>
      <c r="BO11" s="34" t="n"/>
      <c r="BP11" s="34" t="n"/>
      <c r="BQ11" s="34" t="n"/>
      <c r="BR11" s="34" t="n"/>
      <c r="BS11" s="34">
        <f>IFERROR(IF(BR11*AA11=0,"",BR11*AA11),"")</f>
        <v/>
      </c>
      <c r="BT11" s="34" t="n"/>
      <c r="BU11" s="34" t="n"/>
      <c r="BV11" s="34" t="n"/>
      <c r="BW11" s="34" t="n"/>
      <c r="BX11" s="34" t="n"/>
      <c r="BY11" s="34" t="n"/>
      <c r="BZ11" s="34" t="n"/>
      <c r="CA11" s="34" t="n"/>
      <c r="CB11" s="34" t="n"/>
      <c r="CC11" s="34" t="n"/>
      <c r="CD11" s="34" t="n"/>
      <c r="CE11" s="34" t="n"/>
      <c r="CF11" s="34" t="n"/>
      <c r="CG11" s="34" t="n"/>
      <c r="CH11" s="34" t="n"/>
      <c r="CI11" s="34" t="n"/>
      <c r="CJ11" s="34" t="n"/>
      <c r="CK11" s="34" t="n"/>
      <c r="CL11" s="34" t="n"/>
      <c r="CM11" s="34" t="n"/>
      <c r="CN11" s="34" t="n"/>
      <c r="CO11" s="34" t="n"/>
      <c r="CP11" s="34" t="n"/>
      <c r="CQ11" s="34" t="n"/>
      <c r="CR11" s="34" t="n"/>
      <c r="CS11" s="34" t="n"/>
      <c r="CT11" s="34" t="n"/>
      <c r="CU11" s="34" t="n"/>
      <c r="CV11" s="34" t="n"/>
      <c r="CW11" s="34" t="n"/>
      <c r="CX11" s="34" t="n"/>
      <c r="CY11" s="34" t="n"/>
      <c r="CZ11" s="34" t="n"/>
      <c r="DA11" s="34" t="n"/>
      <c r="DB11" s="34" t="n"/>
      <c r="DC11" s="34" t="n"/>
      <c r="DD11" s="34" t="n"/>
      <c r="DE11" s="34" t="n"/>
      <c r="DF11" s="34" t="n"/>
      <c r="DG11" s="34" t="n"/>
      <c r="DH11" s="34" t="n"/>
      <c r="DI11" s="34" t="n"/>
      <c r="DJ11" s="34" t="n"/>
      <c r="DK11" s="34" t="n"/>
      <c r="DL11" s="34" t="n"/>
      <c r="DM11" s="34" t="n"/>
      <c r="DN11" s="34" t="n"/>
      <c r="DO11" s="34" t="n"/>
      <c r="DP11" s="34" t="n"/>
      <c r="DQ11" s="34" t="n"/>
    </row>
    <row r="12" ht="16" customHeight="1">
      <c r="A12" s="38" t="n"/>
      <c r="B12" s="38" t="n"/>
      <c r="C12" s="38" t="n"/>
      <c r="D12" s="38" t="n"/>
      <c r="E12" s="38" t="n"/>
      <c r="F12" s="38" t="n"/>
      <c r="G12" s="38" t="n"/>
      <c r="H12" s="34" t="n"/>
      <c r="I12" s="34" t="n"/>
      <c r="J12" s="34" t="n"/>
      <c r="K12" s="34" t="n"/>
      <c r="L12" s="34" t="n"/>
      <c r="M12" s="34" t="n"/>
      <c r="N12" s="34" t="n"/>
      <c r="O12" s="34">
        <f>IFERROR(INDEX('_courses_lookup'!$C:$C,MATCH(K12&amp;L12,'_courses_lookup'!$E:$E,0)),"")</f>
        <v/>
      </c>
      <c r="P12" s="34">
        <f>IFERROR(INDEX('_courses_lookup'!$D:$D,MATCH(K12&amp;L12,'_courses_lookup'!$E:$E,0)),"")</f>
        <v/>
      </c>
      <c r="Q12" s="34" t="n"/>
      <c r="R12" s="34" t="n"/>
      <c r="S12" s="34" t="n"/>
      <c r="T12" s="34" t="n"/>
      <c r="U12" s="34" t="n"/>
      <c r="V12" s="34" t="n"/>
      <c r="W12" s="34" t="n"/>
      <c r="X12" s="34" t="n"/>
      <c r="Y12" s="30" t="n"/>
      <c r="Z12" s="34" t="n"/>
      <c r="AA12" s="34" t="n"/>
      <c r="AB12" s="34" t="n"/>
      <c r="AC12" s="34" t="n"/>
      <c r="AD12" s="34" t="n"/>
      <c r="AE12" s="34" t="n"/>
      <c r="AF12" s="34" t="n"/>
      <c r="AG12" s="34">
        <f>IF(AND(AE12&lt;&gt;"",AF12&lt;&gt;""),ROUNDUP((AF12-AE12)/7,0),"")</f>
        <v/>
      </c>
      <c r="AH12" s="34" t="n"/>
      <c r="AI12" s="34">
        <f>IFERROR(IF(AG12*AH12=0,"",AG12*AH12),"")</f>
        <v/>
      </c>
      <c r="AJ12" s="34" t="n"/>
      <c r="AK12" s="34" t="n"/>
      <c r="AL12" s="34">
        <f>IF(AND(AJ12&lt;&gt;"",AK12&lt;&gt;""),ROUNDUP((AK12-AJ12)/7,0),"")</f>
        <v/>
      </c>
      <c r="AM12" s="34" t="n"/>
      <c r="AN12" s="34">
        <f>IFERROR(IF(AL12*AM12=0,"",AL12*AM12),"")</f>
        <v/>
      </c>
      <c r="AO12" s="34" t="n"/>
      <c r="AP12" s="34" t="n"/>
      <c r="AQ12" s="34">
        <f>IF(AND(AO12&lt;&gt;"",AP12&lt;&gt;""),ROUNDUP((AP12-AO12)/7,0),"")</f>
        <v/>
      </c>
      <c r="AR12" s="34">
        <f>IFERROR(IF((AU12-(AI12+AN12))/AQ12=0,"",ROUNDUP((AU12-(AI12+AN12))/AQ12,0)),"")</f>
        <v/>
      </c>
      <c r="AS12" s="34">
        <f>IFERROR(IF((AU12-(AI12+AN12))=0,"",(AU12-(AI12+AN12))),"")</f>
        <v/>
      </c>
      <c r="AT12" s="34">
        <f>IF(AND(AG12="",AQ12=""),AL12,IF(SUM(AG12,AL12,AQ12)=0,"",SUM(AG12,AL12,AQ12)))</f>
        <v/>
      </c>
      <c r="AU12" s="34" t="n"/>
      <c r="AV12" s="34" t="n"/>
      <c r="AW12" s="34" t="n"/>
      <c r="AX12" s="34" t="n"/>
      <c r="AY12" s="34" t="n"/>
      <c r="AZ12" s="30" t="n"/>
      <c r="BA12" s="34" t="n"/>
      <c r="BB12" s="34" t="n"/>
      <c r="BC12" s="34" t="n"/>
      <c r="BD12" s="34" t="n"/>
      <c r="BE12" s="34" t="n"/>
      <c r="BF12" s="34" t="n"/>
      <c r="BG12" s="34">
        <f>IF(AD12="","",YEAR(AD12)+IF(MONTH(AD12)&gt;=5,1,0))</f>
        <v/>
      </c>
      <c r="BH12" s="34">
        <f>IF(AD12="","",IF(AND(MONTH(AD12)=8,DAY(AD12)&gt;=15),"Fall",IF(MONTH(AD12)&gt;8,"Fall",IF(MONTH(AD12)=5,"Summer",IF(MONTH(AD12)=1,"Spring","")))))</f>
        <v/>
      </c>
      <c r="BI12" s="34" t="n"/>
      <c r="BJ12" s="34" t="n"/>
      <c r="BK12" s="30">
        <f>IF($BJ12="","",IFERROR(INDEX(InstructorMap!$B:$B, MATCH($BJ12, InstructorMap!$A:$A, 0)),""))</f>
        <v/>
      </c>
      <c r="BL12" s="30">
        <f>IFERROR(INDEX('_names_lookup'!$C:$C,MATCH(BK12,'_names_lookup'!$A:$A,0)),"")</f>
        <v/>
      </c>
      <c r="BM12" s="34">
        <f>IFERROR(INDEX('_names_lookup'!$B:$B,MATCH(BK12,'_names_lookup'!$A:$A,0)),"")</f>
        <v/>
      </c>
      <c r="BN12" s="34" t="n"/>
      <c r="BO12" s="34" t="n"/>
      <c r="BP12" s="34" t="n"/>
      <c r="BQ12" s="34" t="n"/>
      <c r="BR12" s="34" t="n"/>
      <c r="BS12" s="34">
        <f>IFERROR(IF(BR12*AA12=0,"",BR12*AA12),"")</f>
        <v/>
      </c>
      <c r="BT12" s="34" t="n"/>
      <c r="BU12" s="34" t="n"/>
      <c r="BV12" s="34" t="n"/>
      <c r="BW12" s="34" t="n"/>
      <c r="BX12" s="34" t="n"/>
      <c r="BY12" s="34" t="n"/>
      <c r="BZ12" s="34" t="n"/>
      <c r="CA12" s="34" t="n"/>
      <c r="CB12" s="34" t="n"/>
      <c r="CC12" s="34" t="n"/>
      <c r="CD12" s="34" t="n"/>
      <c r="CE12" s="34" t="n"/>
      <c r="CF12" s="34" t="n"/>
      <c r="CG12" s="34" t="n"/>
      <c r="CH12" s="34" t="n"/>
      <c r="CI12" s="34" t="n"/>
      <c r="CJ12" s="34" t="n"/>
      <c r="CK12" s="34" t="n"/>
      <c r="CL12" s="34" t="n"/>
      <c r="CM12" s="34" t="n"/>
      <c r="CN12" s="34" t="n"/>
      <c r="CO12" s="34" t="n"/>
      <c r="CP12" s="34" t="n"/>
      <c r="CQ12" s="34" t="n"/>
      <c r="CR12" s="34" t="n"/>
      <c r="CS12" s="34" t="n"/>
      <c r="CT12" s="34" t="n"/>
      <c r="CU12" s="34" t="n"/>
      <c r="CV12" s="34" t="n"/>
      <c r="CW12" s="34" t="n"/>
      <c r="CX12" s="34" t="n"/>
      <c r="CY12" s="34" t="n"/>
      <c r="CZ12" s="34" t="n"/>
      <c r="DA12" s="34" t="n"/>
      <c r="DB12" s="34" t="n"/>
      <c r="DC12" s="34" t="n"/>
      <c r="DD12" s="34" t="n"/>
      <c r="DE12" s="34" t="n"/>
      <c r="DF12" s="34" t="n"/>
      <c r="DG12" s="34" t="n"/>
      <c r="DH12" s="34" t="n"/>
      <c r="DI12" s="34" t="n"/>
      <c r="DJ12" s="34" t="n"/>
      <c r="DK12" s="34" t="n"/>
      <c r="DL12" s="34" t="n"/>
      <c r="DM12" s="34" t="n"/>
      <c r="DN12" s="34" t="n"/>
      <c r="DO12" s="34" t="n"/>
      <c r="DP12" s="34" t="n"/>
      <c r="DQ12" s="34" t="n"/>
    </row>
    <row r="13" ht="16" customHeight="1">
      <c r="A13" s="38" t="n"/>
      <c r="B13" s="38" t="n"/>
      <c r="C13" s="38" t="n"/>
      <c r="D13" s="38" t="n"/>
      <c r="E13" s="38" t="n"/>
      <c r="F13" s="38" t="n"/>
      <c r="G13" s="38" t="n"/>
      <c r="H13" s="34" t="n"/>
      <c r="I13" s="34" t="n"/>
      <c r="J13" s="34" t="n"/>
      <c r="K13" s="34" t="n"/>
      <c r="L13" s="34" t="n"/>
      <c r="M13" s="34" t="n"/>
      <c r="N13" s="34" t="n"/>
      <c r="O13" s="34">
        <f>IFERROR(INDEX('_courses_lookup'!$C:$C,MATCH(K13&amp;L13,'_courses_lookup'!$E:$E,0)),"")</f>
        <v/>
      </c>
      <c r="P13" s="34">
        <f>IFERROR(INDEX('_courses_lookup'!$D:$D,MATCH(K13&amp;L13,'_courses_lookup'!$E:$E,0)),"")</f>
        <v/>
      </c>
      <c r="Q13" s="34" t="n"/>
      <c r="R13" s="34" t="n"/>
      <c r="S13" s="34" t="n"/>
      <c r="T13" s="34" t="n"/>
      <c r="U13" s="34" t="n"/>
      <c r="V13" s="34" t="n"/>
      <c r="W13" s="34" t="n"/>
      <c r="X13" s="34" t="n"/>
      <c r="Y13" s="30" t="n"/>
      <c r="Z13" s="34" t="n"/>
      <c r="AA13" s="34" t="n"/>
      <c r="AB13" s="34" t="n"/>
      <c r="AC13" s="34" t="n"/>
      <c r="AD13" s="34" t="n"/>
      <c r="AE13" s="34" t="n"/>
      <c r="AF13" s="34" t="n"/>
      <c r="AG13" s="34">
        <f>IF(AND(AE13&lt;&gt;"",AF13&lt;&gt;""),ROUNDUP((AF13-AE13)/7,0),"")</f>
        <v/>
      </c>
      <c r="AH13" s="34" t="n"/>
      <c r="AI13" s="34">
        <f>IFERROR(IF(AG13*AH13=0,"",AG13*AH13),"")</f>
        <v/>
      </c>
      <c r="AJ13" s="34" t="n"/>
      <c r="AK13" s="34" t="n"/>
      <c r="AL13" s="34">
        <f>IF(AND(AJ13&lt;&gt;"",AK13&lt;&gt;""),ROUNDUP((AK13-AJ13)/7,0),"")</f>
        <v/>
      </c>
      <c r="AM13" s="34" t="n"/>
      <c r="AN13" s="34">
        <f>IFERROR(IF(AL13*AM13=0,"",AL13*AM13),"")</f>
        <v/>
      </c>
      <c r="AO13" s="34" t="n"/>
      <c r="AP13" s="34" t="n"/>
      <c r="AQ13" s="34">
        <f>IF(AND(AO13&lt;&gt;"",AP13&lt;&gt;""),ROUNDUP((AP13-AO13)/7,0),"")</f>
        <v/>
      </c>
      <c r="AR13" s="34">
        <f>IFERROR(IF((AU13-(AI13+AN13))/AQ13=0,"",ROUNDUP((AU13-(AI13+AN13))/AQ13,0)),"")</f>
        <v/>
      </c>
      <c r="AS13" s="34">
        <f>IFERROR(IF((AU13-(AI13+AN13))=0,"",(AU13-(AI13+AN13))),"")</f>
        <v/>
      </c>
      <c r="AT13" s="34">
        <f>IF(AND(AG13="",AQ13=""),AL13,IF(SUM(AG13,AL13,AQ13)=0,"",SUM(AG13,AL13,AQ13)))</f>
        <v/>
      </c>
      <c r="AU13" s="34" t="n"/>
      <c r="AV13" s="34" t="n"/>
      <c r="AW13" s="34" t="n"/>
      <c r="AX13" s="34" t="n"/>
      <c r="AY13" s="34" t="n"/>
      <c r="AZ13" s="30" t="n"/>
      <c r="BA13" s="34" t="n"/>
      <c r="BB13" s="34" t="n"/>
      <c r="BC13" s="34" t="n"/>
      <c r="BD13" s="34" t="n"/>
      <c r="BE13" s="34" t="n"/>
      <c r="BF13" s="34" t="n"/>
      <c r="BG13" s="34">
        <f>IF(AD13="","",YEAR(AD13)+IF(MONTH(AD13)&gt;=5,1,0))</f>
        <v/>
      </c>
      <c r="BH13" s="34">
        <f>IF(AD13="","",IF(AND(MONTH(AD13)=8,DAY(AD13)&gt;=15),"Fall",IF(MONTH(AD13)&gt;8,"Fall",IF(MONTH(AD13)=5,"Summer",IF(MONTH(AD13)=1,"Spring","")))))</f>
        <v/>
      </c>
      <c r="BI13" s="34" t="n"/>
      <c r="BJ13" s="34" t="n"/>
      <c r="BK13" s="30">
        <f>IF($BJ13="","",IFERROR(INDEX(InstructorMap!$B:$B, MATCH($BJ13, InstructorMap!$A:$A, 0)),""))</f>
        <v/>
      </c>
      <c r="BL13" s="30">
        <f>IFERROR(INDEX('_names_lookup'!$C:$C,MATCH(BK13,'_names_lookup'!$A:$A,0)),"")</f>
        <v/>
      </c>
      <c r="BM13" s="34">
        <f>IFERROR(INDEX('_names_lookup'!$B:$B,MATCH(BK13,'_names_lookup'!$A:$A,0)),"")</f>
        <v/>
      </c>
      <c r="BN13" s="34" t="n"/>
      <c r="BO13" s="34" t="n"/>
      <c r="BP13" s="34" t="n"/>
      <c r="BQ13" s="34" t="n"/>
      <c r="BR13" s="34" t="n"/>
      <c r="BS13" s="34">
        <f>IFERROR(IF(BR13*AA13=0,"",BR13*AA13),"")</f>
        <v/>
      </c>
      <c r="BT13" s="34" t="n"/>
      <c r="BU13" s="34" t="n"/>
      <c r="BV13" s="34" t="n"/>
      <c r="BW13" s="34" t="n"/>
      <c r="BX13" s="34" t="n"/>
      <c r="BY13" s="34" t="n"/>
      <c r="BZ13" s="34" t="n"/>
      <c r="CA13" s="34" t="n"/>
      <c r="CB13" s="34" t="n"/>
      <c r="CC13" s="34" t="n"/>
      <c r="CD13" s="34" t="n"/>
      <c r="CE13" s="34" t="n"/>
      <c r="CF13" s="34" t="n"/>
      <c r="CG13" s="34" t="n"/>
      <c r="CH13" s="34" t="n"/>
      <c r="CI13" s="34" t="n"/>
      <c r="CJ13" s="34" t="n"/>
      <c r="CK13" s="34" t="n"/>
      <c r="CL13" s="34" t="n"/>
      <c r="CM13" s="34" t="n"/>
      <c r="CN13" s="34" t="n"/>
      <c r="CO13" s="34" t="n"/>
      <c r="CP13" s="34" t="n"/>
      <c r="CQ13" s="34" t="n"/>
      <c r="CR13" s="34" t="n"/>
      <c r="CS13" s="34" t="n"/>
      <c r="CT13" s="34" t="n"/>
      <c r="CU13" s="34" t="n"/>
      <c r="CV13" s="34" t="n"/>
      <c r="CW13" s="34" t="n"/>
      <c r="CX13" s="34" t="n"/>
      <c r="CY13" s="34" t="n"/>
      <c r="CZ13" s="34" t="n"/>
      <c r="DA13" s="34" t="n"/>
      <c r="DB13" s="34" t="n"/>
      <c r="DC13" s="34" t="n"/>
      <c r="DD13" s="34" t="n"/>
      <c r="DE13" s="34" t="n"/>
      <c r="DF13" s="34" t="n"/>
      <c r="DG13" s="34" t="n"/>
      <c r="DH13" s="34" t="n"/>
      <c r="DI13" s="34" t="n"/>
      <c r="DJ13" s="34" t="n"/>
      <c r="DK13" s="34" t="n"/>
      <c r="DL13" s="34" t="n"/>
      <c r="DM13" s="34" t="n"/>
      <c r="DN13" s="34" t="n"/>
      <c r="DO13" s="34" t="n"/>
      <c r="DP13" s="34" t="n"/>
      <c r="DQ13" s="34" t="n"/>
    </row>
    <row r="14" ht="16" customHeight="1">
      <c r="A14" s="38" t="n"/>
      <c r="B14" s="38" t="n"/>
      <c r="C14" s="38" t="n"/>
      <c r="D14" s="38" t="n"/>
      <c r="E14" s="38" t="n"/>
      <c r="F14" s="38" t="n"/>
      <c r="G14" s="38" t="n"/>
      <c r="H14" s="34" t="n"/>
      <c r="I14" s="34" t="n"/>
      <c r="J14" s="34" t="n"/>
      <c r="K14" s="34" t="n"/>
      <c r="L14" s="34" t="n"/>
      <c r="M14" s="34" t="n"/>
      <c r="N14" s="34" t="n"/>
      <c r="O14" s="34">
        <f>IFERROR(INDEX('_courses_lookup'!$C:$C,MATCH(K14&amp;L14,'_courses_lookup'!$E:$E,0)),"")</f>
        <v/>
      </c>
      <c r="P14" s="34">
        <f>IFERROR(INDEX('_courses_lookup'!$D:$D,MATCH(K14&amp;L14,'_courses_lookup'!$E:$E,0)),"")</f>
        <v/>
      </c>
      <c r="Q14" s="34" t="n"/>
      <c r="R14" s="34" t="n"/>
      <c r="S14" s="34" t="n"/>
      <c r="T14" s="34" t="n"/>
      <c r="U14" s="34" t="n"/>
      <c r="V14" s="34" t="n"/>
      <c r="W14" s="34" t="n"/>
      <c r="X14" s="34" t="n"/>
      <c r="Y14" s="30" t="n"/>
      <c r="Z14" s="34" t="n"/>
      <c r="AA14" s="34" t="n"/>
      <c r="AB14" s="34" t="n"/>
      <c r="AC14" s="34" t="n"/>
      <c r="AD14" s="34" t="n"/>
      <c r="AE14" s="34" t="n"/>
      <c r="AF14" s="34" t="n"/>
      <c r="AG14" s="34">
        <f>IF(AND(AE14&lt;&gt;"",AF14&lt;&gt;""),ROUNDUP((AF14-AE14)/7,0),"")</f>
        <v/>
      </c>
      <c r="AH14" s="34" t="n"/>
      <c r="AI14" s="34">
        <f>IFERROR(IF(AG14*AH14=0,"",AG14*AH14),"")</f>
        <v/>
      </c>
      <c r="AJ14" s="34" t="n"/>
      <c r="AK14" s="34" t="n"/>
      <c r="AL14" s="34">
        <f>IF(AND(AJ14&lt;&gt;"",AK14&lt;&gt;""),ROUNDUP((AK14-AJ14)/7,0),"")</f>
        <v/>
      </c>
      <c r="AM14" s="34" t="n"/>
      <c r="AN14" s="34">
        <f>IFERROR(IF(AL14*AM14=0,"",AL14*AM14),"")</f>
        <v/>
      </c>
      <c r="AO14" s="34" t="n"/>
      <c r="AP14" s="34" t="n"/>
      <c r="AQ14" s="34">
        <f>IF(AND(AO14&lt;&gt;"",AP14&lt;&gt;""),ROUNDUP((AP14-AO14)/7,0),"")</f>
        <v/>
      </c>
      <c r="AR14" s="34">
        <f>IFERROR(IF((AU14-(AI14+AN14))/AQ14=0,"",ROUNDUP((AU14-(AI14+AN14))/AQ14,0)),"")</f>
        <v/>
      </c>
      <c r="AS14" s="34">
        <f>IFERROR(IF((AU14-(AI14+AN14))=0,"",(AU14-(AI14+AN14))),"")</f>
        <v/>
      </c>
      <c r="AT14" s="34">
        <f>IF(AND(AG14="",AQ14=""),AL14,IF(SUM(AG14,AL14,AQ14)=0,"",SUM(AG14,AL14,AQ14)))</f>
        <v/>
      </c>
      <c r="AU14" s="34" t="n"/>
      <c r="AV14" s="34" t="n"/>
      <c r="AW14" s="34" t="n"/>
      <c r="AX14" s="34" t="n"/>
      <c r="AY14" s="34" t="n"/>
      <c r="AZ14" s="30" t="n"/>
      <c r="BA14" s="34" t="n"/>
      <c r="BB14" s="34" t="n"/>
      <c r="BC14" s="34" t="n"/>
      <c r="BD14" s="34" t="n"/>
      <c r="BE14" s="34" t="n"/>
      <c r="BF14" s="34" t="n"/>
      <c r="BG14" s="34">
        <f>IF(AD14="","",YEAR(AD14)+IF(MONTH(AD14)&gt;=5,1,0))</f>
        <v/>
      </c>
      <c r="BH14" s="34">
        <f>IF(AD14="","",IF(AND(MONTH(AD14)=8,DAY(AD14)&gt;=15),"Fall",IF(MONTH(AD14)&gt;8,"Fall",IF(MONTH(AD14)=5,"Summer",IF(MONTH(AD14)=1,"Spring","")))))</f>
        <v/>
      </c>
      <c r="BI14" s="34" t="n"/>
      <c r="BJ14" s="34" t="n"/>
      <c r="BK14" s="30">
        <f>IF($BJ14="","",IFERROR(INDEX(InstructorMap!$B:$B, MATCH($BJ14, InstructorMap!$A:$A, 0)),""))</f>
        <v/>
      </c>
      <c r="BL14" s="30">
        <f>IFERROR(INDEX('_names_lookup'!$C:$C,MATCH(BK14,'_names_lookup'!$A:$A,0)),"")</f>
        <v/>
      </c>
      <c r="BM14" s="34">
        <f>IFERROR(INDEX('_names_lookup'!$B:$B,MATCH(BK14,'_names_lookup'!$A:$A,0)),"")</f>
        <v/>
      </c>
      <c r="BN14" s="34" t="n"/>
      <c r="BO14" s="34" t="n"/>
      <c r="BP14" s="34" t="n"/>
      <c r="BQ14" s="34" t="n"/>
      <c r="BR14" s="34" t="n"/>
      <c r="BS14" s="34">
        <f>IFERROR(IF(BR14*AA14=0,"",BR14*AA14),"")</f>
        <v/>
      </c>
      <c r="BT14" s="34" t="n"/>
      <c r="BU14" s="34" t="n"/>
      <c r="BV14" s="34" t="n"/>
      <c r="BW14" s="34" t="n"/>
      <c r="BX14" s="34" t="n"/>
      <c r="BY14" s="34" t="n"/>
      <c r="BZ14" s="34" t="n"/>
      <c r="CA14" s="34" t="n"/>
      <c r="CB14" s="34" t="n"/>
      <c r="CC14" s="34" t="n"/>
      <c r="CD14" s="34" t="n"/>
      <c r="CE14" s="34" t="n"/>
      <c r="CF14" s="34" t="n"/>
      <c r="CG14" s="34" t="n"/>
      <c r="CH14" s="34" t="n"/>
      <c r="CI14" s="34" t="n"/>
      <c r="CJ14" s="34" t="n"/>
      <c r="CK14" s="34" t="n"/>
      <c r="CL14" s="34" t="n"/>
      <c r="CM14" s="34" t="n"/>
      <c r="CN14" s="34" t="n"/>
      <c r="CO14" s="34" t="n"/>
      <c r="CP14" s="34" t="n"/>
      <c r="CQ14" s="34" t="n"/>
      <c r="CR14" s="34" t="n"/>
      <c r="CS14" s="34" t="n"/>
      <c r="CT14" s="34" t="n"/>
      <c r="CU14" s="34" t="n"/>
      <c r="CV14" s="34" t="n"/>
      <c r="CW14" s="34" t="n"/>
      <c r="CX14" s="34" t="n"/>
      <c r="CY14" s="34" t="n"/>
      <c r="CZ14" s="34" t="n"/>
      <c r="DA14" s="34" t="n"/>
      <c r="DB14" s="34" t="n"/>
      <c r="DC14" s="34" t="n"/>
      <c r="DD14" s="34" t="n"/>
      <c r="DE14" s="34" t="n"/>
      <c r="DF14" s="34" t="n"/>
      <c r="DG14" s="34" t="n"/>
      <c r="DH14" s="34" t="n"/>
      <c r="DI14" s="34" t="n"/>
      <c r="DJ14" s="34" t="n"/>
      <c r="DK14" s="34" t="n"/>
      <c r="DL14" s="34" t="n"/>
      <c r="DM14" s="34" t="n"/>
      <c r="DN14" s="34" t="n"/>
      <c r="DO14" s="34" t="n"/>
      <c r="DP14" s="34" t="n"/>
      <c r="DQ14" s="34" t="n"/>
    </row>
    <row r="15" ht="16" customHeight="1">
      <c r="A15" s="38" t="n"/>
      <c r="B15" s="38" t="n"/>
      <c r="C15" s="38" t="n"/>
      <c r="D15" s="38" t="n"/>
      <c r="E15" s="38" t="n"/>
      <c r="F15" s="38" t="n"/>
      <c r="G15" s="38" t="n"/>
      <c r="H15" s="34" t="n"/>
      <c r="I15" s="34" t="n"/>
      <c r="J15" s="34" t="n"/>
      <c r="K15" s="34" t="n"/>
      <c r="L15" s="34" t="n"/>
      <c r="M15" s="34" t="n"/>
      <c r="N15" s="34" t="n"/>
      <c r="O15" s="34">
        <f>IFERROR(INDEX('_courses_lookup'!$C:$C,MATCH(K15&amp;L15,'_courses_lookup'!$E:$E,0)),"")</f>
        <v/>
      </c>
      <c r="P15" s="34">
        <f>IFERROR(INDEX('_courses_lookup'!$D:$D,MATCH(K15&amp;L15,'_courses_lookup'!$E:$E,0)),"")</f>
        <v/>
      </c>
      <c r="Q15" s="34" t="n"/>
      <c r="R15" s="34" t="n"/>
      <c r="S15" s="34" t="n"/>
      <c r="T15" s="34" t="n"/>
      <c r="U15" s="34" t="n"/>
      <c r="V15" s="34" t="n"/>
      <c r="W15" s="34" t="n"/>
      <c r="X15" s="34" t="n"/>
      <c r="Y15" s="30" t="n"/>
      <c r="Z15" s="34" t="n"/>
      <c r="AA15" s="34" t="n"/>
      <c r="AB15" s="34" t="n"/>
      <c r="AC15" s="34" t="n"/>
      <c r="AD15" s="34" t="n"/>
      <c r="AE15" s="34" t="n"/>
      <c r="AF15" s="34" t="n"/>
      <c r="AG15" s="34">
        <f>IF(AND(AE15&lt;&gt;"",AF15&lt;&gt;""),ROUNDUP((AF15-AE15)/7,0),"")</f>
        <v/>
      </c>
      <c r="AH15" s="34" t="n"/>
      <c r="AI15" s="34">
        <f>IFERROR(IF(AG15*AH15=0,"",AG15*AH15),"")</f>
        <v/>
      </c>
      <c r="AJ15" s="34" t="n"/>
      <c r="AK15" s="34" t="n"/>
      <c r="AL15" s="34">
        <f>IF(AND(AJ15&lt;&gt;"",AK15&lt;&gt;""),ROUNDUP((AK15-AJ15)/7,0),"")</f>
        <v/>
      </c>
      <c r="AM15" s="34" t="n"/>
      <c r="AN15" s="34">
        <f>IFERROR(IF(AL15*AM15=0,"",AL15*AM15),"")</f>
        <v/>
      </c>
      <c r="AO15" s="34" t="n"/>
      <c r="AP15" s="34" t="n"/>
      <c r="AQ15" s="34">
        <f>IF(AND(AO15&lt;&gt;"",AP15&lt;&gt;""),ROUNDUP((AP15-AO15)/7,0),"")</f>
        <v/>
      </c>
      <c r="AR15" s="34">
        <f>IFERROR(IF((AU15-(AI15+AN15))/AQ15=0,"",ROUNDUP((AU15-(AI15+AN15))/AQ15,0)),"")</f>
        <v/>
      </c>
      <c r="AS15" s="34">
        <f>IFERROR(IF((AU15-(AI15+AN15))=0,"",(AU15-(AI15+AN15))),"")</f>
        <v/>
      </c>
      <c r="AT15" s="34">
        <f>IF(AND(AG15="",AQ15=""),AL15,IF(SUM(AG15,AL15,AQ15)=0,"",SUM(AG15,AL15,AQ15)))</f>
        <v/>
      </c>
      <c r="AU15" s="34" t="n"/>
      <c r="AV15" s="34" t="n"/>
      <c r="AW15" s="34" t="n"/>
      <c r="AX15" s="34" t="n"/>
      <c r="AY15" s="34" t="n"/>
      <c r="AZ15" s="30" t="n"/>
      <c r="BA15" s="34" t="n"/>
      <c r="BB15" s="34" t="n"/>
      <c r="BC15" s="34" t="n"/>
      <c r="BD15" s="34" t="n"/>
      <c r="BE15" s="34" t="n"/>
      <c r="BF15" s="34" t="n"/>
      <c r="BG15" s="34">
        <f>IF(AD15="","",YEAR(AD15)+IF(MONTH(AD15)&gt;=5,1,0))</f>
        <v/>
      </c>
      <c r="BH15" s="34">
        <f>IF(AD15="","",IF(AND(MONTH(AD15)=8,DAY(AD15)&gt;=15),"Fall",IF(MONTH(AD15)&gt;8,"Fall",IF(MONTH(AD15)=5,"Summer",IF(MONTH(AD15)=1,"Spring","")))))</f>
        <v/>
      </c>
      <c r="BI15" s="34" t="n"/>
      <c r="BJ15" s="34" t="n"/>
      <c r="BK15" s="30">
        <f>IF($BJ15="","",IFERROR(INDEX(InstructorMap!$B:$B, MATCH($BJ15, InstructorMap!$A:$A, 0)),""))</f>
        <v/>
      </c>
      <c r="BL15" s="30">
        <f>IFERROR(INDEX('_names_lookup'!$C:$C,MATCH(BK15,'_names_lookup'!$A:$A,0)),"")</f>
        <v/>
      </c>
      <c r="BM15" s="34">
        <f>IFERROR(INDEX('_names_lookup'!$B:$B,MATCH(BK15,'_names_lookup'!$A:$A,0)),"")</f>
        <v/>
      </c>
      <c r="BN15" s="34" t="n"/>
      <c r="BO15" s="34" t="n"/>
      <c r="BP15" s="34" t="n"/>
      <c r="BQ15" s="34" t="n"/>
      <c r="BR15" s="34" t="n"/>
      <c r="BS15" s="34">
        <f>IFERROR(IF(BR15*AA15=0,"",BR15*AA15),"")</f>
        <v/>
      </c>
      <c r="BT15" s="34" t="n"/>
      <c r="BU15" s="34" t="n"/>
      <c r="BV15" s="34" t="n"/>
      <c r="BW15" s="34" t="n"/>
      <c r="BX15" s="34" t="n"/>
      <c r="BY15" s="34" t="n"/>
      <c r="BZ15" s="34" t="n"/>
      <c r="CA15" s="34" t="n"/>
      <c r="CB15" s="34" t="n"/>
      <c r="CC15" s="34" t="n"/>
      <c r="CD15" s="34" t="n"/>
      <c r="CE15" s="34" t="n"/>
      <c r="CF15" s="34" t="n"/>
      <c r="CG15" s="34" t="n"/>
      <c r="CH15" s="34" t="n"/>
      <c r="CI15" s="34" t="n"/>
      <c r="CJ15" s="34" t="n"/>
      <c r="CK15" s="34" t="n"/>
      <c r="CL15" s="34" t="n"/>
      <c r="CM15" s="34" t="n"/>
      <c r="CN15" s="34" t="n"/>
      <c r="CO15" s="34" t="n"/>
      <c r="CP15" s="34" t="n"/>
      <c r="CQ15" s="34" t="n"/>
      <c r="CR15" s="34" t="n"/>
      <c r="CS15" s="34" t="n"/>
      <c r="CT15" s="34" t="n"/>
      <c r="CU15" s="34" t="n"/>
      <c r="CV15" s="34" t="n"/>
      <c r="CW15" s="34" t="n"/>
      <c r="CX15" s="34" t="n"/>
      <c r="CY15" s="34" t="n"/>
      <c r="CZ15" s="34" t="n"/>
      <c r="DA15" s="34" t="n"/>
      <c r="DB15" s="34" t="n"/>
      <c r="DC15" s="34" t="n"/>
      <c r="DD15" s="34" t="n"/>
      <c r="DE15" s="34" t="n"/>
      <c r="DF15" s="34" t="n"/>
      <c r="DG15" s="34" t="n"/>
      <c r="DH15" s="34" t="n"/>
      <c r="DI15" s="34" t="n"/>
      <c r="DJ15" s="34" t="n"/>
      <c r="DK15" s="34" t="n"/>
      <c r="DL15" s="34" t="n"/>
      <c r="DM15" s="34" t="n"/>
      <c r="DN15" s="34" t="n"/>
      <c r="DO15" s="34" t="n"/>
      <c r="DP15" s="34" t="n"/>
      <c r="DQ15" s="34" t="n"/>
    </row>
    <row r="16" ht="16" customHeight="1">
      <c r="A16" s="38" t="n"/>
      <c r="B16" s="38" t="n"/>
      <c r="C16" s="38" t="n"/>
      <c r="D16" s="38" t="n"/>
      <c r="E16" s="38" t="n"/>
      <c r="F16" s="38" t="n"/>
      <c r="G16" s="38" t="n"/>
      <c r="H16" s="34" t="n"/>
      <c r="I16" s="34" t="n"/>
      <c r="J16" s="34" t="n"/>
      <c r="K16" s="34" t="n"/>
      <c r="L16" s="34" t="n"/>
      <c r="M16" s="34" t="n"/>
      <c r="N16" s="34" t="n"/>
      <c r="O16" s="34">
        <f>IFERROR(INDEX('_courses_lookup'!$C:$C,MATCH(K16&amp;L16,'_courses_lookup'!$E:$E,0)),"")</f>
        <v/>
      </c>
      <c r="P16" s="34">
        <f>IFERROR(INDEX('_courses_lookup'!$D:$D,MATCH(K16&amp;L16,'_courses_lookup'!$E:$E,0)),"")</f>
        <v/>
      </c>
      <c r="Q16" s="34" t="n"/>
      <c r="R16" s="34" t="n"/>
      <c r="S16" s="34" t="n"/>
      <c r="T16" s="34" t="n"/>
      <c r="U16" s="34" t="n"/>
      <c r="V16" s="34" t="n"/>
      <c r="W16" s="34" t="n"/>
      <c r="X16" s="34" t="n"/>
      <c r="Y16" s="30" t="n"/>
      <c r="Z16" s="34" t="n"/>
      <c r="AA16" s="34" t="n"/>
      <c r="AB16" s="34" t="n"/>
      <c r="AC16" s="34" t="n"/>
      <c r="AD16" s="34" t="n"/>
      <c r="AE16" s="34" t="n"/>
      <c r="AF16" s="34" t="n"/>
      <c r="AG16" s="34">
        <f>IF(AND(AE16&lt;&gt;"",AF16&lt;&gt;""),ROUNDUP((AF16-AE16)/7,0),"")</f>
        <v/>
      </c>
      <c r="AH16" s="34" t="n"/>
      <c r="AI16" s="34">
        <f>IFERROR(IF(AG16*AH16=0,"",AG16*AH16),"")</f>
        <v/>
      </c>
      <c r="AJ16" s="34" t="n"/>
      <c r="AK16" s="34" t="n"/>
      <c r="AL16" s="34">
        <f>IF(AND(AJ16&lt;&gt;"",AK16&lt;&gt;""),ROUNDUP((AK16-AJ16)/7,0),"")</f>
        <v/>
      </c>
      <c r="AM16" s="34" t="n"/>
      <c r="AN16" s="34">
        <f>IFERROR(IF(AL16*AM16=0,"",AL16*AM16),"")</f>
        <v/>
      </c>
      <c r="AO16" s="34" t="n"/>
      <c r="AP16" s="34" t="n"/>
      <c r="AQ16" s="34">
        <f>IF(AND(AO16&lt;&gt;"",AP16&lt;&gt;""),ROUNDUP((AP16-AO16)/7,0),"")</f>
        <v/>
      </c>
      <c r="AR16" s="34">
        <f>IFERROR(IF((AU16-(AI16+AN16))/AQ16=0,"",ROUNDUP((AU16-(AI16+AN16))/AQ16,0)),"")</f>
        <v/>
      </c>
      <c r="AS16" s="34">
        <f>IFERROR(IF((AU16-(AI16+AN16))=0,"",(AU16-(AI16+AN16))),"")</f>
        <v/>
      </c>
      <c r="AT16" s="34">
        <f>IF(AND(AG16="",AQ16=""),AL16,IF(SUM(AG16,AL16,AQ16)=0,"",SUM(AG16,AL16,AQ16)))</f>
        <v/>
      </c>
      <c r="AU16" s="34" t="n"/>
      <c r="AV16" s="34" t="n"/>
      <c r="AW16" s="34" t="n"/>
      <c r="AX16" s="34" t="n"/>
      <c r="AY16" s="34" t="n"/>
      <c r="AZ16" s="30" t="n"/>
      <c r="BA16" s="34" t="n"/>
      <c r="BB16" s="34" t="n"/>
      <c r="BC16" s="34" t="n"/>
      <c r="BD16" s="34" t="n"/>
      <c r="BE16" s="34" t="n"/>
      <c r="BF16" s="34" t="n"/>
      <c r="BG16" s="34">
        <f>IF(AD16="","",YEAR(AD16)+IF(MONTH(AD16)&gt;=5,1,0))</f>
        <v/>
      </c>
      <c r="BH16" s="34">
        <f>IF(AD16="","",IF(AND(MONTH(AD16)=8,DAY(AD16)&gt;=15),"Fall",IF(MONTH(AD16)&gt;8,"Fall",IF(MONTH(AD16)=5,"Summer",IF(MONTH(AD16)=1,"Spring","")))))</f>
        <v/>
      </c>
      <c r="BI16" s="34" t="n"/>
      <c r="BJ16" s="34" t="n"/>
      <c r="BK16" s="30">
        <f>IF($BJ16="","",IFERROR(INDEX(InstructorMap!$B:$B, MATCH($BJ16, InstructorMap!$A:$A, 0)),""))</f>
        <v/>
      </c>
      <c r="BL16" s="30">
        <f>IFERROR(INDEX('_names_lookup'!$C:$C,MATCH(BK16,'_names_lookup'!$A:$A,0)),"")</f>
        <v/>
      </c>
      <c r="BM16" s="34">
        <f>IFERROR(INDEX('_names_lookup'!$B:$B,MATCH(BK16,'_names_lookup'!$A:$A,0)),"")</f>
        <v/>
      </c>
      <c r="BN16" s="34" t="n"/>
      <c r="BO16" s="34" t="n"/>
      <c r="BP16" s="34" t="n"/>
      <c r="BQ16" s="34" t="n"/>
      <c r="BR16" s="34" t="n"/>
      <c r="BS16" s="34">
        <f>IFERROR(IF(BR16*AA16=0,"",BR16*AA16),"")</f>
        <v/>
      </c>
      <c r="BT16" s="34" t="n"/>
      <c r="BU16" s="34" t="n"/>
      <c r="BV16" s="34" t="n"/>
      <c r="BW16" s="34" t="n"/>
      <c r="BX16" s="34" t="n"/>
      <c r="BY16" s="34" t="n"/>
      <c r="BZ16" s="34" t="n"/>
      <c r="CA16" s="34" t="n"/>
      <c r="CB16" s="34" t="n"/>
      <c r="CC16" s="34" t="n"/>
      <c r="CD16" s="34" t="n"/>
      <c r="CE16" s="34" t="n"/>
      <c r="CF16" s="34" t="n"/>
      <c r="CG16" s="34" t="n"/>
      <c r="CH16" s="34" t="n"/>
      <c r="CI16" s="34" t="n"/>
      <c r="CJ16" s="34" t="n"/>
      <c r="CK16" s="34" t="n"/>
      <c r="CL16" s="34" t="n"/>
      <c r="CM16" s="34" t="n"/>
      <c r="CN16" s="34" t="n"/>
      <c r="CO16" s="34" t="n"/>
      <c r="CP16" s="34" t="n"/>
      <c r="CQ16" s="34" t="n"/>
      <c r="CR16" s="34" t="n"/>
      <c r="CS16" s="34" t="n"/>
      <c r="CT16" s="34" t="n"/>
      <c r="CU16" s="34" t="n"/>
      <c r="CV16" s="34" t="n"/>
      <c r="CW16" s="34" t="n"/>
      <c r="CX16" s="34" t="n"/>
      <c r="CY16" s="34" t="n"/>
      <c r="CZ16" s="34" t="n"/>
      <c r="DA16" s="34" t="n"/>
      <c r="DB16" s="34" t="n"/>
      <c r="DC16" s="34" t="n"/>
      <c r="DD16" s="34" t="n"/>
      <c r="DE16" s="34" t="n"/>
      <c r="DF16" s="34" t="n"/>
      <c r="DG16" s="34" t="n"/>
      <c r="DH16" s="34" t="n"/>
      <c r="DI16" s="34" t="n"/>
      <c r="DJ16" s="34" t="n"/>
      <c r="DK16" s="34" t="n"/>
      <c r="DL16" s="34" t="n"/>
      <c r="DM16" s="34" t="n"/>
      <c r="DN16" s="34" t="n"/>
      <c r="DO16" s="34" t="n"/>
      <c r="DP16" s="34" t="n"/>
      <c r="DQ16" s="34" t="n"/>
    </row>
    <row r="17" ht="16" customHeight="1">
      <c r="A17" s="38" t="n"/>
      <c r="B17" s="38" t="n"/>
      <c r="C17" s="38" t="n"/>
      <c r="D17" s="38" t="n"/>
      <c r="E17" s="38" t="n"/>
      <c r="F17" s="38" t="n"/>
      <c r="G17" s="38" t="n"/>
      <c r="H17" s="34" t="n"/>
      <c r="I17" s="34" t="n"/>
      <c r="J17" s="34" t="n"/>
      <c r="K17" s="34" t="n"/>
      <c r="L17" s="34" t="n"/>
      <c r="M17" s="34" t="n"/>
      <c r="N17" s="34" t="n"/>
      <c r="O17" s="34">
        <f>IFERROR(INDEX('_courses_lookup'!$C:$C,MATCH(K17&amp;L17,'_courses_lookup'!$E:$E,0)),"")</f>
        <v/>
      </c>
      <c r="P17" s="34">
        <f>IFERROR(INDEX('_courses_lookup'!$D:$D,MATCH(K17&amp;L17,'_courses_lookup'!$E:$E,0)),"")</f>
        <v/>
      </c>
      <c r="Q17" s="34" t="n"/>
      <c r="R17" s="34" t="n"/>
      <c r="S17" s="34" t="n"/>
      <c r="T17" s="34" t="n"/>
      <c r="U17" s="34" t="n"/>
      <c r="V17" s="34" t="n"/>
      <c r="W17" s="34" t="n"/>
      <c r="X17" s="34" t="n"/>
      <c r="Y17" s="30" t="n"/>
      <c r="Z17" s="34" t="n"/>
      <c r="AA17" s="34" t="n"/>
      <c r="AB17" s="34" t="n"/>
      <c r="AC17" s="34" t="n"/>
      <c r="AD17" s="34" t="n"/>
      <c r="AE17" s="34" t="n"/>
      <c r="AF17" s="34" t="n"/>
      <c r="AG17" s="34">
        <f>IF(AND(AE17&lt;&gt;"",AF17&lt;&gt;""),ROUNDUP((AF17-AE17)/7,0),"")</f>
        <v/>
      </c>
      <c r="AH17" s="34" t="n"/>
      <c r="AI17" s="34">
        <f>IFERROR(IF(AG17*AH17=0,"",AG17*AH17),"")</f>
        <v/>
      </c>
      <c r="AJ17" s="34" t="n"/>
      <c r="AK17" s="34" t="n"/>
      <c r="AL17" s="34">
        <f>IF(AND(AJ17&lt;&gt;"",AK17&lt;&gt;""),ROUNDUP((AK17-AJ17)/7,0),"")</f>
        <v/>
      </c>
      <c r="AM17" s="34" t="n"/>
      <c r="AN17" s="34">
        <f>IFERROR(IF(AL17*AM17=0,"",AL17*AM17),"")</f>
        <v/>
      </c>
      <c r="AO17" s="34" t="n"/>
      <c r="AP17" s="34" t="n"/>
      <c r="AQ17" s="34">
        <f>IF(AND(AO17&lt;&gt;"",AP17&lt;&gt;""),ROUNDUP((AP17-AO17)/7,0),"")</f>
        <v/>
      </c>
      <c r="AR17" s="34">
        <f>IFERROR(IF((AU17-(AI17+AN17))/AQ17=0,"",ROUNDUP((AU17-(AI17+AN17))/AQ17,0)),"")</f>
        <v/>
      </c>
      <c r="AS17" s="34">
        <f>IFERROR(IF((AU17-(AI17+AN17))=0,"",(AU17-(AI17+AN17))),"")</f>
        <v/>
      </c>
      <c r="AT17" s="34">
        <f>IF(AND(AG17="",AQ17=""),AL17,IF(SUM(AG17,AL17,AQ17)=0,"",SUM(AG17,AL17,AQ17)))</f>
        <v/>
      </c>
      <c r="AU17" s="34" t="n"/>
      <c r="AV17" s="34" t="n"/>
      <c r="AW17" s="34" t="n"/>
      <c r="AX17" s="34" t="n"/>
      <c r="AY17" s="34" t="n"/>
      <c r="AZ17" s="30" t="n"/>
      <c r="BA17" s="34" t="n"/>
      <c r="BB17" s="34" t="n"/>
      <c r="BC17" s="34" t="n"/>
      <c r="BD17" s="34" t="n"/>
      <c r="BE17" s="34" t="n"/>
      <c r="BF17" s="34" t="n"/>
      <c r="BG17" s="34">
        <f>IF(AD17="","",YEAR(AD17)+IF(MONTH(AD17)&gt;=5,1,0))</f>
        <v/>
      </c>
      <c r="BH17" s="34">
        <f>IF(AD17="","",IF(AND(MONTH(AD17)=8,DAY(AD17)&gt;=15),"Fall",IF(MONTH(AD17)&gt;8,"Fall",IF(MONTH(AD17)=5,"Summer",IF(MONTH(AD17)=1,"Spring","")))))</f>
        <v/>
      </c>
      <c r="BI17" s="34" t="n"/>
      <c r="BJ17" s="34" t="n"/>
      <c r="BK17" s="30">
        <f>IF($BJ17="","",IFERROR(INDEX(InstructorMap!$B:$B, MATCH($BJ17, InstructorMap!$A:$A, 0)),""))</f>
        <v/>
      </c>
      <c r="BL17" s="30">
        <f>IFERROR(INDEX('_names_lookup'!$C:$C,MATCH(BK17,'_names_lookup'!$A:$A,0)),"")</f>
        <v/>
      </c>
      <c r="BM17" s="34">
        <f>IFERROR(INDEX('_names_lookup'!$B:$B,MATCH(BK17,'_names_lookup'!$A:$A,0)),"")</f>
        <v/>
      </c>
      <c r="BN17" s="34" t="n"/>
      <c r="BO17" s="34" t="n"/>
      <c r="BP17" s="34" t="n"/>
      <c r="BQ17" s="34" t="n"/>
      <c r="BR17" s="34" t="n"/>
      <c r="BS17" s="34">
        <f>IFERROR(IF(BR17*AA17=0,"",BR17*AA17),"")</f>
        <v/>
      </c>
      <c r="BT17" s="34" t="n"/>
      <c r="BU17" s="34" t="n"/>
      <c r="BV17" s="34" t="n"/>
      <c r="BW17" s="34" t="n"/>
      <c r="BX17" s="34" t="n"/>
      <c r="BY17" s="34" t="n"/>
      <c r="BZ17" s="34" t="n"/>
      <c r="CA17" s="34" t="n"/>
      <c r="CB17" s="34" t="n"/>
      <c r="CC17" s="34" t="n"/>
      <c r="CD17" s="34" t="n"/>
      <c r="CE17" s="34" t="n"/>
      <c r="CF17" s="34" t="n"/>
      <c r="CG17" s="34" t="n"/>
      <c r="CH17" s="34" t="n"/>
      <c r="CI17" s="34" t="n"/>
      <c r="CJ17" s="34" t="n"/>
      <c r="CK17" s="34" t="n"/>
      <c r="CL17" s="34" t="n"/>
      <c r="CM17" s="34" t="n"/>
      <c r="CN17" s="34" t="n"/>
      <c r="CO17" s="34" t="n"/>
      <c r="CP17" s="34" t="n"/>
      <c r="CQ17" s="34" t="n"/>
      <c r="CR17" s="34" t="n"/>
      <c r="CS17" s="34" t="n"/>
      <c r="CT17" s="34" t="n"/>
      <c r="CU17" s="34" t="n"/>
      <c r="CV17" s="34" t="n"/>
      <c r="CW17" s="34" t="n"/>
      <c r="CX17" s="34" t="n"/>
      <c r="CY17" s="34" t="n"/>
      <c r="CZ17" s="34" t="n"/>
      <c r="DA17" s="34" t="n"/>
      <c r="DB17" s="34" t="n"/>
      <c r="DC17" s="34" t="n"/>
      <c r="DD17" s="34" t="n"/>
      <c r="DE17" s="34" t="n"/>
      <c r="DF17" s="34" t="n"/>
      <c r="DG17" s="34" t="n"/>
      <c r="DH17" s="34" t="n"/>
      <c r="DI17" s="34" t="n"/>
      <c r="DJ17" s="34" t="n"/>
      <c r="DK17" s="34" t="n"/>
      <c r="DL17" s="34" t="n"/>
      <c r="DM17" s="34" t="n"/>
      <c r="DN17" s="34" t="n"/>
      <c r="DO17" s="34" t="n"/>
      <c r="DP17" s="34" t="n"/>
      <c r="DQ17" s="34" t="n"/>
    </row>
    <row r="18" ht="16" customHeight="1">
      <c r="A18" s="38" t="n"/>
      <c r="B18" s="38" t="n"/>
      <c r="C18" s="38" t="n"/>
      <c r="D18" s="38" t="n"/>
      <c r="E18" s="38" t="n"/>
      <c r="F18" s="38" t="n"/>
      <c r="G18" s="38" t="n"/>
      <c r="H18" s="34" t="n"/>
      <c r="I18" s="34" t="n"/>
      <c r="J18" s="34" t="n"/>
      <c r="K18" s="34" t="n"/>
      <c r="L18" s="34" t="n"/>
      <c r="M18" s="34" t="n"/>
      <c r="N18" s="34" t="n"/>
      <c r="O18" s="34">
        <f>IFERROR(INDEX('_courses_lookup'!$C:$C,MATCH(K18&amp;L18,'_courses_lookup'!$E:$E,0)),"")</f>
        <v/>
      </c>
      <c r="P18" s="34">
        <f>IFERROR(INDEX('_courses_lookup'!$D:$D,MATCH(K18&amp;L18,'_courses_lookup'!$E:$E,0)),"")</f>
        <v/>
      </c>
      <c r="Q18" s="34" t="n"/>
      <c r="R18" s="34" t="n"/>
      <c r="S18" s="34" t="n"/>
      <c r="T18" s="34" t="n"/>
      <c r="U18" s="34" t="n"/>
      <c r="V18" s="34" t="n"/>
      <c r="W18" s="34" t="n"/>
      <c r="X18" s="34" t="n"/>
      <c r="Y18" s="30" t="n"/>
      <c r="Z18" s="34" t="n"/>
      <c r="AA18" s="34" t="n"/>
      <c r="AB18" s="34" t="n"/>
      <c r="AC18" s="34" t="n"/>
      <c r="AD18" s="34" t="n"/>
      <c r="AE18" s="34" t="n"/>
      <c r="AF18" s="34" t="n"/>
      <c r="AG18" s="34">
        <f>IF(AND(AE18&lt;&gt;"",AF18&lt;&gt;""),ROUNDUP((AF18-AE18)/7,0),"")</f>
        <v/>
      </c>
      <c r="AH18" s="34" t="n"/>
      <c r="AI18" s="34">
        <f>IFERROR(IF(AG18*AH18=0,"",AG18*AH18),"")</f>
        <v/>
      </c>
      <c r="AJ18" s="34" t="n"/>
      <c r="AK18" s="34" t="n"/>
      <c r="AL18" s="34">
        <f>IF(AND(AJ18&lt;&gt;"",AK18&lt;&gt;""),ROUNDUP((AK18-AJ18)/7,0),"")</f>
        <v/>
      </c>
      <c r="AM18" s="34" t="n"/>
      <c r="AN18" s="34">
        <f>IFERROR(IF(AL18*AM18=0,"",AL18*AM18),"")</f>
        <v/>
      </c>
      <c r="AO18" s="34" t="n"/>
      <c r="AP18" s="34" t="n"/>
      <c r="AQ18" s="34">
        <f>IF(AND(AO18&lt;&gt;"",AP18&lt;&gt;""),ROUNDUP((AP18-AO18)/7,0),"")</f>
        <v/>
      </c>
      <c r="AR18" s="34">
        <f>IFERROR(IF((AU18-(AI18+AN18))/AQ18=0,"",ROUNDUP((AU18-(AI18+AN18))/AQ18,0)),"")</f>
        <v/>
      </c>
      <c r="AS18" s="34">
        <f>IFERROR(IF((AU18-(AI18+AN18))=0,"",(AU18-(AI18+AN18))),"")</f>
        <v/>
      </c>
      <c r="AT18" s="34">
        <f>IF(AND(AG18="",AQ18=""),AL18,IF(SUM(AG18,AL18,AQ18)=0,"",SUM(AG18,AL18,AQ18)))</f>
        <v/>
      </c>
      <c r="AU18" s="34" t="n"/>
      <c r="AV18" s="34" t="n"/>
      <c r="AW18" s="34" t="n"/>
      <c r="AX18" s="34" t="n"/>
      <c r="AY18" s="34" t="n"/>
      <c r="AZ18" s="30" t="n"/>
      <c r="BA18" s="34" t="n"/>
      <c r="BB18" s="34" t="n"/>
      <c r="BC18" s="34" t="n"/>
      <c r="BD18" s="34" t="n"/>
      <c r="BE18" s="34" t="n"/>
      <c r="BF18" s="34" t="n"/>
      <c r="BG18" s="34">
        <f>IF(AD18="","",YEAR(AD18)+IF(MONTH(AD18)&gt;=5,1,0))</f>
        <v/>
      </c>
      <c r="BH18" s="34">
        <f>IF(AD18="","",IF(AND(MONTH(AD18)=8,DAY(AD18)&gt;=15),"Fall",IF(MONTH(AD18)&gt;8,"Fall",IF(MONTH(AD18)=5,"Summer",IF(MONTH(AD18)=1,"Spring","")))))</f>
        <v/>
      </c>
      <c r="BI18" s="34" t="n"/>
      <c r="BJ18" s="34" t="n"/>
      <c r="BK18" s="30">
        <f>IF($BJ18="","",IFERROR(INDEX(InstructorMap!$B:$B, MATCH($BJ18, InstructorMap!$A:$A, 0)),""))</f>
        <v/>
      </c>
      <c r="BL18" s="30">
        <f>IFERROR(INDEX('_names_lookup'!$C:$C,MATCH(BK18,'_names_lookup'!$A:$A,0)),"")</f>
        <v/>
      </c>
      <c r="BM18" s="34">
        <f>IFERROR(INDEX('_names_lookup'!$B:$B,MATCH(BK18,'_names_lookup'!$A:$A,0)),"")</f>
        <v/>
      </c>
      <c r="BN18" s="34" t="n"/>
      <c r="BO18" s="34" t="n"/>
      <c r="BP18" s="34" t="n"/>
      <c r="BQ18" s="34" t="n"/>
      <c r="BR18" s="34" t="n"/>
      <c r="BS18" s="34">
        <f>IFERROR(IF(BR18*AA18=0,"",BR18*AA18),"")</f>
        <v/>
      </c>
      <c r="BT18" s="34" t="n"/>
      <c r="BU18" s="34" t="n"/>
      <c r="BV18" s="34" t="n"/>
      <c r="BW18" s="34" t="n"/>
      <c r="BX18" s="34" t="n"/>
      <c r="BY18" s="34" t="n"/>
      <c r="BZ18" s="34" t="n"/>
      <c r="CA18" s="34" t="n"/>
      <c r="CB18" s="34" t="n"/>
      <c r="CC18" s="34" t="n"/>
      <c r="CD18" s="34" t="n"/>
      <c r="CE18" s="34" t="n"/>
      <c r="CF18" s="34" t="n"/>
      <c r="CG18" s="34" t="n"/>
      <c r="CH18" s="34" t="n"/>
      <c r="CI18" s="34" t="n"/>
      <c r="CJ18" s="34" t="n"/>
      <c r="CK18" s="34" t="n"/>
      <c r="CL18" s="34" t="n"/>
      <c r="CM18" s="34" t="n"/>
      <c r="CN18" s="34" t="n"/>
      <c r="CO18" s="34" t="n"/>
      <c r="CP18" s="34" t="n"/>
      <c r="CQ18" s="34" t="n"/>
      <c r="CR18" s="34" t="n"/>
      <c r="CS18" s="34" t="n"/>
      <c r="CT18" s="34" t="n"/>
      <c r="CU18" s="34" t="n"/>
      <c r="CV18" s="34" t="n"/>
      <c r="CW18" s="34" t="n"/>
      <c r="CX18" s="34" t="n"/>
      <c r="CY18" s="34" t="n"/>
      <c r="CZ18" s="34" t="n"/>
      <c r="DA18" s="34" t="n"/>
      <c r="DB18" s="34" t="n"/>
      <c r="DC18" s="34" t="n"/>
      <c r="DD18" s="34" t="n"/>
      <c r="DE18" s="34" t="n"/>
      <c r="DF18" s="34" t="n"/>
      <c r="DG18" s="34" t="n"/>
      <c r="DH18" s="34" t="n"/>
      <c r="DI18" s="34" t="n"/>
      <c r="DJ18" s="34" t="n"/>
      <c r="DK18" s="34" t="n"/>
      <c r="DL18" s="34" t="n"/>
      <c r="DM18" s="34" t="n"/>
      <c r="DN18" s="34" t="n"/>
      <c r="DO18" s="34" t="n"/>
      <c r="DP18" s="34" t="n"/>
      <c r="DQ18" s="34" t="n"/>
    </row>
    <row r="19" ht="16" customHeight="1">
      <c r="A19" s="38" t="n"/>
      <c r="B19" s="38" t="n"/>
      <c r="C19" s="38" t="n"/>
      <c r="D19" s="38" t="n"/>
      <c r="E19" s="38" t="n"/>
      <c r="F19" s="38" t="n"/>
      <c r="G19" s="38" t="n"/>
      <c r="H19" s="34" t="n"/>
      <c r="I19" s="34" t="n"/>
      <c r="J19" s="34" t="n"/>
      <c r="K19" s="34" t="n"/>
      <c r="L19" s="34" t="n"/>
      <c r="M19" s="34" t="n"/>
      <c r="N19" s="34" t="n"/>
      <c r="O19" s="34">
        <f>IFERROR(INDEX('_courses_lookup'!$C:$C,MATCH(K19&amp;L19,'_courses_lookup'!$E:$E,0)),"")</f>
        <v/>
      </c>
      <c r="P19" s="34">
        <f>IFERROR(INDEX('_courses_lookup'!$D:$D,MATCH(K19&amp;L19,'_courses_lookup'!$E:$E,0)),"")</f>
        <v/>
      </c>
      <c r="Q19" s="34" t="n"/>
      <c r="R19" s="34" t="n"/>
      <c r="S19" s="34" t="n"/>
      <c r="T19" s="34" t="n"/>
      <c r="U19" s="34" t="n"/>
      <c r="V19" s="34" t="n"/>
      <c r="W19" s="34" t="n"/>
      <c r="X19" s="34" t="n"/>
      <c r="Y19" s="30" t="n"/>
      <c r="Z19" s="34" t="n"/>
      <c r="AA19" s="34" t="n"/>
      <c r="AB19" s="34" t="n"/>
      <c r="AC19" s="34" t="n"/>
      <c r="AD19" s="34" t="n"/>
      <c r="AE19" s="34" t="n"/>
      <c r="AF19" s="34" t="n"/>
      <c r="AG19" s="34">
        <f>IF(AND(AE19&lt;&gt;"",AF19&lt;&gt;""),ROUNDUP((AF19-AE19)/7,0),"")</f>
        <v/>
      </c>
      <c r="AH19" s="34" t="n"/>
      <c r="AI19" s="34">
        <f>IFERROR(IF(AG19*AH19=0,"",AG19*AH19),"")</f>
        <v/>
      </c>
      <c r="AJ19" s="34" t="n"/>
      <c r="AK19" s="34" t="n"/>
      <c r="AL19" s="34">
        <f>IF(AND(AJ19&lt;&gt;"",AK19&lt;&gt;""),ROUNDUP((AK19-AJ19)/7,0),"")</f>
        <v/>
      </c>
      <c r="AM19" s="34" t="n"/>
      <c r="AN19" s="34">
        <f>IFERROR(IF(AL19*AM19=0,"",AL19*AM19),"")</f>
        <v/>
      </c>
      <c r="AO19" s="34" t="n"/>
      <c r="AP19" s="34" t="n"/>
      <c r="AQ19" s="34">
        <f>IF(AND(AO19&lt;&gt;"",AP19&lt;&gt;""),ROUNDUP((AP19-AO19)/7,0),"")</f>
        <v/>
      </c>
      <c r="AR19" s="34">
        <f>IFERROR(IF((AU19-(AI19+AN19))/AQ19=0,"",ROUNDUP((AU19-(AI19+AN19))/AQ19,0)),"")</f>
        <v/>
      </c>
      <c r="AS19" s="34">
        <f>IFERROR(IF((AU19-(AI19+AN19))=0,"",(AU19-(AI19+AN19))),"")</f>
        <v/>
      </c>
      <c r="AT19" s="34">
        <f>IF(AND(AG19="",AQ19=""),AL19,IF(SUM(AG19,AL19,AQ19)=0,"",SUM(AG19,AL19,AQ19)))</f>
        <v/>
      </c>
      <c r="AU19" s="34" t="n"/>
      <c r="AV19" s="34" t="n"/>
      <c r="AW19" s="34" t="n"/>
      <c r="AX19" s="34" t="n"/>
      <c r="AY19" s="34" t="n"/>
      <c r="AZ19" s="30" t="n"/>
      <c r="BA19" s="34" t="n"/>
      <c r="BB19" s="34" t="n"/>
      <c r="BC19" s="34" t="n"/>
      <c r="BD19" s="34" t="n"/>
      <c r="BE19" s="34" t="n"/>
      <c r="BF19" s="34" t="n"/>
      <c r="BG19" s="34">
        <f>IF(AD19="","",YEAR(AD19)+IF(MONTH(AD19)&gt;=5,1,0))</f>
        <v/>
      </c>
      <c r="BH19" s="34">
        <f>IF(AD19="","",IF(AND(MONTH(AD19)=8,DAY(AD19)&gt;=15),"Fall",IF(MONTH(AD19)&gt;8,"Fall",IF(MONTH(AD19)=5,"Summer",IF(MONTH(AD19)=1,"Spring","")))))</f>
        <v/>
      </c>
      <c r="BI19" s="34" t="n"/>
      <c r="BJ19" s="34" t="n"/>
      <c r="BK19" s="30">
        <f>IF($BJ19="","",IFERROR(INDEX(InstructorMap!$B:$B, MATCH($BJ19, InstructorMap!$A:$A, 0)),""))</f>
        <v/>
      </c>
      <c r="BL19" s="30">
        <f>IFERROR(INDEX('_names_lookup'!$C:$C,MATCH(BK19,'_names_lookup'!$A:$A,0)),"")</f>
        <v/>
      </c>
      <c r="BM19" s="34">
        <f>IFERROR(INDEX('_names_lookup'!$B:$B,MATCH(BK19,'_names_lookup'!$A:$A,0)),"")</f>
        <v/>
      </c>
      <c r="BN19" s="34" t="n"/>
      <c r="BO19" s="34" t="n"/>
      <c r="BP19" s="34" t="n"/>
      <c r="BQ19" s="34" t="n"/>
      <c r="BR19" s="34" t="n"/>
      <c r="BS19" s="34">
        <f>IFERROR(IF(BR19*AA19=0,"",BR19*AA19),"")</f>
        <v/>
      </c>
      <c r="BT19" s="34" t="n"/>
      <c r="BU19" s="34" t="n"/>
      <c r="BV19" s="34" t="n"/>
      <c r="BW19" s="34" t="n"/>
      <c r="BX19" s="34" t="n"/>
      <c r="BY19" s="34" t="n"/>
      <c r="BZ19" s="34" t="n"/>
      <c r="CA19" s="34" t="n"/>
      <c r="CB19" s="34" t="n"/>
      <c r="CC19" s="34" t="n"/>
      <c r="CD19" s="34" t="n"/>
      <c r="CE19" s="34" t="n"/>
      <c r="CF19" s="34" t="n"/>
      <c r="CG19" s="34" t="n"/>
      <c r="CH19" s="34" t="n"/>
      <c r="CI19" s="34" t="n"/>
      <c r="CJ19" s="34" t="n"/>
      <c r="CK19" s="34" t="n"/>
      <c r="CL19" s="34" t="n"/>
      <c r="CM19" s="34" t="n"/>
      <c r="CN19" s="34" t="n"/>
      <c r="CO19" s="34" t="n"/>
      <c r="CP19" s="34" t="n"/>
      <c r="CQ19" s="34" t="n"/>
      <c r="CR19" s="34" t="n"/>
      <c r="CS19" s="34" t="n"/>
      <c r="CT19" s="34" t="n"/>
      <c r="CU19" s="34" t="n"/>
      <c r="CV19" s="34" t="n"/>
      <c r="CW19" s="34" t="n"/>
      <c r="CX19" s="34" t="n"/>
      <c r="CY19" s="34" t="n"/>
      <c r="CZ19" s="34" t="n"/>
      <c r="DA19" s="34" t="n"/>
      <c r="DB19" s="34" t="n"/>
      <c r="DC19" s="34" t="n"/>
      <c r="DD19" s="34" t="n"/>
      <c r="DE19" s="34" t="n"/>
      <c r="DF19" s="34" t="n"/>
      <c r="DG19" s="34" t="n"/>
      <c r="DH19" s="34" t="n"/>
      <c r="DI19" s="34" t="n"/>
      <c r="DJ19" s="34" t="n"/>
      <c r="DK19" s="34" t="n"/>
      <c r="DL19" s="34" t="n"/>
      <c r="DM19" s="34" t="n"/>
      <c r="DN19" s="34" t="n"/>
      <c r="DO19" s="34" t="n"/>
      <c r="DP19" s="34" t="n"/>
      <c r="DQ19" s="34" t="n"/>
    </row>
    <row r="20" ht="16" customHeight="1">
      <c r="A20" s="38" t="n"/>
      <c r="B20" s="38" t="n"/>
      <c r="C20" s="38" t="n"/>
      <c r="D20" s="38" t="n"/>
      <c r="E20" s="38" t="n"/>
      <c r="F20" s="38" t="n"/>
      <c r="G20" s="38" t="n"/>
      <c r="H20" s="34" t="n"/>
      <c r="I20" s="34" t="n"/>
      <c r="J20" s="34" t="n"/>
      <c r="K20" s="34" t="n"/>
      <c r="L20" s="34" t="n"/>
      <c r="M20" s="34" t="n"/>
      <c r="N20" s="34" t="n"/>
      <c r="O20" s="34">
        <f>IFERROR(INDEX('_courses_lookup'!$C:$C,MATCH(K20&amp;L20,'_courses_lookup'!$E:$E,0)),"")</f>
        <v/>
      </c>
      <c r="P20" s="34">
        <f>IFERROR(INDEX('_courses_lookup'!$D:$D,MATCH(K20&amp;L20,'_courses_lookup'!$E:$E,0)),"")</f>
        <v/>
      </c>
      <c r="Q20" s="34" t="n"/>
      <c r="R20" s="34" t="n"/>
      <c r="S20" s="34" t="n"/>
      <c r="T20" s="34" t="n"/>
      <c r="U20" s="34" t="n"/>
      <c r="V20" s="34" t="n"/>
      <c r="W20" s="34" t="n"/>
      <c r="X20" s="34" t="n"/>
      <c r="Y20" s="30" t="n"/>
      <c r="Z20" s="34" t="n"/>
      <c r="AA20" s="34" t="n"/>
      <c r="AB20" s="34" t="n"/>
      <c r="AC20" s="34" t="n"/>
      <c r="AD20" s="34" t="n"/>
      <c r="AE20" s="34" t="n"/>
      <c r="AF20" s="34" t="n"/>
      <c r="AG20" s="34">
        <f>IF(AND(AE20&lt;&gt;"",AF20&lt;&gt;""),ROUNDUP((AF20-AE20)/7,0),"")</f>
        <v/>
      </c>
      <c r="AH20" s="34" t="n"/>
      <c r="AI20" s="34">
        <f>IFERROR(IF(AG20*AH20=0,"",AG20*AH20),"")</f>
        <v/>
      </c>
      <c r="AJ20" s="34" t="n"/>
      <c r="AK20" s="34" t="n"/>
      <c r="AL20" s="34">
        <f>IF(AND(AJ20&lt;&gt;"",AK20&lt;&gt;""),ROUNDUP((AK20-AJ20)/7,0),"")</f>
        <v/>
      </c>
      <c r="AM20" s="34" t="n"/>
      <c r="AN20" s="34">
        <f>IFERROR(IF(AL20*AM20=0,"",AL20*AM20),"")</f>
        <v/>
      </c>
      <c r="AO20" s="34" t="n"/>
      <c r="AP20" s="34" t="n"/>
      <c r="AQ20" s="34">
        <f>IF(AND(AO20&lt;&gt;"",AP20&lt;&gt;""),ROUNDUP((AP20-AO20)/7,0),"")</f>
        <v/>
      </c>
      <c r="AR20" s="34">
        <f>IFERROR(IF((AU20-(AI20+AN20))/AQ20=0,"",ROUNDUP((AU20-(AI20+AN20))/AQ20,0)),"")</f>
        <v/>
      </c>
      <c r="AS20" s="34">
        <f>IFERROR(IF((AU20-(AI20+AN20))=0,"",(AU20-(AI20+AN20))),"")</f>
        <v/>
      </c>
      <c r="AT20" s="34">
        <f>IF(AND(AG20="",AQ20=""),AL20,IF(SUM(AG20,AL20,AQ20)=0,"",SUM(AG20,AL20,AQ20)))</f>
        <v/>
      </c>
      <c r="AU20" s="34" t="n"/>
      <c r="AV20" s="34" t="n"/>
      <c r="AW20" s="34" t="n"/>
      <c r="AX20" s="34" t="n"/>
      <c r="AY20" s="34" t="n"/>
      <c r="AZ20" s="30" t="n"/>
      <c r="BA20" s="34" t="n"/>
      <c r="BB20" s="34" t="n"/>
      <c r="BC20" s="34" t="n"/>
      <c r="BD20" s="34" t="n"/>
      <c r="BE20" s="34" t="n"/>
      <c r="BF20" s="34" t="n"/>
      <c r="BG20" s="34">
        <f>IF(AD20="","",YEAR(AD20)+IF(MONTH(AD20)&gt;=5,1,0))</f>
        <v/>
      </c>
      <c r="BH20" s="34">
        <f>IF(AD20="","",IF(AND(MONTH(AD20)=8,DAY(AD20)&gt;=15),"Fall",IF(MONTH(AD20)&gt;8,"Fall",IF(MONTH(AD20)=5,"Summer",IF(MONTH(AD20)=1,"Spring","")))))</f>
        <v/>
      </c>
      <c r="BI20" s="34" t="n"/>
      <c r="BJ20" s="34" t="n"/>
      <c r="BK20" s="30">
        <f>IF($BJ20="","",IFERROR(INDEX(InstructorMap!$B:$B, MATCH($BJ20, InstructorMap!$A:$A, 0)),""))</f>
        <v/>
      </c>
      <c r="BL20" s="30">
        <f>IFERROR(INDEX('_names_lookup'!$C:$C,MATCH(BK20,'_names_lookup'!$A:$A,0)),"")</f>
        <v/>
      </c>
      <c r="BM20" s="34">
        <f>IFERROR(INDEX('_names_lookup'!$B:$B,MATCH(BK20,'_names_lookup'!$A:$A,0)),"")</f>
        <v/>
      </c>
      <c r="BN20" s="34" t="n"/>
      <c r="BO20" s="34" t="n"/>
      <c r="BP20" s="34" t="n"/>
      <c r="BQ20" s="34" t="n"/>
      <c r="BR20" s="34" t="n"/>
      <c r="BS20" s="34">
        <f>IFERROR(IF(BR20*AA20=0,"",BR20*AA20),"")</f>
        <v/>
      </c>
      <c r="BT20" s="34" t="n"/>
      <c r="BU20" s="34" t="n"/>
      <c r="BV20" s="34" t="n"/>
      <c r="BW20" s="34" t="n"/>
      <c r="BX20" s="34" t="n"/>
      <c r="BY20" s="34" t="n"/>
      <c r="BZ20" s="34" t="n"/>
      <c r="CA20" s="34" t="n"/>
      <c r="CB20" s="34" t="n"/>
      <c r="CC20" s="34" t="n"/>
      <c r="CD20" s="34" t="n"/>
      <c r="CE20" s="34" t="n"/>
      <c r="CF20" s="34" t="n"/>
      <c r="CG20" s="34" t="n"/>
      <c r="CH20" s="34" t="n"/>
      <c r="CI20" s="34" t="n"/>
      <c r="CJ20" s="34" t="n"/>
      <c r="CK20" s="34" t="n"/>
      <c r="CL20" s="34" t="n"/>
      <c r="CM20" s="34" t="n"/>
      <c r="CN20" s="34" t="n"/>
      <c r="CO20" s="34" t="n"/>
      <c r="CP20" s="34" t="n"/>
      <c r="CQ20" s="34" t="n"/>
      <c r="CR20" s="34" t="n"/>
      <c r="CS20" s="34" t="n"/>
      <c r="CT20" s="34" t="n"/>
      <c r="CU20" s="34" t="n"/>
      <c r="CV20" s="34" t="n"/>
      <c r="CW20" s="34" t="n"/>
      <c r="CX20" s="34" t="n"/>
      <c r="CY20" s="34" t="n"/>
      <c r="CZ20" s="34" t="n"/>
      <c r="DA20" s="34" t="n"/>
      <c r="DB20" s="34" t="n"/>
      <c r="DC20" s="34" t="n"/>
      <c r="DD20" s="34" t="n"/>
      <c r="DE20" s="34" t="n"/>
      <c r="DF20" s="34" t="n"/>
      <c r="DG20" s="34" t="n"/>
      <c r="DH20" s="34" t="n"/>
      <c r="DI20" s="34" t="n"/>
      <c r="DJ20" s="34" t="n"/>
      <c r="DK20" s="34" t="n"/>
      <c r="DL20" s="34" t="n"/>
      <c r="DM20" s="34" t="n"/>
      <c r="DN20" s="34" t="n"/>
      <c r="DO20" s="34" t="n"/>
      <c r="DP20" s="34" t="n"/>
      <c r="DQ20" s="34" t="n"/>
    </row>
    <row r="21" ht="16" customHeight="1">
      <c r="A21" s="38" t="n"/>
      <c r="B21" s="38" t="n"/>
      <c r="C21" s="38" t="n"/>
      <c r="D21" s="38" t="n"/>
      <c r="E21" s="38" t="n"/>
      <c r="F21" s="38" t="n"/>
      <c r="G21" s="38" t="n"/>
      <c r="H21" s="34" t="n"/>
      <c r="I21" s="34" t="n"/>
      <c r="J21" s="34" t="n"/>
      <c r="K21" s="34" t="n"/>
      <c r="L21" s="34" t="n"/>
      <c r="M21" s="34" t="n"/>
      <c r="N21" s="34" t="n"/>
      <c r="O21" s="34">
        <f>IFERROR(INDEX('_courses_lookup'!$C:$C,MATCH(K21&amp;L21,'_courses_lookup'!$E:$E,0)),"")</f>
        <v/>
      </c>
      <c r="P21" s="34">
        <f>IFERROR(INDEX('_courses_lookup'!$D:$D,MATCH(K21&amp;L21,'_courses_lookup'!$E:$E,0)),"")</f>
        <v/>
      </c>
      <c r="Q21" s="34" t="n"/>
      <c r="R21" s="34" t="n"/>
      <c r="S21" s="34" t="n"/>
      <c r="T21" s="34" t="n"/>
      <c r="U21" s="34" t="n"/>
      <c r="V21" s="34" t="n"/>
      <c r="W21" s="34" t="n"/>
      <c r="X21" s="34" t="n"/>
      <c r="Y21" s="30" t="n"/>
      <c r="Z21" s="34" t="n"/>
      <c r="AA21" s="34" t="n"/>
      <c r="AB21" s="34" t="n"/>
      <c r="AC21" s="34" t="n"/>
      <c r="AD21" s="34" t="n"/>
      <c r="AE21" s="34" t="n"/>
      <c r="AF21" s="34" t="n"/>
      <c r="AG21" s="34">
        <f>IF(AND(AE21&lt;&gt;"",AF21&lt;&gt;""),ROUNDUP((AF21-AE21)/7,0),"")</f>
        <v/>
      </c>
      <c r="AH21" s="34" t="n"/>
      <c r="AI21" s="34">
        <f>IFERROR(IF(AG21*AH21=0,"",AG21*AH21),"")</f>
        <v/>
      </c>
      <c r="AJ21" s="34" t="n"/>
      <c r="AK21" s="34" t="n"/>
      <c r="AL21" s="34">
        <f>IF(AND(AJ21&lt;&gt;"",AK21&lt;&gt;""),ROUNDUP((AK21-AJ21)/7,0),"")</f>
        <v/>
      </c>
      <c r="AM21" s="34" t="n"/>
      <c r="AN21" s="34">
        <f>IFERROR(IF(AL21*AM21=0,"",AL21*AM21),"")</f>
        <v/>
      </c>
      <c r="AO21" s="34" t="n"/>
      <c r="AP21" s="34" t="n"/>
      <c r="AQ21" s="34">
        <f>IF(AND(AO21&lt;&gt;"",AP21&lt;&gt;""),ROUNDUP((AP21-AO21)/7,0),"")</f>
        <v/>
      </c>
      <c r="AR21" s="34">
        <f>IFERROR(IF((AU21-(AI21+AN21))/AQ21=0,"",ROUNDUP((AU21-(AI21+AN21))/AQ21,0)),"")</f>
        <v/>
      </c>
      <c r="AS21" s="34">
        <f>IFERROR(IF((AU21-(AI21+AN21))=0,"",(AU21-(AI21+AN21))),"")</f>
        <v/>
      </c>
      <c r="AT21" s="34">
        <f>IF(AND(AG21="",AQ21=""),AL21,IF(SUM(AG21,AL21,AQ21)=0,"",SUM(AG21,AL21,AQ21)))</f>
        <v/>
      </c>
      <c r="AU21" s="34" t="n"/>
      <c r="AV21" s="34" t="n"/>
      <c r="AW21" s="34" t="n"/>
      <c r="AX21" s="34" t="n"/>
      <c r="AY21" s="34" t="n"/>
      <c r="AZ21" s="30" t="n"/>
      <c r="BA21" s="34" t="n"/>
      <c r="BB21" s="34" t="n"/>
      <c r="BC21" s="34" t="n"/>
      <c r="BD21" s="34" t="n"/>
      <c r="BE21" s="34" t="n"/>
      <c r="BF21" s="34" t="n"/>
      <c r="BG21" s="34">
        <f>IF(AD21="","",YEAR(AD21)+IF(MONTH(AD21)&gt;=5,1,0))</f>
        <v/>
      </c>
      <c r="BH21" s="34">
        <f>IF(AD21="","",IF(AND(MONTH(AD21)=8,DAY(AD21)&gt;=15),"Fall",IF(MONTH(AD21)&gt;8,"Fall",IF(MONTH(AD21)=5,"Summer",IF(MONTH(AD21)=1,"Spring","")))))</f>
        <v/>
      </c>
      <c r="BI21" s="34" t="n"/>
      <c r="BJ21" s="34" t="n"/>
      <c r="BK21" s="30">
        <f>IF($BJ21="","",IFERROR(INDEX(InstructorMap!$B:$B, MATCH($BJ21, InstructorMap!$A:$A, 0)),""))</f>
        <v/>
      </c>
      <c r="BL21" s="30">
        <f>IFERROR(INDEX('_names_lookup'!$C:$C,MATCH(BK21,'_names_lookup'!$A:$A,0)),"")</f>
        <v/>
      </c>
      <c r="BM21" s="34">
        <f>IFERROR(INDEX('_names_lookup'!$B:$B,MATCH(BK21,'_names_lookup'!$A:$A,0)),"")</f>
        <v/>
      </c>
      <c r="BN21" s="34" t="n"/>
      <c r="BO21" s="34" t="n"/>
      <c r="BP21" s="34" t="n"/>
      <c r="BQ21" s="34" t="n"/>
      <c r="BR21" s="34" t="n"/>
      <c r="BS21" s="34">
        <f>IFERROR(IF(BR21*AA21=0,"",BR21*AA21),"")</f>
        <v/>
      </c>
      <c r="BT21" s="34" t="n"/>
      <c r="BU21" s="34" t="n"/>
      <c r="BV21" s="34" t="n"/>
      <c r="BW21" s="34" t="n"/>
      <c r="BX21" s="34" t="n"/>
      <c r="BY21" s="34" t="n"/>
      <c r="BZ21" s="34" t="n"/>
      <c r="CA21" s="34" t="n"/>
      <c r="CB21" s="34" t="n"/>
      <c r="CC21" s="34" t="n"/>
      <c r="CD21" s="34" t="n"/>
      <c r="CE21" s="34" t="n"/>
      <c r="CF21" s="34" t="n"/>
      <c r="CG21" s="34" t="n"/>
      <c r="CH21" s="34" t="n"/>
      <c r="CI21" s="34" t="n"/>
      <c r="CJ21" s="34" t="n"/>
      <c r="CK21" s="34" t="n"/>
      <c r="CL21" s="34" t="n"/>
      <c r="CM21" s="34" t="n"/>
      <c r="CN21" s="34" t="n"/>
      <c r="CO21" s="34" t="n"/>
      <c r="CP21" s="34" t="n"/>
      <c r="CQ21" s="34" t="n"/>
      <c r="CR21" s="34" t="n"/>
      <c r="CS21" s="34" t="n"/>
      <c r="CT21" s="34" t="n"/>
      <c r="CU21" s="34" t="n"/>
      <c r="CV21" s="34" t="n"/>
      <c r="CW21" s="34" t="n"/>
      <c r="CX21" s="34" t="n"/>
      <c r="CY21" s="34" t="n"/>
      <c r="CZ21" s="34" t="n"/>
      <c r="DA21" s="34" t="n"/>
      <c r="DB21" s="34" t="n"/>
      <c r="DC21" s="34" t="n"/>
      <c r="DD21" s="34" t="n"/>
      <c r="DE21" s="34" t="n"/>
      <c r="DF21" s="34" t="n"/>
      <c r="DG21" s="34" t="n"/>
      <c r="DH21" s="34" t="n"/>
      <c r="DI21" s="34" t="n"/>
      <c r="DJ21" s="34" t="n"/>
      <c r="DK21" s="34" t="n"/>
      <c r="DL21" s="34" t="n"/>
      <c r="DM21" s="34" t="n"/>
      <c r="DN21" s="34" t="n"/>
      <c r="DO21" s="34" t="n"/>
      <c r="DP21" s="34" t="n"/>
      <c r="DQ21" s="34" t="n"/>
    </row>
    <row r="22" ht="16" customHeight="1">
      <c r="A22" s="38" t="n"/>
      <c r="B22" s="38" t="n"/>
      <c r="C22" s="38" t="n"/>
      <c r="D22" s="38" t="n"/>
      <c r="E22" s="38" t="n"/>
      <c r="F22" s="38" t="n"/>
      <c r="G22" s="38" t="n"/>
      <c r="H22" s="34" t="n"/>
      <c r="I22" s="34" t="n"/>
      <c r="J22" s="34" t="n"/>
      <c r="K22" s="34" t="n"/>
      <c r="L22" s="34" t="n"/>
      <c r="M22" s="34" t="n"/>
      <c r="N22" s="34" t="n"/>
      <c r="O22" s="34">
        <f>IFERROR(INDEX('_courses_lookup'!$C:$C,MATCH(K22&amp;L22,'_courses_lookup'!$E:$E,0)),"")</f>
        <v/>
      </c>
      <c r="P22" s="34">
        <f>IFERROR(INDEX('_courses_lookup'!$D:$D,MATCH(K22&amp;L22,'_courses_lookup'!$E:$E,0)),"")</f>
        <v/>
      </c>
      <c r="Q22" s="34" t="n"/>
      <c r="R22" s="34" t="n"/>
      <c r="S22" s="34" t="n"/>
      <c r="T22" s="34" t="n"/>
      <c r="U22" s="34" t="n"/>
      <c r="V22" s="34" t="n"/>
      <c r="W22" s="34" t="n"/>
      <c r="X22" s="34" t="n"/>
      <c r="Y22" s="30" t="n"/>
      <c r="Z22" s="34" t="n"/>
      <c r="AA22" s="34" t="n"/>
      <c r="AB22" s="34" t="n"/>
      <c r="AC22" s="34" t="n"/>
      <c r="AD22" s="34" t="n"/>
      <c r="AE22" s="34" t="n"/>
      <c r="AF22" s="34" t="n"/>
      <c r="AG22" s="34">
        <f>IF(AND(AE22&lt;&gt;"",AF22&lt;&gt;""),ROUNDUP((AF22-AE22)/7,0),"")</f>
        <v/>
      </c>
      <c r="AH22" s="34" t="n"/>
      <c r="AI22" s="34">
        <f>IFERROR(IF(AG22*AH22=0,"",AG22*AH22),"")</f>
        <v/>
      </c>
      <c r="AJ22" s="34" t="n"/>
      <c r="AK22" s="34" t="n"/>
      <c r="AL22" s="34">
        <f>IF(AND(AJ22&lt;&gt;"",AK22&lt;&gt;""),ROUNDUP((AK22-AJ22)/7,0),"")</f>
        <v/>
      </c>
      <c r="AM22" s="34" t="n"/>
      <c r="AN22" s="34">
        <f>IFERROR(IF(AL22*AM22=0,"",AL22*AM22),"")</f>
        <v/>
      </c>
      <c r="AO22" s="34" t="n"/>
      <c r="AP22" s="34" t="n"/>
      <c r="AQ22" s="34">
        <f>IF(AND(AO22&lt;&gt;"",AP22&lt;&gt;""),ROUNDUP((AP22-AO22)/7,0),"")</f>
        <v/>
      </c>
      <c r="AR22" s="34">
        <f>IFERROR(IF((AU22-(AI22+AN22))/AQ22=0,"",ROUNDUP((AU22-(AI22+AN22))/AQ22,0)),"")</f>
        <v/>
      </c>
      <c r="AS22" s="34">
        <f>IFERROR(IF((AU22-(AI22+AN22))=0,"",(AU22-(AI22+AN22))),"")</f>
        <v/>
      </c>
      <c r="AT22" s="34">
        <f>IF(AND(AG22="",AQ22=""),AL22,IF(SUM(AG22,AL22,AQ22)=0,"",SUM(AG22,AL22,AQ22)))</f>
        <v/>
      </c>
      <c r="AU22" s="34" t="n"/>
      <c r="AV22" s="34" t="n"/>
      <c r="AW22" s="34" t="n"/>
      <c r="AX22" s="34" t="n"/>
      <c r="AY22" s="34" t="n"/>
      <c r="AZ22" s="30" t="n"/>
      <c r="BA22" s="34" t="n"/>
      <c r="BB22" s="34" t="n"/>
      <c r="BC22" s="34" t="n"/>
      <c r="BD22" s="34" t="n"/>
      <c r="BE22" s="34" t="n"/>
      <c r="BF22" s="34" t="n"/>
      <c r="BG22" s="34">
        <f>IF(AD22="","",YEAR(AD22)+IF(MONTH(AD22)&gt;=5,1,0))</f>
        <v/>
      </c>
      <c r="BH22" s="34">
        <f>IF(AD22="","",IF(AND(MONTH(AD22)=8,DAY(AD22)&gt;=15),"Fall",IF(MONTH(AD22)&gt;8,"Fall",IF(MONTH(AD22)=5,"Summer",IF(MONTH(AD22)=1,"Spring","")))))</f>
        <v/>
      </c>
      <c r="BI22" s="34" t="n"/>
      <c r="BJ22" s="34" t="n"/>
      <c r="BK22" s="30">
        <f>IF($BJ22="","",IFERROR(INDEX(InstructorMap!$B:$B, MATCH($BJ22, InstructorMap!$A:$A, 0)),""))</f>
        <v/>
      </c>
      <c r="BL22" s="30">
        <f>IFERROR(INDEX('_names_lookup'!$C:$C,MATCH(BK22,'_names_lookup'!$A:$A,0)),"")</f>
        <v/>
      </c>
      <c r="BM22" s="34">
        <f>IFERROR(INDEX('_names_lookup'!$B:$B,MATCH(BK22,'_names_lookup'!$A:$A,0)),"")</f>
        <v/>
      </c>
      <c r="BN22" s="34" t="n"/>
      <c r="BO22" s="34" t="n"/>
      <c r="BP22" s="34" t="n"/>
      <c r="BQ22" s="34" t="n"/>
      <c r="BR22" s="34" t="n"/>
      <c r="BS22" s="34">
        <f>IFERROR(IF(BR22*AA22=0,"",BR22*AA22),"")</f>
        <v/>
      </c>
      <c r="BT22" s="34" t="n"/>
      <c r="BU22" s="34" t="n"/>
      <c r="BV22" s="34" t="n"/>
      <c r="BW22" s="34" t="n"/>
      <c r="BX22" s="34" t="n"/>
      <c r="BY22" s="34" t="n"/>
      <c r="BZ22" s="34" t="n"/>
      <c r="CA22" s="34" t="n"/>
      <c r="CB22" s="34" t="n"/>
      <c r="CC22" s="34" t="n"/>
      <c r="CD22" s="34" t="n"/>
      <c r="CE22" s="34" t="n"/>
      <c r="CF22" s="34" t="n"/>
      <c r="CG22" s="34" t="n"/>
      <c r="CH22" s="34" t="n"/>
      <c r="CI22" s="34" t="n"/>
      <c r="CJ22" s="34" t="n"/>
      <c r="CK22" s="34" t="n"/>
      <c r="CL22" s="34" t="n"/>
      <c r="CM22" s="34" t="n"/>
      <c r="CN22" s="34" t="n"/>
      <c r="CO22" s="34" t="n"/>
      <c r="CP22" s="34" t="n"/>
      <c r="CQ22" s="34" t="n"/>
      <c r="CR22" s="34" t="n"/>
      <c r="CS22" s="34" t="n"/>
      <c r="CT22" s="34" t="n"/>
      <c r="CU22" s="34" t="n"/>
      <c r="CV22" s="34" t="n"/>
      <c r="CW22" s="34" t="n"/>
      <c r="CX22" s="34" t="n"/>
      <c r="CY22" s="34" t="n"/>
      <c r="CZ22" s="34" t="n"/>
      <c r="DA22" s="34" t="n"/>
      <c r="DB22" s="34" t="n"/>
      <c r="DC22" s="34" t="n"/>
      <c r="DD22" s="34" t="n"/>
      <c r="DE22" s="34" t="n"/>
      <c r="DF22" s="34" t="n"/>
      <c r="DG22" s="34" t="n"/>
      <c r="DH22" s="34" t="n"/>
      <c r="DI22" s="34" t="n"/>
      <c r="DJ22" s="34" t="n"/>
      <c r="DK22" s="34" t="n"/>
      <c r="DL22" s="34" t="n"/>
      <c r="DM22" s="34" t="n"/>
      <c r="DN22" s="34" t="n"/>
      <c r="DO22" s="34" t="n"/>
      <c r="DP22" s="34" t="n"/>
      <c r="DQ22" s="34" t="n"/>
    </row>
    <row r="23" ht="16" customHeight="1">
      <c r="A23" s="38" t="n"/>
      <c r="B23" s="38" t="n"/>
      <c r="C23" s="38" t="n"/>
      <c r="D23" s="38" t="n"/>
      <c r="E23" s="38" t="n"/>
      <c r="F23" s="38" t="n"/>
      <c r="G23" s="38" t="n"/>
      <c r="H23" s="34" t="n"/>
      <c r="I23" s="34" t="n"/>
      <c r="J23" s="34" t="n"/>
      <c r="K23" s="34" t="n"/>
      <c r="L23" s="34" t="n"/>
      <c r="M23" s="34" t="n"/>
      <c r="N23" s="34" t="n"/>
      <c r="O23" s="34">
        <f>IFERROR(INDEX('_courses_lookup'!$C:$C,MATCH(K23&amp;L23,'_courses_lookup'!$E:$E,0)),"")</f>
        <v/>
      </c>
      <c r="P23" s="34">
        <f>IFERROR(INDEX('_courses_lookup'!$D:$D,MATCH(K23&amp;L23,'_courses_lookup'!$E:$E,0)),"")</f>
        <v/>
      </c>
      <c r="Q23" s="34" t="n"/>
      <c r="R23" s="34" t="n"/>
      <c r="S23" s="34" t="n"/>
      <c r="T23" s="34" t="n"/>
      <c r="U23" s="34" t="n"/>
      <c r="V23" s="34" t="n"/>
      <c r="W23" s="34" t="n"/>
      <c r="X23" s="34" t="n"/>
      <c r="Y23" s="30" t="n"/>
      <c r="Z23" s="34" t="n"/>
      <c r="AA23" s="34" t="n"/>
      <c r="AB23" s="34" t="n"/>
      <c r="AC23" s="34" t="n"/>
      <c r="AD23" s="34" t="n"/>
      <c r="AE23" s="34" t="n"/>
      <c r="AF23" s="34" t="n"/>
      <c r="AG23" s="34">
        <f>IF(AND(AE23&lt;&gt;"",AF23&lt;&gt;""),ROUNDUP((AF23-AE23)/7,0),"")</f>
        <v/>
      </c>
      <c r="AH23" s="34" t="n"/>
      <c r="AI23" s="34">
        <f>IFERROR(IF(AG23*AH23=0,"",AG23*AH23),"")</f>
        <v/>
      </c>
      <c r="AJ23" s="34" t="n"/>
      <c r="AK23" s="34" t="n"/>
      <c r="AL23" s="34">
        <f>IF(AND(AJ23&lt;&gt;"",AK23&lt;&gt;""),ROUNDUP((AK23-AJ23)/7,0),"")</f>
        <v/>
      </c>
      <c r="AM23" s="34" t="n"/>
      <c r="AN23" s="34">
        <f>IFERROR(IF(AL23*AM23=0,"",AL23*AM23),"")</f>
        <v/>
      </c>
      <c r="AO23" s="34" t="n"/>
      <c r="AP23" s="34" t="n"/>
      <c r="AQ23" s="34">
        <f>IF(AND(AO23&lt;&gt;"",AP23&lt;&gt;""),ROUNDUP((AP23-AO23)/7,0),"")</f>
        <v/>
      </c>
      <c r="AR23" s="34">
        <f>IFERROR(IF((AU23-(AI23+AN23))/AQ23=0,"",ROUNDUP((AU23-(AI23+AN23))/AQ23,0)),"")</f>
        <v/>
      </c>
      <c r="AS23" s="34">
        <f>IFERROR(IF((AU23-(AI23+AN23))=0,"",(AU23-(AI23+AN23))),"")</f>
        <v/>
      </c>
      <c r="AT23" s="34">
        <f>IF(AND(AG23="",AQ23=""),AL23,IF(SUM(AG23,AL23,AQ23)=0,"",SUM(AG23,AL23,AQ23)))</f>
        <v/>
      </c>
      <c r="AU23" s="34" t="n"/>
      <c r="AV23" s="34" t="n"/>
      <c r="AW23" s="34" t="n"/>
      <c r="AX23" s="34" t="n"/>
      <c r="AY23" s="34" t="n"/>
      <c r="AZ23" s="30" t="n"/>
      <c r="BA23" s="34" t="n"/>
      <c r="BB23" s="34" t="n"/>
      <c r="BC23" s="34" t="n"/>
      <c r="BD23" s="34" t="n"/>
      <c r="BE23" s="34" t="n"/>
      <c r="BF23" s="34" t="n"/>
      <c r="BG23" s="34">
        <f>IF(AD23="","",YEAR(AD23)+IF(MONTH(AD23)&gt;=5,1,0))</f>
        <v/>
      </c>
      <c r="BH23" s="34">
        <f>IF(AD23="","",IF(AND(MONTH(AD23)=8,DAY(AD23)&gt;=15),"Fall",IF(MONTH(AD23)&gt;8,"Fall",IF(MONTH(AD23)=5,"Summer",IF(MONTH(AD23)=1,"Spring","")))))</f>
        <v/>
      </c>
      <c r="BI23" s="34" t="n"/>
      <c r="BJ23" s="34" t="n"/>
      <c r="BK23" s="30">
        <f>IF($BJ23="","",IFERROR(INDEX(InstructorMap!$B:$B, MATCH($BJ23, InstructorMap!$A:$A, 0)),""))</f>
        <v/>
      </c>
      <c r="BL23" s="30">
        <f>IFERROR(INDEX('_names_lookup'!$C:$C,MATCH(BK23,'_names_lookup'!$A:$A,0)),"")</f>
        <v/>
      </c>
      <c r="BM23" s="34">
        <f>IFERROR(INDEX('_names_lookup'!$B:$B,MATCH(BK23,'_names_lookup'!$A:$A,0)),"")</f>
        <v/>
      </c>
      <c r="BN23" s="34" t="n"/>
      <c r="BO23" s="34" t="n"/>
      <c r="BP23" s="34" t="n"/>
      <c r="BQ23" s="34" t="n"/>
      <c r="BR23" s="34" t="n"/>
      <c r="BS23" s="34">
        <f>IFERROR(IF(BR23*AA23=0,"",BR23*AA23),"")</f>
        <v/>
      </c>
      <c r="BT23" s="34" t="n"/>
      <c r="BU23" s="34" t="n"/>
      <c r="BV23" s="34" t="n"/>
      <c r="BW23" s="34" t="n"/>
      <c r="BX23" s="34" t="n"/>
      <c r="BY23" s="34" t="n"/>
      <c r="BZ23" s="34" t="n"/>
      <c r="CA23" s="34" t="n"/>
      <c r="CB23" s="34" t="n"/>
      <c r="CC23" s="34" t="n"/>
      <c r="CD23" s="34" t="n"/>
      <c r="CE23" s="34" t="n"/>
      <c r="CF23" s="34" t="n"/>
      <c r="CG23" s="34" t="n"/>
      <c r="CH23" s="34" t="n"/>
      <c r="CI23" s="34" t="n"/>
      <c r="CJ23" s="34" t="n"/>
      <c r="CK23" s="34" t="n"/>
      <c r="CL23" s="34" t="n"/>
      <c r="CM23" s="34" t="n"/>
      <c r="CN23" s="34" t="n"/>
      <c r="CO23" s="34" t="n"/>
      <c r="CP23" s="34" t="n"/>
      <c r="CQ23" s="34" t="n"/>
      <c r="CR23" s="34" t="n"/>
      <c r="CS23" s="34" t="n"/>
      <c r="CT23" s="34" t="n"/>
      <c r="CU23" s="34" t="n"/>
      <c r="CV23" s="34" t="n"/>
      <c r="CW23" s="34" t="n"/>
      <c r="CX23" s="34" t="n"/>
      <c r="CY23" s="34" t="n"/>
      <c r="CZ23" s="34" t="n"/>
      <c r="DA23" s="34" t="n"/>
      <c r="DB23" s="34" t="n"/>
      <c r="DC23" s="34" t="n"/>
      <c r="DD23" s="34" t="n"/>
      <c r="DE23" s="34" t="n"/>
      <c r="DF23" s="34" t="n"/>
      <c r="DG23" s="34" t="n"/>
      <c r="DH23" s="34" t="n"/>
      <c r="DI23" s="34" t="n"/>
      <c r="DJ23" s="34" t="n"/>
      <c r="DK23" s="34" t="n"/>
      <c r="DL23" s="34" t="n"/>
      <c r="DM23" s="34" t="n"/>
      <c r="DN23" s="34" t="n"/>
      <c r="DO23" s="34" t="n"/>
      <c r="DP23" s="34" t="n"/>
      <c r="DQ23" s="34" t="n"/>
    </row>
    <row r="24" ht="16" customHeight="1">
      <c r="A24" s="38" t="n"/>
      <c r="B24" s="38" t="n"/>
      <c r="C24" s="38" t="n"/>
      <c r="D24" s="38" t="n"/>
      <c r="E24" s="38" t="n"/>
      <c r="F24" s="38" t="n"/>
      <c r="G24" s="38" t="n"/>
      <c r="H24" s="34" t="n"/>
      <c r="I24" s="34" t="n"/>
      <c r="J24" s="34" t="n"/>
      <c r="K24" s="34" t="n"/>
      <c r="L24" s="34" t="n"/>
      <c r="M24" s="34" t="n"/>
      <c r="N24" s="34" t="n"/>
      <c r="O24" s="34">
        <f>IFERROR(INDEX('_courses_lookup'!$C:$C,MATCH(K24&amp;L24,'_courses_lookup'!$E:$E,0)),"")</f>
        <v/>
      </c>
      <c r="P24" s="34">
        <f>IFERROR(INDEX('_courses_lookup'!$D:$D,MATCH(K24&amp;L24,'_courses_lookup'!$E:$E,0)),"")</f>
        <v/>
      </c>
      <c r="Q24" s="34" t="n"/>
      <c r="R24" s="34" t="n"/>
      <c r="S24" s="34" t="n"/>
      <c r="T24" s="34" t="n"/>
      <c r="U24" s="34" t="n"/>
      <c r="V24" s="34" t="n"/>
      <c r="W24" s="34" t="n"/>
      <c r="X24" s="34" t="n"/>
      <c r="Y24" s="30" t="n"/>
      <c r="Z24" s="34" t="n"/>
      <c r="AA24" s="34" t="n"/>
      <c r="AB24" s="34" t="n"/>
      <c r="AC24" s="34" t="n"/>
      <c r="AD24" s="34" t="n"/>
      <c r="AE24" s="34" t="n"/>
      <c r="AF24" s="34" t="n"/>
      <c r="AG24" s="34">
        <f>IF(AND(AE24&lt;&gt;"",AF24&lt;&gt;""),ROUNDUP((AF24-AE24)/7,0),"")</f>
        <v/>
      </c>
      <c r="AH24" s="34" t="n"/>
      <c r="AI24" s="34">
        <f>IFERROR(IF(AG24*AH24=0,"",AG24*AH24),"")</f>
        <v/>
      </c>
      <c r="AJ24" s="34" t="n"/>
      <c r="AK24" s="34" t="n"/>
      <c r="AL24" s="34">
        <f>IF(AND(AJ24&lt;&gt;"",AK24&lt;&gt;""),ROUNDUP((AK24-AJ24)/7,0),"")</f>
        <v/>
      </c>
      <c r="AM24" s="34" t="n"/>
      <c r="AN24" s="34">
        <f>IFERROR(IF(AL24*AM24=0,"",AL24*AM24),"")</f>
        <v/>
      </c>
      <c r="AO24" s="34" t="n"/>
      <c r="AP24" s="34" t="n"/>
      <c r="AQ24" s="34">
        <f>IF(AND(AO24&lt;&gt;"",AP24&lt;&gt;""),ROUNDUP((AP24-AO24)/7,0),"")</f>
        <v/>
      </c>
      <c r="AR24" s="34">
        <f>IFERROR(IF((AU24-(AI24+AN24))/AQ24=0,"",ROUNDUP((AU24-(AI24+AN24))/AQ24,0)),"")</f>
        <v/>
      </c>
      <c r="AS24" s="34">
        <f>IFERROR(IF((AU24-(AI24+AN24))=0,"",(AU24-(AI24+AN24))),"")</f>
        <v/>
      </c>
      <c r="AT24" s="34">
        <f>IF(AND(AG24="",AQ24=""),AL24,IF(SUM(AG24,AL24,AQ24)=0,"",SUM(AG24,AL24,AQ24)))</f>
        <v/>
      </c>
      <c r="AU24" s="34" t="n"/>
      <c r="AV24" s="34" t="n"/>
      <c r="AW24" s="34" t="n"/>
      <c r="AX24" s="34" t="n"/>
      <c r="AY24" s="34" t="n"/>
      <c r="AZ24" s="30" t="n"/>
      <c r="BA24" s="34" t="n"/>
      <c r="BB24" s="34" t="n"/>
      <c r="BC24" s="34" t="n"/>
      <c r="BD24" s="34" t="n"/>
      <c r="BE24" s="34" t="n"/>
      <c r="BF24" s="34" t="n"/>
      <c r="BG24" s="34">
        <f>IF(AD24="","",YEAR(AD24)+IF(MONTH(AD24)&gt;=5,1,0))</f>
        <v/>
      </c>
      <c r="BH24" s="34">
        <f>IF(AD24="","",IF(AND(MONTH(AD24)=8,DAY(AD24)&gt;=15),"Fall",IF(MONTH(AD24)&gt;8,"Fall",IF(MONTH(AD24)=5,"Summer",IF(MONTH(AD24)=1,"Spring","")))))</f>
        <v/>
      </c>
      <c r="BI24" s="34" t="n"/>
      <c r="BJ24" s="34" t="n"/>
      <c r="BK24" s="30">
        <f>IF($BJ24="","",IFERROR(INDEX(InstructorMap!$B:$B, MATCH($BJ24, InstructorMap!$A:$A, 0)),""))</f>
        <v/>
      </c>
      <c r="BL24" s="30">
        <f>IFERROR(INDEX('_names_lookup'!$C:$C,MATCH(BK24,'_names_lookup'!$A:$A,0)),"")</f>
        <v/>
      </c>
      <c r="BM24" s="34">
        <f>IFERROR(INDEX('_names_lookup'!$B:$B,MATCH(BK24,'_names_lookup'!$A:$A,0)),"")</f>
        <v/>
      </c>
      <c r="BN24" s="34" t="n"/>
      <c r="BO24" s="34" t="n"/>
      <c r="BP24" s="34" t="n"/>
      <c r="BQ24" s="34" t="n"/>
      <c r="BR24" s="34" t="n"/>
      <c r="BS24" s="34">
        <f>IFERROR(IF(BR24*AA24=0,"",BR24*AA24),"")</f>
        <v/>
      </c>
      <c r="BT24" s="34" t="n"/>
      <c r="BU24" s="34" t="n"/>
      <c r="BV24" s="34" t="n"/>
      <c r="BW24" s="34" t="n"/>
      <c r="BX24" s="34" t="n"/>
      <c r="BY24" s="34" t="n"/>
      <c r="BZ24" s="34" t="n"/>
      <c r="CA24" s="34" t="n"/>
      <c r="CB24" s="34" t="n"/>
      <c r="CC24" s="34" t="n"/>
      <c r="CD24" s="34" t="n"/>
      <c r="CE24" s="34" t="n"/>
      <c r="CF24" s="34" t="n"/>
      <c r="CG24" s="34" t="n"/>
      <c r="CH24" s="34" t="n"/>
      <c r="CI24" s="34" t="n"/>
      <c r="CJ24" s="34" t="n"/>
      <c r="CK24" s="34" t="n"/>
      <c r="CL24" s="34" t="n"/>
      <c r="CM24" s="34" t="n"/>
      <c r="CN24" s="34" t="n"/>
      <c r="CO24" s="34" t="n"/>
      <c r="CP24" s="34" t="n"/>
      <c r="CQ24" s="34" t="n"/>
      <c r="CR24" s="34" t="n"/>
      <c r="CS24" s="34" t="n"/>
      <c r="CT24" s="34" t="n"/>
      <c r="CU24" s="34" t="n"/>
      <c r="CV24" s="34" t="n"/>
      <c r="CW24" s="34" t="n"/>
      <c r="CX24" s="34" t="n"/>
      <c r="CY24" s="34" t="n"/>
      <c r="CZ24" s="34" t="n"/>
      <c r="DA24" s="34" t="n"/>
      <c r="DB24" s="34" t="n"/>
      <c r="DC24" s="34" t="n"/>
      <c r="DD24" s="34" t="n"/>
      <c r="DE24" s="34" t="n"/>
      <c r="DF24" s="34" t="n"/>
      <c r="DG24" s="34" t="n"/>
      <c r="DH24" s="34" t="n"/>
      <c r="DI24" s="34" t="n"/>
      <c r="DJ24" s="34" t="n"/>
      <c r="DK24" s="34" t="n"/>
      <c r="DL24" s="34" t="n"/>
      <c r="DM24" s="34" t="n"/>
      <c r="DN24" s="34" t="n"/>
      <c r="DO24" s="34" t="n"/>
      <c r="DP24" s="34" t="n"/>
      <c r="DQ24" s="34" t="n"/>
    </row>
    <row r="25" ht="16" customHeight="1">
      <c r="A25" s="38" t="n"/>
      <c r="B25" s="38" t="n"/>
      <c r="C25" s="38" t="n"/>
      <c r="D25" s="38" t="n"/>
      <c r="E25" s="38" t="n"/>
      <c r="F25" s="38" t="n"/>
      <c r="G25" s="38" t="n"/>
      <c r="H25" s="34" t="n"/>
      <c r="I25" s="34" t="n"/>
      <c r="J25" s="34" t="n"/>
      <c r="K25" s="34" t="n"/>
      <c r="L25" s="34" t="n"/>
      <c r="M25" s="34" t="n"/>
      <c r="N25" s="34" t="n"/>
      <c r="O25" s="34">
        <f>IFERROR(INDEX('_courses_lookup'!$C:$C,MATCH(K25&amp;L25,'_courses_lookup'!$E:$E,0)),"")</f>
        <v/>
      </c>
      <c r="P25" s="34">
        <f>IFERROR(INDEX('_courses_lookup'!$D:$D,MATCH(K25&amp;L25,'_courses_lookup'!$E:$E,0)),"")</f>
        <v/>
      </c>
      <c r="Q25" s="34" t="n"/>
      <c r="R25" s="34" t="n"/>
      <c r="S25" s="34" t="n"/>
      <c r="T25" s="34" t="n"/>
      <c r="U25" s="34" t="n"/>
      <c r="V25" s="34" t="n"/>
      <c r="W25" s="34" t="n"/>
      <c r="X25" s="34" t="n"/>
      <c r="Y25" s="30" t="n"/>
      <c r="Z25" s="34" t="n"/>
      <c r="AA25" s="34" t="n"/>
      <c r="AB25" s="34" t="n"/>
      <c r="AC25" s="34" t="n"/>
      <c r="AD25" s="34" t="n"/>
      <c r="AE25" s="34" t="n"/>
      <c r="AF25" s="34" t="n"/>
      <c r="AG25" s="34">
        <f>IF(AND(AE25&lt;&gt;"",AF25&lt;&gt;""),ROUNDUP((AF25-AE25)/7,0),"")</f>
        <v/>
      </c>
      <c r="AH25" s="34" t="n"/>
      <c r="AI25" s="34">
        <f>IFERROR(IF(AG25*AH25=0,"",AG25*AH25),"")</f>
        <v/>
      </c>
      <c r="AJ25" s="34" t="n"/>
      <c r="AK25" s="34" t="n"/>
      <c r="AL25" s="34">
        <f>IF(AND(AJ25&lt;&gt;"",AK25&lt;&gt;""),ROUNDUP((AK25-AJ25)/7,0),"")</f>
        <v/>
      </c>
      <c r="AM25" s="34" t="n"/>
      <c r="AN25" s="34">
        <f>IFERROR(IF(AL25*AM25=0,"",AL25*AM25),"")</f>
        <v/>
      </c>
      <c r="AO25" s="34" t="n"/>
      <c r="AP25" s="34" t="n"/>
      <c r="AQ25" s="34">
        <f>IF(AND(AO25&lt;&gt;"",AP25&lt;&gt;""),ROUNDUP((AP25-AO25)/7,0),"")</f>
        <v/>
      </c>
      <c r="AR25" s="34">
        <f>IFERROR(IF((AU25-(AI25+AN25))/AQ25=0,"",ROUNDUP((AU25-(AI25+AN25))/AQ25,0)),"")</f>
        <v/>
      </c>
      <c r="AS25" s="34">
        <f>IFERROR(IF((AU25-(AI25+AN25))=0,"",(AU25-(AI25+AN25))),"")</f>
        <v/>
      </c>
      <c r="AT25" s="34">
        <f>IF(AND(AG25="",AQ25=""),AL25,IF(SUM(AG25,AL25,AQ25)=0,"",SUM(AG25,AL25,AQ25)))</f>
        <v/>
      </c>
      <c r="AU25" s="34" t="n"/>
      <c r="AV25" s="34" t="n"/>
      <c r="AW25" s="34" t="n"/>
      <c r="AX25" s="34" t="n"/>
      <c r="AY25" s="34" t="n"/>
      <c r="AZ25" s="30" t="n"/>
      <c r="BA25" s="34" t="n"/>
      <c r="BB25" s="34" t="n"/>
      <c r="BC25" s="34" t="n"/>
      <c r="BD25" s="34" t="n"/>
      <c r="BE25" s="34" t="n"/>
      <c r="BF25" s="34" t="n"/>
      <c r="BG25" s="34">
        <f>IF(AD25="","",YEAR(AD25)+IF(MONTH(AD25)&gt;=5,1,0))</f>
        <v/>
      </c>
      <c r="BH25" s="34">
        <f>IF(AD25="","",IF(AND(MONTH(AD25)=8,DAY(AD25)&gt;=15),"Fall",IF(MONTH(AD25)&gt;8,"Fall",IF(MONTH(AD25)=5,"Summer",IF(MONTH(AD25)=1,"Spring","")))))</f>
        <v/>
      </c>
      <c r="BI25" s="34" t="n"/>
      <c r="BJ25" s="34" t="n"/>
      <c r="BK25" s="30">
        <f>IF($BJ25="","",IFERROR(INDEX(InstructorMap!$B:$B, MATCH($BJ25, InstructorMap!$A:$A, 0)),""))</f>
        <v/>
      </c>
      <c r="BL25" s="30">
        <f>IFERROR(INDEX('_names_lookup'!$C:$C,MATCH(BK25,'_names_lookup'!$A:$A,0)),"")</f>
        <v/>
      </c>
      <c r="BM25" s="34">
        <f>IFERROR(INDEX('_names_lookup'!$B:$B,MATCH(BK25,'_names_lookup'!$A:$A,0)),"")</f>
        <v/>
      </c>
      <c r="BN25" s="34" t="n"/>
      <c r="BO25" s="34" t="n"/>
      <c r="BP25" s="34" t="n"/>
      <c r="BQ25" s="34" t="n"/>
      <c r="BR25" s="34" t="n"/>
      <c r="BS25" s="34">
        <f>IFERROR(IF(BR25*AA25=0,"",BR25*AA25),"")</f>
        <v/>
      </c>
      <c r="BT25" s="34" t="n"/>
      <c r="BU25" s="34" t="n"/>
      <c r="BV25" s="34" t="n"/>
      <c r="BW25" s="34" t="n"/>
      <c r="BX25" s="34" t="n"/>
      <c r="BY25" s="34" t="n"/>
      <c r="BZ25" s="34" t="n"/>
      <c r="CA25" s="34" t="n"/>
      <c r="CB25" s="34" t="n"/>
      <c r="CC25" s="34" t="n"/>
      <c r="CD25" s="34" t="n"/>
      <c r="CE25" s="34" t="n"/>
      <c r="CF25" s="34" t="n"/>
      <c r="CG25" s="34" t="n"/>
      <c r="CH25" s="34" t="n"/>
      <c r="CI25" s="34" t="n"/>
      <c r="CJ25" s="34" t="n"/>
      <c r="CK25" s="34" t="n"/>
      <c r="CL25" s="34" t="n"/>
      <c r="CM25" s="34" t="n"/>
      <c r="CN25" s="34" t="n"/>
      <c r="CO25" s="34" t="n"/>
      <c r="CP25" s="34" t="n"/>
      <c r="CQ25" s="34" t="n"/>
      <c r="CR25" s="34" t="n"/>
      <c r="CS25" s="34" t="n"/>
      <c r="CT25" s="34" t="n"/>
      <c r="CU25" s="34" t="n"/>
      <c r="CV25" s="34" t="n"/>
      <c r="CW25" s="34" t="n"/>
      <c r="CX25" s="34" t="n"/>
      <c r="CY25" s="34" t="n"/>
      <c r="CZ25" s="34" t="n"/>
      <c r="DA25" s="34" t="n"/>
      <c r="DB25" s="34" t="n"/>
      <c r="DC25" s="34" t="n"/>
      <c r="DD25" s="34" t="n"/>
      <c r="DE25" s="34" t="n"/>
      <c r="DF25" s="34" t="n"/>
      <c r="DG25" s="34" t="n"/>
      <c r="DH25" s="34" t="n"/>
      <c r="DI25" s="34" t="n"/>
      <c r="DJ25" s="34" t="n"/>
      <c r="DK25" s="34" t="n"/>
      <c r="DL25" s="34" t="n"/>
      <c r="DM25" s="34" t="n"/>
      <c r="DN25" s="34" t="n"/>
      <c r="DO25" s="34" t="n"/>
      <c r="DP25" s="34" t="n"/>
      <c r="DQ25" s="34" t="n"/>
    </row>
    <row r="26" ht="16" customHeight="1">
      <c r="A26" s="38" t="n"/>
      <c r="B26" s="38" t="n"/>
      <c r="C26" s="38" t="n"/>
      <c r="D26" s="38" t="n"/>
      <c r="E26" s="38" t="n"/>
      <c r="F26" s="38" t="n"/>
      <c r="G26" s="38" t="n"/>
      <c r="H26" s="34" t="n"/>
      <c r="I26" s="34" t="n"/>
      <c r="J26" s="34" t="n"/>
      <c r="K26" s="34" t="n"/>
      <c r="L26" s="34" t="n"/>
      <c r="M26" s="34" t="n"/>
      <c r="N26" s="34" t="n"/>
      <c r="O26" s="34">
        <f>IFERROR(INDEX('_courses_lookup'!$C:$C,MATCH(K26&amp;L26,'_courses_lookup'!$E:$E,0)),"")</f>
        <v/>
      </c>
      <c r="P26" s="34">
        <f>IFERROR(INDEX('_courses_lookup'!$D:$D,MATCH(K26&amp;L26,'_courses_lookup'!$E:$E,0)),"")</f>
        <v/>
      </c>
      <c r="Q26" s="34" t="n"/>
      <c r="R26" s="34" t="n"/>
      <c r="S26" s="34" t="n"/>
      <c r="T26" s="34" t="n"/>
      <c r="U26" s="34" t="n"/>
      <c r="V26" s="34" t="n"/>
      <c r="W26" s="34" t="n"/>
      <c r="X26" s="34" t="n"/>
      <c r="Y26" s="30" t="n"/>
      <c r="Z26" s="34" t="n"/>
      <c r="AA26" s="34" t="n"/>
      <c r="AB26" s="34" t="n"/>
      <c r="AC26" s="34" t="n"/>
      <c r="AD26" s="34" t="n"/>
      <c r="AE26" s="34" t="n"/>
      <c r="AF26" s="34" t="n"/>
      <c r="AG26" s="34">
        <f>IF(AND(AE26&lt;&gt;"",AF26&lt;&gt;""),ROUNDUP((AF26-AE26)/7,0),"")</f>
        <v/>
      </c>
      <c r="AH26" s="34" t="n"/>
      <c r="AI26" s="34">
        <f>IFERROR(IF(AG26*AH26=0,"",AG26*AH26),"")</f>
        <v/>
      </c>
      <c r="AJ26" s="34" t="n"/>
      <c r="AK26" s="34" t="n"/>
      <c r="AL26" s="34">
        <f>IF(AND(AJ26&lt;&gt;"",AK26&lt;&gt;""),ROUNDUP((AK26-AJ26)/7,0),"")</f>
        <v/>
      </c>
      <c r="AM26" s="34" t="n"/>
      <c r="AN26" s="34">
        <f>IFERROR(IF(AL26*AM26=0,"",AL26*AM26),"")</f>
        <v/>
      </c>
      <c r="AO26" s="34" t="n"/>
      <c r="AP26" s="34" t="n"/>
      <c r="AQ26" s="34">
        <f>IF(AND(AO26&lt;&gt;"",AP26&lt;&gt;""),ROUNDUP((AP26-AO26)/7,0),"")</f>
        <v/>
      </c>
      <c r="AR26" s="34">
        <f>IFERROR(IF((AU26-(AI26+AN26))/AQ26=0,"",ROUNDUP((AU26-(AI26+AN26))/AQ26,0)),"")</f>
        <v/>
      </c>
      <c r="AS26" s="34">
        <f>IFERROR(IF((AU26-(AI26+AN26))=0,"",(AU26-(AI26+AN26))),"")</f>
        <v/>
      </c>
      <c r="AT26" s="34">
        <f>IF(AND(AG26="",AQ26=""),AL26,IF(SUM(AG26,AL26,AQ26)=0,"",SUM(AG26,AL26,AQ26)))</f>
        <v/>
      </c>
      <c r="AU26" s="34" t="n"/>
      <c r="AV26" s="34" t="n"/>
      <c r="AW26" s="34" t="n"/>
      <c r="AX26" s="34" t="n"/>
      <c r="AY26" s="34" t="n"/>
      <c r="AZ26" s="30" t="n"/>
      <c r="BA26" s="34" t="n"/>
      <c r="BB26" s="34" t="n"/>
      <c r="BC26" s="34" t="n"/>
      <c r="BD26" s="34" t="n"/>
      <c r="BE26" s="34" t="n"/>
      <c r="BF26" s="34" t="n"/>
      <c r="BG26" s="34">
        <f>IF(AD26="","",YEAR(AD26)+IF(MONTH(AD26)&gt;=5,1,0))</f>
        <v/>
      </c>
      <c r="BH26" s="34">
        <f>IF(AD26="","",IF(AND(MONTH(AD26)=8,DAY(AD26)&gt;=15),"Fall",IF(MONTH(AD26)&gt;8,"Fall",IF(MONTH(AD26)=5,"Summer",IF(MONTH(AD26)=1,"Spring","")))))</f>
        <v/>
      </c>
      <c r="BI26" s="34" t="n"/>
      <c r="BJ26" s="34" t="n"/>
      <c r="BK26" s="30">
        <f>IF($BJ26="","",IFERROR(INDEX(InstructorMap!$B:$B, MATCH($BJ26, InstructorMap!$A:$A, 0)),""))</f>
        <v/>
      </c>
      <c r="BL26" s="30">
        <f>IFERROR(INDEX('_names_lookup'!$C:$C,MATCH(BK26,'_names_lookup'!$A:$A,0)),"")</f>
        <v/>
      </c>
      <c r="BM26" s="34">
        <f>IFERROR(INDEX('_names_lookup'!$B:$B,MATCH(BK26,'_names_lookup'!$A:$A,0)),"")</f>
        <v/>
      </c>
      <c r="BN26" s="34" t="n"/>
      <c r="BO26" s="34" t="n"/>
      <c r="BP26" s="34" t="n"/>
      <c r="BQ26" s="34" t="n"/>
      <c r="BR26" s="34" t="n"/>
      <c r="BS26" s="34">
        <f>IFERROR(IF(BR26*AA26=0,"",BR26*AA26),"")</f>
        <v/>
      </c>
      <c r="BT26" s="34" t="n"/>
      <c r="BU26" s="34" t="n"/>
      <c r="BV26" s="34" t="n"/>
      <c r="BW26" s="34" t="n"/>
      <c r="BX26" s="34" t="n"/>
      <c r="BY26" s="34" t="n"/>
      <c r="BZ26" s="34" t="n"/>
      <c r="CA26" s="34" t="n"/>
      <c r="CB26" s="34" t="n"/>
      <c r="CC26" s="34" t="n"/>
      <c r="CD26" s="34" t="n"/>
      <c r="CE26" s="34" t="n"/>
      <c r="CF26" s="34" t="n"/>
      <c r="CG26" s="34" t="n"/>
      <c r="CH26" s="34" t="n"/>
      <c r="CI26" s="34" t="n"/>
      <c r="CJ26" s="34" t="n"/>
      <c r="CK26" s="34" t="n"/>
      <c r="CL26" s="34" t="n"/>
      <c r="CM26" s="34" t="n"/>
      <c r="CN26" s="34" t="n"/>
      <c r="CO26" s="34" t="n"/>
      <c r="CP26" s="34" t="n"/>
      <c r="CQ26" s="34" t="n"/>
      <c r="CR26" s="34" t="n"/>
      <c r="CS26" s="34" t="n"/>
      <c r="CT26" s="34" t="n"/>
      <c r="CU26" s="34" t="n"/>
      <c r="CV26" s="34" t="n"/>
      <c r="CW26" s="34" t="n"/>
      <c r="CX26" s="34" t="n"/>
      <c r="CY26" s="34" t="n"/>
      <c r="CZ26" s="34" t="n"/>
      <c r="DA26" s="34" t="n"/>
      <c r="DB26" s="34" t="n"/>
      <c r="DC26" s="34" t="n"/>
      <c r="DD26" s="34" t="n"/>
      <c r="DE26" s="34" t="n"/>
      <c r="DF26" s="34" t="n"/>
      <c r="DG26" s="34" t="n"/>
      <c r="DH26" s="34" t="n"/>
      <c r="DI26" s="34" t="n"/>
      <c r="DJ26" s="34" t="n"/>
      <c r="DK26" s="34" t="n"/>
      <c r="DL26" s="34" t="n"/>
      <c r="DM26" s="34" t="n"/>
      <c r="DN26" s="34" t="n"/>
      <c r="DO26" s="34" t="n"/>
      <c r="DP26" s="34" t="n"/>
      <c r="DQ26" s="34" t="n"/>
    </row>
    <row r="27" ht="16" customHeight="1">
      <c r="A27" s="38" t="n"/>
      <c r="B27" s="38" t="n"/>
      <c r="C27" s="38" t="n"/>
      <c r="D27" s="38" t="n"/>
      <c r="E27" s="38" t="n"/>
      <c r="F27" s="38" t="n"/>
      <c r="G27" s="38" t="n"/>
      <c r="H27" s="34" t="n"/>
      <c r="I27" s="34" t="n"/>
      <c r="J27" s="34" t="n"/>
      <c r="K27" s="34" t="n"/>
      <c r="L27" s="34" t="n"/>
      <c r="M27" s="34" t="n"/>
      <c r="N27" s="34" t="n"/>
      <c r="O27" s="34">
        <f>IFERROR(INDEX('_courses_lookup'!$C:$C,MATCH(K27&amp;L27,'_courses_lookup'!$E:$E,0)),"")</f>
        <v/>
      </c>
      <c r="P27" s="34">
        <f>IFERROR(INDEX('_courses_lookup'!$D:$D,MATCH(K27&amp;L27,'_courses_lookup'!$E:$E,0)),"")</f>
        <v/>
      </c>
      <c r="Q27" s="34" t="n"/>
      <c r="R27" s="34" t="n"/>
      <c r="S27" s="34" t="n"/>
      <c r="T27" s="34" t="n"/>
      <c r="U27" s="34" t="n"/>
      <c r="V27" s="34" t="n"/>
      <c r="W27" s="34" t="n"/>
      <c r="X27" s="34" t="n"/>
      <c r="Y27" s="30" t="n"/>
      <c r="Z27" s="34" t="n"/>
      <c r="AA27" s="34" t="n"/>
      <c r="AB27" s="34" t="n"/>
      <c r="AC27" s="34" t="n"/>
      <c r="AD27" s="34" t="n"/>
      <c r="AE27" s="34" t="n"/>
      <c r="AF27" s="34" t="n"/>
      <c r="AG27" s="34">
        <f>IF(AND(AE27&lt;&gt;"",AF27&lt;&gt;""),ROUNDUP((AF27-AE27)/7,0),"")</f>
        <v/>
      </c>
      <c r="AH27" s="34" t="n"/>
      <c r="AI27" s="34">
        <f>IFERROR(IF(AG27*AH27=0,"",AG27*AH27),"")</f>
        <v/>
      </c>
      <c r="AJ27" s="34" t="n"/>
      <c r="AK27" s="34" t="n"/>
      <c r="AL27" s="34">
        <f>IF(AND(AJ27&lt;&gt;"",AK27&lt;&gt;""),ROUNDUP((AK27-AJ27)/7,0),"")</f>
        <v/>
      </c>
      <c r="AM27" s="34" t="n"/>
      <c r="AN27" s="34">
        <f>IFERROR(IF(AL27*AM27=0,"",AL27*AM27),"")</f>
        <v/>
      </c>
      <c r="AO27" s="34" t="n"/>
      <c r="AP27" s="34" t="n"/>
      <c r="AQ27" s="34">
        <f>IF(AND(AO27&lt;&gt;"",AP27&lt;&gt;""),ROUNDUP((AP27-AO27)/7,0),"")</f>
        <v/>
      </c>
      <c r="AR27" s="34">
        <f>IFERROR(IF((AU27-(AI27+AN27))/AQ27=0,"",ROUNDUP((AU27-(AI27+AN27))/AQ27,0)),"")</f>
        <v/>
      </c>
      <c r="AS27" s="34">
        <f>IFERROR(IF((AU27-(AI27+AN27))=0,"",(AU27-(AI27+AN27))),"")</f>
        <v/>
      </c>
      <c r="AT27" s="34">
        <f>IF(AND(AG27="",AQ27=""),AL27,IF(SUM(AG27,AL27,AQ27)=0,"",SUM(AG27,AL27,AQ27)))</f>
        <v/>
      </c>
      <c r="AU27" s="34" t="n"/>
      <c r="AV27" s="34" t="n"/>
      <c r="AW27" s="34" t="n"/>
      <c r="AX27" s="34" t="n"/>
      <c r="AY27" s="34" t="n"/>
      <c r="AZ27" s="30" t="n"/>
      <c r="BA27" s="34" t="n"/>
      <c r="BB27" s="34" t="n"/>
      <c r="BC27" s="34" t="n"/>
      <c r="BD27" s="34" t="n"/>
      <c r="BE27" s="34" t="n"/>
      <c r="BF27" s="34" t="n"/>
      <c r="BG27" s="34">
        <f>IF(AD27="","",YEAR(AD27)+IF(MONTH(AD27)&gt;=5,1,0))</f>
        <v/>
      </c>
      <c r="BH27" s="34">
        <f>IF(AD27="","",IF(AND(MONTH(AD27)=8,DAY(AD27)&gt;=15),"Fall",IF(MONTH(AD27)&gt;8,"Fall",IF(MONTH(AD27)=5,"Summer",IF(MONTH(AD27)=1,"Spring","")))))</f>
        <v/>
      </c>
      <c r="BI27" s="34" t="n"/>
      <c r="BJ27" s="34" t="n"/>
      <c r="BK27" s="30">
        <f>IF($BJ27="","",IFERROR(INDEX(InstructorMap!$B:$B, MATCH($BJ27, InstructorMap!$A:$A, 0)),""))</f>
        <v/>
      </c>
      <c r="BL27" s="30">
        <f>IFERROR(INDEX('_names_lookup'!$C:$C,MATCH(BK27,'_names_lookup'!$A:$A,0)),"")</f>
        <v/>
      </c>
      <c r="BM27" s="34">
        <f>IFERROR(INDEX('_names_lookup'!$B:$B,MATCH(BK27,'_names_lookup'!$A:$A,0)),"")</f>
        <v/>
      </c>
      <c r="BN27" s="34" t="n"/>
      <c r="BO27" s="34" t="n"/>
      <c r="BP27" s="34" t="n"/>
      <c r="BQ27" s="34" t="n"/>
      <c r="BR27" s="34" t="n"/>
      <c r="BS27" s="34">
        <f>IFERROR(IF(BR27*AA27=0,"",BR27*AA27),"")</f>
        <v/>
      </c>
      <c r="BT27" s="34" t="n"/>
      <c r="BU27" s="34" t="n"/>
      <c r="BV27" s="34" t="n"/>
      <c r="BW27" s="34" t="n"/>
      <c r="BX27" s="34" t="n"/>
      <c r="BY27" s="34" t="n"/>
      <c r="BZ27" s="34" t="n"/>
      <c r="CA27" s="34" t="n"/>
      <c r="CB27" s="34" t="n"/>
      <c r="CC27" s="34" t="n"/>
      <c r="CD27" s="34" t="n"/>
      <c r="CE27" s="34" t="n"/>
      <c r="CF27" s="34" t="n"/>
      <c r="CG27" s="34" t="n"/>
      <c r="CH27" s="34" t="n"/>
      <c r="CI27" s="34" t="n"/>
      <c r="CJ27" s="34" t="n"/>
      <c r="CK27" s="34" t="n"/>
      <c r="CL27" s="34" t="n"/>
      <c r="CM27" s="34" t="n"/>
      <c r="CN27" s="34" t="n"/>
      <c r="CO27" s="34" t="n"/>
      <c r="CP27" s="34" t="n"/>
      <c r="CQ27" s="34" t="n"/>
      <c r="CR27" s="34" t="n"/>
      <c r="CS27" s="34" t="n"/>
      <c r="CT27" s="34" t="n"/>
      <c r="CU27" s="34" t="n"/>
      <c r="CV27" s="34" t="n"/>
      <c r="CW27" s="34" t="n"/>
      <c r="CX27" s="34" t="n"/>
      <c r="CY27" s="34" t="n"/>
      <c r="CZ27" s="34" t="n"/>
      <c r="DA27" s="34" t="n"/>
      <c r="DB27" s="34" t="n"/>
      <c r="DC27" s="34" t="n"/>
      <c r="DD27" s="34" t="n"/>
      <c r="DE27" s="34" t="n"/>
      <c r="DF27" s="34" t="n"/>
      <c r="DG27" s="34" t="n"/>
      <c r="DH27" s="34" t="n"/>
      <c r="DI27" s="34" t="n"/>
      <c r="DJ27" s="34" t="n"/>
      <c r="DK27" s="34" t="n"/>
      <c r="DL27" s="34" t="n"/>
      <c r="DM27" s="34" t="n"/>
      <c r="DN27" s="34" t="n"/>
      <c r="DO27" s="34" t="n"/>
      <c r="DP27" s="34" t="n"/>
      <c r="DQ27" s="34" t="n"/>
    </row>
    <row r="28" ht="16" customHeight="1">
      <c r="A28" s="38" t="n"/>
      <c r="B28" s="38" t="n"/>
      <c r="C28" s="38" t="n"/>
      <c r="D28" s="38" t="n"/>
      <c r="E28" s="38" t="n"/>
      <c r="F28" s="38" t="n"/>
      <c r="G28" s="38" t="n"/>
      <c r="H28" s="34" t="n"/>
      <c r="I28" s="34" t="n"/>
      <c r="J28" s="34" t="n"/>
      <c r="K28" s="34" t="n"/>
      <c r="L28" s="34" t="n"/>
      <c r="M28" s="34" t="n"/>
      <c r="N28" s="34" t="n"/>
      <c r="O28" s="34">
        <f>IFERROR(INDEX('_courses_lookup'!$C:$C,MATCH(K28&amp;L28,'_courses_lookup'!$E:$E,0)),"")</f>
        <v/>
      </c>
      <c r="P28" s="34">
        <f>IFERROR(INDEX('_courses_lookup'!$D:$D,MATCH(K28&amp;L28,'_courses_lookup'!$E:$E,0)),"")</f>
        <v/>
      </c>
      <c r="Q28" s="34" t="n"/>
      <c r="R28" s="34" t="n"/>
      <c r="S28" s="34" t="n"/>
      <c r="T28" s="34" t="n"/>
      <c r="U28" s="34" t="n"/>
      <c r="V28" s="34" t="n"/>
      <c r="W28" s="34" t="n"/>
      <c r="X28" s="34" t="n"/>
      <c r="Y28" s="30" t="n"/>
      <c r="Z28" s="34" t="n"/>
      <c r="AA28" s="34" t="n"/>
      <c r="AB28" s="34" t="n"/>
      <c r="AC28" s="34" t="n"/>
      <c r="AD28" s="34" t="n"/>
      <c r="AE28" s="34" t="n"/>
      <c r="AF28" s="34" t="n"/>
      <c r="AG28" s="34">
        <f>IF(AND(AE28&lt;&gt;"",AF28&lt;&gt;""),ROUNDUP((AF28-AE28)/7,0),"")</f>
        <v/>
      </c>
      <c r="AH28" s="34" t="n"/>
      <c r="AI28" s="34">
        <f>IFERROR(IF(AG28*AH28=0,"",AG28*AH28),"")</f>
        <v/>
      </c>
      <c r="AJ28" s="34" t="n"/>
      <c r="AK28" s="34" t="n"/>
      <c r="AL28" s="34">
        <f>IF(AND(AJ28&lt;&gt;"",AK28&lt;&gt;""),ROUNDUP((AK28-AJ28)/7,0),"")</f>
        <v/>
      </c>
      <c r="AM28" s="34" t="n"/>
      <c r="AN28" s="34">
        <f>IFERROR(IF(AL28*AM28=0,"",AL28*AM28),"")</f>
        <v/>
      </c>
      <c r="AO28" s="34" t="n"/>
      <c r="AP28" s="34" t="n"/>
      <c r="AQ28" s="34">
        <f>IF(AND(AO28&lt;&gt;"",AP28&lt;&gt;""),ROUNDUP((AP28-AO28)/7,0),"")</f>
        <v/>
      </c>
      <c r="AR28" s="34">
        <f>IFERROR(IF((AU28-(AI28+AN28))/AQ28=0,"",ROUNDUP((AU28-(AI28+AN28))/AQ28,0)),"")</f>
        <v/>
      </c>
      <c r="AS28" s="34">
        <f>IFERROR(IF((AU28-(AI28+AN28))=0,"",(AU28-(AI28+AN28))),"")</f>
        <v/>
      </c>
      <c r="AT28" s="34">
        <f>IF(AND(AG28="",AQ28=""),AL28,IF(SUM(AG28,AL28,AQ28)=0,"",SUM(AG28,AL28,AQ28)))</f>
        <v/>
      </c>
      <c r="AU28" s="34" t="n"/>
      <c r="AV28" s="34" t="n"/>
      <c r="AW28" s="34" t="n"/>
      <c r="AX28" s="34" t="n"/>
      <c r="AY28" s="34" t="n"/>
      <c r="AZ28" s="30" t="n"/>
      <c r="BA28" s="34" t="n"/>
      <c r="BB28" s="34" t="n"/>
      <c r="BC28" s="34" t="n"/>
      <c r="BD28" s="34" t="n"/>
      <c r="BE28" s="34" t="n"/>
      <c r="BF28" s="34" t="n"/>
      <c r="BG28" s="34">
        <f>IF(AD28="","",YEAR(AD28)+IF(MONTH(AD28)&gt;=5,1,0))</f>
        <v/>
      </c>
      <c r="BH28" s="34">
        <f>IF(AD28="","",IF(AND(MONTH(AD28)=8,DAY(AD28)&gt;=15),"Fall",IF(MONTH(AD28)&gt;8,"Fall",IF(MONTH(AD28)=5,"Summer",IF(MONTH(AD28)=1,"Spring","")))))</f>
        <v/>
      </c>
      <c r="BI28" s="34" t="n"/>
      <c r="BJ28" s="34" t="n"/>
      <c r="BK28" s="30">
        <f>IF($BJ28="","",IFERROR(INDEX(InstructorMap!$B:$B, MATCH($BJ28, InstructorMap!$A:$A, 0)),""))</f>
        <v/>
      </c>
      <c r="BL28" s="30">
        <f>IFERROR(INDEX('_names_lookup'!$C:$C,MATCH(BK28,'_names_lookup'!$A:$A,0)),"")</f>
        <v/>
      </c>
      <c r="BM28" s="34">
        <f>IFERROR(INDEX('_names_lookup'!$B:$B,MATCH(BK28,'_names_lookup'!$A:$A,0)),"")</f>
        <v/>
      </c>
      <c r="BN28" s="34" t="n"/>
      <c r="BO28" s="34" t="n"/>
      <c r="BP28" s="34" t="n"/>
      <c r="BQ28" s="34" t="n"/>
      <c r="BR28" s="34" t="n"/>
      <c r="BS28" s="34">
        <f>IFERROR(IF(BR28*AA28=0,"",BR28*AA28),"")</f>
        <v/>
      </c>
      <c r="BT28" s="34" t="n"/>
      <c r="BU28" s="34" t="n"/>
      <c r="BV28" s="34" t="n"/>
      <c r="BW28" s="34" t="n"/>
      <c r="BX28" s="34" t="n"/>
      <c r="BY28" s="34" t="n"/>
      <c r="BZ28" s="34" t="n"/>
      <c r="CA28" s="34" t="n"/>
      <c r="CB28" s="34" t="n"/>
      <c r="CC28" s="34" t="n"/>
      <c r="CD28" s="34" t="n"/>
      <c r="CE28" s="34" t="n"/>
      <c r="CF28" s="34" t="n"/>
      <c r="CG28" s="34" t="n"/>
      <c r="CH28" s="34" t="n"/>
      <c r="CI28" s="34" t="n"/>
      <c r="CJ28" s="34" t="n"/>
      <c r="CK28" s="34" t="n"/>
      <c r="CL28" s="34" t="n"/>
      <c r="CM28" s="34" t="n"/>
      <c r="CN28" s="34" t="n"/>
      <c r="CO28" s="34" t="n"/>
      <c r="CP28" s="34" t="n"/>
      <c r="CQ28" s="34" t="n"/>
      <c r="CR28" s="34" t="n"/>
      <c r="CS28" s="34" t="n"/>
      <c r="CT28" s="34" t="n"/>
      <c r="CU28" s="34" t="n"/>
      <c r="CV28" s="34" t="n"/>
      <c r="CW28" s="34" t="n"/>
      <c r="CX28" s="34" t="n"/>
      <c r="CY28" s="34" t="n"/>
      <c r="CZ28" s="34" t="n"/>
      <c r="DA28" s="34" t="n"/>
      <c r="DB28" s="34" t="n"/>
      <c r="DC28" s="34" t="n"/>
      <c r="DD28" s="34" t="n"/>
      <c r="DE28" s="34" t="n"/>
      <c r="DF28" s="34" t="n"/>
      <c r="DG28" s="34" t="n"/>
      <c r="DH28" s="34" t="n"/>
      <c r="DI28" s="34" t="n"/>
      <c r="DJ28" s="34" t="n"/>
      <c r="DK28" s="34" t="n"/>
      <c r="DL28" s="34" t="n"/>
      <c r="DM28" s="34" t="n"/>
      <c r="DN28" s="34" t="n"/>
      <c r="DO28" s="34" t="n"/>
      <c r="DP28" s="34" t="n"/>
      <c r="DQ28" s="34" t="n"/>
    </row>
    <row r="29" ht="16" customHeight="1">
      <c r="A29" s="38" t="n"/>
      <c r="B29" s="38" t="n"/>
      <c r="C29" s="38" t="n"/>
      <c r="D29" s="38" t="n"/>
      <c r="E29" s="38" t="n"/>
      <c r="F29" s="38" t="n"/>
      <c r="G29" s="38" t="n"/>
      <c r="H29" s="34" t="n"/>
      <c r="I29" s="34" t="n"/>
      <c r="J29" s="34" t="n"/>
      <c r="K29" s="34" t="n"/>
      <c r="L29" s="34" t="n"/>
      <c r="M29" s="34" t="n"/>
      <c r="N29" s="34" t="n"/>
      <c r="O29" s="34">
        <f>IFERROR(INDEX('_courses_lookup'!$C:$C,MATCH(K29&amp;L29,'_courses_lookup'!$E:$E,0)),"")</f>
        <v/>
      </c>
      <c r="P29" s="34">
        <f>IFERROR(INDEX('_courses_lookup'!$D:$D,MATCH(K29&amp;L29,'_courses_lookup'!$E:$E,0)),"")</f>
        <v/>
      </c>
      <c r="Q29" s="34" t="n"/>
      <c r="R29" s="34" t="n"/>
      <c r="S29" s="34" t="n"/>
      <c r="T29" s="34" t="n"/>
      <c r="U29" s="34" t="n"/>
      <c r="V29" s="34" t="n"/>
      <c r="W29" s="34" t="n"/>
      <c r="X29" s="34" t="n"/>
      <c r="Y29" s="30" t="n"/>
      <c r="Z29" s="34" t="n"/>
      <c r="AA29" s="34" t="n"/>
      <c r="AB29" s="34" t="n"/>
      <c r="AC29" s="34" t="n"/>
      <c r="AD29" s="34" t="n"/>
      <c r="AE29" s="34" t="n"/>
      <c r="AF29" s="34" t="n"/>
      <c r="AG29" s="34">
        <f>IF(AND(AE29&lt;&gt;"",AF29&lt;&gt;""),ROUNDUP((AF29-AE29)/7,0),"")</f>
        <v/>
      </c>
      <c r="AH29" s="34" t="n"/>
      <c r="AI29" s="34">
        <f>IFERROR(IF(AG29*AH29=0,"",AG29*AH29),"")</f>
        <v/>
      </c>
      <c r="AJ29" s="34" t="n"/>
      <c r="AK29" s="34" t="n"/>
      <c r="AL29" s="34">
        <f>IF(AND(AJ29&lt;&gt;"",AK29&lt;&gt;""),ROUNDUP((AK29-AJ29)/7,0),"")</f>
        <v/>
      </c>
      <c r="AM29" s="34" t="n"/>
      <c r="AN29" s="34">
        <f>IFERROR(IF(AL29*AM29=0,"",AL29*AM29),"")</f>
        <v/>
      </c>
      <c r="AO29" s="34" t="n"/>
      <c r="AP29" s="34" t="n"/>
      <c r="AQ29" s="34">
        <f>IF(AND(AO29&lt;&gt;"",AP29&lt;&gt;""),ROUNDUP((AP29-AO29)/7,0),"")</f>
        <v/>
      </c>
      <c r="AR29" s="34">
        <f>IFERROR(IF((AU29-(AI29+AN29))/AQ29=0,"",ROUNDUP((AU29-(AI29+AN29))/AQ29,0)),"")</f>
        <v/>
      </c>
      <c r="AS29" s="34">
        <f>IFERROR(IF((AU29-(AI29+AN29))=0,"",(AU29-(AI29+AN29))),"")</f>
        <v/>
      </c>
      <c r="AT29" s="34">
        <f>IF(AND(AG29="",AQ29=""),AL29,IF(SUM(AG29,AL29,AQ29)=0,"",SUM(AG29,AL29,AQ29)))</f>
        <v/>
      </c>
      <c r="AU29" s="34" t="n"/>
      <c r="AV29" s="34" t="n"/>
      <c r="AW29" s="34" t="n"/>
      <c r="AX29" s="34" t="n"/>
      <c r="AY29" s="34" t="n"/>
      <c r="AZ29" s="30" t="n"/>
      <c r="BA29" s="34" t="n"/>
      <c r="BB29" s="34" t="n"/>
      <c r="BC29" s="34" t="n"/>
      <c r="BD29" s="34" t="n"/>
      <c r="BE29" s="34" t="n"/>
      <c r="BF29" s="34" t="n"/>
      <c r="BG29" s="34">
        <f>IF(AD29="","",YEAR(AD29)+IF(MONTH(AD29)&gt;=5,1,0))</f>
        <v/>
      </c>
      <c r="BH29" s="34">
        <f>IF(AD29="","",IF(AND(MONTH(AD29)=8,DAY(AD29)&gt;=15),"Fall",IF(MONTH(AD29)&gt;8,"Fall",IF(MONTH(AD29)=5,"Summer",IF(MONTH(AD29)=1,"Spring","")))))</f>
        <v/>
      </c>
      <c r="BI29" s="34" t="n"/>
      <c r="BJ29" s="34" t="n"/>
      <c r="BK29" s="30">
        <f>IF($BJ29="","",IFERROR(INDEX(InstructorMap!$B:$B, MATCH($BJ29, InstructorMap!$A:$A, 0)),""))</f>
        <v/>
      </c>
      <c r="BL29" s="30">
        <f>IFERROR(INDEX('_names_lookup'!$C:$C,MATCH(BK29,'_names_lookup'!$A:$A,0)),"")</f>
        <v/>
      </c>
      <c r="BM29" s="34">
        <f>IFERROR(INDEX('_names_lookup'!$B:$B,MATCH(BK29,'_names_lookup'!$A:$A,0)),"")</f>
        <v/>
      </c>
      <c r="BN29" s="34" t="n"/>
      <c r="BO29" s="34" t="n"/>
      <c r="BP29" s="34" t="n"/>
      <c r="BQ29" s="34" t="n"/>
      <c r="BR29" s="34" t="n"/>
      <c r="BS29" s="34">
        <f>IFERROR(IF(BR29*AA29=0,"",BR29*AA29),"")</f>
        <v/>
      </c>
      <c r="BT29" s="34" t="n"/>
      <c r="BU29" s="34" t="n"/>
      <c r="BV29" s="34" t="n"/>
      <c r="BW29" s="34" t="n"/>
      <c r="BX29" s="34" t="n"/>
      <c r="BY29" s="34" t="n"/>
      <c r="BZ29" s="34" t="n"/>
      <c r="CA29" s="34" t="n"/>
      <c r="CB29" s="34" t="n"/>
      <c r="CC29" s="34" t="n"/>
      <c r="CD29" s="34" t="n"/>
      <c r="CE29" s="34" t="n"/>
      <c r="CF29" s="34" t="n"/>
      <c r="CG29" s="34" t="n"/>
      <c r="CH29" s="34" t="n"/>
      <c r="CI29" s="34" t="n"/>
      <c r="CJ29" s="34" t="n"/>
      <c r="CK29" s="34" t="n"/>
      <c r="CL29" s="34" t="n"/>
      <c r="CM29" s="34" t="n"/>
      <c r="CN29" s="34" t="n"/>
      <c r="CO29" s="34" t="n"/>
      <c r="CP29" s="34" t="n"/>
      <c r="CQ29" s="34" t="n"/>
      <c r="CR29" s="34" t="n"/>
      <c r="CS29" s="34" t="n"/>
      <c r="CT29" s="34" t="n"/>
      <c r="CU29" s="34" t="n"/>
      <c r="CV29" s="34" t="n"/>
      <c r="CW29" s="34" t="n"/>
      <c r="CX29" s="34" t="n"/>
      <c r="CY29" s="34" t="n"/>
      <c r="CZ29" s="34" t="n"/>
      <c r="DA29" s="34" t="n"/>
      <c r="DB29" s="34" t="n"/>
      <c r="DC29" s="34" t="n"/>
      <c r="DD29" s="34" t="n"/>
      <c r="DE29" s="34" t="n"/>
      <c r="DF29" s="34" t="n"/>
      <c r="DG29" s="34" t="n"/>
      <c r="DH29" s="34" t="n"/>
      <c r="DI29" s="34" t="n"/>
      <c r="DJ29" s="34" t="n"/>
      <c r="DK29" s="34" t="n"/>
      <c r="DL29" s="34" t="n"/>
      <c r="DM29" s="34" t="n"/>
      <c r="DN29" s="34" t="n"/>
      <c r="DO29" s="34" t="n"/>
      <c r="DP29" s="34" t="n"/>
      <c r="DQ29" s="34" t="n"/>
    </row>
    <row r="30" ht="16" customHeight="1">
      <c r="A30" s="38" t="n"/>
      <c r="B30" s="38" t="n"/>
      <c r="C30" s="38" t="n"/>
      <c r="D30" s="38" t="n"/>
      <c r="E30" s="38" t="n"/>
      <c r="F30" s="38" t="n"/>
      <c r="G30" s="38" t="n"/>
      <c r="H30" s="34" t="n"/>
      <c r="I30" s="34" t="n"/>
      <c r="J30" s="34" t="n"/>
      <c r="K30" s="34" t="n"/>
      <c r="L30" s="34" t="n"/>
      <c r="M30" s="34" t="n"/>
      <c r="N30" s="34" t="n"/>
      <c r="O30" s="34">
        <f>IFERROR(INDEX('_courses_lookup'!$C:$C,MATCH(K30&amp;L30,'_courses_lookup'!$E:$E,0)),"")</f>
        <v/>
      </c>
      <c r="P30" s="34">
        <f>IFERROR(INDEX('_courses_lookup'!$D:$D,MATCH(K30&amp;L30,'_courses_lookup'!$E:$E,0)),"")</f>
        <v/>
      </c>
      <c r="Q30" s="34" t="n"/>
      <c r="R30" s="34" t="n"/>
      <c r="S30" s="34" t="n"/>
      <c r="T30" s="34" t="n"/>
      <c r="U30" s="34" t="n"/>
      <c r="V30" s="34" t="n"/>
      <c r="W30" s="34" t="n"/>
      <c r="X30" s="34" t="n"/>
      <c r="Y30" s="30" t="n"/>
      <c r="Z30" s="34" t="n"/>
      <c r="AA30" s="34" t="n"/>
      <c r="AB30" s="34" t="n"/>
      <c r="AC30" s="34" t="n"/>
      <c r="AD30" s="34" t="n"/>
      <c r="AE30" s="34" t="n"/>
      <c r="AF30" s="34" t="n"/>
      <c r="AG30" s="34">
        <f>IF(AND(AE30&lt;&gt;"",AF30&lt;&gt;""),ROUNDUP((AF30-AE30)/7,0),"")</f>
        <v/>
      </c>
      <c r="AH30" s="34" t="n"/>
      <c r="AI30" s="34">
        <f>IFERROR(IF(AG30*AH30=0,"",AG30*AH30),"")</f>
        <v/>
      </c>
      <c r="AJ30" s="34" t="n"/>
      <c r="AK30" s="34" t="n"/>
      <c r="AL30" s="34">
        <f>IF(AND(AJ30&lt;&gt;"",AK30&lt;&gt;""),ROUNDUP((AK30-AJ30)/7,0),"")</f>
        <v/>
      </c>
      <c r="AM30" s="34" t="n"/>
      <c r="AN30" s="34">
        <f>IFERROR(IF(AL30*AM30=0,"",AL30*AM30),"")</f>
        <v/>
      </c>
      <c r="AO30" s="34" t="n"/>
      <c r="AP30" s="34" t="n"/>
      <c r="AQ30" s="34">
        <f>IF(AND(AO30&lt;&gt;"",AP30&lt;&gt;""),ROUNDUP((AP30-AO30)/7,0),"")</f>
        <v/>
      </c>
      <c r="AR30" s="34">
        <f>IFERROR(IF((AU30-(AI30+AN30))/AQ30=0,"",ROUNDUP((AU30-(AI30+AN30))/AQ30,0)),"")</f>
        <v/>
      </c>
      <c r="AS30" s="34">
        <f>IFERROR(IF((AU30-(AI30+AN30))=0,"",(AU30-(AI30+AN30))),"")</f>
        <v/>
      </c>
      <c r="AT30" s="34">
        <f>IF(AND(AG30="",AQ30=""),AL30,IF(SUM(AG30,AL30,AQ30)=0,"",SUM(AG30,AL30,AQ30)))</f>
        <v/>
      </c>
      <c r="AU30" s="34" t="n"/>
      <c r="AV30" s="34" t="n"/>
      <c r="AW30" s="34" t="n"/>
      <c r="AX30" s="34" t="n"/>
      <c r="AY30" s="34" t="n"/>
      <c r="AZ30" s="30" t="n"/>
      <c r="BA30" s="34" t="n"/>
      <c r="BB30" s="34" t="n"/>
      <c r="BC30" s="34" t="n"/>
      <c r="BD30" s="34" t="n"/>
      <c r="BE30" s="34" t="n"/>
      <c r="BF30" s="34" t="n"/>
      <c r="BG30" s="34">
        <f>IF(AD30="","",YEAR(AD30)+IF(MONTH(AD30)&gt;=5,1,0))</f>
        <v/>
      </c>
      <c r="BH30" s="34">
        <f>IF(AD30="","",IF(AND(MONTH(AD30)=8,DAY(AD30)&gt;=15),"Fall",IF(MONTH(AD30)&gt;8,"Fall",IF(MONTH(AD30)=5,"Summer",IF(MONTH(AD30)=1,"Spring","")))))</f>
        <v/>
      </c>
      <c r="BI30" s="34" t="n"/>
      <c r="BJ30" s="34" t="n"/>
      <c r="BK30" s="30">
        <f>IF($BJ30="","",IFERROR(INDEX(InstructorMap!$B:$B, MATCH($BJ30, InstructorMap!$A:$A, 0)),""))</f>
        <v/>
      </c>
      <c r="BL30" s="30">
        <f>IFERROR(INDEX('_names_lookup'!$C:$C,MATCH(BK30,'_names_lookup'!$A:$A,0)),"")</f>
        <v/>
      </c>
      <c r="BM30" s="34">
        <f>IFERROR(INDEX('_names_lookup'!$B:$B,MATCH(BK30,'_names_lookup'!$A:$A,0)),"")</f>
        <v/>
      </c>
      <c r="BN30" s="34" t="n"/>
      <c r="BO30" s="34" t="n"/>
      <c r="BP30" s="34" t="n"/>
      <c r="BQ30" s="34" t="n"/>
      <c r="BR30" s="34" t="n"/>
      <c r="BS30" s="34">
        <f>IFERROR(IF(BR30*AA30=0,"",BR30*AA30),"")</f>
        <v/>
      </c>
      <c r="BT30" s="34" t="n"/>
      <c r="BU30" s="34" t="n"/>
      <c r="BV30" s="34" t="n"/>
      <c r="BW30" s="34" t="n"/>
      <c r="BX30" s="34" t="n"/>
      <c r="BY30" s="34" t="n"/>
      <c r="BZ30" s="34" t="n"/>
      <c r="CA30" s="34" t="n"/>
      <c r="CB30" s="34" t="n"/>
      <c r="CC30" s="34" t="n"/>
      <c r="CD30" s="34" t="n"/>
      <c r="CE30" s="34" t="n"/>
      <c r="CF30" s="34" t="n"/>
      <c r="CG30" s="34" t="n"/>
      <c r="CH30" s="34" t="n"/>
      <c r="CI30" s="34" t="n"/>
      <c r="CJ30" s="34" t="n"/>
      <c r="CK30" s="34" t="n"/>
      <c r="CL30" s="34" t="n"/>
      <c r="CM30" s="34" t="n"/>
      <c r="CN30" s="34" t="n"/>
      <c r="CO30" s="34" t="n"/>
      <c r="CP30" s="34" t="n"/>
      <c r="CQ30" s="34" t="n"/>
      <c r="CR30" s="34" t="n"/>
      <c r="CS30" s="34" t="n"/>
      <c r="CT30" s="34" t="n"/>
      <c r="CU30" s="34" t="n"/>
      <c r="CV30" s="34" t="n"/>
      <c r="CW30" s="34" t="n"/>
      <c r="CX30" s="34" t="n"/>
      <c r="CY30" s="34" t="n"/>
      <c r="CZ30" s="34" t="n"/>
      <c r="DA30" s="34" t="n"/>
      <c r="DB30" s="34" t="n"/>
      <c r="DC30" s="34" t="n"/>
      <c r="DD30" s="34" t="n"/>
      <c r="DE30" s="34" t="n"/>
      <c r="DF30" s="34" t="n"/>
      <c r="DG30" s="34" t="n"/>
      <c r="DH30" s="34" t="n"/>
      <c r="DI30" s="34" t="n"/>
      <c r="DJ30" s="34" t="n"/>
      <c r="DK30" s="34" t="n"/>
      <c r="DL30" s="34" t="n"/>
      <c r="DM30" s="34" t="n"/>
      <c r="DN30" s="34" t="n"/>
      <c r="DO30" s="34" t="n"/>
      <c r="DP30" s="34" t="n"/>
      <c r="DQ30" s="34" t="n"/>
    </row>
    <row r="31" ht="16" customHeight="1">
      <c r="A31" s="38" t="n"/>
      <c r="B31" s="38" t="n"/>
      <c r="C31" s="38" t="n"/>
      <c r="D31" s="38" t="n"/>
      <c r="E31" s="38" t="n"/>
      <c r="F31" s="38" t="n"/>
      <c r="G31" s="38" t="n"/>
      <c r="H31" s="34" t="n"/>
      <c r="I31" s="34" t="n"/>
      <c r="J31" s="34" t="n"/>
      <c r="K31" s="34" t="n"/>
      <c r="L31" s="34" t="n"/>
      <c r="M31" s="34" t="n"/>
      <c r="N31" s="34" t="n"/>
      <c r="O31" s="34">
        <f>IFERROR(INDEX('_courses_lookup'!$C:$C,MATCH(K31&amp;L31,'_courses_lookup'!$E:$E,0)),"")</f>
        <v/>
      </c>
      <c r="P31" s="34">
        <f>IFERROR(INDEX('_courses_lookup'!$D:$D,MATCH(K31&amp;L31,'_courses_lookup'!$E:$E,0)),"")</f>
        <v/>
      </c>
      <c r="Q31" s="34" t="n"/>
      <c r="R31" s="34" t="n"/>
      <c r="S31" s="34" t="n"/>
      <c r="T31" s="34" t="n"/>
      <c r="U31" s="34" t="n"/>
      <c r="V31" s="34" t="n"/>
      <c r="W31" s="34" t="n"/>
      <c r="X31" s="34" t="n"/>
      <c r="Y31" s="30" t="n"/>
      <c r="Z31" s="34" t="n"/>
      <c r="AA31" s="34" t="n"/>
      <c r="AB31" s="34" t="n"/>
      <c r="AC31" s="34" t="n"/>
      <c r="AD31" s="34" t="n"/>
      <c r="AE31" s="34" t="n"/>
      <c r="AF31" s="34" t="n"/>
      <c r="AG31" s="34">
        <f>IF(AND(AE31&lt;&gt;"",AF31&lt;&gt;""),ROUNDUP((AF31-AE31)/7,0),"")</f>
        <v/>
      </c>
      <c r="AH31" s="34" t="n"/>
      <c r="AI31" s="34">
        <f>IFERROR(IF(AG31*AH31=0,"",AG31*AH31),"")</f>
        <v/>
      </c>
      <c r="AJ31" s="34" t="n"/>
      <c r="AK31" s="34" t="n"/>
      <c r="AL31" s="34">
        <f>IF(AND(AJ31&lt;&gt;"",AK31&lt;&gt;""),ROUNDUP((AK31-AJ31)/7,0),"")</f>
        <v/>
      </c>
      <c r="AM31" s="34" t="n"/>
      <c r="AN31" s="34">
        <f>IFERROR(IF(AL31*AM31=0,"",AL31*AM31),"")</f>
        <v/>
      </c>
      <c r="AO31" s="34" t="n"/>
      <c r="AP31" s="34" t="n"/>
      <c r="AQ31" s="34">
        <f>IF(AND(AO31&lt;&gt;"",AP31&lt;&gt;""),ROUNDUP((AP31-AO31)/7,0),"")</f>
        <v/>
      </c>
      <c r="AR31" s="34">
        <f>IFERROR(IF((AU31-(AI31+AN31))/AQ31=0,"",ROUNDUP((AU31-(AI31+AN31))/AQ31,0)),"")</f>
        <v/>
      </c>
      <c r="AS31" s="34">
        <f>IFERROR(IF((AU31-(AI31+AN31))=0,"",(AU31-(AI31+AN31))),"")</f>
        <v/>
      </c>
      <c r="AT31" s="34">
        <f>IF(AND(AG31="",AQ31=""),AL31,IF(SUM(AG31,AL31,AQ31)=0,"",SUM(AG31,AL31,AQ31)))</f>
        <v/>
      </c>
      <c r="AU31" s="34" t="n"/>
      <c r="AV31" s="34" t="n"/>
      <c r="AW31" s="34" t="n"/>
      <c r="AX31" s="34" t="n"/>
      <c r="AY31" s="34" t="n"/>
      <c r="AZ31" s="30" t="n"/>
      <c r="BA31" s="34" t="n"/>
      <c r="BB31" s="34" t="n"/>
      <c r="BC31" s="34" t="n"/>
      <c r="BD31" s="34" t="n"/>
      <c r="BE31" s="34" t="n"/>
      <c r="BF31" s="34" t="n"/>
      <c r="BG31" s="34">
        <f>IF(AD31="","",YEAR(AD31)+IF(MONTH(AD31)&gt;=5,1,0))</f>
        <v/>
      </c>
      <c r="BH31" s="34">
        <f>IF(AD31="","",IF(AND(MONTH(AD31)=8,DAY(AD31)&gt;=15),"Fall",IF(MONTH(AD31)&gt;8,"Fall",IF(MONTH(AD31)=5,"Summer",IF(MONTH(AD31)=1,"Spring","")))))</f>
        <v/>
      </c>
      <c r="BI31" s="34" t="n"/>
      <c r="BJ31" s="34" t="n"/>
      <c r="BK31" s="30">
        <f>IF($BJ31="","",IFERROR(INDEX(InstructorMap!$B:$B, MATCH($BJ31, InstructorMap!$A:$A, 0)),""))</f>
        <v/>
      </c>
      <c r="BL31" s="30">
        <f>IFERROR(INDEX('_names_lookup'!$C:$C,MATCH(BK31,'_names_lookup'!$A:$A,0)),"")</f>
        <v/>
      </c>
      <c r="BM31" s="34">
        <f>IFERROR(INDEX('_names_lookup'!$B:$B,MATCH(BK31,'_names_lookup'!$A:$A,0)),"")</f>
        <v/>
      </c>
      <c r="BN31" s="34" t="n"/>
      <c r="BO31" s="34" t="n"/>
      <c r="BP31" s="34" t="n"/>
      <c r="BQ31" s="34" t="n"/>
      <c r="BR31" s="34" t="n"/>
      <c r="BS31" s="34">
        <f>IFERROR(IF(BR31*AA31=0,"",BR31*AA31),"")</f>
        <v/>
      </c>
      <c r="BT31" s="34" t="n"/>
      <c r="BU31" s="34" t="n"/>
      <c r="BV31" s="34" t="n"/>
      <c r="BW31" s="34" t="n"/>
      <c r="BX31" s="34" t="n"/>
      <c r="BY31" s="34" t="n"/>
      <c r="BZ31" s="34" t="n"/>
      <c r="CA31" s="34" t="n"/>
      <c r="CB31" s="34" t="n"/>
      <c r="CC31" s="34" t="n"/>
      <c r="CD31" s="34" t="n"/>
      <c r="CE31" s="34" t="n"/>
      <c r="CF31" s="34" t="n"/>
      <c r="CG31" s="34" t="n"/>
      <c r="CH31" s="34" t="n"/>
      <c r="CI31" s="34" t="n"/>
      <c r="CJ31" s="34" t="n"/>
      <c r="CK31" s="34" t="n"/>
      <c r="CL31" s="34" t="n"/>
      <c r="CM31" s="34" t="n"/>
      <c r="CN31" s="34" t="n"/>
      <c r="CO31" s="34" t="n"/>
      <c r="CP31" s="34" t="n"/>
      <c r="CQ31" s="34" t="n"/>
      <c r="CR31" s="34" t="n"/>
      <c r="CS31" s="34" t="n"/>
      <c r="CT31" s="34" t="n"/>
      <c r="CU31" s="34" t="n"/>
      <c r="CV31" s="34" t="n"/>
      <c r="CW31" s="34" t="n"/>
      <c r="CX31" s="34" t="n"/>
      <c r="CY31" s="34" t="n"/>
      <c r="CZ31" s="34" t="n"/>
      <c r="DA31" s="34" t="n"/>
      <c r="DB31" s="34" t="n"/>
      <c r="DC31" s="34" t="n"/>
      <c r="DD31" s="34" t="n"/>
      <c r="DE31" s="34" t="n"/>
      <c r="DF31" s="34" t="n"/>
      <c r="DG31" s="34" t="n"/>
      <c r="DH31" s="34" t="n"/>
      <c r="DI31" s="34" t="n"/>
      <c r="DJ31" s="34" t="n"/>
      <c r="DK31" s="34" t="n"/>
      <c r="DL31" s="34" t="n"/>
      <c r="DM31" s="34" t="n"/>
      <c r="DN31" s="34" t="n"/>
      <c r="DO31" s="34" t="n"/>
      <c r="DP31" s="34" t="n"/>
      <c r="DQ31" s="34" t="n"/>
    </row>
    <row r="32" ht="16" customHeight="1">
      <c r="A32" s="38" t="n"/>
      <c r="B32" s="38" t="n"/>
      <c r="C32" s="38" t="n"/>
      <c r="D32" s="38" t="n"/>
      <c r="E32" s="38" t="n"/>
      <c r="F32" s="38" t="n"/>
      <c r="G32" s="38" t="n"/>
      <c r="H32" s="34" t="n"/>
      <c r="I32" s="34" t="n"/>
      <c r="J32" s="34" t="n"/>
      <c r="K32" s="34" t="n"/>
      <c r="L32" s="34" t="n"/>
      <c r="M32" s="34" t="n"/>
      <c r="N32" s="34" t="n"/>
      <c r="O32" s="34">
        <f>IFERROR(INDEX('_courses_lookup'!$C:$C,MATCH(K32&amp;L32,'_courses_lookup'!$E:$E,0)),"")</f>
        <v/>
      </c>
      <c r="P32" s="34">
        <f>IFERROR(INDEX('_courses_lookup'!$D:$D,MATCH(K32&amp;L32,'_courses_lookup'!$E:$E,0)),"")</f>
        <v/>
      </c>
      <c r="Q32" s="34" t="n"/>
      <c r="R32" s="34" t="n"/>
      <c r="S32" s="34" t="n"/>
      <c r="T32" s="34" t="n"/>
      <c r="U32" s="34" t="n"/>
      <c r="V32" s="34" t="n"/>
      <c r="W32" s="34" t="n"/>
      <c r="X32" s="34" t="n"/>
      <c r="Y32" s="30" t="n"/>
      <c r="Z32" s="34" t="n"/>
      <c r="AA32" s="34" t="n"/>
      <c r="AB32" s="34" t="n"/>
      <c r="AC32" s="34" t="n"/>
      <c r="AD32" s="34" t="n"/>
      <c r="AE32" s="34" t="n"/>
      <c r="AF32" s="34" t="n"/>
      <c r="AG32" s="34">
        <f>IF(AND(AE32&lt;&gt;"",AF32&lt;&gt;""),ROUNDUP((AF32-AE32)/7,0),"")</f>
        <v/>
      </c>
      <c r="AH32" s="34" t="n"/>
      <c r="AI32" s="34">
        <f>IFERROR(IF(AG32*AH32=0,"",AG32*AH32),"")</f>
        <v/>
      </c>
      <c r="AJ32" s="34" t="n"/>
      <c r="AK32" s="34" t="n"/>
      <c r="AL32" s="34">
        <f>IF(AND(AJ32&lt;&gt;"",AK32&lt;&gt;""),ROUNDUP((AK32-AJ32)/7,0),"")</f>
        <v/>
      </c>
      <c r="AM32" s="34" t="n"/>
      <c r="AN32" s="34">
        <f>IFERROR(IF(AL32*AM32=0,"",AL32*AM32),"")</f>
        <v/>
      </c>
      <c r="AO32" s="34" t="n"/>
      <c r="AP32" s="34" t="n"/>
      <c r="AQ32" s="34">
        <f>IF(AND(AO32&lt;&gt;"",AP32&lt;&gt;""),ROUNDUP((AP32-AO32)/7,0),"")</f>
        <v/>
      </c>
      <c r="AR32" s="34">
        <f>IFERROR(IF((AU32-(AI32+AN32))/AQ32=0,"",ROUNDUP((AU32-(AI32+AN32))/AQ32,0)),"")</f>
        <v/>
      </c>
      <c r="AS32" s="34">
        <f>IFERROR(IF((AU32-(AI32+AN32))=0,"",(AU32-(AI32+AN32))),"")</f>
        <v/>
      </c>
      <c r="AT32" s="34">
        <f>IF(AND(AG32="",AQ32=""),AL32,IF(SUM(AG32,AL32,AQ32)=0,"",SUM(AG32,AL32,AQ32)))</f>
        <v/>
      </c>
      <c r="AU32" s="34" t="n"/>
      <c r="AV32" s="34" t="n"/>
      <c r="AW32" s="34" t="n"/>
      <c r="AX32" s="34" t="n"/>
      <c r="AY32" s="34" t="n"/>
      <c r="AZ32" s="30" t="n"/>
      <c r="BA32" s="34" t="n"/>
      <c r="BB32" s="34" t="n"/>
      <c r="BC32" s="34" t="n"/>
      <c r="BD32" s="34" t="n"/>
      <c r="BE32" s="34" t="n"/>
      <c r="BF32" s="34" t="n"/>
      <c r="BG32" s="34">
        <f>IF(AD32="","",YEAR(AD32)+IF(MONTH(AD32)&gt;=5,1,0))</f>
        <v/>
      </c>
      <c r="BH32" s="34">
        <f>IF(AD32="","",IF(AND(MONTH(AD32)=8,DAY(AD32)&gt;=15),"Fall",IF(MONTH(AD32)&gt;8,"Fall",IF(MONTH(AD32)=5,"Summer",IF(MONTH(AD32)=1,"Spring","")))))</f>
        <v/>
      </c>
      <c r="BI32" s="34" t="n"/>
      <c r="BJ32" s="34" t="n"/>
      <c r="BK32" s="30">
        <f>IF($BJ32="","",IFERROR(INDEX(InstructorMap!$B:$B, MATCH($BJ32, InstructorMap!$A:$A, 0)),""))</f>
        <v/>
      </c>
      <c r="BL32" s="30">
        <f>IFERROR(INDEX('_names_lookup'!$C:$C,MATCH(BK32,'_names_lookup'!$A:$A,0)),"")</f>
        <v/>
      </c>
      <c r="BM32" s="34">
        <f>IFERROR(INDEX('_names_lookup'!$B:$B,MATCH(BK32,'_names_lookup'!$A:$A,0)),"")</f>
        <v/>
      </c>
      <c r="BN32" s="34" t="n"/>
      <c r="BO32" s="34" t="n"/>
      <c r="BP32" s="34" t="n"/>
      <c r="BQ32" s="34" t="n"/>
      <c r="BR32" s="34" t="n"/>
      <c r="BS32" s="34">
        <f>IFERROR(IF(BR32*AA32=0,"",BR32*AA32),"")</f>
        <v/>
      </c>
      <c r="BT32" s="34" t="n"/>
      <c r="BU32" s="34" t="n"/>
      <c r="BV32" s="34" t="n"/>
      <c r="BW32" s="34" t="n"/>
      <c r="BX32" s="34" t="n"/>
      <c r="BY32" s="34" t="n"/>
      <c r="BZ32" s="34" t="n"/>
      <c r="CA32" s="34" t="n"/>
      <c r="CB32" s="34" t="n"/>
      <c r="CC32" s="34" t="n"/>
      <c r="CD32" s="34" t="n"/>
      <c r="CE32" s="34" t="n"/>
      <c r="CF32" s="34" t="n"/>
      <c r="CG32" s="34" t="n"/>
      <c r="CH32" s="34" t="n"/>
      <c r="CI32" s="34" t="n"/>
      <c r="CJ32" s="34" t="n"/>
      <c r="CK32" s="34" t="n"/>
      <c r="CL32" s="34" t="n"/>
      <c r="CM32" s="34" t="n"/>
      <c r="CN32" s="34" t="n"/>
      <c r="CO32" s="34" t="n"/>
      <c r="CP32" s="34" t="n"/>
      <c r="CQ32" s="34" t="n"/>
      <c r="CR32" s="34" t="n"/>
      <c r="CS32" s="34" t="n"/>
      <c r="CT32" s="34" t="n"/>
      <c r="CU32" s="34" t="n"/>
      <c r="CV32" s="34" t="n"/>
      <c r="CW32" s="34" t="n"/>
      <c r="CX32" s="34" t="n"/>
      <c r="CY32" s="34" t="n"/>
      <c r="CZ32" s="34" t="n"/>
      <c r="DA32" s="34" t="n"/>
      <c r="DB32" s="34" t="n"/>
      <c r="DC32" s="34" t="n"/>
      <c r="DD32" s="34" t="n"/>
      <c r="DE32" s="34" t="n"/>
      <c r="DF32" s="34" t="n"/>
      <c r="DG32" s="34" t="n"/>
      <c r="DH32" s="34" t="n"/>
      <c r="DI32" s="34" t="n"/>
      <c r="DJ32" s="34" t="n"/>
      <c r="DK32" s="34" t="n"/>
      <c r="DL32" s="34" t="n"/>
      <c r="DM32" s="34" t="n"/>
      <c r="DN32" s="34" t="n"/>
      <c r="DO32" s="34" t="n"/>
      <c r="DP32" s="34" t="n"/>
      <c r="DQ32" s="34" t="n"/>
    </row>
    <row r="33" ht="16" customHeight="1">
      <c r="A33" s="38" t="n"/>
      <c r="B33" s="38" t="n"/>
      <c r="C33" s="38" t="n"/>
      <c r="D33" s="38" t="n"/>
      <c r="E33" s="38" t="n"/>
      <c r="F33" s="38" t="n"/>
      <c r="G33" s="38" t="n"/>
      <c r="H33" s="34" t="n"/>
      <c r="I33" s="34" t="n"/>
      <c r="J33" s="34" t="n"/>
      <c r="K33" s="34" t="n"/>
      <c r="L33" s="34" t="n"/>
      <c r="M33" s="34" t="n"/>
      <c r="N33" s="34" t="n"/>
      <c r="O33" s="34">
        <f>IFERROR(INDEX('_courses_lookup'!$C:$C,MATCH(K33&amp;L33,'_courses_lookup'!$E:$E,0)),"")</f>
        <v/>
      </c>
      <c r="P33" s="34">
        <f>IFERROR(INDEX('_courses_lookup'!$D:$D,MATCH(K33&amp;L33,'_courses_lookup'!$E:$E,0)),"")</f>
        <v/>
      </c>
      <c r="Q33" s="34" t="n"/>
      <c r="R33" s="34" t="n"/>
      <c r="S33" s="34" t="n"/>
      <c r="T33" s="34" t="n"/>
      <c r="U33" s="34" t="n"/>
      <c r="V33" s="34" t="n"/>
      <c r="W33" s="34" t="n"/>
      <c r="X33" s="34" t="n"/>
      <c r="Y33" s="30" t="n"/>
      <c r="Z33" s="34" t="n"/>
      <c r="AA33" s="34" t="n"/>
      <c r="AB33" s="34" t="n"/>
      <c r="AC33" s="34" t="n"/>
      <c r="AD33" s="34" t="n"/>
      <c r="AE33" s="34" t="n"/>
      <c r="AF33" s="34" t="n"/>
      <c r="AG33" s="34">
        <f>IF(AND(AE33&lt;&gt;"",AF33&lt;&gt;""),ROUNDUP((AF33-AE33)/7,0),"")</f>
        <v/>
      </c>
      <c r="AH33" s="34" t="n"/>
      <c r="AI33" s="34">
        <f>IFERROR(IF(AG33*AH33=0,"",AG33*AH33),"")</f>
        <v/>
      </c>
      <c r="AJ33" s="34" t="n"/>
      <c r="AK33" s="34" t="n"/>
      <c r="AL33" s="34">
        <f>IF(AND(AJ33&lt;&gt;"",AK33&lt;&gt;""),ROUNDUP((AK33-AJ33)/7,0),"")</f>
        <v/>
      </c>
      <c r="AM33" s="34" t="n"/>
      <c r="AN33" s="34">
        <f>IFERROR(IF(AL33*AM33=0,"",AL33*AM33),"")</f>
        <v/>
      </c>
      <c r="AO33" s="34" t="n"/>
      <c r="AP33" s="34" t="n"/>
      <c r="AQ33" s="34">
        <f>IF(AND(AO33&lt;&gt;"",AP33&lt;&gt;""),ROUNDUP((AP33-AO33)/7,0),"")</f>
        <v/>
      </c>
      <c r="AR33" s="34">
        <f>IFERROR(IF((AU33-(AI33+AN33))/AQ33=0,"",ROUNDUP((AU33-(AI33+AN33))/AQ33,0)),"")</f>
        <v/>
      </c>
      <c r="AS33" s="34">
        <f>IFERROR(IF((AU33-(AI33+AN33))=0,"",(AU33-(AI33+AN33))),"")</f>
        <v/>
      </c>
      <c r="AT33" s="34">
        <f>IF(AND(AG33="",AQ33=""),AL33,IF(SUM(AG33,AL33,AQ33)=0,"",SUM(AG33,AL33,AQ33)))</f>
        <v/>
      </c>
      <c r="AU33" s="34" t="n"/>
      <c r="AV33" s="34" t="n"/>
      <c r="AW33" s="34" t="n"/>
      <c r="AX33" s="34" t="n"/>
      <c r="AY33" s="34" t="n"/>
      <c r="AZ33" s="30" t="n"/>
      <c r="BA33" s="34" t="n"/>
      <c r="BB33" s="34" t="n"/>
      <c r="BC33" s="34" t="n"/>
      <c r="BD33" s="34" t="n"/>
      <c r="BE33" s="34" t="n"/>
      <c r="BF33" s="34" t="n"/>
      <c r="BG33" s="34">
        <f>IF(AD33="","",YEAR(AD33)+IF(MONTH(AD33)&gt;=5,1,0))</f>
        <v/>
      </c>
      <c r="BH33" s="34">
        <f>IF(AD33="","",IF(AND(MONTH(AD33)=8,DAY(AD33)&gt;=15),"Fall",IF(MONTH(AD33)&gt;8,"Fall",IF(MONTH(AD33)=5,"Summer",IF(MONTH(AD33)=1,"Spring","")))))</f>
        <v/>
      </c>
      <c r="BI33" s="34" t="n"/>
      <c r="BJ33" s="34" t="n"/>
      <c r="BK33" s="30">
        <f>IF($BJ33="","",IFERROR(INDEX(InstructorMap!$B:$B, MATCH($BJ33, InstructorMap!$A:$A, 0)),""))</f>
        <v/>
      </c>
      <c r="BL33" s="30">
        <f>IFERROR(INDEX('_names_lookup'!$C:$C,MATCH(BK33,'_names_lookup'!$A:$A,0)),"")</f>
        <v/>
      </c>
      <c r="BM33" s="34">
        <f>IFERROR(INDEX('_names_lookup'!$B:$B,MATCH(BK33,'_names_lookup'!$A:$A,0)),"")</f>
        <v/>
      </c>
      <c r="BN33" s="34" t="n"/>
      <c r="BO33" s="34" t="n"/>
      <c r="BP33" s="34" t="n"/>
      <c r="BQ33" s="34" t="n"/>
      <c r="BR33" s="34" t="n"/>
      <c r="BS33" s="34">
        <f>IFERROR(IF(BR33*AA33=0,"",BR33*AA33),"")</f>
        <v/>
      </c>
      <c r="BT33" s="34" t="n"/>
      <c r="BU33" s="34" t="n"/>
      <c r="BV33" s="34" t="n"/>
      <c r="BW33" s="34" t="n"/>
      <c r="BX33" s="34" t="n"/>
      <c r="BY33" s="34" t="n"/>
      <c r="BZ33" s="34" t="n"/>
      <c r="CA33" s="34" t="n"/>
      <c r="CB33" s="34" t="n"/>
      <c r="CC33" s="34" t="n"/>
      <c r="CD33" s="34" t="n"/>
      <c r="CE33" s="34" t="n"/>
      <c r="CF33" s="34" t="n"/>
      <c r="CG33" s="34" t="n"/>
      <c r="CH33" s="34" t="n"/>
      <c r="CI33" s="34" t="n"/>
      <c r="CJ33" s="34" t="n"/>
      <c r="CK33" s="34" t="n"/>
      <c r="CL33" s="34" t="n"/>
      <c r="CM33" s="34" t="n"/>
      <c r="CN33" s="34" t="n"/>
      <c r="CO33" s="34" t="n"/>
      <c r="CP33" s="34" t="n"/>
      <c r="CQ33" s="34" t="n"/>
      <c r="CR33" s="34" t="n"/>
      <c r="CS33" s="34" t="n"/>
      <c r="CT33" s="34" t="n"/>
      <c r="CU33" s="34" t="n"/>
      <c r="CV33" s="34" t="n"/>
      <c r="CW33" s="34" t="n"/>
      <c r="CX33" s="34" t="n"/>
      <c r="CY33" s="34" t="n"/>
      <c r="CZ33" s="34" t="n"/>
      <c r="DA33" s="34" t="n"/>
      <c r="DB33" s="34" t="n"/>
      <c r="DC33" s="34" t="n"/>
      <c r="DD33" s="34" t="n"/>
      <c r="DE33" s="34" t="n"/>
      <c r="DF33" s="34" t="n"/>
      <c r="DG33" s="34" t="n"/>
      <c r="DH33" s="34" t="n"/>
      <c r="DI33" s="34" t="n"/>
      <c r="DJ33" s="34" t="n"/>
      <c r="DK33" s="34" t="n"/>
      <c r="DL33" s="34" t="n"/>
      <c r="DM33" s="34" t="n"/>
      <c r="DN33" s="34" t="n"/>
      <c r="DO33" s="34" t="n"/>
      <c r="DP33" s="34" t="n"/>
      <c r="DQ33" s="34" t="n"/>
    </row>
    <row r="34" ht="16" customHeight="1">
      <c r="A34" s="38" t="n"/>
      <c r="B34" s="38" t="n"/>
      <c r="C34" s="38" t="n"/>
      <c r="D34" s="38" t="n"/>
      <c r="E34" s="38" t="n"/>
      <c r="F34" s="38" t="n"/>
      <c r="G34" s="38" t="n"/>
      <c r="H34" s="34" t="n"/>
      <c r="I34" s="34" t="n"/>
      <c r="J34" s="34" t="n"/>
      <c r="K34" s="34" t="n"/>
      <c r="L34" s="34" t="n"/>
      <c r="M34" s="34" t="n"/>
      <c r="N34" s="34" t="n"/>
      <c r="O34" s="34">
        <f>IFERROR(INDEX('_courses_lookup'!$C:$C,MATCH(K34&amp;L34,'_courses_lookup'!$E:$E,0)),"")</f>
        <v/>
      </c>
      <c r="P34" s="34">
        <f>IFERROR(INDEX('_courses_lookup'!$D:$D,MATCH(K34&amp;L34,'_courses_lookup'!$E:$E,0)),"")</f>
        <v/>
      </c>
      <c r="Q34" s="34" t="n"/>
      <c r="R34" s="34" t="n"/>
      <c r="S34" s="34" t="n"/>
      <c r="T34" s="34" t="n"/>
      <c r="U34" s="34" t="n"/>
      <c r="V34" s="34" t="n"/>
      <c r="W34" s="34" t="n"/>
      <c r="X34" s="34" t="n"/>
      <c r="Y34" s="30" t="n"/>
      <c r="Z34" s="34" t="n"/>
      <c r="AA34" s="34" t="n"/>
      <c r="AB34" s="34" t="n"/>
      <c r="AC34" s="34" t="n"/>
      <c r="AD34" s="34" t="n"/>
      <c r="AE34" s="34" t="n"/>
      <c r="AF34" s="34" t="n"/>
      <c r="AG34" s="34">
        <f>IF(AND(AE34&lt;&gt;"",AF34&lt;&gt;""),ROUNDUP((AF34-AE34)/7,0),"")</f>
        <v/>
      </c>
      <c r="AH34" s="34" t="n"/>
      <c r="AI34" s="34">
        <f>IFERROR(IF(AG34*AH34=0,"",AG34*AH34),"")</f>
        <v/>
      </c>
      <c r="AJ34" s="34" t="n"/>
      <c r="AK34" s="34" t="n"/>
      <c r="AL34" s="34">
        <f>IF(AND(AJ34&lt;&gt;"",AK34&lt;&gt;""),ROUNDUP((AK34-AJ34)/7,0),"")</f>
        <v/>
      </c>
      <c r="AM34" s="34" t="n"/>
      <c r="AN34" s="34">
        <f>IFERROR(IF(AL34*AM34=0,"",AL34*AM34),"")</f>
        <v/>
      </c>
      <c r="AO34" s="34" t="n"/>
      <c r="AP34" s="34" t="n"/>
      <c r="AQ34" s="34">
        <f>IF(AND(AO34&lt;&gt;"",AP34&lt;&gt;""),ROUNDUP((AP34-AO34)/7,0),"")</f>
        <v/>
      </c>
      <c r="AR34" s="34">
        <f>IFERROR(IF((AU34-(AI34+AN34))/AQ34=0,"",ROUNDUP((AU34-(AI34+AN34))/AQ34,0)),"")</f>
        <v/>
      </c>
      <c r="AS34" s="34">
        <f>IFERROR(IF((AU34-(AI34+AN34))=0,"",(AU34-(AI34+AN34))),"")</f>
        <v/>
      </c>
      <c r="AT34" s="34">
        <f>IF(AND(AG34="",AQ34=""),AL34,IF(SUM(AG34,AL34,AQ34)=0,"",SUM(AG34,AL34,AQ34)))</f>
        <v/>
      </c>
      <c r="AU34" s="34" t="n"/>
      <c r="AV34" s="34" t="n"/>
      <c r="AW34" s="34" t="n"/>
      <c r="AX34" s="34" t="n"/>
      <c r="AY34" s="34" t="n"/>
      <c r="AZ34" s="30" t="n"/>
      <c r="BA34" s="34" t="n"/>
      <c r="BB34" s="34" t="n"/>
      <c r="BC34" s="34" t="n"/>
      <c r="BD34" s="34" t="n"/>
      <c r="BE34" s="34" t="n"/>
      <c r="BF34" s="34" t="n"/>
      <c r="BG34" s="34">
        <f>IF(AD34="","",YEAR(AD34)+IF(MONTH(AD34)&gt;=5,1,0))</f>
        <v/>
      </c>
      <c r="BH34" s="34">
        <f>IF(AD34="","",IF(AND(MONTH(AD34)=8,DAY(AD34)&gt;=15),"Fall",IF(MONTH(AD34)&gt;8,"Fall",IF(MONTH(AD34)=5,"Summer",IF(MONTH(AD34)=1,"Spring","")))))</f>
        <v/>
      </c>
      <c r="BI34" s="34" t="n"/>
      <c r="BJ34" s="34" t="n"/>
      <c r="BK34" s="30">
        <f>IF($BJ34="","",IFERROR(INDEX(InstructorMap!$B:$B, MATCH($BJ34, InstructorMap!$A:$A, 0)),""))</f>
        <v/>
      </c>
      <c r="BL34" s="30">
        <f>IFERROR(INDEX('_names_lookup'!$C:$C,MATCH(BK34,'_names_lookup'!$A:$A,0)),"")</f>
        <v/>
      </c>
      <c r="BM34" s="34">
        <f>IFERROR(INDEX('_names_lookup'!$B:$B,MATCH(BK34,'_names_lookup'!$A:$A,0)),"")</f>
        <v/>
      </c>
      <c r="BN34" s="34" t="n"/>
      <c r="BO34" s="34" t="n"/>
      <c r="BP34" s="34" t="n"/>
      <c r="BQ34" s="34" t="n"/>
      <c r="BR34" s="34" t="n"/>
      <c r="BS34" s="34">
        <f>IFERROR(IF(BR34*AA34=0,"",BR34*AA34),"")</f>
        <v/>
      </c>
      <c r="BT34" s="34" t="n"/>
      <c r="BU34" s="34" t="n"/>
      <c r="BV34" s="34" t="n"/>
      <c r="BW34" s="34" t="n"/>
      <c r="BX34" s="34" t="n"/>
      <c r="BY34" s="34" t="n"/>
      <c r="BZ34" s="34" t="n"/>
      <c r="CA34" s="34" t="n"/>
      <c r="CB34" s="34" t="n"/>
      <c r="CC34" s="34" t="n"/>
      <c r="CD34" s="34" t="n"/>
      <c r="CE34" s="34" t="n"/>
      <c r="CF34" s="34" t="n"/>
      <c r="CG34" s="34" t="n"/>
      <c r="CH34" s="34" t="n"/>
      <c r="CI34" s="34" t="n"/>
      <c r="CJ34" s="34" t="n"/>
      <c r="CK34" s="34" t="n"/>
      <c r="CL34" s="34" t="n"/>
      <c r="CM34" s="34" t="n"/>
      <c r="CN34" s="34" t="n"/>
      <c r="CO34" s="34" t="n"/>
      <c r="CP34" s="34" t="n"/>
      <c r="CQ34" s="34" t="n"/>
      <c r="CR34" s="34" t="n"/>
      <c r="CS34" s="34" t="n"/>
      <c r="CT34" s="34" t="n"/>
      <c r="CU34" s="34" t="n"/>
      <c r="CV34" s="34" t="n"/>
      <c r="CW34" s="34" t="n"/>
      <c r="CX34" s="34" t="n"/>
      <c r="CY34" s="34" t="n"/>
      <c r="CZ34" s="34" t="n"/>
      <c r="DA34" s="34" t="n"/>
      <c r="DB34" s="34" t="n"/>
      <c r="DC34" s="34" t="n"/>
      <c r="DD34" s="34" t="n"/>
      <c r="DE34" s="34" t="n"/>
      <c r="DF34" s="34" t="n"/>
      <c r="DG34" s="34" t="n"/>
      <c r="DH34" s="34" t="n"/>
      <c r="DI34" s="34" t="n"/>
      <c r="DJ34" s="34" t="n"/>
      <c r="DK34" s="34" t="n"/>
      <c r="DL34" s="34" t="n"/>
      <c r="DM34" s="34" t="n"/>
      <c r="DN34" s="34" t="n"/>
      <c r="DO34" s="34" t="n"/>
      <c r="DP34" s="34" t="n"/>
      <c r="DQ34" s="34" t="n"/>
    </row>
    <row r="35" ht="16" customHeight="1">
      <c r="A35" s="38" t="n"/>
      <c r="B35" s="38" t="n"/>
      <c r="C35" s="38" t="n"/>
      <c r="D35" s="38" t="n"/>
      <c r="E35" s="38" t="n"/>
      <c r="F35" s="38" t="n"/>
      <c r="G35" s="38" t="n"/>
      <c r="H35" s="34" t="n"/>
      <c r="I35" s="34" t="n"/>
      <c r="J35" s="34" t="n"/>
      <c r="K35" s="34" t="n"/>
      <c r="L35" s="34" t="n"/>
      <c r="M35" s="34" t="n"/>
      <c r="N35" s="34" t="n"/>
      <c r="O35" s="34">
        <f>IFERROR(INDEX('_courses_lookup'!$C:$C,MATCH(K35&amp;L35,'_courses_lookup'!$E:$E,0)),"")</f>
        <v/>
      </c>
      <c r="P35" s="34">
        <f>IFERROR(INDEX('_courses_lookup'!$D:$D,MATCH(K35&amp;L35,'_courses_lookup'!$E:$E,0)),"")</f>
        <v/>
      </c>
      <c r="Q35" s="34" t="n"/>
      <c r="R35" s="34" t="n"/>
      <c r="S35" s="34" t="n"/>
      <c r="T35" s="34" t="n"/>
      <c r="U35" s="34" t="n"/>
      <c r="V35" s="34" t="n"/>
      <c r="W35" s="34" t="n"/>
      <c r="X35" s="34" t="n"/>
      <c r="Y35" s="30" t="n"/>
      <c r="Z35" s="34" t="n"/>
      <c r="AA35" s="34" t="n"/>
      <c r="AB35" s="34" t="n"/>
      <c r="AC35" s="34" t="n"/>
      <c r="AD35" s="34" t="n"/>
      <c r="AE35" s="34" t="n"/>
      <c r="AF35" s="34" t="n"/>
      <c r="AG35" s="34">
        <f>IF(AND(AE35&lt;&gt;"",AF35&lt;&gt;""),ROUNDUP((AF35-AE35)/7,0),"")</f>
        <v/>
      </c>
      <c r="AH35" s="34" t="n"/>
      <c r="AI35" s="34">
        <f>IFERROR(IF(AG35*AH35=0,"",AG35*AH35),"")</f>
        <v/>
      </c>
      <c r="AJ35" s="34" t="n"/>
      <c r="AK35" s="34" t="n"/>
      <c r="AL35" s="34">
        <f>IF(AND(AJ35&lt;&gt;"",AK35&lt;&gt;""),ROUNDUP((AK35-AJ35)/7,0),"")</f>
        <v/>
      </c>
      <c r="AM35" s="34" t="n"/>
      <c r="AN35" s="34">
        <f>IFERROR(IF(AL35*AM35=0,"",AL35*AM35),"")</f>
        <v/>
      </c>
      <c r="AO35" s="34" t="n"/>
      <c r="AP35" s="34" t="n"/>
      <c r="AQ35" s="34">
        <f>IF(AND(AO35&lt;&gt;"",AP35&lt;&gt;""),ROUNDUP((AP35-AO35)/7,0),"")</f>
        <v/>
      </c>
      <c r="AR35" s="34">
        <f>IFERROR(IF((AU35-(AI35+AN35))/AQ35=0,"",ROUNDUP((AU35-(AI35+AN35))/AQ35,0)),"")</f>
        <v/>
      </c>
      <c r="AS35" s="34">
        <f>IFERROR(IF((AU35-(AI35+AN35))=0,"",(AU35-(AI35+AN35))),"")</f>
        <v/>
      </c>
      <c r="AT35" s="34">
        <f>IF(AND(AG35="",AQ35=""),AL35,IF(SUM(AG35,AL35,AQ35)=0,"",SUM(AG35,AL35,AQ35)))</f>
        <v/>
      </c>
      <c r="AU35" s="34" t="n"/>
      <c r="AV35" s="34" t="n"/>
      <c r="AW35" s="34" t="n"/>
      <c r="AX35" s="34" t="n"/>
      <c r="AY35" s="34" t="n"/>
      <c r="AZ35" s="30" t="n"/>
      <c r="BA35" s="34" t="n"/>
      <c r="BB35" s="34" t="n"/>
      <c r="BC35" s="34" t="n"/>
      <c r="BD35" s="34" t="n"/>
      <c r="BE35" s="34" t="n"/>
      <c r="BF35" s="34" t="n"/>
      <c r="BG35" s="34">
        <f>IF(AD35="","",YEAR(AD35)+IF(MONTH(AD35)&gt;=5,1,0))</f>
        <v/>
      </c>
      <c r="BH35" s="34">
        <f>IF(AD35="","",IF(AND(MONTH(AD35)=8,DAY(AD35)&gt;=15),"Fall",IF(MONTH(AD35)&gt;8,"Fall",IF(MONTH(AD35)=5,"Summer",IF(MONTH(AD35)=1,"Spring","")))))</f>
        <v/>
      </c>
      <c r="BI35" s="34" t="n"/>
      <c r="BJ35" s="34" t="n"/>
      <c r="BK35" s="30">
        <f>IF($BJ35="","",IFERROR(INDEX(InstructorMap!$B:$B, MATCH($BJ35, InstructorMap!$A:$A, 0)),""))</f>
        <v/>
      </c>
      <c r="BL35" s="30">
        <f>IFERROR(INDEX('_names_lookup'!$C:$C,MATCH(BK35,'_names_lookup'!$A:$A,0)),"")</f>
        <v/>
      </c>
      <c r="BM35" s="34">
        <f>IFERROR(INDEX('_names_lookup'!$B:$B,MATCH(BK35,'_names_lookup'!$A:$A,0)),"")</f>
        <v/>
      </c>
      <c r="BN35" s="34" t="n"/>
      <c r="BO35" s="34" t="n"/>
      <c r="BP35" s="34" t="n"/>
      <c r="BQ35" s="34" t="n"/>
      <c r="BR35" s="34" t="n"/>
      <c r="BS35" s="34">
        <f>IFERROR(IF(BR35*AA35=0,"",BR35*AA35),"")</f>
        <v/>
      </c>
      <c r="BT35" s="34" t="n"/>
      <c r="BU35" s="34" t="n"/>
      <c r="BV35" s="34" t="n"/>
      <c r="BW35" s="34" t="n"/>
      <c r="BX35" s="34" t="n"/>
      <c r="BY35" s="34" t="n"/>
      <c r="BZ35" s="34" t="n"/>
      <c r="CA35" s="34" t="n"/>
      <c r="CB35" s="34" t="n"/>
      <c r="CC35" s="34" t="n"/>
      <c r="CD35" s="34" t="n"/>
      <c r="CE35" s="34" t="n"/>
      <c r="CF35" s="34" t="n"/>
      <c r="CG35" s="34" t="n"/>
      <c r="CH35" s="34" t="n"/>
      <c r="CI35" s="34" t="n"/>
      <c r="CJ35" s="34" t="n"/>
      <c r="CK35" s="34" t="n"/>
      <c r="CL35" s="34" t="n"/>
      <c r="CM35" s="34" t="n"/>
      <c r="CN35" s="34" t="n"/>
      <c r="CO35" s="34" t="n"/>
      <c r="CP35" s="34" t="n"/>
      <c r="CQ35" s="34" t="n"/>
      <c r="CR35" s="34" t="n"/>
      <c r="CS35" s="34" t="n"/>
      <c r="CT35" s="34" t="n"/>
      <c r="CU35" s="34" t="n"/>
      <c r="CV35" s="34" t="n"/>
      <c r="CW35" s="34" t="n"/>
      <c r="CX35" s="34" t="n"/>
      <c r="CY35" s="34" t="n"/>
      <c r="CZ35" s="34" t="n"/>
      <c r="DA35" s="34" t="n"/>
      <c r="DB35" s="34" t="n"/>
      <c r="DC35" s="34" t="n"/>
      <c r="DD35" s="34" t="n"/>
      <c r="DE35" s="34" t="n"/>
      <c r="DF35" s="34" t="n"/>
      <c r="DG35" s="34" t="n"/>
      <c r="DH35" s="34" t="n"/>
      <c r="DI35" s="34" t="n"/>
      <c r="DJ35" s="34" t="n"/>
      <c r="DK35" s="34" t="n"/>
      <c r="DL35" s="34" t="n"/>
      <c r="DM35" s="34" t="n"/>
      <c r="DN35" s="34" t="n"/>
      <c r="DO35" s="34" t="n"/>
      <c r="DP35" s="34" t="n"/>
      <c r="DQ35" s="34" t="n"/>
    </row>
    <row r="36" ht="16" customHeight="1">
      <c r="A36" s="38" t="n"/>
      <c r="B36" s="38" t="n"/>
      <c r="C36" s="38" t="n"/>
      <c r="D36" s="38" t="n"/>
      <c r="E36" s="38" t="n"/>
      <c r="F36" s="38" t="n"/>
      <c r="G36" s="38" t="n"/>
      <c r="H36" s="34" t="n"/>
      <c r="I36" s="34" t="n"/>
      <c r="J36" s="34" t="n"/>
      <c r="K36" s="34" t="n"/>
      <c r="L36" s="34" t="n"/>
      <c r="M36" s="34" t="n"/>
      <c r="N36" s="34" t="n"/>
      <c r="O36" s="34">
        <f>IFERROR(INDEX('_courses_lookup'!$C:$C,MATCH(K36&amp;L36,'_courses_lookup'!$E:$E,0)),"")</f>
        <v/>
      </c>
      <c r="P36" s="34">
        <f>IFERROR(INDEX('_courses_lookup'!$D:$D,MATCH(K36&amp;L36,'_courses_lookup'!$E:$E,0)),"")</f>
        <v/>
      </c>
      <c r="Q36" s="34" t="n"/>
      <c r="R36" s="34" t="n"/>
      <c r="S36" s="34" t="n"/>
      <c r="T36" s="34" t="n"/>
      <c r="U36" s="34" t="n"/>
      <c r="V36" s="34" t="n"/>
      <c r="W36" s="34" t="n"/>
      <c r="X36" s="34" t="n"/>
      <c r="Y36" s="30" t="n"/>
      <c r="Z36" s="34" t="n"/>
      <c r="AA36" s="34" t="n"/>
      <c r="AB36" s="34" t="n"/>
      <c r="AC36" s="34" t="n"/>
      <c r="AD36" s="34" t="n"/>
      <c r="AE36" s="34" t="n"/>
      <c r="AF36" s="34" t="n"/>
      <c r="AG36" s="34">
        <f>IF(AND(AE36&lt;&gt;"",AF36&lt;&gt;""),ROUNDUP((AF36-AE36)/7,0),"")</f>
        <v/>
      </c>
      <c r="AH36" s="34" t="n"/>
      <c r="AI36" s="34">
        <f>IFERROR(IF(AG36*AH36=0,"",AG36*AH36),"")</f>
        <v/>
      </c>
      <c r="AJ36" s="34" t="n"/>
      <c r="AK36" s="34" t="n"/>
      <c r="AL36" s="34">
        <f>IF(AND(AJ36&lt;&gt;"",AK36&lt;&gt;""),ROUNDUP((AK36-AJ36)/7,0),"")</f>
        <v/>
      </c>
      <c r="AM36" s="34" t="n"/>
      <c r="AN36" s="34">
        <f>IFERROR(IF(AL36*AM36=0,"",AL36*AM36),"")</f>
        <v/>
      </c>
      <c r="AO36" s="34" t="n"/>
      <c r="AP36" s="34" t="n"/>
      <c r="AQ36" s="34">
        <f>IF(AND(AO36&lt;&gt;"",AP36&lt;&gt;""),ROUNDUP((AP36-AO36)/7,0),"")</f>
        <v/>
      </c>
      <c r="AR36" s="34">
        <f>IFERROR(IF((AU36-(AI36+AN36))/AQ36=0,"",ROUNDUP((AU36-(AI36+AN36))/AQ36,0)),"")</f>
        <v/>
      </c>
      <c r="AS36" s="34">
        <f>IFERROR(IF((AU36-(AI36+AN36))=0,"",(AU36-(AI36+AN36))),"")</f>
        <v/>
      </c>
      <c r="AT36" s="34">
        <f>IF(AND(AG36="",AQ36=""),AL36,IF(SUM(AG36,AL36,AQ36)=0,"",SUM(AG36,AL36,AQ36)))</f>
        <v/>
      </c>
      <c r="AU36" s="34" t="n"/>
      <c r="AV36" s="34" t="n"/>
      <c r="AW36" s="34" t="n"/>
      <c r="AX36" s="34" t="n"/>
      <c r="AY36" s="34" t="n"/>
      <c r="AZ36" s="30" t="n"/>
      <c r="BA36" s="34" t="n"/>
      <c r="BB36" s="34" t="n"/>
      <c r="BC36" s="34" t="n"/>
      <c r="BD36" s="34" t="n"/>
      <c r="BE36" s="34" t="n"/>
      <c r="BF36" s="34" t="n"/>
      <c r="BG36" s="34">
        <f>IF(AD36="","",YEAR(AD36)+IF(MONTH(AD36)&gt;=5,1,0))</f>
        <v/>
      </c>
      <c r="BH36" s="34">
        <f>IF(AD36="","",IF(AND(MONTH(AD36)=8,DAY(AD36)&gt;=15),"Fall",IF(MONTH(AD36)&gt;8,"Fall",IF(MONTH(AD36)=5,"Summer",IF(MONTH(AD36)=1,"Spring","")))))</f>
        <v/>
      </c>
      <c r="BI36" s="34" t="n"/>
      <c r="BJ36" s="34" t="n"/>
      <c r="BK36" s="30">
        <f>IF($BJ36="","",IFERROR(INDEX(InstructorMap!$B:$B, MATCH($BJ36, InstructorMap!$A:$A, 0)),""))</f>
        <v/>
      </c>
      <c r="BL36" s="30">
        <f>IFERROR(INDEX('_names_lookup'!$C:$C,MATCH(BK36,'_names_lookup'!$A:$A,0)),"")</f>
        <v/>
      </c>
      <c r="BM36" s="34">
        <f>IFERROR(INDEX('_names_lookup'!$B:$B,MATCH(BK36,'_names_lookup'!$A:$A,0)),"")</f>
        <v/>
      </c>
      <c r="BN36" s="34" t="n"/>
      <c r="BO36" s="34" t="n"/>
      <c r="BP36" s="34" t="n"/>
      <c r="BQ36" s="34" t="n"/>
      <c r="BR36" s="34" t="n"/>
      <c r="BS36" s="34">
        <f>IFERROR(IF(BR36*AA36=0,"",BR36*AA36),"")</f>
        <v/>
      </c>
      <c r="BT36" s="34" t="n"/>
      <c r="BU36" s="34" t="n"/>
      <c r="BV36" s="34" t="n"/>
      <c r="BW36" s="34" t="n"/>
      <c r="BX36" s="34" t="n"/>
      <c r="BY36" s="34" t="n"/>
      <c r="BZ36" s="34" t="n"/>
      <c r="CA36" s="34" t="n"/>
      <c r="CB36" s="34" t="n"/>
      <c r="CC36" s="34" t="n"/>
      <c r="CD36" s="34" t="n"/>
      <c r="CE36" s="34" t="n"/>
      <c r="CF36" s="34" t="n"/>
      <c r="CG36" s="34" t="n"/>
      <c r="CH36" s="34" t="n"/>
      <c r="CI36" s="34" t="n"/>
      <c r="CJ36" s="34" t="n"/>
      <c r="CK36" s="34" t="n"/>
      <c r="CL36" s="34" t="n"/>
      <c r="CM36" s="34" t="n"/>
      <c r="CN36" s="34" t="n"/>
      <c r="CO36" s="34" t="n"/>
      <c r="CP36" s="34" t="n"/>
      <c r="CQ36" s="34" t="n"/>
      <c r="CR36" s="34" t="n"/>
      <c r="CS36" s="34" t="n"/>
      <c r="CT36" s="34" t="n"/>
      <c r="CU36" s="34" t="n"/>
      <c r="CV36" s="34" t="n"/>
      <c r="CW36" s="34" t="n"/>
      <c r="CX36" s="34" t="n"/>
      <c r="CY36" s="34" t="n"/>
      <c r="CZ36" s="34" t="n"/>
      <c r="DA36" s="34" t="n"/>
      <c r="DB36" s="34" t="n"/>
      <c r="DC36" s="34" t="n"/>
      <c r="DD36" s="34" t="n"/>
      <c r="DE36" s="34" t="n"/>
      <c r="DF36" s="34" t="n"/>
      <c r="DG36" s="34" t="n"/>
      <c r="DH36" s="34" t="n"/>
      <c r="DI36" s="34" t="n"/>
      <c r="DJ36" s="34" t="n"/>
      <c r="DK36" s="34" t="n"/>
      <c r="DL36" s="34" t="n"/>
      <c r="DM36" s="34" t="n"/>
      <c r="DN36" s="34" t="n"/>
      <c r="DO36" s="34" t="n"/>
      <c r="DP36" s="34" t="n"/>
      <c r="DQ36" s="34" t="n"/>
    </row>
    <row r="37" ht="16" customHeight="1">
      <c r="A37" s="38" t="n"/>
      <c r="B37" s="38" t="n"/>
      <c r="C37" s="38" t="n"/>
      <c r="D37" s="38" t="n"/>
      <c r="E37" s="38" t="n"/>
      <c r="F37" s="38" t="n"/>
      <c r="G37" s="38" t="n"/>
      <c r="H37" s="34" t="n"/>
      <c r="I37" s="34" t="n"/>
      <c r="J37" s="34" t="n"/>
      <c r="K37" s="34" t="n"/>
      <c r="L37" s="34" t="n"/>
      <c r="M37" s="34" t="n"/>
      <c r="N37" s="34" t="n"/>
      <c r="O37" s="34">
        <f>IFERROR(INDEX('_courses_lookup'!$C:$C,MATCH(K37&amp;L37,'_courses_lookup'!$E:$E,0)),"")</f>
        <v/>
      </c>
      <c r="P37" s="34">
        <f>IFERROR(INDEX('_courses_lookup'!$D:$D,MATCH(K37&amp;L37,'_courses_lookup'!$E:$E,0)),"")</f>
        <v/>
      </c>
      <c r="Q37" s="34" t="n"/>
      <c r="R37" s="34" t="n"/>
      <c r="S37" s="34" t="n"/>
      <c r="T37" s="34" t="n"/>
      <c r="U37" s="34" t="n"/>
      <c r="V37" s="34" t="n"/>
      <c r="W37" s="34" t="n"/>
      <c r="X37" s="34" t="n"/>
      <c r="Y37" s="30" t="n"/>
      <c r="Z37" s="34" t="n"/>
      <c r="AA37" s="34" t="n"/>
      <c r="AB37" s="34" t="n"/>
      <c r="AC37" s="34" t="n"/>
      <c r="AD37" s="34" t="n"/>
      <c r="AE37" s="34" t="n"/>
      <c r="AF37" s="34" t="n"/>
      <c r="AG37" s="34">
        <f>IF(AND(AE37&lt;&gt;"",AF37&lt;&gt;""),ROUNDUP((AF37-AE37)/7,0),"")</f>
        <v/>
      </c>
      <c r="AH37" s="34" t="n"/>
      <c r="AI37" s="34">
        <f>IFERROR(IF(AG37*AH37=0,"",AG37*AH37),"")</f>
        <v/>
      </c>
      <c r="AJ37" s="34" t="n"/>
      <c r="AK37" s="34" t="n"/>
      <c r="AL37" s="34">
        <f>IF(AND(AJ37&lt;&gt;"",AK37&lt;&gt;""),ROUNDUP((AK37-AJ37)/7,0),"")</f>
        <v/>
      </c>
      <c r="AM37" s="34" t="n"/>
      <c r="AN37" s="34">
        <f>IFERROR(IF(AL37*AM37=0,"",AL37*AM37),"")</f>
        <v/>
      </c>
      <c r="AO37" s="34" t="n"/>
      <c r="AP37" s="34" t="n"/>
      <c r="AQ37" s="34">
        <f>IF(AND(AO37&lt;&gt;"",AP37&lt;&gt;""),ROUNDUP((AP37-AO37)/7,0),"")</f>
        <v/>
      </c>
      <c r="AR37" s="34">
        <f>IFERROR(IF((AU37-(AI37+AN37))/AQ37=0,"",ROUNDUP((AU37-(AI37+AN37))/AQ37,0)),"")</f>
        <v/>
      </c>
      <c r="AS37" s="34">
        <f>IFERROR(IF((AU37-(AI37+AN37))=0,"",(AU37-(AI37+AN37))),"")</f>
        <v/>
      </c>
      <c r="AT37" s="34">
        <f>IF(AND(AG37="",AQ37=""),AL37,IF(SUM(AG37,AL37,AQ37)=0,"",SUM(AG37,AL37,AQ37)))</f>
        <v/>
      </c>
      <c r="AU37" s="34" t="n"/>
      <c r="AV37" s="34" t="n"/>
      <c r="AW37" s="34" t="n"/>
      <c r="AX37" s="34" t="n"/>
      <c r="AY37" s="34" t="n"/>
      <c r="AZ37" s="30" t="n"/>
      <c r="BA37" s="34" t="n"/>
      <c r="BB37" s="34" t="n"/>
      <c r="BC37" s="34" t="n"/>
      <c r="BD37" s="34" t="n"/>
      <c r="BE37" s="34" t="n"/>
      <c r="BF37" s="34" t="n"/>
      <c r="BG37" s="34">
        <f>IF(AD37="","",YEAR(AD37)+IF(MONTH(AD37)&gt;=5,1,0))</f>
        <v/>
      </c>
      <c r="BH37" s="34">
        <f>IF(AD37="","",IF(AND(MONTH(AD37)=8,DAY(AD37)&gt;=15),"Fall",IF(MONTH(AD37)&gt;8,"Fall",IF(MONTH(AD37)=5,"Summer",IF(MONTH(AD37)=1,"Spring","")))))</f>
        <v/>
      </c>
      <c r="BI37" s="34" t="n"/>
      <c r="BJ37" s="34" t="n"/>
      <c r="BK37" s="30">
        <f>IF($BJ37="","",IFERROR(INDEX(InstructorMap!$B:$B, MATCH($BJ37, InstructorMap!$A:$A, 0)),""))</f>
        <v/>
      </c>
      <c r="BL37" s="30">
        <f>IFERROR(INDEX('_names_lookup'!$C:$C,MATCH(BK37,'_names_lookup'!$A:$A,0)),"")</f>
        <v/>
      </c>
      <c r="BM37" s="34">
        <f>IFERROR(INDEX('_names_lookup'!$B:$B,MATCH(BK37,'_names_lookup'!$A:$A,0)),"")</f>
        <v/>
      </c>
      <c r="BN37" s="34" t="n"/>
      <c r="BO37" s="34" t="n"/>
      <c r="BP37" s="34" t="n"/>
      <c r="BQ37" s="34" t="n"/>
      <c r="BR37" s="34" t="n"/>
      <c r="BS37" s="34">
        <f>IFERROR(IF(BR37*AA37=0,"",BR37*AA37),"")</f>
        <v/>
      </c>
      <c r="BT37" s="34" t="n"/>
      <c r="BU37" s="34" t="n"/>
      <c r="BV37" s="34" t="n"/>
      <c r="BW37" s="34" t="n"/>
      <c r="BX37" s="34" t="n"/>
      <c r="BY37" s="34" t="n"/>
      <c r="BZ37" s="34" t="n"/>
      <c r="CA37" s="34" t="n"/>
      <c r="CB37" s="34" t="n"/>
      <c r="CC37" s="34" t="n"/>
      <c r="CD37" s="34" t="n"/>
      <c r="CE37" s="34" t="n"/>
      <c r="CF37" s="34" t="n"/>
      <c r="CG37" s="34" t="n"/>
      <c r="CH37" s="34" t="n"/>
      <c r="CI37" s="34" t="n"/>
      <c r="CJ37" s="34" t="n"/>
      <c r="CK37" s="34" t="n"/>
      <c r="CL37" s="34" t="n"/>
      <c r="CM37" s="34" t="n"/>
      <c r="CN37" s="34" t="n"/>
      <c r="CO37" s="34" t="n"/>
      <c r="CP37" s="34" t="n"/>
      <c r="CQ37" s="34" t="n"/>
      <c r="CR37" s="34" t="n"/>
      <c r="CS37" s="34" t="n"/>
      <c r="CT37" s="34" t="n"/>
      <c r="CU37" s="34" t="n"/>
      <c r="CV37" s="34" t="n"/>
      <c r="CW37" s="34" t="n"/>
      <c r="CX37" s="34" t="n"/>
      <c r="CY37" s="34" t="n"/>
      <c r="CZ37" s="34" t="n"/>
      <c r="DA37" s="34" t="n"/>
      <c r="DB37" s="34" t="n"/>
      <c r="DC37" s="34" t="n"/>
      <c r="DD37" s="34" t="n"/>
      <c r="DE37" s="34" t="n"/>
      <c r="DF37" s="34" t="n"/>
      <c r="DG37" s="34" t="n"/>
      <c r="DH37" s="34" t="n"/>
      <c r="DI37" s="34" t="n"/>
      <c r="DJ37" s="34" t="n"/>
      <c r="DK37" s="34" t="n"/>
      <c r="DL37" s="34" t="n"/>
      <c r="DM37" s="34" t="n"/>
      <c r="DN37" s="34" t="n"/>
      <c r="DO37" s="34" t="n"/>
      <c r="DP37" s="34" t="n"/>
      <c r="DQ37" s="34" t="n"/>
    </row>
    <row r="38" ht="16" customHeight="1">
      <c r="A38" s="38" t="n"/>
      <c r="B38" s="38" t="n"/>
      <c r="C38" s="38" t="n"/>
      <c r="D38" s="38" t="n"/>
      <c r="E38" s="38" t="n"/>
      <c r="F38" s="38" t="n"/>
      <c r="G38" s="38" t="n"/>
      <c r="H38" s="34" t="n"/>
      <c r="I38" s="34" t="n"/>
      <c r="J38" s="34" t="n"/>
      <c r="K38" s="34" t="n"/>
      <c r="L38" s="34" t="n"/>
      <c r="M38" s="34" t="n"/>
      <c r="N38" s="34" t="n"/>
      <c r="O38" s="34">
        <f>IFERROR(INDEX('_courses_lookup'!$C:$C,MATCH(K38&amp;L38,'_courses_lookup'!$E:$E,0)),"")</f>
        <v/>
      </c>
      <c r="P38" s="34">
        <f>IFERROR(INDEX('_courses_lookup'!$D:$D,MATCH(K38&amp;L38,'_courses_lookup'!$E:$E,0)),"")</f>
        <v/>
      </c>
      <c r="Q38" s="34" t="n"/>
      <c r="R38" s="34" t="n"/>
      <c r="S38" s="34" t="n"/>
      <c r="T38" s="34" t="n"/>
      <c r="U38" s="34" t="n"/>
      <c r="V38" s="34" t="n"/>
      <c r="W38" s="34" t="n"/>
      <c r="X38" s="34" t="n"/>
      <c r="Y38" s="30" t="n"/>
      <c r="Z38" s="34" t="n"/>
      <c r="AA38" s="34" t="n"/>
      <c r="AB38" s="34" t="n"/>
      <c r="AC38" s="34" t="n"/>
      <c r="AD38" s="34" t="n"/>
      <c r="AE38" s="34" t="n"/>
      <c r="AF38" s="34" t="n"/>
      <c r="AG38" s="34">
        <f>IF(AND(AE38&lt;&gt;"",AF38&lt;&gt;""),ROUNDUP((AF38-AE38)/7,0),"")</f>
        <v/>
      </c>
      <c r="AH38" s="34" t="n"/>
      <c r="AI38" s="34">
        <f>IFERROR(IF(AG38*AH38=0,"",AG38*AH38),"")</f>
        <v/>
      </c>
      <c r="AJ38" s="34" t="n"/>
      <c r="AK38" s="34" t="n"/>
      <c r="AL38" s="34">
        <f>IF(AND(AJ38&lt;&gt;"",AK38&lt;&gt;""),ROUNDUP((AK38-AJ38)/7,0),"")</f>
        <v/>
      </c>
      <c r="AM38" s="34" t="n"/>
      <c r="AN38" s="34">
        <f>IFERROR(IF(AL38*AM38=0,"",AL38*AM38),"")</f>
        <v/>
      </c>
      <c r="AO38" s="34" t="n"/>
      <c r="AP38" s="34" t="n"/>
      <c r="AQ38" s="34">
        <f>IF(AND(AO38&lt;&gt;"",AP38&lt;&gt;""),ROUNDUP((AP38-AO38)/7,0),"")</f>
        <v/>
      </c>
      <c r="AR38" s="34">
        <f>IFERROR(IF((AU38-(AI38+AN38))/AQ38=0,"",ROUNDUP((AU38-(AI38+AN38))/AQ38,0)),"")</f>
        <v/>
      </c>
      <c r="AS38" s="34">
        <f>IFERROR(IF((AU38-(AI38+AN38))=0,"",(AU38-(AI38+AN38))),"")</f>
        <v/>
      </c>
      <c r="AT38" s="34">
        <f>IF(AND(AG38="",AQ38=""),AL38,IF(SUM(AG38,AL38,AQ38)=0,"",SUM(AG38,AL38,AQ38)))</f>
        <v/>
      </c>
      <c r="AU38" s="34" t="n"/>
      <c r="AV38" s="34" t="n"/>
      <c r="AW38" s="34" t="n"/>
      <c r="AX38" s="34" t="n"/>
      <c r="AY38" s="34" t="n"/>
      <c r="AZ38" s="30" t="n"/>
      <c r="BA38" s="34" t="n"/>
      <c r="BB38" s="34" t="n"/>
      <c r="BC38" s="34" t="n"/>
      <c r="BD38" s="34" t="n"/>
      <c r="BE38" s="34" t="n"/>
      <c r="BF38" s="34" t="n"/>
      <c r="BG38" s="34">
        <f>IF(AD38="","",YEAR(AD38)+IF(MONTH(AD38)&gt;=5,1,0))</f>
        <v/>
      </c>
      <c r="BH38" s="34">
        <f>IF(AD38="","",IF(AND(MONTH(AD38)=8,DAY(AD38)&gt;=15),"Fall",IF(MONTH(AD38)&gt;8,"Fall",IF(MONTH(AD38)=5,"Summer",IF(MONTH(AD38)=1,"Spring","")))))</f>
        <v/>
      </c>
      <c r="BI38" s="34" t="n"/>
      <c r="BJ38" s="34" t="n"/>
      <c r="BK38" s="30">
        <f>IF($BJ38="","",IFERROR(INDEX(InstructorMap!$B:$B, MATCH($BJ38, InstructorMap!$A:$A, 0)),""))</f>
        <v/>
      </c>
      <c r="BL38" s="30">
        <f>IFERROR(INDEX('_names_lookup'!$C:$C,MATCH(BK38,'_names_lookup'!$A:$A,0)),"")</f>
        <v/>
      </c>
      <c r="BM38" s="34">
        <f>IFERROR(INDEX('_names_lookup'!$B:$B,MATCH(BK38,'_names_lookup'!$A:$A,0)),"")</f>
        <v/>
      </c>
      <c r="BN38" s="34" t="n"/>
      <c r="BO38" s="34" t="n"/>
      <c r="BP38" s="34" t="n"/>
      <c r="BQ38" s="34" t="n"/>
      <c r="BR38" s="34" t="n"/>
      <c r="BS38" s="34">
        <f>IFERROR(IF(BR38*AA38=0,"",BR38*AA38),"")</f>
        <v/>
      </c>
      <c r="BT38" s="34" t="n"/>
      <c r="BU38" s="34" t="n"/>
      <c r="BV38" s="34" t="n"/>
      <c r="BW38" s="34" t="n"/>
      <c r="BX38" s="34" t="n"/>
      <c r="BY38" s="34" t="n"/>
      <c r="BZ38" s="34" t="n"/>
      <c r="CA38" s="34" t="n"/>
      <c r="CB38" s="34" t="n"/>
      <c r="CC38" s="34" t="n"/>
      <c r="CD38" s="34" t="n"/>
      <c r="CE38" s="34" t="n"/>
      <c r="CF38" s="34" t="n"/>
      <c r="CG38" s="34" t="n"/>
      <c r="CH38" s="34" t="n"/>
      <c r="CI38" s="34" t="n"/>
      <c r="CJ38" s="34" t="n"/>
      <c r="CK38" s="34" t="n"/>
      <c r="CL38" s="34" t="n"/>
      <c r="CM38" s="34" t="n"/>
      <c r="CN38" s="34" t="n"/>
      <c r="CO38" s="34" t="n"/>
      <c r="CP38" s="34" t="n"/>
      <c r="CQ38" s="34" t="n"/>
      <c r="CR38" s="34" t="n"/>
      <c r="CS38" s="34" t="n"/>
      <c r="CT38" s="34" t="n"/>
      <c r="CU38" s="34" t="n"/>
      <c r="CV38" s="34" t="n"/>
      <c r="CW38" s="34" t="n"/>
      <c r="CX38" s="34" t="n"/>
      <c r="CY38" s="34" t="n"/>
      <c r="CZ38" s="34" t="n"/>
      <c r="DA38" s="34" t="n"/>
      <c r="DB38" s="34" t="n"/>
      <c r="DC38" s="34" t="n"/>
      <c r="DD38" s="34" t="n"/>
      <c r="DE38" s="34" t="n"/>
      <c r="DF38" s="34" t="n"/>
      <c r="DG38" s="34" t="n"/>
      <c r="DH38" s="34" t="n"/>
      <c r="DI38" s="34" t="n"/>
      <c r="DJ38" s="34" t="n"/>
      <c r="DK38" s="34" t="n"/>
      <c r="DL38" s="34" t="n"/>
      <c r="DM38" s="34" t="n"/>
      <c r="DN38" s="34" t="n"/>
      <c r="DO38" s="34" t="n"/>
      <c r="DP38" s="34" t="n"/>
      <c r="DQ38" s="34" t="n"/>
    </row>
    <row r="39" ht="16" customHeight="1">
      <c r="A39" s="38" t="n"/>
      <c r="B39" s="38" t="n"/>
      <c r="C39" s="38" t="n"/>
      <c r="D39" s="38" t="n"/>
      <c r="E39" s="38" t="n"/>
      <c r="F39" s="38" t="n"/>
      <c r="G39" s="38" t="n"/>
      <c r="H39" s="34" t="n"/>
      <c r="I39" s="34" t="n"/>
      <c r="J39" s="34" t="n"/>
      <c r="K39" s="34" t="n"/>
      <c r="L39" s="34" t="n"/>
      <c r="M39" s="34" t="n"/>
      <c r="N39" s="34" t="n"/>
      <c r="O39" s="34">
        <f>IFERROR(INDEX('_courses_lookup'!$C:$C,MATCH(K39&amp;L39,'_courses_lookup'!$E:$E,0)),"")</f>
        <v/>
      </c>
      <c r="P39" s="34">
        <f>IFERROR(INDEX('_courses_lookup'!$D:$D,MATCH(K39&amp;L39,'_courses_lookup'!$E:$E,0)),"")</f>
        <v/>
      </c>
      <c r="Q39" s="34" t="n"/>
      <c r="R39" s="34" t="n"/>
      <c r="S39" s="34" t="n"/>
      <c r="T39" s="34" t="n"/>
      <c r="U39" s="34" t="n"/>
      <c r="V39" s="34" t="n"/>
      <c r="W39" s="34" t="n"/>
      <c r="X39" s="34" t="n"/>
      <c r="Y39" s="30" t="n"/>
      <c r="Z39" s="34" t="n"/>
      <c r="AA39" s="34" t="n"/>
      <c r="AB39" s="34" t="n"/>
      <c r="AC39" s="34" t="n"/>
      <c r="AD39" s="34" t="n"/>
      <c r="AE39" s="34" t="n"/>
      <c r="AF39" s="34" t="n"/>
      <c r="AG39" s="34">
        <f>IF(AND(AE39&lt;&gt;"",AF39&lt;&gt;""),ROUNDUP((AF39-AE39)/7,0),"")</f>
        <v/>
      </c>
      <c r="AH39" s="34" t="n"/>
      <c r="AI39" s="34">
        <f>IFERROR(IF(AG39*AH39=0,"",AG39*AH39),"")</f>
        <v/>
      </c>
      <c r="AJ39" s="34" t="n"/>
      <c r="AK39" s="34" t="n"/>
      <c r="AL39" s="34">
        <f>IF(AND(AJ39&lt;&gt;"",AK39&lt;&gt;""),ROUNDUP((AK39-AJ39)/7,0),"")</f>
        <v/>
      </c>
      <c r="AM39" s="34" t="n"/>
      <c r="AN39" s="34">
        <f>IFERROR(IF(AL39*AM39=0,"",AL39*AM39),"")</f>
        <v/>
      </c>
      <c r="AO39" s="34" t="n"/>
      <c r="AP39" s="34" t="n"/>
      <c r="AQ39" s="34">
        <f>IF(AND(AO39&lt;&gt;"",AP39&lt;&gt;""),ROUNDUP((AP39-AO39)/7,0),"")</f>
        <v/>
      </c>
      <c r="AR39" s="34">
        <f>IFERROR(IF((AU39-(AI39+AN39))/AQ39=0,"",ROUNDUP((AU39-(AI39+AN39))/AQ39,0)),"")</f>
        <v/>
      </c>
      <c r="AS39" s="34">
        <f>IFERROR(IF((AU39-(AI39+AN39))=0,"",(AU39-(AI39+AN39))),"")</f>
        <v/>
      </c>
      <c r="AT39" s="34">
        <f>IF(AND(AG39="",AQ39=""),AL39,IF(SUM(AG39,AL39,AQ39)=0,"",SUM(AG39,AL39,AQ39)))</f>
        <v/>
      </c>
      <c r="AU39" s="34" t="n"/>
      <c r="AV39" s="34" t="n"/>
      <c r="AW39" s="34" t="n"/>
      <c r="AX39" s="34" t="n"/>
      <c r="AY39" s="34" t="n"/>
      <c r="AZ39" s="30" t="n"/>
      <c r="BA39" s="34" t="n"/>
      <c r="BB39" s="34" t="n"/>
      <c r="BC39" s="34" t="n"/>
      <c r="BD39" s="34" t="n"/>
      <c r="BE39" s="34" t="n"/>
      <c r="BF39" s="34" t="n"/>
      <c r="BG39" s="34">
        <f>IF(AD39="","",YEAR(AD39)+IF(MONTH(AD39)&gt;=5,1,0))</f>
        <v/>
      </c>
      <c r="BH39" s="34">
        <f>IF(AD39="","",IF(AND(MONTH(AD39)=8,DAY(AD39)&gt;=15),"Fall",IF(MONTH(AD39)&gt;8,"Fall",IF(MONTH(AD39)=5,"Summer",IF(MONTH(AD39)=1,"Spring","")))))</f>
        <v/>
      </c>
      <c r="BI39" s="34" t="n"/>
      <c r="BJ39" s="34" t="n"/>
      <c r="BK39" s="30">
        <f>IF($BJ39="","",IFERROR(INDEX(InstructorMap!$B:$B, MATCH($BJ39, InstructorMap!$A:$A, 0)),""))</f>
        <v/>
      </c>
      <c r="BL39" s="30">
        <f>IFERROR(INDEX('_names_lookup'!$C:$C,MATCH(BK39,'_names_lookup'!$A:$A,0)),"")</f>
        <v/>
      </c>
      <c r="BM39" s="34">
        <f>IFERROR(INDEX('_names_lookup'!$B:$B,MATCH(BK39,'_names_lookup'!$A:$A,0)),"")</f>
        <v/>
      </c>
      <c r="BN39" s="34" t="n"/>
      <c r="BO39" s="34" t="n"/>
      <c r="BP39" s="34" t="n"/>
      <c r="BQ39" s="34" t="n"/>
      <c r="BR39" s="34" t="n"/>
      <c r="BS39" s="34">
        <f>IFERROR(IF(BR39*AA39=0,"",BR39*AA39),"")</f>
        <v/>
      </c>
      <c r="BT39" s="34" t="n"/>
      <c r="BU39" s="34" t="n"/>
      <c r="BV39" s="34" t="n"/>
      <c r="BW39" s="34" t="n"/>
      <c r="BX39" s="34" t="n"/>
      <c r="BY39" s="34" t="n"/>
      <c r="BZ39" s="34" t="n"/>
      <c r="CA39" s="34" t="n"/>
      <c r="CB39" s="34" t="n"/>
      <c r="CC39" s="34" t="n"/>
      <c r="CD39" s="34" t="n"/>
      <c r="CE39" s="34" t="n"/>
      <c r="CF39" s="34" t="n"/>
      <c r="CG39" s="34" t="n"/>
      <c r="CH39" s="34" t="n"/>
      <c r="CI39" s="34" t="n"/>
      <c r="CJ39" s="34" t="n"/>
      <c r="CK39" s="34" t="n"/>
      <c r="CL39" s="34" t="n"/>
      <c r="CM39" s="34" t="n"/>
      <c r="CN39" s="34" t="n"/>
      <c r="CO39" s="34" t="n"/>
      <c r="CP39" s="34" t="n"/>
      <c r="CQ39" s="34" t="n"/>
      <c r="CR39" s="34" t="n"/>
      <c r="CS39" s="34" t="n"/>
      <c r="CT39" s="34" t="n"/>
      <c r="CU39" s="34" t="n"/>
      <c r="CV39" s="34" t="n"/>
      <c r="CW39" s="34" t="n"/>
      <c r="CX39" s="34" t="n"/>
      <c r="CY39" s="34" t="n"/>
      <c r="CZ39" s="34" t="n"/>
      <c r="DA39" s="34" t="n"/>
      <c r="DB39" s="34" t="n"/>
      <c r="DC39" s="34" t="n"/>
      <c r="DD39" s="34" t="n"/>
      <c r="DE39" s="34" t="n"/>
      <c r="DF39" s="34" t="n"/>
      <c r="DG39" s="34" t="n"/>
      <c r="DH39" s="34" t="n"/>
      <c r="DI39" s="34" t="n"/>
      <c r="DJ39" s="34" t="n"/>
      <c r="DK39" s="34" t="n"/>
      <c r="DL39" s="34" t="n"/>
      <c r="DM39" s="34" t="n"/>
      <c r="DN39" s="34" t="n"/>
      <c r="DO39" s="34" t="n"/>
      <c r="DP39" s="34" t="n"/>
      <c r="DQ39" s="34" t="n"/>
    </row>
    <row r="40" ht="16" customHeight="1">
      <c r="A40" s="38" t="n"/>
      <c r="B40" s="38" t="n"/>
      <c r="C40" s="38" t="n"/>
      <c r="D40" s="38" t="n"/>
      <c r="E40" s="38" t="n"/>
      <c r="F40" s="38" t="n"/>
      <c r="G40" s="38" t="n"/>
      <c r="H40" s="34" t="n"/>
      <c r="I40" s="34" t="n"/>
      <c r="J40" s="34" t="n"/>
      <c r="K40" s="34" t="n"/>
      <c r="L40" s="34" t="n"/>
      <c r="M40" s="34" t="n"/>
      <c r="N40" s="34" t="n"/>
      <c r="O40" s="34">
        <f>IFERROR(INDEX('_courses_lookup'!$C:$C,MATCH(K40&amp;L40,'_courses_lookup'!$E:$E,0)),"")</f>
        <v/>
      </c>
      <c r="P40" s="34">
        <f>IFERROR(INDEX('_courses_lookup'!$D:$D,MATCH(K40&amp;L40,'_courses_lookup'!$E:$E,0)),"")</f>
        <v/>
      </c>
      <c r="Q40" s="34" t="n"/>
      <c r="R40" s="34" t="n"/>
      <c r="S40" s="34" t="n"/>
      <c r="T40" s="34" t="n"/>
      <c r="U40" s="34" t="n"/>
      <c r="V40" s="34" t="n"/>
      <c r="W40" s="34" t="n"/>
      <c r="X40" s="34" t="n"/>
      <c r="Y40" s="30" t="n"/>
      <c r="Z40" s="34" t="n"/>
      <c r="AA40" s="34" t="n"/>
      <c r="AB40" s="34" t="n"/>
      <c r="AC40" s="34" t="n"/>
      <c r="AD40" s="34" t="n"/>
      <c r="AE40" s="34" t="n"/>
      <c r="AF40" s="34" t="n"/>
      <c r="AG40" s="34">
        <f>IF(AND(AE40&lt;&gt;"",AF40&lt;&gt;""),ROUNDUP((AF40-AE40)/7,0),"")</f>
        <v/>
      </c>
      <c r="AH40" s="34" t="n"/>
      <c r="AI40" s="34">
        <f>IFERROR(IF(AG40*AH40=0,"",AG40*AH40),"")</f>
        <v/>
      </c>
      <c r="AJ40" s="34" t="n"/>
      <c r="AK40" s="34" t="n"/>
      <c r="AL40" s="34">
        <f>IF(AND(AJ40&lt;&gt;"",AK40&lt;&gt;""),ROUNDUP((AK40-AJ40)/7,0),"")</f>
        <v/>
      </c>
      <c r="AM40" s="34" t="n"/>
      <c r="AN40" s="34">
        <f>IFERROR(IF(AL40*AM40=0,"",AL40*AM40),"")</f>
        <v/>
      </c>
      <c r="AO40" s="34" t="n"/>
      <c r="AP40" s="34" t="n"/>
      <c r="AQ40" s="34">
        <f>IF(AND(AO40&lt;&gt;"",AP40&lt;&gt;""),ROUNDUP((AP40-AO40)/7,0),"")</f>
        <v/>
      </c>
      <c r="AR40" s="34">
        <f>IFERROR(IF((AU40-(AI40+AN40))/AQ40=0,"",ROUNDUP((AU40-(AI40+AN40))/AQ40,0)),"")</f>
        <v/>
      </c>
      <c r="AS40" s="34">
        <f>IFERROR(IF((AU40-(AI40+AN40))=0,"",(AU40-(AI40+AN40))),"")</f>
        <v/>
      </c>
      <c r="AT40" s="34">
        <f>IF(AND(AG40="",AQ40=""),AL40,IF(SUM(AG40,AL40,AQ40)=0,"",SUM(AG40,AL40,AQ40)))</f>
        <v/>
      </c>
      <c r="AU40" s="34" t="n"/>
      <c r="AV40" s="34" t="n"/>
      <c r="AW40" s="34" t="n"/>
      <c r="AX40" s="34" t="n"/>
      <c r="AY40" s="34" t="n"/>
      <c r="AZ40" s="30" t="n"/>
      <c r="BA40" s="34" t="n"/>
      <c r="BB40" s="34" t="n"/>
      <c r="BC40" s="34" t="n"/>
      <c r="BD40" s="34" t="n"/>
      <c r="BE40" s="34" t="n"/>
      <c r="BF40" s="34" t="n"/>
      <c r="BG40" s="34">
        <f>IF(AD40="","",YEAR(AD40)+IF(MONTH(AD40)&gt;=5,1,0))</f>
        <v/>
      </c>
      <c r="BH40" s="34">
        <f>IF(AD40="","",IF(AND(MONTH(AD40)=8,DAY(AD40)&gt;=15),"Fall",IF(MONTH(AD40)&gt;8,"Fall",IF(MONTH(AD40)=5,"Summer",IF(MONTH(AD40)=1,"Spring","")))))</f>
        <v/>
      </c>
      <c r="BI40" s="34" t="n"/>
      <c r="BJ40" s="34" t="n"/>
      <c r="BK40" s="30">
        <f>IF($BJ40="","",IFERROR(INDEX(InstructorMap!$B:$B, MATCH($BJ40, InstructorMap!$A:$A, 0)),""))</f>
        <v/>
      </c>
      <c r="BL40" s="30">
        <f>IFERROR(INDEX('_names_lookup'!$C:$C,MATCH(BK40,'_names_lookup'!$A:$A,0)),"")</f>
        <v/>
      </c>
      <c r="BM40" s="34">
        <f>IFERROR(INDEX('_names_lookup'!$B:$B,MATCH(BK40,'_names_lookup'!$A:$A,0)),"")</f>
        <v/>
      </c>
      <c r="BN40" s="34" t="n"/>
      <c r="BO40" s="34" t="n"/>
      <c r="BP40" s="34" t="n"/>
      <c r="BQ40" s="34" t="n"/>
      <c r="BR40" s="34" t="n"/>
      <c r="BS40" s="34">
        <f>IFERROR(IF(BR40*AA40=0,"",BR40*AA40),"")</f>
        <v/>
      </c>
      <c r="BT40" s="34" t="n"/>
      <c r="BU40" s="34" t="n"/>
      <c r="BV40" s="34" t="n"/>
      <c r="BW40" s="34" t="n"/>
      <c r="BX40" s="34" t="n"/>
      <c r="BY40" s="34" t="n"/>
      <c r="BZ40" s="34" t="n"/>
      <c r="CA40" s="34" t="n"/>
      <c r="CB40" s="34" t="n"/>
      <c r="CC40" s="34" t="n"/>
      <c r="CD40" s="34" t="n"/>
      <c r="CE40" s="34" t="n"/>
      <c r="CF40" s="34" t="n"/>
      <c r="CG40" s="34" t="n"/>
      <c r="CH40" s="34" t="n"/>
      <c r="CI40" s="34" t="n"/>
      <c r="CJ40" s="34" t="n"/>
      <c r="CK40" s="34" t="n"/>
      <c r="CL40" s="34" t="n"/>
      <c r="CM40" s="34" t="n"/>
      <c r="CN40" s="34" t="n"/>
      <c r="CO40" s="34" t="n"/>
      <c r="CP40" s="34" t="n"/>
      <c r="CQ40" s="34" t="n"/>
      <c r="CR40" s="34" t="n"/>
      <c r="CS40" s="34" t="n"/>
      <c r="CT40" s="34" t="n"/>
      <c r="CU40" s="34" t="n"/>
      <c r="CV40" s="34" t="n"/>
      <c r="CW40" s="34" t="n"/>
      <c r="CX40" s="34" t="n"/>
      <c r="CY40" s="34" t="n"/>
      <c r="CZ40" s="34" t="n"/>
      <c r="DA40" s="34" t="n"/>
      <c r="DB40" s="34" t="n"/>
      <c r="DC40" s="34" t="n"/>
      <c r="DD40" s="34" t="n"/>
      <c r="DE40" s="34" t="n"/>
      <c r="DF40" s="34" t="n"/>
      <c r="DG40" s="34" t="n"/>
      <c r="DH40" s="34" t="n"/>
      <c r="DI40" s="34" t="n"/>
      <c r="DJ40" s="34" t="n"/>
      <c r="DK40" s="34" t="n"/>
      <c r="DL40" s="34" t="n"/>
      <c r="DM40" s="34" t="n"/>
      <c r="DN40" s="34" t="n"/>
      <c r="DO40" s="34" t="n"/>
      <c r="DP40" s="34" t="n"/>
      <c r="DQ40" s="34" t="n"/>
    </row>
    <row r="41">
      <c r="O41">
        <f>IFERROR(INDEX('_courses_lookup'!$C:$C,MATCH(K41&amp;L41,'_courses_lookup'!$E:$E,0)),"")</f>
        <v/>
      </c>
      <c r="P41">
        <f>IFERROR(INDEX('_courses_lookup'!$D:$D,MATCH(K41&amp;L41,'_courses_lookup'!$E:$E,0)),"")</f>
        <v/>
      </c>
      <c r="AG41">
        <f>IF(AND(AE41&lt;&gt;"",AF41&lt;&gt;""),ROUNDUP((AF41-AE41)/7,0),"")</f>
        <v/>
      </c>
      <c r="AI41">
        <f>IFERROR(IF(AG41*AH41=0,"",AG41*AH41),"")</f>
        <v/>
      </c>
      <c r="AL41">
        <f>IF(AND(AJ41&lt;&gt;"",AK41&lt;&gt;""),ROUNDUP((AK41-AJ41)/7,0),"")</f>
        <v/>
      </c>
      <c r="AN41">
        <f>IFERROR(IF(AL41*AM41=0,"",AL41*AM41),"")</f>
        <v/>
      </c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L41">
        <f>IFERROR(INDEX('_names_lookup'!$C:$C,MATCH(BK41,'_names_lookup'!$A:$A,0)),"")</f>
        <v/>
      </c>
      <c r="BM41">
        <f>IFERROR(INDEX('_names_lookup'!$B:$B,MATCH(BK41,'_names_lookup'!$A:$A,0)),"")</f>
        <v/>
      </c>
      <c r="BS41">
        <f>IFERROR(IF(BR41*AA41=0,"",BR41*AA41),"")</f>
        <v/>
      </c>
    </row>
    <row r="42">
      <c r="O42">
        <f>IFERROR(INDEX('_courses_lookup'!$C:$C,MATCH(K42&amp;L42,'_courses_lookup'!$E:$E,0)),"")</f>
        <v/>
      </c>
      <c r="P42">
        <f>IFERROR(INDEX('_courses_lookup'!$D:$D,MATCH(K42&amp;L42,'_courses_lookup'!$E:$E,0)),"")</f>
        <v/>
      </c>
      <c r="AG42">
        <f>IF(AND(AE42&lt;&gt;"",AF42&lt;&gt;""),ROUNDUP((AF42-AE42)/7,0),"")</f>
        <v/>
      </c>
      <c r="AI42">
        <f>IFERROR(IF(AG42*AH42=0,"",AG42*AH42),"")</f>
        <v/>
      </c>
      <c r="AL42">
        <f>IF(AND(AJ42&lt;&gt;"",AK42&lt;&gt;""),ROUNDUP((AK42-AJ42)/7,0),"")</f>
        <v/>
      </c>
      <c r="AN42">
        <f>IFERROR(IF(AL42*AM42=0,"",AL42*AM42),"")</f>
        <v/>
      </c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L42">
        <f>IFERROR(INDEX('_names_lookup'!$C:$C,MATCH(BK42,'_names_lookup'!$A:$A,0)),"")</f>
        <v/>
      </c>
      <c r="BM42">
        <f>IFERROR(INDEX('_names_lookup'!$B:$B,MATCH(BK42,'_names_lookup'!$A:$A,0)),"")</f>
        <v/>
      </c>
      <c r="BS42">
        <f>IFERROR(IF(BR42*AA42=0,"",BR42*AA42),"")</f>
        <v/>
      </c>
    </row>
    <row r="43">
      <c r="O43">
        <f>IFERROR(INDEX('_courses_lookup'!$C:$C,MATCH(K43&amp;L43,'_courses_lookup'!$E:$E,0)),"")</f>
        <v/>
      </c>
      <c r="P43">
        <f>IFERROR(INDEX('_courses_lookup'!$D:$D,MATCH(K43&amp;L43,'_courses_lookup'!$E:$E,0)),"")</f>
        <v/>
      </c>
      <c r="AG43">
        <f>IF(AND(AE43&lt;&gt;"",AF43&lt;&gt;""),ROUNDUP((AF43-AE43)/7,0),"")</f>
        <v/>
      </c>
      <c r="AI43">
        <f>IFERROR(IF(AG43*AH43=0,"",AG43*AH43),"")</f>
        <v/>
      </c>
      <c r="AL43">
        <f>IF(AND(AJ43&lt;&gt;"",AK43&lt;&gt;""),ROUNDUP((AK43-AJ43)/7,0),"")</f>
        <v/>
      </c>
      <c r="AN43">
        <f>IFERROR(IF(AL43*AM43=0,"",AL43*AM43),"")</f>
        <v/>
      </c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L43">
        <f>IFERROR(INDEX('_names_lookup'!$C:$C,MATCH(BK43,'_names_lookup'!$A:$A,0)),"")</f>
        <v/>
      </c>
      <c r="BM43">
        <f>IFERROR(INDEX('_names_lookup'!$B:$B,MATCH(BK43,'_names_lookup'!$A:$A,0)),"")</f>
        <v/>
      </c>
      <c r="BS43">
        <f>IFERROR(IF(BR43*AA43=0,"",BR43*AA43),"")</f>
        <v/>
      </c>
    </row>
    <row r="44">
      <c r="O44">
        <f>IFERROR(INDEX('_courses_lookup'!$C:$C,MATCH(K44&amp;L44,'_courses_lookup'!$E:$E,0)),"")</f>
        <v/>
      </c>
      <c r="P44">
        <f>IFERROR(INDEX('_courses_lookup'!$D:$D,MATCH(K44&amp;L44,'_courses_lookup'!$E:$E,0)),"")</f>
        <v/>
      </c>
      <c r="AG44">
        <f>IF(AND(AE44&lt;&gt;"",AF44&lt;&gt;""),ROUNDUP((AF44-AE44)/7,0),"")</f>
        <v/>
      </c>
      <c r="AI44">
        <f>IFERROR(IF(AG44*AH44=0,"",AG44*AH44),"")</f>
        <v/>
      </c>
      <c r="AL44">
        <f>IF(AND(AJ44&lt;&gt;"",AK44&lt;&gt;""),ROUNDUP((AK44-AJ44)/7,0),"")</f>
        <v/>
      </c>
      <c r="AN44">
        <f>IFERROR(IF(AL44*AM44=0,"",AL44*AM44),"")</f>
        <v/>
      </c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L44">
        <f>IFERROR(INDEX('_names_lookup'!$C:$C,MATCH(BK44,'_names_lookup'!$A:$A,0)),"")</f>
        <v/>
      </c>
      <c r="BM44">
        <f>IFERROR(INDEX('_names_lookup'!$B:$B,MATCH(BK44,'_names_lookup'!$A:$A,0)),"")</f>
        <v/>
      </c>
      <c r="BS44">
        <f>IFERROR(IF(BR44*AA44=0,"",BR44*AA44),"")</f>
        <v/>
      </c>
    </row>
    <row r="45">
      <c r="O45">
        <f>IFERROR(INDEX('_courses_lookup'!$C:$C,MATCH(K45&amp;L45,'_courses_lookup'!$E:$E,0)),"")</f>
        <v/>
      </c>
      <c r="P45">
        <f>IFERROR(INDEX('_courses_lookup'!$D:$D,MATCH(K45&amp;L45,'_courses_lookup'!$E:$E,0)),"")</f>
        <v/>
      </c>
      <c r="AG45">
        <f>IF(AND(AE45&lt;&gt;"",AF45&lt;&gt;""),ROUNDUP((AF45-AE45)/7,0),"")</f>
        <v/>
      </c>
      <c r="AI45">
        <f>IFERROR(IF(AG45*AH45=0,"",AG45*AH45),"")</f>
        <v/>
      </c>
      <c r="AL45">
        <f>IF(AND(AJ45&lt;&gt;"",AK45&lt;&gt;""),ROUNDUP((AK45-AJ45)/7,0),"")</f>
        <v/>
      </c>
      <c r="AN45">
        <f>IFERROR(IF(AL45*AM45=0,"",AL45*AM45),"")</f>
        <v/>
      </c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L45">
        <f>IFERROR(INDEX('_names_lookup'!$C:$C,MATCH(BK45,'_names_lookup'!$A:$A,0)),"")</f>
        <v/>
      </c>
      <c r="BM45">
        <f>IFERROR(INDEX('_names_lookup'!$B:$B,MATCH(BK45,'_names_lookup'!$A:$A,0)),"")</f>
        <v/>
      </c>
      <c r="BS45">
        <f>IFERROR(IF(BR45*AA45=0,"",BR45*AA45),"")</f>
        <v/>
      </c>
    </row>
    <row r="46">
      <c r="O46">
        <f>IFERROR(INDEX('_courses_lookup'!$C:$C,MATCH(K46&amp;L46,'_courses_lookup'!$E:$E,0)),"")</f>
        <v/>
      </c>
      <c r="P46">
        <f>IFERROR(INDEX('_courses_lookup'!$D:$D,MATCH(K46&amp;L46,'_courses_lookup'!$E:$E,0)),"")</f>
        <v/>
      </c>
      <c r="AG46">
        <f>IF(AND(AE46&lt;&gt;"",AF46&lt;&gt;""),ROUNDUP((AF46-AE46)/7,0),"")</f>
        <v/>
      </c>
      <c r="AI46">
        <f>IFERROR(IF(AG46*AH46=0,"",AG46*AH46),"")</f>
        <v/>
      </c>
      <c r="AL46">
        <f>IF(AND(AJ46&lt;&gt;"",AK46&lt;&gt;""),ROUNDUP((AK46-AJ46)/7,0),"")</f>
        <v/>
      </c>
      <c r="AN46">
        <f>IFERROR(IF(AL46*AM46=0,"",AL46*AM46),"")</f>
        <v/>
      </c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L46">
        <f>IFERROR(INDEX('_names_lookup'!$C:$C,MATCH(BK46,'_names_lookup'!$A:$A,0)),"")</f>
        <v/>
      </c>
      <c r="BM46">
        <f>IFERROR(INDEX('_names_lookup'!$B:$B,MATCH(BK46,'_names_lookup'!$A:$A,0)),"")</f>
        <v/>
      </c>
      <c r="BS46">
        <f>IFERROR(IF(BR46*AA46=0,"",BR46*AA46),"")</f>
        <v/>
      </c>
    </row>
    <row r="47">
      <c r="O47">
        <f>IFERROR(INDEX('_courses_lookup'!$C:$C,MATCH(K47&amp;L47,'_courses_lookup'!$E:$E,0)),"")</f>
        <v/>
      </c>
      <c r="P47">
        <f>IFERROR(INDEX('_courses_lookup'!$D:$D,MATCH(K47&amp;L47,'_courses_lookup'!$E:$E,0)),"")</f>
        <v/>
      </c>
      <c r="AG47">
        <f>IF(AND(AE47&lt;&gt;"",AF47&lt;&gt;""),ROUNDUP((AF47-AE47)/7,0),"")</f>
        <v/>
      </c>
      <c r="AI47">
        <f>IFERROR(IF(AG47*AH47=0,"",AG47*AH47),"")</f>
        <v/>
      </c>
      <c r="AL47">
        <f>IF(AND(AJ47&lt;&gt;"",AK47&lt;&gt;""),ROUNDUP((AK47-AJ47)/7,0),"")</f>
        <v/>
      </c>
      <c r="AN47">
        <f>IFERROR(IF(AL47*AM47=0,"",AL47*AM47),"")</f>
        <v/>
      </c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L47">
        <f>IFERROR(INDEX('_names_lookup'!$C:$C,MATCH(BK47,'_names_lookup'!$A:$A,0)),"")</f>
        <v/>
      </c>
      <c r="BM47">
        <f>IFERROR(INDEX('_names_lookup'!$B:$B,MATCH(BK47,'_names_lookup'!$A:$A,0)),"")</f>
        <v/>
      </c>
      <c r="BS47">
        <f>IFERROR(IF(BR47*AA47=0,"",BR47*AA47),"")</f>
        <v/>
      </c>
    </row>
    <row r="48">
      <c r="O48">
        <f>IFERROR(INDEX('_courses_lookup'!$C:$C,MATCH(K48&amp;L48,'_courses_lookup'!$E:$E,0)),"")</f>
        <v/>
      </c>
      <c r="P48">
        <f>IFERROR(INDEX('_courses_lookup'!$D:$D,MATCH(K48&amp;L48,'_courses_lookup'!$E:$E,0)),"")</f>
        <v/>
      </c>
      <c r="AG48">
        <f>IF(AND(AE48&lt;&gt;"",AF48&lt;&gt;""),ROUNDUP((AF48-AE48)/7,0),"")</f>
        <v/>
      </c>
      <c r="AI48">
        <f>IFERROR(IF(AG48*AH48=0,"",AG48*AH48),"")</f>
        <v/>
      </c>
      <c r="AL48">
        <f>IF(AND(AJ48&lt;&gt;"",AK48&lt;&gt;""),ROUNDUP((AK48-AJ48)/7,0),"")</f>
        <v/>
      </c>
      <c r="AN48">
        <f>IFERROR(IF(AL48*AM48=0,"",AL48*AM48),"")</f>
        <v/>
      </c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L48">
        <f>IFERROR(INDEX('_names_lookup'!$C:$C,MATCH(BK48,'_names_lookup'!$A:$A,0)),"")</f>
        <v/>
      </c>
      <c r="BM48">
        <f>IFERROR(INDEX('_names_lookup'!$B:$B,MATCH(BK48,'_names_lookup'!$A:$A,0)),"")</f>
        <v/>
      </c>
      <c r="BS48">
        <f>IFERROR(IF(BR48*AA48=0,"",BR48*AA48),"")</f>
        <v/>
      </c>
    </row>
    <row r="49">
      <c r="O49">
        <f>IFERROR(INDEX('_courses_lookup'!$C:$C,MATCH(K49&amp;L49,'_courses_lookup'!$E:$E,0)),"")</f>
        <v/>
      </c>
      <c r="P49">
        <f>IFERROR(INDEX('_courses_lookup'!$D:$D,MATCH(K49&amp;L49,'_courses_lookup'!$E:$E,0)),"")</f>
        <v/>
      </c>
      <c r="AG49">
        <f>IF(AND(AE49&lt;&gt;"",AF49&lt;&gt;""),ROUNDUP((AF49-AE49)/7,0),"")</f>
        <v/>
      </c>
      <c r="AI49">
        <f>IFERROR(IF(AG49*AH49=0,"",AG49*AH49),"")</f>
        <v/>
      </c>
      <c r="AL49">
        <f>IF(AND(AJ49&lt;&gt;"",AK49&lt;&gt;""),ROUNDUP((AK49-AJ49)/7,0),"")</f>
        <v/>
      </c>
      <c r="AN49">
        <f>IFERROR(IF(AL49*AM49=0,"",AL49*AM49),"")</f>
        <v/>
      </c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L49">
        <f>IFERROR(INDEX('_names_lookup'!$C:$C,MATCH(BK49,'_names_lookup'!$A:$A,0)),"")</f>
        <v/>
      </c>
      <c r="BM49">
        <f>IFERROR(INDEX('_names_lookup'!$B:$B,MATCH(BK49,'_names_lookup'!$A:$A,0)),"")</f>
        <v/>
      </c>
      <c r="BS49">
        <f>IFERROR(IF(BR49*AA49=0,"",BR49*AA49),"")</f>
        <v/>
      </c>
    </row>
    <row r="50">
      <c r="O50">
        <f>IFERROR(INDEX('_courses_lookup'!$C:$C,MATCH(K50&amp;L50,'_courses_lookup'!$E:$E,0)),"")</f>
        <v/>
      </c>
      <c r="P50">
        <f>IFERROR(INDEX('_courses_lookup'!$D:$D,MATCH(K50&amp;L50,'_courses_lookup'!$E:$E,0)),"")</f>
        <v/>
      </c>
      <c r="AG50">
        <f>IF(AND(AE50&lt;&gt;"",AF50&lt;&gt;""),ROUNDUP((AF50-AE50)/7,0),"")</f>
        <v/>
      </c>
      <c r="AI50">
        <f>IFERROR(IF(AG50*AH50=0,"",AG50*AH50),"")</f>
        <v/>
      </c>
      <c r="AL50">
        <f>IF(AND(AJ50&lt;&gt;"",AK50&lt;&gt;""),ROUNDUP((AK50-AJ50)/7,0),"")</f>
        <v/>
      </c>
      <c r="AN50">
        <f>IFERROR(IF(AL50*AM50=0,"",AL50*AM50),"")</f>
        <v/>
      </c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L50">
        <f>IFERROR(INDEX('_names_lookup'!$C:$C,MATCH(BK50,'_names_lookup'!$A:$A,0)),"")</f>
        <v/>
      </c>
      <c r="BM50">
        <f>IFERROR(INDEX('_names_lookup'!$B:$B,MATCH(BK50,'_names_lookup'!$A:$A,0)),"")</f>
        <v/>
      </c>
      <c r="BS50">
        <f>IFERROR(IF(BR50*AA50=0,"",BR50*AA50),"")</f>
        <v/>
      </c>
    </row>
    <row r="51">
      <c r="O51">
        <f>IFERROR(INDEX('_courses_lookup'!$C:$C,MATCH(K51&amp;L51,'_courses_lookup'!$E:$E,0)),"")</f>
        <v/>
      </c>
      <c r="P51">
        <f>IFERROR(INDEX('_courses_lookup'!$D:$D,MATCH(K51&amp;L51,'_courses_lookup'!$E:$E,0)),"")</f>
        <v/>
      </c>
      <c r="AG51">
        <f>IF(AND(AE51&lt;&gt;"",AF51&lt;&gt;""),ROUNDUP((AF51-AE51)/7,0),"")</f>
        <v/>
      </c>
      <c r="AI51">
        <f>IFERROR(IF(AG51*AH51=0,"",AG51*AH51),"")</f>
        <v/>
      </c>
      <c r="AL51">
        <f>IF(AND(AJ51&lt;&gt;"",AK51&lt;&gt;""),ROUNDUP((AK51-AJ51)/7,0),"")</f>
        <v/>
      </c>
      <c r="AN51">
        <f>IFERROR(IF(AL51*AM51=0,"",AL51*AM51),"")</f>
        <v/>
      </c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L51">
        <f>IFERROR(INDEX('_names_lookup'!$C:$C,MATCH(BK51,'_names_lookup'!$A:$A,0)),"")</f>
        <v/>
      </c>
      <c r="BM51">
        <f>IFERROR(INDEX('_names_lookup'!$B:$B,MATCH(BK51,'_names_lookup'!$A:$A,0)),"")</f>
        <v/>
      </c>
      <c r="BS51">
        <f>IFERROR(IF(BR51*AA51=0,"",BR51*AA51),"")</f>
        <v/>
      </c>
    </row>
    <row r="52">
      <c r="O52">
        <f>IFERROR(INDEX('_courses_lookup'!$C:$C,MATCH(K52&amp;L52,'_courses_lookup'!$E:$E,0)),"")</f>
        <v/>
      </c>
      <c r="P52">
        <f>IFERROR(INDEX('_courses_lookup'!$D:$D,MATCH(K52&amp;L52,'_courses_lookup'!$E:$E,0)),"")</f>
        <v/>
      </c>
      <c r="AG52">
        <f>IF(AND(AE52&lt;&gt;"",AF52&lt;&gt;""),ROUNDUP((AF52-AE52)/7,0),"")</f>
        <v/>
      </c>
      <c r="AI52">
        <f>IFERROR(IF(AG52*AH52=0,"",AG52*AH52),"")</f>
        <v/>
      </c>
      <c r="AL52">
        <f>IF(AND(AJ52&lt;&gt;"",AK52&lt;&gt;""),ROUNDUP((AK52-AJ52)/7,0),"")</f>
        <v/>
      </c>
      <c r="AN52">
        <f>IFERROR(IF(AL52*AM52=0,"",AL52*AM52),"")</f>
        <v/>
      </c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L52">
        <f>IFERROR(INDEX('_names_lookup'!$C:$C,MATCH(BK52,'_names_lookup'!$A:$A,0)),"")</f>
        <v/>
      </c>
      <c r="BM52">
        <f>IFERROR(INDEX('_names_lookup'!$B:$B,MATCH(BK52,'_names_lookup'!$A:$A,0)),"")</f>
        <v/>
      </c>
      <c r="BS52">
        <f>IFERROR(IF(BR52*AA52=0,"",BR52*AA52),"")</f>
        <v/>
      </c>
    </row>
    <row r="53">
      <c r="O53">
        <f>IFERROR(INDEX('_courses_lookup'!$C:$C,MATCH(K53&amp;L53,'_courses_lookup'!$E:$E,0)),"")</f>
        <v/>
      </c>
      <c r="P53">
        <f>IFERROR(INDEX('_courses_lookup'!$D:$D,MATCH(K53&amp;L53,'_courses_lookup'!$E:$E,0)),"")</f>
        <v/>
      </c>
      <c r="AG53">
        <f>IF(AND(AE53&lt;&gt;"",AF53&lt;&gt;""),ROUNDUP((AF53-AE53)/7,0),"")</f>
        <v/>
      </c>
      <c r="AI53">
        <f>IFERROR(IF(AG53*AH53=0,"",AG53*AH53),"")</f>
        <v/>
      </c>
      <c r="AL53">
        <f>IF(AND(AJ53&lt;&gt;"",AK53&lt;&gt;""),ROUNDUP((AK53-AJ53)/7,0),"")</f>
        <v/>
      </c>
      <c r="AN53">
        <f>IFERROR(IF(AL53*AM53=0,"",AL53*AM53),"")</f>
        <v/>
      </c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L53">
        <f>IFERROR(INDEX('_names_lookup'!$C:$C,MATCH(BK53,'_names_lookup'!$A:$A,0)),"")</f>
        <v/>
      </c>
      <c r="BM53">
        <f>IFERROR(INDEX('_names_lookup'!$B:$B,MATCH(BK53,'_names_lookup'!$A:$A,0)),"")</f>
        <v/>
      </c>
      <c r="BS53">
        <f>IFERROR(IF(BR53*AA53=0,"",BR53*AA53),"")</f>
        <v/>
      </c>
    </row>
    <row r="54">
      <c r="O54">
        <f>IFERROR(INDEX('_courses_lookup'!$C:$C,MATCH(K54&amp;L54,'_courses_lookup'!$E:$E,0)),"")</f>
        <v/>
      </c>
      <c r="P54">
        <f>IFERROR(INDEX('_courses_lookup'!$D:$D,MATCH(K54&amp;L54,'_courses_lookup'!$E:$E,0)),"")</f>
        <v/>
      </c>
      <c r="AG54">
        <f>IF(AND(AE54&lt;&gt;"",AF54&lt;&gt;""),ROUNDUP((AF54-AE54)/7,0),"")</f>
        <v/>
      </c>
      <c r="AI54">
        <f>IFERROR(IF(AG54*AH54=0,"",AG54*AH54),"")</f>
        <v/>
      </c>
      <c r="AL54">
        <f>IF(AND(AJ54&lt;&gt;"",AK54&lt;&gt;""),ROUNDUP((AK54-AJ54)/7,0),"")</f>
        <v/>
      </c>
      <c r="AN54">
        <f>IFERROR(IF(AL54*AM54=0,"",AL54*AM54),"")</f>
        <v/>
      </c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L54">
        <f>IFERROR(INDEX('_names_lookup'!$C:$C,MATCH(BK54,'_names_lookup'!$A:$A,0)),"")</f>
        <v/>
      </c>
      <c r="BM54">
        <f>IFERROR(INDEX('_names_lookup'!$B:$B,MATCH(BK54,'_names_lookup'!$A:$A,0)),"")</f>
        <v/>
      </c>
      <c r="BS54">
        <f>IFERROR(IF(BR54*AA54=0,"",BR54*AA54),"")</f>
        <v/>
      </c>
    </row>
    <row r="55">
      <c r="O55">
        <f>IFERROR(INDEX('_courses_lookup'!$C:$C,MATCH(K55&amp;L55,'_courses_lookup'!$E:$E,0)),"")</f>
        <v/>
      </c>
      <c r="P55">
        <f>IFERROR(INDEX('_courses_lookup'!$D:$D,MATCH(K55&amp;L55,'_courses_lookup'!$E:$E,0)),"")</f>
        <v/>
      </c>
      <c r="AG55">
        <f>IF(AND(AE55&lt;&gt;"",AF55&lt;&gt;""),ROUNDUP((AF55-AE55)/7,0),"")</f>
        <v/>
      </c>
      <c r="AI55">
        <f>IFERROR(IF(AG55*AH55=0,"",AG55*AH55),"")</f>
        <v/>
      </c>
      <c r="AL55">
        <f>IF(AND(AJ55&lt;&gt;"",AK55&lt;&gt;""),ROUNDUP((AK55-AJ55)/7,0),"")</f>
        <v/>
      </c>
      <c r="AN55">
        <f>IFERROR(IF(AL55*AM55=0,"",AL55*AM55),"")</f>
        <v/>
      </c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L55">
        <f>IFERROR(INDEX('_names_lookup'!$C:$C,MATCH(BK55,'_names_lookup'!$A:$A,0)),"")</f>
        <v/>
      </c>
      <c r="BM55">
        <f>IFERROR(INDEX('_names_lookup'!$B:$B,MATCH(BK55,'_names_lookup'!$A:$A,0)),"")</f>
        <v/>
      </c>
      <c r="BS55">
        <f>IFERROR(IF(BR55*AA55=0,"",BR55*AA55),"")</f>
        <v/>
      </c>
    </row>
    <row r="56">
      <c r="O56">
        <f>IFERROR(INDEX('_courses_lookup'!$C:$C,MATCH(K56&amp;L56,'_courses_lookup'!$E:$E,0)),"")</f>
        <v/>
      </c>
      <c r="P56">
        <f>IFERROR(INDEX('_courses_lookup'!$D:$D,MATCH(K56&amp;L56,'_courses_lookup'!$E:$E,0)),"")</f>
        <v/>
      </c>
      <c r="AG56">
        <f>IF(AND(AE56&lt;&gt;"",AF56&lt;&gt;""),ROUNDUP((AF56-AE56)/7,0),"")</f>
        <v/>
      </c>
      <c r="AI56">
        <f>IFERROR(IF(AG56*AH56=0,"",AG56*AH56),"")</f>
        <v/>
      </c>
      <c r="AL56">
        <f>IF(AND(AJ56&lt;&gt;"",AK56&lt;&gt;""),ROUNDUP((AK56-AJ56)/7,0),"")</f>
        <v/>
      </c>
      <c r="AN56">
        <f>IFERROR(IF(AL56*AM56=0,"",AL56*AM56),"")</f>
        <v/>
      </c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L56">
        <f>IFERROR(INDEX('_names_lookup'!$C:$C,MATCH(BK56,'_names_lookup'!$A:$A,0)),"")</f>
        <v/>
      </c>
      <c r="BM56">
        <f>IFERROR(INDEX('_names_lookup'!$B:$B,MATCH(BK56,'_names_lookup'!$A:$A,0)),"")</f>
        <v/>
      </c>
      <c r="BS56">
        <f>IFERROR(IF(BR56*AA56=0,"",BR56*AA56),"")</f>
        <v/>
      </c>
    </row>
    <row r="57">
      <c r="O57">
        <f>IFERROR(INDEX('_courses_lookup'!$C:$C,MATCH(K57&amp;L57,'_courses_lookup'!$E:$E,0)),"")</f>
        <v/>
      </c>
      <c r="P57">
        <f>IFERROR(INDEX('_courses_lookup'!$D:$D,MATCH(K57&amp;L57,'_courses_lookup'!$E:$E,0)),"")</f>
        <v/>
      </c>
      <c r="AG57">
        <f>IF(AND(AE57&lt;&gt;"",AF57&lt;&gt;""),ROUNDUP((AF57-AE57)/7,0),"")</f>
        <v/>
      </c>
      <c r="AI57">
        <f>IFERROR(IF(AG57*AH57=0,"",AG57*AH57),"")</f>
        <v/>
      </c>
      <c r="AL57">
        <f>IF(AND(AJ57&lt;&gt;"",AK57&lt;&gt;""),ROUNDUP((AK57-AJ57)/7,0),"")</f>
        <v/>
      </c>
      <c r="AN57">
        <f>IFERROR(IF(AL57*AM57=0,"",AL57*AM57),"")</f>
        <v/>
      </c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L57">
        <f>IFERROR(INDEX('_names_lookup'!$C:$C,MATCH(BK57,'_names_lookup'!$A:$A,0)),"")</f>
        <v/>
      </c>
      <c r="BM57">
        <f>IFERROR(INDEX('_names_lookup'!$B:$B,MATCH(BK57,'_names_lookup'!$A:$A,0)),"")</f>
        <v/>
      </c>
      <c r="BS57">
        <f>IFERROR(IF(BR57*AA57=0,"",BR57*AA57),"")</f>
        <v/>
      </c>
    </row>
    <row r="58">
      <c r="O58">
        <f>IFERROR(INDEX('_courses_lookup'!$C:$C,MATCH(K58&amp;L58,'_courses_lookup'!$E:$E,0)),"")</f>
        <v/>
      </c>
      <c r="P58">
        <f>IFERROR(INDEX('_courses_lookup'!$D:$D,MATCH(K58&amp;L58,'_courses_lookup'!$E:$E,0)),"")</f>
        <v/>
      </c>
      <c r="AG58">
        <f>IF(AND(AE58&lt;&gt;"",AF58&lt;&gt;""),ROUNDUP((AF58-AE58)/7,0),"")</f>
        <v/>
      </c>
      <c r="AI58">
        <f>IFERROR(IF(AG58*AH58=0,"",AG58*AH58),"")</f>
        <v/>
      </c>
      <c r="AL58">
        <f>IF(AND(AJ58&lt;&gt;"",AK58&lt;&gt;""),ROUNDUP((AK58-AJ58)/7,0),"")</f>
        <v/>
      </c>
      <c r="AN58">
        <f>IFERROR(IF(AL58*AM58=0,"",AL58*AM58),"")</f>
        <v/>
      </c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L58">
        <f>IFERROR(INDEX('_names_lookup'!$C:$C,MATCH(BK58,'_names_lookup'!$A:$A,0)),"")</f>
        <v/>
      </c>
      <c r="BM58">
        <f>IFERROR(INDEX('_names_lookup'!$B:$B,MATCH(BK58,'_names_lookup'!$A:$A,0)),"")</f>
        <v/>
      </c>
      <c r="BS58">
        <f>IFERROR(IF(BR58*AA58=0,"",BR58*AA58),"")</f>
        <v/>
      </c>
    </row>
    <row r="59">
      <c r="O59">
        <f>IFERROR(INDEX('_courses_lookup'!$C:$C,MATCH(K59&amp;L59,'_courses_lookup'!$E:$E,0)),"")</f>
        <v/>
      </c>
      <c r="P59">
        <f>IFERROR(INDEX('_courses_lookup'!$D:$D,MATCH(K59&amp;L59,'_courses_lookup'!$E:$E,0)),"")</f>
        <v/>
      </c>
      <c r="AG59">
        <f>IF(AND(AE59&lt;&gt;"",AF59&lt;&gt;""),ROUNDUP((AF59-AE59)/7,0),"")</f>
        <v/>
      </c>
      <c r="AI59">
        <f>IFERROR(IF(AG59*AH59=0,"",AG59*AH59),"")</f>
        <v/>
      </c>
      <c r="AL59">
        <f>IF(AND(AJ59&lt;&gt;"",AK59&lt;&gt;""),ROUNDUP((AK59-AJ59)/7,0),"")</f>
        <v/>
      </c>
      <c r="AN59">
        <f>IFERROR(IF(AL59*AM59=0,"",AL59*AM59),"")</f>
        <v/>
      </c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L59">
        <f>IFERROR(INDEX('_names_lookup'!$C:$C,MATCH(BK59,'_names_lookup'!$A:$A,0)),"")</f>
        <v/>
      </c>
      <c r="BM59">
        <f>IFERROR(INDEX('_names_lookup'!$B:$B,MATCH(BK59,'_names_lookup'!$A:$A,0)),"")</f>
        <v/>
      </c>
      <c r="BS59">
        <f>IFERROR(IF(BR59*AA59=0,"",BR59*AA59),"")</f>
        <v/>
      </c>
    </row>
    <row r="60">
      <c r="O60">
        <f>IFERROR(INDEX('_courses_lookup'!$C:$C,MATCH(K60&amp;L60,'_courses_lookup'!$E:$E,0)),"")</f>
        <v/>
      </c>
      <c r="P60">
        <f>IFERROR(INDEX('_courses_lookup'!$D:$D,MATCH(K60&amp;L60,'_courses_lookup'!$E:$E,0)),"")</f>
        <v/>
      </c>
      <c r="AG60">
        <f>IF(AND(AE60&lt;&gt;"",AF60&lt;&gt;""),ROUNDUP((AF60-AE60)/7,0),"")</f>
        <v/>
      </c>
      <c r="AI60">
        <f>IFERROR(IF(AG60*AH60=0,"",AG60*AH60),"")</f>
        <v/>
      </c>
      <c r="AL60">
        <f>IF(AND(AJ60&lt;&gt;"",AK60&lt;&gt;""),ROUNDUP((AK60-AJ60)/7,0),"")</f>
        <v/>
      </c>
      <c r="AN60">
        <f>IFERROR(IF(AL60*AM60=0,"",AL60*AM60),"")</f>
        <v/>
      </c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L60">
        <f>IFERROR(INDEX('_names_lookup'!$C:$C,MATCH(BK60,'_names_lookup'!$A:$A,0)),"")</f>
        <v/>
      </c>
      <c r="BM60">
        <f>IFERROR(INDEX('_names_lookup'!$B:$B,MATCH(BK60,'_names_lookup'!$A:$A,0)),"")</f>
        <v/>
      </c>
      <c r="BS60">
        <f>IFERROR(IF(BR60*AA60=0,"",BR60*AA60),"")</f>
        <v/>
      </c>
    </row>
    <row r="61">
      <c r="O61">
        <f>IFERROR(INDEX('_courses_lookup'!$C:$C,MATCH(K61&amp;L61,'_courses_lookup'!$E:$E,0)),"")</f>
        <v/>
      </c>
      <c r="P61">
        <f>IFERROR(INDEX('_courses_lookup'!$D:$D,MATCH(K61&amp;L61,'_courses_lookup'!$E:$E,0)),"")</f>
        <v/>
      </c>
      <c r="AG61">
        <f>IF(AND(AE61&lt;&gt;"",AF61&lt;&gt;""),ROUNDUP((AF61-AE61)/7,0),"")</f>
        <v/>
      </c>
      <c r="AI61">
        <f>IFERROR(IF(AG61*AH61=0,"",AG61*AH61),"")</f>
        <v/>
      </c>
      <c r="AL61">
        <f>IF(AND(AJ61&lt;&gt;"",AK61&lt;&gt;""),ROUNDUP((AK61-AJ61)/7,0),"")</f>
        <v/>
      </c>
      <c r="AN61">
        <f>IFERROR(IF(AL61*AM61=0,"",AL61*AM61),"")</f>
        <v/>
      </c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L61">
        <f>IFERROR(INDEX('_names_lookup'!$C:$C,MATCH(BK61,'_names_lookup'!$A:$A,0)),"")</f>
        <v/>
      </c>
      <c r="BM61">
        <f>IFERROR(INDEX('_names_lookup'!$B:$B,MATCH(BK61,'_names_lookup'!$A:$A,0)),"")</f>
        <v/>
      </c>
      <c r="BS61">
        <f>IFERROR(IF(BR61*AA61=0,"",BR61*AA61),"")</f>
        <v/>
      </c>
    </row>
    <row r="62">
      <c r="O62">
        <f>IFERROR(INDEX('_courses_lookup'!$C:$C,MATCH(K62&amp;L62,'_courses_lookup'!$E:$E,0)),"")</f>
        <v/>
      </c>
      <c r="P62">
        <f>IFERROR(INDEX('_courses_lookup'!$D:$D,MATCH(K62&amp;L62,'_courses_lookup'!$E:$E,0)),"")</f>
        <v/>
      </c>
      <c r="AG62">
        <f>IF(AND(AE62&lt;&gt;"",AF62&lt;&gt;""),ROUNDUP((AF62-AE62)/7,0),"")</f>
        <v/>
      </c>
      <c r="AI62">
        <f>IFERROR(IF(AG62*AH62=0,"",AG62*AH62),"")</f>
        <v/>
      </c>
      <c r="AL62">
        <f>IF(AND(AJ62&lt;&gt;"",AK62&lt;&gt;""),ROUNDUP((AK62-AJ62)/7,0),"")</f>
        <v/>
      </c>
      <c r="AN62">
        <f>IFERROR(IF(AL62*AM62=0,"",AL62*AM62),"")</f>
        <v/>
      </c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L62">
        <f>IFERROR(INDEX('_names_lookup'!$C:$C,MATCH(BK62,'_names_lookup'!$A:$A,0)),"")</f>
        <v/>
      </c>
      <c r="BM62">
        <f>IFERROR(INDEX('_names_lookup'!$B:$B,MATCH(BK62,'_names_lookup'!$A:$A,0)),"")</f>
        <v/>
      </c>
      <c r="BS62">
        <f>IFERROR(IF(BR62*AA62=0,"",BR62*AA62),"")</f>
        <v/>
      </c>
    </row>
    <row r="63">
      <c r="O63">
        <f>IFERROR(INDEX('_courses_lookup'!$C:$C,MATCH(K63&amp;L63,'_courses_lookup'!$E:$E,0)),"")</f>
        <v/>
      </c>
      <c r="P63">
        <f>IFERROR(INDEX('_courses_lookup'!$D:$D,MATCH(K63&amp;L63,'_courses_lookup'!$E:$E,0)),"")</f>
        <v/>
      </c>
      <c r="AG63">
        <f>IF(AND(AE63&lt;&gt;"",AF63&lt;&gt;""),ROUNDUP((AF63-AE63)/7,0),"")</f>
        <v/>
      </c>
      <c r="AI63">
        <f>IFERROR(IF(AG63*AH63=0,"",AG63*AH63),"")</f>
        <v/>
      </c>
      <c r="AL63">
        <f>IF(AND(AJ63&lt;&gt;"",AK63&lt;&gt;""),ROUNDUP((AK63-AJ63)/7,0),"")</f>
        <v/>
      </c>
      <c r="AN63">
        <f>IFERROR(IF(AL63*AM63=0,"",AL63*AM63),"")</f>
        <v/>
      </c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L63">
        <f>IFERROR(INDEX('_names_lookup'!$C:$C,MATCH(BK63,'_names_lookup'!$A:$A,0)),"")</f>
        <v/>
      </c>
      <c r="BM63">
        <f>IFERROR(INDEX('_names_lookup'!$B:$B,MATCH(BK63,'_names_lookup'!$A:$A,0)),"")</f>
        <v/>
      </c>
      <c r="BS63">
        <f>IFERROR(IF(BR63*AA63=0,"",BR63*AA63),"")</f>
        <v/>
      </c>
    </row>
    <row r="64">
      <c r="O64">
        <f>IFERROR(INDEX('_courses_lookup'!$C:$C,MATCH(K64&amp;L64,'_courses_lookup'!$E:$E,0)),"")</f>
        <v/>
      </c>
      <c r="P64">
        <f>IFERROR(INDEX('_courses_lookup'!$D:$D,MATCH(K64&amp;L64,'_courses_lookup'!$E:$E,0)),"")</f>
        <v/>
      </c>
      <c r="AG64">
        <f>IF(AND(AE64&lt;&gt;"",AF64&lt;&gt;""),ROUNDUP((AF64-AE64)/7,0),"")</f>
        <v/>
      </c>
      <c r="AI64">
        <f>IFERROR(IF(AG64*AH64=0,"",AG64*AH64),"")</f>
        <v/>
      </c>
      <c r="AL64">
        <f>IF(AND(AJ64&lt;&gt;"",AK64&lt;&gt;""),ROUNDUP((AK64-AJ64)/7,0),"")</f>
        <v/>
      </c>
      <c r="AN64">
        <f>IFERROR(IF(AL64*AM64=0,"",AL64*AM64),"")</f>
        <v/>
      </c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L64">
        <f>IFERROR(INDEX('_names_lookup'!$C:$C,MATCH(BK64,'_names_lookup'!$A:$A,0)),"")</f>
        <v/>
      </c>
      <c r="BM64">
        <f>IFERROR(INDEX('_names_lookup'!$B:$B,MATCH(BK64,'_names_lookup'!$A:$A,0)),"")</f>
        <v/>
      </c>
      <c r="BS64">
        <f>IFERROR(IF(BR64*AA64=0,"",BR64*AA64),"")</f>
        <v/>
      </c>
    </row>
    <row r="65">
      <c r="O65">
        <f>IFERROR(INDEX('_courses_lookup'!$C:$C,MATCH(K65&amp;L65,'_courses_lookup'!$E:$E,0)),"")</f>
        <v/>
      </c>
      <c r="P65">
        <f>IFERROR(INDEX('_courses_lookup'!$D:$D,MATCH(K65&amp;L65,'_courses_lookup'!$E:$E,0)),"")</f>
        <v/>
      </c>
      <c r="AG65">
        <f>IF(AND(AE65&lt;&gt;"",AF65&lt;&gt;""),ROUNDUP((AF65-AE65)/7,0),"")</f>
        <v/>
      </c>
      <c r="AI65">
        <f>IFERROR(IF(AG65*AH65=0,"",AG65*AH65),"")</f>
        <v/>
      </c>
      <c r="AL65">
        <f>IF(AND(AJ65&lt;&gt;"",AK65&lt;&gt;""),ROUNDUP((AK65-AJ65)/7,0),"")</f>
        <v/>
      </c>
      <c r="AN65">
        <f>IFERROR(IF(AL65*AM65=0,"",AL65*AM65),"")</f>
        <v/>
      </c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L65">
        <f>IFERROR(INDEX('_names_lookup'!$C:$C,MATCH(BK65,'_names_lookup'!$A:$A,0)),"")</f>
        <v/>
      </c>
      <c r="BM65">
        <f>IFERROR(INDEX('_names_lookup'!$B:$B,MATCH(BK65,'_names_lookup'!$A:$A,0)),"")</f>
        <v/>
      </c>
      <c r="BS65">
        <f>IFERROR(IF(BR65*AA65=0,"",BR65*AA65),"")</f>
        <v/>
      </c>
    </row>
    <row r="66">
      <c r="O66">
        <f>IFERROR(INDEX('_courses_lookup'!$C:$C,MATCH(K66&amp;L66,'_courses_lookup'!$E:$E,0)),"")</f>
        <v/>
      </c>
      <c r="P66">
        <f>IFERROR(INDEX('_courses_lookup'!$D:$D,MATCH(K66&amp;L66,'_courses_lookup'!$E:$E,0)),"")</f>
        <v/>
      </c>
      <c r="AG66">
        <f>IF(AND(AE66&lt;&gt;"",AF66&lt;&gt;""),ROUNDUP((AF66-AE66)/7,0),"")</f>
        <v/>
      </c>
      <c r="AI66">
        <f>IFERROR(IF(AG66*AH66=0,"",AG66*AH66),"")</f>
        <v/>
      </c>
      <c r="AL66">
        <f>IF(AND(AJ66&lt;&gt;"",AK66&lt;&gt;""),ROUNDUP((AK66-AJ66)/7,0),"")</f>
        <v/>
      </c>
      <c r="AN66">
        <f>IFERROR(IF(AL66*AM66=0,"",AL66*AM66),"")</f>
        <v/>
      </c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L66">
        <f>IFERROR(INDEX('_names_lookup'!$C:$C,MATCH(BK66,'_names_lookup'!$A:$A,0)),"")</f>
        <v/>
      </c>
      <c r="BM66">
        <f>IFERROR(INDEX('_names_lookup'!$B:$B,MATCH(BK66,'_names_lookup'!$A:$A,0)),"")</f>
        <v/>
      </c>
      <c r="BS66">
        <f>IFERROR(IF(BR66*AA66=0,"",BR66*AA66),"")</f>
        <v/>
      </c>
    </row>
    <row r="67">
      <c r="O67">
        <f>IFERROR(INDEX('_courses_lookup'!$C:$C,MATCH(K67&amp;L67,'_courses_lookup'!$E:$E,0)),"")</f>
        <v/>
      </c>
      <c r="P67">
        <f>IFERROR(INDEX('_courses_lookup'!$D:$D,MATCH(K67&amp;L67,'_courses_lookup'!$E:$E,0)),"")</f>
        <v/>
      </c>
      <c r="AG67">
        <f>IF(AND(AE67&lt;&gt;"",AF67&lt;&gt;""),ROUNDUP((AF67-AE67)/7,0),"")</f>
        <v/>
      </c>
      <c r="AI67">
        <f>IFERROR(IF(AG67*AH67=0,"",AG67*AH67),"")</f>
        <v/>
      </c>
      <c r="AL67">
        <f>IF(AND(AJ67&lt;&gt;"",AK67&lt;&gt;""),ROUNDUP((AK67-AJ67)/7,0),"")</f>
        <v/>
      </c>
      <c r="AN67">
        <f>IFERROR(IF(AL67*AM67=0,"",AL67*AM67),"")</f>
        <v/>
      </c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L67">
        <f>IFERROR(INDEX('_names_lookup'!$C:$C,MATCH(BK67,'_names_lookup'!$A:$A,0)),"")</f>
        <v/>
      </c>
      <c r="BM67">
        <f>IFERROR(INDEX('_names_lookup'!$B:$B,MATCH(BK67,'_names_lookup'!$A:$A,0)),"")</f>
        <v/>
      </c>
      <c r="BS67">
        <f>IFERROR(IF(BR67*AA67=0,"",BR67*AA67),"")</f>
        <v/>
      </c>
    </row>
    <row r="68">
      <c r="O68">
        <f>IFERROR(INDEX('_courses_lookup'!$C:$C,MATCH(K68&amp;L68,'_courses_lookup'!$E:$E,0)),"")</f>
        <v/>
      </c>
      <c r="P68">
        <f>IFERROR(INDEX('_courses_lookup'!$D:$D,MATCH(K68&amp;L68,'_courses_lookup'!$E:$E,0)),"")</f>
        <v/>
      </c>
      <c r="AG68">
        <f>IF(AND(AE68&lt;&gt;"",AF68&lt;&gt;""),ROUNDUP((AF68-AE68)/7,0),"")</f>
        <v/>
      </c>
      <c r="AI68">
        <f>IFERROR(IF(AG68*AH68=0,"",AG68*AH68),"")</f>
        <v/>
      </c>
      <c r="AL68">
        <f>IF(AND(AJ68&lt;&gt;"",AK68&lt;&gt;""),ROUNDUP((AK68-AJ68)/7,0),"")</f>
        <v/>
      </c>
      <c r="AN68">
        <f>IFERROR(IF(AL68*AM68=0,"",AL68*AM68),"")</f>
        <v/>
      </c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L68">
        <f>IFERROR(INDEX('_names_lookup'!$C:$C,MATCH(BK68,'_names_lookup'!$A:$A,0)),"")</f>
        <v/>
      </c>
      <c r="BM68">
        <f>IFERROR(INDEX('_names_lookup'!$B:$B,MATCH(BK68,'_names_lookup'!$A:$A,0)),"")</f>
        <v/>
      </c>
      <c r="BS68">
        <f>IFERROR(IF(BR68*AA68=0,"",BR68*AA68),"")</f>
        <v/>
      </c>
    </row>
    <row r="69">
      <c r="O69">
        <f>IFERROR(INDEX('_courses_lookup'!$C:$C,MATCH(K69&amp;L69,'_courses_lookup'!$E:$E,0)),"")</f>
        <v/>
      </c>
      <c r="P69">
        <f>IFERROR(INDEX('_courses_lookup'!$D:$D,MATCH(K69&amp;L69,'_courses_lookup'!$E:$E,0)),"")</f>
        <v/>
      </c>
      <c r="AG69">
        <f>IF(AND(AE69&lt;&gt;"",AF69&lt;&gt;""),ROUNDUP((AF69-AE69)/7,0),"")</f>
        <v/>
      </c>
      <c r="AI69">
        <f>IFERROR(IF(AG69*AH69=0,"",AG69*AH69),"")</f>
        <v/>
      </c>
      <c r="AL69">
        <f>IF(AND(AJ69&lt;&gt;"",AK69&lt;&gt;""),ROUNDUP((AK69-AJ69)/7,0),"")</f>
        <v/>
      </c>
      <c r="AN69">
        <f>IFERROR(IF(AL69*AM69=0,"",AL69*AM69),"")</f>
        <v/>
      </c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L69">
        <f>IFERROR(INDEX('_names_lookup'!$C:$C,MATCH(BK69,'_names_lookup'!$A:$A,0)),"")</f>
        <v/>
      </c>
      <c r="BM69">
        <f>IFERROR(INDEX('_names_lookup'!$B:$B,MATCH(BK69,'_names_lookup'!$A:$A,0)),"")</f>
        <v/>
      </c>
      <c r="BS69">
        <f>IFERROR(IF(BR69*AA69=0,"",BR69*AA69),"")</f>
        <v/>
      </c>
    </row>
    <row r="70">
      <c r="O70">
        <f>IFERROR(INDEX('_courses_lookup'!$C:$C,MATCH(K70&amp;L70,'_courses_lookup'!$E:$E,0)),"")</f>
        <v/>
      </c>
      <c r="P70">
        <f>IFERROR(INDEX('_courses_lookup'!$D:$D,MATCH(K70&amp;L70,'_courses_lookup'!$E:$E,0)),"")</f>
        <v/>
      </c>
      <c r="AG70">
        <f>IF(AND(AE70&lt;&gt;"",AF70&lt;&gt;""),ROUNDUP((AF70-AE70)/7,0),"")</f>
        <v/>
      </c>
      <c r="AI70">
        <f>IFERROR(IF(AG70*AH70=0,"",AG70*AH70),"")</f>
        <v/>
      </c>
      <c r="AL70">
        <f>IF(AND(AJ70&lt;&gt;"",AK70&lt;&gt;""),ROUNDUP((AK70-AJ70)/7,0),"")</f>
        <v/>
      </c>
      <c r="AN70">
        <f>IFERROR(IF(AL70*AM70=0,"",AL70*AM70),"")</f>
        <v/>
      </c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L70">
        <f>IFERROR(INDEX('_names_lookup'!$C:$C,MATCH(BK70,'_names_lookup'!$A:$A,0)),"")</f>
        <v/>
      </c>
      <c r="BM70">
        <f>IFERROR(INDEX('_names_lookup'!$B:$B,MATCH(BK70,'_names_lookup'!$A:$A,0)),"")</f>
        <v/>
      </c>
      <c r="BS70">
        <f>IFERROR(IF(BR70*AA70=0,"",BR70*AA70),"")</f>
        <v/>
      </c>
    </row>
    <row r="71">
      <c r="O71">
        <f>IFERROR(INDEX('_courses_lookup'!$C:$C,MATCH(K71&amp;L71,'_courses_lookup'!$E:$E,0)),"")</f>
        <v/>
      </c>
      <c r="P71">
        <f>IFERROR(INDEX('_courses_lookup'!$D:$D,MATCH(K71&amp;L71,'_courses_lookup'!$E:$E,0)),"")</f>
        <v/>
      </c>
      <c r="AG71">
        <f>IF(AND(AE71&lt;&gt;"",AF71&lt;&gt;""),ROUNDUP((AF71-AE71)/7,0),"")</f>
        <v/>
      </c>
      <c r="AI71">
        <f>IFERROR(IF(AG71*AH71=0,"",AG71*AH71),"")</f>
        <v/>
      </c>
      <c r="AL71">
        <f>IF(AND(AJ71&lt;&gt;"",AK71&lt;&gt;""),ROUNDUP((AK71-AJ71)/7,0),"")</f>
        <v/>
      </c>
      <c r="AN71">
        <f>IFERROR(IF(AL71*AM71=0,"",AL71*AM71),"")</f>
        <v/>
      </c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L71">
        <f>IFERROR(INDEX('_names_lookup'!$C:$C,MATCH(BK71,'_names_lookup'!$A:$A,0)),"")</f>
        <v/>
      </c>
      <c r="BM71">
        <f>IFERROR(INDEX('_names_lookup'!$B:$B,MATCH(BK71,'_names_lookup'!$A:$A,0)),"")</f>
        <v/>
      </c>
      <c r="BS71">
        <f>IFERROR(IF(BR71*AA71=0,"",BR71*AA71),"")</f>
        <v/>
      </c>
    </row>
    <row r="72">
      <c r="O72">
        <f>IFERROR(INDEX('_courses_lookup'!$C:$C,MATCH(K72&amp;L72,'_courses_lookup'!$E:$E,0)),"")</f>
        <v/>
      </c>
      <c r="P72">
        <f>IFERROR(INDEX('_courses_lookup'!$D:$D,MATCH(K72&amp;L72,'_courses_lookup'!$E:$E,0)),"")</f>
        <v/>
      </c>
      <c r="AG72">
        <f>IF(AND(AE72&lt;&gt;"",AF72&lt;&gt;""),ROUNDUP((AF72-AE72)/7,0),"")</f>
        <v/>
      </c>
      <c r="AI72">
        <f>IFERROR(IF(AG72*AH72=0,"",AG72*AH72),"")</f>
        <v/>
      </c>
      <c r="AL72">
        <f>IF(AND(AJ72&lt;&gt;"",AK72&lt;&gt;""),ROUNDUP((AK72-AJ72)/7,0),"")</f>
        <v/>
      </c>
      <c r="AN72">
        <f>IFERROR(IF(AL72*AM72=0,"",AL72*AM72),"")</f>
        <v/>
      </c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L72">
        <f>IFERROR(INDEX('_names_lookup'!$C:$C,MATCH(BK72,'_names_lookup'!$A:$A,0)),"")</f>
        <v/>
      </c>
      <c r="BM72">
        <f>IFERROR(INDEX('_names_lookup'!$B:$B,MATCH(BK72,'_names_lookup'!$A:$A,0)),"")</f>
        <v/>
      </c>
      <c r="BS72">
        <f>IFERROR(IF(BR72*AA72=0,"",BR72*AA72),"")</f>
        <v/>
      </c>
    </row>
    <row r="73">
      <c r="O73">
        <f>IFERROR(INDEX('_courses_lookup'!$C:$C,MATCH(K73&amp;L73,'_courses_lookup'!$E:$E,0)),"")</f>
        <v/>
      </c>
      <c r="P73">
        <f>IFERROR(INDEX('_courses_lookup'!$D:$D,MATCH(K73&amp;L73,'_courses_lookup'!$E:$E,0)),"")</f>
        <v/>
      </c>
      <c r="AG73">
        <f>IF(AND(AE73&lt;&gt;"",AF73&lt;&gt;""),ROUNDUP((AF73-AE73)/7,0),"")</f>
        <v/>
      </c>
      <c r="AI73">
        <f>IFERROR(IF(AG73*AH73=0,"",AG73*AH73),"")</f>
        <v/>
      </c>
      <c r="AL73">
        <f>IF(AND(AJ73&lt;&gt;"",AK73&lt;&gt;""),ROUNDUP((AK73-AJ73)/7,0),"")</f>
        <v/>
      </c>
      <c r="AN73">
        <f>IFERROR(IF(AL73*AM73=0,"",AL73*AM73),"")</f>
        <v/>
      </c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L73">
        <f>IFERROR(INDEX('_names_lookup'!$C:$C,MATCH(BK73,'_names_lookup'!$A:$A,0)),"")</f>
        <v/>
      </c>
      <c r="BM73">
        <f>IFERROR(INDEX('_names_lookup'!$B:$B,MATCH(BK73,'_names_lookup'!$A:$A,0)),"")</f>
        <v/>
      </c>
      <c r="BS73">
        <f>IFERROR(IF(BR73*AA73=0,"",BR73*AA73),"")</f>
        <v/>
      </c>
    </row>
    <row r="74">
      <c r="O74">
        <f>IFERROR(INDEX('_courses_lookup'!$C:$C,MATCH(K74&amp;L74,'_courses_lookup'!$E:$E,0)),"")</f>
        <v/>
      </c>
      <c r="P74">
        <f>IFERROR(INDEX('_courses_lookup'!$D:$D,MATCH(K74&amp;L74,'_courses_lookup'!$E:$E,0)),"")</f>
        <v/>
      </c>
      <c r="AG74">
        <f>IF(AND(AE74&lt;&gt;"",AF74&lt;&gt;""),ROUNDUP((AF74-AE74)/7,0),"")</f>
        <v/>
      </c>
      <c r="AI74">
        <f>IFERROR(IF(AG74*AH74=0,"",AG74*AH74),"")</f>
        <v/>
      </c>
      <c r="AL74">
        <f>IF(AND(AJ74&lt;&gt;"",AK74&lt;&gt;""),ROUNDUP((AK74-AJ74)/7,0),"")</f>
        <v/>
      </c>
      <c r="AN74">
        <f>IFERROR(IF(AL74*AM74=0,"",AL74*AM74),"")</f>
        <v/>
      </c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L74">
        <f>IFERROR(INDEX('_names_lookup'!$C:$C,MATCH(BK74,'_names_lookup'!$A:$A,0)),"")</f>
        <v/>
      </c>
      <c r="BM74">
        <f>IFERROR(INDEX('_names_lookup'!$B:$B,MATCH(BK74,'_names_lookup'!$A:$A,0)),"")</f>
        <v/>
      </c>
      <c r="BS74">
        <f>IFERROR(IF(BR74*AA74=0,"",BR74*AA74),"")</f>
        <v/>
      </c>
    </row>
    <row r="75">
      <c r="O75">
        <f>IFERROR(INDEX('_courses_lookup'!$C:$C,MATCH(K75&amp;L75,'_courses_lookup'!$E:$E,0)),"")</f>
        <v/>
      </c>
      <c r="P75">
        <f>IFERROR(INDEX('_courses_lookup'!$D:$D,MATCH(K75&amp;L75,'_courses_lookup'!$E:$E,0)),"")</f>
        <v/>
      </c>
      <c r="AG75">
        <f>IF(AND(AE75&lt;&gt;"",AF75&lt;&gt;""),ROUNDUP((AF75-AE75)/7,0),"")</f>
        <v/>
      </c>
      <c r="AI75">
        <f>IFERROR(IF(AG75*AH75=0,"",AG75*AH75),"")</f>
        <v/>
      </c>
      <c r="AL75">
        <f>IF(AND(AJ75&lt;&gt;"",AK75&lt;&gt;""),ROUNDUP((AK75-AJ75)/7,0),"")</f>
        <v/>
      </c>
      <c r="AN75">
        <f>IFERROR(IF(AL75*AM75=0,"",AL75*AM75),"")</f>
        <v/>
      </c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L75">
        <f>IFERROR(INDEX('_names_lookup'!$C:$C,MATCH(BK75,'_names_lookup'!$A:$A,0)),"")</f>
        <v/>
      </c>
      <c r="BM75">
        <f>IFERROR(INDEX('_names_lookup'!$B:$B,MATCH(BK75,'_names_lookup'!$A:$A,0)),"")</f>
        <v/>
      </c>
      <c r="BS75">
        <f>IFERROR(IF(BR75*AA75=0,"",BR75*AA75),"")</f>
        <v/>
      </c>
    </row>
    <row r="76">
      <c r="O76">
        <f>IFERROR(INDEX('_courses_lookup'!$C:$C,MATCH(K76&amp;L76,'_courses_lookup'!$E:$E,0)),"")</f>
        <v/>
      </c>
      <c r="P76">
        <f>IFERROR(INDEX('_courses_lookup'!$D:$D,MATCH(K76&amp;L76,'_courses_lookup'!$E:$E,0)),"")</f>
        <v/>
      </c>
      <c r="AG76">
        <f>IF(AND(AE76&lt;&gt;"",AF76&lt;&gt;""),ROUNDUP((AF76-AE76)/7,0),"")</f>
        <v/>
      </c>
      <c r="AI76">
        <f>IFERROR(IF(AG76*AH76=0,"",AG76*AH76),"")</f>
        <v/>
      </c>
      <c r="AL76">
        <f>IF(AND(AJ76&lt;&gt;"",AK76&lt;&gt;""),ROUNDUP((AK76-AJ76)/7,0),"")</f>
        <v/>
      </c>
      <c r="AN76">
        <f>IFERROR(IF(AL76*AM76=0,"",AL76*AM76),"")</f>
        <v/>
      </c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L76">
        <f>IFERROR(INDEX('_names_lookup'!$C:$C,MATCH(BK76,'_names_lookup'!$A:$A,0)),"")</f>
        <v/>
      </c>
      <c r="BM76">
        <f>IFERROR(INDEX('_names_lookup'!$B:$B,MATCH(BK76,'_names_lookup'!$A:$A,0)),"")</f>
        <v/>
      </c>
      <c r="BS76">
        <f>IFERROR(IF(BR76*AA76=0,"",BR76*AA76),"")</f>
        <v/>
      </c>
    </row>
    <row r="77">
      <c r="O77">
        <f>IFERROR(INDEX('_courses_lookup'!$C:$C,MATCH(K77&amp;L77,'_courses_lookup'!$E:$E,0)),"")</f>
        <v/>
      </c>
      <c r="P77">
        <f>IFERROR(INDEX('_courses_lookup'!$D:$D,MATCH(K77&amp;L77,'_courses_lookup'!$E:$E,0)),"")</f>
        <v/>
      </c>
      <c r="AG77">
        <f>IF(AND(AE77&lt;&gt;"",AF77&lt;&gt;""),ROUNDUP((AF77-AE77)/7,0),"")</f>
        <v/>
      </c>
      <c r="AI77">
        <f>IFERROR(IF(AG77*AH77=0,"",AG77*AH77),"")</f>
        <v/>
      </c>
      <c r="AL77">
        <f>IF(AND(AJ77&lt;&gt;"",AK77&lt;&gt;""),ROUNDUP((AK77-AJ77)/7,0),"")</f>
        <v/>
      </c>
      <c r="AN77">
        <f>IFERROR(IF(AL77*AM77=0,"",AL77*AM77),"")</f>
        <v/>
      </c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L77">
        <f>IFERROR(INDEX('_names_lookup'!$C:$C,MATCH(BK77,'_names_lookup'!$A:$A,0)),"")</f>
        <v/>
      </c>
      <c r="BM77">
        <f>IFERROR(INDEX('_names_lookup'!$B:$B,MATCH(BK77,'_names_lookup'!$A:$A,0)),"")</f>
        <v/>
      </c>
      <c r="BS77">
        <f>IFERROR(IF(BR77*AA77=0,"",BR77*AA77),"")</f>
        <v/>
      </c>
    </row>
    <row r="78">
      <c r="O78">
        <f>IFERROR(INDEX('_courses_lookup'!$C:$C,MATCH(K78&amp;L78,'_courses_lookup'!$E:$E,0)),"")</f>
        <v/>
      </c>
      <c r="P78">
        <f>IFERROR(INDEX('_courses_lookup'!$D:$D,MATCH(K78&amp;L78,'_courses_lookup'!$E:$E,0)),"")</f>
        <v/>
      </c>
      <c r="AG78">
        <f>IF(AND(AE78&lt;&gt;"",AF78&lt;&gt;""),ROUNDUP((AF78-AE78)/7,0),"")</f>
        <v/>
      </c>
      <c r="AI78">
        <f>IFERROR(IF(AG78*AH78=0,"",AG78*AH78),"")</f>
        <v/>
      </c>
      <c r="AL78">
        <f>IF(AND(AJ78&lt;&gt;"",AK78&lt;&gt;""),ROUNDUP((AK78-AJ78)/7,0),"")</f>
        <v/>
      </c>
      <c r="AN78">
        <f>IFERROR(IF(AL78*AM78=0,"",AL78*AM78),"")</f>
        <v/>
      </c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L78">
        <f>IFERROR(INDEX('_names_lookup'!$C:$C,MATCH(BK78,'_names_lookup'!$A:$A,0)),"")</f>
        <v/>
      </c>
      <c r="BM78">
        <f>IFERROR(INDEX('_names_lookup'!$B:$B,MATCH(BK78,'_names_lookup'!$A:$A,0)),"")</f>
        <v/>
      </c>
      <c r="BS78">
        <f>IFERROR(IF(BR78*AA78=0,"",BR78*AA78),"")</f>
        <v/>
      </c>
    </row>
    <row r="79">
      <c r="O79">
        <f>IFERROR(INDEX('_courses_lookup'!$C:$C,MATCH(K79&amp;L79,'_courses_lookup'!$E:$E,0)),"")</f>
        <v/>
      </c>
      <c r="P79">
        <f>IFERROR(INDEX('_courses_lookup'!$D:$D,MATCH(K79&amp;L79,'_courses_lookup'!$E:$E,0)),"")</f>
        <v/>
      </c>
      <c r="AG79">
        <f>IF(AND(AE79&lt;&gt;"",AF79&lt;&gt;""),ROUNDUP((AF79-AE79)/7,0),"")</f>
        <v/>
      </c>
      <c r="AI79">
        <f>IFERROR(IF(AG79*AH79=0,"",AG79*AH79),"")</f>
        <v/>
      </c>
      <c r="AL79">
        <f>IF(AND(AJ79&lt;&gt;"",AK79&lt;&gt;""),ROUNDUP((AK79-AJ79)/7,0),"")</f>
        <v/>
      </c>
      <c r="AN79">
        <f>IFERROR(IF(AL79*AM79=0,"",AL79*AM79),"")</f>
        <v/>
      </c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L79">
        <f>IFERROR(INDEX('_names_lookup'!$C:$C,MATCH(BK79,'_names_lookup'!$A:$A,0)),"")</f>
        <v/>
      </c>
      <c r="BM79">
        <f>IFERROR(INDEX('_names_lookup'!$B:$B,MATCH(BK79,'_names_lookup'!$A:$A,0)),"")</f>
        <v/>
      </c>
      <c r="BS79">
        <f>IFERROR(IF(BR79*AA79=0,"",BR79*AA79),"")</f>
        <v/>
      </c>
    </row>
    <row r="80">
      <c r="O80">
        <f>IFERROR(INDEX('_courses_lookup'!$C:$C,MATCH(K80&amp;L80,'_courses_lookup'!$E:$E,0)),"")</f>
        <v/>
      </c>
      <c r="P80">
        <f>IFERROR(INDEX('_courses_lookup'!$D:$D,MATCH(K80&amp;L80,'_courses_lookup'!$E:$E,0)),"")</f>
        <v/>
      </c>
      <c r="AG80">
        <f>IF(AND(AE80&lt;&gt;"",AF80&lt;&gt;""),ROUNDUP((AF80-AE80)/7,0),"")</f>
        <v/>
      </c>
      <c r="AI80">
        <f>IFERROR(IF(AG80*AH80=0,"",AG80*AH80),"")</f>
        <v/>
      </c>
      <c r="AL80">
        <f>IF(AND(AJ80&lt;&gt;"",AK80&lt;&gt;""),ROUNDUP((AK80-AJ80)/7,0),"")</f>
        <v/>
      </c>
      <c r="AN80">
        <f>IFERROR(IF(AL80*AM80=0,"",AL80*AM80),"")</f>
        <v/>
      </c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L80">
        <f>IFERROR(INDEX('_names_lookup'!$C:$C,MATCH(BK80,'_names_lookup'!$A:$A,0)),"")</f>
        <v/>
      </c>
      <c r="BM80">
        <f>IFERROR(INDEX('_names_lookup'!$B:$B,MATCH(BK80,'_names_lookup'!$A:$A,0)),"")</f>
        <v/>
      </c>
      <c r="BS80">
        <f>IFERROR(IF(BR80*AA80=0,"",BR80*AA80),"")</f>
        <v/>
      </c>
    </row>
    <row r="81">
      <c r="O81">
        <f>IFERROR(INDEX('_courses_lookup'!$C:$C,MATCH(K81&amp;L81,'_courses_lookup'!$E:$E,0)),"")</f>
        <v/>
      </c>
      <c r="P81">
        <f>IFERROR(INDEX('_courses_lookup'!$D:$D,MATCH(K81&amp;L81,'_courses_lookup'!$E:$E,0)),"")</f>
        <v/>
      </c>
      <c r="AG81">
        <f>IF(AND(AE81&lt;&gt;"",AF81&lt;&gt;""),ROUNDUP((AF81-AE81)/7,0),"")</f>
        <v/>
      </c>
      <c r="AI81">
        <f>IFERROR(IF(AG81*AH81=0,"",AG81*AH81),"")</f>
        <v/>
      </c>
      <c r="AL81">
        <f>IF(AND(AJ81&lt;&gt;"",AK81&lt;&gt;""),ROUNDUP((AK81-AJ81)/7,0),"")</f>
        <v/>
      </c>
      <c r="AN81">
        <f>IFERROR(IF(AL81*AM81=0,"",AL81*AM81),"")</f>
        <v/>
      </c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L81">
        <f>IFERROR(INDEX('_names_lookup'!$C:$C,MATCH(BK81,'_names_lookup'!$A:$A,0)),"")</f>
        <v/>
      </c>
      <c r="BM81">
        <f>IFERROR(INDEX('_names_lookup'!$B:$B,MATCH(BK81,'_names_lookup'!$A:$A,0)),"")</f>
        <v/>
      </c>
      <c r="BS81">
        <f>IFERROR(IF(BR81*AA81=0,"",BR81*AA81),"")</f>
        <v/>
      </c>
    </row>
    <row r="82">
      <c r="O82">
        <f>IFERROR(INDEX('_courses_lookup'!$C:$C,MATCH(K82&amp;L82,'_courses_lookup'!$E:$E,0)),"")</f>
        <v/>
      </c>
      <c r="P82">
        <f>IFERROR(INDEX('_courses_lookup'!$D:$D,MATCH(K82&amp;L82,'_courses_lookup'!$E:$E,0)),"")</f>
        <v/>
      </c>
      <c r="AG82">
        <f>IF(AND(AE82&lt;&gt;"",AF82&lt;&gt;""),ROUNDUP((AF82-AE82)/7,0),"")</f>
        <v/>
      </c>
      <c r="AI82">
        <f>IFERROR(IF(AG82*AH82=0,"",AG82*AH82),"")</f>
        <v/>
      </c>
      <c r="AL82">
        <f>IF(AND(AJ82&lt;&gt;"",AK82&lt;&gt;""),ROUNDUP((AK82-AJ82)/7,0),"")</f>
        <v/>
      </c>
      <c r="AN82">
        <f>IFERROR(IF(AL82*AM82=0,"",AL82*AM82),"")</f>
        <v/>
      </c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L82">
        <f>IFERROR(INDEX('_names_lookup'!$C:$C,MATCH(BK82,'_names_lookup'!$A:$A,0)),"")</f>
        <v/>
      </c>
      <c r="BM82">
        <f>IFERROR(INDEX('_names_lookup'!$B:$B,MATCH(BK82,'_names_lookup'!$A:$A,0)),"")</f>
        <v/>
      </c>
      <c r="BS82">
        <f>IFERROR(IF(BR82*AA82=0,"",BR82*AA82),"")</f>
        <v/>
      </c>
    </row>
    <row r="83">
      <c r="O83">
        <f>IFERROR(INDEX('_courses_lookup'!$C:$C,MATCH(K83&amp;L83,'_courses_lookup'!$E:$E,0)),"")</f>
        <v/>
      </c>
      <c r="P83">
        <f>IFERROR(INDEX('_courses_lookup'!$D:$D,MATCH(K83&amp;L83,'_courses_lookup'!$E:$E,0)),"")</f>
        <v/>
      </c>
      <c r="AG83">
        <f>IF(AND(AE83&lt;&gt;"",AF83&lt;&gt;""),ROUNDUP((AF83-AE83)/7,0),"")</f>
        <v/>
      </c>
      <c r="AI83">
        <f>IFERROR(IF(AG83*AH83=0,"",AG83*AH83),"")</f>
        <v/>
      </c>
      <c r="AL83">
        <f>IF(AND(AJ83&lt;&gt;"",AK83&lt;&gt;""),ROUNDUP((AK83-AJ83)/7,0),"")</f>
        <v/>
      </c>
      <c r="AN83">
        <f>IFERROR(IF(AL83*AM83=0,"",AL83*AM83),"")</f>
        <v/>
      </c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L83">
        <f>IFERROR(INDEX('_names_lookup'!$C:$C,MATCH(BK83,'_names_lookup'!$A:$A,0)),"")</f>
        <v/>
      </c>
      <c r="BM83">
        <f>IFERROR(INDEX('_names_lookup'!$B:$B,MATCH(BK83,'_names_lookup'!$A:$A,0)),"")</f>
        <v/>
      </c>
      <c r="BS83">
        <f>IFERROR(IF(BR83*AA83=0,"",BR83*AA83),"")</f>
        <v/>
      </c>
    </row>
    <row r="84">
      <c r="O84">
        <f>IFERROR(INDEX('_courses_lookup'!$C:$C,MATCH(K84&amp;L84,'_courses_lookup'!$E:$E,0)),"")</f>
        <v/>
      </c>
      <c r="P84">
        <f>IFERROR(INDEX('_courses_lookup'!$D:$D,MATCH(K84&amp;L84,'_courses_lookup'!$E:$E,0)),"")</f>
        <v/>
      </c>
      <c r="AG84">
        <f>IF(AND(AE84&lt;&gt;"",AF84&lt;&gt;""),ROUNDUP((AF84-AE84)/7,0),"")</f>
        <v/>
      </c>
      <c r="AI84">
        <f>IFERROR(IF(AG84*AH84=0,"",AG84*AH84),"")</f>
        <v/>
      </c>
      <c r="AL84">
        <f>IF(AND(AJ84&lt;&gt;"",AK84&lt;&gt;""),ROUNDUP((AK84-AJ84)/7,0),"")</f>
        <v/>
      </c>
      <c r="AN84">
        <f>IFERROR(IF(AL84*AM84=0,"",AL84*AM84),"")</f>
        <v/>
      </c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L84">
        <f>IFERROR(INDEX('_names_lookup'!$C:$C,MATCH(BK84,'_names_lookup'!$A:$A,0)),"")</f>
        <v/>
      </c>
      <c r="BM84">
        <f>IFERROR(INDEX('_names_lookup'!$B:$B,MATCH(BK84,'_names_lookup'!$A:$A,0)),"")</f>
        <v/>
      </c>
      <c r="BS84">
        <f>IFERROR(IF(BR84*AA84=0,"",BR84*AA84),"")</f>
        <v/>
      </c>
    </row>
    <row r="85">
      <c r="O85">
        <f>IFERROR(INDEX('_courses_lookup'!$C:$C,MATCH(K85&amp;L85,'_courses_lookup'!$E:$E,0)),"")</f>
        <v/>
      </c>
      <c r="P85">
        <f>IFERROR(INDEX('_courses_lookup'!$D:$D,MATCH(K85&amp;L85,'_courses_lookup'!$E:$E,0)),"")</f>
        <v/>
      </c>
      <c r="AG85">
        <f>IF(AND(AE85&lt;&gt;"",AF85&lt;&gt;""),ROUNDUP((AF85-AE85)/7,0),"")</f>
        <v/>
      </c>
      <c r="AI85">
        <f>IFERROR(IF(AG85*AH85=0,"",AG85*AH85),"")</f>
        <v/>
      </c>
      <c r="AL85">
        <f>IF(AND(AJ85&lt;&gt;"",AK85&lt;&gt;""),ROUNDUP((AK85-AJ85)/7,0),"")</f>
        <v/>
      </c>
      <c r="AN85">
        <f>IFERROR(IF(AL85*AM85=0,"",AL85*AM85),"")</f>
        <v/>
      </c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L85">
        <f>IFERROR(INDEX('_names_lookup'!$C:$C,MATCH(BK85,'_names_lookup'!$A:$A,0)),"")</f>
        <v/>
      </c>
      <c r="BM85">
        <f>IFERROR(INDEX('_names_lookup'!$B:$B,MATCH(BK85,'_names_lookup'!$A:$A,0)),"")</f>
        <v/>
      </c>
      <c r="BS85">
        <f>IFERROR(IF(BR85*AA85=0,"",BR85*AA85),"")</f>
        <v/>
      </c>
    </row>
    <row r="86">
      <c r="O86">
        <f>IFERROR(INDEX('_courses_lookup'!$C:$C,MATCH(K86&amp;L86,'_courses_lookup'!$E:$E,0)),"")</f>
        <v/>
      </c>
      <c r="P86">
        <f>IFERROR(INDEX('_courses_lookup'!$D:$D,MATCH(K86&amp;L86,'_courses_lookup'!$E:$E,0)),"")</f>
        <v/>
      </c>
      <c r="AG86">
        <f>IF(AND(AE86&lt;&gt;"",AF86&lt;&gt;""),ROUNDUP((AF86-AE86)/7,0),"")</f>
        <v/>
      </c>
      <c r="AI86">
        <f>IFERROR(IF(AG86*AH86=0,"",AG86*AH86),"")</f>
        <v/>
      </c>
      <c r="AL86">
        <f>IF(AND(AJ86&lt;&gt;"",AK86&lt;&gt;""),ROUNDUP((AK86-AJ86)/7,0),"")</f>
        <v/>
      </c>
      <c r="AN86">
        <f>IFERROR(IF(AL86*AM86=0,"",AL86*AM86),"")</f>
        <v/>
      </c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L86">
        <f>IFERROR(INDEX('_names_lookup'!$C:$C,MATCH(BK86,'_names_lookup'!$A:$A,0)),"")</f>
        <v/>
      </c>
      <c r="BM86">
        <f>IFERROR(INDEX('_names_lookup'!$B:$B,MATCH(BK86,'_names_lookup'!$A:$A,0)),"")</f>
        <v/>
      </c>
      <c r="BS86">
        <f>IFERROR(IF(BR86*AA86=0,"",BR86*AA86),"")</f>
        <v/>
      </c>
    </row>
    <row r="87">
      <c r="O87">
        <f>IFERROR(INDEX('_courses_lookup'!$C:$C,MATCH(K87&amp;L87,'_courses_lookup'!$E:$E,0)),"")</f>
        <v/>
      </c>
      <c r="P87">
        <f>IFERROR(INDEX('_courses_lookup'!$D:$D,MATCH(K87&amp;L87,'_courses_lookup'!$E:$E,0)),"")</f>
        <v/>
      </c>
      <c r="AG87">
        <f>IF(AND(AE87&lt;&gt;"",AF87&lt;&gt;""),ROUNDUP((AF87-AE87)/7,0),"")</f>
        <v/>
      </c>
      <c r="AI87">
        <f>IFERROR(IF(AG87*AH87=0,"",AG87*AH87),"")</f>
        <v/>
      </c>
      <c r="AL87">
        <f>IF(AND(AJ87&lt;&gt;"",AK87&lt;&gt;""),ROUNDUP((AK87-AJ87)/7,0),"")</f>
        <v/>
      </c>
      <c r="AN87">
        <f>IFERROR(IF(AL87*AM87=0,"",AL87*AM87),"")</f>
        <v/>
      </c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L87">
        <f>IFERROR(INDEX('_names_lookup'!$C:$C,MATCH(BK87,'_names_lookup'!$A:$A,0)),"")</f>
        <v/>
      </c>
      <c r="BM87">
        <f>IFERROR(INDEX('_names_lookup'!$B:$B,MATCH(BK87,'_names_lookup'!$A:$A,0)),"")</f>
        <v/>
      </c>
      <c r="BS87">
        <f>IFERROR(IF(BR87*AA87=0,"",BR87*AA87),"")</f>
        <v/>
      </c>
    </row>
    <row r="88">
      <c r="O88">
        <f>IFERROR(INDEX('_courses_lookup'!$C:$C,MATCH(K88&amp;L88,'_courses_lookup'!$E:$E,0)),"")</f>
        <v/>
      </c>
      <c r="P88">
        <f>IFERROR(INDEX('_courses_lookup'!$D:$D,MATCH(K88&amp;L88,'_courses_lookup'!$E:$E,0)),"")</f>
        <v/>
      </c>
      <c r="AG88">
        <f>IF(AND(AE88&lt;&gt;"",AF88&lt;&gt;""),ROUNDUP((AF88-AE88)/7,0),"")</f>
        <v/>
      </c>
      <c r="AI88">
        <f>IFERROR(IF(AG88*AH88=0,"",AG88*AH88),"")</f>
        <v/>
      </c>
      <c r="AL88">
        <f>IF(AND(AJ88&lt;&gt;"",AK88&lt;&gt;""),ROUNDUP((AK88-AJ88)/7,0),"")</f>
        <v/>
      </c>
      <c r="AN88">
        <f>IFERROR(IF(AL88*AM88=0,"",AL88*AM88),"")</f>
        <v/>
      </c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L88">
        <f>IFERROR(INDEX('_names_lookup'!$C:$C,MATCH(BK88,'_names_lookup'!$A:$A,0)),"")</f>
        <v/>
      </c>
      <c r="BM88">
        <f>IFERROR(INDEX('_names_lookup'!$B:$B,MATCH(BK88,'_names_lookup'!$A:$A,0)),"")</f>
        <v/>
      </c>
      <c r="BS88">
        <f>IFERROR(IF(BR88*AA88=0,"",BR88*AA88),"")</f>
        <v/>
      </c>
    </row>
    <row r="89">
      <c r="O89">
        <f>IFERROR(INDEX('_courses_lookup'!$C:$C,MATCH(K89&amp;L89,'_courses_lookup'!$E:$E,0)),"")</f>
        <v/>
      </c>
      <c r="P89">
        <f>IFERROR(INDEX('_courses_lookup'!$D:$D,MATCH(K89&amp;L89,'_courses_lookup'!$E:$E,0)),"")</f>
        <v/>
      </c>
      <c r="AG89">
        <f>IF(AND(AE89&lt;&gt;"",AF89&lt;&gt;""),ROUNDUP((AF89-AE89)/7,0),"")</f>
        <v/>
      </c>
      <c r="AI89">
        <f>IFERROR(IF(AG89*AH89=0,"",AG89*AH89),"")</f>
        <v/>
      </c>
      <c r="AL89">
        <f>IF(AND(AJ89&lt;&gt;"",AK89&lt;&gt;""),ROUNDUP((AK89-AJ89)/7,0),"")</f>
        <v/>
      </c>
      <c r="AN89">
        <f>IFERROR(IF(AL89*AM89=0,"",AL89*AM89),"")</f>
        <v/>
      </c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L89">
        <f>IFERROR(INDEX('_names_lookup'!$C:$C,MATCH(BK89,'_names_lookup'!$A:$A,0)),"")</f>
        <v/>
      </c>
      <c r="BM89">
        <f>IFERROR(INDEX('_names_lookup'!$B:$B,MATCH(BK89,'_names_lookup'!$A:$A,0)),"")</f>
        <v/>
      </c>
      <c r="BS89">
        <f>IFERROR(IF(BR89*AA89=0,"",BR89*AA89),"")</f>
        <v/>
      </c>
    </row>
    <row r="90">
      <c r="O90">
        <f>IFERROR(INDEX('_courses_lookup'!$C:$C,MATCH(K90&amp;L90,'_courses_lookup'!$E:$E,0)),"")</f>
        <v/>
      </c>
      <c r="P90">
        <f>IFERROR(INDEX('_courses_lookup'!$D:$D,MATCH(K90&amp;L90,'_courses_lookup'!$E:$E,0)),"")</f>
        <v/>
      </c>
      <c r="AG90">
        <f>IF(AND(AE90&lt;&gt;"",AF90&lt;&gt;""),ROUNDUP((AF90-AE90)/7,0),"")</f>
        <v/>
      </c>
      <c r="AI90">
        <f>IFERROR(IF(AG90*AH90=0,"",AG90*AH90),"")</f>
        <v/>
      </c>
      <c r="AL90">
        <f>IF(AND(AJ90&lt;&gt;"",AK90&lt;&gt;""),ROUNDUP((AK90-AJ90)/7,0),"")</f>
        <v/>
      </c>
      <c r="AN90">
        <f>IFERROR(IF(AL90*AM90=0,"",AL90*AM90),"")</f>
        <v/>
      </c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L90">
        <f>IFERROR(INDEX('_names_lookup'!$C:$C,MATCH(BK90,'_names_lookup'!$A:$A,0)),"")</f>
        <v/>
      </c>
      <c r="BM90">
        <f>IFERROR(INDEX('_names_lookup'!$B:$B,MATCH(BK90,'_names_lookup'!$A:$A,0)),"")</f>
        <v/>
      </c>
      <c r="BS90">
        <f>IFERROR(IF(BR90*AA90=0,"",BR90*AA90),"")</f>
        <v/>
      </c>
    </row>
    <row r="91">
      <c r="O91">
        <f>IFERROR(INDEX('_courses_lookup'!$C:$C,MATCH(K91&amp;L91,'_courses_lookup'!$E:$E,0)),"")</f>
        <v/>
      </c>
      <c r="P91">
        <f>IFERROR(INDEX('_courses_lookup'!$D:$D,MATCH(K91&amp;L91,'_courses_lookup'!$E:$E,0)),"")</f>
        <v/>
      </c>
      <c r="AG91">
        <f>IF(AND(AE91&lt;&gt;"",AF91&lt;&gt;""),ROUNDUP((AF91-AE91)/7,0),"")</f>
        <v/>
      </c>
      <c r="AI91">
        <f>IFERROR(IF(AG91*AH91=0,"",AG91*AH91),"")</f>
        <v/>
      </c>
      <c r="AL91">
        <f>IF(AND(AJ91&lt;&gt;"",AK91&lt;&gt;""),ROUNDUP((AK91-AJ91)/7,0),"")</f>
        <v/>
      </c>
      <c r="AN91">
        <f>IFERROR(IF(AL91*AM91=0,"",AL91*AM91),"")</f>
        <v/>
      </c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L91">
        <f>IFERROR(INDEX('_names_lookup'!$C:$C,MATCH(BK91,'_names_lookup'!$A:$A,0)),"")</f>
        <v/>
      </c>
      <c r="BM91">
        <f>IFERROR(INDEX('_names_lookup'!$B:$B,MATCH(BK91,'_names_lookup'!$A:$A,0)),"")</f>
        <v/>
      </c>
      <c r="BS91">
        <f>IFERROR(IF(BR91*AA91=0,"",BR91*AA91),"")</f>
        <v/>
      </c>
    </row>
    <row r="92">
      <c r="O92">
        <f>IFERROR(INDEX('_courses_lookup'!$C:$C,MATCH(K92&amp;L92,'_courses_lookup'!$E:$E,0)),"")</f>
        <v/>
      </c>
      <c r="P92">
        <f>IFERROR(INDEX('_courses_lookup'!$D:$D,MATCH(K92&amp;L92,'_courses_lookup'!$E:$E,0)),"")</f>
        <v/>
      </c>
      <c r="AG92">
        <f>IF(AND(AE92&lt;&gt;"",AF92&lt;&gt;""),ROUNDUP((AF92-AE92)/7,0),"")</f>
        <v/>
      </c>
      <c r="AI92">
        <f>IFERROR(IF(AG92*AH92=0,"",AG92*AH92),"")</f>
        <v/>
      </c>
      <c r="AL92">
        <f>IF(AND(AJ92&lt;&gt;"",AK92&lt;&gt;""),ROUNDUP((AK92-AJ92)/7,0),"")</f>
        <v/>
      </c>
      <c r="AN92">
        <f>IFERROR(IF(AL92*AM92=0,"",AL92*AM92),"")</f>
        <v/>
      </c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L92">
        <f>IFERROR(INDEX('_names_lookup'!$C:$C,MATCH(BK92,'_names_lookup'!$A:$A,0)),"")</f>
        <v/>
      </c>
      <c r="BM92">
        <f>IFERROR(INDEX('_names_lookup'!$B:$B,MATCH(BK92,'_names_lookup'!$A:$A,0)),"")</f>
        <v/>
      </c>
      <c r="BS92">
        <f>IFERROR(IF(BR92*AA92=0,"",BR92*AA92),"")</f>
        <v/>
      </c>
    </row>
    <row r="93">
      <c r="O93">
        <f>IFERROR(INDEX('_courses_lookup'!$C:$C,MATCH(K93&amp;L93,'_courses_lookup'!$E:$E,0)),"")</f>
        <v/>
      </c>
      <c r="P93">
        <f>IFERROR(INDEX('_courses_lookup'!$D:$D,MATCH(K93&amp;L93,'_courses_lookup'!$E:$E,0)),"")</f>
        <v/>
      </c>
      <c r="AG93">
        <f>IF(AND(AE93&lt;&gt;"",AF93&lt;&gt;""),ROUNDUP((AF93-AE93)/7,0),"")</f>
        <v/>
      </c>
      <c r="AI93">
        <f>IFERROR(IF(AG93*AH93=0,"",AG93*AH93),"")</f>
        <v/>
      </c>
      <c r="AL93">
        <f>IF(AND(AJ93&lt;&gt;"",AK93&lt;&gt;""),ROUNDUP((AK93-AJ93)/7,0),"")</f>
        <v/>
      </c>
      <c r="AN93">
        <f>IFERROR(IF(AL93*AM93=0,"",AL93*AM93),"")</f>
        <v/>
      </c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L93">
        <f>IFERROR(INDEX('_names_lookup'!$C:$C,MATCH(BK93,'_names_lookup'!$A:$A,0)),"")</f>
        <v/>
      </c>
      <c r="BM93">
        <f>IFERROR(INDEX('_names_lookup'!$B:$B,MATCH(BK93,'_names_lookup'!$A:$A,0)),"")</f>
        <v/>
      </c>
      <c r="BS93">
        <f>IFERROR(IF(BR93*AA93=0,"",BR93*AA93),"")</f>
        <v/>
      </c>
    </row>
    <row r="94">
      <c r="O94">
        <f>IFERROR(INDEX('_courses_lookup'!$C:$C,MATCH(K94&amp;L94,'_courses_lookup'!$E:$E,0)),"")</f>
        <v/>
      </c>
      <c r="P94">
        <f>IFERROR(INDEX('_courses_lookup'!$D:$D,MATCH(K94&amp;L94,'_courses_lookup'!$E:$E,0)),"")</f>
        <v/>
      </c>
      <c r="AG94">
        <f>IF(AND(AE94&lt;&gt;"",AF94&lt;&gt;""),ROUNDUP((AF94-AE94)/7,0),"")</f>
        <v/>
      </c>
      <c r="AI94">
        <f>IFERROR(IF(AG94*AH94=0,"",AG94*AH94),"")</f>
        <v/>
      </c>
      <c r="AL94">
        <f>IF(AND(AJ94&lt;&gt;"",AK94&lt;&gt;""),ROUNDUP((AK94-AJ94)/7,0),"")</f>
        <v/>
      </c>
      <c r="AN94">
        <f>IFERROR(IF(AL94*AM94=0,"",AL94*AM94),"")</f>
        <v/>
      </c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L94">
        <f>IFERROR(INDEX('_names_lookup'!$C:$C,MATCH(BK94,'_names_lookup'!$A:$A,0)),"")</f>
        <v/>
      </c>
      <c r="BM94">
        <f>IFERROR(INDEX('_names_lookup'!$B:$B,MATCH(BK94,'_names_lookup'!$A:$A,0)),"")</f>
        <v/>
      </c>
      <c r="BS94">
        <f>IFERROR(IF(BR94*AA94=0,"",BR94*AA94),"")</f>
        <v/>
      </c>
    </row>
    <row r="95">
      <c r="O95">
        <f>IFERROR(INDEX('_courses_lookup'!$C:$C,MATCH(K95&amp;L95,'_courses_lookup'!$E:$E,0)),"")</f>
        <v/>
      </c>
      <c r="P95">
        <f>IFERROR(INDEX('_courses_lookup'!$D:$D,MATCH(K95&amp;L95,'_courses_lookup'!$E:$E,0)),"")</f>
        <v/>
      </c>
      <c r="AG95">
        <f>IF(AND(AE95&lt;&gt;"",AF95&lt;&gt;""),ROUNDUP((AF95-AE95)/7,0),"")</f>
        <v/>
      </c>
      <c r="AI95">
        <f>IFERROR(IF(AG95*AH95=0,"",AG95*AH95),"")</f>
        <v/>
      </c>
      <c r="AL95">
        <f>IF(AND(AJ95&lt;&gt;"",AK95&lt;&gt;""),ROUNDUP((AK95-AJ95)/7,0),"")</f>
        <v/>
      </c>
      <c r="AN95">
        <f>IFERROR(IF(AL95*AM95=0,"",AL95*AM95),"")</f>
        <v/>
      </c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L95">
        <f>IFERROR(INDEX('_names_lookup'!$C:$C,MATCH(BK95,'_names_lookup'!$A:$A,0)),"")</f>
        <v/>
      </c>
      <c r="BM95">
        <f>IFERROR(INDEX('_names_lookup'!$B:$B,MATCH(BK95,'_names_lookup'!$A:$A,0)),"")</f>
        <v/>
      </c>
      <c r="BS95">
        <f>IFERROR(IF(BR95*AA95=0,"",BR95*AA95),"")</f>
        <v/>
      </c>
    </row>
    <row r="96">
      <c r="O96">
        <f>IFERROR(INDEX('_courses_lookup'!$C:$C,MATCH(K96&amp;L96,'_courses_lookup'!$E:$E,0)),"")</f>
        <v/>
      </c>
      <c r="P96">
        <f>IFERROR(INDEX('_courses_lookup'!$D:$D,MATCH(K96&amp;L96,'_courses_lookup'!$E:$E,0)),"")</f>
        <v/>
      </c>
      <c r="AG96">
        <f>IF(AND(AE96&lt;&gt;"",AF96&lt;&gt;""),ROUNDUP((AF96-AE96)/7,0),"")</f>
        <v/>
      </c>
      <c r="AI96">
        <f>IFERROR(IF(AG96*AH96=0,"",AG96*AH96),"")</f>
        <v/>
      </c>
      <c r="AL96">
        <f>IF(AND(AJ96&lt;&gt;"",AK96&lt;&gt;""),ROUNDUP((AK96-AJ96)/7,0),"")</f>
        <v/>
      </c>
      <c r="AN96">
        <f>IFERROR(IF(AL96*AM96=0,"",AL96*AM96),"")</f>
        <v/>
      </c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L96">
        <f>IFERROR(INDEX('_names_lookup'!$C:$C,MATCH(BK96,'_names_lookup'!$A:$A,0)),"")</f>
        <v/>
      </c>
      <c r="BM96">
        <f>IFERROR(INDEX('_names_lookup'!$B:$B,MATCH(BK96,'_names_lookup'!$A:$A,0)),"")</f>
        <v/>
      </c>
      <c r="BS96">
        <f>IFERROR(IF(BR96*AA96=0,"",BR96*AA96),"")</f>
        <v/>
      </c>
    </row>
    <row r="97">
      <c r="O97">
        <f>IFERROR(INDEX('_courses_lookup'!$C:$C,MATCH(K97&amp;L97,'_courses_lookup'!$E:$E,0)),"")</f>
        <v/>
      </c>
      <c r="P97">
        <f>IFERROR(INDEX('_courses_lookup'!$D:$D,MATCH(K97&amp;L97,'_courses_lookup'!$E:$E,0)),"")</f>
        <v/>
      </c>
      <c r="AG97">
        <f>IF(AND(AE97&lt;&gt;"",AF97&lt;&gt;""),ROUNDUP((AF97-AE97)/7,0),"")</f>
        <v/>
      </c>
      <c r="AI97">
        <f>IFERROR(IF(AG97*AH97=0,"",AG97*AH97),"")</f>
        <v/>
      </c>
      <c r="AL97">
        <f>IF(AND(AJ97&lt;&gt;"",AK97&lt;&gt;""),ROUNDUP((AK97-AJ97)/7,0),"")</f>
        <v/>
      </c>
      <c r="AN97">
        <f>IFERROR(IF(AL97*AM97=0,"",AL97*AM97),"")</f>
        <v/>
      </c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L97">
        <f>IFERROR(INDEX('_names_lookup'!$C:$C,MATCH(BK97,'_names_lookup'!$A:$A,0)),"")</f>
        <v/>
      </c>
      <c r="BM97">
        <f>IFERROR(INDEX('_names_lookup'!$B:$B,MATCH(BK97,'_names_lookup'!$A:$A,0)),"")</f>
        <v/>
      </c>
      <c r="BS97">
        <f>IFERROR(IF(BR97*AA97=0,"",BR97*AA97),"")</f>
        <v/>
      </c>
    </row>
    <row r="98">
      <c r="O98">
        <f>IFERROR(INDEX('_courses_lookup'!$C:$C,MATCH(K98&amp;L98,'_courses_lookup'!$E:$E,0)),"")</f>
        <v/>
      </c>
      <c r="P98">
        <f>IFERROR(INDEX('_courses_lookup'!$D:$D,MATCH(K98&amp;L98,'_courses_lookup'!$E:$E,0)),"")</f>
        <v/>
      </c>
      <c r="AG98">
        <f>IF(AND(AE98&lt;&gt;"",AF98&lt;&gt;""),ROUNDUP((AF98-AE98)/7,0),"")</f>
        <v/>
      </c>
      <c r="AI98">
        <f>IFERROR(IF(AG98*AH98=0,"",AG98*AH98),"")</f>
        <v/>
      </c>
      <c r="AL98">
        <f>IF(AND(AJ98&lt;&gt;"",AK98&lt;&gt;""),ROUNDUP((AK98-AJ98)/7,0),"")</f>
        <v/>
      </c>
      <c r="AN98">
        <f>IFERROR(IF(AL98*AM98=0,"",AL98*AM98),"")</f>
        <v/>
      </c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L98">
        <f>IFERROR(INDEX('_names_lookup'!$C:$C,MATCH(BK98,'_names_lookup'!$A:$A,0)),"")</f>
        <v/>
      </c>
      <c r="BM98">
        <f>IFERROR(INDEX('_names_lookup'!$B:$B,MATCH(BK98,'_names_lookup'!$A:$A,0)),"")</f>
        <v/>
      </c>
      <c r="BS98">
        <f>IFERROR(IF(BR98*AA98=0,"",BR98*AA98),"")</f>
        <v/>
      </c>
    </row>
    <row r="99">
      <c r="O99">
        <f>IFERROR(INDEX('_courses_lookup'!$C:$C,MATCH(K99&amp;L99,'_courses_lookup'!$E:$E,0)),"")</f>
        <v/>
      </c>
      <c r="P99">
        <f>IFERROR(INDEX('_courses_lookup'!$D:$D,MATCH(K99&amp;L99,'_courses_lookup'!$E:$E,0)),"")</f>
        <v/>
      </c>
      <c r="AG99">
        <f>IF(AND(AE99&lt;&gt;"",AF99&lt;&gt;""),ROUNDUP((AF99-AE99)/7,0),"")</f>
        <v/>
      </c>
      <c r="AI99">
        <f>IFERROR(IF(AG99*AH99=0,"",AG99*AH99),"")</f>
        <v/>
      </c>
      <c r="AL99">
        <f>IF(AND(AJ99&lt;&gt;"",AK99&lt;&gt;""),ROUNDUP((AK99-AJ99)/7,0),"")</f>
        <v/>
      </c>
      <c r="AN99">
        <f>IFERROR(IF(AL99*AM99=0,"",AL99*AM99),"")</f>
        <v/>
      </c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L99">
        <f>IFERROR(INDEX('_names_lookup'!$C:$C,MATCH(BK99,'_names_lookup'!$A:$A,0)),"")</f>
        <v/>
      </c>
      <c r="BM99">
        <f>IFERROR(INDEX('_names_lookup'!$B:$B,MATCH(BK99,'_names_lookup'!$A:$A,0)),"")</f>
        <v/>
      </c>
      <c r="BS99">
        <f>IFERROR(IF(BR99*AA99=0,"",BR99*AA99),"")</f>
        <v/>
      </c>
    </row>
    <row r="100">
      <c r="O100">
        <f>IFERROR(INDEX('_courses_lookup'!$C:$C,MATCH(K100&amp;L100,'_courses_lookup'!$E:$E,0)),"")</f>
        <v/>
      </c>
      <c r="P100">
        <f>IFERROR(INDEX('_courses_lookup'!$D:$D,MATCH(K100&amp;L100,'_courses_lookup'!$E:$E,0)),"")</f>
        <v/>
      </c>
      <c r="AG100">
        <f>IF(AND(AE100&lt;&gt;"",AF100&lt;&gt;""),ROUNDUP((AF100-AE100)/7,0),"")</f>
        <v/>
      </c>
      <c r="AI100">
        <f>IFERROR(IF(AG100*AH100=0,"",AG100*AH100),"")</f>
        <v/>
      </c>
      <c r="AL100">
        <f>IF(AND(AJ100&lt;&gt;"",AK100&lt;&gt;""),ROUNDUP((AK100-AJ100)/7,0),"")</f>
        <v/>
      </c>
      <c r="AN100">
        <f>IFERROR(IF(AL100*AM100=0,"",AL100*AM100),"")</f>
        <v/>
      </c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L100">
        <f>IFERROR(INDEX('_names_lookup'!$C:$C,MATCH(BK100,'_names_lookup'!$A:$A,0)),"")</f>
        <v/>
      </c>
      <c r="BM100">
        <f>IFERROR(INDEX('_names_lookup'!$B:$B,MATCH(BK100,'_names_lookup'!$A:$A,0)),"")</f>
        <v/>
      </c>
      <c r="BS100">
        <f>IFERROR(IF(BR100*AA100=0,"",BR100*AA100),"")</f>
        <v/>
      </c>
    </row>
    <row r="101">
      <c r="O101">
        <f>IFERROR(INDEX('_courses_lookup'!$C:$C,MATCH(K101&amp;L101,'_courses_lookup'!$E:$E,0)),"")</f>
        <v/>
      </c>
      <c r="P101">
        <f>IFERROR(INDEX('_courses_lookup'!$D:$D,MATCH(K101&amp;L101,'_courses_lookup'!$E:$E,0)),"")</f>
        <v/>
      </c>
      <c r="AG101">
        <f>IF(AND(AE101&lt;&gt;"",AF101&lt;&gt;""),ROUNDUP((AF101-AE101)/7,0),"")</f>
        <v/>
      </c>
      <c r="AI101">
        <f>IFERROR(IF(AG101*AH101=0,"",AG101*AH101),"")</f>
        <v/>
      </c>
      <c r="AL101">
        <f>IF(AND(AJ101&lt;&gt;"",AK101&lt;&gt;""),ROUNDUP((AK101-AJ101)/7,0),"")</f>
        <v/>
      </c>
      <c r="AN101">
        <f>IFERROR(IF(AL101*AM101=0,"",AL101*AM101),"")</f>
        <v/>
      </c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L101">
        <f>IFERROR(INDEX('_names_lookup'!$C:$C,MATCH(BK101,'_names_lookup'!$A:$A,0)),"")</f>
        <v/>
      </c>
      <c r="BM101">
        <f>IFERROR(INDEX('_names_lookup'!$B:$B,MATCH(BK101,'_names_lookup'!$A:$A,0)),"")</f>
        <v/>
      </c>
      <c r="BS101">
        <f>IFERROR(IF(BR101*AA101=0,"",BR101*AA101),"")</f>
        <v/>
      </c>
    </row>
    <row r="102">
      <c r="O102">
        <f>IFERROR(INDEX('_courses_lookup'!$C:$C,MATCH(K102&amp;L102,'_courses_lookup'!$E:$E,0)),"")</f>
        <v/>
      </c>
      <c r="P102">
        <f>IFERROR(INDEX('_courses_lookup'!$D:$D,MATCH(K102&amp;L102,'_courses_lookup'!$E:$E,0)),"")</f>
        <v/>
      </c>
      <c r="AG102">
        <f>IF(AND(AE102&lt;&gt;"",AF102&lt;&gt;""),ROUNDUP((AF102-AE102)/7,0),"")</f>
        <v/>
      </c>
      <c r="AI102">
        <f>IFERROR(IF(AG102*AH102=0,"",AG102*AH102),"")</f>
        <v/>
      </c>
      <c r="AL102">
        <f>IF(AND(AJ102&lt;&gt;"",AK102&lt;&gt;""),ROUNDUP((AK102-AJ102)/7,0),"")</f>
        <v/>
      </c>
      <c r="AN102">
        <f>IFERROR(IF(AL102*AM102=0,"",AL102*AM102),"")</f>
        <v/>
      </c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L102">
        <f>IFERROR(INDEX('_names_lookup'!$C:$C,MATCH(BK102,'_names_lookup'!$A:$A,0)),"")</f>
        <v/>
      </c>
      <c r="BM102">
        <f>IFERROR(INDEX('_names_lookup'!$B:$B,MATCH(BK102,'_names_lookup'!$A:$A,0)),"")</f>
        <v/>
      </c>
      <c r="BS102">
        <f>IFERROR(IF(BR102*AA102=0,"",BR102*AA102),"")</f>
        <v/>
      </c>
    </row>
    <row r="103">
      <c r="O103">
        <f>IFERROR(INDEX('_courses_lookup'!$C:$C,MATCH(K103&amp;L103,'_courses_lookup'!$E:$E,0)),"")</f>
        <v/>
      </c>
      <c r="P103">
        <f>IFERROR(INDEX('_courses_lookup'!$D:$D,MATCH(K103&amp;L103,'_courses_lookup'!$E:$E,0)),"")</f>
        <v/>
      </c>
      <c r="AG103">
        <f>IF(AND(AE103&lt;&gt;"",AF103&lt;&gt;""),ROUNDUP((AF103-AE103)/7,0),"")</f>
        <v/>
      </c>
      <c r="AI103">
        <f>IFERROR(IF(AG103*AH103=0,"",AG103*AH103),"")</f>
        <v/>
      </c>
      <c r="AL103">
        <f>IF(AND(AJ103&lt;&gt;"",AK103&lt;&gt;""),ROUNDUP((AK103-AJ103)/7,0),"")</f>
        <v/>
      </c>
      <c r="AN103">
        <f>IFERROR(IF(AL103*AM103=0,"",AL103*AM103),"")</f>
        <v/>
      </c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L103">
        <f>IFERROR(INDEX('_names_lookup'!$C:$C,MATCH(BK103,'_names_lookup'!$A:$A,0)),"")</f>
        <v/>
      </c>
      <c r="BM103">
        <f>IFERROR(INDEX('_names_lookup'!$B:$B,MATCH(BK103,'_names_lookup'!$A:$A,0)),"")</f>
        <v/>
      </c>
      <c r="BS103">
        <f>IFERROR(IF(BR103*AA103=0,"",BR103*AA103),"")</f>
        <v/>
      </c>
    </row>
    <row r="104">
      <c r="O104">
        <f>IFERROR(INDEX('_courses_lookup'!$C:$C,MATCH(K104&amp;L104,'_courses_lookup'!$E:$E,0)),"")</f>
        <v/>
      </c>
      <c r="P104">
        <f>IFERROR(INDEX('_courses_lookup'!$D:$D,MATCH(K104&amp;L104,'_courses_lookup'!$E:$E,0)),"")</f>
        <v/>
      </c>
      <c r="AG104">
        <f>IF(AND(AE104&lt;&gt;"",AF104&lt;&gt;""),ROUNDUP((AF104-AE104)/7,0),"")</f>
        <v/>
      </c>
      <c r="AI104">
        <f>IFERROR(IF(AG104*AH104=0,"",AG104*AH104),"")</f>
        <v/>
      </c>
      <c r="AL104">
        <f>IF(AND(AJ104&lt;&gt;"",AK104&lt;&gt;""),ROUNDUP((AK104-AJ104)/7,0),"")</f>
        <v/>
      </c>
      <c r="AN104">
        <f>IFERROR(IF(AL104*AM104=0,"",AL104*AM104),"")</f>
        <v/>
      </c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L104">
        <f>IFERROR(INDEX('_names_lookup'!$C:$C,MATCH(BK104,'_names_lookup'!$A:$A,0)),"")</f>
        <v/>
      </c>
      <c r="BM104">
        <f>IFERROR(INDEX('_names_lookup'!$B:$B,MATCH(BK104,'_names_lookup'!$A:$A,0)),"")</f>
        <v/>
      </c>
      <c r="BS104">
        <f>IFERROR(IF(BR104*AA104=0,"",BR104*AA104),"")</f>
        <v/>
      </c>
    </row>
    <row r="105">
      <c r="O105">
        <f>IFERROR(INDEX('_courses_lookup'!$C:$C,MATCH(K105&amp;L105,'_courses_lookup'!$E:$E,0)),"")</f>
        <v/>
      </c>
      <c r="P105">
        <f>IFERROR(INDEX('_courses_lookup'!$D:$D,MATCH(K105&amp;L105,'_courses_lookup'!$E:$E,0)),"")</f>
        <v/>
      </c>
      <c r="AG105">
        <f>IF(AND(AE105&lt;&gt;"",AF105&lt;&gt;""),ROUNDUP((AF105-AE105)/7,0),"")</f>
        <v/>
      </c>
      <c r="AI105">
        <f>IFERROR(IF(AG105*AH105=0,"",AG105*AH105),"")</f>
        <v/>
      </c>
      <c r="AL105">
        <f>IF(AND(AJ105&lt;&gt;"",AK105&lt;&gt;""),ROUNDUP((AK105-AJ105)/7,0),"")</f>
        <v/>
      </c>
      <c r="AN105">
        <f>IFERROR(IF(AL105*AM105=0,"",AL105*AM105),"")</f>
        <v/>
      </c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L105">
        <f>IFERROR(INDEX('_names_lookup'!$C:$C,MATCH(BK105,'_names_lookup'!$A:$A,0)),"")</f>
        <v/>
      </c>
      <c r="BM105">
        <f>IFERROR(INDEX('_names_lookup'!$B:$B,MATCH(BK105,'_names_lookup'!$A:$A,0)),"")</f>
        <v/>
      </c>
      <c r="BS105">
        <f>IFERROR(IF(BR105*AA105=0,"",BR105*AA105),"")</f>
        <v/>
      </c>
    </row>
    <row r="106">
      <c r="O106">
        <f>IFERROR(INDEX('_courses_lookup'!$C:$C,MATCH(K106&amp;L106,'_courses_lookup'!$E:$E,0)),"")</f>
        <v/>
      </c>
      <c r="P106">
        <f>IFERROR(INDEX('_courses_lookup'!$D:$D,MATCH(K106&amp;L106,'_courses_lookup'!$E:$E,0)),"")</f>
        <v/>
      </c>
      <c r="AG106">
        <f>IF(AND(AE106&lt;&gt;"",AF106&lt;&gt;""),ROUNDUP((AF106-AE106)/7,0),"")</f>
        <v/>
      </c>
      <c r="AI106">
        <f>IFERROR(IF(AG106*AH106=0,"",AG106*AH106),"")</f>
        <v/>
      </c>
      <c r="AL106">
        <f>IF(AND(AJ106&lt;&gt;"",AK106&lt;&gt;""),ROUNDUP((AK106-AJ106)/7,0),"")</f>
        <v/>
      </c>
      <c r="AN106">
        <f>IFERROR(IF(AL106*AM106=0,"",AL106*AM106),"")</f>
        <v/>
      </c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L106">
        <f>IFERROR(INDEX('_names_lookup'!$C:$C,MATCH(BK106,'_names_lookup'!$A:$A,0)),"")</f>
        <v/>
      </c>
      <c r="BM106">
        <f>IFERROR(INDEX('_names_lookup'!$B:$B,MATCH(BK106,'_names_lookup'!$A:$A,0)),"")</f>
        <v/>
      </c>
      <c r="BS106">
        <f>IFERROR(IF(BR106*AA106=0,"",BR106*AA106),"")</f>
        <v/>
      </c>
    </row>
    <row r="107">
      <c r="O107">
        <f>IFERROR(INDEX('_courses_lookup'!$C:$C,MATCH(K107&amp;L107,'_courses_lookup'!$E:$E,0)),"")</f>
        <v/>
      </c>
      <c r="P107">
        <f>IFERROR(INDEX('_courses_lookup'!$D:$D,MATCH(K107&amp;L107,'_courses_lookup'!$E:$E,0)),"")</f>
        <v/>
      </c>
      <c r="AG107">
        <f>IF(AND(AE107&lt;&gt;"",AF107&lt;&gt;""),ROUNDUP((AF107-AE107)/7,0),"")</f>
        <v/>
      </c>
      <c r="AI107">
        <f>IFERROR(IF(AG107*AH107=0,"",AG107*AH107),"")</f>
        <v/>
      </c>
      <c r="AL107">
        <f>IF(AND(AJ107&lt;&gt;"",AK107&lt;&gt;""),ROUNDUP((AK107-AJ107)/7,0),"")</f>
        <v/>
      </c>
      <c r="AN107">
        <f>IFERROR(IF(AL107*AM107=0,"",AL107*AM107),"")</f>
        <v/>
      </c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L107">
        <f>IFERROR(INDEX('_names_lookup'!$C:$C,MATCH(BK107,'_names_lookup'!$A:$A,0)),"")</f>
        <v/>
      </c>
      <c r="BM107">
        <f>IFERROR(INDEX('_names_lookup'!$B:$B,MATCH(BK107,'_names_lookup'!$A:$A,0)),"")</f>
        <v/>
      </c>
      <c r="BS107">
        <f>IFERROR(IF(BR107*AA107=0,"",BR107*AA107),"")</f>
        <v/>
      </c>
    </row>
    <row r="108">
      <c r="O108">
        <f>IFERROR(INDEX('_courses_lookup'!$C:$C,MATCH(K108&amp;L108,'_courses_lookup'!$E:$E,0)),"")</f>
        <v/>
      </c>
      <c r="P108">
        <f>IFERROR(INDEX('_courses_lookup'!$D:$D,MATCH(K108&amp;L108,'_courses_lookup'!$E:$E,0)),"")</f>
        <v/>
      </c>
      <c r="AG108">
        <f>IF(AND(AE108&lt;&gt;"",AF108&lt;&gt;""),ROUNDUP((AF108-AE108)/7,0),"")</f>
        <v/>
      </c>
      <c r="AI108">
        <f>IFERROR(IF(AG108*AH108=0,"",AG108*AH108),"")</f>
        <v/>
      </c>
      <c r="AL108">
        <f>IF(AND(AJ108&lt;&gt;"",AK108&lt;&gt;""),ROUNDUP((AK108-AJ108)/7,0),"")</f>
        <v/>
      </c>
      <c r="AN108">
        <f>IFERROR(IF(AL108*AM108=0,"",AL108*AM108),"")</f>
        <v/>
      </c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L108">
        <f>IFERROR(INDEX('_names_lookup'!$C:$C,MATCH(BK108,'_names_lookup'!$A:$A,0)),"")</f>
        <v/>
      </c>
      <c r="BM108">
        <f>IFERROR(INDEX('_names_lookup'!$B:$B,MATCH(BK108,'_names_lookup'!$A:$A,0)),"")</f>
        <v/>
      </c>
      <c r="BS108">
        <f>IFERROR(IF(BR108*AA108=0,"",BR108*AA108),"")</f>
        <v/>
      </c>
    </row>
    <row r="109">
      <c r="O109">
        <f>IFERROR(INDEX('_courses_lookup'!$C:$C,MATCH(K109&amp;L109,'_courses_lookup'!$E:$E,0)),"")</f>
        <v/>
      </c>
      <c r="P109">
        <f>IFERROR(INDEX('_courses_lookup'!$D:$D,MATCH(K109&amp;L109,'_courses_lookup'!$E:$E,0)),"")</f>
        <v/>
      </c>
      <c r="AG109">
        <f>IF(AND(AE109&lt;&gt;"",AF109&lt;&gt;""),ROUNDUP((AF109-AE109)/7,0),"")</f>
        <v/>
      </c>
      <c r="AI109">
        <f>IFERROR(IF(AG109*AH109=0,"",AG109*AH109),"")</f>
        <v/>
      </c>
      <c r="AL109">
        <f>IF(AND(AJ109&lt;&gt;"",AK109&lt;&gt;""),ROUNDUP((AK109-AJ109)/7,0),"")</f>
        <v/>
      </c>
      <c r="AN109">
        <f>IFERROR(IF(AL109*AM109=0,"",AL109*AM109),"")</f>
        <v/>
      </c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L109">
        <f>IFERROR(INDEX('_names_lookup'!$C:$C,MATCH(BK109,'_names_lookup'!$A:$A,0)),"")</f>
        <v/>
      </c>
      <c r="BM109">
        <f>IFERROR(INDEX('_names_lookup'!$B:$B,MATCH(BK109,'_names_lookup'!$A:$A,0)),"")</f>
        <v/>
      </c>
      <c r="BS109">
        <f>IFERROR(IF(BR109*AA109=0,"",BR109*AA109),"")</f>
        <v/>
      </c>
    </row>
    <row r="110">
      <c r="O110">
        <f>IFERROR(INDEX('_courses_lookup'!$C:$C,MATCH(K110&amp;L110,'_courses_lookup'!$E:$E,0)),"")</f>
        <v/>
      </c>
      <c r="P110">
        <f>IFERROR(INDEX('_courses_lookup'!$D:$D,MATCH(K110&amp;L110,'_courses_lookup'!$E:$E,0)),"")</f>
        <v/>
      </c>
      <c r="AG110">
        <f>IF(AND(AE110&lt;&gt;"",AF110&lt;&gt;""),ROUNDUP((AF110-AE110)/7,0),"")</f>
        <v/>
      </c>
      <c r="AI110">
        <f>IFERROR(IF(AG110*AH110=0,"",AG110*AH110),"")</f>
        <v/>
      </c>
      <c r="AL110">
        <f>IF(AND(AJ110&lt;&gt;"",AK110&lt;&gt;""),ROUNDUP((AK110-AJ110)/7,0),"")</f>
        <v/>
      </c>
      <c r="AN110">
        <f>IFERROR(IF(AL110*AM110=0,"",AL110*AM110),"")</f>
        <v/>
      </c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L110">
        <f>IFERROR(INDEX('_names_lookup'!$C:$C,MATCH(BK110,'_names_lookup'!$A:$A,0)),"")</f>
        <v/>
      </c>
      <c r="BM110">
        <f>IFERROR(INDEX('_names_lookup'!$B:$B,MATCH(BK110,'_names_lookup'!$A:$A,0)),"")</f>
        <v/>
      </c>
      <c r="BS110">
        <f>IFERROR(IF(BR110*AA110=0,"",BR110*AA110),"")</f>
        <v/>
      </c>
    </row>
    <row r="111">
      <c r="O111">
        <f>IFERROR(INDEX('_courses_lookup'!$C:$C,MATCH(K111&amp;L111,'_courses_lookup'!$E:$E,0)),"")</f>
        <v/>
      </c>
      <c r="P111">
        <f>IFERROR(INDEX('_courses_lookup'!$D:$D,MATCH(K111&amp;L111,'_courses_lookup'!$E:$E,0)),"")</f>
        <v/>
      </c>
      <c r="AG111">
        <f>IF(AND(AE111&lt;&gt;"",AF111&lt;&gt;""),ROUNDUP((AF111-AE111)/7,0),"")</f>
        <v/>
      </c>
      <c r="AI111">
        <f>IFERROR(IF(AG111*AH111=0,"",AG111*AH111),"")</f>
        <v/>
      </c>
      <c r="AL111">
        <f>IF(AND(AJ111&lt;&gt;"",AK111&lt;&gt;""),ROUNDUP((AK111-AJ111)/7,0),"")</f>
        <v/>
      </c>
      <c r="AN111">
        <f>IFERROR(IF(AL111*AM111=0,"",AL111*AM111),"")</f>
        <v/>
      </c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L111">
        <f>IFERROR(INDEX('_names_lookup'!$C:$C,MATCH(BK111,'_names_lookup'!$A:$A,0)),"")</f>
        <v/>
      </c>
      <c r="BM111">
        <f>IFERROR(INDEX('_names_lookup'!$B:$B,MATCH(BK111,'_names_lookup'!$A:$A,0)),"")</f>
        <v/>
      </c>
      <c r="BS111">
        <f>IFERROR(IF(BR111*AA111=0,"",BR111*AA111),"")</f>
        <v/>
      </c>
    </row>
    <row r="112">
      <c r="O112">
        <f>IFERROR(INDEX('_courses_lookup'!$C:$C,MATCH(K112&amp;L112,'_courses_lookup'!$E:$E,0)),"")</f>
        <v/>
      </c>
      <c r="P112">
        <f>IFERROR(INDEX('_courses_lookup'!$D:$D,MATCH(K112&amp;L112,'_courses_lookup'!$E:$E,0)),"")</f>
        <v/>
      </c>
      <c r="AG112">
        <f>IF(AND(AE112&lt;&gt;"",AF112&lt;&gt;""),ROUNDUP((AF112-AE112)/7,0),"")</f>
        <v/>
      </c>
      <c r="AI112">
        <f>IFERROR(IF(AG112*AH112=0,"",AG112*AH112),"")</f>
        <v/>
      </c>
      <c r="AL112">
        <f>IF(AND(AJ112&lt;&gt;"",AK112&lt;&gt;""),ROUNDUP((AK112-AJ112)/7,0),"")</f>
        <v/>
      </c>
      <c r="AN112">
        <f>IFERROR(IF(AL112*AM112=0,"",AL112*AM112),"")</f>
        <v/>
      </c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L112">
        <f>IFERROR(INDEX('_names_lookup'!$C:$C,MATCH(BK112,'_names_lookup'!$A:$A,0)),"")</f>
        <v/>
      </c>
      <c r="BM112">
        <f>IFERROR(INDEX('_names_lookup'!$B:$B,MATCH(BK112,'_names_lookup'!$A:$A,0)),"")</f>
        <v/>
      </c>
      <c r="BS112">
        <f>IFERROR(IF(BR112*AA112=0,"",BR112*AA112),"")</f>
        <v/>
      </c>
    </row>
    <row r="113">
      <c r="O113">
        <f>IFERROR(INDEX('_courses_lookup'!$C:$C,MATCH(K113&amp;L113,'_courses_lookup'!$E:$E,0)),"")</f>
        <v/>
      </c>
      <c r="P113">
        <f>IFERROR(INDEX('_courses_lookup'!$D:$D,MATCH(K113&amp;L113,'_courses_lookup'!$E:$E,0)),"")</f>
        <v/>
      </c>
      <c r="AG113">
        <f>IF(AND(AE113&lt;&gt;"",AF113&lt;&gt;""),ROUNDUP((AF113-AE113)/7,0),"")</f>
        <v/>
      </c>
      <c r="AI113">
        <f>IFERROR(IF(AG113*AH113=0,"",AG113*AH113),"")</f>
        <v/>
      </c>
      <c r="AL113">
        <f>IF(AND(AJ113&lt;&gt;"",AK113&lt;&gt;""),ROUNDUP((AK113-AJ113)/7,0),"")</f>
        <v/>
      </c>
      <c r="AN113">
        <f>IFERROR(IF(AL113*AM113=0,"",AL113*AM113),"")</f>
        <v/>
      </c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L113">
        <f>IFERROR(INDEX('_names_lookup'!$C:$C,MATCH(BK113,'_names_lookup'!$A:$A,0)),"")</f>
        <v/>
      </c>
      <c r="BM113">
        <f>IFERROR(INDEX('_names_lookup'!$B:$B,MATCH(BK113,'_names_lookup'!$A:$A,0)),"")</f>
        <v/>
      </c>
      <c r="BS113">
        <f>IFERROR(IF(BR113*AA113=0,"",BR113*AA113),"")</f>
        <v/>
      </c>
    </row>
    <row r="114">
      <c r="O114">
        <f>IFERROR(INDEX('_courses_lookup'!$C:$C,MATCH(K114&amp;L114,'_courses_lookup'!$E:$E,0)),"")</f>
        <v/>
      </c>
      <c r="P114">
        <f>IFERROR(INDEX('_courses_lookup'!$D:$D,MATCH(K114&amp;L114,'_courses_lookup'!$E:$E,0)),"")</f>
        <v/>
      </c>
      <c r="AG114">
        <f>IF(AND(AE114&lt;&gt;"",AF114&lt;&gt;""),ROUNDUP((AF114-AE114)/7,0),"")</f>
        <v/>
      </c>
      <c r="AI114">
        <f>IFERROR(IF(AG114*AH114=0,"",AG114*AH114),"")</f>
        <v/>
      </c>
      <c r="AL114">
        <f>IF(AND(AJ114&lt;&gt;"",AK114&lt;&gt;""),ROUNDUP((AK114-AJ114)/7,0),"")</f>
        <v/>
      </c>
      <c r="AN114">
        <f>IFERROR(IF(AL114*AM114=0,"",AL114*AM114),"")</f>
        <v/>
      </c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L114">
        <f>IFERROR(INDEX('_names_lookup'!$C:$C,MATCH(BK114,'_names_lookup'!$A:$A,0)),"")</f>
        <v/>
      </c>
      <c r="BM114">
        <f>IFERROR(INDEX('_names_lookup'!$B:$B,MATCH(BK114,'_names_lookup'!$A:$A,0)),"")</f>
        <v/>
      </c>
      <c r="BS114">
        <f>IFERROR(IF(BR114*AA114=0,"",BR114*AA114),"")</f>
        <v/>
      </c>
    </row>
    <row r="115">
      <c r="O115">
        <f>IFERROR(INDEX('_courses_lookup'!$C:$C,MATCH(K115&amp;L115,'_courses_lookup'!$E:$E,0)),"")</f>
        <v/>
      </c>
      <c r="P115">
        <f>IFERROR(INDEX('_courses_lookup'!$D:$D,MATCH(K115&amp;L115,'_courses_lookup'!$E:$E,0)),"")</f>
        <v/>
      </c>
      <c r="AG115">
        <f>IF(AND(AE115&lt;&gt;"",AF115&lt;&gt;""),ROUNDUP((AF115-AE115)/7,0),"")</f>
        <v/>
      </c>
      <c r="AI115">
        <f>IFERROR(IF(AG115*AH115=0,"",AG115*AH115),"")</f>
        <v/>
      </c>
      <c r="AL115">
        <f>IF(AND(AJ115&lt;&gt;"",AK115&lt;&gt;""),ROUNDUP((AK115-AJ115)/7,0),"")</f>
        <v/>
      </c>
      <c r="AN115">
        <f>IFERROR(IF(AL115*AM115=0,"",AL115*AM115),"")</f>
        <v/>
      </c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L115">
        <f>IFERROR(INDEX('_names_lookup'!$C:$C,MATCH(BK115,'_names_lookup'!$A:$A,0)),"")</f>
        <v/>
      </c>
      <c r="BM115">
        <f>IFERROR(INDEX('_names_lookup'!$B:$B,MATCH(BK115,'_names_lookup'!$A:$A,0)),"")</f>
        <v/>
      </c>
      <c r="BS115">
        <f>IFERROR(IF(BR115*AA115=0,"",BR115*AA115),"")</f>
        <v/>
      </c>
    </row>
    <row r="116">
      <c r="O116">
        <f>IFERROR(INDEX('_courses_lookup'!$C:$C,MATCH(K116&amp;L116,'_courses_lookup'!$E:$E,0)),"")</f>
        <v/>
      </c>
      <c r="P116">
        <f>IFERROR(INDEX('_courses_lookup'!$D:$D,MATCH(K116&amp;L116,'_courses_lookup'!$E:$E,0)),"")</f>
        <v/>
      </c>
      <c r="AG116">
        <f>IF(AND(AE116&lt;&gt;"",AF116&lt;&gt;""),ROUNDUP((AF116-AE116)/7,0),"")</f>
        <v/>
      </c>
      <c r="AI116">
        <f>IFERROR(IF(AG116*AH116=0,"",AG116*AH116),"")</f>
        <v/>
      </c>
      <c r="AL116">
        <f>IF(AND(AJ116&lt;&gt;"",AK116&lt;&gt;""),ROUNDUP((AK116-AJ116)/7,0),"")</f>
        <v/>
      </c>
      <c r="AN116">
        <f>IFERROR(IF(AL116*AM116=0,"",AL116*AM116),"")</f>
        <v/>
      </c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L116">
        <f>IFERROR(INDEX('_names_lookup'!$C:$C,MATCH(BK116,'_names_lookup'!$A:$A,0)),"")</f>
        <v/>
      </c>
      <c r="BM116">
        <f>IFERROR(INDEX('_names_lookup'!$B:$B,MATCH(BK116,'_names_lookup'!$A:$A,0)),"")</f>
        <v/>
      </c>
      <c r="BS116">
        <f>IFERROR(IF(BR116*AA116=0,"",BR116*AA116),"")</f>
        <v/>
      </c>
    </row>
    <row r="117">
      <c r="O117">
        <f>IFERROR(INDEX('_courses_lookup'!$C:$C,MATCH(K117&amp;L117,'_courses_lookup'!$E:$E,0)),"")</f>
        <v/>
      </c>
      <c r="P117">
        <f>IFERROR(INDEX('_courses_lookup'!$D:$D,MATCH(K117&amp;L117,'_courses_lookup'!$E:$E,0)),"")</f>
        <v/>
      </c>
      <c r="AG117">
        <f>IF(AND(AE117&lt;&gt;"",AF117&lt;&gt;""),ROUNDUP((AF117-AE117)/7,0),"")</f>
        <v/>
      </c>
      <c r="AI117">
        <f>IFERROR(IF(AG117*AH117=0,"",AG117*AH117),"")</f>
        <v/>
      </c>
      <c r="AL117">
        <f>IF(AND(AJ117&lt;&gt;"",AK117&lt;&gt;""),ROUNDUP((AK117-AJ117)/7,0),"")</f>
        <v/>
      </c>
      <c r="AN117">
        <f>IFERROR(IF(AL117*AM117=0,"",AL117*AM117),"")</f>
        <v/>
      </c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L117">
        <f>IFERROR(INDEX('_names_lookup'!$C:$C,MATCH(BK117,'_names_lookup'!$A:$A,0)),"")</f>
        <v/>
      </c>
      <c r="BM117">
        <f>IFERROR(INDEX('_names_lookup'!$B:$B,MATCH(BK117,'_names_lookup'!$A:$A,0)),"")</f>
        <v/>
      </c>
      <c r="BS117">
        <f>IFERROR(IF(BR117*AA117=0,"",BR117*AA117),"")</f>
        <v/>
      </c>
    </row>
    <row r="118">
      <c r="O118">
        <f>IFERROR(INDEX('_courses_lookup'!$C:$C,MATCH(K118&amp;L118,'_courses_lookup'!$E:$E,0)),"")</f>
        <v/>
      </c>
      <c r="P118">
        <f>IFERROR(INDEX('_courses_lookup'!$D:$D,MATCH(K118&amp;L118,'_courses_lookup'!$E:$E,0)),"")</f>
        <v/>
      </c>
      <c r="AG118">
        <f>IF(AND(AE118&lt;&gt;"",AF118&lt;&gt;""),ROUNDUP((AF118-AE118)/7,0),"")</f>
        <v/>
      </c>
      <c r="AI118">
        <f>IFERROR(IF(AG118*AH118=0,"",AG118*AH118),"")</f>
        <v/>
      </c>
      <c r="AL118">
        <f>IF(AND(AJ118&lt;&gt;"",AK118&lt;&gt;""),ROUNDUP((AK118-AJ118)/7,0),"")</f>
        <v/>
      </c>
      <c r="AN118">
        <f>IFERROR(IF(AL118*AM118=0,"",AL118*AM118),"")</f>
        <v/>
      </c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L118">
        <f>IFERROR(INDEX('_names_lookup'!$C:$C,MATCH(BK118,'_names_lookup'!$A:$A,0)),"")</f>
        <v/>
      </c>
      <c r="BM118">
        <f>IFERROR(INDEX('_names_lookup'!$B:$B,MATCH(BK118,'_names_lookup'!$A:$A,0)),"")</f>
        <v/>
      </c>
      <c r="BS118">
        <f>IFERROR(IF(BR118*AA118=0,"",BR118*AA118),"")</f>
        <v/>
      </c>
    </row>
    <row r="119">
      <c r="O119">
        <f>IFERROR(INDEX('_courses_lookup'!$C:$C,MATCH(K119&amp;L119,'_courses_lookup'!$E:$E,0)),"")</f>
        <v/>
      </c>
      <c r="P119">
        <f>IFERROR(INDEX('_courses_lookup'!$D:$D,MATCH(K119&amp;L119,'_courses_lookup'!$E:$E,0)),"")</f>
        <v/>
      </c>
      <c r="AG119">
        <f>IF(AND(AE119&lt;&gt;"",AF119&lt;&gt;""),ROUNDUP((AF119-AE119)/7,0),"")</f>
        <v/>
      </c>
      <c r="AI119">
        <f>IFERROR(IF(AG119*AH119=0,"",AG119*AH119),"")</f>
        <v/>
      </c>
      <c r="AL119">
        <f>IF(AND(AJ119&lt;&gt;"",AK119&lt;&gt;""),ROUNDUP((AK119-AJ119)/7,0),"")</f>
        <v/>
      </c>
      <c r="AN119">
        <f>IFERROR(IF(AL119*AM119=0,"",AL119*AM119),"")</f>
        <v/>
      </c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L119">
        <f>IFERROR(INDEX('_names_lookup'!$C:$C,MATCH(BK119,'_names_lookup'!$A:$A,0)),"")</f>
        <v/>
      </c>
      <c r="BM119">
        <f>IFERROR(INDEX('_names_lookup'!$B:$B,MATCH(BK119,'_names_lookup'!$A:$A,0)),"")</f>
        <v/>
      </c>
      <c r="BS119">
        <f>IFERROR(IF(BR119*AA119=0,"",BR119*AA119),"")</f>
        <v/>
      </c>
    </row>
    <row r="120">
      <c r="O120">
        <f>IFERROR(INDEX('_courses_lookup'!$C:$C,MATCH(K120&amp;L120,'_courses_lookup'!$E:$E,0)),"")</f>
        <v/>
      </c>
      <c r="P120">
        <f>IFERROR(INDEX('_courses_lookup'!$D:$D,MATCH(K120&amp;L120,'_courses_lookup'!$E:$E,0)),"")</f>
        <v/>
      </c>
      <c r="AG120">
        <f>IF(AND(AE120&lt;&gt;"",AF120&lt;&gt;""),ROUNDUP((AF120-AE120)/7,0),"")</f>
        <v/>
      </c>
      <c r="AI120">
        <f>IFERROR(IF(AG120*AH120=0,"",AG120*AH120),"")</f>
        <v/>
      </c>
      <c r="AL120">
        <f>IF(AND(AJ120&lt;&gt;"",AK120&lt;&gt;""),ROUNDUP((AK120-AJ120)/7,0),"")</f>
        <v/>
      </c>
      <c r="AN120">
        <f>IFERROR(IF(AL120*AM120=0,"",AL120*AM120),"")</f>
        <v/>
      </c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L120">
        <f>IFERROR(INDEX('_names_lookup'!$C:$C,MATCH(BK120,'_names_lookup'!$A:$A,0)),"")</f>
        <v/>
      </c>
      <c r="BM120">
        <f>IFERROR(INDEX('_names_lookup'!$B:$B,MATCH(BK120,'_names_lookup'!$A:$A,0)),"")</f>
        <v/>
      </c>
      <c r="BS120">
        <f>IFERROR(IF(BR120*AA120=0,"",BR120*AA120),"")</f>
        <v/>
      </c>
    </row>
    <row r="121">
      <c r="O121">
        <f>IFERROR(INDEX('_courses_lookup'!$C:$C,MATCH(K121&amp;L121,'_courses_lookup'!$E:$E,0)),"")</f>
        <v/>
      </c>
      <c r="P121">
        <f>IFERROR(INDEX('_courses_lookup'!$D:$D,MATCH(K121&amp;L121,'_courses_lookup'!$E:$E,0)),"")</f>
        <v/>
      </c>
      <c r="AG121">
        <f>IF(AND(AE121&lt;&gt;"",AF121&lt;&gt;""),ROUNDUP((AF121-AE121)/7,0),"")</f>
        <v/>
      </c>
      <c r="AI121">
        <f>IFERROR(IF(AG121*AH121=0,"",AG121*AH121),"")</f>
        <v/>
      </c>
      <c r="AL121">
        <f>IF(AND(AJ121&lt;&gt;"",AK121&lt;&gt;""),ROUNDUP((AK121-AJ121)/7,0),"")</f>
        <v/>
      </c>
      <c r="AN121">
        <f>IFERROR(IF(AL121*AM121=0,"",AL121*AM121),"")</f>
        <v/>
      </c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L121">
        <f>IFERROR(INDEX('_names_lookup'!$C:$C,MATCH(BK121,'_names_lookup'!$A:$A,0)),"")</f>
        <v/>
      </c>
      <c r="BM121">
        <f>IFERROR(INDEX('_names_lookup'!$B:$B,MATCH(BK121,'_names_lookup'!$A:$A,0)),"")</f>
        <v/>
      </c>
      <c r="BS121">
        <f>IFERROR(IF(BR121*AA121=0,"",BR121*AA121),"")</f>
        <v/>
      </c>
    </row>
    <row r="122">
      <c r="O122">
        <f>IFERROR(INDEX('_courses_lookup'!$C:$C,MATCH(K122&amp;L122,'_courses_lookup'!$E:$E,0)),"")</f>
        <v/>
      </c>
      <c r="P122">
        <f>IFERROR(INDEX('_courses_lookup'!$D:$D,MATCH(K122&amp;L122,'_courses_lookup'!$E:$E,0)),"")</f>
        <v/>
      </c>
      <c r="AG122">
        <f>IF(AND(AE122&lt;&gt;"",AF122&lt;&gt;""),ROUNDUP((AF122-AE122)/7,0),"")</f>
        <v/>
      </c>
      <c r="AI122">
        <f>IFERROR(IF(AG122*AH122=0,"",AG122*AH122),"")</f>
        <v/>
      </c>
      <c r="AL122">
        <f>IF(AND(AJ122&lt;&gt;"",AK122&lt;&gt;""),ROUNDUP((AK122-AJ122)/7,0),"")</f>
        <v/>
      </c>
      <c r="AN122">
        <f>IFERROR(IF(AL122*AM122=0,"",AL122*AM122),"")</f>
        <v/>
      </c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L122">
        <f>IFERROR(INDEX('_names_lookup'!$C:$C,MATCH(BK122,'_names_lookup'!$A:$A,0)),"")</f>
        <v/>
      </c>
      <c r="BM122">
        <f>IFERROR(INDEX('_names_lookup'!$B:$B,MATCH(BK122,'_names_lookup'!$A:$A,0)),"")</f>
        <v/>
      </c>
      <c r="BS122">
        <f>IFERROR(IF(BR122*AA122=0,"",BR122*AA122),"")</f>
        <v/>
      </c>
    </row>
    <row r="123">
      <c r="O123">
        <f>IFERROR(INDEX('_courses_lookup'!$C:$C,MATCH(K123&amp;L123,'_courses_lookup'!$E:$E,0)),"")</f>
        <v/>
      </c>
      <c r="P123">
        <f>IFERROR(INDEX('_courses_lookup'!$D:$D,MATCH(K123&amp;L123,'_courses_lookup'!$E:$E,0)),"")</f>
        <v/>
      </c>
      <c r="AG123">
        <f>IF(AND(AE123&lt;&gt;"",AF123&lt;&gt;""),ROUNDUP((AF123-AE123)/7,0),"")</f>
        <v/>
      </c>
      <c r="AI123">
        <f>IFERROR(IF(AG123*AH123=0,"",AG123*AH123),"")</f>
        <v/>
      </c>
      <c r="AL123">
        <f>IF(AND(AJ123&lt;&gt;"",AK123&lt;&gt;""),ROUNDUP((AK123-AJ123)/7,0),"")</f>
        <v/>
      </c>
      <c r="AN123">
        <f>IFERROR(IF(AL123*AM123=0,"",AL123*AM123),"")</f>
        <v/>
      </c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L123">
        <f>IFERROR(INDEX('_names_lookup'!$C:$C,MATCH(BK123,'_names_lookup'!$A:$A,0)),"")</f>
        <v/>
      </c>
      <c r="BM123">
        <f>IFERROR(INDEX('_names_lookup'!$B:$B,MATCH(BK123,'_names_lookup'!$A:$A,0)),"")</f>
        <v/>
      </c>
      <c r="BS123">
        <f>IFERROR(IF(BR123*AA123=0,"",BR123*AA123),"")</f>
        <v/>
      </c>
    </row>
    <row r="124">
      <c r="O124">
        <f>IFERROR(INDEX('_courses_lookup'!$C:$C,MATCH(K124&amp;L124,'_courses_lookup'!$E:$E,0)),"")</f>
        <v/>
      </c>
      <c r="P124">
        <f>IFERROR(INDEX('_courses_lookup'!$D:$D,MATCH(K124&amp;L124,'_courses_lookup'!$E:$E,0)),"")</f>
        <v/>
      </c>
      <c r="AG124">
        <f>IF(AND(AE124&lt;&gt;"",AF124&lt;&gt;""),ROUNDUP((AF124-AE124)/7,0),"")</f>
        <v/>
      </c>
      <c r="AI124">
        <f>IFERROR(IF(AG124*AH124=0,"",AG124*AH124),"")</f>
        <v/>
      </c>
      <c r="AL124">
        <f>IF(AND(AJ124&lt;&gt;"",AK124&lt;&gt;""),ROUNDUP((AK124-AJ124)/7,0),"")</f>
        <v/>
      </c>
      <c r="AN124">
        <f>IFERROR(IF(AL124*AM124=0,"",AL124*AM124),"")</f>
        <v/>
      </c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L124">
        <f>IFERROR(INDEX('_names_lookup'!$C:$C,MATCH(BK124,'_names_lookup'!$A:$A,0)),"")</f>
        <v/>
      </c>
      <c r="BM124">
        <f>IFERROR(INDEX('_names_lookup'!$B:$B,MATCH(BK124,'_names_lookup'!$A:$A,0)),"")</f>
        <v/>
      </c>
      <c r="BS124">
        <f>IFERROR(IF(BR124*AA124=0,"",BR124*AA124),"")</f>
        <v/>
      </c>
    </row>
    <row r="125">
      <c r="O125">
        <f>IFERROR(INDEX('_courses_lookup'!$C:$C,MATCH(K125&amp;L125,'_courses_lookup'!$E:$E,0)),"")</f>
        <v/>
      </c>
      <c r="P125">
        <f>IFERROR(INDEX('_courses_lookup'!$D:$D,MATCH(K125&amp;L125,'_courses_lookup'!$E:$E,0)),"")</f>
        <v/>
      </c>
      <c r="AG125">
        <f>IF(AND(AE125&lt;&gt;"",AF125&lt;&gt;""),ROUNDUP((AF125-AE125)/7,0),"")</f>
        <v/>
      </c>
      <c r="AI125">
        <f>IFERROR(IF(AG125*AH125=0,"",AG125*AH125),"")</f>
        <v/>
      </c>
      <c r="AL125">
        <f>IF(AND(AJ125&lt;&gt;"",AK125&lt;&gt;""),ROUNDUP((AK125-AJ125)/7,0),"")</f>
        <v/>
      </c>
      <c r="AN125">
        <f>IFERROR(IF(AL125*AM125=0,"",AL125*AM125),"")</f>
        <v/>
      </c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L125">
        <f>IFERROR(INDEX('_names_lookup'!$C:$C,MATCH(BK125,'_names_lookup'!$A:$A,0)),"")</f>
        <v/>
      </c>
      <c r="BM125">
        <f>IFERROR(INDEX('_names_lookup'!$B:$B,MATCH(BK125,'_names_lookup'!$A:$A,0)),"")</f>
        <v/>
      </c>
      <c r="BS125">
        <f>IFERROR(IF(BR125*AA125=0,"",BR125*AA125),"")</f>
        <v/>
      </c>
    </row>
    <row r="126">
      <c r="O126">
        <f>IFERROR(INDEX('_courses_lookup'!$C:$C,MATCH(K126&amp;L126,'_courses_lookup'!$E:$E,0)),"")</f>
        <v/>
      </c>
      <c r="P126">
        <f>IFERROR(INDEX('_courses_lookup'!$D:$D,MATCH(K126&amp;L126,'_courses_lookup'!$E:$E,0)),"")</f>
        <v/>
      </c>
      <c r="AG126">
        <f>IF(AND(AE126&lt;&gt;"",AF126&lt;&gt;""),ROUNDUP((AF126-AE126)/7,0),"")</f>
        <v/>
      </c>
      <c r="AI126">
        <f>IFERROR(IF(AG126*AH126=0,"",AG126*AH126),"")</f>
        <v/>
      </c>
      <c r="AL126">
        <f>IF(AND(AJ126&lt;&gt;"",AK126&lt;&gt;""),ROUNDUP((AK126-AJ126)/7,0),"")</f>
        <v/>
      </c>
      <c r="AN126">
        <f>IFERROR(IF(AL126*AM126=0,"",AL126*AM126),"")</f>
        <v/>
      </c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L126">
        <f>IFERROR(INDEX('_names_lookup'!$C:$C,MATCH(BK126,'_names_lookup'!$A:$A,0)),"")</f>
        <v/>
      </c>
      <c r="BM126">
        <f>IFERROR(INDEX('_names_lookup'!$B:$B,MATCH(BK126,'_names_lookup'!$A:$A,0)),"")</f>
        <v/>
      </c>
      <c r="BS126">
        <f>IFERROR(IF(BR126*AA126=0,"",BR126*AA126),"")</f>
        <v/>
      </c>
    </row>
    <row r="127">
      <c r="O127">
        <f>IFERROR(INDEX('_courses_lookup'!$C:$C,MATCH(K127&amp;L127,'_courses_lookup'!$E:$E,0)),"")</f>
        <v/>
      </c>
      <c r="P127">
        <f>IFERROR(INDEX('_courses_lookup'!$D:$D,MATCH(K127&amp;L127,'_courses_lookup'!$E:$E,0)),"")</f>
        <v/>
      </c>
      <c r="AG127">
        <f>IF(AND(AE127&lt;&gt;"",AF127&lt;&gt;""),ROUNDUP((AF127-AE127)/7,0),"")</f>
        <v/>
      </c>
      <c r="AI127">
        <f>IFERROR(IF(AG127*AH127=0,"",AG127*AH127),"")</f>
        <v/>
      </c>
      <c r="AL127">
        <f>IF(AND(AJ127&lt;&gt;"",AK127&lt;&gt;""),ROUNDUP((AK127-AJ127)/7,0),"")</f>
        <v/>
      </c>
      <c r="AN127">
        <f>IFERROR(IF(AL127*AM127=0,"",AL127*AM127),"")</f>
        <v/>
      </c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L127">
        <f>IFERROR(INDEX('_names_lookup'!$C:$C,MATCH(BK127,'_names_lookup'!$A:$A,0)),"")</f>
        <v/>
      </c>
      <c r="BM127">
        <f>IFERROR(INDEX('_names_lookup'!$B:$B,MATCH(BK127,'_names_lookup'!$A:$A,0)),"")</f>
        <v/>
      </c>
      <c r="BS127">
        <f>IFERROR(IF(BR127*AA127=0,"",BR127*AA127),"")</f>
        <v/>
      </c>
    </row>
    <row r="128">
      <c r="O128">
        <f>IFERROR(INDEX('_courses_lookup'!$C:$C,MATCH(K128&amp;L128,'_courses_lookup'!$E:$E,0)),"")</f>
        <v/>
      </c>
      <c r="P128">
        <f>IFERROR(INDEX('_courses_lookup'!$D:$D,MATCH(K128&amp;L128,'_courses_lookup'!$E:$E,0)),"")</f>
        <v/>
      </c>
      <c r="AG128">
        <f>IF(AND(AE128&lt;&gt;"",AF128&lt;&gt;""),ROUNDUP((AF128-AE128)/7,0),"")</f>
        <v/>
      </c>
      <c r="AI128">
        <f>IFERROR(IF(AG128*AH128=0,"",AG128*AH128),"")</f>
        <v/>
      </c>
      <c r="AL128">
        <f>IF(AND(AJ128&lt;&gt;"",AK128&lt;&gt;""),ROUNDUP((AK128-AJ128)/7,0),"")</f>
        <v/>
      </c>
      <c r="AN128">
        <f>IFERROR(IF(AL128*AM128=0,"",AL128*AM128),"")</f>
        <v/>
      </c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L128">
        <f>IFERROR(INDEX('_names_lookup'!$C:$C,MATCH(BK128,'_names_lookup'!$A:$A,0)),"")</f>
        <v/>
      </c>
      <c r="BM128">
        <f>IFERROR(INDEX('_names_lookup'!$B:$B,MATCH(BK128,'_names_lookup'!$A:$A,0)),"")</f>
        <v/>
      </c>
      <c r="BS128">
        <f>IFERROR(IF(BR128*AA128=0,"",BR128*AA128),"")</f>
        <v/>
      </c>
    </row>
    <row r="129">
      <c r="O129">
        <f>IFERROR(INDEX('_courses_lookup'!$C:$C,MATCH(K129&amp;L129,'_courses_lookup'!$E:$E,0)),"")</f>
        <v/>
      </c>
      <c r="P129">
        <f>IFERROR(INDEX('_courses_lookup'!$D:$D,MATCH(K129&amp;L129,'_courses_lookup'!$E:$E,0)),"")</f>
        <v/>
      </c>
      <c r="AG129">
        <f>IF(AND(AE129&lt;&gt;"",AF129&lt;&gt;""),ROUNDUP((AF129-AE129)/7,0),"")</f>
        <v/>
      </c>
      <c r="AI129">
        <f>IFERROR(IF(AG129*AH129=0,"",AG129*AH129),"")</f>
        <v/>
      </c>
      <c r="AL129">
        <f>IF(AND(AJ129&lt;&gt;"",AK129&lt;&gt;""),ROUNDUP((AK129-AJ129)/7,0),"")</f>
        <v/>
      </c>
      <c r="AN129">
        <f>IFERROR(IF(AL129*AM129=0,"",AL129*AM129),"")</f>
        <v/>
      </c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L129">
        <f>IFERROR(INDEX('_names_lookup'!$C:$C,MATCH(BK129,'_names_lookup'!$A:$A,0)),"")</f>
        <v/>
      </c>
      <c r="BM129">
        <f>IFERROR(INDEX('_names_lookup'!$B:$B,MATCH(BK129,'_names_lookup'!$A:$A,0)),"")</f>
        <v/>
      </c>
      <c r="BS129">
        <f>IFERROR(IF(BR129*AA129=0,"",BR129*AA129),"")</f>
        <v/>
      </c>
    </row>
    <row r="130">
      <c r="O130">
        <f>IFERROR(INDEX('_courses_lookup'!$C:$C,MATCH(K130&amp;L130,'_courses_lookup'!$E:$E,0)),"")</f>
        <v/>
      </c>
      <c r="P130">
        <f>IFERROR(INDEX('_courses_lookup'!$D:$D,MATCH(K130&amp;L130,'_courses_lookup'!$E:$E,0)),"")</f>
        <v/>
      </c>
      <c r="AG130">
        <f>IF(AND(AE130&lt;&gt;"",AF130&lt;&gt;""),ROUNDUP((AF130-AE130)/7,0),"")</f>
        <v/>
      </c>
      <c r="AI130">
        <f>IFERROR(IF(AG130*AH130=0,"",AG130*AH130),"")</f>
        <v/>
      </c>
      <c r="AL130">
        <f>IF(AND(AJ130&lt;&gt;"",AK130&lt;&gt;""),ROUNDUP((AK130-AJ130)/7,0),"")</f>
        <v/>
      </c>
      <c r="AN130">
        <f>IFERROR(IF(AL130*AM130=0,"",AL130*AM130),"")</f>
        <v/>
      </c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L130">
        <f>IFERROR(INDEX('_names_lookup'!$C:$C,MATCH(BK130,'_names_lookup'!$A:$A,0)),"")</f>
        <v/>
      </c>
      <c r="BM130">
        <f>IFERROR(INDEX('_names_lookup'!$B:$B,MATCH(BK130,'_names_lookup'!$A:$A,0)),"")</f>
        <v/>
      </c>
      <c r="BS130">
        <f>IFERROR(IF(BR130*AA130=0,"",BR130*AA130),"")</f>
        <v/>
      </c>
    </row>
    <row r="131">
      <c r="O131">
        <f>IFERROR(INDEX('_courses_lookup'!$C:$C,MATCH(K131&amp;L131,'_courses_lookup'!$E:$E,0)),"")</f>
        <v/>
      </c>
      <c r="P131">
        <f>IFERROR(INDEX('_courses_lookup'!$D:$D,MATCH(K131&amp;L131,'_courses_lookup'!$E:$E,0)),"")</f>
        <v/>
      </c>
      <c r="AG131">
        <f>IF(AND(AE131&lt;&gt;"",AF131&lt;&gt;""),ROUNDUP((AF131-AE131)/7,0),"")</f>
        <v/>
      </c>
      <c r="AI131">
        <f>IFERROR(IF(AG131*AH131=0,"",AG131*AH131),"")</f>
        <v/>
      </c>
      <c r="AL131">
        <f>IF(AND(AJ131&lt;&gt;"",AK131&lt;&gt;""),ROUNDUP((AK131-AJ131)/7,0),"")</f>
        <v/>
      </c>
      <c r="AN131">
        <f>IFERROR(IF(AL131*AM131=0,"",AL131*AM131),"")</f>
        <v/>
      </c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L131">
        <f>IFERROR(INDEX('_names_lookup'!$C:$C,MATCH(BK131,'_names_lookup'!$A:$A,0)),"")</f>
        <v/>
      </c>
      <c r="BM131">
        <f>IFERROR(INDEX('_names_lookup'!$B:$B,MATCH(BK131,'_names_lookup'!$A:$A,0)),"")</f>
        <v/>
      </c>
      <c r="BS131">
        <f>IFERROR(IF(BR131*AA131=0,"",BR131*AA131),"")</f>
        <v/>
      </c>
    </row>
    <row r="132">
      <c r="O132">
        <f>IFERROR(INDEX('_courses_lookup'!$C:$C,MATCH(K132&amp;L132,'_courses_lookup'!$E:$E,0)),"")</f>
        <v/>
      </c>
      <c r="P132">
        <f>IFERROR(INDEX('_courses_lookup'!$D:$D,MATCH(K132&amp;L132,'_courses_lookup'!$E:$E,0)),"")</f>
        <v/>
      </c>
      <c r="AG132">
        <f>IF(AND(AE132&lt;&gt;"",AF132&lt;&gt;""),ROUNDUP((AF132-AE132)/7,0),"")</f>
        <v/>
      </c>
      <c r="AI132">
        <f>IFERROR(IF(AG132*AH132=0,"",AG132*AH132),"")</f>
        <v/>
      </c>
      <c r="AL132">
        <f>IF(AND(AJ132&lt;&gt;"",AK132&lt;&gt;""),ROUNDUP((AK132-AJ132)/7,0),"")</f>
        <v/>
      </c>
      <c r="AN132">
        <f>IFERROR(IF(AL132*AM132=0,"",AL132*AM132),"")</f>
        <v/>
      </c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L132">
        <f>IFERROR(INDEX('_names_lookup'!$C:$C,MATCH(BK132,'_names_lookup'!$A:$A,0)),"")</f>
        <v/>
      </c>
      <c r="BM132">
        <f>IFERROR(INDEX('_names_lookup'!$B:$B,MATCH(BK132,'_names_lookup'!$A:$A,0)),"")</f>
        <v/>
      </c>
      <c r="BS132">
        <f>IFERROR(IF(BR132*AA132=0,"",BR132*AA132),"")</f>
        <v/>
      </c>
    </row>
    <row r="133">
      <c r="O133">
        <f>IFERROR(INDEX('_courses_lookup'!$C:$C,MATCH(K133&amp;L133,'_courses_lookup'!$E:$E,0)),"")</f>
        <v/>
      </c>
      <c r="P133">
        <f>IFERROR(INDEX('_courses_lookup'!$D:$D,MATCH(K133&amp;L133,'_courses_lookup'!$E:$E,0)),"")</f>
        <v/>
      </c>
      <c r="AG133">
        <f>IF(AND(AE133&lt;&gt;"",AF133&lt;&gt;""),ROUNDUP((AF133-AE133)/7,0),"")</f>
        <v/>
      </c>
      <c r="AI133">
        <f>IFERROR(IF(AG133*AH133=0,"",AG133*AH133),"")</f>
        <v/>
      </c>
      <c r="AL133">
        <f>IF(AND(AJ133&lt;&gt;"",AK133&lt;&gt;""),ROUNDUP((AK133-AJ133)/7,0),"")</f>
        <v/>
      </c>
      <c r="AN133">
        <f>IFERROR(IF(AL133*AM133=0,"",AL133*AM133),"")</f>
        <v/>
      </c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L133">
        <f>IFERROR(INDEX('_names_lookup'!$C:$C,MATCH(BK133,'_names_lookup'!$A:$A,0)),"")</f>
        <v/>
      </c>
      <c r="BM133">
        <f>IFERROR(INDEX('_names_lookup'!$B:$B,MATCH(BK133,'_names_lookup'!$A:$A,0)),"")</f>
        <v/>
      </c>
      <c r="BS133">
        <f>IFERROR(IF(BR133*AA133=0,"",BR133*AA133),"")</f>
        <v/>
      </c>
    </row>
    <row r="134">
      <c r="O134">
        <f>IFERROR(INDEX('_courses_lookup'!$C:$C,MATCH(K134&amp;L134,'_courses_lookup'!$E:$E,0)),"")</f>
        <v/>
      </c>
      <c r="P134">
        <f>IFERROR(INDEX('_courses_lookup'!$D:$D,MATCH(K134&amp;L134,'_courses_lookup'!$E:$E,0)),"")</f>
        <v/>
      </c>
      <c r="AG134">
        <f>IF(AND(AE134&lt;&gt;"",AF134&lt;&gt;""),ROUNDUP((AF134-AE134)/7,0),"")</f>
        <v/>
      </c>
      <c r="AI134">
        <f>IFERROR(IF(AG134*AH134=0,"",AG134*AH134),"")</f>
        <v/>
      </c>
      <c r="AL134">
        <f>IF(AND(AJ134&lt;&gt;"",AK134&lt;&gt;""),ROUNDUP((AK134-AJ134)/7,0),"")</f>
        <v/>
      </c>
      <c r="AN134">
        <f>IFERROR(IF(AL134*AM134=0,"",AL134*AM134),"")</f>
        <v/>
      </c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L134">
        <f>IFERROR(INDEX('_names_lookup'!$C:$C,MATCH(BK134,'_names_lookup'!$A:$A,0)),"")</f>
        <v/>
      </c>
      <c r="BM134">
        <f>IFERROR(INDEX('_names_lookup'!$B:$B,MATCH(BK134,'_names_lookup'!$A:$A,0)),"")</f>
        <v/>
      </c>
      <c r="BS134">
        <f>IFERROR(IF(BR134*AA134=0,"",BR134*AA134),"")</f>
        <v/>
      </c>
    </row>
    <row r="135">
      <c r="O135">
        <f>IFERROR(INDEX('_courses_lookup'!$C:$C,MATCH(K135&amp;L135,'_courses_lookup'!$E:$E,0)),"")</f>
        <v/>
      </c>
      <c r="P135">
        <f>IFERROR(INDEX('_courses_lookup'!$D:$D,MATCH(K135&amp;L135,'_courses_lookup'!$E:$E,0)),"")</f>
        <v/>
      </c>
      <c r="AG135">
        <f>IF(AND(AE135&lt;&gt;"",AF135&lt;&gt;""),ROUNDUP((AF135-AE135)/7,0),"")</f>
        <v/>
      </c>
      <c r="AI135">
        <f>IFERROR(IF(AG135*AH135=0,"",AG135*AH135),"")</f>
        <v/>
      </c>
      <c r="AL135">
        <f>IF(AND(AJ135&lt;&gt;"",AK135&lt;&gt;""),ROUNDUP((AK135-AJ135)/7,0),"")</f>
        <v/>
      </c>
      <c r="AN135">
        <f>IFERROR(IF(AL135*AM135=0,"",AL135*AM135),"")</f>
        <v/>
      </c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L135">
        <f>IFERROR(INDEX('_names_lookup'!$C:$C,MATCH(BK135,'_names_lookup'!$A:$A,0)),"")</f>
        <v/>
      </c>
      <c r="BM135">
        <f>IFERROR(INDEX('_names_lookup'!$B:$B,MATCH(BK135,'_names_lookup'!$A:$A,0)),"")</f>
        <v/>
      </c>
      <c r="BS135">
        <f>IFERROR(IF(BR135*AA135=0,"",BR135*AA135),"")</f>
        <v/>
      </c>
    </row>
    <row r="136">
      <c r="O136">
        <f>IFERROR(INDEX('_courses_lookup'!$C:$C,MATCH(K136&amp;L136,'_courses_lookup'!$E:$E,0)),"")</f>
        <v/>
      </c>
      <c r="P136">
        <f>IFERROR(INDEX('_courses_lookup'!$D:$D,MATCH(K136&amp;L136,'_courses_lookup'!$E:$E,0)),"")</f>
        <v/>
      </c>
      <c r="AG136">
        <f>IF(AND(AE136&lt;&gt;"",AF136&lt;&gt;""),ROUNDUP((AF136-AE136)/7,0),"")</f>
        <v/>
      </c>
      <c r="AI136">
        <f>IFERROR(IF(AG136*AH136=0,"",AG136*AH136),"")</f>
        <v/>
      </c>
      <c r="AL136">
        <f>IF(AND(AJ136&lt;&gt;"",AK136&lt;&gt;""),ROUNDUP((AK136-AJ136)/7,0),"")</f>
        <v/>
      </c>
      <c r="AN136">
        <f>IFERROR(IF(AL136*AM136=0,"",AL136*AM136),"")</f>
        <v/>
      </c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L136">
        <f>IFERROR(INDEX('_names_lookup'!$C:$C,MATCH(BK136,'_names_lookup'!$A:$A,0)),"")</f>
        <v/>
      </c>
      <c r="BM136">
        <f>IFERROR(INDEX('_names_lookup'!$B:$B,MATCH(BK136,'_names_lookup'!$A:$A,0)),"")</f>
        <v/>
      </c>
      <c r="BS136">
        <f>IFERROR(IF(BR136*AA136=0,"",BR136*AA136),"")</f>
        <v/>
      </c>
    </row>
    <row r="137">
      <c r="O137">
        <f>IFERROR(INDEX('_courses_lookup'!$C:$C,MATCH(K137&amp;L137,'_courses_lookup'!$E:$E,0)),"")</f>
        <v/>
      </c>
      <c r="P137">
        <f>IFERROR(INDEX('_courses_lookup'!$D:$D,MATCH(K137&amp;L137,'_courses_lookup'!$E:$E,0)),"")</f>
        <v/>
      </c>
      <c r="AG137">
        <f>IF(AND(AE137&lt;&gt;"",AF137&lt;&gt;""),ROUNDUP((AF137-AE137)/7,0),"")</f>
        <v/>
      </c>
      <c r="AI137">
        <f>IFERROR(IF(AG137*AH137=0,"",AG137*AH137),"")</f>
        <v/>
      </c>
      <c r="AL137">
        <f>IF(AND(AJ137&lt;&gt;"",AK137&lt;&gt;""),ROUNDUP((AK137-AJ137)/7,0),"")</f>
        <v/>
      </c>
      <c r="AN137">
        <f>IFERROR(IF(AL137*AM137=0,"",AL137*AM137),"")</f>
        <v/>
      </c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L137">
        <f>IFERROR(INDEX('_names_lookup'!$C:$C,MATCH(BK137,'_names_lookup'!$A:$A,0)),"")</f>
        <v/>
      </c>
      <c r="BM137">
        <f>IFERROR(INDEX('_names_lookup'!$B:$B,MATCH(BK137,'_names_lookup'!$A:$A,0)),"")</f>
        <v/>
      </c>
      <c r="BS137">
        <f>IFERROR(IF(BR137*AA137=0,"",BR137*AA137),"")</f>
        <v/>
      </c>
    </row>
    <row r="138">
      <c r="O138">
        <f>IFERROR(INDEX('_courses_lookup'!$C:$C,MATCH(K138&amp;L138,'_courses_lookup'!$E:$E,0)),"")</f>
        <v/>
      </c>
      <c r="P138">
        <f>IFERROR(INDEX('_courses_lookup'!$D:$D,MATCH(K138&amp;L138,'_courses_lookup'!$E:$E,0)),"")</f>
        <v/>
      </c>
      <c r="AG138">
        <f>IF(AND(AE138&lt;&gt;"",AF138&lt;&gt;""),ROUNDUP((AF138-AE138)/7,0),"")</f>
        <v/>
      </c>
      <c r="AI138">
        <f>IFERROR(IF(AG138*AH138=0,"",AG138*AH138),"")</f>
        <v/>
      </c>
      <c r="AL138">
        <f>IF(AND(AJ138&lt;&gt;"",AK138&lt;&gt;""),ROUNDUP((AK138-AJ138)/7,0),"")</f>
        <v/>
      </c>
      <c r="AN138">
        <f>IFERROR(IF(AL138*AM138=0,"",AL138*AM138),"")</f>
        <v/>
      </c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L138">
        <f>IFERROR(INDEX('_names_lookup'!$C:$C,MATCH(BK138,'_names_lookup'!$A:$A,0)),"")</f>
        <v/>
      </c>
      <c r="BM138">
        <f>IFERROR(INDEX('_names_lookup'!$B:$B,MATCH(BK138,'_names_lookup'!$A:$A,0)),"")</f>
        <v/>
      </c>
      <c r="BS138">
        <f>IFERROR(IF(BR138*AA138=0,"",BR138*AA138),"")</f>
        <v/>
      </c>
    </row>
    <row r="139">
      <c r="O139">
        <f>IFERROR(INDEX('_courses_lookup'!$C:$C,MATCH(K139&amp;L139,'_courses_lookup'!$E:$E,0)),"")</f>
        <v/>
      </c>
      <c r="P139">
        <f>IFERROR(INDEX('_courses_lookup'!$D:$D,MATCH(K139&amp;L139,'_courses_lookup'!$E:$E,0)),"")</f>
        <v/>
      </c>
      <c r="AG139">
        <f>IF(AND(AE139&lt;&gt;"",AF139&lt;&gt;""),ROUNDUP((AF139-AE139)/7,0),"")</f>
        <v/>
      </c>
      <c r="AI139">
        <f>IFERROR(IF(AG139*AH139=0,"",AG139*AH139),"")</f>
        <v/>
      </c>
      <c r="AL139">
        <f>IF(AND(AJ139&lt;&gt;"",AK139&lt;&gt;""),ROUNDUP((AK139-AJ139)/7,0),"")</f>
        <v/>
      </c>
      <c r="AN139">
        <f>IFERROR(IF(AL139*AM139=0,"",AL139*AM139),"")</f>
        <v/>
      </c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L139">
        <f>IFERROR(INDEX('_names_lookup'!$C:$C,MATCH(BK139,'_names_lookup'!$A:$A,0)),"")</f>
        <v/>
      </c>
      <c r="BM139">
        <f>IFERROR(INDEX('_names_lookup'!$B:$B,MATCH(BK139,'_names_lookup'!$A:$A,0)),"")</f>
        <v/>
      </c>
      <c r="BS139">
        <f>IFERROR(IF(BR139*AA139=0,"",BR139*AA139),"")</f>
        <v/>
      </c>
    </row>
    <row r="140">
      <c r="O140">
        <f>IFERROR(INDEX('_courses_lookup'!$C:$C,MATCH(K140&amp;L140,'_courses_lookup'!$E:$E,0)),"")</f>
        <v/>
      </c>
      <c r="P140">
        <f>IFERROR(INDEX('_courses_lookup'!$D:$D,MATCH(K140&amp;L140,'_courses_lookup'!$E:$E,0)),"")</f>
        <v/>
      </c>
      <c r="AG140">
        <f>IF(AND(AE140&lt;&gt;"",AF140&lt;&gt;""),ROUNDUP((AF140-AE140)/7,0),"")</f>
        <v/>
      </c>
      <c r="AI140">
        <f>IFERROR(IF(AG140*AH140=0,"",AG140*AH140),"")</f>
        <v/>
      </c>
      <c r="AL140">
        <f>IF(AND(AJ140&lt;&gt;"",AK140&lt;&gt;""),ROUNDUP((AK140-AJ140)/7,0),"")</f>
        <v/>
      </c>
      <c r="AN140">
        <f>IFERROR(IF(AL140*AM140=0,"",AL140*AM140),"")</f>
        <v/>
      </c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L140">
        <f>IFERROR(INDEX('_names_lookup'!$C:$C,MATCH(BK140,'_names_lookup'!$A:$A,0)),"")</f>
        <v/>
      </c>
      <c r="BM140">
        <f>IFERROR(INDEX('_names_lookup'!$B:$B,MATCH(BK140,'_names_lookup'!$A:$A,0)),"")</f>
        <v/>
      </c>
      <c r="BS140">
        <f>IFERROR(IF(BR140*AA140=0,"",BR140*AA140),"")</f>
        <v/>
      </c>
    </row>
    <row r="141">
      <c r="O141">
        <f>IFERROR(INDEX('_courses_lookup'!$C:$C,MATCH(K141&amp;L141,'_courses_lookup'!$E:$E,0)),"")</f>
        <v/>
      </c>
      <c r="P141">
        <f>IFERROR(INDEX('_courses_lookup'!$D:$D,MATCH(K141&amp;L141,'_courses_lookup'!$E:$E,0)),"")</f>
        <v/>
      </c>
      <c r="AG141">
        <f>IF(AND(AE141&lt;&gt;"",AF141&lt;&gt;""),ROUNDUP((AF141-AE141)/7,0),"")</f>
        <v/>
      </c>
      <c r="AI141">
        <f>IFERROR(IF(AG141*AH141=0,"",AG141*AH141),"")</f>
        <v/>
      </c>
      <c r="AL141">
        <f>IF(AND(AJ141&lt;&gt;"",AK141&lt;&gt;""),ROUNDUP((AK141-AJ141)/7,0),"")</f>
        <v/>
      </c>
      <c r="AN141">
        <f>IFERROR(IF(AL141*AM141=0,"",AL141*AM141),"")</f>
        <v/>
      </c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L141">
        <f>IFERROR(INDEX('_names_lookup'!$C:$C,MATCH(BK141,'_names_lookup'!$A:$A,0)),"")</f>
        <v/>
      </c>
      <c r="BM141">
        <f>IFERROR(INDEX('_names_lookup'!$B:$B,MATCH(BK141,'_names_lookup'!$A:$A,0)),"")</f>
        <v/>
      </c>
      <c r="BS141">
        <f>IFERROR(IF(BR141*AA141=0,"",BR141*AA141),"")</f>
        <v/>
      </c>
    </row>
    <row r="142">
      <c r="O142">
        <f>IFERROR(INDEX('_courses_lookup'!$C:$C,MATCH(K142&amp;L142,'_courses_lookup'!$E:$E,0)),"")</f>
        <v/>
      </c>
      <c r="P142">
        <f>IFERROR(INDEX('_courses_lookup'!$D:$D,MATCH(K142&amp;L142,'_courses_lookup'!$E:$E,0)),"")</f>
        <v/>
      </c>
      <c r="AG142">
        <f>IF(AND(AE142&lt;&gt;"",AF142&lt;&gt;""),ROUNDUP((AF142-AE142)/7,0),"")</f>
        <v/>
      </c>
      <c r="AI142">
        <f>IFERROR(IF(AG142*AH142=0,"",AG142*AH142),"")</f>
        <v/>
      </c>
      <c r="AL142">
        <f>IF(AND(AJ142&lt;&gt;"",AK142&lt;&gt;""),ROUNDUP((AK142-AJ142)/7,0),"")</f>
        <v/>
      </c>
      <c r="AN142">
        <f>IFERROR(IF(AL142*AM142=0,"",AL142*AM142),"")</f>
        <v/>
      </c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L142">
        <f>IFERROR(INDEX('_names_lookup'!$C:$C,MATCH(BK142,'_names_lookup'!$A:$A,0)),"")</f>
        <v/>
      </c>
      <c r="BM142">
        <f>IFERROR(INDEX('_names_lookup'!$B:$B,MATCH(BK142,'_names_lookup'!$A:$A,0)),"")</f>
        <v/>
      </c>
      <c r="BS142">
        <f>IFERROR(IF(BR142*AA142=0,"",BR142*AA142),"")</f>
        <v/>
      </c>
    </row>
    <row r="143">
      <c r="O143">
        <f>IFERROR(INDEX('_courses_lookup'!$C:$C,MATCH(K143&amp;L143,'_courses_lookup'!$E:$E,0)),"")</f>
        <v/>
      </c>
      <c r="P143">
        <f>IFERROR(INDEX('_courses_lookup'!$D:$D,MATCH(K143&amp;L143,'_courses_lookup'!$E:$E,0)),"")</f>
        <v/>
      </c>
      <c r="AG143">
        <f>IF(AND(AE143&lt;&gt;"",AF143&lt;&gt;""),ROUNDUP((AF143-AE143)/7,0),"")</f>
        <v/>
      </c>
      <c r="AI143">
        <f>IFERROR(IF(AG143*AH143=0,"",AG143*AH143),"")</f>
        <v/>
      </c>
      <c r="AL143">
        <f>IF(AND(AJ143&lt;&gt;"",AK143&lt;&gt;""),ROUNDUP((AK143-AJ143)/7,0),"")</f>
        <v/>
      </c>
      <c r="AN143">
        <f>IFERROR(IF(AL143*AM143=0,"",AL143*AM143),"")</f>
        <v/>
      </c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L143">
        <f>IFERROR(INDEX('_names_lookup'!$C:$C,MATCH(BK143,'_names_lookup'!$A:$A,0)),"")</f>
        <v/>
      </c>
      <c r="BM143">
        <f>IFERROR(INDEX('_names_lookup'!$B:$B,MATCH(BK143,'_names_lookup'!$A:$A,0)),"")</f>
        <v/>
      </c>
      <c r="BS143">
        <f>IFERROR(IF(BR143*AA143=0,"",BR143*AA143),"")</f>
        <v/>
      </c>
    </row>
    <row r="144">
      <c r="O144">
        <f>IFERROR(INDEX('_courses_lookup'!$C:$C,MATCH(K144&amp;L144,'_courses_lookup'!$E:$E,0)),"")</f>
        <v/>
      </c>
      <c r="P144">
        <f>IFERROR(INDEX('_courses_lookup'!$D:$D,MATCH(K144&amp;L144,'_courses_lookup'!$E:$E,0)),"")</f>
        <v/>
      </c>
      <c r="AG144">
        <f>IF(AND(AE144&lt;&gt;"",AF144&lt;&gt;""),ROUNDUP((AF144-AE144)/7,0),"")</f>
        <v/>
      </c>
      <c r="AI144">
        <f>IFERROR(IF(AG144*AH144=0,"",AG144*AH144),"")</f>
        <v/>
      </c>
      <c r="AL144">
        <f>IF(AND(AJ144&lt;&gt;"",AK144&lt;&gt;""),ROUNDUP((AK144-AJ144)/7,0),"")</f>
        <v/>
      </c>
      <c r="AN144">
        <f>IFERROR(IF(AL144*AM144=0,"",AL144*AM144),"")</f>
        <v/>
      </c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L144">
        <f>IFERROR(INDEX('_names_lookup'!$C:$C,MATCH(BK144,'_names_lookup'!$A:$A,0)),"")</f>
        <v/>
      </c>
      <c r="BM144">
        <f>IFERROR(INDEX('_names_lookup'!$B:$B,MATCH(BK144,'_names_lookup'!$A:$A,0)),"")</f>
        <v/>
      </c>
      <c r="BS144">
        <f>IFERROR(IF(BR144*AA144=0,"",BR144*AA144),"")</f>
        <v/>
      </c>
    </row>
    <row r="145">
      <c r="O145">
        <f>IFERROR(INDEX('_courses_lookup'!$C:$C,MATCH(K145&amp;L145,'_courses_lookup'!$E:$E,0)),"")</f>
        <v/>
      </c>
      <c r="P145">
        <f>IFERROR(INDEX('_courses_lookup'!$D:$D,MATCH(K145&amp;L145,'_courses_lookup'!$E:$E,0)),"")</f>
        <v/>
      </c>
      <c r="AG145">
        <f>IF(AND(AE145&lt;&gt;"",AF145&lt;&gt;""),ROUNDUP((AF145-AE145)/7,0),"")</f>
        <v/>
      </c>
      <c r="AI145">
        <f>IFERROR(IF(AG145*AH145=0,"",AG145*AH145),"")</f>
        <v/>
      </c>
      <c r="AL145">
        <f>IF(AND(AJ145&lt;&gt;"",AK145&lt;&gt;""),ROUNDUP((AK145-AJ145)/7,0),"")</f>
        <v/>
      </c>
      <c r="AN145">
        <f>IFERROR(IF(AL145*AM145=0,"",AL145*AM145),"")</f>
        <v/>
      </c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L145">
        <f>IFERROR(INDEX('_names_lookup'!$C:$C,MATCH(BK145,'_names_lookup'!$A:$A,0)),"")</f>
        <v/>
      </c>
      <c r="BM145">
        <f>IFERROR(INDEX('_names_lookup'!$B:$B,MATCH(BK145,'_names_lookup'!$A:$A,0)),"")</f>
        <v/>
      </c>
      <c r="BS145">
        <f>IFERROR(IF(BR145*AA145=0,"",BR145*AA145),"")</f>
        <v/>
      </c>
    </row>
    <row r="146">
      <c r="O146">
        <f>IFERROR(INDEX('_courses_lookup'!$C:$C,MATCH(K146&amp;L146,'_courses_lookup'!$E:$E,0)),"")</f>
        <v/>
      </c>
      <c r="P146">
        <f>IFERROR(INDEX('_courses_lookup'!$D:$D,MATCH(K146&amp;L146,'_courses_lookup'!$E:$E,0)),"")</f>
        <v/>
      </c>
      <c r="AG146">
        <f>IF(AND(AE146&lt;&gt;"",AF146&lt;&gt;""),ROUNDUP((AF146-AE146)/7,0),"")</f>
        <v/>
      </c>
      <c r="AI146">
        <f>IFERROR(IF(AG146*AH146=0,"",AG146*AH146),"")</f>
        <v/>
      </c>
      <c r="AL146">
        <f>IF(AND(AJ146&lt;&gt;"",AK146&lt;&gt;""),ROUNDUP((AK146-AJ146)/7,0),"")</f>
        <v/>
      </c>
      <c r="AN146">
        <f>IFERROR(IF(AL146*AM146=0,"",AL146*AM146),"")</f>
        <v/>
      </c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L146">
        <f>IFERROR(INDEX('_names_lookup'!$C:$C,MATCH(BK146,'_names_lookup'!$A:$A,0)),"")</f>
        <v/>
      </c>
      <c r="BM146">
        <f>IFERROR(INDEX('_names_lookup'!$B:$B,MATCH(BK146,'_names_lookup'!$A:$A,0)),"")</f>
        <v/>
      </c>
      <c r="BS146">
        <f>IFERROR(IF(BR146*AA146=0,"",BR146*AA146),"")</f>
        <v/>
      </c>
    </row>
    <row r="147">
      <c r="O147">
        <f>IFERROR(INDEX('_courses_lookup'!$C:$C,MATCH(K147&amp;L147,'_courses_lookup'!$E:$E,0)),"")</f>
        <v/>
      </c>
      <c r="P147">
        <f>IFERROR(INDEX('_courses_lookup'!$D:$D,MATCH(K147&amp;L147,'_courses_lookup'!$E:$E,0)),"")</f>
        <v/>
      </c>
      <c r="AG147">
        <f>IF(AND(AE147&lt;&gt;"",AF147&lt;&gt;""),ROUNDUP((AF147-AE147)/7,0),"")</f>
        <v/>
      </c>
      <c r="AI147">
        <f>IFERROR(IF(AG147*AH147=0,"",AG147*AH147),"")</f>
        <v/>
      </c>
      <c r="AL147">
        <f>IF(AND(AJ147&lt;&gt;"",AK147&lt;&gt;""),ROUNDUP((AK147-AJ147)/7,0),"")</f>
        <v/>
      </c>
      <c r="AN147">
        <f>IFERROR(IF(AL147*AM147=0,"",AL147*AM147),"")</f>
        <v/>
      </c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L147">
        <f>IFERROR(INDEX('_names_lookup'!$C:$C,MATCH(BK147,'_names_lookup'!$A:$A,0)),"")</f>
        <v/>
      </c>
      <c r="BM147">
        <f>IFERROR(INDEX('_names_lookup'!$B:$B,MATCH(BK147,'_names_lookup'!$A:$A,0)),"")</f>
        <v/>
      </c>
      <c r="BS147">
        <f>IFERROR(IF(BR147*AA147=0,"",BR147*AA147),"")</f>
        <v/>
      </c>
    </row>
    <row r="148">
      <c r="O148">
        <f>IFERROR(INDEX('_courses_lookup'!$C:$C,MATCH(K148&amp;L148,'_courses_lookup'!$E:$E,0)),"")</f>
        <v/>
      </c>
      <c r="P148">
        <f>IFERROR(INDEX('_courses_lookup'!$D:$D,MATCH(K148&amp;L148,'_courses_lookup'!$E:$E,0)),"")</f>
        <v/>
      </c>
      <c r="AG148">
        <f>IF(AND(AE148&lt;&gt;"",AF148&lt;&gt;""),ROUNDUP((AF148-AE148)/7,0),"")</f>
        <v/>
      </c>
      <c r="AI148">
        <f>IFERROR(IF(AG148*AH148=0,"",AG148*AH148),"")</f>
        <v/>
      </c>
      <c r="AL148">
        <f>IF(AND(AJ148&lt;&gt;"",AK148&lt;&gt;""),ROUNDUP((AK148-AJ148)/7,0),"")</f>
        <v/>
      </c>
      <c r="AN148">
        <f>IFERROR(IF(AL148*AM148=0,"",AL148*AM148),"")</f>
        <v/>
      </c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L148">
        <f>IFERROR(INDEX('_names_lookup'!$C:$C,MATCH(BK148,'_names_lookup'!$A:$A,0)),"")</f>
        <v/>
      </c>
      <c r="BM148">
        <f>IFERROR(INDEX('_names_lookup'!$B:$B,MATCH(BK148,'_names_lookup'!$A:$A,0)),"")</f>
        <v/>
      </c>
      <c r="BS148">
        <f>IFERROR(IF(BR148*AA148=0,"",BR148*AA148),"")</f>
        <v/>
      </c>
    </row>
    <row r="149">
      <c r="O149">
        <f>IFERROR(INDEX('_courses_lookup'!$C:$C,MATCH(K149&amp;L149,'_courses_lookup'!$E:$E,0)),"")</f>
        <v/>
      </c>
      <c r="P149">
        <f>IFERROR(INDEX('_courses_lookup'!$D:$D,MATCH(K149&amp;L149,'_courses_lookup'!$E:$E,0)),"")</f>
        <v/>
      </c>
      <c r="AG149">
        <f>IF(AND(AE149&lt;&gt;"",AF149&lt;&gt;""),ROUNDUP((AF149-AE149)/7,0),"")</f>
        <v/>
      </c>
      <c r="AI149">
        <f>IFERROR(IF(AG149*AH149=0,"",AG149*AH149),"")</f>
        <v/>
      </c>
      <c r="AL149">
        <f>IF(AND(AJ149&lt;&gt;"",AK149&lt;&gt;""),ROUNDUP((AK149-AJ149)/7,0),"")</f>
        <v/>
      </c>
      <c r="AN149">
        <f>IFERROR(IF(AL149*AM149=0,"",AL149*AM149),"")</f>
        <v/>
      </c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L149">
        <f>IFERROR(INDEX('_names_lookup'!$C:$C,MATCH(BK149,'_names_lookup'!$A:$A,0)),"")</f>
        <v/>
      </c>
      <c r="BM149">
        <f>IFERROR(INDEX('_names_lookup'!$B:$B,MATCH(BK149,'_names_lookup'!$A:$A,0)),"")</f>
        <v/>
      </c>
      <c r="BS149">
        <f>IFERROR(IF(BR149*AA149=0,"",BR149*AA149),"")</f>
        <v/>
      </c>
    </row>
    <row r="150">
      <c r="O150">
        <f>IFERROR(INDEX('_courses_lookup'!$C:$C,MATCH(K150&amp;L150,'_courses_lookup'!$E:$E,0)),"")</f>
        <v/>
      </c>
      <c r="P150">
        <f>IFERROR(INDEX('_courses_lookup'!$D:$D,MATCH(K150&amp;L150,'_courses_lookup'!$E:$E,0)),"")</f>
        <v/>
      </c>
      <c r="AG150">
        <f>IF(AND(AE150&lt;&gt;"",AF150&lt;&gt;""),ROUNDUP((AF150-AE150)/7,0),"")</f>
        <v/>
      </c>
      <c r="AI150">
        <f>IFERROR(IF(AG150*AH150=0,"",AG150*AH150),"")</f>
        <v/>
      </c>
      <c r="AL150">
        <f>IF(AND(AJ150&lt;&gt;"",AK150&lt;&gt;""),ROUNDUP((AK150-AJ150)/7,0),"")</f>
        <v/>
      </c>
      <c r="AN150">
        <f>IFERROR(IF(AL150*AM150=0,"",AL150*AM150),"")</f>
        <v/>
      </c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L150">
        <f>IFERROR(INDEX('_names_lookup'!$C:$C,MATCH(BK150,'_names_lookup'!$A:$A,0)),"")</f>
        <v/>
      </c>
      <c r="BM150">
        <f>IFERROR(INDEX('_names_lookup'!$B:$B,MATCH(BK150,'_names_lookup'!$A:$A,0)),"")</f>
        <v/>
      </c>
      <c r="BS150">
        <f>IFERROR(IF(BR150*AA150=0,"",BR150*AA150),"")</f>
        <v/>
      </c>
    </row>
    <row r="151">
      <c r="O151">
        <f>IFERROR(INDEX('_courses_lookup'!$C:$C,MATCH(K151&amp;L151,'_courses_lookup'!$E:$E,0)),"")</f>
        <v/>
      </c>
      <c r="P151">
        <f>IFERROR(INDEX('_courses_lookup'!$D:$D,MATCH(K151&amp;L151,'_courses_lookup'!$E:$E,0)),"")</f>
        <v/>
      </c>
      <c r="AG151">
        <f>IF(AND(AE151&lt;&gt;"",AF151&lt;&gt;""),ROUNDUP((AF151-AE151)/7,0),"")</f>
        <v/>
      </c>
      <c r="AI151">
        <f>IFERROR(IF(AG151*AH151=0,"",AG151*AH151),"")</f>
        <v/>
      </c>
      <c r="AL151">
        <f>IF(AND(AJ151&lt;&gt;"",AK151&lt;&gt;""),ROUNDUP((AK151-AJ151)/7,0),"")</f>
        <v/>
      </c>
      <c r="AN151">
        <f>IFERROR(IF(AL151*AM151=0,"",AL151*AM151),"")</f>
        <v/>
      </c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L151">
        <f>IFERROR(INDEX('_names_lookup'!$C:$C,MATCH(BK151,'_names_lookup'!$A:$A,0)),"")</f>
        <v/>
      </c>
      <c r="BM151">
        <f>IFERROR(INDEX('_names_lookup'!$B:$B,MATCH(BK151,'_names_lookup'!$A:$A,0)),"")</f>
        <v/>
      </c>
      <c r="BS151">
        <f>IFERROR(IF(BR151*AA151=0,"",BR151*AA151),"")</f>
        <v/>
      </c>
    </row>
    <row r="152">
      <c r="O152">
        <f>IFERROR(INDEX('_courses_lookup'!$C:$C,MATCH(K152&amp;L152,'_courses_lookup'!$E:$E,0)),"")</f>
        <v/>
      </c>
      <c r="P152">
        <f>IFERROR(INDEX('_courses_lookup'!$D:$D,MATCH(K152&amp;L152,'_courses_lookup'!$E:$E,0)),"")</f>
        <v/>
      </c>
      <c r="AG152">
        <f>IF(AND(AE152&lt;&gt;"",AF152&lt;&gt;""),ROUNDUP((AF152-AE152)/7,0),"")</f>
        <v/>
      </c>
      <c r="AI152">
        <f>IFERROR(IF(AG152*AH152=0,"",AG152*AH152),"")</f>
        <v/>
      </c>
      <c r="AL152">
        <f>IF(AND(AJ152&lt;&gt;"",AK152&lt;&gt;""),ROUNDUP((AK152-AJ152)/7,0),"")</f>
        <v/>
      </c>
      <c r="AN152">
        <f>IFERROR(IF(AL152*AM152=0,"",AL152*AM152),"")</f>
        <v/>
      </c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L152">
        <f>IFERROR(INDEX('_names_lookup'!$C:$C,MATCH(BK152,'_names_lookup'!$A:$A,0)),"")</f>
        <v/>
      </c>
      <c r="BM152">
        <f>IFERROR(INDEX('_names_lookup'!$B:$B,MATCH(BK152,'_names_lookup'!$A:$A,0)),"")</f>
        <v/>
      </c>
      <c r="BS152">
        <f>IFERROR(IF(BR152*AA152=0,"",BR152*AA152),"")</f>
        <v/>
      </c>
    </row>
    <row r="153">
      <c r="O153">
        <f>IFERROR(INDEX('_courses_lookup'!$C:$C,MATCH(K153&amp;L153,'_courses_lookup'!$E:$E,0)),"")</f>
        <v/>
      </c>
      <c r="P153">
        <f>IFERROR(INDEX('_courses_lookup'!$D:$D,MATCH(K153&amp;L153,'_courses_lookup'!$E:$E,0)),"")</f>
        <v/>
      </c>
      <c r="AG153">
        <f>IF(AND(AE153&lt;&gt;"",AF153&lt;&gt;""),ROUNDUP((AF153-AE153)/7,0),"")</f>
        <v/>
      </c>
      <c r="AI153">
        <f>IFERROR(IF(AG153*AH153=0,"",AG153*AH153),"")</f>
        <v/>
      </c>
      <c r="AL153">
        <f>IF(AND(AJ153&lt;&gt;"",AK153&lt;&gt;""),ROUNDUP((AK153-AJ153)/7,0),"")</f>
        <v/>
      </c>
      <c r="AN153">
        <f>IFERROR(IF(AL153*AM153=0,"",AL153*AM153),"")</f>
        <v/>
      </c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L153">
        <f>IFERROR(INDEX('_names_lookup'!$C:$C,MATCH(BK153,'_names_lookup'!$A:$A,0)),"")</f>
        <v/>
      </c>
      <c r="BM153">
        <f>IFERROR(INDEX('_names_lookup'!$B:$B,MATCH(BK153,'_names_lookup'!$A:$A,0)),"")</f>
        <v/>
      </c>
      <c r="BS153">
        <f>IFERROR(IF(BR153*AA153=0,"",BR153*AA153),"")</f>
        <v/>
      </c>
    </row>
    <row r="154">
      <c r="O154">
        <f>IFERROR(INDEX('_courses_lookup'!$C:$C,MATCH(K154&amp;L154,'_courses_lookup'!$E:$E,0)),"")</f>
        <v/>
      </c>
      <c r="P154">
        <f>IFERROR(INDEX('_courses_lookup'!$D:$D,MATCH(K154&amp;L154,'_courses_lookup'!$E:$E,0)),"")</f>
        <v/>
      </c>
      <c r="AG154">
        <f>IF(AND(AE154&lt;&gt;"",AF154&lt;&gt;""),ROUNDUP((AF154-AE154)/7,0),"")</f>
        <v/>
      </c>
      <c r="AI154">
        <f>IFERROR(IF(AG154*AH154=0,"",AG154*AH154),"")</f>
        <v/>
      </c>
      <c r="AL154">
        <f>IF(AND(AJ154&lt;&gt;"",AK154&lt;&gt;""),ROUNDUP((AK154-AJ154)/7,0),"")</f>
        <v/>
      </c>
      <c r="AN154">
        <f>IFERROR(IF(AL154*AM154=0,"",AL154*AM154),"")</f>
        <v/>
      </c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L154">
        <f>IFERROR(INDEX('_names_lookup'!$C:$C,MATCH(BK154,'_names_lookup'!$A:$A,0)),"")</f>
        <v/>
      </c>
      <c r="BM154">
        <f>IFERROR(INDEX('_names_lookup'!$B:$B,MATCH(BK154,'_names_lookup'!$A:$A,0)),"")</f>
        <v/>
      </c>
      <c r="BS154">
        <f>IFERROR(IF(BR154*AA154=0,"",BR154*AA154),"")</f>
        <v/>
      </c>
    </row>
    <row r="155">
      <c r="O155">
        <f>IFERROR(INDEX('_courses_lookup'!$C:$C,MATCH(K155&amp;L155,'_courses_lookup'!$E:$E,0)),"")</f>
        <v/>
      </c>
      <c r="P155">
        <f>IFERROR(INDEX('_courses_lookup'!$D:$D,MATCH(K155&amp;L155,'_courses_lookup'!$E:$E,0)),"")</f>
        <v/>
      </c>
      <c r="AG155">
        <f>IF(AND(AE155&lt;&gt;"",AF155&lt;&gt;""),ROUNDUP((AF155-AE155)/7,0),"")</f>
        <v/>
      </c>
      <c r="AI155">
        <f>IFERROR(IF(AG155*AH155=0,"",AG155*AH155),"")</f>
        <v/>
      </c>
      <c r="AL155">
        <f>IF(AND(AJ155&lt;&gt;"",AK155&lt;&gt;""),ROUNDUP((AK155-AJ155)/7,0),"")</f>
        <v/>
      </c>
      <c r="AN155">
        <f>IFERROR(IF(AL155*AM155=0,"",AL155*AM155),"")</f>
        <v/>
      </c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L155">
        <f>IFERROR(INDEX('_names_lookup'!$C:$C,MATCH(BK155,'_names_lookup'!$A:$A,0)),"")</f>
        <v/>
      </c>
      <c r="BM155">
        <f>IFERROR(INDEX('_names_lookup'!$B:$B,MATCH(BK155,'_names_lookup'!$A:$A,0)),"")</f>
        <v/>
      </c>
      <c r="BS155">
        <f>IFERROR(IF(BR155*AA155=0,"",BR155*AA155),"")</f>
        <v/>
      </c>
    </row>
    <row r="156">
      <c r="O156">
        <f>IFERROR(INDEX('_courses_lookup'!$C:$C,MATCH(K156&amp;L156,'_courses_lookup'!$E:$E,0)),"")</f>
        <v/>
      </c>
      <c r="P156">
        <f>IFERROR(INDEX('_courses_lookup'!$D:$D,MATCH(K156&amp;L156,'_courses_lookup'!$E:$E,0)),"")</f>
        <v/>
      </c>
      <c r="AG156">
        <f>IF(AND(AE156&lt;&gt;"",AF156&lt;&gt;""),ROUNDUP((AF156-AE156)/7,0),"")</f>
        <v/>
      </c>
      <c r="AI156">
        <f>IFERROR(IF(AG156*AH156=0,"",AG156*AH156),"")</f>
        <v/>
      </c>
      <c r="AL156">
        <f>IF(AND(AJ156&lt;&gt;"",AK156&lt;&gt;""),ROUNDUP((AK156-AJ156)/7,0),"")</f>
        <v/>
      </c>
      <c r="AN156">
        <f>IFERROR(IF(AL156*AM156=0,"",AL156*AM156),"")</f>
        <v/>
      </c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L156">
        <f>IFERROR(INDEX('_names_lookup'!$C:$C,MATCH(BK156,'_names_lookup'!$A:$A,0)),"")</f>
        <v/>
      </c>
      <c r="BM156">
        <f>IFERROR(INDEX('_names_lookup'!$B:$B,MATCH(BK156,'_names_lookup'!$A:$A,0)),"")</f>
        <v/>
      </c>
      <c r="BS156">
        <f>IFERROR(IF(BR156*AA156=0,"",BR156*AA156),"")</f>
        <v/>
      </c>
    </row>
    <row r="157">
      <c r="O157">
        <f>IFERROR(INDEX('_courses_lookup'!$C:$C,MATCH(K157&amp;L157,'_courses_lookup'!$E:$E,0)),"")</f>
        <v/>
      </c>
      <c r="P157">
        <f>IFERROR(INDEX('_courses_lookup'!$D:$D,MATCH(K157&amp;L157,'_courses_lookup'!$E:$E,0)),"")</f>
        <v/>
      </c>
      <c r="AG157">
        <f>IF(AND(AE157&lt;&gt;"",AF157&lt;&gt;""),ROUNDUP((AF157-AE157)/7,0),"")</f>
        <v/>
      </c>
      <c r="AI157">
        <f>IFERROR(IF(AG157*AH157=0,"",AG157*AH157),"")</f>
        <v/>
      </c>
      <c r="AL157">
        <f>IF(AND(AJ157&lt;&gt;"",AK157&lt;&gt;""),ROUNDUP((AK157-AJ157)/7,0),"")</f>
        <v/>
      </c>
      <c r="AN157">
        <f>IFERROR(IF(AL157*AM157=0,"",AL157*AM157),"")</f>
        <v/>
      </c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L157">
        <f>IFERROR(INDEX('_names_lookup'!$C:$C,MATCH(BK157,'_names_lookup'!$A:$A,0)),"")</f>
        <v/>
      </c>
      <c r="BM157">
        <f>IFERROR(INDEX('_names_lookup'!$B:$B,MATCH(BK157,'_names_lookup'!$A:$A,0)),"")</f>
        <v/>
      </c>
      <c r="BS157">
        <f>IFERROR(IF(BR157*AA157=0,"",BR157*AA157),"")</f>
        <v/>
      </c>
    </row>
    <row r="158">
      <c r="O158">
        <f>IFERROR(INDEX('_courses_lookup'!$C:$C,MATCH(K158&amp;L158,'_courses_lookup'!$E:$E,0)),"")</f>
        <v/>
      </c>
      <c r="P158">
        <f>IFERROR(INDEX('_courses_lookup'!$D:$D,MATCH(K158&amp;L158,'_courses_lookup'!$E:$E,0)),"")</f>
        <v/>
      </c>
      <c r="AG158">
        <f>IF(AND(AE158&lt;&gt;"",AF158&lt;&gt;""),ROUNDUP((AF158-AE158)/7,0),"")</f>
        <v/>
      </c>
      <c r="AI158">
        <f>IFERROR(IF(AG158*AH158=0,"",AG158*AH158),"")</f>
        <v/>
      </c>
      <c r="AL158">
        <f>IF(AND(AJ158&lt;&gt;"",AK158&lt;&gt;""),ROUNDUP((AK158-AJ158)/7,0),"")</f>
        <v/>
      </c>
      <c r="AN158">
        <f>IFERROR(IF(AL158*AM158=0,"",AL158*AM158),"")</f>
        <v/>
      </c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L158">
        <f>IFERROR(INDEX('_names_lookup'!$C:$C,MATCH(BK158,'_names_lookup'!$A:$A,0)),"")</f>
        <v/>
      </c>
      <c r="BM158">
        <f>IFERROR(INDEX('_names_lookup'!$B:$B,MATCH(BK158,'_names_lookup'!$A:$A,0)),"")</f>
        <v/>
      </c>
      <c r="BS158">
        <f>IFERROR(IF(BR158*AA158=0,"",BR158*AA158),"")</f>
        <v/>
      </c>
    </row>
    <row r="159">
      <c r="O159">
        <f>IFERROR(INDEX('_courses_lookup'!$C:$C,MATCH(K159&amp;L159,'_courses_lookup'!$E:$E,0)),"")</f>
        <v/>
      </c>
      <c r="P159">
        <f>IFERROR(INDEX('_courses_lookup'!$D:$D,MATCH(K159&amp;L159,'_courses_lookup'!$E:$E,0)),"")</f>
        <v/>
      </c>
      <c r="AG159">
        <f>IF(AND(AE159&lt;&gt;"",AF159&lt;&gt;""),ROUNDUP((AF159-AE159)/7,0),"")</f>
        <v/>
      </c>
      <c r="AI159">
        <f>IFERROR(IF(AG159*AH159=0,"",AG159*AH159),"")</f>
        <v/>
      </c>
      <c r="AL159">
        <f>IF(AND(AJ159&lt;&gt;"",AK159&lt;&gt;""),ROUNDUP((AK159-AJ159)/7,0),"")</f>
        <v/>
      </c>
      <c r="AN159">
        <f>IFERROR(IF(AL159*AM159=0,"",AL159*AM159),"")</f>
        <v/>
      </c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L159">
        <f>IFERROR(INDEX('_names_lookup'!$C:$C,MATCH(BK159,'_names_lookup'!$A:$A,0)),"")</f>
        <v/>
      </c>
      <c r="BM159">
        <f>IFERROR(INDEX('_names_lookup'!$B:$B,MATCH(BK159,'_names_lookup'!$A:$A,0)),"")</f>
        <v/>
      </c>
      <c r="BS159">
        <f>IFERROR(IF(BR159*AA159=0,"",BR159*AA159),"")</f>
        <v/>
      </c>
    </row>
    <row r="160">
      <c r="O160">
        <f>IFERROR(INDEX('_courses_lookup'!$C:$C,MATCH(K160&amp;L160,'_courses_lookup'!$E:$E,0)),"")</f>
        <v/>
      </c>
      <c r="P160">
        <f>IFERROR(INDEX('_courses_lookup'!$D:$D,MATCH(K160&amp;L160,'_courses_lookup'!$E:$E,0)),"")</f>
        <v/>
      </c>
      <c r="AG160">
        <f>IF(AND(AE160&lt;&gt;"",AF160&lt;&gt;""),ROUNDUP((AF160-AE160)/7,0),"")</f>
        <v/>
      </c>
      <c r="AI160">
        <f>IFERROR(IF(AG160*AH160=0,"",AG160*AH160),"")</f>
        <v/>
      </c>
      <c r="AL160">
        <f>IF(AND(AJ160&lt;&gt;"",AK160&lt;&gt;""),ROUNDUP((AK160-AJ160)/7,0),"")</f>
        <v/>
      </c>
      <c r="AN160">
        <f>IFERROR(IF(AL160*AM160=0,"",AL160*AM160),"")</f>
        <v/>
      </c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L160">
        <f>IFERROR(INDEX('_names_lookup'!$C:$C,MATCH(BK160,'_names_lookup'!$A:$A,0)),"")</f>
        <v/>
      </c>
      <c r="BM160">
        <f>IFERROR(INDEX('_names_lookup'!$B:$B,MATCH(BK160,'_names_lookup'!$A:$A,0)),"")</f>
        <v/>
      </c>
      <c r="BS160">
        <f>IFERROR(IF(BR160*AA160=0,"",BR160*AA160),"")</f>
        <v/>
      </c>
    </row>
    <row r="161">
      <c r="O161">
        <f>IFERROR(INDEX('_courses_lookup'!$C:$C,MATCH(K161&amp;L161,'_courses_lookup'!$E:$E,0)),"")</f>
        <v/>
      </c>
      <c r="P161">
        <f>IFERROR(INDEX('_courses_lookup'!$D:$D,MATCH(K161&amp;L161,'_courses_lookup'!$E:$E,0)),"")</f>
        <v/>
      </c>
      <c r="AG161">
        <f>IF(AND(AE161&lt;&gt;"",AF161&lt;&gt;""),ROUNDUP((AF161-AE161)/7,0),"")</f>
        <v/>
      </c>
      <c r="AI161">
        <f>IFERROR(IF(AG161*AH161=0,"",AG161*AH161),"")</f>
        <v/>
      </c>
      <c r="AL161">
        <f>IF(AND(AJ161&lt;&gt;"",AK161&lt;&gt;""),ROUNDUP((AK161-AJ161)/7,0),"")</f>
        <v/>
      </c>
      <c r="AN161">
        <f>IFERROR(IF(AL161*AM161=0,"",AL161*AM161),"")</f>
        <v/>
      </c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L161">
        <f>IFERROR(INDEX('_names_lookup'!$C:$C,MATCH(BK161,'_names_lookup'!$A:$A,0)),"")</f>
        <v/>
      </c>
      <c r="BM161">
        <f>IFERROR(INDEX('_names_lookup'!$B:$B,MATCH(BK161,'_names_lookup'!$A:$A,0)),"")</f>
        <v/>
      </c>
      <c r="BS161">
        <f>IFERROR(IF(BR161*AA161=0,"",BR161*AA161),"")</f>
        <v/>
      </c>
    </row>
    <row r="162">
      <c r="O162">
        <f>IFERROR(INDEX('_courses_lookup'!$C:$C,MATCH(K162&amp;L162,'_courses_lookup'!$E:$E,0)),"")</f>
        <v/>
      </c>
      <c r="P162">
        <f>IFERROR(INDEX('_courses_lookup'!$D:$D,MATCH(K162&amp;L162,'_courses_lookup'!$E:$E,0)),"")</f>
        <v/>
      </c>
      <c r="AG162">
        <f>IF(AND(AE162&lt;&gt;"",AF162&lt;&gt;""),ROUNDUP((AF162-AE162)/7,0),"")</f>
        <v/>
      </c>
      <c r="AI162">
        <f>IFERROR(IF(AG162*AH162=0,"",AG162*AH162),"")</f>
        <v/>
      </c>
      <c r="AL162">
        <f>IF(AND(AJ162&lt;&gt;"",AK162&lt;&gt;""),ROUNDUP((AK162-AJ162)/7,0),"")</f>
        <v/>
      </c>
      <c r="AN162">
        <f>IFERROR(IF(AL162*AM162=0,"",AL162*AM162),"")</f>
        <v/>
      </c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L162">
        <f>IFERROR(INDEX('_names_lookup'!$C:$C,MATCH(BK162,'_names_lookup'!$A:$A,0)),"")</f>
        <v/>
      </c>
      <c r="BM162">
        <f>IFERROR(INDEX('_names_lookup'!$B:$B,MATCH(BK162,'_names_lookup'!$A:$A,0)),"")</f>
        <v/>
      </c>
      <c r="BS162">
        <f>IFERROR(IF(BR162*AA162=0,"",BR162*AA162),"")</f>
        <v/>
      </c>
    </row>
    <row r="163">
      <c r="O163">
        <f>IFERROR(INDEX('_courses_lookup'!$C:$C,MATCH(K163&amp;L163,'_courses_lookup'!$E:$E,0)),"")</f>
        <v/>
      </c>
      <c r="P163">
        <f>IFERROR(INDEX('_courses_lookup'!$D:$D,MATCH(K163&amp;L163,'_courses_lookup'!$E:$E,0)),"")</f>
        <v/>
      </c>
      <c r="AG163">
        <f>IF(AND(AE163&lt;&gt;"",AF163&lt;&gt;""),ROUNDUP((AF163-AE163)/7,0),"")</f>
        <v/>
      </c>
      <c r="AI163">
        <f>IFERROR(IF(AG163*AH163=0,"",AG163*AH163),"")</f>
        <v/>
      </c>
      <c r="AL163">
        <f>IF(AND(AJ163&lt;&gt;"",AK163&lt;&gt;""),ROUNDUP((AK163-AJ163)/7,0),"")</f>
        <v/>
      </c>
      <c r="AN163">
        <f>IFERROR(IF(AL163*AM163=0,"",AL163*AM163),"")</f>
        <v/>
      </c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L163">
        <f>IFERROR(INDEX('_names_lookup'!$C:$C,MATCH(BK163,'_names_lookup'!$A:$A,0)),"")</f>
        <v/>
      </c>
      <c r="BM163">
        <f>IFERROR(INDEX('_names_lookup'!$B:$B,MATCH(BK163,'_names_lookup'!$A:$A,0)),"")</f>
        <v/>
      </c>
      <c r="BS163">
        <f>IFERROR(IF(BR163*AA163=0,"",BR163*AA163),"")</f>
        <v/>
      </c>
    </row>
    <row r="164">
      <c r="O164">
        <f>IFERROR(INDEX('_courses_lookup'!$C:$C,MATCH(K164&amp;L164,'_courses_lookup'!$E:$E,0)),"")</f>
        <v/>
      </c>
      <c r="P164">
        <f>IFERROR(INDEX('_courses_lookup'!$D:$D,MATCH(K164&amp;L164,'_courses_lookup'!$E:$E,0)),"")</f>
        <v/>
      </c>
      <c r="AG164">
        <f>IF(AND(AE164&lt;&gt;"",AF164&lt;&gt;""),ROUNDUP((AF164-AE164)/7,0),"")</f>
        <v/>
      </c>
      <c r="AI164">
        <f>IFERROR(IF(AG164*AH164=0,"",AG164*AH164),"")</f>
        <v/>
      </c>
      <c r="AL164">
        <f>IF(AND(AJ164&lt;&gt;"",AK164&lt;&gt;""),ROUNDUP((AK164-AJ164)/7,0),"")</f>
        <v/>
      </c>
      <c r="AN164">
        <f>IFERROR(IF(AL164*AM164=0,"",AL164*AM164),"")</f>
        <v/>
      </c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L164">
        <f>IFERROR(INDEX('_names_lookup'!$C:$C,MATCH(BK164,'_names_lookup'!$A:$A,0)),"")</f>
        <v/>
      </c>
      <c r="BM164">
        <f>IFERROR(INDEX('_names_lookup'!$B:$B,MATCH(BK164,'_names_lookup'!$A:$A,0)),"")</f>
        <v/>
      </c>
      <c r="BS164">
        <f>IFERROR(IF(BR164*AA164=0,"",BR164*AA164),"")</f>
        <v/>
      </c>
    </row>
    <row r="165">
      <c r="O165">
        <f>IFERROR(INDEX('_courses_lookup'!$C:$C,MATCH(K165&amp;L165,'_courses_lookup'!$E:$E,0)),"")</f>
        <v/>
      </c>
      <c r="P165">
        <f>IFERROR(INDEX('_courses_lookup'!$D:$D,MATCH(K165&amp;L165,'_courses_lookup'!$E:$E,0)),"")</f>
        <v/>
      </c>
      <c r="AG165">
        <f>IF(AND(AE165&lt;&gt;"",AF165&lt;&gt;""),ROUNDUP((AF165-AE165)/7,0),"")</f>
        <v/>
      </c>
      <c r="AI165">
        <f>IFERROR(IF(AG165*AH165=0,"",AG165*AH165),"")</f>
        <v/>
      </c>
      <c r="AL165">
        <f>IF(AND(AJ165&lt;&gt;"",AK165&lt;&gt;""),ROUNDUP((AK165-AJ165)/7,0),"")</f>
        <v/>
      </c>
      <c r="AN165">
        <f>IFERROR(IF(AL165*AM165=0,"",AL165*AM165),"")</f>
        <v/>
      </c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L165">
        <f>IFERROR(INDEX('_names_lookup'!$C:$C,MATCH(BK165,'_names_lookup'!$A:$A,0)),"")</f>
        <v/>
      </c>
      <c r="BM165">
        <f>IFERROR(INDEX('_names_lookup'!$B:$B,MATCH(BK165,'_names_lookup'!$A:$A,0)),"")</f>
        <v/>
      </c>
      <c r="BS165">
        <f>IFERROR(IF(BR165*AA165=0,"",BR165*AA165),"")</f>
        <v/>
      </c>
    </row>
    <row r="166">
      <c r="O166">
        <f>IFERROR(INDEX('_courses_lookup'!$C:$C,MATCH(K166&amp;L166,'_courses_lookup'!$E:$E,0)),"")</f>
        <v/>
      </c>
      <c r="P166">
        <f>IFERROR(INDEX('_courses_lookup'!$D:$D,MATCH(K166&amp;L166,'_courses_lookup'!$E:$E,0)),"")</f>
        <v/>
      </c>
      <c r="AG166">
        <f>IF(AND(AE166&lt;&gt;"",AF166&lt;&gt;""),ROUNDUP((AF166-AE166)/7,0),"")</f>
        <v/>
      </c>
      <c r="AI166">
        <f>IFERROR(IF(AG166*AH166=0,"",AG166*AH166),"")</f>
        <v/>
      </c>
      <c r="AL166">
        <f>IF(AND(AJ166&lt;&gt;"",AK166&lt;&gt;""),ROUNDUP((AK166-AJ166)/7,0),"")</f>
        <v/>
      </c>
      <c r="AN166">
        <f>IFERROR(IF(AL166*AM166=0,"",AL166*AM166),"")</f>
        <v/>
      </c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L166">
        <f>IFERROR(INDEX('_names_lookup'!$C:$C,MATCH(BK166,'_names_lookup'!$A:$A,0)),"")</f>
        <v/>
      </c>
      <c r="BM166">
        <f>IFERROR(INDEX('_names_lookup'!$B:$B,MATCH(BK166,'_names_lookup'!$A:$A,0)),"")</f>
        <v/>
      </c>
      <c r="BS166">
        <f>IFERROR(IF(BR166*AA166=0,"",BR166*AA166),"")</f>
        <v/>
      </c>
    </row>
    <row r="167">
      <c r="O167">
        <f>IFERROR(INDEX('_courses_lookup'!$C:$C,MATCH(K167&amp;L167,'_courses_lookup'!$E:$E,0)),"")</f>
        <v/>
      </c>
      <c r="P167">
        <f>IFERROR(INDEX('_courses_lookup'!$D:$D,MATCH(K167&amp;L167,'_courses_lookup'!$E:$E,0)),"")</f>
        <v/>
      </c>
      <c r="AG167">
        <f>IF(AND(AE167&lt;&gt;"",AF167&lt;&gt;""),ROUNDUP((AF167-AE167)/7,0),"")</f>
        <v/>
      </c>
      <c r="AI167">
        <f>IFERROR(IF(AG167*AH167=0,"",AG167*AH167),"")</f>
        <v/>
      </c>
      <c r="AL167">
        <f>IF(AND(AJ167&lt;&gt;"",AK167&lt;&gt;""),ROUNDUP((AK167-AJ167)/7,0),"")</f>
        <v/>
      </c>
      <c r="AN167">
        <f>IFERROR(IF(AL167*AM167=0,"",AL167*AM167),"")</f>
        <v/>
      </c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L167">
        <f>IFERROR(INDEX('_names_lookup'!$C:$C,MATCH(BK167,'_names_lookup'!$A:$A,0)),"")</f>
        <v/>
      </c>
      <c r="BM167">
        <f>IFERROR(INDEX('_names_lookup'!$B:$B,MATCH(BK167,'_names_lookup'!$A:$A,0)),"")</f>
        <v/>
      </c>
      <c r="BS167">
        <f>IFERROR(IF(BR167*AA167=0,"",BR167*AA167),"")</f>
        <v/>
      </c>
    </row>
    <row r="168">
      <c r="O168">
        <f>IFERROR(INDEX('_courses_lookup'!$C:$C,MATCH(K168&amp;L168,'_courses_lookup'!$E:$E,0)),"")</f>
        <v/>
      </c>
      <c r="P168">
        <f>IFERROR(INDEX('_courses_lookup'!$D:$D,MATCH(K168&amp;L168,'_courses_lookup'!$E:$E,0)),"")</f>
        <v/>
      </c>
      <c r="AG168">
        <f>IF(AND(AE168&lt;&gt;"",AF168&lt;&gt;""),ROUNDUP((AF168-AE168)/7,0),"")</f>
        <v/>
      </c>
      <c r="AI168">
        <f>IFERROR(IF(AG168*AH168=0,"",AG168*AH168),"")</f>
        <v/>
      </c>
      <c r="AL168">
        <f>IF(AND(AJ168&lt;&gt;"",AK168&lt;&gt;""),ROUNDUP((AK168-AJ168)/7,0),"")</f>
        <v/>
      </c>
      <c r="AN168">
        <f>IFERROR(IF(AL168*AM168=0,"",AL168*AM168),"")</f>
        <v/>
      </c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L168">
        <f>IFERROR(INDEX('_names_lookup'!$C:$C,MATCH(BK168,'_names_lookup'!$A:$A,0)),"")</f>
        <v/>
      </c>
      <c r="BM168">
        <f>IFERROR(INDEX('_names_lookup'!$B:$B,MATCH(BK168,'_names_lookup'!$A:$A,0)),"")</f>
        <v/>
      </c>
      <c r="BS168">
        <f>IFERROR(IF(BR168*AA168=0,"",BR168*AA168),"")</f>
        <v/>
      </c>
    </row>
    <row r="169">
      <c r="O169">
        <f>IFERROR(INDEX('_courses_lookup'!$C:$C,MATCH(K169&amp;L169,'_courses_lookup'!$E:$E,0)),"")</f>
        <v/>
      </c>
      <c r="P169">
        <f>IFERROR(INDEX('_courses_lookup'!$D:$D,MATCH(K169&amp;L169,'_courses_lookup'!$E:$E,0)),"")</f>
        <v/>
      </c>
      <c r="AG169">
        <f>IF(AND(AE169&lt;&gt;"",AF169&lt;&gt;""),ROUNDUP((AF169-AE169)/7,0),"")</f>
        <v/>
      </c>
      <c r="AI169">
        <f>IFERROR(IF(AG169*AH169=0,"",AG169*AH169),"")</f>
        <v/>
      </c>
      <c r="AL169">
        <f>IF(AND(AJ169&lt;&gt;"",AK169&lt;&gt;""),ROUNDUP((AK169-AJ169)/7,0),"")</f>
        <v/>
      </c>
      <c r="AN169">
        <f>IFERROR(IF(AL169*AM169=0,"",AL169*AM169),"")</f>
        <v/>
      </c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L169">
        <f>IFERROR(INDEX('_names_lookup'!$C:$C,MATCH(BK169,'_names_lookup'!$A:$A,0)),"")</f>
        <v/>
      </c>
      <c r="BM169">
        <f>IFERROR(INDEX('_names_lookup'!$B:$B,MATCH(BK169,'_names_lookup'!$A:$A,0)),"")</f>
        <v/>
      </c>
      <c r="BS169">
        <f>IFERROR(IF(BR169*AA169=0,"",BR169*AA169),"")</f>
        <v/>
      </c>
    </row>
    <row r="170">
      <c r="O170">
        <f>IFERROR(INDEX('_courses_lookup'!$C:$C,MATCH(K170&amp;L170,'_courses_lookup'!$E:$E,0)),"")</f>
        <v/>
      </c>
      <c r="P170">
        <f>IFERROR(INDEX('_courses_lookup'!$D:$D,MATCH(K170&amp;L170,'_courses_lookup'!$E:$E,0)),"")</f>
        <v/>
      </c>
      <c r="AG170">
        <f>IF(AND(AE170&lt;&gt;"",AF170&lt;&gt;""),ROUNDUP((AF170-AE170)/7,0),"")</f>
        <v/>
      </c>
      <c r="AI170">
        <f>IFERROR(IF(AG170*AH170=0,"",AG170*AH170),"")</f>
        <v/>
      </c>
      <c r="AL170">
        <f>IF(AND(AJ170&lt;&gt;"",AK170&lt;&gt;""),ROUNDUP((AK170-AJ170)/7,0),"")</f>
        <v/>
      </c>
      <c r="AN170">
        <f>IFERROR(IF(AL170*AM170=0,"",AL170*AM170),"")</f>
        <v/>
      </c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L170">
        <f>IFERROR(INDEX('_names_lookup'!$C:$C,MATCH(BK170,'_names_lookup'!$A:$A,0)),"")</f>
        <v/>
      </c>
      <c r="BM170">
        <f>IFERROR(INDEX('_names_lookup'!$B:$B,MATCH(BK170,'_names_lookup'!$A:$A,0)),"")</f>
        <v/>
      </c>
      <c r="BS170">
        <f>IFERROR(IF(BR170*AA170=0,"",BR170*AA170),"")</f>
        <v/>
      </c>
    </row>
    <row r="171">
      <c r="O171">
        <f>IFERROR(INDEX('_courses_lookup'!$C:$C,MATCH(K171&amp;L171,'_courses_lookup'!$E:$E,0)),"")</f>
        <v/>
      </c>
      <c r="P171">
        <f>IFERROR(INDEX('_courses_lookup'!$D:$D,MATCH(K171&amp;L171,'_courses_lookup'!$E:$E,0)),"")</f>
        <v/>
      </c>
      <c r="AG171">
        <f>IF(AND(AE171&lt;&gt;"",AF171&lt;&gt;""),ROUNDUP((AF171-AE171)/7,0),"")</f>
        <v/>
      </c>
      <c r="AI171">
        <f>IFERROR(IF(AG171*AH171=0,"",AG171*AH171),"")</f>
        <v/>
      </c>
      <c r="AL171">
        <f>IF(AND(AJ171&lt;&gt;"",AK171&lt;&gt;""),ROUNDUP((AK171-AJ171)/7,0),"")</f>
        <v/>
      </c>
      <c r="AN171">
        <f>IFERROR(IF(AL171*AM171=0,"",AL171*AM171),"")</f>
        <v/>
      </c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L171">
        <f>IFERROR(INDEX('_names_lookup'!$C:$C,MATCH(BK171,'_names_lookup'!$A:$A,0)),"")</f>
        <v/>
      </c>
      <c r="BM171">
        <f>IFERROR(INDEX('_names_lookup'!$B:$B,MATCH(BK171,'_names_lookup'!$A:$A,0)),"")</f>
        <v/>
      </c>
      <c r="BS171">
        <f>IFERROR(IF(BR171*AA171=0,"",BR171*AA171),"")</f>
        <v/>
      </c>
    </row>
    <row r="172">
      <c r="O172">
        <f>IFERROR(INDEX('_courses_lookup'!$C:$C,MATCH(K172&amp;L172,'_courses_lookup'!$E:$E,0)),"")</f>
        <v/>
      </c>
      <c r="P172">
        <f>IFERROR(INDEX('_courses_lookup'!$D:$D,MATCH(K172&amp;L172,'_courses_lookup'!$E:$E,0)),"")</f>
        <v/>
      </c>
      <c r="AG172">
        <f>IF(AND(AE172&lt;&gt;"",AF172&lt;&gt;""),ROUNDUP((AF172-AE172)/7,0),"")</f>
        <v/>
      </c>
      <c r="AI172">
        <f>IFERROR(IF(AG172*AH172=0,"",AG172*AH172),"")</f>
        <v/>
      </c>
      <c r="AL172">
        <f>IF(AND(AJ172&lt;&gt;"",AK172&lt;&gt;""),ROUNDUP((AK172-AJ172)/7,0),"")</f>
        <v/>
      </c>
      <c r="AN172">
        <f>IFERROR(IF(AL172*AM172=0,"",AL172*AM172),"")</f>
        <v/>
      </c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L172">
        <f>IFERROR(INDEX('_names_lookup'!$C:$C,MATCH(BK172,'_names_lookup'!$A:$A,0)),"")</f>
        <v/>
      </c>
      <c r="BM172">
        <f>IFERROR(INDEX('_names_lookup'!$B:$B,MATCH(BK172,'_names_lookup'!$A:$A,0)),"")</f>
        <v/>
      </c>
      <c r="BS172">
        <f>IFERROR(IF(BR172*AA172=0,"",BR172*AA172),"")</f>
        <v/>
      </c>
    </row>
    <row r="173">
      <c r="O173">
        <f>IFERROR(INDEX('_courses_lookup'!$C:$C,MATCH(K173&amp;L173,'_courses_lookup'!$E:$E,0)),"")</f>
        <v/>
      </c>
      <c r="P173">
        <f>IFERROR(INDEX('_courses_lookup'!$D:$D,MATCH(K173&amp;L173,'_courses_lookup'!$E:$E,0)),"")</f>
        <v/>
      </c>
      <c r="AG173">
        <f>IF(AND(AE173&lt;&gt;"",AF173&lt;&gt;""),ROUNDUP((AF173-AE173)/7,0),"")</f>
        <v/>
      </c>
      <c r="AI173">
        <f>IFERROR(IF(AG173*AH173=0,"",AG173*AH173),"")</f>
        <v/>
      </c>
      <c r="AL173">
        <f>IF(AND(AJ173&lt;&gt;"",AK173&lt;&gt;""),ROUNDUP((AK173-AJ173)/7,0),"")</f>
        <v/>
      </c>
      <c r="AN173">
        <f>IFERROR(IF(AL173*AM173=0,"",AL173*AM173),"")</f>
        <v/>
      </c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L173">
        <f>IFERROR(INDEX('_names_lookup'!$C:$C,MATCH(BK173,'_names_lookup'!$A:$A,0)),"")</f>
        <v/>
      </c>
      <c r="BM173">
        <f>IFERROR(INDEX('_names_lookup'!$B:$B,MATCH(BK173,'_names_lookup'!$A:$A,0)),"")</f>
        <v/>
      </c>
      <c r="BS173">
        <f>IFERROR(IF(BR173*AA173=0,"",BR173*AA173),"")</f>
        <v/>
      </c>
    </row>
    <row r="174">
      <c r="O174">
        <f>IFERROR(INDEX('_courses_lookup'!$C:$C,MATCH(K174&amp;L174,'_courses_lookup'!$E:$E,0)),"")</f>
        <v/>
      </c>
      <c r="P174">
        <f>IFERROR(INDEX('_courses_lookup'!$D:$D,MATCH(K174&amp;L174,'_courses_lookup'!$E:$E,0)),"")</f>
        <v/>
      </c>
      <c r="AG174">
        <f>IF(AND(AE174&lt;&gt;"",AF174&lt;&gt;""),ROUNDUP((AF174-AE174)/7,0),"")</f>
        <v/>
      </c>
      <c r="AI174">
        <f>IFERROR(IF(AG174*AH174=0,"",AG174*AH174),"")</f>
        <v/>
      </c>
      <c r="AL174">
        <f>IF(AND(AJ174&lt;&gt;"",AK174&lt;&gt;""),ROUNDUP((AK174-AJ174)/7,0),"")</f>
        <v/>
      </c>
      <c r="AN174">
        <f>IFERROR(IF(AL174*AM174=0,"",AL174*AM174),"")</f>
        <v/>
      </c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L174">
        <f>IFERROR(INDEX('_names_lookup'!$C:$C,MATCH(BK174,'_names_lookup'!$A:$A,0)),"")</f>
        <v/>
      </c>
      <c r="BM174">
        <f>IFERROR(INDEX('_names_lookup'!$B:$B,MATCH(BK174,'_names_lookup'!$A:$A,0)),"")</f>
        <v/>
      </c>
      <c r="BS174">
        <f>IFERROR(IF(BR174*AA174=0,"",BR174*AA174),"")</f>
        <v/>
      </c>
    </row>
    <row r="175">
      <c r="O175">
        <f>IFERROR(INDEX('_courses_lookup'!$C:$C,MATCH(K175&amp;L175,'_courses_lookup'!$E:$E,0)),"")</f>
        <v/>
      </c>
      <c r="P175">
        <f>IFERROR(INDEX('_courses_lookup'!$D:$D,MATCH(K175&amp;L175,'_courses_lookup'!$E:$E,0)),"")</f>
        <v/>
      </c>
      <c r="AG175">
        <f>IF(AND(AE175&lt;&gt;"",AF175&lt;&gt;""),ROUNDUP((AF175-AE175)/7,0),"")</f>
        <v/>
      </c>
      <c r="AI175">
        <f>IFERROR(IF(AG175*AH175=0,"",AG175*AH175),"")</f>
        <v/>
      </c>
      <c r="AL175">
        <f>IF(AND(AJ175&lt;&gt;"",AK175&lt;&gt;""),ROUNDUP((AK175-AJ175)/7,0),"")</f>
        <v/>
      </c>
      <c r="AN175">
        <f>IFERROR(IF(AL175*AM175=0,"",AL175*AM175),"")</f>
        <v/>
      </c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L175">
        <f>IFERROR(INDEX('_names_lookup'!$C:$C,MATCH(BK175,'_names_lookup'!$A:$A,0)),"")</f>
        <v/>
      </c>
      <c r="BM175">
        <f>IFERROR(INDEX('_names_lookup'!$B:$B,MATCH(BK175,'_names_lookup'!$A:$A,0)),"")</f>
        <v/>
      </c>
      <c r="BS175">
        <f>IFERROR(IF(BR175*AA175=0,"",BR175*AA175),"")</f>
        <v/>
      </c>
    </row>
    <row r="176">
      <c r="O176">
        <f>IFERROR(INDEX('_courses_lookup'!$C:$C,MATCH(K176&amp;L176,'_courses_lookup'!$E:$E,0)),"")</f>
        <v/>
      </c>
      <c r="P176">
        <f>IFERROR(INDEX('_courses_lookup'!$D:$D,MATCH(K176&amp;L176,'_courses_lookup'!$E:$E,0)),"")</f>
        <v/>
      </c>
      <c r="AG176">
        <f>IF(AND(AE176&lt;&gt;"",AF176&lt;&gt;""),ROUNDUP((AF176-AE176)/7,0),"")</f>
        <v/>
      </c>
      <c r="AI176">
        <f>IFERROR(IF(AG176*AH176=0,"",AG176*AH176),"")</f>
        <v/>
      </c>
      <c r="AL176">
        <f>IF(AND(AJ176&lt;&gt;"",AK176&lt;&gt;""),ROUNDUP((AK176-AJ176)/7,0),"")</f>
        <v/>
      </c>
      <c r="AN176">
        <f>IFERROR(IF(AL176*AM176=0,"",AL176*AM176),"")</f>
        <v/>
      </c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L176">
        <f>IFERROR(INDEX('_names_lookup'!$C:$C,MATCH(BK176,'_names_lookup'!$A:$A,0)),"")</f>
        <v/>
      </c>
      <c r="BM176">
        <f>IFERROR(INDEX('_names_lookup'!$B:$B,MATCH(BK176,'_names_lookup'!$A:$A,0)),"")</f>
        <v/>
      </c>
      <c r="BS176">
        <f>IFERROR(IF(BR176*AA176=0,"",BR176*AA176),"")</f>
        <v/>
      </c>
    </row>
    <row r="177">
      <c r="O177">
        <f>IFERROR(INDEX('_courses_lookup'!$C:$C,MATCH(K177&amp;L177,'_courses_lookup'!$E:$E,0)),"")</f>
        <v/>
      </c>
      <c r="P177">
        <f>IFERROR(INDEX('_courses_lookup'!$D:$D,MATCH(K177&amp;L177,'_courses_lookup'!$E:$E,0)),"")</f>
        <v/>
      </c>
      <c r="AG177">
        <f>IF(AND(AE177&lt;&gt;"",AF177&lt;&gt;""),ROUNDUP((AF177-AE177)/7,0),"")</f>
        <v/>
      </c>
      <c r="AI177">
        <f>IFERROR(IF(AG177*AH177=0,"",AG177*AH177),"")</f>
        <v/>
      </c>
      <c r="AL177">
        <f>IF(AND(AJ177&lt;&gt;"",AK177&lt;&gt;""),ROUNDUP((AK177-AJ177)/7,0),"")</f>
        <v/>
      </c>
      <c r="AN177">
        <f>IFERROR(IF(AL177*AM177=0,"",AL177*AM177),"")</f>
        <v/>
      </c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L177">
        <f>IFERROR(INDEX('_names_lookup'!$C:$C,MATCH(BK177,'_names_lookup'!$A:$A,0)),"")</f>
        <v/>
      </c>
      <c r="BM177">
        <f>IFERROR(INDEX('_names_lookup'!$B:$B,MATCH(BK177,'_names_lookup'!$A:$A,0)),"")</f>
        <v/>
      </c>
      <c r="BS177">
        <f>IFERROR(IF(BR177*AA177=0,"",BR177*AA177),"")</f>
        <v/>
      </c>
    </row>
    <row r="178">
      <c r="O178">
        <f>IFERROR(INDEX('_courses_lookup'!$C:$C,MATCH(K178&amp;L178,'_courses_lookup'!$E:$E,0)),"")</f>
        <v/>
      </c>
      <c r="P178">
        <f>IFERROR(INDEX('_courses_lookup'!$D:$D,MATCH(K178&amp;L178,'_courses_lookup'!$E:$E,0)),"")</f>
        <v/>
      </c>
      <c r="AG178">
        <f>IF(AND(AE178&lt;&gt;"",AF178&lt;&gt;""),ROUNDUP((AF178-AE178)/7,0),"")</f>
        <v/>
      </c>
      <c r="AI178">
        <f>IFERROR(IF(AG178*AH178=0,"",AG178*AH178),"")</f>
        <v/>
      </c>
      <c r="AL178">
        <f>IF(AND(AJ178&lt;&gt;"",AK178&lt;&gt;""),ROUNDUP((AK178-AJ178)/7,0),"")</f>
        <v/>
      </c>
      <c r="AN178">
        <f>IFERROR(IF(AL178*AM178=0,"",AL178*AM178),"")</f>
        <v/>
      </c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L178">
        <f>IFERROR(INDEX('_names_lookup'!$C:$C,MATCH(BK178,'_names_lookup'!$A:$A,0)),"")</f>
        <v/>
      </c>
      <c r="BM178">
        <f>IFERROR(INDEX('_names_lookup'!$B:$B,MATCH(BK178,'_names_lookup'!$A:$A,0)),"")</f>
        <v/>
      </c>
      <c r="BS178">
        <f>IFERROR(IF(BR178*AA178=0,"",BR178*AA178),"")</f>
        <v/>
      </c>
    </row>
    <row r="179">
      <c r="O179">
        <f>IFERROR(INDEX('_courses_lookup'!$C:$C,MATCH(K179&amp;L179,'_courses_lookup'!$E:$E,0)),"")</f>
        <v/>
      </c>
      <c r="P179">
        <f>IFERROR(INDEX('_courses_lookup'!$D:$D,MATCH(K179&amp;L179,'_courses_lookup'!$E:$E,0)),"")</f>
        <v/>
      </c>
      <c r="AG179">
        <f>IF(AND(AE179&lt;&gt;"",AF179&lt;&gt;""),ROUNDUP((AF179-AE179)/7,0),"")</f>
        <v/>
      </c>
      <c r="AI179">
        <f>IFERROR(IF(AG179*AH179=0,"",AG179*AH179),"")</f>
        <v/>
      </c>
      <c r="AL179">
        <f>IF(AND(AJ179&lt;&gt;"",AK179&lt;&gt;""),ROUNDUP((AK179-AJ179)/7,0),"")</f>
        <v/>
      </c>
      <c r="AN179">
        <f>IFERROR(IF(AL179*AM179=0,"",AL179*AM179),"")</f>
        <v/>
      </c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L179">
        <f>IFERROR(INDEX('_names_lookup'!$C:$C,MATCH(BK179,'_names_lookup'!$A:$A,0)),"")</f>
        <v/>
      </c>
      <c r="BM179">
        <f>IFERROR(INDEX('_names_lookup'!$B:$B,MATCH(BK179,'_names_lookup'!$A:$A,0)),"")</f>
        <v/>
      </c>
      <c r="BS179">
        <f>IFERROR(IF(BR179*AA179=0,"",BR179*AA179),"")</f>
        <v/>
      </c>
    </row>
    <row r="180">
      <c r="O180">
        <f>IFERROR(INDEX('_courses_lookup'!$C:$C,MATCH(K180&amp;L180,'_courses_lookup'!$E:$E,0)),"")</f>
        <v/>
      </c>
      <c r="P180">
        <f>IFERROR(INDEX('_courses_lookup'!$D:$D,MATCH(K180&amp;L180,'_courses_lookup'!$E:$E,0)),"")</f>
        <v/>
      </c>
      <c r="AG180">
        <f>IF(AND(AE180&lt;&gt;"",AF180&lt;&gt;""),ROUNDUP((AF180-AE180)/7,0),"")</f>
        <v/>
      </c>
      <c r="AI180">
        <f>IFERROR(IF(AG180*AH180=0,"",AG180*AH180),"")</f>
        <v/>
      </c>
      <c r="AL180">
        <f>IF(AND(AJ180&lt;&gt;"",AK180&lt;&gt;""),ROUNDUP((AK180-AJ180)/7,0),"")</f>
        <v/>
      </c>
      <c r="AN180">
        <f>IFERROR(IF(AL180*AM180=0,"",AL180*AM180),"")</f>
        <v/>
      </c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L180">
        <f>IFERROR(INDEX('_names_lookup'!$C:$C,MATCH(BK180,'_names_lookup'!$A:$A,0)),"")</f>
        <v/>
      </c>
      <c r="BM180">
        <f>IFERROR(INDEX('_names_lookup'!$B:$B,MATCH(BK180,'_names_lookup'!$A:$A,0)),"")</f>
        <v/>
      </c>
      <c r="BS180">
        <f>IFERROR(IF(BR180*AA180=0,"",BR180*AA180),"")</f>
        <v/>
      </c>
    </row>
    <row r="181">
      <c r="O181">
        <f>IFERROR(INDEX('_courses_lookup'!$C:$C,MATCH(K181&amp;L181,'_courses_lookup'!$E:$E,0)),"")</f>
        <v/>
      </c>
      <c r="P181">
        <f>IFERROR(INDEX('_courses_lookup'!$D:$D,MATCH(K181&amp;L181,'_courses_lookup'!$E:$E,0)),"")</f>
        <v/>
      </c>
      <c r="AG181">
        <f>IF(AND(AE181&lt;&gt;"",AF181&lt;&gt;""),ROUNDUP((AF181-AE181)/7,0),"")</f>
        <v/>
      </c>
      <c r="AI181">
        <f>IFERROR(IF(AG181*AH181=0,"",AG181*AH181),"")</f>
        <v/>
      </c>
      <c r="AL181">
        <f>IF(AND(AJ181&lt;&gt;"",AK181&lt;&gt;""),ROUNDUP((AK181-AJ181)/7,0),"")</f>
        <v/>
      </c>
      <c r="AN181">
        <f>IFERROR(IF(AL181*AM181=0,"",AL181*AM181),"")</f>
        <v/>
      </c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L181">
        <f>IFERROR(INDEX('_names_lookup'!$C:$C,MATCH(BK181,'_names_lookup'!$A:$A,0)),"")</f>
        <v/>
      </c>
      <c r="BM181">
        <f>IFERROR(INDEX('_names_lookup'!$B:$B,MATCH(BK181,'_names_lookup'!$A:$A,0)),"")</f>
        <v/>
      </c>
      <c r="BS181">
        <f>IFERROR(IF(BR181*AA181=0,"",BR181*AA181),"")</f>
        <v/>
      </c>
    </row>
    <row r="182">
      <c r="O182">
        <f>IFERROR(INDEX('_courses_lookup'!$C:$C,MATCH(K182&amp;L182,'_courses_lookup'!$E:$E,0)),"")</f>
        <v/>
      </c>
      <c r="P182">
        <f>IFERROR(INDEX('_courses_lookup'!$D:$D,MATCH(K182&amp;L182,'_courses_lookup'!$E:$E,0)),"")</f>
        <v/>
      </c>
      <c r="AG182">
        <f>IF(AND(AE182&lt;&gt;"",AF182&lt;&gt;""),ROUNDUP((AF182-AE182)/7,0),"")</f>
        <v/>
      </c>
      <c r="AI182">
        <f>IFERROR(IF(AG182*AH182=0,"",AG182*AH182),"")</f>
        <v/>
      </c>
      <c r="AL182">
        <f>IF(AND(AJ182&lt;&gt;"",AK182&lt;&gt;""),ROUNDUP((AK182-AJ182)/7,0),"")</f>
        <v/>
      </c>
      <c r="AN182">
        <f>IFERROR(IF(AL182*AM182=0,"",AL182*AM182),"")</f>
        <v/>
      </c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L182">
        <f>IFERROR(INDEX('_names_lookup'!$C:$C,MATCH(BK182,'_names_lookup'!$A:$A,0)),"")</f>
        <v/>
      </c>
      <c r="BM182">
        <f>IFERROR(INDEX('_names_lookup'!$B:$B,MATCH(BK182,'_names_lookup'!$A:$A,0)),"")</f>
        <v/>
      </c>
      <c r="BS182">
        <f>IFERROR(IF(BR182*AA182=0,"",BR182*AA182),"")</f>
        <v/>
      </c>
    </row>
    <row r="183">
      <c r="O183">
        <f>IFERROR(INDEX('_courses_lookup'!$C:$C,MATCH(K183&amp;L183,'_courses_lookup'!$E:$E,0)),"")</f>
        <v/>
      </c>
      <c r="P183">
        <f>IFERROR(INDEX('_courses_lookup'!$D:$D,MATCH(K183&amp;L183,'_courses_lookup'!$E:$E,0)),"")</f>
        <v/>
      </c>
      <c r="AG183">
        <f>IF(AND(AE183&lt;&gt;"",AF183&lt;&gt;""),ROUNDUP((AF183-AE183)/7,0),"")</f>
        <v/>
      </c>
      <c r="AI183">
        <f>IFERROR(IF(AG183*AH183=0,"",AG183*AH183),"")</f>
        <v/>
      </c>
      <c r="AL183">
        <f>IF(AND(AJ183&lt;&gt;"",AK183&lt;&gt;""),ROUNDUP((AK183-AJ183)/7,0),"")</f>
        <v/>
      </c>
      <c r="AN183">
        <f>IFERROR(IF(AL183*AM183=0,"",AL183*AM183),"")</f>
        <v/>
      </c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L183">
        <f>IFERROR(INDEX('_names_lookup'!$C:$C,MATCH(BK183,'_names_lookup'!$A:$A,0)),"")</f>
        <v/>
      </c>
      <c r="BM183">
        <f>IFERROR(INDEX('_names_lookup'!$B:$B,MATCH(BK183,'_names_lookup'!$A:$A,0)),"")</f>
        <v/>
      </c>
      <c r="BS183">
        <f>IFERROR(IF(BR183*AA183=0,"",BR183*AA183),"")</f>
        <v/>
      </c>
    </row>
    <row r="184">
      <c r="O184">
        <f>IFERROR(INDEX('_courses_lookup'!$C:$C,MATCH(K184&amp;L184,'_courses_lookup'!$E:$E,0)),"")</f>
        <v/>
      </c>
      <c r="P184">
        <f>IFERROR(INDEX('_courses_lookup'!$D:$D,MATCH(K184&amp;L184,'_courses_lookup'!$E:$E,0)),"")</f>
        <v/>
      </c>
      <c r="AG184">
        <f>IF(AND(AE184&lt;&gt;"",AF184&lt;&gt;""),ROUNDUP((AF184-AE184)/7,0),"")</f>
        <v/>
      </c>
      <c r="AI184">
        <f>IFERROR(IF(AG184*AH184=0,"",AG184*AH184),"")</f>
        <v/>
      </c>
      <c r="AL184">
        <f>IF(AND(AJ184&lt;&gt;"",AK184&lt;&gt;""),ROUNDUP((AK184-AJ184)/7,0),"")</f>
        <v/>
      </c>
      <c r="AN184">
        <f>IFERROR(IF(AL184*AM184=0,"",AL184*AM184),"")</f>
        <v/>
      </c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L184">
        <f>IFERROR(INDEX('_names_lookup'!$C:$C,MATCH(BK184,'_names_lookup'!$A:$A,0)),"")</f>
        <v/>
      </c>
      <c r="BM184">
        <f>IFERROR(INDEX('_names_lookup'!$B:$B,MATCH(BK184,'_names_lookup'!$A:$A,0)),"")</f>
        <v/>
      </c>
      <c r="BS184">
        <f>IFERROR(IF(BR184*AA184=0,"",BR184*AA184),"")</f>
        <v/>
      </c>
    </row>
    <row r="185">
      <c r="O185">
        <f>IFERROR(INDEX('_courses_lookup'!$C:$C,MATCH(K185&amp;L185,'_courses_lookup'!$E:$E,0)),"")</f>
        <v/>
      </c>
      <c r="P185">
        <f>IFERROR(INDEX('_courses_lookup'!$D:$D,MATCH(K185&amp;L185,'_courses_lookup'!$E:$E,0)),"")</f>
        <v/>
      </c>
      <c r="AG185">
        <f>IF(AND(AE185&lt;&gt;"",AF185&lt;&gt;""),ROUNDUP((AF185-AE185)/7,0),"")</f>
        <v/>
      </c>
      <c r="AI185">
        <f>IFERROR(IF(AG185*AH185=0,"",AG185*AH185),"")</f>
        <v/>
      </c>
      <c r="AL185">
        <f>IF(AND(AJ185&lt;&gt;"",AK185&lt;&gt;""),ROUNDUP((AK185-AJ185)/7,0),"")</f>
        <v/>
      </c>
      <c r="AN185">
        <f>IFERROR(IF(AL185*AM185=0,"",AL185*AM185),"")</f>
        <v/>
      </c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L185">
        <f>IFERROR(INDEX('_names_lookup'!$C:$C,MATCH(BK185,'_names_lookup'!$A:$A,0)),"")</f>
        <v/>
      </c>
      <c r="BM185">
        <f>IFERROR(INDEX('_names_lookup'!$B:$B,MATCH(BK185,'_names_lookup'!$A:$A,0)),"")</f>
        <v/>
      </c>
      <c r="BS185">
        <f>IFERROR(IF(BR185*AA185=0,"",BR185*AA185),"")</f>
        <v/>
      </c>
    </row>
    <row r="186">
      <c r="O186">
        <f>IFERROR(INDEX('_courses_lookup'!$C:$C,MATCH(K186&amp;L186,'_courses_lookup'!$E:$E,0)),"")</f>
        <v/>
      </c>
      <c r="P186">
        <f>IFERROR(INDEX('_courses_lookup'!$D:$D,MATCH(K186&amp;L186,'_courses_lookup'!$E:$E,0)),"")</f>
        <v/>
      </c>
      <c r="AG186">
        <f>IF(AND(AE186&lt;&gt;"",AF186&lt;&gt;""),ROUNDUP((AF186-AE186)/7,0),"")</f>
        <v/>
      </c>
      <c r="AI186">
        <f>IFERROR(IF(AG186*AH186=0,"",AG186*AH186),"")</f>
        <v/>
      </c>
      <c r="AL186">
        <f>IF(AND(AJ186&lt;&gt;"",AK186&lt;&gt;""),ROUNDUP((AK186-AJ186)/7,0),"")</f>
        <v/>
      </c>
      <c r="AN186">
        <f>IFERROR(IF(AL186*AM186=0,"",AL186*AM186),"")</f>
        <v/>
      </c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L186">
        <f>IFERROR(INDEX('_names_lookup'!$C:$C,MATCH(BK186,'_names_lookup'!$A:$A,0)),"")</f>
        <v/>
      </c>
      <c r="BM186">
        <f>IFERROR(INDEX('_names_lookup'!$B:$B,MATCH(BK186,'_names_lookup'!$A:$A,0)),"")</f>
        <v/>
      </c>
      <c r="BS186">
        <f>IFERROR(IF(BR186*AA186=0,"",BR186*AA186),"")</f>
        <v/>
      </c>
    </row>
    <row r="187">
      <c r="O187">
        <f>IFERROR(INDEX('_courses_lookup'!$C:$C,MATCH(K187&amp;L187,'_courses_lookup'!$E:$E,0)),"")</f>
        <v/>
      </c>
      <c r="P187">
        <f>IFERROR(INDEX('_courses_lookup'!$D:$D,MATCH(K187&amp;L187,'_courses_lookup'!$E:$E,0)),"")</f>
        <v/>
      </c>
      <c r="AG187">
        <f>IF(AND(AE187&lt;&gt;"",AF187&lt;&gt;""),ROUNDUP((AF187-AE187)/7,0),"")</f>
        <v/>
      </c>
      <c r="AI187">
        <f>IFERROR(IF(AG187*AH187=0,"",AG187*AH187),"")</f>
        <v/>
      </c>
      <c r="AL187">
        <f>IF(AND(AJ187&lt;&gt;"",AK187&lt;&gt;""),ROUNDUP((AK187-AJ187)/7,0),"")</f>
        <v/>
      </c>
      <c r="AN187">
        <f>IFERROR(IF(AL187*AM187=0,"",AL187*AM187),"")</f>
        <v/>
      </c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L187">
        <f>IFERROR(INDEX('_names_lookup'!$C:$C,MATCH(BK187,'_names_lookup'!$A:$A,0)),"")</f>
        <v/>
      </c>
      <c r="BM187">
        <f>IFERROR(INDEX('_names_lookup'!$B:$B,MATCH(BK187,'_names_lookup'!$A:$A,0)),"")</f>
        <v/>
      </c>
      <c r="BS187">
        <f>IFERROR(IF(BR187*AA187=0,"",BR187*AA187),"")</f>
        <v/>
      </c>
    </row>
    <row r="188">
      <c r="O188">
        <f>IFERROR(INDEX('_courses_lookup'!$C:$C,MATCH(K188&amp;L188,'_courses_lookup'!$E:$E,0)),"")</f>
        <v/>
      </c>
      <c r="P188">
        <f>IFERROR(INDEX('_courses_lookup'!$D:$D,MATCH(K188&amp;L188,'_courses_lookup'!$E:$E,0)),"")</f>
        <v/>
      </c>
      <c r="AG188">
        <f>IF(AND(AE188&lt;&gt;"",AF188&lt;&gt;""),ROUNDUP((AF188-AE188)/7,0),"")</f>
        <v/>
      </c>
      <c r="AI188">
        <f>IFERROR(IF(AG188*AH188=0,"",AG188*AH188),"")</f>
        <v/>
      </c>
      <c r="AL188">
        <f>IF(AND(AJ188&lt;&gt;"",AK188&lt;&gt;""),ROUNDUP((AK188-AJ188)/7,0),"")</f>
        <v/>
      </c>
      <c r="AN188">
        <f>IFERROR(IF(AL188*AM188=0,"",AL188*AM188),"")</f>
        <v/>
      </c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L188">
        <f>IFERROR(INDEX('_names_lookup'!$C:$C,MATCH(BK188,'_names_lookup'!$A:$A,0)),"")</f>
        <v/>
      </c>
      <c r="BM188">
        <f>IFERROR(INDEX('_names_lookup'!$B:$B,MATCH(BK188,'_names_lookup'!$A:$A,0)),"")</f>
        <v/>
      </c>
      <c r="BS188">
        <f>IFERROR(IF(BR188*AA188=0,"",BR188*AA188),"")</f>
        <v/>
      </c>
    </row>
    <row r="189">
      <c r="O189">
        <f>IFERROR(INDEX('_courses_lookup'!$C:$C,MATCH(K189&amp;L189,'_courses_lookup'!$E:$E,0)),"")</f>
        <v/>
      </c>
      <c r="P189">
        <f>IFERROR(INDEX('_courses_lookup'!$D:$D,MATCH(K189&amp;L189,'_courses_lookup'!$E:$E,0)),"")</f>
        <v/>
      </c>
      <c r="AG189">
        <f>IF(AND(AE189&lt;&gt;"",AF189&lt;&gt;""),ROUNDUP((AF189-AE189)/7,0),"")</f>
        <v/>
      </c>
      <c r="AI189">
        <f>IFERROR(IF(AG189*AH189=0,"",AG189*AH189),"")</f>
        <v/>
      </c>
      <c r="AL189">
        <f>IF(AND(AJ189&lt;&gt;"",AK189&lt;&gt;""),ROUNDUP((AK189-AJ189)/7,0),"")</f>
        <v/>
      </c>
      <c r="AN189">
        <f>IFERROR(IF(AL189*AM189=0,"",AL189*AM189),"")</f>
        <v/>
      </c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L189">
        <f>IFERROR(INDEX('_names_lookup'!$C:$C,MATCH(BK189,'_names_lookup'!$A:$A,0)),"")</f>
        <v/>
      </c>
      <c r="BM189">
        <f>IFERROR(INDEX('_names_lookup'!$B:$B,MATCH(BK189,'_names_lookup'!$A:$A,0)),"")</f>
        <v/>
      </c>
      <c r="BS189">
        <f>IFERROR(IF(BR189*AA189=0,"",BR189*AA189),"")</f>
        <v/>
      </c>
    </row>
    <row r="190">
      <c r="O190">
        <f>IFERROR(INDEX('_courses_lookup'!$C:$C,MATCH(K190&amp;L190,'_courses_lookup'!$E:$E,0)),"")</f>
        <v/>
      </c>
      <c r="P190">
        <f>IFERROR(INDEX('_courses_lookup'!$D:$D,MATCH(K190&amp;L190,'_courses_lookup'!$E:$E,0)),"")</f>
        <v/>
      </c>
      <c r="AG190">
        <f>IF(AND(AE190&lt;&gt;"",AF190&lt;&gt;""),ROUNDUP((AF190-AE190)/7,0),"")</f>
        <v/>
      </c>
      <c r="AI190">
        <f>IFERROR(IF(AG190*AH190=0,"",AG190*AH190),"")</f>
        <v/>
      </c>
      <c r="AL190">
        <f>IF(AND(AJ190&lt;&gt;"",AK190&lt;&gt;""),ROUNDUP((AK190-AJ190)/7,0),"")</f>
        <v/>
      </c>
      <c r="AN190">
        <f>IFERROR(IF(AL190*AM190=0,"",AL190*AM190),"")</f>
        <v/>
      </c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L190">
        <f>IFERROR(INDEX('_names_lookup'!$C:$C,MATCH(BK190,'_names_lookup'!$A:$A,0)),"")</f>
        <v/>
      </c>
      <c r="BM190">
        <f>IFERROR(INDEX('_names_lookup'!$B:$B,MATCH(BK190,'_names_lookup'!$A:$A,0)),"")</f>
        <v/>
      </c>
      <c r="BS190">
        <f>IFERROR(IF(BR190*AA190=0,"",BR190*AA190),"")</f>
        <v/>
      </c>
    </row>
    <row r="191">
      <c r="O191">
        <f>IFERROR(INDEX('_courses_lookup'!$C:$C,MATCH(K191&amp;L191,'_courses_lookup'!$E:$E,0)),"")</f>
        <v/>
      </c>
      <c r="P191">
        <f>IFERROR(INDEX('_courses_lookup'!$D:$D,MATCH(K191&amp;L191,'_courses_lookup'!$E:$E,0)),"")</f>
        <v/>
      </c>
      <c r="AG191">
        <f>IF(AND(AE191&lt;&gt;"",AF191&lt;&gt;""),ROUNDUP((AF191-AE191)/7,0),"")</f>
        <v/>
      </c>
      <c r="AI191">
        <f>IFERROR(IF(AG191*AH191=0,"",AG191*AH191),"")</f>
        <v/>
      </c>
      <c r="AL191">
        <f>IF(AND(AJ191&lt;&gt;"",AK191&lt;&gt;""),ROUNDUP((AK191-AJ191)/7,0),"")</f>
        <v/>
      </c>
      <c r="AN191">
        <f>IFERROR(IF(AL191*AM191=0,"",AL191*AM191),"")</f>
        <v/>
      </c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L191">
        <f>IFERROR(INDEX('_names_lookup'!$C:$C,MATCH(BK191,'_names_lookup'!$A:$A,0)),"")</f>
        <v/>
      </c>
      <c r="BM191">
        <f>IFERROR(INDEX('_names_lookup'!$B:$B,MATCH(BK191,'_names_lookup'!$A:$A,0)),"")</f>
        <v/>
      </c>
      <c r="BS191">
        <f>IFERROR(IF(BR191*AA191=0,"",BR191*AA191),"")</f>
        <v/>
      </c>
    </row>
    <row r="192">
      <c r="O192">
        <f>IFERROR(INDEX('_courses_lookup'!$C:$C,MATCH(K192&amp;L192,'_courses_lookup'!$E:$E,0)),"")</f>
        <v/>
      </c>
      <c r="P192">
        <f>IFERROR(INDEX('_courses_lookup'!$D:$D,MATCH(K192&amp;L192,'_courses_lookup'!$E:$E,0)),"")</f>
        <v/>
      </c>
      <c r="AG192">
        <f>IF(AND(AE192&lt;&gt;"",AF192&lt;&gt;""),ROUNDUP((AF192-AE192)/7,0),"")</f>
        <v/>
      </c>
      <c r="AI192">
        <f>IFERROR(IF(AG192*AH192=0,"",AG192*AH192),"")</f>
        <v/>
      </c>
      <c r="AL192">
        <f>IF(AND(AJ192&lt;&gt;"",AK192&lt;&gt;""),ROUNDUP((AK192-AJ192)/7,0),"")</f>
        <v/>
      </c>
      <c r="AN192">
        <f>IFERROR(IF(AL192*AM192=0,"",AL192*AM192),"")</f>
        <v/>
      </c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L192">
        <f>IFERROR(INDEX('_names_lookup'!$C:$C,MATCH(BK192,'_names_lookup'!$A:$A,0)),"")</f>
        <v/>
      </c>
      <c r="BM192">
        <f>IFERROR(INDEX('_names_lookup'!$B:$B,MATCH(BK192,'_names_lookup'!$A:$A,0)),"")</f>
        <v/>
      </c>
      <c r="BS192">
        <f>IFERROR(IF(BR192*AA192=0,"",BR192*AA192),"")</f>
        <v/>
      </c>
    </row>
    <row r="193">
      <c r="O193">
        <f>IFERROR(INDEX('_courses_lookup'!$C:$C,MATCH(K193&amp;L193,'_courses_lookup'!$E:$E,0)),"")</f>
        <v/>
      </c>
      <c r="P193">
        <f>IFERROR(INDEX('_courses_lookup'!$D:$D,MATCH(K193&amp;L193,'_courses_lookup'!$E:$E,0)),"")</f>
        <v/>
      </c>
      <c r="AG193">
        <f>IF(AND(AE193&lt;&gt;"",AF193&lt;&gt;""),ROUNDUP((AF193-AE193)/7,0),"")</f>
        <v/>
      </c>
      <c r="AI193">
        <f>IFERROR(IF(AG193*AH193=0,"",AG193*AH193),"")</f>
        <v/>
      </c>
      <c r="AL193">
        <f>IF(AND(AJ193&lt;&gt;"",AK193&lt;&gt;""),ROUNDUP((AK193-AJ193)/7,0),"")</f>
        <v/>
      </c>
      <c r="AN193">
        <f>IFERROR(IF(AL193*AM193=0,"",AL193*AM193),"")</f>
        <v/>
      </c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L193">
        <f>IFERROR(INDEX('_names_lookup'!$C:$C,MATCH(BK193,'_names_lookup'!$A:$A,0)),"")</f>
        <v/>
      </c>
      <c r="BM193">
        <f>IFERROR(INDEX('_names_lookup'!$B:$B,MATCH(BK193,'_names_lookup'!$A:$A,0)),"")</f>
        <v/>
      </c>
      <c r="BS193">
        <f>IFERROR(IF(BR193*AA193=0,"",BR193*AA193),"")</f>
        <v/>
      </c>
    </row>
    <row r="194">
      <c r="O194">
        <f>IFERROR(INDEX('_courses_lookup'!$C:$C,MATCH(K194&amp;L194,'_courses_lookup'!$E:$E,0)),"")</f>
        <v/>
      </c>
      <c r="P194">
        <f>IFERROR(INDEX('_courses_lookup'!$D:$D,MATCH(K194&amp;L194,'_courses_lookup'!$E:$E,0)),"")</f>
        <v/>
      </c>
      <c r="AG194">
        <f>IF(AND(AE194&lt;&gt;"",AF194&lt;&gt;""),ROUNDUP((AF194-AE194)/7,0),"")</f>
        <v/>
      </c>
      <c r="AI194">
        <f>IFERROR(IF(AG194*AH194=0,"",AG194*AH194),"")</f>
        <v/>
      </c>
      <c r="AL194">
        <f>IF(AND(AJ194&lt;&gt;"",AK194&lt;&gt;""),ROUNDUP((AK194-AJ194)/7,0),"")</f>
        <v/>
      </c>
      <c r="AN194">
        <f>IFERROR(IF(AL194*AM194=0,"",AL194*AM194),"")</f>
        <v/>
      </c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L194">
        <f>IFERROR(INDEX('_names_lookup'!$C:$C,MATCH(BK194,'_names_lookup'!$A:$A,0)),"")</f>
        <v/>
      </c>
      <c r="BM194">
        <f>IFERROR(INDEX('_names_lookup'!$B:$B,MATCH(BK194,'_names_lookup'!$A:$A,0)),"")</f>
        <v/>
      </c>
      <c r="BS194">
        <f>IFERROR(IF(BR194*AA194=0,"",BR194*AA194),"")</f>
        <v/>
      </c>
    </row>
    <row r="195">
      <c r="O195">
        <f>IFERROR(INDEX('_courses_lookup'!$C:$C,MATCH(K195&amp;L195,'_courses_lookup'!$E:$E,0)),"")</f>
        <v/>
      </c>
      <c r="P195">
        <f>IFERROR(INDEX('_courses_lookup'!$D:$D,MATCH(K195&amp;L195,'_courses_lookup'!$E:$E,0)),"")</f>
        <v/>
      </c>
      <c r="AG195">
        <f>IF(AND(AE195&lt;&gt;"",AF195&lt;&gt;""),ROUNDUP((AF195-AE195)/7,0),"")</f>
        <v/>
      </c>
      <c r="AI195">
        <f>IFERROR(IF(AG195*AH195=0,"",AG195*AH195),"")</f>
        <v/>
      </c>
      <c r="AL195">
        <f>IF(AND(AJ195&lt;&gt;"",AK195&lt;&gt;""),ROUNDUP((AK195-AJ195)/7,0),"")</f>
        <v/>
      </c>
      <c r="AN195">
        <f>IFERROR(IF(AL195*AM195=0,"",AL195*AM195),"")</f>
        <v/>
      </c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L195">
        <f>IFERROR(INDEX('_names_lookup'!$C:$C,MATCH(BK195,'_names_lookup'!$A:$A,0)),"")</f>
        <v/>
      </c>
      <c r="BM195">
        <f>IFERROR(INDEX('_names_lookup'!$B:$B,MATCH(BK195,'_names_lookup'!$A:$A,0)),"")</f>
        <v/>
      </c>
      <c r="BS195">
        <f>IFERROR(IF(BR195*AA195=0,"",BR195*AA195),"")</f>
        <v/>
      </c>
    </row>
    <row r="196">
      <c r="O196">
        <f>IFERROR(INDEX('_courses_lookup'!$C:$C,MATCH(K196&amp;L196,'_courses_lookup'!$E:$E,0)),"")</f>
        <v/>
      </c>
      <c r="P196">
        <f>IFERROR(INDEX('_courses_lookup'!$D:$D,MATCH(K196&amp;L196,'_courses_lookup'!$E:$E,0)),"")</f>
        <v/>
      </c>
      <c r="AG196">
        <f>IF(AND(AE196&lt;&gt;"",AF196&lt;&gt;""),ROUNDUP((AF196-AE196)/7,0),"")</f>
        <v/>
      </c>
      <c r="AI196">
        <f>IFERROR(IF(AG196*AH196=0,"",AG196*AH196),"")</f>
        <v/>
      </c>
      <c r="AL196">
        <f>IF(AND(AJ196&lt;&gt;"",AK196&lt;&gt;""),ROUNDUP((AK196-AJ196)/7,0),"")</f>
        <v/>
      </c>
      <c r="AN196">
        <f>IFERROR(IF(AL196*AM196=0,"",AL196*AM196),"")</f>
        <v/>
      </c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L196">
        <f>IFERROR(INDEX('_names_lookup'!$C:$C,MATCH(BK196,'_names_lookup'!$A:$A,0)),"")</f>
        <v/>
      </c>
      <c r="BM196">
        <f>IFERROR(INDEX('_names_lookup'!$B:$B,MATCH(BK196,'_names_lookup'!$A:$A,0)),"")</f>
        <v/>
      </c>
      <c r="BS196">
        <f>IFERROR(IF(BR196*AA196=0,"",BR196*AA196),"")</f>
        <v/>
      </c>
    </row>
    <row r="197">
      <c r="O197">
        <f>IFERROR(INDEX('_courses_lookup'!$C:$C,MATCH(K197&amp;L197,'_courses_lookup'!$E:$E,0)),"")</f>
        <v/>
      </c>
      <c r="P197">
        <f>IFERROR(INDEX('_courses_lookup'!$D:$D,MATCH(K197&amp;L197,'_courses_lookup'!$E:$E,0)),"")</f>
        <v/>
      </c>
      <c r="AG197">
        <f>IF(AND(AE197&lt;&gt;"",AF197&lt;&gt;""),ROUNDUP((AF197-AE197)/7,0),"")</f>
        <v/>
      </c>
      <c r="AI197">
        <f>IFERROR(IF(AG197*AH197=0,"",AG197*AH197),"")</f>
        <v/>
      </c>
      <c r="AL197">
        <f>IF(AND(AJ197&lt;&gt;"",AK197&lt;&gt;""),ROUNDUP((AK197-AJ197)/7,0),"")</f>
        <v/>
      </c>
      <c r="AN197">
        <f>IFERROR(IF(AL197*AM197=0,"",AL197*AM197),"")</f>
        <v/>
      </c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L197">
        <f>IFERROR(INDEX('_names_lookup'!$C:$C,MATCH(BK197,'_names_lookup'!$A:$A,0)),"")</f>
        <v/>
      </c>
      <c r="BM197">
        <f>IFERROR(INDEX('_names_lookup'!$B:$B,MATCH(BK197,'_names_lookup'!$A:$A,0)),"")</f>
        <v/>
      </c>
      <c r="BS197">
        <f>IFERROR(IF(BR197*AA197=0,"",BR197*AA197),"")</f>
        <v/>
      </c>
    </row>
    <row r="198">
      <c r="O198">
        <f>IFERROR(INDEX('_courses_lookup'!$C:$C,MATCH(K198&amp;L198,'_courses_lookup'!$E:$E,0)),"")</f>
        <v/>
      </c>
      <c r="P198">
        <f>IFERROR(INDEX('_courses_lookup'!$D:$D,MATCH(K198&amp;L198,'_courses_lookup'!$E:$E,0)),"")</f>
        <v/>
      </c>
      <c r="AG198">
        <f>IF(AND(AE198&lt;&gt;"",AF198&lt;&gt;""),ROUNDUP((AF198-AE198)/7,0),"")</f>
        <v/>
      </c>
      <c r="AI198">
        <f>IFERROR(IF(AG198*AH198=0,"",AG198*AH198),"")</f>
        <v/>
      </c>
      <c r="AL198">
        <f>IF(AND(AJ198&lt;&gt;"",AK198&lt;&gt;""),ROUNDUP((AK198-AJ198)/7,0),"")</f>
        <v/>
      </c>
      <c r="AN198">
        <f>IFERROR(IF(AL198*AM198=0,"",AL198*AM198),"")</f>
        <v/>
      </c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L198">
        <f>IFERROR(INDEX('_names_lookup'!$C:$C,MATCH(BK198,'_names_lookup'!$A:$A,0)),"")</f>
        <v/>
      </c>
      <c r="BM198">
        <f>IFERROR(INDEX('_names_lookup'!$B:$B,MATCH(BK198,'_names_lookup'!$A:$A,0)),"")</f>
        <v/>
      </c>
      <c r="BS198">
        <f>IFERROR(IF(BR198*AA198=0,"",BR198*AA198),"")</f>
        <v/>
      </c>
    </row>
    <row r="199">
      <c r="O199">
        <f>IFERROR(INDEX('_courses_lookup'!$C:$C,MATCH(K199&amp;L199,'_courses_lookup'!$E:$E,0)),"")</f>
        <v/>
      </c>
      <c r="P199">
        <f>IFERROR(INDEX('_courses_lookup'!$D:$D,MATCH(K199&amp;L199,'_courses_lookup'!$E:$E,0)),"")</f>
        <v/>
      </c>
      <c r="AG199">
        <f>IF(AND(AE199&lt;&gt;"",AF199&lt;&gt;""),ROUNDUP((AF199-AE199)/7,0),"")</f>
        <v/>
      </c>
      <c r="AI199">
        <f>IFERROR(IF(AG199*AH199=0,"",AG199*AH199),"")</f>
        <v/>
      </c>
      <c r="AL199">
        <f>IF(AND(AJ199&lt;&gt;"",AK199&lt;&gt;""),ROUNDUP((AK199-AJ199)/7,0),"")</f>
        <v/>
      </c>
      <c r="AN199">
        <f>IFERROR(IF(AL199*AM199=0,"",AL199*AM199),"")</f>
        <v/>
      </c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L199">
        <f>IFERROR(INDEX('_names_lookup'!$C:$C,MATCH(BK199,'_names_lookup'!$A:$A,0)),"")</f>
        <v/>
      </c>
      <c r="BM199">
        <f>IFERROR(INDEX('_names_lookup'!$B:$B,MATCH(BK199,'_names_lookup'!$A:$A,0)),"")</f>
        <v/>
      </c>
      <c r="BS199">
        <f>IFERROR(IF(BR199*AA199=0,"",BR199*AA199),"")</f>
        <v/>
      </c>
    </row>
    <row r="200">
      <c r="O200">
        <f>IFERROR(INDEX('_courses_lookup'!$C:$C,MATCH(K200&amp;L200,'_courses_lookup'!$E:$E,0)),"")</f>
        <v/>
      </c>
      <c r="P200">
        <f>IFERROR(INDEX('_courses_lookup'!$D:$D,MATCH(K200&amp;L200,'_courses_lookup'!$E:$E,0)),"")</f>
        <v/>
      </c>
      <c r="AG200">
        <f>IF(AND(AE200&lt;&gt;"",AF200&lt;&gt;""),ROUNDUP((AF200-AE200)/7,0),"")</f>
        <v/>
      </c>
      <c r="AI200">
        <f>IFERROR(IF(AG200*AH200=0,"",AG200*AH200),"")</f>
        <v/>
      </c>
      <c r="AL200">
        <f>IF(AND(AJ200&lt;&gt;"",AK200&lt;&gt;""),ROUNDUP((AK200-AJ200)/7,0),"")</f>
        <v/>
      </c>
      <c r="AN200">
        <f>IFERROR(IF(AL200*AM200=0,"",AL200*AM200),"")</f>
        <v/>
      </c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L200">
        <f>IFERROR(INDEX('_names_lookup'!$C:$C,MATCH(BK200,'_names_lookup'!$A:$A,0)),"")</f>
        <v/>
      </c>
      <c r="BM200">
        <f>IFERROR(INDEX('_names_lookup'!$B:$B,MATCH(BK200,'_names_lookup'!$A:$A,0)),"")</f>
        <v/>
      </c>
      <c r="BS200">
        <f>IFERROR(IF(BR200*AA200=0,"",BR200*AA200),"")</f>
        <v/>
      </c>
    </row>
    <row r="201">
      <c r="O201">
        <f>IFERROR(INDEX('_courses_lookup'!$C:$C,MATCH(K201&amp;L201,'_courses_lookup'!$E:$E,0)),"")</f>
        <v/>
      </c>
      <c r="P201">
        <f>IFERROR(INDEX('_courses_lookup'!$D:$D,MATCH(K201&amp;L201,'_courses_lookup'!$E:$E,0)),"")</f>
        <v/>
      </c>
      <c r="AG201">
        <f>IF(AND(AE201&lt;&gt;"",AF201&lt;&gt;""),ROUNDUP((AF201-AE201)/7,0),"")</f>
        <v/>
      </c>
      <c r="AI201">
        <f>IFERROR(IF(AG201*AH201=0,"",AG201*AH201),"")</f>
        <v/>
      </c>
      <c r="AL201">
        <f>IF(AND(AJ201&lt;&gt;"",AK201&lt;&gt;""),ROUNDUP((AK201-AJ201)/7,0),"")</f>
        <v/>
      </c>
      <c r="AN201">
        <f>IFERROR(IF(AL201*AM201=0,"",AL201*AM201),"")</f>
        <v/>
      </c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L201">
        <f>IFERROR(INDEX('_names_lookup'!$C:$C,MATCH(BK201,'_names_lookup'!$A:$A,0)),"")</f>
        <v/>
      </c>
      <c r="BM201">
        <f>IFERROR(INDEX('_names_lookup'!$B:$B,MATCH(BK201,'_names_lookup'!$A:$A,0)),"")</f>
        <v/>
      </c>
      <c r="BS201">
        <f>IFERROR(IF(BR201*AA201=0,"",BR201*AA201),"")</f>
        <v/>
      </c>
    </row>
    <row r="202">
      <c r="O202">
        <f>IFERROR(INDEX('_courses_lookup'!$C:$C,MATCH(K202&amp;L202,'_courses_lookup'!$E:$E,0)),"")</f>
        <v/>
      </c>
      <c r="P202">
        <f>IFERROR(INDEX('_courses_lookup'!$D:$D,MATCH(K202&amp;L202,'_courses_lookup'!$E:$E,0)),"")</f>
        <v/>
      </c>
      <c r="AG202">
        <f>IF(AND(AE202&lt;&gt;"",AF202&lt;&gt;""),ROUNDUP((AF202-AE202)/7,0),"")</f>
        <v/>
      </c>
      <c r="AI202">
        <f>IFERROR(IF(AG202*AH202=0,"",AG202*AH202),"")</f>
        <v/>
      </c>
      <c r="AL202">
        <f>IF(AND(AJ202&lt;&gt;"",AK202&lt;&gt;""),ROUNDUP((AK202-AJ202)/7,0),"")</f>
        <v/>
      </c>
      <c r="AN202">
        <f>IFERROR(IF(AL202*AM202=0,"",AL202*AM202),"")</f>
        <v/>
      </c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L202">
        <f>IFERROR(INDEX('_names_lookup'!$C:$C,MATCH(BK202,'_names_lookup'!$A:$A,0)),"")</f>
        <v/>
      </c>
      <c r="BM202">
        <f>IFERROR(INDEX('_names_lookup'!$B:$B,MATCH(BK202,'_names_lookup'!$A:$A,0)),"")</f>
        <v/>
      </c>
      <c r="BS202">
        <f>IFERROR(IF(BR202*AA202=0,"",BR202*AA202),"")</f>
        <v/>
      </c>
    </row>
    <row r="203">
      <c r="O203">
        <f>IFERROR(INDEX('_courses_lookup'!$C:$C,MATCH(K203&amp;L203,'_courses_lookup'!$E:$E,0)),"")</f>
        <v/>
      </c>
      <c r="P203">
        <f>IFERROR(INDEX('_courses_lookup'!$D:$D,MATCH(K203&amp;L203,'_courses_lookup'!$E:$E,0)),"")</f>
        <v/>
      </c>
      <c r="AG203">
        <f>IF(AND(AE203&lt;&gt;"",AF203&lt;&gt;""),ROUNDUP((AF203-AE203)/7,0),"")</f>
        <v/>
      </c>
      <c r="AI203">
        <f>IFERROR(IF(AG203*AH203=0,"",AG203*AH203),"")</f>
        <v/>
      </c>
      <c r="AL203">
        <f>IF(AND(AJ203&lt;&gt;"",AK203&lt;&gt;""),ROUNDUP((AK203-AJ203)/7,0),"")</f>
        <v/>
      </c>
      <c r="AN203">
        <f>IFERROR(IF(AL203*AM203=0,"",AL203*AM203),"")</f>
        <v/>
      </c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L203">
        <f>IFERROR(INDEX('_names_lookup'!$C:$C,MATCH(BK203,'_names_lookup'!$A:$A,0)),"")</f>
        <v/>
      </c>
      <c r="BM203">
        <f>IFERROR(INDEX('_names_lookup'!$B:$B,MATCH(BK203,'_names_lookup'!$A:$A,0)),"")</f>
        <v/>
      </c>
      <c r="BS203">
        <f>IFERROR(IF(BR203*AA203=0,"",BR203*AA203),"")</f>
        <v/>
      </c>
    </row>
    <row r="204">
      <c r="O204">
        <f>IFERROR(INDEX('_courses_lookup'!$C:$C,MATCH(K204&amp;L204,'_courses_lookup'!$E:$E,0)),"")</f>
        <v/>
      </c>
      <c r="P204">
        <f>IFERROR(INDEX('_courses_lookup'!$D:$D,MATCH(K204&amp;L204,'_courses_lookup'!$E:$E,0)),"")</f>
        <v/>
      </c>
      <c r="AG204">
        <f>IF(AND(AE204&lt;&gt;"",AF204&lt;&gt;""),ROUNDUP((AF204-AE204)/7,0),"")</f>
        <v/>
      </c>
      <c r="AI204">
        <f>IFERROR(IF(AG204*AH204=0,"",AG204*AH204),"")</f>
        <v/>
      </c>
      <c r="AL204">
        <f>IF(AND(AJ204&lt;&gt;"",AK204&lt;&gt;""),ROUNDUP((AK204-AJ204)/7,0),"")</f>
        <v/>
      </c>
      <c r="AN204">
        <f>IFERROR(IF(AL204*AM204=0,"",AL204*AM204),"")</f>
        <v/>
      </c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L204">
        <f>IFERROR(INDEX('_names_lookup'!$C:$C,MATCH(BK204,'_names_lookup'!$A:$A,0)),"")</f>
        <v/>
      </c>
      <c r="BM204">
        <f>IFERROR(INDEX('_names_lookup'!$B:$B,MATCH(BK204,'_names_lookup'!$A:$A,0)),"")</f>
        <v/>
      </c>
      <c r="BS204">
        <f>IFERROR(IF(BR204*AA204=0,"",BR204*AA204),"")</f>
        <v/>
      </c>
    </row>
    <row r="205">
      <c r="O205">
        <f>IFERROR(INDEX('_courses_lookup'!$C:$C,MATCH(K205&amp;L205,'_courses_lookup'!$E:$E,0)),"")</f>
        <v/>
      </c>
      <c r="P205">
        <f>IFERROR(INDEX('_courses_lookup'!$D:$D,MATCH(K205&amp;L205,'_courses_lookup'!$E:$E,0)),"")</f>
        <v/>
      </c>
      <c r="AG205">
        <f>IF(AND(AE205&lt;&gt;"",AF205&lt;&gt;""),ROUNDUP((AF205-AE205)/7,0),"")</f>
        <v/>
      </c>
      <c r="AI205">
        <f>IFERROR(IF(AG205*AH205=0,"",AG205*AH205),"")</f>
        <v/>
      </c>
      <c r="AL205">
        <f>IF(AND(AJ205&lt;&gt;"",AK205&lt;&gt;""),ROUNDUP((AK205-AJ205)/7,0),"")</f>
        <v/>
      </c>
      <c r="AN205">
        <f>IFERROR(IF(AL205*AM205=0,"",AL205*AM205),"")</f>
        <v/>
      </c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L205">
        <f>IFERROR(INDEX('_names_lookup'!$C:$C,MATCH(BK205,'_names_lookup'!$A:$A,0)),"")</f>
        <v/>
      </c>
      <c r="BM205">
        <f>IFERROR(INDEX('_names_lookup'!$B:$B,MATCH(BK205,'_names_lookup'!$A:$A,0)),"")</f>
        <v/>
      </c>
      <c r="BS205">
        <f>IFERROR(IF(BR205*AA205=0,"",BR205*AA205),"")</f>
        <v/>
      </c>
    </row>
    <row r="206">
      <c r="O206">
        <f>IFERROR(INDEX('_courses_lookup'!$C:$C,MATCH(K206&amp;L206,'_courses_lookup'!$E:$E,0)),"")</f>
        <v/>
      </c>
      <c r="P206">
        <f>IFERROR(INDEX('_courses_lookup'!$D:$D,MATCH(K206&amp;L206,'_courses_lookup'!$E:$E,0)),"")</f>
        <v/>
      </c>
      <c r="AG206">
        <f>IF(AND(AE206&lt;&gt;"",AF206&lt;&gt;""),ROUNDUP((AF206-AE206)/7,0),"")</f>
        <v/>
      </c>
      <c r="AI206">
        <f>IFERROR(IF(AG206*AH206=0,"",AG206*AH206),"")</f>
        <v/>
      </c>
      <c r="AL206">
        <f>IF(AND(AJ206&lt;&gt;"",AK206&lt;&gt;""),ROUNDUP((AK206-AJ206)/7,0),"")</f>
        <v/>
      </c>
      <c r="AN206">
        <f>IFERROR(IF(AL206*AM206=0,"",AL206*AM206),"")</f>
        <v/>
      </c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L206">
        <f>IFERROR(INDEX('_names_lookup'!$C:$C,MATCH(BK206,'_names_lookup'!$A:$A,0)),"")</f>
        <v/>
      </c>
      <c r="BM206">
        <f>IFERROR(INDEX('_names_lookup'!$B:$B,MATCH(BK206,'_names_lookup'!$A:$A,0)),"")</f>
        <v/>
      </c>
      <c r="BS206">
        <f>IFERROR(IF(BR206*AA206=0,"",BR206*AA206),"")</f>
        <v/>
      </c>
    </row>
    <row r="207">
      <c r="O207">
        <f>IFERROR(INDEX('_courses_lookup'!$C:$C,MATCH(K207&amp;L207,'_courses_lookup'!$E:$E,0)),"")</f>
        <v/>
      </c>
      <c r="P207">
        <f>IFERROR(INDEX('_courses_lookup'!$D:$D,MATCH(K207&amp;L207,'_courses_lookup'!$E:$E,0)),"")</f>
        <v/>
      </c>
      <c r="AG207">
        <f>IF(AND(AE207&lt;&gt;"",AF207&lt;&gt;""),ROUNDUP((AF207-AE207)/7,0),"")</f>
        <v/>
      </c>
      <c r="AI207">
        <f>IFERROR(IF(AG207*AH207=0,"",AG207*AH207),"")</f>
        <v/>
      </c>
      <c r="AL207">
        <f>IF(AND(AJ207&lt;&gt;"",AK207&lt;&gt;""),ROUNDUP((AK207-AJ207)/7,0),"")</f>
        <v/>
      </c>
      <c r="AN207">
        <f>IFERROR(IF(AL207*AM207=0,"",AL207*AM207),"")</f>
        <v/>
      </c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L207">
        <f>IFERROR(INDEX('_names_lookup'!$C:$C,MATCH(BK207,'_names_lookup'!$A:$A,0)),"")</f>
        <v/>
      </c>
      <c r="BM207">
        <f>IFERROR(INDEX('_names_lookup'!$B:$B,MATCH(BK207,'_names_lookup'!$A:$A,0)),"")</f>
        <v/>
      </c>
      <c r="BS207">
        <f>IFERROR(IF(BR207*AA207=0,"",BR207*AA207),"")</f>
        <v/>
      </c>
    </row>
    <row r="208">
      <c r="O208">
        <f>IFERROR(INDEX('_courses_lookup'!$C:$C,MATCH(K208&amp;L208,'_courses_lookup'!$E:$E,0)),"")</f>
        <v/>
      </c>
      <c r="P208">
        <f>IFERROR(INDEX('_courses_lookup'!$D:$D,MATCH(K208&amp;L208,'_courses_lookup'!$E:$E,0)),"")</f>
        <v/>
      </c>
      <c r="AG208">
        <f>IF(AND(AE208&lt;&gt;"",AF208&lt;&gt;""),ROUNDUP((AF208-AE208)/7,0),"")</f>
        <v/>
      </c>
      <c r="AI208">
        <f>IFERROR(IF(AG208*AH208=0,"",AG208*AH208),"")</f>
        <v/>
      </c>
      <c r="AL208">
        <f>IF(AND(AJ208&lt;&gt;"",AK208&lt;&gt;""),ROUNDUP((AK208-AJ208)/7,0),"")</f>
        <v/>
      </c>
      <c r="AN208">
        <f>IFERROR(IF(AL208*AM208=0,"",AL208*AM208),"")</f>
        <v/>
      </c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L208">
        <f>IFERROR(INDEX('_names_lookup'!$C:$C,MATCH(BK208,'_names_lookup'!$A:$A,0)),"")</f>
        <v/>
      </c>
      <c r="BM208">
        <f>IFERROR(INDEX('_names_lookup'!$B:$B,MATCH(BK208,'_names_lookup'!$A:$A,0)),"")</f>
        <v/>
      </c>
      <c r="BS208">
        <f>IFERROR(IF(BR208*AA208=0,"",BR208*AA208),"")</f>
        <v/>
      </c>
    </row>
    <row r="209">
      <c r="O209">
        <f>IFERROR(INDEX('_courses_lookup'!$C:$C,MATCH(K209&amp;L209,'_courses_lookup'!$E:$E,0)),"")</f>
        <v/>
      </c>
      <c r="P209">
        <f>IFERROR(INDEX('_courses_lookup'!$D:$D,MATCH(K209&amp;L209,'_courses_lookup'!$E:$E,0)),"")</f>
        <v/>
      </c>
      <c r="AG209">
        <f>IF(AND(AE209&lt;&gt;"",AF209&lt;&gt;""),ROUNDUP((AF209-AE209)/7,0),"")</f>
        <v/>
      </c>
      <c r="AI209">
        <f>IFERROR(IF(AG209*AH209=0,"",AG209*AH209),"")</f>
        <v/>
      </c>
      <c r="AL209">
        <f>IF(AND(AJ209&lt;&gt;"",AK209&lt;&gt;""),ROUNDUP((AK209-AJ209)/7,0),"")</f>
        <v/>
      </c>
      <c r="AN209">
        <f>IFERROR(IF(AL209*AM209=0,"",AL209*AM209),"")</f>
        <v/>
      </c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L209">
        <f>IFERROR(INDEX('_names_lookup'!$C:$C,MATCH(BK209,'_names_lookup'!$A:$A,0)),"")</f>
        <v/>
      </c>
      <c r="BM209">
        <f>IFERROR(INDEX('_names_lookup'!$B:$B,MATCH(BK209,'_names_lookup'!$A:$A,0)),"")</f>
        <v/>
      </c>
      <c r="BS209">
        <f>IFERROR(IF(BR209*AA209=0,"",BR209*AA209),"")</f>
        <v/>
      </c>
    </row>
    <row r="210">
      <c r="O210">
        <f>IFERROR(INDEX('_courses_lookup'!$C:$C,MATCH(K210&amp;L210,'_courses_lookup'!$E:$E,0)),"")</f>
        <v/>
      </c>
      <c r="P210">
        <f>IFERROR(INDEX('_courses_lookup'!$D:$D,MATCH(K210&amp;L210,'_courses_lookup'!$E:$E,0)),"")</f>
        <v/>
      </c>
      <c r="AG210">
        <f>IF(AND(AE210&lt;&gt;"",AF210&lt;&gt;""),ROUNDUP((AF210-AE210)/7,0),"")</f>
        <v/>
      </c>
      <c r="AI210">
        <f>IFERROR(IF(AG210*AH210=0,"",AG210*AH210),"")</f>
        <v/>
      </c>
      <c r="AL210">
        <f>IF(AND(AJ210&lt;&gt;"",AK210&lt;&gt;""),ROUNDUP((AK210-AJ210)/7,0),"")</f>
        <v/>
      </c>
      <c r="AN210">
        <f>IFERROR(IF(AL210*AM210=0,"",AL210*AM210),"")</f>
        <v/>
      </c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L210">
        <f>IFERROR(INDEX('_names_lookup'!$C:$C,MATCH(BK210,'_names_lookup'!$A:$A,0)),"")</f>
        <v/>
      </c>
      <c r="BM210">
        <f>IFERROR(INDEX('_names_lookup'!$B:$B,MATCH(BK210,'_names_lookup'!$A:$A,0)),"")</f>
        <v/>
      </c>
      <c r="BS210">
        <f>IFERROR(IF(BR210*AA210=0,"",BR210*AA210),"")</f>
        <v/>
      </c>
    </row>
    <row r="211">
      <c r="O211">
        <f>IFERROR(INDEX('_courses_lookup'!$C:$C,MATCH(K211&amp;L211,'_courses_lookup'!$E:$E,0)),"")</f>
        <v/>
      </c>
      <c r="P211">
        <f>IFERROR(INDEX('_courses_lookup'!$D:$D,MATCH(K211&amp;L211,'_courses_lookup'!$E:$E,0)),"")</f>
        <v/>
      </c>
      <c r="AG211">
        <f>IF(AND(AE211&lt;&gt;"",AF211&lt;&gt;""),ROUNDUP((AF211-AE211)/7,0),"")</f>
        <v/>
      </c>
      <c r="AI211">
        <f>IFERROR(IF(AG211*AH211=0,"",AG211*AH211),"")</f>
        <v/>
      </c>
      <c r="AL211">
        <f>IF(AND(AJ211&lt;&gt;"",AK211&lt;&gt;""),ROUNDUP((AK211-AJ211)/7,0),"")</f>
        <v/>
      </c>
      <c r="AN211">
        <f>IFERROR(IF(AL211*AM211=0,"",AL211*AM211),"")</f>
        <v/>
      </c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L211">
        <f>IFERROR(INDEX('_names_lookup'!$C:$C,MATCH(BK211,'_names_lookup'!$A:$A,0)),"")</f>
        <v/>
      </c>
      <c r="BM211">
        <f>IFERROR(INDEX('_names_lookup'!$B:$B,MATCH(BK211,'_names_lookup'!$A:$A,0)),"")</f>
        <v/>
      </c>
      <c r="BS211">
        <f>IFERROR(IF(BR211*AA211=0,"",BR211*AA211),"")</f>
        <v/>
      </c>
    </row>
    <row r="212">
      <c r="O212">
        <f>IFERROR(INDEX('_courses_lookup'!$C:$C,MATCH(K212&amp;L212,'_courses_lookup'!$E:$E,0)),"")</f>
        <v/>
      </c>
      <c r="P212">
        <f>IFERROR(INDEX('_courses_lookup'!$D:$D,MATCH(K212&amp;L212,'_courses_lookup'!$E:$E,0)),"")</f>
        <v/>
      </c>
      <c r="AG212">
        <f>IF(AND(AE212&lt;&gt;"",AF212&lt;&gt;""),ROUNDUP((AF212-AE212)/7,0),"")</f>
        <v/>
      </c>
      <c r="AI212">
        <f>IFERROR(IF(AG212*AH212=0,"",AG212*AH212),"")</f>
        <v/>
      </c>
      <c r="AL212">
        <f>IF(AND(AJ212&lt;&gt;"",AK212&lt;&gt;""),ROUNDUP((AK212-AJ212)/7,0),"")</f>
        <v/>
      </c>
      <c r="AN212">
        <f>IFERROR(IF(AL212*AM212=0,"",AL212*AM212),"")</f>
        <v/>
      </c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L212">
        <f>IFERROR(INDEX('_names_lookup'!$C:$C,MATCH(BK212,'_names_lookup'!$A:$A,0)),"")</f>
        <v/>
      </c>
      <c r="BM212">
        <f>IFERROR(INDEX('_names_lookup'!$B:$B,MATCH(BK212,'_names_lookup'!$A:$A,0)),"")</f>
        <v/>
      </c>
      <c r="BS212">
        <f>IFERROR(IF(BR212*AA212=0,"",BR212*AA212),"")</f>
        <v/>
      </c>
    </row>
    <row r="213">
      <c r="O213">
        <f>IFERROR(INDEX('_courses_lookup'!$C:$C,MATCH(K213&amp;L213,'_courses_lookup'!$E:$E,0)),"")</f>
        <v/>
      </c>
      <c r="P213">
        <f>IFERROR(INDEX('_courses_lookup'!$D:$D,MATCH(K213&amp;L213,'_courses_lookup'!$E:$E,0)),"")</f>
        <v/>
      </c>
      <c r="AG213">
        <f>IF(AND(AE213&lt;&gt;"",AF213&lt;&gt;""),ROUNDUP((AF213-AE213)/7,0),"")</f>
        <v/>
      </c>
      <c r="AI213">
        <f>IFERROR(IF(AG213*AH213=0,"",AG213*AH213),"")</f>
        <v/>
      </c>
      <c r="AL213">
        <f>IF(AND(AJ213&lt;&gt;"",AK213&lt;&gt;""),ROUNDUP((AK213-AJ213)/7,0),"")</f>
        <v/>
      </c>
      <c r="AN213">
        <f>IFERROR(IF(AL213*AM213=0,"",AL213*AM213),"")</f>
        <v/>
      </c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L213">
        <f>IFERROR(INDEX('_names_lookup'!$C:$C,MATCH(BK213,'_names_lookup'!$A:$A,0)),"")</f>
        <v/>
      </c>
      <c r="BM213">
        <f>IFERROR(INDEX('_names_lookup'!$B:$B,MATCH(BK213,'_names_lookup'!$A:$A,0)),"")</f>
        <v/>
      </c>
      <c r="BS213">
        <f>IFERROR(IF(BR213*AA213=0,"",BR213*AA213),"")</f>
        <v/>
      </c>
    </row>
    <row r="214">
      <c r="O214">
        <f>IFERROR(INDEX('_courses_lookup'!$C:$C,MATCH(K214&amp;L214,'_courses_lookup'!$E:$E,0)),"")</f>
        <v/>
      </c>
      <c r="P214">
        <f>IFERROR(INDEX('_courses_lookup'!$D:$D,MATCH(K214&amp;L214,'_courses_lookup'!$E:$E,0)),"")</f>
        <v/>
      </c>
      <c r="AG214">
        <f>IF(AND(AE214&lt;&gt;"",AF214&lt;&gt;""),ROUNDUP((AF214-AE214)/7,0),"")</f>
        <v/>
      </c>
      <c r="AI214">
        <f>IFERROR(IF(AG214*AH214=0,"",AG214*AH214),"")</f>
        <v/>
      </c>
      <c r="AL214">
        <f>IF(AND(AJ214&lt;&gt;"",AK214&lt;&gt;""),ROUNDUP((AK214-AJ214)/7,0),"")</f>
        <v/>
      </c>
      <c r="AN214">
        <f>IFERROR(IF(AL214*AM214=0,"",AL214*AM214),"")</f>
        <v/>
      </c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L214">
        <f>IFERROR(INDEX('_names_lookup'!$C:$C,MATCH(BK214,'_names_lookup'!$A:$A,0)),"")</f>
        <v/>
      </c>
      <c r="BM214">
        <f>IFERROR(INDEX('_names_lookup'!$B:$B,MATCH(BK214,'_names_lookup'!$A:$A,0)),"")</f>
        <v/>
      </c>
      <c r="BS214">
        <f>IFERROR(IF(BR214*AA214=0,"",BR214*AA214),"")</f>
        <v/>
      </c>
    </row>
    <row r="215">
      <c r="O215">
        <f>IFERROR(INDEX('_courses_lookup'!$C:$C,MATCH(K215&amp;L215,'_courses_lookup'!$E:$E,0)),"")</f>
        <v/>
      </c>
      <c r="P215">
        <f>IFERROR(INDEX('_courses_lookup'!$D:$D,MATCH(K215&amp;L215,'_courses_lookup'!$E:$E,0)),"")</f>
        <v/>
      </c>
      <c r="AG215">
        <f>IF(AND(AE215&lt;&gt;"",AF215&lt;&gt;""),ROUNDUP((AF215-AE215)/7,0),"")</f>
        <v/>
      </c>
      <c r="AI215">
        <f>IFERROR(IF(AG215*AH215=0,"",AG215*AH215),"")</f>
        <v/>
      </c>
      <c r="AL215">
        <f>IF(AND(AJ215&lt;&gt;"",AK215&lt;&gt;""),ROUNDUP((AK215-AJ215)/7,0),"")</f>
        <v/>
      </c>
      <c r="AN215">
        <f>IFERROR(IF(AL215*AM215=0,"",AL215*AM215),"")</f>
        <v/>
      </c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L215">
        <f>IFERROR(INDEX('_names_lookup'!$C:$C,MATCH(BK215,'_names_lookup'!$A:$A,0)),"")</f>
        <v/>
      </c>
      <c r="BM215">
        <f>IFERROR(INDEX('_names_lookup'!$B:$B,MATCH(BK215,'_names_lookup'!$A:$A,0)),"")</f>
        <v/>
      </c>
      <c r="BS215">
        <f>IFERROR(IF(BR215*AA215=0,"",BR215*AA215),"")</f>
        <v/>
      </c>
    </row>
    <row r="216">
      <c r="O216">
        <f>IFERROR(INDEX('_courses_lookup'!$C:$C,MATCH(K216&amp;L216,'_courses_lookup'!$E:$E,0)),"")</f>
        <v/>
      </c>
      <c r="P216">
        <f>IFERROR(INDEX('_courses_lookup'!$D:$D,MATCH(K216&amp;L216,'_courses_lookup'!$E:$E,0)),"")</f>
        <v/>
      </c>
      <c r="AG216">
        <f>IF(AND(AE216&lt;&gt;"",AF216&lt;&gt;""),ROUNDUP((AF216-AE216)/7,0),"")</f>
        <v/>
      </c>
      <c r="AI216">
        <f>IFERROR(IF(AG216*AH216=0,"",AG216*AH216),"")</f>
        <v/>
      </c>
      <c r="AL216">
        <f>IF(AND(AJ216&lt;&gt;"",AK216&lt;&gt;""),ROUNDUP((AK216-AJ216)/7,0),"")</f>
        <v/>
      </c>
      <c r="AN216">
        <f>IFERROR(IF(AL216*AM216=0,"",AL216*AM216),"")</f>
        <v/>
      </c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L216">
        <f>IFERROR(INDEX('_names_lookup'!$C:$C,MATCH(BK216,'_names_lookup'!$A:$A,0)),"")</f>
        <v/>
      </c>
      <c r="BM216">
        <f>IFERROR(INDEX('_names_lookup'!$B:$B,MATCH(BK216,'_names_lookup'!$A:$A,0)),"")</f>
        <v/>
      </c>
      <c r="BS216">
        <f>IFERROR(IF(BR216*AA216=0,"",BR216*AA216),"")</f>
        <v/>
      </c>
    </row>
    <row r="217">
      <c r="O217">
        <f>IFERROR(INDEX('_courses_lookup'!$C:$C,MATCH(K217&amp;L217,'_courses_lookup'!$E:$E,0)),"")</f>
        <v/>
      </c>
      <c r="P217">
        <f>IFERROR(INDEX('_courses_lookup'!$D:$D,MATCH(K217&amp;L217,'_courses_lookup'!$E:$E,0)),"")</f>
        <v/>
      </c>
      <c r="AG217">
        <f>IF(AND(AE217&lt;&gt;"",AF217&lt;&gt;""),ROUNDUP((AF217-AE217)/7,0),"")</f>
        <v/>
      </c>
      <c r="AI217">
        <f>IFERROR(IF(AG217*AH217=0,"",AG217*AH217),"")</f>
        <v/>
      </c>
      <c r="AL217">
        <f>IF(AND(AJ217&lt;&gt;"",AK217&lt;&gt;""),ROUNDUP((AK217-AJ217)/7,0),"")</f>
        <v/>
      </c>
      <c r="AN217">
        <f>IFERROR(IF(AL217*AM217=0,"",AL217*AM217),"")</f>
        <v/>
      </c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L217">
        <f>IFERROR(INDEX('_names_lookup'!$C:$C,MATCH(BK217,'_names_lookup'!$A:$A,0)),"")</f>
        <v/>
      </c>
      <c r="BM217">
        <f>IFERROR(INDEX('_names_lookup'!$B:$B,MATCH(BK217,'_names_lookup'!$A:$A,0)),"")</f>
        <v/>
      </c>
      <c r="BS217">
        <f>IFERROR(IF(BR217*AA217=0,"",BR217*AA217),"")</f>
        <v/>
      </c>
    </row>
    <row r="218">
      <c r="O218">
        <f>IFERROR(INDEX('_courses_lookup'!$C:$C,MATCH(K218&amp;L218,'_courses_lookup'!$E:$E,0)),"")</f>
        <v/>
      </c>
      <c r="P218">
        <f>IFERROR(INDEX('_courses_lookup'!$D:$D,MATCH(K218&amp;L218,'_courses_lookup'!$E:$E,0)),"")</f>
        <v/>
      </c>
      <c r="AG218">
        <f>IF(AND(AE218&lt;&gt;"",AF218&lt;&gt;""),ROUNDUP((AF218-AE218)/7,0),"")</f>
        <v/>
      </c>
      <c r="AI218">
        <f>IFERROR(IF(AG218*AH218=0,"",AG218*AH218),"")</f>
        <v/>
      </c>
      <c r="AL218">
        <f>IF(AND(AJ218&lt;&gt;"",AK218&lt;&gt;""),ROUNDUP((AK218-AJ218)/7,0),"")</f>
        <v/>
      </c>
      <c r="AN218">
        <f>IFERROR(IF(AL218*AM218=0,"",AL218*AM218),"")</f>
        <v/>
      </c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L218">
        <f>IFERROR(INDEX('_names_lookup'!$C:$C,MATCH(BK218,'_names_lookup'!$A:$A,0)),"")</f>
        <v/>
      </c>
      <c r="BM218">
        <f>IFERROR(INDEX('_names_lookup'!$B:$B,MATCH(BK218,'_names_lookup'!$A:$A,0)),"")</f>
        <v/>
      </c>
      <c r="BS218">
        <f>IFERROR(IF(BR218*AA218=0,"",BR218*AA218),"")</f>
        <v/>
      </c>
    </row>
    <row r="219">
      <c r="O219">
        <f>IFERROR(INDEX('_courses_lookup'!$C:$C,MATCH(K219&amp;L219,'_courses_lookup'!$E:$E,0)),"")</f>
        <v/>
      </c>
      <c r="P219">
        <f>IFERROR(INDEX('_courses_lookup'!$D:$D,MATCH(K219&amp;L219,'_courses_lookup'!$E:$E,0)),"")</f>
        <v/>
      </c>
      <c r="AG219">
        <f>IF(AND(AE219&lt;&gt;"",AF219&lt;&gt;""),ROUNDUP((AF219-AE219)/7,0),"")</f>
        <v/>
      </c>
      <c r="AI219">
        <f>IFERROR(IF(AG219*AH219=0,"",AG219*AH219),"")</f>
        <v/>
      </c>
      <c r="AL219">
        <f>IF(AND(AJ219&lt;&gt;"",AK219&lt;&gt;""),ROUNDUP((AK219-AJ219)/7,0),"")</f>
        <v/>
      </c>
      <c r="AN219">
        <f>IFERROR(IF(AL219*AM219=0,"",AL219*AM219),"")</f>
        <v/>
      </c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L219">
        <f>IFERROR(INDEX('_names_lookup'!$C:$C,MATCH(BK219,'_names_lookup'!$A:$A,0)),"")</f>
        <v/>
      </c>
      <c r="BM219">
        <f>IFERROR(INDEX('_names_lookup'!$B:$B,MATCH(BK219,'_names_lookup'!$A:$A,0)),"")</f>
        <v/>
      </c>
      <c r="BS219">
        <f>IFERROR(IF(BR219*AA219=0,"",BR219*AA219),"")</f>
        <v/>
      </c>
    </row>
    <row r="220">
      <c r="O220">
        <f>IFERROR(INDEX('_courses_lookup'!$C:$C,MATCH(K220&amp;L220,'_courses_lookup'!$E:$E,0)),"")</f>
        <v/>
      </c>
      <c r="P220">
        <f>IFERROR(INDEX('_courses_lookup'!$D:$D,MATCH(K220&amp;L220,'_courses_lookup'!$E:$E,0)),"")</f>
        <v/>
      </c>
      <c r="AG220">
        <f>IF(AND(AE220&lt;&gt;"",AF220&lt;&gt;""),ROUNDUP((AF220-AE220)/7,0),"")</f>
        <v/>
      </c>
      <c r="AI220">
        <f>IFERROR(IF(AG220*AH220=0,"",AG220*AH220),"")</f>
        <v/>
      </c>
      <c r="AL220">
        <f>IF(AND(AJ220&lt;&gt;"",AK220&lt;&gt;""),ROUNDUP((AK220-AJ220)/7,0),"")</f>
        <v/>
      </c>
      <c r="AN220">
        <f>IFERROR(IF(AL220*AM220=0,"",AL220*AM220),"")</f>
        <v/>
      </c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L220">
        <f>IFERROR(INDEX('_names_lookup'!$C:$C,MATCH(BK220,'_names_lookup'!$A:$A,0)),"")</f>
        <v/>
      </c>
      <c r="BM220">
        <f>IFERROR(INDEX('_names_lookup'!$B:$B,MATCH(BK220,'_names_lookup'!$A:$A,0)),"")</f>
        <v/>
      </c>
      <c r="BS220">
        <f>IFERROR(IF(BR220*AA220=0,"",BR220*AA220),"")</f>
        <v/>
      </c>
    </row>
    <row r="221">
      <c r="O221">
        <f>IFERROR(INDEX('_courses_lookup'!$C:$C,MATCH(K221&amp;L221,'_courses_lookup'!$E:$E,0)),"")</f>
        <v/>
      </c>
      <c r="P221">
        <f>IFERROR(INDEX('_courses_lookup'!$D:$D,MATCH(K221&amp;L221,'_courses_lookup'!$E:$E,0)),"")</f>
        <v/>
      </c>
      <c r="AG221">
        <f>IF(AND(AE221&lt;&gt;"",AF221&lt;&gt;""),ROUNDUP((AF221-AE221)/7,0),"")</f>
        <v/>
      </c>
      <c r="AI221">
        <f>IFERROR(IF(AG221*AH221=0,"",AG221*AH221),"")</f>
        <v/>
      </c>
      <c r="AL221">
        <f>IF(AND(AJ221&lt;&gt;"",AK221&lt;&gt;""),ROUNDUP((AK221-AJ221)/7,0),"")</f>
        <v/>
      </c>
      <c r="AN221">
        <f>IFERROR(IF(AL221*AM221=0,"",AL221*AM221),"")</f>
        <v/>
      </c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L221">
        <f>IFERROR(INDEX('_names_lookup'!$C:$C,MATCH(BK221,'_names_lookup'!$A:$A,0)),"")</f>
        <v/>
      </c>
      <c r="BM221">
        <f>IFERROR(INDEX('_names_lookup'!$B:$B,MATCH(BK221,'_names_lookup'!$A:$A,0)),"")</f>
        <v/>
      </c>
      <c r="BS221">
        <f>IFERROR(IF(BR221*AA221=0,"",BR221*AA221),"")</f>
        <v/>
      </c>
    </row>
    <row r="222">
      <c r="O222">
        <f>IFERROR(INDEX('_courses_lookup'!$C:$C,MATCH(K222&amp;L222,'_courses_lookup'!$E:$E,0)),"")</f>
        <v/>
      </c>
      <c r="P222">
        <f>IFERROR(INDEX('_courses_lookup'!$D:$D,MATCH(K222&amp;L222,'_courses_lookup'!$E:$E,0)),"")</f>
        <v/>
      </c>
      <c r="AG222">
        <f>IF(AND(AE222&lt;&gt;"",AF222&lt;&gt;""),ROUNDUP((AF222-AE222)/7,0),"")</f>
        <v/>
      </c>
      <c r="AI222">
        <f>IFERROR(IF(AG222*AH222=0,"",AG222*AH222),"")</f>
        <v/>
      </c>
      <c r="AL222">
        <f>IF(AND(AJ222&lt;&gt;"",AK222&lt;&gt;""),ROUNDUP((AK222-AJ222)/7,0),"")</f>
        <v/>
      </c>
      <c r="AN222">
        <f>IFERROR(IF(AL222*AM222=0,"",AL222*AM222),"")</f>
        <v/>
      </c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L222">
        <f>IFERROR(INDEX('_names_lookup'!$C:$C,MATCH(BK222,'_names_lookup'!$A:$A,0)),"")</f>
        <v/>
      </c>
      <c r="BM222">
        <f>IFERROR(INDEX('_names_lookup'!$B:$B,MATCH(BK222,'_names_lookup'!$A:$A,0)),"")</f>
        <v/>
      </c>
      <c r="BS222">
        <f>IFERROR(IF(BR222*AA222=0,"",BR222*AA222),"")</f>
        <v/>
      </c>
    </row>
    <row r="223">
      <c r="O223">
        <f>IFERROR(INDEX('_courses_lookup'!$C:$C,MATCH(K223&amp;L223,'_courses_lookup'!$E:$E,0)),"")</f>
        <v/>
      </c>
      <c r="P223">
        <f>IFERROR(INDEX('_courses_lookup'!$D:$D,MATCH(K223&amp;L223,'_courses_lookup'!$E:$E,0)),"")</f>
        <v/>
      </c>
      <c r="AG223">
        <f>IF(AND(AE223&lt;&gt;"",AF223&lt;&gt;""),ROUNDUP((AF223-AE223)/7,0),"")</f>
        <v/>
      </c>
      <c r="AI223">
        <f>IFERROR(IF(AG223*AH223=0,"",AG223*AH223),"")</f>
        <v/>
      </c>
      <c r="AL223">
        <f>IF(AND(AJ223&lt;&gt;"",AK223&lt;&gt;""),ROUNDUP((AK223-AJ223)/7,0),"")</f>
        <v/>
      </c>
      <c r="AN223">
        <f>IFERROR(IF(AL223*AM223=0,"",AL223*AM223),"")</f>
        <v/>
      </c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L223">
        <f>IFERROR(INDEX('_names_lookup'!$C:$C,MATCH(BK223,'_names_lookup'!$A:$A,0)),"")</f>
        <v/>
      </c>
      <c r="BM223">
        <f>IFERROR(INDEX('_names_lookup'!$B:$B,MATCH(BK223,'_names_lookup'!$A:$A,0)),"")</f>
        <v/>
      </c>
      <c r="BS223">
        <f>IFERROR(IF(BR223*AA223=0,"",BR223*AA223),"")</f>
        <v/>
      </c>
    </row>
    <row r="224">
      <c r="O224">
        <f>IFERROR(INDEX('_courses_lookup'!$C:$C,MATCH(K224&amp;L224,'_courses_lookup'!$E:$E,0)),"")</f>
        <v/>
      </c>
      <c r="P224">
        <f>IFERROR(INDEX('_courses_lookup'!$D:$D,MATCH(K224&amp;L224,'_courses_lookup'!$E:$E,0)),"")</f>
        <v/>
      </c>
      <c r="AG224">
        <f>IF(AND(AE224&lt;&gt;"",AF224&lt;&gt;""),ROUNDUP((AF224-AE224)/7,0),"")</f>
        <v/>
      </c>
      <c r="AI224">
        <f>IFERROR(IF(AG224*AH224=0,"",AG224*AH224),"")</f>
        <v/>
      </c>
      <c r="AL224">
        <f>IF(AND(AJ224&lt;&gt;"",AK224&lt;&gt;""),ROUNDUP((AK224-AJ224)/7,0),"")</f>
        <v/>
      </c>
      <c r="AN224">
        <f>IFERROR(IF(AL224*AM224=0,"",AL224*AM224),"")</f>
        <v/>
      </c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L224">
        <f>IFERROR(INDEX('_names_lookup'!$C:$C,MATCH(BK224,'_names_lookup'!$A:$A,0)),"")</f>
        <v/>
      </c>
      <c r="BM224">
        <f>IFERROR(INDEX('_names_lookup'!$B:$B,MATCH(BK224,'_names_lookup'!$A:$A,0)),"")</f>
        <v/>
      </c>
      <c r="BS224">
        <f>IFERROR(IF(BR224*AA224=0,"",BR224*AA224),"")</f>
        <v/>
      </c>
    </row>
    <row r="225">
      <c r="O225">
        <f>IFERROR(INDEX('_courses_lookup'!$C:$C,MATCH(K225&amp;L225,'_courses_lookup'!$E:$E,0)),"")</f>
        <v/>
      </c>
      <c r="P225">
        <f>IFERROR(INDEX('_courses_lookup'!$D:$D,MATCH(K225&amp;L225,'_courses_lookup'!$E:$E,0)),"")</f>
        <v/>
      </c>
      <c r="AG225">
        <f>IF(AND(AE225&lt;&gt;"",AF225&lt;&gt;""),ROUNDUP((AF225-AE225)/7,0),"")</f>
        <v/>
      </c>
      <c r="AI225">
        <f>IFERROR(IF(AG225*AH225=0,"",AG225*AH225),"")</f>
        <v/>
      </c>
      <c r="AL225">
        <f>IF(AND(AJ225&lt;&gt;"",AK225&lt;&gt;""),ROUNDUP((AK225-AJ225)/7,0),"")</f>
        <v/>
      </c>
      <c r="AN225">
        <f>IFERROR(IF(AL225*AM225=0,"",AL225*AM225),"")</f>
        <v/>
      </c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L225">
        <f>IFERROR(INDEX('_names_lookup'!$C:$C,MATCH(BK225,'_names_lookup'!$A:$A,0)),"")</f>
        <v/>
      </c>
      <c r="BM225">
        <f>IFERROR(INDEX('_names_lookup'!$B:$B,MATCH(BK225,'_names_lookup'!$A:$A,0)),"")</f>
        <v/>
      </c>
      <c r="BS225">
        <f>IFERROR(IF(BR225*AA225=0,"",BR225*AA225),"")</f>
        <v/>
      </c>
    </row>
    <row r="226">
      <c r="O226">
        <f>IFERROR(INDEX('_courses_lookup'!$C:$C,MATCH(K226&amp;L226,'_courses_lookup'!$E:$E,0)),"")</f>
        <v/>
      </c>
      <c r="P226">
        <f>IFERROR(INDEX('_courses_lookup'!$D:$D,MATCH(K226&amp;L226,'_courses_lookup'!$E:$E,0)),"")</f>
        <v/>
      </c>
      <c r="AG226">
        <f>IF(AND(AE226&lt;&gt;"",AF226&lt;&gt;""),ROUNDUP((AF226-AE226)/7,0),"")</f>
        <v/>
      </c>
      <c r="AI226">
        <f>IFERROR(IF(AG226*AH226=0,"",AG226*AH226),"")</f>
        <v/>
      </c>
      <c r="AL226">
        <f>IF(AND(AJ226&lt;&gt;"",AK226&lt;&gt;""),ROUNDUP((AK226-AJ226)/7,0),"")</f>
        <v/>
      </c>
      <c r="AN226">
        <f>IFERROR(IF(AL226*AM226=0,"",AL226*AM226),"")</f>
        <v/>
      </c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L226">
        <f>IFERROR(INDEX('_names_lookup'!$C:$C,MATCH(BK226,'_names_lookup'!$A:$A,0)),"")</f>
        <v/>
      </c>
      <c r="BM226">
        <f>IFERROR(INDEX('_names_lookup'!$B:$B,MATCH(BK226,'_names_lookup'!$A:$A,0)),"")</f>
        <v/>
      </c>
      <c r="BS226">
        <f>IFERROR(IF(BR226*AA226=0,"",BR226*AA226),"")</f>
        <v/>
      </c>
    </row>
    <row r="227">
      <c r="O227">
        <f>IFERROR(INDEX('_courses_lookup'!$C:$C,MATCH(K227&amp;L227,'_courses_lookup'!$E:$E,0)),"")</f>
        <v/>
      </c>
      <c r="P227">
        <f>IFERROR(INDEX('_courses_lookup'!$D:$D,MATCH(K227&amp;L227,'_courses_lookup'!$E:$E,0)),"")</f>
        <v/>
      </c>
      <c r="AG227">
        <f>IF(AND(AE227&lt;&gt;"",AF227&lt;&gt;""),ROUNDUP((AF227-AE227)/7,0),"")</f>
        <v/>
      </c>
      <c r="AI227">
        <f>IFERROR(IF(AG227*AH227=0,"",AG227*AH227),"")</f>
        <v/>
      </c>
      <c r="AL227">
        <f>IF(AND(AJ227&lt;&gt;"",AK227&lt;&gt;""),ROUNDUP((AK227-AJ227)/7,0),"")</f>
        <v/>
      </c>
      <c r="AN227">
        <f>IFERROR(IF(AL227*AM227=0,"",AL227*AM227),"")</f>
        <v/>
      </c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L227">
        <f>IFERROR(INDEX('_names_lookup'!$C:$C,MATCH(BK227,'_names_lookup'!$A:$A,0)),"")</f>
        <v/>
      </c>
      <c r="BM227">
        <f>IFERROR(INDEX('_names_lookup'!$B:$B,MATCH(BK227,'_names_lookup'!$A:$A,0)),"")</f>
        <v/>
      </c>
      <c r="BS227">
        <f>IFERROR(IF(BR227*AA227=0,"",BR227*AA227),"")</f>
        <v/>
      </c>
    </row>
    <row r="228">
      <c r="O228">
        <f>IFERROR(INDEX('_courses_lookup'!$C:$C,MATCH(K228&amp;L228,'_courses_lookup'!$E:$E,0)),"")</f>
        <v/>
      </c>
      <c r="P228">
        <f>IFERROR(INDEX('_courses_lookup'!$D:$D,MATCH(K228&amp;L228,'_courses_lookup'!$E:$E,0)),"")</f>
        <v/>
      </c>
      <c r="AG228">
        <f>IF(AND(AE228&lt;&gt;"",AF228&lt;&gt;""),ROUNDUP((AF228-AE228)/7,0),"")</f>
        <v/>
      </c>
      <c r="AI228">
        <f>IFERROR(IF(AG228*AH228=0,"",AG228*AH228),"")</f>
        <v/>
      </c>
      <c r="AL228">
        <f>IF(AND(AJ228&lt;&gt;"",AK228&lt;&gt;""),ROUNDUP((AK228-AJ228)/7,0),"")</f>
        <v/>
      </c>
      <c r="AN228">
        <f>IFERROR(IF(AL228*AM228=0,"",AL228*AM228),"")</f>
        <v/>
      </c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L228">
        <f>IFERROR(INDEX('_names_lookup'!$C:$C,MATCH(BK228,'_names_lookup'!$A:$A,0)),"")</f>
        <v/>
      </c>
      <c r="BM228">
        <f>IFERROR(INDEX('_names_lookup'!$B:$B,MATCH(BK228,'_names_lookup'!$A:$A,0)),"")</f>
        <v/>
      </c>
      <c r="BS228">
        <f>IFERROR(IF(BR228*AA228=0,"",BR228*AA228),"")</f>
        <v/>
      </c>
    </row>
    <row r="229">
      <c r="O229">
        <f>IFERROR(INDEX('_courses_lookup'!$C:$C,MATCH(K229&amp;L229,'_courses_lookup'!$E:$E,0)),"")</f>
        <v/>
      </c>
      <c r="P229">
        <f>IFERROR(INDEX('_courses_lookup'!$D:$D,MATCH(K229&amp;L229,'_courses_lookup'!$E:$E,0)),"")</f>
        <v/>
      </c>
      <c r="AG229">
        <f>IF(AND(AE229&lt;&gt;"",AF229&lt;&gt;""),ROUNDUP((AF229-AE229)/7,0),"")</f>
        <v/>
      </c>
      <c r="AI229">
        <f>IFERROR(IF(AG229*AH229=0,"",AG229*AH229),"")</f>
        <v/>
      </c>
      <c r="AL229">
        <f>IF(AND(AJ229&lt;&gt;"",AK229&lt;&gt;""),ROUNDUP((AK229-AJ229)/7,0),"")</f>
        <v/>
      </c>
      <c r="AN229">
        <f>IFERROR(IF(AL229*AM229=0,"",AL229*AM229),"")</f>
        <v/>
      </c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L229">
        <f>IFERROR(INDEX('_names_lookup'!$C:$C,MATCH(BK229,'_names_lookup'!$A:$A,0)),"")</f>
        <v/>
      </c>
      <c r="BM229">
        <f>IFERROR(INDEX('_names_lookup'!$B:$B,MATCH(BK229,'_names_lookup'!$A:$A,0)),"")</f>
        <v/>
      </c>
      <c r="BS229">
        <f>IFERROR(IF(BR229*AA229=0,"",BR229*AA229),"")</f>
        <v/>
      </c>
    </row>
    <row r="230">
      <c r="O230">
        <f>IFERROR(INDEX('_courses_lookup'!$C:$C,MATCH(K230&amp;L230,'_courses_lookup'!$E:$E,0)),"")</f>
        <v/>
      </c>
      <c r="P230">
        <f>IFERROR(INDEX('_courses_lookup'!$D:$D,MATCH(K230&amp;L230,'_courses_lookup'!$E:$E,0)),"")</f>
        <v/>
      </c>
      <c r="AG230">
        <f>IF(AND(AE230&lt;&gt;"",AF230&lt;&gt;""),ROUNDUP((AF230-AE230)/7,0),"")</f>
        <v/>
      </c>
      <c r="AI230">
        <f>IFERROR(IF(AG230*AH230=0,"",AG230*AH230),"")</f>
        <v/>
      </c>
      <c r="AL230">
        <f>IF(AND(AJ230&lt;&gt;"",AK230&lt;&gt;""),ROUNDUP((AK230-AJ230)/7,0),"")</f>
        <v/>
      </c>
      <c r="AN230">
        <f>IFERROR(IF(AL230*AM230=0,"",AL230*AM230),"")</f>
        <v/>
      </c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L230">
        <f>IFERROR(INDEX('_names_lookup'!$C:$C,MATCH(BK230,'_names_lookup'!$A:$A,0)),"")</f>
        <v/>
      </c>
      <c r="BM230">
        <f>IFERROR(INDEX('_names_lookup'!$B:$B,MATCH(BK230,'_names_lookup'!$A:$A,0)),"")</f>
        <v/>
      </c>
      <c r="BS230">
        <f>IFERROR(IF(BR230*AA230=0,"",BR230*AA230),"")</f>
        <v/>
      </c>
    </row>
    <row r="231">
      <c r="O231">
        <f>IFERROR(INDEX('_courses_lookup'!$C:$C,MATCH(K231&amp;L231,'_courses_lookup'!$E:$E,0)),"")</f>
        <v/>
      </c>
      <c r="P231">
        <f>IFERROR(INDEX('_courses_lookup'!$D:$D,MATCH(K231&amp;L231,'_courses_lookup'!$E:$E,0)),"")</f>
        <v/>
      </c>
      <c r="AG231">
        <f>IF(AND(AE231&lt;&gt;"",AF231&lt;&gt;""),ROUNDUP((AF231-AE231)/7,0),"")</f>
        <v/>
      </c>
      <c r="AI231">
        <f>IFERROR(IF(AG231*AH231=0,"",AG231*AH231),"")</f>
        <v/>
      </c>
      <c r="AL231">
        <f>IF(AND(AJ231&lt;&gt;"",AK231&lt;&gt;""),ROUNDUP((AK231-AJ231)/7,0),"")</f>
        <v/>
      </c>
      <c r="AN231">
        <f>IFERROR(IF(AL231*AM231=0,"",AL231*AM231),"")</f>
        <v/>
      </c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L231">
        <f>IFERROR(INDEX('_names_lookup'!$C:$C,MATCH(BK231,'_names_lookup'!$A:$A,0)),"")</f>
        <v/>
      </c>
      <c r="BM231">
        <f>IFERROR(INDEX('_names_lookup'!$B:$B,MATCH(BK231,'_names_lookup'!$A:$A,0)),"")</f>
        <v/>
      </c>
      <c r="BS231">
        <f>IFERROR(IF(BR231*AA231=0,"",BR231*AA231),"")</f>
        <v/>
      </c>
    </row>
    <row r="232">
      <c r="O232">
        <f>IFERROR(INDEX('_courses_lookup'!$C:$C,MATCH(K232&amp;L232,'_courses_lookup'!$E:$E,0)),"")</f>
        <v/>
      </c>
      <c r="P232">
        <f>IFERROR(INDEX('_courses_lookup'!$D:$D,MATCH(K232&amp;L232,'_courses_lookup'!$E:$E,0)),"")</f>
        <v/>
      </c>
      <c r="AG232">
        <f>IF(AND(AE232&lt;&gt;"",AF232&lt;&gt;""),ROUNDUP((AF232-AE232)/7,0),"")</f>
        <v/>
      </c>
      <c r="AI232">
        <f>IFERROR(IF(AG232*AH232=0,"",AG232*AH232),"")</f>
        <v/>
      </c>
      <c r="AL232">
        <f>IF(AND(AJ232&lt;&gt;"",AK232&lt;&gt;""),ROUNDUP((AK232-AJ232)/7,0),"")</f>
        <v/>
      </c>
      <c r="AN232">
        <f>IFERROR(IF(AL232*AM232=0,"",AL232*AM232),"")</f>
        <v/>
      </c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L232">
        <f>IFERROR(INDEX('_names_lookup'!$C:$C,MATCH(BK232,'_names_lookup'!$A:$A,0)),"")</f>
        <v/>
      </c>
      <c r="BM232">
        <f>IFERROR(INDEX('_names_lookup'!$B:$B,MATCH(BK232,'_names_lookup'!$A:$A,0)),"")</f>
        <v/>
      </c>
      <c r="BS232">
        <f>IFERROR(IF(BR232*AA232=0,"",BR232*AA232),"")</f>
        <v/>
      </c>
    </row>
    <row r="233">
      <c r="O233">
        <f>IFERROR(INDEX('_courses_lookup'!$C:$C,MATCH(K233&amp;L233,'_courses_lookup'!$E:$E,0)),"")</f>
        <v/>
      </c>
      <c r="P233">
        <f>IFERROR(INDEX('_courses_lookup'!$D:$D,MATCH(K233&amp;L233,'_courses_lookup'!$E:$E,0)),"")</f>
        <v/>
      </c>
      <c r="AG233">
        <f>IF(AND(AE233&lt;&gt;"",AF233&lt;&gt;""),ROUNDUP((AF233-AE233)/7,0),"")</f>
        <v/>
      </c>
      <c r="AI233">
        <f>IFERROR(IF(AG233*AH233=0,"",AG233*AH233),"")</f>
        <v/>
      </c>
      <c r="AL233">
        <f>IF(AND(AJ233&lt;&gt;"",AK233&lt;&gt;""),ROUNDUP((AK233-AJ233)/7,0),"")</f>
        <v/>
      </c>
      <c r="AN233">
        <f>IFERROR(IF(AL233*AM233=0,"",AL233*AM233),"")</f>
        <v/>
      </c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L233">
        <f>IFERROR(INDEX('_names_lookup'!$C:$C,MATCH(BK233,'_names_lookup'!$A:$A,0)),"")</f>
        <v/>
      </c>
      <c r="BM233">
        <f>IFERROR(INDEX('_names_lookup'!$B:$B,MATCH(BK233,'_names_lookup'!$A:$A,0)),"")</f>
        <v/>
      </c>
      <c r="BS233">
        <f>IFERROR(IF(BR233*AA233=0,"",BR233*AA233),"")</f>
        <v/>
      </c>
    </row>
    <row r="234">
      <c r="O234">
        <f>IFERROR(INDEX('_courses_lookup'!$C:$C,MATCH(K234&amp;L234,'_courses_lookup'!$E:$E,0)),"")</f>
        <v/>
      </c>
      <c r="P234">
        <f>IFERROR(INDEX('_courses_lookup'!$D:$D,MATCH(K234&amp;L234,'_courses_lookup'!$E:$E,0)),"")</f>
        <v/>
      </c>
      <c r="AG234">
        <f>IF(AND(AE234&lt;&gt;"",AF234&lt;&gt;""),ROUNDUP((AF234-AE234)/7,0),"")</f>
        <v/>
      </c>
      <c r="AI234">
        <f>IFERROR(IF(AG234*AH234=0,"",AG234*AH234),"")</f>
        <v/>
      </c>
      <c r="AL234">
        <f>IF(AND(AJ234&lt;&gt;"",AK234&lt;&gt;""),ROUNDUP((AK234-AJ234)/7,0),"")</f>
        <v/>
      </c>
      <c r="AN234">
        <f>IFERROR(IF(AL234*AM234=0,"",AL234*AM234),"")</f>
        <v/>
      </c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L234">
        <f>IFERROR(INDEX('_names_lookup'!$C:$C,MATCH(BK234,'_names_lookup'!$A:$A,0)),"")</f>
        <v/>
      </c>
      <c r="BM234">
        <f>IFERROR(INDEX('_names_lookup'!$B:$B,MATCH(BK234,'_names_lookup'!$A:$A,0)),"")</f>
        <v/>
      </c>
      <c r="BS234">
        <f>IFERROR(IF(BR234*AA234=0,"",BR234*AA234),"")</f>
        <v/>
      </c>
    </row>
    <row r="235">
      <c r="O235">
        <f>IFERROR(INDEX('_courses_lookup'!$C:$C,MATCH(K235&amp;L235,'_courses_lookup'!$E:$E,0)),"")</f>
        <v/>
      </c>
      <c r="P235">
        <f>IFERROR(INDEX('_courses_lookup'!$D:$D,MATCH(K235&amp;L235,'_courses_lookup'!$E:$E,0)),"")</f>
        <v/>
      </c>
      <c r="AG235">
        <f>IF(AND(AE235&lt;&gt;"",AF235&lt;&gt;""),ROUNDUP((AF235-AE235)/7,0),"")</f>
        <v/>
      </c>
      <c r="AI235">
        <f>IFERROR(IF(AG235*AH235=0,"",AG235*AH235),"")</f>
        <v/>
      </c>
      <c r="AL235">
        <f>IF(AND(AJ235&lt;&gt;"",AK235&lt;&gt;""),ROUNDUP((AK235-AJ235)/7,0),"")</f>
        <v/>
      </c>
      <c r="AN235">
        <f>IFERROR(IF(AL235*AM235=0,"",AL235*AM235),"")</f>
        <v/>
      </c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L235">
        <f>IFERROR(INDEX('_names_lookup'!$C:$C,MATCH(BK235,'_names_lookup'!$A:$A,0)),"")</f>
        <v/>
      </c>
      <c r="BM235">
        <f>IFERROR(INDEX('_names_lookup'!$B:$B,MATCH(BK235,'_names_lookup'!$A:$A,0)),"")</f>
        <v/>
      </c>
      <c r="BS235">
        <f>IFERROR(IF(BR235*AA235=0,"",BR235*AA235),"")</f>
        <v/>
      </c>
    </row>
    <row r="236">
      <c r="O236">
        <f>IFERROR(INDEX('_courses_lookup'!$C:$C,MATCH(K236&amp;L236,'_courses_lookup'!$E:$E,0)),"")</f>
        <v/>
      </c>
      <c r="P236">
        <f>IFERROR(INDEX('_courses_lookup'!$D:$D,MATCH(K236&amp;L236,'_courses_lookup'!$E:$E,0)),"")</f>
        <v/>
      </c>
      <c r="AG236">
        <f>IF(AND(AE236&lt;&gt;"",AF236&lt;&gt;""),ROUNDUP((AF236-AE236)/7,0),"")</f>
        <v/>
      </c>
      <c r="AI236">
        <f>IFERROR(IF(AG236*AH236=0,"",AG236*AH236),"")</f>
        <v/>
      </c>
      <c r="AL236">
        <f>IF(AND(AJ236&lt;&gt;"",AK236&lt;&gt;""),ROUNDUP((AK236-AJ236)/7,0),"")</f>
        <v/>
      </c>
      <c r="AN236">
        <f>IFERROR(IF(AL236*AM236=0,"",AL236*AM236),"")</f>
        <v/>
      </c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L236">
        <f>IFERROR(INDEX('_names_lookup'!$C:$C,MATCH(BK236,'_names_lookup'!$A:$A,0)),"")</f>
        <v/>
      </c>
      <c r="BM236">
        <f>IFERROR(INDEX('_names_lookup'!$B:$B,MATCH(BK236,'_names_lookup'!$A:$A,0)),"")</f>
        <v/>
      </c>
      <c r="BS236">
        <f>IFERROR(IF(BR236*AA236=0,"",BR236*AA236),"")</f>
        <v/>
      </c>
    </row>
    <row r="237">
      <c r="O237">
        <f>IFERROR(INDEX('_courses_lookup'!$C:$C,MATCH(K237&amp;L237,'_courses_lookup'!$E:$E,0)),"")</f>
        <v/>
      </c>
      <c r="P237">
        <f>IFERROR(INDEX('_courses_lookup'!$D:$D,MATCH(K237&amp;L237,'_courses_lookup'!$E:$E,0)),"")</f>
        <v/>
      </c>
      <c r="AG237">
        <f>IF(AND(AE237&lt;&gt;"",AF237&lt;&gt;""),ROUNDUP((AF237-AE237)/7,0),"")</f>
        <v/>
      </c>
      <c r="AI237">
        <f>IFERROR(IF(AG237*AH237=0,"",AG237*AH237),"")</f>
        <v/>
      </c>
      <c r="AL237">
        <f>IF(AND(AJ237&lt;&gt;"",AK237&lt;&gt;""),ROUNDUP((AK237-AJ237)/7,0),"")</f>
        <v/>
      </c>
      <c r="AN237">
        <f>IFERROR(IF(AL237*AM237=0,"",AL237*AM237),"")</f>
        <v/>
      </c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L237">
        <f>IFERROR(INDEX('_names_lookup'!$C:$C,MATCH(BK237,'_names_lookup'!$A:$A,0)),"")</f>
        <v/>
      </c>
      <c r="BM237">
        <f>IFERROR(INDEX('_names_lookup'!$B:$B,MATCH(BK237,'_names_lookup'!$A:$A,0)),"")</f>
        <v/>
      </c>
      <c r="BS237">
        <f>IFERROR(IF(BR237*AA237=0,"",BR237*AA237),"")</f>
        <v/>
      </c>
    </row>
    <row r="238">
      <c r="O238">
        <f>IFERROR(INDEX('_courses_lookup'!$C:$C,MATCH(K238&amp;L238,'_courses_lookup'!$E:$E,0)),"")</f>
        <v/>
      </c>
      <c r="P238">
        <f>IFERROR(INDEX('_courses_lookup'!$D:$D,MATCH(K238&amp;L238,'_courses_lookup'!$E:$E,0)),"")</f>
        <v/>
      </c>
      <c r="AG238">
        <f>IF(AND(AE238&lt;&gt;"",AF238&lt;&gt;""),ROUNDUP((AF238-AE238)/7,0),"")</f>
        <v/>
      </c>
      <c r="AI238">
        <f>IFERROR(IF(AG238*AH238=0,"",AG238*AH238),"")</f>
        <v/>
      </c>
      <c r="AL238">
        <f>IF(AND(AJ238&lt;&gt;"",AK238&lt;&gt;""),ROUNDUP((AK238-AJ238)/7,0),"")</f>
        <v/>
      </c>
      <c r="AN238">
        <f>IFERROR(IF(AL238*AM238=0,"",AL238*AM238),"")</f>
        <v/>
      </c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L238">
        <f>IFERROR(INDEX('_names_lookup'!$C:$C,MATCH(BK238,'_names_lookup'!$A:$A,0)),"")</f>
        <v/>
      </c>
      <c r="BM238">
        <f>IFERROR(INDEX('_names_lookup'!$B:$B,MATCH(BK238,'_names_lookup'!$A:$A,0)),"")</f>
        <v/>
      </c>
      <c r="BS238">
        <f>IFERROR(IF(BR238*AA238=0,"",BR238*AA238),"")</f>
        <v/>
      </c>
    </row>
    <row r="239">
      <c r="O239">
        <f>IFERROR(INDEX('_courses_lookup'!$C:$C,MATCH(K239&amp;L239,'_courses_lookup'!$E:$E,0)),"")</f>
        <v/>
      </c>
      <c r="P239">
        <f>IFERROR(INDEX('_courses_lookup'!$D:$D,MATCH(K239&amp;L239,'_courses_lookup'!$E:$E,0)),"")</f>
        <v/>
      </c>
      <c r="AG239">
        <f>IF(AND(AE239&lt;&gt;"",AF239&lt;&gt;""),ROUNDUP((AF239-AE239)/7,0),"")</f>
        <v/>
      </c>
      <c r="AI239">
        <f>IFERROR(IF(AG239*AH239=0,"",AG239*AH239),"")</f>
        <v/>
      </c>
      <c r="AL239">
        <f>IF(AND(AJ239&lt;&gt;"",AK239&lt;&gt;""),ROUNDUP((AK239-AJ239)/7,0),"")</f>
        <v/>
      </c>
      <c r="AN239">
        <f>IFERROR(IF(AL239*AM239=0,"",AL239*AM239),"")</f>
        <v/>
      </c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L239">
        <f>IFERROR(INDEX('_names_lookup'!$C:$C,MATCH(BK239,'_names_lookup'!$A:$A,0)),"")</f>
        <v/>
      </c>
      <c r="BM239">
        <f>IFERROR(INDEX('_names_lookup'!$B:$B,MATCH(BK239,'_names_lookup'!$A:$A,0)),"")</f>
        <v/>
      </c>
      <c r="BS239">
        <f>IFERROR(IF(BR239*AA239=0,"",BR239*AA239),"")</f>
        <v/>
      </c>
    </row>
    <row r="240">
      <c r="O240">
        <f>IFERROR(INDEX('_courses_lookup'!$C:$C,MATCH(K240&amp;L240,'_courses_lookup'!$E:$E,0)),"")</f>
        <v/>
      </c>
      <c r="P240">
        <f>IFERROR(INDEX('_courses_lookup'!$D:$D,MATCH(K240&amp;L240,'_courses_lookup'!$E:$E,0)),"")</f>
        <v/>
      </c>
      <c r="AG240">
        <f>IF(AND(AE240&lt;&gt;"",AF240&lt;&gt;""),ROUNDUP((AF240-AE240)/7,0),"")</f>
        <v/>
      </c>
      <c r="AI240">
        <f>IFERROR(IF(AG240*AH240=0,"",AG240*AH240),"")</f>
        <v/>
      </c>
      <c r="AL240">
        <f>IF(AND(AJ240&lt;&gt;"",AK240&lt;&gt;""),ROUNDUP((AK240-AJ240)/7,0),"")</f>
        <v/>
      </c>
      <c r="AN240">
        <f>IFERROR(IF(AL240*AM240=0,"",AL240*AM240),"")</f>
        <v/>
      </c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L240">
        <f>IFERROR(INDEX('_names_lookup'!$C:$C,MATCH(BK240,'_names_lookup'!$A:$A,0)),"")</f>
        <v/>
      </c>
      <c r="BM240">
        <f>IFERROR(INDEX('_names_lookup'!$B:$B,MATCH(BK240,'_names_lookup'!$A:$A,0)),"")</f>
        <v/>
      </c>
      <c r="BS240">
        <f>IFERROR(IF(BR240*AA240=0,"",BR240*AA240),"")</f>
        <v/>
      </c>
    </row>
    <row r="241">
      <c r="O241">
        <f>IFERROR(INDEX('_courses_lookup'!$C:$C,MATCH(K241&amp;L241,'_courses_lookup'!$E:$E,0)),"")</f>
        <v/>
      </c>
      <c r="P241">
        <f>IFERROR(INDEX('_courses_lookup'!$D:$D,MATCH(K241&amp;L241,'_courses_lookup'!$E:$E,0)),"")</f>
        <v/>
      </c>
      <c r="AG241">
        <f>IF(AND(AE241&lt;&gt;"",AF241&lt;&gt;""),ROUNDUP((AF241-AE241)/7,0),"")</f>
        <v/>
      </c>
      <c r="AI241">
        <f>IFERROR(IF(AG241*AH241=0,"",AG241*AH241),"")</f>
        <v/>
      </c>
      <c r="AL241">
        <f>IF(AND(AJ241&lt;&gt;"",AK241&lt;&gt;""),ROUNDUP((AK241-AJ241)/7,0),"")</f>
        <v/>
      </c>
      <c r="AN241">
        <f>IFERROR(IF(AL241*AM241=0,"",AL241*AM241),"")</f>
        <v/>
      </c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L241">
        <f>IFERROR(INDEX('_names_lookup'!$C:$C,MATCH(BK241,'_names_lookup'!$A:$A,0)),"")</f>
        <v/>
      </c>
      <c r="BM241">
        <f>IFERROR(INDEX('_names_lookup'!$B:$B,MATCH(BK241,'_names_lookup'!$A:$A,0)),"")</f>
        <v/>
      </c>
      <c r="BS241">
        <f>IFERROR(IF(BR241*AA241=0,"",BR241*AA241),"")</f>
        <v/>
      </c>
    </row>
    <row r="242">
      <c r="O242">
        <f>IFERROR(INDEX('_courses_lookup'!$C:$C,MATCH(K242&amp;L242,'_courses_lookup'!$E:$E,0)),"")</f>
        <v/>
      </c>
      <c r="P242">
        <f>IFERROR(INDEX('_courses_lookup'!$D:$D,MATCH(K242&amp;L242,'_courses_lookup'!$E:$E,0)),"")</f>
        <v/>
      </c>
      <c r="AG242">
        <f>IF(AND(AE242&lt;&gt;"",AF242&lt;&gt;""),ROUNDUP((AF242-AE242)/7,0),"")</f>
        <v/>
      </c>
      <c r="AI242">
        <f>IFERROR(IF(AG242*AH242=0,"",AG242*AH242),"")</f>
        <v/>
      </c>
      <c r="AL242">
        <f>IF(AND(AJ242&lt;&gt;"",AK242&lt;&gt;""),ROUNDUP((AK242-AJ242)/7,0),"")</f>
        <v/>
      </c>
      <c r="AN242">
        <f>IFERROR(IF(AL242*AM242=0,"",AL242*AM242),"")</f>
        <v/>
      </c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L242">
        <f>IFERROR(INDEX('_names_lookup'!$C:$C,MATCH(BK242,'_names_lookup'!$A:$A,0)),"")</f>
        <v/>
      </c>
      <c r="BM242">
        <f>IFERROR(INDEX('_names_lookup'!$B:$B,MATCH(BK242,'_names_lookup'!$A:$A,0)),"")</f>
        <v/>
      </c>
      <c r="BS242">
        <f>IFERROR(IF(BR242*AA242=0,"",BR242*AA242),"")</f>
        <v/>
      </c>
    </row>
    <row r="243">
      <c r="O243">
        <f>IFERROR(INDEX('_courses_lookup'!$C:$C,MATCH(K243&amp;L243,'_courses_lookup'!$E:$E,0)),"")</f>
        <v/>
      </c>
      <c r="P243">
        <f>IFERROR(INDEX('_courses_lookup'!$D:$D,MATCH(K243&amp;L243,'_courses_lookup'!$E:$E,0)),"")</f>
        <v/>
      </c>
      <c r="AG243">
        <f>IF(AND(AE243&lt;&gt;"",AF243&lt;&gt;""),ROUNDUP((AF243-AE243)/7,0),"")</f>
        <v/>
      </c>
      <c r="AI243">
        <f>IFERROR(IF(AG243*AH243=0,"",AG243*AH243),"")</f>
        <v/>
      </c>
      <c r="AL243">
        <f>IF(AND(AJ243&lt;&gt;"",AK243&lt;&gt;""),ROUNDUP((AK243-AJ243)/7,0),"")</f>
        <v/>
      </c>
      <c r="AN243">
        <f>IFERROR(IF(AL243*AM243=0,"",AL243*AM243),"")</f>
        <v/>
      </c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L243">
        <f>IFERROR(INDEX('_names_lookup'!$C:$C,MATCH(BK243,'_names_lookup'!$A:$A,0)),"")</f>
        <v/>
      </c>
      <c r="BM243">
        <f>IFERROR(INDEX('_names_lookup'!$B:$B,MATCH(BK243,'_names_lookup'!$A:$A,0)),"")</f>
        <v/>
      </c>
      <c r="BS243">
        <f>IFERROR(IF(BR243*AA243=0,"",BR243*AA243),"")</f>
        <v/>
      </c>
    </row>
    <row r="244">
      <c r="O244">
        <f>IFERROR(INDEX('_courses_lookup'!$C:$C,MATCH(K244&amp;L244,'_courses_lookup'!$E:$E,0)),"")</f>
        <v/>
      </c>
      <c r="P244">
        <f>IFERROR(INDEX('_courses_lookup'!$D:$D,MATCH(K244&amp;L244,'_courses_lookup'!$E:$E,0)),"")</f>
        <v/>
      </c>
      <c r="AG244">
        <f>IF(AND(AE244&lt;&gt;"",AF244&lt;&gt;""),ROUNDUP((AF244-AE244)/7,0),"")</f>
        <v/>
      </c>
      <c r="AI244">
        <f>IFERROR(IF(AG244*AH244=0,"",AG244*AH244),"")</f>
        <v/>
      </c>
      <c r="AL244">
        <f>IF(AND(AJ244&lt;&gt;"",AK244&lt;&gt;""),ROUNDUP((AK244-AJ244)/7,0),"")</f>
        <v/>
      </c>
      <c r="AN244">
        <f>IFERROR(IF(AL244*AM244=0,"",AL244*AM244),"")</f>
        <v/>
      </c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L244">
        <f>IFERROR(INDEX('_names_lookup'!$C:$C,MATCH(BK244,'_names_lookup'!$A:$A,0)),"")</f>
        <v/>
      </c>
      <c r="BM244">
        <f>IFERROR(INDEX('_names_lookup'!$B:$B,MATCH(BK244,'_names_lookup'!$A:$A,0)),"")</f>
        <v/>
      </c>
      <c r="BS244">
        <f>IFERROR(IF(BR244*AA244=0,"",BR244*AA244),"")</f>
        <v/>
      </c>
    </row>
    <row r="245">
      <c r="O245">
        <f>IFERROR(INDEX('_courses_lookup'!$C:$C,MATCH(K245&amp;L245,'_courses_lookup'!$E:$E,0)),"")</f>
        <v/>
      </c>
      <c r="P245">
        <f>IFERROR(INDEX('_courses_lookup'!$D:$D,MATCH(K245&amp;L245,'_courses_lookup'!$E:$E,0)),"")</f>
        <v/>
      </c>
      <c r="AG245">
        <f>IF(AND(AE245&lt;&gt;"",AF245&lt;&gt;""),ROUNDUP((AF245-AE245)/7,0),"")</f>
        <v/>
      </c>
      <c r="AI245">
        <f>IFERROR(IF(AG245*AH245=0,"",AG245*AH245),"")</f>
        <v/>
      </c>
      <c r="AL245">
        <f>IF(AND(AJ245&lt;&gt;"",AK245&lt;&gt;""),ROUNDUP((AK245-AJ245)/7,0),"")</f>
        <v/>
      </c>
      <c r="AN245">
        <f>IFERROR(IF(AL245*AM245=0,"",AL245*AM245),"")</f>
        <v/>
      </c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L245">
        <f>IFERROR(INDEX('_names_lookup'!$C:$C,MATCH(BK245,'_names_lookup'!$A:$A,0)),"")</f>
        <v/>
      </c>
      <c r="BM245">
        <f>IFERROR(INDEX('_names_lookup'!$B:$B,MATCH(BK245,'_names_lookup'!$A:$A,0)),"")</f>
        <v/>
      </c>
      <c r="BS245">
        <f>IFERROR(IF(BR245*AA245=0,"",BR245*AA245),"")</f>
        <v/>
      </c>
    </row>
    <row r="246">
      <c r="O246">
        <f>IFERROR(INDEX('_courses_lookup'!$C:$C,MATCH(K246&amp;L246,'_courses_lookup'!$E:$E,0)),"")</f>
        <v/>
      </c>
      <c r="P246">
        <f>IFERROR(INDEX('_courses_lookup'!$D:$D,MATCH(K246&amp;L246,'_courses_lookup'!$E:$E,0)),"")</f>
        <v/>
      </c>
      <c r="AG246">
        <f>IF(AND(AE246&lt;&gt;"",AF246&lt;&gt;""),ROUNDUP((AF246-AE246)/7,0),"")</f>
        <v/>
      </c>
      <c r="AI246">
        <f>IFERROR(IF(AG246*AH246=0,"",AG246*AH246),"")</f>
        <v/>
      </c>
      <c r="AL246">
        <f>IF(AND(AJ246&lt;&gt;"",AK246&lt;&gt;""),ROUNDUP((AK246-AJ246)/7,0),"")</f>
        <v/>
      </c>
      <c r="AN246">
        <f>IFERROR(IF(AL246*AM246=0,"",AL246*AM246),"")</f>
        <v/>
      </c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L246">
        <f>IFERROR(INDEX('_names_lookup'!$C:$C,MATCH(BK246,'_names_lookup'!$A:$A,0)),"")</f>
        <v/>
      </c>
      <c r="BM246">
        <f>IFERROR(INDEX('_names_lookup'!$B:$B,MATCH(BK246,'_names_lookup'!$A:$A,0)),"")</f>
        <v/>
      </c>
      <c r="BS246">
        <f>IFERROR(IF(BR246*AA246=0,"",BR246*AA246),"")</f>
        <v/>
      </c>
    </row>
    <row r="247">
      <c r="O247">
        <f>IFERROR(INDEX('_courses_lookup'!$C:$C,MATCH(K247&amp;L247,'_courses_lookup'!$E:$E,0)),"")</f>
        <v/>
      </c>
      <c r="P247">
        <f>IFERROR(INDEX('_courses_lookup'!$D:$D,MATCH(K247&amp;L247,'_courses_lookup'!$E:$E,0)),"")</f>
        <v/>
      </c>
      <c r="AG247">
        <f>IF(AND(AE247&lt;&gt;"",AF247&lt;&gt;""),ROUNDUP((AF247-AE247)/7,0),"")</f>
        <v/>
      </c>
      <c r="AI247">
        <f>IFERROR(IF(AG247*AH247=0,"",AG247*AH247),"")</f>
        <v/>
      </c>
      <c r="AL247">
        <f>IF(AND(AJ247&lt;&gt;"",AK247&lt;&gt;""),ROUNDUP((AK247-AJ247)/7,0),"")</f>
        <v/>
      </c>
      <c r="AN247">
        <f>IFERROR(IF(AL247*AM247=0,"",AL247*AM247),"")</f>
        <v/>
      </c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L247">
        <f>IFERROR(INDEX('_names_lookup'!$C:$C,MATCH(BK247,'_names_lookup'!$A:$A,0)),"")</f>
        <v/>
      </c>
      <c r="BM247">
        <f>IFERROR(INDEX('_names_lookup'!$B:$B,MATCH(BK247,'_names_lookup'!$A:$A,0)),"")</f>
        <v/>
      </c>
      <c r="BS247">
        <f>IFERROR(IF(BR247*AA247=0,"",BR247*AA247),"")</f>
        <v/>
      </c>
    </row>
    <row r="248">
      <c r="O248">
        <f>IFERROR(INDEX('_courses_lookup'!$C:$C,MATCH(K248&amp;L248,'_courses_lookup'!$E:$E,0)),"")</f>
        <v/>
      </c>
      <c r="P248">
        <f>IFERROR(INDEX('_courses_lookup'!$D:$D,MATCH(K248&amp;L248,'_courses_lookup'!$E:$E,0)),"")</f>
        <v/>
      </c>
      <c r="AG248">
        <f>IF(AND(AE248&lt;&gt;"",AF248&lt;&gt;""),ROUNDUP((AF248-AE248)/7,0),"")</f>
        <v/>
      </c>
      <c r="AI248">
        <f>IFERROR(IF(AG248*AH248=0,"",AG248*AH248),"")</f>
        <v/>
      </c>
      <c r="AL248">
        <f>IF(AND(AJ248&lt;&gt;"",AK248&lt;&gt;""),ROUNDUP((AK248-AJ248)/7,0),"")</f>
        <v/>
      </c>
      <c r="AN248">
        <f>IFERROR(IF(AL248*AM248=0,"",AL248*AM248),"")</f>
        <v/>
      </c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L248">
        <f>IFERROR(INDEX('_names_lookup'!$C:$C,MATCH(BK248,'_names_lookup'!$A:$A,0)),"")</f>
        <v/>
      </c>
      <c r="BM248">
        <f>IFERROR(INDEX('_names_lookup'!$B:$B,MATCH(BK248,'_names_lookup'!$A:$A,0)),"")</f>
        <v/>
      </c>
      <c r="BS248">
        <f>IFERROR(IF(BR248*AA248=0,"",BR248*AA248),"")</f>
        <v/>
      </c>
    </row>
    <row r="249">
      <c r="O249">
        <f>IFERROR(INDEX('_courses_lookup'!$C:$C,MATCH(K249&amp;L249,'_courses_lookup'!$E:$E,0)),"")</f>
        <v/>
      </c>
      <c r="P249">
        <f>IFERROR(INDEX('_courses_lookup'!$D:$D,MATCH(K249&amp;L249,'_courses_lookup'!$E:$E,0)),"")</f>
        <v/>
      </c>
      <c r="AG249">
        <f>IF(AND(AE249&lt;&gt;"",AF249&lt;&gt;""),ROUNDUP((AF249-AE249)/7,0),"")</f>
        <v/>
      </c>
      <c r="AI249">
        <f>IFERROR(IF(AG249*AH249=0,"",AG249*AH249),"")</f>
        <v/>
      </c>
      <c r="AL249">
        <f>IF(AND(AJ249&lt;&gt;"",AK249&lt;&gt;""),ROUNDUP((AK249-AJ249)/7,0),"")</f>
        <v/>
      </c>
      <c r="AN249">
        <f>IFERROR(IF(AL249*AM249=0,"",AL249*AM249),"")</f>
        <v/>
      </c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L249">
        <f>IFERROR(INDEX('_names_lookup'!$C:$C,MATCH(BK249,'_names_lookup'!$A:$A,0)),"")</f>
        <v/>
      </c>
      <c r="BM249">
        <f>IFERROR(INDEX('_names_lookup'!$B:$B,MATCH(BK249,'_names_lookup'!$A:$A,0)),"")</f>
        <v/>
      </c>
      <c r="BS249">
        <f>IFERROR(IF(BR249*AA249=0,"",BR249*AA249),"")</f>
        <v/>
      </c>
    </row>
    <row r="250">
      <c r="O250">
        <f>IFERROR(INDEX('_courses_lookup'!$C:$C,MATCH(K250&amp;L250,'_courses_lookup'!$E:$E,0)),"")</f>
        <v/>
      </c>
      <c r="P250">
        <f>IFERROR(INDEX('_courses_lookup'!$D:$D,MATCH(K250&amp;L250,'_courses_lookup'!$E:$E,0)),"")</f>
        <v/>
      </c>
      <c r="AG250">
        <f>IF(AND(AE250&lt;&gt;"",AF250&lt;&gt;""),ROUNDUP((AF250-AE250)/7,0),"")</f>
        <v/>
      </c>
      <c r="AI250">
        <f>IFERROR(IF(AG250*AH250=0,"",AG250*AH250),"")</f>
        <v/>
      </c>
      <c r="AL250">
        <f>IF(AND(AJ250&lt;&gt;"",AK250&lt;&gt;""),ROUNDUP((AK250-AJ250)/7,0),"")</f>
        <v/>
      </c>
      <c r="AN250">
        <f>IFERROR(IF(AL250*AM250=0,"",AL250*AM250),"")</f>
        <v/>
      </c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L250">
        <f>IFERROR(INDEX('_names_lookup'!$C:$C,MATCH(BK250,'_names_lookup'!$A:$A,0)),"")</f>
        <v/>
      </c>
      <c r="BM250">
        <f>IFERROR(INDEX('_names_lookup'!$B:$B,MATCH(BK250,'_names_lookup'!$A:$A,0)),"")</f>
        <v/>
      </c>
      <c r="BS250">
        <f>IFERROR(IF(BR250*AA250=0,"",BR250*AA250),"")</f>
        <v/>
      </c>
    </row>
    <row r="251">
      <c r="O251">
        <f>IFERROR(INDEX('_courses_lookup'!$C:$C,MATCH(K251&amp;L251,'_courses_lookup'!$E:$E,0)),"")</f>
        <v/>
      </c>
      <c r="P251">
        <f>IFERROR(INDEX('_courses_lookup'!$D:$D,MATCH(K251&amp;L251,'_courses_lookup'!$E:$E,0)),"")</f>
        <v/>
      </c>
      <c r="AG251">
        <f>IF(AND(AE251&lt;&gt;"",AF251&lt;&gt;""),ROUNDUP((AF251-AE251)/7,0),"")</f>
        <v/>
      </c>
      <c r="AI251">
        <f>IFERROR(IF(AG251*AH251=0,"",AG251*AH251),"")</f>
        <v/>
      </c>
      <c r="AL251">
        <f>IF(AND(AJ251&lt;&gt;"",AK251&lt;&gt;""),ROUNDUP((AK251-AJ251)/7,0),"")</f>
        <v/>
      </c>
      <c r="AN251">
        <f>IFERROR(IF(AL251*AM251=0,"",AL251*AM251),"")</f>
        <v/>
      </c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L251">
        <f>IFERROR(INDEX('_names_lookup'!$C:$C,MATCH(BK251,'_names_lookup'!$A:$A,0)),"")</f>
        <v/>
      </c>
      <c r="BM251">
        <f>IFERROR(INDEX('_names_lookup'!$B:$B,MATCH(BK251,'_names_lookup'!$A:$A,0)),"")</f>
        <v/>
      </c>
      <c r="BS251">
        <f>IFERROR(IF(BR251*AA251=0,"",BR251*AA251),"")</f>
        <v/>
      </c>
    </row>
    <row r="252">
      <c r="O252">
        <f>IFERROR(INDEX('_courses_lookup'!$C:$C,MATCH(K252&amp;L252,'_courses_lookup'!$E:$E,0)),"")</f>
        <v/>
      </c>
      <c r="P252">
        <f>IFERROR(INDEX('_courses_lookup'!$D:$D,MATCH(K252&amp;L252,'_courses_lookup'!$E:$E,0)),"")</f>
        <v/>
      </c>
      <c r="AG252">
        <f>IF(AND(AE252&lt;&gt;"",AF252&lt;&gt;""),ROUNDUP((AF252-AE252)/7,0),"")</f>
        <v/>
      </c>
      <c r="AI252">
        <f>IFERROR(IF(AG252*AH252=0,"",AG252*AH252),"")</f>
        <v/>
      </c>
      <c r="AL252">
        <f>IF(AND(AJ252&lt;&gt;"",AK252&lt;&gt;""),ROUNDUP((AK252-AJ252)/7,0),"")</f>
        <v/>
      </c>
      <c r="AN252">
        <f>IFERROR(IF(AL252*AM252=0,"",AL252*AM252),"")</f>
        <v/>
      </c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L252">
        <f>IFERROR(INDEX('_names_lookup'!$C:$C,MATCH(BK252,'_names_lookup'!$A:$A,0)),"")</f>
        <v/>
      </c>
      <c r="BM252">
        <f>IFERROR(INDEX('_names_lookup'!$B:$B,MATCH(BK252,'_names_lookup'!$A:$A,0)),"")</f>
        <v/>
      </c>
      <c r="BS252">
        <f>IFERROR(IF(BR252*AA252=0,"",BR252*AA252),"")</f>
        <v/>
      </c>
    </row>
    <row r="253">
      <c r="O253">
        <f>IFERROR(INDEX('_courses_lookup'!$C:$C,MATCH(K253&amp;L253,'_courses_lookup'!$E:$E,0)),"")</f>
        <v/>
      </c>
      <c r="P253">
        <f>IFERROR(INDEX('_courses_lookup'!$D:$D,MATCH(K253&amp;L253,'_courses_lookup'!$E:$E,0)),"")</f>
        <v/>
      </c>
      <c r="AG253">
        <f>IF(AND(AE253&lt;&gt;"",AF253&lt;&gt;""),ROUNDUP((AF253-AE253)/7,0),"")</f>
        <v/>
      </c>
      <c r="AI253">
        <f>IFERROR(IF(AG253*AH253=0,"",AG253*AH253),"")</f>
        <v/>
      </c>
      <c r="AL253">
        <f>IF(AND(AJ253&lt;&gt;"",AK253&lt;&gt;""),ROUNDUP((AK253-AJ253)/7,0),"")</f>
        <v/>
      </c>
      <c r="AN253">
        <f>IFERROR(IF(AL253*AM253=0,"",AL253*AM253),"")</f>
        <v/>
      </c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L253">
        <f>IFERROR(INDEX('_names_lookup'!$C:$C,MATCH(BK253,'_names_lookup'!$A:$A,0)),"")</f>
        <v/>
      </c>
      <c r="BM253">
        <f>IFERROR(INDEX('_names_lookup'!$B:$B,MATCH(BK253,'_names_lookup'!$A:$A,0)),"")</f>
        <v/>
      </c>
      <c r="BS253">
        <f>IFERROR(IF(BR253*AA253=0,"",BR253*AA253),"")</f>
        <v/>
      </c>
    </row>
    <row r="254">
      <c r="O254">
        <f>IFERROR(INDEX('_courses_lookup'!$C:$C,MATCH(K254&amp;L254,'_courses_lookup'!$E:$E,0)),"")</f>
        <v/>
      </c>
      <c r="P254">
        <f>IFERROR(INDEX('_courses_lookup'!$D:$D,MATCH(K254&amp;L254,'_courses_lookup'!$E:$E,0)),"")</f>
        <v/>
      </c>
      <c r="AG254">
        <f>IF(AND(AE254&lt;&gt;"",AF254&lt;&gt;""),ROUNDUP((AF254-AE254)/7,0),"")</f>
        <v/>
      </c>
      <c r="AI254">
        <f>IFERROR(IF(AG254*AH254=0,"",AG254*AH254),"")</f>
        <v/>
      </c>
      <c r="AL254">
        <f>IF(AND(AJ254&lt;&gt;"",AK254&lt;&gt;""),ROUNDUP((AK254-AJ254)/7,0),"")</f>
        <v/>
      </c>
      <c r="AN254">
        <f>IFERROR(IF(AL254*AM254=0,"",AL254*AM254),"")</f>
        <v/>
      </c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L254">
        <f>IFERROR(INDEX('_names_lookup'!$C:$C,MATCH(BK254,'_names_lookup'!$A:$A,0)),"")</f>
        <v/>
      </c>
      <c r="BM254">
        <f>IFERROR(INDEX('_names_lookup'!$B:$B,MATCH(BK254,'_names_lookup'!$A:$A,0)),"")</f>
        <v/>
      </c>
      <c r="BS254">
        <f>IFERROR(IF(BR254*AA254=0,"",BR254*AA254),"")</f>
        <v/>
      </c>
    </row>
    <row r="255">
      <c r="O255">
        <f>IFERROR(INDEX('_courses_lookup'!$C:$C,MATCH(K255&amp;L255,'_courses_lookup'!$E:$E,0)),"")</f>
        <v/>
      </c>
      <c r="P255">
        <f>IFERROR(INDEX('_courses_lookup'!$D:$D,MATCH(K255&amp;L255,'_courses_lookup'!$E:$E,0)),"")</f>
        <v/>
      </c>
      <c r="AG255">
        <f>IF(AND(AE255&lt;&gt;"",AF255&lt;&gt;""),ROUNDUP((AF255-AE255)/7,0),"")</f>
        <v/>
      </c>
      <c r="AI255">
        <f>IFERROR(IF(AG255*AH255=0,"",AG255*AH255),"")</f>
        <v/>
      </c>
      <c r="AL255">
        <f>IF(AND(AJ255&lt;&gt;"",AK255&lt;&gt;""),ROUNDUP((AK255-AJ255)/7,0),"")</f>
        <v/>
      </c>
      <c r="AN255">
        <f>IFERROR(IF(AL255*AM255=0,"",AL255*AM255),"")</f>
        <v/>
      </c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L255">
        <f>IFERROR(INDEX('_names_lookup'!$C:$C,MATCH(BK255,'_names_lookup'!$A:$A,0)),"")</f>
        <v/>
      </c>
      <c r="BM255">
        <f>IFERROR(INDEX('_names_lookup'!$B:$B,MATCH(BK255,'_names_lookup'!$A:$A,0)),"")</f>
        <v/>
      </c>
      <c r="BS255">
        <f>IFERROR(IF(BR255*AA255=0,"",BR255*AA255),"")</f>
        <v/>
      </c>
    </row>
    <row r="256">
      <c r="O256">
        <f>IFERROR(INDEX('_courses_lookup'!$C:$C,MATCH(K256&amp;L256,'_courses_lookup'!$E:$E,0)),"")</f>
        <v/>
      </c>
      <c r="P256">
        <f>IFERROR(INDEX('_courses_lookup'!$D:$D,MATCH(K256&amp;L256,'_courses_lookup'!$E:$E,0)),"")</f>
        <v/>
      </c>
      <c r="AG256">
        <f>IF(AND(AE256&lt;&gt;"",AF256&lt;&gt;""),ROUNDUP((AF256-AE256)/7,0),"")</f>
        <v/>
      </c>
      <c r="AI256">
        <f>IFERROR(IF(AG256*AH256=0,"",AG256*AH256),"")</f>
        <v/>
      </c>
      <c r="AL256">
        <f>IF(AND(AJ256&lt;&gt;"",AK256&lt;&gt;""),ROUNDUP((AK256-AJ256)/7,0),"")</f>
        <v/>
      </c>
      <c r="AN256">
        <f>IFERROR(IF(AL256*AM256=0,"",AL256*AM256),"")</f>
        <v/>
      </c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L256">
        <f>IFERROR(INDEX('_names_lookup'!$C:$C,MATCH(BK256,'_names_lookup'!$A:$A,0)),"")</f>
        <v/>
      </c>
      <c r="BM256">
        <f>IFERROR(INDEX('_names_lookup'!$B:$B,MATCH(BK256,'_names_lookup'!$A:$A,0)),"")</f>
        <v/>
      </c>
      <c r="BS256">
        <f>IFERROR(IF(BR256*AA256=0,"",BR256*AA256),"")</f>
        <v/>
      </c>
    </row>
    <row r="257">
      <c r="O257">
        <f>IFERROR(INDEX('_courses_lookup'!$C:$C,MATCH(K257&amp;L257,'_courses_lookup'!$E:$E,0)),"")</f>
        <v/>
      </c>
      <c r="P257">
        <f>IFERROR(INDEX('_courses_lookup'!$D:$D,MATCH(K257&amp;L257,'_courses_lookup'!$E:$E,0)),"")</f>
        <v/>
      </c>
      <c r="AG257">
        <f>IF(AND(AE257&lt;&gt;"",AF257&lt;&gt;""),ROUNDUP((AF257-AE257)/7,0),"")</f>
        <v/>
      </c>
      <c r="AI257">
        <f>IFERROR(IF(AG257*AH257=0,"",AG257*AH257),"")</f>
        <v/>
      </c>
      <c r="AL257">
        <f>IF(AND(AJ257&lt;&gt;"",AK257&lt;&gt;""),ROUNDUP((AK257-AJ257)/7,0),"")</f>
        <v/>
      </c>
      <c r="AN257">
        <f>IFERROR(IF(AL257*AM257=0,"",AL257*AM257),"")</f>
        <v/>
      </c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L257">
        <f>IFERROR(INDEX('_names_lookup'!$C:$C,MATCH(BK257,'_names_lookup'!$A:$A,0)),"")</f>
        <v/>
      </c>
      <c r="BM257">
        <f>IFERROR(INDEX('_names_lookup'!$B:$B,MATCH(BK257,'_names_lookup'!$A:$A,0)),"")</f>
        <v/>
      </c>
      <c r="BS257">
        <f>IFERROR(IF(BR257*AA257=0,"",BR257*AA257),"")</f>
        <v/>
      </c>
    </row>
    <row r="258">
      <c r="O258">
        <f>IFERROR(INDEX('_courses_lookup'!$C:$C,MATCH(K258&amp;L258,'_courses_lookup'!$E:$E,0)),"")</f>
        <v/>
      </c>
      <c r="P258">
        <f>IFERROR(INDEX('_courses_lookup'!$D:$D,MATCH(K258&amp;L258,'_courses_lookup'!$E:$E,0)),"")</f>
        <v/>
      </c>
      <c r="AG258">
        <f>IF(AND(AE258&lt;&gt;"",AF258&lt;&gt;""),ROUNDUP((AF258-AE258)/7,0),"")</f>
        <v/>
      </c>
      <c r="AI258">
        <f>IFERROR(IF(AG258*AH258=0,"",AG258*AH258),"")</f>
        <v/>
      </c>
      <c r="AL258">
        <f>IF(AND(AJ258&lt;&gt;"",AK258&lt;&gt;""),ROUNDUP((AK258-AJ258)/7,0),"")</f>
        <v/>
      </c>
      <c r="AN258">
        <f>IFERROR(IF(AL258*AM258=0,"",AL258*AM258),"")</f>
        <v/>
      </c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L258">
        <f>IFERROR(INDEX('_names_lookup'!$C:$C,MATCH(BK258,'_names_lookup'!$A:$A,0)),"")</f>
        <v/>
      </c>
      <c r="BM258">
        <f>IFERROR(INDEX('_names_lookup'!$B:$B,MATCH(BK258,'_names_lookup'!$A:$A,0)),"")</f>
        <v/>
      </c>
      <c r="BS258">
        <f>IFERROR(IF(BR258*AA258=0,"",BR258*AA258),"")</f>
        <v/>
      </c>
    </row>
    <row r="259">
      <c r="O259">
        <f>IFERROR(INDEX('_courses_lookup'!$C:$C,MATCH(K259&amp;L259,'_courses_lookup'!$E:$E,0)),"")</f>
        <v/>
      </c>
      <c r="P259">
        <f>IFERROR(INDEX('_courses_lookup'!$D:$D,MATCH(K259&amp;L259,'_courses_lookup'!$E:$E,0)),"")</f>
        <v/>
      </c>
      <c r="AG259">
        <f>IF(AND(AE259&lt;&gt;"",AF259&lt;&gt;""),ROUNDUP((AF259-AE259)/7,0),"")</f>
        <v/>
      </c>
      <c r="AI259">
        <f>IFERROR(IF(AG259*AH259=0,"",AG259*AH259),"")</f>
        <v/>
      </c>
      <c r="AL259">
        <f>IF(AND(AJ259&lt;&gt;"",AK259&lt;&gt;""),ROUNDUP((AK259-AJ259)/7,0),"")</f>
        <v/>
      </c>
      <c r="AN259">
        <f>IFERROR(IF(AL259*AM259=0,"",AL259*AM259),"")</f>
        <v/>
      </c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L259">
        <f>IFERROR(INDEX('_names_lookup'!$C:$C,MATCH(BK259,'_names_lookup'!$A:$A,0)),"")</f>
        <v/>
      </c>
      <c r="BM259">
        <f>IFERROR(INDEX('_names_lookup'!$B:$B,MATCH(BK259,'_names_lookup'!$A:$A,0)),"")</f>
        <v/>
      </c>
      <c r="BS259">
        <f>IFERROR(IF(BR259*AA259=0,"",BR259*AA259),"")</f>
        <v/>
      </c>
    </row>
    <row r="260">
      <c r="O260">
        <f>IFERROR(INDEX('_courses_lookup'!$C:$C,MATCH(K260&amp;L260,'_courses_lookup'!$E:$E,0)),"")</f>
        <v/>
      </c>
      <c r="P260">
        <f>IFERROR(INDEX('_courses_lookup'!$D:$D,MATCH(K260&amp;L260,'_courses_lookup'!$E:$E,0)),"")</f>
        <v/>
      </c>
      <c r="AG260">
        <f>IF(AND(AE260&lt;&gt;"",AF260&lt;&gt;""),ROUNDUP((AF260-AE260)/7,0),"")</f>
        <v/>
      </c>
      <c r="AI260">
        <f>IFERROR(IF(AG260*AH260=0,"",AG260*AH260),"")</f>
        <v/>
      </c>
      <c r="AL260">
        <f>IF(AND(AJ260&lt;&gt;"",AK260&lt;&gt;""),ROUNDUP((AK260-AJ260)/7,0),"")</f>
        <v/>
      </c>
      <c r="AN260">
        <f>IFERROR(IF(AL260*AM260=0,"",AL260*AM260),"")</f>
        <v/>
      </c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L260">
        <f>IFERROR(INDEX('_names_lookup'!$C:$C,MATCH(BK260,'_names_lookup'!$A:$A,0)),"")</f>
        <v/>
      </c>
      <c r="BM260">
        <f>IFERROR(INDEX('_names_lookup'!$B:$B,MATCH(BK260,'_names_lookup'!$A:$A,0)),"")</f>
        <v/>
      </c>
      <c r="BS260">
        <f>IFERROR(IF(BR260*AA260=0,"",BR260*AA260),"")</f>
        <v/>
      </c>
    </row>
    <row r="261">
      <c r="O261">
        <f>IFERROR(INDEX('_courses_lookup'!$C:$C,MATCH(K261&amp;L261,'_courses_lookup'!$E:$E,0)),"")</f>
        <v/>
      </c>
      <c r="P261">
        <f>IFERROR(INDEX('_courses_lookup'!$D:$D,MATCH(K261&amp;L261,'_courses_lookup'!$E:$E,0)),"")</f>
        <v/>
      </c>
      <c r="AG261">
        <f>IF(AND(AE261&lt;&gt;"",AF261&lt;&gt;""),ROUNDUP((AF261-AE261)/7,0),"")</f>
        <v/>
      </c>
      <c r="AI261">
        <f>IFERROR(IF(AG261*AH261=0,"",AG261*AH261),"")</f>
        <v/>
      </c>
      <c r="AL261">
        <f>IF(AND(AJ261&lt;&gt;"",AK261&lt;&gt;""),ROUNDUP((AK261-AJ261)/7,0),"")</f>
        <v/>
      </c>
      <c r="AN261">
        <f>IFERROR(IF(AL261*AM261=0,"",AL261*AM261),"")</f>
        <v/>
      </c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L261">
        <f>IFERROR(INDEX('_names_lookup'!$C:$C,MATCH(BK261,'_names_lookup'!$A:$A,0)),"")</f>
        <v/>
      </c>
      <c r="BM261">
        <f>IFERROR(INDEX('_names_lookup'!$B:$B,MATCH(BK261,'_names_lookup'!$A:$A,0)),"")</f>
        <v/>
      </c>
      <c r="BS261">
        <f>IFERROR(IF(BR261*AA261=0,"",BR261*AA261),"")</f>
        <v/>
      </c>
    </row>
    <row r="262">
      <c r="O262">
        <f>IFERROR(INDEX('_courses_lookup'!$C:$C,MATCH(K262&amp;L262,'_courses_lookup'!$E:$E,0)),"")</f>
        <v/>
      </c>
      <c r="P262">
        <f>IFERROR(INDEX('_courses_lookup'!$D:$D,MATCH(K262&amp;L262,'_courses_lookup'!$E:$E,0)),"")</f>
        <v/>
      </c>
      <c r="AG262">
        <f>IF(AND(AE262&lt;&gt;"",AF262&lt;&gt;""),ROUNDUP((AF262-AE262)/7,0),"")</f>
        <v/>
      </c>
      <c r="AI262">
        <f>IFERROR(IF(AG262*AH262=0,"",AG262*AH262),"")</f>
        <v/>
      </c>
      <c r="AL262">
        <f>IF(AND(AJ262&lt;&gt;"",AK262&lt;&gt;""),ROUNDUP((AK262-AJ262)/7,0),"")</f>
        <v/>
      </c>
      <c r="AN262">
        <f>IFERROR(IF(AL262*AM262=0,"",AL262*AM262),"")</f>
        <v/>
      </c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L262">
        <f>IFERROR(INDEX('_names_lookup'!$C:$C,MATCH(BK262,'_names_lookup'!$A:$A,0)),"")</f>
        <v/>
      </c>
      <c r="BM262">
        <f>IFERROR(INDEX('_names_lookup'!$B:$B,MATCH(BK262,'_names_lookup'!$A:$A,0)),"")</f>
        <v/>
      </c>
      <c r="BS262">
        <f>IFERROR(IF(BR262*AA262=0,"",BR262*AA262),"")</f>
        <v/>
      </c>
    </row>
    <row r="263">
      <c r="O263">
        <f>IFERROR(INDEX('_courses_lookup'!$C:$C,MATCH(K263&amp;L263,'_courses_lookup'!$E:$E,0)),"")</f>
        <v/>
      </c>
      <c r="P263">
        <f>IFERROR(INDEX('_courses_lookup'!$D:$D,MATCH(K263&amp;L263,'_courses_lookup'!$E:$E,0)),"")</f>
        <v/>
      </c>
      <c r="AG263">
        <f>IF(AND(AE263&lt;&gt;"",AF263&lt;&gt;""),ROUNDUP((AF263-AE263)/7,0),"")</f>
        <v/>
      </c>
      <c r="AI263">
        <f>IFERROR(IF(AG263*AH263=0,"",AG263*AH263),"")</f>
        <v/>
      </c>
      <c r="AL263">
        <f>IF(AND(AJ263&lt;&gt;"",AK263&lt;&gt;""),ROUNDUP((AK263-AJ263)/7,0),"")</f>
        <v/>
      </c>
      <c r="AN263">
        <f>IFERROR(IF(AL263*AM263=0,"",AL263*AM263),"")</f>
        <v/>
      </c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L263">
        <f>IFERROR(INDEX('_names_lookup'!$C:$C,MATCH(BK263,'_names_lookup'!$A:$A,0)),"")</f>
        <v/>
      </c>
      <c r="BM263">
        <f>IFERROR(INDEX('_names_lookup'!$B:$B,MATCH(BK263,'_names_lookup'!$A:$A,0)),"")</f>
        <v/>
      </c>
      <c r="BS263">
        <f>IFERROR(IF(BR263*AA263=0,"",BR263*AA263),"")</f>
        <v/>
      </c>
    </row>
    <row r="264">
      <c r="O264">
        <f>IFERROR(INDEX('_courses_lookup'!$C:$C,MATCH(K264&amp;L264,'_courses_lookup'!$E:$E,0)),"")</f>
        <v/>
      </c>
      <c r="P264">
        <f>IFERROR(INDEX('_courses_lookup'!$D:$D,MATCH(K264&amp;L264,'_courses_lookup'!$E:$E,0)),"")</f>
        <v/>
      </c>
      <c r="AG264">
        <f>IF(AND(AE264&lt;&gt;"",AF264&lt;&gt;""),ROUNDUP((AF264-AE264)/7,0),"")</f>
        <v/>
      </c>
      <c r="AI264">
        <f>IFERROR(IF(AG264*AH264=0,"",AG264*AH264),"")</f>
        <v/>
      </c>
      <c r="AL264">
        <f>IF(AND(AJ264&lt;&gt;"",AK264&lt;&gt;""),ROUNDUP((AK264-AJ264)/7,0),"")</f>
        <v/>
      </c>
      <c r="AN264">
        <f>IFERROR(IF(AL264*AM264=0,"",AL264*AM264),"")</f>
        <v/>
      </c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L264">
        <f>IFERROR(INDEX('_names_lookup'!$C:$C,MATCH(BK264,'_names_lookup'!$A:$A,0)),"")</f>
        <v/>
      </c>
      <c r="BM264">
        <f>IFERROR(INDEX('_names_lookup'!$B:$B,MATCH(BK264,'_names_lookup'!$A:$A,0)),"")</f>
        <v/>
      </c>
      <c r="BS264">
        <f>IFERROR(IF(BR264*AA264=0,"",BR264*AA264),"")</f>
        <v/>
      </c>
    </row>
    <row r="265">
      <c r="O265">
        <f>IFERROR(INDEX('_courses_lookup'!$C:$C,MATCH(K265&amp;L265,'_courses_lookup'!$E:$E,0)),"")</f>
        <v/>
      </c>
      <c r="P265">
        <f>IFERROR(INDEX('_courses_lookup'!$D:$D,MATCH(K265&amp;L265,'_courses_lookup'!$E:$E,0)),"")</f>
        <v/>
      </c>
      <c r="AG265">
        <f>IF(AND(AE265&lt;&gt;"",AF265&lt;&gt;""),ROUNDUP((AF265-AE265)/7,0),"")</f>
        <v/>
      </c>
      <c r="AI265">
        <f>IFERROR(IF(AG265*AH265=0,"",AG265*AH265),"")</f>
        <v/>
      </c>
      <c r="AL265">
        <f>IF(AND(AJ265&lt;&gt;"",AK265&lt;&gt;""),ROUNDUP((AK265-AJ265)/7,0),"")</f>
        <v/>
      </c>
      <c r="AN265">
        <f>IFERROR(IF(AL265*AM265=0,"",AL265*AM265),"")</f>
        <v/>
      </c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L265">
        <f>IFERROR(INDEX('_names_lookup'!$C:$C,MATCH(BK265,'_names_lookup'!$A:$A,0)),"")</f>
        <v/>
      </c>
      <c r="BM265">
        <f>IFERROR(INDEX('_names_lookup'!$B:$B,MATCH(BK265,'_names_lookup'!$A:$A,0)),"")</f>
        <v/>
      </c>
      <c r="BS265">
        <f>IFERROR(IF(BR265*AA265=0,"",BR265*AA265),"")</f>
        <v/>
      </c>
    </row>
    <row r="266">
      <c r="O266">
        <f>IFERROR(INDEX('_courses_lookup'!$C:$C,MATCH(K266&amp;L266,'_courses_lookup'!$E:$E,0)),"")</f>
        <v/>
      </c>
      <c r="P266">
        <f>IFERROR(INDEX('_courses_lookup'!$D:$D,MATCH(K266&amp;L266,'_courses_lookup'!$E:$E,0)),"")</f>
        <v/>
      </c>
      <c r="AG266">
        <f>IF(AND(AE266&lt;&gt;"",AF266&lt;&gt;""),ROUNDUP((AF266-AE266)/7,0),"")</f>
        <v/>
      </c>
      <c r="AI266">
        <f>IFERROR(IF(AG266*AH266=0,"",AG266*AH266),"")</f>
        <v/>
      </c>
      <c r="AL266">
        <f>IF(AND(AJ266&lt;&gt;"",AK266&lt;&gt;""),ROUNDUP((AK266-AJ266)/7,0),"")</f>
        <v/>
      </c>
      <c r="AN266">
        <f>IFERROR(IF(AL266*AM266=0,"",AL266*AM266),"")</f>
        <v/>
      </c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L266">
        <f>IFERROR(INDEX('_names_lookup'!$C:$C,MATCH(BK266,'_names_lookup'!$A:$A,0)),"")</f>
        <v/>
      </c>
      <c r="BM266">
        <f>IFERROR(INDEX('_names_lookup'!$B:$B,MATCH(BK266,'_names_lookup'!$A:$A,0)),"")</f>
        <v/>
      </c>
      <c r="BS266">
        <f>IFERROR(IF(BR266*AA266=0,"",BR266*AA266),"")</f>
        <v/>
      </c>
    </row>
    <row r="267">
      <c r="O267">
        <f>IFERROR(INDEX('_courses_lookup'!$C:$C,MATCH(K267&amp;L267,'_courses_lookup'!$E:$E,0)),"")</f>
        <v/>
      </c>
      <c r="P267">
        <f>IFERROR(INDEX('_courses_lookup'!$D:$D,MATCH(K267&amp;L267,'_courses_lookup'!$E:$E,0)),"")</f>
        <v/>
      </c>
      <c r="AG267">
        <f>IF(AND(AE267&lt;&gt;"",AF267&lt;&gt;""),ROUNDUP((AF267-AE267)/7,0),"")</f>
        <v/>
      </c>
      <c r="AI267">
        <f>IFERROR(IF(AG267*AH267=0,"",AG267*AH267),"")</f>
        <v/>
      </c>
      <c r="AL267">
        <f>IF(AND(AJ267&lt;&gt;"",AK267&lt;&gt;""),ROUNDUP((AK267-AJ267)/7,0),"")</f>
        <v/>
      </c>
      <c r="AN267">
        <f>IFERROR(IF(AL267*AM267=0,"",AL267*AM267),"")</f>
        <v/>
      </c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L267">
        <f>IFERROR(INDEX('_names_lookup'!$C:$C,MATCH(BK267,'_names_lookup'!$A:$A,0)),"")</f>
        <v/>
      </c>
      <c r="BM267">
        <f>IFERROR(INDEX('_names_lookup'!$B:$B,MATCH(BK267,'_names_lookup'!$A:$A,0)),"")</f>
        <v/>
      </c>
      <c r="BS267">
        <f>IFERROR(IF(BR267*AA267=0,"",BR267*AA267),"")</f>
        <v/>
      </c>
    </row>
    <row r="268">
      <c r="O268">
        <f>IFERROR(INDEX('_courses_lookup'!$C:$C,MATCH(K268&amp;L268,'_courses_lookup'!$E:$E,0)),"")</f>
        <v/>
      </c>
      <c r="P268">
        <f>IFERROR(INDEX('_courses_lookup'!$D:$D,MATCH(K268&amp;L268,'_courses_lookup'!$E:$E,0)),"")</f>
        <v/>
      </c>
      <c r="AG268">
        <f>IF(AND(AE268&lt;&gt;"",AF268&lt;&gt;""),ROUNDUP((AF268-AE268)/7,0),"")</f>
        <v/>
      </c>
      <c r="AI268">
        <f>IFERROR(IF(AG268*AH268=0,"",AG268*AH268),"")</f>
        <v/>
      </c>
      <c r="AL268">
        <f>IF(AND(AJ268&lt;&gt;"",AK268&lt;&gt;""),ROUNDUP((AK268-AJ268)/7,0),"")</f>
        <v/>
      </c>
      <c r="AN268">
        <f>IFERROR(IF(AL268*AM268=0,"",AL268*AM268),"")</f>
        <v/>
      </c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L268">
        <f>IFERROR(INDEX('_names_lookup'!$C:$C,MATCH(BK268,'_names_lookup'!$A:$A,0)),"")</f>
        <v/>
      </c>
      <c r="BM268">
        <f>IFERROR(INDEX('_names_lookup'!$B:$B,MATCH(BK268,'_names_lookup'!$A:$A,0)),"")</f>
        <v/>
      </c>
      <c r="BS268">
        <f>IFERROR(IF(BR268*AA268=0,"",BR268*AA268),"")</f>
        <v/>
      </c>
    </row>
    <row r="269">
      <c r="O269">
        <f>IFERROR(INDEX('_courses_lookup'!$C:$C,MATCH(K269&amp;L269,'_courses_lookup'!$E:$E,0)),"")</f>
        <v/>
      </c>
      <c r="P269">
        <f>IFERROR(INDEX('_courses_lookup'!$D:$D,MATCH(K269&amp;L269,'_courses_lookup'!$E:$E,0)),"")</f>
        <v/>
      </c>
      <c r="AG269">
        <f>IF(AND(AE269&lt;&gt;"",AF269&lt;&gt;""),ROUNDUP((AF269-AE269)/7,0),"")</f>
        <v/>
      </c>
      <c r="AI269">
        <f>IFERROR(IF(AG269*AH269=0,"",AG269*AH269),"")</f>
        <v/>
      </c>
      <c r="AL269">
        <f>IF(AND(AJ269&lt;&gt;"",AK269&lt;&gt;""),ROUNDUP((AK269-AJ269)/7,0),"")</f>
        <v/>
      </c>
      <c r="AN269">
        <f>IFERROR(IF(AL269*AM269=0,"",AL269*AM269),"")</f>
        <v/>
      </c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L269">
        <f>IFERROR(INDEX('_names_lookup'!$C:$C,MATCH(BK269,'_names_lookup'!$A:$A,0)),"")</f>
        <v/>
      </c>
      <c r="BM269">
        <f>IFERROR(INDEX('_names_lookup'!$B:$B,MATCH(BK269,'_names_lookup'!$A:$A,0)),"")</f>
        <v/>
      </c>
      <c r="BS269">
        <f>IFERROR(IF(BR269*AA269=0,"",BR269*AA269),"")</f>
        <v/>
      </c>
    </row>
    <row r="270">
      <c r="O270">
        <f>IFERROR(INDEX('_courses_lookup'!$C:$C,MATCH(K270&amp;L270,'_courses_lookup'!$E:$E,0)),"")</f>
        <v/>
      </c>
      <c r="P270">
        <f>IFERROR(INDEX('_courses_lookup'!$D:$D,MATCH(K270&amp;L270,'_courses_lookup'!$E:$E,0)),"")</f>
        <v/>
      </c>
      <c r="AG270">
        <f>IF(AND(AE270&lt;&gt;"",AF270&lt;&gt;""),ROUNDUP((AF270-AE270)/7,0),"")</f>
        <v/>
      </c>
      <c r="AI270">
        <f>IFERROR(IF(AG270*AH270=0,"",AG270*AH270),"")</f>
        <v/>
      </c>
      <c r="AL270">
        <f>IF(AND(AJ270&lt;&gt;"",AK270&lt;&gt;""),ROUNDUP((AK270-AJ270)/7,0),"")</f>
        <v/>
      </c>
      <c r="AN270">
        <f>IFERROR(IF(AL270*AM270=0,"",AL270*AM270),"")</f>
        <v/>
      </c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L270">
        <f>IFERROR(INDEX('_names_lookup'!$C:$C,MATCH(BK270,'_names_lookup'!$A:$A,0)),"")</f>
        <v/>
      </c>
      <c r="BM270">
        <f>IFERROR(INDEX('_names_lookup'!$B:$B,MATCH(BK270,'_names_lookup'!$A:$A,0)),"")</f>
        <v/>
      </c>
      <c r="BS270">
        <f>IFERROR(IF(BR270*AA270=0,"",BR270*AA270),"")</f>
        <v/>
      </c>
    </row>
    <row r="271">
      <c r="O271">
        <f>IFERROR(INDEX('_courses_lookup'!$C:$C,MATCH(K271&amp;L271,'_courses_lookup'!$E:$E,0)),"")</f>
        <v/>
      </c>
      <c r="P271">
        <f>IFERROR(INDEX('_courses_lookup'!$D:$D,MATCH(K271&amp;L271,'_courses_lookup'!$E:$E,0)),"")</f>
        <v/>
      </c>
      <c r="AG271">
        <f>IF(AND(AE271&lt;&gt;"",AF271&lt;&gt;""),ROUNDUP((AF271-AE271)/7,0),"")</f>
        <v/>
      </c>
      <c r="AI271">
        <f>IFERROR(IF(AG271*AH271=0,"",AG271*AH271),"")</f>
        <v/>
      </c>
      <c r="AL271">
        <f>IF(AND(AJ271&lt;&gt;"",AK271&lt;&gt;""),ROUNDUP((AK271-AJ271)/7,0),"")</f>
        <v/>
      </c>
      <c r="AN271">
        <f>IFERROR(IF(AL271*AM271=0,"",AL271*AM271),"")</f>
        <v/>
      </c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L271">
        <f>IFERROR(INDEX('_names_lookup'!$C:$C,MATCH(BK271,'_names_lookup'!$A:$A,0)),"")</f>
        <v/>
      </c>
      <c r="BM271">
        <f>IFERROR(INDEX('_names_lookup'!$B:$B,MATCH(BK271,'_names_lookup'!$A:$A,0)),"")</f>
        <v/>
      </c>
      <c r="BS271">
        <f>IFERROR(IF(BR271*AA271=0,"",BR271*AA271),"")</f>
        <v/>
      </c>
    </row>
    <row r="272">
      <c r="O272">
        <f>IFERROR(INDEX('_courses_lookup'!$C:$C,MATCH(K272&amp;L272,'_courses_lookup'!$E:$E,0)),"")</f>
        <v/>
      </c>
      <c r="P272">
        <f>IFERROR(INDEX('_courses_lookup'!$D:$D,MATCH(K272&amp;L272,'_courses_lookup'!$E:$E,0)),"")</f>
        <v/>
      </c>
      <c r="AG272">
        <f>IF(AND(AE272&lt;&gt;"",AF272&lt;&gt;""),ROUNDUP((AF272-AE272)/7,0),"")</f>
        <v/>
      </c>
      <c r="AI272">
        <f>IFERROR(IF(AG272*AH272=0,"",AG272*AH272),"")</f>
        <v/>
      </c>
      <c r="AL272">
        <f>IF(AND(AJ272&lt;&gt;"",AK272&lt;&gt;""),ROUNDUP((AK272-AJ272)/7,0),"")</f>
        <v/>
      </c>
      <c r="AN272">
        <f>IFERROR(IF(AL272*AM272=0,"",AL272*AM272),"")</f>
        <v/>
      </c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L272">
        <f>IFERROR(INDEX('_names_lookup'!$C:$C,MATCH(BK272,'_names_lookup'!$A:$A,0)),"")</f>
        <v/>
      </c>
      <c r="BM272">
        <f>IFERROR(INDEX('_names_lookup'!$B:$B,MATCH(BK272,'_names_lookup'!$A:$A,0)),"")</f>
        <v/>
      </c>
      <c r="BS272">
        <f>IFERROR(IF(BR272*AA272=0,"",BR272*AA272),"")</f>
        <v/>
      </c>
    </row>
    <row r="273">
      <c r="O273">
        <f>IFERROR(INDEX('_courses_lookup'!$C:$C,MATCH(K273&amp;L273,'_courses_lookup'!$E:$E,0)),"")</f>
        <v/>
      </c>
      <c r="P273">
        <f>IFERROR(INDEX('_courses_lookup'!$D:$D,MATCH(K273&amp;L273,'_courses_lookup'!$E:$E,0)),"")</f>
        <v/>
      </c>
      <c r="AG273">
        <f>IF(AND(AE273&lt;&gt;"",AF273&lt;&gt;""),ROUNDUP((AF273-AE273)/7,0),"")</f>
        <v/>
      </c>
      <c r="AI273">
        <f>IFERROR(IF(AG273*AH273=0,"",AG273*AH273),"")</f>
        <v/>
      </c>
      <c r="AL273">
        <f>IF(AND(AJ273&lt;&gt;"",AK273&lt;&gt;""),ROUNDUP((AK273-AJ273)/7,0),"")</f>
        <v/>
      </c>
      <c r="AN273">
        <f>IFERROR(IF(AL273*AM273=0,"",AL273*AM273),"")</f>
        <v/>
      </c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L273">
        <f>IFERROR(INDEX('_names_lookup'!$C:$C,MATCH(BK273,'_names_lookup'!$A:$A,0)),"")</f>
        <v/>
      </c>
      <c r="BM273">
        <f>IFERROR(INDEX('_names_lookup'!$B:$B,MATCH(BK273,'_names_lookup'!$A:$A,0)),"")</f>
        <v/>
      </c>
      <c r="BS273">
        <f>IFERROR(IF(BR273*AA273=0,"",BR273*AA273),"")</f>
        <v/>
      </c>
    </row>
    <row r="274">
      <c r="O274">
        <f>IFERROR(INDEX('_courses_lookup'!$C:$C,MATCH(K274&amp;L274,'_courses_lookup'!$E:$E,0)),"")</f>
        <v/>
      </c>
      <c r="P274">
        <f>IFERROR(INDEX('_courses_lookup'!$D:$D,MATCH(K274&amp;L274,'_courses_lookup'!$E:$E,0)),"")</f>
        <v/>
      </c>
      <c r="AG274">
        <f>IF(AND(AE274&lt;&gt;"",AF274&lt;&gt;""),ROUNDUP((AF274-AE274)/7,0),"")</f>
        <v/>
      </c>
      <c r="AI274">
        <f>IFERROR(IF(AG274*AH274=0,"",AG274*AH274),"")</f>
        <v/>
      </c>
      <c r="AL274">
        <f>IF(AND(AJ274&lt;&gt;"",AK274&lt;&gt;""),ROUNDUP((AK274-AJ274)/7,0),"")</f>
        <v/>
      </c>
      <c r="AN274">
        <f>IFERROR(IF(AL274*AM274=0,"",AL274*AM274),"")</f>
        <v/>
      </c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L274">
        <f>IFERROR(INDEX('_names_lookup'!$C:$C,MATCH(BK274,'_names_lookup'!$A:$A,0)),"")</f>
        <v/>
      </c>
      <c r="BM274">
        <f>IFERROR(INDEX('_names_lookup'!$B:$B,MATCH(BK274,'_names_lookup'!$A:$A,0)),"")</f>
        <v/>
      </c>
      <c r="BS274">
        <f>IFERROR(IF(BR274*AA274=0,"",BR274*AA274),"")</f>
        <v/>
      </c>
    </row>
    <row r="275">
      <c r="O275">
        <f>IFERROR(INDEX('_courses_lookup'!$C:$C,MATCH(K275&amp;L275,'_courses_lookup'!$E:$E,0)),"")</f>
        <v/>
      </c>
      <c r="P275">
        <f>IFERROR(INDEX('_courses_lookup'!$D:$D,MATCH(K275&amp;L275,'_courses_lookup'!$E:$E,0)),"")</f>
        <v/>
      </c>
      <c r="AG275">
        <f>IF(AND(AE275&lt;&gt;"",AF275&lt;&gt;""),ROUNDUP((AF275-AE275)/7,0),"")</f>
        <v/>
      </c>
      <c r="AI275">
        <f>IFERROR(IF(AG275*AH275=0,"",AG275*AH275),"")</f>
        <v/>
      </c>
      <c r="AL275">
        <f>IF(AND(AJ275&lt;&gt;"",AK275&lt;&gt;""),ROUNDUP((AK275-AJ275)/7,0),"")</f>
        <v/>
      </c>
      <c r="AN275">
        <f>IFERROR(IF(AL275*AM275=0,"",AL275*AM275),"")</f>
        <v/>
      </c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L275">
        <f>IFERROR(INDEX('_names_lookup'!$C:$C,MATCH(BK275,'_names_lookup'!$A:$A,0)),"")</f>
        <v/>
      </c>
      <c r="BM275">
        <f>IFERROR(INDEX('_names_lookup'!$B:$B,MATCH(BK275,'_names_lookup'!$A:$A,0)),"")</f>
        <v/>
      </c>
      <c r="BS275">
        <f>IFERROR(IF(BR275*AA275=0,"",BR275*AA275),"")</f>
        <v/>
      </c>
    </row>
    <row r="276">
      <c r="O276">
        <f>IFERROR(INDEX('_courses_lookup'!$C:$C,MATCH(K276&amp;L276,'_courses_lookup'!$E:$E,0)),"")</f>
        <v/>
      </c>
      <c r="P276">
        <f>IFERROR(INDEX('_courses_lookup'!$D:$D,MATCH(K276&amp;L276,'_courses_lookup'!$E:$E,0)),"")</f>
        <v/>
      </c>
      <c r="AG276">
        <f>IF(AND(AE276&lt;&gt;"",AF276&lt;&gt;""),ROUNDUP((AF276-AE276)/7,0),"")</f>
        <v/>
      </c>
      <c r="AI276">
        <f>IFERROR(IF(AG276*AH276=0,"",AG276*AH276),"")</f>
        <v/>
      </c>
      <c r="AL276">
        <f>IF(AND(AJ276&lt;&gt;"",AK276&lt;&gt;""),ROUNDUP((AK276-AJ276)/7,0),"")</f>
        <v/>
      </c>
      <c r="AN276">
        <f>IFERROR(IF(AL276*AM276=0,"",AL276*AM276),"")</f>
        <v/>
      </c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L276">
        <f>IFERROR(INDEX('_names_lookup'!$C:$C,MATCH(BK276,'_names_lookup'!$A:$A,0)),"")</f>
        <v/>
      </c>
      <c r="BM276">
        <f>IFERROR(INDEX('_names_lookup'!$B:$B,MATCH(BK276,'_names_lookup'!$A:$A,0)),"")</f>
        <v/>
      </c>
      <c r="BS276">
        <f>IFERROR(IF(BR276*AA276=0,"",BR276*AA276),"")</f>
        <v/>
      </c>
    </row>
    <row r="277">
      <c r="O277">
        <f>IFERROR(INDEX('_courses_lookup'!$C:$C,MATCH(K277&amp;L277,'_courses_lookup'!$E:$E,0)),"")</f>
        <v/>
      </c>
      <c r="P277">
        <f>IFERROR(INDEX('_courses_lookup'!$D:$D,MATCH(K277&amp;L277,'_courses_lookup'!$E:$E,0)),"")</f>
        <v/>
      </c>
      <c r="AG277">
        <f>IF(AND(AE277&lt;&gt;"",AF277&lt;&gt;""),ROUNDUP((AF277-AE277)/7,0),"")</f>
        <v/>
      </c>
      <c r="AI277">
        <f>IFERROR(IF(AG277*AH277=0,"",AG277*AH277),"")</f>
        <v/>
      </c>
      <c r="AL277">
        <f>IF(AND(AJ277&lt;&gt;"",AK277&lt;&gt;""),ROUNDUP((AK277-AJ277)/7,0),"")</f>
        <v/>
      </c>
      <c r="AN277">
        <f>IFERROR(IF(AL277*AM277=0,"",AL277*AM277),"")</f>
        <v/>
      </c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L277">
        <f>IFERROR(INDEX('_names_lookup'!$C:$C,MATCH(BK277,'_names_lookup'!$A:$A,0)),"")</f>
        <v/>
      </c>
      <c r="BM277">
        <f>IFERROR(INDEX('_names_lookup'!$B:$B,MATCH(BK277,'_names_lookup'!$A:$A,0)),"")</f>
        <v/>
      </c>
      <c r="BS277">
        <f>IFERROR(IF(BR277*AA277=0,"",BR277*AA277),"")</f>
        <v/>
      </c>
    </row>
    <row r="278">
      <c r="O278">
        <f>IFERROR(INDEX('_courses_lookup'!$C:$C,MATCH(K278&amp;L278,'_courses_lookup'!$E:$E,0)),"")</f>
        <v/>
      </c>
      <c r="P278">
        <f>IFERROR(INDEX('_courses_lookup'!$D:$D,MATCH(K278&amp;L278,'_courses_lookup'!$E:$E,0)),"")</f>
        <v/>
      </c>
      <c r="AG278">
        <f>IF(AND(AE278&lt;&gt;"",AF278&lt;&gt;""),ROUNDUP((AF278-AE278)/7,0),"")</f>
        <v/>
      </c>
      <c r="AI278">
        <f>IFERROR(IF(AG278*AH278=0,"",AG278*AH278),"")</f>
        <v/>
      </c>
      <c r="AL278">
        <f>IF(AND(AJ278&lt;&gt;"",AK278&lt;&gt;""),ROUNDUP((AK278-AJ278)/7,0),"")</f>
        <v/>
      </c>
      <c r="AN278">
        <f>IFERROR(IF(AL278*AM278=0,"",AL278*AM278),"")</f>
        <v/>
      </c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L278">
        <f>IFERROR(INDEX('_names_lookup'!$C:$C,MATCH(BK278,'_names_lookup'!$A:$A,0)),"")</f>
        <v/>
      </c>
      <c r="BM278">
        <f>IFERROR(INDEX('_names_lookup'!$B:$B,MATCH(BK278,'_names_lookup'!$A:$A,0)),"")</f>
        <v/>
      </c>
      <c r="BS278">
        <f>IFERROR(IF(BR278*AA278=0,"",BR278*AA278),"")</f>
        <v/>
      </c>
    </row>
    <row r="279">
      <c r="O279">
        <f>IFERROR(INDEX('_courses_lookup'!$C:$C,MATCH(K279&amp;L279,'_courses_lookup'!$E:$E,0)),"")</f>
        <v/>
      </c>
      <c r="P279">
        <f>IFERROR(INDEX('_courses_lookup'!$D:$D,MATCH(K279&amp;L279,'_courses_lookup'!$E:$E,0)),"")</f>
        <v/>
      </c>
      <c r="AG279">
        <f>IF(AND(AE279&lt;&gt;"",AF279&lt;&gt;""),ROUNDUP((AF279-AE279)/7,0),"")</f>
        <v/>
      </c>
      <c r="AI279">
        <f>IFERROR(IF(AG279*AH279=0,"",AG279*AH279),"")</f>
        <v/>
      </c>
      <c r="AL279">
        <f>IF(AND(AJ279&lt;&gt;"",AK279&lt;&gt;""),ROUNDUP((AK279-AJ279)/7,0),"")</f>
        <v/>
      </c>
      <c r="AN279">
        <f>IFERROR(IF(AL279*AM279=0,"",AL279*AM279),"")</f>
        <v/>
      </c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L279">
        <f>IFERROR(INDEX('_names_lookup'!$C:$C,MATCH(BK279,'_names_lookup'!$A:$A,0)),"")</f>
        <v/>
      </c>
      <c r="BM279">
        <f>IFERROR(INDEX('_names_lookup'!$B:$B,MATCH(BK279,'_names_lookup'!$A:$A,0)),"")</f>
        <v/>
      </c>
      <c r="BS279">
        <f>IFERROR(IF(BR279*AA279=0,"",BR279*AA279),"")</f>
        <v/>
      </c>
    </row>
    <row r="280">
      <c r="O280">
        <f>IFERROR(INDEX('_courses_lookup'!$C:$C,MATCH(K280&amp;L280,'_courses_lookup'!$E:$E,0)),"")</f>
        <v/>
      </c>
      <c r="P280">
        <f>IFERROR(INDEX('_courses_lookup'!$D:$D,MATCH(K280&amp;L280,'_courses_lookup'!$E:$E,0)),"")</f>
        <v/>
      </c>
      <c r="AG280">
        <f>IF(AND(AE280&lt;&gt;"",AF280&lt;&gt;""),ROUNDUP((AF280-AE280)/7,0),"")</f>
        <v/>
      </c>
      <c r="AI280">
        <f>IFERROR(IF(AG280*AH280=0,"",AG280*AH280),"")</f>
        <v/>
      </c>
      <c r="AL280">
        <f>IF(AND(AJ280&lt;&gt;"",AK280&lt;&gt;""),ROUNDUP((AK280-AJ280)/7,0),"")</f>
        <v/>
      </c>
      <c r="AN280">
        <f>IFERROR(IF(AL280*AM280=0,"",AL280*AM280),"")</f>
        <v/>
      </c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L280">
        <f>IFERROR(INDEX('_names_lookup'!$C:$C,MATCH(BK280,'_names_lookup'!$A:$A,0)),"")</f>
        <v/>
      </c>
      <c r="BM280">
        <f>IFERROR(INDEX('_names_lookup'!$B:$B,MATCH(BK280,'_names_lookup'!$A:$A,0)),"")</f>
        <v/>
      </c>
      <c r="BS280">
        <f>IFERROR(IF(BR280*AA280=0,"",BR280*AA280),"")</f>
        <v/>
      </c>
    </row>
    <row r="281">
      <c r="O281">
        <f>IFERROR(INDEX('_courses_lookup'!$C:$C,MATCH(K281&amp;L281,'_courses_lookup'!$E:$E,0)),"")</f>
        <v/>
      </c>
      <c r="P281">
        <f>IFERROR(INDEX('_courses_lookup'!$D:$D,MATCH(K281&amp;L281,'_courses_lookup'!$E:$E,0)),"")</f>
        <v/>
      </c>
      <c r="AG281">
        <f>IF(AND(AE281&lt;&gt;"",AF281&lt;&gt;""),ROUNDUP((AF281-AE281)/7,0),"")</f>
        <v/>
      </c>
      <c r="AI281">
        <f>IFERROR(IF(AG281*AH281=0,"",AG281*AH281),"")</f>
        <v/>
      </c>
      <c r="AL281">
        <f>IF(AND(AJ281&lt;&gt;"",AK281&lt;&gt;""),ROUNDUP((AK281-AJ281)/7,0),"")</f>
        <v/>
      </c>
      <c r="AN281">
        <f>IFERROR(IF(AL281*AM281=0,"",AL281*AM281),"")</f>
        <v/>
      </c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L281">
        <f>IFERROR(INDEX('_names_lookup'!$C:$C,MATCH(BK281,'_names_lookup'!$A:$A,0)),"")</f>
        <v/>
      </c>
      <c r="BM281">
        <f>IFERROR(INDEX('_names_lookup'!$B:$B,MATCH(BK281,'_names_lookup'!$A:$A,0)),"")</f>
        <v/>
      </c>
      <c r="BS281">
        <f>IFERROR(IF(BR281*AA281=0,"",BR281*AA281),"")</f>
        <v/>
      </c>
    </row>
    <row r="282">
      <c r="O282">
        <f>IFERROR(INDEX('_courses_lookup'!$C:$C,MATCH(K282&amp;L282,'_courses_lookup'!$E:$E,0)),"")</f>
        <v/>
      </c>
      <c r="P282">
        <f>IFERROR(INDEX('_courses_lookup'!$D:$D,MATCH(K282&amp;L282,'_courses_lookup'!$E:$E,0)),"")</f>
        <v/>
      </c>
      <c r="AG282">
        <f>IF(AND(AE282&lt;&gt;"",AF282&lt;&gt;""),ROUNDUP((AF282-AE282)/7,0),"")</f>
        <v/>
      </c>
      <c r="AI282">
        <f>IFERROR(IF(AG282*AH282=0,"",AG282*AH282),"")</f>
        <v/>
      </c>
      <c r="AL282">
        <f>IF(AND(AJ282&lt;&gt;"",AK282&lt;&gt;""),ROUNDUP((AK282-AJ282)/7,0),"")</f>
        <v/>
      </c>
      <c r="AN282">
        <f>IFERROR(IF(AL282*AM282=0,"",AL282*AM282),"")</f>
        <v/>
      </c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L282">
        <f>IFERROR(INDEX('_names_lookup'!$C:$C,MATCH(BK282,'_names_lookup'!$A:$A,0)),"")</f>
        <v/>
      </c>
      <c r="BM282">
        <f>IFERROR(INDEX('_names_lookup'!$B:$B,MATCH(BK282,'_names_lookup'!$A:$A,0)),"")</f>
        <v/>
      </c>
      <c r="BS282">
        <f>IFERROR(IF(BR282*AA282=0,"",BR282*AA282),"")</f>
        <v/>
      </c>
    </row>
    <row r="283">
      <c r="O283">
        <f>IFERROR(INDEX('_courses_lookup'!$C:$C,MATCH(K283&amp;L283,'_courses_lookup'!$E:$E,0)),"")</f>
        <v/>
      </c>
      <c r="P283">
        <f>IFERROR(INDEX('_courses_lookup'!$D:$D,MATCH(K283&amp;L283,'_courses_lookup'!$E:$E,0)),"")</f>
        <v/>
      </c>
      <c r="AG283">
        <f>IF(AND(AE283&lt;&gt;"",AF283&lt;&gt;""),ROUNDUP((AF283-AE283)/7,0),"")</f>
        <v/>
      </c>
      <c r="AI283">
        <f>IFERROR(IF(AG283*AH283=0,"",AG283*AH283),"")</f>
        <v/>
      </c>
      <c r="AL283">
        <f>IF(AND(AJ283&lt;&gt;"",AK283&lt;&gt;""),ROUNDUP((AK283-AJ283)/7,0),"")</f>
        <v/>
      </c>
      <c r="AN283">
        <f>IFERROR(IF(AL283*AM283=0,"",AL283*AM283),"")</f>
        <v/>
      </c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L283">
        <f>IFERROR(INDEX('_names_lookup'!$C:$C,MATCH(BK283,'_names_lookup'!$A:$A,0)),"")</f>
        <v/>
      </c>
      <c r="BM283">
        <f>IFERROR(INDEX('_names_lookup'!$B:$B,MATCH(BK283,'_names_lookup'!$A:$A,0)),"")</f>
        <v/>
      </c>
      <c r="BS283">
        <f>IFERROR(IF(BR283*AA283=0,"",BR283*AA283),"")</f>
        <v/>
      </c>
    </row>
    <row r="284">
      <c r="O284">
        <f>IFERROR(INDEX('_courses_lookup'!$C:$C,MATCH(K284&amp;L284,'_courses_lookup'!$E:$E,0)),"")</f>
        <v/>
      </c>
      <c r="P284">
        <f>IFERROR(INDEX('_courses_lookup'!$D:$D,MATCH(K284&amp;L284,'_courses_lookup'!$E:$E,0)),"")</f>
        <v/>
      </c>
      <c r="AG284">
        <f>IF(AND(AE284&lt;&gt;"",AF284&lt;&gt;""),ROUNDUP((AF284-AE284)/7,0),"")</f>
        <v/>
      </c>
      <c r="AI284">
        <f>IFERROR(IF(AG284*AH284=0,"",AG284*AH284),"")</f>
        <v/>
      </c>
      <c r="AL284">
        <f>IF(AND(AJ284&lt;&gt;"",AK284&lt;&gt;""),ROUNDUP((AK284-AJ284)/7,0),"")</f>
        <v/>
      </c>
      <c r="AN284">
        <f>IFERROR(IF(AL284*AM284=0,"",AL284*AM284),"")</f>
        <v/>
      </c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L284">
        <f>IFERROR(INDEX('_names_lookup'!$C:$C,MATCH(BK284,'_names_lookup'!$A:$A,0)),"")</f>
        <v/>
      </c>
      <c r="BM284">
        <f>IFERROR(INDEX('_names_lookup'!$B:$B,MATCH(BK284,'_names_lookup'!$A:$A,0)),"")</f>
        <v/>
      </c>
      <c r="BS284">
        <f>IFERROR(IF(BR284*AA284=0,"",BR284*AA284),"")</f>
        <v/>
      </c>
    </row>
    <row r="285">
      <c r="O285">
        <f>IFERROR(INDEX('_courses_lookup'!$C:$C,MATCH(K285&amp;L285,'_courses_lookup'!$E:$E,0)),"")</f>
        <v/>
      </c>
      <c r="P285">
        <f>IFERROR(INDEX('_courses_lookup'!$D:$D,MATCH(K285&amp;L285,'_courses_lookup'!$E:$E,0)),"")</f>
        <v/>
      </c>
      <c r="AG285">
        <f>IF(AND(AE285&lt;&gt;"",AF285&lt;&gt;""),ROUNDUP((AF285-AE285)/7,0),"")</f>
        <v/>
      </c>
      <c r="AI285">
        <f>IFERROR(IF(AG285*AH285=0,"",AG285*AH285),"")</f>
        <v/>
      </c>
      <c r="AL285">
        <f>IF(AND(AJ285&lt;&gt;"",AK285&lt;&gt;""),ROUNDUP((AK285-AJ285)/7,0),"")</f>
        <v/>
      </c>
      <c r="AN285">
        <f>IFERROR(IF(AL285*AM285=0,"",AL285*AM285),"")</f>
        <v/>
      </c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L285">
        <f>IFERROR(INDEX('_names_lookup'!$C:$C,MATCH(BK285,'_names_lookup'!$A:$A,0)),"")</f>
        <v/>
      </c>
      <c r="BM285">
        <f>IFERROR(INDEX('_names_lookup'!$B:$B,MATCH(BK285,'_names_lookup'!$A:$A,0)),"")</f>
        <v/>
      </c>
      <c r="BS285">
        <f>IFERROR(IF(BR285*AA285=0,"",BR285*AA285),"")</f>
        <v/>
      </c>
    </row>
    <row r="286">
      <c r="O286">
        <f>IFERROR(INDEX('_courses_lookup'!$C:$C,MATCH(K286&amp;L286,'_courses_lookup'!$E:$E,0)),"")</f>
        <v/>
      </c>
      <c r="P286">
        <f>IFERROR(INDEX('_courses_lookup'!$D:$D,MATCH(K286&amp;L286,'_courses_lookup'!$E:$E,0)),"")</f>
        <v/>
      </c>
      <c r="AG286">
        <f>IF(AND(AE286&lt;&gt;"",AF286&lt;&gt;""),ROUNDUP((AF286-AE286)/7,0),"")</f>
        <v/>
      </c>
      <c r="AI286">
        <f>IFERROR(IF(AG286*AH286=0,"",AG286*AH286),"")</f>
        <v/>
      </c>
      <c r="AL286">
        <f>IF(AND(AJ286&lt;&gt;"",AK286&lt;&gt;""),ROUNDUP((AK286-AJ286)/7,0),"")</f>
        <v/>
      </c>
      <c r="AN286">
        <f>IFERROR(IF(AL286*AM286=0,"",AL286*AM286),"")</f>
        <v/>
      </c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L286">
        <f>IFERROR(INDEX('_names_lookup'!$C:$C,MATCH(BK286,'_names_lookup'!$A:$A,0)),"")</f>
        <v/>
      </c>
      <c r="BM286">
        <f>IFERROR(INDEX('_names_lookup'!$B:$B,MATCH(BK286,'_names_lookup'!$A:$A,0)),"")</f>
        <v/>
      </c>
      <c r="BS286">
        <f>IFERROR(IF(BR286*AA286=0,"",BR286*AA286),"")</f>
        <v/>
      </c>
    </row>
    <row r="287">
      <c r="O287">
        <f>IFERROR(INDEX('_courses_lookup'!$C:$C,MATCH(K287&amp;L287,'_courses_lookup'!$E:$E,0)),"")</f>
        <v/>
      </c>
      <c r="P287">
        <f>IFERROR(INDEX('_courses_lookup'!$D:$D,MATCH(K287&amp;L287,'_courses_lookup'!$E:$E,0)),"")</f>
        <v/>
      </c>
      <c r="AG287">
        <f>IF(AND(AE287&lt;&gt;"",AF287&lt;&gt;""),ROUNDUP((AF287-AE287)/7,0),"")</f>
        <v/>
      </c>
      <c r="AI287">
        <f>IFERROR(IF(AG287*AH287=0,"",AG287*AH287),"")</f>
        <v/>
      </c>
      <c r="AL287">
        <f>IF(AND(AJ287&lt;&gt;"",AK287&lt;&gt;""),ROUNDUP((AK287-AJ287)/7,0),"")</f>
        <v/>
      </c>
      <c r="AN287">
        <f>IFERROR(IF(AL287*AM287=0,"",AL287*AM287),"")</f>
        <v/>
      </c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L287">
        <f>IFERROR(INDEX('_names_lookup'!$C:$C,MATCH(BK287,'_names_lookup'!$A:$A,0)),"")</f>
        <v/>
      </c>
      <c r="BM287">
        <f>IFERROR(INDEX('_names_lookup'!$B:$B,MATCH(BK287,'_names_lookup'!$A:$A,0)),"")</f>
        <v/>
      </c>
      <c r="BS287">
        <f>IFERROR(IF(BR287*AA287=0,"",BR287*AA287),"")</f>
        <v/>
      </c>
    </row>
    <row r="288">
      <c r="O288">
        <f>IFERROR(INDEX('_courses_lookup'!$C:$C,MATCH(K288&amp;L288,'_courses_lookup'!$E:$E,0)),"")</f>
        <v/>
      </c>
      <c r="P288">
        <f>IFERROR(INDEX('_courses_lookup'!$D:$D,MATCH(K288&amp;L288,'_courses_lookup'!$E:$E,0)),"")</f>
        <v/>
      </c>
      <c r="AG288">
        <f>IF(AND(AE288&lt;&gt;"",AF288&lt;&gt;""),ROUNDUP((AF288-AE288)/7,0),"")</f>
        <v/>
      </c>
      <c r="AI288">
        <f>IFERROR(IF(AG288*AH288=0,"",AG288*AH288),"")</f>
        <v/>
      </c>
      <c r="AL288">
        <f>IF(AND(AJ288&lt;&gt;"",AK288&lt;&gt;""),ROUNDUP((AK288-AJ288)/7,0),"")</f>
        <v/>
      </c>
      <c r="AN288">
        <f>IFERROR(IF(AL288*AM288=0,"",AL288*AM288),"")</f>
        <v/>
      </c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L288">
        <f>IFERROR(INDEX('_names_lookup'!$C:$C,MATCH(BK288,'_names_lookup'!$A:$A,0)),"")</f>
        <v/>
      </c>
      <c r="BM288">
        <f>IFERROR(INDEX('_names_lookup'!$B:$B,MATCH(BK288,'_names_lookup'!$A:$A,0)),"")</f>
        <v/>
      </c>
      <c r="BS288">
        <f>IFERROR(IF(BR288*AA288=0,"",BR288*AA288),"")</f>
        <v/>
      </c>
    </row>
    <row r="289">
      <c r="O289">
        <f>IFERROR(INDEX('_courses_lookup'!$C:$C,MATCH(K289&amp;L289,'_courses_lookup'!$E:$E,0)),"")</f>
        <v/>
      </c>
      <c r="P289">
        <f>IFERROR(INDEX('_courses_lookup'!$D:$D,MATCH(K289&amp;L289,'_courses_lookup'!$E:$E,0)),"")</f>
        <v/>
      </c>
      <c r="AG289">
        <f>IF(AND(AE289&lt;&gt;"",AF289&lt;&gt;""),ROUNDUP((AF289-AE289)/7,0),"")</f>
        <v/>
      </c>
      <c r="AI289">
        <f>IFERROR(IF(AG289*AH289=0,"",AG289*AH289),"")</f>
        <v/>
      </c>
      <c r="AL289">
        <f>IF(AND(AJ289&lt;&gt;"",AK289&lt;&gt;""),ROUNDUP((AK289-AJ289)/7,0),"")</f>
        <v/>
      </c>
      <c r="AN289">
        <f>IFERROR(IF(AL289*AM289=0,"",AL289*AM289),"")</f>
        <v/>
      </c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L289">
        <f>IFERROR(INDEX('_names_lookup'!$C:$C,MATCH(BK289,'_names_lookup'!$A:$A,0)),"")</f>
        <v/>
      </c>
      <c r="BM289">
        <f>IFERROR(INDEX('_names_lookup'!$B:$B,MATCH(BK289,'_names_lookup'!$A:$A,0)),"")</f>
        <v/>
      </c>
      <c r="BS289">
        <f>IFERROR(IF(BR289*AA289=0,"",BR289*AA289),"")</f>
        <v/>
      </c>
    </row>
    <row r="290">
      <c r="O290">
        <f>IFERROR(INDEX('_courses_lookup'!$C:$C,MATCH(K290&amp;L290,'_courses_lookup'!$E:$E,0)),"")</f>
        <v/>
      </c>
      <c r="P290">
        <f>IFERROR(INDEX('_courses_lookup'!$D:$D,MATCH(K290&amp;L290,'_courses_lookup'!$E:$E,0)),"")</f>
        <v/>
      </c>
      <c r="AG290">
        <f>IF(AND(AE290&lt;&gt;"",AF290&lt;&gt;""),ROUNDUP((AF290-AE290)/7,0),"")</f>
        <v/>
      </c>
      <c r="AI290">
        <f>IFERROR(IF(AG290*AH290=0,"",AG290*AH290),"")</f>
        <v/>
      </c>
      <c r="AL290">
        <f>IF(AND(AJ290&lt;&gt;"",AK290&lt;&gt;""),ROUNDUP((AK290-AJ290)/7,0),"")</f>
        <v/>
      </c>
      <c r="AN290">
        <f>IFERROR(IF(AL290*AM290=0,"",AL290*AM290),"")</f>
        <v/>
      </c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L290">
        <f>IFERROR(INDEX('_names_lookup'!$C:$C,MATCH(BK290,'_names_lookup'!$A:$A,0)),"")</f>
        <v/>
      </c>
      <c r="BM290">
        <f>IFERROR(INDEX('_names_lookup'!$B:$B,MATCH(BK290,'_names_lookup'!$A:$A,0)),"")</f>
        <v/>
      </c>
      <c r="BS290">
        <f>IFERROR(IF(BR290*AA290=0,"",BR290*AA290),"")</f>
        <v/>
      </c>
    </row>
    <row r="291">
      <c r="O291">
        <f>IFERROR(INDEX('_courses_lookup'!$C:$C,MATCH(K291&amp;L291,'_courses_lookup'!$E:$E,0)),"")</f>
        <v/>
      </c>
      <c r="P291">
        <f>IFERROR(INDEX('_courses_lookup'!$D:$D,MATCH(K291&amp;L291,'_courses_lookup'!$E:$E,0)),"")</f>
        <v/>
      </c>
      <c r="AG291">
        <f>IF(AND(AE291&lt;&gt;"",AF291&lt;&gt;""),ROUNDUP((AF291-AE291)/7,0),"")</f>
        <v/>
      </c>
      <c r="AI291">
        <f>IFERROR(IF(AG291*AH291=0,"",AG291*AH291),"")</f>
        <v/>
      </c>
      <c r="AL291">
        <f>IF(AND(AJ291&lt;&gt;"",AK291&lt;&gt;""),ROUNDUP((AK291-AJ291)/7,0),"")</f>
        <v/>
      </c>
      <c r="AN291">
        <f>IFERROR(IF(AL291*AM291=0,"",AL291*AM291),"")</f>
        <v/>
      </c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L291">
        <f>IFERROR(INDEX('_names_lookup'!$C:$C,MATCH(BK291,'_names_lookup'!$A:$A,0)),"")</f>
        <v/>
      </c>
      <c r="BM291">
        <f>IFERROR(INDEX('_names_lookup'!$B:$B,MATCH(BK291,'_names_lookup'!$A:$A,0)),"")</f>
        <v/>
      </c>
      <c r="BS291">
        <f>IFERROR(IF(BR291*AA291=0,"",BR291*AA291),"")</f>
        <v/>
      </c>
    </row>
    <row r="292">
      <c r="O292">
        <f>IFERROR(INDEX('_courses_lookup'!$C:$C,MATCH(K292&amp;L292,'_courses_lookup'!$E:$E,0)),"")</f>
        <v/>
      </c>
      <c r="P292">
        <f>IFERROR(INDEX('_courses_lookup'!$D:$D,MATCH(K292&amp;L292,'_courses_lookup'!$E:$E,0)),"")</f>
        <v/>
      </c>
      <c r="AG292">
        <f>IF(AND(AE292&lt;&gt;"",AF292&lt;&gt;""),ROUNDUP((AF292-AE292)/7,0),"")</f>
        <v/>
      </c>
      <c r="AI292">
        <f>IFERROR(IF(AG292*AH292=0,"",AG292*AH292),"")</f>
        <v/>
      </c>
      <c r="AL292">
        <f>IF(AND(AJ292&lt;&gt;"",AK292&lt;&gt;""),ROUNDUP((AK292-AJ292)/7,0),"")</f>
        <v/>
      </c>
      <c r="AN292">
        <f>IFERROR(IF(AL292*AM292=0,"",AL292*AM292),"")</f>
        <v/>
      </c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L292">
        <f>IFERROR(INDEX('_names_lookup'!$C:$C,MATCH(BK292,'_names_lookup'!$A:$A,0)),"")</f>
        <v/>
      </c>
      <c r="BM292">
        <f>IFERROR(INDEX('_names_lookup'!$B:$B,MATCH(BK292,'_names_lookup'!$A:$A,0)),"")</f>
        <v/>
      </c>
      <c r="BS292">
        <f>IFERROR(IF(BR292*AA292=0,"",BR292*AA292),"")</f>
        <v/>
      </c>
    </row>
    <row r="293">
      <c r="O293">
        <f>IFERROR(INDEX('_courses_lookup'!$C:$C,MATCH(K293&amp;L293,'_courses_lookup'!$E:$E,0)),"")</f>
        <v/>
      </c>
      <c r="P293">
        <f>IFERROR(INDEX('_courses_lookup'!$D:$D,MATCH(K293&amp;L293,'_courses_lookup'!$E:$E,0)),"")</f>
        <v/>
      </c>
      <c r="AG293">
        <f>IF(AND(AE293&lt;&gt;"",AF293&lt;&gt;""),ROUNDUP((AF293-AE293)/7,0),"")</f>
        <v/>
      </c>
      <c r="AI293">
        <f>IFERROR(IF(AG293*AH293=0,"",AG293*AH293),"")</f>
        <v/>
      </c>
      <c r="AL293">
        <f>IF(AND(AJ293&lt;&gt;"",AK293&lt;&gt;""),ROUNDUP((AK293-AJ293)/7,0),"")</f>
        <v/>
      </c>
      <c r="AN293">
        <f>IFERROR(IF(AL293*AM293=0,"",AL293*AM293),"")</f>
        <v/>
      </c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L293">
        <f>IFERROR(INDEX('_names_lookup'!$C:$C,MATCH(BK293,'_names_lookup'!$A:$A,0)),"")</f>
        <v/>
      </c>
      <c r="BM293">
        <f>IFERROR(INDEX('_names_lookup'!$B:$B,MATCH(BK293,'_names_lookup'!$A:$A,0)),"")</f>
        <v/>
      </c>
      <c r="BS293">
        <f>IFERROR(IF(BR293*AA293=0,"",BR293*AA293),"")</f>
        <v/>
      </c>
    </row>
    <row r="294">
      <c r="O294">
        <f>IFERROR(INDEX('_courses_lookup'!$C:$C,MATCH(K294&amp;L294,'_courses_lookup'!$E:$E,0)),"")</f>
        <v/>
      </c>
      <c r="P294">
        <f>IFERROR(INDEX('_courses_lookup'!$D:$D,MATCH(K294&amp;L294,'_courses_lookup'!$E:$E,0)),"")</f>
        <v/>
      </c>
      <c r="AG294">
        <f>IF(AND(AE294&lt;&gt;"",AF294&lt;&gt;""),ROUNDUP((AF294-AE294)/7,0),"")</f>
        <v/>
      </c>
      <c r="AI294">
        <f>IFERROR(IF(AG294*AH294=0,"",AG294*AH294),"")</f>
        <v/>
      </c>
      <c r="AL294">
        <f>IF(AND(AJ294&lt;&gt;"",AK294&lt;&gt;""),ROUNDUP((AK294-AJ294)/7,0),"")</f>
        <v/>
      </c>
      <c r="AN294">
        <f>IFERROR(IF(AL294*AM294=0,"",AL294*AM294),"")</f>
        <v/>
      </c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L294">
        <f>IFERROR(INDEX('_names_lookup'!$C:$C,MATCH(BK294,'_names_lookup'!$A:$A,0)),"")</f>
        <v/>
      </c>
      <c r="BM294">
        <f>IFERROR(INDEX('_names_lookup'!$B:$B,MATCH(BK294,'_names_lookup'!$A:$A,0)),"")</f>
        <v/>
      </c>
      <c r="BS294">
        <f>IFERROR(IF(BR294*AA294=0,"",BR294*AA294),"")</f>
        <v/>
      </c>
    </row>
    <row r="295">
      <c r="O295">
        <f>IFERROR(INDEX('_courses_lookup'!$C:$C,MATCH(K295&amp;L295,'_courses_lookup'!$E:$E,0)),"")</f>
        <v/>
      </c>
      <c r="P295">
        <f>IFERROR(INDEX('_courses_lookup'!$D:$D,MATCH(K295&amp;L295,'_courses_lookup'!$E:$E,0)),"")</f>
        <v/>
      </c>
      <c r="AG295">
        <f>IF(AND(AE295&lt;&gt;"",AF295&lt;&gt;""),ROUNDUP((AF295-AE295)/7,0),"")</f>
        <v/>
      </c>
      <c r="AI295">
        <f>IFERROR(IF(AG295*AH295=0,"",AG295*AH295),"")</f>
        <v/>
      </c>
      <c r="AL295">
        <f>IF(AND(AJ295&lt;&gt;"",AK295&lt;&gt;""),ROUNDUP((AK295-AJ295)/7,0),"")</f>
        <v/>
      </c>
      <c r="AN295">
        <f>IFERROR(IF(AL295*AM295=0,"",AL295*AM295),"")</f>
        <v/>
      </c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L295">
        <f>IFERROR(INDEX('_names_lookup'!$C:$C,MATCH(BK295,'_names_lookup'!$A:$A,0)),"")</f>
        <v/>
      </c>
      <c r="BM295">
        <f>IFERROR(INDEX('_names_lookup'!$B:$B,MATCH(BK295,'_names_lookup'!$A:$A,0)),"")</f>
        <v/>
      </c>
      <c r="BS295">
        <f>IFERROR(IF(BR295*AA295=0,"",BR295*AA295),"")</f>
        <v/>
      </c>
    </row>
    <row r="296">
      <c r="O296">
        <f>IFERROR(INDEX('_courses_lookup'!$C:$C,MATCH(K296&amp;L296,'_courses_lookup'!$E:$E,0)),"")</f>
        <v/>
      </c>
      <c r="P296">
        <f>IFERROR(INDEX('_courses_lookup'!$D:$D,MATCH(K296&amp;L296,'_courses_lookup'!$E:$E,0)),"")</f>
        <v/>
      </c>
      <c r="AG296">
        <f>IF(AND(AE296&lt;&gt;"",AF296&lt;&gt;""),ROUNDUP((AF296-AE296)/7,0),"")</f>
        <v/>
      </c>
      <c r="AI296">
        <f>IFERROR(IF(AG296*AH296=0,"",AG296*AH296),"")</f>
        <v/>
      </c>
      <c r="AL296">
        <f>IF(AND(AJ296&lt;&gt;"",AK296&lt;&gt;""),ROUNDUP((AK296-AJ296)/7,0),"")</f>
        <v/>
      </c>
      <c r="AN296">
        <f>IFERROR(IF(AL296*AM296=0,"",AL296*AM296),"")</f>
        <v/>
      </c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L296">
        <f>IFERROR(INDEX('_names_lookup'!$C:$C,MATCH(BK296,'_names_lookup'!$A:$A,0)),"")</f>
        <v/>
      </c>
      <c r="BM296">
        <f>IFERROR(INDEX('_names_lookup'!$B:$B,MATCH(BK296,'_names_lookup'!$A:$A,0)),"")</f>
        <v/>
      </c>
      <c r="BS296">
        <f>IFERROR(IF(BR296*AA296=0,"",BR296*AA296),"")</f>
        <v/>
      </c>
    </row>
    <row r="297">
      <c r="O297">
        <f>IFERROR(INDEX('_courses_lookup'!$C:$C,MATCH(K297&amp;L297,'_courses_lookup'!$E:$E,0)),"")</f>
        <v/>
      </c>
      <c r="P297">
        <f>IFERROR(INDEX('_courses_lookup'!$D:$D,MATCH(K297&amp;L297,'_courses_lookup'!$E:$E,0)),"")</f>
        <v/>
      </c>
      <c r="AG297">
        <f>IF(AND(AE297&lt;&gt;"",AF297&lt;&gt;""),ROUNDUP((AF297-AE297)/7,0),"")</f>
        <v/>
      </c>
      <c r="AI297">
        <f>IFERROR(IF(AG297*AH297=0,"",AG297*AH297),"")</f>
        <v/>
      </c>
      <c r="AL297">
        <f>IF(AND(AJ297&lt;&gt;"",AK297&lt;&gt;""),ROUNDUP((AK297-AJ297)/7,0),"")</f>
        <v/>
      </c>
      <c r="AN297">
        <f>IFERROR(IF(AL297*AM297=0,"",AL297*AM297),"")</f>
        <v/>
      </c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L297">
        <f>IFERROR(INDEX('_names_lookup'!$C:$C,MATCH(BK297,'_names_lookup'!$A:$A,0)),"")</f>
        <v/>
      </c>
      <c r="BM297">
        <f>IFERROR(INDEX('_names_lookup'!$B:$B,MATCH(BK297,'_names_lookup'!$A:$A,0)),"")</f>
        <v/>
      </c>
      <c r="BS297">
        <f>IFERROR(IF(BR297*AA297=0,"",BR297*AA297),"")</f>
        <v/>
      </c>
    </row>
    <row r="298">
      <c r="O298">
        <f>IFERROR(INDEX('_courses_lookup'!$C:$C,MATCH(K298&amp;L298,'_courses_lookup'!$E:$E,0)),"")</f>
        <v/>
      </c>
      <c r="P298">
        <f>IFERROR(INDEX('_courses_lookup'!$D:$D,MATCH(K298&amp;L298,'_courses_lookup'!$E:$E,0)),"")</f>
        <v/>
      </c>
      <c r="AG298">
        <f>IF(AND(AE298&lt;&gt;"",AF298&lt;&gt;""),ROUNDUP((AF298-AE298)/7,0),"")</f>
        <v/>
      </c>
      <c r="AI298">
        <f>IFERROR(IF(AG298*AH298=0,"",AG298*AH298),"")</f>
        <v/>
      </c>
      <c r="AL298">
        <f>IF(AND(AJ298&lt;&gt;"",AK298&lt;&gt;""),ROUNDUP((AK298-AJ298)/7,0),"")</f>
        <v/>
      </c>
      <c r="AN298">
        <f>IFERROR(IF(AL298*AM298=0,"",AL298*AM298),"")</f>
        <v/>
      </c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L298">
        <f>IFERROR(INDEX('_names_lookup'!$C:$C,MATCH(BK298,'_names_lookup'!$A:$A,0)),"")</f>
        <v/>
      </c>
      <c r="BM298">
        <f>IFERROR(INDEX('_names_lookup'!$B:$B,MATCH(BK298,'_names_lookup'!$A:$A,0)),"")</f>
        <v/>
      </c>
      <c r="BS298">
        <f>IFERROR(IF(BR298*AA298=0,"",BR298*AA298),"")</f>
        <v/>
      </c>
    </row>
    <row r="299">
      <c r="O299">
        <f>IFERROR(INDEX('_courses_lookup'!$C:$C,MATCH(K299&amp;L299,'_courses_lookup'!$E:$E,0)),"")</f>
        <v/>
      </c>
      <c r="P299">
        <f>IFERROR(INDEX('_courses_lookup'!$D:$D,MATCH(K299&amp;L299,'_courses_lookup'!$E:$E,0)),"")</f>
        <v/>
      </c>
      <c r="AG299">
        <f>IF(AND(AE299&lt;&gt;"",AF299&lt;&gt;""),ROUNDUP((AF299-AE299)/7,0),"")</f>
        <v/>
      </c>
      <c r="AI299">
        <f>IFERROR(IF(AG299*AH299=0,"",AG299*AH299),"")</f>
        <v/>
      </c>
      <c r="AL299">
        <f>IF(AND(AJ299&lt;&gt;"",AK299&lt;&gt;""),ROUNDUP((AK299-AJ299)/7,0),"")</f>
        <v/>
      </c>
      <c r="AN299">
        <f>IFERROR(IF(AL299*AM299=0,"",AL299*AM299),"")</f>
        <v/>
      </c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L299">
        <f>IFERROR(INDEX('_names_lookup'!$C:$C,MATCH(BK299,'_names_lookup'!$A:$A,0)),"")</f>
        <v/>
      </c>
      <c r="BM299">
        <f>IFERROR(INDEX('_names_lookup'!$B:$B,MATCH(BK299,'_names_lookup'!$A:$A,0)),"")</f>
        <v/>
      </c>
      <c r="BS299">
        <f>IFERROR(IF(BR299*AA299=0,"",BR299*AA299),"")</f>
        <v/>
      </c>
    </row>
    <row r="300">
      <c r="O300">
        <f>IFERROR(INDEX('_courses_lookup'!$C:$C,MATCH(K300&amp;L300,'_courses_lookup'!$E:$E,0)),"")</f>
        <v/>
      </c>
      <c r="P300">
        <f>IFERROR(INDEX('_courses_lookup'!$D:$D,MATCH(K300&amp;L300,'_courses_lookup'!$E:$E,0)),"")</f>
        <v/>
      </c>
      <c r="AG300">
        <f>IF(AND(AE300&lt;&gt;"",AF300&lt;&gt;""),ROUNDUP((AF300-AE300)/7,0),"")</f>
        <v/>
      </c>
      <c r="AI300">
        <f>IFERROR(IF(AG300*AH300=0,"",AG300*AH300),"")</f>
        <v/>
      </c>
      <c r="AL300">
        <f>IF(AND(AJ300&lt;&gt;"",AK300&lt;&gt;""),ROUNDUP((AK300-AJ300)/7,0),"")</f>
        <v/>
      </c>
      <c r="AN300">
        <f>IFERROR(IF(AL300*AM300=0,"",AL300*AM300),"")</f>
        <v/>
      </c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L300">
        <f>IFERROR(INDEX('_names_lookup'!$C:$C,MATCH(BK300,'_names_lookup'!$A:$A,0)),"")</f>
        <v/>
      </c>
      <c r="BM300">
        <f>IFERROR(INDEX('_names_lookup'!$B:$B,MATCH(BK300,'_names_lookup'!$A:$A,0)),"")</f>
        <v/>
      </c>
      <c r="BS300">
        <f>IFERROR(IF(BR300*AA300=0,"",BR300*AA300),"")</f>
        <v/>
      </c>
    </row>
  </sheetData>
  <autoFilter ref="A1:DQ40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='DropDownMenu'!$BC$2:$BC$259</formula1>
    </dataValidation>
    <dataValidation sqref="BL2:BL5000" showDropDown="0" showInputMessage="0" showErrorMessage="0" allowBlank="1" type="list">
      <formula1>='DropDownMenu'!$BD$2:$BD$253</formula1>
    </dataValidation>
    <dataValidation sqref="BM2:BM5000" showDropDown="0" showInputMessage="0" showErrorMessage="0" allowBlank="1" type="list">
      <formula1>='DropDownMenu'!$BE$2:$BE$259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P22" sqref="P22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23" t="inlineStr">
        <is>
          <t>Don {not in Banner}</t>
        </is>
      </c>
      <c r="B1" s="23" t="inlineStr">
        <is>
          <t>Mismatching {not in Banner}</t>
        </is>
      </c>
      <c r="C1" s="23" t="inlineStr">
        <is>
          <t>Dept/Prog Admin {not in Banner}</t>
        </is>
      </c>
      <c r="D1" s="23" t="inlineStr">
        <is>
          <t>Mona {not in Banner}</t>
        </is>
      </c>
      <c r="E1" s="23" t="inlineStr">
        <is>
          <t>Karen {not in Banner}</t>
        </is>
      </c>
      <c r="F1" s="23" t="inlineStr">
        <is>
          <t>DONE {not in Banner}</t>
        </is>
      </c>
      <c r="G1" s="24" t="inlineStr">
        <is>
          <t>Notes {not in Banner}</t>
        </is>
      </c>
      <c r="H1" s="23" t="inlineStr">
        <is>
          <t>CRN sorted {not in Banner}</t>
        </is>
      </c>
      <c r="I1" s="23" t="inlineStr">
        <is>
          <t>CRN</t>
        </is>
      </c>
      <c r="J1" s="23" t="inlineStr">
        <is>
          <t>Attribute {not in Banner}</t>
        </is>
      </c>
      <c r="K1" s="23" t="inlineStr">
        <is>
          <t>Subject</t>
        </is>
      </c>
      <c r="L1" s="23" t="inlineStr">
        <is>
          <t>Course Number {Crse Num}</t>
        </is>
      </c>
      <c r="M1" s="23" t="inlineStr">
        <is>
          <t>Course Section {Seq Crse Num}</t>
        </is>
      </c>
      <c r="N1" s="23" t="inlineStr">
        <is>
          <t>Program {not in Banner}</t>
        </is>
      </c>
      <c r="O1" s="23" t="inlineStr">
        <is>
          <t>Catalog Title</t>
        </is>
      </c>
      <c r="P1" s="23" t="inlineStr">
        <is>
          <t>Section Title</t>
        </is>
      </c>
      <c r="Q1" s="23" t="inlineStr">
        <is>
          <t>Crosslist Details {not in Banner}</t>
        </is>
      </c>
      <c r="R1" s="23" t="inlineStr">
        <is>
          <t>X Lst</t>
        </is>
      </c>
      <c r="S1" s="23" t="inlineStr">
        <is>
          <t>Campus {Ssasect Campus}</t>
        </is>
      </c>
      <c r="T1" s="23" t="inlineStr">
        <is>
          <t>Campus Restriction {Camp Restr CC}</t>
        </is>
      </c>
      <c r="U1" s="23" t="inlineStr">
        <is>
          <t>Schedule Type {not in Banner}</t>
        </is>
      </c>
      <c r="V1" s="23" t="inlineStr">
        <is>
          <t>Instruction Method {Inst Method}</t>
        </is>
      </c>
      <c r="W1" s="23" t="inlineStr">
        <is>
          <t>Level {Level SC}</t>
        </is>
      </c>
      <c r="X1" s="23" t="inlineStr">
        <is>
          <t>Part-Of-Term</t>
        </is>
      </c>
      <c r="Y1" s="23" t="inlineStr">
        <is>
          <t>Credit Catalog {Cat Crs}</t>
        </is>
      </c>
      <c r="Z1" s="23" t="inlineStr">
        <is>
          <t>Credits {Sect Crs}</t>
        </is>
      </c>
      <c r="AA1" s="23" t="inlineStr">
        <is>
          <t>Faculty Load / Contract Credits {not in Banner}</t>
        </is>
      </c>
      <c r="AB1" s="23" t="inlineStr">
        <is>
          <t>Enrollment Cap {Max Enrl}</t>
        </is>
      </c>
      <c r="AC1" s="23" t="inlineStr">
        <is>
          <t>Meeting Type</t>
        </is>
      </c>
      <c r="AD1" s="23" t="inlineStr">
        <is>
          <t>Semester Start Date {Soaterm Start Date}</t>
        </is>
      </c>
      <c r="AE1" s="23" t="inlineStr">
        <is>
          <t>Pre-work Start Date {not in Banner}</t>
        </is>
      </c>
      <c r="AF1" s="23" t="inlineStr">
        <is>
          <t>Pre-work End Date {not in Banner}</t>
        </is>
      </c>
      <c r="AG1" s="25" t="inlineStr">
        <is>
          <t>pre-work # of weeks {not in Banner}</t>
        </is>
      </c>
      <c r="AH1" s="25" t="inlineStr">
        <is>
          <t>pre-work hours/week {not in Banner}</t>
        </is>
      </c>
      <c r="AI1" s="25" t="inlineStr">
        <is>
          <t>pre-work hours/period {not in Banner}</t>
        </is>
      </c>
      <c r="AJ1" s="23" t="inlineStr">
        <is>
          <t>Intensive Period Start Date {Meet Start Date}</t>
        </is>
      </c>
      <c r="AK1" s="23" t="inlineStr">
        <is>
          <t>Intensive Period End Date {Meet End Date}</t>
        </is>
      </c>
      <c r="AL1" s="25" t="inlineStr">
        <is>
          <t>intensive # of weeks {not in Banner}</t>
        </is>
      </c>
      <c r="AM1" s="25" t="inlineStr">
        <is>
          <t>intensive hours/week {not in Banner}</t>
        </is>
      </c>
      <c r="AN1" s="25" t="inlineStr">
        <is>
          <t>intensive hours/period {not in Banner}</t>
        </is>
      </c>
      <c r="AO1" s="23" t="inlineStr">
        <is>
          <t>Post-work Start Date {not in Banner}</t>
        </is>
      </c>
      <c r="AP1" s="23" t="inlineStr">
        <is>
          <t>Post-work End Date {not in Banner}</t>
        </is>
      </c>
      <c r="AQ1" s="25" t="inlineStr">
        <is>
          <t>post-work # of weeks {not in Banner}</t>
        </is>
      </c>
      <c r="AR1" s="25" t="inlineStr">
        <is>
          <t>post-work hours/week {not in Banner}</t>
        </is>
      </c>
      <c r="AS1" s="25" t="inlineStr">
        <is>
          <t>post-work hours/period {not in Banner}</t>
        </is>
      </c>
      <c r="AT1" s="25" t="inlineStr">
        <is>
          <t>sum of weeks (for check) {not in Banner}</t>
        </is>
      </c>
      <c r="AU1" s="25" t="inlineStr">
        <is>
          <t>total contract hours {not in Banner}</t>
        </is>
      </c>
      <c r="AV1" s="23" t="inlineStr">
        <is>
          <t>Semester End Date {Soaterm End Date}</t>
        </is>
      </c>
      <c r="AW1" s="23" t="inlineStr">
        <is>
          <t>Course Beginning Time {Meet Beg Time}</t>
        </is>
      </c>
      <c r="AX1" s="23" t="inlineStr">
        <is>
          <t>Course Ending Time {Meet End Time}</t>
        </is>
      </c>
      <c r="AY1" s="23" t="inlineStr">
        <is>
          <t>SUN</t>
        </is>
      </c>
      <c r="AZ1" s="23" t="inlineStr">
        <is>
          <t>MON</t>
        </is>
      </c>
      <c r="BA1" s="23" t="inlineStr">
        <is>
          <t>TUE</t>
        </is>
      </c>
      <c r="BB1" s="23" t="inlineStr">
        <is>
          <t>WED</t>
        </is>
      </c>
      <c r="BC1" s="23" t="inlineStr">
        <is>
          <t>THU</t>
        </is>
      </c>
      <c r="BD1" s="23" t="inlineStr">
        <is>
          <t>FRI</t>
        </is>
      </c>
      <c r="BE1" s="23" t="inlineStr">
        <is>
          <t>SAT</t>
        </is>
      </c>
      <c r="BF1" s="23" t="inlineStr">
        <is>
          <t>Weeks</t>
        </is>
      </c>
      <c r="BG1" s="23" t="inlineStr">
        <is>
          <t>Fiscal Year {not in Banner}</t>
        </is>
      </c>
      <c r="BH1" s="25" t="inlineStr">
        <is>
          <t>Semester {not in Banner}</t>
        </is>
      </c>
      <c r="BI1" s="23" t="inlineStr">
        <is>
          <t>Room {Meet Room}</t>
        </is>
      </c>
      <c r="BJ1" s="23" t="inlineStr">
        <is>
          <t>Building {Meet Bldg}</t>
        </is>
      </c>
      <c r="BK1" s="23" t="inlineStr">
        <is>
          <t>Instructor Name {Instr Name}</t>
        </is>
      </c>
      <c r="BL1" s="23" t="inlineStr">
        <is>
          <t>Instructor Email {Instr Email}</t>
        </is>
      </c>
      <c r="BM1" s="23" t="inlineStr">
        <is>
          <t>Instructor ID {Instr ID}</t>
        </is>
      </c>
      <c r="BN1" s="25" t="inlineStr">
        <is>
          <t>Remote Employee {not in Banner}</t>
        </is>
      </c>
      <c r="BO1" s="23" t="inlineStr">
        <is>
          <t>% Responsibility</t>
        </is>
      </c>
      <c r="BP1" s="23" t="inlineStr">
        <is>
          <t>load/contract {not in Banner}</t>
        </is>
      </c>
      <c r="BQ1" s="25" t="inlineStr">
        <is>
          <t>Reason for Contract {not in Banner}</t>
        </is>
      </c>
      <c r="BR1" s="25" t="inlineStr">
        <is>
          <t>costs per credit {not in Banner}</t>
        </is>
      </c>
      <c r="BS1" s="25" t="inlineStr">
        <is>
          <t>total costs {not in Banner}</t>
        </is>
      </c>
      <c r="BT1" s="25" t="inlineStr">
        <is>
          <t>dept budget {not in Banner}</t>
        </is>
      </c>
      <c r="BU1" s="25" t="inlineStr">
        <is>
          <t>account to be charged {not in Banner}</t>
        </is>
      </c>
      <c r="BV1" s="25" t="inlineStr">
        <is>
          <t>SEM Department {Scacrse Dept}</t>
        </is>
      </c>
      <c r="BW1" s="26" t="inlineStr">
        <is>
          <t>dean email</t>
        </is>
      </c>
      <c r="BX1" s="26" t="inlineStr">
        <is>
          <t>VP finance email</t>
        </is>
      </c>
      <c r="BY1" s="26" t="inlineStr">
        <is>
          <t>HR email</t>
        </is>
      </c>
      <c r="BZ1" s="26" t="inlineStr">
        <is>
          <t>Fee Amount {Fees Amt}</t>
        </is>
      </c>
      <c r="CA1" s="26" t="inlineStr">
        <is>
          <t>Fee Code {Detl Code}</t>
        </is>
      </c>
      <c r="CB1" s="26" t="inlineStr">
        <is>
          <t>Fee Type</t>
        </is>
      </c>
      <c r="CC1" s="26" t="inlineStr">
        <is>
          <t>Fee Level</t>
        </is>
      </c>
      <c r="CD1" s="26" t="inlineStr">
        <is>
          <t>Fee Ind</t>
        </is>
      </c>
      <c r="CE1" s="26" t="inlineStr">
        <is>
          <t>Fee Term</t>
        </is>
      </c>
      <c r="CF1" s="26" t="inlineStr">
        <is>
          <t>Activity Date</t>
        </is>
      </c>
      <c r="CG1" s="26" t="inlineStr">
        <is>
          <t>Status</t>
        </is>
      </c>
      <c r="CH1" s="26" t="inlineStr">
        <is>
          <t>Bill Hrs</t>
        </is>
      </c>
      <c r="CI1" s="26" t="inlineStr">
        <is>
          <t>Sect Sch Type</t>
        </is>
      </c>
      <c r="CJ1" s="26" t="inlineStr">
        <is>
          <t>Prerequisites {Preq Areas}</t>
        </is>
      </c>
      <c r="CK1" s="26" t="inlineStr">
        <is>
          <t>Link Ind</t>
        </is>
      </c>
      <c r="CL1" s="26" t="inlineStr">
        <is>
          <t>Integration Code</t>
        </is>
      </c>
      <c r="CM1" s="26" t="inlineStr">
        <is>
          <t>Link Conn</t>
        </is>
      </c>
      <c r="CN1" s="26" t="inlineStr">
        <is>
          <t>Crs Attr</t>
        </is>
      </c>
      <c r="CO1" s="26" t="inlineStr">
        <is>
          <t>Comments</t>
        </is>
      </c>
      <c r="CP1" s="26" t="inlineStr">
        <is>
          <t>Major Restr</t>
        </is>
      </c>
      <c r="CQ1" s="26" t="inlineStr">
        <is>
          <t>Scacrse College</t>
        </is>
      </c>
      <c r="CR1" s="26" t="inlineStr">
        <is>
          <t>Enrolled</t>
        </is>
      </c>
      <c r="CS1" s="26" t="inlineStr">
        <is>
          <t>Waitlist Capacity</t>
        </is>
      </c>
      <c r="CT1" s="26" t="inlineStr">
        <is>
          <t>Primary Ind</t>
        </is>
      </c>
      <c r="CU1" s="26" t="inlineStr">
        <is>
          <t>Override</t>
        </is>
      </c>
      <c r="CV1" s="26" t="inlineStr">
        <is>
          <t>1st Date Reg Opens</t>
        </is>
      </c>
      <c r="CW1" s="26" t="inlineStr">
        <is>
          <t>Last Date Reg Opens</t>
        </is>
      </c>
      <c r="CX1" s="26" t="inlineStr">
        <is>
          <t>OL Range From Date</t>
        </is>
      </c>
      <c r="CY1" s="26" t="inlineStr">
        <is>
          <t>OL Range To Date</t>
        </is>
      </c>
      <c r="CZ1" s="26" t="inlineStr">
        <is>
          <t>OL Numb Units</t>
        </is>
      </c>
      <c r="DA1" s="26" t="inlineStr">
        <is>
          <t>OL Duration Code</t>
        </is>
      </c>
      <c r="DB1" s="26" t="inlineStr">
        <is>
          <t>Grade Mode</t>
        </is>
      </c>
      <c r="DC1" s="26" t="inlineStr">
        <is>
          <t>Gradable Ind</t>
        </is>
      </c>
      <c r="DD1" s="26" t="inlineStr">
        <is>
          <t>Tuit Waiver</t>
        </is>
      </c>
      <c r="DE1" s="26" t="inlineStr">
        <is>
          <t>Course Override {Meet Override}</t>
        </is>
      </c>
      <c r="DF1" s="26" t="inlineStr">
        <is>
          <t>Lvl Res Ind</t>
        </is>
      </c>
      <c r="DG1" s="26" t="inlineStr">
        <is>
          <t>Cmp Res Ind</t>
        </is>
      </c>
      <c r="DH1" s="26" t="inlineStr">
        <is>
          <t>Rate Code</t>
        </is>
      </c>
      <c r="DI1" s="26" t="inlineStr">
        <is>
          <t>Cohort Code</t>
        </is>
      </c>
      <c r="DJ1" s="26" t="inlineStr">
        <is>
          <t>St Attr Code</t>
        </is>
      </c>
      <c r="DK1" s="26" t="inlineStr">
        <is>
          <t>Coll SC</t>
        </is>
      </c>
      <c r="DL1" s="26" t="inlineStr">
        <is>
          <t>DegC SC</t>
        </is>
      </c>
      <c r="DM1" s="26" t="inlineStr">
        <is>
          <t>Prog SC</t>
        </is>
      </c>
      <c r="DN1" s="26" t="inlineStr">
        <is>
          <t>FOS Type</t>
        </is>
      </c>
      <c r="DO1" s="26" t="inlineStr">
        <is>
          <t>Special Approval {Special Apvl}</t>
        </is>
      </c>
      <c r="DP1" s="26" t="inlineStr">
        <is>
          <t>Term Code</t>
        </is>
      </c>
      <c r="DQ1" s="26" t="inlineStr">
        <is>
          <t>Camp SC</t>
        </is>
      </c>
    </row>
    <row r="2" ht="16" customHeight="1">
      <c r="A2" s="38" t="n"/>
      <c r="B2" s="38" t="n"/>
      <c r="C2" s="38" t="n"/>
      <c r="D2" s="38" t="n"/>
      <c r="E2" s="38" t="n"/>
      <c r="F2" s="38" t="n"/>
      <c r="G2" s="38" t="n"/>
      <c r="H2" s="34" t="n"/>
      <c r="I2" s="34" t="n"/>
      <c r="J2" s="34" t="n"/>
      <c r="K2" s="34" t="n"/>
      <c r="L2" s="34" t="n"/>
      <c r="M2" s="34" t="n"/>
      <c r="N2" s="34" t="n"/>
      <c r="O2" s="34">
        <f>IFERROR(INDEX('_courses_lookup'!$C:$C,MATCH(K2&amp;L2,'_courses_lookup'!$E:$E,0)),"")</f>
        <v/>
      </c>
      <c r="P2" s="34">
        <f>IFERROR(INDEX('_courses_lookup'!$D:$D,MATCH(K2&amp;L2,'_courses_lookup'!$E:$E,0)),"")</f>
        <v/>
      </c>
      <c r="Q2" s="34" t="n"/>
      <c r="R2" s="34" t="n"/>
      <c r="S2" s="34" t="n"/>
      <c r="T2" s="34" t="n"/>
      <c r="U2" s="34" t="n"/>
      <c r="V2" s="34" t="n"/>
      <c r="W2" s="34" t="n"/>
      <c r="X2" s="34" t="n"/>
      <c r="Y2" s="30" t="n"/>
      <c r="Z2" s="34" t="n"/>
      <c r="AA2" s="34" t="n"/>
      <c r="AB2" s="34" t="n"/>
      <c r="AC2" s="34" t="n"/>
      <c r="AD2" s="34" t="n"/>
      <c r="AE2" s="34" t="n"/>
      <c r="AF2" s="34" t="n"/>
      <c r="AG2" s="34">
        <f>IF(AND(AE2&lt;&gt;"",AF2&lt;&gt;""),ROUNDUP((AF2-AE2)/7,0),"")</f>
        <v/>
      </c>
      <c r="AH2" s="34" t="n"/>
      <c r="AI2" s="34">
        <f>IFERROR(IF(AG2*AH2=0,"",AG2*AH2),"")</f>
        <v/>
      </c>
      <c r="AJ2" s="34" t="n"/>
      <c r="AK2" s="34" t="n"/>
      <c r="AL2" s="34">
        <f>IF(AND(AJ2&lt;&gt;"",AK2&lt;&gt;""),ROUNDUP((AK2-AJ2)/7,0),"")</f>
        <v/>
      </c>
      <c r="AM2" s="34" t="n"/>
      <c r="AN2" s="34">
        <f>IFERROR(IF(AL2*AM2=0,"",AL2*AM2),"")</f>
        <v/>
      </c>
      <c r="AO2" s="34" t="n"/>
      <c r="AP2" s="34" t="n"/>
      <c r="AQ2" s="34">
        <f>IF(AND(AO2&lt;&gt;"",AP2&lt;&gt;""),ROUNDUP((AP2-AO2)/7,0),"")</f>
        <v/>
      </c>
      <c r="AR2" s="34">
        <f>IFERROR(IF((AU2-(AI2+AN2))/AQ2=0,"",ROUNDUP((AU2-(AI2+AN2))/AQ2,0)),"")</f>
        <v/>
      </c>
      <c r="AS2" s="34">
        <f>IFERROR(IF((AU2-(AI2+AN2))=0,"",(AU2-(AI2+AN2))),"")</f>
        <v/>
      </c>
      <c r="AT2" s="34">
        <f>IF(AND(AG2="",AQ2=""),AL2,IF(SUM(AG2,AL2,AQ2)=0,"",SUM(AG2,AL2,AQ2)))</f>
        <v/>
      </c>
      <c r="AU2" s="34" t="n"/>
      <c r="AV2" s="34" t="n"/>
      <c r="AW2" s="34" t="n"/>
      <c r="AX2" s="34" t="n"/>
      <c r="AY2" s="34" t="n"/>
      <c r="AZ2" s="30" t="n"/>
      <c r="BA2" s="34" t="n"/>
      <c r="BB2" s="34" t="n"/>
      <c r="BC2" s="34" t="n"/>
      <c r="BD2" s="34" t="n"/>
      <c r="BE2" s="34" t="n"/>
      <c r="BF2" s="34" t="n"/>
      <c r="BG2" s="34">
        <f>IF(AD2="","",YEAR(AD2)+IF(MONTH(AD2)&gt;=5,1,0))</f>
        <v/>
      </c>
      <c r="BH2" s="34">
        <f>IF(AD2="","",IF(AND(MONTH(AD2)=8,DAY(AD2)&gt;=15),"Fall",IF(MONTH(AD2)&gt;8,"Fall",IF(MONTH(AD2)=5,"Summer",IF(MONTH(AD2)=1,"Spring","")))))</f>
        <v/>
      </c>
      <c r="BI2" s="34" t="n"/>
      <c r="BJ2" s="34" t="n"/>
      <c r="BK2" s="30">
        <f>IF($BJ2="","",IFERROR(INDEX(InstructorMap!$B:$B, MATCH($BJ2, InstructorMap!$A:$A, 0)),""))</f>
        <v/>
      </c>
      <c r="BL2" s="30">
        <f>IFERROR(INDEX('_names_lookup'!$C:$C,MATCH(BK2,'_names_lookup'!$A:$A,0)),"")</f>
        <v/>
      </c>
      <c r="BM2" s="34">
        <f>IFERROR(INDEX('_names_lookup'!$B:$B,MATCH(BK2,'_names_lookup'!$A:$A,0)),"")</f>
        <v/>
      </c>
      <c r="BN2" s="34" t="n"/>
      <c r="BO2" s="34" t="n"/>
      <c r="BP2" s="34" t="n"/>
      <c r="BQ2" s="34" t="n"/>
      <c r="BR2" s="34" t="n"/>
      <c r="BS2" s="34">
        <f>IFERROR(IF(BR2*AA2=0,"",BR2*AA2),"")</f>
        <v/>
      </c>
      <c r="BT2" s="34" t="n"/>
      <c r="BU2" s="34" t="n"/>
      <c r="BV2" s="34" t="n"/>
      <c r="BW2" s="34" t="n"/>
      <c r="BX2" s="34" t="n"/>
      <c r="BY2" s="34" t="n"/>
      <c r="BZ2" s="34" t="n"/>
      <c r="CA2" s="34" t="n"/>
      <c r="CB2" s="34" t="n"/>
      <c r="CC2" s="34" t="n"/>
      <c r="CD2" s="34" t="n"/>
      <c r="CE2" s="34" t="n"/>
      <c r="CF2" s="34" t="n"/>
      <c r="CG2" s="34" t="n"/>
      <c r="CH2" s="34" t="n"/>
      <c r="CI2" s="34" t="n"/>
      <c r="CJ2" s="34" t="n"/>
      <c r="CK2" s="34" t="n"/>
      <c r="CL2" s="34" t="n"/>
      <c r="CM2" s="34" t="n"/>
      <c r="CN2" s="34" t="n"/>
      <c r="CO2" s="34" t="n"/>
      <c r="CP2" s="34" t="n"/>
      <c r="CQ2" s="34" t="n"/>
      <c r="CR2" s="34" t="n"/>
      <c r="CS2" s="34" t="n"/>
      <c r="CT2" s="34" t="n"/>
      <c r="CU2" s="34" t="n"/>
      <c r="CV2" s="34" t="n"/>
      <c r="CW2" s="34" t="n"/>
      <c r="CX2" s="34" t="n"/>
      <c r="CY2" s="34" t="n"/>
      <c r="CZ2" s="34" t="n"/>
      <c r="DA2" s="34" t="n"/>
      <c r="DB2" s="34" t="n"/>
      <c r="DC2" s="34" t="n"/>
      <c r="DD2" s="34" t="n"/>
      <c r="DE2" s="34" t="n"/>
      <c r="DF2" s="34" t="n"/>
      <c r="DG2" s="34" t="n"/>
      <c r="DH2" s="34" t="n"/>
      <c r="DI2" s="34" t="n"/>
      <c r="DJ2" s="34" t="n"/>
      <c r="DK2" s="34" t="n"/>
      <c r="DL2" s="34" t="n"/>
      <c r="DM2" s="34" t="n"/>
      <c r="DN2" s="34" t="n"/>
      <c r="DO2" s="34" t="n"/>
      <c r="DP2" s="34" t="n"/>
      <c r="DQ2" s="34" t="n"/>
    </row>
    <row r="3" ht="16" customHeight="1">
      <c r="A3" s="38" t="n"/>
      <c r="B3" s="38" t="n"/>
      <c r="C3" s="38" t="n"/>
      <c r="D3" s="38" t="n"/>
      <c r="E3" s="38" t="n"/>
      <c r="F3" s="38" t="n"/>
      <c r="G3" s="38" t="n"/>
      <c r="H3" s="34" t="n"/>
      <c r="I3" s="34" t="n"/>
      <c r="J3" s="34" t="n"/>
      <c r="K3" s="34" t="n"/>
      <c r="L3" s="34" t="n"/>
      <c r="M3" s="34" t="n"/>
      <c r="N3" s="34" t="n"/>
      <c r="O3" s="34">
        <f>IFERROR(INDEX('_courses_lookup'!$C:$C,MATCH(K3&amp;L3,'_courses_lookup'!$E:$E,0)),"")</f>
        <v/>
      </c>
      <c r="P3" s="34">
        <f>IFERROR(INDEX('_courses_lookup'!$D:$D,MATCH(K3&amp;L3,'_courses_lookup'!$E:$E,0)),"")</f>
        <v/>
      </c>
      <c r="Q3" s="34" t="n"/>
      <c r="R3" s="34" t="n"/>
      <c r="S3" s="34" t="n"/>
      <c r="T3" s="34" t="n"/>
      <c r="U3" s="34" t="n"/>
      <c r="V3" s="34" t="n"/>
      <c r="W3" s="34" t="n"/>
      <c r="X3" s="34" t="n"/>
      <c r="Y3" s="30" t="n"/>
      <c r="Z3" s="34" t="n"/>
      <c r="AA3" s="34" t="n"/>
      <c r="AB3" s="34" t="n"/>
      <c r="AC3" s="34" t="n"/>
      <c r="AD3" s="34" t="n"/>
      <c r="AE3" s="34" t="n"/>
      <c r="AF3" s="34" t="n"/>
      <c r="AG3" s="34">
        <f>IF(AND(AE3&lt;&gt;"",AF3&lt;&gt;""),ROUNDUP((AF3-AE3)/7,0),"")</f>
        <v/>
      </c>
      <c r="AH3" s="34" t="n"/>
      <c r="AI3" s="34">
        <f>IFERROR(IF(AG3*AH3=0,"",AG3*AH3),"")</f>
        <v/>
      </c>
      <c r="AJ3" s="34" t="n"/>
      <c r="AK3" s="34" t="n"/>
      <c r="AL3" s="34">
        <f>IF(AND(AJ3&lt;&gt;"",AK3&lt;&gt;""),ROUNDUP((AK3-AJ3)/7,0),"")</f>
        <v/>
      </c>
      <c r="AM3" s="34" t="n"/>
      <c r="AN3" s="34">
        <f>IFERROR(IF(AL3*AM3=0,"",AL3*AM3),"")</f>
        <v/>
      </c>
      <c r="AO3" s="34" t="n"/>
      <c r="AP3" s="34" t="n"/>
      <c r="AQ3" s="34">
        <f>IF(AND(AO3&lt;&gt;"",AP3&lt;&gt;""),ROUNDUP((AP3-AO3)/7,0),"")</f>
        <v/>
      </c>
      <c r="AR3" s="34">
        <f>IFERROR(IF((AU3-(AI3+AN3))/AQ3=0,"",ROUNDUP((AU3-(AI3+AN3))/AQ3,0)),"")</f>
        <v/>
      </c>
      <c r="AS3" s="34">
        <f>IFERROR(IF((AU3-(AI3+AN3))=0,"",(AU3-(AI3+AN3))),"")</f>
        <v/>
      </c>
      <c r="AT3" s="34">
        <f>IF(AND(AG3="",AQ3=""),AL3,IF(SUM(AG3,AL3,AQ3)=0,"",SUM(AG3,AL3,AQ3)))</f>
        <v/>
      </c>
      <c r="AU3" s="34" t="n"/>
      <c r="AV3" s="34" t="n"/>
      <c r="AW3" s="34" t="n"/>
      <c r="AX3" s="34" t="n"/>
      <c r="AY3" s="34" t="n"/>
      <c r="AZ3" s="30" t="n"/>
      <c r="BA3" s="34" t="n"/>
      <c r="BB3" s="34" t="n"/>
      <c r="BC3" s="34" t="n"/>
      <c r="BD3" s="34" t="n"/>
      <c r="BE3" s="34" t="n"/>
      <c r="BF3" s="34" t="n"/>
      <c r="BG3" s="34">
        <f>IF(AD3="","",YEAR(AD3)+IF(MONTH(AD3)&gt;=5,1,0))</f>
        <v/>
      </c>
      <c r="BH3" s="34">
        <f>IF(AD3="","",IF(AND(MONTH(AD3)=8,DAY(AD3)&gt;=15),"Fall",IF(MONTH(AD3)&gt;8,"Fall",IF(MONTH(AD3)=5,"Summer",IF(MONTH(AD3)=1,"Spring","")))))</f>
        <v/>
      </c>
      <c r="BI3" s="34" t="n"/>
      <c r="BJ3" s="34" t="n"/>
      <c r="BK3" s="30">
        <f>IF($BJ3="","",IFERROR(INDEX(InstructorMap!$B:$B, MATCH($BJ3, InstructorMap!$A:$A, 0)),""))</f>
        <v/>
      </c>
      <c r="BL3" s="30">
        <f>IFERROR(INDEX('_names_lookup'!$C:$C,MATCH(BK3,'_names_lookup'!$A:$A,0)),"")</f>
        <v/>
      </c>
      <c r="BM3" s="34">
        <f>IFERROR(INDEX('_names_lookup'!$B:$B,MATCH(BK3,'_names_lookup'!$A:$A,0)),"")</f>
        <v/>
      </c>
      <c r="BN3" s="34" t="n"/>
      <c r="BO3" s="34" t="n"/>
      <c r="BP3" s="34" t="n"/>
      <c r="BQ3" s="34" t="n"/>
      <c r="BR3" s="34" t="n"/>
      <c r="BS3" s="34">
        <f>IFERROR(IF(BR3*AA3=0,"",BR3*AA3),"")</f>
        <v/>
      </c>
      <c r="BT3" s="34" t="n"/>
      <c r="BU3" s="34" t="n"/>
      <c r="BV3" s="34" t="n"/>
      <c r="BW3" s="34" t="n"/>
      <c r="BX3" s="34" t="n"/>
      <c r="BY3" s="34" t="n"/>
      <c r="BZ3" s="34" t="n"/>
      <c r="CA3" s="34" t="n"/>
      <c r="CB3" s="34" t="n"/>
      <c r="CC3" s="34" t="n"/>
      <c r="CD3" s="34" t="n"/>
      <c r="CE3" s="34" t="n"/>
      <c r="CF3" s="34" t="n"/>
      <c r="CG3" s="34" t="n"/>
      <c r="CH3" s="34" t="n"/>
      <c r="CI3" s="34" t="n"/>
      <c r="CJ3" s="34" t="n"/>
      <c r="CK3" s="34" t="n"/>
      <c r="CL3" s="34" t="n"/>
      <c r="CM3" s="34" t="n"/>
      <c r="CN3" s="34" t="n"/>
      <c r="CO3" s="34" t="n"/>
      <c r="CP3" s="34" t="n"/>
      <c r="CQ3" s="34" t="n"/>
      <c r="CR3" s="34" t="n"/>
      <c r="CS3" s="34" t="n"/>
      <c r="CT3" s="34" t="n"/>
      <c r="CU3" s="34" t="n"/>
      <c r="CV3" s="34" t="n"/>
      <c r="CW3" s="34" t="n"/>
      <c r="CX3" s="34" t="n"/>
      <c r="CY3" s="34" t="n"/>
      <c r="CZ3" s="34" t="n"/>
      <c r="DA3" s="34" t="n"/>
      <c r="DB3" s="34" t="n"/>
      <c r="DC3" s="34" t="n"/>
      <c r="DD3" s="34" t="n"/>
      <c r="DE3" s="34" t="n"/>
      <c r="DF3" s="34" t="n"/>
      <c r="DG3" s="34" t="n"/>
      <c r="DH3" s="34" t="n"/>
      <c r="DI3" s="34" t="n"/>
      <c r="DJ3" s="34" t="n"/>
      <c r="DK3" s="34" t="n"/>
      <c r="DL3" s="34" t="n"/>
      <c r="DM3" s="34" t="n"/>
      <c r="DN3" s="34" t="n"/>
      <c r="DO3" s="34" t="n"/>
      <c r="DP3" s="34" t="n"/>
      <c r="DQ3" s="34" t="n"/>
    </row>
    <row r="4" ht="16" customHeight="1">
      <c r="A4" s="38" t="n"/>
      <c r="B4" s="38" t="n"/>
      <c r="C4" s="38" t="n"/>
      <c r="D4" s="38" t="n"/>
      <c r="E4" s="38" t="n"/>
      <c r="F4" s="38" t="n"/>
      <c r="G4" s="38" t="n"/>
      <c r="H4" s="34" t="n"/>
      <c r="I4" s="34" t="n"/>
      <c r="J4" s="34" t="n"/>
      <c r="K4" s="34" t="n"/>
      <c r="L4" s="34" t="n"/>
      <c r="M4" s="34" t="n"/>
      <c r="N4" s="34" t="n"/>
      <c r="O4" s="34">
        <f>IFERROR(INDEX('_courses_lookup'!$C:$C,MATCH(K4&amp;L4,'_courses_lookup'!$E:$E,0)),"")</f>
        <v/>
      </c>
      <c r="P4" s="34">
        <f>IFERROR(INDEX('_courses_lookup'!$D:$D,MATCH(K4&amp;L4,'_courses_lookup'!$E:$E,0)),"")</f>
        <v/>
      </c>
      <c r="Q4" s="34" t="n"/>
      <c r="R4" s="34" t="n"/>
      <c r="S4" s="34" t="n"/>
      <c r="T4" s="34" t="n"/>
      <c r="U4" s="34" t="n"/>
      <c r="V4" s="34" t="n"/>
      <c r="W4" s="34" t="n"/>
      <c r="X4" s="34" t="n"/>
      <c r="Y4" s="30" t="n"/>
      <c r="Z4" s="34" t="n"/>
      <c r="AA4" s="34" t="n"/>
      <c r="AB4" s="34" t="n"/>
      <c r="AC4" s="34" t="n"/>
      <c r="AD4" s="34" t="n"/>
      <c r="AE4" s="34" t="n"/>
      <c r="AF4" s="34" t="n"/>
      <c r="AG4" s="34">
        <f>IF(AND(AE4&lt;&gt;"",AF4&lt;&gt;""),ROUNDUP((AF4-AE4)/7,0),"")</f>
        <v/>
      </c>
      <c r="AH4" s="34" t="n"/>
      <c r="AI4" s="34">
        <f>IFERROR(IF(AG4*AH4=0,"",AG4*AH4),"")</f>
        <v/>
      </c>
      <c r="AJ4" s="34" t="n"/>
      <c r="AK4" s="34" t="n"/>
      <c r="AL4" s="34">
        <f>IF(AND(AJ4&lt;&gt;"",AK4&lt;&gt;""),ROUNDUP((AK4-AJ4)/7,0),"")</f>
        <v/>
      </c>
      <c r="AM4" s="34" t="n"/>
      <c r="AN4" s="34">
        <f>IFERROR(IF(AL4*AM4=0,"",AL4*AM4),"")</f>
        <v/>
      </c>
      <c r="AO4" s="34" t="n"/>
      <c r="AP4" s="34" t="n"/>
      <c r="AQ4" s="34">
        <f>IF(AND(AO4&lt;&gt;"",AP4&lt;&gt;""),ROUNDUP((AP4-AO4)/7,0),"")</f>
        <v/>
      </c>
      <c r="AR4" s="34">
        <f>IFERROR(IF((AU4-(AI4+AN4))/AQ4=0,"",ROUNDUP((AU4-(AI4+AN4))/AQ4,0)),"")</f>
        <v/>
      </c>
      <c r="AS4" s="34">
        <f>IFERROR(IF((AU4-(AI4+AN4))=0,"",(AU4-(AI4+AN4))),"")</f>
        <v/>
      </c>
      <c r="AT4" s="34">
        <f>IF(AND(AG4="",AQ4=""),AL4,IF(SUM(AG4,AL4,AQ4)=0,"",SUM(AG4,AL4,AQ4)))</f>
        <v/>
      </c>
      <c r="AU4" s="34" t="n"/>
      <c r="AV4" s="34" t="n"/>
      <c r="AW4" s="34" t="n"/>
      <c r="AX4" s="34" t="n"/>
      <c r="AY4" s="34" t="n"/>
      <c r="AZ4" s="30" t="n"/>
      <c r="BA4" s="34" t="n"/>
      <c r="BB4" s="34" t="n"/>
      <c r="BC4" s="34" t="n"/>
      <c r="BD4" s="34" t="n"/>
      <c r="BE4" s="34" t="n"/>
      <c r="BF4" s="34" t="n"/>
      <c r="BG4" s="34">
        <f>IF(AD4="","",YEAR(AD4)+IF(MONTH(AD4)&gt;=5,1,0))</f>
        <v/>
      </c>
      <c r="BH4" s="34">
        <f>IF(AD4="","",IF(AND(MONTH(AD4)=8,DAY(AD4)&gt;=15),"Fall",IF(MONTH(AD4)&gt;8,"Fall",IF(MONTH(AD4)=5,"Summer",IF(MONTH(AD4)=1,"Spring","")))))</f>
        <v/>
      </c>
      <c r="BI4" s="34" t="n"/>
      <c r="BJ4" s="34" t="n"/>
      <c r="BK4" s="30">
        <f>IF($BJ4="","",IFERROR(INDEX(InstructorMap!$B:$B, MATCH($BJ4, InstructorMap!$A:$A, 0)),""))</f>
        <v/>
      </c>
      <c r="BL4" s="30">
        <f>IFERROR(INDEX('_names_lookup'!$C:$C,MATCH(BK4,'_names_lookup'!$A:$A,0)),"")</f>
        <v/>
      </c>
      <c r="BM4" s="34">
        <f>IFERROR(INDEX('_names_lookup'!$B:$B,MATCH(BK4,'_names_lookup'!$A:$A,0)),"")</f>
        <v/>
      </c>
      <c r="BN4" s="34" t="n"/>
      <c r="BO4" s="34" t="n"/>
      <c r="BP4" s="34" t="n"/>
      <c r="BQ4" s="34" t="n"/>
      <c r="BR4" s="34" t="n"/>
      <c r="BS4" s="34">
        <f>IFERROR(IF(BR4*AA4=0,"",BR4*AA4),"")</f>
        <v/>
      </c>
      <c r="BT4" s="34" t="n"/>
      <c r="BU4" s="34" t="n"/>
      <c r="BV4" s="34" t="n"/>
      <c r="BW4" s="34" t="n"/>
      <c r="BX4" s="34" t="n"/>
      <c r="BY4" s="34" t="n"/>
      <c r="BZ4" s="34" t="n"/>
      <c r="CA4" s="34" t="n"/>
      <c r="CB4" s="34" t="n"/>
      <c r="CC4" s="34" t="n"/>
      <c r="CD4" s="34" t="n"/>
      <c r="CE4" s="34" t="n"/>
      <c r="CF4" s="34" t="n"/>
      <c r="CG4" s="34" t="n"/>
      <c r="CH4" s="34" t="n"/>
      <c r="CI4" s="34" t="n"/>
      <c r="CJ4" s="34" t="n"/>
      <c r="CK4" s="34" t="n"/>
      <c r="CL4" s="34" t="n"/>
      <c r="CM4" s="34" t="n"/>
      <c r="CN4" s="34" t="n"/>
      <c r="CO4" s="34" t="n"/>
      <c r="CP4" s="34" t="n"/>
      <c r="CQ4" s="34" t="n"/>
      <c r="CR4" s="34" t="n"/>
      <c r="CS4" s="34" t="n"/>
      <c r="CT4" s="34" t="n"/>
      <c r="CU4" s="34" t="n"/>
      <c r="CV4" s="34" t="n"/>
      <c r="CW4" s="34" t="n"/>
      <c r="CX4" s="34" t="n"/>
      <c r="CY4" s="34" t="n"/>
      <c r="CZ4" s="34" t="n"/>
      <c r="DA4" s="34" t="n"/>
      <c r="DB4" s="34" t="n"/>
      <c r="DC4" s="34" t="n"/>
      <c r="DD4" s="34" t="n"/>
      <c r="DE4" s="34" t="n"/>
      <c r="DF4" s="34" t="n"/>
      <c r="DG4" s="34" t="n"/>
      <c r="DH4" s="34" t="n"/>
      <c r="DI4" s="34" t="n"/>
      <c r="DJ4" s="34" t="n"/>
      <c r="DK4" s="34" t="n"/>
      <c r="DL4" s="34" t="n"/>
      <c r="DM4" s="34" t="n"/>
      <c r="DN4" s="34" t="n"/>
      <c r="DO4" s="34" t="n"/>
      <c r="DP4" s="34" t="n"/>
      <c r="DQ4" s="34" t="n"/>
    </row>
    <row r="5" ht="16" customHeight="1">
      <c r="A5" s="38" t="n"/>
      <c r="B5" s="38" t="n"/>
      <c r="C5" s="38" t="n"/>
      <c r="D5" s="38" t="n"/>
      <c r="E5" s="38" t="n"/>
      <c r="F5" s="38" t="n"/>
      <c r="G5" s="38" t="n"/>
      <c r="H5" s="34" t="n"/>
      <c r="I5" s="34" t="n"/>
      <c r="J5" s="34" t="n"/>
      <c r="K5" s="34" t="n"/>
      <c r="L5" s="34" t="n"/>
      <c r="M5" s="34" t="n"/>
      <c r="N5" s="34" t="n"/>
      <c r="O5" s="34">
        <f>IFERROR(INDEX('_courses_lookup'!$C:$C,MATCH(K5&amp;L5,'_courses_lookup'!$E:$E,0)),"")</f>
        <v/>
      </c>
      <c r="P5" s="34">
        <f>IFERROR(INDEX('_courses_lookup'!$D:$D,MATCH(K5&amp;L5,'_courses_lookup'!$E:$E,0)),"")</f>
        <v/>
      </c>
      <c r="Q5" s="34" t="n"/>
      <c r="R5" s="34" t="n"/>
      <c r="S5" s="34" t="n"/>
      <c r="T5" s="34" t="n"/>
      <c r="U5" s="34" t="n"/>
      <c r="V5" s="34" t="n"/>
      <c r="W5" s="34" t="n"/>
      <c r="X5" s="34" t="n"/>
      <c r="Y5" s="30" t="n"/>
      <c r="Z5" s="34" t="n"/>
      <c r="AA5" s="34" t="n"/>
      <c r="AB5" s="34" t="n"/>
      <c r="AC5" s="34" t="n"/>
      <c r="AD5" s="34" t="n"/>
      <c r="AE5" s="34" t="n"/>
      <c r="AF5" s="34" t="n"/>
      <c r="AG5" s="34">
        <f>IF(AND(AE5&lt;&gt;"",AF5&lt;&gt;""),ROUNDUP((AF5-AE5)/7,0),"")</f>
        <v/>
      </c>
      <c r="AH5" s="34" t="n"/>
      <c r="AI5" s="34">
        <f>IFERROR(IF(AG5*AH5=0,"",AG5*AH5),"")</f>
        <v/>
      </c>
      <c r="AJ5" s="34" t="n"/>
      <c r="AK5" s="34" t="n"/>
      <c r="AL5" s="34">
        <f>IF(AND(AJ5&lt;&gt;"",AK5&lt;&gt;""),ROUNDUP((AK5-AJ5)/7,0),"")</f>
        <v/>
      </c>
      <c r="AM5" s="34" t="n"/>
      <c r="AN5" s="34">
        <f>IFERROR(IF(AL5*AM5=0,"",AL5*AM5),"")</f>
        <v/>
      </c>
      <c r="AO5" s="34" t="n"/>
      <c r="AP5" s="34" t="n"/>
      <c r="AQ5" s="34">
        <f>IF(AND(AO5&lt;&gt;"",AP5&lt;&gt;""),ROUNDUP((AP5-AO5)/7,0),"")</f>
        <v/>
      </c>
      <c r="AR5" s="34">
        <f>IFERROR(IF((AU5-(AI5+AN5))/AQ5=0,"",ROUNDUP((AU5-(AI5+AN5))/AQ5,0)),"")</f>
        <v/>
      </c>
      <c r="AS5" s="34">
        <f>IFERROR(IF((AU5-(AI5+AN5))=0,"",(AU5-(AI5+AN5))),"")</f>
        <v/>
      </c>
      <c r="AT5" s="34">
        <f>IF(AND(AG5="",AQ5=""),AL5,IF(SUM(AG5,AL5,AQ5)=0,"",SUM(AG5,AL5,AQ5)))</f>
        <v/>
      </c>
      <c r="AU5" s="34" t="n"/>
      <c r="AV5" s="34" t="n"/>
      <c r="AW5" s="34" t="n"/>
      <c r="AX5" s="34" t="n"/>
      <c r="AY5" s="34" t="n"/>
      <c r="AZ5" s="30" t="n"/>
      <c r="BA5" s="34" t="n"/>
      <c r="BB5" s="34" t="n"/>
      <c r="BC5" s="34" t="n"/>
      <c r="BD5" s="34" t="n"/>
      <c r="BE5" s="34" t="n"/>
      <c r="BF5" s="34" t="n"/>
      <c r="BG5" s="34">
        <f>IF(AD5="","",YEAR(AD5)+IF(MONTH(AD5)&gt;=5,1,0))</f>
        <v/>
      </c>
      <c r="BH5" s="34">
        <f>IF(AD5="","",IF(AND(MONTH(AD5)=8,DAY(AD5)&gt;=15),"Fall",IF(MONTH(AD5)&gt;8,"Fall",IF(MONTH(AD5)=5,"Summer",IF(MONTH(AD5)=1,"Spring","")))))</f>
        <v/>
      </c>
      <c r="BI5" s="34" t="n"/>
      <c r="BJ5" s="34" t="n"/>
      <c r="BK5" s="30">
        <f>IF($BJ5="","",IFERROR(INDEX(InstructorMap!$B:$B, MATCH($BJ5, InstructorMap!$A:$A, 0)),""))</f>
        <v/>
      </c>
      <c r="BL5" s="30">
        <f>IFERROR(INDEX('_names_lookup'!$C:$C,MATCH(BK5,'_names_lookup'!$A:$A,0)),"")</f>
        <v/>
      </c>
      <c r="BM5" s="34">
        <f>IFERROR(INDEX('_names_lookup'!$B:$B,MATCH(BK5,'_names_lookup'!$A:$A,0)),"")</f>
        <v/>
      </c>
      <c r="BN5" s="34" t="n"/>
      <c r="BO5" s="34" t="n"/>
      <c r="BP5" s="34" t="n"/>
      <c r="BQ5" s="34" t="n"/>
      <c r="BR5" s="34" t="n"/>
      <c r="BS5" s="34">
        <f>IFERROR(IF(BR5*AA5=0,"",BR5*AA5),"")</f>
        <v/>
      </c>
      <c r="BT5" s="34" t="n"/>
      <c r="BU5" s="34" t="n"/>
      <c r="BV5" s="34" t="n"/>
      <c r="BW5" s="34" t="n"/>
      <c r="BX5" s="34" t="n"/>
      <c r="BY5" s="34" t="n"/>
      <c r="BZ5" s="34" t="n"/>
      <c r="CA5" s="34" t="n"/>
      <c r="CB5" s="34" t="n"/>
      <c r="CC5" s="34" t="n"/>
      <c r="CD5" s="34" t="n"/>
      <c r="CE5" s="34" t="n"/>
      <c r="CF5" s="34" t="n"/>
      <c r="CG5" s="34" t="n"/>
      <c r="CH5" s="34" t="n"/>
      <c r="CI5" s="34" t="n"/>
      <c r="CJ5" s="34" t="n"/>
      <c r="CK5" s="34" t="n"/>
      <c r="CL5" s="34" t="n"/>
      <c r="CM5" s="34" t="n"/>
      <c r="CN5" s="34" t="n"/>
      <c r="CO5" s="34" t="n"/>
      <c r="CP5" s="34" t="n"/>
      <c r="CQ5" s="34" t="n"/>
      <c r="CR5" s="34" t="n"/>
      <c r="CS5" s="34" t="n"/>
      <c r="CT5" s="34" t="n"/>
      <c r="CU5" s="34" t="n"/>
      <c r="CV5" s="34" t="n"/>
      <c r="CW5" s="34" t="n"/>
      <c r="CX5" s="34" t="n"/>
      <c r="CY5" s="34" t="n"/>
      <c r="CZ5" s="34" t="n"/>
      <c r="DA5" s="34" t="n"/>
      <c r="DB5" s="34" t="n"/>
      <c r="DC5" s="34" t="n"/>
      <c r="DD5" s="34" t="n"/>
      <c r="DE5" s="34" t="n"/>
      <c r="DF5" s="34" t="n"/>
      <c r="DG5" s="34" t="n"/>
      <c r="DH5" s="34" t="n"/>
      <c r="DI5" s="34" t="n"/>
      <c r="DJ5" s="34" t="n"/>
      <c r="DK5" s="34" t="n"/>
      <c r="DL5" s="34" t="n"/>
      <c r="DM5" s="34" t="n"/>
      <c r="DN5" s="34" t="n"/>
      <c r="DO5" s="34" t="n"/>
      <c r="DP5" s="34" t="n"/>
      <c r="DQ5" s="34" t="n"/>
    </row>
    <row r="6" ht="16" customHeight="1">
      <c r="A6" s="38" t="n"/>
      <c r="B6" s="38" t="n"/>
      <c r="C6" s="38" t="n"/>
      <c r="D6" s="38" t="n"/>
      <c r="E6" s="38" t="n"/>
      <c r="F6" s="38" t="n"/>
      <c r="G6" s="38" t="n"/>
      <c r="H6" s="34" t="n"/>
      <c r="I6" s="34" t="n"/>
      <c r="J6" s="34" t="n"/>
      <c r="K6" s="34" t="n"/>
      <c r="L6" s="34" t="n"/>
      <c r="M6" s="34" t="n"/>
      <c r="N6" s="34" t="n"/>
      <c r="O6" s="34">
        <f>IFERROR(INDEX('_courses_lookup'!$C:$C,MATCH(K6&amp;L6,'_courses_lookup'!$E:$E,0)),"")</f>
        <v/>
      </c>
      <c r="P6" s="34">
        <f>IFERROR(INDEX('_courses_lookup'!$D:$D,MATCH(K6&amp;L6,'_courses_lookup'!$E:$E,0)),"")</f>
        <v/>
      </c>
      <c r="Q6" s="34" t="n"/>
      <c r="R6" s="34" t="n"/>
      <c r="S6" s="34" t="n"/>
      <c r="T6" s="34" t="n"/>
      <c r="U6" s="34" t="n"/>
      <c r="V6" s="34" t="n"/>
      <c r="W6" s="34" t="n"/>
      <c r="X6" s="34" t="n"/>
      <c r="Y6" s="30" t="n"/>
      <c r="Z6" s="34" t="n"/>
      <c r="AA6" s="34" t="n"/>
      <c r="AB6" s="34" t="n"/>
      <c r="AC6" s="34" t="n"/>
      <c r="AD6" s="34" t="n"/>
      <c r="AE6" s="34" t="n"/>
      <c r="AF6" s="34" t="n"/>
      <c r="AG6" s="34">
        <f>IF(AND(AE6&lt;&gt;"",AF6&lt;&gt;""),ROUNDUP((AF6-AE6)/7,0),"")</f>
        <v/>
      </c>
      <c r="AH6" s="34" t="n"/>
      <c r="AI6" s="34">
        <f>IFERROR(IF(AG6*AH6=0,"",AG6*AH6),"")</f>
        <v/>
      </c>
      <c r="AJ6" s="34" t="n"/>
      <c r="AK6" s="34" t="n"/>
      <c r="AL6" s="34">
        <f>IF(AND(AJ6&lt;&gt;"",AK6&lt;&gt;""),ROUNDUP((AK6-AJ6)/7,0),"")</f>
        <v/>
      </c>
      <c r="AM6" s="34" t="n"/>
      <c r="AN6" s="34">
        <f>IFERROR(IF(AL6*AM6=0,"",AL6*AM6),"")</f>
        <v/>
      </c>
      <c r="AO6" s="34" t="n"/>
      <c r="AP6" s="34" t="n"/>
      <c r="AQ6" s="34">
        <f>IF(AND(AO6&lt;&gt;"",AP6&lt;&gt;""),ROUNDUP((AP6-AO6)/7,0),"")</f>
        <v/>
      </c>
      <c r="AR6" s="34">
        <f>IFERROR(IF((AU6-(AI6+AN6))/AQ6=0,"",ROUNDUP((AU6-(AI6+AN6))/AQ6,0)),"")</f>
        <v/>
      </c>
      <c r="AS6" s="34">
        <f>IFERROR(IF((AU6-(AI6+AN6))=0,"",(AU6-(AI6+AN6))),"")</f>
        <v/>
      </c>
      <c r="AT6" s="34">
        <f>IF(AND(AG6="",AQ6=""),AL6,IF(SUM(AG6,AL6,AQ6)=0,"",SUM(AG6,AL6,AQ6)))</f>
        <v/>
      </c>
      <c r="AU6" s="34" t="n"/>
      <c r="AV6" s="34" t="n"/>
      <c r="AW6" s="34" t="n"/>
      <c r="AX6" s="34" t="n"/>
      <c r="AY6" s="34" t="n"/>
      <c r="AZ6" s="30" t="n"/>
      <c r="BA6" s="34" t="n"/>
      <c r="BB6" s="34" t="n"/>
      <c r="BC6" s="34" t="n"/>
      <c r="BD6" s="34" t="n"/>
      <c r="BE6" s="34" t="n"/>
      <c r="BF6" s="34" t="n"/>
      <c r="BG6" s="34">
        <f>IF(AD6="","",YEAR(AD6)+IF(MONTH(AD6)&gt;=5,1,0))</f>
        <v/>
      </c>
      <c r="BH6" s="34">
        <f>IF(AD6="","",IF(AND(MONTH(AD6)=8,DAY(AD6)&gt;=15),"Fall",IF(MONTH(AD6)&gt;8,"Fall",IF(MONTH(AD6)=5,"Summer",IF(MONTH(AD6)=1,"Spring","")))))</f>
        <v/>
      </c>
      <c r="BI6" s="34" t="n"/>
      <c r="BJ6" s="34" t="n"/>
      <c r="BK6" s="30">
        <f>IF($BJ6="","",IFERROR(INDEX(InstructorMap!$B:$B, MATCH($BJ6, InstructorMap!$A:$A, 0)),""))</f>
        <v/>
      </c>
      <c r="BL6" s="30">
        <f>IFERROR(INDEX('_names_lookup'!$C:$C,MATCH(BK6,'_names_lookup'!$A:$A,0)),"")</f>
        <v/>
      </c>
      <c r="BM6" s="34">
        <f>IFERROR(INDEX('_names_lookup'!$B:$B,MATCH(BK6,'_names_lookup'!$A:$A,0)),"")</f>
        <v/>
      </c>
      <c r="BN6" s="34" t="n"/>
      <c r="BO6" s="34" t="n"/>
      <c r="BP6" s="34" t="n"/>
      <c r="BQ6" s="34" t="n"/>
      <c r="BR6" s="34" t="n"/>
      <c r="BS6" s="34">
        <f>IFERROR(IF(BR6*AA6=0,"",BR6*AA6),"")</f>
        <v/>
      </c>
      <c r="BT6" s="34" t="n"/>
      <c r="BU6" s="34" t="n"/>
      <c r="BV6" s="34" t="n"/>
      <c r="BW6" s="34" t="n"/>
      <c r="BX6" s="34" t="n"/>
      <c r="BY6" s="34" t="n"/>
      <c r="BZ6" s="34" t="n"/>
      <c r="CA6" s="34" t="n"/>
      <c r="CB6" s="34" t="n"/>
      <c r="CC6" s="34" t="n"/>
      <c r="CD6" s="34" t="n"/>
      <c r="CE6" s="34" t="n"/>
      <c r="CF6" s="34" t="n"/>
      <c r="CG6" s="34" t="n"/>
      <c r="CH6" s="34" t="n"/>
      <c r="CI6" s="34" t="n"/>
      <c r="CJ6" s="34" t="n"/>
      <c r="CK6" s="34" t="n"/>
      <c r="CL6" s="34" t="n"/>
      <c r="CM6" s="34" t="n"/>
      <c r="CN6" s="34" t="n"/>
      <c r="CO6" s="34" t="n"/>
      <c r="CP6" s="34" t="n"/>
      <c r="CQ6" s="34" t="n"/>
      <c r="CR6" s="34" t="n"/>
      <c r="CS6" s="34" t="n"/>
      <c r="CT6" s="34" t="n"/>
      <c r="CU6" s="34" t="n"/>
      <c r="CV6" s="34" t="n"/>
      <c r="CW6" s="34" t="n"/>
      <c r="CX6" s="34" t="n"/>
      <c r="CY6" s="34" t="n"/>
      <c r="CZ6" s="34" t="n"/>
      <c r="DA6" s="34" t="n"/>
      <c r="DB6" s="34" t="n"/>
      <c r="DC6" s="34" t="n"/>
      <c r="DD6" s="34" t="n"/>
      <c r="DE6" s="34" t="n"/>
      <c r="DF6" s="34" t="n"/>
      <c r="DG6" s="34" t="n"/>
      <c r="DH6" s="34" t="n"/>
      <c r="DI6" s="34" t="n"/>
      <c r="DJ6" s="34" t="n"/>
      <c r="DK6" s="34" t="n"/>
      <c r="DL6" s="34" t="n"/>
      <c r="DM6" s="34" t="n"/>
      <c r="DN6" s="34" t="n"/>
      <c r="DO6" s="34" t="n"/>
      <c r="DP6" s="34" t="n"/>
      <c r="DQ6" s="34" t="n"/>
    </row>
    <row r="7" ht="16" customHeight="1">
      <c r="A7" s="38" t="n"/>
      <c r="B7" s="38" t="n"/>
      <c r="C7" s="38" t="n"/>
      <c r="D7" s="38" t="n"/>
      <c r="E7" s="38" t="n"/>
      <c r="F7" s="38" t="n"/>
      <c r="G7" s="38" t="n"/>
      <c r="H7" s="34" t="n"/>
      <c r="I7" s="34" t="n"/>
      <c r="J7" s="34" t="n"/>
      <c r="K7" s="34" t="n"/>
      <c r="L7" s="34" t="n"/>
      <c r="M7" s="34" t="n"/>
      <c r="N7" s="34" t="n"/>
      <c r="O7" s="34">
        <f>IFERROR(INDEX('_courses_lookup'!$C:$C,MATCH(K7&amp;L7,'_courses_lookup'!$E:$E,0)),"")</f>
        <v/>
      </c>
      <c r="P7" s="34">
        <f>IFERROR(INDEX('_courses_lookup'!$D:$D,MATCH(K7&amp;L7,'_courses_lookup'!$E:$E,0)),"")</f>
        <v/>
      </c>
      <c r="Q7" s="34" t="n"/>
      <c r="R7" s="34" t="n"/>
      <c r="S7" s="34" t="n"/>
      <c r="T7" s="34" t="n"/>
      <c r="U7" s="34" t="n"/>
      <c r="V7" s="34" t="n"/>
      <c r="W7" s="34" t="n"/>
      <c r="X7" s="34" t="n"/>
      <c r="Y7" s="30" t="n"/>
      <c r="Z7" s="34" t="n"/>
      <c r="AA7" s="34" t="n"/>
      <c r="AB7" s="34" t="n"/>
      <c r="AC7" s="34" t="n"/>
      <c r="AD7" s="34" t="n"/>
      <c r="AE7" s="34" t="n"/>
      <c r="AF7" s="34" t="n"/>
      <c r="AG7" s="34">
        <f>IF(AND(AE7&lt;&gt;"",AF7&lt;&gt;""),ROUNDUP((AF7-AE7)/7,0),"")</f>
        <v/>
      </c>
      <c r="AH7" s="34" t="n"/>
      <c r="AI7" s="34">
        <f>IFERROR(IF(AG7*AH7=0,"",AG7*AH7),"")</f>
        <v/>
      </c>
      <c r="AJ7" s="34" t="n"/>
      <c r="AK7" s="34" t="n"/>
      <c r="AL7" s="34">
        <f>IF(AND(AJ7&lt;&gt;"",AK7&lt;&gt;""),ROUNDUP((AK7-AJ7)/7,0),"")</f>
        <v/>
      </c>
      <c r="AM7" s="34" t="n"/>
      <c r="AN7" s="34">
        <f>IFERROR(IF(AL7*AM7=0,"",AL7*AM7),"")</f>
        <v/>
      </c>
      <c r="AO7" s="34" t="n"/>
      <c r="AP7" s="34" t="n"/>
      <c r="AQ7" s="34">
        <f>IF(AND(AO7&lt;&gt;"",AP7&lt;&gt;""),ROUNDUP((AP7-AO7)/7,0),"")</f>
        <v/>
      </c>
      <c r="AR7" s="34">
        <f>IFERROR(IF((AU7-(AI7+AN7))/AQ7=0,"",ROUNDUP((AU7-(AI7+AN7))/AQ7,0)),"")</f>
        <v/>
      </c>
      <c r="AS7" s="34">
        <f>IFERROR(IF((AU7-(AI7+AN7))=0,"",(AU7-(AI7+AN7))),"")</f>
        <v/>
      </c>
      <c r="AT7" s="34">
        <f>IF(AND(AG7="",AQ7=""),AL7,IF(SUM(AG7,AL7,AQ7)=0,"",SUM(AG7,AL7,AQ7)))</f>
        <v/>
      </c>
      <c r="AU7" s="34" t="n"/>
      <c r="AV7" s="34" t="n"/>
      <c r="AW7" s="34" t="n"/>
      <c r="AX7" s="34" t="n"/>
      <c r="AY7" s="34" t="n"/>
      <c r="AZ7" s="30" t="n"/>
      <c r="BA7" s="34" t="n"/>
      <c r="BB7" s="34" t="n"/>
      <c r="BC7" s="34" t="n"/>
      <c r="BD7" s="34" t="n"/>
      <c r="BE7" s="34" t="n"/>
      <c r="BF7" s="34" t="n"/>
      <c r="BG7" s="34">
        <f>IF(AD7="","",YEAR(AD7)+IF(MONTH(AD7)&gt;=5,1,0))</f>
        <v/>
      </c>
      <c r="BH7" s="34">
        <f>IF(AD7="","",IF(AND(MONTH(AD7)=8,DAY(AD7)&gt;=15),"Fall",IF(MONTH(AD7)&gt;8,"Fall",IF(MONTH(AD7)=5,"Summer",IF(MONTH(AD7)=1,"Spring","")))))</f>
        <v/>
      </c>
      <c r="BI7" s="34" t="n"/>
      <c r="BJ7" s="34" t="n"/>
      <c r="BK7" s="30">
        <f>IF($BJ7="","",IFERROR(INDEX(InstructorMap!$B:$B, MATCH($BJ7, InstructorMap!$A:$A, 0)),""))</f>
        <v/>
      </c>
      <c r="BL7" s="30">
        <f>IFERROR(INDEX('_names_lookup'!$C:$C,MATCH(BK7,'_names_lookup'!$A:$A,0)),"")</f>
        <v/>
      </c>
      <c r="BM7" s="34">
        <f>IFERROR(INDEX('_names_lookup'!$B:$B,MATCH(BK7,'_names_lookup'!$A:$A,0)),"")</f>
        <v/>
      </c>
      <c r="BN7" s="34" t="n"/>
      <c r="BO7" s="34" t="n"/>
      <c r="BP7" s="34" t="n"/>
      <c r="BQ7" s="34" t="n"/>
      <c r="BR7" s="34" t="n"/>
      <c r="BS7" s="34">
        <f>IFERROR(IF(BR7*AA7=0,"",BR7*AA7),"")</f>
        <v/>
      </c>
      <c r="BT7" s="34" t="n"/>
      <c r="BU7" s="34" t="n"/>
      <c r="BV7" s="34" t="n"/>
      <c r="BW7" s="34" t="n"/>
      <c r="BX7" s="34" t="n"/>
      <c r="BY7" s="34" t="n"/>
      <c r="BZ7" s="34" t="n"/>
      <c r="CA7" s="34" t="n"/>
      <c r="CB7" s="34" t="n"/>
      <c r="CC7" s="34" t="n"/>
      <c r="CD7" s="34" t="n"/>
      <c r="CE7" s="34" t="n"/>
      <c r="CF7" s="34" t="n"/>
      <c r="CG7" s="34" t="n"/>
      <c r="CH7" s="34" t="n"/>
      <c r="CI7" s="34" t="n"/>
      <c r="CJ7" s="34" t="n"/>
      <c r="CK7" s="34" t="n"/>
      <c r="CL7" s="34" t="n"/>
      <c r="CM7" s="34" t="n"/>
      <c r="CN7" s="34" t="n"/>
      <c r="CO7" s="34" t="n"/>
      <c r="CP7" s="34" t="n"/>
      <c r="CQ7" s="34" t="n"/>
      <c r="CR7" s="34" t="n"/>
      <c r="CS7" s="34" t="n"/>
      <c r="CT7" s="34" t="n"/>
      <c r="CU7" s="34" t="n"/>
      <c r="CV7" s="34" t="n"/>
      <c r="CW7" s="34" t="n"/>
      <c r="CX7" s="34" t="n"/>
      <c r="CY7" s="34" t="n"/>
      <c r="CZ7" s="34" t="n"/>
      <c r="DA7" s="34" t="n"/>
      <c r="DB7" s="34" t="n"/>
      <c r="DC7" s="34" t="n"/>
      <c r="DD7" s="34" t="n"/>
      <c r="DE7" s="34" t="n"/>
      <c r="DF7" s="34" t="n"/>
      <c r="DG7" s="34" t="n"/>
      <c r="DH7" s="34" t="n"/>
      <c r="DI7" s="34" t="n"/>
      <c r="DJ7" s="34" t="n"/>
      <c r="DK7" s="34" t="n"/>
      <c r="DL7" s="34" t="n"/>
      <c r="DM7" s="34" t="n"/>
      <c r="DN7" s="34" t="n"/>
      <c r="DO7" s="34" t="n"/>
      <c r="DP7" s="34" t="n"/>
      <c r="DQ7" s="34" t="n"/>
    </row>
    <row r="8" ht="16" customHeight="1">
      <c r="A8" s="38" t="n"/>
      <c r="B8" s="38" t="n"/>
      <c r="C8" s="38" t="n"/>
      <c r="D8" s="38" t="n"/>
      <c r="E8" s="38" t="n"/>
      <c r="F8" s="38" t="n"/>
      <c r="G8" s="38" t="n"/>
      <c r="H8" s="34" t="n"/>
      <c r="I8" s="34" t="n"/>
      <c r="J8" s="34" t="n"/>
      <c r="K8" s="34" t="n"/>
      <c r="L8" s="34" t="n"/>
      <c r="M8" s="34" t="n"/>
      <c r="N8" s="34" t="n"/>
      <c r="O8" s="34">
        <f>IFERROR(INDEX('_courses_lookup'!$C:$C,MATCH(K8&amp;L8,'_courses_lookup'!$E:$E,0)),"")</f>
        <v/>
      </c>
      <c r="P8" s="34">
        <f>IFERROR(INDEX('_courses_lookup'!$D:$D,MATCH(K8&amp;L8,'_courses_lookup'!$E:$E,0)),"")</f>
        <v/>
      </c>
      <c r="Q8" s="34" t="n"/>
      <c r="R8" s="34" t="n"/>
      <c r="S8" s="34" t="n"/>
      <c r="T8" s="34" t="n"/>
      <c r="U8" s="34" t="n"/>
      <c r="V8" s="34" t="n"/>
      <c r="W8" s="34" t="n"/>
      <c r="X8" s="34" t="n"/>
      <c r="Y8" s="30" t="n"/>
      <c r="Z8" s="34" t="n"/>
      <c r="AA8" s="34" t="n"/>
      <c r="AB8" s="34" t="n"/>
      <c r="AC8" s="34" t="n"/>
      <c r="AD8" s="34" t="n"/>
      <c r="AE8" s="34" t="n"/>
      <c r="AF8" s="34" t="n"/>
      <c r="AG8" s="34">
        <f>IF(AND(AE8&lt;&gt;"",AF8&lt;&gt;""),ROUNDUP((AF8-AE8)/7,0),"")</f>
        <v/>
      </c>
      <c r="AH8" s="34" t="n"/>
      <c r="AI8" s="34">
        <f>IFERROR(IF(AG8*AH8=0,"",AG8*AH8),"")</f>
        <v/>
      </c>
      <c r="AJ8" s="34" t="n"/>
      <c r="AK8" s="34" t="n"/>
      <c r="AL8" s="34">
        <f>IF(AND(AJ8&lt;&gt;"",AK8&lt;&gt;""),ROUNDUP((AK8-AJ8)/7,0),"")</f>
        <v/>
      </c>
      <c r="AM8" s="34" t="n"/>
      <c r="AN8" s="34">
        <f>IFERROR(IF(AL8*AM8=0,"",AL8*AM8),"")</f>
        <v/>
      </c>
      <c r="AO8" s="34" t="n"/>
      <c r="AP8" s="34" t="n"/>
      <c r="AQ8" s="34">
        <f>IF(AND(AO8&lt;&gt;"",AP8&lt;&gt;""),ROUNDUP((AP8-AO8)/7,0),"")</f>
        <v/>
      </c>
      <c r="AR8" s="34">
        <f>IFERROR(IF((AU8-(AI8+AN8))/AQ8=0,"",ROUNDUP((AU8-(AI8+AN8))/AQ8,0)),"")</f>
        <v/>
      </c>
      <c r="AS8" s="34">
        <f>IFERROR(IF((AU8-(AI8+AN8))=0,"",(AU8-(AI8+AN8))),"")</f>
        <v/>
      </c>
      <c r="AT8" s="34">
        <f>IF(AND(AG8="",AQ8=""),AL8,IF(SUM(AG8,AL8,AQ8)=0,"",SUM(AG8,AL8,AQ8)))</f>
        <v/>
      </c>
      <c r="AU8" s="34" t="n"/>
      <c r="AV8" s="34" t="n"/>
      <c r="AW8" s="34" t="n"/>
      <c r="AX8" s="34" t="n"/>
      <c r="AY8" s="34" t="n"/>
      <c r="AZ8" s="30" t="n"/>
      <c r="BA8" s="34" t="n"/>
      <c r="BB8" s="34" t="n"/>
      <c r="BC8" s="34" t="n"/>
      <c r="BD8" s="34" t="n"/>
      <c r="BE8" s="34" t="n"/>
      <c r="BF8" s="34" t="n"/>
      <c r="BG8" s="34">
        <f>IF(AD8="","",YEAR(AD8)+IF(MONTH(AD8)&gt;=5,1,0))</f>
        <v/>
      </c>
      <c r="BH8" s="34">
        <f>IF(AD8="","",IF(AND(MONTH(AD8)=8,DAY(AD8)&gt;=15),"Fall",IF(MONTH(AD8)&gt;8,"Fall",IF(MONTH(AD8)=5,"Summer",IF(MONTH(AD8)=1,"Spring","")))))</f>
        <v/>
      </c>
      <c r="BI8" s="34" t="n"/>
      <c r="BJ8" s="34" t="n"/>
      <c r="BK8" s="30">
        <f>IF($BJ8="","",IFERROR(INDEX(InstructorMap!$B:$B, MATCH($BJ8, InstructorMap!$A:$A, 0)),""))</f>
        <v/>
      </c>
      <c r="BL8" s="30">
        <f>IFERROR(INDEX('_names_lookup'!$C:$C,MATCH(BK8,'_names_lookup'!$A:$A,0)),"")</f>
        <v/>
      </c>
      <c r="BM8" s="34">
        <f>IFERROR(INDEX('_names_lookup'!$B:$B,MATCH(BK8,'_names_lookup'!$A:$A,0)),"")</f>
        <v/>
      </c>
      <c r="BN8" s="34" t="n"/>
      <c r="BO8" s="34" t="n"/>
      <c r="BP8" s="34" t="n"/>
      <c r="BQ8" s="34" t="n"/>
      <c r="BR8" s="34" t="n"/>
      <c r="BS8" s="34">
        <f>IFERROR(IF(BR8*AA8=0,"",BR8*AA8),"")</f>
        <v/>
      </c>
      <c r="BT8" s="34" t="n"/>
      <c r="BU8" s="34" t="n"/>
      <c r="BV8" s="34" t="n"/>
      <c r="BW8" s="34" t="n"/>
      <c r="BX8" s="34" t="n"/>
      <c r="BY8" s="34" t="n"/>
      <c r="BZ8" s="34" t="n"/>
      <c r="CA8" s="34" t="n"/>
      <c r="CB8" s="34" t="n"/>
      <c r="CC8" s="34" t="n"/>
      <c r="CD8" s="34" t="n"/>
      <c r="CE8" s="34" t="n"/>
      <c r="CF8" s="34" t="n"/>
      <c r="CG8" s="34" t="n"/>
      <c r="CH8" s="34" t="n"/>
      <c r="CI8" s="34" t="n"/>
      <c r="CJ8" s="34" t="n"/>
      <c r="CK8" s="34" t="n"/>
      <c r="CL8" s="34" t="n"/>
      <c r="CM8" s="34" t="n"/>
      <c r="CN8" s="34" t="n"/>
      <c r="CO8" s="34" t="n"/>
      <c r="CP8" s="34" t="n"/>
      <c r="CQ8" s="34" t="n"/>
      <c r="CR8" s="34" t="n"/>
      <c r="CS8" s="34" t="n"/>
      <c r="CT8" s="34" t="n"/>
      <c r="CU8" s="34" t="n"/>
      <c r="CV8" s="34" t="n"/>
      <c r="CW8" s="34" t="n"/>
      <c r="CX8" s="34" t="n"/>
      <c r="CY8" s="34" t="n"/>
      <c r="CZ8" s="34" t="n"/>
      <c r="DA8" s="34" t="n"/>
      <c r="DB8" s="34" t="n"/>
      <c r="DC8" s="34" t="n"/>
      <c r="DD8" s="34" t="n"/>
      <c r="DE8" s="34" t="n"/>
      <c r="DF8" s="34" t="n"/>
      <c r="DG8" s="34" t="n"/>
      <c r="DH8" s="34" t="n"/>
      <c r="DI8" s="34" t="n"/>
      <c r="DJ8" s="34" t="n"/>
      <c r="DK8" s="34" t="n"/>
      <c r="DL8" s="34" t="n"/>
      <c r="DM8" s="34" t="n"/>
      <c r="DN8" s="34" t="n"/>
      <c r="DO8" s="34" t="n"/>
      <c r="DP8" s="34" t="n"/>
      <c r="DQ8" s="34" t="n"/>
    </row>
    <row r="9" ht="16" customHeight="1">
      <c r="A9" s="38" t="n"/>
      <c r="B9" s="38" t="n"/>
      <c r="C9" s="38" t="n"/>
      <c r="D9" s="38" t="n"/>
      <c r="E9" s="38" t="n"/>
      <c r="F9" s="38" t="n"/>
      <c r="G9" s="38" t="n"/>
      <c r="H9" s="34" t="n"/>
      <c r="I9" s="34" t="n"/>
      <c r="J9" s="34" t="n"/>
      <c r="K9" s="34" t="n"/>
      <c r="L9" s="34" t="n"/>
      <c r="M9" s="34" t="n"/>
      <c r="N9" s="34" t="n"/>
      <c r="O9" s="34">
        <f>IFERROR(INDEX('_courses_lookup'!$C:$C,MATCH(K9&amp;L9,'_courses_lookup'!$E:$E,0)),"")</f>
        <v/>
      </c>
      <c r="P9" s="34">
        <f>IFERROR(INDEX('_courses_lookup'!$D:$D,MATCH(K9&amp;L9,'_courses_lookup'!$E:$E,0)),"")</f>
        <v/>
      </c>
      <c r="Q9" s="34" t="n"/>
      <c r="R9" s="34" t="n"/>
      <c r="S9" s="34" t="n"/>
      <c r="T9" s="34" t="n"/>
      <c r="U9" s="34" t="n"/>
      <c r="V9" s="34" t="n"/>
      <c r="W9" s="34" t="n"/>
      <c r="X9" s="34" t="n"/>
      <c r="Y9" s="30" t="n"/>
      <c r="Z9" s="34" t="n"/>
      <c r="AA9" s="34" t="n"/>
      <c r="AB9" s="34" t="n"/>
      <c r="AC9" s="34" t="n"/>
      <c r="AD9" s="34" t="n"/>
      <c r="AE9" s="34" t="n"/>
      <c r="AF9" s="34" t="n"/>
      <c r="AG9" s="34">
        <f>IF(AND(AE9&lt;&gt;"",AF9&lt;&gt;""),ROUNDUP((AF9-AE9)/7,0),"")</f>
        <v/>
      </c>
      <c r="AH9" s="34" t="n"/>
      <c r="AI9" s="34">
        <f>IFERROR(IF(AG9*AH9=0,"",AG9*AH9),"")</f>
        <v/>
      </c>
      <c r="AJ9" s="34" t="n"/>
      <c r="AK9" s="34" t="n"/>
      <c r="AL9" s="34">
        <f>IF(AND(AJ9&lt;&gt;"",AK9&lt;&gt;""),ROUNDUP((AK9-AJ9)/7,0),"")</f>
        <v/>
      </c>
      <c r="AM9" s="34" t="n"/>
      <c r="AN9" s="34">
        <f>IFERROR(IF(AL9*AM9=0,"",AL9*AM9),"")</f>
        <v/>
      </c>
      <c r="AO9" s="34" t="n"/>
      <c r="AP9" s="34" t="n"/>
      <c r="AQ9" s="34">
        <f>IF(AND(AO9&lt;&gt;"",AP9&lt;&gt;""),ROUNDUP((AP9-AO9)/7,0),"")</f>
        <v/>
      </c>
      <c r="AR9" s="34">
        <f>IFERROR(IF((AU9-(AI9+AN9))/AQ9=0,"",ROUNDUP((AU9-(AI9+AN9))/AQ9,0)),"")</f>
        <v/>
      </c>
      <c r="AS9" s="34">
        <f>IFERROR(IF((AU9-(AI9+AN9))=0,"",(AU9-(AI9+AN9))),"")</f>
        <v/>
      </c>
      <c r="AT9" s="34">
        <f>IF(AND(AG9="",AQ9=""),AL9,IF(SUM(AG9,AL9,AQ9)=0,"",SUM(AG9,AL9,AQ9)))</f>
        <v/>
      </c>
      <c r="AU9" s="34" t="n"/>
      <c r="AV9" s="34" t="n"/>
      <c r="AW9" s="34" t="n"/>
      <c r="AX9" s="34" t="n"/>
      <c r="AY9" s="34" t="n"/>
      <c r="AZ9" s="30" t="n"/>
      <c r="BA9" s="34" t="n"/>
      <c r="BB9" s="34" t="n"/>
      <c r="BC9" s="34" t="n"/>
      <c r="BD9" s="34" t="n"/>
      <c r="BE9" s="34" t="n"/>
      <c r="BF9" s="34" t="n"/>
      <c r="BG9" s="34">
        <f>IF(AD9="","",YEAR(AD9)+IF(MONTH(AD9)&gt;=5,1,0))</f>
        <v/>
      </c>
      <c r="BH9" s="34">
        <f>IF(AD9="","",IF(AND(MONTH(AD9)=8,DAY(AD9)&gt;=15),"Fall",IF(MONTH(AD9)&gt;8,"Fall",IF(MONTH(AD9)=5,"Summer",IF(MONTH(AD9)=1,"Spring","")))))</f>
        <v/>
      </c>
      <c r="BI9" s="34" t="n"/>
      <c r="BJ9" s="34" t="n"/>
      <c r="BK9" s="30">
        <f>IF($BJ9="","",IFERROR(INDEX(InstructorMap!$B:$B, MATCH($BJ9, InstructorMap!$A:$A, 0)),""))</f>
        <v/>
      </c>
      <c r="BL9" s="30">
        <f>IFERROR(INDEX('_names_lookup'!$C:$C,MATCH(BK9,'_names_lookup'!$A:$A,0)),"")</f>
        <v/>
      </c>
      <c r="BM9" s="34">
        <f>IFERROR(INDEX('_names_lookup'!$B:$B,MATCH(BK9,'_names_lookup'!$A:$A,0)),"")</f>
        <v/>
      </c>
      <c r="BN9" s="34" t="n"/>
      <c r="BO9" s="34" t="n"/>
      <c r="BP9" s="34" t="n"/>
      <c r="BQ9" s="34" t="n"/>
      <c r="BR9" s="34" t="n"/>
      <c r="BS9" s="34">
        <f>IFERROR(IF(BR9*AA9=0,"",BR9*AA9),"")</f>
        <v/>
      </c>
      <c r="BT9" s="34" t="n"/>
      <c r="BU9" s="34" t="n"/>
      <c r="BV9" s="34" t="n"/>
      <c r="BW9" s="34" t="n"/>
      <c r="BX9" s="34" t="n"/>
      <c r="BY9" s="34" t="n"/>
      <c r="BZ9" s="34" t="n"/>
      <c r="CA9" s="34" t="n"/>
      <c r="CB9" s="34" t="n"/>
      <c r="CC9" s="34" t="n"/>
      <c r="CD9" s="34" t="n"/>
      <c r="CE9" s="34" t="n"/>
      <c r="CF9" s="34" t="n"/>
      <c r="CG9" s="34" t="n"/>
      <c r="CH9" s="34" t="n"/>
      <c r="CI9" s="34" t="n"/>
      <c r="CJ9" s="34" t="n"/>
      <c r="CK9" s="34" t="n"/>
      <c r="CL9" s="34" t="n"/>
      <c r="CM9" s="34" t="n"/>
      <c r="CN9" s="34" t="n"/>
      <c r="CO9" s="34" t="n"/>
      <c r="CP9" s="34" t="n"/>
      <c r="CQ9" s="34" t="n"/>
      <c r="CR9" s="34" t="n"/>
      <c r="CS9" s="34" t="n"/>
      <c r="CT9" s="34" t="n"/>
      <c r="CU9" s="34" t="n"/>
      <c r="CV9" s="34" t="n"/>
      <c r="CW9" s="34" t="n"/>
      <c r="CX9" s="34" t="n"/>
      <c r="CY9" s="34" t="n"/>
      <c r="CZ9" s="34" t="n"/>
      <c r="DA9" s="34" t="n"/>
      <c r="DB9" s="34" t="n"/>
      <c r="DC9" s="34" t="n"/>
      <c r="DD9" s="34" t="n"/>
      <c r="DE9" s="34" t="n"/>
      <c r="DF9" s="34" t="n"/>
      <c r="DG9" s="34" t="n"/>
      <c r="DH9" s="34" t="n"/>
      <c r="DI9" s="34" t="n"/>
      <c r="DJ9" s="34" t="n"/>
      <c r="DK9" s="34" t="n"/>
      <c r="DL9" s="34" t="n"/>
      <c r="DM9" s="34" t="n"/>
      <c r="DN9" s="34" t="n"/>
      <c r="DO9" s="34" t="n"/>
      <c r="DP9" s="34" t="n"/>
      <c r="DQ9" s="34" t="n"/>
    </row>
    <row r="10" ht="16" customHeight="1">
      <c r="A10" s="38" t="n"/>
      <c r="B10" s="38" t="n"/>
      <c r="C10" s="38" t="n"/>
      <c r="D10" s="38" t="n"/>
      <c r="E10" s="38" t="n"/>
      <c r="F10" s="38" t="n"/>
      <c r="G10" s="38" t="n"/>
      <c r="H10" s="34" t="n"/>
      <c r="I10" s="34" t="n"/>
      <c r="J10" s="34" t="n"/>
      <c r="K10" s="34" t="n"/>
      <c r="L10" s="34" t="n"/>
      <c r="M10" s="34" t="n"/>
      <c r="N10" s="34" t="n"/>
      <c r="O10" s="34">
        <f>IFERROR(INDEX('_courses_lookup'!$C:$C,MATCH(K10&amp;L10,'_courses_lookup'!$E:$E,0)),"")</f>
        <v/>
      </c>
      <c r="P10" s="34">
        <f>IFERROR(INDEX('_courses_lookup'!$D:$D,MATCH(K10&amp;L10,'_courses_lookup'!$E:$E,0)),"")</f>
        <v/>
      </c>
      <c r="Q10" s="34" t="n"/>
      <c r="R10" s="34" t="n"/>
      <c r="S10" s="34" t="n"/>
      <c r="T10" s="34" t="n"/>
      <c r="U10" s="34" t="n"/>
      <c r="V10" s="34" t="n"/>
      <c r="W10" s="34" t="n"/>
      <c r="X10" s="34" t="n"/>
      <c r="Y10" s="30" t="n"/>
      <c r="Z10" s="34" t="n"/>
      <c r="AA10" s="34" t="n"/>
      <c r="AB10" s="34" t="n"/>
      <c r="AC10" s="34" t="n"/>
      <c r="AD10" s="34" t="n"/>
      <c r="AE10" s="34" t="n"/>
      <c r="AF10" s="34" t="n"/>
      <c r="AG10" s="34">
        <f>IF(AND(AE10&lt;&gt;"",AF10&lt;&gt;""),ROUNDUP((AF10-AE10)/7,0),"")</f>
        <v/>
      </c>
      <c r="AH10" s="34" t="n"/>
      <c r="AI10" s="34">
        <f>IFERROR(IF(AG10*AH10=0,"",AG10*AH10),"")</f>
        <v/>
      </c>
      <c r="AJ10" s="34" t="n"/>
      <c r="AK10" s="34" t="n"/>
      <c r="AL10" s="34">
        <f>IF(AND(AJ10&lt;&gt;"",AK10&lt;&gt;""),ROUNDUP((AK10-AJ10)/7,0),"")</f>
        <v/>
      </c>
      <c r="AM10" s="34" t="n"/>
      <c r="AN10" s="34">
        <f>IFERROR(IF(AL10*AM10=0,"",AL10*AM10),"")</f>
        <v/>
      </c>
      <c r="AO10" s="34" t="n"/>
      <c r="AP10" s="34" t="n"/>
      <c r="AQ10" s="34">
        <f>IF(AND(AO10&lt;&gt;"",AP10&lt;&gt;""),ROUNDUP((AP10-AO10)/7,0),"")</f>
        <v/>
      </c>
      <c r="AR10" s="34">
        <f>IFERROR(IF((AU10-(AI10+AN10))/AQ10=0,"",ROUNDUP((AU10-(AI10+AN10))/AQ10,0)),"")</f>
        <v/>
      </c>
      <c r="AS10" s="34">
        <f>IFERROR(IF((AU10-(AI10+AN10))=0,"",(AU10-(AI10+AN10))),"")</f>
        <v/>
      </c>
      <c r="AT10" s="34">
        <f>IF(AND(AG10="",AQ10=""),AL10,IF(SUM(AG10,AL10,AQ10)=0,"",SUM(AG10,AL10,AQ10)))</f>
        <v/>
      </c>
      <c r="AU10" s="34" t="n"/>
      <c r="AV10" s="34" t="n"/>
      <c r="AW10" s="34" t="n"/>
      <c r="AX10" s="34" t="n"/>
      <c r="AY10" s="34" t="n"/>
      <c r="AZ10" s="30" t="n"/>
      <c r="BA10" s="34" t="n"/>
      <c r="BB10" s="34" t="n"/>
      <c r="BC10" s="34" t="n"/>
      <c r="BD10" s="34" t="n"/>
      <c r="BE10" s="34" t="n"/>
      <c r="BF10" s="34" t="n"/>
      <c r="BG10" s="34">
        <f>IF(AD10="","",YEAR(AD10)+IF(MONTH(AD10)&gt;=5,1,0))</f>
        <v/>
      </c>
      <c r="BH10" s="34">
        <f>IF(AD10="","",IF(AND(MONTH(AD10)=8,DAY(AD10)&gt;=15),"Fall",IF(MONTH(AD10)&gt;8,"Fall",IF(MONTH(AD10)=5,"Summer",IF(MONTH(AD10)=1,"Spring","")))))</f>
        <v/>
      </c>
      <c r="BI10" s="34" t="n"/>
      <c r="BJ10" s="34" t="n"/>
      <c r="BK10" s="30">
        <f>IF($BJ10="","",IFERROR(INDEX(InstructorMap!$B:$B, MATCH($BJ10, InstructorMap!$A:$A, 0)),""))</f>
        <v/>
      </c>
      <c r="BL10" s="30">
        <f>IFERROR(INDEX('_names_lookup'!$C:$C,MATCH(BK10,'_names_lookup'!$A:$A,0)),"")</f>
        <v/>
      </c>
      <c r="BM10" s="34">
        <f>IFERROR(INDEX('_names_lookup'!$B:$B,MATCH(BK10,'_names_lookup'!$A:$A,0)),"")</f>
        <v/>
      </c>
      <c r="BN10" s="34" t="n"/>
      <c r="BO10" s="34" t="n"/>
      <c r="BP10" s="34" t="n"/>
      <c r="BQ10" s="34" t="n"/>
      <c r="BR10" s="34" t="n"/>
      <c r="BS10" s="34">
        <f>IFERROR(IF(BR10*AA10=0,"",BR10*AA10),"")</f>
        <v/>
      </c>
      <c r="BT10" s="34" t="n"/>
      <c r="BU10" s="34" t="n"/>
      <c r="BV10" s="34" t="n"/>
      <c r="BW10" s="34" t="n"/>
      <c r="BX10" s="34" t="n"/>
      <c r="BY10" s="34" t="n"/>
      <c r="BZ10" s="34" t="n"/>
      <c r="CA10" s="34" t="n"/>
      <c r="CB10" s="34" t="n"/>
      <c r="CC10" s="34" t="n"/>
      <c r="CD10" s="34" t="n"/>
      <c r="CE10" s="34" t="n"/>
      <c r="CF10" s="34" t="n"/>
      <c r="CG10" s="34" t="n"/>
      <c r="CH10" s="34" t="n"/>
      <c r="CI10" s="34" t="n"/>
      <c r="CJ10" s="34" t="n"/>
      <c r="CK10" s="34" t="n"/>
      <c r="CL10" s="34" t="n"/>
      <c r="CM10" s="34" t="n"/>
      <c r="CN10" s="34" t="n"/>
      <c r="CO10" s="34" t="n"/>
      <c r="CP10" s="34" t="n"/>
      <c r="CQ10" s="34" t="n"/>
      <c r="CR10" s="34" t="n"/>
      <c r="CS10" s="34" t="n"/>
      <c r="CT10" s="34" t="n"/>
      <c r="CU10" s="34" t="n"/>
      <c r="CV10" s="34" t="n"/>
      <c r="CW10" s="34" t="n"/>
      <c r="CX10" s="34" t="n"/>
      <c r="CY10" s="34" t="n"/>
      <c r="CZ10" s="34" t="n"/>
      <c r="DA10" s="34" t="n"/>
      <c r="DB10" s="34" t="n"/>
      <c r="DC10" s="34" t="n"/>
      <c r="DD10" s="34" t="n"/>
      <c r="DE10" s="34" t="n"/>
      <c r="DF10" s="34" t="n"/>
      <c r="DG10" s="34" t="n"/>
      <c r="DH10" s="34" t="n"/>
      <c r="DI10" s="34" t="n"/>
      <c r="DJ10" s="34" t="n"/>
      <c r="DK10" s="34" t="n"/>
      <c r="DL10" s="34" t="n"/>
      <c r="DM10" s="34" t="n"/>
      <c r="DN10" s="34" t="n"/>
      <c r="DO10" s="34" t="n"/>
      <c r="DP10" s="34" t="n"/>
      <c r="DQ10" s="34" t="n"/>
    </row>
    <row r="11" ht="16" customHeight="1">
      <c r="A11" s="38" t="n"/>
      <c r="B11" s="38" t="n"/>
      <c r="C11" s="38" t="n"/>
      <c r="D11" s="38" t="n"/>
      <c r="E11" s="38" t="n"/>
      <c r="F11" s="38" t="n"/>
      <c r="G11" s="38" t="n"/>
      <c r="H11" s="34" t="n"/>
      <c r="I11" s="34" t="n"/>
      <c r="J11" s="34" t="n"/>
      <c r="K11" s="34" t="n"/>
      <c r="L11" s="34" t="n"/>
      <c r="M11" s="34" t="n"/>
      <c r="N11" s="34" t="n"/>
      <c r="O11" s="34">
        <f>IFERROR(INDEX('_courses_lookup'!$C:$C,MATCH(K11&amp;L11,'_courses_lookup'!$E:$E,0)),"")</f>
        <v/>
      </c>
      <c r="P11" s="34">
        <f>IFERROR(INDEX('_courses_lookup'!$D:$D,MATCH(K11&amp;L11,'_courses_lookup'!$E:$E,0)),"")</f>
        <v/>
      </c>
      <c r="Q11" s="34" t="n"/>
      <c r="R11" s="34" t="n"/>
      <c r="S11" s="34" t="n"/>
      <c r="T11" s="34" t="n"/>
      <c r="U11" s="34" t="n"/>
      <c r="V11" s="34" t="n"/>
      <c r="W11" s="34" t="n"/>
      <c r="X11" s="34" t="n"/>
      <c r="Y11" s="30" t="n"/>
      <c r="Z11" s="34" t="n"/>
      <c r="AA11" s="34" t="n"/>
      <c r="AB11" s="34" t="n"/>
      <c r="AC11" s="34" t="n"/>
      <c r="AD11" s="34" t="n"/>
      <c r="AE11" s="34" t="n"/>
      <c r="AF11" s="34" t="n"/>
      <c r="AG11" s="34">
        <f>IF(AND(AE11&lt;&gt;"",AF11&lt;&gt;""),ROUNDUP((AF11-AE11)/7,0),"")</f>
        <v/>
      </c>
      <c r="AH11" s="34" t="n"/>
      <c r="AI11" s="34">
        <f>IFERROR(IF(AG11*AH11=0,"",AG11*AH11),"")</f>
        <v/>
      </c>
      <c r="AJ11" s="34" t="n"/>
      <c r="AK11" s="34" t="n"/>
      <c r="AL11" s="34">
        <f>IF(AND(AJ11&lt;&gt;"",AK11&lt;&gt;""),ROUNDUP((AK11-AJ11)/7,0),"")</f>
        <v/>
      </c>
      <c r="AM11" s="34" t="n"/>
      <c r="AN11" s="34">
        <f>IFERROR(IF(AL11*AM11=0,"",AL11*AM11),"")</f>
        <v/>
      </c>
      <c r="AO11" s="34" t="n"/>
      <c r="AP11" s="34" t="n"/>
      <c r="AQ11" s="34">
        <f>IF(AND(AO11&lt;&gt;"",AP11&lt;&gt;""),ROUNDUP((AP11-AO11)/7,0),"")</f>
        <v/>
      </c>
      <c r="AR11" s="34">
        <f>IFERROR(IF((AU11-(AI11+AN11))/AQ11=0,"",ROUNDUP((AU11-(AI11+AN11))/AQ11,0)),"")</f>
        <v/>
      </c>
      <c r="AS11" s="34">
        <f>IFERROR(IF((AU11-(AI11+AN11))=0,"",(AU11-(AI11+AN11))),"")</f>
        <v/>
      </c>
      <c r="AT11" s="34">
        <f>IF(AND(AG11="",AQ11=""),AL11,IF(SUM(AG11,AL11,AQ11)=0,"",SUM(AG11,AL11,AQ11)))</f>
        <v/>
      </c>
      <c r="AU11" s="34" t="n"/>
      <c r="AV11" s="34" t="n"/>
      <c r="AW11" s="34" t="n"/>
      <c r="AX11" s="34" t="n"/>
      <c r="AY11" s="34" t="n"/>
      <c r="AZ11" s="30" t="n"/>
      <c r="BA11" s="34" t="n"/>
      <c r="BB11" s="34" t="n"/>
      <c r="BC11" s="34" t="n"/>
      <c r="BD11" s="34" t="n"/>
      <c r="BE11" s="34" t="n"/>
      <c r="BF11" s="34" t="n"/>
      <c r="BG11" s="34">
        <f>IF(AD11="","",YEAR(AD11)+IF(MONTH(AD11)&gt;=5,1,0))</f>
        <v/>
      </c>
      <c r="BH11" s="34">
        <f>IF(AD11="","",IF(AND(MONTH(AD11)=8,DAY(AD11)&gt;=15),"Fall",IF(MONTH(AD11)&gt;8,"Fall",IF(MONTH(AD11)=5,"Summer",IF(MONTH(AD11)=1,"Spring","")))))</f>
        <v/>
      </c>
      <c r="BI11" s="34" t="n"/>
      <c r="BJ11" s="34" t="n"/>
      <c r="BK11" s="30">
        <f>IF($BJ11="","",IFERROR(INDEX(InstructorMap!$B:$B, MATCH($BJ11, InstructorMap!$A:$A, 0)),""))</f>
        <v/>
      </c>
      <c r="BL11" s="30">
        <f>IFERROR(INDEX('_names_lookup'!$C:$C,MATCH(BK11,'_names_lookup'!$A:$A,0)),"")</f>
        <v/>
      </c>
      <c r="BM11" s="34">
        <f>IFERROR(INDEX('_names_lookup'!$B:$B,MATCH(BK11,'_names_lookup'!$A:$A,0)),"")</f>
        <v/>
      </c>
      <c r="BN11" s="34" t="n"/>
      <c r="BO11" s="34" t="n"/>
      <c r="BP11" s="34" t="n"/>
      <c r="BQ11" s="34" t="n"/>
      <c r="BR11" s="34" t="n"/>
      <c r="BS11" s="34">
        <f>IFERROR(IF(BR11*AA11=0,"",BR11*AA11),"")</f>
        <v/>
      </c>
      <c r="BT11" s="34" t="n"/>
      <c r="BU11" s="34" t="n"/>
      <c r="BV11" s="34" t="n"/>
      <c r="BW11" s="34" t="n"/>
      <c r="BX11" s="34" t="n"/>
      <c r="BY11" s="34" t="n"/>
      <c r="BZ11" s="34" t="n"/>
      <c r="CA11" s="34" t="n"/>
      <c r="CB11" s="34" t="n"/>
      <c r="CC11" s="34" t="n"/>
      <c r="CD11" s="34" t="n"/>
      <c r="CE11" s="34" t="n"/>
      <c r="CF11" s="34" t="n"/>
      <c r="CG11" s="34" t="n"/>
      <c r="CH11" s="34" t="n"/>
      <c r="CI11" s="34" t="n"/>
      <c r="CJ11" s="34" t="n"/>
      <c r="CK11" s="34" t="n"/>
      <c r="CL11" s="34" t="n"/>
      <c r="CM11" s="34" t="n"/>
      <c r="CN11" s="34" t="n"/>
      <c r="CO11" s="34" t="n"/>
      <c r="CP11" s="34" t="n"/>
      <c r="CQ11" s="34" t="n"/>
      <c r="CR11" s="34" t="n"/>
      <c r="CS11" s="34" t="n"/>
      <c r="CT11" s="34" t="n"/>
      <c r="CU11" s="34" t="n"/>
      <c r="CV11" s="34" t="n"/>
      <c r="CW11" s="34" t="n"/>
      <c r="CX11" s="34" t="n"/>
      <c r="CY11" s="34" t="n"/>
      <c r="CZ11" s="34" t="n"/>
      <c r="DA11" s="34" t="n"/>
      <c r="DB11" s="34" t="n"/>
      <c r="DC11" s="34" t="n"/>
      <c r="DD11" s="34" t="n"/>
      <c r="DE11" s="34" t="n"/>
      <c r="DF11" s="34" t="n"/>
      <c r="DG11" s="34" t="n"/>
      <c r="DH11" s="34" t="n"/>
      <c r="DI11" s="34" t="n"/>
      <c r="DJ11" s="34" t="n"/>
      <c r="DK11" s="34" t="n"/>
      <c r="DL11" s="34" t="n"/>
      <c r="DM11" s="34" t="n"/>
      <c r="DN11" s="34" t="n"/>
      <c r="DO11" s="34" t="n"/>
      <c r="DP11" s="34" t="n"/>
      <c r="DQ11" s="34" t="n"/>
    </row>
    <row r="12" ht="16" customHeight="1">
      <c r="A12" s="38" t="n"/>
      <c r="B12" s="38" t="n"/>
      <c r="C12" s="38" t="n"/>
      <c r="D12" s="38" t="n"/>
      <c r="E12" s="38" t="n"/>
      <c r="F12" s="38" t="n"/>
      <c r="G12" s="38" t="n"/>
      <c r="H12" s="34" t="n"/>
      <c r="I12" s="34" t="n"/>
      <c r="J12" s="34" t="n"/>
      <c r="K12" s="34" t="n"/>
      <c r="L12" s="34" t="n"/>
      <c r="M12" s="34" t="n"/>
      <c r="N12" s="34" t="n"/>
      <c r="O12" s="34">
        <f>IFERROR(INDEX('_courses_lookup'!$C:$C,MATCH(K12&amp;L12,'_courses_lookup'!$E:$E,0)),"")</f>
        <v/>
      </c>
      <c r="P12" s="34">
        <f>IFERROR(INDEX('_courses_lookup'!$D:$D,MATCH(K12&amp;L12,'_courses_lookup'!$E:$E,0)),"")</f>
        <v/>
      </c>
      <c r="Q12" s="34" t="n"/>
      <c r="R12" s="34" t="n"/>
      <c r="S12" s="34" t="n"/>
      <c r="T12" s="34" t="n"/>
      <c r="U12" s="34" t="n"/>
      <c r="V12" s="34" t="n"/>
      <c r="W12" s="34" t="n"/>
      <c r="X12" s="34" t="n"/>
      <c r="Y12" s="30" t="n"/>
      <c r="Z12" s="34" t="n"/>
      <c r="AA12" s="34" t="n"/>
      <c r="AB12" s="34" t="n"/>
      <c r="AC12" s="34" t="n"/>
      <c r="AD12" s="34" t="n"/>
      <c r="AE12" s="34" t="n"/>
      <c r="AF12" s="34" t="n"/>
      <c r="AG12" s="34">
        <f>IF(AND(AE12&lt;&gt;"",AF12&lt;&gt;""),ROUNDUP((AF12-AE12)/7,0),"")</f>
        <v/>
      </c>
      <c r="AH12" s="34" t="n"/>
      <c r="AI12" s="34">
        <f>IFERROR(IF(AG12*AH12=0,"",AG12*AH12),"")</f>
        <v/>
      </c>
      <c r="AJ12" s="34" t="n"/>
      <c r="AK12" s="34" t="n"/>
      <c r="AL12" s="34">
        <f>IF(AND(AJ12&lt;&gt;"",AK12&lt;&gt;""),ROUNDUP((AK12-AJ12)/7,0),"")</f>
        <v/>
      </c>
      <c r="AM12" s="34" t="n"/>
      <c r="AN12" s="34">
        <f>IFERROR(IF(AL12*AM12=0,"",AL12*AM12),"")</f>
        <v/>
      </c>
      <c r="AO12" s="34" t="n"/>
      <c r="AP12" s="34" t="n"/>
      <c r="AQ12" s="34">
        <f>IF(AND(AO12&lt;&gt;"",AP12&lt;&gt;""),ROUNDUP((AP12-AO12)/7,0),"")</f>
        <v/>
      </c>
      <c r="AR12" s="34">
        <f>IFERROR(IF((AU12-(AI12+AN12))/AQ12=0,"",ROUNDUP((AU12-(AI12+AN12))/AQ12,0)),"")</f>
        <v/>
      </c>
      <c r="AS12" s="34">
        <f>IFERROR(IF((AU12-(AI12+AN12))=0,"",(AU12-(AI12+AN12))),"")</f>
        <v/>
      </c>
      <c r="AT12" s="34">
        <f>IF(AND(AG12="",AQ12=""),AL12,IF(SUM(AG12,AL12,AQ12)=0,"",SUM(AG12,AL12,AQ12)))</f>
        <v/>
      </c>
      <c r="AU12" s="34" t="n"/>
      <c r="AV12" s="34" t="n"/>
      <c r="AW12" s="34" t="n"/>
      <c r="AX12" s="34" t="n"/>
      <c r="AY12" s="34" t="n"/>
      <c r="AZ12" s="30" t="n"/>
      <c r="BA12" s="34" t="n"/>
      <c r="BB12" s="34" t="n"/>
      <c r="BC12" s="34" t="n"/>
      <c r="BD12" s="34" t="n"/>
      <c r="BE12" s="34" t="n"/>
      <c r="BF12" s="34" t="n"/>
      <c r="BG12" s="34">
        <f>IF(AD12="","",YEAR(AD12)+IF(MONTH(AD12)&gt;=5,1,0))</f>
        <v/>
      </c>
      <c r="BH12" s="34">
        <f>IF(AD12="","",IF(AND(MONTH(AD12)=8,DAY(AD12)&gt;=15),"Fall",IF(MONTH(AD12)&gt;8,"Fall",IF(MONTH(AD12)=5,"Summer",IF(MONTH(AD12)=1,"Spring","")))))</f>
        <v/>
      </c>
      <c r="BI12" s="34" t="n"/>
      <c r="BJ12" s="34" t="n"/>
      <c r="BK12" s="30">
        <f>IF($BJ12="","",IFERROR(INDEX(InstructorMap!$B:$B, MATCH($BJ12, InstructorMap!$A:$A, 0)),""))</f>
        <v/>
      </c>
      <c r="BL12" s="30">
        <f>IFERROR(INDEX('_names_lookup'!$C:$C,MATCH(BK12,'_names_lookup'!$A:$A,0)),"")</f>
        <v/>
      </c>
      <c r="BM12" s="34">
        <f>IFERROR(INDEX('_names_lookup'!$B:$B,MATCH(BK12,'_names_lookup'!$A:$A,0)),"")</f>
        <v/>
      </c>
      <c r="BN12" s="34" t="n"/>
      <c r="BO12" s="34" t="n"/>
      <c r="BP12" s="34" t="n"/>
      <c r="BQ12" s="34" t="n"/>
      <c r="BR12" s="34" t="n"/>
      <c r="BS12" s="34">
        <f>IFERROR(IF(BR12*AA12=0,"",BR12*AA12),"")</f>
        <v/>
      </c>
      <c r="BT12" s="34" t="n"/>
      <c r="BU12" s="34" t="n"/>
      <c r="BV12" s="34" t="n"/>
      <c r="BW12" s="34" t="n"/>
      <c r="BX12" s="34" t="n"/>
      <c r="BY12" s="34" t="n"/>
      <c r="BZ12" s="34" t="n"/>
      <c r="CA12" s="34" t="n"/>
      <c r="CB12" s="34" t="n"/>
      <c r="CC12" s="34" t="n"/>
      <c r="CD12" s="34" t="n"/>
      <c r="CE12" s="34" t="n"/>
      <c r="CF12" s="34" t="n"/>
      <c r="CG12" s="34" t="n"/>
      <c r="CH12" s="34" t="n"/>
      <c r="CI12" s="34" t="n"/>
      <c r="CJ12" s="34" t="n"/>
      <c r="CK12" s="34" t="n"/>
      <c r="CL12" s="34" t="n"/>
      <c r="CM12" s="34" t="n"/>
      <c r="CN12" s="34" t="n"/>
      <c r="CO12" s="34" t="n"/>
      <c r="CP12" s="34" t="n"/>
      <c r="CQ12" s="34" t="n"/>
      <c r="CR12" s="34" t="n"/>
      <c r="CS12" s="34" t="n"/>
      <c r="CT12" s="34" t="n"/>
      <c r="CU12" s="34" t="n"/>
      <c r="CV12" s="34" t="n"/>
      <c r="CW12" s="34" t="n"/>
      <c r="CX12" s="34" t="n"/>
      <c r="CY12" s="34" t="n"/>
      <c r="CZ12" s="34" t="n"/>
      <c r="DA12" s="34" t="n"/>
      <c r="DB12" s="34" t="n"/>
      <c r="DC12" s="34" t="n"/>
      <c r="DD12" s="34" t="n"/>
      <c r="DE12" s="34" t="n"/>
      <c r="DF12" s="34" t="n"/>
      <c r="DG12" s="34" t="n"/>
      <c r="DH12" s="34" t="n"/>
      <c r="DI12" s="34" t="n"/>
      <c r="DJ12" s="34" t="n"/>
      <c r="DK12" s="34" t="n"/>
      <c r="DL12" s="34" t="n"/>
      <c r="DM12" s="34" t="n"/>
      <c r="DN12" s="34" t="n"/>
      <c r="DO12" s="34" t="n"/>
      <c r="DP12" s="34" t="n"/>
      <c r="DQ12" s="34" t="n"/>
    </row>
    <row r="13" ht="16" customHeight="1">
      <c r="A13" s="38" t="n"/>
      <c r="B13" s="38" t="n"/>
      <c r="C13" s="38" t="n"/>
      <c r="D13" s="38" t="n"/>
      <c r="E13" s="38" t="n"/>
      <c r="F13" s="38" t="n"/>
      <c r="G13" s="38" t="n"/>
      <c r="H13" s="34" t="n"/>
      <c r="I13" s="34" t="n"/>
      <c r="J13" s="34" t="n"/>
      <c r="K13" s="34" t="n"/>
      <c r="L13" s="34" t="n"/>
      <c r="M13" s="34" t="n"/>
      <c r="N13" s="34" t="n"/>
      <c r="O13" s="34">
        <f>IFERROR(INDEX('_courses_lookup'!$C:$C,MATCH(K13&amp;L13,'_courses_lookup'!$E:$E,0)),"")</f>
        <v/>
      </c>
      <c r="P13" s="34">
        <f>IFERROR(INDEX('_courses_lookup'!$D:$D,MATCH(K13&amp;L13,'_courses_lookup'!$E:$E,0)),"")</f>
        <v/>
      </c>
      <c r="Q13" s="34" t="n"/>
      <c r="R13" s="34" t="n"/>
      <c r="S13" s="34" t="n"/>
      <c r="T13" s="34" t="n"/>
      <c r="U13" s="34" t="n"/>
      <c r="V13" s="34" t="n"/>
      <c r="W13" s="34" t="n"/>
      <c r="X13" s="34" t="n"/>
      <c r="Y13" s="30" t="n"/>
      <c r="Z13" s="34" t="n"/>
      <c r="AA13" s="34" t="n"/>
      <c r="AB13" s="34" t="n"/>
      <c r="AC13" s="34" t="n"/>
      <c r="AD13" s="34" t="n"/>
      <c r="AE13" s="34" t="n"/>
      <c r="AF13" s="34" t="n"/>
      <c r="AG13" s="34">
        <f>IF(AND(AE13&lt;&gt;"",AF13&lt;&gt;""),ROUNDUP((AF13-AE13)/7,0),"")</f>
        <v/>
      </c>
      <c r="AH13" s="34" t="n"/>
      <c r="AI13" s="34">
        <f>IFERROR(IF(AG13*AH13=0,"",AG13*AH13),"")</f>
        <v/>
      </c>
      <c r="AJ13" s="34" t="n"/>
      <c r="AK13" s="34" t="n"/>
      <c r="AL13" s="34">
        <f>IF(AND(AJ13&lt;&gt;"",AK13&lt;&gt;""),ROUNDUP((AK13-AJ13)/7,0),"")</f>
        <v/>
      </c>
      <c r="AM13" s="34" t="n"/>
      <c r="AN13" s="34">
        <f>IFERROR(IF(AL13*AM13=0,"",AL13*AM13),"")</f>
        <v/>
      </c>
      <c r="AO13" s="34" t="n"/>
      <c r="AP13" s="34" t="n"/>
      <c r="AQ13" s="34">
        <f>IF(AND(AO13&lt;&gt;"",AP13&lt;&gt;""),ROUNDUP((AP13-AO13)/7,0),"")</f>
        <v/>
      </c>
      <c r="AR13" s="34">
        <f>IFERROR(IF((AU13-(AI13+AN13))/AQ13=0,"",ROUNDUP((AU13-(AI13+AN13))/AQ13,0)),"")</f>
        <v/>
      </c>
      <c r="AS13" s="34">
        <f>IFERROR(IF((AU13-(AI13+AN13))=0,"",(AU13-(AI13+AN13))),"")</f>
        <v/>
      </c>
      <c r="AT13" s="34">
        <f>IF(AND(AG13="",AQ13=""),AL13,IF(SUM(AG13,AL13,AQ13)=0,"",SUM(AG13,AL13,AQ13)))</f>
        <v/>
      </c>
      <c r="AU13" s="34" t="n"/>
      <c r="AV13" s="34" t="n"/>
      <c r="AW13" s="34" t="n"/>
      <c r="AX13" s="34" t="n"/>
      <c r="AY13" s="34" t="n"/>
      <c r="AZ13" s="30" t="n"/>
      <c r="BA13" s="34" t="n"/>
      <c r="BB13" s="34" t="n"/>
      <c r="BC13" s="34" t="n"/>
      <c r="BD13" s="34" t="n"/>
      <c r="BE13" s="34" t="n"/>
      <c r="BF13" s="34" t="n"/>
      <c r="BG13" s="34">
        <f>IF(AD13="","",YEAR(AD13)+IF(MONTH(AD13)&gt;=5,1,0))</f>
        <v/>
      </c>
      <c r="BH13" s="34">
        <f>IF(AD13="","",IF(AND(MONTH(AD13)=8,DAY(AD13)&gt;=15),"Fall",IF(MONTH(AD13)&gt;8,"Fall",IF(MONTH(AD13)=5,"Summer",IF(MONTH(AD13)=1,"Spring","")))))</f>
        <v/>
      </c>
      <c r="BI13" s="34" t="n"/>
      <c r="BJ13" s="34" t="n"/>
      <c r="BK13" s="30">
        <f>IF($BJ13="","",IFERROR(INDEX(InstructorMap!$B:$B, MATCH($BJ13, InstructorMap!$A:$A, 0)),""))</f>
        <v/>
      </c>
      <c r="BL13" s="30">
        <f>IFERROR(INDEX('_names_lookup'!$C:$C,MATCH(BK13,'_names_lookup'!$A:$A,0)),"")</f>
        <v/>
      </c>
      <c r="BM13" s="34">
        <f>IFERROR(INDEX('_names_lookup'!$B:$B,MATCH(BK13,'_names_lookup'!$A:$A,0)),"")</f>
        <v/>
      </c>
      <c r="BN13" s="34" t="n"/>
      <c r="BO13" s="34" t="n"/>
      <c r="BP13" s="34" t="n"/>
      <c r="BQ13" s="34" t="n"/>
      <c r="BR13" s="34" t="n"/>
      <c r="BS13" s="34">
        <f>IFERROR(IF(BR13*AA13=0,"",BR13*AA13),"")</f>
        <v/>
      </c>
      <c r="BT13" s="34" t="n"/>
      <c r="BU13" s="34" t="n"/>
      <c r="BV13" s="34" t="n"/>
      <c r="BW13" s="34" t="n"/>
      <c r="BX13" s="34" t="n"/>
      <c r="BY13" s="34" t="n"/>
      <c r="BZ13" s="34" t="n"/>
      <c r="CA13" s="34" t="n"/>
      <c r="CB13" s="34" t="n"/>
      <c r="CC13" s="34" t="n"/>
      <c r="CD13" s="34" t="n"/>
      <c r="CE13" s="34" t="n"/>
      <c r="CF13" s="34" t="n"/>
      <c r="CG13" s="34" t="n"/>
      <c r="CH13" s="34" t="n"/>
      <c r="CI13" s="34" t="n"/>
      <c r="CJ13" s="34" t="n"/>
      <c r="CK13" s="34" t="n"/>
      <c r="CL13" s="34" t="n"/>
      <c r="CM13" s="34" t="n"/>
      <c r="CN13" s="34" t="n"/>
      <c r="CO13" s="34" t="n"/>
      <c r="CP13" s="34" t="n"/>
      <c r="CQ13" s="34" t="n"/>
      <c r="CR13" s="34" t="n"/>
      <c r="CS13" s="34" t="n"/>
      <c r="CT13" s="34" t="n"/>
      <c r="CU13" s="34" t="n"/>
      <c r="CV13" s="34" t="n"/>
      <c r="CW13" s="34" t="n"/>
      <c r="CX13" s="34" t="n"/>
      <c r="CY13" s="34" t="n"/>
      <c r="CZ13" s="34" t="n"/>
      <c r="DA13" s="34" t="n"/>
      <c r="DB13" s="34" t="n"/>
      <c r="DC13" s="34" t="n"/>
      <c r="DD13" s="34" t="n"/>
      <c r="DE13" s="34" t="n"/>
      <c r="DF13" s="34" t="n"/>
      <c r="DG13" s="34" t="n"/>
      <c r="DH13" s="34" t="n"/>
      <c r="DI13" s="34" t="n"/>
      <c r="DJ13" s="34" t="n"/>
      <c r="DK13" s="34" t="n"/>
      <c r="DL13" s="34" t="n"/>
      <c r="DM13" s="34" t="n"/>
      <c r="DN13" s="34" t="n"/>
      <c r="DO13" s="34" t="n"/>
      <c r="DP13" s="34" t="n"/>
      <c r="DQ13" s="34" t="n"/>
    </row>
    <row r="14" ht="16" customHeight="1">
      <c r="A14" s="38" t="n"/>
      <c r="B14" s="38" t="n"/>
      <c r="C14" s="38" t="n"/>
      <c r="D14" s="38" t="n"/>
      <c r="E14" s="38" t="n"/>
      <c r="F14" s="38" t="n"/>
      <c r="G14" s="38" t="n"/>
      <c r="H14" s="34" t="n"/>
      <c r="I14" s="34" t="n"/>
      <c r="J14" s="34" t="n"/>
      <c r="K14" s="34" t="n"/>
      <c r="L14" s="34" t="n"/>
      <c r="M14" s="34" t="n"/>
      <c r="N14" s="34" t="n"/>
      <c r="O14" s="34">
        <f>IFERROR(INDEX('_courses_lookup'!$C:$C,MATCH(K14&amp;L14,'_courses_lookup'!$E:$E,0)),"")</f>
        <v/>
      </c>
      <c r="P14" s="34">
        <f>IFERROR(INDEX('_courses_lookup'!$D:$D,MATCH(K14&amp;L14,'_courses_lookup'!$E:$E,0)),"")</f>
        <v/>
      </c>
      <c r="Q14" s="34" t="n"/>
      <c r="R14" s="34" t="n"/>
      <c r="S14" s="34" t="n"/>
      <c r="T14" s="34" t="n"/>
      <c r="U14" s="34" t="n"/>
      <c r="V14" s="34" t="n"/>
      <c r="W14" s="34" t="n"/>
      <c r="X14" s="34" t="n"/>
      <c r="Y14" s="30" t="n"/>
      <c r="Z14" s="34" t="n"/>
      <c r="AA14" s="34" t="n"/>
      <c r="AB14" s="34" t="n"/>
      <c r="AC14" s="34" t="n"/>
      <c r="AD14" s="34" t="n"/>
      <c r="AE14" s="34" t="n"/>
      <c r="AF14" s="34" t="n"/>
      <c r="AG14" s="34">
        <f>IF(AND(AE14&lt;&gt;"",AF14&lt;&gt;""),ROUNDUP((AF14-AE14)/7,0),"")</f>
        <v/>
      </c>
      <c r="AH14" s="34" t="n"/>
      <c r="AI14" s="34">
        <f>IFERROR(IF(AG14*AH14=0,"",AG14*AH14),"")</f>
        <v/>
      </c>
      <c r="AJ14" s="34" t="n"/>
      <c r="AK14" s="34" t="n"/>
      <c r="AL14" s="34">
        <f>IF(AND(AJ14&lt;&gt;"",AK14&lt;&gt;""),ROUNDUP((AK14-AJ14)/7,0),"")</f>
        <v/>
      </c>
      <c r="AM14" s="34" t="n"/>
      <c r="AN14" s="34">
        <f>IFERROR(IF(AL14*AM14=0,"",AL14*AM14),"")</f>
        <v/>
      </c>
      <c r="AO14" s="34" t="n"/>
      <c r="AP14" s="34" t="n"/>
      <c r="AQ14" s="34">
        <f>IF(AND(AO14&lt;&gt;"",AP14&lt;&gt;""),ROUNDUP((AP14-AO14)/7,0),"")</f>
        <v/>
      </c>
      <c r="AR14" s="34">
        <f>IFERROR(IF((AU14-(AI14+AN14))/AQ14=0,"",ROUNDUP((AU14-(AI14+AN14))/AQ14,0)),"")</f>
        <v/>
      </c>
      <c r="AS14" s="34">
        <f>IFERROR(IF((AU14-(AI14+AN14))=0,"",(AU14-(AI14+AN14))),"")</f>
        <v/>
      </c>
      <c r="AT14" s="34">
        <f>IF(AND(AG14="",AQ14=""),AL14,IF(SUM(AG14,AL14,AQ14)=0,"",SUM(AG14,AL14,AQ14)))</f>
        <v/>
      </c>
      <c r="AU14" s="34" t="n"/>
      <c r="AV14" s="34" t="n"/>
      <c r="AW14" s="34" t="n"/>
      <c r="AX14" s="34" t="n"/>
      <c r="AY14" s="34" t="n"/>
      <c r="AZ14" s="30" t="n"/>
      <c r="BA14" s="34" t="n"/>
      <c r="BB14" s="34" t="n"/>
      <c r="BC14" s="34" t="n"/>
      <c r="BD14" s="34" t="n"/>
      <c r="BE14" s="34" t="n"/>
      <c r="BF14" s="34" t="n"/>
      <c r="BG14" s="34">
        <f>IF(AD14="","",YEAR(AD14)+IF(MONTH(AD14)&gt;=5,1,0))</f>
        <v/>
      </c>
      <c r="BH14" s="34">
        <f>IF(AD14="","",IF(AND(MONTH(AD14)=8,DAY(AD14)&gt;=15),"Fall",IF(MONTH(AD14)&gt;8,"Fall",IF(MONTH(AD14)=5,"Summer",IF(MONTH(AD14)=1,"Spring","")))))</f>
        <v/>
      </c>
      <c r="BI14" s="34" t="n"/>
      <c r="BJ14" s="34" t="n"/>
      <c r="BK14" s="30">
        <f>IF($BJ14="","",IFERROR(INDEX(InstructorMap!$B:$B, MATCH($BJ14, InstructorMap!$A:$A, 0)),""))</f>
        <v/>
      </c>
      <c r="BL14" s="30">
        <f>IFERROR(INDEX('_names_lookup'!$C:$C,MATCH(BK14,'_names_lookup'!$A:$A,0)),"")</f>
        <v/>
      </c>
      <c r="BM14" s="34">
        <f>IFERROR(INDEX('_names_lookup'!$B:$B,MATCH(BK14,'_names_lookup'!$A:$A,0)),"")</f>
        <v/>
      </c>
      <c r="BN14" s="34" t="n"/>
      <c r="BO14" s="34" t="n"/>
      <c r="BP14" s="34" t="n"/>
      <c r="BQ14" s="34" t="n"/>
      <c r="BR14" s="34" t="n"/>
      <c r="BS14" s="34">
        <f>IFERROR(IF(BR14*AA14=0,"",BR14*AA14),"")</f>
        <v/>
      </c>
      <c r="BT14" s="34" t="n"/>
      <c r="BU14" s="34" t="n"/>
      <c r="BV14" s="34" t="n"/>
      <c r="BW14" s="34" t="n"/>
      <c r="BX14" s="34" t="n"/>
      <c r="BY14" s="34" t="n"/>
      <c r="BZ14" s="34" t="n"/>
      <c r="CA14" s="34" t="n"/>
      <c r="CB14" s="34" t="n"/>
      <c r="CC14" s="34" t="n"/>
      <c r="CD14" s="34" t="n"/>
      <c r="CE14" s="34" t="n"/>
      <c r="CF14" s="34" t="n"/>
      <c r="CG14" s="34" t="n"/>
      <c r="CH14" s="34" t="n"/>
      <c r="CI14" s="34" t="n"/>
      <c r="CJ14" s="34" t="n"/>
      <c r="CK14" s="34" t="n"/>
      <c r="CL14" s="34" t="n"/>
      <c r="CM14" s="34" t="n"/>
      <c r="CN14" s="34" t="n"/>
      <c r="CO14" s="34" t="n"/>
      <c r="CP14" s="34" t="n"/>
      <c r="CQ14" s="34" t="n"/>
      <c r="CR14" s="34" t="n"/>
      <c r="CS14" s="34" t="n"/>
      <c r="CT14" s="34" t="n"/>
      <c r="CU14" s="34" t="n"/>
      <c r="CV14" s="34" t="n"/>
      <c r="CW14" s="34" t="n"/>
      <c r="CX14" s="34" t="n"/>
      <c r="CY14" s="34" t="n"/>
      <c r="CZ14" s="34" t="n"/>
      <c r="DA14" s="34" t="n"/>
      <c r="DB14" s="34" t="n"/>
      <c r="DC14" s="34" t="n"/>
      <c r="DD14" s="34" t="n"/>
      <c r="DE14" s="34" t="n"/>
      <c r="DF14" s="34" t="n"/>
      <c r="DG14" s="34" t="n"/>
      <c r="DH14" s="34" t="n"/>
      <c r="DI14" s="34" t="n"/>
      <c r="DJ14" s="34" t="n"/>
      <c r="DK14" s="34" t="n"/>
      <c r="DL14" s="34" t="n"/>
      <c r="DM14" s="34" t="n"/>
      <c r="DN14" s="34" t="n"/>
      <c r="DO14" s="34" t="n"/>
      <c r="DP14" s="34" t="n"/>
      <c r="DQ14" s="34" t="n"/>
    </row>
    <row r="15" ht="16" customHeight="1">
      <c r="A15" s="38" t="n"/>
      <c r="B15" s="38" t="n"/>
      <c r="C15" s="38" t="n"/>
      <c r="D15" s="38" t="n"/>
      <c r="E15" s="38" t="n"/>
      <c r="F15" s="38" t="n"/>
      <c r="G15" s="38" t="n"/>
      <c r="H15" s="34" t="n"/>
      <c r="I15" s="34" t="n"/>
      <c r="J15" s="34" t="n"/>
      <c r="K15" s="34" t="n"/>
      <c r="L15" s="34" t="n"/>
      <c r="M15" s="34" t="n"/>
      <c r="N15" s="34" t="n"/>
      <c r="O15" s="34">
        <f>IFERROR(INDEX('_courses_lookup'!$C:$C,MATCH(K15&amp;L15,'_courses_lookup'!$E:$E,0)),"")</f>
        <v/>
      </c>
      <c r="P15" s="34">
        <f>IFERROR(INDEX('_courses_lookup'!$D:$D,MATCH(K15&amp;L15,'_courses_lookup'!$E:$E,0)),"")</f>
        <v/>
      </c>
      <c r="Q15" s="34" t="n"/>
      <c r="R15" s="34" t="n"/>
      <c r="S15" s="34" t="n"/>
      <c r="T15" s="34" t="n"/>
      <c r="U15" s="34" t="n"/>
      <c r="V15" s="34" t="n"/>
      <c r="W15" s="34" t="n"/>
      <c r="X15" s="34" t="n"/>
      <c r="Y15" s="30" t="n"/>
      <c r="Z15" s="34" t="n"/>
      <c r="AA15" s="34" t="n"/>
      <c r="AB15" s="34" t="n"/>
      <c r="AC15" s="34" t="n"/>
      <c r="AD15" s="34" t="n"/>
      <c r="AE15" s="34" t="n"/>
      <c r="AF15" s="34" t="n"/>
      <c r="AG15" s="34">
        <f>IF(AND(AE15&lt;&gt;"",AF15&lt;&gt;""),ROUNDUP((AF15-AE15)/7,0),"")</f>
        <v/>
      </c>
      <c r="AH15" s="34" t="n"/>
      <c r="AI15" s="34">
        <f>IFERROR(IF(AG15*AH15=0,"",AG15*AH15),"")</f>
        <v/>
      </c>
      <c r="AJ15" s="34" t="n"/>
      <c r="AK15" s="34" t="n"/>
      <c r="AL15" s="34">
        <f>IF(AND(AJ15&lt;&gt;"",AK15&lt;&gt;""),ROUNDUP((AK15-AJ15)/7,0),"")</f>
        <v/>
      </c>
      <c r="AM15" s="34" t="n"/>
      <c r="AN15" s="34">
        <f>IFERROR(IF(AL15*AM15=0,"",AL15*AM15),"")</f>
        <v/>
      </c>
      <c r="AO15" s="34" t="n"/>
      <c r="AP15" s="34" t="n"/>
      <c r="AQ15" s="34">
        <f>IF(AND(AO15&lt;&gt;"",AP15&lt;&gt;""),ROUNDUP((AP15-AO15)/7,0),"")</f>
        <v/>
      </c>
      <c r="AR15" s="34">
        <f>IFERROR(IF((AU15-(AI15+AN15))/AQ15=0,"",ROUNDUP((AU15-(AI15+AN15))/AQ15,0)),"")</f>
        <v/>
      </c>
      <c r="AS15" s="34">
        <f>IFERROR(IF((AU15-(AI15+AN15))=0,"",(AU15-(AI15+AN15))),"")</f>
        <v/>
      </c>
      <c r="AT15" s="34">
        <f>IF(AND(AG15="",AQ15=""),AL15,IF(SUM(AG15,AL15,AQ15)=0,"",SUM(AG15,AL15,AQ15)))</f>
        <v/>
      </c>
      <c r="AU15" s="34" t="n"/>
      <c r="AV15" s="34" t="n"/>
      <c r="AW15" s="34" t="n"/>
      <c r="AX15" s="34" t="n"/>
      <c r="AY15" s="34" t="n"/>
      <c r="AZ15" s="30" t="n"/>
      <c r="BA15" s="34" t="n"/>
      <c r="BB15" s="34" t="n"/>
      <c r="BC15" s="34" t="n"/>
      <c r="BD15" s="34" t="n"/>
      <c r="BE15" s="34" t="n"/>
      <c r="BF15" s="34" t="n"/>
      <c r="BG15" s="34">
        <f>IF(AD15="","",YEAR(AD15)+IF(MONTH(AD15)&gt;=5,1,0))</f>
        <v/>
      </c>
      <c r="BH15" s="34">
        <f>IF(AD15="","",IF(AND(MONTH(AD15)=8,DAY(AD15)&gt;=15),"Fall",IF(MONTH(AD15)&gt;8,"Fall",IF(MONTH(AD15)=5,"Summer",IF(MONTH(AD15)=1,"Spring","")))))</f>
        <v/>
      </c>
      <c r="BI15" s="34" t="n"/>
      <c r="BJ15" s="34" t="n"/>
      <c r="BK15" s="30">
        <f>IF($BJ15="","",IFERROR(INDEX(InstructorMap!$B:$B, MATCH($BJ15, InstructorMap!$A:$A, 0)),""))</f>
        <v/>
      </c>
      <c r="BL15" s="30">
        <f>IFERROR(INDEX('_names_lookup'!$C:$C,MATCH(BK15,'_names_lookup'!$A:$A,0)),"")</f>
        <v/>
      </c>
      <c r="BM15" s="34">
        <f>IFERROR(INDEX('_names_lookup'!$B:$B,MATCH(BK15,'_names_lookup'!$A:$A,0)),"")</f>
        <v/>
      </c>
      <c r="BN15" s="34" t="n"/>
      <c r="BO15" s="34" t="n"/>
      <c r="BP15" s="34" t="n"/>
      <c r="BQ15" s="34" t="n"/>
      <c r="BR15" s="34" t="n"/>
      <c r="BS15" s="34">
        <f>IFERROR(IF(BR15*AA15=0,"",BR15*AA15),"")</f>
        <v/>
      </c>
      <c r="BT15" s="34" t="n"/>
      <c r="BU15" s="34" t="n"/>
      <c r="BV15" s="34" t="n"/>
      <c r="BW15" s="34" t="n"/>
      <c r="BX15" s="34" t="n"/>
      <c r="BY15" s="34" t="n"/>
      <c r="BZ15" s="34" t="n"/>
      <c r="CA15" s="34" t="n"/>
      <c r="CB15" s="34" t="n"/>
      <c r="CC15" s="34" t="n"/>
      <c r="CD15" s="34" t="n"/>
      <c r="CE15" s="34" t="n"/>
      <c r="CF15" s="34" t="n"/>
      <c r="CG15" s="34" t="n"/>
      <c r="CH15" s="34" t="n"/>
      <c r="CI15" s="34" t="n"/>
      <c r="CJ15" s="34" t="n"/>
      <c r="CK15" s="34" t="n"/>
      <c r="CL15" s="34" t="n"/>
      <c r="CM15" s="34" t="n"/>
      <c r="CN15" s="34" t="n"/>
      <c r="CO15" s="34" t="n"/>
      <c r="CP15" s="34" t="n"/>
      <c r="CQ15" s="34" t="n"/>
      <c r="CR15" s="34" t="n"/>
      <c r="CS15" s="34" t="n"/>
      <c r="CT15" s="34" t="n"/>
      <c r="CU15" s="34" t="n"/>
      <c r="CV15" s="34" t="n"/>
      <c r="CW15" s="34" t="n"/>
      <c r="CX15" s="34" t="n"/>
      <c r="CY15" s="34" t="n"/>
      <c r="CZ15" s="34" t="n"/>
      <c r="DA15" s="34" t="n"/>
      <c r="DB15" s="34" t="n"/>
      <c r="DC15" s="34" t="n"/>
      <c r="DD15" s="34" t="n"/>
      <c r="DE15" s="34" t="n"/>
      <c r="DF15" s="34" t="n"/>
      <c r="DG15" s="34" t="n"/>
      <c r="DH15" s="34" t="n"/>
      <c r="DI15" s="34" t="n"/>
      <c r="DJ15" s="34" t="n"/>
      <c r="DK15" s="34" t="n"/>
      <c r="DL15" s="34" t="n"/>
      <c r="DM15" s="34" t="n"/>
      <c r="DN15" s="34" t="n"/>
      <c r="DO15" s="34" t="n"/>
      <c r="DP15" s="34" t="n"/>
      <c r="DQ15" s="34" t="n"/>
    </row>
    <row r="16" ht="16" customHeight="1">
      <c r="A16" s="38" t="n"/>
      <c r="B16" s="38" t="n"/>
      <c r="C16" s="38" t="n"/>
      <c r="D16" s="38" t="n"/>
      <c r="E16" s="38" t="n"/>
      <c r="F16" s="38" t="n"/>
      <c r="G16" s="38" t="n"/>
      <c r="H16" s="34" t="n"/>
      <c r="I16" s="34" t="n"/>
      <c r="J16" s="34" t="n"/>
      <c r="K16" s="34" t="n"/>
      <c r="L16" s="34" t="n"/>
      <c r="M16" s="34" t="n"/>
      <c r="N16" s="34" t="n"/>
      <c r="O16" s="34">
        <f>IFERROR(INDEX('_courses_lookup'!$C:$C,MATCH(K16&amp;L16,'_courses_lookup'!$E:$E,0)),"")</f>
        <v/>
      </c>
      <c r="P16" s="34">
        <f>IFERROR(INDEX('_courses_lookup'!$D:$D,MATCH(K16&amp;L16,'_courses_lookup'!$E:$E,0)),"")</f>
        <v/>
      </c>
      <c r="Q16" s="34" t="n"/>
      <c r="R16" s="34" t="n"/>
      <c r="S16" s="34" t="n"/>
      <c r="T16" s="34" t="n"/>
      <c r="U16" s="34" t="n"/>
      <c r="V16" s="34" t="n"/>
      <c r="W16" s="34" t="n"/>
      <c r="X16" s="34" t="n"/>
      <c r="Y16" s="30" t="n"/>
      <c r="Z16" s="34" t="n"/>
      <c r="AA16" s="34" t="n"/>
      <c r="AB16" s="34" t="n"/>
      <c r="AC16" s="34" t="n"/>
      <c r="AD16" s="34" t="n"/>
      <c r="AE16" s="34" t="n"/>
      <c r="AF16" s="34" t="n"/>
      <c r="AG16" s="34">
        <f>IF(AND(AE16&lt;&gt;"",AF16&lt;&gt;""),ROUNDUP((AF16-AE16)/7,0),"")</f>
        <v/>
      </c>
      <c r="AH16" s="34" t="n"/>
      <c r="AI16" s="34">
        <f>IFERROR(IF(AG16*AH16=0,"",AG16*AH16),"")</f>
        <v/>
      </c>
      <c r="AJ16" s="34" t="n"/>
      <c r="AK16" s="34" t="n"/>
      <c r="AL16" s="34">
        <f>IF(AND(AJ16&lt;&gt;"",AK16&lt;&gt;""),ROUNDUP((AK16-AJ16)/7,0),"")</f>
        <v/>
      </c>
      <c r="AM16" s="34" t="n"/>
      <c r="AN16" s="34">
        <f>IFERROR(IF(AL16*AM16=0,"",AL16*AM16),"")</f>
        <v/>
      </c>
      <c r="AO16" s="34" t="n"/>
      <c r="AP16" s="34" t="n"/>
      <c r="AQ16" s="34">
        <f>IF(AND(AO16&lt;&gt;"",AP16&lt;&gt;""),ROUNDUP((AP16-AO16)/7,0),"")</f>
        <v/>
      </c>
      <c r="AR16" s="34">
        <f>IFERROR(IF((AU16-(AI16+AN16))/AQ16=0,"",ROUNDUP((AU16-(AI16+AN16))/AQ16,0)),"")</f>
        <v/>
      </c>
      <c r="AS16" s="34">
        <f>IFERROR(IF((AU16-(AI16+AN16))=0,"",(AU16-(AI16+AN16))),"")</f>
        <v/>
      </c>
      <c r="AT16" s="34">
        <f>IF(AND(AG16="",AQ16=""),AL16,IF(SUM(AG16,AL16,AQ16)=0,"",SUM(AG16,AL16,AQ16)))</f>
        <v/>
      </c>
      <c r="AU16" s="34" t="n"/>
      <c r="AV16" s="34" t="n"/>
      <c r="AW16" s="34" t="n"/>
      <c r="AX16" s="34" t="n"/>
      <c r="AY16" s="34" t="n"/>
      <c r="AZ16" s="30" t="n"/>
      <c r="BA16" s="34" t="n"/>
      <c r="BB16" s="34" t="n"/>
      <c r="BC16" s="34" t="n"/>
      <c r="BD16" s="34" t="n"/>
      <c r="BE16" s="34" t="n"/>
      <c r="BF16" s="34" t="n"/>
      <c r="BG16" s="34">
        <f>IF(AD16="","",YEAR(AD16)+IF(MONTH(AD16)&gt;=5,1,0))</f>
        <v/>
      </c>
      <c r="BH16" s="34">
        <f>IF(AD16="","",IF(AND(MONTH(AD16)=8,DAY(AD16)&gt;=15),"Fall",IF(MONTH(AD16)&gt;8,"Fall",IF(MONTH(AD16)=5,"Summer",IF(MONTH(AD16)=1,"Spring","")))))</f>
        <v/>
      </c>
      <c r="BI16" s="34" t="n"/>
      <c r="BJ16" s="34" t="n"/>
      <c r="BK16" s="30">
        <f>IF($BJ16="","",IFERROR(INDEX(InstructorMap!$B:$B, MATCH($BJ16, InstructorMap!$A:$A, 0)),""))</f>
        <v/>
      </c>
      <c r="BL16" s="30">
        <f>IFERROR(INDEX('_names_lookup'!$C:$C,MATCH(BK16,'_names_lookup'!$A:$A,0)),"")</f>
        <v/>
      </c>
      <c r="BM16" s="34">
        <f>IFERROR(INDEX('_names_lookup'!$B:$B,MATCH(BK16,'_names_lookup'!$A:$A,0)),"")</f>
        <v/>
      </c>
      <c r="BN16" s="34" t="n"/>
      <c r="BO16" s="34" t="n"/>
      <c r="BP16" s="34" t="n"/>
      <c r="BQ16" s="34" t="n"/>
      <c r="BR16" s="34" t="n"/>
      <c r="BS16" s="34">
        <f>IFERROR(IF(BR16*AA16=0,"",BR16*AA16),"")</f>
        <v/>
      </c>
      <c r="BT16" s="34" t="n"/>
      <c r="BU16" s="34" t="n"/>
      <c r="BV16" s="34" t="n"/>
      <c r="BW16" s="34" t="n"/>
      <c r="BX16" s="34" t="n"/>
      <c r="BY16" s="34" t="n"/>
      <c r="BZ16" s="34" t="n"/>
      <c r="CA16" s="34" t="n"/>
      <c r="CB16" s="34" t="n"/>
      <c r="CC16" s="34" t="n"/>
      <c r="CD16" s="34" t="n"/>
      <c r="CE16" s="34" t="n"/>
      <c r="CF16" s="34" t="n"/>
      <c r="CG16" s="34" t="n"/>
      <c r="CH16" s="34" t="n"/>
      <c r="CI16" s="34" t="n"/>
      <c r="CJ16" s="34" t="n"/>
      <c r="CK16" s="34" t="n"/>
      <c r="CL16" s="34" t="n"/>
      <c r="CM16" s="34" t="n"/>
      <c r="CN16" s="34" t="n"/>
      <c r="CO16" s="34" t="n"/>
      <c r="CP16" s="34" t="n"/>
      <c r="CQ16" s="34" t="n"/>
      <c r="CR16" s="34" t="n"/>
      <c r="CS16" s="34" t="n"/>
      <c r="CT16" s="34" t="n"/>
      <c r="CU16" s="34" t="n"/>
      <c r="CV16" s="34" t="n"/>
      <c r="CW16" s="34" t="n"/>
      <c r="CX16" s="34" t="n"/>
      <c r="CY16" s="34" t="n"/>
      <c r="CZ16" s="34" t="n"/>
      <c r="DA16" s="34" t="n"/>
      <c r="DB16" s="34" t="n"/>
      <c r="DC16" s="34" t="n"/>
      <c r="DD16" s="34" t="n"/>
      <c r="DE16" s="34" t="n"/>
      <c r="DF16" s="34" t="n"/>
      <c r="DG16" s="34" t="n"/>
      <c r="DH16" s="34" t="n"/>
      <c r="DI16" s="34" t="n"/>
      <c r="DJ16" s="34" t="n"/>
      <c r="DK16" s="34" t="n"/>
      <c r="DL16" s="34" t="n"/>
      <c r="DM16" s="34" t="n"/>
      <c r="DN16" s="34" t="n"/>
      <c r="DO16" s="34" t="n"/>
      <c r="DP16" s="34" t="n"/>
      <c r="DQ16" s="34" t="n"/>
    </row>
    <row r="17" ht="16" customHeight="1">
      <c r="A17" s="38" t="n"/>
      <c r="B17" s="38" t="n"/>
      <c r="C17" s="38" t="n"/>
      <c r="D17" s="38" t="n"/>
      <c r="E17" s="38" t="n"/>
      <c r="F17" s="38" t="n"/>
      <c r="G17" s="38" t="n"/>
      <c r="H17" s="34" t="n"/>
      <c r="I17" s="34" t="n"/>
      <c r="J17" s="34" t="n"/>
      <c r="K17" s="34" t="n"/>
      <c r="L17" s="34" t="n"/>
      <c r="M17" s="34" t="n"/>
      <c r="N17" s="34" t="n"/>
      <c r="O17" s="34">
        <f>IFERROR(INDEX('_courses_lookup'!$C:$C,MATCH(K17&amp;L17,'_courses_lookup'!$E:$E,0)),"")</f>
        <v/>
      </c>
      <c r="P17" s="34">
        <f>IFERROR(INDEX('_courses_lookup'!$D:$D,MATCH(K17&amp;L17,'_courses_lookup'!$E:$E,0)),"")</f>
        <v/>
      </c>
      <c r="Q17" s="34" t="n"/>
      <c r="R17" s="34" t="n"/>
      <c r="S17" s="34" t="n"/>
      <c r="T17" s="34" t="n"/>
      <c r="U17" s="34" t="n"/>
      <c r="V17" s="34" t="n"/>
      <c r="W17" s="34" t="n"/>
      <c r="X17" s="34" t="n"/>
      <c r="Y17" s="30" t="n"/>
      <c r="Z17" s="34" t="n"/>
      <c r="AA17" s="34" t="n"/>
      <c r="AB17" s="34" t="n"/>
      <c r="AC17" s="34" t="n"/>
      <c r="AD17" s="34" t="n"/>
      <c r="AE17" s="34" t="n"/>
      <c r="AF17" s="34" t="n"/>
      <c r="AG17" s="34">
        <f>IF(AND(AE17&lt;&gt;"",AF17&lt;&gt;""),ROUNDUP((AF17-AE17)/7,0),"")</f>
        <v/>
      </c>
      <c r="AH17" s="34" t="n"/>
      <c r="AI17" s="34">
        <f>IFERROR(IF(AG17*AH17=0,"",AG17*AH17),"")</f>
        <v/>
      </c>
      <c r="AJ17" s="34" t="n"/>
      <c r="AK17" s="34" t="n"/>
      <c r="AL17" s="34">
        <f>IF(AND(AJ17&lt;&gt;"",AK17&lt;&gt;""),ROUNDUP((AK17-AJ17)/7,0),"")</f>
        <v/>
      </c>
      <c r="AM17" s="34" t="n"/>
      <c r="AN17" s="34">
        <f>IFERROR(IF(AL17*AM17=0,"",AL17*AM17),"")</f>
        <v/>
      </c>
      <c r="AO17" s="34" t="n"/>
      <c r="AP17" s="34" t="n"/>
      <c r="AQ17" s="34">
        <f>IF(AND(AO17&lt;&gt;"",AP17&lt;&gt;""),ROUNDUP((AP17-AO17)/7,0),"")</f>
        <v/>
      </c>
      <c r="AR17" s="34">
        <f>IFERROR(IF((AU17-(AI17+AN17))/AQ17=0,"",ROUNDUP((AU17-(AI17+AN17))/AQ17,0)),"")</f>
        <v/>
      </c>
      <c r="AS17" s="34">
        <f>IFERROR(IF((AU17-(AI17+AN17))=0,"",(AU17-(AI17+AN17))),"")</f>
        <v/>
      </c>
      <c r="AT17" s="34">
        <f>IF(AND(AG17="",AQ17=""),AL17,IF(SUM(AG17,AL17,AQ17)=0,"",SUM(AG17,AL17,AQ17)))</f>
        <v/>
      </c>
      <c r="AU17" s="34" t="n"/>
      <c r="AV17" s="34" t="n"/>
      <c r="AW17" s="34" t="n"/>
      <c r="AX17" s="34" t="n"/>
      <c r="AY17" s="34" t="n"/>
      <c r="AZ17" s="30" t="n"/>
      <c r="BA17" s="34" t="n"/>
      <c r="BB17" s="34" t="n"/>
      <c r="BC17" s="34" t="n"/>
      <c r="BD17" s="34" t="n"/>
      <c r="BE17" s="34" t="n"/>
      <c r="BF17" s="34" t="n"/>
      <c r="BG17" s="34">
        <f>IF(AD17="","",YEAR(AD17)+IF(MONTH(AD17)&gt;=5,1,0))</f>
        <v/>
      </c>
      <c r="BH17" s="34">
        <f>IF(AD17="","",IF(AND(MONTH(AD17)=8,DAY(AD17)&gt;=15),"Fall",IF(MONTH(AD17)&gt;8,"Fall",IF(MONTH(AD17)=5,"Summer",IF(MONTH(AD17)=1,"Spring","")))))</f>
        <v/>
      </c>
      <c r="BI17" s="34" t="n"/>
      <c r="BJ17" s="34" t="n"/>
      <c r="BK17" s="30">
        <f>IF($BJ17="","",IFERROR(INDEX(InstructorMap!$B:$B, MATCH($BJ17, InstructorMap!$A:$A, 0)),""))</f>
        <v/>
      </c>
      <c r="BL17" s="30">
        <f>IFERROR(INDEX('_names_lookup'!$C:$C,MATCH(BK17,'_names_lookup'!$A:$A,0)),"")</f>
        <v/>
      </c>
      <c r="BM17" s="34">
        <f>IFERROR(INDEX('_names_lookup'!$B:$B,MATCH(BK17,'_names_lookup'!$A:$A,0)),"")</f>
        <v/>
      </c>
      <c r="BN17" s="34" t="n"/>
      <c r="BO17" s="34" t="n"/>
      <c r="BP17" s="34" t="n"/>
      <c r="BQ17" s="34" t="n"/>
      <c r="BR17" s="34" t="n"/>
      <c r="BS17" s="34">
        <f>IFERROR(IF(BR17*AA17=0,"",BR17*AA17),"")</f>
        <v/>
      </c>
      <c r="BT17" s="34" t="n"/>
      <c r="BU17" s="34" t="n"/>
      <c r="BV17" s="34" t="n"/>
      <c r="BW17" s="34" t="n"/>
      <c r="BX17" s="34" t="n"/>
      <c r="BY17" s="34" t="n"/>
      <c r="BZ17" s="34" t="n"/>
      <c r="CA17" s="34" t="n"/>
      <c r="CB17" s="34" t="n"/>
      <c r="CC17" s="34" t="n"/>
      <c r="CD17" s="34" t="n"/>
      <c r="CE17" s="34" t="n"/>
      <c r="CF17" s="34" t="n"/>
      <c r="CG17" s="34" t="n"/>
      <c r="CH17" s="34" t="n"/>
      <c r="CI17" s="34" t="n"/>
      <c r="CJ17" s="34" t="n"/>
      <c r="CK17" s="34" t="n"/>
      <c r="CL17" s="34" t="n"/>
      <c r="CM17" s="34" t="n"/>
      <c r="CN17" s="34" t="n"/>
      <c r="CO17" s="34" t="n"/>
      <c r="CP17" s="34" t="n"/>
      <c r="CQ17" s="34" t="n"/>
      <c r="CR17" s="34" t="n"/>
      <c r="CS17" s="34" t="n"/>
      <c r="CT17" s="34" t="n"/>
      <c r="CU17" s="34" t="n"/>
      <c r="CV17" s="34" t="n"/>
      <c r="CW17" s="34" t="n"/>
      <c r="CX17" s="34" t="n"/>
      <c r="CY17" s="34" t="n"/>
      <c r="CZ17" s="34" t="n"/>
      <c r="DA17" s="34" t="n"/>
      <c r="DB17" s="34" t="n"/>
      <c r="DC17" s="34" t="n"/>
      <c r="DD17" s="34" t="n"/>
      <c r="DE17" s="34" t="n"/>
      <c r="DF17" s="34" t="n"/>
      <c r="DG17" s="34" t="n"/>
      <c r="DH17" s="34" t="n"/>
      <c r="DI17" s="34" t="n"/>
      <c r="DJ17" s="34" t="n"/>
      <c r="DK17" s="34" t="n"/>
      <c r="DL17" s="34" t="n"/>
      <c r="DM17" s="34" t="n"/>
      <c r="DN17" s="34" t="n"/>
      <c r="DO17" s="34" t="n"/>
      <c r="DP17" s="34" t="n"/>
      <c r="DQ17" s="34" t="n"/>
    </row>
    <row r="18" ht="16" customHeight="1">
      <c r="A18" s="38" t="n"/>
      <c r="B18" s="38" t="n"/>
      <c r="C18" s="38" t="n"/>
      <c r="D18" s="38" t="n"/>
      <c r="E18" s="38" t="n"/>
      <c r="F18" s="38" t="n"/>
      <c r="G18" s="38" t="n"/>
      <c r="H18" s="34" t="n"/>
      <c r="I18" s="34" t="n"/>
      <c r="J18" s="34" t="n"/>
      <c r="K18" s="34" t="n"/>
      <c r="L18" s="34" t="n"/>
      <c r="M18" s="34" t="n"/>
      <c r="N18" s="34" t="n"/>
      <c r="O18" s="34">
        <f>IFERROR(INDEX('_courses_lookup'!$C:$C,MATCH(K18&amp;L18,'_courses_lookup'!$E:$E,0)),"")</f>
        <v/>
      </c>
      <c r="P18" s="34">
        <f>IFERROR(INDEX('_courses_lookup'!$D:$D,MATCH(K18&amp;L18,'_courses_lookup'!$E:$E,0)),"")</f>
        <v/>
      </c>
      <c r="Q18" s="34" t="n"/>
      <c r="R18" s="34" t="n"/>
      <c r="S18" s="34" t="n"/>
      <c r="T18" s="34" t="n"/>
      <c r="U18" s="34" t="n"/>
      <c r="V18" s="34" t="n"/>
      <c r="W18" s="34" t="n"/>
      <c r="X18" s="34" t="n"/>
      <c r="Y18" s="30" t="n"/>
      <c r="Z18" s="34" t="n"/>
      <c r="AA18" s="34" t="n"/>
      <c r="AB18" s="34" t="n"/>
      <c r="AC18" s="34" t="n"/>
      <c r="AD18" s="34" t="n"/>
      <c r="AE18" s="34" t="n"/>
      <c r="AF18" s="34" t="n"/>
      <c r="AG18" s="34">
        <f>IF(AND(AE18&lt;&gt;"",AF18&lt;&gt;""),ROUNDUP((AF18-AE18)/7,0),"")</f>
        <v/>
      </c>
      <c r="AH18" s="34" t="n"/>
      <c r="AI18" s="34">
        <f>IFERROR(IF(AG18*AH18=0,"",AG18*AH18),"")</f>
        <v/>
      </c>
      <c r="AJ18" s="34" t="n"/>
      <c r="AK18" s="34" t="n"/>
      <c r="AL18" s="34">
        <f>IF(AND(AJ18&lt;&gt;"",AK18&lt;&gt;""),ROUNDUP((AK18-AJ18)/7,0),"")</f>
        <v/>
      </c>
      <c r="AM18" s="34" t="n"/>
      <c r="AN18" s="34">
        <f>IFERROR(IF(AL18*AM18=0,"",AL18*AM18),"")</f>
        <v/>
      </c>
      <c r="AO18" s="34" t="n"/>
      <c r="AP18" s="34" t="n"/>
      <c r="AQ18" s="34">
        <f>IF(AND(AO18&lt;&gt;"",AP18&lt;&gt;""),ROUNDUP((AP18-AO18)/7,0),"")</f>
        <v/>
      </c>
      <c r="AR18" s="34">
        <f>IFERROR(IF((AU18-(AI18+AN18))/AQ18=0,"",ROUNDUP((AU18-(AI18+AN18))/AQ18,0)),"")</f>
        <v/>
      </c>
      <c r="AS18" s="34">
        <f>IFERROR(IF((AU18-(AI18+AN18))=0,"",(AU18-(AI18+AN18))),"")</f>
        <v/>
      </c>
      <c r="AT18" s="34">
        <f>IF(AND(AG18="",AQ18=""),AL18,IF(SUM(AG18,AL18,AQ18)=0,"",SUM(AG18,AL18,AQ18)))</f>
        <v/>
      </c>
      <c r="AU18" s="34" t="n"/>
      <c r="AV18" s="34" t="n"/>
      <c r="AW18" s="34" t="n"/>
      <c r="AX18" s="34" t="n"/>
      <c r="AY18" s="34" t="n"/>
      <c r="AZ18" s="30" t="n"/>
      <c r="BA18" s="34" t="n"/>
      <c r="BB18" s="34" t="n"/>
      <c r="BC18" s="34" t="n"/>
      <c r="BD18" s="34" t="n"/>
      <c r="BE18" s="34" t="n"/>
      <c r="BF18" s="34" t="n"/>
      <c r="BG18" s="34">
        <f>IF(AD18="","",YEAR(AD18)+IF(MONTH(AD18)&gt;=5,1,0))</f>
        <v/>
      </c>
      <c r="BH18" s="34">
        <f>IF(AD18="","",IF(AND(MONTH(AD18)=8,DAY(AD18)&gt;=15),"Fall",IF(MONTH(AD18)&gt;8,"Fall",IF(MONTH(AD18)=5,"Summer",IF(MONTH(AD18)=1,"Spring","")))))</f>
        <v/>
      </c>
      <c r="BI18" s="34" t="n"/>
      <c r="BJ18" s="34" t="n"/>
      <c r="BK18" s="30">
        <f>IF($BJ18="","",IFERROR(INDEX(InstructorMap!$B:$B, MATCH($BJ18, InstructorMap!$A:$A, 0)),""))</f>
        <v/>
      </c>
      <c r="BL18" s="30">
        <f>IFERROR(INDEX('_names_lookup'!$C:$C,MATCH(BK18,'_names_lookup'!$A:$A,0)),"")</f>
        <v/>
      </c>
      <c r="BM18" s="34">
        <f>IFERROR(INDEX('_names_lookup'!$B:$B,MATCH(BK18,'_names_lookup'!$A:$A,0)),"")</f>
        <v/>
      </c>
      <c r="BN18" s="34" t="n"/>
      <c r="BO18" s="34" t="n"/>
      <c r="BP18" s="34" t="n"/>
      <c r="BQ18" s="34" t="n"/>
      <c r="BR18" s="34" t="n"/>
      <c r="BS18" s="34">
        <f>IFERROR(IF(BR18*AA18=0,"",BR18*AA18),"")</f>
        <v/>
      </c>
      <c r="BT18" s="34" t="n"/>
      <c r="BU18" s="34" t="n"/>
      <c r="BV18" s="34" t="n"/>
      <c r="BW18" s="34" t="n"/>
      <c r="BX18" s="34" t="n"/>
      <c r="BY18" s="34" t="n"/>
      <c r="BZ18" s="34" t="n"/>
      <c r="CA18" s="34" t="n"/>
      <c r="CB18" s="34" t="n"/>
      <c r="CC18" s="34" t="n"/>
      <c r="CD18" s="34" t="n"/>
      <c r="CE18" s="34" t="n"/>
      <c r="CF18" s="34" t="n"/>
      <c r="CG18" s="34" t="n"/>
      <c r="CH18" s="34" t="n"/>
      <c r="CI18" s="34" t="n"/>
      <c r="CJ18" s="34" t="n"/>
      <c r="CK18" s="34" t="n"/>
      <c r="CL18" s="34" t="n"/>
      <c r="CM18" s="34" t="n"/>
      <c r="CN18" s="34" t="n"/>
      <c r="CO18" s="34" t="n"/>
      <c r="CP18" s="34" t="n"/>
      <c r="CQ18" s="34" t="n"/>
      <c r="CR18" s="34" t="n"/>
      <c r="CS18" s="34" t="n"/>
      <c r="CT18" s="34" t="n"/>
      <c r="CU18" s="34" t="n"/>
      <c r="CV18" s="34" t="n"/>
      <c r="CW18" s="34" t="n"/>
      <c r="CX18" s="34" t="n"/>
      <c r="CY18" s="34" t="n"/>
      <c r="CZ18" s="34" t="n"/>
      <c r="DA18" s="34" t="n"/>
      <c r="DB18" s="34" t="n"/>
      <c r="DC18" s="34" t="n"/>
      <c r="DD18" s="34" t="n"/>
      <c r="DE18" s="34" t="n"/>
      <c r="DF18" s="34" t="n"/>
      <c r="DG18" s="34" t="n"/>
      <c r="DH18" s="34" t="n"/>
      <c r="DI18" s="34" t="n"/>
      <c r="DJ18" s="34" t="n"/>
      <c r="DK18" s="34" t="n"/>
      <c r="DL18" s="34" t="n"/>
      <c r="DM18" s="34" t="n"/>
      <c r="DN18" s="34" t="n"/>
      <c r="DO18" s="34" t="n"/>
      <c r="DP18" s="34" t="n"/>
      <c r="DQ18" s="34" t="n"/>
    </row>
    <row r="19" ht="16" customHeight="1">
      <c r="A19" s="38" t="n"/>
      <c r="B19" s="38" t="n"/>
      <c r="C19" s="38" t="n"/>
      <c r="D19" s="38" t="n"/>
      <c r="E19" s="38" t="n"/>
      <c r="F19" s="38" t="n"/>
      <c r="G19" s="38" t="n"/>
      <c r="H19" s="34" t="n"/>
      <c r="I19" s="34" t="n"/>
      <c r="J19" s="34" t="n"/>
      <c r="K19" s="34" t="n"/>
      <c r="L19" s="34" t="n"/>
      <c r="M19" s="34" t="n"/>
      <c r="N19" s="34" t="n"/>
      <c r="O19" s="34">
        <f>IFERROR(INDEX('_courses_lookup'!$C:$C,MATCH(K19&amp;L19,'_courses_lookup'!$E:$E,0)),"")</f>
        <v/>
      </c>
      <c r="P19" s="34">
        <f>IFERROR(INDEX('_courses_lookup'!$D:$D,MATCH(K19&amp;L19,'_courses_lookup'!$E:$E,0)),"")</f>
        <v/>
      </c>
      <c r="Q19" s="34" t="n"/>
      <c r="R19" s="34" t="n"/>
      <c r="S19" s="34" t="n"/>
      <c r="T19" s="34" t="n"/>
      <c r="U19" s="34" t="n"/>
      <c r="V19" s="34" t="n"/>
      <c r="W19" s="34" t="n"/>
      <c r="X19" s="34" t="n"/>
      <c r="Y19" s="30" t="n"/>
      <c r="Z19" s="34" t="n"/>
      <c r="AA19" s="34" t="n"/>
      <c r="AB19" s="34" t="n"/>
      <c r="AC19" s="34" t="n"/>
      <c r="AD19" s="34" t="n"/>
      <c r="AE19" s="34" t="n"/>
      <c r="AF19" s="34" t="n"/>
      <c r="AG19" s="34">
        <f>IF(AND(AE19&lt;&gt;"",AF19&lt;&gt;""),ROUNDUP((AF19-AE19)/7,0),"")</f>
        <v/>
      </c>
      <c r="AH19" s="34" t="n"/>
      <c r="AI19" s="34">
        <f>IFERROR(IF(AG19*AH19=0,"",AG19*AH19),"")</f>
        <v/>
      </c>
      <c r="AJ19" s="34" t="n"/>
      <c r="AK19" s="34" t="n"/>
      <c r="AL19" s="34">
        <f>IF(AND(AJ19&lt;&gt;"",AK19&lt;&gt;""),ROUNDUP((AK19-AJ19)/7,0),"")</f>
        <v/>
      </c>
      <c r="AM19" s="34" t="n"/>
      <c r="AN19" s="34">
        <f>IFERROR(IF(AL19*AM19=0,"",AL19*AM19),"")</f>
        <v/>
      </c>
      <c r="AO19" s="34" t="n"/>
      <c r="AP19" s="34" t="n"/>
      <c r="AQ19" s="34">
        <f>IF(AND(AO19&lt;&gt;"",AP19&lt;&gt;""),ROUNDUP((AP19-AO19)/7,0),"")</f>
        <v/>
      </c>
      <c r="AR19" s="34">
        <f>IFERROR(IF((AU19-(AI19+AN19))/AQ19=0,"",ROUNDUP((AU19-(AI19+AN19))/AQ19,0)),"")</f>
        <v/>
      </c>
      <c r="AS19" s="34">
        <f>IFERROR(IF((AU19-(AI19+AN19))=0,"",(AU19-(AI19+AN19))),"")</f>
        <v/>
      </c>
      <c r="AT19" s="34">
        <f>IF(AND(AG19="",AQ19=""),AL19,IF(SUM(AG19,AL19,AQ19)=0,"",SUM(AG19,AL19,AQ19)))</f>
        <v/>
      </c>
      <c r="AU19" s="34" t="n"/>
      <c r="AV19" s="34" t="n"/>
      <c r="AW19" s="34" t="n"/>
      <c r="AX19" s="34" t="n"/>
      <c r="AY19" s="34" t="n"/>
      <c r="AZ19" s="30" t="n"/>
      <c r="BA19" s="34" t="n"/>
      <c r="BB19" s="34" t="n"/>
      <c r="BC19" s="34" t="n"/>
      <c r="BD19" s="34" t="n"/>
      <c r="BE19" s="34" t="n"/>
      <c r="BF19" s="34" t="n"/>
      <c r="BG19" s="34">
        <f>IF(AD19="","",YEAR(AD19)+IF(MONTH(AD19)&gt;=5,1,0))</f>
        <v/>
      </c>
      <c r="BH19" s="34">
        <f>IF(AD19="","",IF(AND(MONTH(AD19)=8,DAY(AD19)&gt;=15),"Fall",IF(MONTH(AD19)&gt;8,"Fall",IF(MONTH(AD19)=5,"Summer",IF(MONTH(AD19)=1,"Spring","")))))</f>
        <v/>
      </c>
      <c r="BI19" s="34" t="n"/>
      <c r="BJ19" s="34" t="n"/>
      <c r="BK19" s="30">
        <f>IF($BJ19="","",IFERROR(INDEX(InstructorMap!$B:$B, MATCH($BJ19, InstructorMap!$A:$A, 0)),""))</f>
        <v/>
      </c>
      <c r="BL19" s="30">
        <f>IFERROR(INDEX('_names_lookup'!$C:$C,MATCH(BK19,'_names_lookup'!$A:$A,0)),"")</f>
        <v/>
      </c>
      <c r="BM19" s="34">
        <f>IFERROR(INDEX('_names_lookup'!$B:$B,MATCH(BK19,'_names_lookup'!$A:$A,0)),"")</f>
        <v/>
      </c>
      <c r="BN19" s="34" t="n"/>
      <c r="BO19" s="34" t="n"/>
      <c r="BP19" s="34" t="n"/>
      <c r="BQ19" s="34" t="n"/>
      <c r="BR19" s="34" t="n"/>
      <c r="BS19" s="34">
        <f>IFERROR(IF(BR19*AA19=0,"",BR19*AA19),"")</f>
        <v/>
      </c>
      <c r="BT19" s="34" t="n"/>
      <c r="BU19" s="34" t="n"/>
      <c r="BV19" s="34" t="n"/>
      <c r="BW19" s="34" t="n"/>
      <c r="BX19" s="34" t="n"/>
      <c r="BY19" s="34" t="n"/>
      <c r="BZ19" s="34" t="n"/>
      <c r="CA19" s="34" t="n"/>
      <c r="CB19" s="34" t="n"/>
      <c r="CC19" s="34" t="n"/>
      <c r="CD19" s="34" t="n"/>
      <c r="CE19" s="34" t="n"/>
      <c r="CF19" s="34" t="n"/>
      <c r="CG19" s="34" t="n"/>
      <c r="CH19" s="34" t="n"/>
      <c r="CI19" s="34" t="n"/>
      <c r="CJ19" s="34" t="n"/>
      <c r="CK19" s="34" t="n"/>
      <c r="CL19" s="34" t="n"/>
      <c r="CM19" s="34" t="n"/>
      <c r="CN19" s="34" t="n"/>
      <c r="CO19" s="34" t="n"/>
      <c r="CP19" s="34" t="n"/>
      <c r="CQ19" s="34" t="n"/>
      <c r="CR19" s="34" t="n"/>
      <c r="CS19" s="34" t="n"/>
      <c r="CT19" s="34" t="n"/>
      <c r="CU19" s="34" t="n"/>
      <c r="CV19" s="34" t="n"/>
      <c r="CW19" s="34" t="n"/>
      <c r="CX19" s="34" t="n"/>
      <c r="CY19" s="34" t="n"/>
      <c r="CZ19" s="34" t="n"/>
      <c r="DA19" s="34" t="n"/>
      <c r="DB19" s="34" t="n"/>
      <c r="DC19" s="34" t="n"/>
      <c r="DD19" s="34" t="n"/>
      <c r="DE19" s="34" t="n"/>
      <c r="DF19" s="34" t="n"/>
      <c r="DG19" s="34" t="n"/>
      <c r="DH19" s="34" t="n"/>
      <c r="DI19" s="34" t="n"/>
      <c r="DJ19" s="34" t="n"/>
      <c r="DK19" s="34" t="n"/>
      <c r="DL19" s="34" t="n"/>
      <c r="DM19" s="34" t="n"/>
      <c r="DN19" s="34" t="n"/>
      <c r="DO19" s="34" t="n"/>
      <c r="DP19" s="34" t="n"/>
      <c r="DQ19" s="34" t="n"/>
    </row>
    <row r="20" ht="16" customHeight="1">
      <c r="A20" s="38" t="n"/>
      <c r="B20" s="38" t="n"/>
      <c r="C20" s="38" t="n"/>
      <c r="D20" s="38" t="n"/>
      <c r="E20" s="38" t="n"/>
      <c r="F20" s="38" t="n"/>
      <c r="G20" s="38" t="n"/>
      <c r="H20" s="34" t="n"/>
      <c r="I20" s="34" t="n"/>
      <c r="J20" s="34" t="n"/>
      <c r="K20" s="34" t="n"/>
      <c r="L20" s="34" t="n"/>
      <c r="M20" s="34" t="n"/>
      <c r="N20" s="34" t="n"/>
      <c r="O20" s="34">
        <f>IFERROR(INDEX('_courses_lookup'!$C:$C,MATCH(K20&amp;L20,'_courses_lookup'!$E:$E,0)),"")</f>
        <v/>
      </c>
      <c r="P20" s="34">
        <f>IFERROR(INDEX('_courses_lookup'!$D:$D,MATCH(K20&amp;L20,'_courses_lookup'!$E:$E,0)),"")</f>
        <v/>
      </c>
      <c r="Q20" s="34" t="n"/>
      <c r="R20" s="34" t="n"/>
      <c r="S20" s="34" t="n"/>
      <c r="T20" s="34" t="n"/>
      <c r="U20" s="34" t="n"/>
      <c r="V20" s="34" t="n"/>
      <c r="W20" s="34" t="n"/>
      <c r="X20" s="34" t="n"/>
      <c r="Y20" s="30" t="n"/>
      <c r="Z20" s="34" t="n"/>
      <c r="AA20" s="34" t="n"/>
      <c r="AB20" s="34" t="n"/>
      <c r="AC20" s="34" t="n"/>
      <c r="AD20" s="34" t="n"/>
      <c r="AE20" s="34" t="n"/>
      <c r="AF20" s="34" t="n"/>
      <c r="AG20" s="34">
        <f>IF(AND(AE20&lt;&gt;"",AF20&lt;&gt;""),ROUNDUP((AF20-AE20)/7,0),"")</f>
        <v/>
      </c>
      <c r="AH20" s="34" t="n"/>
      <c r="AI20" s="34">
        <f>IFERROR(IF(AG20*AH20=0,"",AG20*AH20),"")</f>
        <v/>
      </c>
      <c r="AJ20" s="34" t="n"/>
      <c r="AK20" s="34" t="n"/>
      <c r="AL20" s="34">
        <f>IF(AND(AJ20&lt;&gt;"",AK20&lt;&gt;""),ROUNDUP((AK20-AJ20)/7,0),"")</f>
        <v/>
      </c>
      <c r="AM20" s="34" t="n"/>
      <c r="AN20" s="34">
        <f>IFERROR(IF(AL20*AM20=0,"",AL20*AM20),"")</f>
        <v/>
      </c>
      <c r="AO20" s="34" t="n"/>
      <c r="AP20" s="34" t="n"/>
      <c r="AQ20" s="34">
        <f>IF(AND(AO20&lt;&gt;"",AP20&lt;&gt;""),ROUNDUP((AP20-AO20)/7,0),"")</f>
        <v/>
      </c>
      <c r="AR20" s="34">
        <f>IFERROR(IF((AU20-(AI20+AN20))/AQ20=0,"",ROUNDUP((AU20-(AI20+AN20))/AQ20,0)),"")</f>
        <v/>
      </c>
      <c r="AS20" s="34">
        <f>IFERROR(IF((AU20-(AI20+AN20))=0,"",(AU20-(AI20+AN20))),"")</f>
        <v/>
      </c>
      <c r="AT20" s="34">
        <f>IF(AND(AG20="",AQ20=""),AL20,IF(SUM(AG20,AL20,AQ20)=0,"",SUM(AG20,AL20,AQ20)))</f>
        <v/>
      </c>
      <c r="AU20" s="34" t="n"/>
      <c r="AV20" s="34" t="n"/>
      <c r="AW20" s="34" t="n"/>
      <c r="AX20" s="34" t="n"/>
      <c r="AY20" s="34" t="n"/>
      <c r="AZ20" s="30" t="n"/>
      <c r="BA20" s="34" t="n"/>
      <c r="BB20" s="34" t="n"/>
      <c r="BC20" s="34" t="n"/>
      <c r="BD20" s="34" t="n"/>
      <c r="BE20" s="34" t="n"/>
      <c r="BF20" s="34" t="n"/>
      <c r="BG20" s="34">
        <f>IF(AD20="","",YEAR(AD20)+IF(MONTH(AD20)&gt;=5,1,0))</f>
        <v/>
      </c>
      <c r="BH20" s="34">
        <f>IF(AD20="","",IF(AND(MONTH(AD20)=8,DAY(AD20)&gt;=15),"Fall",IF(MONTH(AD20)&gt;8,"Fall",IF(MONTH(AD20)=5,"Summer",IF(MONTH(AD20)=1,"Spring","")))))</f>
        <v/>
      </c>
      <c r="BI20" s="34" t="n"/>
      <c r="BJ20" s="34" t="n"/>
      <c r="BK20" s="30">
        <f>IF($BJ20="","",IFERROR(INDEX(InstructorMap!$B:$B, MATCH($BJ20, InstructorMap!$A:$A, 0)),""))</f>
        <v/>
      </c>
      <c r="BL20" s="30">
        <f>IFERROR(INDEX('_names_lookup'!$C:$C,MATCH(BK20,'_names_lookup'!$A:$A,0)),"")</f>
        <v/>
      </c>
      <c r="BM20" s="34">
        <f>IFERROR(INDEX('_names_lookup'!$B:$B,MATCH(BK20,'_names_lookup'!$A:$A,0)),"")</f>
        <v/>
      </c>
      <c r="BN20" s="34" t="n"/>
      <c r="BO20" s="34" t="n"/>
      <c r="BP20" s="34" t="n"/>
      <c r="BQ20" s="34" t="n"/>
      <c r="BR20" s="34" t="n"/>
      <c r="BS20" s="34">
        <f>IFERROR(IF(BR20*AA20=0,"",BR20*AA20),"")</f>
        <v/>
      </c>
      <c r="BT20" s="34" t="n"/>
      <c r="BU20" s="34" t="n"/>
      <c r="BV20" s="34" t="n"/>
      <c r="BW20" s="34" t="n"/>
      <c r="BX20" s="34" t="n"/>
      <c r="BY20" s="34" t="n"/>
      <c r="BZ20" s="34" t="n"/>
      <c r="CA20" s="34" t="n"/>
      <c r="CB20" s="34" t="n"/>
      <c r="CC20" s="34" t="n"/>
      <c r="CD20" s="34" t="n"/>
      <c r="CE20" s="34" t="n"/>
      <c r="CF20" s="34" t="n"/>
      <c r="CG20" s="34" t="n"/>
      <c r="CH20" s="34" t="n"/>
      <c r="CI20" s="34" t="n"/>
      <c r="CJ20" s="34" t="n"/>
      <c r="CK20" s="34" t="n"/>
      <c r="CL20" s="34" t="n"/>
      <c r="CM20" s="34" t="n"/>
      <c r="CN20" s="34" t="n"/>
      <c r="CO20" s="34" t="n"/>
      <c r="CP20" s="34" t="n"/>
      <c r="CQ20" s="34" t="n"/>
      <c r="CR20" s="34" t="n"/>
      <c r="CS20" s="34" t="n"/>
      <c r="CT20" s="34" t="n"/>
      <c r="CU20" s="34" t="n"/>
      <c r="CV20" s="34" t="n"/>
      <c r="CW20" s="34" t="n"/>
      <c r="CX20" s="34" t="n"/>
      <c r="CY20" s="34" t="n"/>
      <c r="CZ20" s="34" t="n"/>
      <c r="DA20" s="34" t="n"/>
      <c r="DB20" s="34" t="n"/>
      <c r="DC20" s="34" t="n"/>
      <c r="DD20" s="34" t="n"/>
      <c r="DE20" s="34" t="n"/>
      <c r="DF20" s="34" t="n"/>
      <c r="DG20" s="34" t="n"/>
      <c r="DH20" s="34" t="n"/>
      <c r="DI20" s="34" t="n"/>
      <c r="DJ20" s="34" t="n"/>
      <c r="DK20" s="34" t="n"/>
      <c r="DL20" s="34" t="n"/>
      <c r="DM20" s="34" t="n"/>
      <c r="DN20" s="34" t="n"/>
      <c r="DO20" s="34" t="n"/>
      <c r="DP20" s="34" t="n"/>
      <c r="DQ20" s="34" t="n"/>
    </row>
    <row r="21" ht="16" customHeight="1">
      <c r="A21" s="38" t="n"/>
      <c r="B21" s="38" t="n"/>
      <c r="C21" s="38" t="n"/>
      <c r="D21" s="38" t="n"/>
      <c r="E21" s="38" t="n"/>
      <c r="F21" s="38" t="n"/>
      <c r="G21" s="38" t="n"/>
      <c r="H21" s="34" t="n"/>
      <c r="I21" s="34" t="n"/>
      <c r="J21" s="34" t="n"/>
      <c r="K21" s="34" t="n"/>
      <c r="L21" s="34" t="n"/>
      <c r="M21" s="34" t="n"/>
      <c r="N21" s="34" t="n"/>
      <c r="O21" s="34">
        <f>IFERROR(INDEX('_courses_lookup'!$C:$C,MATCH(K21&amp;L21,'_courses_lookup'!$E:$E,0)),"")</f>
        <v/>
      </c>
      <c r="P21" s="34">
        <f>IFERROR(INDEX('_courses_lookup'!$D:$D,MATCH(K21&amp;L21,'_courses_lookup'!$E:$E,0)),"")</f>
        <v/>
      </c>
      <c r="Q21" s="34" t="n"/>
      <c r="R21" s="34" t="n"/>
      <c r="S21" s="34" t="n"/>
      <c r="T21" s="34" t="n"/>
      <c r="U21" s="34" t="n"/>
      <c r="V21" s="34" t="n"/>
      <c r="W21" s="34" t="n"/>
      <c r="X21" s="34" t="n"/>
      <c r="Y21" s="30" t="n"/>
      <c r="Z21" s="34" t="n"/>
      <c r="AA21" s="34" t="n"/>
      <c r="AB21" s="34" t="n"/>
      <c r="AC21" s="34" t="n"/>
      <c r="AD21" s="34" t="n"/>
      <c r="AE21" s="34" t="n"/>
      <c r="AF21" s="34" t="n"/>
      <c r="AG21" s="34">
        <f>IF(AND(AE21&lt;&gt;"",AF21&lt;&gt;""),ROUNDUP((AF21-AE21)/7,0),"")</f>
        <v/>
      </c>
      <c r="AH21" s="34" t="n"/>
      <c r="AI21" s="34">
        <f>IFERROR(IF(AG21*AH21=0,"",AG21*AH21),"")</f>
        <v/>
      </c>
      <c r="AJ21" s="34" t="n"/>
      <c r="AK21" s="34" t="n"/>
      <c r="AL21" s="34">
        <f>IF(AND(AJ21&lt;&gt;"",AK21&lt;&gt;""),ROUNDUP((AK21-AJ21)/7,0),"")</f>
        <v/>
      </c>
      <c r="AM21" s="34" t="n"/>
      <c r="AN21" s="34">
        <f>IFERROR(IF(AL21*AM21=0,"",AL21*AM21),"")</f>
        <v/>
      </c>
      <c r="AO21" s="34" t="n"/>
      <c r="AP21" s="34" t="n"/>
      <c r="AQ21" s="34">
        <f>IF(AND(AO21&lt;&gt;"",AP21&lt;&gt;""),ROUNDUP((AP21-AO21)/7,0),"")</f>
        <v/>
      </c>
      <c r="AR21" s="34">
        <f>IFERROR(IF((AU21-(AI21+AN21))/AQ21=0,"",ROUNDUP((AU21-(AI21+AN21))/AQ21,0)),"")</f>
        <v/>
      </c>
      <c r="AS21" s="34">
        <f>IFERROR(IF((AU21-(AI21+AN21))=0,"",(AU21-(AI21+AN21))),"")</f>
        <v/>
      </c>
      <c r="AT21" s="34">
        <f>IF(AND(AG21="",AQ21=""),AL21,IF(SUM(AG21,AL21,AQ21)=0,"",SUM(AG21,AL21,AQ21)))</f>
        <v/>
      </c>
      <c r="AU21" s="34" t="n"/>
      <c r="AV21" s="34" t="n"/>
      <c r="AW21" s="34" t="n"/>
      <c r="AX21" s="34" t="n"/>
      <c r="AY21" s="34" t="n"/>
      <c r="AZ21" s="30" t="n"/>
      <c r="BA21" s="34" t="n"/>
      <c r="BB21" s="34" t="n"/>
      <c r="BC21" s="34" t="n"/>
      <c r="BD21" s="34" t="n"/>
      <c r="BE21" s="34" t="n"/>
      <c r="BF21" s="34" t="n"/>
      <c r="BG21" s="34">
        <f>IF(AD21="","",YEAR(AD21)+IF(MONTH(AD21)&gt;=5,1,0))</f>
        <v/>
      </c>
      <c r="BH21" s="34">
        <f>IF(AD21="","",IF(AND(MONTH(AD21)=8,DAY(AD21)&gt;=15),"Fall",IF(MONTH(AD21)&gt;8,"Fall",IF(MONTH(AD21)=5,"Summer",IF(MONTH(AD21)=1,"Spring","")))))</f>
        <v/>
      </c>
      <c r="BI21" s="34" t="n"/>
      <c r="BJ21" s="34" t="n"/>
      <c r="BK21" s="30">
        <f>IF($BJ21="","",IFERROR(INDEX(InstructorMap!$B:$B, MATCH($BJ21, InstructorMap!$A:$A, 0)),""))</f>
        <v/>
      </c>
      <c r="BL21" s="30">
        <f>IFERROR(INDEX('_names_lookup'!$C:$C,MATCH(BK21,'_names_lookup'!$A:$A,0)),"")</f>
        <v/>
      </c>
      <c r="BM21" s="34">
        <f>IFERROR(INDEX('_names_lookup'!$B:$B,MATCH(BK21,'_names_lookup'!$A:$A,0)),"")</f>
        <v/>
      </c>
      <c r="BN21" s="34" t="n"/>
      <c r="BO21" s="34" t="n"/>
      <c r="BP21" s="34" t="n"/>
      <c r="BQ21" s="34" t="n"/>
      <c r="BR21" s="34" t="n"/>
      <c r="BS21" s="34">
        <f>IFERROR(IF(BR21*AA21=0,"",BR21*AA21),"")</f>
        <v/>
      </c>
      <c r="BT21" s="34" t="n"/>
      <c r="BU21" s="34" t="n"/>
      <c r="BV21" s="34" t="n"/>
      <c r="BW21" s="34" t="n"/>
      <c r="BX21" s="34" t="n"/>
      <c r="BY21" s="34" t="n"/>
      <c r="BZ21" s="34" t="n"/>
      <c r="CA21" s="34" t="n"/>
      <c r="CB21" s="34" t="n"/>
      <c r="CC21" s="34" t="n"/>
      <c r="CD21" s="34" t="n"/>
      <c r="CE21" s="34" t="n"/>
      <c r="CF21" s="34" t="n"/>
      <c r="CG21" s="34" t="n"/>
      <c r="CH21" s="34" t="n"/>
      <c r="CI21" s="34" t="n"/>
      <c r="CJ21" s="34" t="n"/>
      <c r="CK21" s="34" t="n"/>
      <c r="CL21" s="34" t="n"/>
      <c r="CM21" s="34" t="n"/>
      <c r="CN21" s="34" t="n"/>
      <c r="CO21" s="34" t="n"/>
      <c r="CP21" s="34" t="n"/>
      <c r="CQ21" s="34" t="n"/>
      <c r="CR21" s="34" t="n"/>
      <c r="CS21" s="34" t="n"/>
      <c r="CT21" s="34" t="n"/>
      <c r="CU21" s="34" t="n"/>
      <c r="CV21" s="34" t="n"/>
      <c r="CW21" s="34" t="n"/>
      <c r="CX21" s="34" t="n"/>
      <c r="CY21" s="34" t="n"/>
      <c r="CZ21" s="34" t="n"/>
      <c r="DA21" s="34" t="n"/>
      <c r="DB21" s="34" t="n"/>
      <c r="DC21" s="34" t="n"/>
      <c r="DD21" s="34" t="n"/>
      <c r="DE21" s="34" t="n"/>
      <c r="DF21" s="34" t="n"/>
      <c r="DG21" s="34" t="n"/>
      <c r="DH21" s="34" t="n"/>
      <c r="DI21" s="34" t="n"/>
      <c r="DJ21" s="34" t="n"/>
      <c r="DK21" s="34" t="n"/>
      <c r="DL21" s="34" t="n"/>
      <c r="DM21" s="34" t="n"/>
      <c r="DN21" s="34" t="n"/>
      <c r="DO21" s="34" t="n"/>
      <c r="DP21" s="34" t="n"/>
      <c r="DQ21" s="34" t="n"/>
    </row>
    <row r="22" ht="16" customHeight="1">
      <c r="A22" s="38" t="n"/>
      <c r="B22" s="38" t="n"/>
      <c r="C22" s="38" t="n"/>
      <c r="D22" s="38" t="n"/>
      <c r="E22" s="38" t="n"/>
      <c r="F22" s="38" t="n"/>
      <c r="G22" s="38" t="n"/>
      <c r="H22" s="34" t="n"/>
      <c r="I22" s="34" t="n"/>
      <c r="J22" s="34" t="n"/>
      <c r="K22" s="34" t="n"/>
      <c r="L22" s="34" t="n"/>
      <c r="M22" s="34" t="n"/>
      <c r="N22" s="34" t="n"/>
      <c r="O22" s="34">
        <f>IFERROR(INDEX('_courses_lookup'!$C:$C,MATCH(K22&amp;L22,'_courses_lookup'!$E:$E,0)),"")</f>
        <v/>
      </c>
      <c r="P22" s="34">
        <f>IFERROR(INDEX('_courses_lookup'!$D:$D,MATCH(K22&amp;L22,'_courses_lookup'!$E:$E,0)),"")</f>
        <v/>
      </c>
      <c r="Q22" s="34" t="n"/>
      <c r="R22" s="34" t="n"/>
      <c r="S22" s="34" t="n"/>
      <c r="T22" s="34" t="n"/>
      <c r="U22" s="34" t="n"/>
      <c r="V22" s="34" t="n"/>
      <c r="W22" s="34" t="n"/>
      <c r="X22" s="34" t="n"/>
      <c r="Y22" s="30" t="n"/>
      <c r="Z22" s="34" t="n"/>
      <c r="AA22" s="34" t="n"/>
      <c r="AB22" s="34" t="n"/>
      <c r="AC22" s="34" t="n"/>
      <c r="AD22" s="34" t="n"/>
      <c r="AE22" s="34" t="n"/>
      <c r="AF22" s="34" t="n"/>
      <c r="AG22" s="34">
        <f>IF(AND(AE22&lt;&gt;"",AF22&lt;&gt;""),ROUNDUP((AF22-AE22)/7,0),"")</f>
        <v/>
      </c>
      <c r="AH22" s="34" t="n"/>
      <c r="AI22" s="34">
        <f>IFERROR(IF(AG22*AH22=0,"",AG22*AH22),"")</f>
        <v/>
      </c>
      <c r="AJ22" s="34" t="n"/>
      <c r="AK22" s="34" t="n"/>
      <c r="AL22" s="34">
        <f>IF(AND(AJ22&lt;&gt;"",AK22&lt;&gt;""),ROUNDUP((AK22-AJ22)/7,0),"")</f>
        <v/>
      </c>
      <c r="AM22" s="34" t="n"/>
      <c r="AN22" s="34">
        <f>IFERROR(IF(AL22*AM22=0,"",AL22*AM22),"")</f>
        <v/>
      </c>
      <c r="AO22" s="34" t="n"/>
      <c r="AP22" s="34" t="n"/>
      <c r="AQ22" s="34">
        <f>IF(AND(AO22&lt;&gt;"",AP22&lt;&gt;""),ROUNDUP((AP22-AO22)/7,0),"")</f>
        <v/>
      </c>
      <c r="AR22" s="34">
        <f>IFERROR(IF((AU22-(AI22+AN22))/AQ22=0,"",ROUNDUP((AU22-(AI22+AN22))/AQ22,0)),"")</f>
        <v/>
      </c>
      <c r="AS22" s="34">
        <f>IFERROR(IF((AU22-(AI22+AN22))=0,"",(AU22-(AI22+AN22))),"")</f>
        <v/>
      </c>
      <c r="AT22" s="34">
        <f>IF(AND(AG22="",AQ22=""),AL22,IF(SUM(AG22,AL22,AQ22)=0,"",SUM(AG22,AL22,AQ22)))</f>
        <v/>
      </c>
      <c r="AU22" s="34" t="n"/>
      <c r="AV22" s="34" t="n"/>
      <c r="AW22" s="34" t="n"/>
      <c r="AX22" s="34" t="n"/>
      <c r="AY22" s="34" t="n"/>
      <c r="AZ22" s="30" t="n"/>
      <c r="BA22" s="34" t="n"/>
      <c r="BB22" s="34" t="n"/>
      <c r="BC22" s="34" t="n"/>
      <c r="BD22" s="34" t="n"/>
      <c r="BE22" s="34" t="n"/>
      <c r="BF22" s="34" t="n"/>
      <c r="BG22" s="34">
        <f>IF(AD22="","",YEAR(AD22)+IF(MONTH(AD22)&gt;=5,1,0))</f>
        <v/>
      </c>
      <c r="BH22" s="34">
        <f>IF(AD22="","",IF(AND(MONTH(AD22)=8,DAY(AD22)&gt;=15),"Fall",IF(MONTH(AD22)&gt;8,"Fall",IF(MONTH(AD22)=5,"Summer",IF(MONTH(AD22)=1,"Spring","")))))</f>
        <v/>
      </c>
      <c r="BI22" s="34" t="n"/>
      <c r="BJ22" s="34" t="n"/>
      <c r="BK22" s="30">
        <f>IF($BJ22="","",IFERROR(INDEX(InstructorMap!$B:$B, MATCH($BJ22, InstructorMap!$A:$A, 0)),""))</f>
        <v/>
      </c>
      <c r="BL22" s="30">
        <f>IFERROR(INDEX('_names_lookup'!$C:$C,MATCH(BK22,'_names_lookup'!$A:$A,0)),"")</f>
        <v/>
      </c>
      <c r="BM22" s="34">
        <f>IFERROR(INDEX('_names_lookup'!$B:$B,MATCH(BK22,'_names_lookup'!$A:$A,0)),"")</f>
        <v/>
      </c>
      <c r="BN22" s="34" t="n"/>
      <c r="BO22" s="34" t="n"/>
      <c r="BP22" s="34" t="n"/>
      <c r="BQ22" s="34" t="n"/>
      <c r="BR22" s="34" t="n"/>
      <c r="BS22" s="34">
        <f>IFERROR(IF(BR22*AA22=0,"",BR22*AA22),"")</f>
        <v/>
      </c>
      <c r="BT22" s="34" t="n"/>
      <c r="BU22" s="34" t="n"/>
      <c r="BV22" s="34" t="n"/>
      <c r="BW22" s="34" t="n"/>
      <c r="BX22" s="34" t="n"/>
      <c r="BY22" s="34" t="n"/>
      <c r="BZ22" s="34" t="n"/>
      <c r="CA22" s="34" t="n"/>
      <c r="CB22" s="34" t="n"/>
      <c r="CC22" s="34" t="n"/>
      <c r="CD22" s="34" t="n"/>
      <c r="CE22" s="34" t="n"/>
      <c r="CF22" s="34" t="n"/>
      <c r="CG22" s="34" t="n"/>
      <c r="CH22" s="34" t="n"/>
      <c r="CI22" s="34" t="n"/>
      <c r="CJ22" s="34" t="n"/>
      <c r="CK22" s="34" t="n"/>
      <c r="CL22" s="34" t="n"/>
      <c r="CM22" s="34" t="n"/>
      <c r="CN22" s="34" t="n"/>
      <c r="CO22" s="34" t="n"/>
      <c r="CP22" s="34" t="n"/>
      <c r="CQ22" s="34" t="n"/>
      <c r="CR22" s="34" t="n"/>
      <c r="CS22" s="34" t="n"/>
      <c r="CT22" s="34" t="n"/>
      <c r="CU22" s="34" t="n"/>
      <c r="CV22" s="34" t="n"/>
      <c r="CW22" s="34" t="n"/>
      <c r="CX22" s="34" t="n"/>
      <c r="CY22" s="34" t="n"/>
      <c r="CZ22" s="34" t="n"/>
      <c r="DA22" s="34" t="n"/>
      <c r="DB22" s="34" t="n"/>
      <c r="DC22" s="34" t="n"/>
      <c r="DD22" s="34" t="n"/>
      <c r="DE22" s="34" t="n"/>
      <c r="DF22" s="34" t="n"/>
      <c r="DG22" s="34" t="n"/>
      <c r="DH22" s="34" t="n"/>
      <c r="DI22" s="34" t="n"/>
      <c r="DJ22" s="34" t="n"/>
      <c r="DK22" s="34" t="n"/>
      <c r="DL22" s="34" t="n"/>
      <c r="DM22" s="34" t="n"/>
      <c r="DN22" s="34" t="n"/>
      <c r="DO22" s="34" t="n"/>
      <c r="DP22" s="34" t="n"/>
      <c r="DQ22" s="34" t="n"/>
    </row>
    <row r="23" ht="16" customHeight="1">
      <c r="A23" s="38" t="n"/>
      <c r="B23" s="38" t="n"/>
      <c r="C23" s="38" t="n"/>
      <c r="D23" s="38" t="n"/>
      <c r="E23" s="38" t="n"/>
      <c r="F23" s="38" t="n"/>
      <c r="G23" s="38" t="n"/>
      <c r="H23" s="34" t="n"/>
      <c r="I23" s="34" t="n"/>
      <c r="J23" s="34" t="n"/>
      <c r="K23" s="34" t="n"/>
      <c r="L23" s="34" t="n"/>
      <c r="M23" s="34" t="n"/>
      <c r="N23" s="34" t="n"/>
      <c r="O23" s="34">
        <f>IFERROR(INDEX('_courses_lookup'!$C:$C,MATCH(K23&amp;L23,'_courses_lookup'!$E:$E,0)),"")</f>
        <v/>
      </c>
      <c r="P23" s="34">
        <f>IFERROR(INDEX('_courses_lookup'!$D:$D,MATCH(K23&amp;L23,'_courses_lookup'!$E:$E,0)),"")</f>
        <v/>
      </c>
      <c r="Q23" s="34" t="n"/>
      <c r="R23" s="34" t="n"/>
      <c r="S23" s="34" t="n"/>
      <c r="T23" s="34" t="n"/>
      <c r="U23" s="34" t="n"/>
      <c r="V23" s="34" t="n"/>
      <c r="W23" s="34" t="n"/>
      <c r="X23" s="34" t="n"/>
      <c r="Y23" s="30" t="n"/>
      <c r="Z23" s="34" t="n"/>
      <c r="AA23" s="34" t="n"/>
      <c r="AB23" s="34" t="n"/>
      <c r="AC23" s="34" t="n"/>
      <c r="AD23" s="34" t="n"/>
      <c r="AE23" s="34" t="n"/>
      <c r="AF23" s="34" t="n"/>
      <c r="AG23" s="34">
        <f>IF(AND(AE23&lt;&gt;"",AF23&lt;&gt;""),ROUNDUP((AF23-AE23)/7,0),"")</f>
        <v/>
      </c>
      <c r="AH23" s="34" t="n"/>
      <c r="AI23" s="34">
        <f>IFERROR(IF(AG23*AH23=0,"",AG23*AH23),"")</f>
        <v/>
      </c>
      <c r="AJ23" s="34" t="n"/>
      <c r="AK23" s="34" t="n"/>
      <c r="AL23" s="34">
        <f>IF(AND(AJ23&lt;&gt;"",AK23&lt;&gt;""),ROUNDUP((AK23-AJ23)/7,0),"")</f>
        <v/>
      </c>
      <c r="AM23" s="34" t="n"/>
      <c r="AN23" s="34">
        <f>IFERROR(IF(AL23*AM23=0,"",AL23*AM23),"")</f>
        <v/>
      </c>
      <c r="AO23" s="34" t="n"/>
      <c r="AP23" s="34" t="n"/>
      <c r="AQ23" s="34">
        <f>IF(AND(AO23&lt;&gt;"",AP23&lt;&gt;""),ROUNDUP((AP23-AO23)/7,0),"")</f>
        <v/>
      </c>
      <c r="AR23" s="34">
        <f>IFERROR(IF((AU23-(AI23+AN23))/AQ23=0,"",ROUNDUP((AU23-(AI23+AN23))/AQ23,0)),"")</f>
        <v/>
      </c>
      <c r="AS23" s="34">
        <f>IFERROR(IF((AU23-(AI23+AN23))=0,"",(AU23-(AI23+AN23))),"")</f>
        <v/>
      </c>
      <c r="AT23" s="34">
        <f>IF(AND(AG23="",AQ23=""),AL23,IF(SUM(AG23,AL23,AQ23)=0,"",SUM(AG23,AL23,AQ23)))</f>
        <v/>
      </c>
      <c r="AU23" s="34" t="n"/>
      <c r="AV23" s="34" t="n"/>
      <c r="AW23" s="34" t="n"/>
      <c r="AX23" s="34" t="n"/>
      <c r="AY23" s="34" t="n"/>
      <c r="AZ23" s="30" t="n"/>
      <c r="BA23" s="34" t="n"/>
      <c r="BB23" s="34" t="n"/>
      <c r="BC23" s="34" t="n"/>
      <c r="BD23" s="34" t="n"/>
      <c r="BE23" s="34" t="n"/>
      <c r="BF23" s="34" t="n"/>
      <c r="BG23" s="34">
        <f>IF(AD23="","",YEAR(AD23)+IF(MONTH(AD23)&gt;=5,1,0))</f>
        <v/>
      </c>
      <c r="BH23" s="34">
        <f>IF(AD23="","",IF(AND(MONTH(AD23)=8,DAY(AD23)&gt;=15),"Fall",IF(MONTH(AD23)&gt;8,"Fall",IF(MONTH(AD23)=5,"Summer",IF(MONTH(AD23)=1,"Spring","")))))</f>
        <v/>
      </c>
      <c r="BI23" s="34" t="n"/>
      <c r="BJ23" s="34" t="n"/>
      <c r="BK23" s="30">
        <f>IF($BJ23="","",IFERROR(INDEX(InstructorMap!$B:$B, MATCH($BJ23, InstructorMap!$A:$A, 0)),""))</f>
        <v/>
      </c>
      <c r="BL23" s="30">
        <f>IFERROR(INDEX('_names_lookup'!$C:$C,MATCH(BK23,'_names_lookup'!$A:$A,0)),"")</f>
        <v/>
      </c>
      <c r="BM23" s="34">
        <f>IFERROR(INDEX('_names_lookup'!$B:$B,MATCH(BK23,'_names_lookup'!$A:$A,0)),"")</f>
        <v/>
      </c>
      <c r="BN23" s="34" t="n"/>
      <c r="BO23" s="34" t="n"/>
      <c r="BP23" s="34" t="n"/>
      <c r="BQ23" s="34" t="n"/>
      <c r="BR23" s="34" t="n"/>
      <c r="BS23" s="34">
        <f>IFERROR(IF(BR23*AA23=0,"",BR23*AA23),"")</f>
        <v/>
      </c>
      <c r="BT23" s="34" t="n"/>
      <c r="BU23" s="34" t="n"/>
      <c r="BV23" s="34" t="n"/>
      <c r="BW23" s="34" t="n"/>
      <c r="BX23" s="34" t="n"/>
      <c r="BY23" s="34" t="n"/>
      <c r="BZ23" s="34" t="n"/>
      <c r="CA23" s="34" t="n"/>
      <c r="CB23" s="34" t="n"/>
      <c r="CC23" s="34" t="n"/>
      <c r="CD23" s="34" t="n"/>
      <c r="CE23" s="34" t="n"/>
      <c r="CF23" s="34" t="n"/>
      <c r="CG23" s="34" t="n"/>
      <c r="CH23" s="34" t="n"/>
      <c r="CI23" s="34" t="n"/>
      <c r="CJ23" s="34" t="n"/>
      <c r="CK23" s="34" t="n"/>
      <c r="CL23" s="34" t="n"/>
      <c r="CM23" s="34" t="n"/>
      <c r="CN23" s="34" t="n"/>
      <c r="CO23" s="34" t="n"/>
      <c r="CP23" s="34" t="n"/>
      <c r="CQ23" s="34" t="n"/>
      <c r="CR23" s="34" t="n"/>
      <c r="CS23" s="34" t="n"/>
      <c r="CT23" s="34" t="n"/>
      <c r="CU23" s="34" t="n"/>
      <c r="CV23" s="34" t="n"/>
      <c r="CW23" s="34" t="n"/>
      <c r="CX23" s="34" t="n"/>
      <c r="CY23" s="34" t="n"/>
      <c r="CZ23" s="34" t="n"/>
      <c r="DA23" s="34" t="n"/>
      <c r="DB23" s="34" t="n"/>
      <c r="DC23" s="34" t="n"/>
      <c r="DD23" s="34" t="n"/>
      <c r="DE23" s="34" t="n"/>
      <c r="DF23" s="34" t="n"/>
      <c r="DG23" s="34" t="n"/>
      <c r="DH23" s="34" t="n"/>
      <c r="DI23" s="34" t="n"/>
      <c r="DJ23" s="34" t="n"/>
      <c r="DK23" s="34" t="n"/>
      <c r="DL23" s="34" t="n"/>
      <c r="DM23" s="34" t="n"/>
      <c r="DN23" s="34" t="n"/>
      <c r="DO23" s="34" t="n"/>
      <c r="DP23" s="34" t="n"/>
      <c r="DQ23" s="34" t="n"/>
    </row>
    <row r="24" ht="16" customHeight="1">
      <c r="A24" s="38" t="n"/>
      <c r="B24" s="38" t="n"/>
      <c r="C24" s="38" t="n"/>
      <c r="D24" s="38" t="n"/>
      <c r="E24" s="38" t="n"/>
      <c r="F24" s="38" t="n"/>
      <c r="G24" s="38" t="n"/>
      <c r="H24" s="34" t="n"/>
      <c r="I24" s="34" t="n"/>
      <c r="J24" s="34" t="n"/>
      <c r="K24" s="34" t="n"/>
      <c r="L24" s="34" t="n"/>
      <c r="M24" s="34" t="n"/>
      <c r="N24" s="34" t="n"/>
      <c r="O24" s="34">
        <f>IFERROR(INDEX('_courses_lookup'!$C:$C,MATCH(K24&amp;L24,'_courses_lookup'!$E:$E,0)),"")</f>
        <v/>
      </c>
      <c r="P24" s="34">
        <f>IFERROR(INDEX('_courses_lookup'!$D:$D,MATCH(K24&amp;L24,'_courses_lookup'!$E:$E,0)),"")</f>
        <v/>
      </c>
      <c r="Q24" s="34" t="n"/>
      <c r="R24" s="34" t="n"/>
      <c r="S24" s="34" t="n"/>
      <c r="T24" s="34" t="n"/>
      <c r="U24" s="34" t="n"/>
      <c r="V24" s="34" t="n"/>
      <c r="W24" s="34" t="n"/>
      <c r="X24" s="34" t="n"/>
      <c r="Y24" s="30" t="n"/>
      <c r="Z24" s="34" t="n"/>
      <c r="AA24" s="34" t="n"/>
      <c r="AB24" s="34" t="n"/>
      <c r="AC24" s="34" t="n"/>
      <c r="AD24" s="34" t="n"/>
      <c r="AE24" s="34" t="n"/>
      <c r="AF24" s="34" t="n"/>
      <c r="AG24" s="34">
        <f>IF(AND(AE24&lt;&gt;"",AF24&lt;&gt;""),ROUNDUP((AF24-AE24)/7,0),"")</f>
        <v/>
      </c>
      <c r="AH24" s="34" t="n"/>
      <c r="AI24" s="34">
        <f>IFERROR(IF(AG24*AH24=0,"",AG24*AH24),"")</f>
        <v/>
      </c>
      <c r="AJ24" s="34" t="n"/>
      <c r="AK24" s="34" t="n"/>
      <c r="AL24" s="34">
        <f>IF(AND(AJ24&lt;&gt;"",AK24&lt;&gt;""),ROUNDUP((AK24-AJ24)/7,0),"")</f>
        <v/>
      </c>
      <c r="AM24" s="34" t="n"/>
      <c r="AN24" s="34">
        <f>IFERROR(IF(AL24*AM24=0,"",AL24*AM24),"")</f>
        <v/>
      </c>
      <c r="AO24" s="34" t="n"/>
      <c r="AP24" s="34" t="n"/>
      <c r="AQ24" s="34">
        <f>IF(AND(AO24&lt;&gt;"",AP24&lt;&gt;""),ROUNDUP((AP24-AO24)/7,0),"")</f>
        <v/>
      </c>
      <c r="AR24" s="34">
        <f>IFERROR(IF((AU24-(AI24+AN24))/AQ24=0,"",ROUNDUP((AU24-(AI24+AN24))/AQ24,0)),"")</f>
        <v/>
      </c>
      <c r="AS24" s="34">
        <f>IFERROR(IF((AU24-(AI24+AN24))=0,"",(AU24-(AI24+AN24))),"")</f>
        <v/>
      </c>
      <c r="AT24" s="34">
        <f>IF(AND(AG24="",AQ24=""),AL24,IF(SUM(AG24,AL24,AQ24)=0,"",SUM(AG24,AL24,AQ24)))</f>
        <v/>
      </c>
      <c r="AU24" s="34" t="n"/>
      <c r="AV24" s="34" t="n"/>
      <c r="AW24" s="34" t="n"/>
      <c r="AX24" s="34" t="n"/>
      <c r="AY24" s="34" t="n"/>
      <c r="AZ24" s="30" t="n"/>
      <c r="BA24" s="34" t="n"/>
      <c r="BB24" s="34" t="n"/>
      <c r="BC24" s="34" t="n"/>
      <c r="BD24" s="34" t="n"/>
      <c r="BE24" s="34" t="n"/>
      <c r="BF24" s="34" t="n"/>
      <c r="BG24" s="34">
        <f>IF(AD24="","",YEAR(AD24)+IF(MONTH(AD24)&gt;=5,1,0))</f>
        <v/>
      </c>
      <c r="BH24" s="34">
        <f>IF(AD24="","",IF(AND(MONTH(AD24)=8,DAY(AD24)&gt;=15),"Fall",IF(MONTH(AD24)&gt;8,"Fall",IF(MONTH(AD24)=5,"Summer",IF(MONTH(AD24)=1,"Spring","")))))</f>
        <v/>
      </c>
      <c r="BI24" s="34" t="n"/>
      <c r="BJ24" s="34" t="n"/>
      <c r="BK24" s="30">
        <f>IF($BJ24="","",IFERROR(INDEX(InstructorMap!$B:$B, MATCH($BJ24, InstructorMap!$A:$A, 0)),""))</f>
        <v/>
      </c>
      <c r="BL24" s="30">
        <f>IFERROR(INDEX('_names_lookup'!$C:$C,MATCH(BK24,'_names_lookup'!$A:$A,0)),"")</f>
        <v/>
      </c>
      <c r="BM24" s="34">
        <f>IFERROR(INDEX('_names_lookup'!$B:$B,MATCH(BK24,'_names_lookup'!$A:$A,0)),"")</f>
        <v/>
      </c>
      <c r="BN24" s="34" t="n"/>
      <c r="BO24" s="34" t="n"/>
      <c r="BP24" s="34" t="n"/>
      <c r="BQ24" s="34" t="n"/>
      <c r="BR24" s="34" t="n"/>
      <c r="BS24" s="34">
        <f>IFERROR(IF(BR24*AA24=0,"",BR24*AA24),"")</f>
        <v/>
      </c>
      <c r="BT24" s="34" t="n"/>
      <c r="BU24" s="34" t="n"/>
      <c r="BV24" s="34" t="n"/>
      <c r="BW24" s="34" t="n"/>
      <c r="BX24" s="34" t="n"/>
      <c r="BY24" s="34" t="n"/>
      <c r="BZ24" s="34" t="n"/>
      <c r="CA24" s="34" t="n"/>
      <c r="CB24" s="34" t="n"/>
      <c r="CC24" s="34" t="n"/>
      <c r="CD24" s="34" t="n"/>
      <c r="CE24" s="34" t="n"/>
      <c r="CF24" s="34" t="n"/>
      <c r="CG24" s="34" t="n"/>
      <c r="CH24" s="34" t="n"/>
      <c r="CI24" s="34" t="n"/>
      <c r="CJ24" s="34" t="n"/>
      <c r="CK24" s="34" t="n"/>
      <c r="CL24" s="34" t="n"/>
      <c r="CM24" s="34" t="n"/>
      <c r="CN24" s="34" t="n"/>
      <c r="CO24" s="34" t="n"/>
      <c r="CP24" s="34" t="n"/>
      <c r="CQ24" s="34" t="n"/>
      <c r="CR24" s="34" t="n"/>
      <c r="CS24" s="34" t="n"/>
      <c r="CT24" s="34" t="n"/>
      <c r="CU24" s="34" t="n"/>
      <c r="CV24" s="34" t="n"/>
      <c r="CW24" s="34" t="n"/>
      <c r="CX24" s="34" t="n"/>
      <c r="CY24" s="34" t="n"/>
      <c r="CZ24" s="34" t="n"/>
      <c r="DA24" s="34" t="n"/>
      <c r="DB24" s="34" t="n"/>
      <c r="DC24" s="34" t="n"/>
      <c r="DD24" s="34" t="n"/>
      <c r="DE24" s="34" t="n"/>
      <c r="DF24" s="34" t="n"/>
      <c r="DG24" s="34" t="n"/>
      <c r="DH24" s="34" t="n"/>
      <c r="DI24" s="34" t="n"/>
      <c r="DJ24" s="34" t="n"/>
      <c r="DK24" s="34" t="n"/>
      <c r="DL24" s="34" t="n"/>
      <c r="DM24" s="34" t="n"/>
      <c r="DN24" s="34" t="n"/>
      <c r="DO24" s="34" t="n"/>
      <c r="DP24" s="34" t="n"/>
      <c r="DQ24" s="34" t="n"/>
    </row>
    <row r="25" ht="16" customHeight="1">
      <c r="A25" s="38" t="n"/>
      <c r="B25" s="38" t="n"/>
      <c r="C25" s="38" t="n"/>
      <c r="D25" s="38" t="n"/>
      <c r="E25" s="38" t="n"/>
      <c r="F25" s="38" t="n"/>
      <c r="G25" s="38" t="n"/>
      <c r="H25" s="34" t="n"/>
      <c r="I25" s="34" t="n"/>
      <c r="J25" s="34" t="n"/>
      <c r="K25" s="34" t="n"/>
      <c r="L25" s="34" t="n"/>
      <c r="M25" s="34" t="n"/>
      <c r="N25" s="34" t="n"/>
      <c r="O25" s="34">
        <f>IFERROR(INDEX('_courses_lookup'!$C:$C,MATCH(K25&amp;L25,'_courses_lookup'!$E:$E,0)),"")</f>
        <v/>
      </c>
      <c r="P25" s="34">
        <f>IFERROR(INDEX('_courses_lookup'!$D:$D,MATCH(K25&amp;L25,'_courses_lookup'!$E:$E,0)),"")</f>
        <v/>
      </c>
      <c r="Q25" s="34" t="n"/>
      <c r="R25" s="34" t="n"/>
      <c r="S25" s="34" t="n"/>
      <c r="T25" s="34" t="n"/>
      <c r="U25" s="34" t="n"/>
      <c r="V25" s="34" t="n"/>
      <c r="W25" s="34" t="n"/>
      <c r="X25" s="34" t="n"/>
      <c r="Y25" s="30" t="n"/>
      <c r="Z25" s="34" t="n"/>
      <c r="AA25" s="34" t="n"/>
      <c r="AB25" s="34" t="n"/>
      <c r="AC25" s="34" t="n"/>
      <c r="AD25" s="34" t="n"/>
      <c r="AE25" s="34" t="n"/>
      <c r="AF25" s="34" t="n"/>
      <c r="AG25" s="34">
        <f>IF(AND(AE25&lt;&gt;"",AF25&lt;&gt;""),ROUNDUP((AF25-AE25)/7,0),"")</f>
        <v/>
      </c>
      <c r="AH25" s="34" t="n"/>
      <c r="AI25" s="34">
        <f>IFERROR(IF(AG25*AH25=0,"",AG25*AH25),"")</f>
        <v/>
      </c>
      <c r="AJ25" s="34" t="n"/>
      <c r="AK25" s="34" t="n"/>
      <c r="AL25" s="34">
        <f>IF(AND(AJ25&lt;&gt;"",AK25&lt;&gt;""),ROUNDUP((AK25-AJ25)/7,0),"")</f>
        <v/>
      </c>
      <c r="AM25" s="34" t="n"/>
      <c r="AN25" s="34">
        <f>IFERROR(IF(AL25*AM25=0,"",AL25*AM25),"")</f>
        <v/>
      </c>
      <c r="AO25" s="34" t="n"/>
      <c r="AP25" s="34" t="n"/>
      <c r="AQ25" s="34">
        <f>IF(AND(AO25&lt;&gt;"",AP25&lt;&gt;""),ROUNDUP((AP25-AO25)/7,0),"")</f>
        <v/>
      </c>
      <c r="AR25" s="34">
        <f>IFERROR(IF((AU25-(AI25+AN25))/AQ25=0,"",ROUNDUP((AU25-(AI25+AN25))/AQ25,0)),"")</f>
        <v/>
      </c>
      <c r="AS25" s="34">
        <f>IFERROR(IF((AU25-(AI25+AN25))=0,"",(AU25-(AI25+AN25))),"")</f>
        <v/>
      </c>
      <c r="AT25" s="34">
        <f>IF(AND(AG25="",AQ25=""),AL25,IF(SUM(AG25,AL25,AQ25)=0,"",SUM(AG25,AL25,AQ25)))</f>
        <v/>
      </c>
      <c r="AU25" s="34" t="n"/>
      <c r="AV25" s="34" t="n"/>
      <c r="AW25" s="34" t="n"/>
      <c r="AX25" s="34" t="n"/>
      <c r="AY25" s="34" t="n"/>
      <c r="AZ25" s="30" t="n"/>
      <c r="BA25" s="34" t="n"/>
      <c r="BB25" s="34" t="n"/>
      <c r="BC25" s="34" t="n"/>
      <c r="BD25" s="34" t="n"/>
      <c r="BE25" s="34" t="n"/>
      <c r="BF25" s="34" t="n"/>
      <c r="BG25" s="34">
        <f>IF(AD25="","",YEAR(AD25)+IF(MONTH(AD25)&gt;=5,1,0))</f>
        <v/>
      </c>
      <c r="BH25" s="34">
        <f>IF(AD25="","",IF(AND(MONTH(AD25)=8,DAY(AD25)&gt;=15),"Fall",IF(MONTH(AD25)&gt;8,"Fall",IF(MONTH(AD25)=5,"Summer",IF(MONTH(AD25)=1,"Spring","")))))</f>
        <v/>
      </c>
      <c r="BI25" s="34" t="n"/>
      <c r="BJ25" s="34" t="n"/>
      <c r="BK25" s="30">
        <f>IF($BJ25="","",IFERROR(INDEX(InstructorMap!$B:$B, MATCH($BJ25, InstructorMap!$A:$A, 0)),""))</f>
        <v/>
      </c>
      <c r="BL25" s="30">
        <f>IFERROR(INDEX('_names_lookup'!$C:$C,MATCH(BK25,'_names_lookup'!$A:$A,0)),"")</f>
        <v/>
      </c>
      <c r="BM25" s="34">
        <f>IFERROR(INDEX('_names_lookup'!$B:$B,MATCH(BK25,'_names_lookup'!$A:$A,0)),"")</f>
        <v/>
      </c>
      <c r="BN25" s="34" t="n"/>
      <c r="BO25" s="34" t="n"/>
      <c r="BP25" s="34" t="n"/>
      <c r="BQ25" s="34" t="n"/>
      <c r="BR25" s="34" t="n"/>
      <c r="BS25" s="34">
        <f>IFERROR(IF(BR25*AA25=0,"",BR25*AA25),"")</f>
        <v/>
      </c>
      <c r="BT25" s="34" t="n"/>
      <c r="BU25" s="34" t="n"/>
      <c r="BV25" s="34" t="n"/>
      <c r="BW25" s="34" t="n"/>
      <c r="BX25" s="34" t="n"/>
      <c r="BY25" s="34" t="n"/>
      <c r="BZ25" s="34" t="n"/>
      <c r="CA25" s="34" t="n"/>
      <c r="CB25" s="34" t="n"/>
      <c r="CC25" s="34" t="n"/>
      <c r="CD25" s="34" t="n"/>
      <c r="CE25" s="34" t="n"/>
      <c r="CF25" s="34" t="n"/>
      <c r="CG25" s="34" t="n"/>
      <c r="CH25" s="34" t="n"/>
      <c r="CI25" s="34" t="n"/>
      <c r="CJ25" s="34" t="n"/>
      <c r="CK25" s="34" t="n"/>
      <c r="CL25" s="34" t="n"/>
      <c r="CM25" s="34" t="n"/>
      <c r="CN25" s="34" t="n"/>
      <c r="CO25" s="34" t="n"/>
      <c r="CP25" s="34" t="n"/>
      <c r="CQ25" s="34" t="n"/>
      <c r="CR25" s="34" t="n"/>
      <c r="CS25" s="34" t="n"/>
      <c r="CT25" s="34" t="n"/>
      <c r="CU25" s="34" t="n"/>
      <c r="CV25" s="34" t="n"/>
      <c r="CW25" s="34" t="n"/>
      <c r="CX25" s="34" t="n"/>
      <c r="CY25" s="34" t="n"/>
      <c r="CZ25" s="34" t="n"/>
      <c r="DA25" s="34" t="n"/>
      <c r="DB25" s="34" t="n"/>
      <c r="DC25" s="34" t="n"/>
      <c r="DD25" s="34" t="n"/>
      <c r="DE25" s="34" t="n"/>
      <c r="DF25" s="34" t="n"/>
      <c r="DG25" s="34" t="n"/>
      <c r="DH25" s="34" t="n"/>
      <c r="DI25" s="34" t="n"/>
      <c r="DJ25" s="34" t="n"/>
      <c r="DK25" s="34" t="n"/>
      <c r="DL25" s="34" t="n"/>
      <c r="DM25" s="34" t="n"/>
      <c r="DN25" s="34" t="n"/>
      <c r="DO25" s="34" t="n"/>
      <c r="DP25" s="34" t="n"/>
      <c r="DQ25" s="34" t="n"/>
    </row>
    <row r="26" ht="16" customHeight="1">
      <c r="A26" s="38" t="n"/>
      <c r="B26" s="38" t="n"/>
      <c r="C26" s="38" t="n"/>
      <c r="D26" s="38" t="n"/>
      <c r="E26" s="38" t="n"/>
      <c r="F26" s="38" t="n"/>
      <c r="G26" s="38" t="n"/>
      <c r="H26" s="34" t="n"/>
      <c r="I26" s="34" t="n"/>
      <c r="J26" s="34" t="n"/>
      <c r="K26" s="34" t="n"/>
      <c r="L26" s="34" t="n"/>
      <c r="M26" s="34" t="n"/>
      <c r="N26" s="34" t="n"/>
      <c r="O26" s="34">
        <f>IFERROR(INDEX('_courses_lookup'!$C:$C,MATCH(K26&amp;L26,'_courses_lookup'!$E:$E,0)),"")</f>
        <v/>
      </c>
      <c r="P26" s="34">
        <f>IFERROR(INDEX('_courses_lookup'!$D:$D,MATCH(K26&amp;L26,'_courses_lookup'!$E:$E,0)),"")</f>
        <v/>
      </c>
      <c r="Q26" s="34" t="n"/>
      <c r="R26" s="34" t="n"/>
      <c r="S26" s="34" t="n"/>
      <c r="T26" s="34" t="n"/>
      <c r="U26" s="34" t="n"/>
      <c r="V26" s="34" t="n"/>
      <c r="W26" s="34" t="n"/>
      <c r="X26" s="34" t="n"/>
      <c r="Y26" s="30" t="n"/>
      <c r="Z26" s="34" t="n"/>
      <c r="AA26" s="34" t="n"/>
      <c r="AB26" s="34" t="n"/>
      <c r="AC26" s="34" t="n"/>
      <c r="AD26" s="34" t="n"/>
      <c r="AE26" s="34" t="n"/>
      <c r="AF26" s="34" t="n"/>
      <c r="AG26" s="34">
        <f>IF(AND(AE26&lt;&gt;"",AF26&lt;&gt;""),ROUNDUP((AF26-AE26)/7,0),"")</f>
        <v/>
      </c>
      <c r="AH26" s="34" t="n"/>
      <c r="AI26" s="34">
        <f>IFERROR(IF(AG26*AH26=0,"",AG26*AH26),"")</f>
        <v/>
      </c>
      <c r="AJ26" s="34" t="n"/>
      <c r="AK26" s="34" t="n"/>
      <c r="AL26" s="34">
        <f>IF(AND(AJ26&lt;&gt;"",AK26&lt;&gt;""),ROUNDUP((AK26-AJ26)/7,0),"")</f>
        <v/>
      </c>
      <c r="AM26" s="34" t="n"/>
      <c r="AN26" s="34">
        <f>IFERROR(IF(AL26*AM26=0,"",AL26*AM26),"")</f>
        <v/>
      </c>
      <c r="AO26" s="34" t="n"/>
      <c r="AP26" s="34" t="n"/>
      <c r="AQ26" s="34">
        <f>IF(AND(AO26&lt;&gt;"",AP26&lt;&gt;""),ROUNDUP((AP26-AO26)/7,0),"")</f>
        <v/>
      </c>
      <c r="AR26" s="34">
        <f>IFERROR(IF((AU26-(AI26+AN26))/AQ26=0,"",ROUNDUP((AU26-(AI26+AN26))/AQ26,0)),"")</f>
        <v/>
      </c>
      <c r="AS26" s="34">
        <f>IFERROR(IF((AU26-(AI26+AN26))=0,"",(AU26-(AI26+AN26))),"")</f>
        <v/>
      </c>
      <c r="AT26" s="34">
        <f>IF(AND(AG26="",AQ26=""),AL26,IF(SUM(AG26,AL26,AQ26)=0,"",SUM(AG26,AL26,AQ26)))</f>
        <v/>
      </c>
      <c r="AU26" s="34" t="n"/>
      <c r="AV26" s="34" t="n"/>
      <c r="AW26" s="34" t="n"/>
      <c r="AX26" s="34" t="n"/>
      <c r="AY26" s="34" t="n"/>
      <c r="AZ26" s="30" t="n"/>
      <c r="BA26" s="34" t="n"/>
      <c r="BB26" s="34" t="n"/>
      <c r="BC26" s="34" t="n"/>
      <c r="BD26" s="34" t="n"/>
      <c r="BE26" s="34" t="n"/>
      <c r="BF26" s="34" t="n"/>
      <c r="BG26" s="34">
        <f>IF(AD26="","",YEAR(AD26)+IF(MONTH(AD26)&gt;=5,1,0))</f>
        <v/>
      </c>
      <c r="BH26" s="34">
        <f>IF(AD26="","",IF(AND(MONTH(AD26)=8,DAY(AD26)&gt;=15),"Fall",IF(MONTH(AD26)&gt;8,"Fall",IF(MONTH(AD26)=5,"Summer",IF(MONTH(AD26)=1,"Spring","")))))</f>
        <v/>
      </c>
      <c r="BI26" s="34" t="n"/>
      <c r="BJ26" s="34" t="n"/>
      <c r="BK26" s="30">
        <f>IF($BJ26="","",IFERROR(INDEX(InstructorMap!$B:$B, MATCH($BJ26, InstructorMap!$A:$A, 0)),""))</f>
        <v/>
      </c>
      <c r="BL26" s="30">
        <f>IFERROR(INDEX('_names_lookup'!$C:$C,MATCH(BK26,'_names_lookup'!$A:$A,0)),"")</f>
        <v/>
      </c>
      <c r="BM26" s="34">
        <f>IFERROR(INDEX('_names_lookup'!$B:$B,MATCH(BK26,'_names_lookup'!$A:$A,0)),"")</f>
        <v/>
      </c>
      <c r="BN26" s="34" t="n"/>
      <c r="BO26" s="34" t="n"/>
      <c r="BP26" s="34" t="n"/>
      <c r="BQ26" s="34" t="n"/>
      <c r="BR26" s="34" t="n"/>
      <c r="BS26" s="34">
        <f>IFERROR(IF(BR26*AA26=0,"",BR26*AA26),"")</f>
        <v/>
      </c>
      <c r="BT26" s="34" t="n"/>
      <c r="BU26" s="34" t="n"/>
      <c r="BV26" s="34" t="n"/>
      <c r="BW26" s="34" t="n"/>
      <c r="BX26" s="34" t="n"/>
      <c r="BY26" s="34" t="n"/>
      <c r="BZ26" s="34" t="n"/>
      <c r="CA26" s="34" t="n"/>
      <c r="CB26" s="34" t="n"/>
      <c r="CC26" s="34" t="n"/>
      <c r="CD26" s="34" t="n"/>
      <c r="CE26" s="34" t="n"/>
      <c r="CF26" s="34" t="n"/>
      <c r="CG26" s="34" t="n"/>
      <c r="CH26" s="34" t="n"/>
      <c r="CI26" s="34" t="n"/>
      <c r="CJ26" s="34" t="n"/>
      <c r="CK26" s="34" t="n"/>
      <c r="CL26" s="34" t="n"/>
      <c r="CM26" s="34" t="n"/>
      <c r="CN26" s="34" t="n"/>
      <c r="CO26" s="34" t="n"/>
      <c r="CP26" s="34" t="n"/>
      <c r="CQ26" s="34" t="n"/>
      <c r="CR26" s="34" t="n"/>
      <c r="CS26" s="34" t="n"/>
      <c r="CT26" s="34" t="n"/>
      <c r="CU26" s="34" t="n"/>
      <c r="CV26" s="34" t="n"/>
      <c r="CW26" s="34" t="n"/>
      <c r="CX26" s="34" t="n"/>
      <c r="CY26" s="34" t="n"/>
      <c r="CZ26" s="34" t="n"/>
      <c r="DA26" s="34" t="n"/>
      <c r="DB26" s="34" t="n"/>
      <c r="DC26" s="34" t="n"/>
      <c r="DD26" s="34" t="n"/>
      <c r="DE26" s="34" t="n"/>
      <c r="DF26" s="34" t="n"/>
      <c r="DG26" s="34" t="n"/>
      <c r="DH26" s="34" t="n"/>
      <c r="DI26" s="34" t="n"/>
      <c r="DJ26" s="34" t="n"/>
      <c r="DK26" s="34" t="n"/>
      <c r="DL26" s="34" t="n"/>
      <c r="DM26" s="34" t="n"/>
      <c r="DN26" s="34" t="n"/>
      <c r="DO26" s="34" t="n"/>
      <c r="DP26" s="34" t="n"/>
      <c r="DQ26" s="34" t="n"/>
    </row>
    <row r="27" ht="16" customHeight="1">
      <c r="A27" s="38" t="n"/>
      <c r="B27" s="38" t="n"/>
      <c r="C27" s="38" t="n"/>
      <c r="D27" s="38" t="n"/>
      <c r="E27" s="38" t="n"/>
      <c r="F27" s="38" t="n"/>
      <c r="G27" s="38" t="n"/>
      <c r="H27" s="34" t="n"/>
      <c r="I27" s="34" t="n"/>
      <c r="J27" s="34" t="n"/>
      <c r="K27" s="34" t="n"/>
      <c r="L27" s="34" t="n"/>
      <c r="M27" s="34" t="n"/>
      <c r="N27" s="34" t="n"/>
      <c r="O27" s="34">
        <f>IFERROR(INDEX('_courses_lookup'!$C:$C,MATCH(K27&amp;L27,'_courses_lookup'!$E:$E,0)),"")</f>
        <v/>
      </c>
      <c r="P27" s="34">
        <f>IFERROR(INDEX('_courses_lookup'!$D:$D,MATCH(K27&amp;L27,'_courses_lookup'!$E:$E,0)),"")</f>
        <v/>
      </c>
      <c r="Q27" s="34" t="n"/>
      <c r="R27" s="34" t="n"/>
      <c r="S27" s="34" t="n"/>
      <c r="T27" s="34" t="n"/>
      <c r="U27" s="34" t="n"/>
      <c r="V27" s="34" t="n"/>
      <c r="W27" s="34" t="n"/>
      <c r="X27" s="34" t="n"/>
      <c r="Y27" s="30" t="n"/>
      <c r="Z27" s="34" t="n"/>
      <c r="AA27" s="34" t="n"/>
      <c r="AB27" s="34" t="n"/>
      <c r="AC27" s="34" t="n"/>
      <c r="AD27" s="34" t="n"/>
      <c r="AE27" s="34" t="n"/>
      <c r="AF27" s="34" t="n"/>
      <c r="AG27" s="34">
        <f>IF(AND(AE27&lt;&gt;"",AF27&lt;&gt;""),ROUNDUP((AF27-AE27)/7,0),"")</f>
        <v/>
      </c>
      <c r="AH27" s="34" t="n"/>
      <c r="AI27" s="34">
        <f>IFERROR(IF(AG27*AH27=0,"",AG27*AH27),"")</f>
        <v/>
      </c>
      <c r="AJ27" s="34" t="n"/>
      <c r="AK27" s="34" t="n"/>
      <c r="AL27" s="34">
        <f>IF(AND(AJ27&lt;&gt;"",AK27&lt;&gt;""),ROUNDUP((AK27-AJ27)/7,0),"")</f>
        <v/>
      </c>
      <c r="AM27" s="34" t="n"/>
      <c r="AN27" s="34">
        <f>IFERROR(IF(AL27*AM27=0,"",AL27*AM27),"")</f>
        <v/>
      </c>
      <c r="AO27" s="34" t="n"/>
      <c r="AP27" s="34" t="n"/>
      <c r="AQ27" s="34">
        <f>IF(AND(AO27&lt;&gt;"",AP27&lt;&gt;""),ROUNDUP((AP27-AO27)/7,0),"")</f>
        <v/>
      </c>
      <c r="AR27" s="34">
        <f>IFERROR(IF((AU27-(AI27+AN27))/AQ27=0,"",ROUNDUP((AU27-(AI27+AN27))/AQ27,0)),"")</f>
        <v/>
      </c>
      <c r="AS27" s="34">
        <f>IFERROR(IF((AU27-(AI27+AN27))=0,"",(AU27-(AI27+AN27))),"")</f>
        <v/>
      </c>
      <c r="AT27" s="34">
        <f>IF(AND(AG27="",AQ27=""),AL27,IF(SUM(AG27,AL27,AQ27)=0,"",SUM(AG27,AL27,AQ27)))</f>
        <v/>
      </c>
      <c r="AU27" s="34" t="n"/>
      <c r="AV27" s="34" t="n"/>
      <c r="AW27" s="34" t="n"/>
      <c r="AX27" s="34" t="n"/>
      <c r="AY27" s="34" t="n"/>
      <c r="AZ27" s="30" t="n"/>
      <c r="BA27" s="34" t="n"/>
      <c r="BB27" s="34" t="n"/>
      <c r="BC27" s="34" t="n"/>
      <c r="BD27" s="34" t="n"/>
      <c r="BE27" s="34" t="n"/>
      <c r="BF27" s="34" t="n"/>
      <c r="BG27" s="34">
        <f>IF(AD27="","",YEAR(AD27)+IF(MONTH(AD27)&gt;=5,1,0))</f>
        <v/>
      </c>
      <c r="BH27" s="34">
        <f>IF(AD27="","",IF(AND(MONTH(AD27)=8,DAY(AD27)&gt;=15),"Fall",IF(MONTH(AD27)&gt;8,"Fall",IF(MONTH(AD27)=5,"Summer",IF(MONTH(AD27)=1,"Spring","")))))</f>
        <v/>
      </c>
      <c r="BI27" s="34" t="n"/>
      <c r="BJ27" s="34" t="n"/>
      <c r="BK27" s="30">
        <f>IF($BJ27="","",IFERROR(INDEX(InstructorMap!$B:$B, MATCH($BJ27, InstructorMap!$A:$A, 0)),""))</f>
        <v/>
      </c>
      <c r="BL27" s="30">
        <f>IFERROR(INDEX('_names_lookup'!$C:$C,MATCH(BK27,'_names_lookup'!$A:$A,0)),"")</f>
        <v/>
      </c>
      <c r="BM27" s="34">
        <f>IFERROR(INDEX('_names_lookup'!$B:$B,MATCH(BK27,'_names_lookup'!$A:$A,0)),"")</f>
        <v/>
      </c>
      <c r="BN27" s="34" t="n"/>
      <c r="BO27" s="34" t="n"/>
      <c r="BP27" s="34" t="n"/>
      <c r="BQ27" s="34" t="n"/>
      <c r="BR27" s="34" t="n"/>
      <c r="BS27" s="34">
        <f>IFERROR(IF(BR27*AA27=0,"",BR27*AA27),"")</f>
        <v/>
      </c>
      <c r="BT27" s="34" t="n"/>
      <c r="BU27" s="34" t="n"/>
      <c r="BV27" s="34" t="n"/>
      <c r="BW27" s="34" t="n"/>
      <c r="BX27" s="34" t="n"/>
      <c r="BY27" s="34" t="n"/>
      <c r="BZ27" s="34" t="n"/>
      <c r="CA27" s="34" t="n"/>
      <c r="CB27" s="34" t="n"/>
      <c r="CC27" s="34" t="n"/>
      <c r="CD27" s="34" t="n"/>
      <c r="CE27" s="34" t="n"/>
      <c r="CF27" s="34" t="n"/>
      <c r="CG27" s="34" t="n"/>
      <c r="CH27" s="34" t="n"/>
      <c r="CI27" s="34" t="n"/>
      <c r="CJ27" s="34" t="n"/>
      <c r="CK27" s="34" t="n"/>
      <c r="CL27" s="34" t="n"/>
      <c r="CM27" s="34" t="n"/>
      <c r="CN27" s="34" t="n"/>
      <c r="CO27" s="34" t="n"/>
      <c r="CP27" s="34" t="n"/>
      <c r="CQ27" s="34" t="n"/>
      <c r="CR27" s="34" t="n"/>
      <c r="CS27" s="34" t="n"/>
      <c r="CT27" s="34" t="n"/>
      <c r="CU27" s="34" t="n"/>
      <c r="CV27" s="34" t="n"/>
      <c r="CW27" s="34" t="n"/>
      <c r="CX27" s="34" t="n"/>
      <c r="CY27" s="34" t="n"/>
      <c r="CZ27" s="34" t="n"/>
      <c r="DA27" s="34" t="n"/>
      <c r="DB27" s="34" t="n"/>
      <c r="DC27" s="34" t="n"/>
      <c r="DD27" s="34" t="n"/>
      <c r="DE27" s="34" t="n"/>
      <c r="DF27" s="34" t="n"/>
      <c r="DG27" s="34" t="n"/>
      <c r="DH27" s="34" t="n"/>
      <c r="DI27" s="34" t="n"/>
      <c r="DJ27" s="34" t="n"/>
      <c r="DK27" s="34" t="n"/>
      <c r="DL27" s="34" t="n"/>
      <c r="DM27" s="34" t="n"/>
      <c r="DN27" s="34" t="n"/>
      <c r="DO27" s="34" t="n"/>
      <c r="DP27" s="34" t="n"/>
      <c r="DQ27" s="34" t="n"/>
    </row>
    <row r="28" ht="16" customHeight="1">
      <c r="A28" s="38" t="n"/>
      <c r="B28" s="38" t="n"/>
      <c r="C28" s="38" t="n"/>
      <c r="D28" s="38" t="n"/>
      <c r="E28" s="38" t="n"/>
      <c r="F28" s="38" t="n"/>
      <c r="G28" s="38" t="n"/>
      <c r="H28" s="34" t="n"/>
      <c r="I28" s="34" t="n"/>
      <c r="J28" s="34" t="n"/>
      <c r="K28" s="34" t="n"/>
      <c r="L28" s="34" t="n"/>
      <c r="M28" s="34" t="n"/>
      <c r="N28" s="34" t="n"/>
      <c r="O28" s="34">
        <f>IFERROR(INDEX('_courses_lookup'!$C:$C,MATCH(K28&amp;L28,'_courses_lookup'!$E:$E,0)),"")</f>
        <v/>
      </c>
      <c r="P28" s="34">
        <f>IFERROR(INDEX('_courses_lookup'!$D:$D,MATCH(K28&amp;L28,'_courses_lookup'!$E:$E,0)),"")</f>
        <v/>
      </c>
      <c r="Q28" s="34" t="n"/>
      <c r="R28" s="34" t="n"/>
      <c r="S28" s="34" t="n"/>
      <c r="T28" s="34" t="n"/>
      <c r="U28" s="34" t="n"/>
      <c r="V28" s="34" t="n"/>
      <c r="W28" s="34" t="n"/>
      <c r="X28" s="34" t="n"/>
      <c r="Y28" s="30" t="n"/>
      <c r="Z28" s="34" t="n"/>
      <c r="AA28" s="34" t="n"/>
      <c r="AB28" s="34" t="n"/>
      <c r="AC28" s="34" t="n"/>
      <c r="AD28" s="34" t="n"/>
      <c r="AE28" s="34" t="n"/>
      <c r="AF28" s="34" t="n"/>
      <c r="AG28" s="34">
        <f>IF(AND(AE28&lt;&gt;"",AF28&lt;&gt;""),ROUNDUP((AF28-AE28)/7,0),"")</f>
        <v/>
      </c>
      <c r="AH28" s="34" t="n"/>
      <c r="AI28" s="34">
        <f>IFERROR(IF(AG28*AH28=0,"",AG28*AH28),"")</f>
        <v/>
      </c>
      <c r="AJ28" s="34" t="n"/>
      <c r="AK28" s="34" t="n"/>
      <c r="AL28" s="34">
        <f>IF(AND(AJ28&lt;&gt;"",AK28&lt;&gt;""),ROUNDUP((AK28-AJ28)/7,0),"")</f>
        <v/>
      </c>
      <c r="AM28" s="34" t="n"/>
      <c r="AN28" s="34">
        <f>IFERROR(IF(AL28*AM28=0,"",AL28*AM28),"")</f>
        <v/>
      </c>
      <c r="AO28" s="34" t="n"/>
      <c r="AP28" s="34" t="n"/>
      <c r="AQ28" s="34">
        <f>IF(AND(AO28&lt;&gt;"",AP28&lt;&gt;""),ROUNDUP((AP28-AO28)/7,0),"")</f>
        <v/>
      </c>
      <c r="AR28" s="34">
        <f>IFERROR(IF((AU28-(AI28+AN28))/AQ28=0,"",ROUNDUP((AU28-(AI28+AN28))/AQ28,0)),"")</f>
        <v/>
      </c>
      <c r="AS28" s="34">
        <f>IFERROR(IF((AU28-(AI28+AN28))=0,"",(AU28-(AI28+AN28))),"")</f>
        <v/>
      </c>
      <c r="AT28" s="34">
        <f>IF(AND(AG28="",AQ28=""),AL28,IF(SUM(AG28,AL28,AQ28)=0,"",SUM(AG28,AL28,AQ28)))</f>
        <v/>
      </c>
      <c r="AU28" s="34" t="n"/>
      <c r="AV28" s="34" t="n"/>
      <c r="AW28" s="34" t="n"/>
      <c r="AX28" s="34" t="n"/>
      <c r="AY28" s="34" t="n"/>
      <c r="AZ28" s="30" t="n"/>
      <c r="BA28" s="34" t="n"/>
      <c r="BB28" s="34" t="n"/>
      <c r="BC28" s="34" t="n"/>
      <c r="BD28" s="34" t="n"/>
      <c r="BE28" s="34" t="n"/>
      <c r="BF28" s="34" t="n"/>
      <c r="BG28" s="34">
        <f>IF(AD28="","",YEAR(AD28)+IF(MONTH(AD28)&gt;=5,1,0))</f>
        <v/>
      </c>
      <c r="BH28" s="34">
        <f>IF(AD28="","",IF(AND(MONTH(AD28)=8,DAY(AD28)&gt;=15),"Fall",IF(MONTH(AD28)&gt;8,"Fall",IF(MONTH(AD28)=5,"Summer",IF(MONTH(AD28)=1,"Spring","")))))</f>
        <v/>
      </c>
      <c r="BI28" s="34" t="n"/>
      <c r="BJ28" s="34" t="n"/>
      <c r="BK28" s="30">
        <f>IF($BJ28="","",IFERROR(INDEX(InstructorMap!$B:$B, MATCH($BJ28, InstructorMap!$A:$A, 0)),""))</f>
        <v/>
      </c>
      <c r="BL28" s="30">
        <f>IFERROR(INDEX('_names_lookup'!$C:$C,MATCH(BK28,'_names_lookup'!$A:$A,0)),"")</f>
        <v/>
      </c>
      <c r="BM28" s="34">
        <f>IFERROR(INDEX('_names_lookup'!$B:$B,MATCH(BK28,'_names_lookup'!$A:$A,0)),"")</f>
        <v/>
      </c>
      <c r="BN28" s="34" t="n"/>
      <c r="BO28" s="34" t="n"/>
      <c r="BP28" s="34" t="n"/>
      <c r="BQ28" s="34" t="n"/>
      <c r="BR28" s="34" t="n"/>
      <c r="BS28" s="34">
        <f>IFERROR(IF(BR28*AA28=0,"",BR28*AA28),"")</f>
        <v/>
      </c>
      <c r="BT28" s="34" t="n"/>
      <c r="BU28" s="34" t="n"/>
      <c r="BV28" s="34" t="n"/>
      <c r="BW28" s="34" t="n"/>
      <c r="BX28" s="34" t="n"/>
      <c r="BY28" s="34" t="n"/>
      <c r="BZ28" s="34" t="n"/>
      <c r="CA28" s="34" t="n"/>
      <c r="CB28" s="34" t="n"/>
      <c r="CC28" s="34" t="n"/>
      <c r="CD28" s="34" t="n"/>
      <c r="CE28" s="34" t="n"/>
      <c r="CF28" s="34" t="n"/>
      <c r="CG28" s="34" t="n"/>
      <c r="CH28" s="34" t="n"/>
      <c r="CI28" s="34" t="n"/>
      <c r="CJ28" s="34" t="n"/>
      <c r="CK28" s="34" t="n"/>
      <c r="CL28" s="34" t="n"/>
      <c r="CM28" s="34" t="n"/>
      <c r="CN28" s="34" t="n"/>
      <c r="CO28" s="34" t="n"/>
      <c r="CP28" s="34" t="n"/>
      <c r="CQ28" s="34" t="n"/>
      <c r="CR28" s="34" t="n"/>
      <c r="CS28" s="34" t="n"/>
      <c r="CT28" s="34" t="n"/>
      <c r="CU28" s="34" t="n"/>
      <c r="CV28" s="34" t="n"/>
      <c r="CW28" s="34" t="n"/>
      <c r="CX28" s="34" t="n"/>
      <c r="CY28" s="34" t="n"/>
      <c r="CZ28" s="34" t="n"/>
      <c r="DA28" s="34" t="n"/>
      <c r="DB28" s="34" t="n"/>
      <c r="DC28" s="34" t="n"/>
      <c r="DD28" s="34" t="n"/>
      <c r="DE28" s="34" t="n"/>
      <c r="DF28" s="34" t="n"/>
      <c r="DG28" s="34" t="n"/>
      <c r="DH28" s="34" t="n"/>
      <c r="DI28" s="34" t="n"/>
      <c r="DJ28" s="34" t="n"/>
      <c r="DK28" s="34" t="n"/>
      <c r="DL28" s="34" t="n"/>
      <c r="DM28" s="34" t="n"/>
      <c r="DN28" s="34" t="n"/>
      <c r="DO28" s="34" t="n"/>
      <c r="DP28" s="34" t="n"/>
      <c r="DQ28" s="34" t="n"/>
    </row>
    <row r="29" ht="16" customHeight="1">
      <c r="A29" s="38" t="n"/>
      <c r="B29" s="38" t="n"/>
      <c r="C29" s="38" t="n"/>
      <c r="D29" s="38" t="n"/>
      <c r="E29" s="38" t="n"/>
      <c r="F29" s="38" t="n"/>
      <c r="G29" s="38" t="n"/>
      <c r="H29" s="34" t="n"/>
      <c r="I29" s="34" t="n"/>
      <c r="J29" s="34" t="n"/>
      <c r="K29" s="34" t="n"/>
      <c r="L29" s="34" t="n"/>
      <c r="M29" s="34" t="n"/>
      <c r="N29" s="34" t="n"/>
      <c r="O29" s="34">
        <f>IFERROR(INDEX('_courses_lookup'!$C:$C,MATCH(K29&amp;L29,'_courses_lookup'!$E:$E,0)),"")</f>
        <v/>
      </c>
      <c r="P29" s="34">
        <f>IFERROR(INDEX('_courses_lookup'!$D:$D,MATCH(K29&amp;L29,'_courses_lookup'!$E:$E,0)),"")</f>
        <v/>
      </c>
      <c r="Q29" s="34" t="n"/>
      <c r="R29" s="34" t="n"/>
      <c r="S29" s="34" t="n"/>
      <c r="T29" s="34" t="n"/>
      <c r="U29" s="34" t="n"/>
      <c r="V29" s="34" t="n"/>
      <c r="W29" s="34" t="n"/>
      <c r="X29" s="34" t="n"/>
      <c r="Y29" s="30" t="n"/>
      <c r="Z29" s="34" t="n"/>
      <c r="AA29" s="34" t="n"/>
      <c r="AB29" s="34" t="n"/>
      <c r="AC29" s="34" t="n"/>
      <c r="AD29" s="34" t="n"/>
      <c r="AE29" s="34" t="n"/>
      <c r="AF29" s="34" t="n"/>
      <c r="AG29" s="34">
        <f>IF(AND(AE29&lt;&gt;"",AF29&lt;&gt;""),ROUNDUP((AF29-AE29)/7,0),"")</f>
        <v/>
      </c>
      <c r="AH29" s="34" t="n"/>
      <c r="AI29" s="34">
        <f>IFERROR(IF(AG29*AH29=0,"",AG29*AH29),"")</f>
        <v/>
      </c>
      <c r="AJ29" s="34" t="n"/>
      <c r="AK29" s="34" t="n"/>
      <c r="AL29" s="34">
        <f>IF(AND(AJ29&lt;&gt;"",AK29&lt;&gt;""),ROUNDUP((AK29-AJ29)/7,0),"")</f>
        <v/>
      </c>
      <c r="AM29" s="34" t="n"/>
      <c r="AN29" s="34">
        <f>IFERROR(IF(AL29*AM29=0,"",AL29*AM29),"")</f>
        <v/>
      </c>
      <c r="AO29" s="34" t="n"/>
      <c r="AP29" s="34" t="n"/>
      <c r="AQ29" s="34">
        <f>IF(AND(AO29&lt;&gt;"",AP29&lt;&gt;""),ROUNDUP((AP29-AO29)/7,0),"")</f>
        <v/>
      </c>
      <c r="AR29" s="34">
        <f>IFERROR(IF((AU29-(AI29+AN29))/AQ29=0,"",ROUNDUP((AU29-(AI29+AN29))/AQ29,0)),"")</f>
        <v/>
      </c>
      <c r="AS29" s="34">
        <f>IFERROR(IF((AU29-(AI29+AN29))=0,"",(AU29-(AI29+AN29))),"")</f>
        <v/>
      </c>
      <c r="AT29" s="34">
        <f>IF(AND(AG29="",AQ29=""),AL29,IF(SUM(AG29,AL29,AQ29)=0,"",SUM(AG29,AL29,AQ29)))</f>
        <v/>
      </c>
      <c r="AU29" s="34" t="n"/>
      <c r="AV29" s="34" t="n"/>
      <c r="AW29" s="34" t="n"/>
      <c r="AX29" s="34" t="n"/>
      <c r="AY29" s="34" t="n"/>
      <c r="AZ29" s="30" t="n"/>
      <c r="BA29" s="34" t="n"/>
      <c r="BB29" s="34" t="n"/>
      <c r="BC29" s="34" t="n"/>
      <c r="BD29" s="34" t="n"/>
      <c r="BE29" s="34" t="n"/>
      <c r="BF29" s="34" t="n"/>
      <c r="BG29" s="34">
        <f>IF(AD29="","",YEAR(AD29)+IF(MONTH(AD29)&gt;=5,1,0))</f>
        <v/>
      </c>
      <c r="BH29" s="34">
        <f>IF(AD29="","",IF(AND(MONTH(AD29)=8,DAY(AD29)&gt;=15),"Fall",IF(MONTH(AD29)&gt;8,"Fall",IF(MONTH(AD29)=5,"Summer",IF(MONTH(AD29)=1,"Spring","")))))</f>
        <v/>
      </c>
      <c r="BI29" s="34" t="n"/>
      <c r="BJ29" s="34" t="n"/>
      <c r="BK29" s="30">
        <f>IF($BJ29="","",IFERROR(INDEX(InstructorMap!$B:$B, MATCH($BJ29, InstructorMap!$A:$A, 0)),""))</f>
        <v/>
      </c>
      <c r="BL29" s="30">
        <f>IFERROR(INDEX('_names_lookup'!$C:$C,MATCH(BK29,'_names_lookup'!$A:$A,0)),"")</f>
        <v/>
      </c>
      <c r="BM29" s="34">
        <f>IFERROR(INDEX('_names_lookup'!$B:$B,MATCH(BK29,'_names_lookup'!$A:$A,0)),"")</f>
        <v/>
      </c>
      <c r="BN29" s="34" t="n"/>
      <c r="BO29" s="34" t="n"/>
      <c r="BP29" s="34" t="n"/>
      <c r="BQ29" s="34" t="n"/>
      <c r="BR29" s="34" t="n"/>
      <c r="BS29" s="34">
        <f>IFERROR(IF(BR29*AA29=0,"",BR29*AA29),"")</f>
        <v/>
      </c>
      <c r="BT29" s="34" t="n"/>
      <c r="BU29" s="34" t="n"/>
      <c r="BV29" s="34" t="n"/>
      <c r="BW29" s="34" t="n"/>
      <c r="BX29" s="34" t="n"/>
      <c r="BY29" s="34" t="n"/>
      <c r="BZ29" s="34" t="n"/>
      <c r="CA29" s="34" t="n"/>
      <c r="CB29" s="34" t="n"/>
      <c r="CC29" s="34" t="n"/>
      <c r="CD29" s="34" t="n"/>
      <c r="CE29" s="34" t="n"/>
      <c r="CF29" s="34" t="n"/>
      <c r="CG29" s="34" t="n"/>
      <c r="CH29" s="34" t="n"/>
      <c r="CI29" s="34" t="n"/>
      <c r="CJ29" s="34" t="n"/>
      <c r="CK29" s="34" t="n"/>
      <c r="CL29" s="34" t="n"/>
      <c r="CM29" s="34" t="n"/>
      <c r="CN29" s="34" t="n"/>
      <c r="CO29" s="34" t="n"/>
      <c r="CP29" s="34" t="n"/>
      <c r="CQ29" s="34" t="n"/>
      <c r="CR29" s="34" t="n"/>
      <c r="CS29" s="34" t="n"/>
      <c r="CT29" s="34" t="n"/>
      <c r="CU29" s="34" t="n"/>
      <c r="CV29" s="34" t="n"/>
      <c r="CW29" s="34" t="n"/>
      <c r="CX29" s="34" t="n"/>
      <c r="CY29" s="34" t="n"/>
      <c r="CZ29" s="34" t="n"/>
      <c r="DA29" s="34" t="n"/>
      <c r="DB29" s="34" t="n"/>
      <c r="DC29" s="34" t="n"/>
      <c r="DD29" s="34" t="n"/>
      <c r="DE29" s="34" t="n"/>
      <c r="DF29" s="34" t="n"/>
      <c r="DG29" s="34" t="n"/>
      <c r="DH29" s="34" t="n"/>
      <c r="DI29" s="34" t="n"/>
      <c r="DJ29" s="34" t="n"/>
      <c r="DK29" s="34" t="n"/>
      <c r="DL29" s="34" t="n"/>
      <c r="DM29" s="34" t="n"/>
      <c r="DN29" s="34" t="n"/>
      <c r="DO29" s="34" t="n"/>
      <c r="DP29" s="34" t="n"/>
      <c r="DQ29" s="34" t="n"/>
    </row>
    <row r="30" ht="16" customHeight="1">
      <c r="A30" s="38" t="n"/>
      <c r="B30" s="38" t="n"/>
      <c r="C30" s="38" t="n"/>
      <c r="D30" s="38" t="n"/>
      <c r="E30" s="38" t="n"/>
      <c r="F30" s="38" t="n"/>
      <c r="G30" s="38" t="n"/>
      <c r="H30" s="34" t="n"/>
      <c r="I30" s="34" t="n"/>
      <c r="J30" s="34" t="n"/>
      <c r="K30" s="34" t="n"/>
      <c r="L30" s="34" t="n"/>
      <c r="M30" s="34" t="n"/>
      <c r="N30" s="34" t="n"/>
      <c r="O30" s="34">
        <f>IFERROR(INDEX('_courses_lookup'!$C:$C,MATCH(K30&amp;L30,'_courses_lookup'!$E:$E,0)),"")</f>
        <v/>
      </c>
      <c r="P30" s="34">
        <f>IFERROR(INDEX('_courses_lookup'!$D:$D,MATCH(K30&amp;L30,'_courses_lookup'!$E:$E,0)),"")</f>
        <v/>
      </c>
      <c r="Q30" s="34" t="n"/>
      <c r="R30" s="34" t="n"/>
      <c r="S30" s="34" t="n"/>
      <c r="T30" s="34" t="n"/>
      <c r="U30" s="34" t="n"/>
      <c r="V30" s="34" t="n"/>
      <c r="W30" s="34" t="n"/>
      <c r="X30" s="34" t="n"/>
      <c r="Y30" s="30" t="n"/>
      <c r="Z30" s="34" t="n"/>
      <c r="AA30" s="34" t="n"/>
      <c r="AB30" s="34" t="n"/>
      <c r="AC30" s="34" t="n"/>
      <c r="AD30" s="34" t="n"/>
      <c r="AE30" s="34" t="n"/>
      <c r="AF30" s="34" t="n"/>
      <c r="AG30" s="34">
        <f>IF(AND(AE30&lt;&gt;"",AF30&lt;&gt;""),ROUNDUP((AF30-AE30)/7,0),"")</f>
        <v/>
      </c>
      <c r="AH30" s="34" t="n"/>
      <c r="AI30" s="34">
        <f>IFERROR(IF(AG30*AH30=0,"",AG30*AH30),"")</f>
        <v/>
      </c>
      <c r="AJ30" s="34" t="n"/>
      <c r="AK30" s="34" t="n"/>
      <c r="AL30" s="34">
        <f>IF(AND(AJ30&lt;&gt;"",AK30&lt;&gt;""),ROUNDUP((AK30-AJ30)/7,0),"")</f>
        <v/>
      </c>
      <c r="AM30" s="34" t="n"/>
      <c r="AN30" s="34">
        <f>IFERROR(IF(AL30*AM30=0,"",AL30*AM30),"")</f>
        <v/>
      </c>
      <c r="AO30" s="34" t="n"/>
      <c r="AP30" s="34" t="n"/>
      <c r="AQ30" s="34">
        <f>IF(AND(AO30&lt;&gt;"",AP30&lt;&gt;""),ROUNDUP((AP30-AO30)/7,0),"")</f>
        <v/>
      </c>
      <c r="AR30" s="34">
        <f>IFERROR(IF((AU30-(AI30+AN30))/AQ30=0,"",ROUNDUP((AU30-(AI30+AN30))/AQ30,0)),"")</f>
        <v/>
      </c>
      <c r="AS30" s="34">
        <f>IFERROR(IF((AU30-(AI30+AN30))=0,"",(AU30-(AI30+AN30))),"")</f>
        <v/>
      </c>
      <c r="AT30" s="34">
        <f>IF(AND(AG30="",AQ30=""),AL30,IF(SUM(AG30,AL30,AQ30)=0,"",SUM(AG30,AL30,AQ30)))</f>
        <v/>
      </c>
      <c r="AU30" s="34" t="n"/>
      <c r="AV30" s="34" t="n"/>
      <c r="AW30" s="34" t="n"/>
      <c r="AX30" s="34" t="n"/>
      <c r="AY30" s="34" t="n"/>
      <c r="AZ30" s="30" t="n"/>
      <c r="BA30" s="34" t="n"/>
      <c r="BB30" s="34" t="n"/>
      <c r="BC30" s="34" t="n"/>
      <c r="BD30" s="34" t="n"/>
      <c r="BE30" s="34" t="n"/>
      <c r="BF30" s="34" t="n"/>
      <c r="BG30" s="34">
        <f>IF(AD30="","",YEAR(AD30)+IF(MONTH(AD30)&gt;=5,1,0))</f>
        <v/>
      </c>
      <c r="BH30" s="34">
        <f>IF(AD30="","",IF(AND(MONTH(AD30)=8,DAY(AD30)&gt;=15),"Fall",IF(MONTH(AD30)&gt;8,"Fall",IF(MONTH(AD30)=5,"Summer",IF(MONTH(AD30)=1,"Spring","")))))</f>
        <v/>
      </c>
      <c r="BI30" s="34" t="n"/>
      <c r="BJ30" s="34" t="n"/>
      <c r="BK30" s="30">
        <f>IF($BJ30="","",IFERROR(INDEX(InstructorMap!$B:$B, MATCH($BJ30, InstructorMap!$A:$A, 0)),""))</f>
        <v/>
      </c>
      <c r="BL30" s="30">
        <f>IFERROR(INDEX('_names_lookup'!$C:$C,MATCH(BK30,'_names_lookup'!$A:$A,0)),"")</f>
        <v/>
      </c>
      <c r="BM30" s="34">
        <f>IFERROR(INDEX('_names_lookup'!$B:$B,MATCH(BK30,'_names_lookup'!$A:$A,0)),"")</f>
        <v/>
      </c>
      <c r="BN30" s="34" t="n"/>
      <c r="BO30" s="34" t="n"/>
      <c r="BP30" s="34" t="n"/>
      <c r="BQ30" s="34" t="n"/>
      <c r="BR30" s="34" t="n"/>
      <c r="BS30" s="34">
        <f>IFERROR(IF(BR30*AA30=0,"",BR30*AA30),"")</f>
        <v/>
      </c>
      <c r="BT30" s="34" t="n"/>
      <c r="BU30" s="34" t="n"/>
      <c r="BV30" s="34" t="n"/>
      <c r="BW30" s="34" t="n"/>
      <c r="BX30" s="34" t="n"/>
      <c r="BY30" s="34" t="n"/>
      <c r="BZ30" s="34" t="n"/>
      <c r="CA30" s="34" t="n"/>
      <c r="CB30" s="34" t="n"/>
      <c r="CC30" s="34" t="n"/>
      <c r="CD30" s="34" t="n"/>
      <c r="CE30" s="34" t="n"/>
      <c r="CF30" s="34" t="n"/>
      <c r="CG30" s="34" t="n"/>
      <c r="CH30" s="34" t="n"/>
      <c r="CI30" s="34" t="n"/>
      <c r="CJ30" s="34" t="n"/>
      <c r="CK30" s="34" t="n"/>
      <c r="CL30" s="34" t="n"/>
      <c r="CM30" s="34" t="n"/>
      <c r="CN30" s="34" t="n"/>
      <c r="CO30" s="34" t="n"/>
      <c r="CP30" s="34" t="n"/>
      <c r="CQ30" s="34" t="n"/>
      <c r="CR30" s="34" t="n"/>
      <c r="CS30" s="34" t="n"/>
      <c r="CT30" s="34" t="n"/>
      <c r="CU30" s="34" t="n"/>
      <c r="CV30" s="34" t="n"/>
      <c r="CW30" s="34" t="n"/>
      <c r="CX30" s="34" t="n"/>
      <c r="CY30" s="34" t="n"/>
      <c r="CZ30" s="34" t="n"/>
      <c r="DA30" s="34" t="n"/>
      <c r="DB30" s="34" t="n"/>
      <c r="DC30" s="34" t="n"/>
      <c r="DD30" s="34" t="n"/>
      <c r="DE30" s="34" t="n"/>
      <c r="DF30" s="34" t="n"/>
      <c r="DG30" s="34" t="n"/>
      <c r="DH30" s="34" t="n"/>
      <c r="DI30" s="34" t="n"/>
      <c r="DJ30" s="34" t="n"/>
      <c r="DK30" s="34" t="n"/>
      <c r="DL30" s="34" t="n"/>
      <c r="DM30" s="34" t="n"/>
      <c r="DN30" s="34" t="n"/>
      <c r="DO30" s="34" t="n"/>
      <c r="DP30" s="34" t="n"/>
      <c r="DQ30" s="34" t="n"/>
    </row>
    <row r="31" ht="16" customHeight="1">
      <c r="A31" s="38" t="n"/>
      <c r="B31" s="38" t="n"/>
      <c r="C31" s="38" t="n"/>
      <c r="D31" s="38" t="n"/>
      <c r="E31" s="38" t="n"/>
      <c r="F31" s="38" t="n"/>
      <c r="G31" s="38" t="n"/>
      <c r="H31" s="34" t="n"/>
      <c r="I31" s="34" t="n"/>
      <c r="J31" s="34" t="n"/>
      <c r="K31" s="34" t="n"/>
      <c r="L31" s="34" t="n"/>
      <c r="M31" s="34" t="n"/>
      <c r="N31" s="34" t="n"/>
      <c r="O31" s="34">
        <f>IFERROR(INDEX('_courses_lookup'!$C:$C,MATCH(K31&amp;L31,'_courses_lookup'!$E:$E,0)),"")</f>
        <v/>
      </c>
      <c r="P31" s="34">
        <f>IFERROR(INDEX('_courses_lookup'!$D:$D,MATCH(K31&amp;L31,'_courses_lookup'!$E:$E,0)),"")</f>
        <v/>
      </c>
      <c r="Q31" s="34" t="n"/>
      <c r="R31" s="34" t="n"/>
      <c r="S31" s="34" t="n"/>
      <c r="T31" s="34" t="n"/>
      <c r="U31" s="34" t="n"/>
      <c r="V31" s="34" t="n"/>
      <c r="W31" s="34" t="n"/>
      <c r="X31" s="34" t="n"/>
      <c r="Y31" s="30" t="n"/>
      <c r="Z31" s="34" t="n"/>
      <c r="AA31" s="34" t="n"/>
      <c r="AB31" s="34" t="n"/>
      <c r="AC31" s="34" t="n"/>
      <c r="AD31" s="34" t="n"/>
      <c r="AE31" s="34" t="n"/>
      <c r="AF31" s="34" t="n"/>
      <c r="AG31" s="34">
        <f>IF(AND(AE31&lt;&gt;"",AF31&lt;&gt;""),ROUNDUP((AF31-AE31)/7,0),"")</f>
        <v/>
      </c>
      <c r="AH31" s="34" t="n"/>
      <c r="AI31" s="34">
        <f>IFERROR(IF(AG31*AH31=0,"",AG31*AH31),"")</f>
        <v/>
      </c>
      <c r="AJ31" s="34" t="n"/>
      <c r="AK31" s="34" t="n"/>
      <c r="AL31" s="34">
        <f>IF(AND(AJ31&lt;&gt;"",AK31&lt;&gt;""),ROUNDUP((AK31-AJ31)/7,0),"")</f>
        <v/>
      </c>
      <c r="AM31" s="34" t="n"/>
      <c r="AN31" s="34">
        <f>IFERROR(IF(AL31*AM31=0,"",AL31*AM31),"")</f>
        <v/>
      </c>
      <c r="AO31" s="34" t="n"/>
      <c r="AP31" s="34" t="n"/>
      <c r="AQ31" s="34">
        <f>IF(AND(AO31&lt;&gt;"",AP31&lt;&gt;""),ROUNDUP((AP31-AO31)/7,0),"")</f>
        <v/>
      </c>
      <c r="AR31" s="34">
        <f>IFERROR(IF((AU31-(AI31+AN31))/AQ31=0,"",ROUNDUP((AU31-(AI31+AN31))/AQ31,0)),"")</f>
        <v/>
      </c>
      <c r="AS31" s="34">
        <f>IFERROR(IF((AU31-(AI31+AN31))=0,"",(AU31-(AI31+AN31))),"")</f>
        <v/>
      </c>
      <c r="AT31" s="34">
        <f>IF(AND(AG31="",AQ31=""),AL31,IF(SUM(AG31,AL31,AQ31)=0,"",SUM(AG31,AL31,AQ31)))</f>
        <v/>
      </c>
      <c r="AU31" s="34" t="n"/>
      <c r="AV31" s="34" t="n"/>
      <c r="AW31" s="34" t="n"/>
      <c r="AX31" s="34" t="n"/>
      <c r="AY31" s="34" t="n"/>
      <c r="AZ31" s="30" t="n"/>
      <c r="BA31" s="34" t="n"/>
      <c r="BB31" s="34" t="n"/>
      <c r="BC31" s="34" t="n"/>
      <c r="BD31" s="34" t="n"/>
      <c r="BE31" s="34" t="n"/>
      <c r="BF31" s="34" t="n"/>
      <c r="BG31" s="34">
        <f>IF(AD31="","",YEAR(AD31)+IF(MONTH(AD31)&gt;=5,1,0))</f>
        <v/>
      </c>
      <c r="BH31" s="34">
        <f>IF(AD31="","",IF(AND(MONTH(AD31)=8,DAY(AD31)&gt;=15),"Fall",IF(MONTH(AD31)&gt;8,"Fall",IF(MONTH(AD31)=5,"Summer",IF(MONTH(AD31)=1,"Spring","")))))</f>
        <v/>
      </c>
      <c r="BI31" s="34" t="n"/>
      <c r="BJ31" s="34" t="n"/>
      <c r="BK31" s="30">
        <f>IF($BJ31="","",IFERROR(INDEX(InstructorMap!$B:$B, MATCH($BJ31, InstructorMap!$A:$A, 0)),""))</f>
        <v/>
      </c>
      <c r="BL31" s="30">
        <f>IFERROR(INDEX('_names_lookup'!$C:$C,MATCH(BK31,'_names_lookup'!$A:$A,0)),"")</f>
        <v/>
      </c>
      <c r="BM31" s="34">
        <f>IFERROR(INDEX('_names_lookup'!$B:$B,MATCH(BK31,'_names_lookup'!$A:$A,0)),"")</f>
        <v/>
      </c>
      <c r="BN31" s="34" t="n"/>
      <c r="BO31" s="34" t="n"/>
      <c r="BP31" s="34" t="n"/>
      <c r="BQ31" s="34" t="n"/>
      <c r="BR31" s="34" t="n"/>
      <c r="BS31" s="34">
        <f>IFERROR(IF(BR31*AA31=0,"",BR31*AA31),"")</f>
        <v/>
      </c>
      <c r="BT31" s="34" t="n"/>
      <c r="BU31" s="34" t="n"/>
      <c r="BV31" s="34" t="n"/>
      <c r="BW31" s="34" t="n"/>
      <c r="BX31" s="34" t="n"/>
      <c r="BY31" s="34" t="n"/>
      <c r="BZ31" s="34" t="n"/>
      <c r="CA31" s="34" t="n"/>
      <c r="CB31" s="34" t="n"/>
      <c r="CC31" s="34" t="n"/>
      <c r="CD31" s="34" t="n"/>
      <c r="CE31" s="34" t="n"/>
      <c r="CF31" s="34" t="n"/>
      <c r="CG31" s="34" t="n"/>
      <c r="CH31" s="34" t="n"/>
      <c r="CI31" s="34" t="n"/>
      <c r="CJ31" s="34" t="n"/>
      <c r="CK31" s="34" t="n"/>
      <c r="CL31" s="34" t="n"/>
      <c r="CM31" s="34" t="n"/>
      <c r="CN31" s="34" t="n"/>
      <c r="CO31" s="34" t="n"/>
      <c r="CP31" s="34" t="n"/>
      <c r="CQ31" s="34" t="n"/>
      <c r="CR31" s="34" t="n"/>
      <c r="CS31" s="34" t="n"/>
      <c r="CT31" s="34" t="n"/>
      <c r="CU31" s="34" t="n"/>
      <c r="CV31" s="34" t="n"/>
      <c r="CW31" s="34" t="n"/>
      <c r="CX31" s="34" t="n"/>
      <c r="CY31" s="34" t="n"/>
      <c r="CZ31" s="34" t="n"/>
      <c r="DA31" s="34" t="n"/>
      <c r="DB31" s="34" t="n"/>
      <c r="DC31" s="34" t="n"/>
      <c r="DD31" s="34" t="n"/>
      <c r="DE31" s="34" t="n"/>
      <c r="DF31" s="34" t="n"/>
      <c r="DG31" s="34" t="n"/>
      <c r="DH31" s="34" t="n"/>
      <c r="DI31" s="34" t="n"/>
      <c r="DJ31" s="34" t="n"/>
      <c r="DK31" s="34" t="n"/>
      <c r="DL31" s="34" t="n"/>
      <c r="DM31" s="34" t="n"/>
      <c r="DN31" s="34" t="n"/>
      <c r="DO31" s="34" t="n"/>
      <c r="DP31" s="34" t="n"/>
      <c r="DQ31" s="34" t="n"/>
    </row>
    <row r="32" ht="16" customHeight="1">
      <c r="A32" s="38" t="n"/>
      <c r="B32" s="38" t="n"/>
      <c r="C32" s="38" t="n"/>
      <c r="D32" s="38" t="n"/>
      <c r="E32" s="38" t="n"/>
      <c r="F32" s="38" t="n"/>
      <c r="G32" s="38" t="n"/>
      <c r="H32" s="34" t="n"/>
      <c r="I32" s="34" t="n"/>
      <c r="J32" s="34" t="n"/>
      <c r="K32" s="34" t="n"/>
      <c r="L32" s="34" t="n"/>
      <c r="M32" s="34" t="n"/>
      <c r="N32" s="34" t="n"/>
      <c r="O32" s="34">
        <f>IFERROR(INDEX('_courses_lookup'!$C:$C,MATCH(K32&amp;L32,'_courses_lookup'!$E:$E,0)),"")</f>
        <v/>
      </c>
      <c r="P32" s="34">
        <f>IFERROR(INDEX('_courses_lookup'!$D:$D,MATCH(K32&amp;L32,'_courses_lookup'!$E:$E,0)),"")</f>
        <v/>
      </c>
      <c r="Q32" s="34" t="n"/>
      <c r="R32" s="34" t="n"/>
      <c r="S32" s="34" t="n"/>
      <c r="T32" s="34" t="n"/>
      <c r="U32" s="34" t="n"/>
      <c r="V32" s="34" t="n"/>
      <c r="W32" s="34" t="n"/>
      <c r="X32" s="34" t="n"/>
      <c r="Y32" s="30" t="n"/>
      <c r="Z32" s="34" t="n"/>
      <c r="AA32" s="34" t="n"/>
      <c r="AB32" s="34" t="n"/>
      <c r="AC32" s="34" t="n"/>
      <c r="AD32" s="34" t="n"/>
      <c r="AE32" s="34" t="n"/>
      <c r="AF32" s="34" t="n"/>
      <c r="AG32" s="34">
        <f>IF(AND(AE32&lt;&gt;"",AF32&lt;&gt;""),ROUNDUP((AF32-AE32)/7,0),"")</f>
        <v/>
      </c>
      <c r="AH32" s="34" t="n"/>
      <c r="AI32" s="34">
        <f>IFERROR(IF(AG32*AH32=0,"",AG32*AH32),"")</f>
        <v/>
      </c>
      <c r="AJ32" s="34" t="n"/>
      <c r="AK32" s="34" t="n"/>
      <c r="AL32" s="34">
        <f>IF(AND(AJ32&lt;&gt;"",AK32&lt;&gt;""),ROUNDUP((AK32-AJ32)/7,0),"")</f>
        <v/>
      </c>
      <c r="AM32" s="34" t="n"/>
      <c r="AN32" s="34">
        <f>IFERROR(IF(AL32*AM32=0,"",AL32*AM32),"")</f>
        <v/>
      </c>
      <c r="AO32" s="34" t="n"/>
      <c r="AP32" s="34" t="n"/>
      <c r="AQ32" s="34">
        <f>IF(AND(AO32&lt;&gt;"",AP32&lt;&gt;""),ROUNDUP((AP32-AO32)/7,0),"")</f>
        <v/>
      </c>
      <c r="AR32" s="34">
        <f>IFERROR(IF((AU32-(AI32+AN32))/AQ32=0,"",ROUNDUP((AU32-(AI32+AN32))/AQ32,0)),"")</f>
        <v/>
      </c>
      <c r="AS32" s="34">
        <f>IFERROR(IF((AU32-(AI32+AN32))=0,"",(AU32-(AI32+AN32))),"")</f>
        <v/>
      </c>
      <c r="AT32" s="34">
        <f>IF(AND(AG32="",AQ32=""),AL32,IF(SUM(AG32,AL32,AQ32)=0,"",SUM(AG32,AL32,AQ32)))</f>
        <v/>
      </c>
      <c r="AU32" s="34" t="n"/>
      <c r="AV32" s="34" t="n"/>
      <c r="AW32" s="34" t="n"/>
      <c r="AX32" s="34" t="n"/>
      <c r="AY32" s="34" t="n"/>
      <c r="AZ32" s="30" t="n"/>
      <c r="BA32" s="34" t="n"/>
      <c r="BB32" s="34" t="n"/>
      <c r="BC32" s="34" t="n"/>
      <c r="BD32" s="34" t="n"/>
      <c r="BE32" s="34" t="n"/>
      <c r="BF32" s="34" t="n"/>
      <c r="BG32" s="34">
        <f>IF(AD32="","",YEAR(AD32)+IF(MONTH(AD32)&gt;=5,1,0))</f>
        <v/>
      </c>
      <c r="BH32" s="34">
        <f>IF(AD32="","",IF(AND(MONTH(AD32)=8,DAY(AD32)&gt;=15),"Fall",IF(MONTH(AD32)&gt;8,"Fall",IF(MONTH(AD32)=5,"Summer",IF(MONTH(AD32)=1,"Spring","")))))</f>
        <v/>
      </c>
      <c r="BI32" s="34" t="n"/>
      <c r="BJ32" s="34" t="n"/>
      <c r="BK32" s="30">
        <f>IF($BJ32="","",IFERROR(INDEX(InstructorMap!$B:$B, MATCH($BJ32, InstructorMap!$A:$A, 0)),""))</f>
        <v/>
      </c>
      <c r="BL32" s="30">
        <f>IFERROR(INDEX('_names_lookup'!$C:$C,MATCH(BK32,'_names_lookup'!$A:$A,0)),"")</f>
        <v/>
      </c>
      <c r="BM32" s="34">
        <f>IFERROR(INDEX('_names_lookup'!$B:$B,MATCH(BK32,'_names_lookup'!$A:$A,0)),"")</f>
        <v/>
      </c>
      <c r="BN32" s="34" t="n"/>
      <c r="BO32" s="34" t="n"/>
      <c r="BP32" s="34" t="n"/>
      <c r="BQ32" s="34" t="n"/>
      <c r="BR32" s="34" t="n"/>
      <c r="BS32" s="34">
        <f>IFERROR(IF(BR32*AA32=0,"",BR32*AA32),"")</f>
        <v/>
      </c>
      <c r="BT32" s="34" t="n"/>
      <c r="BU32" s="34" t="n"/>
      <c r="BV32" s="34" t="n"/>
      <c r="BW32" s="34" t="n"/>
      <c r="BX32" s="34" t="n"/>
      <c r="BY32" s="34" t="n"/>
      <c r="BZ32" s="34" t="n"/>
      <c r="CA32" s="34" t="n"/>
      <c r="CB32" s="34" t="n"/>
      <c r="CC32" s="34" t="n"/>
      <c r="CD32" s="34" t="n"/>
      <c r="CE32" s="34" t="n"/>
      <c r="CF32" s="34" t="n"/>
      <c r="CG32" s="34" t="n"/>
      <c r="CH32" s="34" t="n"/>
      <c r="CI32" s="34" t="n"/>
      <c r="CJ32" s="34" t="n"/>
      <c r="CK32" s="34" t="n"/>
      <c r="CL32" s="34" t="n"/>
      <c r="CM32" s="34" t="n"/>
      <c r="CN32" s="34" t="n"/>
      <c r="CO32" s="34" t="n"/>
      <c r="CP32" s="34" t="n"/>
      <c r="CQ32" s="34" t="n"/>
      <c r="CR32" s="34" t="n"/>
      <c r="CS32" s="34" t="n"/>
      <c r="CT32" s="34" t="n"/>
      <c r="CU32" s="34" t="n"/>
      <c r="CV32" s="34" t="n"/>
      <c r="CW32" s="34" t="n"/>
      <c r="CX32" s="34" t="n"/>
      <c r="CY32" s="34" t="n"/>
      <c r="CZ32" s="34" t="n"/>
      <c r="DA32" s="34" t="n"/>
      <c r="DB32" s="34" t="n"/>
      <c r="DC32" s="34" t="n"/>
      <c r="DD32" s="34" t="n"/>
      <c r="DE32" s="34" t="n"/>
      <c r="DF32" s="34" t="n"/>
      <c r="DG32" s="34" t="n"/>
      <c r="DH32" s="34" t="n"/>
      <c r="DI32" s="34" t="n"/>
      <c r="DJ32" s="34" t="n"/>
      <c r="DK32" s="34" t="n"/>
      <c r="DL32" s="34" t="n"/>
      <c r="DM32" s="34" t="n"/>
      <c r="DN32" s="34" t="n"/>
      <c r="DO32" s="34" t="n"/>
      <c r="DP32" s="34" t="n"/>
      <c r="DQ32" s="34" t="n"/>
    </row>
    <row r="33" ht="16" customHeight="1">
      <c r="A33" s="38" t="n"/>
      <c r="B33" s="38" t="n"/>
      <c r="C33" s="38" t="n"/>
      <c r="D33" s="38" t="n"/>
      <c r="E33" s="38" t="n"/>
      <c r="F33" s="38" t="n"/>
      <c r="G33" s="38" t="n"/>
      <c r="H33" s="34" t="n"/>
      <c r="I33" s="34" t="n"/>
      <c r="J33" s="34" t="n"/>
      <c r="K33" s="34" t="n"/>
      <c r="L33" s="34" t="n"/>
      <c r="M33" s="34" t="n"/>
      <c r="N33" s="34" t="n"/>
      <c r="O33" s="34">
        <f>IFERROR(INDEX('_courses_lookup'!$C:$C,MATCH(K33&amp;L33,'_courses_lookup'!$E:$E,0)),"")</f>
        <v/>
      </c>
      <c r="P33" s="34">
        <f>IFERROR(INDEX('_courses_lookup'!$D:$D,MATCH(K33&amp;L33,'_courses_lookup'!$E:$E,0)),"")</f>
        <v/>
      </c>
      <c r="Q33" s="34" t="n"/>
      <c r="R33" s="34" t="n"/>
      <c r="S33" s="34" t="n"/>
      <c r="T33" s="34" t="n"/>
      <c r="U33" s="34" t="n"/>
      <c r="V33" s="34" t="n"/>
      <c r="W33" s="34" t="n"/>
      <c r="X33" s="34" t="n"/>
      <c r="Y33" s="30" t="n"/>
      <c r="Z33" s="34" t="n"/>
      <c r="AA33" s="34" t="n"/>
      <c r="AB33" s="34" t="n"/>
      <c r="AC33" s="34" t="n"/>
      <c r="AD33" s="34" t="n"/>
      <c r="AE33" s="34" t="n"/>
      <c r="AF33" s="34" t="n"/>
      <c r="AG33" s="34">
        <f>IF(AND(AE33&lt;&gt;"",AF33&lt;&gt;""),ROUNDUP((AF33-AE33)/7,0),"")</f>
        <v/>
      </c>
      <c r="AH33" s="34" t="n"/>
      <c r="AI33" s="34">
        <f>IFERROR(IF(AG33*AH33=0,"",AG33*AH33),"")</f>
        <v/>
      </c>
      <c r="AJ33" s="34" t="n"/>
      <c r="AK33" s="34" t="n"/>
      <c r="AL33" s="34">
        <f>IF(AND(AJ33&lt;&gt;"",AK33&lt;&gt;""),ROUNDUP((AK33-AJ33)/7,0),"")</f>
        <v/>
      </c>
      <c r="AM33" s="34" t="n"/>
      <c r="AN33" s="34">
        <f>IFERROR(IF(AL33*AM33=0,"",AL33*AM33),"")</f>
        <v/>
      </c>
      <c r="AO33" s="34" t="n"/>
      <c r="AP33" s="34" t="n"/>
      <c r="AQ33" s="34">
        <f>IF(AND(AO33&lt;&gt;"",AP33&lt;&gt;""),ROUNDUP((AP33-AO33)/7,0),"")</f>
        <v/>
      </c>
      <c r="AR33" s="34">
        <f>IFERROR(IF((AU33-(AI33+AN33))/AQ33=0,"",ROUNDUP((AU33-(AI33+AN33))/AQ33,0)),"")</f>
        <v/>
      </c>
      <c r="AS33" s="34">
        <f>IFERROR(IF((AU33-(AI33+AN33))=0,"",(AU33-(AI33+AN33))),"")</f>
        <v/>
      </c>
      <c r="AT33" s="34">
        <f>IF(AND(AG33="",AQ33=""),AL33,IF(SUM(AG33,AL33,AQ33)=0,"",SUM(AG33,AL33,AQ33)))</f>
        <v/>
      </c>
      <c r="AU33" s="34" t="n"/>
      <c r="AV33" s="34" t="n"/>
      <c r="AW33" s="34" t="n"/>
      <c r="AX33" s="34" t="n"/>
      <c r="AY33" s="34" t="n"/>
      <c r="AZ33" s="30" t="n"/>
      <c r="BA33" s="34" t="n"/>
      <c r="BB33" s="34" t="n"/>
      <c r="BC33" s="34" t="n"/>
      <c r="BD33" s="34" t="n"/>
      <c r="BE33" s="34" t="n"/>
      <c r="BF33" s="34" t="n"/>
      <c r="BG33" s="34">
        <f>IF(AD33="","",YEAR(AD33)+IF(MONTH(AD33)&gt;=5,1,0))</f>
        <v/>
      </c>
      <c r="BH33" s="34">
        <f>IF(AD33="","",IF(AND(MONTH(AD33)=8,DAY(AD33)&gt;=15),"Fall",IF(MONTH(AD33)&gt;8,"Fall",IF(MONTH(AD33)=5,"Summer",IF(MONTH(AD33)=1,"Spring","")))))</f>
        <v/>
      </c>
      <c r="BI33" s="34" t="n"/>
      <c r="BJ33" s="34" t="n"/>
      <c r="BK33" s="30">
        <f>IF($BJ33="","",IFERROR(INDEX(InstructorMap!$B:$B, MATCH($BJ33, InstructorMap!$A:$A, 0)),""))</f>
        <v/>
      </c>
      <c r="BL33" s="30">
        <f>IFERROR(INDEX('_names_lookup'!$C:$C,MATCH(BK33,'_names_lookup'!$A:$A,0)),"")</f>
        <v/>
      </c>
      <c r="BM33" s="34">
        <f>IFERROR(INDEX('_names_lookup'!$B:$B,MATCH(BK33,'_names_lookup'!$A:$A,0)),"")</f>
        <v/>
      </c>
      <c r="BN33" s="34" t="n"/>
      <c r="BO33" s="34" t="n"/>
      <c r="BP33" s="34" t="n"/>
      <c r="BQ33" s="34" t="n"/>
      <c r="BR33" s="34" t="n"/>
      <c r="BS33" s="34">
        <f>IFERROR(IF(BR33*AA33=0,"",BR33*AA33),"")</f>
        <v/>
      </c>
      <c r="BT33" s="34" t="n"/>
      <c r="BU33" s="34" t="n"/>
      <c r="BV33" s="34" t="n"/>
      <c r="BW33" s="34" t="n"/>
      <c r="BX33" s="34" t="n"/>
      <c r="BY33" s="34" t="n"/>
      <c r="BZ33" s="34" t="n"/>
      <c r="CA33" s="34" t="n"/>
      <c r="CB33" s="34" t="n"/>
      <c r="CC33" s="34" t="n"/>
      <c r="CD33" s="34" t="n"/>
      <c r="CE33" s="34" t="n"/>
      <c r="CF33" s="34" t="n"/>
      <c r="CG33" s="34" t="n"/>
      <c r="CH33" s="34" t="n"/>
      <c r="CI33" s="34" t="n"/>
      <c r="CJ33" s="34" t="n"/>
      <c r="CK33" s="34" t="n"/>
      <c r="CL33" s="34" t="n"/>
      <c r="CM33" s="34" t="n"/>
      <c r="CN33" s="34" t="n"/>
      <c r="CO33" s="34" t="n"/>
      <c r="CP33" s="34" t="n"/>
      <c r="CQ33" s="34" t="n"/>
      <c r="CR33" s="34" t="n"/>
      <c r="CS33" s="34" t="n"/>
      <c r="CT33" s="34" t="n"/>
      <c r="CU33" s="34" t="n"/>
      <c r="CV33" s="34" t="n"/>
      <c r="CW33" s="34" t="n"/>
      <c r="CX33" s="34" t="n"/>
      <c r="CY33" s="34" t="n"/>
      <c r="CZ33" s="34" t="n"/>
      <c r="DA33" s="34" t="n"/>
      <c r="DB33" s="34" t="n"/>
      <c r="DC33" s="34" t="n"/>
      <c r="DD33" s="34" t="n"/>
      <c r="DE33" s="34" t="n"/>
      <c r="DF33" s="34" t="n"/>
      <c r="DG33" s="34" t="n"/>
      <c r="DH33" s="34" t="n"/>
      <c r="DI33" s="34" t="n"/>
      <c r="DJ33" s="34" t="n"/>
      <c r="DK33" s="34" t="n"/>
      <c r="DL33" s="34" t="n"/>
      <c r="DM33" s="34" t="n"/>
      <c r="DN33" s="34" t="n"/>
      <c r="DO33" s="34" t="n"/>
      <c r="DP33" s="34" t="n"/>
      <c r="DQ33" s="34" t="n"/>
    </row>
    <row r="34" ht="16" customHeight="1">
      <c r="A34" s="38" t="n"/>
      <c r="B34" s="38" t="n"/>
      <c r="C34" s="38" t="n"/>
      <c r="D34" s="38" t="n"/>
      <c r="E34" s="38" t="n"/>
      <c r="F34" s="38" t="n"/>
      <c r="G34" s="38" t="n"/>
      <c r="H34" s="34" t="n"/>
      <c r="I34" s="34" t="n"/>
      <c r="J34" s="34" t="n"/>
      <c r="K34" s="34" t="n"/>
      <c r="L34" s="34" t="n"/>
      <c r="M34" s="34" t="n"/>
      <c r="N34" s="34" t="n"/>
      <c r="O34" s="34">
        <f>IFERROR(INDEX('_courses_lookup'!$C:$C,MATCH(K34&amp;L34,'_courses_lookup'!$E:$E,0)),"")</f>
        <v/>
      </c>
      <c r="P34" s="34">
        <f>IFERROR(INDEX('_courses_lookup'!$D:$D,MATCH(K34&amp;L34,'_courses_lookup'!$E:$E,0)),"")</f>
        <v/>
      </c>
      <c r="Q34" s="34" t="n"/>
      <c r="R34" s="34" t="n"/>
      <c r="S34" s="34" t="n"/>
      <c r="T34" s="34" t="n"/>
      <c r="U34" s="34" t="n"/>
      <c r="V34" s="34" t="n"/>
      <c r="W34" s="34" t="n"/>
      <c r="X34" s="34" t="n"/>
      <c r="Y34" s="30" t="n"/>
      <c r="Z34" s="34" t="n"/>
      <c r="AA34" s="34" t="n"/>
      <c r="AB34" s="34" t="n"/>
      <c r="AC34" s="34" t="n"/>
      <c r="AD34" s="34" t="n"/>
      <c r="AE34" s="34" t="n"/>
      <c r="AF34" s="34" t="n"/>
      <c r="AG34" s="34">
        <f>IF(AND(AE34&lt;&gt;"",AF34&lt;&gt;""),ROUNDUP((AF34-AE34)/7,0),"")</f>
        <v/>
      </c>
      <c r="AH34" s="34" t="n"/>
      <c r="AI34" s="34">
        <f>IFERROR(IF(AG34*AH34=0,"",AG34*AH34),"")</f>
        <v/>
      </c>
      <c r="AJ34" s="34" t="n"/>
      <c r="AK34" s="34" t="n"/>
      <c r="AL34" s="34">
        <f>IF(AND(AJ34&lt;&gt;"",AK34&lt;&gt;""),ROUNDUP((AK34-AJ34)/7,0),"")</f>
        <v/>
      </c>
      <c r="AM34" s="34" t="n"/>
      <c r="AN34" s="34">
        <f>IFERROR(IF(AL34*AM34=0,"",AL34*AM34),"")</f>
        <v/>
      </c>
      <c r="AO34" s="34" t="n"/>
      <c r="AP34" s="34" t="n"/>
      <c r="AQ34" s="34">
        <f>IF(AND(AO34&lt;&gt;"",AP34&lt;&gt;""),ROUNDUP((AP34-AO34)/7,0),"")</f>
        <v/>
      </c>
      <c r="AR34" s="34">
        <f>IFERROR(IF((AU34-(AI34+AN34))/AQ34=0,"",ROUNDUP((AU34-(AI34+AN34))/AQ34,0)),"")</f>
        <v/>
      </c>
      <c r="AS34" s="34">
        <f>IFERROR(IF((AU34-(AI34+AN34))=0,"",(AU34-(AI34+AN34))),"")</f>
        <v/>
      </c>
      <c r="AT34" s="34">
        <f>IF(AND(AG34="",AQ34=""),AL34,IF(SUM(AG34,AL34,AQ34)=0,"",SUM(AG34,AL34,AQ34)))</f>
        <v/>
      </c>
      <c r="AU34" s="34" t="n"/>
      <c r="AV34" s="34" t="n"/>
      <c r="AW34" s="34" t="n"/>
      <c r="AX34" s="34" t="n"/>
      <c r="AY34" s="34" t="n"/>
      <c r="AZ34" s="30" t="n"/>
      <c r="BA34" s="34" t="n"/>
      <c r="BB34" s="34" t="n"/>
      <c r="BC34" s="34" t="n"/>
      <c r="BD34" s="34" t="n"/>
      <c r="BE34" s="34" t="n"/>
      <c r="BF34" s="34" t="n"/>
      <c r="BG34" s="34">
        <f>IF(AD34="","",YEAR(AD34)+IF(MONTH(AD34)&gt;=5,1,0))</f>
        <v/>
      </c>
      <c r="BH34" s="34">
        <f>IF(AD34="","",IF(AND(MONTH(AD34)=8,DAY(AD34)&gt;=15),"Fall",IF(MONTH(AD34)&gt;8,"Fall",IF(MONTH(AD34)=5,"Summer",IF(MONTH(AD34)=1,"Spring","")))))</f>
        <v/>
      </c>
      <c r="BI34" s="34" t="n"/>
      <c r="BJ34" s="34" t="n"/>
      <c r="BK34" s="30">
        <f>IF($BJ34="","",IFERROR(INDEX(InstructorMap!$B:$B, MATCH($BJ34, InstructorMap!$A:$A, 0)),""))</f>
        <v/>
      </c>
      <c r="BL34" s="30">
        <f>IFERROR(INDEX('_names_lookup'!$C:$C,MATCH(BK34,'_names_lookup'!$A:$A,0)),"")</f>
        <v/>
      </c>
      <c r="BM34" s="34">
        <f>IFERROR(INDEX('_names_lookup'!$B:$B,MATCH(BK34,'_names_lookup'!$A:$A,0)),"")</f>
        <v/>
      </c>
      <c r="BN34" s="34" t="n"/>
      <c r="BO34" s="34" t="n"/>
      <c r="BP34" s="34" t="n"/>
      <c r="BQ34" s="34" t="n"/>
      <c r="BR34" s="34" t="n"/>
      <c r="BS34" s="34">
        <f>IFERROR(IF(BR34*AA34=0,"",BR34*AA34),"")</f>
        <v/>
      </c>
      <c r="BT34" s="34" t="n"/>
      <c r="BU34" s="34" t="n"/>
      <c r="BV34" s="34" t="n"/>
      <c r="BW34" s="34" t="n"/>
      <c r="BX34" s="34" t="n"/>
      <c r="BY34" s="34" t="n"/>
      <c r="BZ34" s="34" t="n"/>
      <c r="CA34" s="34" t="n"/>
      <c r="CB34" s="34" t="n"/>
      <c r="CC34" s="34" t="n"/>
      <c r="CD34" s="34" t="n"/>
      <c r="CE34" s="34" t="n"/>
      <c r="CF34" s="34" t="n"/>
      <c r="CG34" s="34" t="n"/>
      <c r="CH34" s="34" t="n"/>
      <c r="CI34" s="34" t="n"/>
      <c r="CJ34" s="34" t="n"/>
      <c r="CK34" s="34" t="n"/>
      <c r="CL34" s="34" t="n"/>
      <c r="CM34" s="34" t="n"/>
      <c r="CN34" s="34" t="n"/>
      <c r="CO34" s="34" t="n"/>
      <c r="CP34" s="34" t="n"/>
      <c r="CQ34" s="34" t="n"/>
      <c r="CR34" s="34" t="n"/>
      <c r="CS34" s="34" t="n"/>
      <c r="CT34" s="34" t="n"/>
      <c r="CU34" s="34" t="n"/>
      <c r="CV34" s="34" t="n"/>
      <c r="CW34" s="34" t="n"/>
      <c r="CX34" s="34" t="n"/>
      <c r="CY34" s="34" t="n"/>
      <c r="CZ34" s="34" t="n"/>
      <c r="DA34" s="34" t="n"/>
      <c r="DB34" s="34" t="n"/>
      <c r="DC34" s="34" t="n"/>
      <c r="DD34" s="34" t="n"/>
      <c r="DE34" s="34" t="n"/>
      <c r="DF34" s="34" t="n"/>
      <c r="DG34" s="34" t="n"/>
      <c r="DH34" s="34" t="n"/>
      <c r="DI34" s="34" t="n"/>
      <c r="DJ34" s="34" t="n"/>
      <c r="DK34" s="34" t="n"/>
      <c r="DL34" s="34" t="n"/>
      <c r="DM34" s="34" t="n"/>
      <c r="DN34" s="34" t="n"/>
      <c r="DO34" s="34" t="n"/>
      <c r="DP34" s="34" t="n"/>
      <c r="DQ34" s="34" t="n"/>
    </row>
    <row r="35" ht="16" customHeight="1">
      <c r="A35" s="38" t="n"/>
      <c r="B35" s="38" t="n"/>
      <c r="C35" s="38" t="n"/>
      <c r="D35" s="38" t="n"/>
      <c r="E35" s="38" t="n"/>
      <c r="F35" s="38" t="n"/>
      <c r="G35" s="38" t="n"/>
      <c r="H35" s="34" t="n"/>
      <c r="I35" s="34" t="n"/>
      <c r="J35" s="34" t="n"/>
      <c r="K35" s="34" t="n"/>
      <c r="L35" s="34" t="n"/>
      <c r="M35" s="34" t="n"/>
      <c r="N35" s="34" t="n"/>
      <c r="O35" s="34">
        <f>IFERROR(INDEX('_courses_lookup'!$C:$C,MATCH(K35&amp;L35,'_courses_lookup'!$E:$E,0)),"")</f>
        <v/>
      </c>
      <c r="P35" s="34">
        <f>IFERROR(INDEX('_courses_lookup'!$D:$D,MATCH(K35&amp;L35,'_courses_lookup'!$E:$E,0)),"")</f>
        <v/>
      </c>
      <c r="Q35" s="34" t="n"/>
      <c r="R35" s="34" t="n"/>
      <c r="S35" s="34" t="n"/>
      <c r="T35" s="34" t="n"/>
      <c r="U35" s="34" t="n"/>
      <c r="V35" s="34" t="n"/>
      <c r="W35" s="34" t="n"/>
      <c r="X35" s="34" t="n"/>
      <c r="Y35" s="30" t="n"/>
      <c r="Z35" s="34" t="n"/>
      <c r="AA35" s="34" t="n"/>
      <c r="AB35" s="34" t="n"/>
      <c r="AC35" s="34" t="n"/>
      <c r="AD35" s="34" t="n"/>
      <c r="AE35" s="34" t="n"/>
      <c r="AF35" s="34" t="n"/>
      <c r="AG35" s="34">
        <f>IF(AND(AE35&lt;&gt;"",AF35&lt;&gt;""),ROUNDUP((AF35-AE35)/7,0),"")</f>
        <v/>
      </c>
      <c r="AH35" s="34" t="n"/>
      <c r="AI35" s="34">
        <f>IFERROR(IF(AG35*AH35=0,"",AG35*AH35),"")</f>
        <v/>
      </c>
      <c r="AJ35" s="34" t="n"/>
      <c r="AK35" s="34" t="n"/>
      <c r="AL35" s="34">
        <f>IF(AND(AJ35&lt;&gt;"",AK35&lt;&gt;""),ROUNDUP((AK35-AJ35)/7,0),"")</f>
        <v/>
      </c>
      <c r="AM35" s="34" t="n"/>
      <c r="AN35" s="34">
        <f>IFERROR(IF(AL35*AM35=0,"",AL35*AM35),"")</f>
        <v/>
      </c>
      <c r="AO35" s="34" t="n"/>
      <c r="AP35" s="34" t="n"/>
      <c r="AQ35" s="34">
        <f>IF(AND(AO35&lt;&gt;"",AP35&lt;&gt;""),ROUNDUP((AP35-AO35)/7,0),"")</f>
        <v/>
      </c>
      <c r="AR35" s="34">
        <f>IFERROR(IF((AU35-(AI35+AN35))/AQ35=0,"",ROUNDUP((AU35-(AI35+AN35))/AQ35,0)),"")</f>
        <v/>
      </c>
      <c r="AS35" s="34">
        <f>IFERROR(IF((AU35-(AI35+AN35))=0,"",(AU35-(AI35+AN35))),"")</f>
        <v/>
      </c>
      <c r="AT35" s="34">
        <f>IF(AND(AG35="",AQ35=""),AL35,IF(SUM(AG35,AL35,AQ35)=0,"",SUM(AG35,AL35,AQ35)))</f>
        <v/>
      </c>
      <c r="AU35" s="34" t="n"/>
      <c r="AV35" s="34" t="n"/>
      <c r="AW35" s="34" t="n"/>
      <c r="AX35" s="34" t="n"/>
      <c r="AY35" s="34" t="n"/>
      <c r="AZ35" s="30" t="n"/>
      <c r="BA35" s="34" t="n"/>
      <c r="BB35" s="34" t="n"/>
      <c r="BC35" s="34" t="n"/>
      <c r="BD35" s="34" t="n"/>
      <c r="BE35" s="34" t="n"/>
      <c r="BF35" s="34" t="n"/>
      <c r="BG35" s="34">
        <f>IF(AD35="","",YEAR(AD35)+IF(MONTH(AD35)&gt;=5,1,0))</f>
        <v/>
      </c>
      <c r="BH35" s="34">
        <f>IF(AD35="","",IF(AND(MONTH(AD35)=8,DAY(AD35)&gt;=15),"Fall",IF(MONTH(AD35)&gt;8,"Fall",IF(MONTH(AD35)=5,"Summer",IF(MONTH(AD35)=1,"Spring","")))))</f>
        <v/>
      </c>
      <c r="BI35" s="34" t="n"/>
      <c r="BJ35" s="34" t="n"/>
      <c r="BK35" s="30">
        <f>IF($BJ35="","",IFERROR(INDEX(InstructorMap!$B:$B, MATCH($BJ35, InstructorMap!$A:$A, 0)),""))</f>
        <v/>
      </c>
      <c r="BL35" s="30">
        <f>IFERROR(INDEX('_names_lookup'!$C:$C,MATCH(BK35,'_names_lookup'!$A:$A,0)),"")</f>
        <v/>
      </c>
      <c r="BM35" s="34">
        <f>IFERROR(INDEX('_names_lookup'!$B:$B,MATCH(BK35,'_names_lookup'!$A:$A,0)),"")</f>
        <v/>
      </c>
      <c r="BN35" s="34" t="n"/>
      <c r="BO35" s="34" t="n"/>
      <c r="BP35" s="34" t="n"/>
      <c r="BQ35" s="34" t="n"/>
      <c r="BR35" s="34" t="n"/>
      <c r="BS35" s="34">
        <f>IFERROR(IF(BR35*AA35=0,"",BR35*AA35),"")</f>
        <v/>
      </c>
      <c r="BT35" s="34" t="n"/>
      <c r="BU35" s="34" t="n"/>
      <c r="BV35" s="34" t="n"/>
      <c r="BW35" s="34" t="n"/>
      <c r="BX35" s="34" t="n"/>
      <c r="BY35" s="34" t="n"/>
      <c r="BZ35" s="34" t="n"/>
      <c r="CA35" s="34" t="n"/>
      <c r="CB35" s="34" t="n"/>
      <c r="CC35" s="34" t="n"/>
      <c r="CD35" s="34" t="n"/>
      <c r="CE35" s="34" t="n"/>
      <c r="CF35" s="34" t="n"/>
      <c r="CG35" s="34" t="n"/>
      <c r="CH35" s="34" t="n"/>
      <c r="CI35" s="34" t="n"/>
      <c r="CJ35" s="34" t="n"/>
      <c r="CK35" s="34" t="n"/>
      <c r="CL35" s="34" t="n"/>
      <c r="CM35" s="34" t="n"/>
      <c r="CN35" s="34" t="n"/>
      <c r="CO35" s="34" t="n"/>
      <c r="CP35" s="34" t="n"/>
      <c r="CQ35" s="34" t="n"/>
      <c r="CR35" s="34" t="n"/>
      <c r="CS35" s="34" t="n"/>
      <c r="CT35" s="34" t="n"/>
      <c r="CU35" s="34" t="n"/>
      <c r="CV35" s="34" t="n"/>
      <c r="CW35" s="34" t="n"/>
      <c r="CX35" s="34" t="n"/>
      <c r="CY35" s="34" t="n"/>
      <c r="CZ35" s="34" t="n"/>
      <c r="DA35" s="34" t="n"/>
      <c r="DB35" s="34" t="n"/>
      <c r="DC35" s="34" t="n"/>
      <c r="DD35" s="34" t="n"/>
      <c r="DE35" s="34" t="n"/>
      <c r="DF35" s="34" t="n"/>
      <c r="DG35" s="34" t="n"/>
      <c r="DH35" s="34" t="n"/>
      <c r="DI35" s="34" t="n"/>
      <c r="DJ35" s="34" t="n"/>
      <c r="DK35" s="34" t="n"/>
      <c r="DL35" s="34" t="n"/>
      <c r="DM35" s="34" t="n"/>
      <c r="DN35" s="34" t="n"/>
      <c r="DO35" s="34" t="n"/>
      <c r="DP35" s="34" t="n"/>
      <c r="DQ35" s="34" t="n"/>
    </row>
    <row r="36" ht="16" customHeight="1">
      <c r="A36" s="38" t="n"/>
      <c r="B36" s="38" t="n"/>
      <c r="C36" s="38" t="n"/>
      <c r="D36" s="38" t="n"/>
      <c r="E36" s="38" t="n"/>
      <c r="F36" s="38" t="n"/>
      <c r="G36" s="38" t="n"/>
      <c r="H36" s="34" t="n"/>
      <c r="I36" s="34" t="n"/>
      <c r="J36" s="34" t="n"/>
      <c r="K36" s="34" t="n"/>
      <c r="L36" s="34" t="n"/>
      <c r="M36" s="34" t="n"/>
      <c r="N36" s="34" t="n"/>
      <c r="O36" s="34">
        <f>IFERROR(INDEX('_courses_lookup'!$C:$C,MATCH(K36&amp;L36,'_courses_lookup'!$E:$E,0)),"")</f>
        <v/>
      </c>
      <c r="P36" s="34">
        <f>IFERROR(INDEX('_courses_lookup'!$D:$D,MATCH(K36&amp;L36,'_courses_lookup'!$E:$E,0)),"")</f>
        <v/>
      </c>
      <c r="Q36" s="34" t="n"/>
      <c r="R36" s="34" t="n"/>
      <c r="S36" s="34" t="n"/>
      <c r="T36" s="34" t="n"/>
      <c r="U36" s="34" t="n"/>
      <c r="V36" s="34" t="n"/>
      <c r="W36" s="34" t="n"/>
      <c r="X36" s="34" t="n"/>
      <c r="Y36" s="30" t="n"/>
      <c r="Z36" s="34" t="n"/>
      <c r="AA36" s="34" t="n"/>
      <c r="AB36" s="34" t="n"/>
      <c r="AC36" s="34" t="n"/>
      <c r="AD36" s="34" t="n"/>
      <c r="AE36" s="34" t="n"/>
      <c r="AF36" s="34" t="n"/>
      <c r="AG36" s="34">
        <f>IF(AND(AE36&lt;&gt;"",AF36&lt;&gt;""),ROUNDUP((AF36-AE36)/7,0),"")</f>
        <v/>
      </c>
      <c r="AH36" s="34" t="n"/>
      <c r="AI36" s="34">
        <f>IFERROR(IF(AG36*AH36=0,"",AG36*AH36),"")</f>
        <v/>
      </c>
      <c r="AJ36" s="34" t="n"/>
      <c r="AK36" s="34" t="n"/>
      <c r="AL36" s="34">
        <f>IF(AND(AJ36&lt;&gt;"",AK36&lt;&gt;""),ROUNDUP((AK36-AJ36)/7,0),"")</f>
        <v/>
      </c>
      <c r="AM36" s="34" t="n"/>
      <c r="AN36" s="34">
        <f>IFERROR(IF(AL36*AM36=0,"",AL36*AM36),"")</f>
        <v/>
      </c>
      <c r="AO36" s="34" t="n"/>
      <c r="AP36" s="34" t="n"/>
      <c r="AQ36" s="34">
        <f>IF(AND(AO36&lt;&gt;"",AP36&lt;&gt;""),ROUNDUP((AP36-AO36)/7,0),"")</f>
        <v/>
      </c>
      <c r="AR36" s="34">
        <f>IFERROR(IF((AU36-(AI36+AN36))/AQ36=0,"",ROUNDUP((AU36-(AI36+AN36))/AQ36,0)),"")</f>
        <v/>
      </c>
      <c r="AS36" s="34">
        <f>IFERROR(IF((AU36-(AI36+AN36))=0,"",(AU36-(AI36+AN36))),"")</f>
        <v/>
      </c>
      <c r="AT36" s="34">
        <f>IF(AND(AG36="",AQ36=""),AL36,IF(SUM(AG36,AL36,AQ36)=0,"",SUM(AG36,AL36,AQ36)))</f>
        <v/>
      </c>
      <c r="AU36" s="34" t="n"/>
      <c r="AV36" s="34" t="n"/>
      <c r="AW36" s="34" t="n"/>
      <c r="AX36" s="34" t="n"/>
      <c r="AY36" s="34" t="n"/>
      <c r="AZ36" s="30" t="n"/>
      <c r="BA36" s="34" t="n"/>
      <c r="BB36" s="34" t="n"/>
      <c r="BC36" s="34" t="n"/>
      <c r="BD36" s="34" t="n"/>
      <c r="BE36" s="34" t="n"/>
      <c r="BF36" s="34" t="n"/>
      <c r="BG36" s="34">
        <f>IF(AD36="","",YEAR(AD36)+IF(MONTH(AD36)&gt;=5,1,0))</f>
        <v/>
      </c>
      <c r="BH36" s="34">
        <f>IF(AD36="","",IF(AND(MONTH(AD36)=8,DAY(AD36)&gt;=15),"Fall",IF(MONTH(AD36)&gt;8,"Fall",IF(MONTH(AD36)=5,"Summer",IF(MONTH(AD36)=1,"Spring","")))))</f>
        <v/>
      </c>
      <c r="BI36" s="34" t="n"/>
      <c r="BJ36" s="34" t="n"/>
      <c r="BK36" s="30">
        <f>IF($BJ36="","",IFERROR(INDEX(InstructorMap!$B:$B, MATCH($BJ36, InstructorMap!$A:$A, 0)),""))</f>
        <v/>
      </c>
      <c r="BL36" s="30">
        <f>IFERROR(INDEX('_names_lookup'!$C:$C,MATCH(BK36,'_names_lookup'!$A:$A,0)),"")</f>
        <v/>
      </c>
      <c r="BM36" s="34">
        <f>IFERROR(INDEX('_names_lookup'!$B:$B,MATCH(BK36,'_names_lookup'!$A:$A,0)),"")</f>
        <v/>
      </c>
      <c r="BN36" s="34" t="n"/>
      <c r="BO36" s="34" t="n"/>
      <c r="BP36" s="34" t="n"/>
      <c r="BQ36" s="34" t="n"/>
      <c r="BR36" s="34" t="n"/>
      <c r="BS36" s="34">
        <f>IFERROR(IF(BR36*AA36=0,"",BR36*AA36),"")</f>
        <v/>
      </c>
      <c r="BT36" s="34" t="n"/>
      <c r="BU36" s="34" t="n"/>
      <c r="BV36" s="34" t="n"/>
      <c r="BW36" s="34" t="n"/>
      <c r="BX36" s="34" t="n"/>
      <c r="BY36" s="34" t="n"/>
      <c r="BZ36" s="34" t="n"/>
      <c r="CA36" s="34" t="n"/>
      <c r="CB36" s="34" t="n"/>
      <c r="CC36" s="34" t="n"/>
      <c r="CD36" s="34" t="n"/>
      <c r="CE36" s="34" t="n"/>
      <c r="CF36" s="34" t="n"/>
      <c r="CG36" s="34" t="n"/>
      <c r="CH36" s="34" t="n"/>
      <c r="CI36" s="34" t="n"/>
      <c r="CJ36" s="34" t="n"/>
      <c r="CK36" s="34" t="n"/>
      <c r="CL36" s="34" t="n"/>
      <c r="CM36" s="34" t="n"/>
      <c r="CN36" s="34" t="n"/>
      <c r="CO36" s="34" t="n"/>
      <c r="CP36" s="34" t="n"/>
      <c r="CQ36" s="34" t="n"/>
      <c r="CR36" s="34" t="n"/>
      <c r="CS36" s="34" t="n"/>
      <c r="CT36" s="34" t="n"/>
      <c r="CU36" s="34" t="n"/>
      <c r="CV36" s="34" t="n"/>
      <c r="CW36" s="34" t="n"/>
      <c r="CX36" s="34" t="n"/>
      <c r="CY36" s="34" t="n"/>
      <c r="CZ36" s="34" t="n"/>
      <c r="DA36" s="34" t="n"/>
      <c r="DB36" s="34" t="n"/>
      <c r="DC36" s="34" t="n"/>
      <c r="DD36" s="34" t="n"/>
      <c r="DE36" s="34" t="n"/>
      <c r="DF36" s="34" t="n"/>
      <c r="DG36" s="34" t="n"/>
      <c r="DH36" s="34" t="n"/>
      <c r="DI36" s="34" t="n"/>
      <c r="DJ36" s="34" t="n"/>
      <c r="DK36" s="34" t="n"/>
      <c r="DL36" s="34" t="n"/>
      <c r="DM36" s="34" t="n"/>
      <c r="DN36" s="34" t="n"/>
      <c r="DO36" s="34" t="n"/>
      <c r="DP36" s="34" t="n"/>
      <c r="DQ36" s="34" t="n"/>
    </row>
    <row r="37" ht="16" customHeight="1">
      <c r="A37" s="38" t="n"/>
      <c r="B37" s="38" t="n"/>
      <c r="C37" s="38" t="n"/>
      <c r="D37" s="38" t="n"/>
      <c r="E37" s="38" t="n"/>
      <c r="F37" s="38" t="n"/>
      <c r="G37" s="38" t="n"/>
      <c r="H37" s="34" t="n"/>
      <c r="I37" s="34" t="n"/>
      <c r="J37" s="34" t="n"/>
      <c r="K37" s="34" t="n"/>
      <c r="L37" s="34" t="n"/>
      <c r="M37" s="34" t="n"/>
      <c r="N37" s="34" t="n"/>
      <c r="O37" s="34">
        <f>IFERROR(INDEX('_courses_lookup'!$C:$C,MATCH(K37&amp;L37,'_courses_lookup'!$E:$E,0)),"")</f>
        <v/>
      </c>
      <c r="P37" s="34">
        <f>IFERROR(INDEX('_courses_lookup'!$D:$D,MATCH(K37&amp;L37,'_courses_lookup'!$E:$E,0)),"")</f>
        <v/>
      </c>
      <c r="Q37" s="34" t="n"/>
      <c r="R37" s="34" t="n"/>
      <c r="S37" s="34" t="n"/>
      <c r="T37" s="34" t="n"/>
      <c r="U37" s="34" t="n"/>
      <c r="V37" s="34" t="n"/>
      <c r="W37" s="34" t="n"/>
      <c r="X37" s="34" t="n"/>
      <c r="Y37" s="30" t="n"/>
      <c r="Z37" s="34" t="n"/>
      <c r="AA37" s="34" t="n"/>
      <c r="AB37" s="34" t="n"/>
      <c r="AC37" s="34" t="n"/>
      <c r="AD37" s="34" t="n"/>
      <c r="AE37" s="34" t="n"/>
      <c r="AF37" s="34" t="n"/>
      <c r="AG37" s="34">
        <f>IF(AND(AE37&lt;&gt;"",AF37&lt;&gt;""),ROUNDUP((AF37-AE37)/7,0),"")</f>
        <v/>
      </c>
      <c r="AH37" s="34" t="n"/>
      <c r="AI37" s="34">
        <f>IFERROR(IF(AG37*AH37=0,"",AG37*AH37),"")</f>
        <v/>
      </c>
      <c r="AJ37" s="34" t="n"/>
      <c r="AK37" s="34" t="n"/>
      <c r="AL37" s="34">
        <f>IF(AND(AJ37&lt;&gt;"",AK37&lt;&gt;""),ROUNDUP((AK37-AJ37)/7,0),"")</f>
        <v/>
      </c>
      <c r="AM37" s="34" t="n"/>
      <c r="AN37" s="34">
        <f>IFERROR(IF(AL37*AM37=0,"",AL37*AM37),"")</f>
        <v/>
      </c>
      <c r="AO37" s="34" t="n"/>
      <c r="AP37" s="34" t="n"/>
      <c r="AQ37" s="34">
        <f>IF(AND(AO37&lt;&gt;"",AP37&lt;&gt;""),ROUNDUP((AP37-AO37)/7,0),"")</f>
        <v/>
      </c>
      <c r="AR37" s="34">
        <f>IFERROR(IF((AU37-(AI37+AN37))/AQ37=0,"",ROUNDUP((AU37-(AI37+AN37))/AQ37,0)),"")</f>
        <v/>
      </c>
      <c r="AS37" s="34">
        <f>IFERROR(IF((AU37-(AI37+AN37))=0,"",(AU37-(AI37+AN37))),"")</f>
        <v/>
      </c>
      <c r="AT37" s="34">
        <f>IF(AND(AG37="",AQ37=""),AL37,IF(SUM(AG37,AL37,AQ37)=0,"",SUM(AG37,AL37,AQ37)))</f>
        <v/>
      </c>
      <c r="AU37" s="34" t="n"/>
      <c r="AV37" s="34" t="n"/>
      <c r="AW37" s="34" t="n"/>
      <c r="AX37" s="34" t="n"/>
      <c r="AY37" s="34" t="n"/>
      <c r="AZ37" s="30" t="n"/>
      <c r="BA37" s="34" t="n"/>
      <c r="BB37" s="34" t="n"/>
      <c r="BC37" s="34" t="n"/>
      <c r="BD37" s="34" t="n"/>
      <c r="BE37" s="34" t="n"/>
      <c r="BF37" s="34" t="n"/>
      <c r="BG37" s="34">
        <f>IF(AD37="","",YEAR(AD37)+IF(MONTH(AD37)&gt;=5,1,0))</f>
        <v/>
      </c>
      <c r="BH37" s="34">
        <f>IF(AD37="","",IF(AND(MONTH(AD37)=8,DAY(AD37)&gt;=15),"Fall",IF(MONTH(AD37)&gt;8,"Fall",IF(MONTH(AD37)=5,"Summer",IF(MONTH(AD37)=1,"Spring","")))))</f>
        <v/>
      </c>
      <c r="BI37" s="34" t="n"/>
      <c r="BJ37" s="34" t="n"/>
      <c r="BK37" s="30">
        <f>IF($BJ37="","",IFERROR(INDEX(InstructorMap!$B:$B, MATCH($BJ37, InstructorMap!$A:$A, 0)),""))</f>
        <v/>
      </c>
      <c r="BL37" s="30">
        <f>IFERROR(INDEX('_names_lookup'!$C:$C,MATCH(BK37,'_names_lookup'!$A:$A,0)),"")</f>
        <v/>
      </c>
      <c r="BM37" s="34">
        <f>IFERROR(INDEX('_names_lookup'!$B:$B,MATCH(BK37,'_names_lookup'!$A:$A,0)),"")</f>
        <v/>
      </c>
      <c r="BN37" s="34" t="n"/>
      <c r="BO37" s="34" t="n"/>
      <c r="BP37" s="34" t="n"/>
      <c r="BQ37" s="34" t="n"/>
      <c r="BR37" s="34" t="n"/>
      <c r="BS37" s="34">
        <f>IFERROR(IF(BR37*AA37=0,"",BR37*AA37),"")</f>
        <v/>
      </c>
      <c r="BT37" s="34" t="n"/>
      <c r="BU37" s="34" t="n"/>
      <c r="BV37" s="34" t="n"/>
      <c r="BW37" s="34" t="n"/>
      <c r="BX37" s="34" t="n"/>
      <c r="BY37" s="34" t="n"/>
      <c r="BZ37" s="34" t="n"/>
      <c r="CA37" s="34" t="n"/>
      <c r="CB37" s="34" t="n"/>
      <c r="CC37" s="34" t="n"/>
      <c r="CD37" s="34" t="n"/>
      <c r="CE37" s="34" t="n"/>
      <c r="CF37" s="34" t="n"/>
      <c r="CG37" s="34" t="n"/>
      <c r="CH37" s="34" t="n"/>
      <c r="CI37" s="34" t="n"/>
      <c r="CJ37" s="34" t="n"/>
      <c r="CK37" s="34" t="n"/>
      <c r="CL37" s="34" t="n"/>
      <c r="CM37" s="34" t="n"/>
      <c r="CN37" s="34" t="n"/>
      <c r="CO37" s="34" t="n"/>
      <c r="CP37" s="34" t="n"/>
      <c r="CQ37" s="34" t="n"/>
      <c r="CR37" s="34" t="n"/>
      <c r="CS37" s="34" t="n"/>
      <c r="CT37" s="34" t="n"/>
      <c r="CU37" s="34" t="n"/>
      <c r="CV37" s="34" t="n"/>
      <c r="CW37" s="34" t="n"/>
      <c r="CX37" s="34" t="n"/>
      <c r="CY37" s="34" t="n"/>
      <c r="CZ37" s="34" t="n"/>
      <c r="DA37" s="34" t="n"/>
      <c r="DB37" s="34" t="n"/>
      <c r="DC37" s="34" t="n"/>
      <c r="DD37" s="34" t="n"/>
      <c r="DE37" s="34" t="n"/>
      <c r="DF37" s="34" t="n"/>
      <c r="DG37" s="34" t="n"/>
      <c r="DH37" s="34" t="n"/>
      <c r="DI37" s="34" t="n"/>
      <c r="DJ37" s="34" t="n"/>
      <c r="DK37" s="34" t="n"/>
      <c r="DL37" s="34" t="n"/>
      <c r="DM37" s="34" t="n"/>
      <c r="DN37" s="34" t="n"/>
      <c r="DO37" s="34" t="n"/>
      <c r="DP37" s="34" t="n"/>
      <c r="DQ37" s="34" t="n"/>
    </row>
    <row r="38" ht="16" customHeight="1">
      <c r="A38" s="38" t="n"/>
      <c r="B38" s="38" t="n"/>
      <c r="C38" s="38" t="n"/>
      <c r="D38" s="38" t="n"/>
      <c r="E38" s="38" t="n"/>
      <c r="F38" s="38" t="n"/>
      <c r="G38" s="38" t="n"/>
      <c r="H38" s="34" t="n"/>
      <c r="I38" s="34" t="n"/>
      <c r="J38" s="34" t="n"/>
      <c r="K38" s="34" t="n"/>
      <c r="L38" s="34" t="n"/>
      <c r="M38" s="34" t="n"/>
      <c r="N38" s="34" t="n"/>
      <c r="O38" s="34">
        <f>IFERROR(INDEX('_courses_lookup'!$C:$C,MATCH(K38&amp;L38,'_courses_lookup'!$E:$E,0)),"")</f>
        <v/>
      </c>
      <c r="P38" s="34">
        <f>IFERROR(INDEX('_courses_lookup'!$D:$D,MATCH(K38&amp;L38,'_courses_lookup'!$E:$E,0)),"")</f>
        <v/>
      </c>
      <c r="Q38" s="34" t="n"/>
      <c r="R38" s="34" t="n"/>
      <c r="S38" s="34" t="n"/>
      <c r="T38" s="34" t="n"/>
      <c r="U38" s="34" t="n"/>
      <c r="V38" s="34" t="n"/>
      <c r="W38" s="34" t="n"/>
      <c r="X38" s="34" t="n"/>
      <c r="Y38" s="30" t="n"/>
      <c r="Z38" s="34" t="n"/>
      <c r="AA38" s="34" t="n"/>
      <c r="AB38" s="34" t="n"/>
      <c r="AC38" s="34" t="n"/>
      <c r="AD38" s="34" t="n"/>
      <c r="AE38" s="34" t="n"/>
      <c r="AF38" s="34" t="n"/>
      <c r="AG38" s="34">
        <f>IF(AND(AE38&lt;&gt;"",AF38&lt;&gt;""),ROUNDUP((AF38-AE38)/7,0),"")</f>
        <v/>
      </c>
      <c r="AH38" s="34" t="n"/>
      <c r="AI38" s="34">
        <f>IFERROR(IF(AG38*AH38=0,"",AG38*AH38),"")</f>
        <v/>
      </c>
      <c r="AJ38" s="34" t="n"/>
      <c r="AK38" s="34" t="n"/>
      <c r="AL38" s="34">
        <f>IF(AND(AJ38&lt;&gt;"",AK38&lt;&gt;""),ROUNDUP((AK38-AJ38)/7,0),"")</f>
        <v/>
      </c>
      <c r="AM38" s="34" t="n"/>
      <c r="AN38" s="34">
        <f>IFERROR(IF(AL38*AM38=0,"",AL38*AM38),"")</f>
        <v/>
      </c>
      <c r="AO38" s="34" t="n"/>
      <c r="AP38" s="34" t="n"/>
      <c r="AQ38" s="34">
        <f>IF(AND(AO38&lt;&gt;"",AP38&lt;&gt;""),ROUNDUP((AP38-AO38)/7,0),"")</f>
        <v/>
      </c>
      <c r="AR38" s="34">
        <f>IFERROR(IF((AU38-(AI38+AN38))/AQ38=0,"",ROUNDUP((AU38-(AI38+AN38))/AQ38,0)),"")</f>
        <v/>
      </c>
      <c r="AS38" s="34">
        <f>IFERROR(IF((AU38-(AI38+AN38))=0,"",(AU38-(AI38+AN38))),"")</f>
        <v/>
      </c>
      <c r="AT38" s="34">
        <f>IF(AND(AG38="",AQ38=""),AL38,IF(SUM(AG38,AL38,AQ38)=0,"",SUM(AG38,AL38,AQ38)))</f>
        <v/>
      </c>
      <c r="AU38" s="34" t="n"/>
      <c r="AV38" s="34" t="n"/>
      <c r="AW38" s="34" t="n"/>
      <c r="AX38" s="34" t="n"/>
      <c r="AY38" s="34" t="n"/>
      <c r="AZ38" s="30" t="n"/>
      <c r="BA38" s="34" t="n"/>
      <c r="BB38" s="34" t="n"/>
      <c r="BC38" s="34" t="n"/>
      <c r="BD38" s="34" t="n"/>
      <c r="BE38" s="34" t="n"/>
      <c r="BF38" s="34" t="n"/>
      <c r="BG38" s="34">
        <f>IF(AD38="","",YEAR(AD38)+IF(MONTH(AD38)&gt;=5,1,0))</f>
        <v/>
      </c>
      <c r="BH38" s="34">
        <f>IF(AD38="","",IF(AND(MONTH(AD38)=8,DAY(AD38)&gt;=15),"Fall",IF(MONTH(AD38)&gt;8,"Fall",IF(MONTH(AD38)=5,"Summer",IF(MONTH(AD38)=1,"Spring","")))))</f>
        <v/>
      </c>
      <c r="BI38" s="34" t="n"/>
      <c r="BJ38" s="34" t="n"/>
      <c r="BK38" s="30">
        <f>IF($BJ38="","",IFERROR(INDEX(InstructorMap!$B:$B, MATCH($BJ38, InstructorMap!$A:$A, 0)),""))</f>
        <v/>
      </c>
      <c r="BL38" s="30">
        <f>IFERROR(INDEX('_names_lookup'!$C:$C,MATCH(BK38,'_names_lookup'!$A:$A,0)),"")</f>
        <v/>
      </c>
      <c r="BM38" s="34">
        <f>IFERROR(INDEX('_names_lookup'!$B:$B,MATCH(BK38,'_names_lookup'!$A:$A,0)),"")</f>
        <v/>
      </c>
      <c r="BN38" s="34" t="n"/>
      <c r="BO38" s="34" t="n"/>
      <c r="BP38" s="34" t="n"/>
      <c r="BQ38" s="34" t="n"/>
      <c r="BR38" s="34" t="n"/>
      <c r="BS38" s="34">
        <f>IFERROR(IF(BR38*AA38=0,"",BR38*AA38),"")</f>
        <v/>
      </c>
      <c r="BT38" s="34" t="n"/>
      <c r="BU38" s="34" t="n"/>
      <c r="BV38" s="34" t="n"/>
      <c r="BW38" s="34" t="n"/>
      <c r="BX38" s="34" t="n"/>
      <c r="BY38" s="34" t="n"/>
      <c r="BZ38" s="34" t="n"/>
      <c r="CA38" s="34" t="n"/>
      <c r="CB38" s="34" t="n"/>
      <c r="CC38" s="34" t="n"/>
      <c r="CD38" s="34" t="n"/>
      <c r="CE38" s="34" t="n"/>
      <c r="CF38" s="34" t="n"/>
      <c r="CG38" s="34" t="n"/>
      <c r="CH38" s="34" t="n"/>
      <c r="CI38" s="34" t="n"/>
      <c r="CJ38" s="34" t="n"/>
      <c r="CK38" s="34" t="n"/>
      <c r="CL38" s="34" t="n"/>
      <c r="CM38" s="34" t="n"/>
      <c r="CN38" s="34" t="n"/>
      <c r="CO38" s="34" t="n"/>
      <c r="CP38" s="34" t="n"/>
      <c r="CQ38" s="34" t="n"/>
      <c r="CR38" s="34" t="n"/>
      <c r="CS38" s="34" t="n"/>
      <c r="CT38" s="34" t="n"/>
      <c r="CU38" s="34" t="n"/>
      <c r="CV38" s="34" t="n"/>
      <c r="CW38" s="34" t="n"/>
      <c r="CX38" s="34" t="n"/>
      <c r="CY38" s="34" t="n"/>
      <c r="CZ38" s="34" t="n"/>
      <c r="DA38" s="34" t="n"/>
      <c r="DB38" s="34" t="n"/>
      <c r="DC38" s="34" t="n"/>
      <c r="DD38" s="34" t="n"/>
      <c r="DE38" s="34" t="n"/>
      <c r="DF38" s="34" t="n"/>
      <c r="DG38" s="34" t="n"/>
      <c r="DH38" s="34" t="n"/>
      <c r="DI38" s="34" t="n"/>
      <c r="DJ38" s="34" t="n"/>
      <c r="DK38" s="34" t="n"/>
      <c r="DL38" s="34" t="n"/>
      <c r="DM38" s="34" t="n"/>
      <c r="DN38" s="34" t="n"/>
      <c r="DO38" s="34" t="n"/>
      <c r="DP38" s="34" t="n"/>
      <c r="DQ38" s="34" t="n"/>
    </row>
    <row r="39" ht="16" customHeight="1">
      <c r="A39" s="38" t="n"/>
      <c r="B39" s="38" t="n"/>
      <c r="C39" s="38" t="n"/>
      <c r="D39" s="38" t="n"/>
      <c r="E39" s="38" t="n"/>
      <c r="F39" s="38" t="n"/>
      <c r="G39" s="38" t="n"/>
      <c r="H39" s="34" t="n"/>
      <c r="I39" s="34" t="n"/>
      <c r="J39" s="34" t="n"/>
      <c r="K39" s="34" t="n"/>
      <c r="L39" s="34" t="n"/>
      <c r="M39" s="34" t="n"/>
      <c r="N39" s="34" t="n"/>
      <c r="O39" s="34">
        <f>IFERROR(INDEX('_courses_lookup'!$C:$C,MATCH(K39&amp;L39,'_courses_lookup'!$E:$E,0)),"")</f>
        <v/>
      </c>
      <c r="P39" s="34">
        <f>IFERROR(INDEX('_courses_lookup'!$D:$D,MATCH(K39&amp;L39,'_courses_lookup'!$E:$E,0)),"")</f>
        <v/>
      </c>
      <c r="Q39" s="34" t="n"/>
      <c r="R39" s="34" t="n"/>
      <c r="S39" s="34" t="n"/>
      <c r="T39" s="34" t="n"/>
      <c r="U39" s="34" t="n"/>
      <c r="V39" s="34" t="n"/>
      <c r="W39" s="34" t="n"/>
      <c r="X39" s="34" t="n"/>
      <c r="Y39" s="30" t="n"/>
      <c r="Z39" s="34" t="n"/>
      <c r="AA39" s="34" t="n"/>
      <c r="AB39" s="34" t="n"/>
      <c r="AC39" s="34" t="n"/>
      <c r="AD39" s="34" t="n"/>
      <c r="AE39" s="34" t="n"/>
      <c r="AF39" s="34" t="n"/>
      <c r="AG39" s="34">
        <f>IF(AND(AE39&lt;&gt;"",AF39&lt;&gt;""),ROUNDUP((AF39-AE39)/7,0),"")</f>
        <v/>
      </c>
      <c r="AH39" s="34" t="n"/>
      <c r="AI39" s="34">
        <f>IFERROR(IF(AG39*AH39=0,"",AG39*AH39),"")</f>
        <v/>
      </c>
      <c r="AJ39" s="34" t="n"/>
      <c r="AK39" s="34" t="n"/>
      <c r="AL39" s="34">
        <f>IF(AND(AJ39&lt;&gt;"",AK39&lt;&gt;""),ROUNDUP((AK39-AJ39)/7,0),"")</f>
        <v/>
      </c>
      <c r="AM39" s="34" t="n"/>
      <c r="AN39" s="34">
        <f>IFERROR(IF(AL39*AM39=0,"",AL39*AM39),"")</f>
        <v/>
      </c>
      <c r="AO39" s="34" t="n"/>
      <c r="AP39" s="34" t="n"/>
      <c r="AQ39" s="34">
        <f>IF(AND(AO39&lt;&gt;"",AP39&lt;&gt;""),ROUNDUP((AP39-AO39)/7,0),"")</f>
        <v/>
      </c>
      <c r="AR39" s="34">
        <f>IFERROR(IF((AU39-(AI39+AN39))/AQ39=0,"",ROUNDUP((AU39-(AI39+AN39))/AQ39,0)),"")</f>
        <v/>
      </c>
      <c r="AS39" s="34">
        <f>IFERROR(IF((AU39-(AI39+AN39))=0,"",(AU39-(AI39+AN39))),"")</f>
        <v/>
      </c>
      <c r="AT39" s="34">
        <f>IF(AND(AG39="",AQ39=""),AL39,IF(SUM(AG39,AL39,AQ39)=0,"",SUM(AG39,AL39,AQ39)))</f>
        <v/>
      </c>
      <c r="AU39" s="34" t="n"/>
      <c r="AV39" s="34" t="n"/>
      <c r="AW39" s="34" t="n"/>
      <c r="AX39" s="34" t="n"/>
      <c r="AY39" s="34" t="n"/>
      <c r="AZ39" s="30" t="n"/>
      <c r="BA39" s="34" t="n"/>
      <c r="BB39" s="34" t="n"/>
      <c r="BC39" s="34" t="n"/>
      <c r="BD39" s="34" t="n"/>
      <c r="BE39" s="34" t="n"/>
      <c r="BF39" s="34" t="n"/>
      <c r="BG39" s="34">
        <f>IF(AD39="","",YEAR(AD39)+IF(MONTH(AD39)&gt;=5,1,0))</f>
        <v/>
      </c>
      <c r="BH39" s="34">
        <f>IF(AD39="","",IF(AND(MONTH(AD39)=8,DAY(AD39)&gt;=15),"Fall",IF(MONTH(AD39)&gt;8,"Fall",IF(MONTH(AD39)=5,"Summer",IF(MONTH(AD39)=1,"Spring","")))))</f>
        <v/>
      </c>
      <c r="BI39" s="34" t="n"/>
      <c r="BJ39" s="34" t="n"/>
      <c r="BK39" s="30">
        <f>IF($BJ39="","",IFERROR(INDEX(InstructorMap!$B:$B, MATCH($BJ39, InstructorMap!$A:$A, 0)),""))</f>
        <v/>
      </c>
      <c r="BL39" s="30">
        <f>IFERROR(INDEX('_names_lookup'!$C:$C,MATCH(BK39,'_names_lookup'!$A:$A,0)),"")</f>
        <v/>
      </c>
      <c r="BM39" s="34">
        <f>IFERROR(INDEX('_names_lookup'!$B:$B,MATCH(BK39,'_names_lookup'!$A:$A,0)),"")</f>
        <v/>
      </c>
      <c r="BN39" s="34" t="n"/>
      <c r="BO39" s="34" t="n"/>
      <c r="BP39" s="34" t="n"/>
      <c r="BQ39" s="34" t="n"/>
      <c r="BR39" s="34" t="n"/>
      <c r="BS39" s="34">
        <f>IFERROR(IF(BR39*AA39=0,"",BR39*AA39),"")</f>
        <v/>
      </c>
      <c r="BT39" s="34" t="n"/>
      <c r="BU39" s="34" t="n"/>
      <c r="BV39" s="34" t="n"/>
      <c r="BW39" s="34" t="n"/>
      <c r="BX39" s="34" t="n"/>
      <c r="BY39" s="34" t="n"/>
      <c r="BZ39" s="34" t="n"/>
      <c r="CA39" s="34" t="n"/>
      <c r="CB39" s="34" t="n"/>
      <c r="CC39" s="34" t="n"/>
      <c r="CD39" s="34" t="n"/>
      <c r="CE39" s="34" t="n"/>
      <c r="CF39" s="34" t="n"/>
      <c r="CG39" s="34" t="n"/>
      <c r="CH39" s="34" t="n"/>
      <c r="CI39" s="34" t="n"/>
      <c r="CJ39" s="34" t="n"/>
      <c r="CK39" s="34" t="n"/>
      <c r="CL39" s="34" t="n"/>
      <c r="CM39" s="34" t="n"/>
      <c r="CN39" s="34" t="n"/>
      <c r="CO39" s="34" t="n"/>
      <c r="CP39" s="34" t="n"/>
      <c r="CQ39" s="34" t="n"/>
      <c r="CR39" s="34" t="n"/>
      <c r="CS39" s="34" t="n"/>
      <c r="CT39" s="34" t="n"/>
      <c r="CU39" s="34" t="n"/>
      <c r="CV39" s="34" t="n"/>
      <c r="CW39" s="34" t="n"/>
      <c r="CX39" s="34" t="n"/>
      <c r="CY39" s="34" t="n"/>
      <c r="CZ39" s="34" t="n"/>
      <c r="DA39" s="34" t="n"/>
      <c r="DB39" s="34" t="n"/>
      <c r="DC39" s="34" t="n"/>
      <c r="DD39" s="34" t="n"/>
      <c r="DE39" s="34" t="n"/>
      <c r="DF39" s="34" t="n"/>
      <c r="DG39" s="34" t="n"/>
      <c r="DH39" s="34" t="n"/>
      <c r="DI39" s="34" t="n"/>
      <c r="DJ39" s="34" t="n"/>
      <c r="DK39" s="34" t="n"/>
      <c r="DL39" s="34" t="n"/>
      <c r="DM39" s="34" t="n"/>
      <c r="DN39" s="34" t="n"/>
      <c r="DO39" s="34" t="n"/>
      <c r="DP39" s="34" t="n"/>
      <c r="DQ39" s="34" t="n"/>
    </row>
    <row r="40" ht="16" customHeight="1">
      <c r="A40" s="38" t="n"/>
      <c r="B40" s="38" t="n"/>
      <c r="C40" s="38" t="n"/>
      <c r="D40" s="38" t="n"/>
      <c r="E40" s="38" t="n"/>
      <c r="F40" s="38" t="n"/>
      <c r="G40" s="38" t="n"/>
      <c r="H40" s="34" t="n"/>
      <c r="I40" s="34" t="n"/>
      <c r="J40" s="34" t="n"/>
      <c r="K40" s="34" t="n"/>
      <c r="L40" s="34" t="n"/>
      <c r="M40" s="34" t="n"/>
      <c r="N40" s="34" t="n"/>
      <c r="O40" s="34">
        <f>IFERROR(INDEX('_courses_lookup'!$C:$C,MATCH(K40&amp;L40,'_courses_lookup'!$E:$E,0)),"")</f>
        <v/>
      </c>
      <c r="P40" s="34">
        <f>IFERROR(INDEX('_courses_lookup'!$D:$D,MATCH(K40&amp;L40,'_courses_lookup'!$E:$E,0)),"")</f>
        <v/>
      </c>
      <c r="Q40" s="34" t="n"/>
      <c r="R40" s="34" t="n"/>
      <c r="S40" s="34" t="n"/>
      <c r="T40" s="34" t="n"/>
      <c r="U40" s="34" t="n"/>
      <c r="V40" s="34" t="n"/>
      <c r="W40" s="34" t="n"/>
      <c r="X40" s="34" t="n"/>
      <c r="Y40" s="30" t="n"/>
      <c r="Z40" s="34" t="n"/>
      <c r="AA40" s="34" t="n"/>
      <c r="AB40" s="34" t="n"/>
      <c r="AC40" s="34" t="n"/>
      <c r="AD40" s="34" t="n"/>
      <c r="AE40" s="34" t="n"/>
      <c r="AF40" s="34" t="n"/>
      <c r="AG40" s="34">
        <f>IF(AND(AE40&lt;&gt;"",AF40&lt;&gt;""),ROUNDUP((AF40-AE40)/7,0),"")</f>
        <v/>
      </c>
      <c r="AH40" s="34" t="n"/>
      <c r="AI40" s="34">
        <f>IFERROR(IF(AG40*AH40=0,"",AG40*AH40),"")</f>
        <v/>
      </c>
      <c r="AJ40" s="34" t="n"/>
      <c r="AK40" s="34" t="n"/>
      <c r="AL40" s="34">
        <f>IF(AND(AJ40&lt;&gt;"",AK40&lt;&gt;""),ROUNDUP((AK40-AJ40)/7,0),"")</f>
        <v/>
      </c>
      <c r="AM40" s="34" t="n"/>
      <c r="AN40" s="34">
        <f>IFERROR(IF(AL40*AM40=0,"",AL40*AM40),"")</f>
        <v/>
      </c>
      <c r="AO40" s="34" t="n"/>
      <c r="AP40" s="34" t="n"/>
      <c r="AQ40" s="34">
        <f>IF(AND(AO40&lt;&gt;"",AP40&lt;&gt;""),ROUNDUP((AP40-AO40)/7,0),"")</f>
        <v/>
      </c>
      <c r="AR40" s="34">
        <f>IFERROR(IF((AU40-(AI40+AN40))/AQ40=0,"",ROUNDUP((AU40-(AI40+AN40))/AQ40,0)),"")</f>
        <v/>
      </c>
      <c r="AS40" s="34">
        <f>IFERROR(IF((AU40-(AI40+AN40))=0,"",(AU40-(AI40+AN40))),"")</f>
        <v/>
      </c>
      <c r="AT40" s="34">
        <f>IF(AND(AG40="",AQ40=""),AL40,IF(SUM(AG40,AL40,AQ40)=0,"",SUM(AG40,AL40,AQ40)))</f>
        <v/>
      </c>
      <c r="AU40" s="34" t="n"/>
      <c r="AV40" s="34" t="n"/>
      <c r="AW40" s="34" t="n"/>
      <c r="AX40" s="34" t="n"/>
      <c r="AY40" s="34" t="n"/>
      <c r="AZ40" s="30" t="n"/>
      <c r="BA40" s="34" t="n"/>
      <c r="BB40" s="34" t="n"/>
      <c r="BC40" s="34" t="n"/>
      <c r="BD40" s="34" t="n"/>
      <c r="BE40" s="34" t="n"/>
      <c r="BF40" s="34" t="n"/>
      <c r="BG40" s="34">
        <f>IF(AD40="","",YEAR(AD40)+IF(MONTH(AD40)&gt;=5,1,0))</f>
        <v/>
      </c>
      <c r="BH40" s="34">
        <f>IF(AD40="","",IF(AND(MONTH(AD40)=8,DAY(AD40)&gt;=15),"Fall",IF(MONTH(AD40)&gt;8,"Fall",IF(MONTH(AD40)=5,"Summer",IF(MONTH(AD40)=1,"Spring","")))))</f>
        <v/>
      </c>
      <c r="BI40" s="34" t="n"/>
      <c r="BJ40" s="34" t="n"/>
      <c r="BK40" s="30">
        <f>IF($BJ40="","",IFERROR(INDEX(InstructorMap!$B:$B, MATCH($BJ40, InstructorMap!$A:$A, 0)),""))</f>
        <v/>
      </c>
      <c r="BL40" s="30">
        <f>IFERROR(INDEX('_names_lookup'!$C:$C,MATCH(BK40,'_names_lookup'!$A:$A,0)),"")</f>
        <v/>
      </c>
      <c r="BM40" s="34">
        <f>IFERROR(INDEX('_names_lookup'!$B:$B,MATCH(BK40,'_names_lookup'!$A:$A,0)),"")</f>
        <v/>
      </c>
      <c r="BN40" s="34" t="n"/>
      <c r="BO40" s="34" t="n"/>
      <c r="BP40" s="34" t="n"/>
      <c r="BQ40" s="34" t="n"/>
      <c r="BR40" s="34" t="n"/>
      <c r="BS40" s="34">
        <f>IFERROR(IF(BR40*AA40=0,"",BR40*AA40),"")</f>
        <v/>
      </c>
      <c r="BT40" s="34" t="n"/>
      <c r="BU40" s="34" t="n"/>
      <c r="BV40" s="34" t="n"/>
      <c r="BW40" s="34" t="n"/>
      <c r="BX40" s="34" t="n"/>
      <c r="BY40" s="34" t="n"/>
      <c r="BZ40" s="34" t="n"/>
      <c r="CA40" s="34" t="n"/>
      <c r="CB40" s="34" t="n"/>
      <c r="CC40" s="34" t="n"/>
      <c r="CD40" s="34" t="n"/>
      <c r="CE40" s="34" t="n"/>
      <c r="CF40" s="34" t="n"/>
      <c r="CG40" s="34" t="n"/>
      <c r="CH40" s="34" t="n"/>
      <c r="CI40" s="34" t="n"/>
      <c r="CJ40" s="34" t="n"/>
      <c r="CK40" s="34" t="n"/>
      <c r="CL40" s="34" t="n"/>
      <c r="CM40" s="34" t="n"/>
      <c r="CN40" s="34" t="n"/>
      <c r="CO40" s="34" t="n"/>
      <c r="CP40" s="34" t="n"/>
      <c r="CQ40" s="34" t="n"/>
      <c r="CR40" s="34" t="n"/>
      <c r="CS40" s="34" t="n"/>
      <c r="CT40" s="34" t="n"/>
      <c r="CU40" s="34" t="n"/>
      <c r="CV40" s="34" t="n"/>
      <c r="CW40" s="34" t="n"/>
      <c r="CX40" s="34" t="n"/>
      <c r="CY40" s="34" t="n"/>
      <c r="CZ40" s="34" t="n"/>
      <c r="DA40" s="34" t="n"/>
      <c r="DB40" s="34" t="n"/>
      <c r="DC40" s="34" t="n"/>
      <c r="DD40" s="34" t="n"/>
      <c r="DE40" s="34" t="n"/>
      <c r="DF40" s="34" t="n"/>
      <c r="DG40" s="34" t="n"/>
      <c r="DH40" s="34" t="n"/>
      <c r="DI40" s="34" t="n"/>
      <c r="DJ40" s="34" t="n"/>
      <c r="DK40" s="34" t="n"/>
      <c r="DL40" s="34" t="n"/>
      <c r="DM40" s="34" t="n"/>
      <c r="DN40" s="34" t="n"/>
      <c r="DO40" s="34" t="n"/>
      <c r="DP40" s="34" t="n"/>
      <c r="DQ40" s="34" t="n"/>
    </row>
    <row r="41">
      <c r="O41">
        <f>IFERROR(INDEX('_courses_lookup'!$C:$C,MATCH(K41&amp;L41,'_courses_lookup'!$E:$E,0)),"")</f>
        <v/>
      </c>
      <c r="P41">
        <f>IFERROR(INDEX('_courses_lookup'!$D:$D,MATCH(K41&amp;L41,'_courses_lookup'!$E:$E,0)),"")</f>
        <v/>
      </c>
      <c r="AG41">
        <f>IF(AND(AE41&lt;&gt;"",AF41&lt;&gt;""),ROUNDUP((AF41-AE41)/7,0),"")</f>
        <v/>
      </c>
      <c r="AI41">
        <f>IFERROR(IF(AG41*AH41=0,"",AG41*AH41),"")</f>
        <v/>
      </c>
      <c r="AL41">
        <f>IF(AND(AJ41&lt;&gt;"",AK41&lt;&gt;""),ROUNDUP((AK41-AJ41)/7,0),"")</f>
        <v/>
      </c>
      <c r="AN41">
        <f>IFERROR(IF(AL41*AM41=0,"",AL41*AM41),"")</f>
        <v/>
      </c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L41">
        <f>IFERROR(INDEX('_names_lookup'!$C:$C,MATCH(BK41,'_names_lookup'!$A:$A,0)),"")</f>
        <v/>
      </c>
      <c r="BM41">
        <f>IFERROR(INDEX('_names_lookup'!$B:$B,MATCH(BK41,'_names_lookup'!$A:$A,0)),"")</f>
        <v/>
      </c>
      <c r="BS41">
        <f>IFERROR(IF(BR41*AA41=0,"",BR41*AA41),"")</f>
        <v/>
      </c>
    </row>
    <row r="42">
      <c r="O42">
        <f>IFERROR(INDEX('_courses_lookup'!$C:$C,MATCH(K42&amp;L42,'_courses_lookup'!$E:$E,0)),"")</f>
        <v/>
      </c>
      <c r="P42">
        <f>IFERROR(INDEX('_courses_lookup'!$D:$D,MATCH(K42&amp;L42,'_courses_lookup'!$E:$E,0)),"")</f>
        <v/>
      </c>
      <c r="AG42">
        <f>IF(AND(AE42&lt;&gt;"",AF42&lt;&gt;""),ROUNDUP((AF42-AE42)/7,0),"")</f>
        <v/>
      </c>
      <c r="AI42">
        <f>IFERROR(IF(AG42*AH42=0,"",AG42*AH42),"")</f>
        <v/>
      </c>
      <c r="AL42">
        <f>IF(AND(AJ42&lt;&gt;"",AK42&lt;&gt;""),ROUNDUP((AK42-AJ42)/7,0),"")</f>
        <v/>
      </c>
      <c r="AN42">
        <f>IFERROR(IF(AL42*AM42=0,"",AL42*AM42),"")</f>
        <v/>
      </c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L42">
        <f>IFERROR(INDEX('_names_lookup'!$C:$C,MATCH(BK42,'_names_lookup'!$A:$A,0)),"")</f>
        <v/>
      </c>
      <c r="BM42">
        <f>IFERROR(INDEX('_names_lookup'!$B:$B,MATCH(BK42,'_names_lookup'!$A:$A,0)),"")</f>
        <v/>
      </c>
      <c r="BS42">
        <f>IFERROR(IF(BR42*AA42=0,"",BR42*AA42),"")</f>
        <v/>
      </c>
    </row>
    <row r="43">
      <c r="O43">
        <f>IFERROR(INDEX('_courses_lookup'!$C:$C,MATCH(K43&amp;L43,'_courses_lookup'!$E:$E,0)),"")</f>
        <v/>
      </c>
      <c r="P43">
        <f>IFERROR(INDEX('_courses_lookup'!$D:$D,MATCH(K43&amp;L43,'_courses_lookup'!$E:$E,0)),"")</f>
        <v/>
      </c>
      <c r="AG43">
        <f>IF(AND(AE43&lt;&gt;"",AF43&lt;&gt;""),ROUNDUP((AF43-AE43)/7,0),"")</f>
        <v/>
      </c>
      <c r="AI43">
        <f>IFERROR(IF(AG43*AH43=0,"",AG43*AH43),"")</f>
        <v/>
      </c>
      <c r="AL43">
        <f>IF(AND(AJ43&lt;&gt;"",AK43&lt;&gt;""),ROUNDUP((AK43-AJ43)/7,0),"")</f>
        <v/>
      </c>
      <c r="AN43">
        <f>IFERROR(IF(AL43*AM43=0,"",AL43*AM43),"")</f>
        <v/>
      </c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L43">
        <f>IFERROR(INDEX('_names_lookup'!$C:$C,MATCH(BK43,'_names_lookup'!$A:$A,0)),"")</f>
        <v/>
      </c>
      <c r="BM43">
        <f>IFERROR(INDEX('_names_lookup'!$B:$B,MATCH(BK43,'_names_lookup'!$A:$A,0)),"")</f>
        <v/>
      </c>
      <c r="BS43">
        <f>IFERROR(IF(BR43*AA43=0,"",BR43*AA43),"")</f>
        <v/>
      </c>
    </row>
    <row r="44">
      <c r="O44">
        <f>IFERROR(INDEX('_courses_lookup'!$C:$C,MATCH(K44&amp;L44,'_courses_lookup'!$E:$E,0)),"")</f>
        <v/>
      </c>
      <c r="P44">
        <f>IFERROR(INDEX('_courses_lookup'!$D:$D,MATCH(K44&amp;L44,'_courses_lookup'!$E:$E,0)),"")</f>
        <v/>
      </c>
      <c r="AG44">
        <f>IF(AND(AE44&lt;&gt;"",AF44&lt;&gt;""),ROUNDUP((AF44-AE44)/7,0),"")</f>
        <v/>
      </c>
      <c r="AI44">
        <f>IFERROR(IF(AG44*AH44=0,"",AG44*AH44),"")</f>
        <v/>
      </c>
      <c r="AL44">
        <f>IF(AND(AJ44&lt;&gt;"",AK44&lt;&gt;""),ROUNDUP((AK44-AJ44)/7,0),"")</f>
        <v/>
      </c>
      <c r="AN44">
        <f>IFERROR(IF(AL44*AM44=0,"",AL44*AM44),"")</f>
        <v/>
      </c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L44">
        <f>IFERROR(INDEX('_names_lookup'!$C:$C,MATCH(BK44,'_names_lookup'!$A:$A,0)),"")</f>
        <v/>
      </c>
      <c r="BM44">
        <f>IFERROR(INDEX('_names_lookup'!$B:$B,MATCH(BK44,'_names_lookup'!$A:$A,0)),"")</f>
        <v/>
      </c>
      <c r="BS44">
        <f>IFERROR(IF(BR44*AA44=0,"",BR44*AA44),"")</f>
        <v/>
      </c>
    </row>
    <row r="45">
      <c r="O45">
        <f>IFERROR(INDEX('_courses_lookup'!$C:$C,MATCH(K45&amp;L45,'_courses_lookup'!$E:$E,0)),"")</f>
        <v/>
      </c>
      <c r="P45">
        <f>IFERROR(INDEX('_courses_lookup'!$D:$D,MATCH(K45&amp;L45,'_courses_lookup'!$E:$E,0)),"")</f>
        <v/>
      </c>
      <c r="AG45">
        <f>IF(AND(AE45&lt;&gt;"",AF45&lt;&gt;""),ROUNDUP((AF45-AE45)/7,0),"")</f>
        <v/>
      </c>
      <c r="AI45">
        <f>IFERROR(IF(AG45*AH45=0,"",AG45*AH45),"")</f>
        <v/>
      </c>
      <c r="AL45">
        <f>IF(AND(AJ45&lt;&gt;"",AK45&lt;&gt;""),ROUNDUP((AK45-AJ45)/7,0),"")</f>
        <v/>
      </c>
      <c r="AN45">
        <f>IFERROR(IF(AL45*AM45=0,"",AL45*AM45),"")</f>
        <v/>
      </c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L45">
        <f>IFERROR(INDEX('_names_lookup'!$C:$C,MATCH(BK45,'_names_lookup'!$A:$A,0)),"")</f>
        <v/>
      </c>
      <c r="BM45">
        <f>IFERROR(INDEX('_names_lookup'!$B:$B,MATCH(BK45,'_names_lookup'!$A:$A,0)),"")</f>
        <v/>
      </c>
      <c r="BS45">
        <f>IFERROR(IF(BR45*AA45=0,"",BR45*AA45),"")</f>
        <v/>
      </c>
    </row>
    <row r="46">
      <c r="O46">
        <f>IFERROR(INDEX('_courses_lookup'!$C:$C,MATCH(K46&amp;L46,'_courses_lookup'!$E:$E,0)),"")</f>
        <v/>
      </c>
      <c r="P46">
        <f>IFERROR(INDEX('_courses_lookup'!$D:$D,MATCH(K46&amp;L46,'_courses_lookup'!$E:$E,0)),"")</f>
        <v/>
      </c>
      <c r="AG46">
        <f>IF(AND(AE46&lt;&gt;"",AF46&lt;&gt;""),ROUNDUP((AF46-AE46)/7,0),"")</f>
        <v/>
      </c>
      <c r="AI46">
        <f>IFERROR(IF(AG46*AH46=0,"",AG46*AH46),"")</f>
        <v/>
      </c>
      <c r="AL46">
        <f>IF(AND(AJ46&lt;&gt;"",AK46&lt;&gt;""),ROUNDUP((AK46-AJ46)/7,0),"")</f>
        <v/>
      </c>
      <c r="AN46">
        <f>IFERROR(IF(AL46*AM46=0,"",AL46*AM46),"")</f>
        <v/>
      </c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L46">
        <f>IFERROR(INDEX('_names_lookup'!$C:$C,MATCH(BK46,'_names_lookup'!$A:$A,0)),"")</f>
        <v/>
      </c>
      <c r="BM46">
        <f>IFERROR(INDEX('_names_lookup'!$B:$B,MATCH(BK46,'_names_lookup'!$A:$A,0)),"")</f>
        <v/>
      </c>
      <c r="BS46">
        <f>IFERROR(IF(BR46*AA46=0,"",BR46*AA46),"")</f>
        <v/>
      </c>
    </row>
    <row r="47">
      <c r="O47">
        <f>IFERROR(INDEX('_courses_lookup'!$C:$C,MATCH(K47&amp;L47,'_courses_lookup'!$E:$E,0)),"")</f>
        <v/>
      </c>
      <c r="P47">
        <f>IFERROR(INDEX('_courses_lookup'!$D:$D,MATCH(K47&amp;L47,'_courses_lookup'!$E:$E,0)),"")</f>
        <v/>
      </c>
      <c r="AG47">
        <f>IF(AND(AE47&lt;&gt;"",AF47&lt;&gt;""),ROUNDUP((AF47-AE47)/7,0),"")</f>
        <v/>
      </c>
      <c r="AI47">
        <f>IFERROR(IF(AG47*AH47=0,"",AG47*AH47),"")</f>
        <v/>
      </c>
      <c r="AL47">
        <f>IF(AND(AJ47&lt;&gt;"",AK47&lt;&gt;""),ROUNDUP((AK47-AJ47)/7,0),"")</f>
        <v/>
      </c>
      <c r="AN47">
        <f>IFERROR(IF(AL47*AM47=0,"",AL47*AM47),"")</f>
        <v/>
      </c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L47">
        <f>IFERROR(INDEX('_names_lookup'!$C:$C,MATCH(BK47,'_names_lookup'!$A:$A,0)),"")</f>
        <v/>
      </c>
      <c r="BM47">
        <f>IFERROR(INDEX('_names_lookup'!$B:$B,MATCH(BK47,'_names_lookup'!$A:$A,0)),"")</f>
        <v/>
      </c>
      <c r="BS47">
        <f>IFERROR(IF(BR47*AA47=0,"",BR47*AA47),"")</f>
        <v/>
      </c>
    </row>
    <row r="48">
      <c r="O48">
        <f>IFERROR(INDEX('_courses_lookup'!$C:$C,MATCH(K48&amp;L48,'_courses_lookup'!$E:$E,0)),"")</f>
        <v/>
      </c>
      <c r="P48">
        <f>IFERROR(INDEX('_courses_lookup'!$D:$D,MATCH(K48&amp;L48,'_courses_lookup'!$E:$E,0)),"")</f>
        <v/>
      </c>
      <c r="AG48">
        <f>IF(AND(AE48&lt;&gt;"",AF48&lt;&gt;""),ROUNDUP((AF48-AE48)/7,0),"")</f>
        <v/>
      </c>
      <c r="AI48">
        <f>IFERROR(IF(AG48*AH48=0,"",AG48*AH48),"")</f>
        <v/>
      </c>
      <c r="AL48">
        <f>IF(AND(AJ48&lt;&gt;"",AK48&lt;&gt;""),ROUNDUP((AK48-AJ48)/7,0),"")</f>
        <v/>
      </c>
      <c r="AN48">
        <f>IFERROR(IF(AL48*AM48=0,"",AL48*AM48),"")</f>
        <v/>
      </c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L48">
        <f>IFERROR(INDEX('_names_lookup'!$C:$C,MATCH(BK48,'_names_lookup'!$A:$A,0)),"")</f>
        <v/>
      </c>
      <c r="BM48">
        <f>IFERROR(INDEX('_names_lookup'!$B:$B,MATCH(BK48,'_names_lookup'!$A:$A,0)),"")</f>
        <v/>
      </c>
      <c r="BS48">
        <f>IFERROR(IF(BR48*AA48=0,"",BR48*AA48),"")</f>
        <v/>
      </c>
    </row>
    <row r="49">
      <c r="O49">
        <f>IFERROR(INDEX('_courses_lookup'!$C:$C,MATCH(K49&amp;L49,'_courses_lookup'!$E:$E,0)),"")</f>
        <v/>
      </c>
      <c r="P49">
        <f>IFERROR(INDEX('_courses_lookup'!$D:$D,MATCH(K49&amp;L49,'_courses_lookup'!$E:$E,0)),"")</f>
        <v/>
      </c>
      <c r="AG49">
        <f>IF(AND(AE49&lt;&gt;"",AF49&lt;&gt;""),ROUNDUP((AF49-AE49)/7,0),"")</f>
        <v/>
      </c>
      <c r="AI49">
        <f>IFERROR(IF(AG49*AH49=0,"",AG49*AH49),"")</f>
        <v/>
      </c>
      <c r="AL49">
        <f>IF(AND(AJ49&lt;&gt;"",AK49&lt;&gt;""),ROUNDUP((AK49-AJ49)/7,0),"")</f>
        <v/>
      </c>
      <c r="AN49">
        <f>IFERROR(IF(AL49*AM49=0,"",AL49*AM49),"")</f>
        <v/>
      </c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L49">
        <f>IFERROR(INDEX('_names_lookup'!$C:$C,MATCH(BK49,'_names_lookup'!$A:$A,0)),"")</f>
        <v/>
      </c>
      <c r="BM49">
        <f>IFERROR(INDEX('_names_lookup'!$B:$B,MATCH(BK49,'_names_lookup'!$A:$A,0)),"")</f>
        <v/>
      </c>
      <c r="BS49">
        <f>IFERROR(IF(BR49*AA49=0,"",BR49*AA49),"")</f>
        <v/>
      </c>
    </row>
    <row r="50">
      <c r="O50">
        <f>IFERROR(INDEX('_courses_lookup'!$C:$C,MATCH(K50&amp;L50,'_courses_lookup'!$E:$E,0)),"")</f>
        <v/>
      </c>
      <c r="P50">
        <f>IFERROR(INDEX('_courses_lookup'!$D:$D,MATCH(K50&amp;L50,'_courses_lookup'!$E:$E,0)),"")</f>
        <v/>
      </c>
      <c r="AG50">
        <f>IF(AND(AE50&lt;&gt;"",AF50&lt;&gt;""),ROUNDUP((AF50-AE50)/7,0),"")</f>
        <v/>
      </c>
      <c r="AI50">
        <f>IFERROR(IF(AG50*AH50=0,"",AG50*AH50),"")</f>
        <v/>
      </c>
      <c r="AL50">
        <f>IF(AND(AJ50&lt;&gt;"",AK50&lt;&gt;""),ROUNDUP((AK50-AJ50)/7,0),"")</f>
        <v/>
      </c>
      <c r="AN50">
        <f>IFERROR(IF(AL50*AM50=0,"",AL50*AM50),"")</f>
        <v/>
      </c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L50">
        <f>IFERROR(INDEX('_names_lookup'!$C:$C,MATCH(BK50,'_names_lookup'!$A:$A,0)),"")</f>
        <v/>
      </c>
      <c r="BM50">
        <f>IFERROR(INDEX('_names_lookup'!$B:$B,MATCH(BK50,'_names_lookup'!$A:$A,0)),"")</f>
        <v/>
      </c>
      <c r="BS50">
        <f>IFERROR(IF(BR50*AA50=0,"",BR50*AA50),"")</f>
        <v/>
      </c>
    </row>
    <row r="51">
      <c r="O51">
        <f>IFERROR(INDEX('_courses_lookup'!$C:$C,MATCH(K51&amp;L51,'_courses_lookup'!$E:$E,0)),"")</f>
        <v/>
      </c>
      <c r="P51">
        <f>IFERROR(INDEX('_courses_lookup'!$D:$D,MATCH(K51&amp;L51,'_courses_lookup'!$E:$E,0)),"")</f>
        <v/>
      </c>
      <c r="AG51">
        <f>IF(AND(AE51&lt;&gt;"",AF51&lt;&gt;""),ROUNDUP((AF51-AE51)/7,0),"")</f>
        <v/>
      </c>
      <c r="AI51">
        <f>IFERROR(IF(AG51*AH51=0,"",AG51*AH51),"")</f>
        <v/>
      </c>
      <c r="AL51">
        <f>IF(AND(AJ51&lt;&gt;"",AK51&lt;&gt;""),ROUNDUP((AK51-AJ51)/7,0),"")</f>
        <v/>
      </c>
      <c r="AN51">
        <f>IFERROR(IF(AL51*AM51=0,"",AL51*AM51),"")</f>
        <v/>
      </c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L51">
        <f>IFERROR(INDEX('_names_lookup'!$C:$C,MATCH(BK51,'_names_lookup'!$A:$A,0)),"")</f>
        <v/>
      </c>
      <c r="BM51">
        <f>IFERROR(INDEX('_names_lookup'!$B:$B,MATCH(BK51,'_names_lookup'!$A:$A,0)),"")</f>
        <v/>
      </c>
      <c r="BS51">
        <f>IFERROR(IF(BR51*AA51=0,"",BR51*AA51),"")</f>
        <v/>
      </c>
    </row>
    <row r="52">
      <c r="O52">
        <f>IFERROR(INDEX('_courses_lookup'!$C:$C,MATCH(K52&amp;L52,'_courses_lookup'!$E:$E,0)),"")</f>
        <v/>
      </c>
      <c r="P52">
        <f>IFERROR(INDEX('_courses_lookup'!$D:$D,MATCH(K52&amp;L52,'_courses_lookup'!$E:$E,0)),"")</f>
        <v/>
      </c>
      <c r="AG52">
        <f>IF(AND(AE52&lt;&gt;"",AF52&lt;&gt;""),ROUNDUP((AF52-AE52)/7,0),"")</f>
        <v/>
      </c>
      <c r="AI52">
        <f>IFERROR(IF(AG52*AH52=0,"",AG52*AH52),"")</f>
        <v/>
      </c>
      <c r="AL52">
        <f>IF(AND(AJ52&lt;&gt;"",AK52&lt;&gt;""),ROUNDUP((AK52-AJ52)/7,0),"")</f>
        <v/>
      </c>
      <c r="AN52">
        <f>IFERROR(IF(AL52*AM52=0,"",AL52*AM52),"")</f>
        <v/>
      </c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L52">
        <f>IFERROR(INDEX('_names_lookup'!$C:$C,MATCH(BK52,'_names_lookup'!$A:$A,0)),"")</f>
        <v/>
      </c>
      <c r="BM52">
        <f>IFERROR(INDEX('_names_lookup'!$B:$B,MATCH(BK52,'_names_lookup'!$A:$A,0)),"")</f>
        <v/>
      </c>
      <c r="BS52">
        <f>IFERROR(IF(BR52*AA52=0,"",BR52*AA52),"")</f>
        <v/>
      </c>
    </row>
    <row r="53">
      <c r="O53">
        <f>IFERROR(INDEX('_courses_lookup'!$C:$C,MATCH(K53&amp;L53,'_courses_lookup'!$E:$E,0)),"")</f>
        <v/>
      </c>
      <c r="P53">
        <f>IFERROR(INDEX('_courses_lookup'!$D:$D,MATCH(K53&amp;L53,'_courses_lookup'!$E:$E,0)),"")</f>
        <v/>
      </c>
      <c r="AG53">
        <f>IF(AND(AE53&lt;&gt;"",AF53&lt;&gt;""),ROUNDUP((AF53-AE53)/7,0),"")</f>
        <v/>
      </c>
      <c r="AI53">
        <f>IFERROR(IF(AG53*AH53=0,"",AG53*AH53),"")</f>
        <v/>
      </c>
      <c r="AL53">
        <f>IF(AND(AJ53&lt;&gt;"",AK53&lt;&gt;""),ROUNDUP((AK53-AJ53)/7,0),"")</f>
        <v/>
      </c>
      <c r="AN53">
        <f>IFERROR(IF(AL53*AM53=0,"",AL53*AM53),"")</f>
        <v/>
      </c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L53">
        <f>IFERROR(INDEX('_names_lookup'!$C:$C,MATCH(BK53,'_names_lookup'!$A:$A,0)),"")</f>
        <v/>
      </c>
      <c r="BM53">
        <f>IFERROR(INDEX('_names_lookup'!$B:$B,MATCH(BK53,'_names_lookup'!$A:$A,0)),"")</f>
        <v/>
      </c>
      <c r="BS53">
        <f>IFERROR(IF(BR53*AA53=0,"",BR53*AA53),"")</f>
        <v/>
      </c>
    </row>
    <row r="54">
      <c r="O54">
        <f>IFERROR(INDEX('_courses_lookup'!$C:$C,MATCH(K54&amp;L54,'_courses_lookup'!$E:$E,0)),"")</f>
        <v/>
      </c>
      <c r="P54">
        <f>IFERROR(INDEX('_courses_lookup'!$D:$D,MATCH(K54&amp;L54,'_courses_lookup'!$E:$E,0)),"")</f>
        <v/>
      </c>
      <c r="AG54">
        <f>IF(AND(AE54&lt;&gt;"",AF54&lt;&gt;""),ROUNDUP((AF54-AE54)/7,0),"")</f>
        <v/>
      </c>
      <c r="AI54">
        <f>IFERROR(IF(AG54*AH54=0,"",AG54*AH54),"")</f>
        <v/>
      </c>
      <c r="AL54">
        <f>IF(AND(AJ54&lt;&gt;"",AK54&lt;&gt;""),ROUNDUP((AK54-AJ54)/7,0),"")</f>
        <v/>
      </c>
      <c r="AN54">
        <f>IFERROR(IF(AL54*AM54=0,"",AL54*AM54),"")</f>
        <v/>
      </c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L54">
        <f>IFERROR(INDEX('_names_lookup'!$C:$C,MATCH(BK54,'_names_lookup'!$A:$A,0)),"")</f>
        <v/>
      </c>
      <c r="BM54">
        <f>IFERROR(INDEX('_names_lookup'!$B:$B,MATCH(BK54,'_names_lookup'!$A:$A,0)),"")</f>
        <v/>
      </c>
      <c r="BS54">
        <f>IFERROR(IF(BR54*AA54=0,"",BR54*AA54),"")</f>
        <v/>
      </c>
    </row>
    <row r="55">
      <c r="O55">
        <f>IFERROR(INDEX('_courses_lookup'!$C:$C,MATCH(K55&amp;L55,'_courses_lookup'!$E:$E,0)),"")</f>
        <v/>
      </c>
      <c r="P55">
        <f>IFERROR(INDEX('_courses_lookup'!$D:$D,MATCH(K55&amp;L55,'_courses_lookup'!$E:$E,0)),"")</f>
        <v/>
      </c>
      <c r="AG55">
        <f>IF(AND(AE55&lt;&gt;"",AF55&lt;&gt;""),ROUNDUP((AF55-AE55)/7,0),"")</f>
        <v/>
      </c>
      <c r="AI55">
        <f>IFERROR(IF(AG55*AH55=0,"",AG55*AH55),"")</f>
        <v/>
      </c>
      <c r="AL55">
        <f>IF(AND(AJ55&lt;&gt;"",AK55&lt;&gt;""),ROUNDUP((AK55-AJ55)/7,0),"")</f>
        <v/>
      </c>
      <c r="AN55">
        <f>IFERROR(IF(AL55*AM55=0,"",AL55*AM55),"")</f>
        <v/>
      </c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L55">
        <f>IFERROR(INDEX('_names_lookup'!$C:$C,MATCH(BK55,'_names_lookup'!$A:$A,0)),"")</f>
        <v/>
      </c>
      <c r="BM55">
        <f>IFERROR(INDEX('_names_lookup'!$B:$B,MATCH(BK55,'_names_lookup'!$A:$A,0)),"")</f>
        <v/>
      </c>
      <c r="BS55">
        <f>IFERROR(IF(BR55*AA55=0,"",BR55*AA55),"")</f>
        <v/>
      </c>
    </row>
    <row r="56">
      <c r="O56">
        <f>IFERROR(INDEX('_courses_lookup'!$C:$C,MATCH(K56&amp;L56,'_courses_lookup'!$E:$E,0)),"")</f>
        <v/>
      </c>
      <c r="P56">
        <f>IFERROR(INDEX('_courses_lookup'!$D:$D,MATCH(K56&amp;L56,'_courses_lookup'!$E:$E,0)),"")</f>
        <v/>
      </c>
      <c r="AG56">
        <f>IF(AND(AE56&lt;&gt;"",AF56&lt;&gt;""),ROUNDUP((AF56-AE56)/7,0),"")</f>
        <v/>
      </c>
      <c r="AI56">
        <f>IFERROR(IF(AG56*AH56=0,"",AG56*AH56),"")</f>
        <v/>
      </c>
      <c r="AL56">
        <f>IF(AND(AJ56&lt;&gt;"",AK56&lt;&gt;""),ROUNDUP((AK56-AJ56)/7,0),"")</f>
        <v/>
      </c>
      <c r="AN56">
        <f>IFERROR(IF(AL56*AM56=0,"",AL56*AM56),"")</f>
        <v/>
      </c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L56">
        <f>IFERROR(INDEX('_names_lookup'!$C:$C,MATCH(BK56,'_names_lookup'!$A:$A,0)),"")</f>
        <v/>
      </c>
      <c r="BM56">
        <f>IFERROR(INDEX('_names_lookup'!$B:$B,MATCH(BK56,'_names_lookup'!$A:$A,0)),"")</f>
        <v/>
      </c>
      <c r="BS56">
        <f>IFERROR(IF(BR56*AA56=0,"",BR56*AA56),"")</f>
        <v/>
      </c>
    </row>
    <row r="57">
      <c r="O57">
        <f>IFERROR(INDEX('_courses_lookup'!$C:$C,MATCH(K57&amp;L57,'_courses_lookup'!$E:$E,0)),"")</f>
        <v/>
      </c>
      <c r="P57">
        <f>IFERROR(INDEX('_courses_lookup'!$D:$D,MATCH(K57&amp;L57,'_courses_lookup'!$E:$E,0)),"")</f>
        <v/>
      </c>
      <c r="AG57">
        <f>IF(AND(AE57&lt;&gt;"",AF57&lt;&gt;""),ROUNDUP((AF57-AE57)/7,0),"")</f>
        <v/>
      </c>
      <c r="AI57">
        <f>IFERROR(IF(AG57*AH57=0,"",AG57*AH57),"")</f>
        <v/>
      </c>
      <c r="AL57">
        <f>IF(AND(AJ57&lt;&gt;"",AK57&lt;&gt;""),ROUNDUP((AK57-AJ57)/7,0),"")</f>
        <v/>
      </c>
      <c r="AN57">
        <f>IFERROR(IF(AL57*AM57=0,"",AL57*AM57),"")</f>
        <v/>
      </c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L57">
        <f>IFERROR(INDEX('_names_lookup'!$C:$C,MATCH(BK57,'_names_lookup'!$A:$A,0)),"")</f>
        <v/>
      </c>
      <c r="BM57">
        <f>IFERROR(INDEX('_names_lookup'!$B:$B,MATCH(BK57,'_names_lookup'!$A:$A,0)),"")</f>
        <v/>
      </c>
      <c r="BS57">
        <f>IFERROR(IF(BR57*AA57=0,"",BR57*AA57),"")</f>
        <v/>
      </c>
    </row>
    <row r="58">
      <c r="O58">
        <f>IFERROR(INDEX('_courses_lookup'!$C:$C,MATCH(K58&amp;L58,'_courses_lookup'!$E:$E,0)),"")</f>
        <v/>
      </c>
      <c r="P58">
        <f>IFERROR(INDEX('_courses_lookup'!$D:$D,MATCH(K58&amp;L58,'_courses_lookup'!$E:$E,0)),"")</f>
        <v/>
      </c>
      <c r="AG58">
        <f>IF(AND(AE58&lt;&gt;"",AF58&lt;&gt;""),ROUNDUP((AF58-AE58)/7,0),"")</f>
        <v/>
      </c>
      <c r="AI58">
        <f>IFERROR(IF(AG58*AH58=0,"",AG58*AH58),"")</f>
        <v/>
      </c>
      <c r="AL58">
        <f>IF(AND(AJ58&lt;&gt;"",AK58&lt;&gt;""),ROUNDUP((AK58-AJ58)/7,0),"")</f>
        <v/>
      </c>
      <c r="AN58">
        <f>IFERROR(IF(AL58*AM58=0,"",AL58*AM58),"")</f>
        <v/>
      </c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L58">
        <f>IFERROR(INDEX('_names_lookup'!$C:$C,MATCH(BK58,'_names_lookup'!$A:$A,0)),"")</f>
        <v/>
      </c>
      <c r="BM58">
        <f>IFERROR(INDEX('_names_lookup'!$B:$B,MATCH(BK58,'_names_lookup'!$A:$A,0)),"")</f>
        <v/>
      </c>
      <c r="BS58">
        <f>IFERROR(IF(BR58*AA58=0,"",BR58*AA58),"")</f>
        <v/>
      </c>
    </row>
    <row r="59">
      <c r="O59">
        <f>IFERROR(INDEX('_courses_lookup'!$C:$C,MATCH(K59&amp;L59,'_courses_lookup'!$E:$E,0)),"")</f>
        <v/>
      </c>
      <c r="P59">
        <f>IFERROR(INDEX('_courses_lookup'!$D:$D,MATCH(K59&amp;L59,'_courses_lookup'!$E:$E,0)),"")</f>
        <v/>
      </c>
      <c r="AG59">
        <f>IF(AND(AE59&lt;&gt;"",AF59&lt;&gt;""),ROUNDUP((AF59-AE59)/7,0),"")</f>
        <v/>
      </c>
      <c r="AI59">
        <f>IFERROR(IF(AG59*AH59=0,"",AG59*AH59),"")</f>
        <v/>
      </c>
      <c r="AL59">
        <f>IF(AND(AJ59&lt;&gt;"",AK59&lt;&gt;""),ROUNDUP((AK59-AJ59)/7,0),"")</f>
        <v/>
      </c>
      <c r="AN59">
        <f>IFERROR(IF(AL59*AM59=0,"",AL59*AM59),"")</f>
        <v/>
      </c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L59">
        <f>IFERROR(INDEX('_names_lookup'!$C:$C,MATCH(BK59,'_names_lookup'!$A:$A,0)),"")</f>
        <v/>
      </c>
      <c r="BM59">
        <f>IFERROR(INDEX('_names_lookup'!$B:$B,MATCH(BK59,'_names_lookup'!$A:$A,0)),"")</f>
        <v/>
      </c>
      <c r="BS59">
        <f>IFERROR(IF(BR59*AA59=0,"",BR59*AA59),"")</f>
        <v/>
      </c>
    </row>
    <row r="60">
      <c r="O60">
        <f>IFERROR(INDEX('_courses_lookup'!$C:$C,MATCH(K60&amp;L60,'_courses_lookup'!$E:$E,0)),"")</f>
        <v/>
      </c>
      <c r="P60">
        <f>IFERROR(INDEX('_courses_lookup'!$D:$D,MATCH(K60&amp;L60,'_courses_lookup'!$E:$E,0)),"")</f>
        <v/>
      </c>
      <c r="AG60">
        <f>IF(AND(AE60&lt;&gt;"",AF60&lt;&gt;""),ROUNDUP((AF60-AE60)/7,0),"")</f>
        <v/>
      </c>
      <c r="AI60">
        <f>IFERROR(IF(AG60*AH60=0,"",AG60*AH60),"")</f>
        <v/>
      </c>
      <c r="AL60">
        <f>IF(AND(AJ60&lt;&gt;"",AK60&lt;&gt;""),ROUNDUP((AK60-AJ60)/7,0),"")</f>
        <v/>
      </c>
      <c r="AN60">
        <f>IFERROR(IF(AL60*AM60=0,"",AL60*AM60),"")</f>
        <v/>
      </c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L60">
        <f>IFERROR(INDEX('_names_lookup'!$C:$C,MATCH(BK60,'_names_lookup'!$A:$A,0)),"")</f>
        <v/>
      </c>
      <c r="BM60">
        <f>IFERROR(INDEX('_names_lookup'!$B:$B,MATCH(BK60,'_names_lookup'!$A:$A,0)),"")</f>
        <v/>
      </c>
      <c r="BS60">
        <f>IFERROR(IF(BR60*AA60=0,"",BR60*AA60),"")</f>
        <v/>
      </c>
    </row>
    <row r="61">
      <c r="O61">
        <f>IFERROR(INDEX('_courses_lookup'!$C:$C,MATCH(K61&amp;L61,'_courses_lookup'!$E:$E,0)),"")</f>
        <v/>
      </c>
      <c r="P61">
        <f>IFERROR(INDEX('_courses_lookup'!$D:$D,MATCH(K61&amp;L61,'_courses_lookup'!$E:$E,0)),"")</f>
        <v/>
      </c>
      <c r="AG61">
        <f>IF(AND(AE61&lt;&gt;"",AF61&lt;&gt;""),ROUNDUP((AF61-AE61)/7,0),"")</f>
        <v/>
      </c>
      <c r="AI61">
        <f>IFERROR(IF(AG61*AH61=0,"",AG61*AH61),"")</f>
        <v/>
      </c>
      <c r="AL61">
        <f>IF(AND(AJ61&lt;&gt;"",AK61&lt;&gt;""),ROUNDUP((AK61-AJ61)/7,0),"")</f>
        <v/>
      </c>
      <c r="AN61">
        <f>IFERROR(IF(AL61*AM61=0,"",AL61*AM61),"")</f>
        <v/>
      </c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L61">
        <f>IFERROR(INDEX('_names_lookup'!$C:$C,MATCH(BK61,'_names_lookup'!$A:$A,0)),"")</f>
        <v/>
      </c>
      <c r="BM61">
        <f>IFERROR(INDEX('_names_lookup'!$B:$B,MATCH(BK61,'_names_lookup'!$A:$A,0)),"")</f>
        <v/>
      </c>
      <c r="BS61">
        <f>IFERROR(IF(BR61*AA61=0,"",BR61*AA61),"")</f>
        <v/>
      </c>
    </row>
    <row r="62">
      <c r="O62">
        <f>IFERROR(INDEX('_courses_lookup'!$C:$C,MATCH(K62&amp;L62,'_courses_lookup'!$E:$E,0)),"")</f>
        <v/>
      </c>
      <c r="P62">
        <f>IFERROR(INDEX('_courses_lookup'!$D:$D,MATCH(K62&amp;L62,'_courses_lookup'!$E:$E,0)),"")</f>
        <v/>
      </c>
      <c r="AG62">
        <f>IF(AND(AE62&lt;&gt;"",AF62&lt;&gt;""),ROUNDUP((AF62-AE62)/7,0),"")</f>
        <v/>
      </c>
      <c r="AI62">
        <f>IFERROR(IF(AG62*AH62=0,"",AG62*AH62),"")</f>
        <v/>
      </c>
      <c r="AL62">
        <f>IF(AND(AJ62&lt;&gt;"",AK62&lt;&gt;""),ROUNDUP((AK62-AJ62)/7,0),"")</f>
        <v/>
      </c>
      <c r="AN62">
        <f>IFERROR(IF(AL62*AM62=0,"",AL62*AM62),"")</f>
        <v/>
      </c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L62">
        <f>IFERROR(INDEX('_names_lookup'!$C:$C,MATCH(BK62,'_names_lookup'!$A:$A,0)),"")</f>
        <v/>
      </c>
      <c r="BM62">
        <f>IFERROR(INDEX('_names_lookup'!$B:$B,MATCH(BK62,'_names_lookup'!$A:$A,0)),"")</f>
        <v/>
      </c>
      <c r="BS62">
        <f>IFERROR(IF(BR62*AA62=0,"",BR62*AA62),"")</f>
        <v/>
      </c>
    </row>
    <row r="63">
      <c r="O63">
        <f>IFERROR(INDEX('_courses_lookup'!$C:$C,MATCH(K63&amp;L63,'_courses_lookup'!$E:$E,0)),"")</f>
        <v/>
      </c>
      <c r="P63">
        <f>IFERROR(INDEX('_courses_lookup'!$D:$D,MATCH(K63&amp;L63,'_courses_lookup'!$E:$E,0)),"")</f>
        <v/>
      </c>
      <c r="AG63">
        <f>IF(AND(AE63&lt;&gt;"",AF63&lt;&gt;""),ROUNDUP((AF63-AE63)/7,0),"")</f>
        <v/>
      </c>
      <c r="AI63">
        <f>IFERROR(IF(AG63*AH63=0,"",AG63*AH63),"")</f>
        <v/>
      </c>
      <c r="AL63">
        <f>IF(AND(AJ63&lt;&gt;"",AK63&lt;&gt;""),ROUNDUP((AK63-AJ63)/7,0),"")</f>
        <v/>
      </c>
      <c r="AN63">
        <f>IFERROR(IF(AL63*AM63=0,"",AL63*AM63),"")</f>
        <v/>
      </c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L63">
        <f>IFERROR(INDEX('_names_lookup'!$C:$C,MATCH(BK63,'_names_lookup'!$A:$A,0)),"")</f>
        <v/>
      </c>
      <c r="BM63">
        <f>IFERROR(INDEX('_names_lookup'!$B:$B,MATCH(BK63,'_names_lookup'!$A:$A,0)),"")</f>
        <v/>
      </c>
      <c r="BS63">
        <f>IFERROR(IF(BR63*AA63=0,"",BR63*AA63),"")</f>
        <v/>
      </c>
    </row>
    <row r="64">
      <c r="O64">
        <f>IFERROR(INDEX('_courses_lookup'!$C:$C,MATCH(K64&amp;L64,'_courses_lookup'!$E:$E,0)),"")</f>
        <v/>
      </c>
      <c r="P64">
        <f>IFERROR(INDEX('_courses_lookup'!$D:$D,MATCH(K64&amp;L64,'_courses_lookup'!$E:$E,0)),"")</f>
        <v/>
      </c>
      <c r="AG64">
        <f>IF(AND(AE64&lt;&gt;"",AF64&lt;&gt;""),ROUNDUP((AF64-AE64)/7,0),"")</f>
        <v/>
      </c>
      <c r="AI64">
        <f>IFERROR(IF(AG64*AH64=0,"",AG64*AH64),"")</f>
        <v/>
      </c>
      <c r="AL64">
        <f>IF(AND(AJ64&lt;&gt;"",AK64&lt;&gt;""),ROUNDUP((AK64-AJ64)/7,0),"")</f>
        <v/>
      </c>
      <c r="AN64">
        <f>IFERROR(IF(AL64*AM64=0,"",AL64*AM64),"")</f>
        <v/>
      </c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L64">
        <f>IFERROR(INDEX('_names_lookup'!$C:$C,MATCH(BK64,'_names_lookup'!$A:$A,0)),"")</f>
        <v/>
      </c>
      <c r="BM64">
        <f>IFERROR(INDEX('_names_lookup'!$B:$B,MATCH(BK64,'_names_lookup'!$A:$A,0)),"")</f>
        <v/>
      </c>
      <c r="BS64">
        <f>IFERROR(IF(BR64*AA64=0,"",BR64*AA64),"")</f>
        <v/>
      </c>
    </row>
    <row r="65">
      <c r="O65">
        <f>IFERROR(INDEX('_courses_lookup'!$C:$C,MATCH(K65&amp;L65,'_courses_lookup'!$E:$E,0)),"")</f>
        <v/>
      </c>
      <c r="P65">
        <f>IFERROR(INDEX('_courses_lookup'!$D:$D,MATCH(K65&amp;L65,'_courses_lookup'!$E:$E,0)),"")</f>
        <v/>
      </c>
      <c r="AG65">
        <f>IF(AND(AE65&lt;&gt;"",AF65&lt;&gt;""),ROUNDUP((AF65-AE65)/7,0),"")</f>
        <v/>
      </c>
      <c r="AI65">
        <f>IFERROR(IF(AG65*AH65=0,"",AG65*AH65),"")</f>
        <v/>
      </c>
      <c r="AL65">
        <f>IF(AND(AJ65&lt;&gt;"",AK65&lt;&gt;""),ROUNDUP((AK65-AJ65)/7,0),"")</f>
        <v/>
      </c>
      <c r="AN65">
        <f>IFERROR(IF(AL65*AM65=0,"",AL65*AM65),"")</f>
        <v/>
      </c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L65">
        <f>IFERROR(INDEX('_names_lookup'!$C:$C,MATCH(BK65,'_names_lookup'!$A:$A,0)),"")</f>
        <v/>
      </c>
      <c r="BM65">
        <f>IFERROR(INDEX('_names_lookup'!$B:$B,MATCH(BK65,'_names_lookup'!$A:$A,0)),"")</f>
        <v/>
      </c>
      <c r="BS65">
        <f>IFERROR(IF(BR65*AA65=0,"",BR65*AA65),"")</f>
        <v/>
      </c>
    </row>
    <row r="66">
      <c r="O66">
        <f>IFERROR(INDEX('_courses_lookup'!$C:$C,MATCH(K66&amp;L66,'_courses_lookup'!$E:$E,0)),"")</f>
        <v/>
      </c>
      <c r="P66">
        <f>IFERROR(INDEX('_courses_lookup'!$D:$D,MATCH(K66&amp;L66,'_courses_lookup'!$E:$E,0)),"")</f>
        <v/>
      </c>
      <c r="AG66">
        <f>IF(AND(AE66&lt;&gt;"",AF66&lt;&gt;""),ROUNDUP((AF66-AE66)/7,0),"")</f>
        <v/>
      </c>
      <c r="AI66">
        <f>IFERROR(IF(AG66*AH66=0,"",AG66*AH66),"")</f>
        <v/>
      </c>
      <c r="AL66">
        <f>IF(AND(AJ66&lt;&gt;"",AK66&lt;&gt;""),ROUNDUP((AK66-AJ66)/7,0),"")</f>
        <v/>
      </c>
      <c r="AN66">
        <f>IFERROR(IF(AL66*AM66=0,"",AL66*AM66),"")</f>
        <v/>
      </c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L66">
        <f>IFERROR(INDEX('_names_lookup'!$C:$C,MATCH(BK66,'_names_lookup'!$A:$A,0)),"")</f>
        <v/>
      </c>
      <c r="BM66">
        <f>IFERROR(INDEX('_names_lookup'!$B:$B,MATCH(BK66,'_names_lookup'!$A:$A,0)),"")</f>
        <v/>
      </c>
      <c r="BS66">
        <f>IFERROR(IF(BR66*AA66=0,"",BR66*AA66),"")</f>
        <v/>
      </c>
    </row>
    <row r="67">
      <c r="O67">
        <f>IFERROR(INDEX('_courses_lookup'!$C:$C,MATCH(K67&amp;L67,'_courses_lookup'!$E:$E,0)),"")</f>
        <v/>
      </c>
      <c r="P67">
        <f>IFERROR(INDEX('_courses_lookup'!$D:$D,MATCH(K67&amp;L67,'_courses_lookup'!$E:$E,0)),"")</f>
        <v/>
      </c>
      <c r="AG67">
        <f>IF(AND(AE67&lt;&gt;"",AF67&lt;&gt;""),ROUNDUP((AF67-AE67)/7,0),"")</f>
        <v/>
      </c>
      <c r="AI67">
        <f>IFERROR(IF(AG67*AH67=0,"",AG67*AH67),"")</f>
        <v/>
      </c>
      <c r="AL67">
        <f>IF(AND(AJ67&lt;&gt;"",AK67&lt;&gt;""),ROUNDUP((AK67-AJ67)/7,0),"")</f>
        <v/>
      </c>
      <c r="AN67">
        <f>IFERROR(IF(AL67*AM67=0,"",AL67*AM67),"")</f>
        <v/>
      </c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L67">
        <f>IFERROR(INDEX('_names_lookup'!$C:$C,MATCH(BK67,'_names_lookup'!$A:$A,0)),"")</f>
        <v/>
      </c>
      <c r="BM67">
        <f>IFERROR(INDEX('_names_lookup'!$B:$B,MATCH(BK67,'_names_lookup'!$A:$A,0)),"")</f>
        <v/>
      </c>
      <c r="BS67">
        <f>IFERROR(IF(BR67*AA67=0,"",BR67*AA67),"")</f>
        <v/>
      </c>
    </row>
    <row r="68">
      <c r="O68">
        <f>IFERROR(INDEX('_courses_lookup'!$C:$C,MATCH(K68&amp;L68,'_courses_lookup'!$E:$E,0)),"")</f>
        <v/>
      </c>
      <c r="P68">
        <f>IFERROR(INDEX('_courses_lookup'!$D:$D,MATCH(K68&amp;L68,'_courses_lookup'!$E:$E,0)),"")</f>
        <v/>
      </c>
      <c r="AG68">
        <f>IF(AND(AE68&lt;&gt;"",AF68&lt;&gt;""),ROUNDUP((AF68-AE68)/7,0),"")</f>
        <v/>
      </c>
      <c r="AI68">
        <f>IFERROR(IF(AG68*AH68=0,"",AG68*AH68),"")</f>
        <v/>
      </c>
      <c r="AL68">
        <f>IF(AND(AJ68&lt;&gt;"",AK68&lt;&gt;""),ROUNDUP((AK68-AJ68)/7,0),"")</f>
        <v/>
      </c>
      <c r="AN68">
        <f>IFERROR(IF(AL68*AM68=0,"",AL68*AM68),"")</f>
        <v/>
      </c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L68">
        <f>IFERROR(INDEX('_names_lookup'!$C:$C,MATCH(BK68,'_names_lookup'!$A:$A,0)),"")</f>
        <v/>
      </c>
      <c r="BM68">
        <f>IFERROR(INDEX('_names_lookup'!$B:$B,MATCH(BK68,'_names_lookup'!$A:$A,0)),"")</f>
        <v/>
      </c>
      <c r="BS68">
        <f>IFERROR(IF(BR68*AA68=0,"",BR68*AA68),"")</f>
        <v/>
      </c>
    </row>
    <row r="69">
      <c r="O69">
        <f>IFERROR(INDEX('_courses_lookup'!$C:$C,MATCH(K69&amp;L69,'_courses_lookup'!$E:$E,0)),"")</f>
        <v/>
      </c>
      <c r="P69">
        <f>IFERROR(INDEX('_courses_lookup'!$D:$D,MATCH(K69&amp;L69,'_courses_lookup'!$E:$E,0)),"")</f>
        <v/>
      </c>
      <c r="AG69">
        <f>IF(AND(AE69&lt;&gt;"",AF69&lt;&gt;""),ROUNDUP((AF69-AE69)/7,0),"")</f>
        <v/>
      </c>
      <c r="AI69">
        <f>IFERROR(IF(AG69*AH69=0,"",AG69*AH69),"")</f>
        <v/>
      </c>
      <c r="AL69">
        <f>IF(AND(AJ69&lt;&gt;"",AK69&lt;&gt;""),ROUNDUP((AK69-AJ69)/7,0),"")</f>
        <v/>
      </c>
      <c r="AN69">
        <f>IFERROR(IF(AL69*AM69=0,"",AL69*AM69),"")</f>
        <v/>
      </c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L69">
        <f>IFERROR(INDEX('_names_lookup'!$C:$C,MATCH(BK69,'_names_lookup'!$A:$A,0)),"")</f>
        <v/>
      </c>
      <c r="BM69">
        <f>IFERROR(INDEX('_names_lookup'!$B:$B,MATCH(BK69,'_names_lookup'!$A:$A,0)),"")</f>
        <v/>
      </c>
      <c r="BS69">
        <f>IFERROR(IF(BR69*AA69=0,"",BR69*AA69),"")</f>
        <v/>
      </c>
    </row>
    <row r="70">
      <c r="O70">
        <f>IFERROR(INDEX('_courses_lookup'!$C:$C,MATCH(K70&amp;L70,'_courses_lookup'!$E:$E,0)),"")</f>
        <v/>
      </c>
      <c r="P70">
        <f>IFERROR(INDEX('_courses_lookup'!$D:$D,MATCH(K70&amp;L70,'_courses_lookup'!$E:$E,0)),"")</f>
        <v/>
      </c>
      <c r="AG70">
        <f>IF(AND(AE70&lt;&gt;"",AF70&lt;&gt;""),ROUNDUP((AF70-AE70)/7,0),"")</f>
        <v/>
      </c>
      <c r="AI70">
        <f>IFERROR(IF(AG70*AH70=0,"",AG70*AH70),"")</f>
        <v/>
      </c>
      <c r="AL70">
        <f>IF(AND(AJ70&lt;&gt;"",AK70&lt;&gt;""),ROUNDUP((AK70-AJ70)/7,0),"")</f>
        <v/>
      </c>
      <c r="AN70">
        <f>IFERROR(IF(AL70*AM70=0,"",AL70*AM70),"")</f>
        <v/>
      </c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L70">
        <f>IFERROR(INDEX('_names_lookup'!$C:$C,MATCH(BK70,'_names_lookup'!$A:$A,0)),"")</f>
        <v/>
      </c>
      <c r="BM70">
        <f>IFERROR(INDEX('_names_lookup'!$B:$B,MATCH(BK70,'_names_lookup'!$A:$A,0)),"")</f>
        <v/>
      </c>
      <c r="BS70">
        <f>IFERROR(IF(BR70*AA70=0,"",BR70*AA70),"")</f>
        <v/>
      </c>
    </row>
    <row r="71">
      <c r="O71">
        <f>IFERROR(INDEX('_courses_lookup'!$C:$C,MATCH(K71&amp;L71,'_courses_lookup'!$E:$E,0)),"")</f>
        <v/>
      </c>
      <c r="P71">
        <f>IFERROR(INDEX('_courses_lookup'!$D:$D,MATCH(K71&amp;L71,'_courses_lookup'!$E:$E,0)),"")</f>
        <v/>
      </c>
      <c r="AG71">
        <f>IF(AND(AE71&lt;&gt;"",AF71&lt;&gt;""),ROUNDUP((AF71-AE71)/7,0),"")</f>
        <v/>
      </c>
      <c r="AI71">
        <f>IFERROR(IF(AG71*AH71=0,"",AG71*AH71),"")</f>
        <v/>
      </c>
      <c r="AL71">
        <f>IF(AND(AJ71&lt;&gt;"",AK71&lt;&gt;""),ROUNDUP((AK71-AJ71)/7,0),"")</f>
        <v/>
      </c>
      <c r="AN71">
        <f>IFERROR(IF(AL71*AM71=0,"",AL71*AM71),"")</f>
        <v/>
      </c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L71">
        <f>IFERROR(INDEX('_names_lookup'!$C:$C,MATCH(BK71,'_names_lookup'!$A:$A,0)),"")</f>
        <v/>
      </c>
      <c r="BM71">
        <f>IFERROR(INDEX('_names_lookup'!$B:$B,MATCH(BK71,'_names_lookup'!$A:$A,0)),"")</f>
        <v/>
      </c>
      <c r="BS71">
        <f>IFERROR(IF(BR71*AA71=0,"",BR71*AA71),"")</f>
        <v/>
      </c>
    </row>
    <row r="72">
      <c r="O72">
        <f>IFERROR(INDEX('_courses_lookup'!$C:$C,MATCH(K72&amp;L72,'_courses_lookup'!$E:$E,0)),"")</f>
        <v/>
      </c>
      <c r="P72">
        <f>IFERROR(INDEX('_courses_lookup'!$D:$D,MATCH(K72&amp;L72,'_courses_lookup'!$E:$E,0)),"")</f>
        <v/>
      </c>
      <c r="AG72">
        <f>IF(AND(AE72&lt;&gt;"",AF72&lt;&gt;""),ROUNDUP((AF72-AE72)/7,0),"")</f>
        <v/>
      </c>
      <c r="AI72">
        <f>IFERROR(IF(AG72*AH72=0,"",AG72*AH72),"")</f>
        <v/>
      </c>
      <c r="AL72">
        <f>IF(AND(AJ72&lt;&gt;"",AK72&lt;&gt;""),ROUNDUP((AK72-AJ72)/7,0),"")</f>
        <v/>
      </c>
      <c r="AN72">
        <f>IFERROR(IF(AL72*AM72=0,"",AL72*AM72),"")</f>
        <v/>
      </c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L72">
        <f>IFERROR(INDEX('_names_lookup'!$C:$C,MATCH(BK72,'_names_lookup'!$A:$A,0)),"")</f>
        <v/>
      </c>
      <c r="BM72">
        <f>IFERROR(INDEX('_names_lookup'!$B:$B,MATCH(BK72,'_names_lookup'!$A:$A,0)),"")</f>
        <v/>
      </c>
      <c r="BS72">
        <f>IFERROR(IF(BR72*AA72=0,"",BR72*AA72),"")</f>
        <v/>
      </c>
    </row>
    <row r="73">
      <c r="O73">
        <f>IFERROR(INDEX('_courses_lookup'!$C:$C,MATCH(K73&amp;L73,'_courses_lookup'!$E:$E,0)),"")</f>
        <v/>
      </c>
      <c r="P73">
        <f>IFERROR(INDEX('_courses_lookup'!$D:$D,MATCH(K73&amp;L73,'_courses_lookup'!$E:$E,0)),"")</f>
        <v/>
      </c>
      <c r="AG73">
        <f>IF(AND(AE73&lt;&gt;"",AF73&lt;&gt;""),ROUNDUP((AF73-AE73)/7,0),"")</f>
        <v/>
      </c>
      <c r="AI73">
        <f>IFERROR(IF(AG73*AH73=0,"",AG73*AH73),"")</f>
        <v/>
      </c>
      <c r="AL73">
        <f>IF(AND(AJ73&lt;&gt;"",AK73&lt;&gt;""),ROUNDUP((AK73-AJ73)/7,0),"")</f>
        <v/>
      </c>
      <c r="AN73">
        <f>IFERROR(IF(AL73*AM73=0,"",AL73*AM73),"")</f>
        <v/>
      </c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L73">
        <f>IFERROR(INDEX('_names_lookup'!$C:$C,MATCH(BK73,'_names_lookup'!$A:$A,0)),"")</f>
        <v/>
      </c>
      <c r="BM73">
        <f>IFERROR(INDEX('_names_lookup'!$B:$B,MATCH(BK73,'_names_lookup'!$A:$A,0)),"")</f>
        <v/>
      </c>
      <c r="BS73">
        <f>IFERROR(IF(BR73*AA73=0,"",BR73*AA73),"")</f>
        <v/>
      </c>
    </row>
    <row r="74">
      <c r="O74">
        <f>IFERROR(INDEX('_courses_lookup'!$C:$C,MATCH(K74&amp;L74,'_courses_lookup'!$E:$E,0)),"")</f>
        <v/>
      </c>
      <c r="P74">
        <f>IFERROR(INDEX('_courses_lookup'!$D:$D,MATCH(K74&amp;L74,'_courses_lookup'!$E:$E,0)),"")</f>
        <v/>
      </c>
      <c r="AG74">
        <f>IF(AND(AE74&lt;&gt;"",AF74&lt;&gt;""),ROUNDUP((AF74-AE74)/7,0),"")</f>
        <v/>
      </c>
      <c r="AI74">
        <f>IFERROR(IF(AG74*AH74=0,"",AG74*AH74),"")</f>
        <v/>
      </c>
      <c r="AL74">
        <f>IF(AND(AJ74&lt;&gt;"",AK74&lt;&gt;""),ROUNDUP((AK74-AJ74)/7,0),"")</f>
        <v/>
      </c>
      <c r="AN74">
        <f>IFERROR(IF(AL74*AM74=0,"",AL74*AM74),"")</f>
        <v/>
      </c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L74">
        <f>IFERROR(INDEX('_names_lookup'!$C:$C,MATCH(BK74,'_names_lookup'!$A:$A,0)),"")</f>
        <v/>
      </c>
      <c r="BM74">
        <f>IFERROR(INDEX('_names_lookup'!$B:$B,MATCH(BK74,'_names_lookup'!$A:$A,0)),"")</f>
        <v/>
      </c>
      <c r="BS74">
        <f>IFERROR(IF(BR74*AA74=0,"",BR74*AA74),"")</f>
        <v/>
      </c>
    </row>
    <row r="75">
      <c r="O75">
        <f>IFERROR(INDEX('_courses_lookup'!$C:$C,MATCH(K75&amp;L75,'_courses_lookup'!$E:$E,0)),"")</f>
        <v/>
      </c>
      <c r="P75">
        <f>IFERROR(INDEX('_courses_lookup'!$D:$D,MATCH(K75&amp;L75,'_courses_lookup'!$E:$E,0)),"")</f>
        <v/>
      </c>
      <c r="AG75">
        <f>IF(AND(AE75&lt;&gt;"",AF75&lt;&gt;""),ROUNDUP((AF75-AE75)/7,0),"")</f>
        <v/>
      </c>
      <c r="AI75">
        <f>IFERROR(IF(AG75*AH75=0,"",AG75*AH75),"")</f>
        <v/>
      </c>
      <c r="AL75">
        <f>IF(AND(AJ75&lt;&gt;"",AK75&lt;&gt;""),ROUNDUP((AK75-AJ75)/7,0),"")</f>
        <v/>
      </c>
      <c r="AN75">
        <f>IFERROR(IF(AL75*AM75=0,"",AL75*AM75),"")</f>
        <v/>
      </c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L75">
        <f>IFERROR(INDEX('_names_lookup'!$C:$C,MATCH(BK75,'_names_lookup'!$A:$A,0)),"")</f>
        <v/>
      </c>
      <c r="BM75">
        <f>IFERROR(INDEX('_names_lookup'!$B:$B,MATCH(BK75,'_names_lookup'!$A:$A,0)),"")</f>
        <v/>
      </c>
      <c r="BS75">
        <f>IFERROR(IF(BR75*AA75=0,"",BR75*AA75),"")</f>
        <v/>
      </c>
    </row>
    <row r="76">
      <c r="O76">
        <f>IFERROR(INDEX('_courses_lookup'!$C:$C,MATCH(K76&amp;L76,'_courses_lookup'!$E:$E,0)),"")</f>
        <v/>
      </c>
      <c r="P76">
        <f>IFERROR(INDEX('_courses_lookup'!$D:$D,MATCH(K76&amp;L76,'_courses_lookup'!$E:$E,0)),"")</f>
        <v/>
      </c>
      <c r="AG76">
        <f>IF(AND(AE76&lt;&gt;"",AF76&lt;&gt;""),ROUNDUP((AF76-AE76)/7,0),"")</f>
        <v/>
      </c>
      <c r="AI76">
        <f>IFERROR(IF(AG76*AH76=0,"",AG76*AH76),"")</f>
        <v/>
      </c>
      <c r="AL76">
        <f>IF(AND(AJ76&lt;&gt;"",AK76&lt;&gt;""),ROUNDUP((AK76-AJ76)/7,0),"")</f>
        <v/>
      </c>
      <c r="AN76">
        <f>IFERROR(IF(AL76*AM76=0,"",AL76*AM76),"")</f>
        <v/>
      </c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L76">
        <f>IFERROR(INDEX('_names_lookup'!$C:$C,MATCH(BK76,'_names_lookup'!$A:$A,0)),"")</f>
        <v/>
      </c>
      <c r="BM76">
        <f>IFERROR(INDEX('_names_lookup'!$B:$B,MATCH(BK76,'_names_lookup'!$A:$A,0)),"")</f>
        <v/>
      </c>
      <c r="BS76">
        <f>IFERROR(IF(BR76*AA76=0,"",BR76*AA76),"")</f>
        <v/>
      </c>
    </row>
    <row r="77">
      <c r="O77">
        <f>IFERROR(INDEX('_courses_lookup'!$C:$C,MATCH(K77&amp;L77,'_courses_lookup'!$E:$E,0)),"")</f>
        <v/>
      </c>
      <c r="P77">
        <f>IFERROR(INDEX('_courses_lookup'!$D:$D,MATCH(K77&amp;L77,'_courses_lookup'!$E:$E,0)),"")</f>
        <v/>
      </c>
      <c r="AG77">
        <f>IF(AND(AE77&lt;&gt;"",AF77&lt;&gt;""),ROUNDUP((AF77-AE77)/7,0),"")</f>
        <v/>
      </c>
      <c r="AI77">
        <f>IFERROR(IF(AG77*AH77=0,"",AG77*AH77),"")</f>
        <v/>
      </c>
      <c r="AL77">
        <f>IF(AND(AJ77&lt;&gt;"",AK77&lt;&gt;""),ROUNDUP((AK77-AJ77)/7,0),"")</f>
        <v/>
      </c>
      <c r="AN77">
        <f>IFERROR(IF(AL77*AM77=0,"",AL77*AM77),"")</f>
        <v/>
      </c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L77">
        <f>IFERROR(INDEX('_names_lookup'!$C:$C,MATCH(BK77,'_names_lookup'!$A:$A,0)),"")</f>
        <v/>
      </c>
      <c r="BM77">
        <f>IFERROR(INDEX('_names_lookup'!$B:$B,MATCH(BK77,'_names_lookup'!$A:$A,0)),"")</f>
        <v/>
      </c>
      <c r="BS77">
        <f>IFERROR(IF(BR77*AA77=0,"",BR77*AA77),"")</f>
        <v/>
      </c>
    </row>
    <row r="78">
      <c r="O78">
        <f>IFERROR(INDEX('_courses_lookup'!$C:$C,MATCH(K78&amp;L78,'_courses_lookup'!$E:$E,0)),"")</f>
        <v/>
      </c>
      <c r="P78">
        <f>IFERROR(INDEX('_courses_lookup'!$D:$D,MATCH(K78&amp;L78,'_courses_lookup'!$E:$E,0)),"")</f>
        <v/>
      </c>
      <c r="AG78">
        <f>IF(AND(AE78&lt;&gt;"",AF78&lt;&gt;""),ROUNDUP((AF78-AE78)/7,0),"")</f>
        <v/>
      </c>
      <c r="AI78">
        <f>IFERROR(IF(AG78*AH78=0,"",AG78*AH78),"")</f>
        <v/>
      </c>
      <c r="AL78">
        <f>IF(AND(AJ78&lt;&gt;"",AK78&lt;&gt;""),ROUNDUP((AK78-AJ78)/7,0),"")</f>
        <v/>
      </c>
      <c r="AN78">
        <f>IFERROR(IF(AL78*AM78=0,"",AL78*AM78),"")</f>
        <v/>
      </c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L78">
        <f>IFERROR(INDEX('_names_lookup'!$C:$C,MATCH(BK78,'_names_lookup'!$A:$A,0)),"")</f>
        <v/>
      </c>
      <c r="BM78">
        <f>IFERROR(INDEX('_names_lookup'!$B:$B,MATCH(BK78,'_names_lookup'!$A:$A,0)),"")</f>
        <v/>
      </c>
      <c r="BS78">
        <f>IFERROR(IF(BR78*AA78=0,"",BR78*AA78),"")</f>
        <v/>
      </c>
    </row>
    <row r="79">
      <c r="O79">
        <f>IFERROR(INDEX('_courses_lookup'!$C:$C,MATCH(K79&amp;L79,'_courses_lookup'!$E:$E,0)),"")</f>
        <v/>
      </c>
      <c r="P79">
        <f>IFERROR(INDEX('_courses_lookup'!$D:$D,MATCH(K79&amp;L79,'_courses_lookup'!$E:$E,0)),"")</f>
        <v/>
      </c>
      <c r="AG79">
        <f>IF(AND(AE79&lt;&gt;"",AF79&lt;&gt;""),ROUNDUP((AF79-AE79)/7,0),"")</f>
        <v/>
      </c>
      <c r="AI79">
        <f>IFERROR(IF(AG79*AH79=0,"",AG79*AH79),"")</f>
        <v/>
      </c>
      <c r="AL79">
        <f>IF(AND(AJ79&lt;&gt;"",AK79&lt;&gt;""),ROUNDUP((AK79-AJ79)/7,0),"")</f>
        <v/>
      </c>
      <c r="AN79">
        <f>IFERROR(IF(AL79*AM79=0,"",AL79*AM79),"")</f>
        <v/>
      </c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L79">
        <f>IFERROR(INDEX('_names_lookup'!$C:$C,MATCH(BK79,'_names_lookup'!$A:$A,0)),"")</f>
        <v/>
      </c>
      <c r="BM79">
        <f>IFERROR(INDEX('_names_lookup'!$B:$B,MATCH(BK79,'_names_lookup'!$A:$A,0)),"")</f>
        <v/>
      </c>
      <c r="BS79">
        <f>IFERROR(IF(BR79*AA79=0,"",BR79*AA79),"")</f>
        <v/>
      </c>
    </row>
    <row r="80">
      <c r="O80">
        <f>IFERROR(INDEX('_courses_lookup'!$C:$C,MATCH(K80&amp;L80,'_courses_lookup'!$E:$E,0)),"")</f>
        <v/>
      </c>
      <c r="P80">
        <f>IFERROR(INDEX('_courses_lookup'!$D:$D,MATCH(K80&amp;L80,'_courses_lookup'!$E:$E,0)),"")</f>
        <v/>
      </c>
      <c r="AG80">
        <f>IF(AND(AE80&lt;&gt;"",AF80&lt;&gt;""),ROUNDUP((AF80-AE80)/7,0),"")</f>
        <v/>
      </c>
      <c r="AI80">
        <f>IFERROR(IF(AG80*AH80=0,"",AG80*AH80),"")</f>
        <v/>
      </c>
      <c r="AL80">
        <f>IF(AND(AJ80&lt;&gt;"",AK80&lt;&gt;""),ROUNDUP((AK80-AJ80)/7,0),"")</f>
        <v/>
      </c>
      <c r="AN80">
        <f>IFERROR(IF(AL80*AM80=0,"",AL80*AM80),"")</f>
        <v/>
      </c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L80">
        <f>IFERROR(INDEX('_names_lookup'!$C:$C,MATCH(BK80,'_names_lookup'!$A:$A,0)),"")</f>
        <v/>
      </c>
      <c r="BM80">
        <f>IFERROR(INDEX('_names_lookup'!$B:$B,MATCH(BK80,'_names_lookup'!$A:$A,0)),"")</f>
        <v/>
      </c>
      <c r="BS80">
        <f>IFERROR(IF(BR80*AA80=0,"",BR80*AA80),"")</f>
        <v/>
      </c>
    </row>
    <row r="81">
      <c r="O81">
        <f>IFERROR(INDEX('_courses_lookup'!$C:$C,MATCH(K81&amp;L81,'_courses_lookup'!$E:$E,0)),"")</f>
        <v/>
      </c>
      <c r="P81">
        <f>IFERROR(INDEX('_courses_lookup'!$D:$D,MATCH(K81&amp;L81,'_courses_lookup'!$E:$E,0)),"")</f>
        <v/>
      </c>
      <c r="AG81">
        <f>IF(AND(AE81&lt;&gt;"",AF81&lt;&gt;""),ROUNDUP((AF81-AE81)/7,0),"")</f>
        <v/>
      </c>
      <c r="AI81">
        <f>IFERROR(IF(AG81*AH81=0,"",AG81*AH81),"")</f>
        <v/>
      </c>
      <c r="AL81">
        <f>IF(AND(AJ81&lt;&gt;"",AK81&lt;&gt;""),ROUNDUP((AK81-AJ81)/7,0),"")</f>
        <v/>
      </c>
      <c r="AN81">
        <f>IFERROR(IF(AL81*AM81=0,"",AL81*AM81),"")</f>
        <v/>
      </c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L81">
        <f>IFERROR(INDEX('_names_lookup'!$C:$C,MATCH(BK81,'_names_lookup'!$A:$A,0)),"")</f>
        <v/>
      </c>
      <c r="BM81">
        <f>IFERROR(INDEX('_names_lookup'!$B:$B,MATCH(BK81,'_names_lookup'!$A:$A,0)),"")</f>
        <v/>
      </c>
      <c r="BS81">
        <f>IFERROR(IF(BR81*AA81=0,"",BR81*AA81),"")</f>
        <v/>
      </c>
    </row>
    <row r="82">
      <c r="O82">
        <f>IFERROR(INDEX('_courses_lookup'!$C:$C,MATCH(K82&amp;L82,'_courses_lookup'!$E:$E,0)),"")</f>
        <v/>
      </c>
      <c r="P82">
        <f>IFERROR(INDEX('_courses_lookup'!$D:$D,MATCH(K82&amp;L82,'_courses_lookup'!$E:$E,0)),"")</f>
        <v/>
      </c>
      <c r="AG82">
        <f>IF(AND(AE82&lt;&gt;"",AF82&lt;&gt;""),ROUNDUP((AF82-AE82)/7,0),"")</f>
        <v/>
      </c>
      <c r="AI82">
        <f>IFERROR(IF(AG82*AH82=0,"",AG82*AH82),"")</f>
        <v/>
      </c>
      <c r="AL82">
        <f>IF(AND(AJ82&lt;&gt;"",AK82&lt;&gt;""),ROUNDUP((AK82-AJ82)/7,0),"")</f>
        <v/>
      </c>
      <c r="AN82">
        <f>IFERROR(IF(AL82*AM82=0,"",AL82*AM82),"")</f>
        <v/>
      </c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L82">
        <f>IFERROR(INDEX('_names_lookup'!$C:$C,MATCH(BK82,'_names_lookup'!$A:$A,0)),"")</f>
        <v/>
      </c>
      <c r="BM82">
        <f>IFERROR(INDEX('_names_lookup'!$B:$B,MATCH(BK82,'_names_lookup'!$A:$A,0)),"")</f>
        <v/>
      </c>
      <c r="BS82">
        <f>IFERROR(IF(BR82*AA82=0,"",BR82*AA82),"")</f>
        <v/>
      </c>
    </row>
    <row r="83">
      <c r="O83">
        <f>IFERROR(INDEX('_courses_lookup'!$C:$C,MATCH(K83&amp;L83,'_courses_lookup'!$E:$E,0)),"")</f>
        <v/>
      </c>
      <c r="P83">
        <f>IFERROR(INDEX('_courses_lookup'!$D:$D,MATCH(K83&amp;L83,'_courses_lookup'!$E:$E,0)),"")</f>
        <v/>
      </c>
      <c r="AG83">
        <f>IF(AND(AE83&lt;&gt;"",AF83&lt;&gt;""),ROUNDUP((AF83-AE83)/7,0),"")</f>
        <v/>
      </c>
      <c r="AI83">
        <f>IFERROR(IF(AG83*AH83=0,"",AG83*AH83),"")</f>
        <v/>
      </c>
      <c r="AL83">
        <f>IF(AND(AJ83&lt;&gt;"",AK83&lt;&gt;""),ROUNDUP((AK83-AJ83)/7,0),"")</f>
        <v/>
      </c>
      <c r="AN83">
        <f>IFERROR(IF(AL83*AM83=0,"",AL83*AM83),"")</f>
        <v/>
      </c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L83">
        <f>IFERROR(INDEX('_names_lookup'!$C:$C,MATCH(BK83,'_names_lookup'!$A:$A,0)),"")</f>
        <v/>
      </c>
      <c r="BM83">
        <f>IFERROR(INDEX('_names_lookup'!$B:$B,MATCH(BK83,'_names_lookup'!$A:$A,0)),"")</f>
        <v/>
      </c>
      <c r="BS83">
        <f>IFERROR(IF(BR83*AA83=0,"",BR83*AA83),"")</f>
        <v/>
      </c>
    </row>
    <row r="84">
      <c r="O84">
        <f>IFERROR(INDEX('_courses_lookup'!$C:$C,MATCH(K84&amp;L84,'_courses_lookup'!$E:$E,0)),"")</f>
        <v/>
      </c>
      <c r="P84">
        <f>IFERROR(INDEX('_courses_lookup'!$D:$D,MATCH(K84&amp;L84,'_courses_lookup'!$E:$E,0)),"")</f>
        <v/>
      </c>
      <c r="AG84">
        <f>IF(AND(AE84&lt;&gt;"",AF84&lt;&gt;""),ROUNDUP((AF84-AE84)/7,0),"")</f>
        <v/>
      </c>
      <c r="AI84">
        <f>IFERROR(IF(AG84*AH84=0,"",AG84*AH84),"")</f>
        <v/>
      </c>
      <c r="AL84">
        <f>IF(AND(AJ84&lt;&gt;"",AK84&lt;&gt;""),ROUNDUP((AK84-AJ84)/7,0),"")</f>
        <v/>
      </c>
      <c r="AN84">
        <f>IFERROR(IF(AL84*AM84=0,"",AL84*AM84),"")</f>
        <v/>
      </c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L84">
        <f>IFERROR(INDEX('_names_lookup'!$C:$C,MATCH(BK84,'_names_lookup'!$A:$A,0)),"")</f>
        <v/>
      </c>
      <c r="BM84">
        <f>IFERROR(INDEX('_names_lookup'!$B:$B,MATCH(BK84,'_names_lookup'!$A:$A,0)),"")</f>
        <v/>
      </c>
      <c r="BS84">
        <f>IFERROR(IF(BR84*AA84=0,"",BR84*AA84),"")</f>
        <v/>
      </c>
    </row>
    <row r="85">
      <c r="O85">
        <f>IFERROR(INDEX('_courses_lookup'!$C:$C,MATCH(K85&amp;L85,'_courses_lookup'!$E:$E,0)),"")</f>
        <v/>
      </c>
      <c r="P85">
        <f>IFERROR(INDEX('_courses_lookup'!$D:$D,MATCH(K85&amp;L85,'_courses_lookup'!$E:$E,0)),"")</f>
        <v/>
      </c>
      <c r="AG85">
        <f>IF(AND(AE85&lt;&gt;"",AF85&lt;&gt;""),ROUNDUP((AF85-AE85)/7,0),"")</f>
        <v/>
      </c>
      <c r="AI85">
        <f>IFERROR(IF(AG85*AH85=0,"",AG85*AH85),"")</f>
        <v/>
      </c>
      <c r="AL85">
        <f>IF(AND(AJ85&lt;&gt;"",AK85&lt;&gt;""),ROUNDUP((AK85-AJ85)/7,0),"")</f>
        <v/>
      </c>
      <c r="AN85">
        <f>IFERROR(IF(AL85*AM85=0,"",AL85*AM85),"")</f>
        <v/>
      </c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L85">
        <f>IFERROR(INDEX('_names_lookup'!$C:$C,MATCH(BK85,'_names_lookup'!$A:$A,0)),"")</f>
        <v/>
      </c>
      <c r="BM85">
        <f>IFERROR(INDEX('_names_lookup'!$B:$B,MATCH(BK85,'_names_lookup'!$A:$A,0)),"")</f>
        <v/>
      </c>
      <c r="BS85">
        <f>IFERROR(IF(BR85*AA85=0,"",BR85*AA85),"")</f>
        <v/>
      </c>
    </row>
    <row r="86">
      <c r="O86">
        <f>IFERROR(INDEX('_courses_lookup'!$C:$C,MATCH(K86&amp;L86,'_courses_lookup'!$E:$E,0)),"")</f>
        <v/>
      </c>
      <c r="P86">
        <f>IFERROR(INDEX('_courses_lookup'!$D:$D,MATCH(K86&amp;L86,'_courses_lookup'!$E:$E,0)),"")</f>
        <v/>
      </c>
      <c r="AG86">
        <f>IF(AND(AE86&lt;&gt;"",AF86&lt;&gt;""),ROUNDUP((AF86-AE86)/7,0),"")</f>
        <v/>
      </c>
      <c r="AI86">
        <f>IFERROR(IF(AG86*AH86=0,"",AG86*AH86),"")</f>
        <v/>
      </c>
      <c r="AL86">
        <f>IF(AND(AJ86&lt;&gt;"",AK86&lt;&gt;""),ROUNDUP((AK86-AJ86)/7,0),"")</f>
        <v/>
      </c>
      <c r="AN86">
        <f>IFERROR(IF(AL86*AM86=0,"",AL86*AM86),"")</f>
        <v/>
      </c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L86">
        <f>IFERROR(INDEX('_names_lookup'!$C:$C,MATCH(BK86,'_names_lookup'!$A:$A,0)),"")</f>
        <v/>
      </c>
      <c r="BM86">
        <f>IFERROR(INDEX('_names_lookup'!$B:$B,MATCH(BK86,'_names_lookup'!$A:$A,0)),"")</f>
        <v/>
      </c>
      <c r="BS86">
        <f>IFERROR(IF(BR86*AA86=0,"",BR86*AA86),"")</f>
        <v/>
      </c>
    </row>
    <row r="87">
      <c r="O87">
        <f>IFERROR(INDEX('_courses_lookup'!$C:$C,MATCH(K87&amp;L87,'_courses_lookup'!$E:$E,0)),"")</f>
        <v/>
      </c>
      <c r="P87">
        <f>IFERROR(INDEX('_courses_lookup'!$D:$D,MATCH(K87&amp;L87,'_courses_lookup'!$E:$E,0)),"")</f>
        <v/>
      </c>
      <c r="AG87">
        <f>IF(AND(AE87&lt;&gt;"",AF87&lt;&gt;""),ROUNDUP((AF87-AE87)/7,0),"")</f>
        <v/>
      </c>
      <c r="AI87">
        <f>IFERROR(IF(AG87*AH87=0,"",AG87*AH87),"")</f>
        <v/>
      </c>
      <c r="AL87">
        <f>IF(AND(AJ87&lt;&gt;"",AK87&lt;&gt;""),ROUNDUP((AK87-AJ87)/7,0),"")</f>
        <v/>
      </c>
      <c r="AN87">
        <f>IFERROR(IF(AL87*AM87=0,"",AL87*AM87),"")</f>
        <v/>
      </c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L87">
        <f>IFERROR(INDEX('_names_lookup'!$C:$C,MATCH(BK87,'_names_lookup'!$A:$A,0)),"")</f>
        <v/>
      </c>
      <c r="BM87">
        <f>IFERROR(INDEX('_names_lookup'!$B:$B,MATCH(BK87,'_names_lookup'!$A:$A,0)),"")</f>
        <v/>
      </c>
      <c r="BS87">
        <f>IFERROR(IF(BR87*AA87=0,"",BR87*AA87),"")</f>
        <v/>
      </c>
    </row>
    <row r="88">
      <c r="O88">
        <f>IFERROR(INDEX('_courses_lookup'!$C:$C,MATCH(K88&amp;L88,'_courses_lookup'!$E:$E,0)),"")</f>
        <v/>
      </c>
      <c r="P88">
        <f>IFERROR(INDEX('_courses_lookup'!$D:$D,MATCH(K88&amp;L88,'_courses_lookup'!$E:$E,0)),"")</f>
        <v/>
      </c>
      <c r="AG88">
        <f>IF(AND(AE88&lt;&gt;"",AF88&lt;&gt;""),ROUNDUP((AF88-AE88)/7,0),"")</f>
        <v/>
      </c>
      <c r="AI88">
        <f>IFERROR(IF(AG88*AH88=0,"",AG88*AH88),"")</f>
        <v/>
      </c>
      <c r="AL88">
        <f>IF(AND(AJ88&lt;&gt;"",AK88&lt;&gt;""),ROUNDUP((AK88-AJ88)/7,0),"")</f>
        <v/>
      </c>
      <c r="AN88">
        <f>IFERROR(IF(AL88*AM88=0,"",AL88*AM88),"")</f>
        <v/>
      </c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L88">
        <f>IFERROR(INDEX('_names_lookup'!$C:$C,MATCH(BK88,'_names_lookup'!$A:$A,0)),"")</f>
        <v/>
      </c>
      <c r="BM88">
        <f>IFERROR(INDEX('_names_lookup'!$B:$B,MATCH(BK88,'_names_lookup'!$A:$A,0)),"")</f>
        <v/>
      </c>
      <c r="BS88">
        <f>IFERROR(IF(BR88*AA88=0,"",BR88*AA88),"")</f>
        <v/>
      </c>
    </row>
    <row r="89">
      <c r="O89">
        <f>IFERROR(INDEX('_courses_lookup'!$C:$C,MATCH(K89&amp;L89,'_courses_lookup'!$E:$E,0)),"")</f>
        <v/>
      </c>
      <c r="P89">
        <f>IFERROR(INDEX('_courses_lookup'!$D:$D,MATCH(K89&amp;L89,'_courses_lookup'!$E:$E,0)),"")</f>
        <v/>
      </c>
      <c r="AG89">
        <f>IF(AND(AE89&lt;&gt;"",AF89&lt;&gt;""),ROUNDUP((AF89-AE89)/7,0),"")</f>
        <v/>
      </c>
      <c r="AI89">
        <f>IFERROR(IF(AG89*AH89=0,"",AG89*AH89),"")</f>
        <v/>
      </c>
      <c r="AL89">
        <f>IF(AND(AJ89&lt;&gt;"",AK89&lt;&gt;""),ROUNDUP((AK89-AJ89)/7,0),"")</f>
        <v/>
      </c>
      <c r="AN89">
        <f>IFERROR(IF(AL89*AM89=0,"",AL89*AM89),"")</f>
        <v/>
      </c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L89">
        <f>IFERROR(INDEX('_names_lookup'!$C:$C,MATCH(BK89,'_names_lookup'!$A:$A,0)),"")</f>
        <v/>
      </c>
      <c r="BM89">
        <f>IFERROR(INDEX('_names_lookup'!$B:$B,MATCH(BK89,'_names_lookup'!$A:$A,0)),"")</f>
        <v/>
      </c>
      <c r="BS89">
        <f>IFERROR(IF(BR89*AA89=0,"",BR89*AA89),"")</f>
        <v/>
      </c>
    </row>
    <row r="90">
      <c r="O90">
        <f>IFERROR(INDEX('_courses_lookup'!$C:$C,MATCH(K90&amp;L90,'_courses_lookup'!$E:$E,0)),"")</f>
        <v/>
      </c>
      <c r="P90">
        <f>IFERROR(INDEX('_courses_lookup'!$D:$D,MATCH(K90&amp;L90,'_courses_lookup'!$E:$E,0)),"")</f>
        <v/>
      </c>
      <c r="AG90">
        <f>IF(AND(AE90&lt;&gt;"",AF90&lt;&gt;""),ROUNDUP((AF90-AE90)/7,0),"")</f>
        <v/>
      </c>
      <c r="AI90">
        <f>IFERROR(IF(AG90*AH90=0,"",AG90*AH90),"")</f>
        <v/>
      </c>
      <c r="AL90">
        <f>IF(AND(AJ90&lt;&gt;"",AK90&lt;&gt;""),ROUNDUP((AK90-AJ90)/7,0),"")</f>
        <v/>
      </c>
      <c r="AN90">
        <f>IFERROR(IF(AL90*AM90=0,"",AL90*AM90),"")</f>
        <v/>
      </c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L90">
        <f>IFERROR(INDEX('_names_lookup'!$C:$C,MATCH(BK90,'_names_lookup'!$A:$A,0)),"")</f>
        <v/>
      </c>
      <c r="BM90">
        <f>IFERROR(INDEX('_names_lookup'!$B:$B,MATCH(BK90,'_names_lookup'!$A:$A,0)),"")</f>
        <v/>
      </c>
      <c r="BS90">
        <f>IFERROR(IF(BR90*AA90=0,"",BR90*AA90),"")</f>
        <v/>
      </c>
    </row>
    <row r="91">
      <c r="O91">
        <f>IFERROR(INDEX('_courses_lookup'!$C:$C,MATCH(K91&amp;L91,'_courses_lookup'!$E:$E,0)),"")</f>
        <v/>
      </c>
      <c r="P91">
        <f>IFERROR(INDEX('_courses_lookup'!$D:$D,MATCH(K91&amp;L91,'_courses_lookup'!$E:$E,0)),"")</f>
        <v/>
      </c>
      <c r="AG91">
        <f>IF(AND(AE91&lt;&gt;"",AF91&lt;&gt;""),ROUNDUP((AF91-AE91)/7,0),"")</f>
        <v/>
      </c>
      <c r="AI91">
        <f>IFERROR(IF(AG91*AH91=0,"",AG91*AH91),"")</f>
        <v/>
      </c>
      <c r="AL91">
        <f>IF(AND(AJ91&lt;&gt;"",AK91&lt;&gt;""),ROUNDUP((AK91-AJ91)/7,0),"")</f>
        <v/>
      </c>
      <c r="AN91">
        <f>IFERROR(IF(AL91*AM91=0,"",AL91*AM91),"")</f>
        <v/>
      </c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L91">
        <f>IFERROR(INDEX('_names_lookup'!$C:$C,MATCH(BK91,'_names_lookup'!$A:$A,0)),"")</f>
        <v/>
      </c>
      <c r="BM91">
        <f>IFERROR(INDEX('_names_lookup'!$B:$B,MATCH(BK91,'_names_lookup'!$A:$A,0)),"")</f>
        <v/>
      </c>
      <c r="BS91">
        <f>IFERROR(IF(BR91*AA91=0,"",BR91*AA91),"")</f>
        <v/>
      </c>
    </row>
    <row r="92">
      <c r="O92">
        <f>IFERROR(INDEX('_courses_lookup'!$C:$C,MATCH(K92&amp;L92,'_courses_lookup'!$E:$E,0)),"")</f>
        <v/>
      </c>
      <c r="P92">
        <f>IFERROR(INDEX('_courses_lookup'!$D:$D,MATCH(K92&amp;L92,'_courses_lookup'!$E:$E,0)),"")</f>
        <v/>
      </c>
      <c r="AG92">
        <f>IF(AND(AE92&lt;&gt;"",AF92&lt;&gt;""),ROUNDUP((AF92-AE92)/7,0),"")</f>
        <v/>
      </c>
      <c r="AI92">
        <f>IFERROR(IF(AG92*AH92=0,"",AG92*AH92),"")</f>
        <v/>
      </c>
      <c r="AL92">
        <f>IF(AND(AJ92&lt;&gt;"",AK92&lt;&gt;""),ROUNDUP((AK92-AJ92)/7,0),"")</f>
        <v/>
      </c>
      <c r="AN92">
        <f>IFERROR(IF(AL92*AM92=0,"",AL92*AM92),"")</f>
        <v/>
      </c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L92">
        <f>IFERROR(INDEX('_names_lookup'!$C:$C,MATCH(BK92,'_names_lookup'!$A:$A,0)),"")</f>
        <v/>
      </c>
      <c r="BM92">
        <f>IFERROR(INDEX('_names_lookup'!$B:$B,MATCH(BK92,'_names_lookup'!$A:$A,0)),"")</f>
        <v/>
      </c>
      <c r="BS92">
        <f>IFERROR(IF(BR92*AA92=0,"",BR92*AA92),"")</f>
        <v/>
      </c>
    </row>
    <row r="93">
      <c r="O93">
        <f>IFERROR(INDEX('_courses_lookup'!$C:$C,MATCH(K93&amp;L93,'_courses_lookup'!$E:$E,0)),"")</f>
        <v/>
      </c>
      <c r="P93">
        <f>IFERROR(INDEX('_courses_lookup'!$D:$D,MATCH(K93&amp;L93,'_courses_lookup'!$E:$E,0)),"")</f>
        <v/>
      </c>
      <c r="AG93">
        <f>IF(AND(AE93&lt;&gt;"",AF93&lt;&gt;""),ROUNDUP((AF93-AE93)/7,0),"")</f>
        <v/>
      </c>
      <c r="AI93">
        <f>IFERROR(IF(AG93*AH93=0,"",AG93*AH93),"")</f>
        <v/>
      </c>
      <c r="AL93">
        <f>IF(AND(AJ93&lt;&gt;"",AK93&lt;&gt;""),ROUNDUP((AK93-AJ93)/7,0),"")</f>
        <v/>
      </c>
      <c r="AN93">
        <f>IFERROR(IF(AL93*AM93=0,"",AL93*AM93),"")</f>
        <v/>
      </c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L93">
        <f>IFERROR(INDEX('_names_lookup'!$C:$C,MATCH(BK93,'_names_lookup'!$A:$A,0)),"")</f>
        <v/>
      </c>
      <c r="BM93">
        <f>IFERROR(INDEX('_names_lookup'!$B:$B,MATCH(BK93,'_names_lookup'!$A:$A,0)),"")</f>
        <v/>
      </c>
      <c r="BS93">
        <f>IFERROR(IF(BR93*AA93=0,"",BR93*AA93),"")</f>
        <v/>
      </c>
    </row>
    <row r="94">
      <c r="O94">
        <f>IFERROR(INDEX('_courses_lookup'!$C:$C,MATCH(K94&amp;L94,'_courses_lookup'!$E:$E,0)),"")</f>
        <v/>
      </c>
      <c r="P94">
        <f>IFERROR(INDEX('_courses_lookup'!$D:$D,MATCH(K94&amp;L94,'_courses_lookup'!$E:$E,0)),"")</f>
        <v/>
      </c>
      <c r="AG94">
        <f>IF(AND(AE94&lt;&gt;"",AF94&lt;&gt;""),ROUNDUP((AF94-AE94)/7,0),"")</f>
        <v/>
      </c>
      <c r="AI94">
        <f>IFERROR(IF(AG94*AH94=0,"",AG94*AH94),"")</f>
        <v/>
      </c>
      <c r="AL94">
        <f>IF(AND(AJ94&lt;&gt;"",AK94&lt;&gt;""),ROUNDUP((AK94-AJ94)/7,0),"")</f>
        <v/>
      </c>
      <c r="AN94">
        <f>IFERROR(IF(AL94*AM94=0,"",AL94*AM94),"")</f>
        <v/>
      </c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L94">
        <f>IFERROR(INDEX('_names_lookup'!$C:$C,MATCH(BK94,'_names_lookup'!$A:$A,0)),"")</f>
        <v/>
      </c>
      <c r="BM94">
        <f>IFERROR(INDEX('_names_lookup'!$B:$B,MATCH(BK94,'_names_lookup'!$A:$A,0)),"")</f>
        <v/>
      </c>
      <c r="BS94">
        <f>IFERROR(IF(BR94*AA94=0,"",BR94*AA94),"")</f>
        <v/>
      </c>
    </row>
    <row r="95">
      <c r="O95">
        <f>IFERROR(INDEX('_courses_lookup'!$C:$C,MATCH(K95&amp;L95,'_courses_lookup'!$E:$E,0)),"")</f>
        <v/>
      </c>
      <c r="P95">
        <f>IFERROR(INDEX('_courses_lookup'!$D:$D,MATCH(K95&amp;L95,'_courses_lookup'!$E:$E,0)),"")</f>
        <v/>
      </c>
      <c r="AG95">
        <f>IF(AND(AE95&lt;&gt;"",AF95&lt;&gt;""),ROUNDUP((AF95-AE95)/7,0),"")</f>
        <v/>
      </c>
      <c r="AI95">
        <f>IFERROR(IF(AG95*AH95=0,"",AG95*AH95),"")</f>
        <v/>
      </c>
      <c r="AL95">
        <f>IF(AND(AJ95&lt;&gt;"",AK95&lt;&gt;""),ROUNDUP((AK95-AJ95)/7,0),"")</f>
        <v/>
      </c>
      <c r="AN95">
        <f>IFERROR(IF(AL95*AM95=0,"",AL95*AM95),"")</f>
        <v/>
      </c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L95">
        <f>IFERROR(INDEX('_names_lookup'!$C:$C,MATCH(BK95,'_names_lookup'!$A:$A,0)),"")</f>
        <v/>
      </c>
      <c r="BM95">
        <f>IFERROR(INDEX('_names_lookup'!$B:$B,MATCH(BK95,'_names_lookup'!$A:$A,0)),"")</f>
        <v/>
      </c>
      <c r="BS95">
        <f>IFERROR(IF(BR95*AA95=0,"",BR95*AA95),"")</f>
        <v/>
      </c>
    </row>
    <row r="96">
      <c r="O96">
        <f>IFERROR(INDEX('_courses_lookup'!$C:$C,MATCH(K96&amp;L96,'_courses_lookup'!$E:$E,0)),"")</f>
        <v/>
      </c>
      <c r="P96">
        <f>IFERROR(INDEX('_courses_lookup'!$D:$D,MATCH(K96&amp;L96,'_courses_lookup'!$E:$E,0)),"")</f>
        <v/>
      </c>
      <c r="AG96">
        <f>IF(AND(AE96&lt;&gt;"",AF96&lt;&gt;""),ROUNDUP((AF96-AE96)/7,0),"")</f>
        <v/>
      </c>
      <c r="AI96">
        <f>IFERROR(IF(AG96*AH96=0,"",AG96*AH96),"")</f>
        <v/>
      </c>
      <c r="AL96">
        <f>IF(AND(AJ96&lt;&gt;"",AK96&lt;&gt;""),ROUNDUP((AK96-AJ96)/7,0),"")</f>
        <v/>
      </c>
      <c r="AN96">
        <f>IFERROR(IF(AL96*AM96=0,"",AL96*AM96),"")</f>
        <v/>
      </c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L96">
        <f>IFERROR(INDEX('_names_lookup'!$C:$C,MATCH(BK96,'_names_lookup'!$A:$A,0)),"")</f>
        <v/>
      </c>
      <c r="BM96">
        <f>IFERROR(INDEX('_names_lookup'!$B:$B,MATCH(BK96,'_names_lookup'!$A:$A,0)),"")</f>
        <v/>
      </c>
      <c r="BS96">
        <f>IFERROR(IF(BR96*AA96=0,"",BR96*AA96),"")</f>
        <v/>
      </c>
    </row>
    <row r="97">
      <c r="O97">
        <f>IFERROR(INDEX('_courses_lookup'!$C:$C,MATCH(K97&amp;L97,'_courses_lookup'!$E:$E,0)),"")</f>
        <v/>
      </c>
      <c r="P97">
        <f>IFERROR(INDEX('_courses_lookup'!$D:$D,MATCH(K97&amp;L97,'_courses_lookup'!$E:$E,0)),"")</f>
        <v/>
      </c>
      <c r="AG97">
        <f>IF(AND(AE97&lt;&gt;"",AF97&lt;&gt;""),ROUNDUP((AF97-AE97)/7,0),"")</f>
        <v/>
      </c>
      <c r="AI97">
        <f>IFERROR(IF(AG97*AH97=0,"",AG97*AH97),"")</f>
        <v/>
      </c>
      <c r="AL97">
        <f>IF(AND(AJ97&lt;&gt;"",AK97&lt;&gt;""),ROUNDUP((AK97-AJ97)/7,0),"")</f>
        <v/>
      </c>
      <c r="AN97">
        <f>IFERROR(IF(AL97*AM97=0,"",AL97*AM97),"")</f>
        <v/>
      </c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L97">
        <f>IFERROR(INDEX('_names_lookup'!$C:$C,MATCH(BK97,'_names_lookup'!$A:$A,0)),"")</f>
        <v/>
      </c>
      <c r="BM97">
        <f>IFERROR(INDEX('_names_lookup'!$B:$B,MATCH(BK97,'_names_lookup'!$A:$A,0)),"")</f>
        <v/>
      </c>
      <c r="BS97">
        <f>IFERROR(IF(BR97*AA97=0,"",BR97*AA97),"")</f>
        <v/>
      </c>
    </row>
    <row r="98">
      <c r="O98">
        <f>IFERROR(INDEX('_courses_lookup'!$C:$C,MATCH(K98&amp;L98,'_courses_lookup'!$E:$E,0)),"")</f>
        <v/>
      </c>
      <c r="P98">
        <f>IFERROR(INDEX('_courses_lookup'!$D:$D,MATCH(K98&amp;L98,'_courses_lookup'!$E:$E,0)),"")</f>
        <v/>
      </c>
      <c r="AG98">
        <f>IF(AND(AE98&lt;&gt;"",AF98&lt;&gt;""),ROUNDUP((AF98-AE98)/7,0),"")</f>
        <v/>
      </c>
      <c r="AI98">
        <f>IFERROR(IF(AG98*AH98=0,"",AG98*AH98),"")</f>
        <v/>
      </c>
      <c r="AL98">
        <f>IF(AND(AJ98&lt;&gt;"",AK98&lt;&gt;""),ROUNDUP((AK98-AJ98)/7,0),"")</f>
        <v/>
      </c>
      <c r="AN98">
        <f>IFERROR(IF(AL98*AM98=0,"",AL98*AM98),"")</f>
        <v/>
      </c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L98">
        <f>IFERROR(INDEX('_names_lookup'!$C:$C,MATCH(BK98,'_names_lookup'!$A:$A,0)),"")</f>
        <v/>
      </c>
      <c r="BM98">
        <f>IFERROR(INDEX('_names_lookup'!$B:$B,MATCH(BK98,'_names_lookup'!$A:$A,0)),"")</f>
        <v/>
      </c>
      <c r="BS98">
        <f>IFERROR(IF(BR98*AA98=0,"",BR98*AA98),"")</f>
        <v/>
      </c>
    </row>
    <row r="99">
      <c r="O99">
        <f>IFERROR(INDEX('_courses_lookup'!$C:$C,MATCH(K99&amp;L99,'_courses_lookup'!$E:$E,0)),"")</f>
        <v/>
      </c>
      <c r="P99">
        <f>IFERROR(INDEX('_courses_lookup'!$D:$D,MATCH(K99&amp;L99,'_courses_lookup'!$E:$E,0)),"")</f>
        <v/>
      </c>
      <c r="AG99">
        <f>IF(AND(AE99&lt;&gt;"",AF99&lt;&gt;""),ROUNDUP((AF99-AE99)/7,0),"")</f>
        <v/>
      </c>
      <c r="AI99">
        <f>IFERROR(IF(AG99*AH99=0,"",AG99*AH99),"")</f>
        <v/>
      </c>
      <c r="AL99">
        <f>IF(AND(AJ99&lt;&gt;"",AK99&lt;&gt;""),ROUNDUP((AK99-AJ99)/7,0),"")</f>
        <v/>
      </c>
      <c r="AN99">
        <f>IFERROR(IF(AL99*AM99=0,"",AL99*AM99),"")</f>
        <v/>
      </c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L99">
        <f>IFERROR(INDEX('_names_lookup'!$C:$C,MATCH(BK99,'_names_lookup'!$A:$A,0)),"")</f>
        <v/>
      </c>
      <c r="BM99">
        <f>IFERROR(INDEX('_names_lookup'!$B:$B,MATCH(BK99,'_names_lookup'!$A:$A,0)),"")</f>
        <v/>
      </c>
      <c r="BS99">
        <f>IFERROR(IF(BR99*AA99=0,"",BR99*AA99),"")</f>
        <v/>
      </c>
    </row>
    <row r="100">
      <c r="O100">
        <f>IFERROR(INDEX('_courses_lookup'!$C:$C,MATCH(K100&amp;L100,'_courses_lookup'!$E:$E,0)),"")</f>
        <v/>
      </c>
      <c r="P100">
        <f>IFERROR(INDEX('_courses_lookup'!$D:$D,MATCH(K100&amp;L100,'_courses_lookup'!$E:$E,0)),"")</f>
        <v/>
      </c>
      <c r="AG100">
        <f>IF(AND(AE100&lt;&gt;"",AF100&lt;&gt;""),ROUNDUP((AF100-AE100)/7,0),"")</f>
        <v/>
      </c>
      <c r="AI100">
        <f>IFERROR(IF(AG100*AH100=0,"",AG100*AH100),"")</f>
        <v/>
      </c>
      <c r="AL100">
        <f>IF(AND(AJ100&lt;&gt;"",AK100&lt;&gt;""),ROUNDUP((AK100-AJ100)/7,0),"")</f>
        <v/>
      </c>
      <c r="AN100">
        <f>IFERROR(IF(AL100*AM100=0,"",AL100*AM100),"")</f>
        <v/>
      </c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L100">
        <f>IFERROR(INDEX('_names_lookup'!$C:$C,MATCH(BK100,'_names_lookup'!$A:$A,0)),"")</f>
        <v/>
      </c>
      <c r="BM100">
        <f>IFERROR(INDEX('_names_lookup'!$B:$B,MATCH(BK100,'_names_lookup'!$A:$A,0)),"")</f>
        <v/>
      </c>
      <c r="BS100">
        <f>IFERROR(IF(BR100*AA100=0,"",BR100*AA100),"")</f>
        <v/>
      </c>
    </row>
    <row r="101">
      <c r="O101">
        <f>IFERROR(INDEX('_courses_lookup'!$C:$C,MATCH(K101&amp;L101,'_courses_lookup'!$E:$E,0)),"")</f>
        <v/>
      </c>
      <c r="P101">
        <f>IFERROR(INDEX('_courses_lookup'!$D:$D,MATCH(K101&amp;L101,'_courses_lookup'!$E:$E,0)),"")</f>
        <v/>
      </c>
      <c r="AG101">
        <f>IF(AND(AE101&lt;&gt;"",AF101&lt;&gt;""),ROUNDUP((AF101-AE101)/7,0),"")</f>
        <v/>
      </c>
      <c r="AI101">
        <f>IFERROR(IF(AG101*AH101=0,"",AG101*AH101),"")</f>
        <v/>
      </c>
      <c r="AL101">
        <f>IF(AND(AJ101&lt;&gt;"",AK101&lt;&gt;""),ROUNDUP((AK101-AJ101)/7,0),"")</f>
        <v/>
      </c>
      <c r="AN101">
        <f>IFERROR(IF(AL101*AM101=0,"",AL101*AM101),"")</f>
        <v/>
      </c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L101">
        <f>IFERROR(INDEX('_names_lookup'!$C:$C,MATCH(BK101,'_names_lookup'!$A:$A,0)),"")</f>
        <v/>
      </c>
      <c r="BM101">
        <f>IFERROR(INDEX('_names_lookup'!$B:$B,MATCH(BK101,'_names_lookup'!$A:$A,0)),"")</f>
        <v/>
      </c>
      <c r="BS101">
        <f>IFERROR(IF(BR101*AA101=0,"",BR101*AA101),"")</f>
        <v/>
      </c>
    </row>
    <row r="102">
      <c r="O102">
        <f>IFERROR(INDEX('_courses_lookup'!$C:$C,MATCH(K102&amp;L102,'_courses_lookup'!$E:$E,0)),"")</f>
        <v/>
      </c>
      <c r="P102">
        <f>IFERROR(INDEX('_courses_lookup'!$D:$D,MATCH(K102&amp;L102,'_courses_lookup'!$E:$E,0)),"")</f>
        <v/>
      </c>
      <c r="AG102">
        <f>IF(AND(AE102&lt;&gt;"",AF102&lt;&gt;""),ROUNDUP((AF102-AE102)/7,0),"")</f>
        <v/>
      </c>
      <c r="AI102">
        <f>IFERROR(IF(AG102*AH102=0,"",AG102*AH102),"")</f>
        <v/>
      </c>
      <c r="AL102">
        <f>IF(AND(AJ102&lt;&gt;"",AK102&lt;&gt;""),ROUNDUP((AK102-AJ102)/7,0),"")</f>
        <v/>
      </c>
      <c r="AN102">
        <f>IFERROR(IF(AL102*AM102=0,"",AL102*AM102),"")</f>
        <v/>
      </c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L102">
        <f>IFERROR(INDEX('_names_lookup'!$C:$C,MATCH(BK102,'_names_lookup'!$A:$A,0)),"")</f>
        <v/>
      </c>
      <c r="BM102">
        <f>IFERROR(INDEX('_names_lookup'!$B:$B,MATCH(BK102,'_names_lookup'!$A:$A,0)),"")</f>
        <v/>
      </c>
      <c r="BS102">
        <f>IFERROR(IF(BR102*AA102=0,"",BR102*AA102),"")</f>
        <v/>
      </c>
    </row>
    <row r="103">
      <c r="O103">
        <f>IFERROR(INDEX('_courses_lookup'!$C:$C,MATCH(K103&amp;L103,'_courses_lookup'!$E:$E,0)),"")</f>
        <v/>
      </c>
      <c r="P103">
        <f>IFERROR(INDEX('_courses_lookup'!$D:$D,MATCH(K103&amp;L103,'_courses_lookup'!$E:$E,0)),"")</f>
        <v/>
      </c>
      <c r="AG103">
        <f>IF(AND(AE103&lt;&gt;"",AF103&lt;&gt;""),ROUNDUP((AF103-AE103)/7,0),"")</f>
        <v/>
      </c>
      <c r="AI103">
        <f>IFERROR(IF(AG103*AH103=0,"",AG103*AH103),"")</f>
        <v/>
      </c>
      <c r="AL103">
        <f>IF(AND(AJ103&lt;&gt;"",AK103&lt;&gt;""),ROUNDUP((AK103-AJ103)/7,0),"")</f>
        <v/>
      </c>
      <c r="AN103">
        <f>IFERROR(IF(AL103*AM103=0,"",AL103*AM103),"")</f>
        <v/>
      </c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L103">
        <f>IFERROR(INDEX('_names_lookup'!$C:$C,MATCH(BK103,'_names_lookup'!$A:$A,0)),"")</f>
        <v/>
      </c>
      <c r="BM103">
        <f>IFERROR(INDEX('_names_lookup'!$B:$B,MATCH(BK103,'_names_lookup'!$A:$A,0)),"")</f>
        <v/>
      </c>
      <c r="BS103">
        <f>IFERROR(IF(BR103*AA103=0,"",BR103*AA103),"")</f>
        <v/>
      </c>
    </row>
    <row r="104">
      <c r="O104">
        <f>IFERROR(INDEX('_courses_lookup'!$C:$C,MATCH(K104&amp;L104,'_courses_lookup'!$E:$E,0)),"")</f>
        <v/>
      </c>
      <c r="P104">
        <f>IFERROR(INDEX('_courses_lookup'!$D:$D,MATCH(K104&amp;L104,'_courses_lookup'!$E:$E,0)),"")</f>
        <v/>
      </c>
      <c r="AG104">
        <f>IF(AND(AE104&lt;&gt;"",AF104&lt;&gt;""),ROUNDUP((AF104-AE104)/7,0),"")</f>
        <v/>
      </c>
      <c r="AI104">
        <f>IFERROR(IF(AG104*AH104=0,"",AG104*AH104),"")</f>
        <v/>
      </c>
      <c r="AL104">
        <f>IF(AND(AJ104&lt;&gt;"",AK104&lt;&gt;""),ROUNDUP((AK104-AJ104)/7,0),"")</f>
        <v/>
      </c>
      <c r="AN104">
        <f>IFERROR(IF(AL104*AM104=0,"",AL104*AM104),"")</f>
        <v/>
      </c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L104">
        <f>IFERROR(INDEX('_names_lookup'!$C:$C,MATCH(BK104,'_names_lookup'!$A:$A,0)),"")</f>
        <v/>
      </c>
      <c r="BM104">
        <f>IFERROR(INDEX('_names_lookup'!$B:$B,MATCH(BK104,'_names_lookup'!$A:$A,0)),"")</f>
        <v/>
      </c>
      <c r="BS104">
        <f>IFERROR(IF(BR104*AA104=0,"",BR104*AA104),"")</f>
        <v/>
      </c>
    </row>
    <row r="105">
      <c r="O105">
        <f>IFERROR(INDEX('_courses_lookup'!$C:$C,MATCH(K105&amp;L105,'_courses_lookup'!$E:$E,0)),"")</f>
        <v/>
      </c>
      <c r="P105">
        <f>IFERROR(INDEX('_courses_lookup'!$D:$D,MATCH(K105&amp;L105,'_courses_lookup'!$E:$E,0)),"")</f>
        <v/>
      </c>
      <c r="AG105">
        <f>IF(AND(AE105&lt;&gt;"",AF105&lt;&gt;""),ROUNDUP((AF105-AE105)/7,0),"")</f>
        <v/>
      </c>
      <c r="AI105">
        <f>IFERROR(IF(AG105*AH105=0,"",AG105*AH105),"")</f>
        <v/>
      </c>
      <c r="AL105">
        <f>IF(AND(AJ105&lt;&gt;"",AK105&lt;&gt;""),ROUNDUP((AK105-AJ105)/7,0),"")</f>
        <v/>
      </c>
      <c r="AN105">
        <f>IFERROR(IF(AL105*AM105=0,"",AL105*AM105),"")</f>
        <v/>
      </c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L105">
        <f>IFERROR(INDEX('_names_lookup'!$C:$C,MATCH(BK105,'_names_lookup'!$A:$A,0)),"")</f>
        <v/>
      </c>
      <c r="BM105">
        <f>IFERROR(INDEX('_names_lookup'!$B:$B,MATCH(BK105,'_names_lookup'!$A:$A,0)),"")</f>
        <v/>
      </c>
      <c r="BS105">
        <f>IFERROR(IF(BR105*AA105=0,"",BR105*AA105),"")</f>
        <v/>
      </c>
    </row>
    <row r="106">
      <c r="O106">
        <f>IFERROR(INDEX('_courses_lookup'!$C:$C,MATCH(K106&amp;L106,'_courses_lookup'!$E:$E,0)),"")</f>
        <v/>
      </c>
      <c r="P106">
        <f>IFERROR(INDEX('_courses_lookup'!$D:$D,MATCH(K106&amp;L106,'_courses_lookup'!$E:$E,0)),"")</f>
        <v/>
      </c>
      <c r="AG106">
        <f>IF(AND(AE106&lt;&gt;"",AF106&lt;&gt;""),ROUNDUP((AF106-AE106)/7,0),"")</f>
        <v/>
      </c>
      <c r="AI106">
        <f>IFERROR(IF(AG106*AH106=0,"",AG106*AH106),"")</f>
        <v/>
      </c>
      <c r="AL106">
        <f>IF(AND(AJ106&lt;&gt;"",AK106&lt;&gt;""),ROUNDUP((AK106-AJ106)/7,0),"")</f>
        <v/>
      </c>
      <c r="AN106">
        <f>IFERROR(IF(AL106*AM106=0,"",AL106*AM106),"")</f>
        <v/>
      </c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L106">
        <f>IFERROR(INDEX('_names_lookup'!$C:$C,MATCH(BK106,'_names_lookup'!$A:$A,0)),"")</f>
        <v/>
      </c>
      <c r="BM106">
        <f>IFERROR(INDEX('_names_lookup'!$B:$B,MATCH(BK106,'_names_lookup'!$A:$A,0)),"")</f>
        <v/>
      </c>
      <c r="BS106">
        <f>IFERROR(IF(BR106*AA106=0,"",BR106*AA106),"")</f>
        <v/>
      </c>
    </row>
    <row r="107">
      <c r="O107">
        <f>IFERROR(INDEX('_courses_lookup'!$C:$C,MATCH(K107&amp;L107,'_courses_lookup'!$E:$E,0)),"")</f>
        <v/>
      </c>
      <c r="P107">
        <f>IFERROR(INDEX('_courses_lookup'!$D:$D,MATCH(K107&amp;L107,'_courses_lookup'!$E:$E,0)),"")</f>
        <v/>
      </c>
      <c r="AG107">
        <f>IF(AND(AE107&lt;&gt;"",AF107&lt;&gt;""),ROUNDUP((AF107-AE107)/7,0),"")</f>
        <v/>
      </c>
      <c r="AI107">
        <f>IFERROR(IF(AG107*AH107=0,"",AG107*AH107),"")</f>
        <v/>
      </c>
      <c r="AL107">
        <f>IF(AND(AJ107&lt;&gt;"",AK107&lt;&gt;""),ROUNDUP((AK107-AJ107)/7,0),"")</f>
        <v/>
      </c>
      <c r="AN107">
        <f>IFERROR(IF(AL107*AM107=0,"",AL107*AM107),"")</f>
        <v/>
      </c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L107">
        <f>IFERROR(INDEX('_names_lookup'!$C:$C,MATCH(BK107,'_names_lookup'!$A:$A,0)),"")</f>
        <v/>
      </c>
      <c r="BM107">
        <f>IFERROR(INDEX('_names_lookup'!$B:$B,MATCH(BK107,'_names_lookup'!$A:$A,0)),"")</f>
        <v/>
      </c>
      <c r="BS107">
        <f>IFERROR(IF(BR107*AA107=0,"",BR107*AA107),"")</f>
        <v/>
      </c>
    </row>
    <row r="108">
      <c r="O108">
        <f>IFERROR(INDEX('_courses_lookup'!$C:$C,MATCH(K108&amp;L108,'_courses_lookup'!$E:$E,0)),"")</f>
        <v/>
      </c>
      <c r="P108">
        <f>IFERROR(INDEX('_courses_lookup'!$D:$D,MATCH(K108&amp;L108,'_courses_lookup'!$E:$E,0)),"")</f>
        <v/>
      </c>
      <c r="AG108">
        <f>IF(AND(AE108&lt;&gt;"",AF108&lt;&gt;""),ROUNDUP((AF108-AE108)/7,0),"")</f>
        <v/>
      </c>
      <c r="AI108">
        <f>IFERROR(IF(AG108*AH108=0,"",AG108*AH108),"")</f>
        <v/>
      </c>
      <c r="AL108">
        <f>IF(AND(AJ108&lt;&gt;"",AK108&lt;&gt;""),ROUNDUP((AK108-AJ108)/7,0),"")</f>
        <v/>
      </c>
      <c r="AN108">
        <f>IFERROR(IF(AL108*AM108=0,"",AL108*AM108),"")</f>
        <v/>
      </c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L108">
        <f>IFERROR(INDEX('_names_lookup'!$C:$C,MATCH(BK108,'_names_lookup'!$A:$A,0)),"")</f>
        <v/>
      </c>
      <c r="BM108">
        <f>IFERROR(INDEX('_names_lookup'!$B:$B,MATCH(BK108,'_names_lookup'!$A:$A,0)),"")</f>
        <v/>
      </c>
      <c r="BS108">
        <f>IFERROR(IF(BR108*AA108=0,"",BR108*AA108),"")</f>
        <v/>
      </c>
    </row>
    <row r="109">
      <c r="O109">
        <f>IFERROR(INDEX('_courses_lookup'!$C:$C,MATCH(K109&amp;L109,'_courses_lookup'!$E:$E,0)),"")</f>
        <v/>
      </c>
      <c r="P109">
        <f>IFERROR(INDEX('_courses_lookup'!$D:$D,MATCH(K109&amp;L109,'_courses_lookup'!$E:$E,0)),"")</f>
        <v/>
      </c>
      <c r="AG109">
        <f>IF(AND(AE109&lt;&gt;"",AF109&lt;&gt;""),ROUNDUP((AF109-AE109)/7,0),"")</f>
        <v/>
      </c>
      <c r="AI109">
        <f>IFERROR(IF(AG109*AH109=0,"",AG109*AH109),"")</f>
        <v/>
      </c>
      <c r="AL109">
        <f>IF(AND(AJ109&lt;&gt;"",AK109&lt;&gt;""),ROUNDUP((AK109-AJ109)/7,0),"")</f>
        <v/>
      </c>
      <c r="AN109">
        <f>IFERROR(IF(AL109*AM109=0,"",AL109*AM109),"")</f>
        <v/>
      </c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L109">
        <f>IFERROR(INDEX('_names_lookup'!$C:$C,MATCH(BK109,'_names_lookup'!$A:$A,0)),"")</f>
        <v/>
      </c>
      <c r="BM109">
        <f>IFERROR(INDEX('_names_lookup'!$B:$B,MATCH(BK109,'_names_lookup'!$A:$A,0)),"")</f>
        <v/>
      </c>
      <c r="BS109">
        <f>IFERROR(IF(BR109*AA109=0,"",BR109*AA109),"")</f>
        <v/>
      </c>
    </row>
    <row r="110">
      <c r="O110">
        <f>IFERROR(INDEX('_courses_lookup'!$C:$C,MATCH(K110&amp;L110,'_courses_lookup'!$E:$E,0)),"")</f>
        <v/>
      </c>
      <c r="P110">
        <f>IFERROR(INDEX('_courses_lookup'!$D:$D,MATCH(K110&amp;L110,'_courses_lookup'!$E:$E,0)),"")</f>
        <v/>
      </c>
      <c r="AG110">
        <f>IF(AND(AE110&lt;&gt;"",AF110&lt;&gt;""),ROUNDUP((AF110-AE110)/7,0),"")</f>
        <v/>
      </c>
      <c r="AI110">
        <f>IFERROR(IF(AG110*AH110=0,"",AG110*AH110),"")</f>
        <v/>
      </c>
      <c r="AL110">
        <f>IF(AND(AJ110&lt;&gt;"",AK110&lt;&gt;""),ROUNDUP((AK110-AJ110)/7,0),"")</f>
        <v/>
      </c>
      <c r="AN110">
        <f>IFERROR(IF(AL110*AM110=0,"",AL110*AM110),"")</f>
        <v/>
      </c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L110">
        <f>IFERROR(INDEX('_names_lookup'!$C:$C,MATCH(BK110,'_names_lookup'!$A:$A,0)),"")</f>
        <v/>
      </c>
      <c r="BM110">
        <f>IFERROR(INDEX('_names_lookup'!$B:$B,MATCH(BK110,'_names_lookup'!$A:$A,0)),"")</f>
        <v/>
      </c>
      <c r="BS110">
        <f>IFERROR(IF(BR110*AA110=0,"",BR110*AA110),"")</f>
        <v/>
      </c>
    </row>
    <row r="111">
      <c r="O111">
        <f>IFERROR(INDEX('_courses_lookup'!$C:$C,MATCH(K111&amp;L111,'_courses_lookup'!$E:$E,0)),"")</f>
        <v/>
      </c>
      <c r="P111">
        <f>IFERROR(INDEX('_courses_lookup'!$D:$D,MATCH(K111&amp;L111,'_courses_lookup'!$E:$E,0)),"")</f>
        <v/>
      </c>
      <c r="AG111">
        <f>IF(AND(AE111&lt;&gt;"",AF111&lt;&gt;""),ROUNDUP((AF111-AE111)/7,0),"")</f>
        <v/>
      </c>
      <c r="AI111">
        <f>IFERROR(IF(AG111*AH111=0,"",AG111*AH111),"")</f>
        <v/>
      </c>
      <c r="AL111">
        <f>IF(AND(AJ111&lt;&gt;"",AK111&lt;&gt;""),ROUNDUP((AK111-AJ111)/7,0),"")</f>
        <v/>
      </c>
      <c r="AN111">
        <f>IFERROR(IF(AL111*AM111=0,"",AL111*AM111),"")</f>
        <v/>
      </c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L111">
        <f>IFERROR(INDEX('_names_lookup'!$C:$C,MATCH(BK111,'_names_lookup'!$A:$A,0)),"")</f>
        <v/>
      </c>
      <c r="BM111">
        <f>IFERROR(INDEX('_names_lookup'!$B:$B,MATCH(BK111,'_names_lookup'!$A:$A,0)),"")</f>
        <v/>
      </c>
      <c r="BS111">
        <f>IFERROR(IF(BR111*AA111=0,"",BR111*AA111),"")</f>
        <v/>
      </c>
    </row>
    <row r="112">
      <c r="O112">
        <f>IFERROR(INDEX('_courses_lookup'!$C:$C,MATCH(K112&amp;L112,'_courses_lookup'!$E:$E,0)),"")</f>
        <v/>
      </c>
      <c r="P112">
        <f>IFERROR(INDEX('_courses_lookup'!$D:$D,MATCH(K112&amp;L112,'_courses_lookup'!$E:$E,0)),"")</f>
        <v/>
      </c>
      <c r="AG112">
        <f>IF(AND(AE112&lt;&gt;"",AF112&lt;&gt;""),ROUNDUP((AF112-AE112)/7,0),"")</f>
        <v/>
      </c>
      <c r="AI112">
        <f>IFERROR(IF(AG112*AH112=0,"",AG112*AH112),"")</f>
        <v/>
      </c>
      <c r="AL112">
        <f>IF(AND(AJ112&lt;&gt;"",AK112&lt;&gt;""),ROUNDUP((AK112-AJ112)/7,0),"")</f>
        <v/>
      </c>
      <c r="AN112">
        <f>IFERROR(IF(AL112*AM112=0,"",AL112*AM112),"")</f>
        <v/>
      </c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L112">
        <f>IFERROR(INDEX('_names_lookup'!$C:$C,MATCH(BK112,'_names_lookup'!$A:$A,0)),"")</f>
        <v/>
      </c>
      <c r="BM112">
        <f>IFERROR(INDEX('_names_lookup'!$B:$B,MATCH(BK112,'_names_lookup'!$A:$A,0)),"")</f>
        <v/>
      </c>
      <c r="BS112">
        <f>IFERROR(IF(BR112*AA112=0,"",BR112*AA112),"")</f>
        <v/>
      </c>
    </row>
    <row r="113">
      <c r="O113">
        <f>IFERROR(INDEX('_courses_lookup'!$C:$C,MATCH(K113&amp;L113,'_courses_lookup'!$E:$E,0)),"")</f>
        <v/>
      </c>
      <c r="P113">
        <f>IFERROR(INDEX('_courses_lookup'!$D:$D,MATCH(K113&amp;L113,'_courses_lookup'!$E:$E,0)),"")</f>
        <v/>
      </c>
      <c r="AG113">
        <f>IF(AND(AE113&lt;&gt;"",AF113&lt;&gt;""),ROUNDUP((AF113-AE113)/7,0),"")</f>
        <v/>
      </c>
      <c r="AI113">
        <f>IFERROR(IF(AG113*AH113=0,"",AG113*AH113),"")</f>
        <v/>
      </c>
      <c r="AL113">
        <f>IF(AND(AJ113&lt;&gt;"",AK113&lt;&gt;""),ROUNDUP((AK113-AJ113)/7,0),"")</f>
        <v/>
      </c>
      <c r="AN113">
        <f>IFERROR(IF(AL113*AM113=0,"",AL113*AM113),"")</f>
        <v/>
      </c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L113">
        <f>IFERROR(INDEX('_names_lookup'!$C:$C,MATCH(BK113,'_names_lookup'!$A:$A,0)),"")</f>
        <v/>
      </c>
      <c r="BM113">
        <f>IFERROR(INDEX('_names_lookup'!$B:$B,MATCH(BK113,'_names_lookup'!$A:$A,0)),"")</f>
        <v/>
      </c>
      <c r="BS113">
        <f>IFERROR(IF(BR113*AA113=0,"",BR113*AA113),"")</f>
        <v/>
      </c>
    </row>
    <row r="114">
      <c r="O114">
        <f>IFERROR(INDEX('_courses_lookup'!$C:$C,MATCH(K114&amp;L114,'_courses_lookup'!$E:$E,0)),"")</f>
        <v/>
      </c>
      <c r="P114">
        <f>IFERROR(INDEX('_courses_lookup'!$D:$D,MATCH(K114&amp;L114,'_courses_lookup'!$E:$E,0)),"")</f>
        <v/>
      </c>
      <c r="AG114">
        <f>IF(AND(AE114&lt;&gt;"",AF114&lt;&gt;""),ROUNDUP((AF114-AE114)/7,0),"")</f>
        <v/>
      </c>
      <c r="AI114">
        <f>IFERROR(IF(AG114*AH114=0,"",AG114*AH114),"")</f>
        <v/>
      </c>
      <c r="AL114">
        <f>IF(AND(AJ114&lt;&gt;"",AK114&lt;&gt;""),ROUNDUP((AK114-AJ114)/7,0),"")</f>
        <v/>
      </c>
      <c r="AN114">
        <f>IFERROR(IF(AL114*AM114=0,"",AL114*AM114),"")</f>
        <v/>
      </c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L114">
        <f>IFERROR(INDEX('_names_lookup'!$C:$C,MATCH(BK114,'_names_lookup'!$A:$A,0)),"")</f>
        <v/>
      </c>
      <c r="BM114">
        <f>IFERROR(INDEX('_names_lookup'!$B:$B,MATCH(BK114,'_names_lookup'!$A:$A,0)),"")</f>
        <v/>
      </c>
      <c r="BS114">
        <f>IFERROR(IF(BR114*AA114=0,"",BR114*AA114),"")</f>
        <v/>
      </c>
    </row>
    <row r="115">
      <c r="O115">
        <f>IFERROR(INDEX('_courses_lookup'!$C:$C,MATCH(K115&amp;L115,'_courses_lookup'!$E:$E,0)),"")</f>
        <v/>
      </c>
      <c r="P115">
        <f>IFERROR(INDEX('_courses_lookup'!$D:$D,MATCH(K115&amp;L115,'_courses_lookup'!$E:$E,0)),"")</f>
        <v/>
      </c>
      <c r="AG115">
        <f>IF(AND(AE115&lt;&gt;"",AF115&lt;&gt;""),ROUNDUP((AF115-AE115)/7,0),"")</f>
        <v/>
      </c>
      <c r="AI115">
        <f>IFERROR(IF(AG115*AH115=0,"",AG115*AH115),"")</f>
        <v/>
      </c>
      <c r="AL115">
        <f>IF(AND(AJ115&lt;&gt;"",AK115&lt;&gt;""),ROUNDUP((AK115-AJ115)/7,0),"")</f>
        <v/>
      </c>
      <c r="AN115">
        <f>IFERROR(IF(AL115*AM115=0,"",AL115*AM115),"")</f>
        <v/>
      </c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L115">
        <f>IFERROR(INDEX('_names_lookup'!$C:$C,MATCH(BK115,'_names_lookup'!$A:$A,0)),"")</f>
        <v/>
      </c>
      <c r="BM115">
        <f>IFERROR(INDEX('_names_lookup'!$B:$B,MATCH(BK115,'_names_lookup'!$A:$A,0)),"")</f>
        <v/>
      </c>
      <c r="BS115">
        <f>IFERROR(IF(BR115*AA115=0,"",BR115*AA115),"")</f>
        <v/>
      </c>
    </row>
    <row r="116">
      <c r="O116">
        <f>IFERROR(INDEX('_courses_lookup'!$C:$C,MATCH(K116&amp;L116,'_courses_lookup'!$E:$E,0)),"")</f>
        <v/>
      </c>
      <c r="P116">
        <f>IFERROR(INDEX('_courses_lookup'!$D:$D,MATCH(K116&amp;L116,'_courses_lookup'!$E:$E,0)),"")</f>
        <v/>
      </c>
      <c r="AG116">
        <f>IF(AND(AE116&lt;&gt;"",AF116&lt;&gt;""),ROUNDUP((AF116-AE116)/7,0),"")</f>
        <v/>
      </c>
      <c r="AI116">
        <f>IFERROR(IF(AG116*AH116=0,"",AG116*AH116),"")</f>
        <v/>
      </c>
      <c r="AL116">
        <f>IF(AND(AJ116&lt;&gt;"",AK116&lt;&gt;""),ROUNDUP((AK116-AJ116)/7,0),"")</f>
        <v/>
      </c>
      <c r="AN116">
        <f>IFERROR(IF(AL116*AM116=0,"",AL116*AM116),"")</f>
        <v/>
      </c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L116">
        <f>IFERROR(INDEX('_names_lookup'!$C:$C,MATCH(BK116,'_names_lookup'!$A:$A,0)),"")</f>
        <v/>
      </c>
      <c r="BM116">
        <f>IFERROR(INDEX('_names_lookup'!$B:$B,MATCH(BK116,'_names_lookup'!$A:$A,0)),"")</f>
        <v/>
      </c>
      <c r="BS116">
        <f>IFERROR(IF(BR116*AA116=0,"",BR116*AA116),"")</f>
        <v/>
      </c>
    </row>
    <row r="117">
      <c r="O117">
        <f>IFERROR(INDEX('_courses_lookup'!$C:$C,MATCH(K117&amp;L117,'_courses_lookup'!$E:$E,0)),"")</f>
        <v/>
      </c>
      <c r="P117">
        <f>IFERROR(INDEX('_courses_lookup'!$D:$D,MATCH(K117&amp;L117,'_courses_lookup'!$E:$E,0)),"")</f>
        <v/>
      </c>
      <c r="AG117">
        <f>IF(AND(AE117&lt;&gt;"",AF117&lt;&gt;""),ROUNDUP((AF117-AE117)/7,0),"")</f>
        <v/>
      </c>
      <c r="AI117">
        <f>IFERROR(IF(AG117*AH117=0,"",AG117*AH117),"")</f>
        <v/>
      </c>
      <c r="AL117">
        <f>IF(AND(AJ117&lt;&gt;"",AK117&lt;&gt;""),ROUNDUP((AK117-AJ117)/7,0),"")</f>
        <v/>
      </c>
      <c r="AN117">
        <f>IFERROR(IF(AL117*AM117=0,"",AL117*AM117),"")</f>
        <v/>
      </c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L117">
        <f>IFERROR(INDEX('_names_lookup'!$C:$C,MATCH(BK117,'_names_lookup'!$A:$A,0)),"")</f>
        <v/>
      </c>
      <c r="BM117">
        <f>IFERROR(INDEX('_names_lookup'!$B:$B,MATCH(BK117,'_names_lookup'!$A:$A,0)),"")</f>
        <v/>
      </c>
      <c r="BS117">
        <f>IFERROR(IF(BR117*AA117=0,"",BR117*AA117),"")</f>
        <v/>
      </c>
    </row>
    <row r="118">
      <c r="O118">
        <f>IFERROR(INDEX('_courses_lookup'!$C:$C,MATCH(K118&amp;L118,'_courses_lookup'!$E:$E,0)),"")</f>
        <v/>
      </c>
      <c r="P118">
        <f>IFERROR(INDEX('_courses_lookup'!$D:$D,MATCH(K118&amp;L118,'_courses_lookup'!$E:$E,0)),"")</f>
        <v/>
      </c>
      <c r="AG118">
        <f>IF(AND(AE118&lt;&gt;"",AF118&lt;&gt;""),ROUNDUP((AF118-AE118)/7,0),"")</f>
        <v/>
      </c>
      <c r="AI118">
        <f>IFERROR(IF(AG118*AH118=0,"",AG118*AH118),"")</f>
        <v/>
      </c>
      <c r="AL118">
        <f>IF(AND(AJ118&lt;&gt;"",AK118&lt;&gt;""),ROUNDUP((AK118-AJ118)/7,0),"")</f>
        <v/>
      </c>
      <c r="AN118">
        <f>IFERROR(IF(AL118*AM118=0,"",AL118*AM118),"")</f>
        <v/>
      </c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L118">
        <f>IFERROR(INDEX('_names_lookup'!$C:$C,MATCH(BK118,'_names_lookup'!$A:$A,0)),"")</f>
        <v/>
      </c>
      <c r="BM118">
        <f>IFERROR(INDEX('_names_lookup'!$B:$B,MATCH(BK118,'_names_lookup'!$A:$A,0)),"")</f>
        <v/>
      </c>
      <c r="BS118">
        <f>IFERROR(IF(BR118*AA118=0,"",BR118*AA118),"")</f>
        <v/>
      </c>
    </row>
    <row r="119">
      <c r="O119">
        <f>IFERROR(INDEX('_courses_lookup'!$C:$C,MATCH(K119&amp;L119,'_courses_lookup'!$E:$E,0)),"")</f>
        <v/>
      </c>
      <c r="P119">
        <f>IFERROR(INDEX('_courses_lookup'!$D:$D,MATCH(K119&amp;L119,'_courses_lookup'!$E:$E,0)),"")</f>
        <v/>
      </c>
      <c r="AG119">
        <f>IF(AND(AE119&lt;&gt;"",AF119&lt;&gt;""),ROUNDUP((AF119-AE119)/7,0),"")</f>
        <v/>
      </c>
      <c r="AI119">
        <f>IFERROR(IF(AG119*AH119=0,"",AG119*AH119),"")</f>
        <v/>
      </c>
      <c r="AL119">
        <f>IF(AND(AJ119&lt;&gt;"",AK119&lt;&gt;""),ROUNDUP((AK119-AJ119)/7,0),"")</f>
        <v/>
      </c>
      <c r="AN119">
        <f>IFERROR(IF(AL119*AM119=0,"",AL119*AM119),"")</f>
        <v/>
      </c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L119">
        <f>IFERROR(INDEX('_names_lookup'!$C:$C,MATCH(BK119,'_names_lookup'!$A:$A,0)),"")</f>
        <v/>
      </c>
      <c r="BM119">
        <f>IFERROR(INDEX('_names_lookup'!$B:$B,MATCH(BK119,'_names_lookup'!$A:$A,0)),"")</f>
        <v/>
      </c>
      <c r="BS119">
        <f>IFERROR(IF(BR119*AA119=0,"",BR119*AA119),"")</f>
        <v/>
      </c>
    </row>
    <row r="120">
      <c r="O120">
        <f>IFERROR(INDEX('_courses_lookup'!$C:$C,MATCH(K120&amp;L120,'_courses_lookup'!$E:$E,0)),"")</f>
        <v/>
      </c>
      <c r="P120">
        <f>IFERROR(INDEX('_courses_lookup'!$D:$D,MATCH(K120&amp;L120,'_courses_lookup'!$E:$E,0)),"")</f>
        <v/>
      </c>
      <c r="AG120">
        <f>IF(AND(AE120&lt;&gt;"",AF120&lt;&gt;""),ROUNDUP((AF120-AE120)/7,0),"")</f>
        <v/>
      </c>
      <c r="AI120">
        <f>IFERROR(IF(AG120*AH120=0,"",AG120*AH120),"")</f>
        <v/>
      </c>
      <c r="AL120">
        <f>IF(AND(AJ120&lt;&gt;"",AK120&lt;&gt;""),ROUNDUP((AK120-AJ120)/7,0),"")</f>
        <v/>
      </c>
      <c r="AN120">
        <f>IFERROR(IF(AL120*AM120=0,"",AL120*AM120),"")</f>
        <v/>
      </c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L120">
        <f>IFERROR(INDEX('_names_lookup'!$C:$C,MATCH(BK120,'_names_lookup'!$A:$A,0)),"")</f>
        <v/>
      </c>
      <c r="BM120">
        <f>IFERROR(INDEX('_names_lookup'!$B:$B,MATCH(BK120,'_names_lookup'!$A:$A,0)),"")</f>
        <v/>
      </c>
      <c r="BS120">
        <f>IFERROR(IF(BR120*AA120=0,"",BR120*AA120),"")</f>
        <v/>
      </c>
    </row>
    <row r="121">
      <c r="O121">
        <f>IFERROR(INDEX('_courses_lookup'!$C:$C,MATCH(K121&amp;L121,'_courses_lookup'!$E:$E,0)),"")</f>
        <v/>
      </c>
      <c r="P121">
        <f>IFERROR(INDEX('_courses_lookup'!$D:$D,MATCH(K121&amp;L121,'_courses_lookup'!$E:$E,0)),"")</f>
        <v/>
      </c>
      <c r="AG121">
        <f>IF(AND(AE121&lt;&gt;"",AF121&lt;&gt;""),ROUNDUP((AF121-AE121)/7,0),"")</f>
        <v/>
      </c>
      <c r="AI121">
        <f>IFERROR(IF(AG121*AH121=0,"",AG121*AH121),"")</f>
        <v/>
      </c>
      <c r="AL121">
        <f>IF(AND(AJ121&lt;&gt;"",AK121&lt;&gt;""),ROUNDUP((AK121-AJ121)/7,0),"")</f>
        <v/>
      </c>
      <c r="AN121">
        <f>IFERROR(IF(AL121*AM121=0,"",AL121*AM121),"")</f>
        <v/>
      </c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L121">
        <f>IFERROR(INDEX('_names_lookup'!$C:$C,MATCH(BK121,'_names_lookup'!$A:$A,0)),"")</f>
        <v/>
      </c>
      <c r="BM121">
        <f>IFERROR(INDEX('_names_lookup'!$B:$B,MATCH(BK121,'_names_lookup'!$A:$A,0)),"")</f>
        <v/>
      </c>
      <c r="BS121">
        <f>IFERROR(IF(BR121*AA121=0,"",BR121*AA121),"")</f>
        <v/>
      </c>
    </row>
    <row r="122">
      <c r="O122">
        <f>IFERROR(INDEX('_courses_lookup'!$C:$C,MATCH(K122&amp;L122,'_courses_lookup'!$E:$E,0)),"")</f>
        <v/>
      </c>
      <c r="P122">
        <f>IFERROR(INDEX('_courses_lookup'!$D:$D,MATCH(K122&amp;L122,'_courses_lookup'!$E:$E,0)),"")</f>
        <v/>
      </c>
      <c r="AG122">
        <f>IF(AND(AE122&lt;&gt;"",AF122&lt;&gt;""),ROUNDUP((AF122-AE122)/7,0),"")</f>
        <v/>
      </c>
      <c r="AI122">
        <f>IFERROR(IF(AG122*AH122=0,"",AG122*AH122),"")</f>
        <v/>
      </c>
      <c r="AL122">
        <f>IF(AND(AJ122&lt;&gt;"",AK122&lt;&gt;""),ROUNDUP((AK122-AJ122)/7,0),"")</f>
        <v/>
      </c>
      <c r="AN122">
        <f>IFERROR(IF(AL122*AM122=0,"",AL122*AM122),"")</f>
        <v/>
      </c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L122">
        <f>IFERROR(INDEX('_names_lookup'!$C:$C,MATCH(BK122,'_names_lookup'!$A:$A,0)),"")</f>
        <v/>
      </c>
      <c r="BM122">
        <f>IFERROR(INDEX('_names_lookup'!$B:$B,MATCH(BK122,'_names_lookup'!$A:$A,0)),"")</f>
        <v/>
      </c>
      <c r="BS122">
        <f>IFERROR(IF(BR122*AA122=0,"",BR122*AA122),"")</f>
        <v/>
      </c>
    </row>
    <row r="123">
      <c r="O123">
        <f>IFERROR(INDEX('_courses_lookup'!$C:$C,MATCH(K123&amp;L123,'_courses_lookup'!$E:$E,0)),"")</f>
        <v/>
      </c>
      <c r="P123">
        <f>IFERROR(INDEX('_courses_lookup'!$D:$D,MATCH(K123&amp;L123,'_courses_lookup'!$E:$E,0)),"")</f>
        <v/>
      </c>
      <c r="AG123">
        <f>IF(AND(AE123&lt;&gt;"",AF123&lt;&gt;""),ROUNDUP((AF123-AE123)/7,0),"")</f>
        <v/>
      </c>
      <c r="AI123">
        <f>IFERROR(IF(AG123*AH123=0,"",AG123*AH123),"")</f>
        <v/>
      </c>
      <c r="AL123">
        <f>IF(AND(AJ123&lt;&gt;"",AK123&lt;&gt;""),ROUNDUP((AK123-AJ123)/7,0),"")</f>
        <v/>
      </c>
      <c r="AN123">
        <f>IFERROR(IF(AL123*AM123=0,"",AL123*AM123),"")</f>
        <v/>
      </c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L123">
        <f>IFERROR(INDEX('_names_lookup'!$C:$C,MATCH(BK123,'_names_lookup'!$A:$A,0)),"")</f>
        <v/>
      </c>
      <c r="BM123">
        <f>IFERROR(INDEX('_names_lookup'!$B:$B,MATCH(BK123,'_names_lookup'!$A:$A,0)),"")</f>
        <v/>
      </c>
      <c r="BS123">
        <f>IFERROR(IF(BR123*AA123=0,"",BR123*AA123),"")</f>
        <v/>
      </c>
    </row>
    <row r="124">
      <c r="O124">
        <f>IFERROR(INDEX('_courses_lookup'!$C:$C,MATCH(K124&amp;L124,'_courses_lookup'!$E:$E,0)),"")</f>
        <v/>
      </c>
      <c r="P124">
        <f>IFERROR(INDEX('_courses_lookup'!$D:$D,MATCH(K124&amp;L124,'_courses_lookup'!$E:$E,0)),"")</f>
        <v/>
      </c>
      <c r="AG124">
        <f>IF(AND(AE124&lt;&gt;"",AF124&lt;&gt;""),ROUNDUP((AF124-AE124)/7,0),"")</f>
        <v/>
      </c>
      <c r="AI124">
        <f>IFERROR(IF(AG124*AH124=0,"",AG124*AH124),"")</f>
        <v/>
      </c>
      <c r="AL124">
        <f>IF(AND(AJ124&lt;&gt;"",AK124&lt;&gt;""),ROUNDUP((AK124-AJ124)/7,0),"")</f>
        <v/>
      </c>
      <c r="AN124">
        <f>IFERROR(IF(AL124*AM124=0,"",AL124*AM124),"")</f>
        <v/>
      </c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L124">
        <f>IFERROR(INDEX('_names_lookup'!$C:$C,MATCH(BK124,'_names_lookup'!$A:$A,0)),"")</f>
        <v/>
      </c>
      <c r="BM124">
        <f>IFERROR(INDEX('_names_lookup'!$B:$B,MATCH(BK124,'_names_lookup'!$A:$A,0)),"")</f>
        <v/>
      </c>
      <c r="BS124">
        <f>IFERROR(IF(BR124*AA124=0,"",BR124*AA124),"")</f>
        <v/>
      </c>
    </row>
    <row r="125">
      <c r="O125">
        <f>IFERROR(INDEX('_courses_lookup'!$C:$C,MATCH(K125&amp;L125,'_courses_lookup'!$E:$E,0)),"")</f>
        <v/>
      </c>
      <c r="P125">
        <f>IFERROR(INDEX('_courses_lookup'!$D:$D,MATCH(K125&amp;L125,'_courses_lookup'!$E:$E,0)),"")</f>
        <v/>
      </c>
      <c r="AG125">
        <f>IF(AND(AE125&lt;&gt;"",AF125&lt;&gt;""),ROUNDUP((AF125-AE125)/7,0),"")</f>
        <v/>
      </c>
      <c r="AI125">
        <f>IFERROR(IF(AG125*AH125=0,"",AG125*AH125),"")</f>
        <v/>
      </c>
      <c r="AL125">
        <f>IF(AND(AJ125&lt;&gt;"",AK125&lt;&gt;""),ROUNDUP((AK125-AJ125)/7,0),"")</f>
        <v/>
      </c>
      <c r="AN125">
        <f>IFERROR(IF(AL125*AM125=0,"",AL125*AM125),"")</f>
        <v/>
      </c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L125">
        <f>IFERROR(INDEX('_names_lookup'!$C:$C,MATCH(BK125,'_names_lookup'!$A:$A,0)),"")</f>
        <v/>
      </c>
      <c r="BM125">
        <f>IFERROR(INDEX('_names_lookup'!$B:$B,MATCH(BK125,'_names_lookup'!$A:$A,0)),"")</f>
        <v/>
      </c>
      <c r="BS125">
        <f>IFERROR(IF(BR125*AA125=0,"",BR125*AA125),"")</f>
        <v/>
      </c>
    </row>
    <row r="126">
      <c r="O126">
        <f>IFERROR(INDEX('_courses_lookup'!$C:$C,MATCH(K126&amp;L126,'_courses_lookup'!$E:$E,0)),"")</f>
        <v/>
      </c>
      <c r="P126">
        <f>IFERROR(INDEX('_courses_lookup'!$D:$D,MATCH(K126&amp;L126,'_courses_lookup'!$E:$E,0)),"")</f>
        <v/>
      </c>
      <c r="AG126">
        <f>IF(AND(AE126&lt;&gt;"",AF126&lt;&gt;""),ROUNDUP((AF126-AE126)/7,0),"")</f>
        <v/>
      </c>
      <c r="AI126">
        <f>IFERROR(IF(AG126*AH126=0,"",AG126*AH126),"")</f>
        <v/>
      </c>
      <c r="AL126">
        <f>IF(AND(AJ126&lt;&gt;"",AK126&lt;&gt;""),ROUNDUP((AK126-AJ126)/7,0),"")</f>
        <v/>
      </c>
      <c r="AN126">
        <f>IFERROR(IF(AL126*AM126=0,"",AL126*AM126),"")</f>
        <v/>
      </c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L126">
        <f>IFERROR(INDEX('_names_lookup'!$C:$C,MATCH(BK126,'_names_lookup'!$A:$A,0)),"")</f>
        <v/>
      </c>
      <c r="BM126">
        <f>IFERROR(INDEX('_names_lookup'!$B:$B,MATCH(BK126,'_names_lookup'!$A:$A,0)),"")</f>
        <v/>
      </c>
      <c r="BS126">
        <f>IFERROR(IF(BR126*AA126=0,"",BR126*AA126),"")</f>
        <v/>
      </c>
    </row>
    <row r="127">
      <c r="O127">
        <f>IFERROR(INDEX('_courses_lookup'!$C:$C,MATCH(K127&amp;L127,'_courses_lookup'!$E:$E,0)),"")</f>
        <v/>
      </c>
      <c r="P127">
        <f>IFERROR(INDEX('_courses_lookup'!$D:$D,MATCH(K127&amp;L127,'_courses_lookup'!$E:$E,0)),"")</f>
        <v/>
      </c>
      <c r="AG127">
        <f>IF(AND(AE127&lt;&gt;"",AF127&lt;&gt;""),ROUNDUP((AF127-AE127)/7,0),"")</f>
        <v/>
      </c>
      <c r="AI127">
        <f>IFERROR(IF(AG127*AH127=0,"",AG127*AH127),"")</f>
        <v/>
      </c>
      <c r="AL127">
        <f>IF(AND(AJ127&lt;&gt;"",AK127&lt;&gt;""),ROUNDUP((AK127-AJ127)/7,0),"")</f>
        <v/>
      </c>
      <c r="AN127">
        <f>IFERROR(IF(AL127*AM127=0,"",AL127*AM127),"")</f>
        <v/>
      </c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L127">
        <f>IFERROR(INDEX('_names_lookup'!$C:$C,MATCH(BK127,'_names_lookup'!$A:$A,0)),"")</f>
        <v/>
      </c>
      <c r="BM127">
        <f>IFERROR(INDEX('_names_lookup'!$B:$B,MATCH(BK127,'_names_lookup'!$A:$A,0)),"")</f>
        <v/>
      </c>
      <c r="BS127">
        <f>IFERROR(IF(BR127*AA127=0,"",BR127*AA127),"")</f>
        <v/>
      </c>
    </row>
    <row r="128">
      <c r="O128">
        <f>IFERROR(INDEX('_courses_lookup'!$C:$C,MATCH(K128&amp;L128,'_courses_lookup'!$E:$E,0)),"")</f>
        <v/>
      </c>
      <c r="P128">
        <f>IFERROR(INDEX('_courses_lookup'!$D:$D,MATCH(K128&amp;L128,'_courses_lookup'!$E:$E,0)),"")</f>
        <v/>
      </c>
      <c r="AG128">
        <f>IF(AND(AE128&lt;&gt;"",AF128&lt;&gt;""),ROUNDUP((AF128-AE128)/7,0),"")</f>
        <v/>
      </c>
      <c r="AI128">
        <f>IFERROR(IF(AG128*AH128=0,"",AG128*AH128),"")</f>
        <v/>
      </c>
      <c r="AL128">
        <f>IF(AND(AJ128&lt;&gt;"",AK128&lt;&gt;""),ROUNDUP((AK128-AJ128)/7,0),"")</f>
        <v/>
      </c>
      <c r="AN128">
        <f>IFERROR(IF(AL128*AM128=0,"",AL128*AM128),"")</f>
        <v/>
      </c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L128">
        <f>IFERROR(INDEX('_names_lookup'!$C:$C,MATCH(BK128,'_names_lookup'!$A:$A,0)),"")</f>
        <v/>
      </c>
      <c r="BM128">
        <f>IFERROR(INDEX('_names_lookup'!$B:$B,MATCH(BK128,'_names_lookup'!$A:$A,0)),"")</f>
        <v/>
      </c>
      <c r="BS128">
        <f>IFERROR(IF(BR128*AA128=0,"",BR128*AA128),"")</f>
        <v/>
      </c>
    </row>
    <row r="129">
      <c r="O129">
        <f>IFERROR(INDEX('_courses_lookup'!$C:$C,MATCH(K129&amp;L129,'_courses_lookup'!$E:$E,0)),"")</f>
        <v/>
      </c>
      <c r="P129">
        <f>IFERROR(INDEX('_courses_lookup'!$D:$D,MATCH(K129&amp;L129,'_courses_lookup'!$E:$E,0)),"")</f>
        <v/>
      </c>
      <c r="AG129">
        <f>IF(AND(AE129&lt;&gt;"",AF129&lt;&gt;""),ROUNDUP((AF129-AE129)/7,0),"")</f>
        <v/>
      </c>
      <c r="AI129">
        <f>IFERROR(IF(AG129*AH129=0,"",AG129*AH129),"")</f>
        <v/>
      </c>
      <c r="AL129">
        <f>IF(AND(AJ129&lt;&gt;"",AK129&lt;&gt;""),ROUNDUP((AK129-AJ129)/7,0),"")</f>
        <v/>
      </c>
      <c r="AN129">
        <f>IFERROR(IF(AL129*AM129=0,"",AL129*AM129),"")</f>
        <v/>
      </c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L129">
        <f>IFERROR(INDEX('_names_lookup'!$C:$C,MATCH(BK129,'_names_lookup'!$A:$A,0)),"")</f>
        <v/>
      </c>
      <c r="BM129">
        <f>IFERROR(INDEX('_names_lookup'!$B:$B,MATCH(BK129,'_names_lookup'!$A:$A,0)),"")</f>
        <v/>
      </c>
      <c r="BS129">
        <f>IFERROR(IF(BR129*AA129=0,"",BR129*AA129),"")</f>
        <v/>
      </c>
    </row>
    <row r="130">
      <c r="O130">
        <f>IFERROR(INDEX('_courses_lookup'!$C:$C,MATCH(K130&amp;L130,'_courses_lookup'!$E:$E,0)),"")</f>
        <v/>
      </c>
      <c r="P130">
        <f>IFERROR(INDEX('_courses_lookup'!$D:$D,MATCH(K130&amp;L130,'_courses_lookup'!$E:$E,0)),"")</f>
        <v/>
      </c>
      <c r="AG130">
        <f>IF(AND(AE130&lt;&gt;"",AF130&lt;&gt;""),ROUNDUP((AF130-AE130)/7,0),"")</f>
        <v/>
      </c>
      <c r="AI130">
        <f>IFERROR(IF(AG130*AH130=0,"",AG130*AH130),"")</f>
        <v/>
      </c>
      <c r="AL130">
        <f>IF(AND(AJ130&lt;&gt;"",AK130&lt;&gt;""),ROUNDUP((AK130-AJ130)/7,0),"")</f>
        <v/>
      </c>
      <c r="AN130">
        <f>IFERROR(IF(AL130*AM130=0,"",AL130*AM130),"")</f>
        <v/>
      </c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L130">
        <f>IFERROR(INDEX('_names_lookup'!$C:$C,MATCH(BK130,'_names_lookup'!$A:$A,0)),"")</f>
        <v/>
      </c>
      <c r="BM130">
        <f>IFERROR(INDEX('_names_lookup'!$B:$B,MATCH(BK130,'_names_lookup'!$A:$A,0)),"")</f>
        <v/>
      </c>
      <c r="BS130">
        <f>IFERROR(IF(BR130*AA130=0,"",BR130*AA130),"")</f>
        <v/>
      </c>
    </row>
    <row r="131">
      <c r="O131">
        <f>IFERROR(INDEX('_courses_lookup'!$C:$C,MATCH(K131&amp;L131,'_courses_lookup'!$E:$E,0)),"")</f>
        <v/>
      </c>
      <c r="P131">
        <f>IFERROR(INDEX('_courses_lookup'!$D:$D,MATCH(K131&amp;L131,'_courses_lookup'!$E:$E,0)),"")</f>
        <v/>
      </c>
      <c r="AG131">
        <f>IF(AND(AE131&lt;&gt;"",AF131&lt;&gt;""),ROUNDUP((AF131-AE131)/7,0),"")</f>
        <v/>
      </c>
      <c r="AI131">
        <f>IFERROR(IF(AG131*AH131=0,"",AG131*AH131),"")</f>
        <v/>
      </c>
      <c r="AL131">
        <f>IF(AND(AJ131&lt;&gt;"",AK131&lt;&gt;""),ROUNDUP((AK131-AJ131)/7,0),"")</f>
        <v/>
      </c>
      <c r="AN131">
        <f>IFERROR(IF(AL131*AM131=0,"",AL131*AM131),"")</f>
        <v/>
      </c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L131">
        <f>IFERROR(INDEX('_names_lookup'!$C:$C,MATCH(BK131,'_names_lookup'!$A:$A,0)),"")</f>
        <v/>
      </c>
      <c r="BM131">
        <f>IFERROR(INDEX('_names_lookup'!$B:$B,MATCH(BK131,'_names_lookup'!$A:$A,0)),"")</f>
        <v/>
      </c>
      <c r="BS131">
        <f>IFERROR(IF(BR131*AA131=0,"",BR131*AA131),"")</f>
        <v/>
      </c>
    </row>
    <row r="132">
      <c r="O132">
        <f>IFERROR(INDEX('_courses_lookup'!$C:$C,MATCH(K132&amp;L132,'_courses_lookup'!$E:$E,0)),"")</f>
        <v/>
      </c>
      <c r="P132">
        <f>IFERROR(INDEX('_courses_lookup'!$D:$D,MATCH(K132&amp;L132,'_courses_lookup'!$E:$E,0)),"")</f>
        <v/>
      </c>
      <c r="AG132">
        <f>IF(AND(AE132&lt;&gt;"",AF132&lt;&gt;""),ROUNDUP((AF132-AE132)/7,0),"")</f>
        <v/>
      </c>
      <c r="AI132">
        <f>IFERROR(IF(AG132*AH132=0,"",AG132*AH132),"")</f>
        <v/>
      </c>
      <c r="AL132">
        <f>IF(AND(AJ132&lt;&gt;"",AK132&lt;&gt;""),ROUNDUP((AK132-AJ132)/7,0),"")</f>
        <v/>
      </c>
      <c r="AN132">
        <f>IFERROR(IF(AL132*AM132=0,"",AL132*AM132),"")</f>
        <v/>
      </c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L132">
        <f>IFERROR(INDEX('_names_lookup'!$C:$C,MATCH(BK132,'_names_lookup'!$A:$A,0)),"")</f>
        <v/>
      </c>
      <c r="BM132">
        <f>IFERROR(INDEX('_names_lookup'!$B:$B,MATCH(BK132,'_names_lookup'!$A:$A,0)),"")</f>
        <v/>
      </c>
      <c r="BS132">
        <f>IFERROR(IF(BR132*AA132=0,"",BR132*AA132),"")</f>
        <v/>
      </c>
    </row>
    <row r="133">
      <c r="O133">
        <f>IFERROR(INDEX('_courses_lookup'!$C:$C,MATCH(K133&amp;L133,'_courses_lookup'!$E:$E,0)),"")</f>
        <v/>
      </c>
      <c r="P133">
        <f>IFERROR(INDEX('_courses_lookup'!$D:$D,MATCH(K133&amp;L133,'_courses_lookup'!$E:$E,0)),"")</f>
        <v/>
      </c>
      <c r="AG133">
        <f>IF(AND(AE133&lt;&gt;"",AF133&lt;&gt;""),ROUNDUP((AF133-AE133)/7,0),"")</f>
        <v/>
      </c>
      <c r="AI133">
        <f>IFERROR(IF(AG133*AH133=0,"",AG133*AH133),"")</f>
        <v/>
      </c>
      <c r="AL133">
        <f>IF(AND(AJ133&lt;&gt;"",AK133&lt;&gt;""),ROUNDUP((AK133-AJ133)/7,0),"")</f>
        <v/>
      </c>
      <c r="AN133">
        <f>IFERROR(IF(AL133*AM133=0,"",AL133*AM133),"")</f>
        <v/>
      </c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L133">
        <f>IFERROR(INDEX('_names_lookup'!$C:$C,MATCH(BK133,'_names_lookup'!$A:$A,0)),"")</f>
        <v/>
      </c>
      <c r="BM133">
        <f>IFERROR(INDEX('_names_lookup'!$B:$B,MATCH(BK133,'_names_lookup'!$A:$A,0)),"")</f>
        <v/>
      </c>
      <c r="BS133">
        <f>IFERROR(IF(BR133*AA133=0,"",BR133*AA133),"")</f>
        <v/>
      </c>
    </row>
    <row r="134">
      <c r="O134">
        <f>IFERROR(INDEX('_courses_lookup'!$C:$C,MATCH(K134&amp;L134,'_courses_lookup'!$E:$E,0)),"")</f>
        <v/>
      </c>
      <c r="P134">
        <f>IFERROR(INDEX('_courses_lookup'!$D:$D,MATCH(K134&amp;L134,'_courses_lookup'!$E:$E,0)),"")</f>
        <v/>
      </c>
      <c r="AG134">
        <f>IF(AND(AE134&lt;&gt;"",AF134&lt;&gt;""),ROUNDUP((AF134-AE134)/7,0),"")</f>
        <v/>
      </c>
      <c r="AI134">
        <f>IFERROR(IF(AG134*AH134=0,"",AG134*AH134),"")</f>
        <v/>
      </c>
      <c r="AL134">
        <f>IF(AND(AJ134&lt;&gt;"",AK134&lt;&gt;""),ROUNDUP((AK134-AJ134)/7,0),"")</f>
        <v/>
      </c>
      <c r="AN134">
        <f>IFERROR(IF(AL134*AM134=0,"",AL134*AM134),"")</f>
        <v/>
      </c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L134">
        <f>IFERROR(INDEX('_names_lookup'!$C:$C,MATCH(BK134,'_names_lookup'!$A:$A,0)),"")</f>
        <v/>
      </c>
      <c r="BM134">
        <f>IFERROR(INDEX('_names_lookup'!$B:$B,MATCH(BK134,'_names_lookup'!$A:$A,0)),"")</f>
        <v/>
      </c>
      <c r="BS134">
        <f>IFERROR(IF(BR134*AA134=0,"",BR134*AA134),"")</f>
        <v/>
      </c>
    </row>
    <row r="135">
      <c r="O135">
        <f>IFERROR(INDEX('_courses_lookup'!$C:$C,MATCH(K135&amp;L135,'_courses_lookup'!$E:$E,0)),"")</f>
        <v/>
      </c>
      <c r="P135">
        <f>IFERROR(INDEX('_courses_lookup'!$D:$D,MATCH(K135&amp;L135,'_courses_lookup'!$E:$E,0)),"")</f>
        <v/>
      </c>
      <c r="AG135">
        <f>IF(AND(AE135&lt;&gt;"",AF135&lt;&gt;""),ROUNDUP((AF135-AE135)/7,0),"")</f>
        <v/>
      </c>
      <c r="AI135">
        <f>IFERROR(IF(AG135*AH135=0,"",AG135*AH135),"")</f>
        <v/>
      </c>
      <c r="AL135">
        <f>IF(AND(AJ135&lt;&gt;"",AK135&lt;&gt;""),ROUNDUP((AK135-AJ135)/7,0),"")</f>
        <v/>
      </c>
      <c r="AN135">
        <f>IFERROR(IF(AL135*AM135=0,"",AL135*AM135),"")</f>
        <v/>
      </c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L135">
        <f>IFERROR(INDEX('_names_lookup'!$C:$C,MATCH(BK135,'_names_lookup'!$A:$A,0)),"")</f>
        <v/>
      </c>
      <c r="BM135">
        <f>IFERROR(INDEX('_names_lookup'!$B:$B,MATCH(BK135,'_names_lookup'!$A:$A,0)),"")</f>
        <v/>
      </c>
      <c r="BS135">
        <f>IFERROR(IF(BR135*AA135=0,"",BR135*AA135),"")</f>
        <v/>
      </c>
    </row>
    <row r="136">
      <c r="O136">
        <f>IFERROR(INDEX('_courses_lookup'!$C:$C,MATCH(K136&amp;L136,'_courses_lookup'!$E:$E,0)),"")</f>
        <v/>
      </c>
      <c r="P136">
        <f>IFERROR(INDEX('_courses_lookup'!$D:$D,MATCH(K136&amp;L136,'_courses_lookup'!$E:$E,0)),"")</f>
        <v/>
      </c>
      <c r="AG136">
        <f>IF(AND(AE136&lt;&gt;"",AF136&lt;&gt;""),ROUNDUP((AF136-AE136)/7,0),"")</f>
        <v/>
      </c>
      <c r="AI136">
        <f>IFERROR(IF(AG136*AH136=0,"",AG136*AH136),"")</f>
        <v/>
      </c>
      <c r="AL136">
        <f>IF(AND(AJ136&lt;&gt;"",AK136&lt;&gt;""),ROUNDUP((AK136-AJ136)/7,0),"")</f>
        <v/>
      </c>
      <c r="AN136">
        <f>IFERROR(IF(AL136*AM136=0,"",AL136*AM136),"")</f>
        <v/>
      </c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L136">
        <f>IFERROR(INDEX('_names_lookup'!$C:$C,MATCH(BK136,'_names_lookup'!$A:$A,0)),"")</f>
        <v/>
      </c>
      <c r="BM136">
        <f>IFERROR(INDEX('_names_lookup'!$B:$B,MATCH(BK136,'_names_lookup'!$A:$A,0)),"")</f>
        <v/>
      </c>
      <c r="BS136">
        <f>IFERROR(IF(BR136*AA136=0,"",BR136*AA136),"")</f>
        <v/>
      </c>
    </row>
    <row r="137">
      <c r="O137">
        <f>IFERROR(INDEX('_courses_lookup'!$C:$C,MATCH(K137&amp;L137,'_courses_lookup'!$E:$E,0)),"")</f>
        <v/>
      </c>
      <c r="P137">
        <f>IFERROR(INDEX('_courses_lookup'!$D:$D,MATCH(K137&amp;L137,'_courses_lookup'!$E:$E,0)),"")</f>
        <v/>
      </c>
      <c r="AG137">
        <f>IF(AND(AE137&lt;&gt;"",AF137&lt;&gt;""),ROUNDUP((AF137-AE137)/7,0),"")</f>
        <v/>
      </c>
      <c r="AI137">
        <f>IFERROR(IF(AG137*AH137=0,"",AG137*AH137),"")</f>
        <v/>
      </c>
      <c r="AL137">
        <f>IF(AND(AJ137&lt;&gt;"",AK137&lt;&gt;""),ROUNDUP((AK137-AJ137)/7,0),"")</f>
        <v/>
      </c>
      <c r="AN137">
        <f>IFERROR(IF(AL137*AM137=0,"",AL137*AM137),"")</f>
        <v/>
      </c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L137">
        <f>IFERROR(INDEX('_names_lookup'!$C:$C,MATCH(BK137,'_names_lookup'!$A:$A,0)),"")</f>
        <v/>
      </c>
      <c r="BM137">
        <f>IFERROR(INDEX('_names_lookup'!$B:$B,MATCH(BK137,'_names_lookup'!$A:$A,0)),"")</f>
        <v/>
      </c>
      <c r="BS137">
        <f>IFERROR(IF(BR137*AA137=0,"",BR137*AA137),"")</f>
        <v/>
      </c>
    </row>
    <row r="138">
      <c r="O138">
        <f>IFERROR(INDEX('_courses_lookup'!$C:$C,MATCH(K138&amp;L138,'_courses_lookup'!$E:$E,0)),"")</f>
        <v/>
      </c>
      <c r="P138">
        <f>IFERROR(INDEX('_courses_lookup'!$D:$D,MATCH(K138&amp;L138,'_courses_lookup'!$E:$E,0)),"")</f>
        <v/>
      </c>
      <c r="AG138">
        <f>IF(AND(AE138&lt;&gt;"",AF138&lt;&gt;""),ROUNDUP((AF138-AE138)/7,0),"")</f>
        <v/>
      </c>
      <c r="AI138">
        <f>IFERROR(IF(AG138*AH138=0,"",AG138*AH138),"")</f>
        <v/>
      </c>
      <c r="AL138">
        <f>IF(AND(AJ138&lt;&gt;"",AK138&lt;&gt;""),ROUNDUP((AK138-AJ138)/7,0),"")</f>
        <v/>
      </c>
      <c r="AN138">
        <f>IFERROR(IF(AL138*AM138=0,"",AL138*AM138),"")</f>
        <v/>
      </c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L138">
        <f>IFERROR(INDEX('_names_lookup'!$C:$C,MATCH(BK138,'_names_lookup'!$A:$A,0)),"")</f>
        <v/>
      </c>
      <c r="BM138">
        <f>IFERROR(INDEX('_names_lookup'!$B:$B,MATCH(BK138,'_names_lookup'!$A:$A,0)),"")</f>
        <v/>
      </c>
      <c r="BS138">
        <f>IFERROR(IF(BR138*AA138=0,"",BR138*AA138),"")</f>
        <v/>
      </c>
    </row>
    <row r="139">
      <c r="O139">
        <f>IFERROR(INDEX('_courses_lookup'!$C:$C,MATCH(K139&amp;L139,'_courses_lookup'!$E:$E,0)),"")</f>
        <v/>
      </c>
      <c r="P139">
        <f>IFERROR(INDEX('_courses_lookup'!$D:$D,MATCH(K139&amp;L139,'_courses_lookup'!$E:$E,0)),"")</f>
        <v/>
      </c>
      <c r="AG139">
        <f>IF(AND(AE139&lt;&gt;"",AF139&lt;&gt;""),ROUNDUP((AF139-AE139)/7,0),"")</f>
        <v/>
      </c>
      <c r="AI139">
        <f>IFERROR(IF(AG139*AH139=0,"",AG139*AH139),"")</f>
        <v/>
      </c>
      <c r="AL139">
        <f>IF(AND(AJ139&lt;&gt;"",AK139&lt;&gt;""),ROUNDUP((AK139-AJ139)/7,0),"")</f>
        <v/>
      </c>
      <c r="AN139">
        <f>IFERROR(IF(AL139*AM139=0,"",AL139*AM139),"")</f>
        <v/>
      </c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L139">
        <f>IFERROR(INDEX('_names_lookup'!$C:$C,MATCH(BK139,'_names_lookup'!$A:$A,0)),"")</f>
        <v/>
      </c>
      <c r="BM139">
        <f>IFERROR(INDEX('_names_lookup'!$B:$B,MATCH(BK139,'_names_lookup'!$A:$A,0)),"")</f>
        <v/>
      </c>
      <c r="BS139">
        <f>IFERROR(IF(BR139*AA139=0,"",BR139*AA139),"")</f>
        <v/>
      </c>
    </row>
    <row r="140">
      <c r="O140">
        <f>IFERROR(INDEX('_courses_lookup'!$C:$C,MATCH(K140&amp;L140,'_courses_lookup'!$E:$E,0)),"")</f>
        <v/>
      </c>
      <c r="P140">
        <f>IFERROR(INDEX('_courses_lookup'!$D:$D,MATCH(K140&amp;L140,'_courses_lookup'!$E:$E,0)),"")</f>
        <v/>
      </c>
      <c r="AG140">
        <f>IF(AND(AE140&lt;&gt;"",AF140&lt;&gt;""),ROUNDUP((AF140-AE140)/7,0),"")</f>
        <v/>
      </c>
      <c r="AI140">
        <f>IFERROR(IF(AG140*AH140=0,"",AG140*AH140),"")</f>
        <v/>
      </c>
      <c r="AL140">
        <f>IF(AND(AJ140&lt;&gt;"",AK140&lt;&gt;""),ROUNDUP((AK140-AJ140)/7,0),"")</f>
        <v/>
      </c>
      <c r="AN140">
        <f>IFERROR(IF(AL140*AM140=0,"",AL140*AM140),"")</f>
        <v/>
      </c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L140">
        <f>IFERROR(INDEX('_names_lookup'!$C:$C,MATCH(BK140,'_names_lookup'!$A:$A,0)),"")</f>
        <v/>
      </c>
      <c r="BM140">
        <f>IFERROR(INDEX('_names_lookup'!$B:$B,MATCH(BK140,'_names_lookup'!$A:$A,0)),"")</f>
        <v/>
      </c>
      <c r="BS140">
        <f>IFERROR(IF(BR140*AA140=0,"",BR140*AA140),"")</f>
        <v/>
      </c>
    </row>
    <row r="141">
      <c r="O141">
        <f>IFERROR(INDEX('_courses_lookup'!$C:$C,MATCH(K141&amp;L141,'_courses_lookup'!$E:$E,0)),"")</f>
        <v/>
      </c>
      <c r="P141">
        <f>IFERROR(INDEX('_courses_lookup'!$D:$D,MATCH(K141&amp;L141,'_courses_lookup'!$E:$E,0)),"")</f>
        <v/>
      </c>
      <c r="AG141">
        <f>IF(AND(AE141&lt;&gt;"",AF141&lt;&gt;""),ROUNDUP((AF141-AE141)/7,0),"")</f>
        <v/>
      </c>
      <c r="AI141">
        <f>IFERROR(IF(AG141*AH141=0,"",AG141*AH141),"")</f>
        <v/>
      </c>
      <c r="AL141">
        <f>IF(AND(AJ141&lt;&gt;"",AK141&lt;&gt;""),ROUNDUP((AK141-AJ141)/7,0),"")</f>
        <v/>
      </c>
      <c r="AN141">
        <f>IFERROR(IF(AL141*AM141=0,"",AL141*AM141),"")</f>
        <v/>
      </c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L141">
        <f>IFERROR(INDEX('_names_lookup'!$C:$C,MATCH(BK141,'_names_lookup'!$A:$A,0)),"")</f>
        <v/>
      </c>
      <c r="BM141">
        <f>IFERROR(INDEX('_names_lookup'!$B:$B,MATCH(BK141,'_names_lookup'!$A:$A,0)),"")</f>
        <v/>
      </c>
      <c r="BS141">
        <f>IFERROR(IF(BR141*AA141=0,"",BR141*AA141),"")</f>
        <v/>
      </c>
    </row>
    <row r="142">
      <c r="O142">
        <f>IFERROR(INDEX('_courses_lookup'!$C:$C,MATCH(K142&amp;L142,'_courses_lookup'!$E:$E,0)),"")</f>
        <v/>
      </c>
      <c r="P142">
        <f>IFERROR(INDEX('_courses_lookup'!$D:$D,MATCH(K142&amp;L142,'_courses_lookup'!$E:$E,0)),"")</f>
        <v/>
      </c>
      <c r="AG142">
        <f>IF(AND(AE142&lt;&gt;"",AF142&lt;&gt;""),ROUNDUP((AF142-AE142)/7,0),"")</f>
        <v/>
      </c>
      <c r="AI142">
        <f>IFERROR(IF(AG142*AH142=0,"",AG142*AH142),"")</f>
        <v/>
      </c>
      <c r="AL142">
        <f>IF(AND(AJ142&lt;&gt;"",AK142&lt;&gt;""),ROUNDUP((AK142-AJ142)/7,0),"")</f>
        <v/>
      </c>
      <c r="AN142">
        <f>IFERROR(IF(AL142*AM142=0,"",AL142*AM142),"")</f>
        <v/>
      </c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L142">
        <f>IFERROR(INDEX('_names_lookup'!$C:$C,MATCH(BK142,'_names_lookup'!$A:$A,0)),"")</f>
        <v/>
      </c>
      <c r="BM142">
        <f>IFERROR(INDEX('_names_lookup'!$B:$B,MATCH(BK142,'_names_lookup'!$A:$A,0)),"")</f>
        <v/>
      </c>
      <c r="BS142">
        <f>IFERROR(IF(BR142*AA142=0,"",BR142*AA142),"")</f>
        <v/>
      </c>
    </row>
    <row r="143">
      <c r="O143">
        <f>IFERROR(INDEX('_courses_lookup'!$C:$C,MATCH(K143&amp;L143,'_courses_lookup'!$E:$E,0)),"")</f>
        <v/>
      </c>
      <c r="P143">
        <f>IFERROR(INDEX('_courses_lookup'!$D:$D,MATCH(K143&amp;L143,'_courses_lookup'!$E:$E,0)),"")</f>
        <v/>
      </c>
      <c r="AG143">
        <f>IF(AND(AE143&lt;&gt;"",AF143&lt;&gt;""),ROUNDUP((AF143-AE143)/7,0),"")</f>
        <v/>
      </c>
      <c r="AI143">
        <f>IFERROR(IF(AG143*AH143=0,"",AG143*AH143),"")</f>
        <v/>
      </c>
      <c r="AL143">
        <f>IF(AND(AJ143&lt;&gt;"",AK143&lt;&gt;""),ROUNDUP((AK143-AJ143)/7,0),"")</f>
        <v/>
      </c>
      <c r="AN143">
        <f>IFERROR(IF(AL143*AM143=0,"",AL143*AM143),"")</f>
        <v/>
      </c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L143">
        <f>IFERROR(INDEX('_names_lookup'!$C:$C,MATCH(BK143,'_names_lookup'!$A:$A,0)),"")</f>
        <v/>
      </c>
      <c r="BM143">
        <f>IFERROR(INDEX('_names_lookup'!$B:$B,MATCH(BK143,'_names_lookup'!$A:$A,0)),"")</f>
        <v/>
      </c>
      <c r="BS143">
        <f>IFERROR(IF(BR143*AA143=0,"",BR143*AA143),"")</f>
        <v/>
      </c>
    </row>
    <row r="144">
      <c r="O144">
        <f>IFERROR(INDEX('_courses_lookup'!$C:$C,MATCH(K144&amp;L144,'_courses_lookup'!$E:$E,0)),"")</f>
        <v/>
      </c>
      <c r="P144">
        <f>IFERROR(INDEX('_courses_lookup'!$D:$D,MATCH(K144&amp;L144,'_courses_lookup'!$E:$E,0)),"")</f>
        <v/>
      </c>
      <c r="AG144">
        <f>IF(AND(AE144&lt;&gt;"",AF144&lt;&gt;""),ROUNDUP((AF144-AE144)/7,0),"")</f>
        <v/>
      </c>
      <c r="AI144">
        <f>IFERROR(IF(AG144*AH144=0,"",AG144*AH144),"")</f>
        <v/>
      </c>
      <c r="AL144">
        <f>IF(AND(AJ144&lt;&gt;"",AK144&lt;&gt;""),ROUNDUP((AK144-AJ144)/7,0),"")</f>
        <v/>
      </c>
      <c r="AN144">
        <f>IFERROR(IF(AL144*AM144=0,"",AL144*AM144),"")</f>
        <v/>
      </c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L144">
        <f>IFERROR(INDEX('_names_lookup'!$C:$C,MATCH(BK144,'_names_lookup'!$A:$A,0)),"")</f>
        <v/>
      </c>
      <c r="BM144">
        <f>IFERROR(INDEX('_names_lookup'!$B:$B,MATCH(BK144,'_names_lookup'!$A:$A,0)),"")</f>
        <v/>
      </c>
      <c r="BS144">
        <f>IFERROR(IF(BR144*AA144=0,"",BR144*AA144),"")</f>
        <v/>
      </c>
    </row>
    <row r="145">
      <c r="O145">
        <f>IFERROR(INDEX('_courses_lookup'!$C:$C,MATCH(K145&amp;L145,'_courses_lookup'!$E:$E,0)),"")</f>
        <v/>
      </c>
      <c r="P145">
        <f>IFERROR(INDEX('_courses_lookup'!$D:$D,MATCH(K145&amp;L145,'_courses_lookup'!$E:$E,0)),"")</f>
        <v/>
      </c>
      <c r="AG145">
        <f>IF(AND(AE145&lt;&gt;"",AF145&lt;&gt;""),ROUNDUP((AF145-AE145)/7,0),"")</f>
        <v/>
      </c>
      <c r="AI145">
        <f>IFERROR(IF(AG145*AH145=0,"",AG145*AH145),"")</f>
        <v/>
      </c>
      <c r="AL145">
        <f>IF(AND(AJ145&lt;&gt;"",AK145&lt;&gt;""),ROUNDUP((AK145-AJ145)/7,0),"")</f>
        <v/>
      </c>
      <c r="AN145">
        <f>IFERROR(IF(AL145*AM145=0,"",AL145*AM145),"")</f>
        <v/>
      </c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L145">
        <f>IFERROR(INDEX('_names_lookup'!$C:$C,MATCH(BK145,'_names_lookup'!$A:$A,0)),"")</f>
        <v/>
      </c>
      <c r="BM145">
        <f>IFERROR(INDEX('_names_lookup'!$B:$B,MATCH(BK145,'_names_lookup'!$A:$A,0)),"")</f>
        <v/>
      </c>
      <c r="BS145">
        <f>IFERROR(IF(BR145*AA145=0,"",BR145*AA145),"")</f>
        <v/>
      </c>
    </row>
    <row r="146">
      <c r="O146">
        <f>IFERROR(INDEX('_courses_lookup'!$C:$C,MATCH(K146&amp;L146,'_courses_lookup'!$E:$E,0)),"")</f>
        <v/>
      </c>
      <c r="P146">
        <f>IFERROR(INDEX('_courses_lookup'!$D:$D,MATCH(K146&amp;L146,'_courses_lookup'!$E:$E,0)),"")</f>
        <v/>
      </c>
      <c r="AG146">
        <f>IF(AND(AE146&lt;&gt;"",AF146&lt;&gt;""),ROUNDUP((AF146-AE146)/7,0),"")</f>
        <v/>
      </c>
      <c r="AI146">
        <f>IFERROR(IF(AG146*AH146=0,"",AG146*AH146),"")</f>
        <v/>
      </c>
      <c r="AL146">
        <f>IF(AND(AJ146&lt;&gt;"",AK146&lt;&gt;""),ROUNDUP((AK146-AJ146)/7,0),"")</f>
        <v/>
      </c>
      <c r="AN146">
        <f>IFERROR(IF(AL146*AM146=0,"",AL146*AM146),"")</f>
        <v/>
      </c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L146">
        <f>IFERROR(INDEX('_names_lookup'!$C:$C,MATCH(BK146,'_names_lookup'!$A:$A,0)),"")</f>
        <v/>
      </c>
      <c r="BM146">
        <f>IFERROR(INDEX('_names_lookup'!$B:$B,MATCH(BK146,'_names_lookup'!$A:$A,0)),"")</f>
        <v/>
      </c>
      <c r="BS146">
        <f>IFERROR(IF(BR146*AA146=0,"",BR146*AA146),"")</f>
        <v/>
      </c>
    </row>
    <row r="147">
      <c r="O147">
        <f>IFERROR(INDEX('_courses_lookup'!$C:$C,MATCH(K147&amp;L147,'_courses_lookup'!$E:$E,0)),"")</f>
        <v/>
      </c>
      <c r="P147">
        <f>IFERROR(INDEX('_courses_lookup'!$D:$D,MATCH(K147&amp;L147,'_courses_lookup'!$E:$E,0)),"")</f>
        <v/>
      </c>
      <c r="AG147">
        <f>IF(AND(AE147&lt;&gt;"",AF147&lt;&gt;""),ROUNDUP((AF147-AE147)/7,0),"")</f>
        <v/>
      </c>
      <c r="AI147">
        <f>IFERROR(IF(AG147*AH147=0,"",AG147*AH147),"")</f>
        <v/>
      </c>
      <c r="AL147">
        <f>IF(AND(AJ147&lt;&gt;"",AK147&lt;&gt;""),ROUNDUP((AK147-AJ147)/7,0),"")</f>
        <v/>
      </c>
      <c r="AN147">
        <f>IFERROR(IF(AL147*AM147=0,"",AL147*AM147),"")</f>
        <v/>
      </c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L147">
        <f>IFERROR(INDEX('_names_lookup'!$C:$C,MATCH(BK147,'_names_lookup'!$A:$A,0)),"")</f>
        <v/>
      </c>
      <c r="BM147">
        <f>IFERROR(INDEX('_names_lookup'!$B:$B,MATCH(BK147,'_names_lookup'!$A:$A,0)),"")</f>
        <v/>
      </c>
      <c r="BS147">
        <f>IFERROR(IF(BR147*AA147=0,"",BR147*AA147),"")</f>
        <v/>
      </c>
    </row>
    <row r="148">
      <c r="O148">
        <f>IFERROR(INDEX('_courses_lookup'!$C:$C,MATCH(K148&amp;L148,'_courses_lookup'!$E:$E,0)),"")</f>
        <v/>
      </c>
      <c r="P148">
        <f>IFERROR(INDEX('_courses_lookup'!$D:$D,MATCH(K148&amp;L148,'_courses_lookup'!$E:$E,0)),"")</f>
        <v/>
      </c>
      <c r="AG148">
        <f>IF(AND(AE148&lt;&gt;"",AF148&lt;&gt;""),ROUNDUP((AF148-AE148)/7,0),"")</f>
        <v/>
      </c>
      <c r="AI148">
        <f>IFERROR(IF(AG148*AH148=0,"",AG148*AH148),"")</f>
        <v/>
      </c>
      <c r="AL148">
        <f>IF(AND(AJ148&lt;&gt;"",AK148&lt;&gt;""),ROUNDUP((AK148-AJ148)/7,0),"")</f>
        <v/>
      </c>
      <c r="AN148">
        <f>IFERROR(IF(AL148*AM148=0,"",AL148*AM148),"")</f>
        <v/>
      </c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L148">
        <f>IFERROR(INDEX('_names_lookup'!$C:$C,MATCH(BK148,'_names_lookup'!$A:$A,0)),"")</f>
        <v/>
      </c>
      <c r="BM148">
        <f>IFERROR(INDEX('_names_lookup'!$B:$B,MATCH(BK148,'_names_lookup'!$A:$A,0)),"")</f>
        <v/>
      </c>
      <c r="BS148">
        <f>IFERROR(IF(BR148*AA148=0,"",BR148*AA148),"")</f>
        <v/>
      </c>
    </row>
    <row r="149">
      <c r="O149">
        <f>IFERROR(INDEX('_courses_lookup'!$C:$C,MATCH(K149&amp;L149,'_courses_lookup'!$E:$E,0)),"")</f>
        <v/>
      </c>
      <c r="P149">
        <f>IFERROR(INDEX('_courses_lookup'!$D:$D,MATCH(K149&amp;L149,'_courses_lookup'!$E:$E,0)),"")</f>
        <v/>
      </c>
      <c r="AG149">
        <f>IF(AND(AE149&lt;&gt;"",AF149&lt;&gt;""),ROUNDUP((AF149-AE149)/7,0),"")</f>
        <v/>
      </c>
      <c r="AI149">
        <f>IFERROR(IF(AG149*AH149=0,"",AG149*AH149),"")</f>
        <v/>
      </c>
      <c r="AL149">
        <f>IF(AND(AJ149&lt;&gt;"",AK149&lt;&gt;""),ROUNDUP((AK149-AJ149)/7,0),"")</f>
        <v/>
      </c>
      <c r="AN149">
        <f>IFERROR(IF(AL149*AM149=0,"",AL149*AM149),"")</f>
        <v/>
      </c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L149">
        <f>IFERROR(INDEX('_names_lookup'!$C:$C,MATCH(BK149,'_names_lookup'!$A:$A,0)),"")</f>
        <v/>
      </c>
      <c r="BM149">
        <f>IFERROR(INDEX('_names_lookup'!$B:$B,MATCH(BK149,'_names_lookup'!$A:$A,0)),"")</f>
        <v/>
      </c>
      <c r="BS149">
        <f>IFERROR(IF(BR149*AA149=0,"",BR149*AA149),"")</f>
        <v/>
      </c>
    </row>
    <row r="150">
      <c r="O150">
        <f>IFERROR(INDEX('_courses_lookup'!$C:$C,MATCH(K150&amp;L150,'_courses_lookup'!$E:$E,0)),"")</f>
        <v/>
      </c>
      <c r="P150">
        <f>IFERROR(INDEX('_courses_lookup'!$D:$D,MATCH(K150&amp;L150,'_courses_lookup'!$E:$E,0)),"")</f>
        <v/>
      </c>
      <c r="AG150">
        <f>IF(AND(AE150&lt;&gt;"",AF150&lt;&gt;""),ROUNDUP((AF150-AE150)/7,0),"")</f>
        <v/>
      </c>
      <c r="AI150">
        <f>IFERROR(IF(AG150*AH150=0,"",AG150*AH150),"")</f>
        <v/>
      </c>
      <c r="AL150">
        <f>IF(AND(AJ150&lt;&gt;"",AK150&lt;&gt;""),ROUNDUP((AK150-AJ150)/7,0),"")</f>
        <v/>
      </c>
      <c r="AN150">
        <f>IFERROR(IF(AL150*AM150=0,"",AL150*AM150),"")</f>
        <v/>
      </c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L150">
        <f>IFERROR(INDEX('_names_lookup'!$C:$C,MATCH(BK150,'_names_lookup'!$A:$A,0)),"")</f>
        <v/>
      </c>
      <c r="BM150">
        <f>IFERROR(INDEX('_names_lookup'!$B:$B,MATCH(BK150,'_names_lookup'!$A:$A,0)),"")</f>
        <v/>
      </c>
      <c r="BS150">
        <f>IFERROR(IF(BR150*AA150=0,"",BR150*AA150),"")</f>
        <v/>
      </c>
    </row>
    <row r="151">
      <c r="O151">
        <f>IFERROR(INDEX('_courses_lookup'!$C:$C,MATCH(K151&amp;L151,'_courses_lookup'!$E:$E,0)),"")</f>
        <v/>
      </c>
      <c r="P151">
        <f>IFERROR(INDEX('_courses_lookup'!$D:$D,MATCH(K151&amp;L151,'_courses_lookup'!$E:$E,0)),"")</f>
        <v/>
      </c>
      <c r="AG151">
        <f>IF(AND(AE151&lt;&gt;"",AF151&lt;&gt;""),ROUNDUP((AF151-AE151)/7,0),"")</f>
        <v/>
      </c>
      <c r="AI151">
        <f>IFERROR(IF(AG151*AH151=0,"",AG151*AH151),"")</f>
        <v/>
      </c>
      <c r="AL151">
        <f>IF(AND(AJ151&lt;&gt;"",AK151&lt;&gt;""),ROUNDUP((AK151-AJ151)/7,0),"")</f>
        <v/>
      </c>
      <c r="AN151">
        <f>IFERROR(IF(AL151*AM151=0,"",AL151*AM151),"")</f>
        <v/>
      </c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L151">
        <f>IFERROR(INDEX('_names_lookup'!$C:$C,MATCH(BK151,'_names_lookup'!$A:$A,0)),"")</f>
        <v/>
      </c>
      <c r="BM151">
        <f>IFERROR(INDEX('_names_lookup'!$B:$B,MATCH(BK151,'_names_lookup'!$A:$A,0)),"")</f>
        <v/>
      </c>
      <c r="BS151">
        <f>IFERROR(IF(BR151*AA151=0,"",BR151*AA151),"")</f>
        <v/>
      </c>
    </row>
    <row r="152">
      <c r="O152">
        <f>IFERROR(INDEX('_courses_lookup'!$C:$C,MATCH(K152&amp;L152,'_courses_lookup'!$E:$E,0)),"")</f>
        <v/>
      </c>
      <c r="P152">
        <f>IFERROR(INDEX('_courses_lookup'!$D:$D,MATCH(K152&amp;L152,'_courses_lookup'!$E:$E,0)),"")</f>
        <v/>
      </c>
      <c r="AG152">
        <f>IF(AND(AE152&lt;&gt;"",AF152&lt;&gt;""),ROUNDUP((AF152-AE152)/7,0),"")</f>
        <v/>
      </c>
      <c r="AI152">
        <f>IFERROR(IF(AG152*AH152=0,"",AG152*AH152),"")</f>
        <v/>
      </c>
      <c r="AL152">
        <f>IF(AND(AJ152&lt;&gt;"",AK152&lt;&gt;""),ROUNDUP((AK152-AJ152)/7,0),"")</f>
        <v/>
      </c>
      <c r="AN152">
        <f>IFERROR(IF(AL152*AM152=0,"",AL152*AM152),"")</f>
        <v/>
      </c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L152">
        <f>IFERROR(INDEX('_names_lookup'!$C:$C,MATCH(BK152,'_names_lookup'!$A:$A,0)),"")</f>
        <v/>
      </c>
      <c r="BM152">
        <f>IFERROR(INDEX('_names_lookup'!$B:$B,MATCH(BK152,'_names_lookup'!$A:$A,0)),"")</f>
        <v/>
      </c>
      <c r="BS152">
        <f>IFERROR(IF(BR152*AA152=0,"",BR152*AA152),"")</f>
        <v/>
      </c>
    </row>
    <row r="153">
      <c r="O153">
        <f>IFERROR(INDEX('_courses_lookup'!$C:$C,MATCH(K153&amp;L153,'_courses_lookup'!$E:$E,0)),"")</f>
        <v/>
      </c>
      <c r="P153">
        <f>IFERROR(INDEX('_courses_lookup'!$D:$D,MATCH(K153&amp;L153,'_courses_lookup'!$E:$E,0)),"")</f>
        <v/>
      </c>
      <c r="AG153">
        <f>IF(AND(AE153&lt;&gt;"",AF153&lt;&gt;""),ROUNDUP((AF153-AE153)/7,0),"")</f>
        <v/>
      </c>
      <c r="AI153">
        <f>IFERROR(IF(AG153*AH153=0,"",AG153*AH153),"")</f>
        <v/>
      </c>
      <c r="AL153">
        <f>IF(AND(AJ153&lt;&gt;"",AK153&lt;&gt;""),ROUNDUP((AK153-AJ153)/7,0),"")</f>
        <v/>
      </c>
      <c r="AN153">
        <f>IFERROR(IF(AL153*AM153=0,"",AL153*AM153),"")</f>
        <v/>
      </c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L153">
        <f>IFERROR(INDEX('_names_lookup'!$C:$C,MATCH(BK153,'_names_lookup'!$A:$A,0)),"")</f>
        <v/>
      </c>
      <c r="BM153">
        <f>IFERROR(INDEX('_names_lookup'!$B:$B,MATCH(BK153,'_names_lookup'!$A:$A,0)),"")</f>
        <v/>
      </c>
      <c r="BS153">
        <f>IFERROR(IF(BR153*AA153=0,"",BR153*AA153),"")</f>
        <v/>
      </c>
    </row>
    <row r="154">
      <c r="O154">
        <f>IFERROR(INDEX('_courses_lookup'!$C:$C,MATCH(K154&amp;L154,'_courses_lookup'!$E:$E,0)),"")</f>
        <v/>
      </c>
      <c r="P154">
        <f>IFERROR(INDEX('_courses_lookup'!$D:$D,MATCH(K154&amp;L154,'_courses_lookup'!$E:$E,0)),"")</f>
        <v/>
      </c>
      <c r="AG154">
        <f>IF(AND(AE154&lt;&gt;"",AF154&lt;&gt;""),ROUNDUP((AF154-AE154)/7,0),"")</f>
        <v/>
      </c>
      <c r="AI154">
        <f>IFERROR(IF(AG154*AH154=0,"",AG154*AH154),"")</f>
        <v/>
      </c>
      <c r="AL154">
        <f>IF(AND(AJ154&lt;&gt;"",AK154&lt;&gt;""),ROUNDUP((AK154-AJ154)/7,0),"")</f>
        <v/>
      </c>
      <c r="AN154">
        <f>IFERROR(IF(AL154*AM154=0,"",AL154*AM154),"")</f>
        <v/>
      </c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L154">
        <f>IFERROR(INDEX('_names_lookup'!$C:$C,MATCH(BK154,'_names_lookup'!$A:$A,0)),"")</f>
        <v/>
      </c>
      <c r="BM154">
        <f>IFERROR(INDEX('_names_lookup'!$B:$B,MATCH(BK154,'_names_lookup'!$A:$A,0)),"")</f>
        <v/>
      </c>
      <c r="BS154">
        <f>IFERROR(IF(BR154*AA154=0,"",BR154*AA154),"")</f>
        <v/>
      </c>
    </row>
    <row r="155">
      <c r="O155">
        <f>IFERROR(INDEX('_courses_lookup'!$C:$C,MATCH(K155&amp;L155,'_courses_lookup'!$E:$E,0)),"")</f>
        <v/>
      </c>
      <c r="P155">
        <f>IFERROR(INDEX('_courses_lookup'!$D:$D,MATCH(K155&amp;L155,'_courses_lookup'!$E:$E,0)),"")</f>
        <v/>
      </c>
      <c r="AG155">
        <f>IF(AND(AE155&lt;&gt;"",AF155&lt;&gt;""),ROUNDUP((AF155-AE155)/7,0),"")</f>
        <v/>
      </c>
      <c r="AI155">
        <f>IFERROR(IF(AG155*AH155=0,"",AG155*AH155),"")</f>
        <v/>
      </c>
      <c r="AL155">
        <f>IF(AND(AJ155&lt;&gt;"",AK155&lt;&gt;""),ROUNDUP((AK155-AJ155)/7,0),"")</f>
        <v/>
      </c>
      <c r="AN155">
        <f>IFERROR(IF(AL155*AM155=0,"",AL155*AM155),"")</f>
        <v/>
      </c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L155">
        <f>IFERROR(INDEX('_names_lookup'!$C:$C,MATCH(BK155,'_names_lookup'!$A:$A,0)),"")</f>
        <v/>
      </c>
      <c r="BM155">
        <f>IFERROR(INDEX('_names_lookup'!$B:$B,MATCH(BK155,'_names_lookup'!$A:$A,0)),"")</f>
        <v/>
      </c>
      <c r="BS155">
        <f>IFERROR(IF(BR155*AA155=0,"",BR155*AA155),"")</f>
        <v/>
      </c>
    </row>
    <row r="156">
      <c r="O156">
        <f>IFERROR(INDEX('_courses_lookup'!$C:$C,MATCH(K156&amp;L156,'_courses_lookup'!$E:$E,0)),"")</f>
        <v/>
      </c>
      <c r="P156">
        <f>IFERROR(INDEX('_courses_lookup'!$D:$D,MATCH(K156&amp;L156,'_courses_lookup'!$E:$E,0)),"")</f>
        <v/>
      </c>
      <c r="AG156">
        <f>IF(AND(AE156&lt;&gt;"",AF156&lt;&gt;""),ROUNDUP((AF156-AE156)/7,0),"")</f>
        <v/>
      </c>
      <c r="AI156">
        <f>IFERROR(IF(AG156*AH156=0,"",AG156*AH156),"")</f>
        <v/>
      </c>
      <c r="AL156">
        <f>IF(AND(AJ156&lt;&gt;"",AK156&lt;&gt;""),ROUNDUP((AK156-AJ156)/7,0),"")</f>
        <v/>
      </c>
      <c r="AN156">
        <f>IFERROR(IF(AL156*AM156=0,"",AL156*AM156),"")</f>
        <v/>
      </c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L156">
        <f>IFERROR(INDEX('_names_lookup'!$C:$C,MATCH(BK156,'_names_lookup'!$A:$A,0)),"")</f>
        <v/>
      </c>
      <c r="BM156">
        <f>IFERROR(INDEX('_names_lookup'!$B:$B,MATCH(BK156,'_names_lookup'!$A:$A,0)),"")</f>
        <v/>
      </c>
      <c r="BS156">
        <f>IFERROR(IF(BR156*AA156=0,"",BR156*AA156),"")</f>
        <v/>
      </c>
    </row>
    <row r="157">
      <c r="O157">
        <f>IFERROR(INDEX('_courses_lookup'!$C:$C,MATCH(K157&amp;L157,'_courses_lookup'!$E:$E,0)),"")</f>
        <v/>
      </c>
      <c r="P157">
        <f>IFERROR(INDEX('_courses_lookup'!$D:$D,MATCH(K157&amp;L157,'_courses_lookup'!$E:$E,0)),"")</f>
        <v/>
      </c>
      <c r="AG157">
        <f>IF(AND(AE157&lt;&gt;"",AF157&lt;&gt;""),ROUNDUP((AF157-AE157)/7,0),"")</f>
        <v/>
      </c>
      <c r="AI157">
        <f>IFERROR(IF(AG157*AH157=0,"",AG157*AH157),"")</f>
        <v/>
      </c>
      <c r="AL157">
        <f>IF(AND(AJ157&lt;&gt;"",AK157&lt;&gt;""),ROUNDUP((AK157-AJ157)/7,0),"")</f>
        <v/>
      </c>
      <c r="AN157">
        <f>IFERROR(IF(AL157*AM157=0,"",AL157*AM157),"")</f>
        <v/>
      </c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L157">
        <f>IFERROR(INDEX('_names_lookup'!$C:$C,MATCH(BK157,'_names_lookup'!$A:$A,0)),"")</f>
        <v/>
      </c>
      <c r="BM157">
        <f>IFERROR(INDEX('_names_lookup'!$B:$B,MATCH(BK157,'_names_lookup'!$A:$A,0)),"")</f>
        <v/>
      </c>
      <c r="BS157">
        <f>IFERROR(IF(BR157*AA157=0,"",BR157*AA157),"")</f>
        <v/>
      </c>
    </row>
    <row r="158">
      <c r="O158">
        <f>IFERROR(INDEX('_courses_lookup'!$C:$C,MATCH(K158&amp;L158,'_courses_lookup'!$E:$E,0)),"")</f>
        <v/>
      </c>
      <c r="P158">
        <f>IFERROR(INDEX('_courses_lookup'!$D:$D,MATCH(K158&amp;L158,'_courses_lookup'!$E:$E,0)),"")</f>
        <v/>
      </c>
      <c r="AG158">
        <f>IF(AND(AE158&lt;&gt;"",AF158&lt;&gt;""),ROUNDUP((AF158-AE158)/7,0),"")</f>
        <v/>
      </c>
      <c r="AI158">
        <f>IFERROR(IF(AG158*AH158=0,"",AG158*AH158),"")</f>
        <v/>
      </c>
      <c r="AL158">
        <f>IF(AND(AJ158&lt;&gt;"",AK158&lt;&gt;""),ROUNDUP((AK158-AJ158)/7,0),"")</f>
        <v/>
      </c>
      <c r="AN158">
        <f>IFERROR(IF(AL158*AM158=0,"",AL158*AM158),"")</f>
        <v/>
      </c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L158">
        <f>IFERROR(INDEX('_names_lookup'!$C:$C,MATCH(BK158,'_names_lookup'!$A:$A,0)),"")</f>
        <v/>
      </c>
      <c r="BM158">
        <f>IFERROR(INDEX('_names_lookup'!$B:$B,MATCH(BK158,'_names_lookup'!$A:$A,0)),"")</f>
        <v/>
      </c>
      <c r="BS158">
        <f>IFERROR(IF(BR158*AA158=0,"",BR158*AA158),"")</f>
        <v/>
      </c>
    </row>
    <row r="159">
      <c r="O159">
        <f>IFERROR(INDEX('_courses_lookup'!$C:$C,MATCH(K159&amp;L159,'_courses_lookup'!$E:$E,0)),"")</f>
        <v/>
      </c>
      <c r="P159">
        <f>IFERROR(INDEX('_courses_lookup'!$D:$D,MATCH(K159&amp;L159,'_courses_lookup'!$E:$E,0)),"")</f>
        <v/>
      </c>
      <c r="AG159">
        <f>IF(AND(AE159&lt;&gt;"",AF159&lt;&gt;""),ROUNDUP((AF159-AE159)/7,0),"")</f>
        <v/>
      </c>
      <c r="AI159">
        <f>IFERROR(IF(AG159*AH159=0,"",AG159*AH159),"")</f>
        <v/>
      </c>
      <c r="AL159">
        <f>IF(AND(AJ159&lt;&gt;"",AK159&lt;&gt;""),ROUNDUP((AK159-AJ159)/7,0),"")</f>
        <v/>
      </c>
      <c r="AN159">
        <f>IFERROR(IF(AL159*AM159=0,"",AL159*AM159),"")</f>
        <v/>
      </c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L159">
        <f>IFERROR(INDEX('_names_lookup'!$C:$C,MATCH(BK159,'_names_lookup'!$A:$A,0)),"")</f>
        <v/>
      </c>
      <c r="BM159">
        <f>IFERROR(INDEX('_names_lookup'!$B:$B,MATCH(BK159,'_names_lookup'!$A:$A,0)),"")</f>
        <v/>
      </c>
      <c r="BS159">
        <f>IFERROR(IF(BR159*AA159=0,"",BR159*AA159),"")</f>
        <v/>
      </c>
    </row>
    <row r="160">
      <c r="O160">
        <f>IFERROR(INDEX('_courses_lookup'!$C:$C,MATCH(K160&amp;L160,'_courses_lookup'!$E:$E,0)),"")</f>
        <v/>
      </c>
      <c r="P160">
        <f>IFERROR(INDEX('_courses_lookup'!$D:$D,MATCH(K160&amp;L160,'_courses_lookup'!$E:$E,0)),"")</f>
        <v/>
      </c>
      <c r="AG160">
        <f>IF(AND(AE160&lt;&gt;"",AF160&lt;&gt;""),ROUNDUP((AF160-AE160)/7,0),"")</f>
        <v/>
      </c>
      <c r="AI160">
        <f>IFERROR(IF(AG160*AH160=0,"",AG160*AH160),"")</f>
        <v/>
      </c>
      <c r="AL160">
        <f>IF(AND(AJ160&lt;&gt;"",AK160&lt;&gt;""),ROUNDUP((AK160-AJ160)/7,0),"")</f>
        <v/>
      </c>
      <c r="AN160">
        <f>IFERROR(IF(AL160*AM160=0,"",AL160*AM160),"")</f>
        <v/>
      </c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L160">
        <f>IFERROR(INDEX('_names_lookup'!$C:$C,MATCH(BK160,'_names_lookup'!$A:$A,0)),"")</f>
        <v/>
      </c>
      <c r="BM160">
        <f>IFERROR(INDEX('_names_lookup'!$B:$B,MATCH(BK160,'_names_lookup'!$A:$A,0)),"")</f>
        <v/>
      </c>
      <c r="BS160">
        <f>IFERROR(IF(BR160*AA160=0,"",BR160*AA160),"")</f>
        <v/>
      </c>
    </row>
    <row r="161">
      <c r="O161">
        <f>IFERROR(INDEX('_courses_lookup'!$C:$C,MATCH(K161&amp;L161,'_courses_lookup'!$E:$E,0)),"")</f>
        <v/>
      </c>
      <c r="P161">
        <f>IFERROR(INDEX('_courses_lookup'!$D:$D,MATCH(K161&amp;L161,'_courses_lookup'!$E:$E,0)),"")</f>
        <v/>
      </c>
      <c r="AG161">
        <f>IF(AND(AE161&lt;&gt;"",AF161&lt;&gt;""),ROUNDUP((AF161-AE161)/7,0),"")</f>
        <v/>
      </c>
      <c r="AI161">
        <f>IFERROR(IF(AG161*AH161=0,"",AG161*AH161),"")</f>
        <v/>
      </c>
      <c r="AL161">
        <f>IF(AND(AJ161&lt;&gt;"",AK161&lt;&gt;""),ROUNDUP((AK161-AJ161)/7,0),"")</f>
        <v/>
      </c>
      <c r="AN161">
        <f>IFERROR(IF(AL161*AM161=0,"",AL161*AM161),"")</f>
        <v/>
      </c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L161">
        <f>IFERROR(INDEX('_names_lookup'!$C:$C,MATCH(BK161,'_names_lookup'!$A:$A,0)),"")</f>
        <v/>
      </c>
      <c r="BM161">
        <f>IFERROR(INDEX('_names_lookup'!$B:$B,MATCH(BK161,'_names_lookup'!$A:$A,0)),"")</f>
        <v/>
      </c>
      <c r="BS161">
        <f>IFERROR(IF(BR161*AA161=0,"",BR161*AA161),"")</f>
        <v/>
      </c>
    </row>
    <row r="162">
      <c r="O162">
        <f>IFERROR(INDEX('_courses_lookup'!$C:$C,MATCH(K162&amp;L162,'_courses_lookup'!$E:$E,0)),"")</f>
        <v/>
      </c>
      <c r="P162">
        <f>IFERROR(INDEX('_courses_lookup'!$D:$D,MATCH(K162&amp;L162,'_courses_lookup'!$E:$E,0)),"")</f>
        <v/>
      </c>
      <c r="AG162">
        <f>IF(AND(AE162&lt;&gt;"",AF162&lt;&gt;""),ROUNDUP((AF162-AE162)/7,0),"")</f>
        <v/>
      </c>
      <c r="AI162">
        <f>IFERROR(IF(AG162*AH162=0,"",AG162*AH162),"")</f>
        <v/>
      </c>
      <c r="AL162">
        <f>IF(AND(AJ162&lt;&gt;"",AK162&lt;&gt;""),ROUNDUP((AK162-AJ162)/7,0),"")</f>
        <v/>
      </c>
      <c r="AN162">
        <f>IFERROR(IF(AL162*AM162=0,"",AL162*AM162),"")</f>
        <v/>
      </c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L162">
        <f>IFERROR(INDEX('_names_lookup'!$C:$C,MATCH(BK162,'_names_lookup'!$A:$A,0)),"")</f>
        <v/>
      </c>
      <c r="BM162">
        <f>IFERROR(INDEX('_names_lookup'!$B:$B,MATCH(BK162,'_names_lookup'!$A:$A,0)),"")</f>
        <v/>
      </c>
      <c r="BS162">
        <f>IFERROR(IF(BR162*AA162=0,"",BR162*AA162),"")</f>
        <v/>
      </c>
    </row>
    <row r="163">
      <c r="O163">
        <f>IFERROR(INDEX('_courses_lookup'!$C:$C,MATCH(K163&amp;L163,'_courses_lookup'!$E:$E,0)),"")</f>
        <v/>
      </c>
      <c r="P163">
        <f>IFERROR(INDEX('_courses_lookup'!$D:$D,MATCH(K163&amp;L163,'_courses_lookup'!$E:$E,0)),"")</f>
        <v/>
      </c>
      <c r="AG163">
        <f>IF(AND(AE163&lt;&gt;"",AF163&lt;&gt;""),ROUNDUP((AF163-AE163)/7,0),"")</f>
        <v/>
      </c>
      <c r="AI163">
        <f>IFERROR(IF(AG163*AH163=0,"",AG163*AH163),"")</f>
        <v/>
      </c>
      <c r="AL163">
        <f>IF(AND(AJ163&lt;&gt;"",AK163&lt;&gt;""),ROUNDUP((AK163-AJ163)/7,0),"")</f>
        <v/>
      </c>
      <c r="AN163">
        <f>IFERROR(IF(AL163*AM163=0,"",AL163*AM163),"")</f>
        <v/>
      </c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L163">
        <f>IFERROR(INDEX('_names_lookup'!$C:$C,MATCH(BK163,'_names_lookup'!$A:$A,0)),"")</f>
        <v/>
      </c>
      <c r="BM163">
        <f>IFERROR(INDEX('_names_lookup'!$B:$B,MATCH(BK163,'_names_lookup'!$A:$A,0)),"")</f>
        <v/>
      </c>
      <c r="BS163">
        <f>IFERROR(IF(BR163*AA163=0,"",BR163*AA163),"")</f>
        <v/>
      </c>
    </row>
    <row r="164">
      <c r="O164">
        <f>IFERROR(INDEX('_courses_lookup'!$C:$C,MATCH(K164&amp;L164,'_courses_lookup'!$E:$E,0)),"")</f>
        <v/>
      </c>
      <c r="P164">
        <f>IFERROR(INDEX('_courses_lookup'!$D:$D,MATCH(K164&amp;L164,'_courses_lookup'!$E:$E,0)),"")</f>
        <v/>
      </c>
      <c r="AG164">
        <f>IF(AND(AE164&lt;&gt;"",AF164&lt;&gt;""),ROUNDUP((AF164-AE164)/7,0),"")</f>
        <v/>
      </c>
      <c r="AI164">
        <f>IFERROR(IF(AG164*AH164=0,"",AG164*AH164),"")</f>
        <v/>
      </c>
      <c r="AL164">
        <f>IF(AND(AJ164&lt;&gt;"",AK164&lt;&gt;""),ROUNDUP((AK164-AJ164)/7,0),"")</f>
        <v/>
      </c>
      <c r="AN164">
        <f>IFERROR(IF(AL164*AM164=0,"",AL164*AM164),"")</f>
        <v/>
      </c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L164">
        <f>IFERROR(INDEX('_names_lookup'!$C:$C,MATCH(BK164,'_names_lookup'!$A:$A,0)),"")</f>
        <v/>
      </c>
      <c r="BM164">
        <f>IFERROR(INDEX('_names_lookup'!$B:$B,MATCH(BK164,'_names_lookup'!$A:$A,0)),"")</f>
        <v/>
      </c>
      <c r="BS164">
        <f>IFERROR(IF(BR164*AA164=0,"",BR164*AA164),"")</f>
        <v/>
      </c>
    </row>
    <row r="165">
      <c r="O165">
        <f>IFERROR(INDEX('_courses_lookup'!$C:$C,MATCH(K165&amp;L165,'_courses_lookup'!$E:$E,0)),"")</f>
        <v/>
      </c>
      <c r="P165">
        <f>IFERROR(INDEX('_courses_lookup'!$D:$D,MATCH(K165&amp;L165,'_courses_lookup'!$E:$E,0)),"")</f>
        <v/>
      </c>
      <c r="AG165">
        <f>IF(AND(AE165&lt;&gt;"",AF165&lt;&gt;""),ROUNDUP((AF165-AE165)/7,0),"")</f>
        <v/>
      </c>
      <c r="AI165">
        <f>IFERROR(IF(AG165*AH165=0,"",AG165*AH165),"")</f>
        <v/>
      </c>
      <c r="AL165">
        <f>IF(AND(AJ165&lt;&gt;"",AK165&lt;&gt;""),ROUNDUP((AK165-AJ165)/7,0),"")</f>
        <v/>
      </c>
      <c r="AN165">
        <f>IFERROR(IF(AL165*AM165=0,"",AL165*AM165),"")</f>
        <v/>
      </c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L165">
        <f>IFERROR(INDEX('_names_lookup'!$C:$C,MATCH(BK165,'_names_lookup'!$A:$A,0)),"")</f>
        <v/>
      </c>
      <c r="BM165">
        <f>IFERROR(INDEX('_names_lookup'!$B:$B,MATCH(BK165,'_names_lookup'!$A:$A,0)),"")</f>
        <v/>
      </c>
      <c r="BS165">
        <f>IFERROR(IF(BR165*AA165=0,"",BR165*AA165),"")</f>
        <v/>
      </c>
    </row>
    <row r="166">
      <c r="O166">
        <f>IFERROR(INDEX('_courses_lookup'!$C:$C,MATCH(K166&amp;L166,'_courses_lookup'!$E:$E,0)),"")</f>
        <v/>
      </c>
      <c r="P166">
        <f>IFERROR(INDEX('_courses_lookup'!$D:$D,MATCH(K166&amp;L166,'_courses_lookup'!$E:$E,0)),"")</f>
        <v/>
      </c>
      <c r="AG166">
        <f>IF(AND(AE166&lt;&gt;"",AF166&lt;&gt;""),ROUNDUP((AF166-AE166)/7,0),"")</f>
        <v/>
      </c>
      <c r="AI166">
        <f>IFERROR(IF(AG166*AH166=0,"",AG166*AH166),"")</f>
        <v/>
      </c>
      <c r="AL166">
        <f>IF(AND(AJ166&lt;&gt;"",AK166&lt;&gt;""),ROUNDUP((AK166-AJ166)/7,0),"")</f>
        <v/>
      </c>
      <c r="AN166">
        <f>IFERROR(IF(AL166*AM166=0,"",AL166*AM166),"")</f>
        <v/>
      </c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L166">
        <f>IFERROR(INDEX('_names_lookup'!$C:$C,MATCH(BK166,'_names_lookup'!$A:$A,0)),"")</f>
        <v/>
      </c>
      <c r="BM166">
        <f>IFERROR(INDEX('_names_lookup'!$B:$B,MATCH(BK166,'_names_lookup'!$A:$A,0)),"")</f>
        <v/>
      </c>
      <c r="BS166">
        <f>IFERROR(IF(BR166*AA166=0,"",BR166*AA166),"")</f>
        <v/>
      </c>
    </row>
    <row r="167">
      <c r="O167">
        <f>IFERROR(INDEX('_courses_lookup'!$C:$C,MATCH(K167&amp;L167,'_courses_lookup'!$E:$E,0)),"")</f>
        <v/>
      </c>
      <c r="P167">
        <f>IFERROR(INDEX('_courses_lookup'!$D:$D,MATCH(K167&amp;L167,'_courses_lookup'!$E:$E,0)),"")</f>
        <v/>
      </c>
      <c r="AG167">
        <f>IF(AND(AE167&lt;&gt;"",AF167&lt;&gt;""),ROUNDUP((AF167-AE167)/7,0),"")</f>
        <v/>
      </c>
      <c r="AI167">
        <f>IFERROR(IF(AG167*AH167=0,"",AG167*AH167),"")</f>
        <v/>
      </c>
      <c r="AL167">
        <f>IF(AND(AJ167&lt;&gt;"",AK167&lt;&gt;""),ROUNDUP((AK167-AJ167)/7,0),"")</f>
        <v/>
      </c>
      <c r="AN167">
        <f>IFERROR(IF(AL167*AM167=0,"",AL167*AM167),"")</f>
        <v/>
      </c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L167">
        <f>IFERROR(INDEX('_names_lookup'!$C:$C,MATCH(BK167,'_names_lookup'!$A:$A,0)),"")</f>
        <v/>
      </c>
      <c r="BM167">
        <f>IFERROR(INDEX('_names_lookup'!$B:$B,MATCH(BK167,'_names_lookup'!$A:$A,0)),"")</f>
        <v/>
      </c>
      <c r="BS167">
        <f>IFERROR(IF(BR167*AA167=0,"",BR167*AA167),"")</f>
        <v/>
      </c>
    </row>
    <row r="168">
      <c r="O168">
        <f>IFERROR(INDEX('_courses_lookup'!$C:$C,MATCH(K168&amp;L168,'_courses_lookup'!$E:$E,0)),"")</f>
        <v/>
      </c>
      <c r="P168">
        <f>IFERROR(INDEX('_courses_lookup'!$D:$D,MATCH(K168&amp;L168,'_courses_lookup'!$E:$E,0)),"")</f>
        <v/>
      </c>
      <c r="AG168">
        <f>IF(AND(AE168&lt;&gt;"",AF168&lt;&gt;""),ROUNDUP((AF168-AE168)/7,0),"")</f>
        <v/>
      </c>
      <c r="AI168">
        <f>IFERROR(IF(AG168*AH168=0,"",AG168*AH168),"")</f>
        <v/>
      </c>
      <c r="AL168">
        <f>IF(AND(AJ168&lt;&gt;"",AK168&lt;&gt;""),ROUNDUP((AK168-AJ168)/7,0),"")</f>
        <v/>
      </c>
      <c r="AN168">
        <f>IFERROR(IF(AL168*AM168=0,"",AL168*AM168),"")</f>
        <v/>
      </c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L168">
        <f>IFERROR(INDEX('_names_lookup'!$C:$C,MATCH(BK168,'_names_lookup'!$A:$A,0)),"")</f>
        <v/>
      </c>
      <c r="BM168">
        <f>IFERROR(INDEX('_names_lookup'!$B:$B,MATCH(BK168,'_names_lookup'!$A:$A,0)),"")</f>
        <v/>
      </c>
      <c r="BS168">
        <f>IFERROR(IF(BR168*AA168=0,"",BR168*AA168),"")</f>
        <v/>
      </c>
    </row>
    <row r="169">
      <c r="O169">
        <f>IFERROR(INDEX('_courses_lookup'!$C:$C,MATCH(K169&amp;L169,'_courses_lookup'!$E:$E,0)),"")</f>
        <v/>
      </c>
      <c r="P169">
        <f>IFERROR(INDEX('_courses_lookup'!$D:$D,MATCH(K169&amp;L169,'_courses_lookup'!$E:$E,0)),"")</f>
        <v/>
      </c>
      <c r="AG169">
        <f>IF(AND(AE169&lt;&gt;"",AF169&lt;&gt;""),ROUNDUP((AF169-AE169)/7,0),"")</f>
        <v/>
      </c>
      <c r="AI169">
        <f>IFERROR(IF(AG169*AH169=0,"",AG169*AH169),"")</f>
        <v/>
      </c>
      <c r="AL169">
        <f>IF(AND(AJ169&lt;&gt;"",AK169&lt;&gt;""),ROUNDUP((AK169-AJ169)/7,0),"")</f>
        <v/>
      </c>
      <c r="AN169">
        <f>IFERROR(IF(AL169*AM169=0,"",AL169*AM169),"")</f>
        <v/>
      </c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L169">
        <f>IFERROR(INDEX('_names_lookup'!$C:$C,MATCH(BK169,'_names_lookup'!$A:$A,0)),"")</f>
        <v/>
      </c>
      <c r="BM169">
        <f>IFERROR(INDEX('_names_lookup'!$B:$B,MATCH(BK169,'_names_lookup'!$A:$A,0)),"")</f>
        <v/>
      </c>
      <c r="BS169">
        <f>IFERROR(IF(BR169*AA169=0,"",BR169*AA169),"")</f>
        <v/>
      </c>
    </row>
    <row r="170">
      <c r="O170">
        <f>IFERROR(INDEX('_courses_lookup'!$C:$C,MATCH(K170&amp;L170,'_courses_lookup'!$E:$E,0)),"")</f>
        <v/>
      </c>
      <c r="P170">
        <f>IFERROR(INDEX('_courses_lookup'!$D:$D,MATCH(K170&amp;L170,'_courses_lookup'!$E:$E,0)),"")</f>
        <v/>
      </c>
      <c r="AG170">
        <f>IF(AND(AE170&lt;&gt;"",AF170&lt;&gt;""),ROUNDUP((AF170-AE170)/7,0),"")</f>
        <v/>
      </c>
      <c r="AI170">
        <f>IFERROR(IF(AG170*AH170=0,"",AG170*AH170),"")</f>
        <v/>
      </c>
      <c r="AL170">
        <f>IF(AND(AJ170&lt;&gt;"",AK170&lt;&gt;""),ROUNDUP((AK170-AJ170)/7,0),"")</f>
        <v/>
      </c>
      <c r="AN170">
        <f>IFERROR(IF(AL170*AM170=0,"",AL170*AM170),"")</f>
        <v/>
      </c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L170">
        <f>IFERROR(INDEX('_names_lookup'!$C:$C,MATCH(BK170,'_names_lookup'!$A:$A,0)),"")</f>
        <v/>
      </c>
      <c r="BM170">
        <f>IFERROR(INDEX('_names_lookup'!$B:$B,MATCH(BK170,'_names_lookup'!$A:$A,0)),"")</f>
        <v/>
      </c>
      <c r="BS170">
        <f>IFERROR(IF(BR170*AA170=0,"",BR170*AA170),"")</f>
        <v/>
      </c>
    </row>
    <row r="171">
      <c r="O171">
        <f>IFERROR(INDEX('_courses_lookup'!$C:$C,MATCH(K171&amp;L171,'_courses_lookup'!$E:$E,0)),"")</f>
        <v/>
      </c>
      <c r="P171">
        <f>IFERROR(INDEX('_courses_lookup'!$D:$D,MATCH(K171&amp;L171,'_courses_lookup'!$E:$E,0)),"")</f>
        <v/>
      </c>
      <c r="AG171">
        <f>IF(AND(AE171&lt;&gt;"",AF171&lt;&gt;""),ROUNDUP((AF171-AE171)/7,0),"")</f>
        <v/>
      </c>
      <c r="AI171">
        <f>IFERROR(IF(AG171*AH171=0,"",AG171*AH171),"")</f>
        <v/>
      </c>
      <c r="AL171">
        <f>IF(AND(AJ171&lt;&gt;"",AK171&lt;&gt;""),ROUNDUP((AK171-AJ171)/7,0),"")</f>
        <v/>
      </c>
      <c r="AN171">
        <f>IFERROR(IF(AL171*AM171=0,"",AL171*AM171),"")</f>
        <v/>
      </c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L171">
        <f>IFERROR(INDEX('_names_lookup'!$C:$C,MATCH(BK171,'_names_lookup'!$A:$A,0)),"")</f>
        <v/>
      </c>
      <c r="BM171">
        <f>IFERROR(INDEX('_names_lookup'!$B:$B,MATCH(BK171,'_names_lookup'!$A:$A,0)),"")</f>
        <v/>
      </c>
      <c r="BS171">
        <f>IFERROR(IF(BR171*AA171=0,"",BR171*AA171),"")</f>
        <v/>
      </c>
    </row>
    <row r="172">
      <c r="O172">
        <f>IFERROR(INDEX('_courses_lookup'!$C:$C,MATCH(K172&amp;L172,'_courses_lookup'!$E:$E,0)),"")</f>
        <v/>
      </c>
      <c r="P172">
        <f>IFERROR(INDEX('_courses_lookup'!$D:$D,MATCH(K172&amp;L172,'_courses_lookup'!$E:$E,0)),"")</f>
        <v/>
      </c>
      <c r="AG172">
        <f>IF(AND(AE172&lt;&gt;"",AF172&lt;&gt;""),ROUNDUP((AF172-AE172)/7,0),"")</f>
        <v/>
      </c>
      <c r="AI172">
        <f>IFERROR(IF(AG172*AH172=0,"",AG172*AH172),"")</f>
        <v/>
      </c>
      <c r="AL172">
        <f>IF(AND(AJ172&lt;&gt;"",AK172&lt;&gt;""),ROUNDUP((AK172-AJ172)/7,0),"")</f>
        <v/>
      </c>
      <c r="AN172">
        <f>IFERROR(IF(AL172*AM172=0,"",AL172*AM172),"")</f>
        <v/>
      </c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L172">
        <f>IFERROR(INDEX('_names_lookup'!$C:$C,MATCH(BK172,'_names_lookup'!$A:$A,0)),"")</f>
        <v/>
      </c>
      <c r="BM172">
        <f>IFERROR(INDEX('_names_lookup'!$B:$B,MATCH(BK172,'_names_lookup'!$A:$A,0)),"")</f>
        <v/>
      </c>
      <c r="BS172">
        <f>IFERROR(IF(BR172*AA172=0,"",BR172*AA172),"")</f>
        <v/>
      </c>
    </row>
    <row r="173">
      <c r="O173">
        <f>IFERROR(INDEX('_courses_lookup'!$C:$C,MATCH(K173&amp;L173,'_courses_lookup'!$E:$E,0)),"")</f>
        <v/>
      </c>
      <c r="P173">
        <f>IFERROR(INDEX('_courses_lookup'!$D:$D,MATCH(K173&amp;L173,'_courses_lookup'!$E:$E,0)),"")</f>
        <v/>
      </c>
      <c r="AG173">
        <f>IF(AND(AE173&lt;&gt;"",AF173&lt;&gt;""),ROUNDUP((AF173-AE173)/7,0),"")</f>
        <v/>
      </c>
      <c r="AI173">
        <f>IFERROR(IF(AG173*AH173=0,"",AG173*AH173),"")</f>
        <v/>
      </c>
      <c r="AL173">
        <f>IF(AND(AJ173&lt;&gt;"",AK173&lt;&gt;""),ROUNDUP((AK173-AJ173)/7,0),"")</f>
        <v/>
      </c>
      <c r="AN173">
        <f>IFERROR(IF(AL173*AM173=0,"",AL173*AM173),"")</f>
        <v/>
      </c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L173">
        <f>IFERROR(INDEX('_names_lookup'!$C:$C,MATCH(BK173,'_names_lookup'!$A:$A,0)),"")</f>
        <v/>
      </c>
      <c r="BM173">
        <f>IFERROR(INDEX('_names_lookup'!$B:$B,MATCH(BK173,'_names_lookup'!$A:$A,0)),"")</f>
        <v/>
      </c>
      <c r="BS173">
        <f>IFERROR(IF(BR173*AA173=0,"",BR173*AA173),"")</f>
        <v/>
      </c>
    </row>
    <row r="174">
      <c r="O174">
        <f>IFERROR(INDEX('_courses_lookup'!$C:$C,MATCH(K174&amp;L174,'_courses_lookup'!$E:$E,0)),"")</f>
        <v/>
      </c>
      <c r="P174">
        <f>IFERROR(INDEX('_courses_lookup'!$D:$D,MATCH(K174&amp;L174,'_courses_lookup'!$E:$E,0)),"")</f>
        <v/>
      </c>
      <c r="AG174">
        <f>IF(AND(AE174&lt;&gt;"",AF174&lt;&gt;""),ROUNDUP((AF174-AE174)/7,0),"")</f>
        <v/>
      </c>
      <c r="AI174">
        <f>IFERROR(IF(AG174*AH174=0,"",AG174*AH174),"")</f>
        <v/>
      </c>
      <c r="AL174">
        <f>IF(AND(AJ174&lt;&gt;"",AK174&lt;&gt;""),ROUNDUP((AK174-AJ174)/7,0),"")</f>
        <v/>
      </c>
      <c r="AN174">
        <f>IFERROR(IF(AL174*AM174=0,"",AL174*AM174),"")</f>
        <v/>
      </c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L174">
        <f>IFERROR(INDEX('_names_lookup'!$C:$C,MATCH(BK174,'_names_lookup'!$A:$A,0)),"")</f>
        <v/>
      </c>
      <c r="BM174">
        <f>IFERROR(INDEX('_names_lookup'!$B:$B,MATCH(BK174,'_names_lookup'!$A:$A,0)),"")</f>
        <v/>
      </c>
      <c r="BS174">
        <f>IFERROR(IF(BR174*AA174=0,"",BR174*AA174),"")</f>
        <v/>
      </c>
    </row>
    <row r="175">
      <c r="O175">
        <f>IFERROR(INDEX('_courses_lookup'!$C:$C,MATCH(K175&amp;L175,'_courses_lookup'!$E:$E,0)),"")</f>
        <v/>
      </c>
      <c r="P175">
        <f>IFERROR(INDEX('_courses_lookup'!$D:$D,MATCH(K175&amp;L175,'_courses_lookup'!$E:$E,0)),"")</f>
        <v/>
      </c>
      <c r="AG175">
        <f>IF(AND(AE175&lt;&gt;"",AF175&lt;&gt;""),ROUNDUP((AF175-AE175)/7,0),"")</f>
        <v/>
      </c>
      <c r="AI175">
        <f>IFERROR(IF(AG175*AH175=0,"",AG175*AH175),"")</f>
        <v/>
      </c>
      <c r="AL175">
        <f>IF(AND(AJ175&lt;&gt;"",AK175&lt;&gt;""),ROUNDUP((AK175-AJ175)/7,0),"")</f>
        <v/>
      </c>
      <c r="AN175">
        <f>IFERROR(IF(AL175*AM175=0,"",AL175*AM175),"")</f>
        <v/>
      </c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L175">
        <f>IFERROR(INDEX('_names_lookup'!$C:$C,MATCH(BK175,'_names_lookup'!$A:$A,0)),"")</f>
        <v/>
      </c>
      <c r="BM175">
        <f>IFERROR(INDEX('_names_lookup'!$B:$B,MATCH(BK175,'_names_lookup'!$A:$A,0)),"")</f>
        <v/>
      </c>
      <c r="BS175">
        <f>IFERROR(IF(BR175*AA175=0,"",BR175*AA175),"")</f>
        <v/>
      </c>
    </row>
    <row r="176">
      <c r="O176">
        <f>IFERROR(INDEX('_courses_lookup'!$C:$C,MATCH(K176&amp;L176,'_courses_lookup'!$E:$E,0)),"")</f>
        <v/>
      </c>
      <c r="P176">
        <f>IFERROR(INDEX('_courses_lookup'!$D:$D,MATCH(K176&amp;L176,'_courses_lookup'!$E:$E,0)),"")</f>
        <v/>
      </c>
      <c r="AG176">
        <f>IF(AND(AE176&lt;&gt;"",AF176&lt;&gt;""),ROUNDUP((AF176-AE176)/7,0),"")</f>
        <v/>
      </c>
      <c r="AI176">
        <f>IFERROR(IF(AG176*AH176=0,"",AG176*AH176),"")</f>
        <v/>
      </c>
      <c r="AL176">
        <f>IF(AND(AJ176&lt;&gt;"",AK176&lt;&gt;""),ROUNDUP((AK176-AJ176)/7,0),"")</f>
        <v/>
      </c>
      <c r="AN176">
        <f>IFERROR(IF(AL176*AM176=0,"",AL176*AM176),"")</f>
        <v/>
      </c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L176">
        <f>IFERROR(INDEX('_names_lookup'!$C:$C,MATCH(BK176,'_names_lookup'!$A:$A,0)),"")</f>
        <v/>
      </c>
      <c r="BM176">
        <f>IFERROR(INDEX('_names_lookup'!$B:$B,MATCH(BK176,'_names_lookup'!$A:$A,0)),"")</f>
        <v/>
      </c>
      <c r="BS176">
        <f>IFERROR(IF(BR176*AA176=0,"",BR176*AA176),"")</f>
        <v/>
      </c>
    </row>
    <row r="177">
      <c r="O177">
        <f>IFERROR(INDEX('_courses_lookup'!$C:$C,MATCH(K177&amp;L177,'_courses_lookup'!$E:$E,0)),"")</f>
        <v/>
      </c>
      <c r="P177">
        <f>IFERROR(INDEX('_courses_lookup'!$D:$D,MATCH(K177&amp;L177,'_courses_lookup'!$E:$E,0)),"")</f>
        <v/>
      </c>
      <c r="AG177">
        <f>IF(AND(AE177&lt;&gt;"",AF177&lt;&gt;""),ROUNDUP((AF177-AE177)/7,0),"")</f>
        <v/>
      </c>
      <c r="AI177">
        <f>IFERROR(IF(AG177*AH177=0,"",AG177*AH177),"")</f>
        <v/>
      </c>
      <c r="AL177">
        <f>IF(AND(AJ177&lt;&gt;"",AK177&lt;&gt;""),ROUNDUP((AK177-AJ177)/7,0),"")</f>
        <v/>
      </c>
      <c r="AN177">
        <f>IFERROR(IF(AL177*AM177=0,"",AL177*AM177),"")</f>
        <v/>
      </c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L177">
        <f>IFERROR(INDEX('_names_lookup'!$C:$C,MATCH(BK177,'_names_lookup'!$A:$A,0)),"")</f>
        <v/>
      </c>
      <c r="BM177">
        <f>IFERROR(INDEX('_names_lookup'!$B:$B,MATCH(BK177,'_names_lookup'!$A:$A,0)),"")</f>
        <v/>
      </c>
      <c r="BS177">
        <f>IFERROR(IF(BR177*AA177=0,"",BR177*AA177),"")</f>
        <v/>
      </c>
    </row>
    <row r="178">
      <c r="O178">
        <f>IFERROR(INDEX('_courses_lookup'!$C:$C,MATCH(K178&amp;L178,'_courses_lookup'!$E:$E,0)),"")</f>
        <v/>
      </c>
      <c r="P178">
        <f>IFERROR(INDEX('_courses_lookup'!$D:$D,MATCH(K178&amp;L178,'_courses_lookup'!$E:$E,0)),"")</f>
        <v/>
      </c>
      <c r="AG178">
        <f>IF(AND(AE178&lt;&gt;"",AF178&lt;&gt;""),ROUNDUP((AF178-AE178)/7,0),"")</f>
        <v/>
      </c>
      <c r="AI178">
        <f>IFERROR(IF(AG178*AH178=0,"",AG178*AH178),"")</f>
        <v/>
      </c>
      <c r="AL178">
        <f>IF(AND(AJ178&lt;&gt;"",AK178&lt;&gt;""),ROUNDUP((AK178-AJ178)/7,0),"")</f>
        <v/>
      </c>
      <c r="AN178">
        <f>IFERROR(IF(AL178*AM178=0,"",AL178*AM178),"")</f>
        <v/>
      </c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L178">
        <f>IFERROR(INDEX('_names_lookup'!$C:$C,MATCH(BK178,'_names_lookup'!$A:$A,0)),"")</f>
        <v/>
      </c>
      <c r="BM178">
        <f>IFERROR(INDEX('_names_lookup'!$B:$B,MATCH(BK178,'_names_lookup'!$A:$A,0)),"")</f>
        <v/>
      </c>
      <c r="BS178">
        <f>IFERROR(IF(BR178*AA178=0,"",BR178*AA178),"")</f>
        <v/>
      </c>
    </row>
    <row r="179">
      <c r="O179">
        <f>IFERROR(INDEX('_courses_lookup'!$C:$C,MATCH(K179&amp;L179,'_courses_lookup'!$E:$E,0)),"")</f>
        <v/>
      </c>
      <c r="P179">
        <f>IFERROR(INDEX('_courses_lookup'!$D:$D,MATCH(K179&amp;L179,'_courses_lookup'!$E:$E,0)),"")</f>
        <v/>
      </c>
      <c r="AG179">
        <f>IF(AND(AE179&lt;&gt;"",AF179&lt;&gt;""),ROUNDUP((AF179-AE179)/7,0),"")</f>
        <v/>
      </c>
      <c r="AI179">
        <f>IFERROR(IF(AG179*AH179=0,"",AG179*AH179),"")</f>
        <v/>
      </c>
      <c r="AL179">
        <f>IF(AND(AJ179&lt;&gt;"",AK179&lt;&gt;""),ROUNDUP((AK179-AJ179)/7,0),"")</f>
        <v/>
      </c>
      <c r="AN179">
        <f>IFERROR(IF(AL179*AM179=0,"",AL179*AM179),"")</f>
        <v/>
      </c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L179">
        <f>IFERROR(INDEX('_names_lookup'!$C:$C,MATCH(BK179,'_names_lookup'!$A:$A,0)),"")</f>
        <v/>
      </c>
      <c r="BM179">
        <f>IFERROR(INDEX('_names_lookup'!$B:$B,MATCH(BK179,'_names_lookup'!$A:$A,0)),"")</f>
        <v/>
      </c>
      <c r="BS179">
        <f>IFERROR(IF(BR179*AA179=0,"",BR179*AA179),"")</f>
        <v/>
      </c>
    </row>
    <row r="180">
      <c r="O180">
        <f>IFERROR(INDEX('_courses_lookup'!$C:$C,MATCH(K180&amp;L180,'_courses_lookup'!$E:$E,0)),"")</f>
        <v/>
      </c>
      <c r="P180">
        <f>IFERROR(INDEX('_courses_lookup'!$D:$D,MATCH(K180&amp;L180,'_courses_lookup'!$E:$E,0)),"")</f>
        <v/>
      </c>
      <c r="AG180">
        <f>IF(AND(AE180&lt;&gt;"",AF180&lt;&gt;""),ROUNDUP((AF180-AE180)/7,0),"")</f>
        <v/>
      </c>
      <c r="AI180">
        <f>IFERROR(IF(AG180*AH180=0,"",AG180*AH180),"")</f>
        <v/>
      </c>
      <c r="AL180">
        <f>IF(AND(AJ180&lt;&gt;"",AK180&lt;&gt;""),ROUNDUP((AK180-AJ180)/7,0),"")</f>
        <v/>
      </c>
      <c r="AN180">
        <f>IFERROR(IF(AL180*AM180=0,"",AL180*AM180),"")</f>
        <v/>
      </c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L180">
        <f>IFERROR(INDEX('_names_lookup'!$C:$C,MATCH(BK180,'_names_lookup'!$A:$A,0)),"")</f>
        <v/>
      </c>
      <c r="BM180">
        <f>IFERROR(INDEX('_names_lookup'!$B:$B,MATCH(BK180,'_names_lookup'!$A:$A,0)),"")</f>
        <v/>
      </c>
      <c r="BS180">
        <f>IFERROR(IF(BR180*AA180=0,"",BR180*AA180),"")</f>
        <v/>
      </c>
    </row>
    <row r="181">
      <c r="O181">
        <f>IFERROR(INDEX('_courses_lookup'!$C:$C,MATCH(K181&amp;L181,'_courses_lookup'!$E:$E,0)),"")</f>
        <v/>
      </c>
      <c r="P181">
        <f>IFERROR(INDEX('_courses_lookup'!$D:$D,MATCH(K181&amp;L181,'_courses_lookup'!$E:$E,0)),"")</f>
        <v/>
      </c>
      <c r="AG181">
        <f>IF(AND(AE181&lt;&gt;"",AF181&lt;&gt;""),ROUNDUP((AF181-AE181)/7,0),"")</f>
        <v/>
      </c>
      <c r="AI181">
        <f>IFERROR(IF(AG181*AH181=0,"",AG181*AH181),"")</f>
        <v/>
      </c>
      <c r="AL181">
        <f>IF(AND(AJ181&lt;&gt;"",AK181&lt;&gt;""),ROUNDUP((AK181-AJ181)/7,0),"")</f>
        <v/>
      </c>
      <c r="AN181">
        <f>IFERROR(IF(AL181*AM181=0,"",AL181*AM181),"")</f>
        <v/>
      </c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L181">
        <f>IFERROR(INDEX('_names_lookup'!$C:$C,MATCH(BK181,'_names_lookup'!$A:$A,0)),"")</f>
        <v/>
      </c>
      <c r="BM181">
        <f>IFERROR(INDEX('_names_lookup'!$B:$B,MATCH(BK181,'_names_lookup'!$A:$A,0)),"")</f>
        <v/>
      </c>
      <c r="BS181">
        <f>IFERROR(IF(BR181*AA181=0,"",BR181*AA181),"")</f>
        <v/>
      </c>
    </row>
    <row r="182">
      <c r="O182">
        <f>IFERROR(INDEX('_courses_lookup'!$C:$C,MATCH(K182&amp;L182,'_courses_lookup'!$E:$E,0)),"")</f>
        <v/>
      </c>
      <c r="P182">
        <f>IFERROR(INDEX('_courses_lookup'!$D:$D,MATCH(K182&amp;L182,'_courses_lookup'!$E:$E,0)),"")</f>
        <v/>
      </c>
      <c r="AG182">
        <f>IF(AND(AE182&lt;&gt;"",AF182&lt;&gt;""),ROUNDUP((AF182-AE182)/7,0),"")</f>
        <v/>
      </c>
      <c r="AI182">
        <f>IFERROR(IF(AG182*AH182=0,"",AG182*AH182),"")</f>
        <v/>
      </c>
      <c r="AL182">
        <f>IF(AND(AJ182&lt;&gt;"",AK182&lt;&gt;""),ROUNDUP((AK182-AJ182)/7,0),"")</f>
        <v/>
      </c>
      <c r="AN182">
        <f>IFERROR(IF(AL182*AM182=0,"",AL182*AM182),"")</f>
        <v/>
      </c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L182">
        <f>IFERROR(INDEX('_names_lookup'!$C:$C,MATCH(BK182,'_names_lookup'!$A:$A,0)),"")</f>
        <v/>
      </c>
      <c r="BM182">
        <f>IFERROR(INDEX('_names_lookup'!$B:$B,MATCH(BK182,'_names_lookup'!$A:$A,0)),"")</f>
        <v/>
      </c>
      <c r="BS182">
        <f>IFERROR(IF(BR182*AA182=0,"",BR182*AA182),"")</f>
        <v/>
      </c>
    </row>
    <row r="183">
      <c r="O183">
        <f>IFERROR(INDEX('_courses_lookup'!$C:$C,MATCH(K183&amp;L183,'_courses_lookup'!$E:$E,0)),"")</f>
        <v/>
      </c>
      <c r="P183">
        <f>IFERROR(INDEX('_courses_lookup'!$D:$D,MATCH(K183&amp;L183,'_courses_lookup'!$E:$E,0)),"")</f>
        <v/>
      </c>
      <c r="AG183">
        <f>IF(AND(AE183&lt;&gt;"",AF183&lt;&gt;""),ROUNDUP((AF183-AE183)/7,0),"")</f>
        <v/>
      </c>
      <c r="AI183">
        <f>IFERROR(IF(AG183*AH183=0,"",AG183*AH183),"")</f>
        <v/>
      </c>
      <c r="AL183">
        <f>IF(AND(AJ183&lt;&gt;"",AK183&lt;&gt;""),ROUNDUP((AK183-AJ183)/7,0),"")</f>
        <v/>
      </c>
      <c r="AN183">
        <f>IFERROR(IF(AL183*AM183=0,"",AL183*AM183),"")</f>
        <v/>
      </c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L183">
        <f>IFERROR(INDEX('_names_lookup'!$C:$C,MATCH(BK183,'_names_lookup'!$A:$A,0)),"")</f>
        <v/>
      </c>
      <c r="BM183">
        <f>IFERROR(INDEX('_names_lookup'!$B:$B,MATCH(BK183,'_names_lookup'!$A:$A,0)),"")</f>
        <v/>
      </c>
      <c r="BS183">
        <f>IFERROR(IF(BR183*AA183=0,"",BR183*AA183),"")</f>
        <v/>
      </c>
    </row>
    <row r="184">
      <c r="O184">
        <f>IFERROR(INDEX('_courses_lookup'!$C:$C,MATCH(K184&amp;L184,'_courses_lookup'!$E:$E,0)),"")</f>
        <v/>
      </c>
      <c r="P184">
        <f>IFERROR(INDEX('_courses_lookup'!$D:$D,MATCH(K184&amp;L184,'_courses_lookup'!$E:$E,0)),"")</f>
        <v/>
      </c>
      <c r="AG184">
        <f>IF(AND(AE184&lt;&gt;"",AF184&lt;&gt;""),ROUNDUP((AF184-AE184)/7,0),"")</f>
        <v/>
      </c>
      <c r="AI184">
        <f>IFERROR(IF(AG184*AH184=0,"",AG184*AH184),"")</f>
        <v/>
      </c>
      <c r="AL184">
        <f>IF(AND(AJ184&lt;&gt;"",AK184&lt;&gt;""),ROUNDUP((AK184-AJ184)/7,0),"")</f>
        <v/>
      </c>
      <c r="AN184">
        <f>IFERROR(IF(AL184*AM184=0,"",AL184*AM184),"")</f>
        <v/>
      </c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L184">
        <f>IFERROR(INDEX('_names_lookup'!$C:$C,MATCH(BK184,'_names_lookup'!$A:$A,0)),"")</f>
        <v/>
      </c>
      <c r="BM184">
        <f>IFERROR(INDEX('_names_lookup'!$B:$B,MATCH(BK184,'_names_lookup'!$A:$A,0)),"")</f>
        <v/>
      </c>
      <c r="BS184">
        <f>IFERROR(IF(BR184*AA184=0,"",BR184*AA184),"")</f>
        <v/>
      </c>
    </row>
    <row r="185">
      <c r="O185">
        <f>IFERROR(INDEX('_courses_lookup'!$C:$C,MATCH(K185&amp;L185,'_courses_lookup'!$E:$E,0)),"")</f>
        <v/>
      </c>
      <c r="P185">
        <f>IFERROR(INDEX('_courses_lookup'!$D:$D,MATCH(K185&amp;L185,'_courses_lookup'!$E:$E,0)),"")</f>
        <v/>
      </c>
      <c r="AG185">
        <f>IF(AND(AE185&lt;&gt;"",AF185&lt;&gt;""),ROUNDUP((AF185-AE185)/7,0),"")</f>
        <v/>
      </c>
      <c r="AI185">
        <f>IFERROR(IF(AG185*AH185=0,"",AG185*AH185),"")</f>
        <v/>
      </c>
      <c r="AL185">
        <f>IF(AND(AJ185&lt;&gt;"",AK185&lt;&gt;""),ROUNDUP((AK185-AJ185)/7,0),"")</f>
        <v/>
      </c>
      <c r="AN185">
        <f>IFERROR(IF(AL185*AM185=0,"",AL185*AM185),"")</f>
        <v/>
      </c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L185">
        <f>IFERROR(INDEX('_names_lookup'!$C:$C,MATCH(BK185,'_names_lookup'!$A:$A,0)),"")</f>
        <v/>
      </c>
      <c r="BM185">
        <f>IFERROR(INDEX('_names_lookup'!$B:$B,MATCH(BK185,'_names_lookup'!$A:$A,0)),"")</f>
        <v/>
      </c>
      <c r="BS185">
        <f>IFERROR(IF(BR185*AA185=0,"",BR185*AA185),"")</f>
        <v/>
      </c>
    </row>
    <row r="186">
      <c r="O186">
        <f>IFERROR(INDEX('_courses_lookup'!$C:$C,MATCH(K186&amp;L186,'_courses_lookup'!$E:$E,0)),"")</f>
        <v/>
      </c>
      <c r="P186">
        <f>IFERROR(INDEX('_courses_lookup'!$D:$D,MATCH(K186&amp;L186,'_courses_lookup'!$E:$E,0)),"")</f>
        <v/>
      </c>
      <c r="AG186">
        <f>IF(AND(AE186&lt;&gt;"",AF186&lt;&gt;""),ROUNDUP((AF186-AE186)/7,0),"")</f>
        <v/>
      </c>
      <c r="AI186">
        <f>IFERROR(IF(AG186*AH186=0,"",AG186*AH186),"")</f>
        <v/>
      </c>
      <c r="AL186">
        <f>IF(AND(AJ186&lt;&gt;"",AK186&lt;&gt;""),ROUNDUP((AK186-AJ186)/7,0),"")</f>
        <v/>
      </c>
      <c r="AN186">
        <f>IFERROR(IF(AL186*AM186=0,"",AL186*AM186),"")</f>
        <v/>
      </c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L186">
        <f>IFERROR(INDEX('_names_lookup'!$C:$C,MATCH(BK186,'_names_lookup'!$A:$A,0)),"")</f>
        <v/>
      </c>
      <c r="BM186">
        <f>IFERROR(INDEX('_names_lookup'!$B:$B,MATCH(BK186,'_names_lookup'!$A:$A,0)),"")</f>
        <v/>
      </c>
      <c r="BS186">
        <f>IFERROR(IF(BR186*AA186=0,"",BR186*AA186),"")</f>
        <v/>
      </c>
    </row>
    <row r="187">
      <c r="O187">
        <f>IFERROR(INDEX('_courses_lookup'!$C:$C,MATCH(K187&amp;L187,'_courses_lookup'!$E:$E,0)),"")</f>
        <v/>
      </c>
      <c r="P187">
        <f>IFERROR(INDEX('_courses_lookup'!$D:$D,MATCH(K187&amp;L187,'_courses_lookup'!$E:$E,0)),"")</f>
        <v/>
      </c>
      <c r="AG187">
        <f>IF(AND(AE187&lt;&gt;"",AF187&lt;&gt;""),ROUNDUP((AF187-AE187)/7,0),"")</f>
        <v/>
      </c>
      <c r="AI187">
        <f>IFERROR(IF(AG187*AH187=0,"",AG187*AH187),"")</f>
        <v/>
      </c>
      <c r="AL187">
        <f>IF(AND(AJ187&lt;&gt;"",AK187&lt;&gt;""),ROUNDUP((AK187-AJ187)/7,0),"")</f>
        <v/>
      </c>
      <c r="AN187">
        <f>IFERROR(IF(AL187*AM187=0,"",AL187*AM187),"")</f>
        <v/>
      </c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L187">
        <f>IFERROR(INDEX('_names_lookup'!$C:$C,MATCH(BK187,'_names_lookup'!$A:$A,0)),"")</f>
        <v/>
      </c>
      <c r="BM187">
        <f>IFERROR(INDEX('_names_lookup'!$B:$B,MATCH(BK187,'_names_lookup'!$A:$A,0)),"")</f>
        <v/>
      </c>
      <c r="BS187">
        <f>IFERROR(IF(BR187*AA187=0,"",BR187*AA187),"")</f>
        <v/>
      </c>
    </row>
    <row r="188">
      <c r="O188">
        <f>IFERROR(INDEX('_courses_lookup'!$C:$C,MATCH(K188&amp;L188,'_courses_lookup'!$E:$E,0)),"")</f>
        <v/>
      </c>
      <c r="P188">
        <f>IFERROR(INDEX('_courses_lookup'!$D:$D,MATCH(K188&amp;L188,'_courses_lookup'!$E:$E,0)),"")</f>
        <v/>
      </c>
      <c r="AG188">
        <f>IF(AND(AE188&lt;&gt;"",AF188&lt;&gt;""),ROUNDUP((AF188-AE188)/7,0),"")</f>
        <v/>
      </c>
      <c r="AI188">
        <f>IFERROR(IF(AG188*AH188=0,"",AG188*AH188),"")</f>
        <v/>
      </c>
      <c r="AL188">
        <f>IF(AND(AJ188&lt;&gt;"",AK188&lt;&gt;""),ROUNDUP((AK188-AJ188)/7,0),"")</f>
        <v/>
      </c>
      <c r="AN188">
        <f>IFERROR(IF(AL188*AM188=0,"",AL188*AM188),"")</f>
        <v/>
      </c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L188">
        <f>IFERROR(INDEX('_names_lookup'!$C:$C,MATCH(BK188,'_names_lookup'!$A:$A,0)),"")</f>
        <v/>
      </c>
      <c r="BM188">
        <f>IFERROR(INDEX('_names_lookup'!$B:$B,MATCH(BK188,'_names_lookup'!$A:$A,0)),"")</f>
        <v/>
      </c>
      <c r="BS188">
        <f>IFERROR(IF(BR188*AA188=0,"",BR188*AA188),"")</f>
        <v/>
      </c>
    </row>
    <row r="189">
      <c r="O189">
        <f>IFERROR(INDEX('_courses_lookup'!$C:$C,MATCH(K189&amp;L189,'_courses_lookup'!$E:$E,0)),"")</f>
        <v/>
      </c>
      <c r="P189">
        <f>IFERROR(INDEX('_courses_lookup'!$D:$D,MATCH(K189&amp;L189,'_courses_lookup'!$E:$E,0)),"")</f>
        <v/>
      </c>
      <c r="AG189">
        <f>IF(AND(AE189&lt;&gt;"",AF189&lt;&gt;""),ROUNDUP((AF189-AE189)/7,0),"")</f>
        <v/>
      </c>
      <c r="AI189">
        <f>IFERROR(IF(AG189*AH189=0,"",AG189*AH189),"")</f>
        <v/>
      </c>
      <c r="AL189">
        <f>IF(AND(AJ189&lt;&gt;"",AK189&lt;&gt;""),ROUNDUP((AK189-AJ189)/7,0),"")</f>
        <v/>
      </c>
      <c r="AN189">
        <f>IFERROR(IF(AL189*AM189=0,"",AL189*AM189),"")</f>
        <v/>
      </c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L189">
        <f>IFERROR(INDEX('_names_lookup'!$C:$C,MATCH(BK189,'_names_lookup'!$A:$A,0)),"")</f>
        <v/>
      </c>
      <c r="BM189">
        <f>IFERROR(INDEX('_names_lookup'!$B:$B,MATCH(BK189,'_names_lookup'!$A:$A,0)),"")</f>
        <v/>
      </c>
      <c r="BS189">
        <f>IFERROR(IF(BR189*AA189=0,"",BR189*AA189),"")</f>
        <v/>
      </c>
    </row>
    <row r="190">
      <c r="O190">
        <f>IFERROR(INDEX('_courses_lookup'!$C:$C,MATCH(K190&amp;L190,'_courses_lookup'!$E:$E,0)),"")</f>
        <v/>
      </c>
      <c r="P190">
        <f>IFERROR(INDEX('_courses_lookup'!$D:$D,MATCH(K190&amp;L190,'_courses_lookup'!$E:$E,0)),"")</f>
        <v/>
      </c>
      <c r="AG190">
        <f>IF(AND(AE190&lt;&gt;"",AF190&lt;&gt;""),ROUNDUP((AF190-AE190)/7,0),"")</f>
        <v/>
      </c>
      <c r="AI190">
        <f>IFERROR(IF(AG190*AH190=0,"",AG190*AH190),"")</f>
        <v/>
      </c>
      <c r="AL190">
        <f>IF(AND(AJ190&lt;&gt;"",AK190&lt;&gt;""),ROUNDUP((AK190-AJ190)/7,0),"")</f>
        <v/>
      </c>
      <c r="AN190">
        <f>IFERROR(IF(AL190*AM190=0,"",AL190*AM190),"")</f>
        <v/>
      </c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L190">
        <f>IFERROR(INDEX('_names_lookup'!$C:$C,MATCH(BK190,'_names_lookup'!$A:$A,0)),"")</f>
        <v/>
      </c>
      <c r="BM190">
        <f>IFERROR(INDEX('_names_lookup'!$B:$B,MATCH(BK190,'_names_lookup'!$A:$A,0)),"")</f>
        <v/>
      </c>
      <c r="BS190">
        <f>IFERROR(IF(BR190*AA190=0,"",BR190*AA190),"")</f>
        <v/>
      </c>
    </row>
    <row r="191">
      <c r="O191">
        <f>IFERROR(INDEX('_courses_lookup'!$C:$C,MATCH(K191&amp;L191,'_courses_lookup'!$E:$E,0)),"")</f>
        <v/>
      </c>
      <c r="P191">
        <f>IFERROR(INDEX('_courses_lookup'!$D:$D,MATCH(K191&amp;L191,'_courses_lookup'!$E:$E,0)),"")</f>
        <v/>
      </c>
      <c r="AG191">
        <f>IF(AND(AE191&lt;&gt;"",AF191&lt;&gt;""),ROUNDUP((AF191-AE191)/7,0),"")</f>
        <v/>
      </c>
      <c r="AI191">
        <f>IFERROR(IF(AG191*AH191=0,"",AG191*AH191),"")</f>
        <v/>
      </c>
      <c r="AL191">
        <f>IF(AND(AJ191&lt;&gt;"",AK191&lt;&gt;""),ROUNDUP((AK191-AJ191)/7,0),"")</f>
        <v/>
      </c>
      <c r="AN191">
        <f>IFERROR(IF(AL191*AM191=0,"",AL191*AM191),"")</f>
        <v/>
      </c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L191">
        <f>IFERROR(INDEX('_names_lookup'!$C:$C,MATCH(BK191,'_names_lookup'!$A:$A,0)),"")</f>
        <v/>
      </c>
      <c r="BM191">
        <f>IFERROR(INDEX('_names_lookup'!$B:$B,MATCH(BK191,'_names_lookup'!$A:$A,0)),"")</f>
        <v/>
      </c>
      <c r="BS191">
        <f>IFERROR(IF(BR191*AA191=0,"",BR191*AA191),"")</f>
        <v/>
      </c>
    </row>
    <row r="192">
      <c r="O192">
        <f>IFERROR(INDEX('_courses_lookup'!$C:$C,MATCH(K192&amp;L192,'_courses_lookup'!$E:$E,0)),"")</f>
        <v/>
      </c>
      <c r="P192">
        <f>IFERROR(INDEX('_courses_lookup'!$D:$D,MATCH(K192&amp;L192,'_courses_lookup'!$E:$E,0)),"")</f>
        <v/>
      </c>
      <c r="AG192">
        <f>IF(AND(AE192&lt;&gt;"",AF192&lt;&gt;""),ROUNDUP((AF192-AE192)/7,0),"")</f>
        <v/>
      </c>
      <c r="AI192">
        <f>IFERROR(IF(AG192*AH192=0,"",AG192*AH192),"")</f>
        <v/>
      </c>
      <c r="AL192">
        <f>IF(AND(AJ192&lt;&gt;"",AK192&lt;&gt;""),ROUNDUP((AK192-AJ192)/7,0),"")</f>
        <v/>
      </c>
      <c r="AN192">
        <f>IFERROR(IF(AL192*AM192=0,"",AL192*AM192),"")</f>
        <v/>
      </c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L192">
        <f>IFERROR(INDEX('_names_lookup'!$C:$C,MATCH(BK192,'_names_lookup'!$A:$A,0)),"")</f>
        <v/>
      </c>
      <c r="BM192">
        <f>IFERROR(INDEX('_names_lookup'!$B:$B,MATCH(BK192,'_names_lookup'!$A:$A,0)),"")</f>
        <v/>
      </c>
      <c r="BS192">
        <f>IFERROR(IF(BR192*AA192=0,"",BR192*AA192),"")</f>
        <v/>
      </c>
    </row>
    <row r="193">
      <c r="O193">
        <f>IFERROR(INDEX('_courses_lookup'!$C:$C,MATCH(K193&amp;L193,'_courses_lookup'!$E:$E,0)),"")</f>
        <v/>
      </c>
      <c r="P193">
        <f>IFERROR(INDEX('_courses_lookup'!$D:$D,MATCH(K193&amp;L193,'_courses_lookup'!$E:$E,0)),"")</f>
        <v/>
      </c>
      <c r="AG193">
        <f>IF(AND(AE193&lt;&gt;"",AF193&lt;&gt;""),ROUNDUP((AF193-AE193)/7,0),"")</f>
        <v/>
      </c>
      <c r="AI193">
        <f>IFERROR(IF(AG193*AH193=0,"",AG193*AH193),"")</f>
        <v/>
      </c>
      <c r="AL193">
        <f>IF(AND(AJ193&lt;&gt;"",AK193&lt;&gt;""),ROUNDUP((AK193-AJ193)/7,0),"")</f>
        <v/>
      </c>
      <c r="AN193">
        <f>IFERROR(IF(AL193*AM193=0,"",AL193*AM193),"")</f>
        <v/>
      </c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L193">
        <f>IFERROR(INDEX('_names_lookup'!$C:$C,MATCH(BK193,'_names_lookup'!$A:$A,0)),"")</f>
        <v/>
      </c>
      <c r="BM193">
        <f>IFERROR(INDEX('_names_lookup'!$B:$B,MATCH(BK193,'_names_lookup'!$A:$A,0)),"")</f>
        <v/>
      </c>
      <c r="BS193">
        <f>IFERROR(IF(BR193*AA193=0,"",BR193*AA193),"")</f>
        <v/>
      </c>
    </row>
    <row r="194">
      <c r="O194">
        <f>IFERROR(INDEX('_courses_lookup'!$C:$C,MATCH(K194&amp;L194,'_courses_lookup'!$E:$E,0)),"")</f>
        <v/>
      </c>
      <c r="P194">
        <f>IFERROR(INDEX('_courses_lookup'!$D:$D,MATCH(K194&amp;L194,'_courses_lookup'!$E:$E,0)),"")</f>
        <v/>
      </c>
      <c r="AG194">
        <f>IF(AND(AE194&lt;&gt;"",AF194&lt;&gt;""),ROUNDUP((AF194-AE194)/7,0),"")</f>
        <v/>
      </c>
      <c r="AI194">
        <f>IFERROR(IF(AG194*AH194=0,"",AG194*AH194),"")</f>
        <v/>
      </c>
      <c r="AL194">
        <f>IF(AND(AJ194&lt;&gt;"",AK194&lt;&gt;""),ROUNDUP((AK194-AJ194)/7,0),"")</f>
        <v/>
      </c>
      <c r="AN194">
        <f>IFERROR(IF(AL194*AM194=0,"",AL194*AM194),"")</f>
        <v/>
      </c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L194">
        <f>IFERROR(INDEX('_names_lookup'!$C:$C,MATCH(BK194,'_names_lookup'!$A:$A,0)),"")</f>
        <v/>
      </c>
      <c r="BM194">
        <f>IFERROR(INDEX('_names_lookup'!$B:$B,MATCH(BK194,'_names_lookup'!$A:$A,0)),"")</f>
        <v/>
      </c>
      <c r="BS194">
        <f>IFERROR(IF(BR194*AA194=0,"",BR194*AA194),"")</f>
        <v/>
      </c>
    </row>
    <row r="195">
      <c r="O195">
        <f>IFERROR(INDEX('_courses_lookup'!$C:$C,MATCH(K195&amp;L195,'_courses_lookup'!$E:$E,0)),"")</f>
        <v/>
      </c>
      <c r="P195">
        <f>IFERROR(INDEX('_courses_lookup'!$D:$D,MATCH(K195&amp;L195,'_courses_lookup'!$E:$E,0)),"")</f>
        <v/>
      </c>
      <c r="AG195">
        <f>IF(AND(AE195&lt;&gt;"",AF195&lt;&gt;""),ROUNDUP((AF195-AE195)/7,0),"")</f>
        <v/>
      </c>
      <c r="AI195">
        <f>IFERROR(IF(AG195*AH195=0,"",AG195*AH195),"")</f>
        <v/>
      </c>
      <c r="AL195">
        <f>IF(AND(AJ195&lt;&gt;"",AK195&lt;&gt;""),ROUNDUP((AK195-AJ195)/7,0),"")</f>
        <v/>
      </c>
      <c r="AN195">
        <f>IFERROR(IF(AL195*AM195=0,"",AL195*AM195),"")</f>
        <v/>
      </c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L195">
        <f>IFERROR(INDEX('_names_lookup'!$C:$C,MATCH(BK195,'_names_lookup'!$A:$A,0)),"")</f>
        <v/>
      </c>
      <c r="BM195">
        <f>IFERROR(INDEX('_names_lookup'!$B:$B,MATCH(BK195,'_names_lookup'!$A:$A,0)),"")</f>
        <v/>
      </c>
      <c r="BS195">
        <f>IFERROR(IF(BR195*AA195=0,"",BR195*AA195),"")</f>
        <v/>
      </c>
    </row>
    <row r="196">
      <c r="O196">
        <f>IFERROR(INDEX('_courses_lookup'!$C:$C,MATCH(K196&amp;L196,'_courses_lookup'!$E:$E,0)),"")</f>
        <v/>
      </c>
      <c r="P196">
        <f>IFERROR(INDEX('_courses_lookup'!$D:$D,MATCH(K196&amp;L196,'_courses_lookup'!$E:$E,0)),"")</f>
        <v/>
      </c>
      <c r="AG196">
        <f>IF(AND(AE196&lt;&gt;"",AF196&lt;&gt;""),ROUNDUP((AF196-AE196)/7,0),"")</f>
        <v/>
      </c>
      <c r="AI196">
        <f>IFERROR(IF(AG196*AH196=0,"",AG196*AH196),"")</f>
        <v/>
      </c>
      <c r="AL196">
        <f>IF(AND(AJ196&lt;&gt;"",AK196&lt;&gt;""),ROUNDUP((AK196-AJ196)/7,0),"")</f>
        <v/>
      </c>
      <c r="AN196">
        <f>IFERROR(IF(AL196*AM196=0,"",AL196*AM196),"")</f>
        <v/>
      </c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L196">
        <f>IFERROR(INDEX('_names_lookup'!$C:$C,MATCH(BK196,'_names_lookup'!$A:$A,0)),"")</f>
        <v/>
      </c>
      <c r="BM196">
        <f>IFERROR(INDEX('_names_lookup'!$B:$B,MATCH(BK196,'_names_lookup'!$A:$A,0)),"")</f>
        <v/>
      </c>
      <c r="BS196">
        <f>IFERROR(IF(BR196*AA196=0,"",BR196*AA196),"")</f>
        <v/>
      </c>
    </row>
    <row r="197">
      <c r="O197">
        <f>IFERROR(INDEX('_courses_lookup'!$C:$C,MATCH(K197&amp;L197,'_courses_lookup'!$E:$E,0)),"")</f>
        <v/>
      </c>
      <c r="P197">
        <f>IFERROR(INDEX('_courses_lookup'!$D:$D,MATCH(K197&amp;L197,'_courses_lookup'!$E:$E,0)),"")</f>
        <v/>
      </c>
      <c r="AG197">
        <f>IF(AND(AE197&lt;&gt;"",AF197&lt;&gt;""),ROUNDUP((AF197-AE197)/7,0),"")</f>
        <v/>
      </c>
      <c r="AI197">
        <f>IFERROR(IF(AG197*AH197=0,"",AG197*AH197),"")</f>
        <v/>
      </c>
      <c r="AL197">
        <f>IF(AND(AJ197&lt;&gt;"",AK197&lt;&gt;""),ROUNDUP((AK197-AJ197)/7,0),"")</f>
        <v/>
      </c>
      <c r="AN197">
        <f>IFERROR(IF(AL197*AM197=0,"",AL197*AM197),"")</f>
        <v/>
      </c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L197">
        <f>IFERROR(INDEX('_names_lookup'!$C:$C,MATCH(BK197,'_names_lookup'!$A:$A,0)),"")</f>
        <v/>
      </c>
      <c r="BM197">
        <f>IFERROR(INDEX('_names_lookup'!$B:$B,MATCH(BK197,'_names_lookup'!$A:$A,0)),"")</f>
        <v/>
      </c>
      <c r="BS197">
        <f>IFERROR(IF(BR197*AA197=0,"",BR197*AA197),"")</f>
        <v/>
      </c>
    </row>
    <row r="198">
      <c r="O198">
        <f>IFERROR(INDEX('_courses_lookup'!$C:$C,MATCH(K198&amp;L198,'_courses_lookup'!$E:$E,0)),"")</f>
        <v/>
      </c>
      <c r="P198">
        <f>IFERROR(INDEX('_courses_lookup'!$D:$D,MATCH(K198&amp;L198,'_courses_lookup'!$E:$E,0)),"")</f>
        <v/>
      </c>
      <c r="AG198">
        <f>IF(AND(AE198&lt;&gt;"",AF198&lt;&gt;""),ROUNDUP((AF198-AE198)/7,0),"")</f>
        <v/>
      </c>
      <c r="AI198">
        <f>IFERROR(IF(AG198*AH198=0,"",AG198*AH198),"")</f>
        <v/>
      </c>
      <c r="AL198">
        <f>IF(AND(AJ198&lt;&gt;"",AK198&lt;&gt;""),ROUNDUP((AK198-AJ198)/7,0),"")</f>
        <v/>
      </c>
      <c r="AN198">
        <f>IFERROR(IF(AL198*AM198=0,"",AL198*AM198),"")</f>
        <v/>
      </c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L198">
        <f>IFERROR(INDEX('_names_lookup'!$C:$C,MATCH(BK198,'_names_lookup'!$A:$A,0)),"")</f>
        <v/>
      </c>
      <c r="BM198">
        <f>IFERROR(INDEX('_names_lookup'!$B:$B,MATCH(BK198,'_names_lookup'!$A:$A,0)),"")</f>
        <v/>
      </c>
      <c r="BS198">
        <f>IFERROR(IF(BR198*AA198=0,"",BR198*AA198),"")</f>
        <v/>
      </c>
    </row>
    <row r="199">
      <c r="O199">
        <f>IFERROR(INDEX('_courses_lookup'!$C:$C,MATCH(K199&amp;L199,'_courses_lookup'!$E:$E,0)),"")</f>
        <v/>
      </c>
      <c r="P199">
        <f>IFERROR(INDEX('_courses_lookup'!$D:$D,MATCH(K199&amp;L199,'_courses_lookup'!$E:$E,0)),"")</f>
        <v/>
      </c>
      <c r="AG199">
        <f>IF(AND(AE199&lt;&gt;"",AF199&lt;&gt;""),ROUNDUP((AF199-AE199)/7,0),"")</f>
        <v/>
      </c>
      <c r="AI199">
        <f>IFERROR(IF(AG199*AH199=0,"",AG199*AH199),"")</f>
        <v/>
      </c>
      <c r="AL199">
        <f>IF(AND(AJ199&lt;&gt;"",AK199&lt;&gt;""),ROUNDUP((AK199-AJ199)/7,0),"")</f>
        <v/>
      </c>
      <c r="AN199">
        <f>IFERROR(IF(AL199*AM199=0,"",AL199*AM199),"")</f>
        <v/>
      </c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L199">
        <f>IFERROR(INDEX('_names_lookup'!$C:$C,MATCH(BK199,'_names_lookup'!$A:$A,0)),"")</f>
        <v/>
      </c>
      <c r="BM199">
        <f>IFERROR(INDEX('_names_lookup'!$B:$B,MATCH(BK199,'_names_lookup'!$A:$A,0)),"")</f>
        <v/>
      </c>
      <c r="BS199">
        <f>IFERROR(IF(BR199*AA199=0,"",BR199*AA199),"")</f>
        <v/>
      </c>
    </row>
    <row r="200">
      <c r="O200">
        <f>IFERROR(INDEX('_courses_lookup'!$C:$C,MATCH(K200&amp;L200,'_courses_lookup'!$E:$E,0)),"")</f>
        <v/>
      </c>
      <c r="P200">
        <f>IFERROR(INDEX('_courses_lookup'!$D:$D,MATCH(K200&amp;L200,'_courses_lookup'!$E:$E,0)),"")</f>
        <v/>
      </c>
      <c r="AG200">
        <f>IF(AND(AE200&lt;&gt;"",AF200&lt;&gt;""),ROUNDUP((AF200-AE200)/7,0),"")</f>
        <v/>
      </c>
      <c r="AI200">
        <f>IFERROR(IF(AG200*AH200=0,"",AG200*AH200),"")</f>
        <v/>
      </c>
      <c r="AL200">
        <f>IF(AND(AJ200&lt;&gt;"",AK200&lt;&gt;""),ROUNDUP((AK200-AJ200)/7,0),"")</f>
        <v/>
      </c>
      <c r="AN200">
        <f>IFERROR(IF(AL200*AM200=0,"",AL200*AM200),"")</f>
        <v/>
      </c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L200">
        <f>IFERROR(INDEX('_names_lookup'!$C:$C,MATCH(BK200,'_names_lookup'!$A:$A,0)),"")</f>
        <v/>
      </c>
      <c r="BM200">
        <f>IFERROR(INDEX('_names_lookup'!$B:$B,MATCH(BK200,'_names_lookup'!$A:$A,0)),"")</f>
        <v/>
      </c>
      <c r="BS200">
        <f>IFERROR(IF(BR200*AA200=0,"",BR200*AA200),"")</f>
        <v/>
      </c>
    </row>
    <row r="201">
      <c r="O201">
        <f>IFERROR(INDEX('_courses_lookup'!$C:$C,MATCH(K201&amp;L201,'_courses_lookup'!$E:$E,0)),"")</f>
        <v/>
      </c>
      <c r="P201">
        <f>IFERROR(INDEX('_courses_lookup'!$D:$D,MATCH(K201&amp;L201,'_courses_lookup'!$E:$E,0)),"")</f>
        <v/>
      </c>
      <c r="AG201">
        <f>IF(AND(AE201&lt;&gt;"",AF201&lt;&gt;""),ROUNDUP((AF201-AE201)/7,0),"")</f>
        <v/>
      </c>
      <c r="AI201">
        <f>IFERROR(IF(AG201*AH201=0,"",AG201*AH201),"")</f>
        <v/>
      </c>
      <c r="AL201">
        <f>IF(AND(AJ201&lt;&gt;"",AK201&lt;&gt;""),ROUNDUP((AK201-AJ201)/7,0),"")</f>
        <v/>
      </c>
      <c r="AN201">
        <f>IFERROR(IF(AL201*AM201=0,"",AL201*AM201),"")</f>
        <v/>
      </c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L201">
        <f>IFERROR(INDEX('_names_lookup'!$C:$C,MATCH(BK201,'_names_lookup'!$A:$A,0)),"")</f>
        <v/>
      </c>
      <c r="BM201">
        <f>IFERROR(INDEX('_names_lookup'!$B:$B,MATCH(BK201,'_names_lookup'!$A:$A,0)),"")</f>
        <v/>
      </c>
      <c r="BS201">
        <f>IFERROR(IF(BR201*AA201=0,"",BR201*AA201),"")</f>
        <v/>
      </c>
    </row>
    <row r="202">
      <c r="O202">
        <f>IFERROR(INDEX('_courses_lookup'!$C:$C,MATCH(K202&amp;L202,'_courses_lookup'!$E:$E,0)),"")</f>
        <v/>
      </c>
      <c r="P202">
        <f>IFERROR(INDEX('_courses_lookup'!$D:$D,MATCH(K202&amp;L202,'_courses_lookup'!$E:$E,0)),"")</f>
        <v/>
      </c>
      <c r="AG202">
        <f>IF(AND(AE202&lt;&gt;"",AF202&lt;&gt;""),ROUNDUP((AF202-AE202)/7,0),"")</f>
        <v/>
      </c>
      <c r="AI202">
        <f>IFERROR(IF(AG202*AH202=0,"",AG202*AH202),"")</f>
        <v/>
      </c>
      <c r="AL202">
        <f>IF(AND(AJ202&lt;&gt;"",AK202&lt;&gt;""),ROUNDUP((AK202-AJ202)/7,0),"")</f>
        <v/>
      </c>
      <c r="AN202">
        <f>IFERROR(IF(AL202*AM202=0,"",AL202*AM202),"")</f>
        <v/>
      </c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L202">
        <f>IFERROR(INDEX('_names_lookup'!$C:$C,MATCH(BK202,'_names_lookup'!$A:$A,0)),"")</f>
        <v/>
      </c>
      <c r="BM202">
        <f>IFERROR(INDEX('_names_lookup'!$B:$B,MATCH(BK202,'_names_lookup'!$A:$A,0)),"")</f>
        <v/>
      </c>
      <c r="BS202">
        <f>IFERROR(IF(BR202*AA202=0,"",BR202*AA202),"")</f>
        <v/>
      </c>
    </row>
    <row r="203">
      <c r="O203">
        <f>IFERROR(INDEX('_courses_lookup'!$C:$C,MATCH(K203&amp;L203,'_courses_lookup'!$E:$E,0)),"")</f>
        <v/>
      </c>
      <c r="P203">
        <f>IFERROR(INDEX('_courses_lookup'!$D:$D,MATCH(K203&amp;L203,'_courses_lookup'!$E:$E,0)),"")</f>
        <v/>
      </c>
      <c r="AG203">
        <f>IF(AND(AE203&lt;&gt;"",AF203&lt;&gt;""),ROUNDUP((AF203-AE203)/7,0),"")</f>
        <v/>
      </c>
      <c r="AI203">
        <f>IFERROR(IF(AG203*AH203=0,"",AG203*AH203),"")</f>
        <v/>
      </c>
      <c r="AL203">
        <f>IF(AND(AJ203&lt;&gt;"",AK203&lt;&gt;""),ROUNDUP((AK203-AJ203)/7,0),"")</f>
        <v/>
      </c>
      <c r="AN203">
        <f>IFERROR(IF(AL203*AM203=0,"",AL203*AM203),"")</f>
        <v/>
      </c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L203">
        <f>IFERROR(INDEX('_names_lookup'!$C:$C,MATCH(BK203,'_names_lookup'!$A:$A,0)),"")</f>
        <v/>
      </c>
      <c r="BM203">
        <f>IFERROR(INDEX('_names_lookup'!$B:$B,MATCH(BK203,'_names_lookup'!$A:$A,0)),"")</f>
        <v/>
      </c>
      <c r="BS203">
        <f>IFERROR(IF(BR203*AA203=0,"",BR203*AA203),"")</f>
        <v/>
      </c>
    </row>
    <row r="204">
      <c r="O204">
        <f>IFERROR(INDEX('_courses_lookup'!$C:$C,MATCH(K204&amp;L204,'_courses_lookup'!$E:$E,0)),"")</f>
        <v/>
      </c>
      <c r="P204">
        <f>IFERROR(INDEX('_courses_lookup'!$D:$D,MATCH(K204&amp;L204,'_courses_lookup'!$E:$E,0)),"")</f>
        <v/>
      </c>
      <c r="AG204">
        <f>IF(AND(AE204&lt;&gt;"",AF204&lt;&gt;""),ROUNDUP((AF204-AE204)/7,0),"")</f>
        <v/>
      </c>
      <c r="AI204">
        <f>IFERROR(IF(AG204*AH204=0,"",AG204*AH204),"")</f>
        <v/>
      </c>
      <c r="AL204">
        <f>IF(AND(AJ204&lt;&gt;"",AK204&lt;&gt;""),ROUNDUP((AK204-AJ204)/7,0),"")</f>
        <v/>
      </c>
      <c r="AN204">
        <f>IFERROR(IF(AL204*AM204=0,"",AL204*AM204),"")</f>
        <v/>
      </c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L204">
        <f>IFERROR(INDEX('_names_lookup'!$C:$C,MATCH(BK204,'_names_lookup'!$A:$A,0)),"")</f>
        <v/>
      </c>
      <c r="BM204">
        <f>IFERROR(INDEX('_names_lookup'!$B:$B,MATCH(BK204,'_names_lookup'!$A:$A,0)),"")</f>
        <v/>
      </c>
      <c r="BS204">
        <f>IFERROR(IF(BR204*AA204=0,"",BR204*AA204),"")</f>
        <v/>
      </c>
    </row>
    <row r="205">
      <c r="O205">
        <f>IFERROR(INDEX('_courses_lookup'!$C:$C,MATCH(K205&amp;L205,'_courses_lookup'!$E:$E,0)),"")</f>
        <v/>
      </c>
      <c r="P205">
        <f>IFERROR(INDEX('_courses_lookup'!$D:$D,MATCH(K205&amp;L205,'_courses_lookup'!$E:$E,0)),"")</f>
        <v/>
      </c>
      <c r="AG205">
        <f>IF(AND(AE205&lt;&gt;"",AF205&lt;&gt;""),ROUNDUP((AF205-AE205)/7,0),"")</f>
        <v/>
      </c>
      <c r="AI205">
        <f>IFERROR(IF(AG205*AH205=0,"",AG205*AH205),"")</f>
        <v/>
      </c>
      <c r="AL205">
        <f>IF(AND(AJ205&lt;&gt;"",AK205&lt;&gt;""),ROUNDUP((AK205-AJ205)/7,0),"")</f>
        <v/>
      </c>
      <c r="AN205">
        <f>IFERROR(IF(AL205*AM205=0,"",AL205*AM205),"")</f>
        <v/>
      </c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L205">
        <f>IFERROR(INDEX('_names_lookup'!$C:$C,MATCH(BK205,'_names_lookup'!$A:$A,0)),"")</f>
        <v/>
      </c>
      <c r="BM205">
        <f>IFERROR(INDEX('_names_lookup'!$B:$B,MATCH(BK205,'_names_lookup'!$A:$A,0)),"")</f>
        <v/>
      </c>
      <c r="BS205">
        <f>IFERROR(IF(BR205*AA205=0,"",BR205*AA205),"")</f>
        <v/>
      </c>
    </row>
    <row r="206">
      <c r="O206">
        <f>IFERROR(INDEX('_courses_lookup'!$C:$C,MATCH(K206&amp;L206,'_courses_lookup'!$E:$E,0)),"")</f>
        <v/>
      </c>
      <c r="P206">
        <f>IFERROR(INDEX('_courses_lookup'!$D:$D,MATCH(K206&amp;L206,'_courses_lookup'!$E:$E,0)),"")</f>
        <v/>
      </c>
      <c r="AG206">
        <f>IF(AND(AE206&lt;&gt;"",AF206&lt;&gt;""),ROUNDUP((AF206-AE206)/7,0),"")</f>
        <v/>
      </c>
      <c r="AI206">
        <f>IFERROR(IF(AG206*AH206=0,"",AG206*AH206),"")</f>
        <v/>
      </c>
      <c r="AL206">
        <f>IF(AND(AJ206&lt;&gt;"",AK206&lt;&gt;""),ROUNDUP((AK206-AJ206)/7,0),"")</f>
        <v/>
      </c>
      <c r="AN206">
        <f>IFERROR(IF(AL206*AM206=0,"",AL206*AM206),"")</f>
        <v/>
      </c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L206">
        <f>IFERROR(INDEX('_names_lookup'!$C:$C,MATCH(BK206,'_names_lookup'!$A:$A,0)),"")</f>
        <v/>
      </c>
      <c r="BM206">
        <f>IFERROR(INDEX('_names_lookup'!$B:$B,MATCH(BK206,'_names_lookup'!$A:$A,0)),"")</f>
        <v/>
      </c>
      <c r="BS206">
        <f>IFERROR(IF(BR206*AA206=0,"",BR206*AA206),"")</f>
        <v/>
      </c>
    </row>
    <row r="207">
      <c r="O207">
        <f>IFERROR(INDEX('_courses_lookup'!$C:$C,MATCH(K207&amp;L207,'_courses_lookup'!$E:$E,0)),"")</f>
        <v/>
      </c>
      <c r="P207">
        <f>IFERROR(INDEX('_courses_lookup'!$D:$D,MATCH(K207&amp;L207,'_courses_lookup'!$E:$E,0)),"")</f>
        <v/>
      </c>
      <c r="AG207">
        <f>IF(AND(AE207&lt;&gt;"",AF207&lt;&gt;""),ROUNDUP((AF207-AE207)/7,0),"")</f>
        <v/>
      </c>
      <c r="AI207">
        <f>IFERROR(IF(AG207*AH207=0,"",AG207*AH207),"")</f>
        <v/>
      </c>
      <c r="AL207">
        <f>IF(AND(AJ207&lt;&gt;"",AK207&lt;&gt;""),ROUNDUP((AK207-AJ207)/7,0),"")</f>
        <v/>
      </c>
      <c r="AN207">
        <f>IFERROR(IF(AL207*AM207=0,"",AL207*AM207),"")</f>
        <v/>
      </c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L207">
        <f>IFERROR(INDEX('_names_lookup'!$C:$C,MATCH(BK207,'_names_lookup'!$A:$A,0)),"")</f>
        <v/>
      </c>
      <c r="BM207">
        <f>IFERROR(INDEX('_names_lookup'!$B:$B,MATCH(BK207,'_names_lookup'!$A:$A,0)),"")</f>
        <v/>
      </c>
      <c r="BS207">
        <f>IFERROR(IF(BR207*AA207=0,"",BR207*AA207),"")</f>
        <v/>
      </c>
    </row>
    <row r="208">
      <c r="O208">
        <f>IFERROR(INDEX('_courses_lookup'!$C:$C,MATCH(K208&amp;L208,'_courses_lookup'!$E:$E,0)),"")</f>
        <v/>
      </c>
      <c r="P208">
        <f>IFERROR(INDEX('_courses_lookup'!$D:$D,MATCH(K208&amp;L208,'_courses_lookup'!$E:$E,0)),"")</f>
        <v/>
      </c>
      <c r="AG208">
        <f>IF(AND(AE208&lt;&gt;"",AF208&lt;&gt;""),ROUNDUP((AF208-AE208)/7,0),"")</f>
        <v/>
      </c>
      <c r="AI208">
        <f>IFERROR(IF(AG208*AH208=0,"",AG208*AH208),"")</f>
        <v/>
      </c>
      <c r="AL208">
        <f>IF(AND(AJ208&lt;&gt;"",AK208&lt;&gt;""),ROUNDUP((AK208-AJ208)/7,0),"")</f>
        <v/>
      </c>
      <c r="AN208">
        <f>IFERROR(IF(AL208*AM208=0,"",AL208*AM208),"")</f>
        <v/>
      </c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L208">
        <f>IFERROR(INDEX('_names_lookup'!$C:$C,MATCH(BK208,'_names_lookup'!$A:$A,0)),"")</f>
        <v/>
      </c>
      <c r="BM208">
        <f>IFERROR(INDEX('_names_lookup'!$B:$B,MATCH(BK208,'_names_lookup'!$A:$A,0)),"")</f>
        <v/>
      </c>
      <c r="BS208">
        <f>IFERROR(IF(BR208*AA208=0,"",BR208*AA208),"")</f>
        <v/>
      </c>
    </row>
    <row r="209">
      <c r="O209">
        <f>IFERROR(INDEX('_courses_lookup'!$C:$C,MATCH(K209&amp;L209,'_courses_lookup'!$E:$E,0)),"")</f>
        <v/>
      </c>
      <c r="P209">
        <f>IFERROR(INDEX('_courses_lookup'!$D:$D,MATCH(K209&amp;L209,'_courses_lookup'!$E:$E,0)),"")</f>
        <v/>
      </c>
      <c r="AG209">
        <f>IF(AND(AE209&lt;&gt;"",AF209&lt;&gt;""),ROUNDUP((AF209-AE209)/7,0),"")</f>
        <v/>
      </c>
      <c r="AI209">
        <f>IFERROR(IF(AG209*AH209=0,"",AG209*AH209),"")</f>
        <v/>
      </c>
      <c r="AL209">
        <f>IF(AND(AJ209&lt;&gt;"",AK209&lt;&gt;""),ROUNDUP((AK209-AJ209)/7,0),"")</f>
        <v/>
      </c>
      <c r="AN209">
        <f>IFERROR(IF(AL209*AM209=0,"",AL209*AM209),"")</f>
        <v/>
      </c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L209">
        <f>IFERROR(INDEX('_names_lookup'!$C:$C,MATCH(BK209,'_names_lookup'!$A:$A,0)),"")</f>
        <v/>
      </c>
      <c r="BM209">
        <f>IFERROR(INDEX('_names_lookup'!$B:$B,MATCH(BK209,'_names_lookup'!$A:$A,0)),"")</f>
        <v/>
      </c>
      <c r="BS209">
        <f>IFERROR(IF(BR209*AA209=0,"",BR209*AA209),"")</f>
        <v/>
      </c>
    </row>
    <row r="210">
      <c r="O210">
        <f>IFERROR(INDEX('_courses_lookup'!$C:$C,MATCH(K210&amp;L210,'_courses_lookup'!$E:$E,0)),"")</f>
        <v/>
      </c>
      <c r="P210">
        <f>IFERROR(INDEX('_courses_lookup'!$D:$D,MATCH(K210&amp;L210,'_courses_lookup'!$E:$E,0)),"")</f>
        <v/>
      </c>
      <c r="AG210">
        <f>IF(AND(AE210&lt;&gt;"",AF210&lt;&gt;""),ROUNDUP((AF210-AE210)/7,0),"")</f>
        <v/>
      </c>
      <c r="AI210">
        <f>IFERROR(IF(AG210*AH210=0,"",AG210*AH210),"")</f>
        <v/>
      </c>
      <c r="AL210">
        <f>IF(AND(AJ210&lt;&gt;"",AK210&lt;&gt;""),ROUNDUP((AK210-AJ210)/7,0),"")</f>
        <v/>
      </c>
      <c r="AN210">
        <f>IFERROR(IF(AL210*AM210=0,"",AL210*AM210),"")</f>
        <v/>
      </c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L210">
        <f>IFERROR(INDEX('_names_lookup'!$C:$C,MATCH(BK210,'_names_lookup'!$A:$A,0)),"")</f>
        <v/>
      </c>
      <c r="BM210">
        <f>IFERROR(INDEX('_names_lookup'!$B:$B,MATCH(BK210,'_names_lookup'!$A:$A,0)),"")</f>
        <v/>
      </c>
      <c r="BS210">
        <f>IFERROR(IF(BR210*AA210=0,"",BR210*AA210),"")</f>
        <v/>
      </c>
    </row>
    <row r="211">
      <c r="O211">
        <f>IFERROR(INDEX('_courses_lookup'!$C:$C,MATCH(K211&amp;L211,'_courses_lookup'!$E:$E,0)),"")</f>
        <v/>
      </c>
      <c r="P211">
        <f>IFERROR(INDEX('_courses_lookup'!$D:$D,MATCH(K211&amp;L211,'_courses_lookup'!$E:$E,0)),"")</f>
        <v/>
      </c>
      <c r="AG211">
        <f>IF(AND(AE211&lt;&gt;"",AF211&lt;&gt;""),ROUNDUP((AF211-AE211)/7,0),"")</f>
        <v/>
      </c>
      <c r="AI211">
        <f>IFERROR(IF(AG211*AH211=0,"",AG211*AH211),"")</f>
        <v/>
      </c>
      <c r="AL211">
        <f>IF(AND(AJ211&lt;&gt;"",AK211&lt;&gt;""),ROUNDUP((AK211-AJ211)/7,0),"")</f>
        <v/>
      </c>
      <c r="AN211">
        <f>IFERROR(IF(AL211*AM211=0,"",AL211*AM211),"")</f>
        <v/>
      </c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L211">
        <f>IFERROR(INDEX('_names_lookup'!$C:$C,MATCH(BK211,'_names_lookup'!$A:$A,0)),"")</f>
        <v/>
      </c>
      <c r="BM211">
        <f>IFERROR(INDEX('_names_lookup'!$B:$B,MATCH(BK211,'_names_lookup'!$A:$A,0)),"")</f>
        <v/>
      </c>
      <c r="BS211">
        <f>IFERROR(IF(BR211*AA211=0,"",BR211*AA211),"")</f>
        <v/>
      </c>
    </row>
    <row r="212">
      <c r="O212">
        <f>IFERROR(INDEX('_courses_lookup'!$C:$C,MATCH(K212&amp;L212,'_courses_lookup'!$E:$E,0)),"")</f>
        <v/>
      </c>
      <c r="P212">
        <f>IFERROR(INDEX('_courses_lookup'!$D:$D,MATCH(K212&amp;L212,'_courses_lookup'!$E:$E,0)),"")</f>
        <v/>
      </c>
      <c r="AG212">
        <f>IF(AND(AE212&lt;&gt;"",AF212&lt;&gt;""),ROUNDUP((AF212-AE212)/7,0),"")</f>
        <v/>
      </c>
      <c r="AI212">
        <f>IFERROR(IF(AG212*AH212=0,"",AG212*AH212),"")</f>
        <v/>
      </c>
      <c r="AL212">
        <f>IF(AND(AJ212&lt;&gt;"",AK212&lt;&gt;""),ROUNDUP((AK212-AJ212)/7,0),"")</f>
        <v/>
      </c>
      <c r="AN212">
        <f>IFERROR(IF(AL212*AM212=0,"",AL212*AM212),"")</f>
        <v/>
      </c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L212">
        <f>IFERROR(INDEX('_names_lookup'!$C:$C,MATCH(BK212,'_names_lookup'!$A:$A,0)),"")</f>
        <v/>
      </c>
      <c r="BM212">
        <f>IFERROR(INDEX('_names_lookup'!$B:$B,MATCH(BK212,'_names_lookup'!$A:$A,0)),"")</f>
        <v/>
      </c>
      <c r="BS212">
        <f>IFERROR(IF(BR212*AA212=0,"",BR212*AA212),"")</f>
        <v/>
      </c>
    </row>
    <row r="213">
      <c r="O213">
        <f>IFERROR(INDEX('_courses_lookup'!$C:$C,MATCH(K213&amp;L213,'_courses_lookup'!$E:$E,0)),"")</f>
        <v/>
      </c>
      <c r="P213">
        <f>IFERROR(INDEX('_courses_lookup'!$D:$D,MATCH(K213&amp;L213,'_courses_lookup'!$E:$E,0)),"")</f>
        <v/>
      </c>
      <c r="AG213">
        <f>IF(AND(AE213&lt;&gt;"",AF213&lt;&gt;""),ROUNDUP((AF213-AE213)/7,0),"")</f>
        <v/>
      </c>
      <c r="AI213">
        <f>IFERROR(IF(AG213*AH213=0,"",AG213*AH213),"")</f>
        <v/>
      </c>
      <c r="AL213">
        <f>IF(AND(AJ213&lt;&gt;"",AK213&lt;&gt;""),ROUNDUP((AK213-AJ213)/7,0),"")</f>
        <v/>
      </c>
      <c r="AN213">
        <f>IFERROR(IF(AL213*AM213=0,"",AL213*AM213),"")</f>
        <v/>
      </c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L213">
        <f>IFERROR(INDEX('_names_lookup'!$C:$C,MATCH(BK213,'_names_lookup'!$A:$A,0)),"")</f>
        <v/>
      </c>
      <c r="BM213">
        <f>IFERROR(INDEX('_names_lookup'!$B:$B,MATCH(BK213,'_names_lookup'!$A:$A,0)),"")</f>
        <v/>
      </c>
      <c r="BS213">
        <f>IFERROR(IF(BR213*AA213=0,"",BR213*AA213),"")</f>
        <v/>
      </c>
    </row>
    <row r="214">
      <c r="O214">
        <f>IFERROR(INDEX('_courses_lookup'!$C:$C,MATCH(K214&amp;L214,'_courses_lookup'!$E:$E,0)),"")</f>
        <v/>
      </c>
      <c r="P214">
        <f>IFERROR(INDEX('_courses_lookup'!$D:$D,MATCH(K214&amp;L214,'_courses_lookup'!$E:$E,0)),"")</f>
        <v/>
      </c>
      <c r="AG214">
        <f>IF(AND(AE214&lt;&gt;"",AF214&lt;&gt;""),ROUNDUP((AF214-AE214)/7,0),"")</f>
        <v/>
      </c>
      <c r="AI214">
        <f>IFERROR(IF(AG214*AH214=0,"",AG214*AH214),"")</f>
        <v/>
      </c>
      <c r="AL214">
        <f>IF(AND(AJ214&lt;&gt;"",AK214&lt;&gt;""),ROUNDUP((AK214-AJ214)/7,0),"")</f>
        <v/>
      </c>
      <c r="AN214">
        <f>IFERROR(IF(AL214*AM214=0,"",AL214*AM214),"")</f>
        <v/>
      </c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L214">
        <f>IFERROR(INDEX('_names_lookup'!$C:$C,MATCH(BK214,'_names_lookup'!$A:$A,0)),"")</f>
        <v/>
      </c>
      <c r="BM214">
        <f>IFERROR(INDEX('_names_lookup'!$B:$B,MATCH(BK214,'_names_lookup'!$A:$A,0)),"")</f>
        <v/>
      </c>
      <c r="BS214">
        <f>IFERROR(IF(BR214*AA214=0,"",BR214*AA214),"")</f>
        <v/>
      </c>
    </row>
    <row r="215">
      <c r="O215">
        <f>IFERROR(INDEX('_courses_lookup'!$C:$C,MATCH(K215&amp;L215,'_courses_lookup'!$E:$E,0)),"")</f>
        <v/>
      </c>
      <c r="P215">
        <f>IFERROR(INDEX('_courses_lookup'!$D:$D,MATCH(K215&amp;L215,'_courses_lookup'!$E:$E,0)),"")</f>
        <v/>
      </c>
      <c r="AG215">
        <f>IF(AND(AE215&lt;&gt;"",AF215&lt;&gt;""),ROUNDUP((AF215-AE215)/7,0),"")</f>
        <v/>
      </c>
      <c r="AI215">
        <f>IFERROR(IF(AG215*AH215=0,"",AG215*AH215),"")</f>
        <v/>
      </c>
      <c r="AL215">
        <f>IF(AND(AJ215&lt;&gt;"",AK215&lt;&gt;""),ROUNDUP((AK215-AJ215)/7,0),"")</f>
        <v/>
      </c>
      <c r="AN215">
        <f>IFERROR(IF(AL215*AM215=0,"",AL215*AM215),"")</f>
        <v/>
      </c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L215">
        <f>IFERROR(INDEX('_names_lookup'!$C:$C,MATCH(BK215,'_names_lookup'!$A:$A,0)),"")</f>
        <v/>
      </c>
      <c r="BM215">
        <f>IFERROR(INDEX('_names_lookup'!$B:$B,MATCH(BK215,'_names_lookup'!$A:$A,0)),"")</f>
        <v/>
      </c>
      <c r="BS215">
        <f>IFERROR(IF(BR215*AA215=0,"",BR215*AA215),"")</f>
        <v/>
      </c>
    </row>
    <row r="216">
      <c r="O216">
        <f>IFERROR(INDEX('_courses_lookup'!$C:$C,MATCH(K216&amp;L216,'_courses_lookup'!$E:$E,0)),"")</f>
        <v/>
      </c>
      <c r="P216">
        <f>IFERROR(INDEX('_courses_lookup'!$D:$D,MATCH(K216&amp;L216,'_courses_lookup'!$E:$E,0)),"")</f>
        <v/>
      </c>
      <c r="AG216">
        <f>IF(AND(AE216&lt;&gt;"",AF216&lt;&gt;""),ROUNDUP((AF216-AE216)/7,0),"")</f>
        <v/>
      </c>
      <c r="AI216">
        <f>IFERROR(IF(AG216*AH216=0,"",AG216*AH216),"")</f>
        <v/>
      </c>
      <c r="AL216">
        <f>IF(AND(AJ216&lt;&gt;"",AK216&lt;&gt;""),ROUNDUP((AK216-AJ216)/7,0),"")</f>
        <v/>
      </c>
      <c r="AN216">
        <f>IFERROR(IF(AL216*AM216=0,"",AL216*AM216),"")</f>
        <v/>
      </c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L216">
        <f>IFERROR(INDEX('_names_lookup'!$C:$C,MATCH(BK216,'_names_lookup'!$A:$A,0)),"")</f>
        <v/>
      </c>
      <c r="BM216">
        <f>IFERROR(INDEX('_names_lookup'!$B:$B,MATCH(BK216,'_names_lookup'!$A:$A,0)),"")</f>
        <v/>
      </c>
      <c r="BS216">
        <f>IFERROR(IF(BR216*AA216=0,"",BR216*AA216),"")</f>
        <v/>
      </c>
    </row>
    <row r="217">
      <c r="O217">
        <f>IFERROR(INDEX('_courses_lookup'!$C:$C,MATCH(K217&amp;L217,'_courses_lookup'!$E:$E,0)),"")</f>
        <v/>
      </c>
      <c r="P217">
        <f>IFERROR(INDEX('_courses_lookup'!$D:$D,MATCH(K217&amp;L217,'_courses_lookup'!$E:$E,0)),"")</f>
        <v/>
      </c>
      <c r="AG217">
        <f>IF(AND(AE217&lt;&gt;"",AF217&lt;&gt;""),ROUNDUP((AF217-AE217)/7,0),"")</f>
        <v/>
      </c>
      <c r="AI217">
        <f>IFERROR(IF(AG217*AH217=0,"",AG217*AH217),"")</f>
        <v/>
      </c>
      <c r="AL217">
        <f>IF(AND(AJ217&lt;&gt;"",AK217&lt;&gt;""),ROUNDUP((AK217-AJ217)/7,0),"")</f>
        <v/>
      </c>
      <c r="AN217">
        <f>IFERROR(IF(AL217*AM217=0,"",AL217*AM217),"")</f>
        <v/>
      </c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L217">
        <f>IFERROR(INDEX('_names_lookup'!$C:$C,MATCH(BK217,'_names_lookup'!$A:$A,0)),"")</f>
        <v/>
      </c>
      <c r="BM217">
        <f>IFERROR(INDEX('_names_lookup'!$B:$B,MATCH(BK217,'_names_lookup'!$A:$A,0)),"")</f>
        <v/>
      </c>
      <c r="BS217">
        <f>IFERROR(IF(BR217*AA217=0,"",BR217*AA217),"")</f>
        <v/>
      </c>
    </row>
    <row r="218">
      <c r="O218">
        <f>IFERROR(INDEX('_courses_lookup'!$C:$C,MATCH(K218&amp;L218,'_courses_lookup'!$E:$E,0)),"")</f>
        <v/>
      </c>
      <c r="P218">
        <f>IFERROR(INDEX('_courses_lookup'!$D:$D,MATCH(K218&amp;L218,'_courses_lookup'!$E:$E,0)),"")</f>
        <v/>
      </c>
      <c r="AG218">
        <f>IF(AND(AE218&lt;&gt;"",AF218&lt;&gt;""),ROUNDUP((AF218-AE218)/7,0),"")</f>
        <v/>
      </c>
      <c r="AI218">
        <f>IFERROR(IF(AG218*AH218=0,"",AG218*AH218),"")</f>
        <v/>
      </c>
      <c r="AL218">
        <f>IF(AND(AJ218&lt;&gt;"",AK218&lt;&gt;""),ROUNDUP((AK218-AJ218)/7,0),"")</f>
        <v/>
      </c>
      <c r="AN218">
        <f>IFERROR(IF(AL218*AM218=0,"",AL218*AM218),"")</f>
        <v/>
      </c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L218">
        <f>IFERROR(INDEX('_names_lookup'!$C:$C,MATCH(BK218,'_names_lookup'!$A:$A,0)),"")</f>
        <v/>
      </c>
      <c r="BM218">
        <f>IFERROR(INDEX('_names_lookup'!$B:$B,MATCH(BK218,'_names_lookup'!$A:$A,0)),"")</f>
        <v/>
      </c>
      <c r="BS218">
        <f>IFERROR(IF(BR218*AA218=0,"",BR218*AA218),"")</f>
        <v/>
      </c>
    </row>
    <row r="219">
      <c r="O219">
        <f>IFERROR(INDEX('_courses_lookup'!$C:$C,MATCH(K219&amp;L219,'_courses_lookup'!$E:$E,0)),"")</f>
        <v/>
      </c>
      <c r="P219">
        <f>IFERROR(INDEX('_courses_lookup'!$D:$D,MATCH(K219&amp;L219,'_courses_lookup'!$E:$E,0)),"")</f>
        <v/>
      </c>
      <c r="AG219">
        <f>IF(AND(AE219&lt;&gt;"",AF219&lt;&gt;""),ROUNDUP((AF219-AE219)/7,0),"")</f>
        <v/>
      </c>
      <c r="AI219">
        <f>IFERROR(IF(AG219*AH219=0,"",AG219*AH219),"")</f>
        <v/>
      </c>
      <c r="AL219">
        <f>IF(AND(AJ219&lt;&gt;"",AK219&lt;&gt;""),ROUNDUP((AK219-AJ219)/7,0),"")</f>
        <v/>
      </c>
      <c r="AN219">
        <f>IFERROR(IF(AL219*AM219=0,"",AL219*AM219),"")</f>
        <v/>
      </c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L219">
        <f>IFERROR(INDEX('_names_lookup'!$C:$C,MATCH(BK219,'_names_lookup'!$A:$A,0)),"")</f>
        <v/>
      </c>
      <c r="BM219">
        <f>IFERROR(INDEX('_names_lookup'!$B:$B,MATCH(BK219,'_names_lookup'!$A:$A,0)),"")</f>
        <v/>
      </c>
      <c r="BS219">
        <f>IFERROR(IF(BR219*AA219=0,"",BR219*AA219),"")</f>
        <v/>
      </c>
    </row>
    <row r="220">
      <c r="O220">
        <f>IFERROR(INDEX('_courses_lookup'!$C:$C,MATCH(K220&amp;L220,'_courses_lookup'!$E:$E,0)),"")</f>
        <v/>
      </c>
      <c r="P220">
        <f>IFERROR(INDEX('_courses_lookup'!$D:$D,MATCH(K220&amp;L220,'_courses_lookup'!$E:$E,0)),"")</f>
        <v/>
      </c>
      <c r="AG220">
        <f>IF(AND(AE220&lt;&gt;"",AF220&lt;&gt;""),ROUNDUP((AF220-AE220)/7,0),"")</f>
        <v/>
      </c>
      <c r="AI220">
        <f>IFERROR(IF(AG220*AH220=0,"",AG220*AH220),"")</f>
        <v/>
      </c>
      <c r="AL220">
        <f>IF(AND(AJ220&lt;&gt;"",AK220&lt;&gt;""),ROUNDUP((AK220-AJ220)/7,0),"")</f>
        <v/>
      </c>
      <c r="AN220">
        <f>IFERROR(IF(AL220*AM220=0,"",AL220*AM220),"")</f>
        <v/>
      </c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L220">
        <f>IFERROR(INDEX('_names_lookup'!$C:$C,MATCH(BK220,'_names_lookup'!$A:$A,0)),"")</f>
        <v/>
      </c>
      <c r="BM220">
        <f>IFERROR(INDEX('_names_lookup'!$B:$B,MATCH(BK220,'_names_lookup'!$A:$A,0)),"")</f>
        <v/>
      </c>
      <c r="BS220">
        <f>IFERROR(IF(BR220*AA220=0,"",BR220*AA220),"")</f>
        <v/>
      </c>
    </row>
    <row r="221">
      <c r="O221">
        <f>IFERROR(INDEX('_courses_lookup'!$C:$C,MATCH(K221&amp;L221,'_courses_lookup'!$E:$E,0)),"")</f>
        <v/>
      </c>
      <c r="P221">
        <f>IFERROR(INDEX('_courses_lookup'!$D:$D,MATCH(K221&amp;L221,'_courses_lookup'!$E:$E,0)),"")</f>
        <v/>
      </c>
      <c r="AG221">
        <f>IF(AND(AE221&lt;&gt;"",AF221&lt;&gt;""),ROUNDUP((AF221-AE221)/7,0),"")</f>
        <v/>
      </c>
      <c r="AI221">
        <f>IFERROR(IF(AG221*AH221=0,"",AG221*AH221),"")</f>
        <v/>
      </c>
      <c r="AL221">
        <f>IF(AND(AJ221&lt;&gt;"",AK221&lt;&gt;""),ROUNDUP((AK221-AJ221)/7,0),"")</f>
        <v/>
      </c>
      <c r="AN221">
        <f>IFERROR(IF(AL221*AM221=0,"",AL221*AM221),"")</f>
        <v/>
      </c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L221">
        <f>IFERROR(INDEX('_names_lookup'!$C:$C,MATCH(BK221,'_names_lookup'!$A:$A,0)),"")</f>
        <v/>
      </c>
      <c r="BM221">
        <f>IFERROR(INDEX('_names_lookup'!$B:$B,MATCH(BK221,'_names_lookup'!$A:$A,0)),"")</f>
        <v/>
      </c>
      <c r="BS221">
        <f>IFERROR(IF(BR221*AA221=0,"",BR221*AA221),"")</f>
        <v/>
      </c>
    </row>
    <row r="222">
      <c r="O222">
        <f>IFERROR(INDEX('_courses_lookup'!$C:$C,MATCH(K222&amp;L222,'_courses_lookup'!$E:$E,0)),"")</f>
        <v/>
      </c>
      <c r="P222">
        <f>IFERROR(INDEX('_courses_lookup'!$D:$D,MATCH(K222&amp;L222,'_courses_lookup'!$E:$E,0)),"")</f>
        <v/>
      </c>
      <c r="AG222">
        <f>IF(AND(AE222&lt;&gt;"",AF222&lt;&gt;""),ROUNDUP((AF222-AE222)/7,0),"")</f>
        <v/>
      </c>
      <c r="AI222">
        <f>IFERROR(IF(AG222*AH222=0,"",AG222*AH222),"")</f>
        <v/>
      </c>
      <c r="AL222">
        <f>IF(AND(AJ222&lt;&gt;"",AK222&lt;&gt;""),ROUNDUP((AK222-AJ222)/7,0),"")</f>
        <v/>
      </c>
      <c r="AN222">
        <f>IFERROR(IF(AL222*AM222=0,"",AL222*AM222),"")</f>
        <v/>
      </c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L222">
        <f>IFERROR(INDEX('_names_lookup'!$C:$C,MATCH(BK222,'_names_lookup'!$A:$A,0)),"")</f>
        <v/>
      </c>
      <c r="BM222">
        <f>IFERROR(INDEX('_names_lookup'!$B:$B,MATCH(BK222,'_names_lookup'!$A:$A,0)),"")</f>
        <v/>
      </c>
      <c r="BS222">
        <f>IFERROR(IF(BR222*AA222=0,"",BR222*AA222),"")</f>
        <v/>
      </c>
    </row>
    <row r="223">
      <c r="O223">
        <f>IFERROR(INDEX('_courses_lookup'!$C:$C,MATCH(K223&amp;L223,'_courses_lookup'!$E:$E,0)),"")</f>
        <v/>
      </c>
      <c r="P223">
        <f>IFERROR(INDEX('_courses_lookup'!$D:$D,MATCH(K223&amp;L223,'_courses_lookup'!$E:$E,0)),"")</f>
        <v/>
      </c>
      <c r="AG223">
        <f>IF(AND(AE223&lt;&gt;"",AF223&lt;&gt;""),ROUNDUP((AF223-AE223)/7,0),"")</f>
        <v/>
      </c>
      <c r="AI223">
        <f>IFERROR(IF(AG223*AH223=0,"",AG223*AH223),"")</f>
        <v/>
      </c>
      <c r="AL223">
        <f>IF(AND(AJ223&lt;&gt;"",AK223&lt;&gt;""),ROUNDUP((AK223-AJ223)/7,0),"")</f>
        <v/>
      </c>
      <c r="AN223">
        <f>IFERROR(IF(AL223*AM223=0,"",AL223*AM223),"")</f>
        <v/>
      </c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L223">
        <f>IFERROR(INDEX('_names_lookup'!$C:$C,MATCH(BK223,'_names_lookup'!$A:$A,0)),"")</f>
        <v/>
      </c>
      <c r="BM223">
        <f>IFERROR(INDEX('_names_lookup'!$B:$B,MATCH(BK223,'_names_lookup'!$A:$A,0)),"")</f>
        <v/>
      </c>
      <c r="BS223">
        <f>IFERROR(IF(BR223*AA223=0,"",BR223*AA223),"")</f>
        <v/>
      </c>
    </row>
    <row r="224">
      <c r="O224">
        <f>IFERROR(INDEX('_courses_lookup'!$C:$C,MATCH(K224&amp;L224,'_courses_lookup'!$E:$E,0)),"")</f>
        <v/>
      </c>
      <c r="P224">
        <f>IFERROR(INDEX('_courses_lookup'!$D:$D,MATCH(K224&amp;L224,'_courses_lookup'!$E:$E,0)),"")</f>
        <v/>
      </c>
      <c r="AG224">
        <f>IF(AND(AE224&lt;&gt;"",AF224&lt;&gt;""),ROUNDUP((AF224-AE224)/7,0),"")</f>
        <v/>
      </c>
      <c r="AI224">
        <f>IFERROR(IF(AG224*AH224=0,"",AG224*AH224),"")</f>
        <v/>
      </c>
      <c r="AL224">
        <f>IF(AND(AJ224&lt;&gt;"",AK224&lt;&gt;""),ROUNDUP((AK224-AJ224)/7,0),"")</f>
        <v/>
      </c>
      <c r="AN224">
        <f>IFERROR(IF(AL224*AM224=0,"",AL224*AM224),"")</f>
        <v/>
      </c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L224">
        <f>IFERROR(INDEX('_names_lookup'!$C:$C,MATCH(BK224,'_names_lookup'!$A:$A,0)),"")</f>
        <v/>
      </c>
      <c r="BM224">
        <f>IFERROR(INDEX('_names_lookup'!$B:$B,MATCH(BK224,'_names_lookup'!$A:$A,0)),"")</f>
        <v/>
      </c>
      <c r="BS224">
        <f>IFERROR(IF(BR224*AA224=0,"",BR224*AA224),"")</f>
        <v/>
      </c>
    </row>
    <row r="225">
      <c r="O225">
        <f>IFERROR(INDEX('_courses_lookup'!$C:$C,MATCH(K225&amp;L225,'_courses_lookup'!$E:$E,0)),"")</f>
        <v/>
      </c>
      <c r="P225">
        <f>IFERROR(INDEX('_courses_lookup'!$D:$D,MATCH(K225&amp;L225,'_courses_lookup'!$E:$E,0)),"")</f>
        <v/>
      </c>
      <c r="AG225">
        <f>IF(AND(AE225&lt;&gt;"",AF225&lt;&gt;""),ROUNDUP((AF225-AE225)/7,0),"")</f>
        <v/>
      </c>
      <c r="AI225">
        <f>IFERROR(IF(AG225*AH225=0,"",AG225*AH225),"")</f>
        <v/>
      </c>
      <c r="AL225">
        <f>IF(AND(AJ225&lt;&gt;"",AK225&lt;&gt;""),ROUNDUP((AK225-AJ225)/7,0),"")</f>
        <v/>
      </c>
      <c r="AN225">
        <f>IFERROR(IF(AL225*AM225=0,"",AL225*AM225),"")</f>
        <v/>
      </c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L225">
        <f>IFERROR(INDEX('_names_lookup'!$C:$C,MATCH(BK225,'_names_lookup'!$A:$A,0)),"")</f>
        <v/>
      </c>
      <c r="BM225">
        <f>IFERROR(INDEX('_names_lookup'!$B:$B,MATCH(BK225,'_names_lookup'!$A:$A,0)),"")</f>
        <v/>
      </c>
      <c r="BS225">
        <f>IFERROR(IF(BR225*AA225=0,"",BR225*AA225),"")</f>
        <v/>
      </c>
    </row>
    <row r="226">
      <c r="O226">
        <f>IFERROR(INDEX('_courses_lookup'!$C:$C,MATCH(K226&amp;L226,'_courses_lookup'!$E:$E,0)),"")</f>
        <v/>
      </c>
      <c r="P226">
        <f>IFERROR(INDEX('_courses_lookup'!$D:$D,MATCH(K226&amp;L226,'_courses_lookup'!$E:$E,0)),"")</f>
        <v/>
      </c>
      <c r="AG226">
        <f>IF(AND(AE226&lt;&gt;"",AF226&lt;&gt;""),ROUNDUP((AF226-AE226)/7,0),"")</f>
        <v/>
      </c>
      <c r="AI226">
        <f>IFERROR(IF(AG226*AH226=0,"",AG226*AH226),"")</f>
        <v/>
      </c>
      <c r="AL226">
        <f>IF(AND(AJ226&lt;&gt;"",AK226&lt;&gt;""),ROUNDUP((AK226-AJ226)/7,0),"")</f>
        <v/>
      </c>
      <c r="AN226">
        <f>IFERROR(IF(AL226*AM226=0,"",AL226*AM226),"")</f>
        <v/>
      </c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L226">
        <f>IFERROR(INDEX('_names_lookup'!$C:$C,MATCH(BK226,'_names_lookup'!$A:$A,0)),"")</f>
        <v/>
      </c>
      <c r="BM226">
        <f>IFERROR(INDEX('_names_lookup'!$B:$B,MATCH(BK226,'_names_lookup'!$A:$A,0)),"")</f>
        <v/>
      </c>
      <c r="BS226">
        <f>IFERROR(IF(BR226*AA226=0,"",BR226*AA226),"")</f>
        <v/>
      </c>
    </row>
    <row r="227">
      <c r="O227">
        <f>IFERROR(INDEX('_courses_lookup'!$C:$C,MATCH(K227&amp;L227,'_courses_lookup'!$E:$E,0)),"")</f>
        <v/>
      </c>
      <c r="P227">
        <f>IFERROR(INDEX('_courses_lookup'!$D:$D,MATCH(K227&amp;L227,'_courses_lookup'!$E:$E,0)),"")</f>
        <v/>
      </c>
      <c r="AG227">
        <f>IF(AND(AE227&lt;&gt;"",AF227&lt;&gt;""),ROUNDUP((AF227-AE227)/7,0),"")</f>
        <v/>
      </c>
      <c r="AI227">
        <f>IFERROR(IF(AG227*AH227=0,"",AG227*AH227),"")</f>
        <v/>
      </c>
      <c r="AL227">
        <f>IF(AND(AJ227&lt;&gt;"",AK227&lt;&gt;""),ROUNDUP((AK227-AJ227)/7,0),"")</f>
        <v/>
      </c>
      <c r="AN227">
        <f>IFERROR(IF(AL227*AM227=0,"",AL227*AM227),"")</f>
        <v/>
      </c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L227">
        <f>IFERROR(INDEX('_names_lookup'!$C:$C,MATCH(BK227,'_names_lookup'!$A:$A,0)),"")</f>
        <v/>
      </c>
      <c r="BM227">
        <f>IFERROR(INDEX('_names_lookup'!$B:$B,MATCH(BK227,'_names_lookup'!$A:$A,0)),"")</f>
        <v/>
      </c>
      <c r="BS227">
        <f>IFERROR(IF(BR227*AA227=0,"",BR227*AA227),"")</f>
        <v/>
      </c>
    </row>
    <row r="228">
      <c r="O228">
        <f>IFERROR(INDEX('_courses_lookup'!$C:$C,MATCH(K228&amp;L228,'_courses_lookup'!$E:$E,0)),"")</f>
        <v/>
      </c>
      <c r="P228">
        <f>IFERROR(INDEX('_courses_lookup'!$D:$D,MATCH(K228&amp;L228,'_courses_lookup'!$E:$E,0)),"")</f>
        <v/>
      </c>
      <c r="AG228">
        <f>IF(AND(AE228&lt;&gt;"",AF228&lt;&gt;""),ROUNDUP((AF228-AE228)/7,0),"")</f>
        <v/>
      </c>
      <c r="AI228">
        <f>IFERROR(IF(AG228*AH228=0,"",AG228*AH228),"")</f>
        <v/>
      </c>
      <c r="AL228">
        <f>IF(AND(AJ228&lt;&gt;"",AK228&lt;&gt;""),ROUNDUP((AK228-AJ228)/7,0),"")</f>
        <v/>
      </c>
      <c r="AN228">
        <f>IFERROR(IF(AL228*AM228=0,"",AL228*AM228),"")</f>
        <v/>
      </c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L228">
        <f>IFERROR(INDEX('_names_lookup'!$C:$C,MATCH(BK228,'_names_lookup'!$A:$A,0)),"")</f>
        <v/>
      </c>
      <c r="BM228">
        <f>IFERROR(INDEX('_names_lookup'!$B:$B,MATCH(BK228,'_names_lookup'!$A:$A,0)),"")</f>
        <v/>
      </c>
      <c r="BS228">
        <f>IFERROR(IF(BR228*AA228=0,"",BR228*AA228),"")</f>
        <v/>
      </c>
    </row>
    <row r="229">
      <c r="O229">
        <f>IFERROR(INDEX('_courses_lookup'!$C:$C,MATCH(K229&amp;L229,'_courses_lookup'!$E:$E,0)),"")</f>
        <v/>
      </c>
      <c r="P229">
        <f>IFERROR(INDEX('_courses_lookup'!$D:$D,MATCH(K229&amp;L229,'_courses_lookup'!$E:$E,0)),"")</f>
        <v/>
      </c>
      <c r="AG229">
        <f>IF(AND(AE229&lt;&gt;"",AF229&lt;&gt;""),ROUNDUP((AF229-AE229)/7,0),"")</f>
        <v/>
      </c>
      <c r="AI229">
        <f>IFERROR(IF(AG229*AH229=0,"",AG229*AH229),"")</f>
        <v/>
      </c>
      <c r="AL229">
        <f>IF(AND(AJ229&lt;&gt;"",AK229&lt;&gt;""),ROUNDUP((AK229-AJ229)/7,0),"")</f>
        <v/>
      </c>
      <c r="AN229">
        <f>IFERROR(IF(AL229*AM229=0,"",AL229*AM229),"")</f>
        <v/>
      </c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L229">
        <f>IFERROR(INDEX('_names_lookup'!$C:$C,MATCH(BK229,'_names_lookup'!$A:$A,0)),"")</f>
        <v/>
      </c>
      <c r="BM229">
        <f>IFERROR(INDEX('_names_lookup'!$B:$B,MATCH(BK229,'_names_lookup'!$A:$A,0)),"")</f>
        <v/>
      </c>
      <c r="BS229">
        <f>IFERROR(IF(BR229*AA229=0,"",BR229*AA229),"")</f>
        <v/>
      </c>
    </row>
    <row r="230">
      <c r="O230">
        <f>IFERROR(INDEX('_courses_lookup'!$C:$C,MATCH(K230&amp;L230,'_courses_lookup'!$E:$E,0)),"")</f>
        <v/>
      </c>
      <c r="P230">
        <f>IFERROR(INDEX('_courses_lookup'!$D:$D,MATCH(K230&amp;L230,'_courses_lookup'!$E:$E,0)),"")</f>
        <v/>
      </c>
      <c r="AG230">
        <f>IF(AND(AE230&lt;&gt;"",AF230&lt;&gt;""),ROUNDUP((AF230-AE230)/7,0),"")</f>
        <v/>
      </c>
      <c r="AI230">
        <f>IFERROR(IF(AG230*AH230=0,"",AG230*AH230),"")</f>
        <v/>
      </c>
      <c r="AL230">
        <f>IF(AND(AJ230&lt;&gt;"",AK230&lt;&gt;""),ROUNDUP((AK230-AJ230)/7,0),"")</f>
        <v/>
      </c>
      <c r="AN230">
        <f>IFERROR(IF(AL230*AM230=0,"",AL230*AM230),"")</f>
        <v/>
      </c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L230">
        <f>IFERROR(INDEX('_names_lookup'!$C:$C,MATCH(BK230,'_names_lookup'!$A:$A,0)),"")</f>
        <v/>
      </c>
      <c r="BM230">
        <f>IFERROR(INDEX('_names_lookup'!$B:$B,MATCH(BK230,'_names_lookup'!$A:$A,0)),"")</f>
        <v/>
      </c>
      <c r="BS230">
        <f>IFERROR(IF(BR230*AA230=0,"",BR230*AA230),"")</f>
        <v/>
      </c>
    </row>
    <row r="231">
      <c r="O231">
        <f>IFERROR(INDEX('_courses_lookup'!$C:$C,MATCH(K231&amp;L231,'_courses_lookup'!$E:$E,0)),"")</f>
        <v/>
      </c>
      <c r="P231">
        <f>IFERROR(INDEX('_courses_lookup'!$D:$D,MATCH(K231&amp;L231,'_courses_lookup'!$E:$E,0)),"")</f>
        <v/>
      </c>
      <c r="AG231">
        <f>IF(AND(AE231&lt;&gt;"",AF231&lt;&gt;""),ROUNDUP((AF231-AE231)/7,0),"")</f>
        <v/>
      </c>
      <c r="AI231">
        <f>IFERROR(IF(AG231*AH231=0,"",AG231*AH231),"")</f>
        <v/>
      </c>
      <c r="AL231">
        <f>IF(AND(AJ231&lt;&gt;"",AK231&lt;&gt;""),ROUNDUP((AK231-AJ231)/7,0),"")</f>
        <v/>
      </c>
      <c r="AN231">
        <f>IFERROR(IF(AL231*AM231=0,"",AL231*AM231),"")</f>
        <v/>
      </c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L231">
        <f>IFERROR(INDEX('_names_lookup'!$C:$C,MATCH(BK231,'_names_lookup'!$A:$A,0)),"")</f>
        <v/>
      </c>
      <c r="BM231">
        <f>IFERROR(INDEX('_names_lookup'!$B:$B,MATCH(BK231,'_names_lookup'!$A:$A,0)),"")</f>
        <v/>
      </c>
      <c r="BS231">
        <f>IFERROR(IF(BR231*AA231=0,"",BR231*AA231),"")</f>
        <v/>
      </c>
    </row>
    <row r="232">
      <c r="O232">
        <f>IFERROR(INDEX('_courses_lookup'!$C:$C,MATCH(K232&amp;L232,'_courses_lookup'!$E:$E,0)),"")</f>
        <v/>
      </c>
      <c r="P232">
        <f>IFERROR(INDEX('_courses_lookup'!$D:$D,MATCH(K232&amp;L232,'_courses_lookup'!$E:$E,0)),"")</f>
        <v/>
      </c>
      <c r="AG232">
        <f>IF(AND(AE232&lt;&gt;"",AF232&lt;&gt;""),ROUNDUP((AF232-AE232)/7,0),"")</f>
        <v/>
      </c>
      <c r="AI232">
        <f>IFERROR(IF(AG232*AH232=0,"",AG232*AH232),"")</f>
        <v/>
      </c>
      <c r="AL232">
        <f>IF(AND(AJ232&lt;&gt;"",AK232&lt;&gt;""),ROUNDUP((AK232-AJ232)/7,0),"")</f>
        <v/>
      </c>
      <c r="AN232">
        <f>IFERROR(IF(AL232*AM232=0,"",AL232*AM232),"")</f>
        <v/>
      </c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L232">
        <f>IFERROR(INDEX('_names_lookup'!$C:$C,MATCH(BK232,'_names_lookup'!$A:$A,0)),"")</f>
        <v/>
      </c>
      <c r="BM232">
        <f>IFERROR(INDEX('_names_lookup'!$B:$B,MATCH(BK232,'_names_lookup'!$A:$A,0)),"")</f>
        <v/>
      </c>
      <c r="BS232">
        <f>IFERROR(IF(BR232*AA232=0,"",BR232*AA232),"")</f>
        <v/>
      </c>
    </row>
    <row r="233">
      <c r="O233">
        <f>IFERROR(INDEX('_courses_lookup'!$C:$C,MATCH(K233&amp;L233,'_courses_lookup'!$E:$E,0)),"")</f>
        <v/>
      </c>
      <c r="P233">
        <f>IFERROR(INDEX('_courses_lookup'!$D:$D,MATCH(K233&amp;L233,'_courses_lookup'!$E:$E,0)),"")</f>
        <v/>
      </c>
      <c r="AG233">
        <f>IF(AND(AE233&lt;&gt;"",AF233&lt;&gt;""),ROUNDUP((AF233-AE233)/7,0),"")</f>
        <v/>
      </c>
      <c r="AI233">
        <f>IFERROR(IF(AG233*AH233=0,"",AG233*AH233),"")</f>
        <v/>
      </c>
      <c r="AL233">
        <f>IF(AND(AJ233&lt;&gt;"",AK233&lt;&gt;""),ROUNDUP((AK233-AJ233)/7,0),"")</f>
        <v/>
      </c>
      <c r="AN233">
        <f>IFERROR(IF(AL233*AM233=0,"",AL233*AM233),"")</f>
        <v/>
      </c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L233">
        <f>IFERROR(INDEX('_names_lookup'!$C:$C,MATCH(BK233,'_names_lookup'!$A:$A,0)),"")</f>
        <v/>
      </c>
      <c r="BM233">
        <f>IFERROR(INDEX('_names_lookup'!$B:$B,MATCH(BK233,'_names_lookup'!$A:$A,0)),"")</f>
        <v/>
      </c>
      <c r="BS233">
        <f>IFERROR(IF(BR233*AA233=0,"",BR233*AA233),"")</f>
        <v/>
      </c>
    </row>
    <row r="234">
      <c r="O234">
        <f>IFERROR(INDEX('_courses_lookup'!$C:$C,MATCH(K234&amp;L234,'_courses_lookup'!$E:$E,0)),"")</f>
        <v/>
      </c>
      <c r="P234">
        <f>IFERROR(INDEX('_courses_lookup'!$D:$D,MATCH(K234&amp;L234,'_courses_lookup'!$E:$E,0)),"")</f>
        <v/>
      </c>
      <c r="AG234">
        <f>IF(AND(AE234&lt;&gt;"",AF234&lt;&gt;""),ROUNDUP((AF234-AE234)/7,0),"")</f>
        <v/>
      </c>
      <c r="AI234">
        <f>IFERROR(IF(AG234*AH234=0,"",AG234*AH234),"")</f>
        <v/>
      </c>
      <c r="AL234">
        <f>IF(AND(AJ234&lt;&gt;"",AK234&lt;&gt;""),ROUNDUP((AK234-AJ234)/7,0),"")</f>
        <v/>
      </c>
      <c r="AN234">
        <f>IFERROR(IF(AL234*AM234=0,"",AL234*AM234),"")</f>
        <v/>
      </c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L234">
        <f>IFERROR(INDEX('_names_lookup'!$C:$C,MATCH(BK234,'_names_lookup'!$A:$A,0)),"")</f>
        <v/>
      </c>
      <c r="BM234">
        <f>IFERROR(INDEX('_names_lookup'!$B:$B,MATCH(BK234,'_names_lookup'!$A:$A,0)),"")</f>
        <v/>
      </c>
      <c r="BS234">
        <f>IFERROR(IF(BR234*AA234=0,"",BR234*AA234),"")</f>
        <v/>
      </c>
    </row>
    <row r="235">
      <c r="O235">
        <f>IFERROR(INDEX('_courses_lookup'!$C:$C,MATCH(K235&amp;L235,'_courses_lookup'!$E:$E,0)),"")</f>
        <v/>
      </c>
      <c r="P235">
        <f>IFERROR(INDEX('_courses_lookup'!$D:$D,MATCH(K235&amp;L235,'_courses_lookup'!$E:$E,0)),"")</f>
        <v/>
      </c>
      <c r="AG235">
        <f>IF(AND(AE235&lt;&gt;"",AF235&lt;&gt;""),ROUNDUP((AF235-AE235)/7,0),"")</f>
        <v/>
      </c>
      <c r="AI235">
        <f>IFERROR(IF(AG235*AH235=0,"",AG235*AH235),"")</f>
        <v/>
      </c>
      <c r="AL235">
        <f>IF(AND(AJ235&lt;&gt;"",AK235&lt;&gt;""),ROUNDUP((AK235-AJ235)/7,0),"")</f>
        <v/>
      </c>
      <c r="AN235">
        <f>IFERROR(IF(AL235*AM235=0,"",AL235*AM235),"")</f>
        <v/>
      </c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L235">
        <f>IFERROR(INDEX('_names_lookup'!$C:$C,MATCH(BK235,'_names_lookup'!$A:$A,0)),"")</f>
        <v/>
      </c>
      <c r="BM235">
        <f>IFERROR(INDEX('_names_lookup'!$B:$B,MATCH(BK235,'_names_lookup'!$A:$A,0)),"")</f>
        <v/>
      </c>
      <c r="BS235">
        <f>IFERROR(IF(BR235*AA235=0,"",BR235*AA235),"")</f>
        <v/>
      </c>
    </row>
    <row r="236">
      <c r="O236">
        <f>IFERROR(INDEX('_courses_lookup'!$C:$C,MATCH(K236&amp;L236,'_courses_lookup'!$E:$E,0)),"")</f>
        <v/>
      </c>
      <c r="P236">
        <f>IFERROR(INDEX('_courses_lookup'!$D:$D,MATCH(K236&amp;L236,'_courses_lookup'!$E:$E,0)),"")</f>
        <v/>
      </c>
      <c r="AG236">
        <f>IF(AND(AE236&lt;&gt;"",AF236&lt;&gt;""),ROUNDUP((AF236-AE236)/7,0),"")</f>
        <v/>
      </c>
      <c r="AI236">
        <f>IFERROR(IF(AG236*AH236=0,"",AG236*AH236),"")</f>
        <v/>
      </c>
      <c r="AL236">
        <f>IF(AND(AJ236&lt;&gt;"",AK236&lt;&gt;""),ROUNDUP((AK236-AJ236)/7,0),"")</f>
        <v/>
      </c>
      <c r="AN236">
        <f>IFERROR(IF(AL236*AM236=0,"",AL236*AM236),"")</f>
        <v/>
      </c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L236">
        <f>IFERROR(INDEX('_names_lookup'!$C:$C,MATCH(BK236,'_names_lookup'!$A:$A,0)),"")</f>
        <v/>
      </c>
      <c r="BM236">
        <f>IFERROR(INDEX('_names_lookup'!$B:$B,MATCH(BK236,'_names_lookup'!$A:$A,0)),"")</f>
        <v/>
      </c>
      <c r="BS236">
        <f>IFERROR(IF(BR236*AA236=0,"",BR236*AA236),"")</f>
        <v/>
      </c>
    </row>
    <row r="237">
      <c r="O237">
        <f>IFERROR(INDEX('_courses_lookup'!$C:$C,MATCH(K237&amp;L237,'_courses_lookup'!$E:$E,0)),"")</f>
        <v/>
      </c>
      <c r="P237">
        <f>IFERROR(INDEX('_courses_lookup'!$D:$D,MATCH(K237&amp;L237,'_courses_lookup'!$E:$E,0)),"")</f>
        <v/>
      </c>
      <c r="AG237">
        <f>IF(AND(AE237&lt;&gt;"",AF237&lt;&gt;""),ROUNDUP((AF237-AE237)/7,0),"")</f>
        <v/>
      </c>
      <c r="AI237">
        <f>IFERROR(IF(AG237*AH237=0,"",AG237*AH237),"")</f>
        <v/>
      </c>
      <c r="AL237">
        <f>IF(AND(AJ237&lt;&gt;"",AK237&lt;&gt;""),ROUNDUP((AK237-AJ237)/7,0),"")</f>
        <v/>
      </c>
      <c r="AN237">
        <f>IFERROR(IF(AL237*AM237=0,"",AL237*AM237),"")</f>
        <v/>
      </c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L237">
        <f>IFERROR(INDEX('_names_lookup'!$C:$C,MATCH(BK237,'_names_lookup'!$A:$A,0)),"")</f>
        <v/>
      </c>
      <c r="BM237">
        <f>IFERROR(INDEX('_names_lookup'!$B:$B,MATCH(BK237,'_names_lookup'!$A:$A,0)),"")</f>
        <v/>
      </c>
      <c r="BS237">
        <f>IFERROR(IF(BR237*AA237=0,"",BR237*AA237),"")</f>
        <v/>
      </c>
    </row>
    <row r="238">
      <c r="O238">
        <f>IFERROR(INDEX('_courses_lookup'!$C:$C,MATCH(K238&amp;L238,'_courses_lookup'!$E:$E,0)),"")</f>
        <v/>
      </c>
      <c r="P238">
        <f>IFERROR(INDEX('_courses_lookup'!$D:$D,MATCH(K238&amp;L238,'_courses_lookup'!$E:$E,0)),"")</f>
        <v/>
      </c>
      <c r="AG238">
        <f>IF(AND(AE238&lt;&gt;"",AF238&lt;&gt;""),ROUNDUP((AF238-AE238)/7,0),"")</f>
        <v/>
      </c>
      <c r="AI238">
        <f>IFERROR(IF(AG238*AH238=0,"",AG238*AH238),"")</f>
        <v/>
      </c>
      <c r="AL238">
        <f>IF(AND(AJ238&lt;&gt;"",AK238&lt;&gt;""),ROUNDUP((AK238-AJ238)/7,0),"")</f>
        <v/>
      </c>
      <c r="AN238">
        <f>IFERROR(IF(AL238*AM238=0,"",AL238*AM238),"")</f>
        <v/>
      </c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L238">
        <f>IFERROR(INDEX('_names_lookup'!$C:$C,MATCH(BK238,'_names_lookup'!$A:$A,0)),"")</f>
        <v/>
      </c>
      <c r="BM238">
        <f>IFERROR(INDEX('_names_lookup'!$B:$B,MATCH(BK238,'_names_lookup'!$A:$A,0)),"")</f>
        <v/>
      </c>
      <c r="BS238">
        <f>IFERROR(IF(BR238*AA238=0,"",BR238*AA238),"")</f>
        <v/>
      </c>
    </row>
    <row r="239">
      <c r="O239">
        <f>IFERROR(INDEX('_courses_lookup'!$C:$C,MATCH(K239&amp;L239,'_courses_lookup'!$E:$E,0)),"")</f>
        <v/>
      </c>
      <c r="P239">
        <f>IFERROR(INDEX('_courses_lookup'!$D:$D,MATCH(K239&amp;L239,'_courses_lookup'!$E:$E,0)),"")</f>
        <v/>
      </c>
      <c r="AG239">
        <f>IF(AND(AE239&lt;&gt;"",AF239&lt;&gt;""),ROUNDUP((AF239-AE239)/7,0),"")</f>
        <v/>
      </c>
      <c r="AI239">
        <f>IFERROR(IF(AG239*AH239=0,"",AG239*AH239),"")</f>
        <v/>
      </c>
      <c r="AL239">
        <f>IF(AND(AJ239&lt;&gt;"",AK239&lt;&gt;""),ROUNDUP((AK239-AJ239)/7,0),"")</f>
        <v/>
      </c>
      <c r="AN239">
        <f>IFERROR(IF(AL239*AM239=0,"",AL239*AM239),"")</f>
        <v/>
      </c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L239">
        <f>IFERROR(INDEX('_names_lookup'!$C:$C,MATCH(BK239,'_names_lookup'!$A:$A,0)),"")</f>
        <v/>
      </c>
      <c r="BM239">
        <f>IFERROR(INDEX('_names_lookup'!$B:$B,MATCH(BK239,'_names_lookup'!$A:$A,0)),"")</f>
        <v/>
      </c>
      <c r="BS239">
        <f>IFERROR(IF(BR239*AA239=0,"",BR239*AA239),"")</f>
        <v/>
      </c>
    </row>
    <row r="240">
      <c r="O240">
        <f>IFERROR(INDEX('_courses_lookup'!$C:$C,MATCH(K240&amp;L240,'_courses_lookup'!$E:$E,0)),"")</f>
        <v/>
      </c>
      <c r="P240">
        <f>IFERROR(INDEX('_courses_lookup'!$D:$D,MATCH(K240&amp;L240,'_courses_lookup'!$E:$E,0)),"")</f>
        <v/>
      </c>
      <c r="AG240">
        <f>IF(AND(AE240&lt;&gt;"",AF240&lt;&gt;""),ROUNDUP((AF240-AE240)/7,0),"")</f>
        <v/>
      </c>
      <c r="AI240">
        <f>IFERROR(IF(AG240*AH240=0,"",AG240*AH240),"")</f>
        <v/>
      </c>
      <c r="AL240">
        <f>IF(AND(AJ240&lt;&gt;"",AK240&lt;&gt;""),ROUNDUP((AK240-AJ240)/7,0),"")</f>
        <v/>
      </c>
      <c r="AN240">
        <f>IFERROR(IF(AL240*AM240=0,"",AL240*AM240),"")</f>
        <v/>
      </c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L240">
        <f>IFERROR(INDEX('_names_lookup'!$C:$C,MATCH(BK240,'_names_lookup'!$A:$A,0)),"")</f>
        <v/>
      </c>
      <c r="BM240">
        <f>IFERROR(INDEX('_names_lookup'!$B:$B,MATCH(BK240,'_names_lookup'!$A:$A,0)),"")</f>
        <v/>
      </c>
      <c r="BS240">
        <f>IFERROR(IF(BR240*AA240=0,"",BR240*AA240),"")</f>
        <v/>
      </c>
    </row>
    <row r="241">
      <c r="O241">
        <f>IFERROR(INDEX('_courses_lookup'!$C:$C,MATCH(K241&amp;L241,'_courses_lookup'!$E:$E,0)),"")</f>
        <v/>
      </c>
      <c r="P241">
        <f>IFERROR(INDEX('_courses_lookup'!$D:$D,MATCH(K241&amp;L241,'_courses_lookup'!$E:$E,0)),"")</f>
        <v/>
      </c>
      <c r="AG241">
        <f>IF(AND(AE241&lt;&gt;"",AF241&lt;&gt;""),ROUNDUP((AF241-AE241)/7,0),"")</f>
        <v/>
      </c>
      <c r="AI241">
        <f>IFERROR(IF(AG241*AH241=0,"",AG241*AH241),"")</f>
        <v/>
      </c>
      <c r="AL241">
        <f>IF(AND(AJ241&lt;&gt;"",AK241&lt;&gt;""),ROUNDUP((AK241-AJ241)/7,0),"")</f>
        <v/>
      </c>
      <c r="AN241">
        <f>IFERROR(IF(AL241*AM241=0,"",AL241*AM241),"")</f>
        <v/>
      </c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L241">
        <f>IFERROR(INDEX('_names_lookup'!$C:$C,MATCH(BK241,'_names_lookup'!$A:$A,0)),"")</f>
        <v/>
      </c>
      <c r="BM241">
        <f>IFERROR(INDEX('_names_lookup'!$B:$B,MATCH(BK241,'_names_lookup'!$A:$A,0)),"")</f>
        <v/>
      </c>
      <c r="BS241">
        <f>IFERROR(IF(BR241*AA241=0,"",BR241*AA241),"")</f>
        <v/>
      </c>
    </row>
    <row r="242">
      <c r="O242">
        <f>IFERROR(INDEX('_courses_lookup'!$C:$C,MATCH(K242&amp;L242,'_courses_lookup'!$E:$E,0)),"")</f>
        <v/>
      </c>
      <c r="P242">
        <f>IFERROR(INDEX('_courses_lookup'!$D:$D,MATCH(K242&amp;L242,'_courses_lookup'!$E:$E,0)),"")</f>
        <v/>
      </c>
      <c r="AG242">
        <f>IF(AND(AE242&lt;&gt;"",AF242&lt;&gt;""),ROUNDUP((AF242-AE242)/7,0),"")</f>
        <v/>
      </c>
      <c r="AI242">
        <f>IFERROR(IF(AG242*AH242=0,"",AG242*AH242),"")</f>
        <v/>
      </c>
      <c r="AL242">
        <f>IF(AND(AJ242&lt;&gt;"",AK242&lt;&gt;""),ROUNDUP((AK242-AJ242)/7,0),"")</f>
        <v/>
      </c>
      <c r="AN242">
        <f>IFERROR(IF(AL242*AM242=0,"",AL242*AM242),"")</f>
        <v/>
      </c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L242">
        <f>IFERROR(INDEX('_names_lookup'!$C:$C,MATCH(BK242,'_names_lookup'!$A:$A,0)),"")</f>
        <v/>
      </c>
      <c r="BM242">
        <f>IFERROR(INDEX('_names_lookup'!$B:$B,MATCH(BK242,'_names_lookup'!$A:$A,0)),"")</f>
        <v/>
      </c>
      <c r="BS242">
        <f>IFERROR(IF(BR242*AA242=0,"",BR242*AA242),"")</f>
        <v/>
      </c>
    </row>
    <row r="243">
      <c r="O243">
        <f>IFERROR(INDEX('_courses_lookup'!$C:$C,MATCH(K243&amp;L243,'_courses_lookup'!$E:$E,0)),"")</f>
        <v/>
      </c>
      <c r="P243">
        <f>IFERROR(INDEX('_courses_lookup'!$D:$D,MATCH(K243&amp;L243,'_courses_lookup'!$E:$E,0)),"")</f>
        <v/>
      </c>
      <c r="AG243">
        <f>IF(AND(AE243&lt;&gt;"",AF243&lt;&gt;""),ROUNDUP((AF243-AE243)/7,0),"")</f>
        <v/>
      </c>
      <c r="AI243">
        <f>IFERROR(IF(AG243*AH243=0,"",AG243*AH243),"")</f>
        <v/>
      </c>
      <c r="AL243">
        <f>IF(AND(AJ243&lt;&gt;"",AK243&lt;&gt;""),ROUNDUP((AK243-AJ243)/7,0),"")</f>
        <v/>
      </c>
      <c r="AN243">
        <f>IFERROR(IF(AL243*AM243=0,"",AL243*AM243),"")</f>
        <v/>
      </c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L243">
        <f>IFERROR(INDEX('_names_lookup'!$C:$C,MATCH(BK243,'_names_lookup'!$A:$A,0)),"")</f>
        <v/>
      </c>
      <c r="BM243">
        <f>IFERROR(INDEX('_names_lookup'!$B:$B,MATCH(BK243,'_names_lookup'!$A:$A,0)),"")</f>
        <v/>
      </c>
      <c r="BS243">
        <f>IFERROR(IF(BR243*AA243=0,"",BR243*AA243),"")</f>
        <v/>
      </c>
    </row>
    <row r="244">
      <c r="O244">
        <f>IFERROR(INDEX('_courses_lookup'!$C:$C,MATCH(K244&amp;L244,'_courses_lookup'!$E:$E,0)),"")</f>
        <v/>
      </c>
      <c r="P244">
        <f>IFERROR(INDEX('_courses_lookup'!$D:$D,MATCH(K244&amp;L244,'_courses_lookup'!$E:$E,0)),"")</f>
        <v/>
      </c>
      <c r="AG244">
        <f>IF(AND(AE244&lt;&gt;"",AF244&lt;&gt;""),ROUNDUP((AF244-AE244)/7,0),"")</f>
        <v/>
      </c>
      <c r="AI244">
        <f>IFERROR(IF(AG244*AH244=0,"",AG244*AH244),"")</f>
        <v/>
      </c>
      <c r="AL244">
        <f>IF(AND(AJ244&lt;&gt;"",AK244&lt;&gt;""),ROUNDUP((AK244-AJ244)/7,0),"")</f>
        <v/>
      </c>
      <c r="AN244">
        <f>IFERROR(IF(AL244*AM244=0,"",AL244*AM244),"")</f>
        <v/>
      </c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L244">
        <f>IFERROR(INDEX('_names_lookup'!$C:$C,MATCH(BK244,'_names_lookup'!$A:$A,0)),"")</f>
        <v/>
      </c>
      <c r="BM244">
        <f>IFERROR(INDEX('_names_lookup'!$B:$B,MATCH(BK244,'_names_lookup'!$A:$A,0)),"")</f>
        <v/>
      </c>
      <c r="BS244">
        <f>IFERROR(IF(BR244*AA244=0,"",BR244*AA244),"")</f>
        <v/>
      </c>
    </row>
    <row r="245">
      <c r="O245">
        <f>IFERROR(INDEX('_courses_lookup'!$C:$C,MATCH(K245&amp;L245,'_courses_lookup'!$E:$E,0)),"")</f>
        <v/>
      </c>
      <c r="P245">
        <f>IFERROR(INDEX('_courses_lookup'!$D:$D,MATCH(K245&amp;L245,'_courses_lookup'!$E:$E,0)),"")</f>
        <v/>
      </c>
      <c r="AG245">
        <f>IF(AND(AE245&lt;&gt;"",AF245&lt;&gt;""),ROUNDUP((AF245-AE245)/7,0),"")</f>
        <v/>
      </c>
      <c r="AI245">
        <f>IFERROR(IF(AG245*AH245=0,"",AG245*AH245),"")</f>
        <v/>
      </c>
      <c r="AL245">
        <f>IF(AND(AJ245&lt;&gt;"",AK245&lt;&gt;""),ROUNDUP((AK245-AJ245)/7,0),"")</f>
        <v/>
      </c>
      <c r="AN245">
        <f>IFERROR(IF(AL245*AM245=0,"",AL245*AM245),"")</f>
        <v/>
      </c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L245">
        <f>IFERROR(INDEX('_names_lookup'!$C:$C,MATCH(BK245,'_names_lookup'!$A:$A,0)),"")</f>
        <v/>
      </c>
      <c r="BM245">
        <f>IFERROR(INDEX('_names_lookup'!$B:$B,MATCH(BK245,'_names_lookup'!$A:$A,0)),"")</f>
        <v/>
      </c>
      <c r="BS245">
        <f>IFERROR(IF(BR245*AA245=0,"",BR245*AA245),"")</f>
        <v/>
      </c>
    </row>
    <row r="246">
      <c r="O246">
        <f>IFERROR(INDEX('_courses_lookup'!$C:$C,MATCH(K246&amp;L246,'_courses_lookup'!$E:$E,0)),"")</f>
        <v/>
      </c>
      <c r="P246">
        <f>IFERROR(INDEX('_courses_lookup'!$D:$D,MATCH(K246&amp;L246,'_courses_lookup'!$E:$E,0)),"")</f>
        <v/>
      </c>
      <c r="AG246">
        <f>IF(AND(AE246&lt;&gt;"",AF246&lt;&gt;""),ROUNDUP((AF246-AE246)/7,0),"")</f>
        <v/>
      </c>
      <c r="AI246">
        <f>IFERROR(IF(AG246*AH246=0,"",AG246*AH246),"")</f>
        <v/>
      </c>
      <c r="AL246">
        <f>IF(AND(AJ246&lt;&gt;"",AK246&lt;&gt;""),ROUNDUP((AK246-AJ246)/7,0),"")</f>
        <v/>
      </c>
      <c r="AN246">
        <f>IFERROR(IF(AL246*AM246=0,"",AL246*AM246),"")</f>
        <v/>
      </c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L246">
        <f>IFERROR(INDEX('_names_lookup'!$C:$C,MATCH(BK246,'_names_lookup'!$A:$A,0)),"")</f>
        <v/>
      </c>
      <c r="BM246">
        <f>IFERROR(INDEX('_names_lookup'!$B:$B,MATCH(BK246,'_names_lookup'!$A:$A,0)),"")</f>
        <v/>
      </c>
      <c r="BS246">
        <f>IFERROR(IF(BR246*AA246=0,"",BR246*AA246),"")</f>
        <v/>
      </c>
    </row>
    <row r="247">
      <c r="O247">
        <f>IFERROR(INDEX('_courses_lookup'!$C:$C,MATCH(K247&amp;L247,'_courses_lookup'!$E:$E,0)),"")</f>
        <v/>
      </c>
      <c r="P247">
        <f>IFERROR(INDEX('_courses_lookup'!$D:$D,MATCH(K247&amp;L247,'_courses_lookup'!$E:$E,0)),"")</f>
        <v/>
      </c>
      <c r="AG247">
        <f>IF(AND(AE247&lt;&gt;"",AF247&lt;&gt;""),ROUNDUP((AF247-AE247)/7,0),"")</f>
        <v/>
      </c>
      <c r="AI247">
        <f>IFERROR(IF(AG247*AH247=0,"",AG247*AH247),"")</f>
        <v/>
      </c>
      <c r="AL247">
        <f>IF(AND(AJ247&lt;&gt;"",AK247&lt;&gt;""),ROUNDUP((AK247-AJ247)/7,0),"")</f>
        <v/>
      </c>
      <c r="AN247">
        <f>IFERROR(IF(AL247*AM247=0,"",AL247*AM247),"")</f>
        <v/>
      </c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L247">
        <f>IFERROR(INDEX('_names_lookup'!$C:$C,MATCH(BK247,'_names_lookup'!$A:$A,0)),"")</f>
        <v/>
      </c>
      <c r="BM247">
        <f>IFERROR(INDEX('_names_lookup'!$B:$B,MATCH(BK247,'_names_lookup'!$A:$A,0)),"")</f>
        <v/>
      </c>
      <c r="BS247">
        <f>IFERROR(IF(BR247*AA247=0,"",BR247*AA247),"")</f>
        <v/>
      </c>
    </row>
    <row r="248">
      <c r="O248">
        <f>IFERROR(INDEX('_courses_lookup'!$C:$C,MATCH(K248&amp;L248,'_courses_lookup'!$E:$E,0)),"")</f>
        <v/>
      </c>
      <c r="P248">
        <f>IFERROR(INDEX('_courses_lookup'!$D:$D,MATCH(K248&amp;L248,'_courses_lookup'!$E:$E,0)),"")</f>
        <v/>
      </c>
      <c r="AG248">
        <f>IF(AND(AE248&lt;&gt;"",AF248&lt;&gt;""),ROUNDUP((AF248-AE248)/7,0),"")</f>
        <v/>
      </c>
      <c r="AI248">
        <f>IFERROR(IF(AG248*AH248=0,"",AG248*AH248),"")</f>
        <v/>
      </c>
      <c r="AL248">
        <f>IF(AND(AJ248&lt;&gt;"",AK248&lt;&gt;""),ROUNDUP((AK248-AJ248)/7,0),"")</f>
        <v/>
      </c>
      <c r="AN248">
        <f>IFERROR(IF(AL248*AM248=0,"",AL248*AM248),"")</f>
        <v/>
      </c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L248">
        <f>IFERROR(INDEX('_names_lookup'!$C:$C,MATCH(BK248,'_names_lookup'!$A:$A,0)),"")</f>
        <v/>
      </c>
      <c r="BM248">
        <f>IFERROR(INDEX('_names_lookup'!$B:$B,MATCH(BK248,'_names_lookup'!$A:$A,0)),"")</f>
        <v/>
      </c>
      <c r="BS248">
        <f>IFERROR(IF(BR248*AA248=0,"",BR248*AA248),"")</f>
        <v/>
      </c>
    </row>
    <row r="249">
      <c r="O249">
        <f>IFERROR(INDEX('_courses_lookup'!$C:$C,MATCH(K249&amp;L249,'_courses_lookup'!$E:$E,0)),"")</f>
        <v/>
      </c>
      <c r="P249">
        <f>IFERROR(INDEX('_courses_lookup'!$D:$D,MATCH(K249&amp;L249,'_courses_lookup'!$E:$E,0)),"")</f>
        <v/>
      </c>
      <c r="AG249">
        <f>IF(AND(AE249&lt;&gt;"",AF249&lt;&gt;""),ROUNDUP((AF249-AE249)/7,0),"")</f>
        <v/>
      </c>
      <c r="AI249">
        <f>IFERROR(IF(AG249*AH249=0,"",AG249*AH249),"")</f>
        <v/>
      </c>
      <c r="AL249">
        <f>IF(AND(AJ249&lt;&gt;"",AK249&lt;&gt;""),ROUNDUP((AK249-AJ249)/7,0),"")</f>
        <v/>
      </c>
      <c r="AN249">
        <f>IFERROR(IF(AL249*AM249=0,"",AL249*AM249),"")</f>
        <v/>
      </c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L249">
        <f>IFERROR(INDEX('_names_lookup'!$C:$C,MATCH(BK249,'_names_lookup'!$A:$A,0)),"")</f>
        <v/>
      </c>
      <c r="BM249">
        <f>IFERROR(INDEX('_names_lookup'!$B:$B,MATCH(BK249,'_names_lookup'!$A:$A,0)),"")</f>
        <v/>
      </c>
      <c r="BS249">
        <f>IFERROR(IF(BR249*AA249=0,"",BR249*AA249),"")</f>
        <v/>
      </c>
    </row>
    <row r="250">
      <c r="O250">
        <f>IFERROR(INDEX('_courses_lookup'!$C:$C,MATCH(K250&amp;L250,'_courses_lookup'!$E:$E,0)),"")</f>
        <v/>
      </c>
      <c r="P250">
        <f>IFERROR(INDEX('_courses_lookup'!$D:$D,MATCH(K250&amp;L250,'_courses_lookup'!$E:$E,0)),"")</f>
        <v/>
      </c>
      <c r="AG250">
        <f>IF(AND(AE250&lt;&gt;"",AF250&lt;&gt;""),ROUNDUP((AF250-AE250)/7,0),"")</f>
        <v/>
      </c>
      <c r="AI250">
        <f>IFERROR(IF(AG250*AH250=0,"",AG250*AH250),"")</f>
        <v/>
      </c>
      <c r="AL250">
        <f>IF(AND(AJ250&lt;&gt;"",AK250&lt;&gt;""),ROUNDUP((AK250-AJ250)/7,0),"")</f>
        <v/>
      </c>
      <c r="AN250">
        <f>IFERROR(IF(AL250*AM250=0,"",AL250*AM250),"")</f>
        <v/>
      </c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L250">
        <f>IFERROR(INDEX('_names_lookup'!$C:$C,MATCH(BK250,'_names_lookup'!$A:$A,0)),"")</f>
        <v/>
      </c>
      <c r="BM250">
        <f>IFERROR(INDEX('_names_lookup'!$B:$B,MATCH(BK250,'_names_lookup'!$A:$A,0)),"")</f>
        <v/>
      </c>
      <c r="BS250">
        <f>IFERROR(IF(BR250*AA250=0,"",BR250*AA250),"")</f>
        <v/>
      </c>
    </row>
    <row r="251">
      <c r="O251">
        <f>IFERROR(INDEX('_courses_lookup'!$C:$C,MATCH(K251&amp;L251,'_courses_lookup'!$E:$E,0)),"")</f>
        <v/>
      </c>
      <c r="P251">
        <f>IFERROR(INDEX('_courses_lookup'!$D:$D,MATCH(K251&amp;L251,'_courses_lookup'!$E:$E,0)),"")</f>
        <v/>
      </c>
      <c r="AG251">
        <f>IF(AND(AE251&lt;&gt;"",AF251&lt;&gt;""),ROUNDUP((AF251-AE251)/7,0),"")</f>
        <v/>
      </c>
      <c r="AI251">
        <f>IFERROR(IF(AG251*AH251=0,"",AG251*AH251),"")</f>
        <v/>
      </c>
      <c r="AL251">
        <f>IF(AND(AJ251&lt;&gt;"",AK251&lt;&gt;""),ROUNDUP((AK251-AJ251)/7,0),"")</f>
        <v/>
      </c>
      <c r="AN251">
        <f>IFERROR(IF(AL251*AM251=0,"",AL251*AM251),"")</f>
        <v/>
      </c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L251">
        <f>IFERROR(INDEX('_names_lookup'!$C:$C,MATCH(BK251,'_names_lookup'!$A:$A,0)),"")</f>
        <v/>
      </c>
      <c r="BM251">
        <f>IFERROR(INDEX('_names_lookup'!$B:$B,MATCH(BK251,'_names_lookup'!$A:$A,0)),"")</f>
        <v/>
      </c>
      <c r="BS251">
        <f>IFERROR(IF(BR251*AA251=0,"",BR251*AA251),"")</f>
        <v/>
      </c>
    </row>
    <row r="252">
      <c r="O252">
        <f>IFERROR(INDEX('_courses_lookup'!$C:$C,MATCH(K252&amp;L252,'_courses_lookup'!$E:$E,0)),"")</f>
        <v/>
      </c>
      <c r="P252">
        <f>IFERROR(INDEX('_courses_lookup'!$D:$D,MATCH(K252&amp;L252,'_courses_lookup'!$E:$E,0)),"")</f>
        <v/>
      </c>
      <c r="AG252">
        <f>IF(AND(AE252&lt;&gt;"",AF252&lt;&gt;""),ROUNDUP((AF252-AE252)/7,0),"")</f>
        <v/>
      </c>
      <c r="AI252">
        <f>IFERROR(IF(AG252*AH252=0,"",AG252*AH252),"")</f>
        <v/>
      </c>
      <c r="AL252">
        <f>IF(AND(AJ252&lt;&gt;"",AK252&lt;&gt;""),ROUNDUP((AK252-AJ252)/7,0),"")</f>
        <v/>
      </c>
      <c r="AN252">
        <f>IFERROR(IF(AL252*AM252=0,"",AL252*AM252),"")</f>
        <v/>
      </c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L252">
        <f>IFERROR(INDEX('_names_lookup'!$C:$C,MATCH(BK252,'_names_lookup'!$A:$A,0)),"")</f>
        <v/>
      </c>
      <c r="BM252">
        <f>IFERROR(INDEX('_names_lookup'!$B:$B,MATCH(BK252,'_names_lookup'!$A:$A,0)),"")</f>
        <v/>
      </c>
      <c r="BS252">
        <f>IFERROR(IF(BR252*AA252=0,"",BR252*AA252),"")</f>
        <v/>
      </c>
    </row>
    <row r="253">
      <c r="O253">
        <f>IFERROR(INDEX('_courses_lookup'!$C:$C,MATCH(K253&amp;L253,'_courses_lookup'!$E:$E,0)),"")</f>
        <v/>
      </c>
      <c r="P253">
        <f>IFERROR(INDEX('_courses_lookup'!$D:$D,MATCH(K253&amp;L253,'_courses_lookup'!$E:$E,0)),"")</f>
        <v/>
      </c>
      <c r="AG253">
        <f>IF(AND(AE253&lt;&gt;"",AF253&lt;&gt;""),ROUNDUP((AF253-AE253)/7,0),"")</f>
        <v/>
      </c>
      <c r="AI253">
        <f>IFERROR(IF(AG253*AH253=0,"",AG253*AH253),"")</f>
        <v/>
      </c>
      <c r="AL253">
        <f>IF(AND(AJ253&lt;&gt;"",AK253&lt;&gt;""),ROUNDUP((AK253-AJ253)/7,0),"")</f>
        <v/>
      </c>
      <c r="AN253">
        <f>IFERROR(IF(AL253*AM253=0,"",AL253*AM253),"")</f>
        <v/>
      </c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L253">
        <f>IFERROR(INDEX('_names_lookup'!$C:$C,MATCH(BK253,'_names_lookup'!$A:$A,0)),"")</f>
        <v/>
      </c>
      <c r="BM253">
        <f>IFERROR(INDEX('_names_lookup'!$B:$B,MATCH(BK253,'_names_lookup'!$A:$A,0)),"")</f>
        <v/>
      </c>
      <c r="BS253">
        <f>IFERROR(IF(BR253*AA253=0,"",BR253*AA253),"")</f>
        <v/>
      </c>
    </row>
    <row r="254">
      <c r="O254">
        <f>IFERROR(INDEX('_courses_lookup'!$C:$C,MATCH(K254&amp;L254,'_courses_lookup'!$E:$E,0)),"")</f>
        <v/>
      </c>
      <c r="P254">
        <f>IFERROR(INDEX('_courses_lookup'!$D:$D,MATCH(K254&amp;L254,'_courses_lookup'!$E:$E,0)),"")</f>
        <v/>
      </c>
      <c r="AG254">
        <f>IF(AND(AE254&lt;&gt;"",AF254&lt;&gt;""),ROUNDUP((AF254-AE254)/7,0),"")</f>
        <v/>
      </c>
      <c r="AI254">
        <f>IFERROR(IF(AG254*AH254=0,"",AG254*AH254),"")</f>
        <v/>
      </c>
      <c r="AL254">
        <f>IF(AND(AJ254&lt;&gt;"",AK254&lt;&gt;""),ROUNDUP((AK254-AJ254)/7,0),"")</f>
        <v/>
      </c>
      <c r="AN254">
        <f>IFERROR(IF(AL254*AM254=0,"",AL254*AM254),"")</f>
        <v/>
      </c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L254">
        <f>IFERROR(INDEX('_names_lookup'!$C:$C,MATCH(BK254,'_names_lookup'!$A:$A,0)),"")</f>
        <v/>
      </c>
      <c r="BM254">
        <f>IFERROR(INDEX('_names_lookup'!$B:$B,MATCH(BK254,'_names_lookup'!$A:$A,0)),"")</f>
        <v/>
      </c>
      <c r="BS254">
        <f>IFERROR(IF(BR254*AA254=0,"",BR254*AA254),"")</f>
        <v/>
      </c>
    </row>
    <row r="255">
      <c r="O255">
        <f>IFERROR(INDEX('_courses_lookup'!$C:$C,MATCH(K255&amp;L255,'_courses_lookup'!$E:$E,0)),"")</f>
        <v/>
      </c>
      <c r="P255">
        <f>IFERROR(INDEX('_courses_lookup'!$D:$D,MATCH(K255&amp;L255,'_courses_lookup'!$E:$E,0)),"")</f>
        <v/>
      </c>
      <c r="AG255">
        <f>IF(AND(AE255&lt;&gt;"",AF255&lt;&gt;""),ROUNDUP((AF255-AE255)/7,0),"")</f>
        <v/>
      </c>
      <c r="AI255">
        <f>IFERROR(IF(AG255*AH255=0,"",AG255*AH255),"")</f>
        <v/>
      </c>
      <c r="AL255">
        <f>IF(AND(AJ255&lt;&gt;"",AK255&lt;&gt;""),ROUNDUP((AK255-AJ255)/7,0),"")</f>
        <v/>
      </c>
      <c r="AN255">
        <f>IFERROR(IF(AL255*AM255=0,"",AL255*AM255),"")</f>
        <v/>
      </c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L255">
        <f>IFERROR(INDEX('_names_lookup'!$C:$C,MATCH(BK255,'_names_lookup'!$A:$A,0)),"")</f>
        <v/>
      </c>
      <c r="BM255">
        <f>IFERROR(INDEX('_names_lookup'!$B:$B,MATCH(BK255,'_names_lookup'!$A:$A,0)),"")</f>
        <v/>
      </c>
      <c r="BS255">
        <f>IFERROR(IF(BR255*AA255=0,"",BR255*AA255),"")</f>
        <v/>
      </c>
    </row>
    <row r="256">
      <c r="O256">
        <f>IFERROR(INDEX('_courses_lookup'!$C:$C,MATCH(K256&amp;L256,'_courses_lookup'!$E:$E,0)),"")</f>
        <v/>
      </c>
      <c r="P256">
        <f>IFERROR(INDEX('_courses_lookup'!$D:$D,MATCH(K256&amp;L256,'_courses_lookup'!$E:$E,0)),"")</f>
        <v/>
      </c>
      <c r="AG256">
        <f>IF(AND(AE256&lt;&gt;"",AF256&lt;&gt;""),ROUNDUP((AF256-AE256)/7,0),"")</f>
        <v/>
      </c>
      <c r="AI256">
        <f>IFERROR(IF(AG256*AH256=0,"",AG256*AH256),"")</f>
        <v/>
      </c>
      <c r="AL256">
        <f>IF(AND(AJ256&lt;&gt;"",AK256&lt;&gt;""),ROUNDUP((AK256-AJ256)/7,0),"")</f>
        <v/>
      </c>
      <c r="AN256">
        <f>IFERROR(IF(AL256*AM256=0,"",AL256*AM256),"")</f>
        <v/>
      </c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L256">
        <f>IFERROR(INDEX('_names_lookup'!$C:$C,MATCH(BK256,'_names_lookup'!$A:$A,0)),"")</f>
        <v/>
      </c>
      <c r="BM256">
        <f>IFERROR(INDEX('_names_lookup'!$B:$B,MATCH(BK256,'_names_lookup'!$A:$A,0)),"")</f>
        <v/>
      </c>
      <c r="BS256">
        <f>IFERROR(IF(BR256*AA256=0,"",BR256*AA256),"")</f>
        <v/>
      </c>
    </row>
    <row r="257">
      <c r="O257">
        <f>IFERROR(INDEX('_courses_lookup'!$C:$C,MATCH(K257&amp;L257,'_courses_lookup'!$E:$E,0)),"")</f>
        <v/>
      </c>
      <c r="P257">
        <f>IFERROR(INDEX('_courses_lookup'!$D:$D,MATCH(K257&amp;L257,'_courses_lookup'!$E:$E,0)),"")</f>
        <v/>
      </c>
      <c r="AG257">
        <f>IF(AND(AE257&lt;&gt;"",AF257&lt;&gt;""),ROUNDUP((AF257-AE257)/7,0),"")</f>
        <v/>
      </c>
      <c r="AI257">
        <f>IFERROR(IF(AG257*AH257=0,"",AG257*AH257),"")</f>
        <v/>
      </c>
      <c r="AL257">
        <f>IF(AND(AJ257&lt;&gt;"",AK257&lt;&gt;""),ROUNDUP((AK257-AJ257)/7,0),"")</f>
        <v/>
      </c>
      <c r="AN257">
        <f>IFERROR(IF(AL257*AM257=0,"",AL257*AM257),"")</f>
        <v/>
      </c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L257">
        <f>IFERROR(INDEX('_names_lookup'!$C:$C,MATCH(BK257,'_names_lookup'!$A:$A,0)),"")</f>
        <v/>
      </c>
      <c r="BM257">
        <f>IFERROR(INDEX('_names_lookup'!$B:$B,MATCH(BK257,'_names_lookup'!$A:$A,0)),"")</f>
        <v/>
      </c>
      <c r="BS257">
        <f>IFERROR(IF(BR257*AA257=0,"",BR257*AA257),"")</f>
        <v/>
      </c>
    </row>
    <row r="258">
      <c r="O258">
        <f>IFERROR(INDEX('_courses_lookup'!$C:$C,MATCH(K258&amp;L258,'_courses_lookup'!$E:$E,0)),"")</f>
        <v/>
      </c>
      <c r="P258">
        <f>IFERROR(INDEX('_courses_lookup'!$D:$D,MATCH(K258&amp;L258,'_courses_lookup'!$E:$E,0)),"")</f>
        <v/>
      </c>
      <c r="AG258">
        <f>IF(AND(AE258&lt;&gt;"",AF258&lt;&gt;""),ROUNDUP((AF258-AE258)/7,0),"")</f>
        <v/>
      </c>
      <c r="AI258">
        <f>IFERROR(IF(AG258*AH258=0,"",AG258*AH258),"")</f>
        <v/>
      </c>
      <c r="AL258">
        <f>IF(AND(AJ258&lt;&gt;"",AK258&lt;&gt;""),ROUNDUP((AK258-AJ258)/7,0),"")</f>
        <v/>
      </c>
      <c r="AN258">
        <f>IFERROR(IF(AL258*AM258=0,"",AL258*AM258),"")</f>
        <v/>
      </c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L258">
        <f>IFERROR(INDEX('_names_lookup'!$C:$C,MATCH(BK258,'_names_lookup'!$A:$A,0)),"")</f>
        <v/>
      </c>
      <c r="BM258">
        <f>IFERROR(INDEX('_names_lookup'!$B:$B,MATCH(BK258,'_names_lookup'!$A:$A,0)),"")</f>
        <v/>
      </c>
      <c r="BS258">
        <f>IFERROR(IF(BR258*AA258=0,"",BR258*AA258),"")</f>
        <v/>
      </c>
    </row>
    <row r="259">
      <c r="O259">
        <f>IFERROR(INDEX('_courses_lookup'!$C:$C,MATCH(K259&amp;L259,'_courses_lookup'!$E:$E,0)),"")</f>
        <v/>
      </c>
      <c r="P259">
        <f>IFERROR(INDEX('_courses_lookup'!$D:$D,MATCH(K259&amp;L259,'_courses_lookup'!$E:$E,0)),"")</f>
        <v/>
      </c>
      <c r="AG259">
        <f>IF(AND(AE259&lt;&gt;"",AF259&lt;&gt;""),ROUNDUP((AF259-AE259)/7,0),"")</f>
        <v/>
      </c>
      <c r="AI259">
        <f>IFERROR(IF(AG259*AH259=0,"",AG259*AH259),"")</f>
        <v/>
      </c>
      <c r="AL259">
        <f>IF(AND(AJ259&lt;&gt;"",AK259&lt;&gt;""),ROUNDUP((AK259-AJ259)/7,0),"")</f>
        <v/>
      </c>
      <c r="AN259">
        <f>IFERROR(IF(AL259*AM259=0,"",AL259*AM259),"")</f>
        <v/>
      </c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L259">
        <f>IFERROR(INDEX('_names_lookup'!$C:$C,MATCH(BK259,'_names_lookup'!$A:$A,0)),"")</f>
        <v/>
      </c>
      <c r="BM259">
        <f>IFERROR(INDEX('_names_lookup'!$B:$B,MATCH(BK259,'_names_lookup'!$A:$A,0)),"")</f>
        <v/>
      </c>
      <c r="BS259">
        <f>IFERROR(IF(BR259*AA259=0,"",BR259*AA259),"")</f>
        <v/>
      </c>
    </row>
    <row r="260">
      <c r="O260">
        <f>IFERROR(INDEX('_courses_lookup'!$C:$C,MATCH(K260&amp;L260,'_courses_lookup'!$E:$E,0)),"")</f>
        <v/>
      </c>
      <c r="P260">
        <f>IFERROR(INDEX('_courses_lookup'!$D:$D,MATCH(K260&amp;L260,'_courses_lookup'!$E:$E,0)),"")</f>
        <v/>
      </c>
      <c r="AG260">
        <f>IF(AND(AE260&lt;&gt;"",AF260&lt;&gt;""),ROUNDUP((AF260-AE260)/7,0),"")</f>
        <v/>
      </c>
      <c r="AI260">
        <f>IFERROR(IF(AG260*AH260=0,"",AG260*AH260),"")</f>
        <v/>
      </c>
      <c r="AL260">
        <f>IF(AND(AJ260&lt;&gt;"",AK260&lt;&gt;""),ROUNDUP((AK260-AJ260)/7,0),"")</f>
        <v/>
      </c>
      <c r="AN260">
        <f>IFERROR(IF(AL260*AM260=0,"",AL260*AM260),"")</f>
        <v/>
      </c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L260">
        <f>IFERROR(INDEX('_names_lookup'!$C:$C,MATCH(BK260,'_names_lookup'!$A:$A,0)),"")</f>
        <v/>
      </c>
      <c r="BM260">
        <f>IFERROR(INDEX('_names_lookup'!$B:$B,MATCH(BK260,'_names_lookup'!$A:$A,0)),"")</f>
        <v/>
      </c>
      <c r="BS260">
        <f>IFERROR(IF(BR260*AA260=0,"",BR260*AA260),"")</f>
        <v/>
      </c>
    </row>
    <row r="261">
      <c r="O261">
        <f>IFERROR(INDEX('_courses_lookup'!$C:$C,MATCH(K261&amp;L261,'_courses_lookup'!$E:$E,0)),"")</f>
        <v/>
      </c>
      <c r="P261">
        <f>IFERROR(INDEX('_courses_lookup'!$D:$D,MATCH(K261&amp;L261,'_courses_lookup'!$E:$E,0)),"")</f>
        <v/>
      </c>
      <c r="AG261">
        <f>IF(AND(AE261&lt;&gt;"",AF261&lt;&gt;""),ROUNDUP((AF261-AE261)/7,0),"")</f>
        <v/>
      </c>
      <c r="AI261">
        <f>IFERROR(IF(AG261*AH261=0,"",AG261*AH261),"")</f>
        <v/>
      </c>
      <c r="AL261">
        <f>IF(AND(AJ261&lt;&gt;"",AK261&lt;&gt;""),ROUNDUP((AK261-AJ261)/7,0),"")</f>
        <v/>
      </c>
      <c r="AN261">
        <f>IFERROR(IF(AL261*AM261=0,"",AL261*AM261),"")</f>
        <v/>
      </c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L261">
        <f>IFERROR(INDEX('_names_lookup'!$C:$C,MATCH(BK261,'_names_lookup'!$A:$A,0)),"")</f>
        <v/>
      </c>
      <c r="BM261">
        <f>IFERROR(INDEX('_names_lookup'!$B:$B,MATCH(BK261,'_names_lookup'!$A:$A,0)),"")</f>
        <v/>
      </c>
      <c r="BS261">
        <f>IFERROR(IF(BR261*AA261=0,"",BR261*AA261),"")</f>
        <v/>
      </c>
    </row>
    <row r="262">
      <c r="O262">
        <f>IFERROR(INDEX('_courses_lookup'!$C:$C,MATCH(K262&amp;L262,'_courses_lookup'!$E:$E,0)),"")</f>
        <v/>
      </c>
      <c r="P262">
        <f>IFERROR(INDEX('_courses_lookup'!$D:$D,MATCH(K262&amp;L262,'_courses_lookup'!$E:$E,0)),"")</f>
        <v/>
      </c>
      <c r="AG262">
        <f>IF(AND(AE262&lt;&gt;"",AF262&lt;&gt;""),ROUNDUP((AF262-AE262)/7,0),"")</f>
        <v/>
      </c>
      <c r="AI262">
        <f>IFERROR(IF(AG262*AH262=0,"",AG262*AH262),"")</f>
        <v/>
      </c>
      <c r="AL262">
        <f>IF(AND(AJ262&lt;&gt;"",AK262&lt;&gt;""),ROUNDUP((AK262-AJ262)/7,0),"")</f>
        <v/>
      </c>
      <c r="AN262">
        <f>IFERROR(IF(AL262*AM262=0,"",AL262*AM262),"")</f>
        <v/>
      </c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L262">
        <f>IFERROR(INDEX('_names_lookup'!$C:$C,MATCH(BK262,'_names_lookup'!$A:$A,0)),"")</f>
        <v/>
      </c>
      <c r="BM262">
        <f>IFERROR(INDEX('_names_lookup'!$B:$B,MATCH(BK262,'_names_lookup'!$A:$A,0)),"")</f>
        <v/>
      </c>
      <c r="BS262">
        <f>IFERROR(IF(BR262*AA262=0,"",BR262*AA262),"")</f>
        <v/>
      </c>
    </row>
    <row r="263">
      <c r="O263">
        <f>IFERROR(INDEX('_courses_lookup'!$C:$C,MATCH(K263&amp;L263,'_courses_lookup'!$E:$E,0)),"")</f>
        <v/>
      </c>
      <c r="P263">
        <f>IFERROR(INDEX('_courses_lookup'!$D:$D,MATCH(K263&amp;L263,'_courses_lookup'!$E:$E,0)),"")</f>
        <v/>
      </c>
      <c r="AG263">
        <f>IF(AND(AE263&lt;&gt;"",AF263&lt;&gt;""),ROUNDUP((AF263-AE263)/7,0),"")</f>
        <v/>
      </c>
      <c r="AI263">
        <f>IFERROR(IF(AG263*AH263=0,"",AG263*AH263),"")</f>
        <v/>
      </c>
      <c r="AL263">
        <f>IF(AND(AJ263&lt;&gt;"",AK263&lt;&gt;""),ROUNDUP((AK263-AJ263)/7,0),"")</f>
        <v/>
      </c>
      <c r="AN263">
        <f>IFERROR(IF(AL263*AM263=0,"",AL263*AM263),"")</f>
        <v/>
      </c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L263">
        <f>IFERROR(INDEX('_names_lookup'!$C:$C,MATCH(BK263,'_names_lookup'!$A:$A,0)),"")</f>
        <v/>
      </c>
      <c r="BM263">
        <f>IFERROR(INDEX('_names_lookup'!$B:$B,MATCH(BK263,'_names_lookup'!$A:$A,0)),"")</f>
        <v/>
      </c>
      <c r="BS263">
        <f>IFERROR(IF(BR263*AA263=0,"",BR263*AA263),"")</f>
        <v/>
      </c>
    </row>
    <row r="264">
      <c r="O264">
        <f>IFERROR(INDEX('_courses_lookup'!$C:$C,MATCH(K264&amp;L264,'_courses_lookup'!$E:$E,0)),"")</f>
        <v/>
      </c>
      <c r="P264">
        <f>IFERROR(INDEX('_courses_lookup'!$D:$D,MATCH(K264&amp;L264,'_courses_lookup'!$E:$E,0)),"")</f>
        <v/>
      </c>
      <c r="AG264">
        <f>IF(AND(AE264&lt;&gt;"",AF264&lt;&gt;""),ROUNDUP((AF264-AE264)/7,0),"")</f>
        <v/>
      </c>
      <c r="AI264">
        <f>IFERROR(IF(AG264*AH264=0,"",AG264*AH264),"")</f>
        <v/>
      </c>
      <c r="AL264">
        <f>IF(AND(AJ264&lt;&gt;"",AK264&lt;&gt;""),ROUNDUP((AK264-AJ264)/7,0),"")</f>
        <v/>
      </c>
      <c r="AN264">
        <f>IFERROR(IF(AL264*AM264=0,"",AL264*AM264),"")</f>
        <v/>
      </c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L264">
        <f>IFERROR(INDEX('_names_lookup'!$C:$C,MATCH(BK264,'_names_lookup'!$A:$A,0)),"")</f>
        <v/>
      </c>
      <c r="BM264">
        <f>IFERROR(INDEX('_names_lookup'!$B:$B,MATCH(BK264,'_names_lookup'!$A:$A,0)),"")</f>
        <v/>
      </c>
      <c r="BS264">
        <f>IFERROR(IF(BR264*AA264=0,"",BR264*AA264),"")</f>
        <v/>
      </c>
    </row>
    <row r="265">
      <c r="O265">
        <f>IFERROR(INDEX('_courses_lookup'!$C:$C,MATCH(K265&amp;L265,'_courses_lookup'!$E:$E,0)),"")</f>
        <v/>
      </c>
      <c r="P265">
        <f>IFERROR(INDEX('_courses_lookup'!$D:$D,MATCH(K265&amp;L265,'_courses_lookup'!$E:$E,0)),"")</f>
        <v/>
      </c>
      <c r="AG265">
        <f>IF(AND(AE265&lt;&gt;"",AF265&lt;&gt;""),ROUNDUP((AF265-AE265)/7,0),"")</f>
        <v/>
      </c>
      <c r="AI265">
        <f>IFERROR(IF(AG265*AH265=0,"",AG265*AH265),"")</f>
        <v/>
      </c>
      <c r="AL265">
        <f>IF(AND(AJ265&lt;&gt;"",AK265&lt;&gt;""),ROUNDUP((AK265-AJ265)/7,0),"")</f>
        <v/>
      </c>
      <c r="AN265">
        <f>IFERROR(IF(AL265*AM265=0,"",AL265*AM265),"")</f>
        <v/>
      </c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L265">
        <f>IFERROR(INDEX('_names_lookup'!$C:$C,MATCH(BK265,'_names_lookup'!$A:$A,0)),"")</f>
        <v/>
      </c>
      <c r="BM265">
        <f>IFERROR(INDEX('_names_lookup'!$B:$B,MATCH(BK265,'_names_lookup'!$A:$A,0)),"")</f>
        <v/>
      </c>
      <c r="BS265">
        <f>IFERROR(IF(BR265*AA265=0,"",BR265*AA265),"")</f>
        <v/>
      </c>
    </row>
    <row r="266">
      <c r="O266">
        <f>IFERROR(INDEX('_courses_lookup'!$C:$C,MATCH(K266&amp;L266,'_courses_lookup'!$E:$E,0)),"")</f>
        <v/>
      </c>
      <c r="P266">
        <f>IFERROR(INDEX('_courses_lookup'!$D:$D,MATCH(K266&amp;L266,'_courses_lookup'!$E:$E,0)),"")</f>
        <v/>
      </c>
      <c r="AG266">
        <f>IF(AND(AE266&lt;&gt;"",AF266&lt;&gt;""),ROUNDUP((AF266-AE266)/7,0),"")</f>
        <v/>
      </c>
      <c r="AI266">
        <f>IFERROR(IF(AG266*AH266=0,"",AG266*AH266),"")</f>
        <v/>
      </c>
      <c r="AL266">
        <f>IF(AND(AJ266&lt;&gt;"",AK266&lt;&gt;""),ROUNDUP((AK266-AJ266)/7,0),"")</f>
        <v/>
      </c>
      <c r="AN266">
        <f>IFERROR(IF(AL266*AM266=0,"",AL266*AM266),"")</f>
        <v/>
      </c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L266">
        <f>IFERROR(INDEX('_names_lookup'!$C:$C,MATCH(BK266,'_names_lookup'!$A:$A,0)),"")</f>
        <v/>
      </c>
      <c r="BM266">
        <f>IFERROR(INDEX('_names_lookup'!$B:$B,MATCH(BK266,'_names_lookup'!$A:$A,0)),"")</f>
        <v/>
      </c>
      <c r="BS266">
        <f>IFERROR(IF(BR266*AA266=0,"",BR266*AA266),"")</f>
        <v/>
      </c>
    </row>
    <row r="267">
      <c r="O267">
        <f>IFERROR(INDEX('_courses_lookup'!$C:$C,MATCH(K267&amp;L267,'_courses_lookup'!$E:$E,0)),"")</f>
        <v/>
      </c>
      <c r="P267">
        <f>IFERROR(INDEX('_courses_lookup'!$D:$D,MATCH(K267&amp;L267,'_courses_lookup'!$E:$E,0)),"")</f>
        <v/>
      </c>
      <c r="AG267">
        <f>IF(AND(AE267&lt;&gt;"",AF267&lt;&gt;""),ROUNDUP((AF267-AE267)/7,0),"")</f>
        <v/>
      </c>
      <c r="AI267">
        <f>IFERROR(IF(AG267*AH267=0,"",AG267*AH267),"")</f>
        <v/>
      </c>
      <c r="AL267">
        <f>IF(AND(AJ267&lt;&gt;"",AK267&lt;&gt;""),ROUNDUP((AK267-AJ267)/7,0),"")</f>
        <v/>
      </c>
      <c r="AN267">
        <f>IFERROR(IF(AL267*AM267=0,"",AL267*AM267),"")</f>
        <v/>
      </c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L267">
        <f>IFERROR(INDEX('_names_lookup'!$C:$C,MATCH(BK267,'_names_lookup'!$A:$A,0)),"")</f>
        <v/>
      </c>
      <c r="BM267">
        <f>IFERROR(INDEX('_names_lookup'!$B:$B,MATCH(BK267,'_names_lookup'!$A:$A,0)),"")</f>
        <v/>
      </c>
      <c r="BS267">
        <f>IFERROR(IF(BR267*AA267=0,"",BR267*AA267),"")</f>
        <v/>
      </c>
    </row>
    <row r="268">
      <c r="O268">
        <f>IFERROR(INDEX('_courses_lookup'!$C:$C,MATCH(K268&amp;L268,'_courses_lookup'!$E:$E,0)),"")</f>
        <v/>
      </c>
      <c r="P268">
        <f>IFERROR(INDEX('_courses_lookup'!$D:$D,MATCH(K268&amp;L268,'_courses_lookup'!$E:$E,0)),"")</f>
        <v/>
      </c>
      <c r="AG268">
        <f>IF(AND(AE268&lt;&gt;"",AF268&lt;&gt;""),ROUNDUP((AF268-AE268)/7,0),"")</f>
        <v/>
      </c>
      <c r="AI268">
        <f>IFERROR(IF(AG268*AH268=0,"",AG268*AH268),"")</f>
        <v/>
      </c>
      <c r="AL268">
        <f>IF(AND(AJ268&lt;&gt;"",AK268&lt;&gt;""),ROUNDUP((AK268-AJ268)/7,0),"")</f>
        <v/>
      </c>
      <c r="AN268">
        <f>IFERROR(IF(AL268*AM268=0,"",AL268*AM268),"")</f>
        <v/>
      </c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L268">
        <f>IFERROR(INDEX('_names_lookup'!$C:$C,MATCH(BK268,'_names_lookup'!$A:$A,0)),"")</f>
        <v/>
      </c>
      <c r="BM268">
        <f>IFERROR(INDEX('_names_lookup'!$B:$B,MATCH(BK268,'_names_lookup'!$A:$A,0)),"")</f>
        <v/>
      </c>
      <c r="BS268">
        <f>IFERROR(IF(BR268*AA268=0,"",BR268*AA268),"")</f>
        <v/>
      </c>
    </row>
    <row r="269">
      <c r="O269">
        <f>IFERROR(INDEX('_courses_lookup'!$C:$C,MATCH(K269&amp;L269,'_courses_lookup'!$E:$E,0)),"")</f>
        <v/>
      </c>
      <c r="P269">
        <f>IFERROR(INDEX('_courses_lookup'!$D:$D,MATCH(K269&amp;L269,'_courses_lookup'!$E:$E,0)),"")</f>
        <v/>
      </c>
      <c r="AG269">
        <f>IF(AND(AE269&lt;&gt;"",AF269&lt;&gt;""),ROUNDUP((AF269-AE269)/7,0),"")</f>
        <v/>
      </c>
      <c r="AI269">
        <f>IFERROR(IF(AG269*AH269=0,"",AG269*AH269),"")</f>
        <v/>
      </c>
      <c r="AL269">
        <f>IF(AND(AJ269&lt;&gt;"",AK269&lt;&gt;""),ROUNDUP((AK269-AJ269)/7,0),"")</f>
        <v/>
      </c>
      <c r="AN269">
        <f>IFERROR(IF(AL269*AM269=0,"",AL269*AM269),"")</f>
        <v/>
      </c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L269">
        <f>IFERROR(INDEX('_names_lookup'!$C:$C,MATCH(BK269,'_names_lookup'!$A:$A,0)),"")</f>
        <v/>
      </c>
      <c r="BM269">
        <f>IFERROR(INDEX('_names_lookup'!$B:$B,MATCH(BK269,'_names_lookup'!$A:$A,0)),"")</f>
        <v/>
      </c>
      <c r="BS269">
        <f>IFERROR(IF(BR269*AA269=0,"",BR269*AA269),"")</f>
        <v/>
      </c>
    </row>
    <row r="270">
      <c r="O270">
        <f>IFERROR(INDEX('_courses_lookup'!$C:$C,MATCH(K270&amp;L270,'_courses_lookup'!$E:$E,0)),"")</f>
        <v/>
      </c>
      <c r="P270">
        <f>IFERROR(INDEX('_courses_lookup'!$D:$D,MATCH(K270&amp;L270,'_courses_lookup'!$E:$E,0)),"")</f>
        <v/>
      </c>
      <c r="AG270">
        <f>IF(AND(AE270&lt;&gt;"",AF270&lt;&gt;""),ROUNDUP((AF270-AE270)/7,0),"")</f>
        <v/>
      </c>
      <c r="AI270">
        <f>IFERROR(IF(AG270*AH270=0,"",AG270*AH270),"")</f>
        <v/>
      </c>
      <c r="AL270">
        <f>IF(AND(AJ270&lt;&gt;"",AK270&lt;&gt;""),ROUNDUP((AK270-AJ270)/7,0),"")</f>
        <v/>
      </c>
      <c r="AN270">
        <f>IFERROR(IF(AL270*AM270=0,"",AL270*AM270),"")</f>
        <v/>
      </c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L270">
        <f>IFERROR(INDEX('_names_lookup'!$C:$C,MATCH(BK270,'_names_lookup'!$A:$A,0)),"")</f>
        <v/>
      </c>
      <c r="BM270">
        <f>IFERROR(INDEX('_names_lookup'!$B:$B,MATCH(BK270,'_names_lookup'!$A:$A,0)),"")</f>
        <v/>
      </c>
      <c r="BS270">
        <f>IFERROR(IF(BR270*AA270=0,"",BR270*AA270),"")</f>
        <v/>
      </c>
    </row>
    <row r="271">
      <c r="O271">
        <f>IFERROR(INDEX('_courses_lookup'!$C:$C,MATCH(K271&amp;L271,'_courses_lookup'!$E:$E,0)),"")</f>
        <v/>
      </c>
      <c r="P271">
        <f>IFERROR(INDEX('_courses_lookup'!$D:$D,MATCH(K271&amp;L271,'_courses_lookup'!$E:$E,0)),"")</f>
        <v/>
      </c>
      <c r="AG271">
        <f>IF(AND(AE271&lt;&gt;"",AF271&lt;&gt;""),ROUNDUP((AF271-AE271)/7,0),"")</f>
        <v/>
      </c>
      <c r="AI271">
        <f>IFERROR(IF(AG271*AH271=0,"",AG271*AH271),"")</f>
        <v/>
      </c>
      <c r="AL271">
        <f>IF(AND(AJ271&lt;&gt;"",AK271&lt;&gt;""),ROUNDUP((AK271-AJ271)/7,0),"")</f>
        <v/>
      </c>
      <c r="AN271">
        <f>IFERROR(IF(AL271*AM271=0,"",AL271*AM271),"")</f>
        <v/>
      </c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L271">
        <f>IFERROR(INDEX('_names_lookup'!$C:$C,MATCH(BK271,'_names_lookup'!$A:$A,0)),"")</f>
        <v/>
      </c>
      <c r="BM271">
        <f>IFERROR(INDEX('_names_lookup'!$B:$B,MATCH(BK271,'_names_lookup'!$A:$A,0)),"")</f>
        <v/>
      </c>
      <c r="BS271">
        <f>IFERROR(IF(BR271*AA271=0,"",BR271*AA271),"")</f>
        <v/>
      </c>
    </row>
    <row r="272">
      <c r="O272">
        <f>IFERROR(INDEX('_courses_lookup'!$C:$C,MATCH(K272&amp;L272,'_courses_lookup'!$E:$E,0)),"")</f>
        <v/>
      </c>
      <c r="P272">
        <f>IFERROR(INDEX('_courses_lookup'!$D:$D,MATCH(K272&amp;L272,'_courses_lookup'!$E:$E,0)),"")</f>
        <v/>
      </c>
      <c r="AG272">
        <f>IF(AND(AE272&lt;&gt;"",AF272&lt;&gt;""),ROUNDUP((AF272-AE272)/7,0),"")</f>
        <v/>
      </c>
      <c r="AI272">
        <f>IFERROR(IF(AG272*AH272=0,"",AG272*AH272),"")</f>
        <v/>
      </c>
      <c r="AL272">
        <f>IF(AND(AJ272&lt;&gt;"",AK272&lt;&gt;""),ROUNDUP((AK272-AJ272)/7,0),"")</f>
        <v/>
      </c>
      <c r="AN272">
        <f>IFERROR(IF(AL272*AM272=0,"",AL272*AM272),"")</f>
        <v/>
      </c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L272">
        <f>IFERROR(INDEX('_names_lookup'!$C:$C,MATCH(BK272,'_names_lookup'!$A:$A,0)),"")</f>
        <v/>
      </c>
      <c r="BM272">
        <f>IFERROR(INDEX('_names_lookup'!$B:$B,MATCH(BK272,'_names_lookup'!$A:$A,0)),"")</f>
        <v/>
      </c>
      <c r="BS272">
        <f>IFERROR(IF(BR272*AA272=0,"",BR272*AA272),"")</f>
        <v/>
      </c>
    </row>
    <row r="273">
      <c r="O273">
        <f>IFERROR(INDEX('_courses_lookup'!$C:$C,MATCH(K273&amp;L273,'_courses_lookup'!$E:$E,0)),"")</f>
        <v/>
      </c>
      <c r="P273">
        <f>IFERROR(INDEX('_courses_lookup'!$D:$D,MATCH(K273&amp;L273,'_courses_lookup'!$E:$E,0)),"")</f>
        <v/>
      </c>
      <c r="AG273">
        <f>IF(AND(AE273&lt;&gt;"",AF273&lt;&gt;""),ROUNDUP((AF273-AE273)/7,0),"")</f>
        <v/>
      </c>
      <c r="AI273">
        <f>IFERROR(IF(AG273*AH273=0,"",AG273*AH273),"")</f>
        <v/>
      </c>
      <c r="AL273">
        <f>IF(AND(AJ273&lt;&gt;"",AK273&lt;&gt;""),ROUNDUP((AK273-AJ273)/7,0),"")</f>
        <v/>
      </c>
      <c r="AN273">
        <f>IFERROR(IF(AL273*AM273=0,"",AL273*AM273),"")</f>
        <v/>
      </c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L273">
        <f>IFERROR(INDEX('_names_lookup'!$C:$C,MATCH(BK273,'_names_lookup'!$A:$A,0)),"")</f>
        <v/>
      </c>
      <c r="BM273">
        <f>IFERROR(INDEX('_names_lookup'!$B:$B,MATCH(BK273,'_names_lookup'!$A:$A,0)),"")</f>
        <v/>
      </c>
      <c r="BS273">
        <f>IFERROR(IF(BR273*AA273=0,"",BR273*AA273),"")</f>
        <v/>
      </c>
    </row>
    <row r="274">
      <c r="O274">
        <f>IFERROR(INDEX('_courses_lookup'!$C:$C,MATCH(K274&amp;L274,'_courses_lookup'!$E:$E,0)),"")</f>
        <v/>
      </c>
      <c r="P274">
        <f>IFERROR(INDEX('_courses_lookup'!$D:$D,MATCH(K274&amp;L274,'_courses_lookup'!$E:$E,0)),"")</f>
        <v/>
      </c>
      <c r="AG274">
        <f>IF(AND(AE274&lt;&gt;"",AF274&lt;&gt;""),ROUNDUP((AF274-AE274)/7,0),"")</f>
        <v/>
      </c>
      <c r="AI274">
        <f>IFERROR(IF(AG274*AH274=0,"",AG274*AH274),"")</f>
        <v/>
      </c>
      <c r="AL274">
        <f>IF(AND(AJ274&lt;&gt;"",AK274&lt;&gt;""),ROUNDUP((AK274-AJ274)/7,0),"")</f>
        <v/>
      </c>
      <c r="AN274">
        <f>IFERROR(IF(AL274*AM274=0,"",AL274*AM274),"")</f>
        <v/>
      </c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L274">
        <f>IFERROR(INDEX('_names_lookup'!$C:$C,MATCH(BK274,'_names_lookup'!$A:$A,0)),"")</f>
        <v/>
      </c>
      <c r="BM274">
        <f>IFERROR(INDEX('_names_lookup'!$B:$B,MATCH(BK274,'_names_lookup'!$A:$A,0)),"")</f>
        <v/>
      </c>
      <c r="BS274">
        <f>IFERROR(IF(BR274*AA274=0,"",BR274*AA274),"")</f>
        <v/>
      </c>
    </row>
    <row r="275">
      <c r="O275">
        <f>IFERROR(INDEX('_courses_lookup'!$C:$C,MATCH(K275&amp;L275,'_courses_lookup'!$E:$E,0)),"")</f>
        <v/>
      </c>
      <c r="P275">
        <f>IFERROR(INDEX('_courses_lookup'!$D:$D,MATCH(K275&amp;L275,'_courses_lookup'!$E:$E,0)),"")</f>
        <v/>
      </c>
      <c r="AG275">
        <f>IF(AND(AE275&lt;&gt;"",AF275&lt;&gt;""),ROUNDUP((AF275-AE275)/7,0),"")</f>
        <v/>
      </c>
      <c r="AI275">
        <f>IFERROR(IF(AG275*AH275=0,"",AG275*AH275),"")</f>
        <v/>
      </c>
      <c r="AL275">
        <f>IF(AND(AJ275&lt;&gt;"",AK275&lt;&gt;""),ROUNDUP((AK275-AJ275)/7,0),"")</f>
        <v/>
      </c>
      <c r="AN275">
        <f>IFERROR(IF(AL275*AM275=0,"",AL275*AM275),"")</f>
        <v/>
      </c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L275">
        <f>IFERROR(INDEX('_names_lookup'!$C:$C,MATCH(BK275,'_names_lookup'!$A:$A,0)),"")</f>
        <v/>
      </c>
      <c r="BM275">
        <f>IFERROR(INDEX('_names_lookup'!$B:$B,MATCH(BK275,'_names_lookup'!$A:$A,0)),"")</f>
        <v/>
      </c>
      <c r="BS275">
        <f>IFERROR(IF(BR275*AA275=0,"",BR275*AA275),"")</f>
        <v/>
      </c>
    </row>
    <row r="276">
      <c r="O276">
        <f>IFERROR(INDEX('_courses_lookup'!$C:$C,MATCH(K276&amp;L276,'_courses_lookup'!$E:$E,0)),"")</f>
        <v/>
      </c>
      <c r="P276">
        <f>IFERROR(INDEX('_courses_lookup'!$D:$D,MATCH(K276&amp;L276,'_courses_lookup'!$E:$E,0)),"")</f>
        <v/>
      </c>
      <c r="AG276">
        <f>IF(AND(AE276&lt;&gt;"",AF276&lt;&gt;""),ROUNDUP((AF276-AE276)/7,0),"")</f>
        <v/>
      </c>
      <c r="AI276">
        <f>IFERROR(IF(AG276*AH276=0,"",AG276*AH276),"")</f>
        <v/>
      </c>
      <c r="AL276">
        <f>IF(AND(AJ276&lt;&gt;"",AK276&lt;&gt;""),ROUNDUP((AK276-AJ276)/7,0),"")</f>
        <v/>
      </c>
      <c r="AN276">
        <f>IFERROR(IF(AL276*AM276=0,"",AL276*AM276),"")</f>
        <v/>
      </c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L276">
        <f>IFERROR(INDEX('_names_lookup'!$C:$C,MATCH(BK276,'_names_lookup'!$A:$A,0)),"")</f>
        <v/>
      </c>
      <c r="BM276">
        <f>IFERROR(INDEX('_names_lookup'!$B:$B,MATCH(BK276,'_names_lookup'!$A:$A,0)),"")</f>
        <v/>
      </c>
      <c r="BS276">
        <f>IFERROR(IF(BR276*AA276=0,"",BR276*AA276),"")</f>
        <v/>
      </c>
    </row>
    <row r="277">
      <c r="O277">
        <f>IFERROR(INDEX('_courses_lookup'!$C:$C,MATCH(K277&amp;L277,'_courses_lookup'!$E:$E,0)),"")</f>
        <v/>
      </c>
      <c r="P277">
        <f>IFERROR(INDEX('_courses_lookup'!$D:$D,MATCH(K277&amp;L277,'_courses_lookup'!$E:$E,0)),"")</f>
        <v/>
      </c>
      <c r="AG277">
        <f>IF(AND(AE277&lt;&gt;"",AF277&lt;&gt;""),ROUNDUP((AF277-AE277)/7,0),"")</f>
        <v/>
      </c>
      <c r="AI277">
        <f>IFERROR(IF(AG277*AH277=0,"",AG277*AH277),"")</f>
        <v/>
      </c>
      <c r="AL277">
        <f>IF(AND(AJ277&lt;&gt;"",AK277&lt;&gt;""),ROUNDUP((AK277-AJ277)/7,0),"")</f>
        <v/>
      </c>
      <c r="AN277">
        <f>IFERROR(IF(AL277*AM277=0,"",AL277*AM277),"")</f>
        <v/>
      </c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L277">
        <f>IFERROR(INDEX('_names_lookup'!$C:$C,MATCH(BK277,'_names_lookup'!$A:$A,0)),"")</f>
        <v/>
      </c>
      <c r="BM277">
        <f>IFERROR(INDEX('_names_lookup'!$B:$B,MATCH(BK277,'_names_lookup'!$A:$A,0)),"")</f>
        <v/>
      </c>
      <c r="BS277">
        <f>IFERROR(IF(BR277*AA277=0,"",BR277*AA277),"")</f>
        <v/>
      </c>
    </row>
    <row r="278">
      <c r="O278">
        <f>IFERROR(INDEX('_courses_lookup'!$C:$C,MATCH(K278&amp;L278,'_courses_lookup'!$E:$E,0)),"")</f>
        <v/>
      </c>
      <c r="P278">
        <f>IFERROR(INDEX('_courses_lookup'!$D:$D,MATCH(K278&amp;L278,'_courses_lookup'!$E:$E,0)),"")</f>
        <v/>
      </c>
      <c r="AG278">
        <f>IF(AND(AE278&lt;&gt;"",AF278&lt;&gt;""),ROUNDUP((AF278-AE278)/7,0),"")</f>
        <v/>
      </c>
      <c r="AI278">
        <f>IFERROR(IF(AG278*AH278=0,"",AG278*AH278),"")</f>
        <v/>
      </c>
      <c r="AL278">
        <f>IF(AND(AJ278&lt;&gt;"",AK278&lt;&gt;""),ROUNDUP((AK278-AJ278)/7,0),"")</f>
        <v/>
      </c>
      <c r="AN278">
        <f>IFERROR(IF(AL278*AM278=0,"",AL278*AM278),"")</f>
        <v/>
      </c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L278">
        <f>IFERROR(INDEX('_names_lookup'!$C:$C,MATCH(BK278,'_names_lookup'!$A:$A,0)),"")</f>
        <v/>
      </c>
      <c r="BM278">
        <f>IFERROR(INDEX('_names_lookup'!$B:$B,MATCH(BK278,'_names_lookup'!$A:$A,0)),"")</f>
        <v/>
      </c>
      <c r="BS278">
        <f>IFERROR(IF(BR278*AA278=0,"",BR278*AA278),"")</f>
        <v/>
      </c>
    </row>
    <row r="279">
      <c r="O279">
        <f>IFERROR(INDEX('_courses_lookup'!$C:$C,MATCH(K279&amp;L279,'_courses_lookup'!$E:$E,0)),"")</f>
        <v/>
      </c>
      <c r="P279">
        <f>IFERROR(INDEX('_courses_lookup'!$D:$D,MATCH(K279&amp;L279,'_courses_lookup'!$E:$E,0)),"")</f>
        <v/>
      </c>
      <c r="AG279">
        <f>IF(AND(AE279&lt;&gt;"",AF279&lt;&gt;""),ROUNDUP((AF279-AE279)/7,0),"")</f>
        <v/>
      </c>
      <c r="AI279">
        <f>IFERROR(IF(AG279*AH279=0,"",AG279*AH279),"")</f>
        <v/>
      </c>
      <c r="AL279">
        <f>IF(AND(AJ279&lt;&gt;"",AK279&lt;&gt;""),ROUNDUP((AK279-AJ279)/7,0),"")</f>
        <v/>
      </c>
      <c r="AN279">
        <f>IFERROR(IF(AL279*AM279=0,"",AL279*AM279),"")</f>
        <v/>
      </c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L279">
        <f>IFERROR(INDEX('_names_lookup'!$C:$C,MATCH(BK279,'_names_lookup'!$A:$A,0)),"")</f>
        <v/>
      </c>
      <c r="BM279">
        <f>IFERROR(INDEX('_names_lookup'!$B:$B,MATCH(BK279,'_names_lookup'!$A:$A,0)),"")</f>
        <v/>
      </c>
      <c r="BS279">
        <f>IFERROR(IF(BR279*AA279=0,"",BR279*AA279),"")</f>
        <v/>
      </c>
    </row>
    <row r="280">
      <c r="O280">
        <f>IFERROR(INDEX('_courses_lookup'!$C:$C,MATCH(K280&amp;L280,'_courses_lookup'!$E:$E,0)),"")</f>
        <v/>
      </c>
      <c r="P280">
        <f>IFERROR(INDEX('_courses_lookup'!$D:$D,MATCH(K280&amp;L280,'_courses_lookup'!$E:$E,0)),"")</f>
        <v/>
      </c>
      <c r="AG280">
        <f>IF(AND(AE280&lt;&gt;"",AF280&lt;&gt;""),ROUNDUP((AF280-AE280)/7,0),"")</f>
        <v/>
      </c>
      <c r="AI280">
        <f>IFERROR(IF(AG280*AH280=0,"",AG280*AH280),"")</f>
        <v/>
      </c>
      <c r="AL280">
        <f>IF(AND(AJ280&lt;&gt;"",AK280&lt;&gt;""),ROUNDUP((AK280-AJ280)/7,0),"")</f>
        <v/>
      </c>
      <c r="AN280">
        <f>IFERROR(IF(AL280*AM280=0,"",AL280*AM280),"")</f>
        <v/>
      </c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L280">
        <f>IFERROR(INDEX('_names_lookup'!$C:$C,MATCH(BK280,'_names_lookup'!$A:$A,0)),"")</f>
        <v/>
      </c>
      <c r="BM280">
        <f>IFERROR(INDEX('_names_lookup'!$B:$B,MATCH(BK280,'_names_lookup'!$A:$A,0)),"")</f>
        <v/>
      </c>
      <c r="BS280">
        <f>IFERROR(IF(BR280*AA280=0,"",BR280*AA280),"")</f>
        <v/>
      </c>
    </row>
    <row r="281">
      <c r="O281">
        <f>IFERROR(INDEX('_courses_lookup'!$C:$C,MATCH(K281&amp;L281,'_courses_lookup'!$E:$E,0)),"")</f>
        <v/>
      </c>
      <c r="P281">
        <f>IFERROR(INDEX('_courses_lookup'!$D:$D,MATCH(K281&amp;L281,'_courses_lookup'!$E:$E,0)),"")</f>
        <v/>
      </c>
      <c r="AG281">
        <f>IF(AND(AE281&lt;&gt;"",AF281&lt;&gt;""),ROUNDUP((AF281-AE281)/7,0),"")</f>
        <v/>
      </c>
      <c r="AI281">
        <f>IFERROR(IF(AG281*AH281=0,"",AG281*AH281),"")</f>
        <v/>
      </c>
      <c r="AL281">
        <f>IF(AND(AJ281&lt;&gt;"",AK281&lt;&gt;""),ROUNDUP((AK281-AJ281)/7,0),"")</f>
        <v/>
      </c>
      <c r="AN281">
        <f>IFERROR(IF(AL281*AM281=0,"",AL281*AM281),"")</f>
        <v/>
      </c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L281">
        <f>IFERROR(INDEX('_names_lookup'!$C:$C,MATCH(BK281,'_names_lookup'!$A:$A,0)),"")</f>
        <v/>
      </c>
      <c r="BM281">
        <f>IFERROR(INDEX('_names_lookup'!$B:$B,MATCH(BK281,'_names_lookup'!$A:$A,0)),"")</f>
        <v/>
      </c>
      <c r="BS281">
        <f>IFERROR(IF(BR281*AA281=0,"",BR281*AA281),"")</f>
        <v/>
      </c>
    </row>
    <row r="282">
      <c r="O282">
        <f>IFERROR(INDEX('_courses_lookup'!$C:$C,MATCH(K282&amp;L282,'_courses_lookup'!$E:$E,0)),"")</f>
        <v/>
      </c>
      <c r="P282">
        <f>IFERROR(INDEX('_courses_lookup'!$D:$D,MATCH(K282&amp;L282,'_courses_lookup'!$E:$E,0)),"")</f>
        <v/>
      </c>
      <c r="AG282">
        <f>IF(AND(AE282&lt;&gt;"",AF282&lt;&gt;""),ROUNDUP((AF282-AE282)/7,0),"")</f>
        <v/>
      </c>
      <c r="AI282">
        <f>IFERROR(IF(AG282*AH282=0,"",AG282*AH282),"")</f>
        <v/>
      </c>
      <c r="AL282">
        <f>IF(AND(AJ282&lt;&gt;"",AK282&lt;&gt;""),ROUNDUP((AK282-AJ282)/7,0),"")</f>
        <v/>
      </c>
      <c r="AN282">
        <f>IFERROR(IF(AL282*AM282=0,"",AL282*AM282),"")</f>
        <v/>
      </c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L282">
        <f>IFERROR(INDEX('_names_lookup'!$C:$C,MATCH(BK282,'_names_lookup'!$A:$A,0)),"")</f>
        <v/>
      </c>
      <c r="BM282">
        <f>IFERROR(INDEX('_names_lookup'!$B:$B,MATCH(BK282,'_names_lookup'!$A:$A,0)),"")</f>
        <v/>
      </c>
      <c r="BS282">
        <f>IFERROR(IF(BR282*AA282=0,"",BR282*AA282),"")</f>
        <v/>
      </c>
    </row>
    <row r="283">
      <c r="O283">
        <f>IFERROR(INDEX('_courses_lookup'!$C:$C,MATCH(K283&amp;L283,'_courses_lookup'!$E:$E,0)),"")</f>
        <v/>
      </c>
      <c r="P283">
        <f>IFERROR(INDEX('_courses_lookup'!$D:$D,MATCH(K283&amp;L283,'_courses_lookup'!$E:$E,0)),"")</f>
        <v/>
      </c>
      <c r="AG283">
        <f>IF(AND(AE283&lt;&gt;"",AF283&lt;&gt;""),ROUNDUP((AF283-AE283)/7,0),"")</f>
        <v/>
      </c>
      <c r="AI283">
        <f>IFERROR(IF(AG283*AH283=0,"",AG283*AH283),"")</f>
        <v/>
      </c>
      <c r="AL283">
        <f>IF(AND(AJ283&lt;&gt;"",AK283&lt;&gt;""),ROUNDUP((AK283-AJ283)/7,0),"")</f>
        <v/>
      </c>
      <c r="AN283">
        <f>IFERROR(IF(AL283*AM283=0,"",AL283*AM283),"")</f>
        <v/>
      </c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L283">
        <f>IFERROR(INDEX('_names_lookup'!$C:$C,MATCH(BK283,'_names_lookup'!$A:$A,0)),"")</f>
        <v/>
      </c>
      <c r="BM283">
        <f>IFERROR(INDEX('_names_lookup'!$B:$B,MATCH(BK283,'_names_lookup'!$A:$A,0)),"")</f>
        <v/>
      </c>
      <c r="BS283">
        <f>IFERROR(IF(BR283*AA283=0,"",BR283*AA283),"")</f>
        <v/>
      </c>
    </row>
    <row r="284">
      <c r="O284">
        <f>IFERROR(INDEX('_courses_lookup'!$C:$C,MATCH(K284&amp;L284,'_courses_lookup'!$E:$E,0)),"")</f>
        <v/>
      </c>
      <c r="P284">
        <f>IFERROR(INDEX('_courses_lookup'!$D:$D,MATCH(K284&amp;L284,'_courses_lookup'!$E:$E,0)),"")</f>
        <v/>
      </c>
      <c r="AG284">
        <f>IF(AND(AE284&lt;&gt;"",AF284&lt;&gt;""),ROUNDUP((AF284-AE284)/7,0),"")</f>
        <v/>
      </c>
      <c r="AI284">
        <f>IFERROR(IF(AG284*AH284=0,"",AG284*AH284),"")</f>
        <v/>
      </c>
      <c r="AL284">
        <f>IF(AND(AJ284&lt;&gt;"",AK284&lt;&gt;""),ROUNDUP((AK284-AJ284)/7,0),"")</f>
        <v/>
      </c>
      <c r="AN284">
        <f>IFERROR(IF(AL284*AM284=0,"",AL284*AM284),"")</f>
        <v/>
      </c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L284">
        <f>IFERROR(INDEX('_names_lookup'!$C:$C,MATCH(BK284,'_names_lookup'!$A:$A,0)),"")</f>
        <v/>
      </c>
      <c r="BM284">
        <f>IFERROR(INDEX('_names_lookup'!$B:$B,MATCH(BK284,'_names_lookup'!$A:$A,0)),"")</f>
        <v/>
      </c>
      <c r="BS284">
        <f>IFERROR(IF(BR284*AA284=0,"",BR284*AA284),"")</f>
        <v/>
      </c>
    </row>
    <row r="285">
      <c r="O285">
        <f>IFERROR(INDEX('_courses_lookup'!$C:$C,MATCH(K285&amp;L285,'_courses_lookup'!$E:$E,0)),"")</f>
        <v/>
      </c>
      <c r="P285">
        <f>IFERROR(INDEX('_courses_lookup'!$D:$D,MATCH(K285&amp;L285,'_courses_lookup'!$E:$E,0)),"")</f>
        <v/>
      </c>
      <c r="AG285">
        <f>IF(AND(AE285&lt;&gt;"",AF285&lt;&gt;""),ROUNDUP((AF285-AE285)/7,0),"")</f>
        <v/>
      </c>
      <c r="AI285">
        <f>IFERROR(IF(AG285*AH285=0,"",AG285*AH285),"")</f>
        <v/>
      </c>
      <c r="AL285">
        <f>IF(AND(AJ285&lt;&gt;"",AK285&lt;&gt;""),ROUNDUP((AK285-AJ285)/7,0),"")</f>
        <v/>
      </c>
      <c r="AN285">
        <f>IFERROR(IF(AL285*AM285=0,"",AL285*AM285),"")</f>
        <v/>
      </c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L285">
        <f>IFERROR(INDEX('_names_lookup'!$C:$C,MATCH(BK285,'_names_lookup'!$A:$A,0)),"")</f>
        <v/>
      </c>
      <c r="BM285">
        <f>IFERROR(INDEX('_names_lookup'!$B:$B,MATCH(BK285,'_names_lookup'!$A:$A,0)),"")</f>
        <v/>
      </c>
      <c r="BS285">
        <f>IFERROR(IF(BR285*AA285=0,"",BR285*AA285),"")</f>
        <v/>
      </c>
    </row>
    <row r="286">
      <c r="O286">
        <f>IFERROR(INDEX('_courses_lookup'!$C:$C,MATCH(K286&amp;L286,'_courses_lookup'!$E:$E,0)),"")</f>
        <v/>
      </c>
      <c r="P286">
        <f>IFERROR(INDEX('_courses_lookup'!$D:$D,MATCH(K286&amp;L286,'_courses_lookup'!$E:$E,0)),"")</f>
        <v/>
      </c>
      <c r="AG286">
        <f>IF(AND(AE286&lt;&gt;"",AF286&lt;&gt;""),ROUNDUP((AF286-AE286)/7,0),"")</f>
        <v/>
      </c>
      <c r="AI286">
        <f>IFERROR(IF(AG286*AH286=0,"",AG286*AH286),"")</f>
        <v/>
      </c>
      <c r="AL286">
        <f>IF(AND(AJ286&lt;&gt;"",AK286&lt;&gt;""),ROUNDUP((AK286-AJ286)/7,0),"")</f>
        <v/>
      </c>
      <c r="AN286">
        <f>IFERROR(IF(AL286*AM286=0,"",AL286*AM286),"")</f>
        <v/>
      </c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L286">
        <f>IFERROR(INDEX('_names_lookup'!$C:$C,MATCH(BK286,'_names_lookup'!$A:$A,0)),"")</f>
        <v/>
      </c>
      <c r="BM286">
        <f>IFERROR(INDEX('_names_lookup'!$B:$B,MATCH(BK286,'_names_lookup'!$A:$A,0)),"")</f>
        <v/>
      </c>
      <c r="BS286">
        <f>IFERROR(IF(BR286*AA286=0,"",BR286*AA286),"")</f>
        <v/>
      </c>
    </row>
    <row r="287">
      <c r="O287">
        <f>IFERROR(INDEX('_courses_lookup'!$C:$C,MATCH(K287&amp;L287,'_courses_lookup'!$E:$E,0)),"")</f>
        <v/>
      </c>
      <c r="P287">
        <f>IFERROR(INDEX('_courses_lookup'!$D:$D,MATCH(K287&amp;L287,'_courses_lookup'!$E:$E,0)),"")</f>
        <v/>
      </c>
      <c r="AG287">
        <f>IF(AND(AE287&lt;&gt;"",AF287&lt;&gt;""),ROUNDUP((AF287-AE287)/7,0),"")</f>
        <v/>
      </c>
      <c r="AI287">
        <f>IFERROR(IF(AG287*AH287=0,"",AG287*AH287),"")</f>
        <v/>
      </c>
      <c r="AL287">
        <f>IF(AND(AJ287&lt;&gt;"",AK287&lt;&gt;""),ROUNDUP((AK287-AJ287)/7,0),"")</f>
        <v/>
      </c>
      <c r="AN287">
        <f>IFERROR(IF(AL287*AM287=0,"",AL287*AM287),"")</f>
        <v/>
      </c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L287">
        <f>IFERROR(INDEX('_names_lookup'!$C:$C,MATCH(BK287,'_names_lookup'!$A:$A,0)),"")</f>
        <v/>
      </c>
      <c r="BM287">
        <f>IFERROR(INDEX('_names_lookup'!$B:$B,MATCH(BK287,'_names_lookup'!$A:$A,0)),"")</f>
        <v/>
      </c>
      <c r="BS287">
        <f>IFERROR(IF(BR287*AA287=0,"",BR287*AA287),"")</f>
        <v/>
      </c>
    </row>
    <row r="288">
      <c r="O288">
        <f>IFERROR(INDEX('_courses_lookup'!$C:$C,MATCH(K288&amp;L288,'_courses_lookup'!$E:$E,0)),"")</f>
        <v/>
      </c>
      <c r="P288">
        <f>IFERROR(INDEX('_courses_lookup'!$D:$D,MATCH(K288&amp;L288,'_courses_lookup'!$E:$E,0)),"")</f>
        <v/>
      </c>
      <c r="AG288">
        <f>IF(AND(AE288&lt;&gt;"",AF288&lt;&gt;""),ROUNDUP((AF288-AE288)/7,0),"")</f>
        <v/>
      </c>
      <c r="AI288">
        <f>IFERROR(IF(AG288*AH288=0,"",AG288*AH288),"")</f>
        <v/>
      </c>
      <c r="AL288">
        <f>IF(AND(AJ288&lt;&gt;"",AK288&lt;&gt;""),ROUNDUP((AK288-AJ288)/7,0),"")</f>
        <v/>
      </c>
      <c r="AN288">
        <f>IFERROR(IF(AL288*AM288=0,"",AL288*AM288),"")</f>
        <v/>
      </c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L288">
        <f>IFERROR(INDEX('_names_lookup'!$C:$C,MATCH(BK288,'_names_lookup'!$A:$A,0)),"")</f>
        <v/>
      </c>
      <c r="BM288">
        <f>IFERROR(INDEX('_names_lookup'!$B:$B,MATCH(BK288,'_names_lookup'!$A:$A,0)),"")</f>
        <v/>
      </c>
      <c r="BS288">
        <f>IFERROR(IF(BR288*AA288=0,"",BR288*AA288),"")</f>
        <v/>
      </c>
    </row>
    <row r="289">
      <c r="O289">
        <f>IFERROR(INDEX('_courses_lookup'!$C:$C,MATCH(K289&amp;L289,'_courses_lookup'!$E:$E,0)),"")</f>
        <v/>
      </c>
      <c r="P289">
        <f>IFERROR(INDEX('_courses_lookup'!$D:$D,MATCH(K289&amp;L289,'_courses_lookup'!$E:$E,0)),"")</f>
        <v/>
      </c>
      <c r="AG289">
        <f>IF(AND(AE289&lt;&gt;"",AF289&lt;&gt;""),ROUNDUP((AF289-AE289)/7,0),"")</f>
        <v/>
      </c>
      <c r="AI289">
        <f>IFERROR(IF(AG289*AH289=0,"",AG289*AH289),"")</f>
        <v/>
      </c>
      <c r="AL289">
        <f>IF(AND(AJ289&lt;&gt;"",AK289&lt;&gt;""),ROUNDUP((AK289-AJ289)/7,0),"")</f>
        <v/>
      </c>
      <c r="AN289">
        <f>IFERROR(IF(AL289*AM289=0,"",AL289*AM289),"")</f>
        <v/>
      </c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L289">
        <f>IFERROR(INDEX('_names_lookup'!$C:$C,MATCH(BK289,'_names_lookup'!$A:$A,0)),"")</f>
        <v/>
      </c>
      <c r="BM289">
        <f>IFERROR(INDEX('_names_lookup'!$B:$B,MATCH(BK289,'_names_lookup'!$A:$A,0)),"")</f>
        <v/>
      </c>
      <c r="BS289">
        <f>IFERROR(IF(BR289*AA289=0,"",BR289*AA289),"")</f>
        <v/>
      </c>
    </row>
    <row r="290">
      <c r="O290">
        <f>IFERROR(INDEX('_courses_lookup'!$C:$C,MATCH(K290&amp;L290,'_courses_lookup'!$E:$E,0)),"")</f>
        <v/>
      </c>
      <c r="P290">
        <f>IFERROR(INDEX('_courses_lookup'!$D:$D,MATCH(K290&amp;L290,'_courses_lookup'!$E:$E,0)),"")</f>
        <v/>
      </c>
      <c r="AG290">
        <f>IF(AND(AE290&lt;&gt;"",AF290&lt;&gt;""),ROUNDUP((AF290-AE290)/7,0),"")</f>
        <v/>
      </c>
      <c r="AI290">
        <f>IFERROR(IF(AG290*AH290=0,"",AG290*AH290),"")</f>
        <v/>
      </c>
      <c r="AL290">
        <f>IF(AND(AJ290&lt;&gt;"",AK290&lt;&gt;""),ROUNDUP((AK290-AJ290)/7,0),"")</f>
        <v/>
      </c>
      <c r="AN290">
        <f>IFERROR(IF(AL290*AM290=0,"",AL290*AM290),"")</f>
        <v/>
      </c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L290">
        <f>IFERROR(INDEX('_names_lookup'!$C:$C,MATCH(BK290,'_names_lookup'!$A:$A,0)),"")</f>
        <v/>
      </c>
      <c r="BM290">
        <f>IFERROR(INDEX('_names_lookup'!$B:$B,MATCH(BK290,'_names_lookup'!$A:$A,0)),"")</f>
        <v/>
      </c>
      <c r="BS290">
        <f>IFERROR(IF(BR290*AA290=0,"",BR290*AA290),"")</f>
        <v/>
      </c>
    </row>
    <row r="291">
      <c r="O291">
        <f>IFERROR(INDEX('_courses_lookup'!$C:$C,MATCH(K291&amp;L291,'_courses_lookup'!$E:$E,0)),"")</f>
        <v/>
      </c>
      <c r="P291">
        <f>IFERROR(INDEX('_courses_lookup'!$D:$D,MATCH(K291&amp;L291,'_courses_lookup'!$E:$E,0)),"")</f>
        <v/>
      </c>
      <c r="AG291">
        <f>IF(AND(AE291&lt;&gt;"",AF291&lt;&gt;""),ROUNDUP((AF291-AE291)/7,0),"")</f>
        <v/>
      </c>
      <c r="AI291">
        <f>IFERROR(IF(AG291*AH291=0,"",AG291*AH291),"")</f>
        <v/>
      </c>
      <c r="AL291">
        <f>IF(AND(AJ291&lt;&gt;"",AK291&lt;&gt;""),ROUNDUP((AK291-AJ291)/7,0),"")</f>
        <v/>
      </c>
      <c r="AN291">
        <f>IFERROR(IF(AL291*AM291=0,"",AL291*AM291),"")</f>
        <v/>
      </c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L291">
        <f>IFERROR(INDEX('_names_lookup'!$C:$C,MATCH(BK291,'_names_lookup'!$A:$A,0)),"")</f>
        <v/>
      </c>
      <c r="BM291">
        <f>IFERROR(INDEX('_names_lookup'!$B:$B,MATCH(BK291,'_names_lookup'!$A:$A,0)),"")</f>
        <v/>
      </c>
      <c r="BS291">
        <f>IFERROR(IF(BR291*AA291=0,"",BR291*AA291),"")</f>
        <v/>
      </c>
    </row>
    <row r="292">
      <c r="O292">
        <f>IFERROR(INDEX('_courses_lookup'!$C:$C,MATCH(K292&amp;L292,'_courses_lookup'!$E:$E,0)),"")</f>
        <v/>
      </c>
      <c r="P292">
        <f>IFERROR(INDEX('_courses_lookup'!$D:$D,MATCH(K292&amp;L292,'_courses_lookup'!$E:$E,0)),"")</f>
        <v/>
      </c>
      <c r="AG292">
        <f>IF(AND(AE292&lt;&gt;"",AF292&lt;&gt;""),ROUNDUP((AF292-AE292)/7,0),"")</f>
        <v/>
      </c>
      <c r="AI292">
        <f>IFERROR(IF(AG292*AH292=0,"",AG292*AH292),"")</f>
        <v/>
      </c>
      <c r="AL292">
        <f>IF(AND(AJ292&lt;&gt;"",AK292&lt;&gt;""),ROUNDUP((AK292-AJ292)/7,0),"")</f>
        <v/>
      </c>
      <c r="AN292">
        <f>IFERROR(IF(AL292*AM292=0,"",AL292*AM292),"")</f>
        <v/>
      </c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L292">
        <f>IFERROR(INDEX('_names_lookup'!$C:$C,MATCH(BK292,'_names_lookup'!$A:$A,0)),"")</f>
        <v/>
      </c>
      <c r="BM292">
        <f>IFERROR(INDEX('_names_lookup'!$B:$B,MATCH(BK292,'_names_lookup'!$A:$A,0)),"")</f>
        <v/>
      </c>
      <c r="BS292">
        <f>IFERROR(IF(BR292*AA292=0,"",BR292*AA292),"")</f>
        <v/>
      </c>
    </row>
    <row r="293">
      <c r="O293">
        <f>IFERROR(INDEX('_courses_lookup'!$C:$C,MATCH(K293&amp;L293,'_courses_lookup'!$E:$E,0)),"")</f>
        <v/>
      </c>
      <c r="P293">
        <f>IFERROR(INDEX('_courses_lookup'!$D:$D,MATCH(K293&amp;L293,'_courses_lookup'!$E:$E,0)),"")</f>
        <v/>
      </c>
      <c r="AG293">
        <f>IF(AND(AE293&lt;&gt;"",AF293&lt;&gt;""),ROUNDUP((AF293-AE293)/7,0),"")</f>
        <v/>
      </c>
      <c r="AI293">
        <f>IFERROR(IF(AG293*AH293=0,"",AG293*AH293),"")</f>
        <v/>
      </c>
      <c r="AL293">
        <f>IF(AND(AJ293&lt;&gt;"",AK293&lt;&gt;""),ROUNDUP((AK293-AJ293)/7,0),"")</f>
        <v/>
      </c>
      <c r="AN293">
        <f>IFERROR(IF(AL293*AM293=0,"",AL293*AM293),"")</f>
        <v/>
      </c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L293">
        <f>IFERROR(INDEX('_names_lookup'!$C:$C,MATCH(BK293,'_names_lookup'!$A:$A,0)),"")</f>
        <v/>
      </c>
      <c r="BM293">
        <f>IFERROR(INDEX('_names_lookup'!$B:$B,MATCH(BK293,'_names_lookup'!$A:$A,0)),"")</f>
        <v/>
      </c>
      <c r="BS293">
        <f>IFERROR(IF(BR293*AA293=0,"",BR293*AA293),"")</f>
        <v/>
      </c>
    </row>
    <row r="294">
      <c r="O294">
        <f>IFERROR(INDEX('_courses_lookup'!$C:$C,MATCH(K294&amp;L294,'_courses_lookup'!$E:$E,0)),"")</f>
        <v/>
      </c>
      <c r="P294">
        <f>IFERROR(INDEX('_courses_lookup'!$D:$D,MATCH(K294&amp;L294,'_courses_lookup'!$E:$E,0)),"")</f>
        <v/>
      </c>
      <c r="AG294">
        <f>IF(AND(AE294&lt;&gt;"",AF294&lt;&gt;""),ROUNDUP((AF294-AE294)/7,0),"")</f>
        <v/>
      </c>
      <c r="AI294">
        <f>IFERROR(IF(AG294*AH294=0,"",AG294*AH294),"")</f>
        <v/>
      </c>
      <c r="AL294">
        <f>IF(AND(AJ294&lt;&gt;"",AK294&lt;&gt;""),ROUNDUP((AK294-AJ294)/7,0),"")</f>
        <v/>
      </c>
      <c r="AN294">
        <f>IFERROR(IF(AL294*AM294=0,"",AL294*AM294),"")</f>
        <v/>
      </c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L294">
        <f>IFERROR(INDEX('_names_lookup'!$C:$C,MATCH(BK294,'_names_lookup'!$A:$A,0)),"")</f>
        <v/>
      </c>
      <c r="BM294">
        <f>IFERROR(INDEX('_names_lookup'!$B:$B,MATCH(BK294,'_names_lookup'!$A:$A,0)),"")</f>
        <v/>
      </c>
      <c r="BS294">
        <f>IFERROR(IF(BR294*AA294=0,"",BR294*AA294),"")</f>
        <v/>
      </c>
    </row>
    <row r="295">
      <c r="O295">
        <f>IFERROR(INDEX('_courses_lookup'!$C:$C,MATCH(K295&amp;L295,'_courses_lookup'!$E:$E,0)),"")</f>
        <v/>
      </c>
      <c r="P295">
        <f>IFERROR(INDEX('_courses_lookup'!$D:$D,MATCH(K295&amp;L295,'_courses_lookup'!$E:$E,0)),"")</f>
        <v/>
      </c>
      <c r="AG295">
        <f>IF(AND(AE295&lt;&gt;"",AF295&lt;&gt;""),ROUNDUP((AF295-AE295)/7,0),"")</f>
        <v/>
      </c>
      <c r="AI295">
        <f>IFERROR(IF(AG295*AH295=0,"",AG295*AH295),"")</f>
        <v/>
      </c>
      <c r="AL295">
        <f>IF(AND(AJ295&lt;&gt;"",AK295&lt;&gt;""),ROUNDUP((AK295-AJ295)/7,0),"")</f>
        <v/>
      </c>
      <c r="AN295">
        <f>IFERROR(IF(AL295*AM295=0,"",AL295*AM295),"")</f>
        <v/>
      </c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L295">
        <f>IFERROR(INDEX('_names_lookup'!$C:$C,MATCH(BK295,'_names_lookup'!$A:$A,0)),"")</f>
        <v/>
      </c>
      <c r="BM295">
        <f>IFERROR(INDEX('_names_lookup'!$B:$B,MATCH(BK295,'_names_lookup'!$A:$A,0)),"")</f>
        <v/>
      </c>
      <c r="BS295">
        <f>IFERROR(IF(BR295*AA295=0,"",BR295*AA295),"")</f>
        <v/>
      </c>
    </row>
    <row r="296">
      <c r="O296">
        <f>IFERROR(INDEX('_courses_lookup'!$C:$C,MATCH(K296&amp;L296,'_courses_lookup'!$E:$E,0)),"")</f>
        <v/>
      </c>
      <c r="P296">
        <f>IFERROR(INDEX('_courses_lookup'!$D:$D,MATCH(K296&amp;L296,'_courses_lookup'!$E:$E,0)),"")</f>
        <v/>
      </c>
      <c r="AG296">
        <f>IF(AND(AE296&lt;&gt;"",AF296&lt;&gt;""),ROUNDUP((AF296-AE296)/7,0),"")</f>
        <v/>
      </c>
      <c r="AI296">
        <f>IFERROR(IF(AG296*AH296=0,"",AG296*AH296),"")</f>
        <v/>
      </c>
      <c r="AL296">
        <f>IF(AND(AJ296&lt;&gt;"",AK296&lt;&gt;""),ROUNDUP((AK296-AJ296)/7,0),"")</f>
        <v/>
      </c>
      <c r="AN296">
        <f>IFERROR(IF(AL296*AM296=0,"",AL296*AM296),"")</f>
        <v/>
      </c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L296">
        <f>IFERROR(INDEX('_names_lookup'!$C:$C,MATCH(BK296,'_names_lookup'!$A:$A,0)),"")</f>
        <v/>
      </c>
      <c r="BM296">
        <f>IFERROR(INDEX('_names_lookup'!$B:$B,MATCH(BK296,'_names_lookup'!$A:$A,0)),"")</f>
        <v/>
      </c>
      <c r="BS296">
        <f>IFERROR(IF(BR296*AA296=0,"",BR296*AA296),"")</f>
        <v/>
      </c>
    </row>
    <row r="297">
      <c r="O297">
        <f>IFERROR(INDEX('_courses_lookup'!$C:$C,MATCH(K297&amp;L297,'_courses_lookup'!$E:$E,0)),"")</f>
        <v/>
      </c>
      <c r="P297">
        <f>IFERROR(INDEX('_courses_lookup'!$D:$D,MATCH(K297&amp;L297,'_courses_lookup'!$E:$E,0)),"")</f>
        <v/>
      </c>
      <c r="AG297">
        <f>IF(AND(AE297&lt;&gt;"",AF297&lt;&gt;""),ROUNDUP((AF297-AE297)/7,0),"")</f>
        <v/>
      </c>
      <c r="AI297">
        <f>IFERROR(IF(AG297*AH297=0,"",AG297*AH297),"")</f>
        <v/>
      </c>
      <c r="AL297">
        <f>IF(AND(AJ297&lt;&gt;"",AK297&lt;&gt;""),ROUNDUP((AK297-AJ297)/7,0),"")</f>
        <v/>
      </c>
      <c r="AN297">
        <f>IFERROR(IF(AL297*AM297=0,"",AL297*AM297),"")</f>
        <v/>
      </c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L297">
        <f>IFERROR(INDEX('_names_lookup'!$C:$C,MATCH(BK297,'_names_lookup'!$A:$A,0)),"")</f>
        <v/>
      </c>
      <c r="BM297">
        <f>IFERROR(INDEX('_names_lookup'!$B:$B,MATCH(BK297,'_names_lookup'!$A:$A,0)),"")</f>
        <v/>
      </c>
      <c r="BS297">
        <f>IFERROR(IF(BR297*AA297=0,"",BR297*AA297),"")</f>
        <v/>
      </c>
    </row>
    <row r="298">
      <c r="O298">
        <f>IFERROR(INDEX('_courses_lookup'!$C:$C,MATCH(K298&amp;L298,'_courses_lookup'!$E:$E,0)),"")</f>
        <v/>
      </c>
      <c r="P298">
        <f>IFERROR(INDEX('_courses_lookup'!$D:$D,MATCH(K298&amp;L298,'_courses_lookup'!$E:$E,0)),"")</f>
        <v/>
      </c>
      <c r="AG298">
        <f>IF(AND(AE298&lt;&gt;"",AF298&lt;&gt;""),ROUNDUP((AF298-AE298)/7,0),"")</f>
        <v/>
      </c>
      <c r="AI298">
        <f>IFERROR(IF(AG298*AH298=0,"",AG298*AH298),"")</f>
        <v/>
      </c>
      <c r="AL298">
        <f>IF(AND(AJ298&lt;&gt;"",AK298&lt;&gt;""),ROUNDUP((AK298-AJ298)/7,0),"")</f>
        <v/>
      </c>
      <c r="AN298">
        <f>IFERROR(IF(AL298*AM298=0,"",AL298*AM298),"")</f>
        <v/>
      </c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L298">
        <f>IFERROR(INDEX('_names_lookup'!$C:$C,MATCH(BK298,'_names_lookup'!$A:$A,0)),"")</f>
        <v/>
      </c>
      <c r="BM298">
        <f>IFERROR(INDEX('_names_lookup'!$B:$B,MATCH(BK298,'_names_lookup'!$A:$A,0)),"")</f>
        <v/>
      </c>
      <c r="BS298">
        <f>IFERROR(IF(BR298*AA298=0,"",BR298*AA298),"")</f>
        <v/>
      </c>
    </row>
    <row r="299">
      <c r="O299">
        <f>IFERROR(INDEX('_courses_lookup'!$C:$C,MATCH(K299&amp;L299,'_courses_lookup'!$E:$E,0)),"")</f>
        <v/>
      </c>
      <c r="P299">
        <f>IFERROR(INDEX('_courses_lookup'!$D:$D,MATCH(K299&amp;L299,'_courses_lookup'!$E:$E,0)),"")</f>
        <v/>
      </c>
      <c r="AG299">
        <f>IF(AND(AE299&lt;&gt;"",AF299&lt;&gt;""),ROUNDUP((AF299-AE299)/7,0),"")</f>
        <v/>
      </c>
      <c r="AI299">
        <f>IFERROR(IF(AG299*AH299=0,"",AG299*AH299),"")</f>
        <v/>
      </c>
      <c r="AL299">
        <f>IF(AND(AJ299&lt;&gt;"",AK299&lt;&gt;""),ROUNDUP((AK299-AJ299)/7,0),"")</f>
        <v/>
      </c>
      <c r="AN299">
        <f>IFERROR(IF(AL299*AM299=0,"",AL299*AM299),"")</f>
        <v/>
      </c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L299">
        <f>IFERROR(INDEX('_names_lookup'!$C:$C,MATCH(BK299,'_names_lookup'!$A:$A,0)),"")</f>
        <v/>
      </c>
      <c r="BM299">
        <f>IFERROR(INDEX('_names_lookup'!$B:$B,MATCH(BK299,'_names_lookup'!$A:$A,0)),"")</f>
        <v/>
      </c>
      <c r="BS299">
        <f>IFERROR(IF(BR299*AA299=0,"",BR299*AA299),"")</f>
        <v/>
      </c>
    </row>
    <row r="300">
      <c r="O300">
        <f>IFERROR(INDEX('_courses_lookup'!$C:$C,MATCH(K300&amp;L300,'_courses_lookup'!$E:$E,0)),"")</f>
        <v/>
      </c>
      <c r="P300">
        <f>IFERROR(INDEX('_courses_lookup'!$D:$D,MATCH(K300&amp;L300,'_courses_lookup'!$E:$E,0)),"")</f>
        <v/>
      </c>
      <c r="AG300">
        <f>IF(AND(AE300&lt;&gt;"",AF300&lt;&gt;""),ROUNDUP((AF300-AE300)/7,0),"")</f>
        <v/>
      </c>
      <c r="AI300">
        <f>IFERROR(IF(AG300*AH300=0,"",AG300*AH300),"")</f>
        <v/>
      </c>
      <c r="AL300">
        <f>IF(AND(AJ300&lt;&gt;"",AK300&lt;&gt;""),ROUNDUP((AK300-AJ300)/7,0),"")</f>
        <v/>
      </c>
      <c r="AN300">
        <f>IFERROR(IF(AL300*AM300=0,"",AL300*AM300),"")</f>
        <v/>
      </c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L300">
        <f>IFERROR(INDEX('_names_lookup'!$C:$C,MATCH(BK300,'_names_lookup'!$A:$A,0)),"")</f>
        <v/>
      </c>
      <c r="BM300">
        <f>IFERROR(INDEX('_names_lookup'!$B:$B,MATCH(BK300,'_names_lookup'!$A:$A,0)),"")</f>
        <v/>
      </c>
      <c r="BS300">
        <f>IFERROR(IF(BR300*AA300=0,"",BR300*AA300),"")</f>
        <v/>
      </c>
    </row>
  </sheetData>
  <autoFilter ref="A1:DQ40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='DropDownMenu'!$BC$2:$BC$259</formula1>
    </dataValidation>
    <dataValidation sqref="BL2:BL5000" showDropDown="0" showInputMessage="0" showErrorMessage="0" allowBlank="1" type="list">
      <formula1>='DropDownMenu'!$BD$2:$BD$253</formula1>
    </dataValidation>
    <dataValidation sqref="BM2:BM5000" showDropDown="0" showInputMessage="0" showErrorMessage="0" allowBlank="1" type="list">
      <formula1>='DropDownMenu'!$BE$2:$BE$259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tabSelected="1" showOutlineSymbols="1" zoomScale="139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N12" sqref="N12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23" t="inlineStr">
        <is>
          <t>Don {not in Banner}</t>
        </is>
      </c>
      <c r="B1" s="23" t="inlineStr">
        <is>
          <t>Mismatching {not in Banner}</t>
        </is>
      </c>
      <c r="C1" s="23" t="inlineStr">
        <is>
          <t>Dept/Prog Admin {not in Banner}</t>
        </is>
      </c>
      <c r="D1" s="23" t="inlineStr">
        <is>
          <t>Mona {not in Banner}</t>
        </is>
      </c>
      <c r="E1" s="23" t="inlineStr">
        <is>
          <t>Karen {not in Banner}</t>
        </is>
      </c>
      <c r="F1" s="23" t="inlineStr">
        <is>
          <t>DONE {not in Banner}</t>
        </is>
      </c>
      <c r="G1" s="24" t="inlineStr">
        <is>
          <t>Notes {not in Banner}</t>
        </is>
      </c>
      <c r="H1" s="23" t="inlineStr">
        <is>
          <t>CRN sorted {not in Banner}</t>
        </is>
      </c>
      <c r="I1" s="23" t="inlineStr">
        <is>
          <t>CRN</t>
        </is>
      </c>
      <c r="J1" s="23" t="inlineStr">
        <is>
          <t>Attribute {not in Banner}</t>
        </is>
      </c>
      <c r="K1" s="23" t="inlineStr">
        <is>
          <t>Subject</t>
        </is>
      </c>
      <c r="L1" s="23" t="inlineStr">
        <is>
          <t>Course Number {Crse Num}</t>
        </is>
      </c>
      <c r="M1" s="23" t="inlineStr">
        <is>
          <t>Course Section {Seq Crse Num}</t>
        </is>
      </c>
      <c r="N1" s="23" t="inlineStr">
        <is>
          <t>Program {not in Banner}</t>
        </is>
      </c>
      <c r="O1" s="23" t="inlineStr">
        <is>
          <t>Catalog Title</t>
        </is>
      </c>
      <c r="P1" s="23" t="inlineStr">
        <is>
          <t>Section Title</t>
        </is>
      </c>
      <c r="Q1" s="23" t="inlineStr">
        <is>
          <t>Crosslist Details {not in Banner}</t>
        </is>
      </c>
      <c r="R1" s="23" t="inlineStr">
        <is>
          <t>X Lst</t>
        </is>
      </c>
      <c r="S1" s="23" t="inlineStr">
        <is>
          <t>Campus {Ssasect Campus}</t>
        </is>
      </c>
      <c r="T1" s="23" t="inlineStr">
        <is>
          <t>Campus Restriction {Camp Restr CC}</t>
        </is>
      </c>
      <c r="U1" s="23" t="inlineStr">
        <is>
          <t>Schedule Type {not in Banner}</t>
        </is>
      </c>
      <c r="V1" s="23" t="inlineStr">
        <is>
          <t>Instruction Method {Inst Method}</t>
        </is>
      </c>
      <c r="W1" s="23" t="inlineStr">
        <is>
          <t>Level {Level SC}</t>
        </is>
      </c>
      <c r="X1" s="23" t="inlineStr">
        <is>
          <t>Part-Of-Term</t>
        </is>
      </c>
      <c r="Y1" s="23" t="inlineStr">
        <is>
          <t>Credit Catalog {Cat Crs}</t>
        </is>
      </c>
      <c r="Z1" s="23" t="inlineStr">
        <is>
          <t>Credits {Sect Crs}</t>
        </is>
      </c>
      <c r="AA1" s="23" t="inlineStr">
        <is>
          <t>Faculty Load / Contract Credits {not in Banner}</t>
        </is>
      </c>
      <c r="AB1" s="23" t="inlineStr">
        <is>
          <t>Enrollment Cap {Max Enrl}</t>
        </is>
      </c>
      <c r="AC1" s="23" t="inlineStr">
        <is>
          <t>Meeting Type</t>
        </is>
      </c>
      <c r="AD1" s="23" t="inlineStr">
        <is>
          <t>Semester Start Date {Soaterm Start Date}</t>
        </is>
      </c>
      <c r="AE1" s="23" t="inlineStr">
        <is>
          <t>Pre-work Start Date {not in Banner}</t>
        </is>
      </c>
      <c r="AF1" s="23" t="inlineStr">
        <is>
          <t>Pre-work End Date {not in Banner}</t>
        </is>
      </c>
      <c r="AG1" s="25" t="inlineStr">
        <is>
          <t>pre-work # of weeks {not in Banner}</t>
        </is>
      </c>
      <c r="AH1" s="25" t="inlineStr">
        <is>
          <t>pre-work hours/week {not in Banner}</t>
        </is>
      </c>
      <c r="AI1" s="25" t="inlineStr">
        <is>
          <t>pre-work hours/period {not in Banner}</t>
        </is>
      </c>
      <c r="AJ1" s="23" t="inlineStr">
        <is>
          <t>Intensive Period Start Date {Meet Start Date}</t>
        </is>
      </c>
      <c r="AK1" s="23" t="inlineStr">
        <is>
          <t>Intensive Period End Date {Meet End Date}</t>
        </is>
      </c>
      <c r="AL1" s="25" t="inlineStr">
        <is>
          <t>intensive # of weeks {not in Banner}</t>
        </is>
      </c>
      <c r="AM1" s="25" t="inlineStr">
        <is>
          <t>intensive hours/week {not in Banner}</t>
        </is>
      </c>
      <c r="AN1" s="25" t="inlineStr">
        <is>
          <t>intensive hours/period {not in Banner}</t>
        </is>
      </c>
      <c r="AO1" s="23" t="inlineStr">
        <is>
          <t>Post-work Start Date {not in Banner}</t>
        </is>
      </c>
      <c r="AP1" s="23" t="inlineStr">
        <is>
          <t>Post-work End Date {not in Banner}</t>
        </is>
      </c>
      <c r="AQ1" s="25" t="inlineStr">
        <is>
          <t>post-work # of weeks {not in Banner}</t>
        </is>
      </c>
      <c r="AR1" s="25" t="inlineStr">
        <is>
          <t>post-work hours/week {not in Banner}</t>
        </is>
      </c>
      <c r="AS1" s="25" t="inlineStr">
        <is>
          <t>post-work hours/period {not in Banner}</t>
        </is>
      </c>
      <c r="AT1" s="25" t="inlineStr">
        <is>
          <t>sum of weeks (for check) {not in Banner}</t>
        </is>
      </c>
      <c r="AU1" s="25" t="inlineStr">
        <is>
          <t>total contract hours {not in Banner}</t>
        </is>
      </c>
      <c r="AV1" s="23" t="inlineStr">
        <is>
          <t>Semester End Date {Soaterm End Date}</t>
        </is>
      </c>
      <c r="AW1" s="23" t="inlineStr">
        <is>
          <t>Course Beginning Time {Meet Beg Time}</t>
        </is>
      </c>
      <c r="AX1" s="23" t="inlineStr">
        <is>
          <t>Course Ending Time {Meet End Time}</t>
        </is>
      </c>
      <c r="AY1" s="23" t="inlineStr">
        <is>
          <t>SUN</t>
        </is>
      </c>
      <c r="AZ1" s="23" t="inlineStr">
        <is>
          <t>MON</t>
        </is>
      </c>
      <c r="BA1" s="23" t="inlineStr">
        <is>
          <t>TUE</t>
        </is>
      </c>
      <c r="BB1" s="23" t="inlineStr">
        <is>
          <t>WED</t>
        </is>
      </c>
      <c r="BC1" s="23" t="inlineStr">
        <is>
          <t>THU</t>
        </is>
      </c>
      <c r="BD1" s="23" t="inlineStr">
        <is>
          <t>FRI</t>
        </is>
      </c>
      <c r="BE1" s="23" t="inlineStr">
        <is>
          <t>SAT</t>
        </is>
      </c>
      <c r="BF1" s="23" t="inlineStr">
        <is>
          <t>Weeks</t>
        </is>
      </c>
      <c r="BG1" s="23" t="inlineStr">
        <is>
          <t>Fiscal Year {not in Banner}</t>
        </is>
      </c>
      <c r="BH1" s="25" t="inlineStr">
        <is>
          <t>Semester {not in Banner}</t>
        </is>
      </c>
      <c r="BI1" s="23" t="inlineStr">
        <is>
          <t>Room {Meet Room}</t>
        </is>
      </c>
      <c r="BJ1" s="23" t="inlineStr">
        <is>
          <t>Building {Meet Bldg}</t>
        </is>
      </c>
      <c r="BK1" s="23" t="inlineStr">
        <is>
          <t>Instructor Name {Instr Name}</t>
        </is>
      </c>
      <c r="BL1" s="23" t="inlineStr">
        <is>
          <t>Instructor Email {Instr Email}</t>
        </is>
      </c>
      <c r="BM1" s="23" t="inlineStr">
        <is>
          <t>Instructor ID {Instr ID}</t>
        </is>
      </c>
      <c r="BN1" s="25" t="inlineStr">
        <is>
          <t>Remote Employee {not in Banner}</t>
        </is>
      </c>
      <c r="BO1" s="23" t="inlineStr">
        <is>
          <t>% Responsibility</t>
        </is>
      </c>
      <c r="BP1" s="23" t="inlineStr">
        <is>
          <t>load/contract {not in Banner}</t>
        </is>
      </c>
      <c r="BQ1" s="25" t="inlineStr">
        <is>
          <t>Reason for Contract {not in Banner}</t>
        </is>
      </c>
      <c r="BR1" s="25" t="inlineStr">
        <is>
          <t>costs per credit {not in Banner}</t>
        </is>
      </c>
      <c r="BS1" s="25" t="inlineStr">
        <is>
          <t>total costs {not in Banner}</t>
        </is>
      </c>
      <c r="BT1" s="25" t="inlineStr">
        <is>
          <t>dept budget {not in Banner}</t>
        </is>
      </c>
      <c r="BU1" s="25" t="inlineStr">
        <is>
          <t>account to be charged {not in Banner}</t>
        </is>
      </c>
      <c r="BV1" s="25" t="inlineStr">
        <is>
          <t>SEM Department {Scacrse Dept}</t>
        </is>
      </c>
      <c r="BW1" s="26" t="inlineStr">
        <is>
          <t>dean email</t>
        </is>
      </c>
      <c r="BX1" s="26" t="inlineStr">
        <is>
          <t>VP finance email</t>
        </is>
      </c>
      <c r="BY1" s="26" t="inlineStr">
        <is>
          <t>HR email</t>
        </is>
      </c>
      <c r="BZ1" s="26" t="inlineStr">
        <is>
          <t>Fee Amount {Fees Amt}</t>
        </is>
      </c>
      <c r="CA1" s="26" t="inlineStr">
        <is>
          <t>Fee Code {Detl Code}</t>
        </is>
      </c>
      <c r="CB1" s="26" t="inlineStr">
        <is>
          <t>Fee Type</t>
        </is>
      </c>
      <c r="CC1" s="26" t="inlineStr">
        <is>
          <t>Fee Level</t>
        </is>
      </c>
      <c r="CD1" s="26" t="inlineStr">
        <is>
          <t>Fee Ind</t>
        </is>
      </c>
      <c r="CE1" s="26" t="inlineStr">
        <is>
          <t>Fee Term</t>
        </is>
      </c>
      <c r="CF1" s="26" t="inlineStr">
        <is>
          <t>Activity Date</t>
        </is>
      </c>
      <c r="CG1" s="26" t="inlineStr">
        <is>
          <t>Status</t>
        </is>
      </c>
      <c r="CH1" s="26" t="inlineStr">
        <is>
          <t>Bill Hrs</t>
        </is>
      </c>
      <c r="CI1" s="26" t="inlineStr">
        <is>
          <t>Sect Sch Type</t>
        </is>
      </c>
      <c r="CJ1" s="26" t="inlineStr">
        <is>
          <t>Prerequisites {Preq Areas}</t>
        </is>
      </c>
      <c r="CK1" s="26" t="inlineStr">
        <is>
          <t>Link Ind</t>
        </is>
      </c>
      <c r="CL1" s="26" t="inlineStr">
        <is>
          <t>Integration Code</t>
        </is>
      </c>
      <c r="CM1" s="26" t="inlineStr">
        <is>
          <t>Link Conn</t>
        </is>
      </c>
      <c r="CN1" s="26" t="inlineStr">
        <is>
          <t>Crs Attr</t>
        </is>
      </c>
      <c r="CO1" s="26" t="inlineStr">
        <is>
          <t>Comments</t>
        </is>
      </c>
      <c r="CP1" s="26" t="inlineStr">
        <is>
          <t>Major Restr</t>
        </is>
      </c>
      <c r="CQ1" s="26" t="inlineStr">
        <is>
          <t>Scacrse College</t>
        </is>
      </c>
      <c r="CR1" s="26" t="inlineStr">
        <is>
          <t>Enrolled</t>
        </is>
      </c>
      <c r="CS1" s="26" t="inlineStr">
        <is>
          <t>Waitlist Capacity</t>
        </is>
      </c>
      <c r="CT1" s="26" t="inlineStr">
        <is>
          <t>Primary Ind</t>
        </is>
      </c>
      <c r="CU1" s="26" t="inlineStr">
        <is>
          <t>Override</t>
        </is>
      </c>
      <c r="CV1" s="26" t="inlineStr">
        <is>
          <t>1st Date Reg Opens</t>
        </is>
      </c>
      <c r="CW1" s="26" t="inlineStr">
        <is>
          <t>Last Date Reg Opens</t>
        </is>
      </c>
      <c r="CX1" s="26" t="inlineStr">
        <is>
          <t>OL Range From Date</t>
        </is>
      </c>
      <c r="CY1" s="26" t="inlineStr">
        <is>
          <t>OL Range To Date</t>
        </is>
      </c>
      <c r="CZ1" s="26" t="inlineStr">
        <is>
          <t>OL Numb Units</t>
        </is>
      </c>
      <c r="DA1" s="26" t="inlineStr">
        <is>
          <t>OL Duration Code</t>
        </is>
      </c>
      <c r="DB1" s="26" t="inlineStr">
        <is>
          <t>Grade Mode</t>
        </is>
      </c>
      <c r="DC1" s="26" t="inlineStr">
        <is>
          <t>Gradable Ind</t>
        </is>
      </c>
      <c r="DD1" s="26" t="inlineStr">
        <is>
          <t>Tuit Waiver</t>
        </is>
      </c>
      <c r="DE1" s="26" t="inlineStr">
        <is>
          <t>Course Override {Meet Override}</t>
        </is>
      </c>
      <c r="DF1" s="26" t="inlineStr">
        <is>
          <t>Lvl Res Ind</t>
        </is>
      </c>
      <c r="DG1" s="26" t="inlineStr">
        <is>
          <t>Cmp Res Ind</t>
        </is>
      </c>
      <c r="DH1" s="26" t="inlineStr">
        <is>
          <t>Rate Code</t>
        </is>
      </c>
      <c r="DI1" s="26" t="inlineStr">
        <is>
          <t>Cohort Code</t>
        </is>
      </c>
      <c r="DJ1" s="26" t="inlineStr">
        <is>
          <t>St Attr Code</t>
        </is>
      </c>
      <c r="DK1" s="26" t="inlineStr">
        <is>
          <t>Coll SC</t>
        </is>
      </c>
      <c r="DL1" s="26" t="inlineStr">
        <is>
          <t>DegC SC</t>
        </is>
      </c>
      <c r="DM1" s="26" t="inlineStr">
        <is>
          <t>Prog SC</t>
        </is>
      </c>
      <c r="DN1" s="26" t="inlineStr">
        <is>
          <t>FOS Type</t>
        </is>
      </c>
      <c r="DO1" s="26" t="inlineStr">
        <is>
          <t>Special Approval {Special Apvl}</t>
        </is>
      </c>
      <c r="DP1" s="26" t="inlineStr">
        <is>
          <t>Term Code</t>
        </is>
      </c>
      <c r="DQ1" s="26" t="inlineStr">
        <is>
          <t>Camp SC</t>
        </is>
      </c>
    </row>
    <row r="2">
      <c r="O2">
        <f>IFERROR(INDEX('_courses_lookup'!$C:$C,MATCH(K2&amp;L2,'_courses_lookup'!$E:$E,0)),"")</f>
        <v/>
      </c>
      <c r="P2">
        <f>IFERROR(INDEX('_courses_lookup'!$D:$D,MATCH(K2&amp;L2,'_courses_lookup'!$E:$E,0)),"")</f>
        <v/>
      </c>
      <c r="AG2">
        <f>IF(AND(AE2&lt;&gt;"",AF2&lt;&gt;""),ROUNDUP((AF2-AE2)/7,0),"")</f>
        <v/>
      </c>
      <c r="AI2">
        <f>IFERROR(IF(AG2*AH2=0,"",AG2*AH2),"")</f>
        <v/>
      </c>
      <c r="AL2">
        <f>IF(AND(AJ2&lt;&gt;"",AK2&lt;&gt;""),ROUNDUP((AK2-AJ2)/7,0),"")</f>
        <v/>
      </c>
      <c r="AN2">
        <f>IFERROR(IF(AL2*AM2=0,"",AL2*AM2),"")</f>
        <v/>
      </c>
      <c r="AQ2">
        <f>IF(AND(AO2&lt;&gt;"",AP2&lt;&gt;""),ROUNDUP((AP2-AO2)/7,0),"")</f>
        <v/>
      </c>
      <c r="AR2">
        <f>IFERROR(IF((AU2-(AI2+AN2))/AQ2=0,"",ROUNDUP((AU2-(AI2+AN2))/AQ2,0)),"")</f>
        <v/>
      </c>
      <c r="AS2">
        <f>IFERROR(IF((AU2-(AI2+AN2))=0,"",(AU2-(AI2+AN2))),"")</f>
        <v/>
      </c>
      <c r="AT2">
        <f>IF(AND(AG2="",AQ2=""),AL2,IF(SUM(AG2,AL2,AQ2)=0,"",SUM(AG2,AL2,AQ2)))</f>
        <v/>
      </c>
      <c r="BG2">
        <f>IF(AD2="","",YEAR(AD2)+IF(MONTH(AD2)&gt;=5,1,0))</f>
        <v/>
      </c>
      <c r="BH2">
        <f>IF(AD2="","",IF(AND(MONTH(AD2)=8,DAY(AD2)&gt;=15),"Fall",IF(MONTH(AD2)&gt;8,"Fall",IF(MONTH(AD2)=5,"Summer",IF(MONTH(AD2)=1,"Spring","")))))</f>
        <v/>
      </c>
      <c r="BL2">
        <f>IFERROR(INDEX('_names_lookup'!$C:$C,MATCH(BK2,'_names_lookup'!$A:$A,0)),"")</f>
        <v/>
      </c>
      <c r="BM2">
        <f>IFERROR(INDEX('_names_lookup'!$B:$B,MATCH(BK2,'_names_lookup'!$A:$A,0)),"")</f>
        <v/>
      </c>
      <c r="BS2">
        <f>IFERROR(IF(BR2*AA2=0,"",BR2*AA2),"")</f>
        <v/>
      </c>
    </row>
    <row r="3">
      <c r="O3">
        <f>IFERROR(INDEX('_courses_lookup'!$C:$C,MATCH(K3&amp;L3,'_courses_lookup'!$E:$E,0)),"")</f>
        <v/>
      </c>
      <c r="P3">
        <f>IFERROR(INDEX('_courses_lookup'!$D:$D,MATCH(K3&amp;L3,'_courses_lookup'!$E:$E,0)),"")</f>
        <v/>
      </c>
      <c r="AG3">
        <f>IF(AND(AE3&lt;&gt;"",AF3&lt;&gt;""),ROUNDUP((AF3-AE3)/7,0),"")</f>
        <v/>
      </c>
      <c r="AI3">
        <f>IFERROR(IF(AG3*AH3=0,"",AG3*AH3),"")</f>
        <v/>
      </c>
      <c r="AL3">
        <f>IF(AND(AJ3&lt;&gt;"",AK3&lt;&gt;""),ROUNDUP((AK3-AJ3)/7,0),"")</f>
        <v/>
      </c>
      <c r="AN3">
        <f>IFERROR(IF(AL3*AM3=0,"",AL3*AM3),"")</f>
        <v/>
      </c>
      <c r="AQ3">
        <f>IF(AND(AO3&lt;&gt;"",AP3&lt;&gt;""),ROUNDUP((AP3-AO3)/7,0),"")</f>
        <v/>
      </c>
      <c r="AR3">
        <f>IFERROR(IF((AU3-(AI3+AN3))/AQ3=0,"",ROUNDUP((AU3-(AI3+AN3))/AQ3,0)),"")</f>
        <v/>
      </c>
      <c r="AS3">
        <f>IFERROR(IF((AU3-(AI3+AN3))=0,"",(AU3-(AI3+AN3))),"")</f>
        <v/>
      </c>
      <c r="AT3">
        <f>IF(AND(AG3="",AQ3=""),AL3,IF(SUM(AG3,AL3,AQ3)=0,"",SUM(AG3,AL3,AQ3)))</f>
        <v/>
      </c>
      <c r="BG3">
        <f>IF(AD3="","",YEAR(AD3)+IF(MONTH(AD3)&gt;=5,1,0))</f>
        <v/>
      </c>
      <c r="BH3">
        <f>IF(AD3="","",IF(AND(MONTH(AD3)=8,DAY(AD3)&gt;=15),"Fall",IF(MONTH(AD3)&gt;8,"Fall",IF(MONTH(AD3)=5,"Summer",IF(MONTH(AD3)=1,"Spring","")))))</f>
        <v/>
      </c>
      <c r="BL3">
        <f>IFERROR(INDEX('_names_lookup'!$C:$C,MATCH(BK3,'_names_lookup'!$A:$A,0)),"")</f>
        <v/>
      </c>
      <c r="BM3">
        <f>IFERROR(INDEX('_names_lookup'!$B:$B,MATCH(BK3,'_names_lookup'!$A:$A,0)),"")</f>
        <v/>
      </c>
      <c r="BS3">
        <f>IFERROR(IF(BR3*AA3=0,"",BR3*AA3),"")</f>
        <v/>
      </c>
    </row>
    <row r="4">
      <c r="O4">
        <f>IFERROR(INDEX('_courses_lookup'!$C:$C,MATCH(K4&amp;L4,'_courses_lookup'!$E:$E,0)),"")</f>
        <v/>
      </c>
      <c r="P4">
        <f>IFERROR(INDEX('_courses_lookup'!$D:$D,MATCH(K4&amp;L4,'_courses_lookup'!$E:$E,0)),"")</f>
        <v/>
      </c>
      <c r="AG4">
        <f>IF(AND(AE4&lt;&gt;"",AF4&lt;&gt;""),ROUNDUP((AF4-AE4)/7,0),"")</f>
        <v/>
      </c>
      <c r="AI4">
        <f>IFERROR(IF(AG4*AH4=0,"",AG4*AH4),"")</f>
        <v/>
      </c>
      <c r="AL4">
        <f>IF(AND(AJ4&lt;&gt;"",AK4&lt;&gt;""),ROUNDUP((AK4-AJ4)/7,0),"")</f>
        <v/>
      </c>
      <c r="AN4">
        <f>IFERROR(IF(AL4*AM4=0,"",AL4*AM4),"")</f>
        <v/>
      </c>
      <c r="AQ4">
        <f>IF(AND(AO4&lt;&gt;"",AP4&lt;&gt;""),ROUNDUP((AP4-AO4)/7,0),"")</f>
        <v/>
      </c>
      <c r="AR4">
        <f>IFERROR(IF((AU4-(AI4+AN4))/AQ4=0,"",ROUNDUP((AU4-(AI4+AN4))/AQ4,0)),"")</f>
        <v/>
      </c>
      <c r="AS4">
        <f>IFERROR(IF((AU4-(AI4+AN4))=0,"",(AU4-(AI4+AN4))),"")</f>
        <v/>
      </c>
      <c r="AT4">
        <f>IF(AND(AG4="",AQ4=""),AL4,IF(SUM(AG4,AL4,AQ4)=0,"",SUM(AG4,AL4,AQ4)))</f>
        <v/>
      </c>
      <c r="BG4">
        <f>IF(AD4="","",YEAR(AD4)+IF(MONTH(AD4)&gt;=5,1,0))</f>
        <v/>
      </c>
      <c r="BH4">
        <f>IF(AD4="","",IF(AND(MONTH(AD4)=8,DAY(AD4)&gt;=15),"Fall",IF(MONTH(AD4)&gt;8,"Fall",IF(MONTH(AD4)=5,"Summer",IF(MONTH(AD4)=1,"Spring","")))))</f>
        <v/>
      </c>
      <c r="BL4">
        <f>IFERROR(INDEX('_names_lookup'!$C:$C,MATCH(BK4,'_names_lookup'!$A:$A,0)),"")</f>
        <v/>
      </c>
      <c r="BM4">
        <f>IFERROR(INDEX('_names_lookup'!$B:$B,MATCH(BK4,'_names_lookup'!$A:$A,0)),"")</f>
        <v/>
      </c>
      <c r="BS4">
        <f>IFERROR(IF(BR4*AA4=0,"",BR4*AA4),"")</f>
        <v/>
      </c>
    </row>
    <row r="5">
      <c r="O5">
        <f>IFERROR(INDEX('_courses_lookup'!$C:$C,MATCH(K5&amp;L5,'_courses_lookup'!$E:$E,0)),"")</f>
        <v/>
      </c>
      <c r="P5">
        <f>IFERROR(INDEX('_courses_lookup'!$D:$D,MATCH(K5&amp;L5,'_courses_lookup'!$E:$E,0)),"")</f>
        <v/>
      </c>
      <c r="AG5">
        <f>IF(AND(AE5&lt;&gt;"",AF5&lt;&gt;""),ROUNDUP((AF5-AE5)/7,0),"")</f>
        <v/>
      </c>
      <c r="AI5">
        <f>IFERROR(IF(AG5*AH5=0,"",AG5*AH5),"")</f>
        <v/>
      </c>
      <c r="AL5">
        <f>IF(AND(AJ5&lt;&gt;"",AK5&lt;&gt;""),ROUNDUP((AK5-AJ5)/7,0),"")</f>
        <v/>
      </c>
      <c r="AN5">
        <f>IFERROR(IF(AL5*AM5=0,"",AL5*AM5),"")</f>
        <v/>
      </c>
      <c r="AQ5">
        <f>IF(AND(AO5&lt;&gt;"",AP5&lt;&gt;""),ROUNDUP((AP5-AO5)/7,0),"")</f>
        <v/>
      </c>
      <c r="AR5">
        <f>IFERROR(IF((AU5-(AI5+AN5))/AQ5=0,"",ROUNDUP((AU5-(AI5+AN5))/AQ5,0)),"")</f>
        <v/>
      </c>
      <c r="AS5">
        <f>IFERROR(IF((AU5-(AI5+AN5))=0,"",(AU5-(AI5+AN5))),"")</f>
        <v/>
      </c>
      <c r="AT5">
        <f>IF(AND(AG5="",AQ5=""),AL5,IF(SUM(AG5,AL5,AQ5)=0,"",SUM(AG5,AL5,AQ5)))</f>
        <v/>
      </c>
      <c r="BG5">
        <f>IF(AD5="","",YEAR(AD5)+IF(MONTH(AD5)&gt;=5,1,0))</f>
        <v/>
      </c>
      <c r="BH5">
        <f>IF(AD5="","",IF(AND(MONTH(AD5)=8,DAY(AD5)&gt;=15),"Fall",IF(MONTH(AD5)&gt;8,"Fall",IF(MONTH(AD5)=5,"Summer",IF(MONTH(AD5)=1,"Spring","")))))</f>
        <v/>
      </c>
      <c r="BL5">
        <f>IFERROR(INDEX('_names_lookup'!$C:$C,MATCH(BK5,'_names_lookup'!$A:$A,0)),"")</f>
        <v/>
      </c>
      <c r="BM5">
        <f>IFERROR(INDEX('_names_lookup'!$B:$B,MATCH(BK5,'_names_lookup'!$A:$A,0)),"")</f>
        <v/>
      </c>
      <c r="BS5">
        <f>IFERROR(IF(BR5*AA5=0,"",BR5*AA5),"")</f>
        <v/>
      </c>
    </row>
    <row r="6">
      <c r="O6">
        <f>IFERROR(INDEX('_courses_lookup'!$C:$C,MATCH(K6&amp;L6,'_courses_lookup'!$E:$E,0)),"")</f>
        <v/>
      </c>
      <c r="P6">
        <f>IFERROR(INDEX('_courses_lookup'!$D:$D,MATCH(K6&amp;L6,'_courses_lookup'!$E:$E,0)),"")</f>
        <v/>
      </c>
      <c r="AG6">
        <f>IF(AND(AE6&lt;&gt;"",AF6&lt;&gt;""),ROUNDUP((AF6-AE6)/7,0),"")</f>
        <v/>
      </c>
      <c r="AI6">
        <f>IFERROR(IF(AG6*AH6=0,"",AG6*AH6),"")</f>
        <v/>
      </c>
      <c r="AL6">
        <f>IF(AND(AJ6&lt;&gt;"",AK6&lt;&gt;""),ROUNDUP((AK6-AJ6)/7,0),"")</f>
        <v/>
      </c>
      <c r="AN6">
        <f>IFERROR(IF(AL6*AM6=0,"",AL6*AM6),"")</f>
        <v/>
      </c>
      <c r="AQ6">
        <f>IF(AND(AO6&lt;&gt;"",AP6&lt;&gt;""),ROUNDUP((AP6-AO6)/7,0),"")</f>
        <v/>
      </c>
      <c r="AR6">
        <f>IFERROR(IF((AU6-(AI6+AN6))/AQ6=0,"",ROUNDUP((AU6-(AI6+AN6))/AQ6,0)),"")</f>
        <v/>
      </c>
      <c r="AS6">
        <f>IFERROR(IF((AU6-(AI6+AN6))=0,"",(AU6-(AI6+AN6))),"")</f>
        <v/>
      </c>
      <c r="AT6">
        <f>IF(AND(AG6="",AQ6=""),AL6,IF(SUM(AG6,AL6,AQ6)=0,"",SUM(AG6,AL6,AQ6)))</f>
        <v/>
      </c>
      <c r="BG6">
        <f>IF(AD6="","",YEAR(AD6)+IF(MONTH(AD6)&gt;=5,1,0))</f>
        <v/>
      </c>
      <c r="BH6">
        <f>IF(AD6="","",IF(AND(MONTH(AD6)=8,DAY(AD6)&gt;=15),"Fall",IF(MONTH(AD6)&gt;8,"Fall",IF(MONTH(AD6)=5,"Summer",IF(MONTH(AD6)=1,"Spring","")))))</f>
        <v/>
      </c>
      <c r="BL6">
        <f>IFERROR(INDEX('_names_lookup'!$C:$C,MATCH(BK6,'_names_lookup'!$A:$A,0)),"")</f>
        <v/>
      </c>
      <c r="BM6">
        <f>IFERROR(INDEX('_names_lookup'!$B:$B,MATCH(BK6,'_names_lookup'!$A:$A,0)),"")</f>
        <v/>
      </c>
      <c r="BS6">
        <f>IFERROR(IF(BR6*AA6=0,"",BR6*AA6),"")</f>
        <v/>
      </c>
    </row>
    <row r="7">
      <c r="O7">
        <f>IFERROR(INDEX('_courses_lookup'!$C:$C,MATCH(K7&amp;L7,'_courses_lookup'!$E:$E,0)),"")</f>
        <v/>
      </c>
      <c r="P7">
        <f>IFERROR(INDEX('_courses_lookup'!$D:$D,MATCH(K7&amp;L7,'_courses_lookup'!$E:$E,0)),"")</f>
        <v/>
      </c>
      <c r="AG7">
        <f>IF(AND(AE7&lt;&gt;"",AF7&lt;&gt;""),ROUNDUP((AF7-AE7)/7,0),"")</f>
        <v/>
      </c>
      <c r="AI7">
        <f>IFERROR(IF(AG7*AH7=0,"",AG7*AH7),"")</f>
        <v/>
      </c>
      <c r="AL7">
        <f>IF(AND(AJ7&lt;&gt;"",AK7&lt;&gt;""),ROUNDUP((AK7-AJ7)/7,0),"")</f>
        <v/>
      </c>
      <c r="AN7">
        <f>IFERROR(IF(AL7*AM7=0,"",AL7*AM7),"")</f>
        <v/>
      </c>
      <c r="AQ7">
        <f>IF(AND(AO7&lt;&gt;"",AP7&lt;&gt;""),ROUNDUP((AP7-AO7)/7,0),"")</f>
        <v/>
      </c>
      <c r="AR7">
        <f>IFERROR(IF((AU7-(AI7+AN7))/AQ7=0,"",ROUNDUP((AU7-(AI7+AN7))/AQ7,0)),"")</f>
        <v/>
      </c>
      <c r="AS7">
        <f>IFERROR(IF((AU7-(AI7+AN7))=0,"",(AU7-(AI7+AN7))),"")</f>
        <v/>
      </c>
      <c r="AT7">
        <f>IF(AND(AG7="",AQ7=""),AL7,IF(SUM(AG7,AL7,AQ7)=0,"",SUM(AG7,AL7,AQ7)))</f>
        <v/>
      </c>
      <c r="BG7">
        <f>IF(AD7="","",YEAR(AD7)+IF(MONTH(AD7)&gt;=5,1,0))</f>
        <v/>
      </c>
      <c r="BH7">
        <f>IF(AD7="","",IF(AND(MONTH(AD7)=8,DAY(AD7)&gt;=15),"Fall",IF(MONTH(AD7)&gt;8,"Fall",IF(MONTH(AD7)=5,"Summer",IF(MONTH(AD7)=1,"Spring","")))))</f>
        <v/>
      </c>
      <c r="BL7">
        <f>IFERROR(INDEX('_names_lookup'!$C:$C,MATCH(BK7,'_names_lookup'!$A:$A,0)),"")</f>
        <v/>
      </c>
      <c r="BM7">
        <f>IFERROR(INDEX('_names_lookup'!$B:$B,MATCH(BK7,'_names_lookup'!$A:$A,0)),"")</f>
        <v/>
      </c>
      <c r="BS7">
        <f>IFERROR(IF(BR7*AA7=0,"",BR7*AA7),"")</f>
        <v/>
      </c>
    </row>
    <row r="8">
      <c r="O8">
        <f>IFERROR(INDEX('_courses_lookup'!$C:$C,MATCH(K8&amp;L8,'_courses_lookup'!$E:$E,0)),"")</f>
        <v/>
      </c>
      <c r="P8">
        <f>IFERROR(INDEX('_courses_lookup'!$D:$D,MATCH(K8&amp;L8,'_courses_lookup'!$E:$E,0)),"")</f>
        <v/>
      </c>
      <c r="AG8">
        <f>IF(AND(AE8&lt;&gt;"",AF8&lt;&gt;""),ROUNDUP((AF8-AE8)/7,0),"")</f>
        <v/>
      </c>
      <c r="AI8">
        <f>IFERROR(IF(AG8*AH8=0,"",AG8*AH8),"")</f>
        <v/>
      </c>
      <c r="AL8">
        <f>IF(AND(AJ8&lt;&gt;"",AK8&lt;&gt;""),ROUNDUP((AK8-AJ8)/7,0),"")</f>
        <v/>
      </c>
      <c r="AN8">
        <f>IFERROR(IF(AL8*AM8=0,"",AL8*AM8),"")</f>
        <v/>
      </c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L8">
        <f>IFERROR(INDEX('_names_lookup'!$C:$C,MATCH(BK8,'_names_lookup'!$A:$A,0)),"")</f>
        <v/>
      </c>
      <c r="BM8">
        <f>IFERROR(INDEX('_names_lookup'!$B:$B,MATCH(BK8,'_names_lookup'!$A:$A,0)),"")</f>
        <v/>
      </c>
      <c r="BS8">
        <f>IFERROR(IF(BR8*AA8=0,"",BR8*AA8),"")</f>
        <v/>
      </c>
    </row>
    <row r="9">
      <c r="O9">
        <f>IFERROR(INDEX('_courses_lookup'!$C:$C,MATCH(K9&amp;L9,'_courses_lookup'!$E:$E,0)),"")</f>
        <v/>
      </c>
      <c r="P9">
        <f>IFERROR(INDEX('_courses_lookup'!$D:$D,MATCH(K9&amp;L9,'_courses_lookup'!$E:$E,0)),"")</f>
        <v/>
      </c>
      <c r="AG9">
        <f>IF(AND(AE9&lt;&gt;"",AF9&lt;&gt;""),ROUNDUP((AF9-AE9)/7,0),"")</f>
        <v/>
      </c>
      <c r="AI9">
        <f>IFERROR(IF(AG9*AH9=0,"",AG9*AH9),"")</f>
        <v/>
      </c>
      <c r="AL9">
        <f>IF(AND(AJ9&lt;&gt;"",AK9&lt;&gt;""),ROUNDUP((AK9-AJ9)/7,0),"")</f>
        <v/>
      </c>
      <c r="AN9">
        <f>IFERROR(IF(AL9*AM9=0,"",AL9*AM9),"")</f>
        <v/>
      </c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L9">
        <f>IFERROR(INDEX('_names_lookup'!$C:$C,MATCH(BK9,'_names_lookup'!$A:$A,0)),"")</f>
        <v/>
      </c>
      <c r="BM9">
        <f>IFERROR(INDEX('_names_lookup'!$B:$B,MATCH(BK9,'_names_lookup'!$A:$A,0)),"")</f>
        <v/>
      </c>
      <c r="BS9">
        <f>IFERROR(IF(BR9*AA9=0,"",BR9*AA9),"")</f>
        <v/>
      </c>
    </row>
    <row r="10">
      <c r="O10">
        <f>IFERROR(INDEX('_courses_lookup'!$C:$C,MATCH(K10&amp;L10,'_courses_lookup'!$E:$E,0)),"")</f>
        <v/>
      </c>
      <c r="P10">
        <f>IFERROR(INDEX('_courses_lookup'!$D:$D,MATCH(K10&amp;L10,'_courses_lookup'!$E:$E,0)),"")</f>
        <v/>
      </c>
      <c r="AG10">
        <f>IF(AND(AE10&lt;&gt;"",AF10&lt;&gt;""),ROUNDUP((AF10-AE10)/7,0),"")</f>
        <v/>
      </c>
      <c r="AI10">
        <f>IFERROR(IF(AG10*AH10=0,"",AG10*AH10),"")</f>
        <v/>
      </c>
      <c r="AL10">
        <f>IF(AND(AJ10&lt;&gt;"",AK10&lt;&gt;""),ROUNDUP((AK10-AJ10)/7,0),"")</f>
        <v/>
      </c>
      <c r="AN10">
        <f>IFERROR(IF(AL10*AM10=0,"",AL10*AM10),"")</f>
        <v/>
      </c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L10">
        <f>IFERROR(INDEX('_names_lookup'!$C:$C,MATCH(BK10,'_names_lookup'!$A:$A,0)),"")</f>
        <v/>
      </c>
      <c r="BM10">
        <f>IFERROR(INDEX('_names_lookup'!$B:$B,MATCH(BK10,'_names_lookup'!$A:$A,0)),"")</f>
        <v/>
      </c>
      <c r="BS10">
        <f>IFERROR(IF(BR10*AA10=0,"",BR10*AA10),"")</f>
        <v/>
      </c>
    </row>
    <row r="11">
      <c r="O11">
        <f>IFERROR(INDEX('_courses_lookup'!$C:$C,MATCH(K11&amp;L11,'_courses_lookup'!$E:$E,0)),"")</f>
        <v/>
      </c>
      <c r="P11">
        <f>IFERROR(INDEX('_courses_lookup'!$D:$D,MATCH(K11&amp;L11,'_courses_lookup'!$E:$E,0)),"")</f>
        <v/>
      </c>
      <c r="AG11">
        <f>IF(AND(AE11&lt;&gt;"",AF11&lt;&gt;""),ROUNDUP((AF11-AE11)/7,0),"")</f>
        <v/>
      </c>
      <c r="AI11">
        <f>IFERROR(IF(AG11*AH11=0,"",AG11*AH11),"")</f>
        <v/>
      </c>
      <c r="AL11">
        <f>IF(AND(AJ11&lt;&gt;"",AK11&lt;&gt;""),ROUNDUP((AK11-AJ11)/7,0),"")</f>
        <v/>
      </c>
      <c r="AN11">
        <f>IFERROR(IF(AL11*AM11=0,"",AL11*AM11),"")</f>
        <v/>
      </c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L11">
        <f>IFERROR(INDEX('_names_lookup'!$C:$C,MATCH(BK11,'_names_lookup'!$A:$A,0)),"")</f>
        <v/>
      </c>
      <c r="BM11">
        <f>IFERROR(INDEX('_names_lookup'!$B:$B,MATCH(BK11,'_names_lookup'!$A:$A,0)),"")</f>
        <v/>
      </c>
      <c r="BS11">
        <f>IFERROR(IF(BR11*AA11=0,"",BR11*AA11),"")</f>
        <v/>
      </c>
    </row>
    <row r="12">
      <c r="O12">
        <f>IFERROR(INDEX('_courses_lookup'!$C:$C,MATCH(K12&amp;L12,'_courses_lookup'!$E:$E,0)),"")</f>
        <v/>
      </c>
      <c r="P12">
        <f>IFERROR(INDEX('_courses_lookup'!$D:$D,MATCH(K12&amp;L12,'_courses_lookup'!$E:$E,0)),"")</f>
        <v/>
      </c>
      <c r="AG12">
        <f>IF(AND(AE12&lt;&gt;"",AF12&lt;&gt;""),ROUNDUP((AF12-AE12)/7,0),"")</f>
        <v/>
      </c>
      <c r="AI12">
        <f>IFERROR(IF(AG12*AH12=0,"",AG12*AH12),"")</f>
        <v/>
      </c>
      <c r="AL12">
        <f>IF(AND(AJ12&lt;&gt;"",AK12&lt;&gt;""),ROUNDUP((AK12-AJ12)/7,0),"")</f>
        <v/>
      </c>
      <c r="AN12">
        <f>IFERROR(IF(AL12*AM12=0,"",AL12*AM12),"")</f>
        <v/>
      </c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L12">
        <f>IFERROR(INDEX('_names_lookup'!$C:$C,MATCH(BK12,'_names_lookup'!$A:$A,0)),"")</f>
        <v/>
      </c>
      <c r="BM12">
        <f>IFERROR(INDEX('_names_lookup'!$B:$B,MATCH(BK12,'_names_lookup'!$A:$A,0)),"")</f>
        <v/>
      </c>
      <c r="BS12">
        <f>IFERROR(IF(BR12*AA12=0,"",BR12*AA12),"")</f>
        <v/>
      </c>
    </row>
    <row r="13">
      <c r="O13">
        <f>IFERROR(INDEX('_courses_lookup'!$C:$C,MATCH(K13&amp;L13,'_courses_lookup'!$E:$E,0)),"")</f>
        <v/>
      </c>
      <c r="P13">
        <f>IFERROR(INDEX('_courses_lookup'!$D:$D,MATCH(K13&amp;L13,'_courses_lookup'!$E:$E,0)),"")</f>
        <v/>
      </c>
      <c r="AG13">
        <f>IF(AND(AE13&lt;&gt;"",AF13&lt;&gt;""),ROUNDUP((AF13-AE13)/7,0),"")</f>
        <v/>
      </c>
      <c r="AI13">
        <f>IFERROR(IF(AG13*AH13=0,"",AG13*AH13),"")</f>
        <v/>
      </c>
      <c r="AL13">
        <f>IF(AND(AJ13&lt;&gt;"",AK13&lt;&gt;""),ROUNDUP((AK13-AJ13)/7,0),"")</f>
        <v/>
      </c>
      <c r="AN13">
        <f>IFERROR(IF(AL13*AM13=0,"",AL13*AM13),"")</f>
        <v/>
      </c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L13">
        <f>IFERROR(INDEX('_names_lookup'!$C:$C,MATCH(BK13,'_names_lookup'!$A:$A,0)),"")</f>
        <v/>
      </c>
      <c r="BM13">
        <f>IFERROR(INDEX('_names_lookup'!$B:$B,MATCH(BK13,'_names_lookup'!$A:$A,0)),"")</f>
        <v/>
      </c>
      <c r="BS13">
        <f>IFERROR(IF(BR13*AA13=0,"",BR13*AA13),"")</f>
        <v/>
      </c>
    </row>
    <row r="14">
      <c r="O14">
        <f>IFERROR(INDEX('_courses_lookup'!$C:$C,MATCH(K14&amp;L14,'_courses_lookup'!$E:$E,0)),"")</f>
        <v/>
      </c>
      <c r="P14">
        <f>IFERROR(INDEX('_courses_lookup'!$D:$D,MATCH(K14&amp;L14,'_courses_lookup'!$E:$E,0)),"")</f>
        <v/>
      </c>
      <c r="AG14">
        <f>IF(AND(AE14&lt;&gt;"",AF14&lt;&gt;""),ROUNDUP((AF14-AE14)/7,0),"")</f>
        <v/>
      </c>
      <c r="AI14">
        <f>IFERROR(IF(AG14*AH14=0,"",AG14*AH14),"")</f>
        <v/>
      </c>
      <c r="AL14">
        <f>IF(AND(AJ14&lt;&gt;"",AK14&lt;&gt;""),ROUNDUP((AK14-AJ14)/7,0),"")</f>
        <v/>
      </c>
      <c r="AN14">
        <f>IFERROR(IF(AL14*AM14=0,"",AL14*AM14),"")</f>
        <v/>
      </c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L14">
        <f>IFERROR(INDEX('_names_lookup'!$C:$C,MATCH(BK14,'_names_lookup'!$A:$A,0)),"")</f>
        <v/>
      </c>
      <c r="BM14">
        <f>IFERROR(INDEX('_names_lookup'!$B:$B,MATCH(BK14,'_names_lookup'!$A:$A,0)),"")</f>
        <v/>
      </c>
      <c r="BS14">
        <f>IFERROR(IF(BR14*AA14=0,"",BR14*AA14),"")</f>
        <v/>
      </c>
    </row>
    <row r="15">
      <c r="O15">
        <f>IFERROR(INDEX('_courses_lookup'!$C:$C,MATCH(K15&amp;L15,'_courses_lookup'!$E:$E,0)),"")</f>
        <v/>
      </c>
      <c r="P15">
        <f>IFERROR(INDEX('_courses_lookup'!$D:$D,MATCH(K15&amp;L15,'_courses_lookup'!$E:$E,0)),"")</f>
        <v/>
      </c>
      <c r="AG15">
        <f>IF(AND(AE15&lt;&gt;"",AF15&lt;&gt;""),ROUNDUP((AF15-AE15)/7,0),"")</f>
        <v/>
      </c>
      <c r="AI15">
        <f>IFERROR(IF(AG15*AH15=0,"",AG15*AH15),"")</f>
        <v/>
      </c>
      <c r="AL15">
        <f>IF(AND(AJ15&lt;&gt;"",AK15&lt;&gt;""),ROUNDUP((AK15-AJ15)/7,0),"")</f>
        <v/>
      </c>
      <c r="AN15">
        <f>IFERROR(IF(AL15*AM15=0,"",AL15*AM15),"")</f>
        <v/>
      </c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L15">
        <f>IFERROR(INDEX('_names_lookup'!$C:$C,MATCH(BK15,'_names_lookup'!$A:$A,0)),"")</f>
        <v/>
      </c>
      <c r="BM15">
        <f>IFERROR(INDEX('_names_lookup'!$B:$B,MATCH(BK15,'_names_lookup'!$A:$A,0)),"")</f>
        <v/>
      </c>
      <c r="BS15">
        <f>IFERROR(IF(BR15*AA15=0,"",BR15*AA15),"")</f>
        <v/>
      </c>
    </row>
    <row r="16">
      <c r="O16">
        <f>IFERROR(INDEX('_courses_lookup'!$C:$C,MATCH(K16&amp;L16,'_courses_lookup'!$E:$E,0)),"")</f>
        <v/>
      </c>
      <c r="P16">
        <f>IFERROR(INDEX('_courses_lookup'!$D:$D,MATCH(K16&amp;L16,'_courses_lookup'!$E:$E,0)),"")</f>
        <v/>
      </c>
      <c r="AG16">
        <f>IF(AND(AE16&lt;&gt;"",AF16&lt;&gt;""),ROUNDUP((AF16-AE16)/7,0),"")</f>
        <v/>
      </c>
      <c r="AI16">
        <f>IFERROR(IF(AG16*AH16=0,"",AG16*AH16),"")</f>
        <v/>
      </c>
      <c r="AL16">
        <f>IF(AND(AJ16&lt;&gt;"",AK16&lt;&gt;""),ROUNDUP((AK16-AJ16)/7,0),"")</f>
        <v/>
      </c>
      <c r="AN16">
        <f>IFERROR(IF(AL16*AM16=0,"",AL16*AM16),"")</f>
        <v/>
      </c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L16">
        <f>IFERROR(INDEX('_names_lookup'!$C:$C,MATCH(BK16,'_names_lookup'!$A:$A,0)),"")</f>
        <v/>
      </c>
      <c r="BM16">
        <f>IFERROR(INDEX('_names_lookup'!$B:$B,MATCH(BK16,'_names_lookup'!$A:$A,0)),"")</f>
        <v/>
      </c>
      <c r="BS16">
        <f>IFERROR(IF(BR16*AA16=0,"",BR16*AA16),"")</f>
        <v/>
      </c>
    </row>
    <row r="17">
      <c r="O17">
        <f>IFERROR(INDEX('_courses_lookup'!$C:$C,MATCH(K17&amp;L17,'_courses_lookup'!$E:$E,0)),"")</f>
        <v/>
      </c>
      <c r="P17">
        <f>IFERROR(INDEX('_courses_lookup'!$D:$D,MATCH(K17&amp;L17,'_courses_lookup'!$E:$E,0)),"")</f>
        <v/>
      </c>
      <c r="AG17">
        <f>IF(AND(AE17&lt;&gt;"",AF17&lt;&gt;""),ROUNDUP((AF17-AE17)/7,0),"")</f>
        <v/>
      </c>
      <c r="AI17">
        <f>IFERROR(IF(AG17*AH17=0,"",AG17*AH17),"")</f>
        <v/>
      </c>
      <c r="AL17">
        <f>IF(AND(AJ17&lt;&gt;"",AK17&lt;&gt;""),ROUNDUP((AK17-AJ17)/7,0),"")</f>
        <v/>
      </c>
      <c r="AN17">
        <f>IFERROR(IF(AL17*AM17=0,"",AL17*AM17),"")</f>
        <v/>
      </c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L17">
        <f>IFERROR(INDEX('_names_lookup'!$C:$C,MATCH(BK17,'_names_lookup'!$A:$A,0)),"")</f>
        <v/>
      </c>
      <c r="BM17">
        <f>IFERROR(INDEX('_names_lookup'!$B:$B,MATCH(BK17,'_names_lookup'!$A:$A,0)),"")</f>
        <v/>
      </c>
      <c r="BS17">
        <f>IFERROR(IF(BR17*AA17=0,"",BR17*AA17),"")</f>
        <v/>
      </c>
    </row>
    <row r="18">
      <c r="O18">
        <f>IFERROR(INDEX('_courses_lookup'!$C:$C,MATCH(K18&amp;L18,'_courses_lookup'!$E:$E,0)),"")</f>
        <v/>
      </c>
      <c r="P18">
        <f>IFERROR(INDEX('_courses_lookup'!$D:$D,MATCH(K18&amp;L18,'_courses_lookup'!$E:$E,0)),"")</f>
        <v/>
      </c>
      <c r="AG18">
        <f>IF(AND(AE18&lt;&gt;"",AF18&lt;&gt;""),ROUNDUP((AF18-AE18)/7,0),"")</f>
        <v/>
      </c>
      <c r="AI18">
        <f>IFERROR(IF(AG18*AH18=0,"",AG18*AH18),"")</f>
        <v/>
      </c>
      <c r="AL18">
        <f>IF(AND(AJ18&lt;&gt;"",AK18&lt;&gt;""),ROUNDUP((AK18-AJ18)/7,0),"")</f>
        <v/>
      </c>
      <c r="AN18">
        <f>IFERROR(IF(AL18*AM18=0,"",AL18*AM18),"")</f>
        <v/>
      </c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L18">
        <f>IFERROR(INDEX('_names_lookup'!$C:$C,MATCH(BK18,'_names_lookup'!$A:$A,0)),"")</f>
        <v/>
      </c>
      <c r="BM18">
        <f>IFERROR(INDEX('_names_lookup'!$B:$B,MATCH(BK18,'_names_lookup'!$A:$A,0)),"")</f>
        <v/>
      </c>
      <c r="BS18">
        <f>IFERROR(IF(BR18*AA18=0,"",BR18*AA18),"")</f>
        <v/>
      </c>
    </row>
    <row r="19">
      <c r="O19">
        <f>IFERROR(INDEX('_courses_lookup'!$C:$C,MATCH(K19&amp;L19,'_courses_lookup'!$E:$E,0)),"")</f>
        <v/>
      </c>
      <c r="P19">
        <f>IFERROR(INDEX('_courses_lookup'!$D:$D,MATCH(K19&amp;L19,'_courses_lookup'!$E:$E,0)),"")</f>
        <v/>
      </c>
      <c r="AG19">
        <f>IF(AND(AE19&lt;&gt;"",AF19&lt;&gt;""),ROUNDUP((AF19-AE19)/7,0),"")</f>
        <v/>
      </c>
      <c r="AI19">
        <f>IFERROR(IF(AG19*AH19=0,"",AG19*AH19),"")</f>
        <v/>
      </c>
      <c r="AL19">
        <f>IF(AND(AJ19&lt;&gt;"",AK19&lt;&gt;""),ROUNDUP((AK19-AJ19)/7,0),"")</f>
        <v/>
      </c>
      <c r="AN19">
        <f>IFERROR(IF(AL19*AM19=0,"",AL19*AM19),"")</f>
        <v/>
      </c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L19">
        <f>IFERROR(INDEX('_names_lookup'!$C:$C,MATCH(BK19,'_names_lookup'!$A:$A,0)),"")</f>
        <v/>
      </c>
      <c r="BM19">
        <f>IFERROR(INDEX('_names_lookup'!$B:$B,MATCH(BK19,'_names_lookup'!$A:$A,0)),"")</f>
        <v/>
      </c>
      <c r="BS19">
        <f>IFERROR(IF(BR19*AA19=0,"",BR19*AA19),"")</f>
        <v/>
      </c>
    </row>
    <row r="20">
      <c r="O20">
        <f>IFERROR(INDEX('_courses_lookup'!$C:$C,MATCH(K20&amp;L20,'_courses_lookup'!$E:$E,0)),"")</f>
        <v/>
      </c>
      <c r="P20">
        <f>IFERROR(INDEX('_courses_lookup'!$D:$D,MATCH(K20&amp;L20,'_courses_lookup'!$E:$E,0)),"")</f>
        <v/>
      </c>
      <c r="AG20">
        <f>IF(AND(AE20&lt;&gt;"",AF20&lt;&gt;""),ROUNDUP((AF20-AE20)/7,0),"")</f>
        <v/>
      </c>
      <c r="AI20">
        <f>IFERROR(IF(AG20*AH20=0,"",AG20*AH20),"")</f>
        <v/>
      </c>
      <c r="AL20">
        <f>IF(AND(AJ20&lt;&gt;"",AK20&lt;&gt;""),ROUNDUP((AK20-AJ20)/7,0),"")</f>
        <v/>
      </c>
      <c r="AN20">
        <f>IFERROR(IF(AL20*AM20=0,"",AL20*AM20),"")</f>
        <v/>
      </c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L20">
        <f>IFERROR(INDEX('_names_lookup'!$C:$C,MATCH(BK20,'_names_lookup'!$A:$A,0)),"")</f>
        <v/>
      </c>
      <c r="BM20">
        <f>IFERROR(INDEX('_names_lookup'!$B:$B,MATCH(BK20,'_names_lookup'!$A:$A,0)),"")</f>
        <v/>
      </c>
      <c r="BS20">
        <f>IFERROR(IF(BR20*AA20=0,"",BR20*AA20),"")</f>
        <v/>
      </c>
    </row>
    <row r="21">
      <c r="O21">
        <f>IFERROR(INDEX('_courses_lookup'!$C:$C,MATCH(K21&amp;L21,'_courses_lookup'!$E:$E,0)),"")</f>
        <v/>
      </c>
      <c r="P21">
        <f>IFERROR(INDEX('_courses_lookup'!$D:$D,MATCH(K21&amp;L21,'_courses_lookup'!$E:$E,0)),"")</f>
        <v/>
      </c>
      <c r="AG21">
        <f>IF(AND(AE21&lt;&gt;"",AF21&lt;&gt;""),ROUNDUP((AF21-AE21)/7,0),"")</f>
        <v/>
      </c>
      <c r="AI21">
        <f>IFERROR(IF(AG21*AH21=0,"",AG21*AH21),"")</f>
        <v/>
      </c>
      <c r="AL21">
        <f>IF(AND(AJ21&lt;&gt;"",AK21&lt;&gt;""),ROUNDUP((AK21-AJ21)/7,0),"")</f>
        <v/>
      </c>
      <c r="AN21">
        <f>IFERROR(IF(AL21*AM21=0,"",AL21*AM21),"")</f>
        <v/>
      </c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L21">
        <f>IFERROR(INDEX('_names_lookup'!$C:$C,MATCH(BK21,'_names_lookup'!$A:$A,0)),"")</f>
        <v/>
      </c>
      <c r="BM21">
        <f>IFERROR(INDEX('_names_lookup'!$B:$B,MATCH(BK21,'_names_lookup'!$A:$A,0)),"")</f>
        <v/>
      </c>
      <c r="BS21">
        <f>IFERROR(IF(BR21*AA21=0,"",BR21*AA21),"")</f>
        <v/>
      </c>
    </row>
    <row r="22">
      <c r="O22">
        <f>IFERROR(INDEX('_courses_lookup'!$C:$C,MATCH(K22&amp;L22,'_courses_lookup'!$E:$E,0)),"")</f>
        <v/>
      </c>
      <c r="P22">
        <f>IFERROR(INDEX('_courses_lookup'!$D:$D,MATCH(K22&amp;L22,'_courses_lookup'!$E:$E,0)),"")</f>
        <v/>
      </c>
      <c r="AG22">
        <f>IF(AND(AE22&lt;&gt;"",AF22&lt;&gt;""),ROUNDUP((AF22-AE22)/7,0),"")</f>
        <v/>
      </c>
      <c r="AI22">
        <f>IFERROR(IF(AG22*AH22=0,"",AG22*AH22),"")</f>
        <v/>
      </c>
      <c r="AL22">
        <f>IF(AND(AJ22&lt;&gt;"",AK22&lt;&gt;""),ROUNDUP((AK22-AJ22)/7,0),"")</f>
        <v/>
      </c>
      <c r="AN22">
        <f>IFERROR(IF(AL22*AM22=0,"",AL22*AM22),"")</f>
        <v/>
      </c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L22">
        <f>IFERROR(INDEX('_names_lookup'!$C:$C,MATCH(BK22,'_names_lookup'!$A:$A,0)),"")</f>
        <v/>
      </c>
      <c r="BM22">
        <f>IFERROR(INDEX('_names_lookup'!$B:$B,MATCH(BK22,'_names_lookup'!$A:$A,0)),"")</f>
        <v/>
      </c>
      <c r="BS22">
        <f>IFERROR(IF(BR22*AA22=0,"",BR22*AA22),"")</f>
        <v/>
      </c>
    </row>
    <row r="23">
      <c r="O23">
        <f>IFERROR(INDEX('_courses_lookup'!$C:$C,MATCH(K23&amp;L23,'_courses_lookup'!$E:$E,0)),"")</f>
        <v/>
      </c>
      <c r="P23">
        <f>IFERROR(INDEX('_courses_lookup'!$D:$D,MATCH(K23&amp;L23,'_courses_lookup'!$E:$E,0)),"")</f>
        <v/>
      </c>
      <c r="AG23">
        <f>IF(AND(AE23&lt;&gt;"",AF23&lt;&gt;""),ROUNDUP((AF23-AE23)/7,0),"")</f>
        <v/>
      </c>
      <c r="AI23">
        <f>IFERROR(IF(AG23*AH23=0,"",AG23*AH23),"")</f>
        <v/>
      </c>
      <c r="AL23">
        <f>IF(AND(AJ23&lt;&gt;"",AK23&lt;&gt;""),ROUNDUP((AK23-AJ23)/7,0),"")</f>
        <v/>
      </c>
      <c r="AN23">
        <f>IFERROR(IF(AL23*AM23=0,"",AL23*AM23),"")</f>
        <v/>
      </c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L23">
        <f>IFERROR(INDEX('_names_lookup'!$C:$C,MATCH(BK23,'_names_lookup'!$A:$A,0)),"")</f>
        <v/>
      </c>
      <c r="BM23">
        <f>IFERROR(INDEX('_names_lookup'!$B:$B,MATCH(BK23,'_names_lookup'!$A:$A,0)),"")</f>
        <v/>
      </c>
      <c r="BS23">
        <f>IFERROR(IF(BR23*AA23=0,"",BR23*AA23),"")</f>
        <v/>
      </c>
    </row>
    <row r="24">
      <c r="O24">
        <f>IFERROR(INDEX('_courses_lookup'!$C:$C,MATCH(K24&amp;L24,'_courses_lookup'!$E:$E,0)),"")</f>
        <v/>
      </c>
      <c r="P24">
        <f>IFERROR(INDEX('_courses_lookup'!$D:$D,MATCH(K24&amp;L24,'_courses_lookup'!$E:$E,0)),"")</f>
        <v/>
      </c>
      <c r="AG24">
        <f>IF(AND(AE24&lt;&gt;"",AF24&lt;&gt;""),ROUNDUP((AF24-AE24)/7,0),"")</f>
        <v/>
      </c>
      <c r="AI24">
        <f>IFERROR(IF(AG24*AH24=0,"",AG24*AH24),"")</f>
        <v/>
      </c>
      <c r="AL24">
        <f>IF(AND(AJ24&lt;&gt;"",AK24&lt;&gt;""),ROUNDUP((AK24-AJ24)/7,0),"")</f>
        <v/>
      </c>
      <c r="AN24">
        <f>IFERROR(IF(AL24*AM24=0,"",AL24*AM24),"")</f>
        <v/>
      </c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L24">
        <f>IFERROR(INDEX('_names_lookup'!$C:$C,MATCH(BK24,'_names_lookup'!$A:$A,0)),"")</f>
        <v/>
      </c>
      <c r="BM24">
        <f>IFERROR(INDEX('_names_lookup'!$B:$B,MATCH(BK24,'_names_lookup'!$A:$A,0)),"")</f>
        <v/>
      </c>
      <c r="BS24">
        <f>IFERROR(IF(BR24*AA24=0,"",BR24*AA24),"")</f>
        <v/>
      </c>
    </row>
    <row r="25">
      <c r="O25">
        <f>IFERROR(INDEX('_courses_lookup'!$C:$C,MATCH(K25&amp;L25,'_courses_lookup'!$E:$E,0)),"")</f>
        <v/>
      </c>
      <c r="P25">
        <f>IFERROR(INDEX('_courses_lookup'!$D:$D,MATCH(K25&amp;L25,'_courses_lookup'!$E:$E,0)),"")</f>
        <v/>
      </c>
      <c r="AG25">
        <f>IF(AND(AE25&lt;&gt;"",AF25&lt;&gt;""),ROUNDUP((AF25-AE25)/7,0),"")</f>
        <v/>
      </c>
      <c r="AI25">
        <f>IFERROR(IF(AG25*AH25=0,"",AG25*AH25),"")</f>
        <v/>
      </c>
      <c r="AL25">
        <f>IF(AND(AJ25&lt;&gt;"",AK25&lt;&gt;""),ROUNDUP((AK25-AJ25)/7,0),"")</f>
        <v/>
      </c>
      <c r="AN25">
        <f>IFERROR(IF(AL25*AM25=0,"",AL25*AM25),"")</f>
        <v/>
      </c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L25">
        <f>IFERROR(INDEX('_names_lookup'!$C:$C,MATCH(BK25,'_names_lookup'!$A:$A,0)),"")</f>
        <v/>
      </c>
      <c r="BM25">
        <f>IFERROR(INDEX('_names_lookup'!$B:$B,MATCH(BK25,'_names_lookup'!$A:$A,0)),"")</f>
        <v/>
      </c>
      <c r="BS25">
        <f>IFERROR(IF(BR25*AA25=0,"",BR25*AA25),"")</f>
        <v/>
      </c>
    </row>
    <row r="26">
      <c r="O26">
        <f>IFERROR(INDEX('_courses_lookup'!$C:$C,MATCH(K26&amp;L26,'_courses_lookup'!$E:$E,0)),"")</f>
        <v/>
      </c>
      <c r="P26">
        <f>IFERROR(INDEX('_courses_lookup'!$D:$D,MATCH(K26&amp;L26,'_courses_lookup'!$E:$E,0)),"")</f>
        <v/>
      </c>
      <c r="AG26">
        <f>IF(AND(AE26&lt;&gt;"",AF26&lt;&gt;""),ROUNDUP((AF26-AE26)/7,0),"")</f>
        <v/>
      </c>
      <c r="AI26">
        <f>IFERROR(IF(AG26*AH26=0,"",AG26*AH26),"")</f>
        <v/>
      </c>
      <c r="AL26">
        <f>IF(AND(AJ26&lt;&gt;"",AK26&lt;&gt;""),ROUNDUP((AK26-AJ26)/7,0),"")</f>
        <v/>
      </c>
      <c r="AN26">
        <f>IFERROR(IF(AL26*AM26=0,"",AL26*AM26),"")</f>
        <v/>
      </c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L26">
        <f>IFERROR(INDEX('_names_lookup'!$C:$C,MATCH(BK26,'_names_lookup'!$A:$A,0)),"")</f>
        <v/>
      </c>
      <c r="BM26">
        <f>IFERROR(INDEX('_names_lookup'!$B:$B,MATCH(BK26,'_names_lookup'!$A:$A,0)),"")</f>
        <v/>
      </c>
      <c r="BS26">
        <f>IFERROR(IF(BR26*AA26=0,"",BR26*AA26),"")</f>
        <v/>
      </c>
    </row>
    <row r="27">
      <c r="O27">
        <f>IFERROR(INDEX('_courses_lookup'!$C:$C,MATCH(K27&amp;L27,'_courses_lookup'!$E:$E,0)),"")</f>
        <v/>
      </c>
      <c r="P27">
        <f>IFERROR(INDEX('_courses_lookup'!$D:$D,MATCH(K27&amp;L27,'_courses_lookup'!$E:$E,0)),"")</f>
        <v/>
      </c>
      <c r="AG27">
        <f>IF(AND(AE27&lt;&gt;"",AF27&lt;&gt;""),ROUNDUP((AF27-AE27)/7,0),"")</f>
        <v/>
      </c>
      <c r="AI27">
        <f>IFERROR(IF(AG27*AH27=0,"",AG27*AH27),"")</f>
        <v/>
      </c>
      <c r="AL27">
        <f>IF(AND(AJ27&lt;&gt;"",AK27&lt;&gt;""),ROUNDUP((AK27-AJ27)/7,0),"")</f>
        <v/>
      </c>
      <c r="AN27">
        <f>IFERROR(IF(AL27*AM27=0,"",AL27*AM27),"")</f>
        <v/>
      </c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L27">
        <f>IFERROR(INDEX('_names_lookup'!$C:$C,MATCH(BK27,'_names_lookup'!$A:$A,0)),"")</f>
        <v/>
      </c>
      <c r="BM27">
        <f>IFERROR(INDEX('_names_lookup'!$B:$B,MATCH(BK27,'_names_lookup'!$A:$A,0)),"")</f>
        <v/>
      </c>
      <c r="BS27">
        <f>IFERROR(IF(BR27*AA27=0,"",BR27*AA27),"")</f>
        <v/>
      </c>
    </row>
    <row r="28">
      <c r="O28">
        <f>IFERROR(INDEX('_courses_lookup'!$C:$C,MATCH(K28&amp;L28,'_courses_lookup'!$E:$E,0)),"")</f>
        <v/>
      </c>
      <c r="P28">
        <f>IFERROR(INDEX('_courses_lookup'!$D:$D,MATCH(K28&amp;L28,'_courses_lookup'!$E:$E,0)),"")</f>
        <v/>
      </c>
      <c r="AG28">
        <f>IF(AND(AE28&lt;&gt;"",AF28&lt;&gt;""),ROUNDUP((AF28-AE28)/7,0),"")</f>
        <v/>
      </c>
      <c r="AI28">
        <f>IFERROR(IF(AG28*AH28=0,"",AG28*AH28),"")</f>
        <v/>
      </c>
      <c r="AL28">
        <f>IF(AND(AJ28&lt;&gt;"",AK28&lt;&gt;""),ROUNDUP((AK28-AJ28)/7,0),"")</f>
        <v/>
      </c>
      <c r="AN28">
        <f>IFERROR(IF(AL28*AM28=0,"",AL28*AM28),"")</f>
        <v/>
      </c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L28">
        <f>IFERROR(INDEX('_names_lookup'!$C:$C,MATCH(BK28,'_names_lookup'!$A:$A,0)),"")</f>
        <v/>
      </c>
      <c r="BM28">
        <f>IFERROR(INDEX('_names_lookup'!$B:$B,MATCH(BK28,'_names_lookup'!$A:$A,0)),"")</f>
        <v/>
      </c>
      <c r="BS28">
        <f>IFERROR(IF(BR28*AA28=0,"",BR28*AA28),"")</f>
        <v/>
      </c>
    </row>
    <row r="29">
      <c r="O29">
        <f>IFERROR(INDEX('_courses_lookup'!$C:$C,MATCH(K29&amp;L29,'_courses_lookup'!$E:$E,0)),"")</f>
        <v/>
      </c>
      <c r="P29">
        <f>IFERROR(INDEX('_courses_lookup'!$D:$D,MATCH(K29&amp;L29,'_courses_lookup'!$E:$E,0)),"")</f>
        <v/>
      </c>
      <c r="AG29">
        <f>IF(AND(AE29&lt;&gt;"",AF29&lt;&gt;""),ROUNDUP((AF29-AE29)/7,0),"")</f>
        <v/>
      </c>
      <c r="AI29">
        <f>IFERROR(IF(AG29*AH29=0,"",AG29*AH29),"")</f>
        <v/>
      </c>
      <c r="AL29">
        <f>IF(AND(AJ29&lt;&gt;"",AK29&lt;&gt;""),ROUNDUP((AK29-AJ29)/7,0),"")</f>
        <v/>
      </c>
      <c r="AN29">
        <f>IFERROR(IF(AL29*AM29=0,"",AL29*AM29),"")</f>
        <v/>
      </c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L29">
        <f>IFERROR(INDEX('_names_lookup'!$C:$C,MATCH(BK29,'_names_lookup'!$A:$A,0)),"")</f>
        <v/>
      </c>
      <c r="BM29">
        <f>IFERROR(INDEX('_names_lookup'!$B:$B,MATCH(BK29,'_names_lookup'!$A:$A,0)),"")</f>
        <v/>
      </c>
      <c r="BS29">
        <f>IFERROR(IF(BR29*AA29=0,"",BR29*AA29),"")</f>
        <v/>
      </c>
    </row>
    <row r="30">
      <c r="O30">
        <f>IFERROR(INDEX('_courses_lookup'!$C:$C,MATCH(K30&amp;L30,'_courses_lookup'!$E:$E,0)),"")</f>
        <v/>
      </c>
      <c r="P30">
        <f>IFERROR(INDEX('_courses_lookup'!$D:$D,MATCH(K30&amp;L30,'_courses_lookup'!$E:$E,0)),"")</f>
        <v/>
      </c>
      <c r="AG30">
        <f>IF(AND(AE30&lt;&gt;"",AF30&lt;&gt;""),ROUNDUP((AF30-AE30)/7,0),"")</f>
        <v/>
      </c>
      <c r="AI30">
        <f>IFERROR(IF(AG30*AH30=0,"",AG30*AH30),"")</f>
        <v/>
      </c>
      <c r="AL30">
        <f>IF(AND(AJ30&lt;&gt;"",AK30&lt;&gt;""),ROUNDUP((AK30-AJ30)/7,0),"")</f>
        <v/>
      </c>
      <c r="AN30">
        <f>IFERROR(IF(AL30*AM30=0,"",AL30*AM30),"")</f>
        <v/>
      </c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L30">
        <f>IFERROR(INDEX('_names_lookup'!$C:$C,MATCH(BK30,'_names_lookup'!$A:$A,0)),"")</f>
        <v/>
      </c>
      <c r="BM30">
        <f>IFERROR(INDEX('_names_lookup'!$B:$B,MATCH(BK30,'_names_lookup'!$A:$A,0)),"")</f>
        <v/>
      </c>
      <c r="BS30">
        <f>IFERROR(IF(BR30*AA30=0,"",BR30*AA30),"")</f>
        <v/>
      </c>
    </row>
    <row r="31">
      <c r="O31">
        <f>IFERROR(INDEX('_courses_lookup'!$C:$C,MATCH(K31&amp;L31,'_courses_lookup'!$E:$E,0)),"")</f>
        <v/>
      </c>
      <c r="P31">
        <f>IFERROR(INDEX('_courses_lookup'!$D:$D,MATCH(K31&amp;L31,'_courses_lookup'!$E:$E,0)),"")</f>
        <v/>
      </c>
      <c r="AG31">
        <f>IF(AND(AE31&lt;&gt;"",AF31&lt;&gt;""),ROUNDUP((AF31-AE31)/7,0),"")</f>
        <v/>
      </c>
      <c r="AI31">
        <f>IFERROR(IF(AG31*AH31=0,"",AG31*AH31),"")</f>
        <v/>
      </c>
      <c r="AL31">
        <f>IF(AND(AJ31&lt;&gt;"",AK31&lt;&gt;""),ROUNDUP((AK31-AJ31)/7,0),"")</f>
        <v/>
      </c>
      <c r="AN31">
        <f>IFERROR(IF(AL31*AM31=0,"",AL31*AM31),"")</f>
        <v/>
      </c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L31">
        <f>IFERROR(INDEX('_names_lookup'!$C:$C,MATCH(BK31,'_names_lookup'!$A:$A,0)),"")</f>
        <v/>
      </c>
      <c r="BM31">
        <f>IFERROR(INDEX('_names_lookup'!$B:$B,MATCH(BK31,'_names_lookup'!$A:$A,0)),"")</f>
        <v/>
      </c>
      <c r="BS31">
        <f>IFERROR(IF(BR31*AA31=0,"",BR31*AA31),"")</f>
        <v/>
      </c>
    </row>
    <row r="32">
      <c r="O32">
        <f>IFERROR(INDEX('_courses_lookup'!$C:$C,MATCH(K32&amp;L32,'_courses_lookup'!$E:$E,0)),"")</f>
        <v/>
      </c>
      <c r="P32">
        <f>IFERROR(INDEX('_courses_lookup'!$D:$D,MATCH(K32&amp;L32,'_courses_lookup'!$E:$E,0)),"")</f>
        <v/>
      </c>
      <c r="AG32">
        <f>IF(AND(AE32&lt;&gt;"",AF32&lt;&gt;""),ROUNDUP((AF32-AE32)/7,0),"")</f>
        <v/>
      </c>
      <c r="AI32">
        <f>IFERROR(IF(AG32*AH32=0,"",AG32*AH32),"")</f>
        <v/>
      </c>
      <c r="AL32">
        <f>IF(AND(AJ32&lt;&gt;"",AK32&lt;&gt;""),ROUNDUP((AK32-AJ32)/7,0),"")</f>
        <v/>
      </c>
      <c r="AN32">
        <f>IFERROR(IF(AL32*AM32=0,"",AL32*AM32),"")</f>
        <v/>
      </c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L32">
        <f>IFERROR(INDEX('_names_lookup'!$C:$C,MATCH(BK32,'_names_lookup'!$A:$A,0)),"")</f>
        <v/>
      </c>
      <c r="BM32">
        <f>IFERROR(INDEX('_names_lookup'!$B:$B,MATCH(BK32,'_names_lookup'!$A:$A,0)),"")</f>
        <v/>
      </c>
      <c r="BS32">
        <f>IFERROR(IF(BR32*AA32=0,"",BR32*AA32),"")</f>
        <v/>
      </c>
    </row>
    <row r="33">
      <c r="O33">
        <f>IFERROR(INDEX('_courses_lookup'!$C:$C,MATCH(K33&amp;L33,'_courses_lookup'!$E:$E,0)),"")</f>
        <v/>
      </c>
      <c r="P33">
        <f>IFERROR(INDEX('_courses_lookup'!$D:$D,MATCH(K33&amp;L33,'_courses_lookup'!$E:$E,0)),"")</f>
        <v/>
      </c>
      <c r="AG33">
        <f>IF(AND(AE33&lt;&gt;"",AF33&lt;&gt;""),ROUNDUP((AF33-AE33)/7,0),"")</f>
        <v/>
      </c>
      <c r="AI33">
        <f>IFERROR(IF(AG33*AH33=0,"",AG33*AH33),"")</f>
        <v/>
      </c>
      <c r="AL33">
        <f>IF(AND(AJ33&lt;&gt;"",AK33&lt;&gt;""),ROUNDUP((AK33-AJ33)/7,0),"")</f>
        <v/>
      </c>
      <c r="AN33">
        <f>IFERROR(IF(AL33*AM33=0,"",AL33*AM33),"")</f>
        <v/>
      </c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L33">
        <f>IFERROR(INDEX('_names_lookup'!$C:$C,MATCH(BK33,'_names_lookup'!$A:$A,0)),"")</f>
        <v/>
      </c>
      <c r="BM33">
        <f>IFERROR(INDEX('_names_lookup'!$B:$B,MATCH(BK33,'_names_lookup'!$A:$A,0)),"")</f>
        <v/>
      </c>
      <c r="BS33">
        <f>IFERROR(IF(BR33*AA33=0,"",BR33*AA33),"")</f>
        <v/>
      </c>
    </row>
    <row r="34">
      <c r="O34">
        <f>IFERROR(INDEX('_courses_lookup'!$C:$C,MATCH(K34&amp;L34,'_courses_lookup'!$E:$E,0)),"")</f>
        <v/>
      </c>
      <c r="P34">
        <f>IFERROR(INDEX('_courses_lookup'!$D:$D,MATCH(K34&amp;L34,'_courses_lookup'!$E:$E,0)),"")</f>
        <v/>
      </c>
      <c r="AG34">
        <f>IF(AND(AE34&lt;&gt;"",AF34&lt;&gt;""),ROUNDUP((AF34-AE34)/7,0),"")</f>
        <v/>
      </c>
      <c r="AI34">
        <f>IFERROR(IF(AG34*AH34=0,"",AG34*AH34),"")</f>
        <v/>
      </c>
      <c r="AL34">
        <f>IF(AND(AJ34&lt;&gt;"",AK34&lt;&gt;""),ROUNDUP((AK34-AJ34)/7,0),"")</f>
        <v/>
      </c>
      <c r="AN34">
        <f>IFERROR(IF(AL34*AM34=0,"",AL34*AM34),"")</f>
        <v/>
      </c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L34">
        <f>IFERROR(INDEX('_names_lookup'!$C:$C,MATCH(BK34,'_names_lookup'!$A:$A,0)),"")</f>
        <v/>
      </c>
      <c r="BM34">
        <f>IFERROR(INDEX('_names_lookup'!$B:$B,MATCH(BK34,'_names_lookup'!$A:$A,0)),"")</f>
        <v/>
      </c>
      <c r="BS34">
        <f>IFERROR(IF(BR34*AA34=0,"",BR34*AA34),"")</f>
        <v/>
      </c>
    </row>
    <row r="35">
      <c r="O35">
        <f>IFERROR(INDEX('_courses_lookup'!$C:$C,MATCH(K35&amp;L35,'_courses_lookup'!$E:$E,0)),"")</f>
        <v/>
      </c>
      <c r="P35">
        <f>IFERROR(INDEX('_courses_lookup'!$D:$D,MATCH(K35&amp;L35,'_courses_lookup'!$E:$E,0)),"")</f>
        <v/>
      </c>
      <c r="AG35">
        <f>IF(AND(AE35&lt;&gt;"",AF35&lt;&gt;""),ROUNDUP((AF35-AE35)/7,0),"")</f>
        <v/>
      </c>
      <c r="AI35">
        <f>IFERROR(IF(AG35*AH35=0,"",AG35*AH35),"")</f>
        <v/>
      </c>
      <c r="AL35">
        <f>IF(AND(AJ35&lt;&gt;"",AK35&lt;&gt;""),ROUNDUP((AK35-AJ35)/7,0),"")</f>
        <v/>
      </c>
      <c r="AN35">
        <f>IFERROR(IF(AL35*AM35=0,"",AL35*AM35),"")</f>
        <v/>
      </c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L35">
        <f>IFERROR(INDEX('_names_lookup'!$C:$C,MATCH(BK35,'_names_lookup'!$A:$A,0)),"")</f>
        <v/>
      </c>
      <c r="BM35">
        <f>IFERROR(INDEX('_names_lookup'!$B:$B,MATCH(BK35,'_names_lookup'!$A:$A,0)),"")</f>
        <v/>
      </c>
      <c r="BS35">
        <f>IFERROR(IF(BR35*AA35=0,"",BR35*AA35),"")</f>
        <v/>
      </c>
    </row>
    <row r="36">
      <c r="O36">
        <f>IFERROR(INDEX('_courses_lookup'!$C:$C,MATCH(K36&amp;L36,'_courses_lookup'!$E:$E,0)),"")</f>
        <v/>
      </c>
      <c r="P36">
        <f>IFERROR(INDEX('_courses_lookup'!$D:$D,MATCH(K36&amp;L36,'_courses_lookup'!$E:$E,0)),"")</f>
        <v/>
      </c>
      <c r="AG36">
        <f>IF(AND(AE36&lt;&gt;"",AF36&lt;&gt;""),ROUNDUP((AF36-AE36)/7,0),"")</f>
        <v/>
      </c>
      <c r="AI36">
        <f>IFERROR(IF(AG36*AH36=0,"",AG36*AH36),"")</f>
        <v/>
      </c>
      <c r="AL36">
        <f>IF(AND(AJ36&lt;&gt;"",AK36&lt;&gt;""),ROUNDUP((AK36-AJ36)/7,0),"")</f>
        <v/>
      </c>
      <c r="AN36">
        <f>IFERROR(IF(AL36*AM36=0,"",AL36*AM36),"")</f>
        <v/>
      </c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L36">
        <f>IFERROR(INDEX('_names_lookup'!$C:$C,MATCH(BK36,'_names_lookup'!$A:$A,0)),"")</f>
        <v/>
      </c>
      <c r="BM36">
        <f>IFERROR(INDEX('_names_lookup'!$B:$B,MATCH(BK36,'_names_lookup'!$A:$A,0)),"")</f>
        <v/>
      </c>
      <c r="BS36">
        <f>IFERROR(IF(BR36*AA36=0,"",BR36*AA36),"")</f>
        <v/>
      </c>
    </row>
    <row r="37">
      <c r="O37">
        <f>IFERROR(INDEX('_courses_lookup'!$C:$C,MATCH(K37&amp;L37,'_courses_lookup'!$E:$E,0)),"")</f>
        <v/>
      </c>
      <c r="P37">
        <f>IFERROR(INDEX('_courses_lookup'!$D:$D,MATCH(K37&amp;L37,'_courses_lookup'!$E:$E,0)),"")</f>
        <v/>
      </c>
      <c r="AG37">
        <f>IF(AND(AE37&lt;&gt;"",AF37&lt;&gt;""),ROUNDUP((AF37-AE37)/7,0),"")</f>
        <v/>
      </c>
      <c r="AI37">
        <f>IFERROR(IF(AG37*AH37=0,"",AG37*AH37),"")</f>
        <v/>
      </c>
      <c r="AL37">
        <f>IF(AND(AJ37&lt;&gt;"",AK37&lt;&gt;""),ROUNDUP((AK37-AJ37)/7,0),"")</f>
        <v/>
      </c>
      <c r="AN37">
        <f>IFERROR(IF(AL37*AM37=0,"",AL37*AM37),"")</f>
        <v/>
      </c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L37">
        <f>IFERROR(INDEX('_names_lookup'!$C:$C,MATCH(BK37,'_names_lookup'!$A:$A,0)),"")</f>
        <v/>
      </c>
      <c r="BM37">
        <f>IFERROR(INDEX('_names_lookup'!$B:$B,MATCH(BK37,'_names_lookup'!$A:$A,0)),"")</f>
        <v/>
      </c>
      <c r="BS37">
        <f>IFERROR(IF(BR37*AA37=0,"",BR37*AA37),"")</f>
        <v/>
      </c>
    </row>
    <row r="38">
      <c r="O38">
        <f>IFERROR(INDEX('_courses_lookup'!$C:$C,MATCH(K38&amp;L38,'_courses_lookup'!$E:$E,0)),"")</f>
        <v/>
      </c>
      <c r="P38">
        <f>IFERROR(INDEX('_courses_lookup'!$D:$D,MATCH(K38&amp;L38,'_courses_lookup'!$E:$E,0)),"")</f>
        <v/>
      </c>
      <c r="AG38">
        <f>IF(AND(AE38&lt;&gt;"",AF38&lt;&gt;""),ROUNDUP((AF38-AE38)/7,0),"")</f>
        <v/>
      </c>
      <c r="AI38">
        <f>IFERROR(IF(AG38*AH38=0,"",AG38*AH38),"")</f>
        <v/>
      </c>
      <c r="AL38">
        <f>IF(AND(AJ38&lt;&gt;"",AK38&lt;&gt;""),ROUNDUP((AK38-AJ38)/7,0),"")</f>
        <v/>
      </c>
      <c r="AN38">
        <f>IFERROR(IF(AL38*AM38=0,"",AL38*AM38),"")</f>
        <v/>
      </c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L38">
        <f>IFERROR(INDEX('_names_lookup'!$C:$C,MATCH(BK38,'_names_lookup'!$A:$A,0)),"")</f>
        <v/>
      </c>
      <c r="BM38">
        <f>IFERROR(INDEX('_names_lookup'!$B:$B,MATCH(BK38,'_names_lookup'!$A:$A,0)),"")</f>
        <v/>
      </c>
      <c r="BS38">
        <f>IFERROR(IF(BR38*AA38=0,"",BR38*AA38),"")</f>
        <v/>
      </c>
    </row>
    <row r="39">
      <c r="O39">
        <f>IFERROR(INDEX('_courses_lookup'!$C:$C,MATCH(K39&amp;L39,'_courses_lookup'!$E:$E,0)),"")</f>
        <v/>
      </c>
      <c r="P39">
        <f>IFERROR(INDEX('_courses_lookup'!$D:$D,MATCH(K39&amp;L39,'_courses_lookup'!$E:$E,0)),"")</f>
        <v/>
      </c>
      <c r="AG39">
        <f>IF(AND(AE39&lt;&gt;"",AF39&lt;&gt;""),ROUNDUP((AF39-AE39)/7,0),"")</f>
        <v/>
      </c>
      <c r="AI39">
        <f>IFERROR(IF(AG39*AH39=0,"",AG39*AH39),"")</f>
        <v/>
      </c>
      <c r="AL39">
        <f>IF(AND(AJ39&lt;&gt;"",AK39&lt;&gt;""),ROUNDUP((AK39-AJ39)/7,0),"")</f>
        <v/>
      </c>
      <c r="AN39">
        <f>IFERROR(IF(AL39*AM39=0,"",AL39*AM39),"")</f>
        <v/>
      </c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L39">
        <f>IFERROR(INDEX('_names_lookup'!$C:$C,MATCH(BK39,'_names_lookup'!$A:$A,0)),"")</f>
        <v/>
      </c>
      <c r="BM39">
        <f>IFERROR(INDEX('_names_lookup'!$B:$B,MATCH(BK39,'_names_lookup'!$A:$A,0)),"")</f>
        <v/>
      </c>
      <c r="BS39">
        <f>IFERROR(IF(BR39*AA39=0,"",BR39*AA39),"")</f>
        <v/>
      </c>
    </row>
    <row r="40">
      <c r="O40">
        <f>IFERROR(INDEX('_courses_lookup'!$C:$C,MATCH(K40&amp;L40,'_courses_lookup'!$E:$E,0)),"")</f>
        <v/>
      </c>
      <c r="P40">
        <f>IFERROR(INDEX('_courses_lookup'!$D:$D,MATCH(K40&amp;L40,'_courses_lookup'!$E:$E,0)),"")</f>
        <v/>
      </c>
      <c r="AG40">
        <f>IF(AND(AE40&lt;&gt;"",AF40&lt;&gt;""),ROUNDUP((AF40-AE40)/7,0),"")</f>
        <v/>
      </c>
      <c r="AI40">
        <f>IFERROR(IF(AG40*AH40=0,"",AG40*AH40),"")</f>
        <v/>
      </c>
      <c r="AL40">
        <f>IF(AND(AJ40&lt;&gt;"",AK40&lt;&gt;""),ROUNDUP((AK40-AJ40)/7,0),"")</f>
        <v/>
      </c>
      <c r="AN40">
        <f>IFERROR(IF(AL40*AM40=0,"",AL40*AM40),"")</f>
        <v/>
      </c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L40">
        <f>IFERROR(INDEX('_names_lookup'!$C:$C,MATCH(BK40,'_names_lookup'!$A:$A,0)),"")</f>
        <v/>
      </c>
      <c r="BM40">
        <f>IFERROR(INDEX('_names_lookup'!$B:$B,MATCH(BK40,'_names_lookup'!$A:$A,0)),"")</f>
        <v/>
      </c>
      <c r="BS40">
        <f>IFERROR(IF(BR40*AA40=0,"",BR40*AA40),"")</f>
        <v/>
      </c>
    </row>
    <row r="41">
      <c r="O41">
        <f>IFERROR(INDEX('_courses_lookup'!$C:$C,MATCH(K41&amp;L41,'_courses_lookup'!$E:$E,0)),"")</f>
        <v/>
      </c>
      <c r="P41">
        <f>IFERROR(INDEX('_courses_lookup'!$D:$D,MATCH(K41&amp;L41,'_courses_lookup'!$E:$E,0)),"")</f>
        <v/>
      </c>
      <c r="AG41">
        <f>IF(AND(AE41&lt;&gt;"",AF41&lt;&gt;""),ROUNDUP((AF41-AE41)/7,0),"")</f>
        <v/>
      </c>
      <c r="AI41">
        <f>IFERROR(IF(AG41*AH41=0,"",AG41*AH41),"")</f>
        <v/>
      </c>
      <c r="AL41">
        <f>IF(AND(AJ41&lt;&gt;"",AK41&lt;&gt;""),ROUNDUP((AK41-AJ41)/7,0),"")</f>
        <v/>
      </c>
      <c r="AN41">
        <f>IFERROR(IF(AL41*AM41=0,"",AL41*AM41),"")</f>
        <v/>
      </c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L41">
        <f>IFERROR(INDEX('_names_lookup'!$C:$C,MATCH(BK41,'_names_lookup'!$A:$A,0)),"")</f>
        <v/>
      </c>
      <c r="BM41">
        <f>IFERROR(INDEX('_names_lookup'!$B:$B,MATCH(BK41,'_names_lookup'!$A:$A,0)),"")</f>
        <v/>
      </c>
      <c r="BS41">
        <f>IFERROR(IF(BR41*AA41=0,"",BR41*AA41),"")</f>
        <v/>
      </c>
    </row>
    <row r="42">
      <c r="O42">
        <f>IFERROR(INDEX('_courses_lookup'!$C:$C,MATCH(K42&amp;L42,'_courses_lookup'!$E:$E,0)),"")</f>
        <v/>
      </c>
      <c r="P42">
        <f>IFERROR(INDEX('_courses_lookup'!$D:$D,MATCH(K42&amp;L42,'_courses_lookup'!$E:$E,0)),"")</f>
        <v/>
      </c>
      <c r="AG42">
        <f>IF(AND(AE42&lt;&gt;"",AF42&lt;&gt;""),ROUNDUP((AF42-AE42)/7,0),"")</f>
        <v/>
      </c>
      <c r="AI42">
        <f>IFERROR(IF(AG42*AH42=0,"",AG42*AH42),"")</f>
        <v/>
      </c>
      <c r="AL42">
        <f>IF(AND(AJ42&lt;&gt;"",AK42&lt;&gt;""),ROUNDUP((AK42-AJ42)/7,0),"")</f>
        <v/>
      </c>
      <c r="AN42">
        <f>IFERROR(IF(AL42*AM42=0,"",AL42*AM42),"")</f>
        <v/>
      </c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L42">
        <f>IFERROR(INDEX('_names_lookup'!$C:$C,MATCH(BK42,'_names_lookup'!$A:$A,0)),"")</f>
        <v/>
      </c>
      <c r="BM42">
        <f>IFERROR(INDEX('_names_lookup'!$B:$B,MATCH(BK42,'_names_lookup'!$A:$A,0)),"")</f>
        <v/>
      </c>
      <c r="BS42">
        <f>IFERROR(IF(BR42*AA42=0,"",BR42*AA42),"")</f>
        <v/>
      </c>
    </row>
    <row r="43">
      <c r="O43">
        <f>IFERROR(INDEX('_courses_lookup'!$C:$C,MATCH(K43&amp;L43,'_courses_lookup'!$E:$E,0)),"")</f>
        <v/>
      </c>
      <c r="P43">
        <f>IFERROR(INDEX('_courses_lookup'!$D:$D,MATCH(K43&amp;L43,'_courses_lookup'!$E:$E,0)),"")</f>
        <v/>
      </c>
      <c r="AG43">
        <f>IF(AND(AE43&lt;&gt;"",AF43&lt;&gt;""),ROUNDUP((AF43-AE43)/7,0),"")</f>
        <v/>
      </c>
      <c r="AI43">
        <f>IFERROR(IF(AG43*AH43=0,"",AG43*AH43),"")</f>
        <v/>
      </c>
      <c r="AL43">
        <f>IF(AND(AJ43&lt;&gt;"",AK43&lt;&gt;""),ROUNDUP((AK43-AJ43)/7,0),"")</f>
        <v/>
      </c>
      <c r="AN43">
        <f>IFERROR(IF(AL43*AM43=0,"",AL43*AM43),"")</f>
        <v/>
      </c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L43">
        <f>IFERROR(INDEX('_names_lookup'!$C:$C,MATCH(BK43,'_names_lookup'!$A:$A,0)),"")</f>
        <v/>
      </c>
      <c r="BM43">
        <f>IFERROR(INDEX('_names_lookup'!$B:$B,MATCH(BK43,'_names_lookup'!$A:$A,0)),"")</f>
        <v/>
      </c>
      <c r="BS43">
        <f>IFERROR(IF(BR43*AA43=0,"",BR43*AA43),"")</f>
        <v/>
      </c>
    </row>
    <row r="44">
      <c r="O44">
        <f>IFERROR(INDEX('_courses_lookup'!$C:$C,MATCH(K44&amp;L44,'_courses_lookup'!$E:$E,0)),"")</f>
        <v/>
      </c>
      <c r="P44">
        <f>IFERROR(INDEX('_courses_lookup'!$D:$D,MATCH(K44&amp;L44,'_courses_lookup'!$E:$E,0)),"")</f>
        <v/>
      </c>
      <c r="AG44">
        <f>IF(AND(AE44&lt;&gt;"",AF44&lt;&gt;""),ROUNDUP((AF44-AE44)/7,0),"")</f>
        <v/>
      </c>
      <c r="AI44">
        <f>IFERROR(IF(AG44*AH44=0,"",AG44*AH44),"")</f>
        <v/>
      </c>
      <c r="AL44">
        <f>IF(AND(AJ44&lt;&gt;"",AK44&lt;&gt;""),ROUNDUP((AK44-AJ44)/7,0),"")</f>
        <v/>
      </c>
      <c r="AN44">
        <f>IFERROR(IF(AL44*AM44=0,"",AL44*AM44),"")</f>
        <v/>
      </c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L44">
        <f>IFERROR(INDEX('_names_lookup'!$C:$C,MATCH(BK44,'_names_lookup'!$A:$A,0)),"")</f>
        <v/>
      </c>
      <c r="BM44">
        <f>IFERROR(INDEX('_names_lookup'!$B:$B,MATCH(BK44,'_names_lookup'!$A:$A,0)),"")</f>
        <v/>
      </c>
      <c r="BS44">
        <f>IFERROR(IF(BR44*AA44=0,"",BR44*AA44),"")</f>
        <v/>
      </c>
    </row>
    <row r="45">
      <c r="O45">
        <f>IFERROR(INDEX('_courses_lookup'!$C:$C,MATCH(K45&amp;L45,'_courses_lookup'!$E:$E,0)),"")</f>
        <v/>
      </c>
      <c r="P45">
        <f>IFERROR(INDEX('_courses_lookup'!$D:$D,MATCH(K45&amp;L45,'_courses_lookup'!$E:$E,0)),"")</f>
        <v/>
      </c>
      <c r="AG45">
        <f>IF(AND(AE45&lt;&gt;"",AF45&lt;&gt;""),ROUNDUP((AF45-AE45)/7,0),"")</f>
        <v/>
      </c>
      <c r="AI45">
        <f>IFERROR(IF(AG45*AH45=0,"",AG45*AH45),"")</f>
        <v/>
      </c>
      <c r="AL45">
        <f>IF(AND(AJ45&lt;&gt;"",AK45&lt;&gt;""),ROUNDUP((AK45-AJ45)/7,0),"")</f>
        <v/>
      </c>
      <c r="AN45">
        <f>IFERROR(IF(AL45*AM45=0,"",AL45*AM45),"")</f>
        <v/>
      </c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L45">
        <f>IFERROR(INDEX('_names_lookup'!$C:$C,MATCH(BK45,'_names_lookup'!$A:$A,0)),"")</f>
        <v/>
      </c>
      <c r="BM45">
        <f>IFERROR(INDEX('_names_lookup'!$B:$B,MATCH(BK45,'_names_lookup'!$A:$A,0)),"")</f>
        <v/>
      </c>
      <c r="BS45">
        <f>IFERROR(IF(BR45*AA45=0,"",BR45*AA45),"")</f>
        <v/>
      </c>
    </row>
    <row r="46">
      <c r="O46">
        <f>IFERROR(INDEX('_courses_lookup'!$C:$C,MATCH(K46&amp;L46,'_courses_lookup'!$E:$E,0)),"")</f>
        <v/>
      </c>
      <c r="P46">
        <f>IFERROR(INDEX('_courses_lookup'!$D:$D,MATCH(K46&amp;L46,'_courses_lookup'!$E:$E,0)),"")</f>
        <v/>
      </c>
      <c r="AG46">
        <f>IF(AND(AE46&lt;&gt;"",AF46&lt;&gt;""),ROUNDUP((AF46-AE46)/7,0),"")</f>
        <v/>
      </c>
      <c r="AI46">
        <f>IFERROR(IF(AG46*AH46=0,"",AG46*AH46),"")</f>
        <v/>
      </c>
      <c r="AL46">
        <f>IF(AND(AJ46&lt;&gt;"",AK46&lt;&gt;""),ROUNDUP((AK46-AJ46)/7,0),"")</f>
        <v/>
      </c>
      <c r="AN46">
        <f>IFERROR(IF(AL46*AM46=0,"",AL46*AM46),"")</f>
        <v/>
      </c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L46">
        <f>IFERROR(INDEX('_names_lookup'!$C:$C,MATCH(BK46,'_names_lookup'!$A:$A,0)),"")</f>
        <v/>
      </c>
      <c r="BM46">
        <f>IFERROR(INDEX('_names_lookup'!$B:$B,MATCH(BK46,'_names_lookup'!$A:$A,0)),"")</f>
        <v/>
      </c>
      <c r="BS46">
        <f>IFERROR(IF(BR46*AA46=0,"",BR46*AA46),"")</f>
        <v/>
      </c>
    </row>
    <row r="47">
      <c r="O47">
        <f>IFERROR(INDEX('_courses_lookup'!$C:$C,MATCH(K47&amp;L47,'_courses_lookup'!$E:$E,0)),"")</f>
        <v/>
      </c>
      <c r="P47">
        <f>IFERROR(INDEX('_courses_lookup'!$D:$D,MATCH(K47&amp;L47,'_courses_lookup'!$E:$E,0)),"")</f>
        <v/>
      </c>
      <c r="AG47">
        <f>IF(AND(AE47&lt;&gt;"",AF47&lt;&gt;""),ROUNDUP((AF47-AE47)/7,0),"")</f>
        <v/>
      </c>
      <c r="AI47">
        <f>IFERROR(IF(AG47*AH47=0,"",AG47*AH47),"")</f>
        <v/>
      </c>
      <c r="AL47">
        <f>IF(AND(AJ47&lt;&gt;"",AK47&lt;&gt;""),ROUNDUP((AK47-AJ47)/7,0),"")</f>
        <v/>
      </c>
      <c r="AN47">
        <f>IFERROR(IF(AL47*AM47=0,"",AL47*AM47),"")</f>
        <v/>
      </c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L47">
        <f>IFERROR(INDEX('_names_lookup'!$C:$C,MATCH(BK47,'_names_lookup'!$A:$A,0)),"")</f>
        <v/>
      </c>
      <c r="BM47">
        <f>IFERROR(INDEX('_names_lookup'!$B:$B,MATCH(BK47,'_names_lookup'!$A:$A,0)),"")</f>
        <v/>
      </c>
      <c r="BS47">
        <f>IFERROR(IF(BR47*AA47=0,"",BR47*AA47),"")</f>
        <v/>
      </c>
    </row>
    <row r="48">
      <c r="O48">
        <f>IFERROR(INDEX('_courses_lookup'!$C:$C,MATCH(K48&amp;L48,'_courses_lookup'!$E:$E,0)),"")</f>
        <v/>
      </c>
      <c r="P48">
        <f>IFERROR(INDEX('_courses_lookup'!$D:$D,MATCH(K48&amp;L48,'_courses_lookup'!$E:$E,0)),"")</f>
        <v/>
      </c>
      <c r="AG48">
        <f>IF(AND(AE48&lt;&gt;"",AF48&lt;&gt;""),ROUNDUP((AF48-AE48)/7,0),"")</f>
        <v/>
      </c>
      <c r="AI48">
        <f>IFERROR(IF(AG48*AH48=0,"",AG48*AH48),"")</f>
        <v/>
      </c>
      <c r="AL48">
        <f>IF(AND(AJ48&lt;&gt;"",AK48&lt;&gt;""),ROUNDUP((AK48-AJ48)/7,0),"")</f>
        <v/>
      </c>
      <c r="AN48">
        <f>IFERROR(IF(AL48*AM48=0,"",AL48*AM48),"")</f>
        <v/>
      </c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L48">
        <f>IFERROR(INDEX('_names_lookup'!$C:$C,MATCH(BK48,'_names_lookup'!$A:$A,0)),"")</f>
        <v/>
      </c>
      <c r="BM48">
        <f>IFERROR(INDEX('_names_lookup'!$B:$B,MATCH(BK48,'_names_lookup'!$A:$A,0)),"")</f>
        <v/>
      </c>
      <c r="BS48">
        <f>IFERROR(IF(BR48*AA48=0,"",BR48*AA48),"")</f>
        <v/>
      </c>
    </row>
    <row r="49">
      <c r="O49">
        <f>IFERROR(INDEX('_courses_lookup'!$C:$C,MATCH(K49&amp;L49,'_courses_lookup'!$E:$E,0)),"")</f>
        <v/>
      </c>
      <c r="P49">
        <f>IFERROR(INDEX('_courses_lookup'!$D:$D,MATCH(K49&amp;L49,'_courses_lookup'!$E:$E,0)),"")</f>
        <v/>
      </c>
      <c r="AG49">
        <f>IF(AND(AE49&lt;&gt;"",AF49&lt;&gt;""),ROUNDUP((AF49-AE49)/7,0),"")</f>
        <v/>
      </c>
      <c r="AI49">
        <f>IFERROR(IF(AG49*AH49=0,"",AG49*AH49),"")</f>
        <v/>
      </c>
      <c r="AL49">
        <f>IF(AND(AJ49&lt;&gt;"",AK49&lt;&gt;""),ROUNDUP((AK49-AJ49)/7,0),"")</f>
        <v/>
      </c>
      <c r="AN49">
        <f>IFERROR(IF(AL49*AM49=0,"",AL49*AM49),"")</f>
        <v/>
      </c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L49">
        <f>IFERROR(INDEX('_names_lookup'!$C:$C,MATCH(BK49,'_names_lookup'!$A:$A,0)),"")</f>
        <v/>
      </c>
      <c r="BM49">
        <f>IFERROR(INDEX('_names_lookup'!$B:$B,MATCH(BK49,'_names_lookup'!$A:$A,0)),"")</f>
        <v/>
      </c>
      <c r="BS49">
        <f>IFERROR(IF(BR49*AA49=0,"",BR49*AA49),"")</f>
        <v/>
      </c>
    </row>
    <row r="50">
      <c r="O50">
        <f>IFERROR(INDEX('_courses_lookup'!$C:$C,MATCH(K50&amp;L50,'_courses_lookup'!$E:$E,0)),"")</f>
        <v/>
      </c>
      <c r="P50">
        <f>IFERROR(INDEX('_courses_lookup'!$D:$D,MATCH(K50&amp;L50,'_courses_lookup'!$E:$E,0)),"")</f>
        <v/>
      </c>
      <c r="AG50">
        <f>IF(AND(AE50&lt;&gt;"",AF50&lt;&gt;""),ROUNDUP((AF50-AE50)/7,0),"")</f>
        <v/>
      </c>
      <c r="AI50">
        <f>IFERROR(IF(AG50*AH50=0,"",AG50*AH50),"")</f>
        <v/>
      </c>
      <c r="AL50">
        <f>IF(AND(AJ50&lt;&gt;"",AK50&lt;&gt;""),ROUNDUP((AK50-AJ50)/7,0),"")</f>
        <v/>
      </c>
      <c r="AN50">
        <f>IFERROR(IF(AL50*AM50=0,"",AL50*AM50),"")</f>
        <v/>
      </c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L50">
        <f>IFERROR(INDEX('_names_lookup'!$C:$C,MATCH(BK50,'_names_lookup'!$A:$A,0)),"")</f>
        <v/>
      </c>
      <c r="BM50">
        <f>IFERROR(INDEX('_names_lookup'!$B:$B,MATCH(BK50,'_names_lookup'!$A:$A,0)),"")</f>
        <v/>
      </c>
      <c r="BS50">
        <f>IFERROR(IF(BR50*AA50=0,"",BR50*AA50),"")</f>
        <v/>
      </c>
    </row>
    <row r="51">
      <c r="O51">
        <f>IFERROR(INDEX('_courses_lookup'!$C:$C,MATCH(K51&amp;L51,'_courses_lookup'!$E:$E,0)),"")</f>
        <v/>
      </c>
      <c r="P51">
        <f>IFERROR(INDEX('_courses_lookup'!$D:$D,MATCH(K51&amp;L51,'_courses_lookup'!$E:$E,0)),"")</f>
        <v/>
      </c>
      <c r="AG51">
        <f>IF(AND(AE51&lt;&gt;"",AF51&lt;&gt;""),ROUNDUP((AF51-AE51)/7,0),"")</f>
        <v/>
      </c>
      <c r="AI51">
        <f>IFERROR(IF(AG51*AH51=0,"",AG51*AH51),"")</f>
        <v/>
      </c>
      <c r="AL51">
        <f>IF(AND(AJ51&lt;&gt;"",AK51&lt;&gt;""),ROUNDUP((AK51-AJ51)/7,0),"")</f>
        <v/>
      </c>
      <c r="AN51">
        <f>IFERROR(IF(AL51*AM51=0,"",AL51*AM51),"")</f>
        <v/>
      </c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L51">
        <f>IFERROR(INDEX('_names_lookup'!$C:$C,MATCH(BK51,'_names_lookup'!$A:$A,0)),"")</f>
        <v/>
      </c>
      <c r="BM51">
        <f>IFERROR(INDEX('_names_lookup'!$B:$B,MATCH(BK51,'_names_lookup'!$A:$A,0)),"")</f>
        <v/>
      </c>
      <c r="BS51">
        <f>IFERROR(IF(BR51*AA51=0,"",BR51*AA51),"")</f>
        <v/>
      </c>
    </row>
    <row r="52">
      <c r="O52">
        <f>IFERROR(INDEX('_courses_lookup'!$C:$C,MATCH(K52&amp;L52,'_courses_lookup'!$E:$E,0)),"")</f>
        <v/>
      </c>
      <c r="P52">
        <f>IFERROR(INDEX('_courses_lookup'!$D:$D,MATCH(K52&amp;L52,'_courses_lookup'!$E:$E,0)),"")</f>
        <v/>
      </c>
      <c r="AG52">
        <f>IF(AND(AE52&lt;&gt;"",AF52&lt;&gt;""),ROUNDUP((AF52-AE52)/7,0),"")</f>
        <v/>
      </c>
      <c r="AI52">
        <f>IFERROR(IF(AG52*AH52=0,"",AG52*AH52),"")</f>
        <v/>
      </c>
      <c r="AL52">
        <f>IF(AND(AJ52&lt;&gt;"",AK52&lt;&gt;""),ROUNDUP((AK52-AJ52)/7,0),"")</f>
        <v/>
      </c>
      <c r="AN52">
        <f>IFERROR(IF(AL52*AM52=0,"",AL52*AM52),"")</f>
        <v/>
      </c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L52">
        <f>IFERROR(INDEX('_names_lookup'!$C:$C,MATCH(BK52,'_names_lookup'!$A:$A,0)),"")</f>
        <v/>
      </c>
      <c r="BM52">
        <f>IFERROR(INDEX('_names_lookup'!$B:$B,MATCH(BK52,'_names_lookup'!$A:$A,0)),"")</f>
        <v/>
      </c>
      <c r="BS52">
        <f>IFERROR(IF(BR52*AA52=0,"",BR52*AA52),"")</f>
        <v/>
      </c>
    </row>
    <row r="53">
      <c r="O53">
        <f>IFERROR(INDEX('_courses_lookup'!$C:$C,MATCH(K53&amp;L53,'_courses_lookup'!$E:$E,0)),"")</f>
        <v/>
      </c>
      <c r="P53">
        <f>IFERROR(INDEX('_courses_lookup'!$D:$D,MATCH(K53&amp;L53,'_courses_lookup'!$E:$E,0)),"")</f>
        <v/>
      </c>
      <c r="AG53">
        <f>IF(AND(AE53&lt;&gt;"",AF53&lt;&gt;""),ROUNDUP((AF53-AE53)/7,0),"")</f>
        <v/>
      </c>
      <c r="AI53">
        <f>IFERROR(IF(AG53*AH53=0,"",AG53*AH53),"")</f>
        <v/>
      </c>
      <c r="AL53">
        <f>IF(AND(AJ53&lt;&gt;"",AK53&lt;&gt;""),ROUNDUP((AK53-AJ53)/7,0),"")</f>
        <v/>
      </c>
      <c r="AN53">
        <f>IFERROR(IF(AL53*AM53=0,"",AL53*AM53),"")</f>
        <v/>
      </c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L53">
        <f>IFERROR(INDEX('_names_lookup'!$C:$C,MATCH(BK53,'_names_lookup'!$A:$A,0)),"")</f>
        <v/>
      </c>
      <c r="BM53">
        <f>IFERROR(INDEX('_names_lookup'!$B:$B,MATCH(BK53,'_names_lookup'!$A:$A,0)),"")</f>
        <v/>
      </c>
      <c r="BS53">
        <f>IFERROR(IF(BR53*AA53=0,"",BR53*AA53),"")</f>
        <v/>
      </c>
    </row>
    <row r="54">
      <c r="O54">
        <f>IFERROR(INDEX('_courses_lookup'!$C:$C,MATCH(K54&amp;L54,'_courses_lookup'!$E:$E,0)),"")</f>
        <v/>
      </c>
      <c r="P54">
        <f>IFERROR(INDEX('_courses_lookup'!$D:$D,MATCH(K54&amp;L54,'_courses_lookup'!$E:$E,0)),"")</f>
        <v/>
      </c>
      <c r="AG54">
        <f>IF(AND(AE54&lt;&gt;"",AF54&lt;&gt;""),ROUNDUP((AF54-AE54)/7,0),"")</f>
        <v/>
      </c>
      <c r="AI54">
        <f>IFERROR(IF(AG54*AH54=0,"",AG54*AH54),"")</f>
        <v/>
      </c>
      <c r="AL54">
        <f>IF(AND(AJ54&lt;&gt;"",AK54&lt;&gt;""),ROUNDUP((AK54-AJ54)/7,0),"")</f>
        <v/>
      </c>
      <c r="AN54">
        <f>IFERROR(IF(AL54*AM54=0,"",AL54*AM54),"")</f>
        <v/>
      </c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L54">
        <f>IFERROR(INDEX('_names_lookup'!$C:$C,MATCH(BK54,'_names_lookup'!$A:$A,0)),"")</f>
        <v/>
      </c>
      <c r="BM54">
        <f>IFERROR(INDEX('_names_lookup'!$B:$B,MATCH(BK54,'_names_lookup'!$A:$A,0)),"")</f>
        <v/>
      </c>
      <c r="BS54">
        <f>IFERROR(IF(BR54*AA54=0,"",BR54*AA54),"")</f>
        <v/>
      </c>
    </row>
    <row r="55">
      <c r="O55">
        <f>IFERROR(INDEX('_courses_lookup'!$C:$C,MATCH(K55&amp;L55,'_courses_lookup'!$E:$E,0)),"")</f>
        <v/>
      </c>
      <c r="P55">
        <f>IFERROR(INDEX('_courses_lookup'!$D:$D,MATCH(K55&amp;L55,'_courses_lookup'!$E:$E,0)),"")</f>
        <v/>
      </c>
      <c r="AG55">
        <f>IF(AND(AE55&lt;&gt;"",AF55&lt;&gt;""),ROUNDUP((AF55-AE55)/7,0),"")</f>
        <v/>
      </c>
      <c r="AI55">
        <f>IFERROR(IF(AG55*AH55=0,"",AG55*AH55),"")</f>
        <v/>
      </c>
      <c r="AL55">
        <f>IF(AND(AJ55&lt;&gt;"",AK55&lt;&gt;""),ROUNDUP((AK55-AJ55)/7,0),"")</f>
        <v/>
      </c>
      <c r="AN55">
        <f>IFERROR(IF(AL55*AM55=0,"",AL55*AM55),"")</f>
        <v/>
      </c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L55">
        <f>IFERROR(INDEX('_names_lookup'!$C:$C,MATCH(BK55,'_names_lookup'!$A:$A,0)),"")</f>
        <v/>
      </c>
      <c r="BM55">
        <f>IFERROR(INDEX('_names_lookup'!$B:$B,MATCH(BK55,'_names_lookup'!$A:$A,0)),"")</f>
        <v/>
      </c>
      <c r="BS55">
        <f>IFERROR(IF(BR55*AA55=0,"",BR55*AA55),"")</f>
        <v/>
      </c>
    </row>
    <row r="56">
      <c r="O56">
        <f>IFERROR(INDEX('_courses_lookup'!$C:$C,MATCH(K56&amp;L56,'_courses_lookup'!$E:$E,0)),"")</f>
        <v/>
      </c>
      <c r="P56">
        <f>IFERROR(INDEX('_courses_lookup'!$D:$D,MATCH(K56&amp;L56,'_courses_lookup'!$E:$E,0)),"")</f>
        <v/>
      </c>
      <c r="AG56">
        <f>IF(AND(AE56&lt;&gt;"",AF56&lt;&gt;""),ROUNDUP((AF56-AE56)/7,0),"")</f>
        <v/>
      </c>
      <c r="AI56">
        <f>IFERROR(IF(AG56*AH56=0,"",AG56*AH56),"")</f>
        <v/>
      </c>
      <c r="AL56">
        <f>IF(AND(AJ56&lt;&gt;"",AK56&lt;&gt;""),ROUNDUP((AK56-AJ56)/7,0),"")</f>
        <v/>
      </c>
      <c r="AN56">
        <f>IFERROR(IF(AL56*AM56=0,"",AL56*AM56),"")</f>
        <v/>
      </c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L56">
        <f>IFERROR(INDEX('_names_lookup'!$C:$C,MATCH(BK56,'_names_lookup'!$A:$A,0)),"")</f>
        <v/>
      </c>
      <c r="BM56">
        <f>IFERROR(INDEX('_names_lookup'!$B:$B,MATCH(BK56,'_names_lookup'!$A:$A,0)),"")</f>
        <v/>
      </c>
      <c r="BS56">
        <f>IFERROR(IF(BR56*AA56=0,"",BR56*AA56),"")</f>
        <v/>
      </c>
    </row>
    <row r="57">
      <c r="O57">
        <f>IFERROR(INDEX('_courses_lookup'!$C:$C,MATCH(K57&amp;L57,'_courses_lookup'!$E:$E,0)),"")</f>
        <v/>
      </c>
      <c r="P57">
        <f>IFERROR(INDEX('_courses_lookup'!$D:$D,MATCH(K57&amp;L57,'_courses_lookup'!$E:$E,0)),"")</f>
        <v/>
      </c>
      <c r="AG57">
        <f>IF(AND(AE57&lt;&gt;"",AF57&lt;&gt;""),ROUNDUP((AF57-AE57)/7,0),"")</f>
        <v/>
      </c>
      <c r="AI57">
        <f>IFERROR(IF(AG57*AH57=0,"",AG57*AH57),"")</f>
        <v/>
      </c>
      <c r="AL57">
        <f>IF(AND(AJ57&lt;&gt;"",AK57&lt;&gt;""),ROUNDUP((AK57-AJ57)/7,0),"")</f>
        <v/>
      </c>
      <c r="AN57">
        <f>IFERROR(IF(AL57*AM57=0,"",AL57*AM57),"")</f>
        <v/>
      </c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L57">
        <f>IFERROR(INDEX('_names_lookup'!$C:$C,MATCH(BK57,'_names_lookup'!$A:$A,0)),"")</f>
        <v/>
      </c>
      <c r="BM57">
        <f>IFERROR(INDEX('_names_lookup'!$B:$B,MATCH(BK57,'_names_lookup'!$A:$A,0)),"")</f>
        <v/>
      </c>
      <c r="BS57">
        <f>IFERROR(IF(BR57*AA57=0,"",BR57*AA57),"")</f>
        <v/>
      </c>
    </row>
    <row r="58">
      <c r="O58">
        <f>IFERROR(INDEX('_courses_lookup'!$C:$C,MATCH(K58&amp;L58,'_courses_lookup'!$E:$E,0)),"")</f>
        <v/>
      </c>
      <c r="P58">
        <f>IFERROR(INDEX('_courses_lookup'!$D:$D,MATCH(K58&amp;L58,'_courses_lookup'!$E:$E,0)),"")</f>
        <v/>
      </c>
      <c r="AG58">
        <f>IF(AND(AE58&lt;&gt;"",AF58&lt;&gt;""),ROUNDUP((AF58-AE58)/7,0),"")</f>
        <v/>
      </c>
      <c r="AI58">
        <f>IFERROR(IF(AG58*AH58=0,"",AG58*AH58),"")</f>
        <v/>
      </c>
      <c r="AL58">
        <f>IF(AND(AJ58&lt;&gt;"",AK58&lt;&gt;""),ROUNDUP((AK58-AJ58)/7,0),"")</f>
        <v/>
      </c>
      <c r="AN58">
        <f>IFERROR(IF(AL58*AM58=0,"",AL58*AM58),"")</f>
        <v/>
      </c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L58">
        <f>IFERROR(INDEX('_names_lookup'!$C:$C,MATCH(BK58,'_names_lookup'!$A:$A,0)),"")</f>
        <v/>
      </c>
      <c r="BM58">
        <f>IFERROR(INDEX('_names_lookup'!$B:$B,MATCH(BK58,'_names_lookup'!$A:$A,0)),"")</f>
        <v/>
      </c>
      <c r="BS58">
        <f>IFERROR(IF(BR58*AA58=0,"",BR58*AA58),"")</f>
        <v/>
      </c>
    </row>
    <row r="59">
      <c r="O59">
        <f>IFERROR(INDEX('_courses_lookup'!$C:$C,MATCH(K59&amp;L59,'_courses_lookup'!$E:$E,0)),"")</f>
        <v/>
      </c>
      <c r="P59">
        <f>IFERROR(INDEX('_courses_lookup'!$D:$D,MATCH(K59&amp;L59,'_courses_lookup'!$E:$E,0)),"")</f>
        <v/>
      </c>
      <c r="AG59">
        <f>IF(AND(AE59&lt;&gt;"",AF59&lt;&gt;""),ROUNDUP((AF59-AE59)/7,0),"")</f>
        <v/>
      </c>
      <c r="AI59">
        <f>IFERROR(IF(AG59*AH59=0,"",AG59*AH59),"")</f>
        <v/>
      </c>
      <c r="AL59">
        <f>IF(AND(AJ59&lt;&gt;"",AK59&lt;&gt;""),ROUNDUP((AK59-AJ59)/7,0),"")</f>
        <v/>
      </c>
      <c r="AN59">
        <f>IFERROR(IF(AL59*AM59=0,"",AL59*AM59),"")</f>
        <v/>
      </c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L59">
        <f>IFERROR(INDEX('_names_lookup'!$C:$C,MATCH(BK59,'_names_lookup'!$A:$A,0)),"")</f>
        <v/>
      </c>
      <c r="BM59">
        <f>IFERROR(INDEX('_names_lookup'!$B:$B,MATCH(BK59,'_names_lookup'!$A:$A,0)),"")</f>
        <v/>
      </c>
      <c r="BS59">
        <f>IFERROR(IF(BR59*AA59=0,"",BR59*AA59),"")</f>
        <v/>
      </c>
    </row>
    <row r="60">
      <c r="O60">
        <f>IFERROR(INDEX('_courses_lookup'!$C:$C,MATCH(K60&amp;L60,'_courses_lookup'!$E:$E,0)),"")</f>
        <v/>
      </c>
      <c r="P60">
        <f>IFERROR(INDEX('_courses_lookup'!$D:$D,MATCH(K60&amp;L60,'_courses_lookup'!$E:$E,0)),"")</f>
        <v/>
      </c>
      <c r="AG60">
        <f>IF(AND(AE60&lt;&gt;"",AF60&lt;&gt;""),ROUNDUP((AF60-AE60)/7,0),"")</f>
        <v/>
      </c>
      <c r="AI60">
        <f>IFERROR(IF(AG60*AH60=0,"",AG60*AH60),"")</f>
        <v/>
      </c>
      <c r="AL60">
        <f>IF(AND(AJ60&lt;&gt;"",AK60&lt;&gt;""),ROUNDUP((AK60-AJ60)/7,0),"")</f>
        <v/>
      </c>
      <c r="AN60">
        <f>IFERROR(IF(AL60*AM60=0,"",AL60*AM60),"")</f>
        <v/>
      </c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L60">
        <f>IFERROR(INDEX('_names_lookup'!$C:$C,MATCH(BK60,'_names_lookup'!$A:$A,0)),"")</f>
        <v/>
      </c>
      <c r="BM60">
        <f>IFERROR(INDEX('_names_lookup'!$B:$B,MATCH(BK60,'_names_lookup'!$A:$A,0)),"")</f>
        <v/>
      </c>
      <c r="BS60">
        <f>IFERROR(IF(BR60*AA60=0,"",BR60*AA60),"")</f>
        <v/>
      </c>
    </row>
    <row r="61">
      <c r="O61">
        <f>IFERROR(INDEX('_courses_lookup'!$C:$C,MATCH(K61&amp;L61,'_courses_lookup'!$E:$E,0)),"")</f>
        <v/>
      </c>
      <c r="P61">
        <f>IFERROR(INDEX('_courses_lookup'!$D:$D,MATCH(K61&amp;L61,'_courses_lookup'!$E:$E,0)),"")</f>
        <v/>
      </c>
      <c r="AG61">
        <f>IF(AND(AE61&lt;&gt;"",AF61&lt;&gt;""),ROUNDUP((AF61-AE61)/7,0),"")</f>
        <v/>
      </c>
      <c r="AI61">
        <f>IFERROR(IF(AG61*AH61=0,"",AG61*AH61),"")</f>
        <v/>
      </c>
      <c r="AL61">
        <f>IF(AND(AJ61&lt;&gt;"",AK61&lt;&gt;""),ROUNDUP((AK61-AJ61)/7,0),"")</f>
        <v/>
      </c>
      <c r="AN61">
        <f>IFERROR(IF(AL61*AM61=0,"",AL61*AM61),"")</f>
        <v/>
      </c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L61">
        <f>IFERROR(INDEX('_names_lookup'!$C:$C,MATCH(BK61,'_names_lookup'!$A:$A,0)),"")</f>
        <v/>
      </c>
      <c r="BM61">
        <f>IFERROR(INDEX('_names_lookup'!$B:$B,MATCH(BK61,'_names_lookup'!$A:$A,0)),"")</f>
        <v/>
      </c>
      <c r="BS61">
        <f>IFERROR(IF(BR61*AA61=0,"",BR61*AA61),"")</f>
        <v/>
      </c>
    </row>
    <row r="62">
      <c r="O62">
        <f>IFERROR(INDEX('_courses_lookup'!$C:$C,MATCH(K62&amp;L62,'_courses_lookup'!$E:$E,0)),"")</f>
        <v/>
      </c>
      <c r="P62">
        <f>IFERROR(INDEX('_courses_lookup'!$D:$D,MATCH(K62&amp;L62,'_courses_lookup'!$E:$E,0)),"")</f>
        <v/>
      </c>
      <c r="AG62">
        <f>IF(AND(AE62&lt;&gt;"",AF62&lt;&gt;""),ROUNDUP((AF62-AE62)/7,0),"")</f>
        <v/>
      </c>
      <c r="AI62">
        <f>IFERROR(IF(AG62*AH62=0,"",AG62*AH62),"")</f>
        <v/>
      </c>
      <c r="AL62">
        <f>IF(AND(AJ62&lt;&gt;"",AK62&lt;&gt;""),ROUNDUP((AK62-AJ62)/7,0),"")</f>
        <v/>
      </c>
      <c r="AN62">
        <f>IFERROR(IF(AL62*AM62=0,"",AL62*AM62),"")</f>
        <v/>
      </c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L62">
        <f>IFERROR(INDEX('_names_lookup'!$C:$C,MATCH(BK62,'_names_lookup'!$A:$A,0)),"")</f>
        <v/>
      </c>
      <c r="BM62">
        <f>IFERROR(INDEX('_names_lookup'!$B:$B,MATCH(BK62,'_names_lookup'!$A:$A,0)),"")</f>
        <v/>
      </c>
      <c r="BS62">
        <f>IFERROR(IF(BR62*AA62=0,"",BR62*AA62),"")</f>
        <v/>
      </c>
    </row>
    <row r="63">
      <c r="O63">
        <f>IFERROR(INDEX('_courses_lookup'!$C:$C,MATCH(K63&amp;L63,'_courses_lookup'!$E:$E,0)),"")</f>
        <v/>
      </c>
      <c r="P63">
        <f>IFERROR(INDEX('_courses_lookup'!$D:$D,MATCH(K63&amp;L63,'_courses_lookup'!$E:$E,0)),"")</f>
        <v/>
      </c>
      <c r="AG63">
        <f>IF(AND(AE63&lt;&gt;"",AF63&lt;&gt;""),ROUNDUP((AF63-AE63)/7,0),"")</f>
        <v/>
      </c>
      <c r="AI63">
        <f>IFERROR(IF(AG63*AH63=0,"",AG63*AH63),"")</f>
        <v/>
      </c>
      <c r="AL63">
        <f>IF(AND(AJ63&lt;&gt;"",AK63&lt;&gt;""),ROUNDUP((AK63-AJ63)/7,0),"")</f>
        <v/>
      </c>
      <c r="AN63">
        <f>IFERROR(IF(AL63*AM63=0,"",AL63*AM63),"")</f>
        <v/>
      </c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L63">
        <f>IFERROR(INDEX('_names_lookup'!$C:$C,MATCH(BK63,'_names_lookup'!$A:$A,0)),"")</f>
        <v/>
      </c>
      <c r="BM63">
        <f>IFERROR(INDEX('_names_lookup'!$B:$B,MATCH(BK63,'_names_lookup'!$A:$A,0)),"")</f>
        <v/>
      </c>
      <c r="BS63">
        <f>IFERROR(IF(BR63*AA63=0,"",BR63*AA63),"")</f>
        <v/>
      </c>
    </row>
    <row r="64">
      <c r="O64">
        <f>IFERROR(INDEX('_courses_lookup'!$C:$C,MATCH(K64&amp;L64,'_courses_lookup'!$E:$E,0)),"")</f>
        <v/>
      </c>
      <c r="P64">
        <f>IFERROR(INDEX('_courses_lookup'!$D:$D,MATCH(K64&amp;L64,'_courses_lookup'!$E:$E,0)),"")</f>
        <v/>
      </c>
      <c r="AG64">
        <f>IF(AND(AE64&lt;&gt;"",AF64&lt;&gt;""),ROUNDUP((AF64-AE64)/7,0),"")</f>
        <v/>
      </c>
      <c r="AI64">
        <f>IFERROR(IF(AG64*AH64=0,"",AG64*AH64),"")</f>
        <v/>
      </c>
      <c r="AL64">
        <f>IF(AND(AJ64&lt;&gt;"",AK64&lt;&gt;""),ROUNDUP((AK64-AJ64)/7,0),"")</f>
        <v/>
      </c>
      <c r="AN64">
        <f>IFERROR(IF(AL64*AM64=0,"",AL64*AM64),"")</f>
        <v/>
      </c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L64">
        <f>IFERROR(INDEX('_names_lookup'!$C:$C,MATCH(BK64,'_names_lookup'!$A:$A,0)),"")</f>
        <v/>
      </c>
      <c r="BM64">
        <f>IFERROR(INDEX('_names_lookup'!$B:$B,MATCH(BK64,'_names_lookup'!$A:$A,0)),"")</f>
        <v/>
      </c>
      <c r="BS64">
        <f>IFERROR(IF(BR64*AA64=0,"",BR64*AA64),"")</f>
        <v/>
      </c>
    </row>
    <row r="65">
      <c r="O65">
        <f>IFERROR(INDEX('_courses_lookup'!$C:$C,MATCH(K65&amp;L65,'_courses_lookup'!$E:$E,0)),"")</f>
        <v/>
      </c>
      <c r="P65">
        <f>IFERROR(INDEX('_courses_lookup'!$D:$D,MATCH(K65&amp;L65,'_courses_lookup'!$E:$E,0)),"")</f>
        <v/>
      </c>
      <c r="AG65">
        <f>IF(AND(AE65&lt;&gt;"",AF65&lt;&gt;""),ROUNDUP((AF65-AE65)/7,0),"")</f>
        <v/>
      </c>
      <c r="AI65">
        <f>IFERROR(IF(AG65*AH65=0,"",AG65*AH65),"")</f>
        <v/>
      </c>
      <c r="AL65">
        <f>IF(AND(AJ65&lt;&gt;"",AK65&lt;&gt;""),ROUNDUP((AK65-AJ65)/7,0),"")</f>
        <v/>
      </c>
      <c r="AN65">
        <f>IFERROR(IF(AL65*AM65=0,"",AL65*AM65),"")</f>
        <v/>
      </c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L65">
        <f>IFERROR(INDEX('_names_lookup'!$C:$C,MATCH(BK65,'_names_lookup'!$A:$A,0)),"")</f>
        <v/>
      </c>
      <c r="BM65">
        <f>IFERROR(INDEX('_names_lookup'!$B:$B,MATCH(BK65,'_names_lookup'!$A:$A,0)),"")</f>
        <v/>
      </c>
      <c r="BS65">
        <f>IFERROR(IF(BR65*AA65=0,"",BR65*AA65),"")</f>
        <v/>
      </c>
    </row>
    <row r="66">
      <c r="O66">
        <f>IFERROR(INDEX('_courses_lookup'!$C:$C,MATCH(K66&amp;L66,'_courses_lookup'!$E:$E,0)),"")</f>
        <v/>
      </c>
      <c r="P66">
        <f>IFERROR(INDEX('_courses_lookup'!$D:$D,MATCH(K66&amp;L66,'_courses_lookup'!$E:$E,0)),"")</f>
        <v/>
      </c>
      <c r="AG66">
        <f>IF(AND(AE66&lt;&gt;"",AF66&lt;&gt;""),ROUNDUP((AF66-AE66)/7,0),"")</f>
        <v/>
      </c>
      <c r="AI66">
        <f>IFERROR(IF(AG66*AH66=0,"",AG66*AH66),"")</f>
        <v/>
      </c>
      <c r="AL66">
        <f>IF(AND(AJ66&lt;&gt;"",AK66&lt;&gt;""),ROUNDUP((AK66-AJ66)/7,0),"")</f>
        <v/>
      </c>
      <c r="AN66">
        <f>IFERROR(IF(AL66*AM66=0,"",AL66*AM66),"")</f>
        <v/>
      </c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L66">
        <f>IFERROR(INDEX('_names_lookup'!$C:$C,MATCH(BK66,'_names_lookup'!$A:$A,0)),"")</f>
        <v/>
      </c>
      <c r="BM66">
        <f>IFERROR(INDEX('_names_lookup'!$B:$B,MATCH(BK66,'_names_lookup'!$A:$A,0)),"")</f>
        <v/>
      </c>
      <c r="BS66">
        <f>IFERROR(IF(BR66*AA66=0,"",BR66*AA66),"")</f>
        <v/>
      </c>
    </row>
    <row r="67">
      <c r="O67">
        <f>IFERROR(INDEX('_courses_lookup'!$C:$C,MATCH(K67&amp;L67,'_courses_lookup'!$E:$E,0)),"")</f>
        <v/>
      </c>
      <c r="P67">
        <f>IFERROR(INDEX('_courses_lookup'!$D:$D,MATCH(K67&amp;L67,'_courses_lookup'!$E:$E,0)),"")</f>
        <v/>
      </c>
      <c r="AG67">
        <f>IF(AND(AE67&lt;&gt;"",AF67&lt;&gt;""),ROUNDUP((AF67-AE67)/7,0),"")</f>
        <v/>
      </c>
      <c r="AI67">
        <f>IFERROR(IF(AG67*AH67=0,"",AG67*AH67),"")</f>
        <v/>
      </c>
      <c r="AL67">
        <f>IF(AND(AJ67&lt;&gt;"",AK67&lt;&gt;""),ROUNDUP((AK67-AJ67)/7,0),"")</f>
        <v/>
      </c>
      <c r="AN67">
        <f>IFERROR(IF(AL67*AM67=0,"",AL67*AM67),"")</f>
        <v/>
      </c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L67">
        <f>IFERROR(INDEX('_names_lookup'!$C:$C,MATCH(BK67,'_names_lookup'!$A:$A,0)),"")</f>
        <v/>
      </c>
      <c r="BM67">
        <f>IFERROR(INDEX('_names_lookup'!$B:$B,MATCH(BK67,'_names_lookup'!$A:$A,0)),"")</f>
        <v/>
      </c>
      <c r="BS67">
        <f>IFERROR(IF(BR67*AA67=0,"",BR67*AA67),"")</f>
        <v/>
      </c>
    </row>
    <row r="68">
      <c r="O68">
        <f>IFERROR(INDEX('_courses_lookup'!$C:$C,MATCH(K68&amp;L68,'_courses_lookup'!$E:$E,0)),"")</f>
        <v/>
      </c>
      <c r="P68">
        <f>IFERROR(INDEX('_courses_lookup'!$D:$D,MATCH(K68&amp;L68,'_courses_lookup'!$E:$E,0)),"")</f>
        <v/>
      </c>
      <c r="AG68">
        <f>IF(AND(AE68&lt;&gt;"",AF68&lt;&gt;""),ROUNDUP((AF68-AE68)/7,0),"")</f>
        <v/>
      </c>
      <c r="AI68">
        <f>IFERROR(IF(AG68*AH68=0,"",AG68*AH68),"")</f>
        <v/>
      </c>
      <c r="AL68">
        <f>IF(AND(AJ68&lt;&gt;"",AK68&lt;&gt;""),ROUNDUP((AK68-AJ68)/7,0),"")</f>
        <v/>
      </c>
      <c r="AN68">
        <f>IFERROR(IF(AL68*AM68=0,"",AL68*AM68),"")</f>
        <v/>
      </c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L68">
        <f>IFERROR(INDEX('_names_lookup'!$C:$C,MATCH(BK68,'_names_lookup'!$A:$A,0)),"")</f>
        <v/>
      </c>
      <c r="BM68">
        <f>IFERROR(INDEX('_names_lookup'!$B:$B,MATCH(BK68,'_names_lookup'!$A:$A,0)),"")</f>
        <v/>
      </c>
      <c r="BS68">
        <f>IFERROR(IF(BR68*AA68=0,"",BR68*AA68),"")</f>
        <v/>
      </c>
    </row>
    <row r="69">
      <c r="O69">
        <f>IFERROR(INDEX('_courses_lookup'!$C:$C,MATCH(K69&amp;L69,'_courses_lookup'!$E:$E,0)),"")</f>
        <v/>
      </c>
      <c r="P69">
        <f>IFERROR(INDEX('_courses_lookup'!$D:$D,MATCH(K69&amp;L69,'_courses_lookup'!$E:$E,0)),"")</f>
        <v/>
      </c>
      <c r="AG69">
        <f>IF(AND(AE69&lt;&gt;"",AF69&lt;&gt;""),ROUNDUP((AF69-AE69)/7,0),"")</f>
        <v/>
      </c>
      <c r="AI69">
        <f>IFERROR(IF(AG69*AH69=0,"",AG69*AH69),"")</f>
        <v/>
      </c>
      <c r="AL69">
        <f>IF(AND(AJ69&lt;&gt;"",AK69&lt;&gt;""),ROUNDUP((AK69-AJ69)/7,0),"")</f>
        <v/>
      </c>
      <c r="AN69">
        <f>IFERROR(IF(AL69*AM69=0,"",AL69*AM69),"")</f>
        <v/>
      </c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L69">
        <f>IFERROR(INDEX('_names_lookup'!$C:$C,MATCH(BK69,'_names_lookup'!$A:$A,0)),"")</f>
        <v/>
      </c>
      <c r="BM69">
        <f>IFERROR(INDEX('_names_lookup'!$B:$B,MATCH(BK69,'_names_lookup'!$A:$A,0)),"")</f>
        <v/>
      </c>
      <c r="BS69">
        <f>IFERROR(IF(BR69*AA69=0,"",BR69*AA69),"")</f>
        <v/>
      </c>
    </row>
    <row r="70">
      <c r="O70">
        <f>IFERROR(INDEX('_courses_lookup'!$C:$C,MATCH(K70&amp;L70,'_courses_lookup'!$E:$E,0)),"")</f>
        <v/>
      </c>
      <c r="P70">
        <f>IFERROR(INDEX('_courses_lookup'!$D:$D,MATCH(K70&amp;L70,'_courses_lookup'!$E:$E,0)),"")</f>
        <v/>
      </c>
      <c r="AG70">
        <f>IF(AND(AE70&lt;&gt;"",AF70&lt;&gt;""),ROUNDUP((AF70-AE70)/7,0),"")</f>
        <v/>
      </c>
      <c r="AI70">
        <f>IFERROR(IF(AG70*AH70=0,"",AG70*AH70),"")</f>
        <v/>
      </c>
      <c r="AL70">
        <f>IF(AND(AJ70&lt;&gt;"",AK70&lt;&gt;""),ROUNDUP((AK70-AJ70)/7,0),"")</f>
        <v/>
      </c>
      <c r="AN70">
        <f>IFERROR(IF(AL70*AM70=0,"",AL70*AM70),"")</f>
        <v/>
      </c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L70">
        <f>IFERROR(INDEX('_names_lookup'!$C:$C,MATCH(BK70,'_names_lookup'!$A:$A,0)),"")</f>
        <v/>
      </c>
      <c r="BM70">
        <f>IFERROR(INDEX('_names_lookup'!$B:$B,MATCH(BK70,'_names_lookup'!$A:$A,0)),"")</f>
        <v/>
      </c>
      <c r="BS70">
        <f>IFERROR(IF(BR70*AA70=0,"",BR70*AA70),"")</f>
        <v/>
      </c>
    </row>
    <row r="71">
      <c r="O71">
        <f>IFERROR(INDEX('_courses_lookup'!$C:$C,MATCH(K71&amp;L71,'_courses_lookup'!$E:$E,0)),"")</f>
        <v/>
      </c>
      <c r="P71">
        <f>IFERROR(INDEX('_courses_lookup'!$D:$D,MATCH(K71&amp;L71,'_courses_lookup'!$E:$E,0)),"")</f>
        <v/>
      </c>
      <c r="AG71">
        <f>IF(AND(AE71&lt;&gt;"",AF71&lt;&gt;""),ROUNDUP((AF71-AE71)/7,0),"")</f>
        <v/>
      </c>
      <c r="AI71">
        <f>IFERROR(IF(AG71*AH71=0,"",AG71*AH71),"")</f>
        <v/>
      </c>
      <c r="AL71">
        <f>IF(AND(AJ71&lt;&gt;"",AK71&lt;&gt;""),ROUNDUP((AK71-AJ71)/7,0),"")</f>
        <v/>
      </c>
      <c r="AN71">
        <f>IFERROR(IF(AL71*AM71=0,"",AL71*AM71),"")</f>
        <v/>
      </c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L71">
        <f>IFERROR(INDEX('_names_lookup'!$C:$C,MATCH(BK71,'_names_lookup'!$A:$A,0)),"")</f>
        <v/>
      </c>
      <c r="BM71">
        <f>IFERROR(INDEX('_names_lookup'!$B:$B,MATCH(BK71,'_names_lookup'!$A:$A,0)),"")</f>
        <v/>
      </c>
      <c r="BS71">
        <f>IFERROR(IF(BR71*AA71=0,"",BR71*AA71),"")</f>
        <v/>
      </c>
    </row>
    <row r="72">
      <c r="O72">
        <f>IFERROR(INDEX('_courses_lookup'!$C:$C,MATCH(K72&amp;L72,'_courses_lookup'!$E:$E,0)),"")</f>
        <v/>
      </c>
      <c r="P72">
        <f>IFERROR(INDEX('_courses_lookup'!$D:$D,MATCH(K72&amp;L72,'_courses_lookup'!$E:$E,0)),"")</f>
        <v/>
      </c>
      <c r="AG72">
        <f>IF(AND(AE72&lt;&gt;"",AF72&lt;&gt;""),ROUNDUP((AF72-AE72)/7,0),"")</f>
        <v/>
      </c>
      <c r="AI72">
        <f>IFERROR(IF(AG72*AH72=0,"",AG72*AH72),"")</f>
        <v/>
      </c>
      <c r="AL72">
        <f>IF(AND(AJ72&lt;&gt;"",AK72&lt;&gt;""),ROUNDUP((AK72-AJ72)/7,0),"")</f>
        <v/>
      </c>
      <c r="AN72">
        <f>IFERROR(IF(AL72*AM72=0,"",AL72*AM72),"")</f>
        <v/>
      </c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L72">
        <f>IFERROR(INDEX('_names_lookup'!$C:$C,MATCH(BK72,'_names_lookup'!$A:$A,0)),"")</f>
        <v/>
      </c>
      <c r="BM72">
        <f>IFERROR(INDEX('_names_lookup'!$B:$B,MATCH(BK72,'_names_lookup'!$A:$A,0)),"")</f>
        <v/>
      </c>
      <c r="BS72">
        <f>IFERROR(IF(BR72*AA72=0,"",BR72*AA72),"")</f>
        <v/>
      </c>
    </row>
    <row r="73">
      <c r="O73">
        <f>IFERROR(INDEX('_courses_lookup'!$C:$C,MATCH(K73&amp;L73,'_courses_lookup'!$E:$E,0)),"")</f>
        <v/>
      </c>
      <c r="P73">
        <f>IFERROR(INDEX('_courses_lookup'!$D:$D,MATCH(K73&amp;L73,'_courses_lookup'!$E:$E,0)),"")</f>
        <v/>
      </c>
      <c r="AG73">
        <f>IF(AND(AE73&lt;&gt;"",AF73&lt;&gt;""),ROUNDUP((AF73-AE73)/7,0),"")</f>
        <v/>
      </c>
      <c r="AI73">
        <f>IFERROR(IF(AG73*AH73=0,"",AG73*AH73),"")</f>
        <v/>
      </c>
      <c r="AL73">
        <f>IF(AND(AJ73&lt;&gt;"",AK73&lt;&gt;""),ROUNDUP((AK73-AJ73)/7,0),"")</f>
        <v/>
      </c>
      <c r="AN73">
        <f>IFERROR(IF(AL73*AM73=0,"",AL73*AM73),"")</f>
        <v/>
      </c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L73">
        <f>IFERROR(INDEX('_names_lookup'!$C:$C,MATCH(BK73,'_names_lookup'!$A:$A,0)),"")</f>
        <v/>
      </c>
      <c r="BM73">
        <f>IFERROR(INDEX('_names_lookup'!$B:$B,MATCH(BK73,'_names_lookup'!$A:$A,0)),"")</f>
        <v/>
      </c>
      <c r="BS73">
        <f>IFERROR(IF(BR73*AA73=0,"",BR73*AA73),"")</f>
        <v/>
      </c>
    </row>
    <row r="74">
      <c r="O74">
        <f>IFERROR(INDEX('_courses_lookup'!$C:$C,MATCH(K74&amp;L74,'_courses_lookup'!$E:$E,0)),"")</f>
        <v/>
      </c>
      <c r="P74">
        <f>IFERROR(INDEX('_courses_lookup'!$D:$D,MATCH(K74&amp;L74,'_courses_lookup'!$E:$E,0)),"")</f>
        <v/>
      </c>
      <c r="AG74">
        <f>IF(AND(AE74&lt;&gt;"",AF74&lt;&gt;""),ROUNDUP((AF74-AE74)/7,0),"")</f>
        <v/>
      </c>
      <c r="AI74">
        <f>IFERROR(IF(AG74*AH74=0,"",AG74*AH74),"")</f>
        <v/>
      </c>
      <c r="AL74">
        <f>IF(AND(AJ74&lt;&gt;"",AK74&lt;&gt;""),ROUNDUP((AK74-AJ74)/7,0),"")</f>
        <v/>
      </c>
      <c r="AN74">
        <f>IFERROR(IF(AL74*AM74=0,"",AL74*AM74),"")</f>
        <v/>
      </c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L74">
        <f>IFERROR(INDEX('_names_lookup'!$C:$C,MATCH(BK74,'_names_lookup'!$A:$A,0)),"")</f>
        <v/>
      </c>
      <c r="BM74">
        <f>IFERROR(INDEX('_names_lookup'!$B:$B,MATCH(BK74,'_names_lookup'!$A:$A,0)),"")</f>
        <v/>
      </c>
      <c r="BS74">
        <f>IFERROR(IF(BR74*AA74=0,"",BR74*AA74),"")</f>
        <v/>
      </c>
    </row>
    <row r="75">
      <c r="O75">
        <f>IFERROR(INDEX('_courses_lookup'!$C:$C,MATCH(K75&amp;L75,'_courses_lookup'!$E:$E,0)),"")</f>
        <v/>
      </c>
      <c r="P75">
        <f>IFERROR(INDEX('_courses_lookup'!$D:$D,MATCH(K75&amp;L75,'_courses_lookup'!$E:$E,0)),"")</f>
        <v/>
      </c>
      <c r="AG75">
        <f>IF(AND(AE75&lt;&gt;"",AF75&lt;&gt;""),ROUNDUP((AF75-AE75)/7,0),"")</f>
        <v/>
      </c>
      <c r="AI75">
        <f>IFERROR(IF(AG75*AH75=0,"",AG75*AH75),"")</f>
        <v/>
      </c>
      <c r="AL75">
        <f>IF(AND(AJ75&lt;&gt;"",AK75&lt;&gt;""),ROUNDUP((AK75-AJ75)/7,0),"")</f>
        <v/>
      </c>
      <c r="AN75">
        <f>IFERROR(IF(AL75*AM75=0,"",AL75*AM75),"")</f>
        <v/>
      </c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L75">
        <f>IFERROR(INDEX('_names_lookup'!$C:$C,MATCH(BK75,'_names_lookup'!$A:$A,0)),"")</f>
        <v/>
      </c>
      <c r="BM75">
        <f>IFERROR(INDEX('_names_lookup'!$B:$B,MATCH(BK75,'_names_lookup'!$A:$A,0)),"")</f>
        <v/>
      </c>
      <c r="BS75">
        <f>IFERROR(IF(BR75*AA75=0,"",BR75*AA75),"")</f>
        <v/>
      </c>
    </row>
    <row r="76">
      <c r="O76">
        <f>IFERROR(INDEX('_courses_lookup'!$C:$C,MATCH(K76&amp;L76,'_courses_lookup'!$E:$E,0)),"")</f>
        <v/>
      </c>
      <c r="P76">
        <f>IFERROR(INDEX('_courses_lookup'!$D:$D,MATCH(K76&amp;L76,'_courses_lookup'!$E:$E,0)),"")</f>
        <v/>
      </c>
      <c r="AG76">
        <f>IF(AND(AE76&lt;&gt;"",AF76&lt;&gt;""),ROUNDUP((AF76-AE76)/7,0),"")</f>
        <v/>
      </c>
      <c r="AI76">
        <f>IFERROR(IF(AG76*AH76=0,"",AG76*AH76),"")</f>
        <v/>
      </c>
      <c r="AL76">
        <f>IF(AND(AJ76&lt;&gt;"",AK76&lt;&gt;""),ROUNDUP((AK76-AJ76)/7,0),"")</f>
        <v/>
      </c>
      <c r="AN76">
        <f>IFERROR(IF(AL76*AM76=0,"",AL76*AM76),"")</f>
        <v/>
      </c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L76">
        <f>IFERROR(INDEX('_names_lookup'!$C:$C,MATCH(BK76,'_names_lookup'!$A:$A,0)),"")</f>
        <v/>
      </c>
      <c r="BM76">
        <f>IFERROR(INDEX('_names_lookup'!$B:$B,MATCH(BK76,'_names_lookup'!$A:$A,0)),"")</f>
        <v/>
      </c>
      <c r="BS76">
        <f>IFERROR(IF(BR76*AA76=0,"",BR76*AA76),"")</f>
        <v/>
      </c>
    </row>
    <row r="77">
      <c r="O77">
        <f>IFERROR(INDEX('_courses_lookup'!$C:$C,MATCH(K77&amp;L77,'_courses_lookup'!$E:$E,0)),"")</f>
        <v/>
      </c>
      <c r="P77">
        <f>IFERROR(INDEX('_courses_lookup'!$D:$D,MATCH(K77&amp;L77,'_courses_lookup'!$E:$E,0)),"")</f>
        <v/>
      </c>
      <c r="AG77">
        <f>IF(AND(AE77&lt;&gt;"",AF77&lt;&gt;""),ROUNDUP((AF77-AE77)/7,0),"")</f>
        <v/>
      </c>
      <c r="AI77">
        <f>IFERROR(IF(AG77*AH77=0,"",AG77*AH77),"")</f>
        <v/>
      </c>
      <c r="AL77">
        <f>IF(AND(AJ77&lt;&gt;"",AK77&lt;&gt;""),ROUNDUP((AK77-AJ77)/7,0),"")</f>
        <v/>
      </c>
      <c r="AN77">
        <f>IFERROR(IF(AL77*AM77=0,"",AL77*AM77),"")</f>
        <v/>
      </c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L77">
        <f>IFERROR(INDEX('_names_lookup'!$C:$C,MATCH(BK77,'_names_lookup'!$A:$A,0)),"")</f>
        <v/>
      </c>
      <c r="BM77">
        <f>IFERROR(INDEX('_names_lookup'!$B:$B,MATCH(BK77,'_names_lookup'!$A:$A,0)),"")</f>
        <v/>
      </c>
      <c r="BS77">
        <f>IFERROR(IF(BR77*AA77=0,"",BR77*AA77),"")</f>
        <v/>
      </c>
    </row>
    <row r="78">
      <c r="O78">
        <f>IFERROR(INDEX('_courses_lookup'!$C:$C,MATCH(K78&amp;L78,'_courses_lookup'!$E:$E,0)),"")</f>
        <v/>
      </c>
      <c r="P78">
        <f>IFERROR(INDEX('_courses_lookup'!$D:$D,MATCH(K78&amp;L78,'_courses_lookup'!$E:$E,0)),"")</f>
        <v/>
      </c>
      <c r="AG78">
        <f>IF(AND(AE78&lt;&gt;"",AF78&lt;&gt;""),ROUNDUP((AF78-AE78)/7,0),"")</f>
        <v/>
      </c>
      <c r="AI78">
        <f>IFERROR(IF(AG78*AH78=0,"",AG78*AH78),"")</f>
        <v/>
      </c>
      <c r="AL78">
        <f>IF(AND(AJ78&lt;&gt;"",AK78&lt;&gt;""),ROUNDUP((AK78-AJ78)/7,0),"")</f>
        <v/>
      </c>
      <c r="AN78">
        <f>IFERROR(IF(AL78*AM78=0,"",AL78*AM78),"")</f>
        <v/>
      </c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L78">
        <f>IFERROR(INDEX('_names_lookup'!$C:$C,MATCH(BK78,'_names_lookup'!$A:$A,0)),"")</f>
        <v/>
      </c>
      <c r="BM78">
        <f>IFERROR(INDEX('_names_lookup'!$B:$B,MATCH(BK78,'_names_lookup'!$A:$A,0)),"")</f>
        <v/>
      </c>
      <c r="BS78">
        <f>IFERROR(IF(BR78*AA78=0,"",BR78*AA78),"")</f>
        <v/>
      </c>
    </row>
    <row r="79">
      <c r="O79">
        <f>IFERROR(INDEX('_courses_lookup'!$C:$C,MATCH(K79&amp;L79,'_courses_lookup'!$E:$E,0)),"")</f>
        <v/>
      </c>
      <c r="P79">
        <f>IFERROR(INDEX('_courses_lookup'!$D:$D,MATCH(K79&amp;L79,'_courses_lookup'!$E:$E,0)),"")</f>
        <v/>
      </c>
      <c r="AG79">
        <f>IF(AND(AE79&lt;&gt;"",AF79&lt;&gt;""),ROUNDUP((AF79-AE79)/7,0),"")</f>
        <v/>
      </c>
      <c r="AI79">
        <f>IFERROR(IF(AG79*AH79=0,"",AG79*AH79),"")</f>
        <v/>
      </c>
      <c r="AL79">
        <f>IF(AND(AJ79&lt;&gt;"",AK79&lt;&gt;""),ROUNDUP((AK79-AJ79)/7,0),"")</f>
        <v/>
      </c>
      <c r="AN79">
        <f>IFERROR(IF(AL79*AM79=0,"",AL79*AM79),"")</f>
        <v/>
      </c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L79">
        <f>IFERROR(INDEX('_names_lookup'!$C:$C,MATCH(BK79,'_names_lookup'!$A:$A,0)),"")</f>
        <v/>
      </c>
      <c r="BM79">
        <f>IFERROR(INDEX('_names_lookup'!$B:$B,MATCH(BK79,'_names_lookup'!$A:$A,0)),"")</f>
        <v/>
      </c>
      <c r="BS79">
        <f>IFERROR(IF(BR79*AA79=0,"",BR79*AA79),"")</f>
        <v/>
      </c>
    </row>
    <row r="80">
      <c r="O80">
        <f>IFERROR(INDEX('_courses_lookup'!$C:$C,MATCH(K80&amp;L80,'_courses_lookup'!$E:$E,0)),"")</f>
        <v/>
      </c>
      <c r="P80">
        <f>IFERROR(INDEX('_courses_lookup'!$D:$D,MATCH(K80&amp;L80,'_courses_lookup'!$E:$E,0)),"")</f>
        <v/>
      </c>
      <c r="AG80">
        <f>IF(AND(AE80&lt;&gt;"",AF80&lt;&gt;""),ROUNDUP((AF80-AE80)/7,0),"")</f>
        <v/>
      </c>
      <c r="AI80">
        <f>IFERROR(IF(AG80*AH80=0,"",AG80*AH80),"")</f>
        <v/>
      </c>
      <c r="AL80">
        <f>IF(AND(AJ80&lt;&gt;"",AK80&lt;&gt;""),ROUNDUP((AK80-AJ80)/7,0),"")</f>
        <v/>
      </c>
      <c r="AN80">
        <f>IFERROR(IF(AL80*AM80=0,"",AL80*AM80),"")</f>
        <v/>
      </c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L80">
        <f>IFERROR(INDEX('_names_lookup'!$C:$C,MATCH(BK80,'_names_lookup'!$A:$A,0)),"")</f>
        <v/>
      </c>
      <c r="BM80">
        <f>IFERROR(INDEX('_names_lookup'!$B:$B,MATCH(BK80,'_names_lookup'!$A:$A,0)),"")</f>
        <v/>
      </c>
      <c r="BS80">
        <f>IFERROR(IF(BR80*AA80=0,"",BR80*AA80),"")</f>
        <v/>
      </c>
    </row>
    <row r="81">
      <c r="O81">
        <f>IFERROR(INDEX('_courses_lookup'!$C:$C,MATCH(K81&amp;L81,'_courses_lookup'!$E:$E,0)),"")</f>
        <v/>
      </c>
      <c r="P81">
        <f>IFERROR(INDEX('_courses_lookup'!$D:$D,MATCH(K81&amp;L81,'_courses_lookup'!$E:$E,0)),"")</f>
        <v/>
      </c>
      <c r="AG81">
        <f>IF(AND(AE81&lt;&gt;"",AF81&lt;&gt;""),ROUNDUP((AF81-AE81)/7,0),"")</f>
        <v/>
      </c>
      <c r="AI81">
        <f>IFERROR(IF(AG81*AH81=0,"",AG81*AH81),"")</f>
        <v/>
      </c>
      <c r="AL81">
        <f>IF(AND(AJ81&lt;&gt;"",AK81&lt;&gt;""),ROUNDUP((AK81-AJ81)/7,0),"")</f>
        <v/>
      </c>
      <c r="AN81">
        <f>IFERROR(IF(AL81*AM81=0,"",AL81*AM81),"")</f>
        <v/>
      </c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L81">
        <f>IFERROR(INDEX('_names_lookup'!$C:$C,MATCH(BK81,'_names_lookup'!$A:$A,0)),"")</f>
        <v/>
      </c>
      <c r="BM81">
        <f>IFERROR(INDEX('_names_lookup'!$B:$B,MATCH(BK81,'_names_lookup'!$A:$A,0)),"")</f>
        <v/>
      </c>
      <c r="BS81">
        <f>IFERROR(IF(BR81*AA81=0,"",BR81*AA81),"")</f>
        <v/>
      </c>
    </row>
    <row r="82">
      <c r="O82">
        <f>IFERROR(INDEX('_courses_lookup'!$C:$C,MATCH(K82&amp;L82,'_courses_lookup'!$E:$E,0)),"")</f>
        <v/>
      </c>
      <c r="P82">
        <f>IFERROR(INDEX('_courses_lookup'!$D:$D,MATCH(K82&amp;L82,'_courses_lookup'!$E:$E,0)),"")</f>
        <v/>
      </c>
      <c r="AG82">
        <f>IF(AND(AE82&lt;&gt;"",AF82&lt;&gt;""),ROUNDUP((AF82-AE82)/7,0),"")</f>
        <v/>
      </c>
      <c r="AI82">
        <f>IFERROR(IF(AG82*AH82=0,"",AG82*AH82),"")</f>
        <v/>
      </c>
      <c r="AL82">
        <f>IF(AND(AJ82&lt;&gt;"",AK82&lt;&gt;""),ROUNDUP((AK82-AJ82)/7,0),"")</f>
        <v/>
      </c>
      <c r="AN82">
        <f>IFERROR(IF(AL82*AM82=0,"",AL82*AM82),"")</f>
        <v/>
      </c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L82">
        <f>IFERROR(INDEX('_names_lookup'!$C:$C,MATCH(BK82,'_names_lookup'!$A:$A,0)),"")</f>
        <v/>
      </c>
      <c r="BM82">
        <f>IFERROR(INDEX('_names_lookup'!$B:$B,MATCH(BK82,'_names_lookup'!$A:$A,0)),"")</f>
        <v/>
      </c>
      <c r="BS82">
        <f>IFERROR(IF(BR82*AA82=0,"",BR82*AA82),"")</f>
        <v/>
      </c>
    </row>
    <row r="83">
      <c r="O83">
        <f>IFERROR(INDEX('_courses_lookup'!$C:$C,MATCH(K83&amp;L83,'_courses_lookup'!$E:$E,0)),"")</f>
        <v/>
      </c>
      <c r="P83">
        <f>IFERROR(INDEX('_courses_lookup'!$D:$D,MATCH(K83&amp;L83,'_courses_lookup'!$E:$E,0)),"")</f>
        <v/>
      </c>
      <c r="AG83">
        <f>IF(AND(AE83&lt;&gt;"",AF83&lt;&gt;""),ROUNDUP((AF83-AE83)/7,0),"")</f>
        <v/>
      </c>
      <c r="AI83">
        <f>IFERROR(IF(AG83*AH83=0,"",AG83*AH83),"")</f>
        <v/>
      </c>
      <c r="AL83">
        <f>IF(AND(AJ83&lt;&gt;"",AK83&lt;&gt;""),ROUNDUP((AK83-AJ83)/7,0),"")</f>
        <v/>
      </c>
      <c r="AN83">
        <f>IFERROR(IF(AL83*AM83=0,"",AL83*AM83),"")</f>
        <v/>
      </c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L83">
        <f>IFERROR(INDEX('_names_lookup'!$C:$C,MATCH(BK83,'_names_lookup'!$A:$A,0)),"")</f>
        <v/>
      </c>
      <c r="BM83">
        <f>IFERROR(INDEX('_names_lookup'!$B:$B,MATCH(BK83,'_names_lookup'!$A:$A,0)),"")</f>
        <v/>
      </c>
      <c r="BS83">
        <f>IFERROR(IF(BR83*AA83=0,"",BR83*AA83),"")</f>
        <v/>
      </c>
    </row>
    <row r="84">
      <c r="O84">
        <f>IFERROR(INDEX('_courses_lookup'!$C:$C,MATCH(K84&amp;L84,'_courses_lookup'!$E:$E,0)),"")</f>
        <v/>
      </c>
      <c r="P84">
        <f>IFERROR(INDEX('_courses_lookup'!$D:$D,MATCH(K84&amp;L84,'_courses_lookup'!$E:$E,0)),"")</f>
        <v/>
      </c>
      <c r="AG84">
        <f>IF(AND(AE84&lt;&gt;"",AF84&lt;&gt;""),ROUNDUP((AF84-AE84)/7,0),"")</f>
        <v/>
      </c>
      <c r="AI84">
        <f>IFERROR(IF(AG84*AH84=0,"",AG84*AH84),"")</f>
        <v/>
      </c>
      <c r="AL84">
        <f>IF(AND(AJ84&lt;&gt;"",AK84&lt;&gt;""),ROUNDUP((AK84-AJ84)/7,0),"")</f>
        <v/>
      </c>
      <c r="AN84">
        <f>IFERROR(IF(AL84*AM84=0,"",AL84*AM84),"")</f>
        <v/>
      </c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L84">
        <f>IFERROR(INDEX('_names_lookup'!$C:$C,MATCH(BK84,'_names_lookup'!$A:$A,0)),"")</f>
        <v/>
      </c>
      <c r="BM84">
        <f>IFERROR(INDEX('_names_lookup'!$B:$B,MATCH(BK84,'_names_lookup'!$A:$A,0)),"")</f>
        <v/>
      </c>
      <c r="BS84">
        <f>IFERROR(IF(BR84*AA84=0,"",BR84*AA84),"")</f>
        <v/>
      </c>
    </row>
    <row r="85">
      <c r="O85">
        <f>IFERROR(INDEX('_courses_lookup'!$C:$C,MATCH(K85&amp;L85,'_courses_lookup'!$E:$E,0)),"")</f>
        <v/>
      </c>
      <c r="P85">
        <f>IFERROR(INDEX('_courses_lookup'!$D:$D,MATCH(K85&amp;L85,'_courses_lookup'!$E:$E,0)),"")</f>
        <v/>
      </c>
      <c r="AG85">
        <f>IF(AND(AE85&lt;&gt;"",AF85&lt;&gt;""),ROUNDUP((AF85-AE85)/7,0),"")</f>
        <v/>
      </c>
      <c r="AI85">
        <f>IFERROR(IF(AG85*AH85=0,"",AG85*AH85),"")</f>
        <v/>
      </c>
      <c r="AL85">
        <f>IF(AND(AJ85&lt;&gt;"",AK85&lt;&gt;""),ROUNDUP((AK85-AJ85)/7,0),"")</f>
        <v/>
      </c>
      <c r="AN85">
        <f>IFERROR(IF(AL85*AM85=0,"",AL85*AM85),"")</f>
        <v/>
      </c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L85">
        <f>IFERROR(INDEX('_names_lookup'!$C:$C,MATCH(BK85,'_names_lookup'!$A:$A,0)),"")</f>
        <v/>
      </c>
      <c r="BM85">
        <f>IFERROR(INDEX('_names_lookup'!$B:$B,MATCH(BK85,'_names_lookup'!$A:$A,0)),"")</f>
        <v/>
      </c>
      <c r="BS85">
        <f>IFERROR(IF(BR85*AA85=0,"",BR85*AA85),"")</f>
        <v/>
      </c>
    </row>
    <row r="86">
      <c r="O86">
        <f>IFERROR(INDEX('_courses_lookup'!$C:$C,MATCH(K86&amp;L86,'_courses_lookup'!$E:$E,0)),"")</f>
        <v/>
      </c>
      <c r="P86">
        <f>IFERROR(INDEX('_courses_lookup'!$D:$D,MATCH(K86&amp;L86,'_courses_lookup'!$E:$E,0)),"")</f>
        <v/>
      </c>
      <c r="AG86">
        <f>IF(AND(AE86&lt;&gt;"",AF86&lt;&gt;""),ROUNDUP((AF86-AE86)/7,0),"")</f>
        <v/>
      </c>
      <c r="AI86">
        <f>IFERROR(IF(AG86*AH86=0,"",AG86*AH86),"")</f>
        <v/>
      </c>
      <c r="AL86">
        <f>IF(AND(AJ86&lt;&gt;"",AK86&lt;&gt;""),ROUNDUP((AK86-AJ86)/7,0),"")</f>
        <v/>
      </c>
      <c r="AN86">
        <f>IFERROR(IF(AL86*AM86=0,"",AL86*AM86),"")</f>
        <v/>
      </c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L86">
        <f>IFERROR(INDEX('_names_lookup'!$C:$C,MATCH(BK86,'_names_lookup'!$A:$A,0)),"")</f>
        <v/>
      </c>
      <c r="BM86">
        <f>IFERROR(INDEX('_names_lookup'!$B:$B,MATCH(BK86,'_names_lookup'!$A:$A,0)),"")</f>
        <v/>
      </c>
      <c r="BS86">
        <f>IFERROR(IF(BR86*AA86=0,"",BR86*AA86),"")</f>
        <v/>
      </c>
    </row>
    <row r="87">
      <c r="O87">
        <f>IFERROR(INDEX('_courses_lookup'!$C:$C,MATCH(K87&amp;L87,'_courses_lookup'!$E:$E,0)),"")</f>
        <v/>
      </c>
      <c r="P87">
        <f>IFERROR(INDEX('_courses_lookup'!$D:$D,MATCH(K87&amp;L87,'_courses_lookup'!$E:$E,0)),"")</f>
        <v/>
      </c>
      <c r="AG87">
        <f>IF(AND(AE87&lt;&gt;"",AF87&lt;&gt;""),ROUNDUP((AF87-AE87)/7,0),"")</f>
        <v/>
      </c>
      <c r="AI87">
        <f>IFERROR(IF(AG87*AH87=0,"",AG87*AH87),"")</f>
        <v/>
      </c>
      <c r="AL87">
        <f>IF(AND(AJ87&lt;&gt;"",AK87&lt;&gt;""),ROUNDUP((AK87-AJ87)/7,0),"")</f>
        <v/>
      </c>
      <c r="AN87">
        <f>IFERROR(IF(AL87*AM87=0,"",AL87*AM87),"")</f>
        <v/>
      </c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L87">
        <f>IFERROR(INDEX('_names_lookup'!$C:$C,MATCH(BK87,'_names_lookup'!$A:$A,0)),"")</f>
        <v/>
      </c>
      <c r="BM87">
        <f>IFERROR(INDEX('_names_lookup'!$B:$B,MATCH(BK87,'_names_lookup'!$A:$A,0)),"")</f>
        <v/>
      </c>
      <c r="BS87">
        <f>IFERROR(IF(BR87*AA87=0,"",BR87*AA87),"")</f>
        <v/>
      </c>
    </row>
    <row r="88">
      <c r="O88">
        <f>IFERROR(INDEX('_courses_lookup'!$C:$C,MATCH(K88&amp;L88,'_courses_lookup'!$E:$E,0)),"")</f>
        <v/>
      </c>
      <c r="P88">
        <f>IFERROR(INDEX('_courses_lookup'!$D:$D,MATCH(K88&amp;L88,'_courses_lookup'!$E:$E,0)),"")</f>
        <v/>
      </c>
      <c r="AG88">
        <f>IF(AND(AE88&lt;&gt;"",AF88&lt;&gt;""),ROUNDUP((AF88-AE88)/7,0),"")</f>
        <v/>
      </c>
      <c r="AI88">
        <f>IFERROR(IF(AG88*AH88=0,"",AG88*AH88),"")</f>
        <v/>
      </c>
      <c r="AL88">
        <f>IF(AND(AJ88&lt;&gt;"",AK88&lt;&gt;""),ROUNDUP((AK88-AJ88)/7,0),"")</f>
        <v/>
      </c>
      <c r="AN88">
        <f>IFERROR(IF(AL88*AM88=0,"",AL88*AM88),"")</f>
        <v/>
      </c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L88">
        <f>IFERROR(INDEX('_names_lookup'!$C:$C,MATCH(BK88,'_names_lookup'!$A:$A,0)),"")</f>
        <v/>
      </c>
      <c r="BM88">
        <f>IFERROR(INDEX('_names_lookup'!$B:$B,MATCH(BK88,'_names_lookup'!$A:$A,0)),"")</f>
        <v/>
      </c>
      <c r="BS88">
        <f>IFERROR(IF(BR88*AA88=0,"",BR88*AA88),"")</f>
        <v/>
      </c>
    </row>
    <row r="89">
      <c r="O89">
        <f>IFERROR(INDEX('_courses_lookup'!$C:$C,MATCH(K89&amp;L89,'_courses_lookup'!$E:$E,0)),"")</f>
        <v/>
      </c>
      <c r="P89">
        <f>IFERROR(INDEX('_courses_lookup'!$D:$D,MATCH(K89&amp;L89,'_courses_lookup'!$E:$E,0)),"")</f>
        <v/>
      </c>
      <c r="AG89">
        <f>IF(AND(AE89&lt;&gt;"",AF89&lt;&gt;""),ROUNDUP((AF89-AE89)/7,0),"")</f>
        <v/>
      </c>
      <c r="AI89">
        <f>IFERROR(IF(AG89*AH89=0,"",AG89*AH89),"")</f>
        <v/>
      </c>
      <c r="AL89">
        <f>IF(AND(AJ89&lt;&gt;"",AK89&lt;&gt;""),ROUNDUP((AK89-AJ89)/7,0),"")</f>
        <v/>
      </c>
      <c r="AN89">
        <f>IFERROR(IF(AL89*AM89=0,"",AL89*AM89),"")</f>
        <v/>
      </c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L89">
        <f>IFERROR(INDEX('_names_lookup'!$C:$C,MATCH(BK89,'_names_lookup'!$A:$A,0)),"")</f>
        <v/>
      </c>
      <c r="BM89">
        <f>IFERROR(INDEX('_names_lookup'!$B:$B,MATCH(BK89,'_names_lookup'!$A:$A,0)),"")</f>
        <v/>
      </c>
      <c r="BS89">
        <f>IFERROR(IF(BR89*AA89=0,"",BR89*AA89),"")</f>
        <v/>
      </c>
    </row>
    <row r="90">
      <c r="O90">
        <f>IFERROR(INDEX('_courses_lookup'!$C:$C,MATCH(K90&amp;L90,'_courses_lookup'!$E:$E,0)),"")</f>
        <v/>
      </c>
      <c r="P90">
        <f>IFERROR(INDEX('_courses_lookup'!$D:$D,MATCH(K90&amp;L90,'_courses_lookup'!$E:$E,0)),"")</f>
        <v/>
      </c>
      <c r="AG90">
        <f>IF(AND(AE90&lt;&gt;"",AF90&lt;&gt;""),ROUNDUP((AF90-AE90)/7,0),"")</f>
        <v/>
      </c>
      <c r="AI90">
        <f>IFERROR(IF(AG90*AH90=0,"",AG90*AH90),"")</f>
        <v/>
      </c>
      <c r="AL90">
        <f>IF(AND(AJ90&lt;&gt;"",AK90&lt;&gt;""),ROUNDUP((AK90-AJ90)/7,0),"")</f>
        <v/>
      </c>
      <c r="AN90">
        <f>IFERROR(IF(AL90*AM90=0,"",AL90*AM90),"")</f>
        <v/>
      </c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L90">
        <f>IFERROR(INDEX('_names_lookup'!$C:$C,MATCH(BK90,'_names_lookup'!$A:$A,0)),"")</f>
        <v/>
      </c>
      <c r="BM90">
        <f>IFERROR(INDEX('_names_lookup'!$B:$B,MATCH(BK90,'_names_lookup'!$A:$A,0)),"")</f>
        <v/>
      </c>
      <c r="BS90">
        <f>IFERROR(IF(BR90*AA90=0,"",BR90*AA90),"")</f>
        <v/>
      </c>
    </row>
    <row r="91">
      <c r="O91">
        <f>IFERROR(INDEX('_courses_lookup'!$C:$C,MATCH(K91&amp;L91,'_courses_lookup'!$E:$E,0)),"")</f>
        <v/>
      </c>
      <c r="P91">
        <f>IFERROR(INDEX('_courses_lookup'!$D:$D,MATCH(K91&amp;L91,'_courses_lookup'!$E:$E,0)),"")</f>
        <v/>
      </c>
      <c r="AG91">
        <f>IF(AND(AE91&lt;&gt;"",AF91&lt;&gt;""),ROUNDUP((AF91-AE91)/7,0),"")</f>
        <v/>
      </c>
      <c r="AI91">
        <f>IFERROR(IF(AG91*AH91=0,"",AG91*AH91),"")</f>
        <v/>
      </c>
      <c r="AL91">
        <f>IF(AND(AJ91&lt;&gt;"",AK91&lt;&gt;""),ROUNDUP((AK91-AJ91)/7,0),"")</f>
        <v/>
      </c>
      <c r="AN91">
        <f>IFERROR(IF(AL91*AM91=0,"",AL91*AM91),"")</f>
        <v/>
      </c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L91">
        <f>IFERROR(INDEX('_names_lookup'!$C:$C,MATCH(BK91,'_names_lookup'!$A:$A,0)),"")</f>
        <v/>
      </c>
      <c r="BM91">
        <f>IFERROR(INDEX('_names_lookup'!$B:$B,MATCH(BK91,'_names_lookup'!$A:$A,0)),"")</f>
        <v/>
      </c>
      <c r="BS91">
        <f>IFERROR(IF(BR91*AA91=0,"",BR91*AA91),"")</f>
        <v/>
      </c>
    </row>
    <row r="92">
      <c r="O92">
        <f>IFERROR(INDEX('_courses_lookup'!$C:$C,MATCH(K92&amp;L92,'_courses_lookup'!$E:$E,0)),"")</f>
        <v/>
      </c>
      <c r="P92">
        <f>IFERROR(INDEX('_courses_lookup'!$D:$D,MATCH(K92&amp;L92,'_courses_lookup'!$E:$E,0)),"")</f>
        <v/>
      </c>
      <c r="AG92">
        <f>IF(AND(AE92&lt;&gt;"",AF92&lt;&gt;""),ROUNDUP((AF92-AE92)/7,0),"")</f>
        <v/>
      </c>
      <c r="AI92">
        <f>IFERROR(IF(AG92*AH92=0,"",AG92*AH92),"")</f>
        <v/>
      </c>
      <c r="AL92">
        <f>IF(AND(AJ92&lt;&gt;"",AK92&lt;&gt;""),ROUNDUP((AK92-AJ92)/7,0),"")</f>
        <v/>
      </c>
      <c r="AN92">
        <f>IFERROR(IF(AL92*AM92=0,"",AL92*AM92),"")</f>
        <v/>
      </c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L92">
        <f>IFERROR(INDEX('_names_lookup'!$C:$C,MATCH(BK92,'_names_lookup'!$A:$A,0)),"")</f>
        <v/>
      </c>
      <c r="BM92">
        <f>IFERROR(INDEX('_names_lookup'!$B:$B,MATCH(BK92,'_names_lookup'!$A:$A,0)),"")</f>
        <v/>
      </c>
      <c r="BS92">
        <f>IFERROR(IF(BR92*AA92=0,"",BR92*AA92),"")</f>
        <v/>
      </c>
    </row>
    <row r="93">
      <c r="O93">
        <f>IFERROR(INDEX('_courses_lookup'!$C:$C,MATCH(K93&amp;L93,'_courses_lookup'!$E:$E,0)),"")</f>
        <v/>
      </c>
      <c r="P93">
        <f>IFERROR(INDEX('_courses_lookup'!$D:$D,MATCH(K93&amp;L93,'_courses_lookup'!$E:$E,0)),"")</f>
        <v/>
      </c>
      <c r="AG93">
        <f>IF(AND(AE93&lt;&gt;"",AF93&lt;&gt;""),ROUNDUP((AF93-AE93)/7,0),"")</f>
        <v/>
      </c>
      <c r="AI93">
        <f>IFERROR(IF(AG93*AH93=0,"",AG93*AH93),"")</f>
        <v/>
      </c>
      <c r="AL93">
        <f>IF(AND(AJ93&lt;&gt;"",AK93&lt;&gt;""),ROUNDUP((AK93-AJ93)/7,0),"")</f>
        <v/>
      </c>
      <c r="AN93">
        <f>IFERROR(IF(AL93*AM93=0,"",AL93*AM93),"")</f>
        <v/>
      </c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L93">
        <f>IFERROR(INDEX('_names_lookup'!$C:$C,MATCH(BK93,'_names_lookup'!$A:$A,0)),"")</f>
        <v/>
      </c>
      <c r="BM93">
        <f>IFERROR(INDEX('_names_lookup'!$B:$B,MATCH(BK93,'_names_lookup'!$A:$A,0)),"")</f>
        <v/>
      </c>
      <c r="BS93">
        <f>IFERROR(IF(BR93*AA93=0,"",BR93*AA93),"")</f>
        <v/>
      </c>
    </row>
    <row r="94">
      <c r="O94">
        <f>IFERROR(INDEX('_courses_lookup'!$C:$C,MATCH(K94&amp;L94,'_courses_lookup'!$E:$E,0)),"")</f>
        <v/>
      </c>
      <c r="P94">
        <f>IFERROR(INDEX('_courses_lookup'!$D:$D,MATCH(K94&amp;L94,'_courses_lookup'!$E:$E,0)),"")</f>
        <v/>
      </c>
      <c r="AG94">
        <f>IF(AND(AE94&lt;&gt;"",AF94&lt;&gt;""),ROUNDUP((AF94-AE94)/7,0),"")</f>
        <v/>
      </c>
      <c r="AI94">
        <f>IFERROR(IF(AG94*AH94=0,"",AG94*AH94),"")</f>
        <v/>
      </c>
      <c r="AL94">
        <f>IF(AND(AJ94&lt;&gt;"",AK94&lt;&gt;""),ROUNDUP((AK94-AJ94)/7,0),"")</f>
        <v/>
      </c>
      <c r="AN94">
        <f>IFERROR(IF(AL94*AM94=0,"",AL94*AM94),"")</f>
        <v/>
      </c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L94">
        <f>IFERROR(INDEX('_names_lookup'!$C:$C,MATCH(BK94,'_names_lookup'!$A:$A,0)),"")</f>
        <v/>
      </c>
      <c r="BM94">
        <f>IFERROR(INDEX('_names_lookup'!$B:$B,MATCH(BK94,'_names_lookup'!$A:$A,0)),"")</f>
        <v/>
      </c>
      <c r="BS94">
        <f>IFERROR(IF(BR94*AA94=0,"",BR94*AA94),"")</f>
        <v/>
      </c>
    </row>
    <row r="95">
      <c r="O95">
        <f>IFERROR(INDEX('_courses_lookup'!$C:$C,MATCH(K95&amp;L95,'_courses_lookup'!$E:$E,0)),"")</f>
        <v/>
      </c>
      <c r="P95">
        <f>IFERROR(INDEX('_courses_lookup'!$D:$D,MATCH(K95&amp;L95,'_courses_lookup'!$E:$E,0)),"")</f>
        <v/>
      </c>
      <c r="AG95">
        <f>IF(AND(AE95&lt;&gt;"",AF95&lt;&gt;""),ROUNDUP((AF95-AE95)/7,0),"")</f>
        <v/>
      </c>
      <c r="AI95">
        <f>IFERROR(IF(AG95*AH95=0,"",AG95*AH95),"")</f>
        <v/>
      </c>
      <c r="AL95">
        <f>IF(AND(AJ95&lt;&gt;"",AK95&lt;&gt;""),ROUNDUP((AK95-AJ95)/7,0),"")</f>
        <v/>
      </c>
      <c r="AN95">
        <f>IFERROR(IF(AL95*AM95=0,"",AL95*AM95),"")</f>
        <v/>
      </c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L95">
        <f>IFERROR(INDEX('_names_lookup'!$C:$C,MATCH(BK95,'_names_lookup'!$A:$A,0)),"")</f>
        <v/>
      </c>
      <c r="BM95">
        <f>IFERROR(INDEX('_names_lookup'!$B:$B,MATCH(BK95,'_names_lookup'!$A:$A,0)),"")</f>
        <v/>
      </c>
      <c r="BS95">
        <f>IFERROR(IF(BR95*AA95=0,"",BR95*AA95),"")</f>
        <v/>
      </c>
    </row>
    <row r="96">
      <c r="O96">
        <f>IFERROR(INDEX('_courses_lookup'!$C:$C,MATCH(K96&amp;L96,'_courses_lookup'!$E:$E,0)),"")</f>
        <v/>
      </c>
      <c r="P96">
        <f>IFERROR(INDEX('_courses_lookup'!$D:$D,MATCH(K96&amp;L96,'_courses_lookup'!$E:$E,0)),"")</f>
        <v/>
      </c>
      <c r="AG96">
        <f>IF(AND(AE96&lt;&gt;"",AF96&lt;&gt;""),ROUNDUP((AF96-AE96)/7,0),"")</f>
        <v/>
      </c>
      <c r="AI96">
        <f>IFERROR(IF(AG96*AH96=0,"",AG96*AH96),"")</f>
        <v/>
      </c>
      <c r="AL96">
        <f>IF(AND(AJ96&lt;&gt;"",AK96&lt;&gt;""),ROUNDUP((AK96-AJ96)/7,0),"")</f>
        <v/>
      </c>
      <c r="AN96">
        <f>IFERROR(IF(AL96*AM96=0,"",AL96*AM96),"")</f>
        <v/>
      </c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L96">
        <f>IFERROR(INDEX('_names_lookup'!$C:$C,MATCH(BK96,'_names_lookup'!$A:$A,0)),"")</f>
        <v/>
      </c>
      <c r="BM96">
        <f>IFERROR(INDEX('_names_lookup'!$B:$B,MATCH(BK96,'_names_lookup'!$A:$A,0)),"")</f>
        <v/>
      </c>
      <c r="BS96">
        <f>IFERROR(IF(BR96*AA96=0,"",BR96*AA96),"")</f>
        <v/>
      </c>
    </row>
    <row r="97">
      <c r="O97">
        <f>IFERROR(INDEX('_courses_lookup'!$C:$C,MATCH(K97&amp;L97,'_courses_lookup'!$E:$E,0)),"")</f>
        <v/>
      </c>
      <c r="P97">
        <f>IFERROR(INDEX('_courses_lookup'!$D:$D,MATCH(K97&amp;L97,'_courses_lookup'!$E:$E,0)),"")</f>
        <v/>
      </c>
      <c r="AG97">
        <f>IF(AND(AE97&lt;&gt;"",AF97&lt;&gt;""),ROUNDUP((AF97-AE97)/7,0),"")</f>
        <v/>
      </c>
      <c r="AI97">
        <f>IFERROR(IF(AG97*AH97=0,"",AG97*AH97),"")</f>
        <v/>
      </c>
      <c r="AL97">
        <f>IF(AND(AJ97&lt;&gt;"",AK97&lt;&gt;""),ROUNDUP((AK97-AJ97)/7,0),"")</f>
        <v/>
      </c>
      <c r="AN97">
        <f>IFERROR(IF(AL97*AM97=0,"",AL97*AM97),"")</f>
        <v/>
      </c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L97">
        <f>IFERROR(INDEX('_names_lookup'!$C:$C,MATCH(BK97,'_names_lookup'!$A:$A,0)),"")</f>
        <v/>
      </c>
      <c r="BM97">
        <f>IFERROR(INDEX('_names_lookup'!$B:$B,MATCH(BK97,'_names_lookup'!$A:$A,0)),"")</f>
        <v/>
      </c>
      <c r="BS97">
        <f>IFERROR(IF(BR97*AA97=0,"",BR97*AA97),"")</f>
        <v/>
      </c>
    </row>
    <row r="98">
      <c r="O98">
        <f>IFERROR(INDEX('_courses_lookup'!$C:$C,MATCH(K98&amp;L98,'_courses_lookup'!$E:$E,0)),"")</f>
        <v/>
      </c>
      <c r="P98">
        <f>IFERROR(INDEX('_courses_lookup'!$D:$D,MATCH(K98&amp;L98,'_courses_lookup'!$E:$E,0)),"")</f>
        <v/>
      </c>
      <c r="AG98">
        <f>IF(AND(AE98&lt;&gt;"",AF98&lt;&gt;""),ROUNDUP((AF98-AE98)/7,0),"")</f>
        <v/>
      </c>
      <c r="AI98">
        <f>IFERROR(IF(AG98*AH98=0,"",AG98*AH98),"")</f>
        <v/>
      </c>
      <c r="AL98">
        <f>IF(AND(AJ98&lt;&gt;"",AK98&lt;&gt;""),ROUNDUP((AK98-AJ98)/7,0),"")</f>
        <v/>
      </c>
      <c r="AN98">
        <f>IFERROR(IF(AL98*AM98=0,"",AL98*AM98),"")</f>
        <v/>
      </c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L98">
        <f>IFERROR(INDEX('_names_lookup'!$C:$C,MATCH(BK98,'_names_lookup'!$A:$A,0)),"")</f>
        <v/>
      </c>
      <c r="BM98">
        <f>IFERROR(INDEX('_names_lookup'!$B:$B,MATCH(BK98,'_names_lookup'!$A:$A,0)),"")</f>
        <v/>
      </c>
      <c r="BS98">
        <f>IFERROR(IF(BR98*AA98=0,"",BR98*AA98),"")</f>
        <v/>
      </c>
    </row>
    <row r="99">
      <c r="O99">
        <f>IFERROR(INDEX('_courses_lookup'!$C:$C,MATCH(K99&amp;L99,'_courses_lookup'!$E:$E,0)),"")</f>
        <v/>
      </c>
      <c r="P99">
        <f>IFERROR(INDEX('_courses_lookup'!$D:$D,MATCH(K99&amp;L99,'_courses_lookup'!$E:$E,0)),"")</f>
        <v/>
      </c>
      <c r="AG99">
        <f>IF(AND(AE99&lt;&gt;"",AF99&lt;&gt;""),ROUNDUP((AF99-AE99)/7,0),"")</f>
        <v/>
      </c>
      <c r="AI99">
        <f>IFERROR(IF(AG99*AH99=0,"",AG99*AH99),"")</f>
        <v/>
      </c>
      <c r="AL99">
        <f>IF(AND(AJ99&lt;&gt;"",AK99&lt;&gt;""),ROUNDUP((AK99-AJ99)/7,0),"")</f>
        <v/>
      </c>
      <c r="AN99">
        <f>IFERROR(IF(AL99*AM99=0,"",AL99*AM99),"")</f>
        <v/>
      </c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L99">
        <f>IFERROR(INDEX('_names_lookup'!$C:$C,MATCH(BK99,'_names_lookup'!$A:$A,0)),"")</f>
        <v/>
      </c>
      <c r="BM99">
        <f>IFERROR(INDEX('_names_lookup'!$B:$B,MATCH(BK99,'_names_lookup'!$A:$A,0)),"")</f>
        <v/>
      </c>
      <c r="BS99">
        <f>IFERROR(IF(BR99*AA99=0,"",BR99*AA99),"")</f>
        <v/>
      </c>
    </row>
    <row r="100">
      <c r="O100">
        <f>IFERROR(INDEX('_courses_lookup'!$C:$C,MATCH(K100&amp;L100,'_courses_lookup'!$E:$E,0)),"")</f>
        <v/>
      </c>
      <c r="P100">
        <f>IFERROR(INDEX('_courses_lookup'!$D:$D,MATCH(K100&amp;L100,'_courses_lookup'!$E:$E,0)),"")</f>
        <v/>
      </c>
      <c r="AG100">
        <f>IF(AND(AE100&lt;&gt;"",AF100&lt;&gt;""),ROUNDUP((AF100-AE100)/7,0),"")</f>
        <v/>
      </c>
      <c r="AI100">
        <f>IFERROR(IF(AG100*AH100=0,"",AG100*AH100),"")</f>
        <v/>
      </c>
      <c r="AL100">
        <f>IF(AND(AJ100&lt;&gt;"",AK100&lt;&gt;""),ROUNDUP((AK100-AJ100)/7,0),"")</f>
        <v/>
      </c>
      <c r="AN100">
        <f>IFERROR(IF(AL100*AM100=0,"",AL100*AM100),"")</f>
        <v/>
      </c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L100">
        <f>IFERROR(INDEX('_names_lookup'!$C:$C,MATCH(BK100,'_names_lookup'!$A:$A,0)),"")</f>
        <v/>
      </c>
      <c r="BM100">
        <f>IFERROR(INDEX('_names_lookup'!$B:$B,MATCH(BK100,'_names_lookup'!$A:$A,0)),"")</f>
        <v/>
      </c>
      <c r="BS100">
        <f>IFERROR(IF(BR100*AA100=0,"",BR100*AA100),"")</f>
        <v/>
      </c>
    </row>
    <row r="101">
      <c r="O101">
        <f>IFERROR(INDEX('_courses_lookup'!$C:$C,MATCH(K101&amp;L101,'_courses_lookup'!$E:$E,0)),"")</f>
        <v/>
      </c>
      <c r="P101">
        <f>IFERROR(INDEX('_courses_lookup'!$D:$D,MATCH(K101&amp;L101,'_courses_lookup'!$E:$E,0)),"")</f>
        <v/>
      </c>
      <c r="AG101">
        <f>IF(AND(AE101&lt;&gt;"",AF101&lt;&gt;""),ROUNDUP((AF101-AE101)/7,0),"")</f>
        <v/>
      </c>
      <c r="AI101">
        <f>IFERROR(IF(AG101*AH101=0,"",AG101*AH101),"")</f>
        <v/>
      </c>
      <c r="AL101">
        <f>IF(AND(AJ101&lt;&gt;"",AK101&lt;&gt;""),ROUNDUP((AK101-AJ101)/7,0),"")</f>
        <v/>
      </c>
      <c r="AN101">
        <f>IFERROR(IF(AL101*AM101=0,"",AL101*AM101),"")</f>
        <v/>
      </c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L101">
        <f>IFERROR(INDEX('_names_lookup'!$C:$C,MATCH(BK101,'_names_lookup'!$A:$A,0)),"")</f>
        <v/>
      </c>
      <c r="BM101">
        <f>IFERROR(INDEX('_names_lookup'!$B:$B,MATCH(BK101,'_names_lookup'!$A:$A,0)),"")</f>
        <v/>
      </c>
      <c r="BS101">
        <f>IFERROR(IF(BR101*AA101=0,"",BR101*AA101),"")</f>
        <v/>
      </c>
    </row>
    <row r="102">
      <c r="O102">
        <f>IFERROR(INDEX('_courses_lookup'!$C:$C,MATCH(K102&amp;L102,'_courses_lookup'!$E:$E,0)),"")</f>
        <v/>
      </c>
      <c r="P102">
        <f>IFERROR(INDEX('_courses_lookup'!$D:$D,MATCH(K102&amp;L102,'_courses_lookup'!$E:$E,0)),"")</f>
        <v/>
      </c>
      <c r="AG102">
        <f>IF(AND(AE102&lt;&gt;"",AF102&lt;&gt;""),ROUNDUP((AF102-AE102)/7,0),"")</f>
        <v/>
      </c>
      <c r="AI102">
        <f>IFERROR(IF(AG102*AH102=0,"",AG102*AH102),"")</f>
        <v/>
      </c>
      <c r="AL102">
        <f>IF(AND(AJ102&lt;&gt;"",AK102&lt;&gt;""),ROUNDUP((AK102-AJ102)/7,0),"")</f>
        <v/>
      </c>
      <c r="AN102">
        <f>IFERROR(IF(AL102*AM102=0,"",AL102*AM102),"")</f>
        <v/>
      </c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L102">
        <f>IFERROR(INDEX('_names_lookup'!$C:$C,MATCH(BK102,'_names_lookup'!$A:$A,0)),"")</f>
        <v/>
      </c>
      <c r="BM102">
        <f>IFERROR(INDEX('_names_lookup'!$B:$B,MATCH(BK102,'_names_lookup'!$A:$A,0)),"")</f>
        <v/>
      </c>
      <c r="BS102">
        <f>IFERROR(IF(BR102*AA102=0,"",BR102*AA102),"")</f>
        <v/>
      </c>
    </row>
    <row r="103">
      <c r="O103">
        <f>IFERROR(INDEX('_courses_lookup'!$C:$C,MATCH(K103&amp;L103,'_courses_lookup'!$E:$E,0)),"")</f>
        <v/>
      </c>
      <c r="P103">
        <f>IFERROR(INDEX('_courses_lookup'!$D:$D,MATCH(K103&amp;L103,'_courses_lookup'!$E:$E,0)),"")</f>
        <v/>
      </c>
      <c r="AG103">
        <f>IF(AND(AE103&lt;&gt;"",AF103&lt;&gt;""),ROUNDUP((AF103-AE103)/7,0),"")</f>
        <v/>
      </c>
      <c r="AI103">
        <f>IFERROR(IF(AG103*AH103=0,"",AG103*AH103),"")</f>
        <v/>
      </c>
      <c r="AL103">
        <f>IF(AND(AJ103&lt;&gt;"",AK103&lt;&gt;""),ROUNDUP((AK103-AJ103)/7,0),"")</f>
        <v/>
      </c>
      <c r="AN103">
        <f>IFERROR(IF(AL103*AM103=0,"",AL103*AM103),"")</f>
        <v/>
      </c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L103">
        <f>IFERROR(INDEX('_names_lookup'!$C:$C,MATCH(BK103,'_names_lookup'!$A:$A,0)),"")</f>
        <v/>
      </c>
      <c r="BM103">
        <f>IFERROR(INDEX('_names_lookup'!$B:$B,MATCH(BK103,'_names_lookup'!$A:$A,0)),"")</f>
        <v/>
      </c>
      <c r="BS103">
        <f>IFERROR(IF(BR103*AA103=0,"",BR103*AA103),"")</f>
        <v/>
      </c>
    </row>
    <row r="104">
      <c r="O104">
        <f>IFERROR(INDEX('_courses_lookup'!$C:$C,MATCH(K104&amp;L104,'_courses_lookup'!$E:$E,0)),"")</f>
        <v/>
      </c>
      <c r="P104">
        <f>IFERROR(INDEX('_courses_lookup'!$D:$D,MATCH(K104&amp;L104,'_courses_lookup'!$E:$E,0)),"")</f>
        <v/>
      </c>
      <c r="AG104">
        <f>IF(AND(AE104&lt;&gt;"",AF104&lt;&gt;""),ROUNDUP((AF104-AE104)/7,0),"")</f>
        <v/>
      </c>
      <c r="AI104">
        <f>IFERROR(IF(AG104*AH104=0,"",AG104*AH104),"")</f>
        <v/>
      </c>
      <c r="AL104">
        <f>IF(AND(AJ104&lt;&gt;"",AK104&lt;&gt;""),ROUNDUP((AK104-AJ104)/7,0),"")</f>
        <v/>
      </c>
      <c r="AN104">
        <f>IFERROR(IF(AL104*AM104=0,"",AL104*AM104),"")</f>
        <v/>
      </c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L104">
        <f>IFERROR(INDEX('_names_lookup'!$C:$C,MATCH(BK104,'_names_lookup'!$A:$A,0)),"")</f>
        <v/>
      </c>
      <c r="BM104">
        <f>IFERROR(INDEX('_names_lookup'!$B:$B,MATCH(BK104,'_names_lookup'!$A:$A,0)),"")</f>
        <v/>
      </c>
      <c r="BS104">
        <f>IFERROR(IF(BR104*AA104=0,"",BR104*AA104),"")</f>
        <v/>
      </c>
    </row>
    <row r="105">
      <c r="O105">
        <f>IFERROR(INDEX('_courses_lookup'!$C:$C,MATCH(K105&amp;L105,'_courses_lookup'!$E:$E,0)),"")</f>
        <v/>
      </c>
      <c r="P105">
        <f>IFERROR(INDEX('_courses_lookup'!$D:$D,MATCH(K105&amp;L105,'_courses_lookup'!$E:$E,0)),"")</f>
        <v/>
      </c>
      <c r="AG105">
        <f>IF(AND(AE105&lt;&gt;"",AF105&lt;&gt;""),ROUNDUP((AF105-AE105)/7,0),"")</f>
        <v/>
      </c>
      <c r="AI105">
        <f>IFERROR(IF(AG105*AH105=0,"",AG105*AH105),"")</f>
        <v/>
      </c>
      <c r="AL105">
        <f>IF(AND(AJ105&lt;&gt;"",AK105&lt;&gt;""),ROUNDUP((AK105-AJ105)/7,0),"")</f>
        <v/>
      </c>
      <c r="AN105">
        <f>IFERROR(IF(AL105*AM105=0,"",AL105*AM105),"")</f>
        <v/>
      </c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L105">
        <f>IFERROR(INDEX('_names_lookup'!$C:$C,MATCH(BK105,'_names_lookup'!$A:$A,0)),"")</f>
        <v/>
      </c>
      <c r="BM105">
        <f>IFERROR(INDEX('_names_lookup'!$B:$B,MATCH(BK105,'_names_lookup'!$A:$A,0)),"")</f>
        <v/>
      </c>
      <c r="BS105">
        <f>IFERROR(IF(BR105*AA105=0,"",BR105*AA105),"")</f>
        <v/>
      </c>
    </row>
    <row r="106">
      <c r="O106">
        <f>IFERROR(INDEX('_courses_lookup'!$C:$C,MATCH(K106&amp;L106,'_courses_lookup'!$E:$E,0)),"")</f>
        <v/>
      </c>
      <c r="P106">
        <f>IFERROR(INDEX('_courses_lookup'!$D:$D,MATCH(K106&amp;L106,'_courses_lookup'!$E:$E,0)),"")</f>
        <v/>
      </c>
      <c r="AG106">
        <f>IF(AND(AE106&lt;&gt;"",AF106&lt;&gt;""),ROUNDUP((AF106-AE106)/7,0),"")</f>
        <v/>
      </c>
      <c r="AI106">
        <f>IFERROR(IF(AG106*AH106=0,"",AG106*AH106),"")</f>
        <v/>
      </c>
      <c r="AL106">
        <f>IF(AND(AJ106&lt;&gt;"",AK106&lt;&gt;""),ROUNDUP((AK106-AJ106)/7,0),"")</f>
        <v/>
      </c>
      <c r="AN106">
        <f>IFERROR(IF(AL106*AM106=0,"",AL106*AM106),"")</f>
        <v/>
      </c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L106">
        <f>IFERROR(INDEX('_names_lookup'!$C:$C,MATCH(BK106,'_names_lookup'!$A:$A,0)),"")</f>
        <v/>
      </c>
      <c r="BM106">
        <f>IFERROR(INDEX('_names_lookup'!$B:$B,MATCH(BK106,'_names_lookup'!$A:$A,0)),"")</f>
        <v/>
      </c>
      <c r="BS106">
        <f>IFERROR(IF(BR106*AA106=0,"",BR106*AA106),"")</f>
        <v/>
      </c>
    </row>
    <row r="107">
      <c r="O107">
        <f>IFERROR(INDEX('_courses_lookup'!$C:$C,MATCH(K107&amp;L107,'_courses_lookup'!$E:$E,0)),"")</f>
        <v/>
      </c>
      <c r="P107">
        <f>IFERROR(INDEX('_courses_lookup'!$D:$D,MATCH(K107&amp;L107,'_courses_lookup'!$E:$E,0)),"")</f>
        <v/>
      </c>
      <c r="AG107">
        <f>IF(AND(AE107&lt;&gt;"",AF107&lt;&gt;""),ROUNDUP((AF107-AE107)/7,0),"")</f>
        <v/>
      </c>
      <c r="AI107">
        <f>IFERROR(IF(AG107*AH107=0,"",AG107*AH107),"")</f>
        <v/>
      </c>
      <c r="AL107">
        <f>IF(AND(AJ107&lt;&gt;"",AK107&lt;&gt;""),ROUNDUP((AK107-AJ107)/7,0),"")</f>
        <v/>
      </c>
      <c r="AN107">
        <f>IFERROR(IF(AL107*AM107=0,"",AL107*AM107),"")</f>
        <v/>
      </c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L107">
        <f>IFERROR(INDEX('_names_lookup'!$C:$C,MATCH(BK107,'_names_lookup'!$A:$A,0)),"")</f>
        <v/>
      </c>
      <c r="BM107">
        <f>IFERROR(INDEX('_names_lookup'!$B:$B,MATCH(BK107,'_names_lookup'!$A:$A,0)),"")</f>
        <v/>
      </c>
      <c r="BS107">
        <f>IFERROR(IF(BR107*AA107=0,"",BR107*AA107),"")</f>
        <v/>
      </c>
    </row>
    <row r="108">
      <c r="O108">
        <f>IFERROR(INDEX('_courses_lookup'!$C:$C,MATCH(K108&amp;L108,'_courses_lookup'!$E:$E,0)),"")</f>
        <v/>
      </c>
      <c r="P108">
        <f>IFERROR(INDEX('_courses_lookup'!$D:$D,MATCH(K108&amp;L108,'_courses_lookup'!$E:$E,0)),"")</f>
        <v/>
      </c>
      <c r="AG108">
        <f>IF(AND(AE108&lt;&gt;"",AF108&lt;&gt;""),ROUNDUP((AF108-AE108)/7,0),"")</f>
        <v/>
      </c>
      <c r="AI108">
        <f>IFERROR(IF(AG108*AH108=0,"",AG108*AH108),"")</f>
        <v/>
      </c>
      <c r="AL108">
        <f>IF(AND(AJ108&lt;&gt;"",AK108&lt;&gt;""),ROUNDUP((AK108-AJ108)/7,0),"")</f>
        <v/>
      </c>
      <c r="AN108">
        <f>IFERROR(IF(AL108*AM108=0,"",AL108*AM108),"")</f>
        <v/>
      </c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L108">
        <f>IFERROR(INDEX('_names_lookup'!$C:$C,MATCH(BK108,'_names_lookup'!$A:$A,0)),"")</f>
        <v/>
      </c>
      <c r="BM108">
        <f>IFERROR(INDEX('_names_lookup'!$B:$B,MATCH(BK108,'_names_lookup'!$A:$A,0)),"")</f>
        <v/>
      </c>
      <c r="BS108">
        <f>IFERROR(IF(BR108*AA108=0,"",BR108*AA108),"")</f>
        <v/>
      </c>
    </row>
    <row r="109">
      <c r="O109">
        <f>IFERROR(INDEX('_courses_lookup'!$C:$C,MATCH(K109&amp;L109,'_courses_lookup'!$E:$E,0)),"")</f>
        <v/>
      </c>
      <c r="P109">
        <f>IFERROR(INDEX('_courses_lookup'!$D:$D,MATCH(K109&amp;L109,'_courses_lookup'!$E:$E,0)),"")</f>
        <v/>
      </c>
      <c r="AG109">
        <f>IF(AND(AE109&lt;&gt;"",AF109&lt;&gt;""),ROUNDUP((AF109-AE109)/7,0),"")</f>
        <v/>
      </c>
      <c r="AI109">
        <f>IFERROR(IF(AG109*AH109=0,"",AG109*AH109),"")</f>
        <v/>
      </c>
      <c r="AL109">
        <f>IF(AND(AJ109&lt;&gt;"",AK109&lt;&gt;""),ROUNDUP((AK109-AJ109)/7,0),"")</f>
        <v/>
      </c>
      <c r="AN109">
        <f>IFERROR(IF(AL109*AM109=0,"",AL109*AM109),"")</f>
        <v/>
      </c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L109">
        <f>IFERROR(INDEX('_names_lookup'!$C:$C,MATCH(BK109,'_names_lookup'!$A:$A,0)),"")</f>
        <v/>
      </c>
      <c r="BM109">
        <f>IFERROR(INDEX('_names_lookup'!$B:$B,MATCH(BK109,'_names_lookup'!$A:$A,0)),"")</f>
        <v/>
      </c>
      <c r="BS109">
        <f>IFERROR(IF(BR109*AA109=0,"",BR109*AA109),"")</f>
        <v/>
      </c>
    </row>
    <row r="110">
      <c r="O110">
        <f>IFERROR(INDEX('_courses_lookup'!$C:$C,MATCH(K110&amp;L110,'_courses_lookup'!$E:$E,0)),"")</f>
        <v/>
      </c>
      <c r="P110">
        <f>IFERROR(INDEX('_courses_lookup'!$D:$D,MATCH(K110&amp;L110,'_courses_lookup'!$E:$E,0)),"")</f>
        <v/>
      </c>
      <c r="AG110">
        <f>IF(AND(AE110&lt;&gt;"",AF110&lt;&gt;""),ROUNDUP((AF110-AE110)/7,0),"")</f>
        <v/>
      </c>
      <c r="AI110">
        <f>IFERROR(IF(AG110*AH110=0,"",AG110*AH110),"")</f>
        <v/>
      </c>
      <c r="AL110">
        <f>IF(AND(AJ110&lt;&gt;"",AK110&lt;&gt;""),ROUNDUP((AK110-AJ110)/7,0),"")</f>
        <v/>
      </c>
      <c r="AN110">
        <f>IFERROR(IF(AL110*AM110=0,"",AL110*AM110),"")</f>
        <v/>
      </c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L110">
        <f>IFERROR(INDEX('_names_lookup'!$C:$C,MATCH(BK110,'_names_lookup'!$A:$A,0)),"")</f>
        <v/>
      </c>
      <c r="BM110">
        <f>IFERROR(INDEX('_names_lookup'!$B:$B,MATCH(BK110,'_names_lookup'!$A:$A,0)),"")</f>
        <v/>
      </c>
      <c r="BS110">
        <f>IFERROR(IF(BR110*AA110=0,"",BR110*AA110),"")</f>
        <v/>
      </c>
    </row>
    <row r="111">
      <c r="O111">
        <f>IFERROR(INDEX('_courses_lookup'!$C:$C,MATCH(K111&amp;L111,'_courses_lookup'!$E:$E,0)),"")</f>
        <v/>
      </c>
      <c r="P111">
        <f>IFERROR(INDEX('_courses_lookup'!$D:$D,MATCH(K111&amp;L111,'_courses_lookup'!$E:$E,0)),"")</f>
        <v/>
      </c>
      <c r="AG111">
        <f>IF(AND(AE111&lt;&gt;"",AF111&lt;&gt;""),ROUNDUP((AF111-AE111)/7,0),"")</f>
        <v/>
      </c>
      <c r="AI111">
        <f>IFERROR(IF(AG111*AH111=0,"",AG111*AH111),"")</f>
        <v/>
      </c>
      <c r="AL111">
        <f>IF(AND(AJ111&lt;&gt;"",AK111&lt;&gt;""),ROUNDUP((AK111-AJ111)/7,0),"")</f>
        <v/>
      </c>
      <c r="AN111">
        <f>IFERROR(IF(AL111*AM111=0,"",AL111*AM111),"")</f>
        <v/>
      </c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L111">
        <f>IFERROR(INDEX('_names_lookup'!$C:$C,MATCH(BK111,'_names_lookup'!$A:$A,0)),"")</f>
        <v/>
      </c>
      <c r="BM111">
        <f>IFERROR(INDEX('_names_lookup'!$B:$B,MATCH(BK111,'_names_lookup'!$A:$A,0)),"")</f>
        <v/>
      </c>
      <c r="BS111">
        <f>IFERROR(IF(BR111*AA111=0,"",BR111*AA111),"")</f>
        <v/>
      </c>
    </row>
    <row r="112">
      <c r="O112">
        <f>IFERROR(INDEX('_courses_lookup'!$C:$C,MATCH(K112&amp;L112,'_courses_lookup'!$E:$E,0)),"")</f>
        <v/>
      </c>
      <c r="P112">
        <f>IFERROR(INDEX('_courses_lookup'!$D:$D,MATCH(K112&amp;L112,'_courses_lookup'!$E:$E,0)),"")</f>
        <v/>
      </c>
      <c r="AG112">
        <f>IF(AND(AE112&lt;&gt;"",AF112&lt;&gt;""),ROUNDUP((AF112-AE112)/7,0),"")</f>
        <v/>
      </c>
      <c r="AI112">
        <f>IFERROR(IF(AG112*AH112=0,"",AG112*AH112),"")</f>
        <v/>
      </c>
      <c r="AL112">
        <f>IF(AND(AJ112&lt;&gt;"",AK112&lt;&gt;""),ROUNDUP((AK112-AJ112)/7,0),"")</f>
        <v/>
      </c>
      <c r="AN112">
        <f>IFERROR(IF(AL112*AM112=0,"",AL112*AM112),"")</f>
        <v/>
      </c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L112">
        <f>IFERROR(INDEX('_names_lookup'!$C:$C,MATCH(BK112,'_names_lookup'!$A:$A,0)),"")</f>
        <v/>
      </c>
      <c r="BM112">
        <f>IFERROR(INDEX('_names_lookup'!$B:$B,MATCH(BK112,'_names_lookup'!$A:$A,0)),"")</f>
        <v/>
      </c>
      <c r="BS112">
        <f>IFERROR(IF(BR112*AA112=0,"",BR112*AA112),"")</f>
        <v/>
      </c>
    </row>
    <row r="113">
      <c r="O113">
        <f>IFERROR(INDEX('_courses_lookup'!$C:$C,MATCH(K113&amp;L113,'_courses_lookup'!$E:$E,0)),"")</f>
        <v/>
      </c>
      <c r="P113">
        <f>IFERROR(INDEX('_courses_lookup'!$D:$D,MATCH(K113&amp;L113,'_courses_lookup'!$E:$E,0)),"")</f>
        <v/>
      </c>
      <c r="AG113">
        <f>IF(AND(AE113&lt;&gt;"",AF113&lt;&gt;""),ROUNDUP((AF113-AE113)/7,0),"")</f>
        <v/>
      </c>
      <c r="AI113">
        <f>IFERROR(IF(AG113*AH113=0,"",AG113*AH113),"")</f>
        <v/>
      </c>
      <c r="AL113">
        <f>IF(AND(AJ113&lt;&gt;"",AK113&lt;&gt;""),ROUNDUP((AK113-AJ113)/7,0),"")</f>
        <v/>
      </c>
      <c r="AN113">
        <f>IFERROR(IF(AL113*AM113=0,"",AL113*AM113),"")</f>
        <v/>
      </c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L113">
        <f>IFERROR(INDEX('_names_lookup'!$C:$C,MATCH(BK113,'_names_lookup'!$A:$A,0)),"")</f>
        <v/>
      </c>
      <c r="BM113">
        <f>IFERROR(INDEX('_names_lookup'!$B:$B,MATCH(BK113,'_names_lookup'!$A:$A,0)),"")</f>
        <v/>
      </c>
      <c r="BS113">
        <f>IFERROR(IF(BR113*AA113=0,"",BR113*AA113),"")</f>
        <v/>
      </c>
    </row>
    <row r="114">
      <c r="O114">
        <f>IFERROR(INDEX('_courses_lookup'!$C:$C,MATCH(K114&amp;L114,'_courses_lookup'!$E:$E,0)),"")</f>
        <v/>
      </c>
      <c r="P114">
        <f>IFERROR(INDEX('_courses_lookup'!$D:$D,MATCH(K114&amp;L114,'_courses_lookup'!$E:$E,0)),"")</f>
        <v/>
      </c>
      <c r="AG114">
        <f>IF(AND(AE114&lt;&gt;"",AF114&lt;&gt;""),ROUNDUP((AF114-AE114)/7,0),"")</f>
        <v/>
      </c>
      <c r="AI114">
        <f>IFERROR(IF(AG114*AH114=0,"",AG114*AH114),"")</f>
        <v/>
      </c>
      <c r="AL114">
        <f>IF(AND(AJ114&lt;&gt;"",AK114&lt;&gt;""),ROUNDUP((AK114-AJ114)/7,0),"")</f>
        <v/>
      </c>
      <c r="AN114">
        <f>IFERROR(IF(AL114*AM114=0,"",AL114*AM114),"")</f>
        <v/>
      </c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L114">
        <f>IFERROR(INDEX('_names_lookup'!$C:$C,MATCH(BK114,'_names_lookup'!$A:$A,0)),"")</f>
        <v/>
      </c>
      <c r="BM114">
        <f>IFERROR(INDEX('_names_lookup'!$B:$B,MATCH(BK114,'_names_lookup'!$A:$A,0)),"")</f>
        <v/>
      </c>
      <c r="BS114">
        <f>IFERROR(IF(BR114*AA114=0,"",BR114*AA114),"")</f>
        <v/>
      </c>
    </row>
    <row r="115">
      <c r="O115">
        <f>IFERROR(INDEX('_courses_lookup'!$C:$C,MATCH(K115&amp;L115,'_courses_lookup'!$E:$E,0)),"")</f>
        <v/>
      </c>
      <c r="P115">
        <f>IFERROR(INDEX('_courses_lookup'!$D:$D,MATCH(K115&amp;L115,'_courses_lookup'!$E:$E,0)),"")</f>
        <v/>
      </c>
      <c r="AG115">
        <f>IF(AND(AE115&lt;&gt;"",AF115&lt;&gt;""),ROUNDUP((AF115-AE115)/7,0),"")</f>
        <v/>
      </c>
      <c r="AI115">
        <f>IFERROR(IF(AG115*AH115=0,"",AG115*AH115),"")</f>
        <v/>
      </c>
      <c r="AL115">
        <f>IF(AND(AJ115&lt;&gt;"",AK115&lt;&gt;""),ROUNDUP((AK115-AJ115)/7,0),"")</f>
        <v/>
      </c>
      <c r="AN115">
        <f>IFERROR(IF(AL115*AM115=0,"",AL115*AM115),"")</f>
        <v/>
      </c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L115">
        <f>IFERROR(INDEX('_names_lookup'!$C:$C,MATCH(BK115,'_names_lookup'!$A:$A,0)),"")</f>
        <v/>
      </c>
      <c r="BM115">
        <f>IFERROR(INDEX('_names_lookup'!$B:$B,MATCH(BK115,'_names_lookup'!$A:$A,0)),"")</f>
        <v/>
      </c>
      <c r="BS115">
        <f>IFERROR(IF(BR115*AA115=0,"",BR115*AA115),"")</f>
        <v/>
      </c>
    </row>
    <row r="116">
      <c r="O116">
        <f>IFERROR(INDEX('_courses_lookup'!$C:$C,MATCH(K116&amp;L116,'_courses_lookup'!$E:$E,0)),"")</f>
        <v/>
      </c>
      <c r="P116">
        <f>IFERROR(INDEX('_courses_lookup'!$D:$D,MATCH(K116&amp;L116,'_courses_lookup'!$E:$E,0)),"")</f>
        <v/>
      </c>
      <c r="AG116">
        <f>IF(AND(AE116&lt;&gt;"",AF116&lt;&gt;""),ROUNDUP((AF116-AE116)/7,0),"")</f>
        <v/>
      </c>
      <c r="AI116">
        <f>IFERROR(IF(AG116*AH116=0,"",AG116*AH116),"")</f>
        <v/>
      </c>
      <c r="AL116">
        <f>IF(AND(AJ116&lt;&gt;"",AK116&lt;&gt;""),ROUNDUP((AK116-AJ116)/7,0),"")</f>
        <v/>
      </c>
      <c r="AN116">
        <f>IFERROR(IF(AL116*AM116=0,"",AL116*AM116),"")</f>
        <v/>
      </c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L116">
        <f>IFERROR(INDEX('_names_lookup'!$C:$C,MATCH(BK116,'_names_lookup'!$A:$A,0)),"")</f>
        <v/>
      </c>
      <c r="BM116">
        <f>IFERROR(INDEX('_names_lookup'!$B:$B,MATCH(BK116,'_names_lookup'!$A:$A,0)),"")</f>
        <v/>
      </c>
      <c r="BS116">
        <f>IFERROR(IF(BR116*AA116=0,"",BR116*AA116),"")</f>
        <v/>
      </c>
    </row>
    <row r="117">
      <c r="O117">
        <f>IFERROR(INDEX('_courses_lookup'!$C:$C,MATCH(K117&amp;L117,'_courses_lookup'!$E:$E,0)),"")</f>
        <v/>
      </c>
      <c r="P117">
        <f>IFERROR(INDEX('_courses_lookup'!$D:$D,MATCH(K117&amp;L117,'_courses_lookup'!$E:$E,0)),"")</f>
        <v/>
      </c>
      <c r="AG117">
        <f>IF(AND(AE117&lt;&gt;"",AF117&lt;&gt;""),ROUNDUP((AF117-AE117)/7,0),"")</f>
        <v/>
      </c>
      <c r="AI117">
        <f>IFERROR(IF(AG117*AH117=0,"",AG117*AH117),"")</f>
        <v/>
      </c>
      <c r="AL117">
        <f>IF(AND(AJ117&lt;&gt;"",AK117&lt;&gt;""),ROUNDUP((AK117-AJ117)/7,0),"")</f>
        <v/>
      </c>
      <c r="AN117">
        <f>IFERROR(IF(AL117*AM117=0,"",AL117*AM117),"")</f>
        <v/>
      </c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L117">
        <f>IFERROR(INDEX('_names_lookup'!$C:$C,MATCH(BK117,'_names_lookup'!$A:$A,0)),"")</f>
        <v/>
      </c>
      <c r="BM117">
        <f>IFERROR(INDEX('_names_lookup'!$B:$B,MATCH(BK117,'_names_lookup'!$A:$A,0)),"")</f>
        <v/>
      </c>
      <c r="BS117">
        <f>IFERROR(IF(BR117*AA117=0,"",BR117*AA117),"")</f>
        <v/>
      </c>
    </row>
    <row r="118">
      <c r="O118">
        <f>IFERROR(INDEX('_courses_lookup'!$C:$C,MATCH(K118&amp;L118,'_courses_lookup'!$E:$E,0)),"")</f>
        <v/>
      </c>
      <c r="P118">
        <f>IFERROR(INDEX('_courses_lookup'!$D:$D,MATCH(K118&amp;L118,'_courses_lookup'!$E:$E,0)),"")</f>
        <v/>
      </c>
      <c r="AG118">
        <f>IF(AND(AE118&lt;&gt;"",AF118&lt;&gt;""),ROUNDUP((AF118-AE118)/7,0),"")</f>
        <v/>
      </c>
      <c r="AI118">
        <f>IFERROR(IF(AG118*AH118=0,"",AG118*AH118),"")</f>
        <v/>
      </c>
      <c r="AL118">
        <f>IF(AND(AJ118&lt;&gt;"",AK118&lt;&gt;""),ROUNDUP((AK118-AJ118)/7,0),"")</f>
        <v/>
      </c>
      <c r="AN118">
        <f>IFERROR(IF(AL118*AM118=0,"",AL118*AM118),"")</f>
        <v/>
      </c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L118">
        <f>IFERROR(INDEX('_names_lookup'!$C:$C,MATCH(BK118,'_names_lookup'!$A:$A,0)),"")</f>
        <v/>
      </c>
      <c r="BM118">
        <f>IFERROR(INDEX('_names_lookup'!$B:$B,MATCH(BK118,'_names_lookup'!$A:$A,0)),"")</f>
        <v/>
      </c>
      <c r="BS118">
        <f>IFERROR(IF(BR118*AA118=0,"",BR118*AA118),"")</f>
        <v/>
      </c>
    </row>
    <row r="119">
      <c r="O119">
        <f>IFERROR(INDEX('_courses_lookup'!$C:$C,MATCH(K119&amp;L119,'_courses_lookup'!$E:$E,0)),"")</f>
        <v/>
      </c>
      <c r="P119">
        <f>IFERROR(INDEX('_courses_lookup'!$D:$D,MATCH(K119&amp;L119,'_courses_lookup'!$E:$E,0)),"")</f>
        <v/>
      </c>
      <c r="AG119">
        <f>IF(AND(AE119&lt;&gt;"",AF119&lt;&gt;""),ROUNDUP((AF119-AE119)/7,0),"")</f>
        <v/>
      </c>
      <c r="AI119">
        <f>IFERROR(IF(AG119*AH119=0,"",AG119*AH119),"")</f>
        <v/>
      </c>
      <c r="AL119">
        <f>IF(AND(AJ119&lt;&gt;"",AK119&lt;&gt;""),ROUNDUP((AK119-AJ119)/7,0),"")</f>
        <v/>
      </c>
      <c r="AN119">
        <f>IFERROR(IF(AL119*AM119=0,"",AL119*AM119),"")</f>
        <v/>
      </c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L119">
        <f>IFERROR(INDEX('_names_lookup'!$C:$C,MATCH(BK119,'_names_lookup'!$A:$A,0)),"")</f>
        <v/>
      </c>
      <c r="BM119">
        <f>IFERROR(INDEX('_names_lookup'!$B:$B,MATCH(BK119,'_names_lookup'!$A:$A,0)),"")</f>
        <v/>
      </c>
      <c r="BS119">
        <f>IFERROR(IF(BR119*AA119=0,"",BR119*AA119),"")</f>
        <v/>
      </c>
    </row>
    <row r="120">
      <c r="O120">
        <f>IFERROR(INDEX('_courses_lookup'!$C:$C,MATCH(K120&amp;L120,'_courses_lookup'!$E:$E,0)),"")</f>
        <v/>
      </c>
      <c r="P120">
        <f>IFERROR(INDEX('_courses_lookup'!$D:$D,MATCH(K120&amp;L120,'_courses_lookup'!$E:$E,0)),"")</f>
        <v/>
      </c>
      <c r="AG120">
        <f>IF(AND(AE120&lt;&gt;"",AF120&lt;&gt;""),ROUNDUP((AF120-AE120)/7,0),"")</f>
        <v/>
      </c>
      <c r="AI120">
        <f>IFERROR(IF(AG120*AH120=0,"",AG120*AH120),"")</f>
        <v/>
      </c>
      <c r="AL120">
        <f>IF(AND(AJ120&lt;&gt;"",AK120&lt;&gt;""),ROUNDUP((AK120-AJ120)/7,0),"")</f>
        <v/>
      </c>
      <c r="AN120">
        <f>IFERROR(IF(AL120*AM120=0,"",AL120*AM120),"")</f>
        <v/>
      </c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L120">
        <f>IFERROR(INDEX('_names_lookup'!$C:$C,MATCH(BK120,'_names_lookup'!$A:$A,0)),"")</f>
        <v/>
      </c>
      <c r="BM120">
        <f>IFERROR(INDEX('_names_lookup'!$B:$B,MATCH(BK120,'_names_lookup'!$A:$A,0)),"")</f>
        <v/>
      </c>
      <c r="BS120">
        <f>IFERROR(IF(BR120*AA120=0,"",BR120*AA120),"")</f>
        <v/>
      </c>
    </row>
    <row r="121">
      <c r="O121">
        <f>IFERROR(INDEX('_courses_lookup'!$C:$C,MATCH(K121&amp;L121,'_courses_lookup'!$E:$E,0)),"")</f>
        <v/>
      </c>
      <c r="P121">
        <f>IFERROR(INDEX('_courses_lookup'!$D:$D,MATCH(K121&amp;L121,'_courses_lookup'!$E:$E,0)),"")</f>
        <v/>
      </c>
      <c r="AG121">
        <f>IF(AND(AE121&lt;&gt;"",AF121&lt;&gt;""),ROUNDUP((AF121-AE121)/7,0),"")</f>
        <v/>
      </c>
      <c r="AI121">
        <f>IFERROR(IF(AG121*AH121=0,"",AG121*AH121),"")</f>
        <v/>
      </c>
      <c r="AL121">
        <f>IF(AND(AJ121&lt;&gt;"",AK121&lt;&gt;""),ROUNDUP((AK121-AJ121)/7,0),"")</f>
        <v/>
      </c>
      <c r="AN121">
        <f>IFERROR(IF(AL121*AM121=0,"",AL121*AM121),"")</f>
        <v/>
      </c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L121">
        <f>IFERROR(INDEX('_names_lookup'!$C:$C,MATCH(BK121,'_names_lookup'!$A:$A,0)),"")</f>
        <v/>
      </c>
      <c r="BM121">
        <f>IFERROR(INDEX('_names_lookup'!$B:$B,MATCH(BK121,'_names_lookup'!$A:$A,0)),"")</f>
        <v/>
      </c>
      <c r="BS121">
        <f>IFERROR(IF(BR121*AA121=0,"",BR121*AA121),"")</f>
        <v/>
      </c>
    </row>
    <row r="122">
      <c r="O122">
        <f>IFERROR(INDEX('_courses_lookup'!$C:$C,MATCH(K122&amp;L122,'_courses_lookup'!$E:$E,0)),"")</f>
        <v/>
      </c>
      <c r="P122">
        <f>IFERROR(INDEX('_courses_lookup'!$D:$D,MATCH(K122&amp;L122,'_courses_lookup'!$E:$E,0)),"")</f>
        <v/>
      </c>
      <c r="AG122">
        <f>IF(AND(AE122&lt;&gt;"",AF122&lt;&gt;""),ROUNDUP((AF122-AE122)/7,0),"")</f>
        <v/>
      </c>
      <c r="AI122">
        <f>IFERROR(IF(AG122*AH122=0,"",AG122*AH122),"")</f>
        <v/>
      </c>
      <c r="AL122">
        <f>IF(AND(AJ122&lt;&gt;"",AK122&lt;&gt;""),ROUNDUP((AK122-AJ122)/7,0),"")</f>
        <v/>
      </c>
      <c r="AN122">
        <f>IFERROR(IF(AL122*AM122=0,"",AL122*AM122),"")</f>
        <v/>
      </c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L122">
        <f>IFERROR(INDEX('_names_lookup'!$C:$C,MATCH(BK122,'_names_lookup'!$A:$A,0)),"")</f>
        <v/>
      </c>
      <c r="BM122">
        <f>IFERROR(INDEX('_names_lookup'!$B:$B,MATCH(BK122,'_names_lookup'!$A:$A,0)),"")</f>
        <v/>
      </c>
      <c r="BS122">
        <f>IFERROR(IF(BR122*AA122=0,"",BR122*AA122),"")</f>
        <v/>
      </c>
    </row>
    <row r="123">
      <c r="O123">
        <f>IFERROR(INDEX('_courses_lookup'!$C:$C,MATCH(K123&amp;L123,'_courses_lookup'!$E:$E,0)),"")</f>
        <v/>
      </c>
      <c r="P123">
        <f>IFERROR(INDEX('_courses_lookup'!$D:$D,MATCH(K123&amp;L123,'_courses_lookup'!$E:$E,0)),"")</f>
        <v/>
      </c>
      <c r="AG123">
        <f>IF(AND(AE123&lt;&gt;"",AF123&lt;&gt;""),ROUNDUP((AF123-AE123)/7,0),"")</f>
        <v/>
      </c>
      <c r="AI123">
        <f>IFERROR(IF(AG123*AH123=0,"",AG123*AH123),"")</f>
        <v/>
      </c>
      <c r="AL123">
        <f>IF(AND(AJ123&lt;&gt;"",AK123&lt;&gt;""),ROUNDUP((AK123-AJ123)/7,0),"")</f>
        <v/>
      </c>
      <c r="AN123">
        <f>IFERROR(IF(AL123*AM123=0,"",AL123*AM123),"")</f>
        <v/>
      </c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L123">
        <f>IFERROR(INDEX('_names_lookup'!$C:$C,MATCH(BK123,'_names_lookup'!$A:$A,0)),"")</f>
        <v/>
      </c>
      <c r="BM123">
        <f>IFERROR(INDEX('_names_lookup'!$B:$B,MATCH(BK123,'_names_lookup'!$A:$A,0)),"")</f>
        <v/>
      </c>
      <c r="BS123">
        <f>IFERROR(IF(BR123*AA123=0,"",BR123*AA123),"")</f>
        <v/>
      </c>
    </row>
    <row r="124">
      <c r="O124">
        <f>IFERROR(INDEX('_courses_lookup'!$C:$C,MATCH(K124&amp;L124,'_courses_lookup'!$E:$E,0)),"")</f>
        <v/>
      </c>
      <c r="P124">
        <f>IFERROR(INDEX('_courses_lookup'!$D:$D,MATCH(K124&amp;L124,'_courses_lookup'!$E:$E,0)),"")</f>
        <v/>
      </c>
      <c r="AG124">
        <f>IF(AND(AE124&lt;&gt;"",AF124&lt;&gt;""),ROUNDUP((AF124-AE124)/7,0),"")</f>
        <v/>
      </c>
      <c r="AI124">
        <f>IFERROR(IF(AG124*AH124=0,"",AG124*AH124),"")</f>
        <v/>
      </c>
      <c r="AL124">
        <f>IF(AND(AJ124&lt;&gt;"",AK124&lt;&gt;""),ROUNDUP((AK124-AJ124)/7,0),"")</f>
        <v/>
      </c>
      <c r="AN124">
        <f>IFERROR(IF(AL124*AM124=0,"",AL124*AM124),"")</f>
        <v/>
      </c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L124">
        <f>IFERROR(INDEX('_names_lookup'!$C:$C,MATCH(BK124,'_names_lookup'!$A:$A,0)),"")</f>
        <v/>
      </c>
      <c r="BM124">
        <f>IFERROR(INDEX('_names_lookup'!$B:$B,MATCH(BK124,'_names_lookup'!$A:$A,0)),"")</f>
        <v/>
      </c>
      <c r="BS124">
        <f>IFERROR(IF(BR124*AA124=0,"",BR124*AA124),"")</f>
        <v/>
      </c>
    </row>
    <row r="125">
      <c r="O125">
        <f>IFERROR(INDEX('_courses_lookup'!$C:$C,MATCH(K125&amp;L125,'_courses_lookup'!$E:$E,0)),"")</f>
        <v/>
      </c>
      <c r="P125">
        <f>IFERROR(INDEX('_courses_lookup'!$D:$D,MATCH(K125&amp;L125,'_courses_lookup'!$E:$E,0)),"")</f>
        <v/>
      </c>
      <c r="AG125">
        <f>IF(AND(AE125&lt;&gt;"",AF125&lt;&gt;""),ROUNDUP((AF125-AE125)/7,0),"")</f>
        <v/>
      </c>
      <c r="AI125">
        <f>IFERROR(IF(AG125*AH125=0,"",AG125*AH125),"")</f>
        <v/>
      </c>
      <c r="AL125">
        <f>IF(AND(AJ125&lt;&gt;"",AK125&lt;&gt;""),ROUNDUP((AK125-AJ125)/7,0),"")</f>
        <v/>
      </c>
      <c r="AN125">
        <f>IFERROR(IF(AL125*AM125=0,"",AL125*AM125),"")</f>
        <v/>
      </c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L125">
        <f>IFERROR(INDEX('_names_lookup'!$C:$C,MATCH(BK125,'_names_lookup'!$A:$A,0)),"")</f>
        <v/>
      </c>
      <c r="BM125">
        <f>IFERROR(INDEX('_names_lookup'!$B:$B,MATCH(BK125,'_names_lookup'!$A:$A,0)),"")</f>
        <v/>
      </c>
      <c r="BS125">
        <f>IFERROR(IF(BR125*AA125=0,"",BR125*AA125),"")</f>
        <v/>
      </c>
    </row>
    <row r="126">
      <c r="O126">
        <f>IFERROR(INDEX('_courses_lookup'!$C:$C,MATCH(K126&amp;L126,'_courses_lookup'!$E:$E,0)),"")</f>
        <v/>
      </c>
      <c r="P126">
        <f>IFERROR(INDEX('_courses_lookup'!$D:$D,MATCH(K126&amp;L126,'_courses_lookup'!$E:$E,0)),"")</f>
        <v/>
      </c>
      <c r="AG126">
        <f>IF(AND(AE126&lt;&gt;"",AF126&lt;&gt;""),ROUNDUP((AF126-AE126)/7,0),"")</f>
        <v/>
      </c>
      <c r="AI126">
        <f>IFERROR(IF(AG126*AH126=0,"",AG126*AH126),"")</f>
        <v/>
      </c>
      <c r="AL126">
        <f>IF(AND(AJ126&lt;&gt;"",AK126&lt;&gt;""),ROUNDUP((AK126-AJ126)/7,0),"")</f>
        <v/>
      </c>
      <c r="AN126">
        <f>IFERROR(IF(AL126*AM126=0,"",AL126*AM126),"")</f>
        <v/>
      </c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L126">
        <f>IFERROR(INDEX('_names_lookup'!$C:$C,MATCH(BK126,'_names_lookup'!$A:$A,0)),"")</f>
        <v/>
      </c>
      <c r="BM126">
        <f>IFERROR(INDEX('_names_lookup'!$B:$B,MATCH(BK126,'_names_lookup'!$A:$A,0)),"")</f>
        <v/>
      </c>
      <c r="BS126">
        <f>IFERROR(IF(BR126*AA126=0,"",BR126*AA126),"")</f>
        <v/>
      </c>
    </row>
    <row r="127">
      <c r="O127">
        <f>IFERROR(INDEX('_courses_lookup'!$C:$C,MATCH(K127&amp;L127,'_courses_lookup'!$E:$E,0)),"")</f>
        <v/>
      </c>
      <c r="P127">
        <f>IFERROR(INDEX('_courses_lookup'!$D:$D,MATCH(K127&amp;L127,'_courses_lookup'!$E:$E,0)),"")</f>
        <v/>
      </c>
      <c r="AG127">
        <f>IF(AND(AE127&lt;&gt;"",AF127&lt;&gt;""),ROUNDUP((AF127-AE127)/7,0),"")</f>
        <v/>
      </c>
      <c r="AI127">
        <f>IFERROR(IF(AG127*AH127=0,"",AG127*AH127),"")</f>
        <v/>
      </c>
      <c r="AL127">
        <f>IF(AND(AJ127&lt;&gt;"",AK127&lt;&gt;""),ROUNDUP((AK127-AJ127)/7,0),"")</f>
        <v/>
      </c>
      <c r="AN127">
        <f>IFERROR(IF(AL127*AM127=0,"",AL127*AM127),"")</f>
        <v/>
      </c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L127">
        <f>IFERROR(INDEX('_names_lookup'!$C:$C,MATCH(BK127,'_names_lookup'!$A:$A,0)),"")</f>
        <v/>
      </c>
      <c r="BM127">
        <f>IFERROR(INDEX('_names_lookup'!$B:$B,MATCH(BK127,'_names_lookup'!$A:$A,0)),"")</f>
        <v/>
      </c>
      <c r="BS127">
        <f>IFERROR(IF(BR127*AA127=0,"",BR127*AA127),"")</f>
        <v/>
      </c>
    </row>
    <row r="128">
      <c r="O128">
        <f>IFERROR(INDEX('_courses_lookup'!$C:$C,MATCH(K128&amp;L128,'_courses_lookup'!$E:$E,0)),"")</f>
        <v/>
      </c>
      <c r="P128">
        <f>IFERROR(INDEX('_courses_lookup'!$D:$D,MATCH(K128&amp;L128,'_courses_lookup'!$E:$E,0)),"")</f>
        <v/>
      </c>
      <c r="AG128">
        <f>IF(AND(AE128&lt;&gt;"",AF128&lt;&gt;""),ROUNDUP((AF128-AE128)/7,0),"")</f>
        <v/>
      </c>
      <c r="AI128">
        <f>IFERROR(IF(AG128*AH128=0,"",AG128*AH128),"")</f>
        <v/>
      </c>
      <c r="AL128">
        <f>IF(AND(AJ128&lt;&gt;"",AK128&lt;&gt;""),ROUNDUP((AK128-AJ128)/7,0),"")</f>
        <v/>
      </c>
      <c r="AN128">
        <f>IFERROR(IF(AL128*AM128=0,"",AL128*AM128),"")</f>
        <v/>
      </c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L128">
        <f>IFERROR(INDEX('_names_lookup'!$C:$C,MATCH(BK128,'_names_lookup'!$A:$A,0)),"")</f>
        <v/>
      </c>
      <c r="BM128">
        <f>IFERROR(INDEX('_names_lookup'!$B:$B,MATCH(BK128,'_names_lookup'!$A:$A,0)),"")</f>
        <v/>
      </c>
      <c r="BS128">
        <f>IFERROR(IF(BR128*AA128=0,"",BR128*AA128),"")</f>
        <v/>
      </c>
    </row>
    <row r="129">
      <c r="O129">
        <f>IFERROR(INDEX('_courses_lookup'!$C:$C,MATCH(K129&amp;L129,'_courses_lookup'!$E:$E,0)),"")</f>
        <v/>
      </c>
      <c r="P129">
        <f>IFERROR(INDEX('_courses_lookup'!$D:$D,MATCH(K129&amp;L129,'_courses_lookup'!$E:$E,0)),"")</f>
        <v/>
      </c>
      <c r="AG129">
        <f>IF(AND(AE129&lt;&gt;"",AF129&lt;&gt;""),ROUNDUP((AF129-AE129)/7,0),"")</f>
        <v/>
      </c>
      <c r="AI129">
        <f>IFERROR(IF(AG129*AH129=0,"",AG129*AH129),"")</f>
        <v/>
      </c>
      <c r="AL129">
        <f>IF(AND(AJ129&lt;&gt;"",AK129&lt;&gt;""),ROUNDUP((AK129-AJ129)/7,0),"")</f>
        <v/>
      </c>
      <c r="AN129">
        <f>IFERROR(IF(AL129*AM129=0,"",AL129*AM129),"")</f>
        <v/>
      </c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L129">
        <f>IFERROR(INDEX('_names_lookup'!$C:$C,MATCH(BK129,'_names_lookup'!$A:$A,0)),"")</f>
        <v/>
      </c>
      <c r="BM129">
        <f>IFERROR(INDEX('_names_lookup'!$B:$B,MATCH(BK129,'_names_lookup'!$A:$A,0)),"")</f>
        <v/>
      </c>
      <c r="BS129">
        <f>IFERROR(IF(BR129*AA129=0,"",BR129*AA129),"")</f>
        <v/>
      </c>
    </row>
    <row r="130">
      <c r="O130">
        <f>IFERROR(INDEX('_courses_lookup'!$C:$C,MATCH(K130&amp;L130,'_courses_lookup'!$E:$E,0)),"")</f>
        <v/>
      </c>
      <c r="P130">
        <f>IFERROR(INDEX('_courses_lookup'!$D:$D,MATCH(K130&amp;L130,'_courses_lookup'!$E:$E,0)),"")</f>
        <v/>
      </c>
      <c r="AG130">
        <f>IF(AND(AE130&lt;&gt;"",AF130&lt;&gt;""),ROUNDUP((AF130-AE130)/7,0),"")</f>
        <v/>
      </c>
      <c r="AI130">
        <f>IFERROR(IF(AG130*AH130=0,"",AG130*AH130),"")</f>
        <v/>
      </c>
      <c r="AL130">
        <f>IF(AND(AJ130&lt;&gt;"",AK130&lt;&gt;""),ROUNDUP((AK130-AJ130)/7,0),"")</f>
        <v/>
      </c>
      <c r="AN130">
        <f>IFERROR(IF(AL130*AM130=0,"",AL130*AM130),"")</f>
        <v/>
      </c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L130">
        <f>IFERROR(INDEX('_names_lookup'!$C:$C,MATCH(BK130,'_names_lookup'!$A:$A,0)),"")</f>
        <v/>
      </c>
      <c r="BM130">
        <f>IFERROR(INDEX('_names_lookup'!$B:$B,MATCH(BK130,'_names_lookup'!$A:$A,0)),"")</f>
        <v/>
      </c>
      <c r="BS130">
        <f>IFERROR(IF(BR130*AA130=0,"",BR130*AA130),"")</f>
        <v/>
      </c>
    </row>
    <row r="131">
      <c r="O131">
        <f>IFERROR(INDEX('_courses_lookup'!$C:$C,MATCH(K131&amp;L131,'_courses_lookup'!$E:$E,0)),"")</f>
        <v/>
      </c>
      <c r="P131">
        <f>IFERROR(INDEX('_courses_lookup'!$D:$D,MATCH(K131&amp;L131,'_courses_lookup'!$E:$E,0)),"")</f>
        <v/>
      </c>
      <c r="AG131">
        <f>IF(AND(AE131&lt;&gt;"",AF131&lt;&gt;""),ROUNDUP((AF131-AE131)/7,0),"")</f>
        <v/>
      </c>
      <c r="AI131">
        <f>IFERROR(IF(AG131*AH131=0,"",AG131*AH131),"")</f>
        <v/>
      </c>
      <c r="AL131">
        <f>IF(AND(AJ131&lt;&gt;"",AK131&lt;&gt;""),ROUNDUP((AK131-AJ131)/7,0),"")</f>
        <v/>
      </c>
      <c r="AN131">
        <f>IFERROR(IF(AL131*AM131=0,"",AL131*AM131),"")</f>
        <v/>
      </c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L131">
        <f>IFERROR(INDEX('_names_lookup'!$C:$C,MATCH(BK131,'_names_lookup'!$A:$A,0)),"")</f>
        <v/>
      </c>
      <c r="BM131">
        <f>IFERROR(INDEX('_names_lookup'!$B:$B,MATCH(BK131,'_names_lookup'!$A:$A,0)),"")</f>
        <v/>
      </c>
      <c r="BS131">
        <f>IFERROR(IF(BR131*AA131=0,"",BR131*AA131),"")</f>
        <v/>
      </c>
    </row>
    <row r="132">
      <c r="O132">
        <f>IFERROR(INDEX('_courses_lookup'!$C:$C,MATCH(K132&amp;L132,'_courses_lookup'!$E:$E,0)),"")</f>
        <v/>
      </c>
      <c r="P132">
        <f>IFERROR(INDEX('_courses_lookup'!$D:$D,MATCH(K132&amp;L132,'_courses_lookup'!$E:$E,0)),"")</f>
        <v/>
      </c>
      <c r="AG132">
        <f>IF(AND(AE132&lt;&gt;"",AF132&lt;&gt;""),ROUNDUP((AF132-AE132)/7,0),"")</f>
        <v/>
      </c>
      <c r="AI132">
        <f>IFERROR(IF(AG132*AH132=0,"",AG132*AH132),"")</f>
        <v/>
      </c>
      <c r="AL132">
        <f>IF(AND(AJ132&lt;&gt;"",AK132&lt;&gt;""),ROUNDUP((AK132-AJ132)/7,0),"")</f>
        <v/>
      </c>
      <c r="AN132">
        <f>IFERROR(IF(AL132*AM132=0,"",AL132*AM132),"")</f>
        <v/>
      </c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L132">
        <f>IFERROR(INDEX('_names_lookup'!$C:$C,MATCH(BK132,'_names_lookup'!$A:$A,0)),"")</f>
        <v/>
      </c>
      <c r="BM132">
        <f>IFERROR(INDEX('_names_lookup'!$B:$B,MATCH(BK132,'_names_lookup'!$A:$A,0)),"")</f>
        <v/>
      </c>
      <c r="BS132">
        <f>IFERROR(IF(BR132*AA132=0,"",BR132*AA132),"")</f>
        <v/>
      </c>
    </row>
    <row r="133">
      <c r="O133">
        <f>IFERROR(INDEX('_courses_lookup'!$C:$C,MATCH(K133&amp;L133,'_courses_lookup'!$E:$E,0)),"")</f>
        <v/>
      </c>
      <c r="P133">
        <f>IFERROR(INDEX('_courses_lookup'!$D:$D,MATCH(K133&amp;L133,'_courses_lookup'!$E:$E,0)),"")</f>
        <v/>
      </c>
      <c r="AG133">
        <f>IF(AND(AE133&lt;&gt;"",AF133&lt;&gt;""),ROUNDUP((AF133-AE133)/7,0),"")</f>
        <v/>
      </c>
      <c r="AI133">
        <f>IFERROR(IF(AG133*AH133=0,"",AG133*AH133),"")</f>
        <v/>
      </c>
      <c r="AL133">
        <f>IF(AND(AJ133&lt;&gt;"",AK133&lt;&gt;""),ROUNDUP((AK133-AJ133)/7,0),"")</f>
        <v/>
      </c>
      <c r="AN133">
        <f>IFERROR(IF(AL133*AM133=0,"",AL133*AM133),"")</f>
        <v/>
      </c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L133">
        <f>IFERROR(INDEX('_names_lookup'!$C:$C,MATCH(BK133,'_names_lookup'!$A:$A,0)),"")</f>
        <v/>
      </c>
      <c r="BM133">
        <f>IFERROR(INDEX('_names_lookup'!$B:$B,MATCH(BK133,'_names_lookup'!$A:$A,0)),"")</f>
        <v/>
      </c>
      <c r="BS133">
        <f>IFERROR(IF(BR133*AA133=0,"",BR133*AA133),"")</f>
        <v/>
      </c>
    </row>
    <row r="134">
      <c r="O134">
        <f>IFERROR(INDEX('_courses_lookup'!$C:$C,MATCH(K134&amp;L134,'_courses_lookup'!$E:$E,0)),"")</f>
        <v/>
      </c>
      <c r="P134">
        <f>IFERROR(INDEX('_courses_lookup'!$D:$D,MATCH(K134&amp;L134,'_courses_lookup'!$E:$E,0)),"")</f>
        <v/>
      </c>
      <c r="AG134">
        <f>IF(AND(AE134&lt;&gt;"",AF134&lt;&gt;""),ROUNDUP((AF134-AE134)/7,0),"")</f>
        <v/>
      </c>
      <c r="AI134">
        <f>IFERROR(IF(AG134*AH134=0,"",AG134*AH134),"")</f>
        <v/>
      </c>
      <c r="AL134">
        <f>IF(AND(AJ134&lt;&gt;"",AK134&lt;&gt;""),ROUNDUP((AK134-AJ134)/7,0),"")</f>
        <v/>
      </c>
      <c r="AN134">
        <f>IFERROR(IF(AL134*AM134=0,"",AL134*AM134),"")</f>
        <v/>
      </c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L134">
        <f>IFERROR(INDEX('_names_lookup'!$C:$C,MATCH(BK134,'_names_lookup'!$A:$A,0)),"")</f>
        <v/>
      </c>
      <c r="BM134">
        <f>IFERROR(INDEX('_names_lookup'!$B:$B,MATCH(BK134,'_names_lookup'!$A:$A,0)),"")</f>
        <v/>
      </c>
      <c r="BS134">
        <f>IFERROR(IF(BR134*AA134=0,"",BR134*AA134),"")</f>
        <v/>
      </c>
    </row>
    <row r="135">
      <c r="O135">
        <f>IFERROR(INDEX('_courses_lookup'!$C:$C,MATCH(K135&amp;L135,'_courses_lookup'!$E:$E,0)),"")</f>
        <v/>
      </c>
      <c r="P135">
        <f>IFERROR(INDEX('_courses_lookup'!$D:$D,MATCH(K135&amp;L135,'_courses_lookup'!$E:$E,0)),"")</f>
        <v/>
      </c>
      <c r="AG135">
        <f>IF(AND(AE135&lt;&gt;"",AF135&lt;&gt;""),ROUNDUP((AF135-AE135)/7,0),"")</f>
        <v/>
      </c>
      <c r="AI135">
        <f>IFERROR(IF(AG135*AH135=0,"",AG135*AH135),"")</f>
        <v/>
      </c>
      <c r="AL135">
        <f>IF(AND(AJ135&lt;&gt;"",AK135&lt;&gt;""),ROUNDUP((AK135-AJ135)/7,0),"")</f>
        <v/>
      </c>
      <c r="AN135">
        <f>IFERROR(IF(AL135*AM135=0,"",AL135*AM135),"")</f>
        <v/>
      </c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L135">
        <f>IFERROR(INDEX('_names_lookup'!$C:$C,MATCH(BK135,'_names_lookup'!$A:$A,0)),"")</f>
        <v/>
      </c>
      <c r="BM135">
        <f>IFERROR(INDEX('_names_lookup'!$B:$B,MATCH(BK135,'_names_lookup'!$A:$A,0)),"")</f>
        <v/>
      </c>
      <c r="BS135">
        <f>IFERROR(IF(BR135*AA135=0,"",BR135*AA135),"")</f>
        <v/>
      </c>
    </row>
    <row r="136">
      <c r="O136">
        <f>IFERROR(INDEX('_courses_lookup'!$C:$C,MATCH(K136&amp;L136,'_courses_lookup'!$E:$E,0)),"")</f>
        <v/>
      </c>
      <c r="P136">
        <f>IFERROR(INDEX('_courses_lookup'!$D:$D,MATCH(K136&amp;L136,'_courses_lookup'!$E:$E,0)),"")</f>
        <v/>
      </c>
      <c r="AG136">
        <f>IF(AND(AE136&lt;&gt;"",AF136&lt;&gt;""),ROUNDUP((AF136-AE136)/7,0),"")</f>
        <v/>
      </c>
      <c r="AI136">
        <f>IFERROR(IF(AG136*AH136=0,"",AG136*AH136),"")</f>
        <v/>
      </c>
      <c r="AL136">
        <f>IF(AND(AJ136&lt;&gt;"",AK136&lt;&gt;""),ROUNDUP((AK136-AJ136)/7,0),"")</f>
        <v/>
      </c>
      <c r="AN136">
        <f>IFERROR(IF(AL136*AM136=0,"",AL136*AM136),"")</f>
        <v/>
      </c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L136">
        <f>IFERROR(INDEX('_names_lookup'!$C:$C,MATCH(BK136,'_names_lookup'!$A:$A,0)),"")</f>
        <v/>
      </c>
      <c r="BM136">
        <f>IFERROR(INDEX('_names_lookup'!$B:$B,MATCH(BK136,'_names_lookup'!$A:$A,0)),"")</f>
        <v/>
      </c>
      <c r="BS136">
        <f>IFERROR(IF(BR136*AA136=0,"",BR136*AA136),"")</f>
        <v/>
      </c>
    </row>
    <row r="137">
      <c r="O137">
        <f>IFERROR(INDEX('_courses_lookup'!$C:$C,MATCH(K137&amp;L137,'_courses_lookup'!$E:$E,0)),"")</f>
        <v/>
      </c>
      <c r="P137">
        <f>IFERROR(INDEX('_courses_lookup'!$D:$D,MATCH(K137&amp;L137,'_courses_lookup'!$E:$E,0)),"")</f>
        <v/>
      </c>
      <c r="AG137">
        <f>IF(AND(AE137&lt;&gt;"",AF137&lt;&gt;""),ROUNDUP((AF137-AE137)/7,0),"")</f>
        <v/>
      </c>
      <c r="AI137">
        <f>IFERROR(IF(AG137*AH137=0,"",AG137*AH137),"")</f>
        <v/>
      </c>
      <c r="AL137">
        <f>IF(AND(AJ137&lt;&gt;"",AK137&lt;&gt;""),ROUNDUP((AK137-AJ137)/7,0),"")</f>
        <v/>
      </c>
      <c r="AN137">
        <f>IFERROR(IF(AL137*AM137=0,"",AL137*AM137),"")</f>
        <v/>
      </c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L137">
        <f>IFERROR(INDEX('_names_lookup'!$C:$C,MATCH(BK137,'_names_lookup'!$A:$A,0)),"")</f>
        <v/>
      </c>
      <c r="BM137">
        <f>IFERROR(INDEX('_names_lookup'!$B:$B,MATCH(BK137,'_names_lookup'!$A:$A,0)),"")</f>
        <v/>
      </c>
      <c r="BS137">
        <f>IFERROR(IF(BR137*AA137=0,"",BR137*AA137),"")</f>
        <v/>
      </c>
    </row>
    <row r="138">
      <c r="O138">
        <f>IFERROR(INDEX('_courses_lookup'!$C:$C,MATCH(K138&amp;L138,'_courses_lookup'!$E:$E,0)),"")</f>
        <v/>
      </c>
      <c r="P138">
        <f>IFERROR(INDEX('_courses_lookup'!$D:$D,MATCH(K138&amp;L138,'_courses_lookup'!$E:$E,0)),"")</f>
        <v/>
      </c>
      <c r="AG138">
        <f>IF(AND(AE138&lt;&gt;"",AF138&lt;&gt;""),ROUNDUP((AF138-AE138)/7,0),"")</f>
        <v/>
      </c>
      <c r="AI138">
        <f>IFERROR(IF(AG138*AH138=0,"",AG138*AH138),"")</f>
        <v/>
      </c>
      <c r="AL138">
        <f>IF(AND(AJ138&lt;&gt;"",AK138&lt;&gt;""),ROUNDUP((AK138-AJ138)/7,0),"")</f>
        <v/>
      </c>
      <c r="AN138">
        <f>IFERROR(IF(AL138*AM138=0,"",AL138*AM138),"")</f>
        <v/>
      </c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L138">
        <f>IFERROR(INDEX('_names_lookup'!$C:$C,MATCH(BK138,'_names_lookup'!$A:$A,0)),"")</f>
        <v/>
      </c>
      <c r="BM138">
        <f>IFERROR(INDEX('_names_lookup'!$B:$B,MATCH(BK138,'_names_lookup'!$A:$A,0)),"")</f>
        <v/>
      </c>
      <c r="BS138">
        <f>IFERROR(IF(BR138*AA138=0,"",BR138*AA138),"")</f>
        <v/>
      </c>
    </row>
    <row r="139">
      <c r="O139">
        <f>IFERROR(INDEX('_courses_lookup'!$C:$C,MATCH(K139&amp;L139,'_courses_lookup'!$E:$E,0)),"")</f>
        <v/>
      </c>
      <c r="P139">
        <f>IFERROR(INDEX('_courses_lookup'!$D:$D,MATCH(K139&amp;L139,'_courses_lookup'!$E:$E,0)),"")</f>
        <v/>
      </c>
      <c r="AG139">
        <f>IF(AND(AE139&lt;&gt;"",AF139&lt;&gt;""),ROUNDUP((AF139-AE139)/7,0),"")</f>
        <v/>
      </c>
      <c r="AI139">
        <f>IFERROR(IF(AG139*AH139=0,"",AG139*AH139),"")</f>
        <v/>
      </c>
      <c r="AL139">
        <f>IF(AND(AJ139&lt;&gt;"",AK139&lt;&gt;""),ROUNDUP((AK139-AJ139)/7,0),"")</f>
        <v/>
      </c>
      <c r="AN139">
        <f>IFERROR(IF(AL139*AM139=0,"",AL139*AM139),"")</f>
        <v/>
      </c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L139">
        <f>IFERROR(INDEX('_names_lookup'!$C:$C,MATCH(BK139,'_names_lookup'!$A:$A,0)),"")</f>
        <v/>
      </c>
      <c r="BM139">
        <f>IFERROR(INDEX('_names_lookup'!$B:$B,MATCH(BK139,'_names_lookup'!$A:$A,0)),"")</f>
        <v/>
      </c>
      <c r="BS139">
        <f>IFERROR(IF(BR139*AA139=0,"",BR139*AA139),"")</f>
        <v/>
      </c>
    </row>
    <row r="140">
      <c r="O140">
        <f>IFERROR(INDEX('_courses_lookup'!$C:$C,MATCH(K140&amp;L140,'_courses_lookup'!$E:$E,0)),"")</f>
        <v/>
      </c>
      <c r="P140">
        <f>IFERROR(INDEX('_courses_lookup'!$D:$D,MATCH(K140&amp;L140,'_courses_lookup'!$E:$E,0)),"")</f>
        <v/>
      </c>
      <c r="AG140">
        <f>IF(AND(AE140&lt;&gt;"",AF140&lt;&gt;""),ROUNDUP((AF140-AE140)/7,0),"")</f>
        <v/>
      </c>
      <c r="AI140">
        <f>IFERROR(IF(AG140*AH140=0,"",AG140*AH140),"")</f>
        <v/>
      </c>
      <c r="AL140">
        <f>IF(AND(AJ140&lt;&gt;"",AK140&lt;&gt;""),ROUNDUP((AK140-AJ140)/7,0),"")</f>
        <v/>
      </c>
      <c r="AN140">
        <f>IFERROR(IF(AL140*AM140=0,"",AL140*AM140),"")</f>
        <v/>
      </c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L140">
        <f>IFERROR(INDEX('_names_lookup'!$C:$C,MATCH(BK140,'_names_lookup'!$A:$A,0)),"")</f>
        <v/>
      </c>
      <c r="BM140">
        <f>IFERROR(INDEX('_names_lookup'!$B:$B,MATCH(BK140,'_names_lookup'!$A:$A,0)),"")</f>
        <v/>
      </c>
      <c r="BS140">
        <f>IFERROR(IF(BR140*AA140=0,"",BR140*AA140),"")</f>
        <v/>
      </c>
    </row>
    <row r="141">
      <c r="O141">
        <f>IFERROR(INDEX('_courses_lookup'!$C:$C,MATCH(K141&amp;L141,'_courses_lookup'!$E:$E,0)),"")</f>
        <v/>
      </c>
      <c r="P141">
        <f>IFERROR(INDEX('_courses_lookup'!$D:$D,MATCH(K141&amp;L141,'_courses_lookup'!$E:$E,0)),"")</f>
        <v/>
      </c>
      <c r="AG141">
        <f>IF(AND(AE141&lt;&gt;"",AF141&lt;&gt;""),ROUNDUP((AF141-AE141)/7,0),"")</f>
        <v/>
      </c>
      <c r="AI141">
        <f>IFERROR(IF(AG141*AH141=0,"",AG141*AH141),"")</f>
        <v/>
      </c>
      <c r="AL141">
        <f>IF(AND(AJ141&lt;&gt;"",AK141&lt;&gt;""),ROUNDUP((AK141-AJ141)/7,0),"")</f>
        <v/>
      </c>
      <c r="AN141">
        <f>IFERROR(IF(AL141*AM141=0,"",AL141*AM141),"")</f>
        <v/>
      </c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L141">
        <f>IFERROR(INDEX('_names_lookup'!$C:$C,MATCH(BK141,'_names_lookup'!$A:$A,0)),"")</f>
        <v/>
      </c>
      <c r="BM141">
        <f>IFERROR(INDEX('_names_lookup'!$B:$B,MATCH(BK141,'_names_lookup'!$A:$A,0)),"")</f>
        <v/>
      </c>
      <c r="BS141">
        <f>IFERROR(IF(BR141*AA141=0,"",BR141*AA141),"")</f>
        <v/>
      </c>
    </row>
    <row r="142">
      <c r="O142">
        <f>IFERROR(INDEX('_courses_lookup'!$C:$C,MATCH(K142&amp;L142,'_courses_lookup'!$E:$E,0)),"")</f>
        <v/>
      </c>
      <c r="P142">
        <f>IFERROR(INDEX('_courses_lookup'!$D:$D,MATCH(K142&amp;L142,'_courses_lookup'!$E:$E,0)),"")</f>
        <v/>
      </c>
      <c r="AG142">
        <f>IF(AND(AE142&lt;&gt;"",AF142&lt;&gt;""),ROUNDUP((AF142-AE142)/7,0),"")</f>
        <v/>
      </c>
      <c r="AI142">
        <f>IFERROR(IF(AG142*AH142=0,"",AG142*AH142),"")</f>
        <v/>
      </c>
      <c r="AL142">
        <f>IF(AND(AJ142&lt;&gt;"",AK142&lt;&gt;""),ROUNDUP((AK142-AJ142)/7,0),"")</f>
        <v/>
      </c>
      <c r="AN142">
        <f>IFERROR(IF(AL142*AM142=0,"",AL142*AM142),"")</f>
        <v/>
      </c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L142">
        <f>IFERROR(INDEX('_names_lookup'!$C:$C,MATCH(BK142,'_names_lookup'!$A:$A,0)),"")</f>
        <v/>
      </c>
      <c r="BM142">
        <f>IFERROR(INDEX('_names_lookup'!$B:$B,MATCH(BK142,'_names_lookup'!$A:$A,0)),"")</f>
        <v/>
      </c>
      <c r="BS142">
        <f>IFERROR(IF(BR142*AA142=0,"",BR142*AA142),"")</f>
        <v/>
      </c>
    </row>
    <row r="143">
      <c r="O143">
        <f>IFERROR(INDEX('_courses_lookup'!$C:$C,MATCH(K143&amp;L143,'_courses_lookup'!$E:$E,0)),"")</f>
        <v/>
      </c>
      <c r="P143">
        <f>IFERROR(INDEX('_courses_lookup'!$D:$D,MATCH(K143&amp;L143,'_courses_lookup'!$E:$E,0)),"")</f>
        <v/>
      </c>
      <c r="AG143">
        <f>IF(AND(AE143&lt;&gt;"",AF143&lt;&gt;""),ROUNDUP((AF143-AE143)/7,0),"")</f>
        <v/>
      </c>
      <c r="AI143">
        <f>IFERROR(IF(AG143*AH143=0,"",AG143*AH143),"")</f>
        <v/>
      </c>
      <c r="AL143">
        <f>IF(AND(AJ143&lt;&gt;"",AK143&lt;&gt;""),ROUNDUP((AK143-AJ143)/7,0),"")</f>
        <v/>
      </c>
      <c r="AN143">
        <f>IFERROR(IF(AL143*AM143=0,"",AL143*AM143),"")</f>
        <v/>
      </c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L143">
        <f>IFERROR(INDEX('_names_lookup'!$C:$C,MATCH(BK143,'_names_lookup'!$A:$A,0)),"")</f>
        <v/>
      </c>
      <c r="BM143">
        <f>IFERROR(INDEX('_names_lookup'!$B:$B,MATCH(BK143,'_names_lookup'!$A:$A,0)),"")</f>
        <v/>
      </c>
      <c r="BS143">
        <f>IFERROR(IF(BR143*AA143=0,"",BR143*AA143),"")</f>
        <v/>
      </c>
    </row>
    <row r="144">
      <c r="O144">
        <f>IFERROR(INDEX('_courses_lookup'!$C:$C,MATCH(K144&amp;L144,'_courses_lookup'!$E:$E,0)),"")</f>
        <v/>
      </c>
      <c r="P144">
        <f>IFERROR(INDEX('_courses_lookup'!$D:$D,MATCH(K144&amp;L144,'_courses_lookup'!$E:$E,0)),"")</f>
        <v/>
      </c>
      <c r="AG144">
        <f>IF(AND(AE144&lt;&gt;"",AF144&lt;&gt;""),ROUNDUP((AF144-AE144)/7,0),"")</f>
        <v/>
      </c>
      <c r="AI144">
        <f>IFERROR(IF(AG144*AH144=0,"",AG144*AH144),"")</f>
        <v/>
      </c>
      <c r="AL144">
        <f>IF(AND(AJ144&lt;&gt;"",AK144&lt;&gt;""),ROUNDUP((AK144-AJ144)/7,0),"")</f>
        <v/>
      </c>
      <c r="AN144">
        <f>IFERROR(IF(AL144*AM144=0,"",AL144*AM144),"")</f>
        <v/>
      </c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L144">
        <f>IFERROR(INDEX('_names_lookup'!$C:$C,MATCH(BK144,'_names_lookup'!$A:$A,0)),"")</f>
        <v/>
      </c>
      <c r="BM144">
        <f>IFERROR(INDEX('_names_lookup'!$B:$B,MATCH(BK144,'_names_lookup'!$A:$A,0)),"")</f>
        <v/>
      </c>
      <c r="BS144">
        <f>IFERROR(IF(BR144*AA144=0,"",BR144*AA144),"")</f>
        <v/>
      </c>
    </row>
    <row r="145">
      <c r="O145">
        <f>IFERROR(INDEX('_courses_lookup'!$C:$C,MATCH(K145&amp;L145,'_courses_lookup'!$E:$E,0)),"")</f>
        <v/>
      </c>
      <c r="P145">
        <f>IFERROR(INDEX('_courses_lookup'!$D:$D,MATCH(K145&amp;L145,'_courses_lookup'!$E:$E,0)),"")</f>
        <v/>
      </c>
      <c r="AG145">
        <f>IF(AND(AE145&lt;&gt;"",AF145&lt;&gt;""),ROUNDUP((AF145-AE145)/7,0),"")</f>
        <v/>
      </c>
      <c r="AI145">
        <f>IFERROR(IF(AG145*AH145=0,"",AG145*AH145),"")</f>
        <v/>
      </c>
      <c r="AL145">
        <f>IF(AND(AJ145&lt;&gt;"",AK145&lt;&gt;""),ROUNDUP((AK145-AJ145)/7,0),"")</f>
        <v/>
      </c>
      <c r="AN145">
        <f>IFERROR(IF(AL145*AM145=0,"",AL145*AM145),"")</f>
        <v/>
      </c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L145">
        <f>IFERROR(INDEX('_names_lookup'!$C:$C,MATCH(BK145,'_names_lookup'!$A:$A,0)),"")</f>
        <v/>
      </c>
      <c r="BM145">
        <f>IFERROR(INDEX('_names_lookup'!$B:$B,MATCH(BK145,'_names_lookup'!$A:$A,0)),"")</f>
        <v/>
      </c>
      <c r="BS145">
        <f>IFERROR(IF(BR145*AA145=0,"",BR145*AA145),"")</f>
        <v/>
      </c>
    </row>
    <row r="146">
      <c r="O146">
        <f>IFERROR(INDEX('_courses_lookup'!$C:$C,MATCH(K146&amp;L146,'_courses_lookup'!$E:$E,0)),"")</f>
        <v/>
      </c>
      <c r="P146">
        <f>IFERROR(INDEX('_courses_lookup'!$D:$D,MATCH(K146&amp;L146,'_courses_lookup'!$E:$E,0)),"")</f>
        <v/>
      </c>
      <c r="AG146">
        <f>IF(AND(AE146&lt;&gt;"",AF146&lt;&gt;""),ROUNDUP((AF146-AE146)/7,0),"")</f>
        <v/>
      </c>
      <c r="AI146">
        <f>IFERROR(IF(AG146*AH146=0,"",AG146*AH146),"")</f>
        <v/>
      </c>
      <c r="AL146">
        <f>IF(AND(AJ146&lt;&gt;"",AK146&lt;&gt;""),ROUNDUP((AK146-AJ146)/7,0),"")</f>
        <v/>
      </c>
      <c r="AN146">
        <f>IFERROR(IF(AL146*AM146=0,"",AL146*AM146),"")</f>
        <v/>
      </c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L146">
        <f>IFERROR(INDEX('_names_lookup'!$C:$C,MATCH(BK146,'_names_lookup'!$A:$A,0)),"")</f>
        <v/>
      </c>
      <c r="BM146">
        <f>IFERROR(INDEX('_names_lookup'!$B:$B,MATCH(BK146,'_names_lookup'!$A:$A,0)),"")</f>
        <v/>
      </c>
      <c r="BS146">
        <f>IFERROR(IF(BR146*AA146=0,"",BR146*AA146),"")</f>
        <v/>
      </c>
    </row>
    <row r="147">
      <c r="O147">
        <f>IFERROR(INDEX('_courses_lookup'!$C:$C,MATCH(K147&amp;L147,'_courses_lookup'!$E:$E,0)),"")</f>
        <v/>
      </c>
      <c r="P147">
        <f>IFERROR(INDEX('_courses_lookup'!$D:$D,MATCH(K147&amp;L147,'_courses_lookup'!$E:$E,0)),"")</f>
        <v/>
      </c>
      <c r="AG147">
        <f>IF(AND(AE147&lt;&gt;"",AF147&lt;&gt;""),ROUNDUP((AF147-AE147)/7,0),"")</f>
        <v/>
      </c>
      <c r="AI147">
        <f>IFERROR(IF(AG147*AH147=0,"",AG147*AH147),"")</f>
        <v/>
      </c>
      <c r="AL147">
        <f>IF(AND(AJ147&lt;&gt;"",AK147&lt;&gt;""),ROUNDUP((AK147-AJ147)/7,0),"")</f>
        <v/>
      </c>
      <c r="AN147">
        <f>IFERROR(IF(AL147*AM147=0,"",AL147*AM147),"")</f>
        <v/>
      </c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L147">
        <f>IFERROR(INDEX('_names_lookup'!$C:$C,MATCH(BK147,'_names_lookup'!$A:$A,0)),"")</f>
        <v/>
      </c>
      <c r="BM147">
        <f>IFERROR(INDEX('_names_lookup'!$B:$B,MATCH(BK147,'_names_lookup'!$A:$A,0)),"")</f>
        <v/>
      </c>
      <c r="BS147">
        <f>IFERROR(IF(BR147*AA147=0,"",BR147*AA147),"")</f>
        <v/>
      </c>
    </row>
    <row r="148">
      <c r="O148">
        <f>IFERROR(INDEX('_courses_lookup'!$C:$C,MATCH(K148&amp;L148,'_courses_lookup'!$E:$E,0)),"")</f>
        <v/>
      </c>
      <c r="P148">
        <f>IFERROR(INDEX('_courses_lookup'!$D:$D,MATCH(K148&amp;L148,'_courses_lookup'!$E:$E,0)),"")</f>
        <v/>
      </c>
      <c r="AG148">
        <f>IF(AND(AE148&lt;&gt;"",AF148&lt;&gt;""),ROUNDUP((AF148-AE148)/7,0),"")</f>
        <v/>
      </c>
      <c r="AI148">
        <f>IFERROR(IF(AG148*AH148=0,"",AG148*AH148),"")</f>
        <v/>
      </c>
      <c r="AL148">
        <f>IF(AND(AJ148&lt;&gt;"",AK148&lt;&gt;""),ROUNDUP((AK148-AJ148)/7,0),"")</f>
        <v/>
      </c>
      <c r="AN148">
        <f>IFERROR(IF(AL148*AM148=0,"",AL148*AM148),"")</f>
        <v/>
      </c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L148">
        <f>IFERROR(INDEX('_names_lookup'!$C:$C,MATCH(BK148,'_names_lookup'!$A:$A,0)),"")</f>
        <v/>
      </c>
      <c r="BM148">
        <f>IFERROR(INDEX('_names_lookup'!$B:$B,MATCH(BK148,'_names_lookup'!$A:$A,0)),"")</f>
        <v/>
      </c>
      <c r="BS148">
        <f>IFERROR(IF(BR148*AA148=0,"",BR148*AA148),"")</f>
        <v/>
      </c>
    </row>
    <row r="149">
      <c r="O149">
        <f>IFERROR(INDEX('_courses_lookup'!$C:$C,MATCH(K149&amp;L149,'_courses_lookup'!$E:$E,0)),"")</f>
        <v/>
      </c>
      <c r="P149">
        <f>IFERROR(INDEX('_courses_lookup'!$D:$D,MATCH(K149&amp;L149,'_courses_lookup'!$E:$E,0)),"")</f>
        <v/>
      </c>
      <c r="AG149">
        <f>IF(AND(AE149&lt;&gt;"",AF149&lt;&gt;""),ROUNDUP((AF149-AE149)/7,0),"")</f>
        <v/>
      </c>
      <c r="AI149">
        <f>IFERROR(IF(AG149*AH149=0,"",AG149*AH149),"")</f>
        <v/>
      </c>
      <c r="AL149">
        <f>IF(AND(AJ149&lt;&gt;"",AK149&lt;&gt;""),ROUNDUP((AK149-AJ149)/7,0),"")</f>
        <v/>
      </c>
      <c r="AN149">
        <f>IFERROR(IF(AL149*AM149=0,"",AL149*AM149),"")</f>
        <v/>
      </c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L149">
        <f>IFERROR(INDEX('_names_lookup'!$C:$C,MATCH(BK149,'_names_lookup'!$A:$A,0)),"")</f>
        <v/>
      </c>
      <c r="BM149">
        <f>IFERROR(INDEX('_names_lookup'!$B:$B,MATCH(BK149,'_names_lookup'!$A:$A,0)),"")</f>
        <v/>
      </c>
      <c r="BS149">
        <f>IFERROR(IF(BR149*AA149=0,"",BR149*AA149),"")</f>
        <v/>
      </c>
    </row>
    <row r="150">
      <c r="O150">
        <f>IFERROR(INDEX('_courses_lookup'!$C:$C,MATCH(K150&amp;L150,'_courses_lookup'!$E:$E,0)),"")</f>
        <v/>
      </c>
      <c r="P150">
        <f>IFERROR(INDEX('_courses_lookup'!$D:$D,MATCH(K150&amp;L150,'_courses_lookup'!$E:$E,0)),"")</f>
        <v/>
      </c>
      <c r="AG150">
        <f>IF(AND(AE150&lt;&gt;"",AF150&lt;&gt;""),ROUNDUP((AF150-AE150)/7,0),"")</f>
        <v/>
      </c>
      <c r="AI150">
        <f>IFERROR(IF(AG150*AH150=0,"",AG150*AH150),"")</f>
        <v/>
      </c>
      <c r="AL150">
        <f>IF(AND(AJ150&lt;&gt;"",AK150&lt;&gt;""),ROUNDUP((AK150-AJ150)/7,0),"")</f>
        <v/>
      </c>
      <c r="AN150">
        <f>IFERROR(IF(AL150*AM150=0,"",AL150*AM150),"")</f>
        <v/>
      </c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L150">
        <f>IFERROR(INDEX('_names_lookup'!$C:$C,MATCH(BK150,'_names_lookup'!$A:$A,0)),"")</f>
        <v/>
      </c>
      <c r="BM150">
        <f>IFERROR(INDEX('_names_lookup'!$B:$B,MATCH(BK150,'_names_lookup'!$A:$A,0)),"")</f>
        <v/>
      </c>
      <c r="BS150">
        <f>IFERROR(IF(BR150*AA150=0,"",BR150*AA150),"")</f>
        <v/>
      </c>
    </row>
    <row r="151">
      <c r="O151">
        <f>IFERROR(INDEX('_courses_lookup'!$C:$C,MATCH(K151&amp;L151,'_courses_lookup'!$E:$E,0)),"")</f>
        <v/>
      </c>
      <c r="P151">
        <f>IFERROR(INDEX('_courses_lookup'!$D:$D,MATCH(K151&amp;L151,'_courses_lookup'!$E:$E,0)),"")</f>
        <v/>
      </c>
      <c r="AG151">
        <f>IF(AND(AE151&lt;&gt;"",AF151&lt;&gt;""),ROUNDUP((AF151-AE151)/7,0),"")</f>
        <v/>
      </c>
      <c r="AI151">
        <f>IFERROR(IF(AG151*AH151=0,"",AG151*AH151),"")</f>
        <v/>
      </c>
      <c r="AL151">
        <f>IF(AND(AJ151&lt;&gt;"",AK151&lt;&gt;""),ROUNDUP((AK151-AJ151)/7,0),"")</f>
        <v/>
      </c>
      <c r="AN151">
        <f>IFERROR(IF(AL151*AM151=0,"",AL151*AM151),"")</f>
        <v/>
      </c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L151">
        <f>IFERROR(INDEX('_names_lookup'!$C:$C,MATCH(BK151,'_names_lookup'!$A:$A,0)),"")</f>
        <v/>
      </c>
      <c r="BM151">
        <f>IFERROR(INDEX('_names_lookup'!$B:$B,MATCH(BK151,'_names_lookup'!$A:$A,0)),"")</f>
        <v/>
      </c>
      <c r="BS151">
        <f>IFERROR(IF(BR151*AA151=0,"",BR151*AA151),"")</f>
        <v/>
      </c>
    </row>
    <row r="152">
      <c r="O152">
        <f>IFERROR(INDEX('_courses_lookup'!$C:$C,MATCH(K152&amp;L152,'_courses_lookup'!$E:$E,0)),"")</f>
        <v/>
      </c>
      <c r="P152">
        <f>IFERROR(INDEX('_courses_lookup'!$D:$D,MATCH(K152&amp;L152,'_courses_lookup'!$E:$E,0)),"")</f>
        <v/>
      </c>
      <c r="AG152">
        <f>IF(AND(AE152&lt;&gt;"",AF152&lt;&gt;""),ROUNDUP((AF152-AE152)/7,0),"")</f>
        <v/>
      </c>
      <c r="AI152">
        <f>IFERROR(IF(AG152*AH152=0,"",AG152*AH152),"")</f>
        <v/>
      </c>
      <c r="AL152">
        <f>IF(AND(AJ152&lt;&gt;"",AK152&lt;&gt;""),ROUNDUP((AK152-AJ152)/7,0),"")</f>
        <v/>
      </c>
      <c r="AN152">
        <f>IFERROR(IF(AL152*AM152=0,"",AL152*AM152),"")</f>
        <v/>
      </c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L152">
        <f>IFERROR(INDEX('_names_lookup'!$C:$C,MATCH(BK152,'_names_lookup'!$A:$A,0)),"")</f>
        <v/>
      </c>
      <c r="BM152">
        <f>IFERROR(INDEX('_names_lookup'!$B:$B,MATCH(BK152,'_names_lookup'!$A:$A,0)),"")</f>
        <v/>
      </c>
      <c r="BS152">
        <f>IFERROR(IF(BR152*AA152=0,"",BR152*AA152),"")</f>
        <v/>
      </c>
    </row>
    <row r="153">
      <c r="O153">
        <f>IFERROR(INDEX('_courses_lookup'!$C:$C,MATCH(K153&amp;L153,'_courses_lookup'!$E:$E,0)),"")</f>
        <v/>
      </c>
      <c r="P153">
        <f>IFERROR(INDEX('_courses_lookup'!$D:$D,MATCH(K153&amp;L153,'_courses_lookup'!$E:$E,0)),"")</f>
        <v/>
      </c>
      <c r="AG153">
        <f>IF(AND(AE153&lt;&gt;"",AF153&lt;&gt;""),ROUNDUP((AF153-AE153)/7,0),"")</f>
        <v/>
      </c>
      <c r="AI153">
        <f>IFERROR(IF(AG153*AH153=0,"",AG153*AH153),"")</f>
        <v/>
      </c>
      <c r="AL153">
        <f>IF(AND(AJ153&lt;&gt;"",AK153&lt;&gt;""),ROUNDUP((AK153-AJ153)/7,0),"")</f>
        <v/>
      </c>
      <c r="AN153">
        <f>IFERROR(IF(AL153*AM153=0,"",AL153*AM153),"")</f>
        <v/>
      </c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L153">
        <f>IFERROR(INDEX('_names_lookup'!$C:$C,MATCH(BK153,'_names_lookup'!$A:$A,0)),"")</f>
        <v/>
      </c>
      <c r="BM153">
        <f>IFERROR(INDEX('_names_lookup'!$B:$B,MATCH(BK153,'_names_lookup'!$A:$A,0)),"")</f>
        <v/>
      </c>
      <c r="BS153">
        <f>IFERROR(IF(BR153*AA153=0,"",BR153*AA153),"")</f>
        <v/>
      </c>
    </row>
    <row r="154">
      <c r="O154">
        <f>IFERROR(INDEX('_courses_lookup'!$C:$C,MATCH(K154&amp;L154,'_courses_lookup'!$E:$E,0)),"")</f>
        <v/>
      </c>
      <c r="P154">
        <f>IFERROR(INDEX('_courses_lookup'!$D:$D,MATCH(K154&amp;L154,'_courses_lookup'!$E:$E,0)),"")</f>
        <v/>
      </c>
      <c r="AG154">
        <f>IF(AND(AE154&lt;&gt;"",AF154&lt;&gt;""),ROUNDUP((AF154-AE154)/7,0),"")</f>
        <v/>
      </c>
      <c r="AI154">
        <f>IFERROR(IF(AG154*AH154=0,"",AG154*AH154),"")</f>
        <v/>
      </c>
      <c r="AL154">
        <f>IF(AND(AJ154&lt;&gt;"",AK154&lt;&gt;""),ROUNDUP((AK154-AJ154)/7,0),"")</f>
        <v/>
      </c>
      <c r="AN154">
        <f>IFERROR(IF(AL154*AM154=0,"",AL154*AM154),"")</f>
        <v/>
      </c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L154">
        <f>IFERROR(INDEX('_names_lookup'!$C:$C,MATCH(BK154,'_names_lookup'!$A:$A,0)),"")</f>
        <v/>
      </c>
      <c r="BM154">
        <f>IFERROR(INDEX('_names_lookup'!$B:$B,MATCH(BK154,'_names_lookup'!$A:$A,0)),"")</f>
        <v/>
      </c>
      <c r="BS154">
        <f>IFERROR(IF(BR154*AA154=0,"",BR154*AA154),"")</f>
        <v/>
      </c>
    </row>
    <row r="155">
      <c r="O155">
        <f>IFERROR(INDEX('_courses_lookup'!$C:$C,MATCH(K155&amp;L155,'_courses_lookup'!$E:$E,0)),"")</f>
        <v/>
      </c>
      <c r="P155">
        <f>IFERROR(INDEX('_courses_lookup'!$D:$D,MATCH(K155&amp;L155,'_courses_lookup'!$E:$E,0)),"")</f>
        <v/>
      </c>
      <c r="AG155">
        <f>IF(AND(AE155&lt;&gt;"",AF155&lt;&gt;""),ROUNDUP((AF155-AE155)/7,0),"")</f>
        <v/>
      </c>
      <c r="AI155">
        <f>IFERROR(IF(AG155*AH155=0,"",AG155*AH155),"")</f>
        <v/>
      </c>
      <c r="AL155">
        <f>IF(AND(AJ155&lt;&gt;"",AK155&lt;&gt;""),ROUNDUP((AK155-AJ155)/7,0),"")</f>
        <v/>
      </c>
      <c r="AN155">
        <f>IFERROR(IF(AL155*AM155=0,"",AL155*AM155),"")</f>
        <v/>
      </c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L155">
        <f>IFERROR(INDEX('_names_lookup'!$C:$C,MATCH(BK155,'_names_lookup'!$A:$A,0)),"")</f>
        <v/>
      </c>
      <c r="BM155">
        <f>IFERROR(INDEX('_names_lookup'!$B:$B,MATCH(BK155,'_names_lookup'!$A:$A,0)),"")</f>
        <v/>
      </c>
      <c r="BS155">
        <f>IFERROR(IF(BR155*AA155=0,"",BR155*AA155),"")</f>
        <v/>
      </c>
    </row>
    <row r="156">
      <c r="O156">
        <f>IFERROR(INDEX('_courses_lookup'!$C:$C,MATCH(K156&amp;L156,'_courses_lookup'!$E:$E,0)),"")</f>
        <v/>
      </c>
      <c r="P156">
        <f>IFERROR(INDEX('_courses_lookup'!$D:$D,MATCH(K156&amp;L156,'_courses_lookup'!$E:$E,0)),"")</f>
        <v/>
      </c>
      <c r="AG156">
        <f>IF(AND(AE156&lt;&gt;"",AF156&lt;&gt;""),ROUNDUP((AF156-AE156)/7,0),"")</f>
        <v/>
      </c>
      <c r="AI156">
        <f>IFERROR(IF(AG156*AH156=0,"",AG156*AH156),"")</f>
        <v/>
      </c>
      <c r="AL156">
        <f>IF(AND(AJ156&lt;&gt;"",AK156&lt;&gt;""),ROUNDUP((AK156-AJ156)/7,0),"")</f>
        <v/>
      </c>
      <c r="AN156">
        <f>IFERROR(IF(AL156*AM156=0,"",AL156*AM156),"")</f>
        <v/>
      </c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L156">
        <f>IFERROR(INDEX('_names_lookup'!$C:$C,MATCH(BK156,'_names_lookup'!$A:$A,0)),"")</f>
        <v/>
      </c>
      <c r="BM156">
        <f>IFERROR(INDEX('_names_lookup'!$B:$B,MATCH(BK156,'_names_lookup'!$A:$A,0)),"")</f>
        <v/>
      </c>
      <c r="BS156">
        <f>IFERROR(IF(BR156*AA156=0,"",BR156*AA156),"")</f>
        <v/>
      </c>
    </row>
    <row r="157">
      <c r="O157">
        <f>IFERROR(INDEX('_courses_lookup'!$C:$C,MATCH(K157&amp;L157,'_courses_lookup'!$E:$E,0)),"")</f>
        <v/>
      </c>
      <c r="P157">
        <f>IFERROR(INDEX('_courses_lookup'!$D:$D,MATCH(K157&amp;L157,'_courses_lookup'!$E:$E,0)),"")</f>
        <v/>
      </c>
      <c r="AG157">
        <f>IF(AND(AE157&lt;&gt;"",AF157&lt;&gt;""),ROUNDUP((AF157-AE157)/7,0),"")</f>
        <v/>
      </c>
      <c r="AI157">
        <f>IFERROR(IF(AG157*AH157=0,"",AG157*AH157),"")</f>
        <v/>
      </c>
      <c r="AL157">
        <f>IF(AND(AJ157&lt;&gt;"",AK157&lt;&gt;""),ROUNDUP((AK157-AJ157)/7,0),"")</f>
        <v/>
      </c>
      <c r="AN157">
        <f>IFERROR(IF(AL157*AM157=0,"",AL157*AM157),"")</f>
        <v/>
      </c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L157">
        <f>IFERROR(INDEX('_names_lookup'!$C:$C,MATCH(BK157,'_names_lookup'!$A:$A,0)),"")</f>
        <v/>
      </c>
      <c r="BM157">
        <f>IFERROR(INDEX('_names_lookup'!$B:$B,MATCH(BK157,'_names_lookup'!$A:$A,0)),"")</f>
        <v/>
      </c>
      <c r="BS157">
        <f>IFERROR(IF(BR157*AA157=0,"",BR157*AA157),"")</f>
        <v/>
      </c>
    </row>
    <row r="158">
      <c r="O158">
        <f>IFERROR(INDEX('_courses_lookup'!$C:$C,MATCH(K158&amp;L158,'_courses_lookup'!$E:$E,0)),"")</f>
        <v/>
      </c>
      <c r="P158">
        <f>IFERROR(INDEX('_courses_lookup'!$D:$D,MATCH(K158&amp;L158,'_courses_lookup'!$E:$E,0)),"")</f>
        <v/>
      </c>
      <c r="AG158">
        <f>IF(AND(AE158&lt;&gt;"",AF158&lt;&gt;""),ROUNDUP((AF158-AE158)/7,0),"")</f>
        <v/>
      </c>
      <c r="AI158">
        <f>IFERROR(IF(AG158*AH158=0,"",AG158*AH158),"")</f>
        <v/>
      </c>
      <c r="AL158">
        <f>IF(AND(AJ158&lt;&gt;"",AK158&lt;&gt;""),ROUNDUP((AK158-AJ158)/7,0),"")</f>
        <v/>
      </c>
      <c r="AN158">
        <f>IFERROR(IF(AL158*AM158=0,"",AL158*AM158),"")</f>
        <v/>
      </c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L158">
        <f>IFERROR(INDEX('_names_lookup'!$C:$C,MATCH(BK158,'_names_lookup'!$A:$A,0)),"")</f>
        <v/>
      </c>
      <c r="BM158">
        <f>IFERROR(INDEX('_names_lookup'!$B:$B,MATCH(BK158,'_names_lookup'!$A:$A,0)),"")</f>
        <v/>
      </c>
      <c r="BS158">
        <f>IFERROR(IF(BR158*AA158=0,"",BR158*AA158),"")</f>
        <v/>
      </c>
    </row>
    <row r="159">
      <c r="O159">
        <f>IFERROR(INDEX('_courses_lookup'!$C:$C,MATCH(K159&amp;L159,'_courses_lookup'!$E:$E,0)),"")</f>
        <v/>
      </c>
      <c r="P159">
        <f>IFERROR(INDEX('_courses_lookup'!$D:$D,MATCH(K159&amp;L159,'_courses_lookup'!$E:$E,0)),"")</f>
        <v/>
      </c>
      <c r="AG159">
        <f>IF(AND(AE159&lt;&gt;"",AF159&lt;&gt;""),ROUNDUP((AF159-AE159)/7,0),"")</f>
        <v/>
      </c>
      <c r="AI159">
        <f>IFERROR(IF(AG159*AH159=0,"",AG159*AH159),"")</f>
        <v/>
      </c>
      <c r="AL159">
        <f>IF(AND(AJ159&lt;&gt;"",AK159&lt;&gt;""),ROUNDUP((AK159-AJ159)/7,0),"")</f>
        <v/>
      </c>
      <c r="AN159">
        <f>IFERROR(IF(AL159*AM159=0,"",AL159*AM159),"")</f>
        <v/>
      </c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L159">
        <f>IFERROR(INDEX('_names_lookup'!$C:$C,MATCH(BK159,'_names_lookup'!$A:$A,0)),"")</f>
        <v/>
      </c>
      <c r="BM159">
        <f>IFERROR(INDEX('_names_lookup'!$B:$B,MATCH(BK159,'_names_lookup'!$A:$A,0)),"")</f>
        <v/>
      </c>
      <c r="BS159">
        <f>IFERROR(IF(BR159*AA159=0,"",BR159*AA159),"")</f>
        <v/>
      </c>
    </row>
    <row r="160">
      <c r="O160">
        <f>IFERROR(INDEX('_courses_lookup'!$C:$C,MATCH(K160&amp;L160,'_courses_lookup'!$E:$E,0)),"")</f>
        <v/>
      </c>
      <c r="P160">
        <f>IFERROR(INDEX('_courses_lookup'!$D:$D,MATCH(K160&amp;L160,'_courses_lookup'!$E:$E,0)),"")</f>
        <v/>
      </c>
      <c r="AG160">
        <f>IF(AND(AE160&lt;&gt;"",AF160&lt;&gt;""),ROUNDUP((AF160-AE160)/7,0),"")</f>
        <v/>
      </c>
      <c r="AI160">
        <f>IFERROR(IF(AG160*AH160=0,"",AG160*AH160),"")</f>
        <v/>
      </c>
      <c r="AL160">
        <f>IF(AND(AJ160&lt;&gt;"",AK160&lt;&gt;""),ROUNDUP((AK160-AJ160)/7,0),"")</f>
        <v/>
      </c>
      <c r="AN160">
        <f>IFERROR(IF(AL160*AM160=0,"",AL160*AM160),"")</f>
        <v/>
      </c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L160">
        <f>IFERROR(INDEX('_names_lookup'!$C:$C,MATCH(BK160,'_names_lookup'!$A:$A,0)),"")</f>
        <v/>
      </c>
      <c r="BM160">
        <f>IFERROR(INDEX('_names_lookup'!$B:$B,MATCH(BK160,'_names_lookup'!$A:$A,0)),"")</f>
        <v/>
      </c>
      <c r="BS160">
        <f>IFERROR(IF(BR160*AA160=0,"",BR160*AA160),"")</f>
        <v/>
      </c>
    </row>
    <row r="161">
      <c r="O161">
        <f>IFERROR(INDEX('_courses_lookup'!$C:$C,MATCH(K161&amp;L161,'_courses_lookup'!$E:$E,0)),"")</f>
        <v/>
      </c>
      <c r="P161">
        <f>IFERROR(INDEX('_courses_lookup'!$D:$D,MATCH(K161&amp;L161,'_courses_lookup'!$E:$E,0)),"")</f>
        <v/>
      </c>
      <c r="AG161">
        <f>IF(AND(AE161&lt;&gt;"",AF161&lt;&gt;""),ROUNDUP((AF161-AE161)/7,0),"")</f>
        <v/>
      </c>
      <c r="AI161">
        <f>IFERROR(IF(AG161*AH161=0,"",AG161*AH161),"")</f>
        <v/>
      </c>
      <c r="AL161">
        <f>IF(AND(AJ161&lt;&gt;"",AK161&lt;&gt;""),ROUNDUP((AK161-AJ161)/7,0),"")</f>
        <v/>
      </c>
      <c r="AN161">
        <f>IFERROR(IF(AL161*AM161=0,"",AL161*AM161),"")</f>
        <v/>
      </c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L161">
        <f>IFERROR(INDEX('_names_lookup'!$C:$C,MATCH(BK161,'_names_lookup'!$A:$A,0)),"")</f>
        <v/>
      </c>
      <c r="BM161">
        <f>IFERROR(INDEX('_names_lookup'!$B:$B,MATCH(BK161,'_names_lookup'!$A:$A,0)),"")</f>
        <v/>
      </c>
      <c r="BS161">
        <f>IFERROR(IF(BR161*AA161=0,"",BR161*AA161),"")</f>
        <v/>
      </c>
    </row>
    <row r="162">
      <c r="O162">
        <f>IFERROR(INDEX('_courses_lookup'!$C:$C,MATCH(K162&amp;L162,'_courses_lookup'!$E:$E,0)),"")</f>
        <v/>
      </c>
      <c r="P162">
        <f>IFERROR(INDEX('_courses_lookup'!$D:$D,MATCH(K162&amp;L162,'_courses_lookup'!$E:$E,0)),"")</f>
        <v/>
      </c>
      <c r="AG162">
        <f>IF(AND(AE162&lt;&gt;"",AF162&lt;&gt;""),ROUNDUP((AF162-AE162)/7,0),"")</f>
        <v/>
      </c>
      <c r="AI162">
        <f>IFERROR(IF(AG162*AH162=0,"",AG162*AH162),"")</f>
        <v/>
      </c>
      <c r="AL162">
        <f>IF(AND(AJ162&lt;&gt;"",AK162&lt;&gt;""),ROUNDUP((AK162-AJ162)/7,0),"")</f>
        <v/>
      </c>
      <c r="AN162">
        <f>IFERROR(IF(AL162*AM162=0,"",AL162*AM162),"")</f>
        <v/>
      </c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L162">
        <f>IFERROR(INDEX('_names_lookup'!$C:$C,MATCH(BK162,'_names_lookup'!$A:$A,0)),"")</f>
        <v/>
      </c>
      <c r="BM162">
        <f>IFERROR(INDEX('_names_lookup'!$B:$B,MATCH(BK162,'_names_lookup'!$A:$A,0)),"")</f>
        <v/>
      </c>
      <c r="BS162">
        <f>IFERROR(IF(BR162*AA162=0,"",BR162*AA162),"")</f>
        <v/>
      </c>
    </row>
    <row r="163">
      <c r="O163">
        <f>IFERROR(INDEX('_courses_lookup'!$C:$C,MATCH(K163&amp;L163,'_courses_lookup'!$E:$E,0)),"")</f>
        <v/>
      </c>
      <c r="P163">
        <f>IFERROR(INDEX('_courses_lookup'!$D:$D,MATCH(K163&amp;L163,'_courses_lookup'!$E:$E,0)),"")</f>
        <v/>
      </c>
      <c r="AG163">
        <f>IF(AND(AE163&lt;&gt;"",AF163&lt;&gt;""),ROUNDUP((AF163-AE163)/7,0),"")</f>
        <v/>
      </c>
      <c r="AI163">
        <f>IFERROR(IF(AG163*AH163=0,"",AG163*AH163),"")</f>
        <v/>
      </c>
      <c r="AL163">
        <f>IF(AND(AJ163&lt;&gt;"",AK163&lt;&gt;""),ROUNDUP((AK163-AJ163)/7,0),"")</f>
        <v/>
      </c>
      <c r="AN163">
        <f>IFERROR(IF(AL163*AM163=0,"",AL163*AM163),"")</f>
        <v/>
      </c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L163">
        <f>IFERROR(INDEX('_names_lookup'!$C:$C,MATCH(BK163,'_names_lookup'!$A:$A,0)),"")</f>
        <v/>
      </c>
      <c r="BM163">
        <f>IFERROR(INDEX('_names_lookup'!$B:$B,MATCH(BK163,'_names_lookup'!$A:$A,0)),"")</f>
        <v/>
      </c>
      <c r="BS163">
        <f>IFERROR(IF(BR163*AA163=0,"",BR163*AA163),"")</f>
        <v/>
      </c>
    </row>
    <row r="164">
      <c r="O164">
        <f>IFERROR(INDEX('_courses_lookup'!$C:$C,MATCH(K164&amp;L164,'_courses_lookup'!$E:$E,0)),"")</f>
        <v/>
      </c>
      <c r="P164">
        <f>IFERROR(INDEX('_courses_lookup'!$D:$D,MATCH(K164&amp;L164,'_courses_lookup'!$E:$E,0)),"")</f>
        <v/>
      </c>
      <c r="AG164">
        <f>IF(AND(AE164&lt;&gt;"",AF164&lt;&gt;""),ROUNDUP((AF164-AE164)/7,0),"")</f>
        <v/>
      </c>
      <c r="AI164">
        <f>IFERROR(IF(AG164*AH164=0,"",AG164*AH164),"")</f>
        <v/>
      </c>
      <c r="AL164">
        <f>IF(AND(AJ164&lt;&gt;"",AK164&lt;&gt;""),ROUNDUP((AK164-AJ164)/7,0),"")</f>
        <v/>
      </c>
      <c r="AN164">
        <f>IFERROR(IF(AL164*AM164=0,"",AL164*AM164),"")</f>
        <v/>
      </c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L164">
        <f>IFERROR(INDEX('_names_lookup'!$C:$C,MATCH(BK164,'_names_lookup'!$A:$A,0)),"")</f>
        <v/>
      </c>
      <c r="BM164">
        <f>IFERROR(INDEX('_names_lookup'!$B:$B,MATCH(BK164,'_names_lookup'!$A:$A,0)),"")</f>
        <v/>
      </c>
      <c r="BS164">
        <f>IFERROR(IF(BR164*AA164=0,"",BR164*AA164),"")</f>
        <v/>
      </c>
    </row>
    <row r="165">
      <c r="O165">
        <f>IFERROR(INDEX('_courses_lookup'!$C:$C,MATCH(K165&amp;L165,'_courses_lookup'!$E:$E,0)),"")</f>
        <v/>
      </c>
      <c r="P165">
        <f>IFERROR(INDEX('_courses_lookup'!$D:$D,MATCH(K165&amp;L165,'_courses_lookup'!$E:$E,0)),"")</f>
        <v/>
      </c>
      <c r="AG165">
        <f>IF(AND(AE165&lt;&gt;"",AF165&lt;&gt;""),ROUNDUP((AF165-AE165)/7,0),"")</f>
        <v/>
      </c>
      <c r="AI165">
        <f>IFERROR(IF(AG165*AH165=0,"",AG165*AH165),"")</f>
        <v/>
      </c>
      <c r="AL165">
        <f>IF(AND(AJ165&lt;&gt;"",AK165&lt;&gt;""),ROUNDUP((AK165-AJ165)/7,0),"")</f>
        <v/>
      </c>
      <c r="AN165">
        <f>IFERROR(IF(AL165*AM165=0,"",AL165*AM165),"")</f>
        <v/>
      </c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L165">
        <f>IFERROR(INDEX('_names_lookup'!$C:$C,MATCH(BK165,'_names_lookup'!$A:$A,0)),"")</f>
        <v/>
      </c>
      <c r="BM165">
        <f>IFERROR(INDEX('_names_lookup'!$B:$B,MATCH(BK165,'_names_lookup'!$A:$A,0)),"")</f>
        <v/>
      </c>
      <c r="BS165">
        <f>IFERROR(IF(BR165*AA165=0,"",BR165*AA165),"")</f>
        <v/>
      </c>
    </row>
    <row r="166">
      <c r="O166">
        <f>IFERROR(INDEX('_courses_lookup'!$C:$C,MATCH(K166&amp;L166,'_courses_lookup'!$E:$E,0)),"")</f>
        <v/>
      </c>
      <c r="P166">
        <f>IFERROR(INDEX('_courses_lookup'!$D:$D,MATCH(K166&amp;L166,'_courses_lookup'!$E:$E,0)),"")</f>
        <v/>
      </c>
      <c r="AG166">
        <f>IF(AND(AE166&lt;&gt;"",AF166&lt;&gt;""),ROUNDUP((AF166-AE166)/7,0),"")</f>
        <v/>
      </c>
      <c r="AI166">
        <f>IFERROR(IF(AG166*AH166=0,"",AG166*AH166),"")</f>
        <v/>
      </c>
      <c r="AL166">
        <f>IF(AND(AJ166&lt;&gt;"",AK166&lt;&gt;""),ROUNDUP((AK166-AJ166)/7,0),"")</f>
        <v/>
      </c>
      <c r="AN166">
        <f>IFERROR(IF(AL166*AM166=0,"",AL166*AM166),"")</f>
        <v/>
      </c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L166">
        <f>IFERROR(INDEX('_names_lookup'!$C:$C,MATCH(BK166,'_names_lookup'!$A:$A,0)),"")</f>
        <v/>
      </c>
      <c r="BM166">
        <f>IFERROR(INDEX('_names_lookup'!$B:$B,MATCH(BK166,'_names_lookup'!$A:$A,0)),"")</f>
        <v/>
      </c>
      <c r="BS166">
        <f>IFERROR(IF(BR166*AA166=0,"",BR166*AA166),"")</f>
        <v/>
      </c>
    </row>
    <row r="167">
      <c r="O167">
        <f>IFERROR(INDEX('_courses_lookup'!$C:$C,MATCH(K167&amp;L167,'_courses_lookup'!$E:$E,0)),"")</f>
        <v/>
      </c>
      <c r="P167">
        <f>IFERROR(INDEX('_courses_lookup'!$D:$D,MATCH(K167&amp;L167,'_courses_lookup'!$E:$E,0)),"")</f>
        <v/>
      </c>
      <c r="AG167">
        <f>IF(AND(AE167&lt;&gt;"",AF167&lt;&gt;""),ROUNDUP((AF167-AE167)/7,0),"")</f>
        <v/>
      </c>
      <c r="AI167">
        <f>IFERROR(IF(AG167*AH167=0,"",AG167*AH167),"")</f>
        <v/>
      </c>
      <c r="AL167">
        <f>IF(AND(AJ167&lt;&gt;"",AK167&lt;&gt;""),ROUNDUP((AK167-AJ167)/7,0),"")</f>
        <v/>
      </c>
      <c r="AN167">
        <f>IFERROR(IF(AL167*AM167=0,"",AL167*AM167),"")</f>
        <v/>
      </c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L167">
        <f>IFERROR(INDEX('_names_lookup'!$C:$C,MATCH(BK167,'_names_lookup'!$A:$A,0)),"")</f>
        <v/>
      </c>
      <c r="BM167">
        <f>IFERROR(INDEX('_names_lookup'!$B:$B,MATCH(BK167,'_names_lookup'!$A:$A,0)),"")</f>
        <v/>
      </c>
      <c r="BS167">
        <f>IFERROR(IF(BR167*AA167=0,"",BR167*AA167),"")</f>
        <v/>
      </c>
    </row>
    <row r="168">
      <c r="O168">
        <f>IFERROR(INDEX('_courses_lookup'!$C:$C,MATCH(K168&amp;L168,'_courses_lookup'!$E:$E,0)),"")</f>
        <v/>
      </c>
      <c r="P168">
        <f>IFERROR(INDEX('_courses_lookup'!$D:$D,MATCH(K168&amp;L168,'_courses_lookup'!$E:$E,0)),"")</f>
        <v/>
      </c>
      <c r="AG168">
        <f>IF(AND(AE168&lt;&gt;"",AF168&lt;&gt;""),ROUNDUP((AF168-AE168)/7,0),"")</f>
        <v/>
      </c>
      <c r="AI168">
        <f>IFERROR(IF(AG168*AH168=0,"",AG168*AH168),"")</f>
        <v/>
      </c>
      <c r="AL168">
        <f>IF(AND(AJ168&lt;&gt;"",AK168&lt;&gt;""),ROUNDUP((AK168-AJ168)/7,0),"")</f>
        <v/>
      </c>
      <c r="AN168">
        <f>IFERROR(IF(AL168*AM168=0,"",AL168*AM168),"")</f>
        <v/>
      </c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L168">
        <f>IFERROR(INDEX('_names_lookup'!$C:$C,MATCH(BK168,'_names_lookup'!$A:$A,0)),"")</f>
        <v/>
      </c>
      <c r="BM168">
        <f>IFERROR(INDEX('_names_lookup'!$B:$B,MATCH(BK168,'_names_lookup'!$A:$A,0)),"")</f>
        <v/>
      </c>
      <c r="BS168">
        <f>IFERROR(IF(BR168*AA168=0,"",BR168*AA168),"")</f>
        <v/>
      </c>
    </row>
    <row r="169">
      <c r="O169">
        <f>IFERROR(INDEX('_courses_lookup'!$C:$C,MATCH(K169&amp;L169,'_courses_lookup'!$E:$E,0)),"")</f>
        <v/>
      </c>
      <c r="P169">
        <f>IFERROR(INDEX('_courses_lookup'!$D:$D,MATCH(K169&amp;L169,'_courses_lookup'!$E:$E,0)),"")</f>
        <v/>
      </c>
      <c r="AG169">
        <f>IF(AND(AE169&lt;&gt;"",AF169&lt;&gt;""),ROUNDUP((AF169-AE169)/7,0),"")</f>
        <v/>
      </c>
      <c r="AI169">
        <f>IFERROR(IF(AG169*AH169=0,"",AG169*AH169),"")</f>
        <v/>
      </c>
      <c r="AL169">
        <f>IF(AND(AJ169&lt;&gt;"",AK169&lt;&gt;""),ROUNDUP((AK169-AJ169)/7,0),"")</f>
        <v/>
      </c>
      <c r="AN169">
        <f>IFERROR(IF(AL169*AM169=0,"",AL169*AM169),"")</f>
        <v/>
      </c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L169">
        <f>IFERROR(INDEX('_names_lookup'!$C:$C,MATCH(BK169,'_names_lookup'!$A:$A,0)),"")</f>
        <v/>
      </c>
      <c r="BM169">
        <f>IFERROR(INDEX('_names_lookup'!$B:$B,MATCH(BK169,'_names_lookup'!$A:$A,0)),"")</f>
        <v/>
      </c>
      <c r="BS169">
        <f>IFERROR(IF(BR169*AA169=0,"",BR169*AA169),"")</f>
        <v/>
      </c>
    </row>
    <row r="170">
      <c r="O170">
        <f>IFERROR(INDEX('_courses_lookup'!$C:$C,MATCH(K170&amp;L170,'_courses_lookup'!$E:$E,0)),"")</f>
        <v/>
      </c>
      <c r="P170">
        <f>IFERROR(INDEX('_courses_lookup'!$D:$D,MATCH(K170&amp;L170,'_courses_lookup'!$E:$E,0)),"")</f>
        <v/>
      </c>
      <c r="AG170">
        <f>IF(AND(AE170&lt;&gt;"",AF170&lt;&gt;""),ROUNDUP((AF170-AE170)/7,0),"")</f>
        <v/>
      </c>
      <c r="AI170">
        <f>IFERROR(IF(AG170*AH170=0,"",AG170*AH170),"")</f>
        <v/>
      </c>
      <c r="AL170">
        <f>IF(AND(AJ170&lt;&gt;"",AK170&lt;&gt;""),ROUNDUP((AK170-AJ170)/7,0),"")</f>
        <v/>
      </c>
      <c r="AN170">
        <f>IFERROR(IF(AL170*AM170=0,"",AL170*AM170),"")</f>
        <v/>
      </c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L170">
        <f>IFERROR(INDEX('_names_lookup'!$C:$C,MATCH(BK170,'_names_lookup'!$A:$A,0)),"")</f>
        <v/>
      </c>
      <c r="BM170">
        <f>IFERROR(INDEX('_names_lookup'!$B:$B,MATCH(BK170,'_names_lookup'!$A:$A,0)),"")</f>
        <v/>
      </c>
      <c r="BS170">
        <f>IFERROR(IF(BR170*AA170=0,"",BR170*AA170),"")</f>
        <v/>
      </c>
    </row>
    <row r="171">
      <c r="O171">
        <f>IFERROR(INDEX('_courses_lookup'!$C:$C,MATCH(K171&amp;L171,'_courses_lookup'!$E:$E,0)),"")</f>
        <v/>
      </c>
      <c r="P171">
        <f>IFERROR(INDEX('_courses_lookup'!$D:$D,MATCH(K171&amp;L171,'_courses_lookup'!$E:$E,0)),"")</f>
        <v/>
      </c>
      <c r="AG171">
        <f>IF(AND(AE171&lt;&gt;"",AF171&lt;&gt;""),ROUNDUP((AF171-AE171)/7,0),"")</f>
        <v/>
      </c>
      <c r="AI171">
        <f>IFERROR(IF(AG171*AH171=0,"",AG171*AH171),"")</f>
        <v/>
      </c>
      <c r="AL171">
        <f>IF(AND(AJ171&lt;&gt;"",AK171&lt;&gt;""),ROUNDUP((AK171-AJ171)/7,0),"")</f>
        <v/>
      </c>
      <c r="AN171">
        <f>IFERROR(IF(AL171*AM171=0,"",AL171*AM171),"")</f>
        <v/>
      </c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L171">
        <f>IFERROR(INDEX('_names_lookup'!$C:$C,MATCH(BK171,'_names_lookup'!$A:$A,0)),"")</f>
        <v/>
      </c>
      <c r="BM171">
        <f>IFERROR(INDEX('_names_lookup'!$B:$B,MATCH(BK171,'_names_lookup'!$A:$A,0)),"")</f>
        <v/>
      </c>
      <c r="BS171">
        <f>IFERROR(IF(BR171*AA171=0,"",BR171*AA171),"")</f>
        <v/>
      </c>
    </row>
    <row r="172">
      <c r="O172">
        <f>IFERROR(INDEX('_courses_lookup'!$C:$C,MATCH(K172&amp;L172,'_courses_lookup'!$E:$E,0)),"")</f>
        <v/>
      </c>
      <c r="P172">
        <f>IFERROR(INDEX('_courses_lookup'!$D:$D,MATCH(K172&amp;L172,'_courses_lookup'!$E:$E,0)),"")</f>
        <v/>
      </c>
      <c r="AG172">
        <f>IF(AND(AE172&lt;&gt;"",AF172&lt;&gt;""),ROUNDUP((AF172-AE172)/7,0),"")</f>
        <v/>
      </c>
      <c r="AI172">
        <f>IFERROR(IF(AG172*AH172=0,"",AG172*AH172),"")</f>
        <v/>
      </c>
      <c r="AL172">
        <f>IF(AND(AJ172&lt;&gt;"",AK172&lt;&gt;""),ROUNDUP((AK172-AJ172)/7,0),"")</f>
        <v/>
      </c>
      <c r="AN172">
        <f>IFERROR(IF(AL172*AM172=0,"",AL172*AM172),"")</f>
        <v/>
      </c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L172">
        <f>IFERROR(INDEX('_names_lookup'!$C:$C,MATCH(BK172,'_names_lookup'!$A:$A,0)),"")</f>
        <v/>
      </c>
      <c r="BM172">
        <f>IFERROR(INDEX('_names_lookup'!$B:$B,MATCH(BK172,'_names_lookup'!$A:$A,0)),"")</f>
        <v/>
      </c>
      <c r="BS172">
        <f>IFERROR(IF(BR172*AA172=0,"",BR172*AA172),"")</f>
        <v/>
      </c>
    </row>
    <row r="173">
      <c r="O173">
        <f>IFERROR(INDEX('_courses_lookup'!$C:$C,MATCH(K173&amp;L173,'_courses_lookup'!$E:$E,0)),"")</f>
        <v/>
      </c>
      <c r="P173">
        <f>IFERROR(INDEX('_courses_lookup'!$D:$D,MATCH(K173&amp;L173,'_courses_lookup'!$E:$E,0)),"")</f>
        <v/>
      </c>
      <c r="AG173">
        <f>IF(AND(AE173&lt;&gt;"",AF173&lt;&gt;""),ROUNDUP((AF173-AE173)/7,0),"")</f>
        <v/>
      </c>
      <c r="AI173">
        <f>IFERROR(IF(AG173*AH173=0,"",AG173*AH173),"")</f>
        <v/>
      </c>
      <c r="AL173">
        <f>IF(AND(AJ173&lt;&gt;"",AK173&lt;&gt;""),ROUNDUP((AK173-AJ173)/7,0),"")</f>
        <v/>
      </c>
      <c r="AN173">
        <f>IFERROR(IF(AL173*AM173=0,"",AL173*AM173),"")</f>
        <v/>
      </c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L173">
        <f>IFERROR(INDEX('_names_lookup'!$C:$C,MATCH(BK173,'_names_lookup'!$A:$A,0)),"")</f>
        <v/>
      </c>
      <c r="BM173">
        <f>IFERROR(INDEX('_names_lookup'!$B:$B,MATCH(BK173,'_names_lookup'!$A:$A,0)),"")</f>
        <v/>
      </c>
      <c r="BS173">
        <f>IFERROR(IF(BR173*AA173=0,"",BR173*AA173),"")</f>
        <v/>
      </c>
    </row>
    <row r="174">
      <c r="O174">
        <f>IFERROR(INDEX('_courses_lookup'!$C:$C,MATCH(K174&amp;L174,'_courses_lookup'!$E:$E,0)),"")</f>
        <v/>
      </c>
      <c r="P174">
        <f>IFERROR(INDEX('_courses_lookup'!$D:$D,MATCH(K174&amp;L174,'_courses_lookup'!$E:$E,0)),"")</f>
        <v/>
      </c>
      <c r="AG174">
        <f>IF(AND(AE174&lt;&gt;"",AF174&lt;&gt;""),ROUNDUP((AF174-AE174)/7,0),"")</f>
        <v/>
      </c>
      <c r="AI174">
        <f>IFERROR(IF(AG174*AH174=0,"",AG174*AH174),"")</f>
        <v/>
      </c>
      <c r="AL174">
        <f>IF(AND(AJ174&lt;&gt;"",AK174&lt;&gt;""),ROUNDUP((AK174-AJ174)/7,0),"")</f>
        <v/>
      </c>
      <c r="AN174">
        <f>IFERROR(IF(AL174*AM174=0,"",AL174*AM174),"")</f>
        <v/>
      </c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L174">
        <f>IFERROR(INDEX('_names_lookup'!$C:$C,MATCH(BK174,'_names_lookup'!$A:$A,0)),"")</f>
        <v/>
      </c>
      <c r="BM174">
        <f>IFERROR(INDEX('_names_lookup'!$B:$B,MATCH(BK174,'_names_lookup'!$A:$A,0)),"")</f>
        <v/>
      </c>
      <c r="BS174">
        <f>IFERROR(IF(BR174*AA174=0,"",BR174*AA174),"")</f>
        <v/>
      </c>
    </row>
    <row r="175">
      <c r="O175">
        <f>IFERROR(INDEX('_courses_lookup'!$C:$C,MATCH(K175&amp;L175,'_courses_lookup'!$E:$E,0)),"")</f>
        <v/>
      </c>
      <c r="P175">
        <f>IFERROR(INDEX('_courses_lookup'!$D:$D,MATCH(K175&amp;L175,'_courses_lookup'!$E:$E,0)),"")</f>
        <v/>
      </c>
      <c r="AG175">
        <f>IF(AND(AE175&lt;&gt;"",AF175&lt;&gt;""),ROUNDUP((AF175-AE175)/7,0),"")</f>
        <v/>
      </c>
      <c r="AI175">
        <f>IFERROR(IF(AG175*AH175=0,"",AG175*AH175),"")</f>
        <v/>
      </c>
      <c r="AL175">
        <f>IF(AND(AJ175&lt;&gt;"",AK175&lt;&gt;""),ROUNDUP((AK175-AJ175)/7,0),"")</f>
        <v/>
      </c>
      <c r="AN175">
        <f>IFERROR(IF(AL175*AM175=0,"",AL175*AM175),"")</f>
        <v/>
      </c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L175">
        <f>IFERROR(INDEX('_names_lookup'!$C:$C,MATCH(BK175,'_names_lookup'!$A:$A,0)),"")</f>
        <v/>
      </c>
      <c r="BM175">
        <f>IFERROR(INDEX('_names_lookup'!$B:$B,MATCH(BK175,'_names_lookup'!$A:$A,0)),"")</f>
        <v/>
      </c>
      <c r="BS175">
        <f>IFERROR(IF(BR175*AA175=0,"",BR175*AA175),"")</f>
        <v/>
      </c>
    </row>
    <row r="176">
      <c r="O176">
        <f>IFERROR(INDEX('_courses_lookup'!$C:$C,MATCH(K176&amp;L176,'_courses_lookup'!$E:$E,0)),"")</f>
        <v/>
      </c>
      <c r="P176">
        <f>IFERROR(INDEX('_courses_lookup'!$D:$D,MATCH(K176&amp;L176,'_courses_lookup'!$E:$E,0)),"")</f>
        <v/>
      </c>
      <c r="AG176">
        <f>IF(AND(AE176&lt;&gt;"",AF176&lt;&gt;""),ROUNDUP((AF176-AE176)/7,0),"")</f>
        <v/>
      </c>
      <c r="AI176">
        <f>IFERROR(IF(AG176*AH176=0,"",AG176*AH176),"")</f>
        <v/>
      </c>
      <c r="AL176">
        <f>IF(AND(AJ176&lt;&gt;"",AK176&lt;&gt;""),ROUNDUP((AK176-AJ176)/7,0),"")</f>
        <v/>
      </c>
      <c r="AN176">
        <f>IFERROR(IF(AL176*AM176=0,"",AL176*AM176),"")</f>
        <v/>
      </c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L176">
        <f>IFERROR(INDEX('_names_lookup'!$C:$C,MATCH(BK176,'_names_lookup'!$A:$A,0)),"")</f>
        <v/>
      </c>
      <c r="BM176">
        <f>IFERROR(INDEX('_names_lookup'!$B:$B,MATCH(BK176,'_names_lookup'!$A:$A,0)),"")</f>
        <v/>
      </c>
      <c r="BS176">
        <f>IFERROR(IF(BR176*AA176=0,"",BR176*AA176),"")</f>
        <v/>
      </c>
    </row>
    <row r="177">
      <c r="O177">
        <f>IFERROR(INDEX('_courses_lookup'!$C:$C,MATCH(K177&amp;L177,'_courses_lookup'!$E:$E,0)),"")</f>
        <v/>
      </c>
      <c r="P177">
        <f>IFERROR(INDEX('_courses_lookup'!$D:$D,MATCH(K177&amp;L177,'_courses_lookup'!$E:$E,0)),"")</f>
        <v/>
      </c>
      <c r="AG177">
        <f>IF(AND(AE177&lt;&gt;"",AF177&lt;&gt;""),ROUNDUP((AF177-AE177)/7,0),"")</f>
        <v/>
      </c>
      <c r="AI177">
        <f>IFERROR(IF(AG177*AH177=0,"",AG177*AH177),"")</f>
        <v/>
      </c>
      <c r="AL177">
        <f>IF(AND(AJ177&lt;&gt;"",AK177&lt;&gt;""),ROUNDUP((AK177-AJ177)/7,0),"")</f>
        <v/>
      </c>
      <c r="AN177">
        <f>IFERROR(IF(AL177*AM177=0,"",AL177*AM177),"")</f>
        <v/>
      </c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L177">
        <f>IFERROR(INDEX('_names_lookup'!$C:$C,MATCH(BK177,'_names_lookup'!$A:$A,0)),"")</f>
        <v/>
      </c>
      <c r="BM177">
        <f>IFERROR(INDEX('_names_lookup'!$B:$B,MATCH(BK177,'_names_lookup'!$A:$A,0)),"")</f>
        <v/>
      </c>
      <c r="BS177">
        <f>IFERROR(IF(BR177*AA177=0,"",BR177*AA177),"")</f>
        <v/>
      </c>
    </row>
    <row r="178">
      <c r="O178">
        <f>IFERROR(INDEX('_courses_lookup'!$C:$C,MATCH(K178&amp;L178,'_courses_lookup'!$E:$E,0)),"")</f>
        <v/>
      </c>
      <c r="P178">
        <f>IFERROR(INDEX('_courses_lookup'!$D:$D,MATCH(K178&amp;L178,'_courses_lookup'!$E:$E,0)),"")</f>
        <v/>
      </c>
      <c r="AG178">
        <f>IF(AND(AE178&lt;&gt;"",AF178&lt;&gt;""),ROUNDUP((AF178-AE178)/7,0),"")</f>
        <v/>
      </c>
      <c r="AI178">
        <f>IFERROR(IF(AG178*AH178=0,"",AG178*AH178),"")</f>
        <v/>
      </c>
      <c r="AL178">
        <f>IF(AND(AJ178&lt;&gt;"",AK178&lt;&gt;""),ROUNDUP((AK178-AJ178)/7,0),"")</f>
        <v/>
      </c>
      <c r="AN178">
        <f>IFERROR(IF(AL178*AM178=0,"",AL178*AM178),"")</f>
        <v/>
      </c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L178">
        <f>IFERROR(INDEX('_names_lookup'!$C:$C,MATCH(BK178,'_names_lookup'!$A:$A,0)),"")</f>
        <v/>
      </c>
      <c r="BM178">
        <f>IFERROR(INDEX('_names_lookup'!$B:$B,MATCH(BK178,'_names_lookup'!$A:$A,0)),"")</f>
        <v/>
      </c>
      <c r="BS178">
        <f>IFERROR(IF(BR178*AA178=0,"",BR178*AA178),"")</f>
        <v/>
      </c>
    </row>
    <row r="179">
      <c r="O179">
        <f>IFERROR(INDEX('_courses_lookup'!$C:$C,MATCH(K179&amp;L179,'_courses_lookup'!$E:$E,0)),"")</f>
        <v/>
      </c>
      <c r="P179">
        <f>IFERROR(INDEX('_courses_lookup'!$D:$D,MATCH(K179&amp;L179,'_courses_lookup'!$E:$E,0)),"")</f>
        <v/>
      </c>
      <c r="AG179">
        <f>IF(AND(AE179&lt;&gt;"",AF179&lt;&gt;""),ROUNDUP((AF179-AE179)/7,0),"")</f>
        <v/>
      </c>
      <c r="AI179">
        <f>IFERROR(IF(AG179*AH179=0,"",AG179*AH179),"")</f>
        <v/>
      </c>
      <c r="AL179">
        <f>IF(AND(AJ179&lt;&gt;"",AK179&lt;&gt;""),ROUNDUP((AK179-AJ179)/7,0),"")</f>
        <v/>
      </c>
      <c r="AN179">
        <f>IFERROR(IF(AL179*AM179=0,"",AL179*AM179),"")</f>
        <v/>
      </c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L179">
        <f>IFERROR(INDEX('_names_lookup'!$C:$C,MATCH(BK179,'_names_lookup'!$A:$A,0)),"")</f>
        <v/>
      </c>
      <c r="BM179">
        <f>IFERROR(INDEX('_names_lookup'!$B:$B,MATCH(BK179,'_names_lookup'!$A:$A,0)),"")</f>
        <v/>
      </c>
      <c r="BS179">
        <f>IFERROR(IF(BR179*AA179=0,"",BR179*AA179),"")</f>
        <v/>
      </c>
    </row>
    <row r="180">
      <c r="O180">
        <f>IFERROR(INDEX('_courses_lookup'!$C:$C,MATCH(K180&amp;L180,'_courses_lookup'!$E:$E,0)),"")</f>
        <v/>
      </c>
      <c r="P180">
        <f>IFERROR(INDEX('_courses_lookup'!$D:$D,MATCH(K180&amp;L180,'_courses_lookup'!$E:$E,0)),"")</f>
        <v/>
      </c>
      <c r="AG180">
        <f>IF(AND(AE180&lt;&gt;"",AF180&lt;&gt;""),ROUNDUP((AF180-AE180)/7,0),"")</f>
        <v/>
      </c>
      <c r="AI180">
        <f>IFERROR(IF(AG180*AH180=0,"",AG180*AH180),"")</f>
        <v/>
      </c>
      <c r="AL180">
        <f>IF(AND(AJ180&lt;&gt;"",AK180&lt;&gt;""),ROUNDUP((AK180-AJ180)/7,0),"")</f>
        <v/>
      </c>
      <c r="AN180">
        <f>IFERROR(IF(AL180*AM180=0,"",AL180*AM180),"")</f>
        <v/>
      </c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L180">
        <f>IFERROR(INDEX('_names_lookup'!$C:$C,MATCH(BK180,'_names_lookup'!$A:$A,0)),"")</f>
        <v/>
      </c>
      <c r="BM180">
        <f>IFERROR(INDEX('_names_lookup'!$B:$B,MATCH(BK180,'_names_lookup'!$A:$A,0)),"")</f>
        <v/>
      </c>
      <c r="BS180">
        <f>IFERROR(IF(BR180*AA180=0,"",BR180*AA180),"")</f>
        <v/>
      </c>
    </row>
    <row r="181">
      <c r="O181">
        <f>IFERROR(INDEX('_courses_lookup'!$C:$C,MATCH(K181&amp;L181,'_courses_lookup'!$E:$E,0)),"")</f>
        <v/>
      </c>
      <c r="P181">
        <f>IFERROR(INDEX('_courses_lookup'!$D:$D,MATCH(K181&amp;L181,'_courses_lookup'!$E:$E,0)),"")</f>
        <v/>
      </c>
      <c r="AG181">
        <f>IF(AND(AE181&lt;&gt;"",AF181&lt;&gt;""),ROUNDUP((AF181-AE181)/7,0),"")</f>
        <v/>
      </c>
      <c r="AI181">
        <f>IFERROR(IF(AG181*AH181=0,"",AG181*AH181),"")</f>
        <v/>
      </c>
      <c r="AL181">
        <f>IF(AND(AJ181&lt;&gt;"",AK181&lt;&gt;""),ROUNDUP((AK181-AJ181)/7,0),"")</f>
        <v/>
      </c>
      <c r="AN181">
        <f>IFERROR(IF(AL181*AM181=0,"",AL181*AM181),"")</f>
        <v/>
      </c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L181">
        <f>IFERROR(INDEX('_names_lookup'!$C:$C,MATCH(BK181,'_names_lookup'!$A:$A,0)),"")</f>
        <v/>
      </c>
      <c r="BM181">
        <f>IFERROR(INDEX('_names_lookup'!$B:$B,MATCH(BK181,'_names_lookup'!$A:$A,0)),"")</f>
        <v/>
      </c>
      <c r="BS181">
        <f>IFERROR(IF(BR181*AA181=0,"",BR181*AA181),"")</f>
        <v/>
      </c>
    </row>
    <row r="182">
      <c r="O182">
        <f>IFERROR(INDEX('_courses_lookup'!$C:$C,MATCH(K182&amp;L182,'_courses_lookup'!$E:$E,0)),"")</f>
        <v/>
      </c>
      <c r="P182">
        <f>IFERROR(INDEX('_courses_lookup'!$D:$D,MATCH(K182&amp;L182,'_courses_lookup'!$E:$E,0)),"")</f>
        <v/>
      </c>
      <c r="AG182">
        <f>IF(AND(AE182&lt;&gt;"",AF182&lt;&gt;""),ROUNDUP((AF182-AE182)/7,0),"")</f>
        <v/>
      </c>
      <c r="AI182">
        <f>IFERROR(IF(AG182*AH182=0,"",AG182*AH182),"")</f>
        <v/>
      </c>
      <c r="AL182">
        <f>IF(AND(AJ182&lt;&gt;"",AK182&lt;&gt;""),ROUNDUP((AK182-AJ182)/7,0),"")</f>
        <v/>
      </c>
      <c r="AN182">
        <f>IFERROR(IF(AL182*AM182=0,"",AL182*AM182),"")</f>
        <v/>
      </c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L182">
        <f>IFERROR(INDEX('_names_lookup'!$C:$C,MATCH(BK182,'_names_lookup'!$A:$A,0)),"")</f>
        <v/>
      </c>
      <c r="BM182">
        <f>IFERROR(INDEX('_names_lookup'!$B:$B,MATCH(BK182,'_names_lookup'!$A:$A,0)),"")</f>
        <v/>
      </c>
      <c r="BS182">
        <f>IFERROR(IF(BR182*AA182=0,"",BR182*AA182),"")</f>
        <v/>
      </c>
    </row>
    <row r="183">
      <c r="O183">
        <f>IFERROR(INDEX('_courses_lookup'!$C:$C,MATCH(K183&amp;L183,'_courses_lookup'!$E:$E,0)),"")</f>
        <v/>
      </c>
      <c r="P183">
        <f>IFERROR(INDEX('_courses_lookup'!$D:$D,MATCH(K183&amp;L183,'_courses_lookup'!$E:$E,0)),"")</f>
        <v/>
      </c>
      <c r="AG183">
        <f>IF(AND(AE183&lt;&gt;"",AF183&lt;&gt;""),ROUNDUP((AF183-AE183)/7,0),"")</f>
        <v/>
      </c>
      <c r="AI183">
        <f>IFERROR(IF(AG183*AH183=0,"",AG183*AH183),"")</f>
        <v/>
      </c>
      <c r="AL183">
        <f>IF(AND(AJ183&lt;&gt;"",AK183&lt;&gt;""),ROUNDUP((AK183-AJ183)/7,0),"")</f>
        <v/>
      </c>
      <c r="AN183">
        <f>IFERROR(IF(AL183*AM183=0,"",AL183*AM183),"")</f>
        <v/>
      </c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L183">
        <f>IFERROR(INDEX('_names_lookup'!$C:$C,MATCH(BK183,'_names_lookup'!$A:$A,0)),"")</f>
        <v/>
      </c>
      <c r="BM183">
        <f>IFERROR(INDEX('_names_lookup'!$B:$B,MATCH(BK183,'_names_lookup'!$A:$A,0)),"")</f>
        <v/>
      </c>
      <c r="BS183">
        <f>IFERROR(IF(BR183*AA183=0,"",BR183*AA183),"")</f>
        <v/>
      </c>
    </row>
    <row r="184">
      <c r="O184">
        <f>IFERROR(INDEX('_courses_lookup'!$C:$C,MATCH(K184&amp;L184,'_courses_lookup'!$E:$E,0)),"")</f>
        <v/>
      </c>
      <c r="P184">
        <f>IFERROR(INDEX('_courses_lookup'!$D:$D,MATCH(K184&amp;L184,'_courses_lookup'!$E:$E,0)),"")</f>
        <v/>
      </c>
      <c r="AG184">
        <f>IF(AND(AE184&lt;&gt;"",AF184&lt;&gt;""),ROUNDUP((AF184-AE184)/7,0),"")</f>
        <v/>
      </c>
      <c r="AI184">
        <f>IFERROR(IF(AG184*AH184=0,"",AG184*AH184),"")</f>
        <v/>
      </c>
      <c r="AL184">
        <f>IF(AND(AJ184&lt;&gt;"",AK184&lt;&gt;""),ROUNDUP((AK184-AJ184)/7,0),"")</f>
        <v/>
      </c>
      <c r="AN184">
        <f>IFERROR(IF(AL184*AM184=0,"",AL184*AM184),"")</f>
        <v/>
      </c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L184">
        <f>IFERROR(INDEX('_names_lookup'!$C:$C,MATCH(BK184,'_names_lookup'!$A:$A,0)),"")</f>
        <v/>
      </c>
      <c r="BM184">
        <f>IFERROR(INDEX('_names_lookup'!$B:$B,MATCH(BK184,'_names_lookup'!$A:$A,0)),"")</f>
        <v/>
      </c>
      <c r="BS184">
        <f>IFERROR(IF(BR184*AA184=0,"",BR184*AA184),"")</f>
        <v/>
      </c>
    </row>
    <row r="185">
      <c r="O185">
        <f>IFERROR(INDEX('_courses_lookup'!$C:$C,MATCH(K185&amp;L185,'_courses_lookup'!$E:$E,0)),"")</f>
        <v/>
      </c>
      <c r="P185">
        <f>IFERROR(INDEX('_courses_lookup'!$D:$D,MATCH(K185&amp;L185,'_courses_lookup'!$E:$E,0)),"")</f>
        <v/>
      </c>
      <c r="AG185">
        <f>IF(AND(AE185&lt;&gt;"",AF185&lt;&gt;""),ROUNDUP((AF185-AE185)/7,0),"")</f>
        <v/>
      </c>
      <c r="AI185">
        <f>IFERROR(IF(AG185*AH185=0,"",AG185*AH185),"")</f>
        <v/>
      </c>
      <c r="AL185">
        <f>IF(AND(AJ185&lt;&gt;"",AK185&lt;&gt;""),ROUNDUP((AK185-AJ185)/7,0),"")</f>
        <v/>
      </c>
      <c r="AN185">
        <f>IFERROR(IF(AL185*AM185=0,"",AL185*AM185),"")</f>
        <v/>
      </c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L185">
        <f>IFERROR(INDEX('_names_lookup'!$C:$C,MATCH(BK185,'_names_lookup'!$A:$A,0)),"")</f>
        <v/>
      </c>
      <c r="BM185">
        <f>IFERROR(INDEX('_names_lookup'!$B:$B,MATCH(BK185,'_names_lookup'!$A:$A,0)),"")</f>
        <v/>
      </c>
      <c r="BS185">
        <f>IFERROR(IF(BR185*AA185=0,"",BR185*AA185),"")</f>
        <v/>
      </c>
    </row>
    <row r="186">
      <c r="O186">
        <f>IFERROR(INDEX('_courses_lookup'!$C:$C,MATCH(K186&amp;L186,'_courses_lookup'!$E:$E,0)),"")</f>
        <v/>
      </c>
      <c r="P186">
        <f>IFERROR(INDEX('_courses_lookup'!$D:$D,MATCH(K186&amp;L186,'_courses_lookup'!$E:$E,0)),"")</f>
        <v/>
      </c>
      <c r="AG186">
        <f>IF(AND(AE186&lt;&gt;"",AF186&lt;&gt;""),ROUNDUP((AF186-AE186)/7,0),"")</f>
        <v/>
      </c>
      <c r="AI186">
        <f>IFERROR(IF(AG186*AH186=0,"",AG186*AH186),"")</f>
        <v/>
      </c>
      <c r="AL186">
        <f>IF(AND(AJ186&lt;&gt;"",AK186&lt;&gt;""),ROUNDUP((AK186-AJ186)/7,0),"")</f>
        <v/>
      </c>
      <c r="AN186">
        <f>IFERROR(IF(AL186*AM186=0,"",AL186*AM186),"")</f>
        <v/>
      </c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L186">
        <f>IFERROR(INDEX('_names_lookup'!$C:$C,MATCH(BK186,'_names_lookup'!$A:$A,0)),"")</f>
        <v/>
      </c>
      <c r="BM186">
        <f>IFERROR(INDEX('_names_lookup'!$B:$B,MATCH(BK186,'_names_lookup'!$A:$A,0)),"")</f>
        <v/>
      </c>
      <c r="BS186">
        <f>IFERROR(IF(BR186*AA186=0,"",BR186*AA186),"")</f>
        <v/>
      </c>
    </row>
    <row r="187">
      <c r="O187">
        <f>IFERROR(INDEX('_courses_lookup'!$C:$C,MATCH(K187&amp;L187,'_courses_lookup'!$E:$E,0)),"")</f>
        <v/>
      </c>
      <c r="P187">
        <f>IFERROR(INDEX('_courses_lookup'!$D:$D,MATCH(K187&amp;L187,'_courses_lookup'!$E:$E,0)),"")</f>
        <v/>
      </c>
      <c r="AG187">
        <f>IF(AND(AE187&lt;&gt;"",AF187&lt;&gt;""),ROUNDUP((AF187-AE187)/7,0),"")</f>
        <v/>
      </c>
      <c r="AI187">
        <f>IFERROR(IF(AG187*AH187=0,"",AG187*AH187),"")</f>
        <v/>
      </c>
      <c r="AL187">
        <f>IF(AND(AJ187&lt;&gt;"",AK187&lt;&gt;""),ROUNDUP((AK187-AJ187)/7,0),"")</f>
        <v/>
      </c>
      <c r="AN187">
        <f>IFERROR(IF(AL187*AM187=0,"",AL187*AM187),"")</f>
        <v/>
      </c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L187">
        <f>IFERROR(INDEX('_names_lookup'!$C:$C,MATCH(BK187,'_names_lookup'!$A:$A,0)),"")</f>
        <v/>
      </c>
      <c r="BM187">
        <f>IFERROR(INDEX('_names_lookup'!$B:$B,MATCH(BK187,'_names_lookup'!$A:$A,0)),"")</f>
        <v/>
      </c>
      <c r="BS187">
        <f>IFERROR(IF(BR187*AA187=0,"",BR187*AA187),"")</f>
        <v/>
      </c>
    </row>
    <row r="188">
      <c r="O188">
        <f>IFERROR(INDEX('_courses_lookup'!$C:$C,MATCH(K188&amp;L188,'_courses_lookup'!$E:$E,0)),"")</f>
        <v/>
      </c>
      <c r="P188">
        <f>IFERROR(INDEX('_courses_lookup'!$D:$D,MATCH(K188&amp;L188,'_courses_lookup'!$E:$E,0)),"")</f>
        <v/>
      </c>
      <c r="AG188">
        <f>IF(AND(AE188&lt;&gt;"",AF188&lt;&gt;""),ROUNDUP((AF188-AE188)/7,0),"")</f>
        <v/>
      </c>
      <c r="AI188">
        <f>IFERROR(IF(AG188*AH188=0,"",AG188*AH188),"")</f>
        <v/>
      </c>
      <c r="AL188">
        <f>IF(AND(AJ188&lt;&gt;"",AK188&lt;&gt;""),ROUNDUP((AK188-AJ188)/7,0),"")</f>
        <v/>
      </c>
      <c r="AN188">
        <f>IFERROR(IF(AL188*AM188=0,"",AL188*AM188),"")</f>
        <v/>
      </c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L188">
        <f>IFERROR(INDEX('_names_lookup'!$C:$C,MATCH(BK188,'_names_lookup'!$A:$A,0)),"")</f>
        <v/>
      </c>
      <c r="BM188">
        <f>IFERROR(INDEX('_names_lookup'!$B:$B,MATCH(BK188,'_names_lookup'!$A:$A,0)),"")</f>
        <v/>
      </c>
      <c r="BS188">
        <f>IFERROR(IF(BR188*AA188=0,"",BR188*AA188),"")</f>
        <v/>
      </c>
    </row>
    <row r="189">
      <c r="O189">
        <f>IFERROR(INDEX('_courses_lookup'!$C:$C,MATCH(K189&amp;L189,'_courses_lookup'!$E:$E,0)),"")</f>
        <v/>
      </c>
      <c r="P189">
        <f>IFERROR(INDEX('_courses_lookup'!$D:$D,MATCH(K189&amp;L189,'_courses_lookup'!$E:$E,0)),"")</f>
        <v/>
      </c>
      <c r="AG189">
        <f>IF(AND(AE189&lt;&gt;"",AF189&lt;&gt;""),ROUNDUP((AF189-AE189)/7,0),"")</f>
        <v/>
      </c>
      <c r="AI189">
        <f>IFERROR(IF(AG189*AH189=0,"",AG189*AH189),"")</f>
        <v/>
      </c>
      <c r="AL189">
        <f>IF(AND(AJ189&lt;&gt;"",AK189&lt;&gt;""),ROUNDUP((AK189-AJ189)/7,0),"")</f>
        <v/>
      </c>
      <c r="AN189">
        <f>IFERROR(IF(AL189*AM189=0,"",AL189*AM189),"")</f>
        <v/>
      </c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L189">
        <f>IFERROR(INDEX('_names_lookup'!$C:$C,MATCH(BK189,'_names_lookup'!$A:$A,0)),"")</f>
        <v/>
      </c>
      <c r="BM189">
        <f>IFERROR(INDEX('_names_lookup'!$B:$B,MATCH(BK189,'_names_lookup'!$A:$A,0)),"")</f>
        <v/>
      </c>
      <c r="BS189">
        <f>IFERROR(IF(BR189*AA189=0,"",BR189*AA189),"")</f>
        <v/>
      </c>
    </row>
    <row r="190">
      <c r="O190">
        <f>IFERROR(INDEX('_courses_lookup'!$C:$C,MATCH(K190&amp;L190,'_courses_lookup'!$E:$E,0)),"")</f>
        <v/>
      </c>
      <c r="P190">
        <f>IFERROR(INDEX('_courses_lookup'!$D:$D,MATCH(K190&amp;L190,'_courses_lookup'!$E:$E,0)),"")</f>
        <v/>
      </c>
      <c r="AG190">
        <f>IF(AND(AE190&lt;&gt;"",AF190&lt;&gt;""),ROUNDUP((AF190-AE190)/7,0),"")</f>
        <v/>
      </c>
      <c r="AI190">
        <f>IFERROR(IF(AG190*AH190=0,"",AG190*AH190),"")</f>
        <v/>
      </c>
      <c r="AL190">
        <f>IF(AND(AJ190&lt;&gt;"",AK190&lt;&gt;""),ROUNDUP((AK190-AJ190)/7,0),"")</f>
        <v/>
      </c>
      <c r="AN190">
        <f>IFERROR(IF(AL190*AM190=0,"",AL190*AM190),"")</f>
        <v/>
      </c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L190">
        <f>IFERROR(INDEX('_names_lookup'!$C:$C,MATCH(BK190,'_names_lookup'!$A:$A,0)),"")</f>
        <v/>
      </c>
      <c r="BM190">
        <f>IFERROR(INDEX('_names_lookup'!$B:$B,MATCH(BK190,'_names_lookup'!$A:$A,0)),"")</f>
        <v/>
      </c>
      <c r="BS190">
        <f>IFERROR(IF(BR190*AA190=0,"",BR190*AA190),"")</f>
        <v/>
      </c>
    </row>
    <row r="191">
      <c r="O191">
        <f>IFERROR(INDEX('_courses_lookup'!$C:$C,MATCH(K191&amp;L191,'_courses_lookup'!$E:$E,0)),"")</f>
        <v/>
      </c>
      <c r="P191">
        <f>IFERROR(INDEX('_courses_lookup'!$D:$D,MATCH(K191&amp;L191,'_courses_lookup'!$E:$E,0)),"")</f>
        <v/>
      </c>
      <c r="AG191">
        <f>IF(AND(AE191&lt;&gt;"",AF191&lt;&gt;""),ROUNDUP((AF191-AE191)/7,0),"")</f>
        <v/>
      </c>
      <c r="AI191">
        <f>IFERROR(IF(AG191*AH191=0,"",AG191*AH191),"")</f>
        <v/>
      </c>
      <c r="AL191">
        <f>IF(AND(AJ191&lt;&gt;"",AK191&lt;&gt;""),ROUNDUP((AK191-AJ191)/7,0),"")</f>
        <v/>
      </c>
      <c r="AN191">
        <f>IFERROR(IF(AL191*AM191=0,"",AL191*AM191),"")</f>
        <v/>
      </c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L191">
        <f>IFERROR(INDEX('_names_lookup'!$C:$C,MATCH(BK191,'_names_lookup'!$A:$A,0)),"")</f>
        <v/>
      </c>
      <c r="BM191">
        <f>IFERROR(INDEX('_names_lookup'!$B:$B,MATCH(BK191,'_names_lookup'!$A:$A,0)),"")</f>
        <v/>
      </c>
      <c r="BS191">
        <f>IFERROR(IF(BR191*AA191=0,"",BR191*AA191),"")</f>
        <v/>
      </c>
    </row>
    <row r="192">
      <c r="O192">
        <f>IFERROR(INDEX('_courses_lookup'!$C:$C,MATCH(K192&amp;L192,'_courses_lookup'!$E:$E,0)),"")</f>
        <v/>
      </c>
      <c r="P192">
        <f>IFERROR(INDEX('_courses_lookup'!$D:$D,MATCH(K192&amp;L192,'_courses_lookup'!$E:$E,0)),"")</f>
        <v/>
      </c>
      <c r="AG192">
        <f>IF(AND(AE192&lt;&gt;"",AF192&lt;&gt;""),ROUNDUP((AF192-AE192)/7,0),"")</f>
        <v/>
      </c>
      <c r="AI192">
        <f>IFERROR(IF(AG192*AH192=0,"",AG192*AH192),"")</f>
        <v/>
      </c>
      <c r="AL192">
        <f>IF(AND(AJ192&lt;&gt;"",AK192&lt;&gt;""),ROUNDUP((AK192-AJ192)/7,0),"")</f>
        <v/>
      </c>
      <c r="AN192">
        <f>IFERROR(IF(AL192*AM192=0,"",AL192*AM192),"")</f>
        <v/>
      </c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L192">
        <f>IFERROR(INDEX('_names_lookup'!$C:$C,MATCH(BK192,'_names_lookup'!$A:$A,0)),"")</f>
        <v/>
      </c>
      <c r="BM192">
        <f>IFERROR(INDEX('_names_lookup'!$B:$B,MATCH(BK192,'_names_lookup'!$A:$A,0)),"")</f>
        <v/>
      </c>
      <c r="BS192">
        <f>IFERROR(IF(BR192*AA192=0,"",BR192*AA192),"")</f>
        <v/>
      </c>
    </row>
    <row r="193">
      <c r="O193">
        <f>IFERROR(INDEX('_courses_lookup'!$C:$C,MATCH(K193&amp;L193,'_courses_lookup'!$E:$E,0)),"")</f>
        <v/>
      </c>
      <c r="P193">
        <f>IFERROR(INDEX('_courses_lookup'!$D:$D,MATCH(K193&amp;L193,'_courses_lookup'!$E:$E,0)),"")</f>
        <v/>
      </c>
      <c r="AG193">
        <f>IF(AND(AE193&lt;&gt;"",AF193&lt;&gt;""),ROUNDUP((AF193-AE193)/7,0),"")</f>
        <v/>
      </c>
      <c r="AI193">
        <f>IFERROR(IF(AG193*AH193=0,"",AG193*AH193),"")</f>
        <v/>
      </c>
      <c r="AL193">
        <f>IF(AND(AJ193&lt;&gt;"",AK193&lt;&gt;""),ROUNDUP((AK193-AJ193)/7,0),"")</f>
        <v/>
      </c>
      <c r="AN193">
        <f>IFERROR(IF(AL193*AM193=0,"",AL193*AM193),"")</f>
        <v/>
      </c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L193">
        <f>IFERROR(INDEX('_names_lookup'!$C:$C,MATCH(BK193,'_names_lookup'!$A:$A,0)),"")</f>
        <v/>
      </c>
      <c r="BM193">
        <f>IFERROR(INDEX('_names_lookup'!$B:$B,MATCH(BK193,'_names_lookup'!$A:$A,0)),"")</f>
        <v/>
      </c>
      <c r="BS193">
        <f>IFERROR(IF(BR193*AA193=0,"",BR193*AA193),"")</f>
        <v/>
      </c>
    </row>
    <row r="194">
      <c r="O194">
        <f>IFERROR(INDEX('_courses_lookup'!$C:$C,MATCH(K194&amp;L194,'_courses_lookup'!$E:$E,0)),"")</f>
        <v/>
      </c>
      <c r="P194">
        <f>IFERROR(INDEX('_courses_lookup'!$D:$D,MATCH(K194&amp;L194,'_courses_lookup'!$E:$E,0)),"")</f>
        <v/>
      </c>
      <c r="AG194">
        <f>IF(AND(AE194&lt;&gt;"",AF194&lt;&gt;""),ROUNDUP((AF194-AE194)/7,0),"")</f>
        <v/>
      </c>
      <c r="AI194">
        <f>IFERROR(IF(AG194*AH194=0,"",AG194*AH194),"")</f>
        <v/>
      </c>
      <c r="AL194">
        <f>IF(AND(AJ194&lt;&gt;"",AK194&lt;&gt;""),ROUNDUP((AK194-AJ194)/7,0),"")</f>
        <v/>
      </c>
      <c r="AN194">
        <f>IFERROR(IF(AL194*AM194=0,"",AL194*AM194),"")</f>
        <v/>
      </c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L194">
        <f>IFERROR(INDEX('_names_lookup'!$C:$C,MATCH(BK194,'_names_lookup'!$A:$A,0)),"")</f>
        <v/>
      </c>
      <c r="BM194">
        <f>IFERROR(INDEX('_names_lookup'!$B:$B,MATCH(BK194,'_names_lookup'!$A:$A,0)),"")</f>
        <v/>
      </c>
      <c r="BS194">
        <f>IFERROR(IF(BR194*AA194=0,"",BR194*AA194),"")</f>
        <v/>
      </c>
    </row>
    <row r="195">
      <c r="O195">
        <f>IFERROR(INDEX('_courses_lookup'!$C:$C,MATCH(K195&amp;L195,'_courses_lookup'!$E:$E,0)),"")</f>
        <v/>
      </c>
      <c r="P195">
        <f>IFERROR(INDEX('_courses_lookup'!$D:$D,MATCH(K195&amp;L195,'_courses_lookup'!$E:$E,0)),"")</f>
        <v/>
      </c>
      <c r="AG195">
        <f>IF(AND(AE195&lt;&gt;"",AF195&lt;&gt;""),ROUNDUP((AF195-AE195)/7,0),"")</f>
        <v/>
      </c>
      <c r="AI195">
        <f>IFERROR(IF(AG195*AH195=0,"",AG195*AH195),"")</f>
        <v/>
      </c>
      <c r="AL195">
        <f>IF(AND(AJ195&lt;&gt;"",AK195&lt;&gt;""),ROUNDUP((AK195-AJ195)/7,0),"")</f>
        <v/>
      </c>
      <c r="AN195">
        <f>IFERROR(IF(AL195*AM195=0,"",AL195*AM195),"")</f>
        <v/>
      </c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L195">
        <f>IFERROR(INDEX('_names_lookup'!$C:$C,MATCH(BK195,'_names_lookup'!$A:$A,0)),"")</f>
        <v/>
      </c>
      <c r="BM195">
        <f>IFERROR(INDEX('_names_lookup'!$B:$B,MATCH(BK195,'_names_lookup'!$A:$A,0)),"")</f>
        <v/>
      </c>
      <c r="BS195">
        <f>IFERROR(IF(BR195*AA195=0,"",BR195*AA195),"")</f>
        <v/>
      </c>
    </row>
    <row r="196">
      <c r="O196">
        <f>IFERROR(INDEX('_courses_lookup'!$C:$C,MATCH(K196&amp;L196,'_courses_lookup'!$E:$E,0)),"")</f>
        <v/>
      </c>
      <c r="P196">
        <f>IFERROR(INDEX('_courses_lookup'!$D:$D,MATCH(K196&amp;L196,'_courses_lookup'!$E:$E,0)),"")</f>
        <v/>
      </c>
      <c r="AG196">
        <f>IF(AND(AE196&lt;&gt;"",AF196&lt;&gt;""),ROUNDUP((AF196-AE196)/7,0),"")</f>
        <v/>
      </c>
      <c r="AI196">
        <f>IFERROR(IF(AG196*AH196=0,"",AG196*AH196),"")</f>
        <v/>
      </c>
      <c r="AL196">
        <f>IF(AND(AJ196&lt;&gt;"",AK196&lt;&gt;""),ROUNDUP((AK196-AJ196)/7,0),"")</f>
        <v/>
      </c>
      <c r="AN196">
        <f>IFERROR(IF(AL196*AM196=0,"",AL196*AM196),"")</f>
        <v/>
      </c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L196">
        <f>IFERROR(INDEX('_names_lookup'!$C:$C,MATCH(BK196,'_names_lookup'!$A:$A,0)),"")</f>
        <v/>
      </c>
      <c r="BM196">
        <f>IFERROR(INDEX('_names_lookup'!$B:$B,MATCH(BK196,'_names_lookup'!$A:$A,0)),"")</f>
        <v/>
      </c>
      <c r="BS196">
        <f>IFERROR(IF(BR196*AA196=0,"",BR196*AA196),"")</f>
        <v/>
      </c>
    </row>
    <row r="197">
      <c r="O197">
        <f>IFERROR(INDEX('_courses_lookup'!$C:$C,MATCH(K197&amp;L197,'_courses_lookup'!$E:$E,0)),"")</f>
        <v/>
      </c>
      <c r="P197">
        <f>IFERROR(INDEX('_courses_lookup'!$D:$D,MATCH(K197&amp;L197,'_courses_lookup'!$E:$E,0)),"")</f>
        <v/>
      </c>
      <c r="AG197">
        <f>IF(AND(AE197&lt;&gt;"",AF197&lt;&gt;""),ROUNDUP((AF197-AE197)/7,0),"")</f>
        <v/>
      </c>
      <c r="AI197">
        <f>IFERROR(IF(AG197*AH197=0,"",AG197*AH197),"")</f>
        <v/>
      </c>
      <c r="AL197">
        <f>IF(AND(AJ197&lt;&gt;"",AK197&lt;&gt;""),ROUNDUP((AK197-AJ197)/7,0),"")</f>
        <v/>
      </c>
      <c r="AN197">
        <f>IFERROR(IF(AL197*AM197=0,"",AL197*AM197),"")</f>
        <v/>
      </c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L197">
        <f>IFERROR(INDEX('_names_lookup'!$C:$C,MATCH(BK197,'_names_lookup'!$A:$A,0)),"")</f>
        <v/>
      </c>
      <c r="BM197">
        <f>IFERROR(INDEX('_names_lookup'!$B:$B,MATCH(BK197,'_names_lookup'!$A:$A,0)),"")</f>
        <v/>
      </c>
      <c r="BS197">
        <f>IFERROR(IF(BR197*AA197=0,"",BR197*AA197),"")</f>
        <v/>
      </c>
    </row>
    <row r="198">
      <c r="O198">
        <f>IFERROR(INDEX('_courses_lookup'!$C:$C,MATCH(K198&amp;L198,'_courses_lookup'!$E:$E,0)),"")</f>
        <v/>
      </c>
      <c r="P198">
        <f>IFERROR(INDEX('_courses_lookup'!$D:$D,MATCH(K198&amp;L198,'_courses_lookup'!$E:$E,0)),"")</f>
        <v/>
      </c>
      <c r="AG198">
        <f>IF(AND(AE198&lt;&gt;"",AF198&lt;&gt;""),ROUNDUP((AF198-AE198)/7,0),"")</f>
        <v/>
      </c>
      <c r="AI198">
        <f>IFERROR(IF(AG198*AH198=0,"",AG198*AH198),"")</f>
        <v/>
      </c>
      <c r="AL198">
        <f>IF(AND(AJ198&lt;&gt;"",AK198&lt;&gt;""),ROUNDUP((AK198-AJ198)/7,0),"")</f>
        <v/>
      </c>
      <c r="AN198">
        <f>IFERROR(IF(AL198*AM198=0,"",AL198*AM198),"")</f>
        <v/>
      </c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L198">
        <f>IFERROR(INDEX('_names_lookup'!$C:$C,MATCH(BK198,'_names_lookup'!$A:$A,0)),"")</f>
        <v/>
      </c>
      <c r="BM198">
        <f>IFERROR(INDEX('_names_lookup'!$B:$B,MATCH(BK198,'_names_lookup'!$A:$A,0)),"")</f>
        <v/>
      </c>
      <c r="BS198">
        <f>IFERROR(IF(BR198*AA198=0,"",BR198*AA198),"")</f>
        <v/>
      </c>
    </row>
    <row r="199">
      <c r="O199">
        <f>IFERROR(INDEX('_courses_lookup'!$C:$C,MATCH(K199&amp;L199,'_courses_lookup'!$E:$E,0)),"")</f>
        <v/>
      </c>
      <c r="P199">
        <f>IFERROR(INDEX('_courses_lookup'!$D:$D,MATCH(K199&amp;L199,'_courses_lookup'!$E:$E,0)),"")</f>
        <v/>
      </c>
      <c r="AG199">
        <f>IF(AND(AE199&lt;&gt;"",AF199&lt;&gt;""),ROUNDUP((AF199-AE199)/7,0),"")</f>
        <v/>
      </c>
      <c r="AI199">
        <f>IFERROR(IF(AG199*AH199=0,"",AG199*AH199),"")</f>
        <v/>
      </c>
      <c r="AL199">
        <f>IF(AND(AJ199&lt;&gt;"",AK199&lt;&gt;""),ROUNDUP((AK199-AJ199)/7,0),"")</f>
        <v/>
      </c>
      <c r="AN199">
        <f>IFERROR(IF(AL199*AM199=0,"",AL199*AM199),"")</f>
        <v/>
      </c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L199">
        <f>IFERROR(INDEX('_names_lookup'!$C:$C,MATCH(BK199,'_names_lookup'!$A:$A,0)),"")</f>
        <v/>
      </c>
      <c r="BM199">
        <f>IFERROR(INDEX('_names_lookup'!$B:$B,MATCH(BK199,'_names_lookup'!$A:$A,0)),"")</f>
        <v/>
      </c>
      <c r="BS199">
        <f>IFERROR(IF(BR199*AA199=0,"",BR199*AA199),"")</f>
        <v/>
      </c>
    </row>
    <row r="200">
      <c r="O200">
        <f>IFERROR(INDEX('_courses_lookup'!$C:$C,MATCH(K200&amp;L200,'_courses_lookup'!$E:$E,0)),"")</f>
        <v/>
      </c>
      <c r="P200">
        <f>IFERROR(INDEX('_courses_lookup'!$D:$D,MATCH(K200&amp;L200,'_courses_lookup'!$E:$E,0)),"")</f>
        <v/>
      </c>
      <c r="AG200">
        <f>IF(AND(AE200&lt;&gt;"",AF200&lt;&gt;""),ROUNDUP((AF200-AE200)/7,0),"")</f>
        <v/>
      </c>
      <c r="AI200">
        <f>IFERROR(IF(AG200*AH200=0,"",AG200*AH200),"")</f>
        <v/>
      </c>
      <c r="AL200">
        <f>IF(AND(AJ200&lt;&gt;"",AK200&lt;&gt;""),ROUNDUP((AK200-AJ200)/7,0),"")</f>
        <v/>
      </c>
      <c r="AN200">
        <f>IFERROR(IF(AL200*AM200=0,"",AL200*AM200),"")</f>
        <v/>
      </c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L200">
        <f>IFERROR(INDEX('_names_lookup'!$C:$C,MATCH(BK200,'_names_lookup'!$A:$A,0)),"")</f>
        <v/>
      </c>
      <c r="BM200">
        <f>IFERROR(INDEX('_names_lookup'!$B:$B,MATCH(BK200,'_names_lookup'!$A:$A,0)),"")</f>
        <v/>
      </c>
      <c r="BS200">
        <f>IFERROR(IF(BR200*AA200=0,"",BR200*AA200),"")</f>
        <v/>
      </c>
    </row>
    <row r="201">
      <c r="O201">
        <f>IFERROR(INDEX('_courses_lookup'!$C:$C,MATCH(K201&amp;L201,'_courses_lookup'!$E:$E,0)),"")</f>
        <v/>
      </c>
      <c r="P201">
        <f>IFERROR(INDEX('_courses_lookup'!$D:$D,MATCH(K201&amp;L201,'_courses_lookup'!$E:$E,0)),"")</f>
        <v/>
      </c>
      <c r="AG201">
        <f>IF(AND(AE201&lt;&gt;"",AF201&lt;&gt;""),ROUNDUP((AF201-AE201)/7,0),"")</f>
        <v/>
      </c>
      <c r="AI201">
        <f>IFERROR(IF(AG201*AH201=0,"",AG201*AH201),"")</f>
        <v/>
      </c>
      <c r="AL201">
        <f>IF(AND(AJ201&lt;&gt;"",AK201&lt;&gt;""),ROUNDUP((AK201-AJ201)/7,0),"")</f>
        <v/>
      </c>
      <c r="AN201">
        <f>IFERROR(IF(AL201*AM201=0,"",AL201*AM201),"")</f>
        <v/>
      </c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L201">
        <f>IFERROR(INDEX('_names_lookup'!$C:$C,MATCH(BK201,'_names_lookup'!$A:$A,0)),"")</f>
        <v/>
      </c>
      <c r="BM201">
        <f>IFERROR(INDEX('_names_lookup'!$B:$B,MATCH(BK201,'_names_lookup'!$A:$A,0)),"")</f>
        <v/>
      </c>
      <c r="BS201">
        <f>IFERROR(IF(BR201*AA201=0,"",BR201*AA201),"")</f>
        <v/>
      </c>
    </row>
    <row r="202">
      <c r="O202">
        <f>IFERROR(INDEX('_courses_lookup'!$C:$C,MATCH(K202&amp;L202,'_courses_lookup'!$E:$E,0)),"")</f>
        <v/>
      </c>
      <c r="P202">
        <f>IFERROR(INDEX('_courses_lookup'!$D:$D,MATCH(K202&amp;L202,'_courses_lookup'!$E:$E,0)),"")</f>
        <v/>
      </c>
      <c r="AG202">
        <f>IF(AND(AE202&lt;&gt;"",AF202&lt;&gt;""),ROUNDUP((AF202-AE202)/7,0),"")</f>
        <v/>
      </c>
      <c r="AI202">
        <f>IFERROR(IF(AG202*AH202=0,"",AG202*AH202),"")</f>
        <v/>
      </c>
      <c r="AL202">
        <f>IF(AND(AJ202&lt;&gt;"",AK202&lt;&gt;""),ROUNDUP((AK202-AJ202)/7,0),"")</f>
        <v/>
      </c>
      <c r="AN202">
        <f>IFERROR(IF(AL202*AM202=0,"",AL202*AM202),"")</f>
        <v/>
      </c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L202">
        <f>IFERROR(INDEX('_names_lookup'!$C:$C,MATCH(BK202,'_names_lookup'!$A:$A,0)),"")</f>
        <v/>
      </c>
      <c r="BM202">
        <f>IFERROR(INDEX('_names_lookup'!$B:$B,MATCH(BK202,'_names_lookup'!$A:$A,0)),"")</f>
        <v/>
      </c>
      <c r="BS202">
        <f>IFERROR(IF(BR202*AA202=0,"",BR202*AA202),"")</f>
        <v/>
      </c>
    </row>
    <row r="203">
      <c r="O203">
        <f>IFERROR(INDEX('_courses_lookup'!$C:$C,MATCH(K203&amp;L203,'_courses_lookup'!$E:$E,0)),"")</f>
        <v/>
      </c>
      <c r="P203">
        <f>IFERROR(INDEX('_courses_lookup'!$D:$D,MATCH(K203&amp;L203,'_courses_lookup'!$E:$E,0)),"")</f>
        <v/>
      </c>
      <c r="AG203">
        <f>IF(AND(AE203&lt;&gt;"",AF203&lt;&gt;""),ROUNDUP((AF203-AE203)/7,0),"")</f>
        <v/>
      </c>
      <c r="AI203">
        <f>IFERROR(IF(AG203*AH203=0,"",AG203*AH203),"")</f>
        <v/>
      </c>
      <c r="AL203">
        <f>IF(AND(AJ203&lt;&gt;"",AK203&lt;&gt;""),ROUNDUP((AK203-AJ203)/7,0),"")</f>
        <v/>
      </c>
      <c r="AN203">
        <f>IFERROR(IF(AL203*AM203=0,"",AL203*AM203),"")</f>
        <v/>
      </c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L203">
        <f>IFERROR(INDEX('_names_lookup'!$C:$C,MATCH(BK203,'_names_lookup'!$A:$A,0)),"")</f>
        <v/>
      </c>
      <c r="BM203">
        <f>IFERROR(INDEX('_names_lookup'!$B:$B,MATCH(BK203,'_names_lookup'!$A:$A,0)),"")</f>
        <v/>
      </c>
      <c r="BS203">
        <f>IFERROR(IF(BR203*AA203=0,"",BR203*AA203),"")</f>
        <v/>
      </c>
    </row>
    <row r="204">
      <c r="O204">
        <f>IFERROR(INDEX('_courses_lookup'!$C:$C,MATCH(K204&amp;L204,'_courses_lookup'!$E:$E,0)),"")</f>
        <v/>
      </c>
      <c r="P204">
        <f>IFERROR(INDEX('_courses_lookup'!$D:$D,MATCH(K204&amp;L204,'_courses_lookup'!$E:$E,0)),"")</f>
        <v/>
      </c>
      <c r="AG204">
        <f>IF(AND(AE204&lt;&gt;"",AF204&lt;&gt;""),ROUNDUP((AF204-AE204)/7,0),"")</f>
        <v/>
      </c>
      <c r="AI204">
        <f>IFERROR(IF(AG204*AH204=0,"",AG204*AH204),"")</f>
        <v/>
      </c>
      <c r="AL204">
        <f>IF(AND(AJ204&lt;&gt;"",AK204&lt;&gt;""),ROUNDUP((AK204-AJ204)/7,0),"")</f>
        <v/>
      </c>
      <c r="AN204">
        <f>IFERROR(IF(AL204*AM204=0,"",AL204*AM204),"")</f>
        <v/>
      </c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L204">
        <f>IFERROR(INDEX('_names_lookup'!$C:$C,MATCH(BK204,'_names_lookup'!$A:$A,0)),"")</f>
        <v/>
      </c>
      <c r="BM204">
        <f>IFERROR(INDEX('_names_lookup'!$B:$B,MATCH(BK204,'_names_lookup'!$A:$A,0)),"")</f>
        <v/>
      </c>
      <c r="BS204">
        <f>IFERROR(IF(BR204*AA204=0,"",BR204*AA204),"")</f>
        <v/>
      </c>
    </row>
    <row r="205">
      <c r="O205">
        <f>IFERROR(INDEX('_courses_lookup'!$C:$C,MATCH(K205&amp;L205,'_courses_lookup'!$E:$E,0)),"")</f>
        <v/>
      </c>
      <c r="P205">
        <f>IFERROR(INDEX('_courses_lookup'!$D:$D,MATCH(K205&amp;L205,'_courses_lookup'!$E:$E,0)),"")</f>
        <v/>
      </c>
      <c r="AG205">
        <f>IF(AND(AE205&lt;&gt;"",AF205&lt;&gt;""),ROUNDUP((AF205-AE205)/7,0),"")</f>
        <v/>
      </c>
      <c r="AI205">
        <f>IFERROR(IF(AG205*AH205=0,"",AG205*AH205),"")</f>
        <v/>
      </c>
      <c r="AL205">
        <f>IF(AND(AJ205&lt;&gt;"",AK205&lt;&gt;""),ROUNDUP((AK205-AJ205)/7,0),"")</f>
        <v/>
      </c>
      <c r="AN205">
        <f>IFERROR(IF(AL205*AM205=0,"",AL205*AM205),"")</f>
        <v/>
      </c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L205">
        <f>IFERROR(INDEX('_names_lookup'!$C:$C,MATCH(BK205,'_names_lookup'!$A:$A,0)),"")</f>
        <v/>
      </c>
      <c r="BM205">
        <f>IFERROR(INDEX('_names_lookup'!$B:$B,MATCH(BK205,'_names_lookup'!$A:$A,0)),"")</f>
        <v/>
      </c>
      <c r="BS205">
        <f>IFERROR(IF(BR205*AA205=0,"",BR205*AA205),"")</f>
        <v/>
      </c>
    </row>
    <row r="206">
      <c r="O206">
        <f>IFERROR(INDEX('_courses_lookup'!$C:$C,MATCH(K206&amp;L206,'_courses_lookup'!$E:$E,0)),"")</f>
        <v/>
      </c>
      <c r="P206">
        <f>IFERROR(INDEX('_courses_lookup'!$D:$D,MATCH(K206&amp;L206,'_courses_lookup'!$E:$E,0)),"")</f>
        <v/>
      </c>
      <c r="AG206">
        <f>IF(AND(AE206&lt;&gt;"",AF206&lt;&gt;""),ROUNDUP((AF206-AE206)/7,0),"")</f>
        <v/>
      </c>
      <c r="AI206">
        <f>IFERROR(IF(AG206*AH206=0,"",AG206*AH206),"")</f>
        <v/>
      </c>
      <c r="AL206">
        <f>IF(AND(AJ206&lt;&gt;"",AK206&lt;&gt;""),ROUNDUP((AK206-AJ206)/7,0),"")</f>
        <v/>
      </c>
      <c r="AN206">
        <f>IFERROR(IF(AL206*AM206=0,"",AL206*AM206),"")</f>
        <v/>
      </c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L206">
        <f>IFERROR(INDEX('_names_lookup'!$C:$C,MATCH(BK206,'_names_lookup'!$A:$A,0)),"")</f>
        <v/>
      </c>
      <c r="BM206">
        <f>IFERROR(INDEX('_names_lookup'!$B:$B,MATCH(BK206,'_names_lookup'!$A:$A,0)),"")</f>
        <v/>
      </c>
      <c r="BS206">
        <f>IFERROR(IF(BR206*AA206=0,"",BR206*AA206),"")</f>
        <v/>
      </c>
    </row>
    <row r="207">
      <c r="O207">
        <f>IFERROR(INDEX('_courses_lookup'!$C:$C,MATCH(K207&amp;L207,'_courses_lookup'!$E:$E,0)),"")</f>
        <v/>
      </c>
      <c r="P207">
        <f>IFERROR(INDEX('_courses_lookup'!$D:$D,MATCH(K207&amp;L207,'_courses_lookup'!$E:$E,0)),"")</f>
        <v/>
      </c>
      <c r="AG207">
        <f>IF(AND(AE207&lt;&gt;"",AF207&lt;&gt;""),ROUNDUP((AF207-AE207)/7,0),"")</f>
        <v/>
      </c>
      <c r="AI207">
        <f>IFERROR(IF(AG207*AH207=0,"",AG207*AH207),"")</f>
        <v/>
      </c>
      <c r="AL207">
        <f>IF(AND(AJ207&lt;&gt;"",AK207&lt;&gt;""),ROUNDUP((AK207-AJ207)/7,0),"")</f>
        <v/>
      </c>
      <c r="AN207">
        <f>IFERROR(IF(AL207*AM207=0,"",AL207*AM207),"")</f>
        <v/>
      </c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L207">
        <f>IFERROR(INDEX('_names_lookup'!$C:$C,MATCH(BK207,'_names_lookup'!$A:$A,0)),"")</f>
        <v/>
      </c>
      <c r="BM207">
        <f>IFERROR(INDEX('_names_lookup'!$B:$B,MATCH(BK207,'_names_lookup'!$A:$A,0)),"")</f>
        <v/>
      </c>
      <c r="BS207">
        <f>IFERROR(IF(BR207*AA207=0,"",BR207*AA207),"")</f>
        <v/>
      </c>
    </row>
    <row r="208">
      <c r="O208">
        <f>IFERROR(INDEX('_courses_lookup'!$C:$C,MATCH(K208&amp;L208,'_courses_lookup'!$E:$E,0)),"")</f>
        <v/>
      </c>
      <c r="P208">
        <f>IFERROR(INDEX('_courses_lookup'!$D:$D,MATCH(K208&amp;L208,'_courses_lookup'!$E:$E,0)),"")</f>
        <v/>
      </c>
      <c r="AG208">
        <f>IF(AND(AE208&lt;&gt;"",AF208&lt;&gt;""),ROUNDUP((AF208-AE208)/7,0),"")</f>
        <v/>
      </c>
      <c r="AI208">
        <f>IFERROR(IF(AG208*AH208=0,"",AG208*AH208),"")</f>
        <v/>
      </c>
      <c r="AL208">
        <f>IF(AND(AJ208&lt;&gt;"",AK208&lt;&gt;""),ROUNDUP((AK208-AJ208)/7,0),"")</f>
        <v/>
      </c>
      <c r="AN208">
        <f>IFERROR(IF(AL208*AM208=0,"",AL208*AM208),"")</f>
        <v/>
      </c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L208">
        <f>IFERROR(INDEX('_names_lookup'!$C:$C,MATCH(BK208,'_names_lookup'!$A:$A,0)),"")</f>
        <v/>
      </c>
      <c r="BM208">
        <f>IFERROR(INDEX('_names_lookup'!$B:$B,MATCH(BK208,'_names_lookup'!$A:$A,0)),"")</f>
        <v/>
      </c>
      <c r="BS208">
        <f>IFERROR(IF(BR208*AA208=0,"",BR208*AA208),"")</f>
        <v/>
      </c>
    </row>
    <row r="209">
      <c r="O209">
        <f>IFERROR(INDEX('_courses_lookup'!$C:$C,MATCH(K209&amp;L209,'_courses_lookup'!$E:$E,0)),"")</f>
        <v/>
      </c>
      <c r="P209">
        <f>IFERROR(INDEX('_courses_lookup'!$D:$D,MATCH(K209&amp;L209,'_courses_lookup'!$E:$E,0)),"")</f>
        <v/>
      </c>
      <c r="AG209">
        <f>IF(AND(AE209&lt;&gt;"",AF209&lt;&gt;""),ROUNDUP((AF209-AE209)/7,0),"")</f>
        <v/>
      </c>
      <c r="AI209">
        <f>IFERROR(IF(AG209*AH209=0,"",AG209*AH209),"")</f>
        <v/>
      </c>
      <c r="AL209">
        <f>IF(AND(AJ209&lt;&gt;"",AK209&lt;&gt;""),ROUNDUP((AK209-AJ209)/7,0),"")</f>
        <v/>
      </c>
      <c r="AN209">
        <f>IFERROR(IF(AL209*AM209=0,"",AL209*AM209),"")</f>
        <v/>
      </c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L209">
        <f>IFERROR(INDEX('_names_lookup'!$C:$C,MATCH(BK209,'_names_lookup'!$A:$A,0)),"")</f>
        <v/>
      </c>
      <c r="BM209">
        <f>IFERROR(INDEX('_names_lookup'!$B:$B,MATCH(BK209,'_names_lookup'!$A:$A,0)),"")</f>
        <v/>
      </c>
      <c r="BS209">
        <f>IFERROR(IF(BR209*AA209=0,"",BR209*AA209),"")</f>
        <v/>
      </c>
    </row>
    <row r="210">
      <c r="O210">
        <f>IFERROR(INDEX('_courses_lookup'!$C:$C,MATCH(K210&amp;L210,'_courses_lookup'!$E:$E,0)),"")</f>
        <v/>
      </c>
      <c r="P210">
        <f>IFERROR(INDEX('_courses_lookup'!$D:$D,MATCH(K210&amp;L210,'_courses_lookup'!$E:$E,0)),"")</f>
        <v/>
      </c>
      <c r="AG210">
        <f>IF(AND(AE210&lt;&gt;"",AF210&lt;&gt;""),ROUNDUP((AF210-AE210)/7,0),"")</f>
        <v/>
      </c>
      <c r="AI210">
        <f>IFERROR(IF(AG210*AH210=0,"",AG210*AH210),"")</f>
        <v/>
      </c>
      <c r="AL210">
        <f>IF(AND(AJ210&lt;&gt;"",AK210&lt;&gt;""),ROUNDUP((AK210-AJ210)/7,0),"")</f>
        <v/>
      </c>
      <c r="AN210">
        <f>IFERROR(IF(AL210*AM210=0,"",AL210*AM210),"")</f>
        <v/>
      </c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L210">
        <f>IFERROR(INDEX('_names_lookup'!$C:$C,MATCH(BK210,'_names_lookup'!$A:$A,0)),"")</f>
        <v/>
      </c>
      <c r="BM210">
        <f>IFERROR(INDEX('_names_lookup'!$B:$B,MATCH(BK210,'_names_lookup'!$A:$A,0)),"")</f>
        <v/>
      </c>
      <c r="BS210">
        <f>IFERROR(IF(BR210*AA210=0,"",BR210*AA210),"")</f>
        <v/>
      </c>
    </row>
    <row r="211">
      <c r="O211">
        <f>IFERROR(INDEX('_courses_lookup'!$C:$C,MATCH(K211&amp;L211,'_courses_lookup'!$E:$E,0)),"")</f>
        <v/>
      </c>
      <c r="P211">
        <f>IFERROR(INDEX('_courses_lookup'!$D:$D,MATCH(K211&amp;L211,'_courses_lookup'!$E:$E,0)),"")</f>
        <v/>
      </c>
      <c r="AG211">
        <f>IF(AND(AE211&lt;&gt;"",AF211&lt;&gt;""),ROUNDUP((AF211-AE211)/7,0),"")</f>
        <v/>
      </c>
      <c r="AI211">
        <f>IFERROR(IF(AG211*AH211=0,"",AG211*AH211),"")</f>
        <v/>
      </c>
      <c r="AL211">
        <f>IF(AND(AJ211&lt;&gt;"",AK211&lt;&gt;""),ROUNDUP((AK211-AJ211)/7,0),"")</f>
        <v/>
      </c>
      <c r="AN211">
        <f>IFERROR(IF(AL211*AM211=0,"",AL211*AM211),"")</f>
        <v/>
      </c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L211">
        <f>IFERROR(INDEX('_names_lookup'!$C:$C,MATCH(BK211,'_names_lookup'!$A:$A,0)),"")</f>
        <v/>
      </c>
      <c r="BM211">
        <f>IFERROR(INDEX('_names_lookup'!$B:$B,MATCH(BK211,'_names_lookup'!$A:$A,0)),"")</f>
        <v/>
      </c>
      <c r="BS211">
        <f>IFERROR(IF(BR211*AA211=0,"",BR211*AA211),"")</f>
        <v/>
      </c>
    </row>
    <row r="212">
      <c r="O212">
        <f>IFERROR(INDEX('_courses_lookup'!$C:$C,MATCH(K212&amp;L212,'_courses_lookup'!$E:$E,0)),"")</f>
        <v/>
      </c>
      <c r="P212">
        <f>IFERROR(INDEX('_courses_lookup'!$D:$D,MATCH(K212&amp;L212,'_courses_lookup'!$E:$E,0)),"")</f>
        <v/>
      </c>
      <c r="AG212">
        <f>IF(AND(AE212&lt;&gt;"",AF212&lt;&gt;""),ROUNDUP((AF212-AE212)/7,0),"")</f>
        <v/>
      </c>
      <c r="AI212">
        <f>IFERROR(IF(AG212*AH212=0,"",AG212*AH212),"")</f>
        <v/>
      </c>
      <c r="AL212">
        <f>IF(AND(AJ212&lt;&gt;"",AK212&lt;&gt;""),ROUNDUP((AK212-AJ212)/7,0),"")</f>
        <v/>
      </c>
      <c r="AN212">
        <f>IFERROR(IF(AL212*AM212=0,"",AL212*AM212),"")</f>
        <v/>
      </c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L212">
        <f>IFERROR(INDEX('_names_lookup'!$C:$C,MATCH(BK212,'_names_lookup'!$A:$A,0)),"")</f>
        <v/>
      </c>
      <c r="BM212">
        <f>IFERROR(INDEX('_names_lookup'!$B:$B,MATCH(BK212,'_names_lookup'!$A:$A,0)),"")</f>
        <v/>
      </c>
      <c r="BS212">
        <f>IFERROR(IF(BR212*AA212=0,"",BR212*AA212),"")</f>
        <v/>
      </c>
    </row>
    <row r="213">
      <c r="O213">
        <f>IFERROR(INDEX('_courses_lookup'!$C:$C,MATCH(K213&amp;L213,'_courses_lookup'!$E:$E,0)),"")</f>
        <v/>
      </c>
      <c r="P213">
        <f>IFERROR(INDEX('_courses_lookup'!$D:$D,MATCH(K213&amp;L213,'_courses_lookup'!$E:$E,0)),"")</f>
        <v/>
      </c>
      <c r="AG213">
        <f>IF(AND(AE213&lt;&gt;"",AF213&lt;&gt;""),ROUNDUP((AF213-AE213)/7,0),"")</f>
        <v/>
      </c>
      <c r="AI213">
        <f>IFERROR(IF(AG213*AH213=0,"",AG213*AH213),"")</f>
        <v/>
      </c>
      <c r="AL213">
        <f>IF(AND(AJ213&lt;&gt;"",AK213&lt;&gt;""),ROUNDUP((AK213-AJ213)/7,0),"")</f>
        <v/>
      </c>
      <c r="AN213">
        <f>IFERROR(IF(AL213*AM213=0,"",AL213*AM213),"")</f>
        <v/>
      </c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L213">
        <f>IFERROR(INDEX('_names_lookup'!$C:$C,MATCH(BK213,'_names_lookup'!$A:$A,0)),"")</f>
        <v/>
      </c>
      <c r="BM213">
        <f>IFERROR(INDEX('_names_lookup'!$B:$B,MATCH(BK213,'_names_lookup'!$A:$A,0)),"")</f>
        <v/>
      </c>
      <c r="BS213">
        <f>IFERROR(IF(BR213*AA213=0,"",BR213*AA213),"")</f>
        <v/>
      </c>
    </row>
    <row r="214">
      <c r="O214">
        <f>IFERROR(INDEX('_courses_lookup'!$C:$C,MATCH(K214&amp;L214,'_courses_lookup'!$E:$E,0)),"")</f>
        <v/>
      </c>
      <c r="P214">
        <f>IFERROR(INDEX('_courses_lookup'!$D:$D,MATCH(K214&amp;L214,'_courses_lookup'!$E:$E,0)),"")</f>
        <v/>
      </c>
      <c r="AG214">
        <f>IF(AND(AE214&lt;&gt;"",AF214&lt;&gt;""),ROUNDUP((AF214-AE214)/7,0),"")</f>
        <v/>
      </c>
      <c r="AI214">
        <f>IFERROR(IF(AG214*AH214=0,"",AG214*AH214),"")</f>
        <v/>
      </c>
      <c r="AL214">
        <f>IF(AND(AJ214&lt;&gt;"",AK214&lt;&gt;""),ROUNDUP((AK214-AJ214)/7,0),"")</f>
        <v/>
      </c>
      <c r="AN214">
        <f>IFERROR(IF(AL214*AM214=0,"",AL214*AM214),"")</f>
        <v/>
      </c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L214">
        <f>IFERROR(INDEX('_names_lookup'!$C:$C,MATCH(BK214,'_names_lookup'!$A:$A,0)),"")</f>
        <v/>
      </c>
      <c r="BM214">
        <f>IFERROR(INDEX('_names_lookup'!$B:$B,MATCH(BK214,'_names_lookup'!$A:$A,0)),"")</f>
        <v/>
      </c>
      <c r="BS214">
        <f>IFERROR(IF(BR214*AA214=0,"",BR214*AA214),"")</f>
        <v/>
      </c>
    </row>
    <row r="215">
      <c r="O215">
        <f>IFERROR(INDEX('_courses_lookup'!$C:$C,MATCH(K215&amp;L215,'_courses_lookup'!$E:$E,0)),"")</f>
        <v/>
      </c>
      <c r="P215">
        <f>IFERROR(INDEX('_courses_lookup'!$D:$D,MATCH(K215&amp;L215,'_courses_lookup'!$E:$E,0)),"")</f>
        <v/>
      </c>
      <c r="AG215">
        <f>IF(AND(AE215&lt;&gt;"",AF215&lt;&gt;""),ROUNDUP((AF215-AE215)/7,0),"")</f>
        <v/>
      </c>
      <c r="AI215">
        <f>IFERROR(IF(AG215*AH215=0,"",AG215*AH215),"")</f>
        <v/>
      </c>
      <c r="AL215">
        <f>IF(AND(AJ215&lt;&gt;"",AK215&lt;&gt;""),ROUNDUP((AK215-AJ215)/7,0),"")</f>
        <v/>
      </c>
      <c r="AN215">
        <f>IFERROR(IF(AL215*AM215=0,"",AL215*AM215),"")</f>
        <v/>
      </c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L215">
        <f>IFERROR(INDEX('_names_lookup'!$C:$C,MATCH(BK215,'_names_lookup'!$A:$A,0)),"")</f>
        <v/>
      </c>
      <c r="BM215">
        <f>IFERROR(INDEX('_names_lookup'!$B:$B,MATCH(BK215,'_names_lookup'!$A:$A,0)),"")</f>
        <v/>
      </c>
      <c r="BS215">
        <f>IFERROR(IF(BR215*AA215=0,"",BR215*AA215),"")</f>
        <v/>
      </c>
    </row>
    <row r="216">
      <c r="O216">
        <f>IFERROR(INDEX('_courses_lookup'!$C:$C,MATCH(K216&amp;L216,'_courses_lookup'!$E:$E,0)),"")</f>
        <v/>
      </c>
      <c r="P216">
        <f>IFERROR(INDEX('_courses_lookup'!$D:$D,MATCH(K216&amp;L216,'_courses_lookup'!$E:$E,0)),"")</f>
        <v/>
      </c>
      <c r="AG216">
        <f>IF(AND(AE216&lt;&gt;"",AF216&lt;&gt;""),ROUNDUP((AF216-AE216)/7,0),"")</f>
        <v/>
      </c>
      <c r="AI216">
        <f>IFERROR(IF(AG216*AH216=0,"",AG216*AH216),"")</f>
        <v/>
      </c>
      <c r="AL216">
        <f>IF(AND(AJ216&lt;&gt;"",AK216&lt;&gt;""),ROUNDUP((AK216-AJ216)/7,0),"")</f>
        <v/>
      </c>
      <c r="AN216">
        <f>IFERROR(IF(AL216*AM216=0,"",AL216*AM216),"")</f>
        <v/>
      </c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L216">
        <f>IFERROR(INDEX('_names_lookup'!$C:$C,MATCH(BK216,'_names_lookup'!$A:$A,0)),"")</f>
        <v/>
      </c>
      <c r="BM216">
        <f>IFERROR(INDEX('_names_lookup'!$B:$B,MATCH(BK216,'_names_lookup'!$A:$A,0)),"")</f>
        <v/>
      </c>
      <c r="BS216">
        <f>IFERROR(IF(BR216*AA216=0,"",BR216*AA216),"")</f>
        <v/>
      </c>
    </row>
    <row r="217">
      <c r="O217">
        <f>IFERROR(INDEX('_courses_lookup'!$C:$C,MATCH(K217&amp;L217,'_courses_lookup'!$E:$E,0)),"")</f>
        <v/>
      </c>
      <c r="P217">
        <f>IFERROR(INDEX('_courses_lookup'!$D:$D,MATCH(K217&amp;L217,'_courses_lookup'!$E:$E,0)),"")</f>
        <v/>
      </c>
      <c r="AG217">
        <f>IF(AND(AE217&lt;&gt;"",AF217&lt;&gt;""),ROUNDUP((AF217-AE217)/7,0),"")</f>
        <v/>
      </c>
      <c r="AI217">
        <f>IFERROR(IF(AG217*AH217=0,"",AG217*AH217),"")</f>
        <v/>
      </c>
      <c r="AL217">
        <f>IF(AND(AJ217&lt;&gt;"",AK217&lt;&gt;""),ROUNDUP((AK217-AJ217)/7,0),"")</f>
        <v/>
      </c>
      <c r="AN217">
        <f>IFERROR(IF(AL217*AM217=0,"",AL217*AM217),"")</f>
        <v/>
      </c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L217">
        <f>IFERROR(INDEX('_names_lookup'!$C:$C,MATCH(BK217,'_names_lookup'!$A:$A,0)),"")</f>
        <v/>
      </c>
      <c r="BM217">
        <f>IFERROR(INDEX('_names_lookup'!$B:$B,MATCH(BK217,'_names_lookup'!$A:$A,0)),"")</f>
        <v/>
      </c>
      <c r="BS217">
        <f>IFERROR(IF(BR217*AA217=0,"",BR217*AA217),"")</f>
        <v/>
      </c>
    </row>
    <row r="218">
      <c r="O218">
        <f>IFERROR(INDEX('_courses_lookup'!$C:$C,MATCH(K218&amp;L218,'_courses_lookup'!$E:$E,0)),"")</f>
        <v/>
      </c>
      <c r="P218">
        <f>IFERROR(INDEX('_courses_lookup'!$D:$D,MATCH(K218&amp;L218,'_courses_lookup'!$E:$E,0)),"")</f>
        <v/>
      </c>
      <c r="AG218">
        <f>IF(AND(AE218&lt;&gt;"",AF218&lt;&gt;""),ROUNDUP((AF218-AE218)/7,0),"")</f>
        <v/>
      </c>
      <c r="AI218">
        <f>IFERROR(IF(AG218*AH218=0,"",AG218*AH218),"")</f>
        <v/>
      </c>
      <c r="AL218">
        <f>IF(AND(AJ218&lt;&gt;"",AK218&lt;&gt;""),ROUNDUP((AK218-AJ218)/7,0),"")</f>
        <v/>
      </c>
      <c r="AN218">
        <f>IFERROR(IF(AL218*AM218=0,"",AL218*AM218),"")</f>
        <v/>
      </c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L218">
        <f>IFERROR(INDEX('_names_lookup'!$C:$C,MATCH(BK218,'_names_lookup'!$A:$A,0)),"")</f>
        <v/>
      </c>
      <c r="BM218">
        <f>IFERROR(INDEX('_names_lookup'!$B:$B,MATCH(BK218,'_names_lookup'!$A:$A,0)),"")</f>
        <v/>
      </c>
      <c r="BS218">
        <f>IFERROR(IF(BR218*AA218=0,"",BR218*AA218),"")</f>
        <v/>
      </c>
    </row>
    <row r="219">
      <c r="O219">
        <f>IFERROR(INDEX('_courses_lookup'!$C:$C,MATCH(K219&amp;L219,'_courses_lookup'!$E:$E,0)),"")</f>
        <v/>
      </c>
      <c r="P219">
        <f>IFERROR(INDEX('_courses_lookup'!$D:$D,MATCH(K219&amp;L219,'_courses_lookup'!$E:$E,0)),"")</f>
        <v/>
      </c>
      <c r="AG219">
        <f>IF(AND(AE219&lt;&gt;"",AF219&lt;&gt;""),ROUNDUP((AF219-AE219)/7,0),"")</f>
        <v/>
      </c>
      <c r="AI219">
        <f>IFERROR(IF(AG219*AH219=0,"",AG219*AH219),"")</f>
        <v/>
      </c>
      <c r="AL219">
        <f>IF(AND(AJ219&lt;&gt;"",AK219&lt;&gt;""),ROUNDUP((AK219-AJ219)/7,0),"")</f>
        <v/>
      </c>
      <c r="AN219">
        <f>IFERROR(IF(AL219*AM219=0,"",AL219*AM219),"")</f>
        <v/>
      </c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L219">
        <f>IFERROR(INDEX('_names_lookup'!$C:$C,MATCH(BK219,'_names_lookup'!$A:$A,0)),"")</f>
        <v/>
      </c>
      <c r="BM219">
        <f>IFERROR(INDEX('_names_lookup'!$B:$B,MATCH(BK219,'_names_lookup'!$A:$A,0)),"")</f>
        <v/>
      </c>
      <c r="BS219">
        <f>IFERROR(IF(BR219*AA219=0,"",BR219*AA219),"")</f>
        <v/>
      </c>
    </row>
    <row r="220">
      <c r="O220">
        <f>IFERROR(INDEX('_courses_lookup'!$C:$C,MATCH(K220&amp;L220,'_courses_lookup'!$E:$E,0)),"")</f>
        <v/>
      </c>
      <c r="P220">
        <f>IFERROR(INDEX('_courses_lookup'!$D:$D,MATCH(K220&amp;L220,'_courses_lookup'!$E:$E,0)),"")</f>
        <v/>
      </c>
      <c r="AG220">
        <f>IF(AND(AE220&lt;&gt;"",AF220&lt;&gt;""),ROUNDUP((AF220-AE220)/7,0),"")</f>
        <v/>
      </c>
      <c r="AI220">
        <f>IFERROR(IF(AG220*AH220=0,"",AG220*AH220),"")</f>
        <v/>
      </c>
      <c r="AL220">
        <f>IF(AND(AJ220&lt;&gt;"",AK220&lt;&gt;""),ROUNDUP((AK220-AJ220)/7,0),"")</f>
        <v/>
      </c>
      <c r="AN220">
        <f>IFERROR(IF(AL220*AM220=0,"",AL220*AM220),"")</f>
        <v/>
      </c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L220">
        <f>IFERROR(INDEX('_names_lookup'!$C:$C,MATCH(BK220,'_names_lookup'!$A:$A,0)),"")</f>
        <v/>
      </c>
      <c r="BM220">
        <f>IFERROR(INDEX('_names_lookup'!$B:$B,MATCH(BK220,'_names_lookup'!$A:$A,0)),"")</f>
        <v/>
      </c>
      <c r="BS220">
        <f>IFERROR(IF(BR220*AA220=0,"",BR220*AA220),"")</f>
        <v/>
      </c>
    </row>
    <row r="221">
      <c r="O221">
        <f>IFERROR(INDEX('_courses_lookup'!$C:$C,MATCH(K221&amp;L221,'_courses_lookup'!$E:$E,0)),"")</f>
        <v/>
      </c>
      <c r="P221">
        <f>IFERROR(INDEX('_courses_lookup'!$D:$D,MATCH(K221&amp;L221,'_courses_lookup'!$E:$E,0)),"")</f>
        <v/>
      </c>
      <c r="AG221">
        <f>IF(AND(AE221&lt;&gt;"",AF221&lt;&gt;""),ROUNDUP((AF221-AE221)/7,0),"")</f>
        <v/>
      </c>
      <c r="AI221">
        <f>IFERROR(IF(AG221*AH221=0,"",AG221*AH221),"")</f>
        <v/>
      </c>
      <c r="AL221">
        <f>IF(AND(AJ221&lt;&gt;"",AK221&lt;&gt;""),ROUNDUP((AK221-AJ221)/7,0),"")</f>
        <v/>
      </c>
      <c r="AN221">
        <f>IFERROR(IF(AL221*AM221=0,"",AL221*AM221),"")</f>
        <v/>
      </c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L221">
        <f>IFERROR(INDEX('_names_lookup'!$C:$C,MATCH(BK221,'_names_lookup'!$A:$A,0)),"")</f>
        <v/>
      </c>
      <c r="BM221">
        <f>IFERROR(INDEX('_names_lookup'!$B:$B,MATCH(BK221,'_names_lookup'!$A:$A,0)),"")</f>
        <v/>
      </c>
      <c r="BS221">
        <f>IFERROR(IF(BR221*AA221=0,"",BR221*AA221),"")</f>
        <v/>
      </c>
    </row>
    <row r="222">
      <c r="O222">
        <f>IFERROR(INDEX('_courses_lookup'!$C:$C,MATCH(K222&amp;L222,'_courses_lookup'!$E:$E,0)),"")</f>
        <v/>
      </c>
      <c r="P222">
        <f>IFERROR(INDEX('_courses_lookup'!$D:$D,MATCH(K222&amp;L222,'_courses_lookup'!$E:$E,0)),"")</f>
        <v/>
      </c>
      <c r="AG222">
        <f>IF(AND(AE222&lt;&gt;"",AF222&lt;&gt;""),ROUNDUP((AF222-AE222)/7,0),"")</f>
        <v/>
      </c>
      <c r="AI222">
        <f>IFERROR(IF(AG222*AH222=0,"",AG222*AH222),"")</f>
        <v/>
      </c>
      <c r="AL222">
        <f>IF(AND(AJ222&lt;&gt;"",AK222&lt;&gt;""),ROUNDUP((AK222-AJ222)/7,0),"")</f>
        <v/>
      </c>
      <c r="AN222">
        <f>IFERROR(IF(AL222*AM222=0,"",AL222*AM222),"")</f>
        <v/>
      </c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L222">
        <f>IFERROR(INDEX('_names_lookup'!$C:$C,MATCH(BK222,'_names_lookup'!$A:$A,0)),"")</f>
        <v/>
      </c>
      <c r="BM222">
        <f>IFERROR(INDEX('_names_lookup'!$B:$B,MATCH(BK222,'_names_lookup'!$A:$A,0)),"")</f>
        <v/>
      </c>
      <c r="BS222">
        <f>IFERROR(IF(BR222*AA222=0,"",BR222*AA222),"")</f>
        <v/>
      </c>
    </row>
    <row r="223">
      <c r="O223">
        <f>IFERROR(INDEX('_courses_lookup'!$C:$C,MATCH(K223&amp;L223,'_courses_lookup'!$E:$E,0)),"")</f>
        <v/>
      </c>
      <c r="P223">
        <f>IFERROR(INDEX('_courses_lookup'!$D:$D,MATCH(K223&amp;L223,'_courses_lookup'!$E:$E,0)),"")</f>
        <v/>
      </c>
      <c r="AG223">
        <f>IF(AND(AE223&lt;&gt;"",AF223&lt;&gt;""),ROUNDUP((AF223-AE223)/7,0),"")</f>
        <v/>
      </c>
      <c r="AI223">
        <f>IFERROR(IF(AG223*AH223=0,"",AG223*AH223),"")</f>
        <v/>
      </c>
      <c r="AL223">
        <f>IF(AND(AJ223&lt;&gt;"",AK223&lt;&gt;""),ROUNDUP((AK223-AJ223)/7,0),"")</f>
        <v/>
      </c>
      <c r="AN223">
        <f>IFERROR(IF(AL223*AM223=0,"",AL223*AM223),"")</f>
        <v/>
      </c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L223">
        <f>IFERROR(INDEX('_names_lookup'!$C:$C,MATCH(BK223,'_names_lookup'!$A:$A,0)),"")</f>
        <v/>
      </c>
      <c r="BM223">
        <f>IFERROR(INDEX('_names_lookup'!$B:$B,MATCH(BK223,'_names_lookup'!$A:$A,0)),"")</f>
        <v/>
      </c>
      <c r="BS223">
        <f>IFERROR(IF(BR223*AA223=0,"",BR223*AA223),"")</f>
        <v/>
      </c>
    </row>
    <row r="224">
      <c r="O224">
        <f>IFERROR(INDEX('_courses_lookup'!$C:$C,MATCH(K224&amp;L224,'_courses_lookup'!$E:$E,0)),"")</f>
        <v/>
      </c>
      <c r="P224">
        <f>IFERROR(INDEX('_courses_lookup'!$D:$D,MATCH(K224&amp;L224,'_courses_lookup'!$E:$E,0)),"")</f>
        <v/>
      </c>
      <c r="AG224">
        <f>IF(AND(AE224&lt;&gt;"",AF224&lt;&gt;""),ROUNDUP((AF224-AE224)/7,0),"")</f>
        <v/>
      </c>
      <c r="AI224">
        <f>IFERROR(IF(AG224*AH224=0,"",AG224*AH224),"")</f>
        <v/>
      </c>
      <c r="AL224">
        <f>IF(AND(AJ224&lt;&gt;"",AK224&lt;&gt;""),ROUNDUP((AK224-AJ224)/7,0),"")</f>
        <v/>
      </c>
      <c r="AN224">
        <f>IFERROR(IF(AL224*AM224=0,"",AL224*AM224),"")</f>
        <v/>
      </c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L224">
        <f>IFERROR(INDEX('_names_lookup'!$C:$C,MATCH(BK224,'_names_lookup'!$A:$A,0)),"")</f>
        <v/>
      </c>
      <c r="BM224">
        <f>IFERROR(INDEX('_names_lookup'!$B:$B,MATCH(BK224,'_names_lookup'!$A:$A,0)),"")</f>
        <v/>
      </c>
      <c r="BS224">
        <f>IFERROR(IF(BR224*AA224=0,"",BR224*AA224),"")</f>
        <v/>
      </c>
    </row>
    <row r="225">
      <c r="O225">
        <f>IFERROR(INDEX('_courses_lookup'!$C:$C,MATCH(K225&amp;L225,'_courses_lookup'!$E:$E,0)),"")</f>
        <v/>
      </c>
      <c r="P225">
        <f>IFERROR(INDEX('_courses_lookup'!$D:$D,MATCH(K225&amp;L225,'_courses_lookup'!$E:$E,0)),"")</f>
        <v/>
      </c>
      <c r="AG225">
        <f>IF(AND(AE225&lt;&gt;"",AF225&lt;&gt;""),ROUNDUP((AF225-AE225)/7,0),"")</f>
        <v/>
      </c>
      <c r="AI225">
        <f>IFERROR(IF(AG225*AH225=0,"",AG225*AH225),"")</f>
        <v/>
      </c>
      <c r="AL225">
        <f>IF(AND(AJ225&lt;&gt;"",AK225&lt;&gt;""),ROUNDUP((AK225-AJ225)/7,0),"")</f>
        <v/>
      </c>
      <c r="AN225">
        <f>IFERROR(IF(AL225*AM225=0,"",AL225*AM225),"")</f>
        <v/>
      </c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L225">
        <f>IFERROR(INDEX('_names_lookup'!$C:$C,MATCH(BK225,'_names_lookup'!$A:$A,0)),"")</f>
        <v/>
      </c>
      <c r="BM225">
        <f>IFERROR(INDEX('_names_lookup'!$B:$B,MATCH(BK225,'_names_lookup'!$A:$A,0)),"")</f>
        <v/>
      </c>
      <c r="BS225">
        <f>IFERROR(IF(BR225*AA225=0,"",BR225*AA225),"")</f>
        <v/>
      </c>
    </row>
    <row r="226">
      <c r="O226">
        <f>IFERROR(INDEX('_courses_lookup'!$C:$C,MATCH(K226&amp;L226,'_courses_lookup'!$E:$E,0)),"")</f>
        <v/>
      </c>
      <c r="P226">
        <f>IFERROR(INDEX('_courses_lookup'!$D:$D,MATCH(K226&amp;L226,'_courses_lookup'!$E:$E,0)),"")</f>
        <v/>
      </c>
      <c r="AG226">
        <f>IF(AND(AE226&lt;&gt;"",AF226&lt;&gt;""),ROUNDUP((AF226-AE226)/7,0),"")</f>
        <v/>
      </c>
      <c r="AI226">
        <f>IFERROR(IF(AG226*AH226=0,"",AG226*AH226),"")</f>
        <v/>
      </c>
      <c r="AL226">
        <f>IF(AND(AJ226&lt;&gt;"",AK226&lt;&gt;""),ROUNDUP((AK226-AJ226)/7,0),"")</f>
        <v/>
      </c>
      <c r="AN226">
        <f>IFERROR(IF(AL226*AM226=0,"",AL226*AM226),"")</f>
        <v/>
      </c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L226">
        <f>IFERROR(INDEX('_names_lookup'!$C:$C,MATCH(BK226,'_names_lookup'!$A:$A,0)),"")</f>
        <v/>
      </c>
      <c r="BM226">
        <f>IFERROR(INDEX('_names_lookup'!$B:$B,MATCH(BK226,'_names_lookup'!$A:$A,0)),"")</f>
        <v/>
      </c>
      <c r="BS226">
        <f>IFERROR(IF(BR226*AA226=0,"",BR226*AA226),"")</f>
        <v/>
      </c>
    </row>
    <row r="227">
      <c r="O227">
        <f>IFERROR(INDEX('_courses_lookup'!$C:$C,MATCH(K227&amp;L227,'_courses_lookup'!$E:$E,0)),"")</f>
        <v/>
      </c>
      <c r="P227">
        <f>IFERROR(INDEX('_courses_lookup'!$D:$D,MATCH(K227&amp;L227,'_courses_lookup'!$E:$E,0)),"")</f>
        <v/>
      </c>
      <c r="AG227">
        <f>IF(AND(AE227&lt;&gt;"",AF227&lt;&gt;""),ROUNDUP((AF227-AE227)/7,0),"")</f>
        <v/>
      </c>
      <c r="AI227">
        <f>IFERROR(IF(AG227*AH227=0,"",AG227*AH227),"")</f>
        <v/>
      </c>
      <c r="AL227">
        <f>IF(AND(AJ227&lt;&gt;"",AK227&lt;&gt;""),ROUNDUP((AK227-AJ227)/7,0),"")</f>
        <v/>
      </c>
      <c r="AN227">
        <f>IFERROR(IF(AL227*AM227=0,"",AL227*AM227),"")</f>
        <v/>
      </c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L227">
        <f>IFERROR(INDEX('_names_lookup'!$C:$C,MATCH(BK227,'_names_lookup'!$A:$A,0)),"")</f>
        <v/>
      </c>
      <c r="BM227">
        <f>IFERROR(INDEX('_names_lookup'!$B:$B,MATCH(BK227,'_names_lookup'!$A:$A,0)),"")</f>
        <v/>
      </c>
      <c r="BS227">
        <f>IFERROR(IF(BR227*AA227=0,"",BR227*AA227),"")</f>
        <v/>
      </c>
    </row>
    <row r="228">
      <c r="O228">
        <f>IFERROR(INDEX('_courses_lookup'!$C:$C,MATCH(K228&amp;L228,'_courses_lookup'!$E:$E,0)),"")</f>
        <v/>
      </c>
      <c r="P228">
        <f>IFERROR(INDEX('_courses_lookup'!$D:$D,MATCH(K228&amp;L228,'_courses_lookup'!$E:$E,0)),"")</f>
        <v/>
      </c>
      <c r="AG228">
        <f>IF(AND(AE228&lt;&gt;"",AF228&lt;&gt;""),ROUNDUP((AF228-AE228)/7,0),"")</f>
        <v/>
      </c>
      <c r="AI228">
        <f>IFERROR(IF(AG228*AH228=0,"",AG228*AH228),"")</f>
        <v/>
      </c>
      <c r="AL228">
        <f>IF(AND(AJ228&lt;&gt;"",AK228&lt;&gt;""),ROUNDUP((AK228-AJ228)/7,0),"")</f>
        <v/>
      </c>
      <c r="AN228">
        <f>IFERROR(IF(AL228*AM228=0,"",AL228*AM228),"")</f>
        <v/>
      </c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L228">
        <f>IFERROR(INDEX('_names_lookup'!$C:$C,MATCH(BK228,'_names_lookup'!$A:$A,0)),"")</f>
        <v/>
      </c>
      <c r="BM228">
        <f>IFERROR(INDEX('_names_lookup'!$B:$B,MATCH(BK228,'_names_lookup'!$A:$A,0)),"")</f>
        <v/>
      </c>
      <c r="BS228">
        <f>IFERROR(IF(BR228*AA228=0,"",BR228*AA228),"")</f>
        <v/>
      </c>
    </row>
    <row r="229">
      <c r="O229">
        <f>IFERROR(INDEX('_courses_lookup'!$C:$C,MATCH(K229&amp;L229,'_courses_lookup'!$E:$E,0)),"")</f>
        <v/>
      </c>
      <c r="P229">
        <f>IFERROR(INDEX('_courses_lookup'!$D:$D,MATCH(K229&amp;L229,'_courses_lookup'!$E:$E,0)),"")</f>
        <v/>
      </c>
      <c r="AG229">
        <f>IF(AND(AE229&lt;&gt;"",AF229&lt;&gt;""),ROUNDUP((AF229-AE229)/7,0),"")</f>
        <v/>
      </c>
      <c r="AI229">
        <f>IFERROR(IF(AG229*AH229=0,"",AG229*AH229),"")</f>
        <v/>
      </c>
      <c r="AL229">
        <f>IF(AND(AJ229&lt;&gt;"",AK229&lt;&gt;""),ROUNDUP((AK229-AJ229)/7,0),"")</f>
        <v/>
      </c>
      <c r="AN229">
        <f>IFERROR(IF(AL229*AM229=0,"",AL229*AM229),"")</f>
        <v/>
      </c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L229">
        <f>IFERROR(INDEX('_names_lookup'!$C:$C,MATCH(BK229,'_names_lookup'!$A:$A,0)),"")</f>
        <v/>
      </c>
      <c r="BM229">
        <f>IFERROR(INDEX('_names_lookup'!$B:$B,MATCH(BK229,'_names_lookup'!$A:$A,0)),"")</f>
        <v/>
      </c>
      <c r="BS229">
        <f>IFERROR(IF(BR229*AA229=0,"",BR229*AA229),"")</f>
        <v/>
      </c>
    </row>
    <row r="230">
      <c r="O230">
        <f>IFERROR(INDEX('_courses_lookup'!$C:$C,MATCH(K230&amp;L230,'_courses_lookup'!$E:$E,0)),"")</f>
        <v/>
      </c>
      <c r="P230">
        <f>IFERROR(INDEX('_courses_lookup'!$D:$D,MATCH(K230&amp;L230,'_courses_lookup'!$E:$E,0)),"")</f>
        <v/>
      </c>
      <c r="AG230">
        <f>IF(AND(AE230&lt;&gt;"",AF230&lt;&gt;""),ROUNDUP((AF230-AE230)/7,0),"")</f>
        <v/>
      </c>
      <c r="AI230">
        <f>IFERROR(IF(AG230*AH230=0,"",AG230*AH230),"")</f>
        <v/>
      </c>
      <c r="AL230">
        <f>IF(AND(AJ230&lt;&gt;"",AK230&lt;&gt;""),ROUNDUP((AK230-AJ230)/7,0),"")</f>
        <v/>
      </c>
      <c r="AN230">
        <f>IFERROR(IF(AL230*AM230=0,"",AL230*AM230),"")</f>
        <v/>
      </c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L230">
        <f>IFERROR(INDEX('_names_lookup'!$C:$C,MATCH(BK230,'_names_lookup'!$A:$A,0)),"")</f>
        <v/>
      </c>
      <c r="BM230">
        <f>IFERROR(INDEX('_names_lookup'!$B:$B,MATCH(BK230,'_names_lookup'!$A:$A,0)),"")</f>
        <v/>
      </c>
      <c r="BS230">
        <f>IFERROR(IF(BR230*AA230=0,"",BR230*AA230),"")</f>
        <v/>
      </c>
    </row>
    <row r="231">
      <c r="O231">
        <f>IFERROR(INDEX('_courses_lookup'!$C:$C,MATCH(K231&amp;L231,'_courses_lookup'!$E:$E,0)),"")</f>
        <v/>
      </c>
      <c r="P231">
        <f>IFERROR(INDEX('_courses_lookup'!$D:$D,MATCH(K231&amp;L231,'_courses_lookup'!$E:$E,0)),"")</f>
        <v/>
      </c>
      <c r="AG231">
        <f>IF(AND(AE231&lt;&gt;"",AF231&lt;&gt;""),ROUNDUP((AF231-AE231)/7,0),"")</f>
        <v/>
      </c>
      <c r="AI231">
        <f>IFERROR(IF(AG231*AH231=0,"",AG231*AH231),"")</f>
        <v/>
      </c>
      <c r="AL231">
        <f>IF(AND(AJ231&lt;&gt;"",AK231&lt;&gt;""),ROUNDUP((AK231-AJ231)/7,0),"")</f>
        <v/>
      </c>
      <c r="AN231">
        <f>IFERROR(IF(AL231*AM231=0,"",AL231*AM231),"")</f>
        <v/>
      </c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L231">
        <f>IFERROR(INDEX('_names_lookup'!$C:$C,MATCH(BK231,'_names_lookup'!$A:$A,0)),"")</f>
        <v/>
      </c>
      <c r="BM231">
        <f>IFERROR(INDEX('_names_lookup'!$B:$B,MATCH(BK231,'_names_lookup'!$A:$A,0)),"")</f>
        <v/>
      </c>
      <c r="BS231">
        <f>IFERROR(IF(BR231*AA231=0,"",BR231*AA231),"")</f>
        <v/>
      </c>
    </row>
    <row r="232">
      <c r="O232">
        <f>IFERROR(INDEX('_courses_lookup'!$C:$C,MATCH(K232&amp;L232,'_courses_lookup'!$E:$E,0)),"")</f>
        <v/>
      </c>
      <c r="P232">
        <f>IFERROR(INDEX('_courses_lookup'!$D:$D,MATCH(K232&amp;L232,'_courses_lookup'!$E:$E,0)),"")</f>
        <v/>
      </c>
      <c r="AG232">
        <f>IF(AND(AE232&lt;&gt;"",AF232&lt;&gt;""),ROUNDUP((AF232-AE232)/7,0),"")</f>
        <v/>
      </c>
      <c r="AI232">
        <f>IFERROR(IF(AG232*AH232=0,"",AG232*AH232),"")</f>
        <v/>
      </c>
      <c r="AL232">
        <f>IF(AND(AJ232&lt;&gt;"",AK232&lt;&gt;""),ROUNDUP((AK232-AJ232)/7,0),"")</f>
        <v/>
      </c>
      <c r="AN232">
        <f>IFERROR(IF(AL232*AM232=0,"",AL232*AM232),"")</f>
        <v/>
      </c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L232">
        <f>IFERROR(INDEX('_names_lookup'!$C:$C,MATCH(BK232,'_names_lookup'!$A:$A,0)),"")</f>
        <v/>
      </c>
      <c r="BM232">
        <f>IFERROR(INDEX('_names_lookup'!$B:$B,MATCH(BK232,'_names_lookup'!$A:$A,0)),"")</f>
        <v/>
      </c>
      <c r="BS232">
        <f>IFERROR(IF(BR232*AA232=0,"",BR232*AA232),"")</f>
        <v/>
      </c>
    </row>
    <row r="233">
      <c r="O233">
        <f>IFERROR(INDEX('_courses_lookup'!$C:$C,MATCH(K233&amp;L233,'_courses_lookup'!$E:$E,0)),"")</f>
        <v/>
      </c>
      <c r="P233">
        <f>IFERROR(INDEX('_courses_lookup'!$D:$D,MATCH(K233&amp;L233,'_courses_lookup'!$E:$E,0)),"")</f>
        <v/>
      </c>
      <c r="AG233">
        <f>IF(AND(AE233&lt;&gt;"",AF233&lt;&gt;""),ROUNDUP((AF233-AE233)/7,0),"")</f>
        <v/>
      </c>
      <c r="AI233">
        <f>IFERROR(IF(AG233*AH233=0,"",AG233*AH233),"")</f>
        <v/>
      </c>
      <c r="AL233">
        <f>IF(AND(AJ233&lt;&gt;"",AK233&lt;&gt;""),ROUNDUP((AK233-AJ233)/7,0),"")</f>
        <v/>
      </c>
      <c r="AN233">
        <f>IFERROR(IF(AL233*AM233=0,"",AL233*AM233),"")</f>
        <v/>
      </c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L233">
        <f>IFERROR(INDEX('_names_lookup'!$C:$C,MATCH(BK233,'_names_lookup'!$A:$A,0)),"")</f>
        <v/>
      </c>
      <c r="BM233">
        <f>IFERROR(INDEX('_names_lookup'!$B:$B,MATCH(BK233,'_names_lookup'!$A:$A,0)),"")</f>
        <v/>
      </c>
      <c r="BS233">
        <f>IFERROR(IF(BR233*AA233=0,"",BR233*AA233),"")</f>
        <v/>
      </c>
    </row>
    <row r="234">
      <c r="O234">
        <f>IFERROR(INDEX('_courses_lookup'!$C:$C,MATCH(K234&amp;L234,'_courses_lookup'!$E:$E,0)),"")</f>
        <v/>
      </c>
      <c r="P234">
        <f>IFERROR(INDEX('_courses_lookup'!$D:$D,MATCH(K234&amp;L234,'_courses_lookup'!$E:$E,0)),"")</f>
        <v/>
      </c>
      <c r="AG234">
        <f>IF(AND(AE234&lt;&gt;"",AF234&lt;&gt;""),ROUNDUP((AF234-AE234)/7,0),"")</f>
        <v/>
      </c>
      <c r="AI234">
        <f>IFERROR(IF(AG234*AH234=0,"",AG234*AH234),"")</f>
        <v/>
      </c>
      <c r="AL234">
        <f>IF(AND(AJ234&lt;&gt;"",AK234&lt;&gt;""),ROUNDUP((AK234-AJ234)/7,0),"")</f>
        <v/>
      </c>
      <c r="AN234">
        <f>IFERROR(IF(AL234*AM234=0,"",AL234*AM234),"")</f>
        <v/>
      </c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L234">
        <f>IFERROR(INDEX('_names_lookup'!$C:$C,MATCH(BK234,'_names_lookup'!$A:$A,0)),"")</f>
        <v/>
      </c>
      <c r="BM234">
        <f>IFERROR(INDEX('_names_lookup'!$B:$B,MATCH(BK234,'_names_lookup'!$A:$A,0)),"")</f>
        <v/>
      </c>
      <c r="BS234">
        <f>IFERROR(IF(BR234*AA234=0,"",BR234*AA234),"")</f>
        <v/>
      </c>
    </row>
    <row r="235">
      <c r="O235">
        <f>IFERROR(INDEX('_courses_lookup'!$C:$C,MATCH(K235&amp;L235,'_courses_lookup'!$E:$E,0)),"")</f>
        <v/>
      </c>
      <c r="P235">
        <f>IFERROR(INDEX('_courses_lookup'!$D:$D,MATCH(K235&amp;L235,'_courses_lookup'!$E:$E,0)),"")</f>
        <v/>
      </c>
      <c r="AG235">
        <f>IF(AND(AE235&lt;&gt;"",AF235&lt;&gt;""),ROUNDUP((AF235-AE235)/7,0),"")</f>
        <v/>
      </c>
      <c r="AI235">
        <f>IFERROR(IF(AG235*AH235=0,"",AG235*AH235),"")</f>
        <v/>
      </c>
      <c r="AL235">
        <f>IF(AND(AJ235&lt;&gt;"",AK235&lt;&gt;""),ROUNDUP((AK235-AJ235)/7,0),"")</f>
        <v/>
      </c>
      <c r="AN235">
        <f>IFERROR(IF(AL235*AM235=0,"",AL235*AM235),"")</f>
        <v/>
      </c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L235">
        <f>IFERROR(INDEX('_names_lookup'!$C:$C,MATCH(BK235,'_names_lookup'!$A:$A,0)),"")</f>
        <v/>
      </c>
      <c r="BM235">
        <f>IFERROR(INDEX('_names_lookup'!$B:$B,MATCH(BK235,'_names_lookup'!$A:$A,0)),"")</f>
        <v/>
      </c>
      <c r="BS235">
        <f>IFERROR(IF(BR235*AA235=0,"",BR235*AA235),"")</f>
        <v/>
      </c>
    </row>
    <row r="236">
      <c r="O236">
        <f>IFERROR(INDEX('_courses_lookup'!$C:$C,MATCH(K236&amp;L236,'_courses_lookup'!$E:$E,0)),"")</f>
        <v/>
      </c>
      <c r="P236">
        <f>IFERROR(INDEX('_courses_lookup'!$D:$D,MATCH(K236&amp;L236,'_courses_lookup'!$E:$E,0)),"")</f>
        <v/>
      </c>
      <c r="AG236">
        <f>IF(AND(AE236&lt;&gt;"",AF236&lt;&gt;""),ROUNDUP((AF236-AE236)/7,0),"")</f>
        <v/>
      </c>
      <c r="AI236">
        <f>IFERROR(IF(AG236*AH236=0,"",AG236*AH236),"")</f>
        <v/>
      </c>
      <c r="AL236">
        <f>IF(AND(AJ236&lt;&gt;"",AK236&lt;&gt;""),ROUNDUP((AK236-AJ236)/7,0),"")</f>
        <v/>
      </c>
      <c r="AN236">
        <f>IFERROR(IF(AL236*AM236=0,"",AL236*AM236),"")</f>
        <v/>
      </c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L236">
        <f>IFERROR(INDEX('_names_lookup'!$C:$C,MATCH(BK236,'_names_lookup'!$A:$A,0)),"")</f>
        <v/>
      </c>
      <c r="BM236">
        <f>IFERROR(INDEX('_names_lookup'!$B:$B,MATCH(BK236,'_names_lookup'!$A:$A,0)),"")</f>
        <v/>
      </c>
      <c r="BS236">
        <f>IFERROR(IF(BR236*AA236=0,"",BR236*AA236),"")</f>
        <v/>
      </c>
    </row>
    <row r="237">
      <c r="O237">
        <f>IFERROR(INDEX('_courses_lookup'!$C:$C,MATCH(K237&amp;L237,'_courses_lookup'!$E:$E,0)),"")</f>
        <v/>
      </c>
      <c r="P237">
        <f>IFERROR(INDEX('_courses_lookup'!$D:$D,MATCH(K237&amp;L237,'_courses_lookup'!$E:$E,0)),"")</f>
        <v/>
      </c>
      <c r="AG237">
        <f>IF(AND(AE237&lt;&gt;"",AF237&lt;&gt;""),ROUNDUP((AF237-AE237)/7,0),"")</f>
        <v/>
      </c>
      <c r="AI237">
        <f>IFERROR(IF(AG237*AH237=0,"",AG237*AH237),"")</f>
        <v/>
      </c>
      <c r="AL237">
        <f>IF(AND(AJ237&lt;&gt;"",AK237&lt;&gt;""),ROUNDUP((AK237-AJ237)/7,0),"")</f>
        <v/>
      </c>
      <c r="AN237">
        <f>IFERROR(IF(AL237*AM237=0,"",AL237*AM237),"")</f>
        <v/>
      </c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L237">
        <f>IFERROR(INDEX('_names_lookup'!$C:$C,MATCH(BK237,'_names_lookup'!$A:$A,0)),"")</f>
        <v/>
      </c>
      <c r="BM237">
        <f>IFERROR(INDEX('_names_lookup'!$B:$B,MATCH(BK237,'_names_lookup'!$A:$A,0)),"")</f>
        <v/>
      </c>
      <c r="BS237">
        <f>IFERROR(IF(BR237*AA237=0,"",BR237*AA237),"")</f>
        <v/>
      </c>
    </row>
    <row r="238">
      <c r="O238">
        <f>IFERROR(INDEX('_courses_lookup'!$C:$C,MATCH(K238&amp;L238,'_courses_lookup'!$E:$E,0)),"")</f>
        <v/>
      </c>
      <c r="P238">
        <f>IFERROR(INDEX('_courses_lookup'!$D:$D,MATCH(K238&amp;L238,'_courses_lookup'!$E:$E,0)),"")</f>
        <v/>
      </c>
      <c r="AG238">
        <f>IF(AND(AE238&lt;&gt;"",AF238&lt;&gt;""),ROUNDUP((AF238-AE238)/7,0),"")</f>
        <v/>
      </c>
      <c r="AI238">
        <f>IFERROR(IF(AG238*AH238=0,"",AG238*AH238),"")</f>
        <v/>
      </c>
      <c r="AL238">
        <f>IF(AND(AJ238&lt;&gt;"",AK238&lt;&gt;""),ROUNDUP((AK238-AJ238)/7,0),"")</f>
        <v/>
      </c>
      <c r="AN238">
        <f>IFERROR(IF(AL238*AM238=0,"",AL238*AM238),"")</f>
        <v/>
      </c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L238">
        <f>IFERROR(INDEX('_names_lookup'!$C:$C,MATCH(BK238,'_names_lookup'!$A:$A,0)),"")</f>
        <v/>
      </c>
      <c r="BM238">
        <f>IFERROR(INDEX('_names_lookup'!$B:$B,MATCH(BK238,'_names_lookup'!$A:$A,0)),"")</f>
        <v/>
      </c>
      <c r="BS238">
        <f>IFERROR(IF(BR238*AA238=0,"",BR238*AA238),"")</f>
        <v/>
      </c>
    </row>
    <row r="239">
      <c r="O239">
        <f>IFERROR(INDEX('_courses_lookup'!$C:$C,MATCH(K239&amp;L239,'_courses_lookup'!$E:$E,0)),"")</f>
        <v/>
      </c>
      <c r="P239">
        <f>IFERROR(INDEX('_courses_lookup'!$D:$D,MATCH(K239&amp;L239,'_courses_lookup'!$E:$E,0)),"")</f>
        <v/>
      </c>
      <c r="AG239">
        <f>IF(AND(AE239&lt;&gt;"",AF239&lt;&gt;""),ROUNDUP((AF239-AE239)/7,0),"")</f>
        <v/>
      </c>
      <c r="AI239">
        <f>IFERROR(IF(AG239*AH239=0,"",AG239*AH239),"")</f>
        <v/>
      </c>
      <c r="AL239">
        <f>IF(AND(AJ239&lt;&gt;"",AK239&lt;&gt;""),ROUNDUP((AK239-AJ239)/7,0),"")</f>
        <v/>
      </c>
      <c r="AN239">
        <f>IFERROR(IF(AL239*AM239=0,"",AL239*AM239),"")</f>
        <v/>
      </c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L239">
        <f>IFERROR(INDEX('_names_lookup'!$C:$C,MATCH(BK239,'_names_lookup'!$A:$A,0)),"")</f>
        <v/>
      </c>
      <c r="BM239">
        <f>IFERROR(INDEX('_names_lookup'!$B:$B,MATCH(BK239,'_names_lookup'!$A:$A,0)),"")</f>
        <v/>
      </c>
      <c r="BS239">
        <f>IFERROR(IF(BR239*AA239=0,"",BR239*AA239),"")</f>
        <v/>
      </c>
    </row>
    <row r="240">
      <c r="O240">
        <f>IFERROR(INDEX('_courses_lookup'!$C:$C,MATCH(K240&amp;L240,'_courses_lookup'!$E:$E,0)),"")</f>
        <v/>
      </c>
      <c r="P240">
        <f>IFERROR(INDEX('_courses_lookup'!$D:$D,MATCH(K240&amp;L240,'_courses_lookup'!$E:$E,0)),"")</f>
        <v/>
      </c>
      <c r="AG240">
        <f>IF(AND(AE240&lt;&gt;"",AF240&lt;&gt;""),ROUNDUP((AF240-AE240)/7,0),"")</f>
        <v/>
      </c>
      <c r="AI240">
        <f>IFERROR(IF(AG240*AH240=0,"",AG240*AH240),"")</f>
        <v/>
      </c>
      <c r="AL240">
        <f>IF(AND(AJ240&lt;&gt;"",AK240&lt;&gt;""),ROUNDUP((AK240-AJ240)/7,0),"")</f>
        <v/>
      </c>
      <c r="AN240">
        <f>IFERROR(IF(AL240*AM240=0,"",AL240*AM240),"")</f>
        <v/>
      </c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L240">
        <f>IFERROR(INDEX('_names_lookup'!$C:$C,MATCH(BK240,'_names_lookup'!$A:$A,0)),"")</f>
        <v/>
      </c>
      <c r="BM240">
        <f>IFERROR(INDEX('_names_lookup'!$B:$B,MATCH(BK240,'_names_lookup'!$A:$A,0)),"")</f>
        <v/>
      </c>
      <c r="BS240">
        <f>IFERROR(IF(BR240*AA240=0,"",BR240*AA240),"")</f>
        <v/>
      </c>
    </row>
    <row r="241">
      <c r="O241">
        <f>IFERROR(INDEX('_courses_lookup'!$C:$C,MATCH(K241&amp;L241,'_courses_lookup'!$E:$E,0)),"")</f>
        <v/>
      </c>
      <c r="P241">
        <f>IFERROR(INDEX('_courses_lookup'!$D:$D,MATCH(K241&amp;L241,'_courses_lookup'!$E:$E,0)),"")</f>
        <v/>
      </c>
      <c r="AG241">
        <f>IF(AND(AE241&lt;&gt;"",AF241&lt;&gt;""),ROUNDUP((AF241-AE241)/7,0),"")</f>
        <v/>
      </c>
      <c r="AI241">
        <f>IFERROR(IF(AG241*AH241=0,"",AG241*AH241),"")</f>
        <v/>
      </c>
      <c r="AL241">
        <f>IF(AND(AJ241&lt;&gt;"",AK241&lt;&gt;""),ROUNDUP((AK241-AJ241)/7,0),"")</f>
        <v/>
      </c>
      <c r="AN241">
        <f>IFERROR(IF(AL241*AM241=0,"",AL241*AM241),"")</f>
        <v/>
      </c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L241">
        <f>IFERROR(INDEX('_names_lookup'!$C:$C,MATCH(BK241,'_names_lookup'!$A:$A,0)),"")</f>
        <v/>
      </c>
      <c r="BM241">
        <f>IFERROR(INDEX('_names_lookup'!$B:$B,MATCH(BK241,'_names_lookup'!$A:$A,0)),"")</f>
        <v/>
      </c>
      <c r="BS241">
        <f>IFERROR(IF(BR241*AA241=0,"",BR241*AA241),"")</f>
        <v/>
      </c>
    </row>
    <row r="242">
      <c r="O242">
        <f>IFERROR(INDEX('_courses_lookup'!$C:$C,MATCH(K242&amp;L242,'_courses_lookup'!$E:$E,0)),"")</f>
        <v/>
      </c>
      <c r="P242">
        <f>IFERROR(INDEX('_courses_lookup'!$D:$D,MATCH(K242&amp;L242,'_courses_lookup'!$E:$E,0)),"")</f>
        <v/>
      </c>
      <c r="AG242">
        <f>IF(AND(AE242&lt;&gt;"",AF242&lt;&gt;""),ROUNDUP((AF242-AE242)/7,0),"")</f>
        <v/>
      </c>
      <c r="AI242">
        <f>IFERROR(IF(AG242*AH242=0,"",AG242*AH242),"")</f>
        <v/>
      </c>
      <c r="AL242">
        <f>IF(AND(AJ242&lt;&gt;"",AK242&lt;&gt;""),ROUNDUP((AK242-AJ242)/7,0),"")</f>
        <v/>
      </c>
      <c r="AN242">
        <f>IFERROR(IF(AL242*AM242=0,"",AL242*AM242),"")</f>
        <v/>
      </c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L242">
        <f>IFERROR(INDEX('_names_lookup'!$C:$C,MATCH(BK242,'_names_lookup'!$A:$A,0)),"")</f>
        <v/>
      </c>
      <c r="BM242">
        <f>IFERROR(INDEX('_names_lookup'!$B:$B,MATCH(BK242,'_names_lookup'!$A:$A,0)),"")</f>
        <v/>
      </c>
      <c r="BS242">
        <f>IFERROR(IF(BR242*AA242=0,"",BR242*AA242),"")</f>
        <v/>
      </c>
    </row>
    <row r="243">
      <c r="O243">
        <f>IFERROR(INDEX('_courses_lookup'!$C:$C,MATCH(K243&amp;L243,'_courses_lookup'!$E:$E,0)),"")</f>
        <v/>
      </c>
      <c r="P243">
        <f>IFERROR(INDEX('_courses_lookup'!$D:$D,MATCH(K243&amp;L243,'_courses_lookup'!$E:$E,0)),"")</f>
        <v/>
      </c>
      <c r="AG243">
        <f>IF(AND(AE243&lt;&gt;"",AF243&lt;&gt;""),ROUNDUP((AF243-AE243)/7,0),"")</f>
        <v/>
      </c>
      <c r="AI243">
        <f>IFERROR(IF(AG243*AH243=0,"",AG243*AH243),"")</f>
        <v/>
      </c>
      <c r="AL243">
        <f>IF(AND(AJ243&lt;&gt;"",AK243&lt;&gt;""),ROUNDUP((AK243-AJ243)/7,0),"")</f>
        <v/>
      </c>
      <c r="AN243">
        <f>IFERROR(IF(AL243*AM243=0,"",AL243*AM243),"")</f>
        <v/>
      </c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L243">
        <f>IFERROR(INDEX('_names_lookup'!$C:$C,MATCH(BK243,'_names_lookup'!$A:$A,0)),"")</f>
        <v/>
      </c>
      <c r="BM243">
        <f>IFERROR(INDEX('_names_lookup'!$B:$B,MATCH(BK243,'_names_lookup'!$A:$A,0)),"")</f>
        <v/>
      </c>
      <c r="BS243">
        <f>IFERROR(IF(BR243*AA243=0,"",BR243*AA243),"")</f>
        <v/>
      </c>
    </row>
    <row r="244">
      <c r="O244">
        <f>IFERROR(INDEX('_courses_lookup'!$C:$C,MATCH(K244&amp;L244,'_courses_lookup'!$E:$E,0)),"")</f>
        <v/>
      </c>
      <c r="P244">
        <f>IFERROR(INDEX('_courses_lookup'!$D:$D,MATCH(K244&amp;L244,'_courses_lookup'!$E:$E,0)),"")</f>
        <v/>
      </c>
      <c r="AG244">
        <f>IF(AND(AE244&lt;&gt;"",AF244&lt;&gt;""),ROUNDUP((AF244-AE244)/7,0),"")</f>
        <v/>
      </c>
      <c r="AI244">
        <f>IFERROR(IF(AG244*AH244=0,"",AG244*AH244),"")</f>
        <v/>
      </c>
      <c r="AL244">
        <f>IF(AND(AJ244&lt;&gt;"",AK244&lt;&gt;""),ROUNDUP((AK244-AJ244)/7,0),"")</f>
        <v/>
      </c>
      <c r="AN244">
        <f>IFERROR(IF(AL244*AM244=0,"",AL244*AM244),"")</f>
        <v/>
      </c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L244">
        <f>IFERROR(INDEX('_names_lookup'!$C:$C,MATCH(BK244,'_names_lookup'!$A:$A,0)),"")</f>
        <v/>
      </c>
      <c r="BM244">
        <f>IFERROR(INDEX('_names_lookup'!$B:$B,MATCH(BK244,'_names_lookup'!$A:$A,0)),"")</f>
        <v/>
      </c>
      <c r="BS244">
        <f>IFERROR(IF(BR244*AA244=0,"",BR244*AA244),"")</f>
        <v/>
      </c>
    </row>
    <row r="245">
      <c r="O245">
        <f>IFERROR(INDEX('_courses_lookup'!$C:$C,MATCH(K245&amp;L245,'_courses_lookup'!$E:$E,0)),"")</f>
        <v/>
      </c>
      <c r="P245">
        <f>IFERROR(INDEX('_courses_lookup'!$D:$D,MATCH(K245&amp;L245,'_courses_lookup'!$E:$E,0)),"")</f>
        <v/>
      </c>
      <c r="AG245">
        <f>IF(AND(AE245&lt;&gt;"",AF245&lt;&gt;""),ROUNDUP((AF245-AE245)/7,0),"")</f>
        <v/>
      </c>
      <c r="AI245">
        <f>IFERROR(IF(AG245*AH245=0,"",AG245*AH245),"")</f>
        <v/>
      </c>
      <c r="AL245">
        <f>IF(AND(AJ245&lt;&gt;"",AK245&lt;&gt;""),ROUNDUP((AK245-AJ245)/7,0),"")</f>
        <v/>
      </c>
      <c r="AN245">
        <f>IFERROR(IF(AL245*AM245=0,"",AL245*AM245),"")</f>
        <v/>
      </c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L245">
        <f>IFERROR(INDEX('_names_lookup'!$C:$C,MATCH(BK245,'_names_lookup'!$A:$A,0)),"")</f>
        <v/>
      </c>
      <c r="BM245">
        <f>IFERROR(INDEX('_names_lookup'!$B:$B,MATCH(BK245,'_names_lookup'!$A:$A,0)),"")</f>
        <v/>
      </c>
      <c r="BS245">
        <f>IFERROR(IF(BR245*AA245=0,"",BR245*AA245),"")</f>
        <v/>
      </c>
    </row>
    <row r="246">
      <c r="O246">
        <f>IFERROR(INDEX('_courses_lookup'!$C:$C,MATCH(K246&amp;L246,'_courses_lookup'!$E:$E,0)),"")</f>
        <v/>
      </c>
      <c r="P246">
        <f>IFERROR(INDEX('_courses_lookup'!$D:$D,MATCH(K246&amp;L246,'_courses_lookup'!$E:$E,0)),"")</f>
        <v/>
      </c>
      <c r="AG246">
        <f>IF(AND(AE246&lt;&gt;"",AF246&lt;&gt;""),ROUNDUP((AF246-AE246)/7,0),"")</f>
        <v/>
      </c>
      <c r="AI246">
        <f>IFERROR(IF(AG246*AH246=0,"",AG246*AH246),"")</f>
        <v/>
      </c>
      <c r="AL246">
        <f>IF(AND(AJ246&lt;&gt;"",AK246&lt;&gt;""),ROUNDUP((AK246-AJ246)/7,0),"")</f>
        <v/>
      </c>
      <c r="AN246">
        <f>IFERROR(IF(AL246*AM246=0,"",AL246*AM246),"")</f>
        <v/>
      </c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L246">
        <f>IFERROR(INDEX('_names_lookup'!$C:$C,MATCH(BK246,'_names_lookup'!$A:$A,0)),"")</f>
        <v/>
      </c>
      <c r="BM246">
        <f>IFERROR(INDEX('_names_lookup'!$B:$B,MATCH(BK246,'_names_lookup'!$A:$A,0)),"")</f>
        <v/>
      </c>
      <c r="BS246">
        <f>IFERROR(IF(BR246*AA246=0,"",BR246*AA246),"")</f>
        <v/>
      </c>
    </row>
    <row r="247">
      <c r="O247">
        <f>IFERROR(INDEX('_courses_lookup'!$C:$C,MATCH(K247&amp;L247,'_courses_lookup'!$E:$E,0)),"")</f>
        <v/>
      </c>
      <c r="P247">
        <f>IFERROR(INDEX('_courses_lookup'!$D:$D,MATCH(K247&amp;L247,'_courses_lookup'!$E:$E,0)),"")</f>
        <v/>
      </c>
      <c r="AG247">
        <f>IF(AND(AE247&lt;&gt;"",AF247&lt;&gt;""),ROUNDUP((AF247-AE247)/7,0),"")</f>
        <v/>
      </c>
      <c r="AI247">
        <f>IFERROR(IF(AG247*AH247=0,"",AG247*AH247),"")</f>
        <v/>
      </c>
      <c r="AL247">
        <f>IF(AND(AJ247&lt;&gt;"",AK247&lt;&gt;""),ROUNDUP((AK247-AJ247)/7,0),"")</f>
        <v/>
      </c>
      <c r="AN247">
        <f>IFERROR(IF(AL247*AM247=0,"",AL247*AM247),"")</f>
        <v/>
      </c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L247">
        <f>IFERROR(INDEX('_names_lookup'!$C:$C,MATCH(BK247,'_names_lookup'!$A:$A,0)),"")</f>
        <v/>
      </c>
      <c r="BM247">
        <f>IFERROR(INDEX('_names_lookup'!$B:$B,MATCH(BK247,'_names_lookup'!$A:$A,0)),"")</f>
        <v/>
      </c>
      <c r="BS247">
        <f>IFERROR(IF(BR247*AA247=0,"",BR247*AA247),"")</f>
        <v/>
      </c>
    </row>
    <row r="248">
      <c r="O248">
        <f>IFERROR(INDEX('_courses_lookup'!$C:$C,MATCH(K248&amp;L248,'_courses_lookup'!$E:$E,0)),"")</f>
        <v/>
      </c>
      <c r="P248">
        <f>IFERROR(INDEX('_courses_lookup'!$D:$D,MATCH(K248&amp;L248,'_courses_lookup'!$E:$E,0)),"")</f>
        <v/>
      </c>
      <c r="AG248">
        <f>IF(AND(AE248&lt;&gt;"",AF248&lt;&gt;""),ROUNDUP((AF248-AE248)/7,0),"")</f>
        <v/>
      </c>
      <c r="AI248">
        <f>IFERROR(IF(AG248*AH248=0,"",AG248*AH248),"")</f>
        <v/>
      </c>
      <c r="AL248">
        <f>IF(AND(AJ248&lt;&gt;"",AK248&lt;&gt;""),ROUNDUP((AK248-AJ248)/7,0),"")</f>
        <v/>
      </c>
      <c r="AN248">
        <f>IFERROR(IF(AL248*AM248=0,"",AL248*AM248),"")</f>
        <v/>
      </c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L248">
        <f>IFERROR(INDEX('_names_lookup'!$C:$C,MATCH(BK248,'_names_lookup'!$A:$A,0)),"")</f>
        <v/>
      </c>
      <c r="BM248">
        <f>IFERROR(INDEX('_names_lookup'!$B:$B,MATCH(BK248,'_names_lookup'!$A:$A,0)),"")</f>
        <v/>
      </c>
      <c r="BS248">
        <f>IFERROR(IF(BR248*AA248=0,"",BR248*AA248),"")</f>
        <v/>
      </c>
    </row>
    <row r="249">
      <c r="O249">
        <f>IFERROR(INDEX('_courses_lookup'!$C:$C,MATCH(K249&amp;L249,'_courses_lookup'!$E:$E,0)),"")</f>
        <v/>
      </c>
      <c r="P249">
        <f>IFERROR(INDEX('_courses_lookup'!$D:$D,MATCH(K249&amp;L249,'_courses_lookup'!$E:$E,0)),"")</f>
        <v/>
      </c>
      <c r="AG249">
        <f>IF(AND(AE249&lt;&gt;"",AF249&lt;&gt;""),ROUNDUP((AF249-AE249)/7,0),"")</f>
        <v/>
      </c>
      <c r="AI249">
        <f>IFERROR(IF(AG249*AH249=0,"",AG249*AH249),"")</f>
        <v/>
      </c>
      <c r="AL249">
        <f>IF(AND(AJ249&lt;&gt;"",AK249&lt;&gt;""),ROUNDUP((AK249-AJ249)/7,0),"")</f>
        <v/>
      </c>
      <c r="AN249">
        <f>IFERROR(IF(AL249*AM249=0,"",AL249*AM249),"")</f>
        <v/>
      </c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L249">
        <f>IFERROR(INDEX('_names_lookup'!$C:$C,MATCH(BK249,'_names_lookup'!$A:$A,0)),"")</f>
        <v/>
      </c>
      <c r="BM249">
        <f>IFERROR(INDEX('_names_lookup'!$B:$B,MATCH(BK249,'_names_lookup'!$A:$A,0)),"")</f>
        <v/>
      </c>
      <c r="BS249">
        <f>IFERROR(IF(BR249*AA249=0,"",BR249*AA249),"")</f>
        <v/>
      </c>
    </row>
    <row r="250">
      <c r="O250">
        <f>IFERROR(INDEX('_courses_lookup'!$C:$C,MATCH(K250&amp;L250,'_courses_lookup'!$E:$E,0)),"")</f>
        <v/>
      </c>
      <c r="P250">
        <f>IFERROR(INDEX('_courses_lookup'!$D:$D,MATCH(K250&amp;L250,'_courses_lookup'!$E:$E,0)),"")</f>
        <v/>
      </c>
      <c r="AG250">
        <f>IF(AND(AE250&lt;&gt;"",AF250&lt;&gt;""),ROUNDUP((AF250-AE250)/7,0),"")</f>
        <v/>
      </c>
      <c r="AI250">
        <f>IFERROR(IF(AG250*AH250=0,"",AG250*AH250),"")</f>
        <v/>
      </c>
      <c r="AL250">
        <f>IF(AND(AJ250&lt;&gt;"",AK250&lt;&gt;""),ROUNDUP((AK250-AJ250)/7,0),"")</f>
        <v/>
      </c>
      <c r="AN250">
        <f>IFERROR(IF(AL250*AM250=0,"",AL250*AM250),"")</f>
        <v/>
      </c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L250">
        <f>IFERROR(INDEX('_names_lookup'!$C:$C,MATCH(BK250,'_names_lookup'!$A:$A,0)),"")</f>
        <v/>
      </c>
      <c r="BM250">
        <f>IFERROR(INDEX('_names_lookup'!$B:$B,MATCH(BK250,'_names_lookup'!$A:$A,0)),"")</f>
        <v/>
      </c>
      <c r="BS250">
        <f>IFERROR(IF(BR250*AA250=0,"",BR250*AA250),"")</f>
        <v/>
      </c>
    </row>
    <row r="251">
      <c r="O251">
        <f>IFERROR(INDEX('_courses_lookup'!$C:$C,MATCH(K251&amp;L251,'_courses_lookup'!$E:$E,0)),"")</f>
        <v/>
      </c>
      <c r="P251">
        <f>IFERROR(INDEX('_courses_lookup'!$D:$D,MATCH(K251&amp;L251,'_courses_lookup'!$E:$E,0)),"")</f>
        <v/>
      </c>
      <c r="AG251">
        <f>IF(AND(AE251&lt;&gt;"",AF251&lt;&gt;""),ROUNDUP((AF251-AE251)/7,0),"")</f>
        <v/>
      </c>
      <c r="AI251">
        <f>IFERROR(IF(AG251*AH251=0,"",AG251*AH251),"")</f>
        <v/>
      </c>
      <c r="AL251">
        <f>IF(AND(AJ251&lt;&gt;"",AK251&lt;&gt;""),ROUNDUP((AK251-AJ251)/7,0),"")</f>
        <v/>
      </c>
      <c r="AN251">
        <f>IFERROR(IF(AL251*AM251=0,"",AL251*AM251),"")</f>
        <v/>
      </c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L251">
        <f>IFERROR(INDEX('_names_lookup'!$C:$C,MATCH(BK251,'_names_lookup'!$A:$A,0)),"")</f>
        <v/>
      </c>
      <c r="BM251">
        <f>IFERROR(INDEX('_names_lookup'!$B:$B,MATCH(BK251,'_names_lookup'!$A:$A,0)),"")</f>
        <v/>
      </c>
      <c r="BS251">
        <f>IFERROR(IF(BR251*AA251=0,"",BR251*AA251),"")</f>
        <v/>
      </c>
    </row>
    <row r="252">
      <c r="O252">
        <f>IFERROR(INDEX('_courses_lookup'!$C:$C,MATCH(K252&amp;L252,'_courses_lookup'!$E:$E,0)),"")</f>
        <v/>
      </c>
      <c r="P252">
        <f>IFERROR(INDEX('_courses_lookup'!$D:$D,MATCH(K252&amp;L252,'_courses_lookup'!$E:$E,0)),"")</f>
        <v/>
      </c>
      <c r="AG252">
        <f>IF(AND(AE252&lt;&gt;"",AF252&lt;&gt;""),ROUNDUP((AF252-AE252)/7,0),"")</f>
        <v/>
      </c>
      <c r="AI252">
        <f>IFERROR(IF(AG252*AH252=0,"",AG252*AH252),"")</f>
        <v/>
      </c>
      <c r="AL252">
        <f>IF(AND(AJ252&lt;&gt;"",AK252&lt;&gt;""),ROUNDUP((AK252-AJ252)/7,0),"")</f>
        <v/>
      </c>
      <c r="AN252">
        <f>IFERROR(IF(AL252*AM252=0,"",AL252*AM252),"")</f>
        <v/>
      </c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L252">
        <f>IFERROR(INDEX('_names_lookup'!$C:$C,MATCH(BK252,'_names_lookup'!$A:$A,0)),"")</f>
        <v/>
      </c>
      <c r="BM252">
        <f>IFERROR(INDEX('_names_lookup'!$B:$B,MATCH(BK252,'_names_lookup'!$A:$A,0)),"")</f>
        <v/>
      </c>
      <c r="BS252">
        <f>IFERROR(IF(BR252*AA252=0,"",BR252*AA252),"")</f>
        <v/>
      </c>
    </row>
    <row r="253">
      <c r="O253">
        <f>IFERROR(INDEX('_courses_lookup'!$C:$C,MATCH(K253&amp;L253,'_courses_lookup'!$E:$E,0)),"")</f>
        <v/>
      </c>
      <c r="P253">
        <f>IFERROR(INDEX('_courses_lookup'!$D:$D,MATCH(K253&amp;L253,'_courses_lookup'!$E:$E,0)),"")</f>
        <v/>
      </c>
      <c r="AG253">
        <f>IF(AND(AE253&lt;&gt;"",AF253&lt;&gt;""),ROUNDUP((AF253-AE253)/7,0),"")</f>
        <v/>
      </c>
      <c r="AI253">
        <f>IFERROR(IF(AG253*AH253=0,"",AG253*AH253),"")</f>
        <v/>
      </c>
      <c r="AL253">
        <f>IF(AND(AJ253&lt;&gt;"",AK253&lt;&gt;""),ROUNDUP((AK253-AJ253)/7,0),"")</f>
        <v/>
      </c>
      <c r="AN253">
        <f>IFERROR(IF(AL253*AM253=0,"",AL253*AM253),"")</f>
        <v/>
      </c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L253">
        <f>IFERROR(INDEX('_names_lookup'!$C:$C,MATCH(BK253,'_names_lookup'!$A:$A,0)),"")</f>
        <v/>
      </c>
      <c r="BM253">
        <f>IFERROR(INDEX('_names_lookup'!$B:$B,MATCH(BK253,'_names_lookup'!$A:$A,0)),"")</f>
        <v/>
      </c>
      <c r="BS253">
        <f>IFERROR(IF(BR253*AA253=0,"",BR253*AA253),"")</f>
        <v/>
      </c>
    </row>
    <row r="254">
      <c r="O254">
        <f>IFERROR(INDEX('_courses_lookup'!$C:$C,MATCH(K254&amp;L254,'_courses_lookup'!$E:$E,0)),"")</f>
        <v/>
      </c>
      <c r="P254">
        <f>IFERROR(INDEX('_courses_lookup'!$D:$D,MATCH(K254&amp;L254,'_courses_lookup'!$E:$E,0)),"")</f>
        <v/>
      </c>
      <c r="AG254">
        <f>IF(AND(AE254&lt;&gt;"",AF254&lt;&gt;""),ROUNDUP((AF254-AE254)/7,0),"")</f>
        <v/>
      </c>
      <c r="AI254">
        <f>IFERROR(IF(AG254*AH254=0,"",AG254*AH254),"")</f>
        <v/>
      </c>
      <c r="AL254">
        <f>IF(AND(AJ254&lt;&gt;"",AK254&lt;&gt;""),ROUNDUP((AK254-AJ254)/7,0),"")</f>
        <v/>
      </c>
      <c r="AN254">
        <f>IFERROR(IF(AL254*AM254=0,"",AL254*AM254),"")</f>
        <v/>
      </c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L254">
        <f>IFERROR(INDEX('_names_lookup'!$C:$C,MATCH(BK254,'_names_lookup'!$A:$A,0)),"")</f>
        <v/>
      </c>
      <c r="BM254">
        <f>IFERROR(INDEX('_names_lookup'!$B:$B,MATCH(BK254,'_names_lookup'!$A:$A,0)),"")</f>
        <v/>
      </c>
      <c r="BS254">
        <f>IFERROR(IF(BR254*AA254=0,"",BR254*AA254),"")</f>
        <v/>
      </c>
    </row>
    <row r="255">
      <c r="O255">
        <f>IFERROR(INDEX('_courses_lookup'!$C:$C,MATCH(K255&amp;L255,'_courses_lookup'!$E:$E,0)),"")</f>
        <v/>
      </c>
      <c r="P255">
        <f>IFERROR(INDEX('_courses_lookup'!$D:$D,MATCH(K255&amp;L255,'_courses_lookup'!$E:$E,0)),"")</f>
        <v/>
      </c>
      <c r="AG255">
        <f>IF(AND(AE255&lt;&gt;"",AF255&lt;&gt;""),ROUNDUP((AF255-AE255)/7,0),"")</f>
        <v/>
      </c>
      <c r="AI255">
        <f>IFERROR(IF(AG255*AH255=0,"",AG255*AH255),"")</f>
        <v/>
      </c>
      <c r="AL255">
        <f>IF(AND(AJ255&lt;&gt;"",AK255&lt;&gt;""),ROUNDUP((AK255-AJ255)/7,0),"")</f>
        <v/>
      </c>
      <c r="AN255">
        <f>IFERROR(IF(AL255*AM255=0,"",AL255*AM255),"")</f>
        <v/>
      </c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L255">
        <f>IFERROR(INDEX('_names_lookup'!$C:$C,MATCH(BK255,'_names_lookup'!$A:$A,0)),"")</f>
        <v/>
      </c>
      <c r="BM255">
        <f>IFERROR(INDEX('_names_lookup'!$B:$B,MATCH(BK255,'_names_lookup'!$A:$A,0)),"")</f>
        <v/>
      </c>
      <c r="BS255">
        <f>IFERROR(IF(BR255*AA255=0,"",BR255*AA255),"")</f>
        <v/>
      </c>
    </row>
    <row r="256">
      <c r="O256">
        <f>IFERROR(INDEX('_courses_lookup'!$C:$C,MATCH(K256&amp;L256,'_courses_lookup'!$E:$E,0)),"")</f>
        <v/>
      </c>
      <c r="P256">
        <f>IFERROR(INDEX('_courses_lookup'!$D:$D,MATCH(K256&amp;L256,'_courses_lookup'!$E:$E,0)),"")</f>
        <v/>
      </c>
      <c r="AG256">
        <f>IF(AND(AE256&lt;&gt;"",AF256&lt;&gt;""),ROUNDUP((AF256-AE256)/7,0),"")</f>
        <v/>
      </c>
      <c r="AI256">
        <f>IFERROR(IF(AG256*AH256=0,"",AG256*AH256),"")</f>
        <v/>
      </c>
      <c r="AL256">
        <f>IF(AND(AJ256&lt;&gt;"",AK256&lt;&gt;""),ROUNDUP((AK256-AJ256)/7,0),"")</f>
        <v/>
      </c>
      <c r="AN256">
        <f>IFERROR(IF(AL256*AM256=0,"",AL256*AM256),"")</f>
        <v/>
      </c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L256">
        <f>IFERROR(INDEX('_names_lookup'!$C:$C,MATCH(BK256,'_names_lookup'!$A:$A,0)),"")</f>
        <v/>
      </c>
      <c r="BM256">
        <f>IFERROR(INDEX('_names_lookup'!$B:$B,MATCH(BK256,'_names_lookup'!$A:$A,0)),"")</f>
        <v/>
      </c>
      <c r="BS256">
        <f>IFERROR(IF(BR256*AA256=0,"",BR256*AA256),"")</f>
        <v/>
      </c>
    </row>
    <row r="257">
      <c r="O257">
        <f>IFERROR(INDEX('_courses_lookup'!$C:$C,MATCH(K257&amp;L257,'_courses_lookup'!$E:$E,0)),"")</f>
        <v/>
      </c>
      <c r="P257">
        <f>IFERROR(INDEX('_courses_lookup'!$D:$D,MATCH(K257&amp;L257,'_courses_lookup'!$E:$E,0)),"")</f>
        <v/>
      </c>
      <c r="AG257">
        <f>IF(AND(AE257&lt;&gt;"",AF257&lt;&gt;""),ROUNDUP((AF257-AE257)/7,0),"")</f>
        <v/>
      </c>
      <c r="AI257">
        <f>IFERROR(IF(AG257*AH257=0,"",AG257*AH257),"")</f>
        <v/>
      </c>
      <c r="AL257">
        <f>IF(AND(AJ257&lt;&gt;"",AK257&lt;&gt;""),ROUNDUP((AK257-AJ257)/7,0),"")</f>
        <v/>
      </c>
      <c r="AN257">
        <f>IFERROR(IF(AL257*AM257=0,"",AL257*AM257),"")</f>
        <v/>
      </c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L257">
        <f>IFERROR(INDEX('_names_lookup'!$C:$C,MATCH(BK257,'_names_lookup'!$A:$A,0)),"")</f>
        <v/>
      </c>
      <c r="BM257">
        <f>IFERROR(INDEX('_names_lookup'!$B:$B,MATCH(BK257,'_names_lookup'!$A:$A,0)),"")</f>
        <v/>
      </c>
      <c r="BS257">
        <f>IFERROR(IF(BR257*AA257=0,"",BR257*AA257),"")</f>
        <v/>
      </c>
    </row>
    <row r="258">
      <c r="O258">
        <f>IFERROR(INDEX('_courses_lookup'!$C:$C,MATCH(K258&amp;L258,'_courses_lookup'!$E:$E,0)),"")</f>
        <v/>
      </c>
      <c r="P258">
        <f>IFERROR(INDEX('_courses_lookup'!$D:$D,MATCH(K258&amp;L258,'_courses_lookup'!$E:$E,0)),"")</f>
        <v/>
      </c>
      <c r="AG258">
        <f>IF(AND(AE258&lt;&gt;"",AF258&lt;&gt;""),ROUNDUP((AF258-AE258)/7,0),"")</f>
        <v/>
      </c>
      <c r="AI258">
        <f>IFERROR(IF(AG258*AH258=0,"",AG258*AH258),"")</f>
        <v/>
      </c>
      <c r="AL258">
        <f>IF(AND(AJ258&lt;&gt;"",AK258&lt;&gt;""),ROUNDUP((AK258-AJ258)/7,0),"")</f>
        <v/>
      </c>
      <c r="AN258">
        <f>IFERROR(IF(AL258*AM258=0,"",AL258*AM258),"")</f>
        <v/>
      </c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L258">
        <f>IFERROR(INDEX('_names_lookup'!$C:$C,MATCH(BK258,'_names_lookup'!$A:$A,0)),"")</f>
        <v/>
      </c>
      <c r="BM258">
        <f>IFERROR(INDEX('_names_lookup'!$B:$B,MATCH(BK258,'_names_lookup'!$A:$A,0)),"")</f>
        <v/>
      </c>
      <c r="BS258">
        <f>IFERROR(IF(BR258*AA258=0,"",BR258*AA258),"")</f>
        <v/>
      </c>
    </row>
    <row r="259">
      <c r="O259">
        <f>IFERROR(INDEX('_courses_lookup'!$C:$C,MATCH(K259&amp;L259,'_courses_lookup'!$E:$E,0)),"")</f>
        <v/>
      </c>
      <c r="P259">
        <f>IFERROR(INDEX('_courses_lookup'!$D:$D,MATCH(K259&amp;L259,'_courses_lookup'!$E:$E,0)),"")</f>
        <v/>
      </c>
      <c r="AG259">
        <f>IF(AND(AE259&lt;&gt;"",AF259&lt;&gt;""),ROUNDUP((AF259-AE259)/7,0),"")</f>
        <v/>
      </c>
      <c r="AI259">
        <f>IFERROR(IF(AG259*AH259=0,"",AG259*AH259),"")</f>
        <v/>
      </c>
      <c r="AL259">
        <f>IF(AND(AJ259&lt;&gt;"",AK259&lt;&gt;""),ROUNDUP((AK259-AJ259)/7,0),"")</f>
        <v/>
      </c>
      <c r="AN259">
        <f>IFERROR(IF(AL259*AM259=0,"",AL259*AM259),"")</f>
        <v/>
      </c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L259">
        <f>IFERROR(INDEX('_names_lookup'!$C:$C,MATCH(BK259,'_names_lookup'!$A:$A,0)),"")</f>
        <v/>
      </c>
      <c r="BM259">
        <f>IFERROR(INDEX('_names_lookup'!$B:$B,MATCH(BK259,'_names_lookup'!$A:$A,0)),"")</f>
        <v/>
      </c>
      <c r="BS259">
        <f>IFERROR(IF(BR259*AA259=0,"",BR259*AA259),"")</f>
        <v/>
      </c>
    </row>
    <row r="260">
      <c r="O260">
        <f>IFERROR(INDEX('_courses_lookup'!$C:$C,MATCH(K260&amp;L260,'_courses_lookup'!$E:$E,0)),"")</f>
        <v/>
      </c>
      <c r="P260">
        <f>IFERROR(INDEX('_courses_lookup'!$D:$D,MATCH(K260&amp;L260,'_courses_lookup'!$E:$E,0)),"")</f>
        <v/>
      </c>
      <c r="AG260">
        <f>IF(AND(AE260&lt;&gt;"",AF260&lt;&gt;""),ROUNDUP((AF260-AE260)/7,0),"")</f>
        <v/>
      </c>
      <c r="AI260">
        <f>IFERROR(IF(AG260*AH260=0,"",AG260*AH260),"")</f>
        <v/>
      </c>
      <c r="AL260">
        <f>IF(AND(AJ260&lt;&gt;"",AK260&lt;&gt;""),ROUNDUP((AK260-AJ260)/7,0),"")</f>
        <v/>
      </c>
      <c r="AN260">
        <f>IFERROR(IF(AL260*AM260=0,"",AL260*AM260),"")</f>
        <v/>
      </c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L260">
        <f>IFERROR(INDEX('_names_lookup'!$C:$C,MATCH(BK260,'_names_lookup'!$A:$A,0)),"")</f>
        <v/>
      </c>
      <c r="BM260">
        <f>IFERROR(INDEX('_names_lookup'!$B:$B,MATCH(BK260,'_names_lookup'!$A:$A,0)),"")</f>
        <v/>
      </c>
      <c r="BS260">
        <f>IFERROR(IF(BR260*AA260=0,"",BR260*AA260),"")</f>
        <v/>
      </c>
    </row>
    <row r="261">
      <c r="O261">
        <f>IFERROR(INDEX('_courses_lookup'!$C:$C,MATCH(K261&amp;L261,'_courses_lookup'!$E:$E,0)),"")</f>
        <v/>
      </c>
      <c r="P261">
        <f>IFERROR(INDEX('_courses_lookup'!$D:$D,MATCH(K261&amp;L261,'_courses_lookup'!$E:$E,0)),"")</f>
        <v/>
      </c>
      <c r="AG261">
        <f>IF(AND(AE261&lt;&gt;"",AF261&lt;&gt;""),ROUNDUP((AF261-AE261)/7,0),"")</f>
        <v/>
      </c>
      <c r="AI261">
        <f>IFERROR(IF(AG261*AH261=0,"",AG261*AH261),"")</f>
        <v/>
      </c>
      <c r="AL261">
        <f>IF(AND(AJ261&lt;&gt;"",AK261&lt;&gt;""),ROUNDUP((AK261-AJ261)/7,0),"")</f>
        <v/>
      </c>
      <c r="AN261">
        <f>IFERROR(IF(AL261*AM261=0,"",AL261*AM261),"")</f>
        <v/>
      </c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L261">
        <f>IFERROR(INDEX('_names_lookup'!$C:$C,MATCH(BK261,'_names_lookup'!$A:$A,0)),"")</f>
        <v/>
      </c>
      <c r="BM261">
        <f>IFERROR(INDEX('_names_lookup'!$B:$B,MATCH(BK261,'_names_lookup'!$A:$A,0)),"")</f>
        <v/>
      </c>
      <c r="BS261">
        <f>IFERROR(IF(BR261*AA261=0,"",BR261*AA261),"")</f>
        <v/>
      </c>
    </row>
    <row r="262">
      <c r="O262">
        <f>IFERROR(INDEX('_courses_lookup'!$C:$C,MATCH(K262&amp;L262,'_courses_lookup'!$E:$E,0)),"")</f>
        <v/>
      </c>
      <c r="P262">
        <f>IFERROR(INDEX('_courses_lookup'!$D:$D,MATCH(K262&amp;L262,'_courses_lookup'!$E:$E,0)),"")</f>
        <v/>
      </c>
      <c r="AG262">
        <f>IF(AND(AE262&lt;&gt;"",AF262&lt;&gt;""),ROUNDUP((AF262-AE262)/7,0),"")</f>
        <v/>
      </c>
      <c r="AI262">
        <f>IFERROR(IF(AG262*AH262=0,"",AG262*AH262),"")</f>
        <v/>
      </c>
      <c r="AL262">
        <f>IF(AND(AJ262&lt;&gt;"",AK262&lt;&gt;""),ROUNDUP((AK262-AJ262)/7,0),"")</f>
        <v/>
      </c>
      <c r="AN262">
        <f>IFERROR(IF(AL262*AM262=0,"",AL262*AM262),"")</f>
        <v/>
      </c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L262">
        <f>IFERROR(INDEX('_names_lookup'!$C:$C,MATCH(BK262,'_names_lookup'!$A:$A,0)),"")</f>
        <v/>
      </c>
      <c r="BM262">
        <f>IFERROR(INDEX('_names_lookup'!$B:$B,MATCH(BK262,'_names_lookup'!$A:$A,0)),"")</f>
        <v/>
      </c>
      <c r="BS262">
        <f>IFERROR(IF(BR262*AA262=0,"",BR262*AA262),"")</f>
        <v/>
      </c>
    </row>
    <row r="263">
      <c r="O263">
        <f>IFERROR(INDEX('_courses_lookup'!$C:$C,MATCH(K263&amp;L263,'_courses_lookup'!$E:$E,0)),"")</f>
        <v/>
      </c>
      <c r="P263">
        <f>IFERROR(INDEX('_courses_lookup'!$D:$D,MATCH(K263&amp;L263,'_courses_lookup'!$E:$E,0)),"")</f>
        <v/>
      </c>
      <c r="AG263">
        <f>IF(AND(AE263&lt;&gt;"",AF263&lt;&gt;""),ROUNDUP((AF263-AE263)/7,0),"")</f>
        <v/>
      </c>
      <c r="AI263">
        <f>IFERROR(IF(AG263*AH263=0,"",AG263*AH263),"")</f>
        <v/>
      </c>
      <c r="AL263">
        <f>IF(AND(AJ263&lt;&gt;"",AK263&lt;&gt;""),ROUNDUP((AK263-AJ263)/7,0),"")</f>
        <v/>
      </c>
      <c r="AN263">
        <f>IFERROR(IF(AL263*AM263=0,"",AL263*AM263),"")</f>
        <v/>
      </c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L263">
        <f>IFERROR(INDEX('_names_lookup'!$C:$C,MATCH(BK263,'_names_lookup'!$A:$A,0)),"")</f>
        <v/>
      </c>
      <c r="BM263">
        <f>IFERROR(INDEX('_names_lookup'!$B:$B,MATCH(BK263,'_names_lookup'!$A:$A,0)),"")</f>
        <v/>
      </c>
      <c r="BS263">
        <f>IFERROR(IF(BR263*AA263=0,"",BR263*AA263),"")</f>
        <v/>
      </c>
    </row>
    <row r="264">
      <c r="O264">
        <f>IFERROR(INDEX('_courses_lookup'!$C:$C,MATCH(K264&amp;L264,'_courses_lookup'!$E:$E,0)),"")</f>
        <v/>
      </c>
      <c r="P264">
        <f>IFERROR(INDEX('_courses_lookup'!$D:$D,MATCH(K264&amp;L264,'_courses_lookup'!$E:$E,0)),"")</f>
        <v/>
      </c>
      <c r="AG264">
        <f>IF(AND(AE264&lt;&gt;"",AF264&lt;&gt;""),ROUNDUP((AF264-AE264)/7,0),"")</f>
        <v/>
      </c>
      <c r="AI264">
        <f>IFERROR(IF(AG264*AH264=0,"",AG264*AH264),"")</f>
        <v/>
      </c>
      <c r="AL264">
        <f>IF(AND(AJ264&lt;&gt;"",AK264&lt;&gt;""),ROUNDUP((AK264-AJ264)/7,0),"")</f>
        <v/>
      </c>
      <c r="AN264">
        <f>IFERROR(IF(AL264*AM264=0,"",AL264*AM264),"")</f>
        <v/>
      </c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L264">
        <f>IFERROR(INDEX('_names_lookup'!$C:$C,MATCH(BK264,'_names_lookup'!$A:$A,0)),"")</f>
        <v/>
      </c>
      <c r="BM264">
        <f>IFERROR(INDEX('_names_lookup'!$B:$B,MATCH(BK264,'_names_lookup'!$A:$A,0)),"")</f>
        <v/>
      </c>
      <c r="BS264">
        <f>IFERROR(IF(BR264*AA264=0,"",BR264*AA264),"")</f>
        <v/>
      </c>
    </row>
    <row r="265">
      <c r="O265">
        <f>IFERROR(INDEX('_courses_lookup'!$C:$C,MATCH(K265&amp;L265,'_courses_lookup'!$E:$E,0)),"")</f>
        <v/>
      </c>
      <c r="P265">
        <f>IFERROR(INDEX('_courses_lookup'!$D:$D,MATCH(K265&amp;L265,'_courses_lookup'!$E:$E,0)),"")</f>
        <v/>
      </c>
      <c r="AG265">
        <f>IF(AND(AE265&lt;&gt;"",AF265&lt;&gt;""),ROUNDUP((AF265-AE265)/7,0),"")</f>
        <v/>
      </c>
      <c r="AI265">
        <f>IFERROR(IF(AG265*AH265=0,"",AG265*AH265),"")</f>
        <v/>
      </c>
      <c r="AL265">
        <f>IF(AND(AJ265&lt;&gt;"",AK265&lt;&gt;""),ROUNDUP((AK265-AJ265)/7,0),"")</f>
        <v/>
      </c>
      <c r="AN265">
        <f>IFERROR(IF(AL265*AM265=0,"",AL265*AM265),"")</f>
        <v/>
      </c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L265">
        <f>IFERROR(INDEX('_names_lookup'!$C:$C,MATCH(BK265,'_names_lookup'!$A:$A,0)),"")</f>
        <v/>
      </c>
      <c r="BM265">
        <f>IFERROR(INDEX('_names_lookup'!$B:$B,MATCH(BK265,'_names_lookup'!$A:$A,0)),"")</f>
        <v/>
      </c>
      <c r="BS265">
        <f>IFERROR(IF(BR265*AA265=0,"",BR265*AA265),"")</f>
        <v/>
      </c>
    </row>
    <row r="266">
      <c r="O266">
        <f>IFERROR(INDEX('_courses_lookup'!$C:$C,MATCH(K266&amp;L266,'_courses_lookup'!$E:$E,0)),"")</f>
        <v/>
      </c>
      <c r="P266">
        <f>IFERROR(INDEX('_courses_lookup'!$D:$D,MATCH(K266&amp;L266,'_courses_lookup'!$E:$E,0)),"")</f>
        <v/>
      </c>
      <c r="AG266">
        <f>IF(AND(AE266&lt;&gt;"",AF266&lt;&gt;""),ROUNDUP((AF266-AE266)/7,0),"")</f>
        <v/>
      </c>
      <c r="AI266">
        <f>IFERROR(IF(AG266*AH266=0,"",AG266*AH266),"")</f>
        <v/>
      </c>
      <c r="AL266">
        <f>IF(AND(AJ266&lt;&gt;"",AK266&lt;&gt;""),ROUNDUP((AK266-AJ266)/7,0),"")</f>
        <v/>
      </c>
      <c r="AN266">
        <f>IFERROR(IF(AL266*AM266=0,"",AL266*AM266),"")</f>
        <v/>
      </c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L266">
        <f>IFERROR(INDEX('_names_lookup'!$C:$C,MATCH(BK266,'_names_lookup'!$A:$A,0)),"")</f>
        <v/>
      </c>
      <c r="BM266">
        <f>IFERROR(INDEX('_names_lookup'!$B:$B,MATCH(BK266,'_names_lookup'!$A:$A,0)),"")</f>
        <v/>
      </c>
      <c r="BS266">
        <f>IFERROR(IF(BR266*AA266=0,"",BR266*AA266),"")</f>
        <v/>
      </c>
    </row>
    <row r="267">
      <c r="O267">
        <f>IFERROR(INDEX('_courses_lookup'!$C:$C,MATCH(K267&amp;L267,'_courses_lookup'!$E:$E,0)),"")</f>
        <v/>
      </c>
      <c r="P267">
        <f>IFERROR(INDEX('_courses_lookup'!$D:$D,MATCH(K267&amp;L267,'_courses_lookup'!$E:$E,0)),"")</f>
        <v/>
      </c>
      <c r="AG267">
        <f>IF(AND(AE267&lt;&gt;"",AF267&lt;&gt;""),ROUNDUP((AF267-AE267)/7,0),"")</f>
        <v/>
      </c>
      <c r="AI267">
        <f>IFERROR(IF(AG267*AH267=0,"",AG267*AH267),"")</f>
        <v/>
      </c>
      <c r="AL267">
        <f>IF(AND(AJ267&lt;&gt;"",AK267&lt;&gt;""),ROUNDUP((AK267-AJ267)/7,0),"")</f>
        <v/>
      </c>
      <c r="AN267">
        <f>IFERROR(IF(AL267*AM267=0,"",AL267*AM267),"")</f>
        <v/>
      </c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L267">
        <f>IFERROR(INDEX('_names_lookup'!$C:$C,MATCH(BK267,'_names_lookup'!$A:$A,0)),"")</f>
        <v/>
      </c>
      <c r="BM267">
        <f>IFERROR(INDEX('_names_lookup'!$B:$B,MATCH(BK267,'_names_lookup'!$A:$A,0)),"")</f>
        <v/>
      </c>
      <c r="BS267">
        <f>IFERROR(IF(BR267*AA267=0,"",BR267*AA267),"")</f>
        <v/>
      </c>
    </row>
    <row r="268">
      <c r="O268">
        <f>IFERROR(INDEX('_courses_lookup'!$C:$C,MATCH(K268&amp;L268,'_courses_lookup'!$E:$E,0)),"")</f>
        <v/>
      </c>
      <c r="P268">
        <f>IFERROR(INDEX('_courses_lookup'!$D:$D,MATCH(K268&amp;L268,'_courses_lookup'!$E:$E,0)),"")</f>
        <v/>
      </c>
      <c r="AG268">
        <f>IF(AND(AE268&lt;&gt;"",AF268&lt;&gt;""),ROUNDUP((AF268-AE268)/7,0),"")</f>
        <v/>
      </c>
      <c r="AI268">
        <f>IFERROR(IF(AG268*AH268=0,"",AG268*AH268),"")</f>
        <v/>
      </c>
      <c r="AL268">
        <f>IF(AND(AJ268&lt;&gt;"",AK268&lt;&gt;""),ROUNDUP((AK268-AJ268)/7,0),"")</f>
        <v/>
      </c>
      <c r="AN268">
        <f>IFERROR(IF(AL268*AM268=0,"",AL268*AM268),"")</f>
        <v/>
      </c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L268">
        <f>IFERROR(INDEX('_names_lookup'!$C:$C,MATCH(BK268,'_names_lookup'!$A:$A,0)),"")</f>
        <v/>
      </c>
      <c r="BM268">
        <f>IFERROR(INDEX('_names_lookup'!$B:$B,MATCH(BK268,'_names_lookup'!$A:$A,0)),"")</f>
        <v/>
      </c>
      <c r="BS268">
        <f>IFERROR(IF(BR268*AA268=0,"",BR268*AA268),"")</f>
        <v/>
      </c>
    </row>
    <row r="269">
      <c r="O269">
        <f>IFERROR(INDEX('_courses_lookup'!$C:$C,MATCH(K269&amp;L269,'_courses_lookup'!$E:$E,0)),"")</f>
        <v/>
      </c>
      <c r="P269">
        <f>IFERROR(INDEX('_courses_lookup'!$D:$D,MATCH(K269&amp;L269,'_courses_lookup'!$E:$E,0)),"")</f>
        <v/>
      </c>
      <c r="AG269">
        <f>IF(AND(AE269&lt;&gt;"",AF269&lt;&gt;""),ROUNDUP((AF269-AE269)/7,0),"")</f>
        <v/>
      </c>
      <c r="AI269">
        <f>IFERROR(IF(AG269*AH269=0,"",AG269*AH269),"")</f>
        <v/>
      </c>
      <c r="AL269">
        <f>IF(AND(AJ269&lt;&gt;"",AK269&lt;&gt;""),ROUNDUP((AK269-AJ269)/7,0),"")</f>
        <v/>
      </c>
      <c r="AN269">
        <f>IFERROR(IF(AL269*AM269=0,"",AL269*AM269),"")</f>
        <v/>
      </c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L269">
        <f>IFERROR(INDEX('_names_lookup'!$C:$C,MATCH(BK269,'_names_lookup'!$A:$A,0)),"")</f>
        <v/>
      </c>
      <c r="BM269">
        <f>IFERROR(INDEX('_names_lookup'!$B:$B,MATCH(BK269,'_names_lookup'!$A:$A,0)),"")</f>
        <v/>
      </c>
      <c r="BS269">
        <f>IFERROR(IF(BR269*AA269=0,"",BR269*AA269),"")</f>
        <v/>
      </c>
    </row>
    <row r="270">
      <c r="O270">
        <f>IFERROR(INDEX('_courses_lookup'!$C:$C,MATCH(K270&amp;L270,'_courses_lookup'!$E:$E,0)),"")</f>
        <v/>
      </c>
      <c r="P270">
        <f>IFERROR(INDEX('_courses_lookup'!$D:$D,MATCH(K270&amp;L270,'_courses_lookup'!$E:$E,0)),"")</f>
        <v/>
      </c>
      <c r="AG270">
        <f>IF(AND(AE270&lt;&gt;"",AF270&lt;&gt;""),ROUNDUP((AF270-AE270)/7,0),"")</f>
        <v/>
      </c>
      <c r="AI270">
        <f>IFERROR(IF(AG270*AH270=0,"",AG270*AH270),"")</f>
        <v/>
      </c>
      <c r="AL270">
        <f>IF(AND(AJ270&lt;&gt;"",AK270&lt;&gt;""),ROUNDUP((AK270-AJ270)/7,0),"")</f>
        <v/>
      </c>
      <c r="AN270">
        <f>IFERROR(IF(AL270*AM270=0,"",AL270*AM270),"")</f>
        <v/>
      </c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L270">
        <f>IFERROR(INDEX('_names_lookup'!$C:$C,MATCH(BK270,'_names_lookup'!$A:$A,0)),"")</f>
        <v/>
      </c>
      <c r="BM270">
        <f>IFERROR(INDEX('_names_lookup'!$B:$B,MATCH(BK270,'_names_lookup'!$A:$A,0)),"")</f>
        <v/>
      </c>
      <c r="BS270">
        <f>IFERROR(IF(BR270*AA270=0,"",BR270*AA270),"")</f>
        <v/>
      </c>
    </row>
    <row r="271">
      <c r="O271">
        <f>IFERROR(INDEX('_courses_lookup'!$C:$C,MATCH(K271&amp;L271,'_courses_lookup'!$E:$E,0)),"")</f>
        <v/>
      </c>
      <c r="P271">
        <f>IFERROR(INDEX('_courses_lookup'!$D:$D,MATCH(K271&amp;L271,'_courses_lookup'!$E:$E,0)),"")</f>
        <v/>
      </c>
      <c r="AG271">
        <f>IF(AND(AE271&lt;&gt;"",AF271&lt;&gt;""),ROUNDUP((AF271-AE271)/7,0),"")</f>
        <v/>
      </c>
      <c r="AI271">
        <f>IFERROR(IF(AG271*AH271=0,"",AG271*AH271),"")</f>
        <v/>
      </c>
      <c r="AL271">
        <f>IF(AND(AJ271&lt;&gt;"",AK271&lt;&gt;""),ROUNDUP((AK271-AJ271)/7,0),"")</f>
        <v/>
      </c>
      <c r="AN271">
        <f>IFERROR(IF(AL271*AM271=0,"",AL271*AM271),"")</f>
        <v/>
      </c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L271">
        <f>IFERROR(INDEX('_names_lookup'!$C:$C,MATCH(BK271,'_names_lookup'!$A:$A,0)),"")</f>
        <v/>
      </c>
      <c r="BM271">
        <f>IFERROR(INDEX('_names_lookup'!$B:$B,MATCH(BK271,'_names_lookup'!$A:$A,0)),"")</f>
        <v/>
      </c>
      <c r="BS271">
        <f>IFERROR(IF(BR271*AA271=0,"",BR271*AA271),"")</f>
        <v/>
      </c>
    </row>
    <row r="272">
      <c r="O272">
        <f>IFERROR(INDEX('_courses_lookup'!$C:$C,MATCH(K272&amp;L272,'_courses_lookup'!$E:$E,0)),"")</f>
        <v/>
      </c>
      <c r="P272">
        <f>IFERROR(INDEX('_courses_lookup'!$D:$D,MATCH(K272&amp;L272,'_courses_lookup'!$E:$E,0)),"")</f>
        <v/>
      </c>
      <c r="AG272">
        <f>IF(AND(AE272&lt;&gt;"",AF272&lt;&gt;""),ROUNDUP((AF272-AE272)/7,0),"")</f>
        <v/>
      </c>
      <c r="AI272">
        <f>IFERROR(IF(AG272*AH272=0,"",AG272*AH272),"")</f>
        <v/>
      </c>
      <c r="AL272">
        <f>IF(AND(AJ272&lt;&gt;"",AK272&lt;&gt;""),ROUNDUP((AK272-AJ272)/7,0),"")</f>
        <v/>
      </c>
      <c r="AN272">
        <f>IFERROR(IF(AL272*AM272=0,"",AL272*AM272),"")</f>
        <v/>
      </c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L272">
        <f>IFERROR(INDEX('_names_lookup'!$C:$C,MATCH(BK272,'_names_lookup'!$A:$A,0)),"")</f>
        <v/>
      </c>
      <c r="BM272">
        <f>IFERROR(INDEX('_names_lookup'!$B:$B,MATCH(BK272,'_names_lookup'!$A:$A,0)),"")</f>
        <v/>
      </c>
      <c r="BS272">
        <f>IFERROR(IF(BR272*AA272=0,"",BR272*AA272),"")</f>
        <v/>
      </c>
    </row>
    <row r="273">
      <c r="O273">
        <f>IFERROR(INDEX('_courses_lookup'!$C:$C,MATCH(K273&amp;L273,'_courses_lookup'!$E:$E,0)),"")</f>
        <v/>
      </c>
      <c r="P273">
        <f>IFERROR(INDEX('_courses_lookup'!$D:$D,MATCH(K273&amp;L273,'_courses_lookup'!$E:$E,0)),"")</f>
        <v/>
      </c>
      <c r="AG273">
        <f>IF(AND(AE273&lt;&gt;"",AF273&lt;&gt;""),ROUNDUP((AF273-AE273)/7,0),"")</f>
        <v/>
      </c>
      <c r="AI273">
        <f>IFERROR(IF(AG273*AH273=0,"",AG273*AH273),"")</f>
        <v/>
      </c>
      <c r="AL273">
        <f>IF(AND(AJ273&lt;&gt;"",AK273&lt;&gt;""),ROUNDUP((AK273-AJ273)/7,0),"")</f>
        <v/>
      </c>
      <c r="AN273">
        <f>IFERROR(IF(AL273*AM273=0,"",AL273*AM273),"")</f>
        <v/>
      </c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L273">
        <f>IFERROR(INDEX('_names_lookup'!$C:$C,MATCH(BK273,'_names_lookup'!$A:$A,0)),"")</f>
        <v/>
      </c>
      <c r="BM273">
        <f>IFERROR(INDEX('_names_lookup'!$B:$B,MATCH(BK273,'_names_lookup'!$A:$A,0)),"")</f>
        <v/>
      </c>
      <c r="BS273">
        <f>IFERROR(IF(BR273*AA273=0,"",BR273*AA273),"")</f>
        <v/>
      </c>
    </row>
    <row r="274">
      <c r="O274">
        <f>IFERROR(INDEX('_courses_lookup'!$C:$C,MATCH(K274&amp;L274,'_courses_lookup'!$E:$E,0)),"")</f>
        <v/>
      </c>
      <c r="P274">
        <f>IFERROR(INDEX('_courses_lookup'!$D:$D,MATCH(K274&amp;L274,'_courses_lookup'!$E:$E,0)),"")</f>
        <v/>
      </c>
      <c r="AG274">
        <f>IF(AND(AE274&lt;&gt;"",AF274&lt;&gt;""),ROUNDUP((AF274-AE274)/7,0),"")</f>
        <v/>
      </c>
      <c r="AI274">
        <f>IFERROR(IF(AG274*AH274=0,"",AG274*AH274),"")</f>
        <v/>
      </c>
      <c r="AL274">
        <f>IF(AND(AJ274&lt;&gt;"",AK274&lt;&gt;""),ROUNDUP((AK274-AJ274)/7,0),"")</f>
        <v/>
      </c>
      <c r="AN274">
        <f>IFERROR(IF(AL274*AM274=0,"",AL274*AM274),"")</f>
        <v/>
      </c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L274">
        <f>IFERROR(INDEX('_names_lookup'!$C:$C,MATCH(BK274,'_names_lookup'!$A:$A,0)),"")</f>
        <v/>
      </c>
      <c r="BM274">
        <f>IFERROR(INDEX('_names_lookup'!$B:$B,MATCH(BK274,'_names_lookup'!$A:$A,0)),"")</f>
        <v/>
      </c>
      <c r="BS274">
        <f>IFERROR(IF(BR274*AA274=0,"",BR274*AA274),"")</f>
        <v/>
      </c>
    </row>
    <row r="275">
      <c r="O275">
        <f>IFERROR(INDEX('_courses_lookup'!$C:$C,MATCH(K275&amp;L275,'_courses_lookup'!$E:$E,0)),"")</f>
        <v/>
      </c>
      <c r="P275">
        <f>IFERROR(INDEX('_courses_lookup'!$D:$D,MATCH(K275&amp;L275,'_courses_lookup'!$E:$E,0)),"")</f>
        <v/>
      </c>
      <c r="AG275">
        <f>IF(AND(AE275&lt;&gt;"",AF275&lt;&gt;""),ROUNDUP((AF275-AE275)/7,0),"")</f>
        <v/>
      </c>
      <c r="AI275">
        <f>IFERROR(IF(AG275*AH275=0,"",AG275*AH275),"")</f>
        <v/>
      </c>
      <c r="AL275">
        <f>IF(AND(AJ275&lt;&gt;"",AK275&lt;&gt;""),ROUNDUP((AK275-AJ275)/7,0),"")</f>
        <v/>
      </c>
      <c r="AN275">
        <f>IFERROR(IF(AL275*AM275=0,"",AL275*AM275),"")</f>
        <v/>
      </c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L275">
        <f>IFERROR(INDEX('_names_lookup'!$C:$C,MATCH(BK275,'_names_lookup'!$A:$A,0)),"")</f>
        <v/>
      </c>
      <c r="BM275">
        <f>IFERROR(INDEX('_names_lookup'!$B:$B,MATCH(BK275,'_names_lookup'!$A:$A,0)),"")</f>
        <v/>
      </c>
      <c r="BS275">
        <f>IFERROR(IF(BR275*AA275=0,"",BR275*AA275),"")</f>
        <v/>
      </c>
    </row>
    <row r="276">
      <c r="O276">
        <f>IFERROR(INDEX('_courses_lookup'!$C:$C,MATCH(K276&amp;L276,'_courses_lookup'!$E:$E,0)),"")</f>
        <v/>
      </c>
      <c r="P276">
        <f>IFERROR(INDEX('_courses_lookup'!$D:$D,MATCH(K276&amp;L276,'_courses_lookup'!$E:$E,0)),"")</f>
        <v/>
      </c>
      <c r="AG276">
        <f>IF(AND(AE276&lt;&gt;"",AF276&lt;&gt;""),ROUNDUP((AF276-AE276)/7,0),"")</f>
        <v/>
      </c>
      <c r="AI276">
        <f>IFERROR(IF(AG276*AH276=0,"",AG276*AH276),"")</f>
        <v/>
      </c>
      <c r="AL276">
        <f>IF(AND(AJ276&lt;&gt;"",AK276&lt;&gt;""),ROUNDUP((AK276-AJ276)/7,0),"")</f>
        <v/>
      </c>
      <c r="AN276">
        <f>IFERROR(IF(AL276*AM276=0,"",AL276*AM276),"")</f>
        <v/>
      </c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L276">
        <f>IFERROR(INDEX('_names_lookup'!$C:$C,MATCH(BK276,'_names_lookup'!$A:$A,0)),"")</f>
        <v/>
      </c>
      <c r="BM276">
        <f>IFERROR(INDEX('_names_lookup'!$B:$B,MATCH(BK276,'_names_lookup'!$A:$A,0)),"")</f>
        <v/>
      </c>
      <c r="BS276">
        <f>IFERROR(IF(BR276*AA276=0,"",BR276*AA276),"")</f>
        <v/>
      </c>
    </row>
    <row r="277">
      <c r="O277">
        <f>IFERROR(INDEX('_courses_lookup'!$C:$C,MATCH(K277&amp;L277,'_courses_lookup'!$E:$E,0)),"")</f>
        <v/>
      </c>
      <c r="P277">
        <f>IFERROR(INDEX('_courses_lookup'!$D:$D,MATCH(K277&amp;L277,'_courses_lookup'!$E:$E,0)),"")</f>
        <v/>
      </c>
      <c r="AG277">
        <f>IF(AND(AE277&lt;&gt;"",AF277&lt;&gt;""),ROUNDUP((AF277-AE277)/7,0),"")</f>
        <v/>
      </c>
      <c r="AI277">
        <f>IFERROR(IF(AG277*AH277=0,"",AG277*AH277),"")</f>
        <v/>
      </c>
      <c r="AL277">
        <f>IF(AND(AJ277&lt;&gt;"",AK277&lt;&gt;""),ROUNDUP((AK277-AJ277)/7,0),"")</f>
        <v/>
      </c>
      <c r="AN277">
        <f>IFERROR(IF(AL277*AM277=0,"",AL277*AM277),"")</f>
        <v/>
      </c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L277">
        <f>IFERROR(INDEX('_names_lookup'!$C:$C,MATCH(BK277,'_names_lookup'!$A:$A,0)),"")</f>
        <v/>
      </c>
      <c r="BM277">
        <f>IFERROR(INDEX('_names_lookup'!$B:$B,MATCH(BK277,'_names_lookup'!$A:$A,0)),"")</f>
        <v/>
      </c>
      <c r="BS277">
        <f>IFERROR(IF(BR277*AA277=0,"",BR277*AA277),"")</f>
        <v/>
      </c>
    </row>
    <row r="278">
      <c r="O278">
        <f>IFERROR(INDEX('_courses_lookup'!$C:$C,MATCH(K278&amp;L278,'_courses_lookup'!$E:$E,0)),"")</f>
        <v/>
      </c>
      <c r="P278">
        <f>IFERROR(INDEX('_courses_lookup'!$D:$D,MATCH(K278&amp;L278,'_courses_lookup'!$E:$E,0)),"")</f>
        <v/>
      </c>
      <c r="AG278">
        <f>IF(AND(AE278&lt;&gt;"",AF278&lt;&gt;""),ROUNDUP((AF278-AE278)/7,0),"")</f>
        <v/>
      </c>
      <c r="AI278">
        <f>IFERROR(IF(AG278*AH278=0,"",AG278*AH278),"")</f>
        <v/>
      </c>
      <c r="AL278">
        <f>IF(AND(AJ278&lt;&gt;"",AK278&lt;&gt;""),ROUNDUP((AK278-AJ278)/7,0),"")</f>
        <v/>
      </c>
      <c r="AN278">
        <f>IFERROR(IF(AL278*AM278=0,"",AL278*AM278),"")</f>
        <v/>
      </c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L278">
        <f>IFERROR(INDEX('_names_lookup'!$C:$C,MATCH(BK278,'_names_lookup'!$A:$A,0)),"")</f>
        <v/>
      </c>
      <c r="BM278">
        <f>IFERROR(INDEX('_names_lookup'!$B:$B,MATCH(BK278,'_names_lookup'!$A:$A,0)),"")</f>
        <v/>
      </c>
      <c r="BS278">
        <f>IFERROR(IF(BR278*AA278=0,"",BR278*AA278),"")</f>
        <v/>
      </c>
    </row>
    <row r="279">
      <c r="O279">
        <f>IFERROR(INDEX('_courses_lookup'!$C:$C,MATCH(K279&amp;L279,'_courses_lookup'!$E:$E,0)),"")</f>
        <v/>
      </c>
      <c r="P279">
        <f>IFERROR(INDEX('_courses_lookup'!$D:$D,MATCH(K279&amp;L279,'_courses_lookup'!$E:$E,0)),"")</f>
        <v/>
      </c>
      <c r="AG279">
        <f>IF(AND(AE279&lt;&gt;"",AF279&lt;&gt;""),ROUNDUP((AF279-AE279)/7,0),"")</f>
        <v/>
      </c>
      <c r="AI279">
        <f>IFERROR(IF(AG279*AH279=0,"",AG279*AH279),"")</f>
        <v/>
      </c>
      <c r="AL279">
        <f>IF(AND(AJ279&lt;&gt;"",AK279&lt;&gt;""),ROUNDUP((AK279-AJ279)/7,0),"")</f>
        <v/>
      </c>
      <c r="AN279">
        <f>IFERROR(IF(AL279*AM279=0,"",AL279*AM279),"")</f>
        <v/>
      </c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L279">
        <f>IFERROR(INDEX('_names_lookup'!$C:$C,MATCH(BK279,'_names_lookup'!$A:$A,0)),"")</f>
        <v/>
      </c>
      <c r="BM279">
        <f>IFERROR(INDEX('_names_lookup'!$B:$B,MATCH(BK279,'_names_lookup'!$A:$A,0)),"")</f>
        <v/>
      </c>
      <c r="BS279">
        <f>IFERROR(IF(BR279*AA279=0,"",BR279*AA279),"")</f>
        <v/>
      </c>
    </row>
    <row r="280">
      <c r="O280">
        <f>IFERROR(INDEX('_courses_lookup'!$C:$C,MATCH(K280&amp;L280,'_courses_lookup'!$E:$E,0)),"")</f>
        <v/>
      </c>
      <c r="P280">
        <f>IFERROR(INDEX('_courses_lookup'!$D:$D,MATCH(K280&amp;L280,'_courses_lookup'!$E:$E,0)),"")</f>
        <v/>
      </c>
      <c r="AG280">
        <f>IF(AND(AE280&lt;&gt;"",AF280&lt;&gt;""),ROUNDUP((AF280-AE280)/7,0),"")</f>
        <v/>
      </c>
      <c r="AI280">
        <f>IFERROR(IF(AG280*AH280=0,"",AG280*AH280),"")</f>
        <v/>
      </c>
      <c r="AL280">
        <f>IF(AND(AJ280&lt;&gt;"",AK280&lt;&gt;""),ROUNDUP((AK280-AJ280)/7,0),"")</f>
        <v/>
      </c>
      <c r="AN280">
        <f>IFERROR(IF(AL280*AM280=0,"",AL280*AM280),"")</f>
        <v/>
      </c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L280">
        <f>IFERROR(INDEX('_names_lookup'!$C:$C,MATCH(BK280,'_names_lookup'!$A:$A,0)),"")</f>
        <v/>
      </c>
      <c r="BM280">
        <f>IFERROR(INDEX('_names_lookup'!$B:$B,MATCH(BK280,'_names_lookup'!$A:$A,0)),"")</f>
        <v/>
      </c>
      <c r="BS280">
        <f>IFERROR(IF(BR280*AA280=0,"",BR280*AA280),"")</f>
        <v/>
      </c>
    </row>
    <row r="281">
      <c r="O281">
        <f>IFERROR(INDEX('_courses_lookup'!$C:$C,MATCH(K281&amp;L281,'_courses_lookup'!$E:$E,0)),"")</f>
        <v/>
      </c>
      <c r="P281">
        <f>IFERROR(INDEX('_courses_lookup'!$D:$D,MATCH(K281&amp;L281,'_courses_lookup'!$E:$E,0)),"")</f>
        <v/>
      </c>
      <c r="AG281">
        <f>IF(AND(AE281&lt;&gt;"",AF281&lt;&gt;""),ROUNDUP((AF281-AE281)/7,0),"")</f>
        <v/>
      </c>
      <c r="AI281">
        <f>IFERROR(IF(AG281*AH281=0,"",AG281*AH281),"")</f>
        <v/>
      </c>
      <c r="AL281">
        <f>IF(AND(AJ281&lt;&gt;"",AK281&lt;&gt;""),ROUNDUP((AK281-AJ281)/7,0),"")</f>
        <v/>
      </c>
      <c r="AN281">
        <f>IFERROR(IF(AL281*AM281=0,"",AL281*AM281),"")</f>
        <v/>
      </c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L281">
        <f>IFERROR(INDEX('_names_lookup'!$C:$C,MATCH(BK281,'_names_lookup'!$A:$A,0)),"")</f>
        <v/>
      </c>
      <c r="BM281">
        <f>IFERROR(INDEX('_names_lookup'!$B:$B,MATCH(BK281,'_names_lookup'!$A:$A,0)),"")</f>
        <v/>
      </c>
      <c r="BS281">
        <f>IFERROR(IF(BR281*AA281=0,"",BR281*AA281),"")</f>
        <v/>
      </c>
    </row>
    <row r="282">
      <c r="O282">
        <f>IFERROR(INDEX('_courses_lookup'!$C:$C,MATCH(K282&amp;L282,'_courses_lookup'!$E:$E,0)),"")</f>
        <v/>
      </c>
      <c r="P282">
        <f>IFERROR(INDEX('_courses_lookup'!$D:$D,MATCH(K282&amp;L282,'_courses_lookup'!$E:$E,0)),"")</f>
        <v/>
      </c>
      <c r="AG282">
        <f>IF(AND(AE282&lt;&gt;"",AF282&lt;&gt;""),ROUNDUP((AF282-AE282)/7,0),"")</f>
        <v/>
      </c>
      <c r="AI282">
        <f>IFERROR(IF(AG282*AH282=0,"",AG282*AH282),"")</f>
        <v/>
      </c>
      <c r="AL282">
        <f>IF(AND(AJ282&lt;&gt;"",AK282&lt;&gt;""),ROUNDUP((AK282-AJ282)/7,0),"")</f>
        <v/>
      </c>
      <c r="AN282">
        <f>IFERROR(IF(AL282*AM282=0,"",AL282*AM282),"")</f>
        <v/>
      </c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L282">
        <f>IFERROR(INDEX('_names_lookup'!$C:$C,MATCH(BK282,'_names_lookup'!$A:$A,0)),"")</f>
        <v/>
      </c>
      <c r="BM282">
        <f>IFERROR(INDEX('_names_lookup'!$B:$B,MATCH(BK282,'_names_lookup'!$A:$A,0)),"")</f>
        <v/>
      </c>
      <c r="BS282">
        <f>IFERROR(IF(BR282*AA282=0,"",BR282*AA282),"")</f>
        <v/>
      </c>
    </row>
    <row r="283">
      <c r="O283">
        <f>IFERROR(INDEX('_courses_lookup'!$C:$C,MATCH(K283&amp;L283,'_courses_lookup'!$E:$E,0)),"")</f>
        <v/>
      </c>
      <c r="P283">
        <f>IFERROR(INDEX('_courses_lookup'!$D:$D,MATCH(K283&amp;L283,'_courses_lookup'!$E:$E,0)),"")</f>
        <v/>
      </c>
      <c r="AG283">
        <f>IF(AND(AE283&lt;&gt;"",AF283&lt;&gt;""),ROUNDUP((AF283-AE283)/7,0),"")</f>
        <v/>
      </c>
      <c r="AI283">
        <f>IFERROR(IF(AG283*AH283=0,"",AG283*AH283),"")</f>
        <v/>
      </c>
      <c r="AL283">
        <f>IF(AND(AJ283&lt;&gt;"",AK283&lt;&gt;""),ROUNDUP((AK283-AJ283)/7,0),"")</f>
        <v/>
      </c>
      <c r="AN283">
        <f>IFERROR(IF(AL283*AM283=0,"",AL283*AM283),"")</f>
        <v/>
      </c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L283">
        <f>IFERROR(INDEX('_names_lookup'!$C:$C,MATCH(BK283,'_names_lookup'!$A:$A,0)),"")</f>
        <v/>
      </c>
      <c r="BM283">
        <f>IFERROR(INDEX('_names_lookup'!$B:$B,MATCH(BK283,'_names_lookup'!$A:$A,0)),"")</f>
        <v/>
      </c>
      <c r="BS283">
        <f>IFERROR(IF(BR283*AA283=0,"",BR283*AA283),"")</f>
        <v/>
      </c>
    </row>
    <row r="284">
      <c r="O284">
        <f>IFERROR(INDEX('_courses_lookup'!$C:$C,MATCH(K284&amp;L284,'_courses_lookup'!$E:$E,0)),"")</f>
        <v/>
      </c>
      <c r="P284">
        <f>IFERROR(INDEX('_courses_lookup'!$D:$D,MATCH(K284&amp;L284,'_courses_lookup'!$E:$E,0)),"")</f>
        <v/>
      </c>
      <c r="AG284">
        <f>IF(AND(AE284&lt;&gt;"",AF284&lt;&gt;""),ROUNDUP((AF284-AE284)/7,0),"")</f>
        <v/>
      </c>
      <c r="AI284">
        <f>IFERROR(IF(AG284*AH284=0,"",AG284*AH284),"")</f>
        <v/>
      </c>
      <c r="AL284">
        <f>IF(AND(AJ284&lt;&gt;"",AK284&lt;&gt;""),ROUNDUP((AK284-AJ284)/7,0),"")</f>
        <v/>
      </c>
      <c r="AN284">
        <f>IFERROR(IF(AL284*AM284=0,"",AL284*AM284),"")</f>
        <v/>
      </c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L284">
        <f>IFERROR(INDEX('_names_lookup'!$C:$C,MATCH(BK284,'_names_lookup'!$A:$A,0)),"")</f>
        <v/>
      </c>
      <c r="BM284">
        <f>IFERROR(INDEX('_names_lookup'!$B:$B,MATCH(BK284,'_names_lookup'!$A:$A,0)),"")</f>
        <v/>
      </c>
      <c r="BS284">
        <f>IFERROR(IF(BR284*AA284=0,"",BR284*AA284),"")</f>
        <v/>
      </c>
    </row>
    <row r="285">
      <c r="O285">
        <f>IFERROR(INDEX('_courses_lookup'!$C:$C,MATCH(K285&amp;L285,'_courses_lookup'!$E:$E,0)),"")</f>
        <v/>
      </c>
      <c r="P285">
        <f>IFERROR(INDEX('_courses_lookup'!$D:$D,MATCH(K285&amp;L285,'_courses_lookup'!$E:$E,0)),"")</f>
        <v/>
      </c>
      <c r="AG285">
        <f>IF(AND(AE285&lt;&gt;"",AF285&lt;&gt;""),ROUNDUP((AF285-AE285)/7,0),"")</f>
        <v/>
      </c>
      <c r="AI285">
        <f>IFERROR(IF(AG285*AH285=0,"",AG285*AH285),"")</f>
        <v/>
      </c>
      <c r="AL285">
        <f>IF(AND(AJ285&lt;&gt;"",AK285&lt;&gt;""),ROUNDUP((AK285-AJ285)/7,0),"")</f>
        <v/>
      </c>
      <c r="AN285">
        <f>IFERROR(IF(AL285*AM285=0,"",AL285*AM285),"")</f>
        <v/>
      </c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L285">
        <f>IFERROR(INDEX('_names_lookup'!$C:$C,MATCH(BK285,'_names_lookup'!$A:$A,0)),"")</f>
        <v/>
      </c>
      <c r="BM285">
        <f>IFERROR(INDEX('_names_lookup'!$B:$B,MATCH(BK285,'_names_lookup'!$A:$A,0)),"")</f>
        <v/>
      </c>
      <c r="BS285">
        <f>IFERROR(IF(BR285*AA285=0,"",BR285*AA285),"")</f>
        <v/>
      </c>
    </row>
    <row r="286">
      <c r="O286">
        <f>IFERROR(INDEX('_courses_lookup'!$C:$C,MATCH(K286&amp;L286,'_courses_lookup'!$E:$E,0)),"")</f>
        <v/>
      </c>
      <c r="P286">
        <f>IFERROR(INDEX('_courses_lookup'!$D:$D,MATCH(K286&amp;L286,'_courses_lookup'!$E:$E,0)),"")</f>
        <v/>
      </c>
      <c r="AG286">
        <f>IF(AND(AE286&lt;&gt;"",AF286&lt;&gt;""),ROUNDUP((AF286-AE286)/7,0),"")</f>
        <v/>
      </c>
      <c r="AI286">
        <f>IFERROR(IF(AG286*AH286=0,"",AG286*AH286),"")</f>
        <v/>
      </c>
      <c r="AL286">
        <f>IF(AND(AJ286&lt;&gt;"",AK286&lt;&gt;""),ROUNDUP((AK286-AJ286)/7,0),"")</f>
        <v/>
      </c>
      <c r="AN286">
        <f>IFERROR(IF(AL286*AM286=0,"",AL286*AM286),"")</f>
        <v/>
      </c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L286">
        <f>IFERROR(INDEX('_names_lookup'!$C:$C,MATCH(BK286,'_names_lookup'!$A:$A,0)),"")</f>
        <v/>
      </c>
      <c r="BM286">
        <f>IFERROR(INDEX('_names_lookup'!$B:$B,MATCH(BK286,'_names_lookup'!$A:$A,0)),"")</f>
        <v/>
      </c>
      <c r="BS286">
        <f>IFERROR(IF(BR286*AA286=0,"",BR286*AA286),"")</f>
        <v/>
      </c>
    </row>
    <row r="287">
      <c r="O287">
        <f>IFERROR(INDEX('_courses_lookup'!$C:$C,MATCH(K287&amp;L287,'_courses_lookup'!$E:$E,0)),"")</f>
        <v/>
      </c>
      <c r="P287">
        <f>IFERROR(INDEX('_courses_lookup'!$D:$D,MATCH(K287&amp;L287,'_courses_lookup'!$E:$E,0)),"")</f>
        <v/>
      </c>
      <c r="AG287">
        <f>IF(AND(AE287&lt;&gt;"",AF287&lt;&gt;""),ROUNDUP((AF287-AE287)/7,0),"")</f>
        <v/>
      </c>
      <c r="AI287">
        <f>IFERROR(IF(AG287*AH287=0,"",AG287*AH287),"")</f>
        <v/>
      </c>
      <c r="AL287">
        <f>IF(AND(AJ287&lt;&gt;"",AK287&lt;&gt;""),ROUNDUP((AK287-AJ287)/7,0),"")</f>
        <v/>
      </c>
      <c r="AN287">
        <f>IFERROR(IF(AL287*AM287=0,"",AL287*AM287),"")</f>
        <v/>
      </c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L287">
        <f>IFERROR(INDEX('_names_lookup'!$C:$C,MATCH(BK287,'_names_lookup'!$A:$A,0)),"")</f>
        <v/>
      </c>
      <c r="BM287">
        <f>IFERROR(INDEX('_names_lookup'!$B:$B,MATCH(BK287,'_names_lookup'!$A:$A,0)),"")</f>
        <v/>
      </c>
      <c r="BS287">
        <f>IFERROR(IF(BR287*AA287=0,"",BR287*AA287),"")</f>
        <v/>
      </c>
    </row>
    <row r="288">
      <c r="O288">
        <f>IFERROR(INDEX('_courses_lookup'!$C:$C,MATCH(K288&amp;L288,'_courses_lookup'!$E:$E,0)),"")</f>
        <v/>
      </c>
      <c r="P288">
        <f>IFERROR(INDEX('_courses_lookup'!$D:$D,MATCH(K288&amp;L288,'_courses_lookup'!$E:$E,0)),"")</f>
        <v/>
      </c>
      <c r="AG288">
        <f>IF(AND(AE288&lt;&gt;"",AF288&lt;&gt;""),ROUNDUP((AF288-AE288)/7,0),"")</f>
        <v/>
      </c>
      <c r="AI288">
        <f>IFERROR(IF(AG288*AH288=0,"",AG288*AH288),"")</f>
        <v/>
      </c>
      <c r="AL288">
        <f>IF(AND(AJ288&lt;&gt;"",AK288&lt;&gt;""),ROUNDUP((AK288-AJ288)/7,0),"")</f>
        <v/>
      </c>
      <c r="AN288">
        <f>IFERROR(IF(AL288*AM288=0,"",AL288*AM288),"")</f>
        <v/>
      </c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L288">
        <f>IFERROR(INDEX('_names_lookup'!$C:$C,MATCH(BK288,'_names_lookup'!$A:$A,0)),"")</f>
        <v/>
      </c>
      <c r="BM288">
        <f>IFERROR(INDEX('_names_lookup'!$B:$B,MATCH(BK288,'_names_lookup'!$A:$A,0)),"")</f>
        <v/>
      </c>
      <c r="BS288">
        <f>IFERROR(IF(BR288*AA288=0,"",BR288*AA288),"")</f>
        <v/>
      </c>
    </row>
    <row r="289">
      <c r="O289">
        <f>IFERROR(INDEX('_courses_lookup'!$C:$C,MATCH(K289&amp;L289,'_courses_lookup'!$E:$E,0)),"")</f>
        <v/>
      </c>
      <c r="P289">
        <f>IFERROR(INDEX('_courses_lookup'!$D:$D,MATCH(K289&amp;L289,'_courses_lookup'!$E:$E,0)),"")</f>
        <v/>
      </c>
      <c r="AG289">
        <f>IF(AND(AE289&lt;&gt;"",AF289&lt;&gt;""),ROUNDUP((AF289-AE289)/7,0),"")</f>
        <v/>
      </c>
      <c r="AI289">
        <f>IFERROR(IF(AG289*AH289=0,"",AG289*AH289),"")</f>
        <v/>
      </c>
      <c r="AL289">
        <f>IF(AND(AJ289&lt;&gt;"",AK289&lt;&gt;""),ROUNDUP((AK289-AJ289)/7,0),"")</f>
        <v/>
      </c>
      <c r="AN289">
        <f>IFERROR(IF(AL289*AM289=0,"",AL289*AM289),"")</f>
        <v/>
      </c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L289">
        <f>IFERROR(INDEX('_names_lookup'!$C:$C,MATCH(BK289,'_names_lookup'!$A:$A,0)),"")</f>
        <v/>
      </c>
      <c r="BM289">
        <f>IFERROR(INDEX('_names_lookup'!$B:$B,MATCH(BK289,'_names_lookup'!$A:$A,0)),"")</f>
        <v/>
      </c>
      <c r="BS289">
        <f>IFERROR(IF(BR289*AA289=0,"",BR289*AA289),"")</f>
        <v/>
      </c>
    </row>
    <row r="290">
      <c r="O290">
        <f>IFERROR(INDEX('_courses_lookup'!$C:$C,MATCH(K290&amp;L290,'_courses_lookup'!$E:$E,0)),"")</f>
        <v/>
      </c>
      <c r="P290">
        <f>IFERROR(INDEX('_courses_lookup'!$D:$D,MATCH(K290&amp;L290,'_courses_lookup'!$E:$E,0)),"")</f>
        <v/>
      </c>
      <c r="AG290">
        <f>IF(AND(AE290&lt;&gt;"",AF290&lt;&gt;""),ROUNDUP((AF290-AE290)/7,0),"")</f>
        <v/>
      </c>
      <c r="AI290">
        <f>IFERROR(IF(AG290*AH290=0,"",AG290*AH290),"")</f>
        <v/>
      </c>
      <c r="AL290">
        <f>IF(AND(AJ290&lt;&gt;"",AK290&lt;&gt;""),ROUNDUP((AK290-AJ290)/7,0),"")</f>
        <v/>
      </c>
      <c r="AN290">
        <f>IFERROR(IF(AL290*AM290=0,"",AL290*AM290),"")</f>
        <v/>
      </c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L290">
        <f>IFERROR(INDEX('_names_lookup'!$C:$C,MATCH(BK290,'_names_lookup'!$A:$A,0)),"")</f>
        <v/>
      </c>
      <c r="BM290">
        <f>IFERROR(INDEX('_names_lookup'!$B:$B,MATCH(BK290,'_names_lookup'!$A:$A,0)),"")</f>
        <v/>
      </c>
      <c r="BS290">
        <f>IFERROR(IF(BR290*AA290=0,"",BR290*AA290),"")</f>
        <v/>
      </c>
    </row>
    <row r="291">
      <c r="O291">
        <f>IFERROR(INDEX('_courses_lookup'!$C:$C,MATCH(K291&amp;L291,'_courses_lookup'!$E:$E,0)),"")</f>
        <v/>
      </c>
      <c r="P291">
        <f>IFERROR(INDEX('_courses_lookup'!$D:$D,MATCH(K291&amp;L291,'_courses_lookup'!$E:$E,0)),"")</f>
        <v/>
      </c>
      <c r="AG291">
        <f>IF(AND(AE291&lt;&gt;"",AF291&lt;&gt;""),ROUNDUP((AF291-AE291)/7,0),"")</f>
        <v/>
      </c>
      <c r="AI291">
        <f>IFERROR(IF(AG291*AH291=0,"",AG291*AH291),"")</f>
        <v/>
      </c>
      <c r="AL291">
        <f>IF(AND(AJ291&lt;&gt;"",AK291&lt;&gt;""),ROUNDUP((AK291-AJ291)/7,0),"")</f>
        <v/>
      </c>
      <c r="AN291">
        <f>IFERROR(IF(AL291*AM291=0,"",AL291*AM291),"")</f>
        <v/>
      </c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L291">
        <f>IFERROR(INDEX('_names_lookup'!$C:$C,MATCH(BK291,'_names_lookup'!$A:$A,0)),"")</f>
        <v/>
      </c>
      <c r="BM291">
        <f>IFERROR(INDEX('_names_lookup'!$B:$B,MATCH(BK291,'_names_lookup'!$A:$A,0)),"")</f>
        <v/>
      </c>
      <c r="BS291">
        <f>IFERROR(IF(BR291*AA291=0,"",BR291*AA291),"")</f>
        <v/>
      </c>
    </row>
    <row r="292">
      <c r="O292">
        <f>IFERROR(INDEX('_courses_lookup'!$C:$C,MATCH(K292&amp;L292,'_courses_lookup'!$E:$E,0)),"")</f>
        <v/>
      </c>
      <c r="P292">
        <f>IFERROR(INDEX('_courses_lookup'!$D:$D,MATCH(K292&amp;L292,'_courses_lookup'!$E:$E,0)),"")</f>
        <v/>
      </c>
      <c r="AG292">
        <f>IF(AND(AE292&lt;&gt;"",AF292&lt;&gt;""),ROUNDUP((AF292-AE292)/7,0),"")</f>
        <v/>
      </c>
      <c r="AI292">
        <f>IFERROR(IF(AG292*AH292=0,"",AG292*AH292),"")</f>
        <v/>
      </c>
      <c r="AL292">
        <f>IF(AND(AJ292&lt;&gt;"",AK292&lt;&gt;""),ROUNDUP((AK292-AJ292)/7,0),"")</f>
        <v/>
      </c>
      <c r="AN292">
        <f>IFERROR(IF(AL292*AM292=0,"",AL292*AM292),"")</f>
        <v/>
      </c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L292">
        <f>IFERROR(INDEX('_names_lookup'!$C:$C,MATCH(BK292,'_names_lookup'!$A:$A,0)),"")</f>
        <v/>
      </c>
      <c r="BM292">
        <f>IFERROR(INDEX('_names_lookup'!$B:$B,MATCH(BK292,'_names_lookup'!$A:$A,0)),"")</f>
        <v/>
      </c>
      <c r="BS292">
        <f>IFERROR(IF(BR292*AA292=0,"",BR292*AA292),"")</f>
        <v/>
      </c>
    </row>
    <row r="293">
      <c r="O293">
        <f>IFERROR(INDEX('_courses_lookup'!$C:$C,MATCH(K293&amp;L293,'_courses_lookup'!$E:$E,0)),"")</f>
        <v/>
      </c>
      <c r="P293">
        <f>IFERROR(INDEX('_courses_lookup'!$D:$D,MATCH(K293&amp;L293,'_courses_lookup'!$E:$E,0)),"")</f>
        <v/>
      </c>
      <c r="AG293">
        <f>IF(AND(AE293&lt;&gt;"",AF293&lt;&gt;""),ROUNDUP((AF293-AE293)/7,0),"")</f>
        <v/>
      </c>
      <c r="AI293">
        <f>IFERROR(IF(AG293*AH293=0,"",AG293*AH293),"")</f>
        <v/>
      </c>
      <c r="AL293">
        <f>IF(AND(AJ293&lt;&gt;"",AK293&lt;&gt;""),ROUNDUP((AK293-AJ293)/7,0),"")</f>
        <v/>
      </c>
      <c r="AN293">
        <f>IFERROR(IF(AL293*AM293=0,"",AL293*AM293),"")</f>
        <v/>
      </c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L293">
        <f>IFERROR(INDEX('_names_lookup'!$C:$C,MATCH(BK293,'_names_lookup'!$A:$A,0)),"")</f>
        <v/>
      </c>
      <c r="BM293">
        <f>IFERROR(INDEX('_names_lookup'!$B:$B,MATCH(BK293,'_names_lookup'!$A:$A,0)),"")</f>
        <v/>
      </c>
      <c r="BS293">
        <f>IFERROR(IF(BR293*AA293=0,"",BR293*AA293),"")</f>
        <v/>
      </c>
    </row>
    <row r="294">
      <c r="O294">
        <f>IFERROR(INDEX('_courses_lookup'!$C:$C,MATCH(K294&amp;L294,'_courses_lookup'!$E:$E,0)),"")</f>
        <v/>
      </c>
      <c r="P294">
        <f>IFERROR(INDEX('_courses_lookup'!$D:$D,MATCH(K294&amp;L294,'_courses_lookup'!$E:$E,0)),"")</f>
        <v/>
      </c>
      <c r="AG294">
        <f>IF(AND(AE294&lt;&gt;"",AF294&lt;&gt;""),ROUNDUP((AF294-AE294)/7,0),"")</f>
        <v/>
      </c>
      <c r="AI294">
        <f>IFERROR(IF(AG294*AH294=0,"",AG294*AH294),"")</f>
        <v/>
      </c>
      <c r="AL294">
        <f>IF(AND(AJ294&lt;&gt;"",AK294&lt;&gt;""),ROUNDUP((AK294-AJ294)/7,0),"")</f>
        <v/>
      </c>
      <c r="AN294">
        <f>IFERROR(IF(AL294*AM294=0,"",AL294*AM294),"")</f>
        <v/>
      </c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L294">
        <f>IFERROR(INDEX('_names_lookup'!$C:$C,MATCH(BK294,'_names_lookup'!$A:$A,0)),"")</f>
        <v/>
      </c>
      <c r="BM294">
        <f>IFERROR(INDEX('_names_lookup'!$B:$B,MATCH(BK294,'_names_lookup'!$A:$A,0)),"")</f>
        <v/>
      </c>
      <c r="BS294">
        <f>IFERROR(IF(BR294*AA294=0,"",BR294*AA294),"")</f>
        <v/>
      </c>
    </row>
    <row r="295">
      <c r="O295">
        <f>IFERROR(INDEX('_courses_lookup'!$C:$C,MATCH(K295&amp;L295,'_courses_lookup'!$E:$E,0)),"")</f>
        <v/>
      </c>
      <c r="P295">
        <f>IFERROR(INDEX('_courses_lookup'!$D:$D,MATCH(K295&amp;L295,'_courses_lookup'!$E:$E,0)),"")</f>
        <v/>
      </c>
      <c r="AG295">
        <f>IF(AND(AE295&lt;&gt;"",AF295&lt;&gt;""),ROUNDUP((AF295-AE295)/7,0),"")</f>
        <v/>
      </c>
      <c r="AI295">
        <f>IFERROR(IF(AG295*AH295=0,"",AG295*AH295),"")</f>
        <v/>
      </c>
      <c r="AL295">
        <f>IF(AND(AJ295&lt;&gt;"",AK295&lt;&gt;""),ROUNDUP((AK295-AJ295)/7,0),"")</f>
        <v/>
      </c>
      <c r="AN295">
        <f>IFERROR(IF(AL295*AM295=0,"",AL295*AM295),"")</f>
        <v/>
      </c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L295">
        <f>IFERROR(INDEX('_names_lookup'!$C:$C,MATCH(BK295,'_names_lookup'!$A:$A,0)),"")</f>
        <v/>
      </c>
      <c r="BM295">
        <f>IFERROR(INDEX('_names_lookup'!$B:$B,MATCH(BK295,'_names_lookup'!$A:$A,0)),"")</f>
        <v/>
      </c>
      <c r="BS295">
        <f>IFERROR(IF(BR295*AA295=0,"",BR295*AA295),"")</f>
        <v/>
      </c>
    </row>
    <row r="296">
      <c r="O296">
        <f>IFERROR(INDEX('_courses_lookup'!$C:$C,MATCH(K296&amp;L296,'_courses_lookup'!$E:$E,0)),"")</f>
        <v/>
      </c>
      <c r="P296">
        <f>IFERROR(INDEX('_courses_lookup'!$D:$D,MATCH(K296&amp;L296,'_courses_lookup'!$E:$E,0)),"")</f>
        <v/>
      </c>
      <c r="AG296">
        <f>IF(AND(AE296&lt;&gt;"",AF296&lt;&gt;""),ROUNDUP((AF296-AE296)/7,0),"")</f>
        <v/>
      </c>
      <c r="AI296">
        <f>IFERROR(IF(AG296*AH296=0,"",AG296*AH296),"")</f>
        <v/>
      </c>
      <c r="AL296">
        <f>IF(AND(AJ296&lt;&gt;"",AK296&lt;&gt;""),ROUNDUP((AK296-AJ296)/7,0),"")</f>
        <v/>
      </c>
      <c r="AN296">
        <f>IFERROR(IF(AL296*AM296=0,"",AL296*AM296),"")</f>
        <v/>
      </c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L296">
        <f>IFERROR(INDEX('_names_lookup'!$C:$C,MATCH(BK296,'_names_lookup'!$A:$A,0)),"")</f>
        <v/>
      </c>
      <c r="BM296">
        <f>IFERROR(INDEX('_names_lookup'!$B:$B,MATCH(BK296,'_names_lookup'!$A:$A,0)),"")</f>
        <v/>
      </c>
      <c r="BS296">
        <f>IFERROR(IF(BR296*AA296=0,"",BR296*AA296),"")</f>
        <v/>
      </c>
    </row>
    <row r="297">
      <c r="O297">
        <f>IFERROR(INDEX('_courses_lookup'!$C:$C,MATCH(K297&amp;L297,'_courses_lookup'!$E:$E,0)),"")</f>
        <v/>
      </c>
      <c r="P297">
        <f>IFERROR(INDEX('_courses_lookup'!$D:$D,MATCH(K297&amp;L297,'_courses_lookup'!$E:$E,0)),"")</f>
        <v/>
      </c>
      <c r="AG297">
        <f>IF(AND(AE297&lt;&gt;"",AF297&lt;&gt;""),ROUNDUP((AF297-AE297)/7,0),"")</f>
        <v/>
      </c>
      <c r="AI297">
        <f>IFERROR(IF(AG297*AH297=0,"",AG297*AH297),"")</f>
        <v/>
      </c>
      <c r="AL297">
        <f>IF(AND(AJ297&lt;&gt;"",AK297&lt;&gt;""),ROUNDUP((AK297-AJ297)/7,0),"")</f>
        <v/>
      </c>
      <c r="AN297">
        <f>IFERROR(IF(AL297*AM297=0,"",AL297*AM297),"")</f>
        <v/>
      </c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L297">
        <f>IFERROR(INDEX('_names_lookup'!$C:$C,MATCH(BK297,'_names_lookup'!$A:$A,0)),"")</f>
        <v/>
      </c>
      <c r="BM297">
        <f>IFERROR(INDEX('_names_lookup'!$B:$B,MATCH(BK297,'_names_lookup'!$A:$A,0)),"")</f>
        <v/>
      </c>
      <c r="BS297">
        <f>IFERROR(IF(BR297*AA297=0,"",BR297*AA297),"")</f>
        <v/>
      </c>
    </row>
    <row r="298">
      <c r="O298">
        <f>IFERROR(INDEX('_courses_lookup'!$C:$C,MATCH(K298&amp;L298,'_courses_lookup'!$E:$E,0)),"")</f>
        <v/>
      </c>
      <c r="P298">
        <f>IFERROR(INDEX('_courses_lookup'!$D:$D,MATCH(K298&amp;L298,'_courses_lookup'!$E:$E,0)),"")</f>
        <v/>
      </c>
      <c r="AG298">
        <f>IF(AND(AE298&lt;&gt;"",AF298&lt;&gt;""),ROUNDUP((AF298-AE298)/7,0),"")</f>
        <v/>
      </c>
      <c r="AI298">
        <f>IFERROR(IF(AG298*AH298=0,"",AG298*AH298),"")</f>
        <v/>
      </c>
      <c r="AL298">
        <f>IF(AND(AJ298&lt;&gt;"",AK298&lt;&gt;""),ROUNDUP((AK298-AJ298)/7,0),"")</f>
        <v/>
      </c>
      <c r="AN298">
        <f>IFERROR(IF(AL298*AM298=0,"",AL298*AM298),"")</f>
        <v/>
      </c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L298">
        <f>IFERROR(INDEX('_names_lookup'!$C:$C,MATCH(BK298,'_names_lookup'!$A:$A,0)),"")</f>
        <v/>
      </c>
      <c r="BM298">
        <f>IFERROR(INDEX('_names_lookup'!$B:$B,MATCH(BK298,'_names_lookup'!$A:$A,0)),"")</f>
        <v/>
      </c>
      <c r="BS298">
        <f>IFERROR(IF(BR298*AA298=0,"",BR298*AA298),"")</f>
        <v/>
      </c>
    </row>
    <row r="299">
      <c r="O299">
        <f>IFERROR(INDEX('_courses_lookup'!$C:$C,MATCH(K299&amp;L299,'_courses_lookup'!$E:$E,0)),"")</f>
        <v/>
      </c>
      <c r="P299">
        <f>IFERROR(INDEX('_courses_lookup'!$D:$D,MATCH(K299&amp;L299,'_courses_lookup'!$E:$E,0)),"")</f>
        <v/>
      </c>
      <c r="AG299">
        <f>IF(AND(AE299&lt;&gt;"",AF299&lt;&gt;""),ROUNDUP((AF299-AE299)/7,0),"")</f>
        <v/>
      </c>
      <c r="AI299">
        <f>IFERROR(IF(AG299*AH299=0,"",AG299*AH299),"")</f>
        <v/>
      </c>
      <c r="AL299">
        <f>IF(AND(AJ299&lt;&gt;"",AK299&lt;&gt;""),ROUNDUP((AK299-AJ299)/7,0),"")</f>
        <v/>
      </c>
      <c r="AN299">
        <f>IFERROR(IF(AL299*AM299=0,"",AL299*AM299),"")</f>
        <v/>
      </c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L299">
        <f>IFERROR(INDEX('_names_lookup'!$C:$C,MATCH(BK299,'_names_lookup'!$A:$A,0)),"")</f>
        <v/>
      </c>
      <c r="BM299">
        <f>IFERROR(INDEX('_names_lookup'!$B:$B,MATCH(BK299,'_names_lookup'!$A:$A,0)),"")</f>
        <v/>
      </c>
      <c r="BS299">
        <f>IFERROR(IF(BR299*AA299=0,"",BR299*AA299),"")</f>
        <v/>
      </c>
    </row>
    <row r="300">
      <c r="O300">
        <f>IFERROR(INDEX('_courses_lookup'!$C:$C,MATCH(K300&amp;L300,'_courses_lookup'!$E:$E,0)),"")</f>
        <v/>
      </c>
      <c r="P300">
        <f>IFERROR(INDEX('_courses_lookup'!$D:$D,MATCH(K300&amp;L300,'_courses_lookup'!$E:$E,0)),"")</f>
        <v/>
      </c>
      <c r="AG300">
        <f>IF(AND(AE300&lt;&gt;"",AF300&lt;&gt;""),ROUNDUP((AF300-AE300)/7,0),"")</f>
        <v/>
      </c>
      <c r="AI300">
        <f>IFERROR(IF(AG300*AH300=0,"",AG300*AH300),"")</f>
        <v/>
      </c>
      <c r="AL300">
        <f>IF(AND(AJ300&lt;&gt;"",AK300&lt;&gt;""),ROUNDUP((AK300-AJ300)/7,0),"")</f>
        <v/>
      </c>
      <c r="AN300">
        <f>IFERROR(IF(AL300*AM300=0,"",AL300*AM300),"")</f>
        <v/>
      </c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L300">
        <f>IFERROR(INDEX('_names_lookup'!$C:$C,MATCH(BK300,'_names_lookup'!$A:$A,0)),"")</f>
        <v/>
      </c>
      <c r="BM300">
        <f>IFERROR(INDEX('_names_lookup'!$B:$B,MATCH(BK300,'_names_lookup'!$A:$A,0)),"")</f>
        <v/>
      </c>
      <c r="BS300">
        <f>IFERROR(IF(BR300*AA300=0,"",BR300*AA300),"")</f>
        <v/>
      </c>
    </row>
  </sheetData>
  <autoFilter ref="A1:DQ1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='DropDownMenu'!$BC$2:$BC$259</formula1>
    </dataValidation>
    <dataValidation sqref="BL2:BL5000" showDropDown="0" showInputMessage="0" showErrorMessage="0" allowBlank="1" type="list">
      <formula1>='DropDownMenu'!$BD$2:$BD$253</formula1>
    </dataValidation>
    <dataValidation sqref="BM2:BM5000" showDropDown="0" showInputMessage="0" showErrorMessage="0" allowBlank="1" type="list">
      <formula1>='DropDownMenu'!$BE$2:$BE$259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applyStyles="1" summaryBelow="1" summaryRight="0"/>
    <pageSetUpPr/>
  </sheetPr>
  <dimension ref="A1:C300"/>
  <sheetViews>
    <sheetView showOutlineSymbols="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0" customWidth="1" min="1" max="2"/>
    <col width="20" customWidth="1" min="2" max="2"/>
    <col width="10" customWidth="1" min="3" max="3"/>
  </cols>
  <sheetData>
    <row r="1" ht="150" customHeight="1">
      <c r="A1" s="39" t="inlineStr">
        <is>
          <t>Instructor Name {Instr Name}</t>
        </is>
      </c>
      <c r="B1" s="39" t="inlineStr">
        <is>
          <t>Instructor Email {Instr Email}</t>
        </is>
      </c>
      <c r="C1" s="39" t="inlineStr">
        <is>
          <t>Instructor ID {Instr ID}</t>
        </is>
      </c>
    </row>
    <row r="2" ht="16" customHeight="1">
      <c r="A2" s="29" t="inlineStr">
        <is>
          <t>Abar, Emmanuel M.</t>
        </is>
      </c>
      <c r="B2" s="29">
        <f>IFERROR(INDEX('_names_lookup'!$C:$C,MATCH(A2,'_names_lookup'!$A:$A,0)),"")</f>
        <v/>
      </c>
      <c r="C2" s="29">
        <f>IFERROR(INDEX('_names_lookup'!$B:$B,MATCH(A2,'_names_lookup'!$A:$A,0)),"")</f>
        <v/>
      </c>
    </row>
    <row r="3" ht="16" customHeight="1">
      <c r="A3" s="29" t="inlineStr">
        <is>
          <t>Antic, Radisa</t>
        </is>
      </c>
      <c r="B3" s="29">
        <f>IFERROR(INDEX('_names_lookup'!$C:$C,MATCH(A3,'_names_lookup'!$A:$A,0)),"")</f>
        <v/>
      </c>
      <c r="C3" s="29">
        <f>IFERROR(INDEX('_names_lookup'!$B:$B,MATCH(A3,'_names_lookup'!$A:$A,0)),"")</f>
        <v/>
      </c>
    </row>
    <row r="4" ht="16" customHeight="1">
      <c r="A4" s="29" t="inlineStr">
        <is>
          <t>Augsburger, Daniel E.</t>
        </is>
      </c>
      <c r="B4" s="29">
        <f>IFERROR(INDEX('_names_lookup'!$C:$C,MATCH(A4,'_names_lookup'!$A:$A,0)),"")</f>
        <v/>
      </c>
      <c r="C4" s="29">
        <f>IFERROR(INDEX('_names_lookup'!$B:$B,MATCH(A4,'_names_lookup'!$A:$A,0)),"")</f>
        <v/>
      </c>
    </row>
    <row r="5" ht="16" customHeight="1">
      <c r="A5" s="29" t="inlineStr">
        <is>
          <t>Barbosa, Rodrigo d.</t>
        </is>
      </c>
      <c r="B5" s="29">
        <f>IFERROR(INDEX('_names_lookup'!$C:$C,MATCH(A5,'_names_lookup'!$A:$A,0)),"")</f>
        <v/>
      </c>
      <c r="C5" s="29">
        <f>IFERROR(INDEX('_names_lookup'!$B:$B,MATCH(A5,'_names_lookup'!$A:$A,0)),"")</f>
        <v/>
      </c>
    </row>
    <row r="6" ht="16" customHeight="1">
      <c r="A6" s="29" t="inlineStr">
        <is>
          <t>Barna, Jan</t>
        </is>
      </c>
      <c r="B6" s="29">
        <f>IFERROR(INDEX('_names_lookup'!$C:$C,MATCH(A6,'_names_lookup'!$A:$A,0)),"")</f>
        <v/>
      </c>
      <c r="C6" s="29">
        <f>IFERROR(INDEX('_names_lookup'!$B:$B,MATCH(A6,'_names_lookup'!$A:$A,0)),"")</f>
        <v/>
      </c>
    </row>
    <row r="7" ht="16" customHeight="1">
      <c r="A7" s="29" t="inlineStr">
        <is>
          <t>Burton, Kevin M.</t>
        </is>
      </c>
      <c r="B7" s="29">
        <f>IFERROR(INDEX('_names_lookup'!$C:$C,MATCH(A7,'_names_lookup'!$A:$A,0)),"")</f>
        <v/>
      </c>
      <c r="C7" s="29">
        <f>IFERROR(INDEX('_names_lookup'!$B:$B,MATCH(A7,'_names_lookup'!$A:$A,0)),"")</f>
        <v/>
      </c>
    </row>
    <row r="8" ht="16" customHeight="1">
      <c r="A8" s="29" t="inlineStr">
        <is>
          <t>Chow, Christie Chui-Shan</t>
        </is>
      </c>
      <c r="B8" s="29">
        <f>IFERROR(INDEX('_names_lookup'!$C:$C,MATCH(A8,'_names_lookup'!$A:$A,0)),"")</f>
        <v/>
      </c>
      <c r="C8" s="29">
        <f>IFERROR(INDEX('_names_lookup'!$B:$B,MATCH(A8,'_names_lookup'!$A:$A,0)),"")</f>
        <v/>
      </c>
    </row>
    <row r="9" ht="16" customHeight="1">
      <c r="A9" s="29" t="inlineStr">
        <is>
          <t>Damsteegt, P Gerard</t>
        </is>
      </c>
      <c r="B9" s="29">
        <f>IFERROR(INDEX('_names_lookup'!$C:$C,MATCH(A9,'_names_lookup'!$A:$A,0)),"")</f>
        <v/>
      </c>
      <c r="C9" s="29">
        <f>IFERROR(INDEX('_names_lookup'!$B:$B,MATCH(A9,'_names_lookup'!$A:$A,0)),"")</f>
        <v/>
      </c>
    </row>
    <row r="10" ht="16" customHeight="1">
      <c r="A10" s="29" t="inlineStr">
        <is>
          <t>Figueroa, Victor F.</t>
        </is>
      </c>
      <c r="B10" s="29">
        <f>IFERROR(INDEX('_names_lookup'!$C:$C,MATCH(A10,'_names_lookup'!$A:$A,0)),"")</f>
        <v/>
      </c>
      <c r="C10" s="29">
        <f>IFERROR(INDEX('_names_lookup'!$B:$B,MATCH(A10,'_names_lookup'!$A:$A,0)),"")</f>
        <v/>
      </c>
    </row>
    <row r="11" ht="16" customHeight="1">
      <c r="A11" s="29" t="inlineStr">
        <is>
          <t>Gameti, Yvonne Y.</t>
        </is>
      </c>
      <c r="B11" s="29">
        <f>IFERROR(INDEX('_names_lookup'!$C:$C,MATCH(A11,'_names_lookup'!$A:$A,0)),"")</f>
        <v/>
      </c>
      <c r="C11" s="29">
        <f>IFERROR(INDEX('_names_lookup'!$B:$B,MATCH(A11,'_names_lookup'!$A:$A,0)),"")</f>
        <v/>
      </c>
    </row>
    <row r="12" ht="16" customHeight="1">
      <c r="A12" s="29" t="inlineStr">
        <is>
          <t>Garcia Zarate, Heber E.</t>
        </is>
      </c>
      <c r="B12" s="29">
        <f>IFERROR(INDEX('_names_lookup'!$C:$C,MATCH(A12,'_names_lookup'!$A:$A,0)),"")</f>
        <v/>
      </c>
      <c r="C12" s="29">
        <f>IFERROR(INDEX('_names_lookup'!$B:$B,MATCH(A12,'_names_lookup'!$A:$A,0)),"")</f>
        <v/>
      </c>
    </row>
    <row r="13" ht="16" customHeight="1">
      <c r="A13" s="29" t="inlineStr">
        <is>
          <t>Kaiser, Angelika</t>
        </is>
      </c>
      <c r="B13" s="29">
        <f>IFERROR(INDEX('_names_lookup'!$C:$C,MATCH(A13,'_names_lookup'!$A:$A,0)),"")</f>
        <v/>
      </c>
      <c r="C13" s="29">
        <f>IFERROR(INDEX('_names_lookup'!$B:$B,MATCH(A13,'_names_lookup'!$A:$A,0)),"")</f>
        <v/>
      </c>
    </row>
    <row r="14" ht="16" customHeight="1">
      <c r="A14" s="29" t="inlineStr">
        <is>
          <t>Kaiser, Denis</t>
        </is>
      </c>
      <c r="B14" s="29">
        <f>IFERROR(INDEX('_names_lookup'!$C:$C,MATCH(A14,'_names_lookup'!$A:$A,0)),"")</f>
        <v/>
      </c>
      <c r="C14" s="29">
        <f>IFERROR(INDEX('_names_lookup'!$B:$B,MATCH(A14,'_names_lookup'!$A:$A,0)),"")</f>
        <v/>
      </c>
    </row>
    <row r="15" ht="16" customHeight="1">
      <c r="A15" s="29" t="inlineStr">
        <is>
          <t>Louw, Eric A.</t>
        </is>
      </c>
      <c r="B15" s="29">
        <f>IFERROR(INDEX('_names_lookup'!$C:$C,MATCH(A15,'_names_lookup'!$A:$A,0)),"")</f>
        <v/>
      </c>
      <c r="C15" s="29">
        <f>IFERROR(INDEX('_names_lookup'!$B:$B,MATCH(A15,'_names_lookup'!$A:$A,0)),"")</f>
        <v/>
      </c>
    </row>
    <row r="16" ht="16" customHeight="1">
      <c r="A16" s="29" t="inlineStr">
        <is>
          <t>Park, Jungkyu</t>
        </is>
      </c>
      <c r="B16" s="29">
        <f>IFERROR(INDEX('_names_lookup'!$C:$C,MATCH(A16,'_names_lookup'!$A:$A,0)),"")</f>
        <v/>
      </c>
      <c r="C16" s="29">
        <f>IFERROR(INDEX('_names_lookup'!$B:$B,MATCH(A16,'_names_lookup'!$A:$A,0)),"")</f>
        <v/>
      </c>
    </row>
    <row r="17" ht="16" customHeight="1">
      <c r="A17" s="29" t="inlineStr">
        <is>
          <t>Rodrigues, Gerson C.</t>
        </is>
      </c>
      <c r="B17" s="29">
        <f>IFERROR(INDEX('_names_lookup'!$C:$C,MATCH(A17,'_names_lookup'!$A:$A,0)),"")</f>
        <v/>
      </c>
      <c r="C17" s="29">
        <f>IFERROR(INDEX('_names_lookup'!$B:$B,MATCH(A17,'_names_lookup'!$A:$A,0)),"")</f>
        <v/>
      </c>
    </row>
    <row r="18" ht="16" customHeight="1">
      <c r="A18" s="29" t="inlineStr">
        <is>
          <t>Rosario, Antonio M.</t>
        </is>
      </c>
      <c r="B18" s="29">
        <f>IFERROR(INDEX('_names_lookup'!$C:$C,MATCH(A18,'_names_lookup'!$A:$A,0)),"")</f>
        <v/>
      </c>
      <c r="C18" s="29">
        <f>IFERROR(INDEX('_names_lookup'!$B:$B,MATCH(A18,'_names_lookup'!$A:$A,0)),"")</f>
        <v/>
      </c>
    </row>
    <row r="19" ht="16" customHeight="1">
      <c r="A19" s="29" t="inlineStr">
        <is>
          <t>Steger, Walter E.</t>
        </is>
      </c>
      <c r="B19" s="29">
        <f>IFERROR(INDEX('_names_lookup'!$C:$C,MATCH(A19,'_names_lookup'!$A:$A,0)),"")</f>
        <v/>
      </c>
      <c r="C19" s="29">
        <f>IFERROR(INDEX('_names_lookup'!$B:$B,MATCH(A19,'_names_lookup'!$A:$A,0)),"")</f>
        <v/>
      </c>
    </row>
    <row r="20" ht="16" customHeight="1">
      <c r="A20" s="29" t="inlineStr">
        <is>
          <t>Toscano, Steven M.</t>
        </is>
      </c>
      <c r="B20" s="29">
        <f>IFERROR(INDEX('_names_lookup'!$C:$C,MATCH(A20,'_names_lookup'!$A:$A,0)),"")</f>
        <v/>
      </c>
      <c r="C20" s="29">
        <f>IFERROR(INDEX('_names_lookup'!$B:$B,MATCH(A20,'_names_lookup'!$A:$A,0)),"")</f>
        <v/>
      </c>
    </row>
    <row r="21" ht="16" customHeight="1">
      <c r="A21" s="29" t="inlineStr">
        <is>
          <t>Allen, Shirley M.</t>
        </is>
      </c>
      <c r="B21" s="29">
        <f>IFERROR(INDEX('_names_lookup'!$C:$C,MATCH(A21,'_names_lookup'!$A:$A,0)),"")</f>
        <v/>
      </c>
      <c r="C21" s="29">
        <f>IFERROR(INDEX('_names_lookup'!$B:$B,MATCH(A21,'_names_lookup'!$A:$A,0)),"")</f>
        <v/>
      </c>
    </row>
    <row r="22" ht="16" customHeight="1">
      <c r="A22" s="29" t="inlineStr">
        <is>
          <t>Beagles, Kathleen A.</t>
        </is>
      </c>
      <c r="B22" s="29">
        <f>IFERROR(INDEX('_names_lookup'!$C:$C,MATCH(A22,'_names_lookup'!$A:$A,0)),"")</f>
        <v/>
      </c>
      <c r="C22" s="29">
        <f>IFERROR(INDEX('_names_lookup'!$B:$B,MATCH(A22,'_names_lookup'!$A:$A,0)),"")</f>
        <v/>
      </c>
    </row>
    <row r="23" ht="16" customHeight="1">
      <c r="A23" s="29" t="inlineStr">
        <is>
          <t>Consuegra, Claudio J.</t>
        </is>
      </c>
      <c r="B23" s="29">
        <f>IFERROR(INDEX('_names_lookup'!$C:$C,MATCH(A23,'_names_lookup'!$A:$A,0)),"")</f>
        <v/>
      </c>
      <c r="C23" s="29">
        <f>IFERROR(INDEX('_names_lookup'!$B:$B,MATCH(A23,'_names_lookup'!$A:$A,0)),"")</f>
        <v/>
      </c>
    </row>
    <row r="24" ht="16" customHeight="1">
      <c r="A24" s="29" t="inlineStr">
        <is>
          <t>Davis, Desiree E.</t>
        </is>
      </c>
      <c r="B24" s="29">
        <f>IFERROR(INDEX('_names_lookup'!$C:$C,MATCH(A24,'_names_lookup'!$A:$A,0)),"")</f>
        <v/>
      </c>
      <c r="C24" s="29">
        <f>IFERROR(INDEX('_names_lookup'!$B:$B,MATCH(A24,'_names_lookup'!$A:$A,0)),"")</f>
        <v/>
      </c>
    </row>
    <row r="25" ht="16" customHeight="1">
      <c r="A25" s="29" t="inlineStr">
        <is>
          <t>Duany, Efrain</t>
        </is>
      </c>
      <c r="B25" s="29">
        <f>IFERROR(INDEX('_names_lookup'!$C:$C,MATCH(A25,'_names_lookup'!$A:$A,0)),"")</f>
        <v/>
      </c>
      <c r="C25" s="29">
        <f>IFERROR(INDEX('_names_lookup'!$B:$B,MATCH(A25,'_names_lookup'!$A:$A,0)),"")</f>
        <v/>
      </c>
    </row>
    <row r="26" ht="16" customHeight="1">
      <c r="A26" s="29" t="inlineStr">
        <is>
          <t>Espinosa, Jose M.</t>
        </is>
      </c>
      <c r="B26" s="29">
        <f>IFERROR(INDEX('_names_lookup'!$C:$C,MATCH(A26,'_names_lookup'!$A:$A,0)),"")</f>
        <v/>
      </c>
      <c r="C26" s="29">
        <f>IFERROR(INDEX('_names_lookup'!$B:$B,MATCH(A26,'_names_lookup'!$A:$A,0)),"")</f>
        <v/>
      </c>
    </row>
    <row r="27" ht="16" customHeight="1">
      <c r="A27" s="29" t="inlineStr">
        <is>
          <t>Fraser, Jasmine J.</t>
        </is>
      </c>
      <c r="B27" s="29">
        <f>IFERROR(INDEX('_names_lookup'!$C:$C,MATCH(A27,'_names_lookup'!$A:$A,0)),"")</f>
        <v/>
      </c>
      <c r="C27" s="29">
        <f>IFERROR(INDEX('_names_lookup'!$B:$B,MATCH(A27,'_names_lookup'!$A:$A,0)),"")</f>
        <v/>
      </c>
    </row>
    <row r="28" ht="16" customHeight="1">
      <c r="A28" s="29" t="inlineStr">
        <is>
          <t>Freed, Kristina M.</t>
        </is>
      </c>
      <c r="B28" s="29">
        <f>IFERROR(INDEX('_names_lookup'!$C:$C,MATCH(A28,'_names_lookup'!$A:$A,0)),"")</f>
        <v/>
      </c>
      <c r="C28" s="29">
        <f>IFERROR(INDEX('_names_lookup'!$B:$B,MATCH(A28,'_names_lookup'!$A:$A,0)),"")</f>
        <v/>
      </c>
    </row>
    <row r="29" ht="16" customHeight="1">
      <c r="A29" s="29" t="inlineStr">
        <is>
          <t>Gilles, Allens</t>
        </is>
      </c>
      <c r="B29" s="29">
        <f>IFERROR(INDEX('_names_lookup'!$C:$C,MATCH(A29,'_names_lookup'!$A:$A,0)),"")</f>
        <v/>
      </c>
      <c r="C29" s="29">
        <f>IFERROR(INDEX('_names_lookup'!$B:$B,MATCH(A29,'_names_lookup'!$A:$A,0)),"")</f>
        <v/>
      </c>
    </row>
    <row r="30" ht="16" customHeight="1">
      <c r="A30" s="29" t="inlineStr">
        <is>
          <t>Hamilton, Lloyd M.</t>
        </is>
      </c>
      <c r="B30" s="29">
        <f>IFERROR(INDEX('_names_lookup'!$C:$C,MATCH(A30,'_names_lookup'!$A:$A,0)),"")</f>
        <v/>
      </c>
      <c r="C30" s="29">
        <f>IFERROR(INDEX('_names_lookup'!$B:$B,MATCH(A30,'_names_lookup'!$A:$A,0)),"")</f>
        <v/>
      </c>
    </row>
    <row r="31" ht="16" customHeight="1">
      <c r="A31" s="29" t="inlineStr">
        <is>
          <t>Joseph, Ainsworth E.</t>
        </is>
      </c>
      <c r="B31" s="29">
        <f>IFERROR(INDEX('_names_lookup'!$C:$C,MATCH(A31,'_names_lookup'!$A:$A,0)),"")</f>
        <v/>
      </c>
      <c r="C31" s="29">
        <f>IFERROR(INDEX('_names_lookup'!$B:$B,MATCH(A31,'_names_lookup'!$A:$A,0)),"")</f>
        <v/>
      </c>
    </row>
    <row r="32" ht="16" customHeight="1">
      <c r="A32" s="29" t="inlineStr">
        <is>
          <t>Martin, Benjamin L.</t>
        </is>
      </c>
      <c r="B32" s="29">
        <f>IFERROR(INDEX('_names_lookup'!$C:$C,MATCH(A32,'_names_lookup'!$A:$A,0)),"")</f>
        <v/>
      </c>
      <c r="C32" s="29">
        <f>IFERROR(INDEX('_names_lookup'!$B:$B,MATCH(A32,'_names_lookup'!$A:$A,0)),"")</f>
        <v/>
      </c>
    </row>
    <row r="33" ht="16" customHeight="1">
      <c r="A33" s="29" t="inlineStr">
        <is>
          <t>Mayer, Jorge R.</t>
        </is>
      </c>
      <c r="B33" s="29">
        <f>IFERROR(INDEX('_names_lookup'!$C:$C,MATCH(A33,'_names_lookup'!$A:$A,0)),"")</f>
        <v/>
      </c>
      <c r="C33" s="29">
        <f>IFERROR(INDEX('_names_lookup'!$B:$B,MATCH(A33,'_names_lookup'!$A:$A,0)),"")</f>
        <v/>
      </c>
    </row>
    <row r="34" ht="16" customHeight="1">
      <c r="A34" s="29" t="inlineStr">
        <is>
          <t>Moore, Richard A.</t>
        </is>
      </c>
      <c r="B34" s="29">
        <f>IFERROR(INDEX('_names_lookup'!$C:$C,MATCH(A34,'_names_lookup'!$A:$A,0)),"")</f>
        <v/>
      </c>
      <c r="C34" s="29">
        <f>IFERROR(INDEX('_names_lookup'!$B:$B,MATCH(A34,'_names_lookup'!$A:$A,0)),"")</f>
        <v/>
      </c>
    </row>
    <row r="35" ht="16" customHeight="1">
      <c r="A35" s="29" t="inlineStr">
        <is>
          <t>Ramos, Israel</t>
        </is>
      </c>
      <c r="B35" s="29">
        <f>IFERROR(INDEX('_names_lookup'!$C:$C,MATCH(A35,'_names_lookup'!$A:$A,0)),"")</f>
        <v/>
      </c>
      <c r="C35" s="29">
        <f>IFERROR(INDEX('_names_lookup'!$B:$B,MATCH(A35,'_names_lookup'!$A:$A,0)),"")</f>
        <v/>
      </c>
    </row>
    <row r="36" ht="16" customHeight="1">
      <c r="A36" s="29" t="inlineStr">
        <is>
          <t>Reddy, Ashley C.</t>
        </is>
      </c>
      <c r="B36" s="29">
        <f>IFERROR(INDEX('_names_lookup'!$C:$C,MATCH(A36,'_names_lookup'!$A:$A,0)),"")</f>
        <v/>
      </c>
      <c r="C36" s="29">
        <f>IFERROR(INDEX('_names_lookup'!$B:$B,MATCH(A36,'_names_lookup'!$A:$A,0)),"")</f>
        <v/>
      </c>
    </row>
    <row r="37" ht="16" customHeight="1">
      <c r="A37" s="29" t="inlineStr">
        <is>
          <t>Reinert, Katia G.</t>
        </is>
      </c>
      <c r="B37" s="29">
        <f>IFERROR(INDEX('_names_lookup'!$C:$C,MATCH(A37,'_names_lookup'!$A:$A,0)),"")</f>
        <v/>
      </c>
      <c r="C37" s="29">
        <f>IFERROR(INDEX('_names_lookup'!$B:$B,MATCH(A37,'_names_lookup'!$A:$A,0)),"")</f>
        <v/>
      </c>
    </row>
    <row r="38" ht="16" customHeight="1">
      <c r="A38" s="29" t="inlineStr">
        <is>
          <t>Sedlacek, David</t>
        </is>
      </c>
      <c r="B38" s="29">
        <f>IFERROR(INDEX('_names_lookup'!$C:$C,MATCH(A38,'_names_lookup'!$A:$A,0)),"")</f>
        <v/>
      </c>
      <c r="C38" s="29">
        <f>IFERROR(INDEX('_names_lookup'!$B:$B,MATCH(A38,'_names_lookup'!$A:$A,0)),"")</f>
        <v/>
      </c>
    </row>
    <row r="39" ht="16" customHeight="1">
      <c r="A39" s="29" t="inlineStr">
        <is>
          <t>Ward, Scott R.</t>
        </is>
      </c>
      <c r="B39" s="29">
        <f>IFERROR(INDEX('_names_lookup'!$C:$C,MATCH(A39,'_names_lookup'!$A:$A,0)),"")</f>
        <v/>
      </c>
      <c r="C39" s="29">
        <f>IFERROR(INDEX('_names_lookup'!$B:$B,MATCH(A39,'_names_lookup'!$A:$A,0)),"")</f>
        <v/>
      </c>
    </row>
    <row r="40" ht="16" customHeight="1">
      <c r="A40" s="29" t="inlineStr">
        <is>
          <t>Fernandez-Gibbs, Jharony E.</t>
        </is>
      </c>
      <c r="B40" s="29">
        <f>IFERROR(INDEX('_names_lookup'!$C:$C,MATCH(A40,'_names_lookup'!$A:$A,0)),"")</f>
        <v/>
      </c>
      <c r="C40" s="29">
        <f>IFERROR(INDEX('_names_lookup'!$B:$B,MATCH(A40,'_names_lookup'!$A:$A,0)),"")</f>
        <v/>
      </c>
    </row>
    <row r="41" ht="16" customHeight="1">
      <c r="A41" s="29" t="inlineStr">
        <is>
          <t>Peguero Colon, Samuel</t>
        </is>
      </c>
      <c r="B41" s="29">
        <f>IFERROR(INDEX('_names_lookup'!$C:$C,MATCH(A41,'_names_lookup'!$A:$A,0)),"")</f>
        <v/>
      </c>
      <c r="C41" s="29">
        <f>IFERROR(INDEX('_names_lookup'!$B:$B,MATCH(A41,'_names_lookup'!$A:$A,0)),"")</f>
        <v/>
      </c>
    </row>
    <row r="42" ht="16" customHeight="1">
      <c r="A42" s="29" t="inlineStr">
        <is>
          <t>Fox, Curtis A.</t>
        </is>
      </c>
      <c r="B42" s="29">
        <f>IFERROR(INDEX('_names_lookup'!$C:$C,MATCH(A42,'_names_lookup'!$A:$A,0)),"")</f>
        <v/>
      </c>
      <c r="C42" s="29">
        <f>IFERROR(INDEX('_names_lookup'!$B:$B,MATCH(A42,'_names_lookup'!$A:$A,0)),"")</f>
        <v/>
      </c>
    </row>
    <row r="43" ht="16" customHeight="1">
      <c r="A43" s="29" t="inlineStr">
        <is>
          <t>Lopez, Elim J.</t>
        </is>
      </c>
      <c r="B43" s="29">
        <f>IFERROR(INDEX('_names_lookup'!$C:$C,MATCH(A43,'_names_lookup'!$A:$A,0)),"")</f>
        <v/>
      </c>
      <c r="C43" s="29">
        <f>IFERROR(INDEX('_names_lookup'!$B:$B,MATCH(A43,'_names_lookup'!$A:$A,0)),"")</f>
        <v/>
      </c>
    </row>
    <row r="44" ht="16" customHeight="1">
      <c r="A44" s="29" t="inlineStr">
        <is>
          <t>Maxson, Benjamin C.</t>
        </is>
      </c>
      <c r="B44" s="29">
        <f>IFERROR(INDEX('_names_lookup'!$C:$C,MATCH(A44,'_names_lookup'!$A:$A,0)),"")</f>
        <v/>
      </c>
      <c r="C44" s="29">
        <f>IFERROR(INDEX('_names_lookup'!$B:$B,MATCH(A44,'_names_lookup'!$A:$A,0)),"")</f>
        <v/>
      </c>
    </row>
    <row r="45" ht="16" customHeight="1">
      <c r="A45" s="29" t="inlineStr">
        <is>
          <t>Oliver, Wilbert H.</t>
        </is>
      </c>
      <c r="B45" s="29">
        <f>IFERROR(INDEX('_names_lookup'!$C:$C,MATCH(A45,'_names_lookup'!$A:$A,0)),"")</f>
        <v/>
      </c>
      <c r="C45" s="29">
        <f>IFERROR(INDEX('_names_lookup'!$B:$B,MATCH(A45,'_names_lookup'!$A:$A,0)),"")</f>
        <v/>
      </c>
    </row>
    <row r="46" ht="16" customHeight="1">
      <c r="A46" s="29" t="inlineStr">
        <is>
          <t>Olivo, Dionisio</t>
        </is>
      </c>
      <c r="B46" s="29">
        <f>IFERROR(INDEX('_names_lookup'!$C:$C,MATCH(A46,'_names_lookup'!$A:$A,0)),"")</f>
        <v/>
      </c>
      <c r="C46" s="29">
        <f>IFERROR(INDEX('_names_lookup'!$B:$B,MATCH(A46,'_names_lookup'!$A:$A,0)),"")</f>
        <v/>
      </c>
    </row>
    <row r="47" ht="16" customHeight="1">
      <c r="A47" s="29" t="inlineStr">
        <is>
          <t>Swanson, H Peter</t>
        </is>
      </c>
      <c r="B47" s="29">
        <f>IFERROR(INDEX('_names_lookup'!$C:$C,MATCH(A47,'_names_lookup'!$A:$A,0)),"")</f>
        <v/>
      </c>
      <c r="C47" s="29">
        <f>IFERROR(INDEX('_names_lookup'!$B:$B,MATCH(A47,'_names_lookup'!$A:$A,0)),"")</f>
        <v/>
      </c>
    </row>
    <row r="48" ht="16" customHeight="1">
      <c r="A48" s="29" t="inlineStr">
        <is>
          <t>Walshe, Allan R.</t>
        </is>
      </c>
      <c r="B48" s="29">
        <f>IFERROR(INDEX('_names_lookup'!$C:$C,MATCH(A48,'_names_lookup'!$A:$A,0)),"")</f>
        <v/>
      </c>
      <c r="C48" s="29">
        <f>IFERROR(INDEX('_names_lookup'!$B:$B,MATCH(A48,'_names_lookup'!$A:$A,0)),"")</f>
        <v/>
      </c>
    </row>
    <row r="49" ht="16" customHeight="1">
      <c r="A49" s="29" t="inlineStr">
        <is>
          <t>Aguiar, Adenilton T.</t>
        </is>
      </c>
      <c r="B49" s="29">
        <f>IFERROR(INDEX('_names_lookup'!$C:$C,MATCH(A49,'_names_lookup'!$A:$A,0)),"")</f>
        <v/>
      </c>
      <c r="C49" s="29">
        <f>IFERROR(INDEX('_names_lookup'!$B:$B,MATCH(A49,'_names_lookup'!$A:$A,0)),"")</f>
        <v/>
      </c>
    </row>
    <row r="50" ht="16" customHeight="1">
      <c r="A50" s="29" t="inlineStr">
        <is>
          <t>Agustin, Alfredo G.</t>
        </is>
      </c>
      <c r="B50" s="29">
        <f>IFERROR(INDEX('_names_lookup'!$C:$C,MATCH(A50,'_names_lookup'!$A:$A,0)),"")</f>
        <v/>
      </c>
      <c r="C50" s="29">
        <f>IFERROR(INDEX('_names_lookup'!$B:$B,MATCH(A50,'_names_lookup'!$A:$A,0)),"")</f>
        <v/>
      </c>
    </row>
    <row r="51" ht="16" customHeight="1">
      <c r="A51" s="29" t="inlineStr">
        <is>
          <t>Badenas, Roberto D.</t>
        </is>
      </c>
      <c r="B51" s="29">
        <f>IFERROR(INDEX('_names_lookup'!$C:$C,MATCH(A51,'_names_lookup'!$A:$A,0)),"")</f>
        <v/>
      </c>
      <c r="C51" s="29">
        <f>IFERROR(INDEX('_names_lookup'!$B:$B,MATCH(A51,'_names_lookup'!$A:$A,0)),"")</f>
        <v/>
      </c>
    </row>
    <row r="52" ht="16" customHeight="1">
      <c r="A52" s="29" t="inlineStr">
        <is>
          <t>Borda, Guilherme L.</t>
        </is>
      </c>
      <c r="B52" s="29">
        <f>IFERROR(INDEX('_names_lookup'!$C:$C,MATCH(A52,'_names_lookup'!$A:$A,0)),"")</f>
        <v/>
      </c>
      <c r="C52" s="29">
        <f>IFERROR(INDEX('_names_lookup'!$B:$B,MATCH(A52,'_names_lookup'!$A:$A,0)),"")</f>
        <v/>
      </c>
    </row>
    <row r="53" ht="16" customHeight="1">
      <c r="A53" s="29" t="inlineStr">
        <is>
          <t>Choi, Phuichun R.</t>
        </is>
      </c>
      <c r="B53" s="29">
        <f>IFERROR(INDEX('_names_lookup'!$C:$C,MATCH(A53,'_names_lookup'!$A:$A,0)),"")</f>
        <v/>
      </c>
      <c r="C53" s="29">
        <f>IFERROR(INDEX('_names_lookup'!$B:$B,MATCH(A53,'_names_lookup'!$A:$A,0)),"")</f>
        <v/>
      </c>
    </row>
    <row r="54" ht="16" customHeight="1">
      <c r="A54" s="29" t="inlineStr">
        <is>
          <t>Cortez, Felix H.</t>
        </is>
      </c>
      <c r="B54" s="29">
        <f>IFERROR(INDEX('_names_lookup'!$C:$C,MATCH(A54,'_names_lookup'!$A:$A,0)),"")</f>
        <v/>
      </c>
      <c r="C54" s="29">
        <f>IFERROR(INDEX('_names_lookup'!$B:$B,MATCH(A54,'_names_lookup'!$A:$A,0)),"")</f>
        <v/>
      </c>
    </row>
    <row r="55" ht="16" customHeight="1">
      <c r="A55" s="29" t="inlineStr">
        <is>
          <t>Ferreira, Jonatas L.</t>
        </is>
      </c>
      <c r="B55" s="29">
        <f>IFERROR(INDEX('_names_lookup'!$C:$C,MATCH(A55,'_names_lookup'!$A:$A,0)),"")</f>
        <v/>
      </c>
      <c r="C55" s="29">
        <f>IFERROR(INDEX('_names_lookup'!$B:$B,MATCH(A55,'_names_lookup'!$A:$A,0)),"")</f>
        <v/>
      </c>
    </row>
    <row r="56" ht="16" customHeight="1">
      <c r="A56" s="29" t="inlineStr">
        <is>
          <t>Festa, Sergio R.</t>
        </is>
      </c>
      <c r="B56" s="29">
        <f>IFERROR(INDEX('_names_lookup'!$C:$C,MATCH(A56,'_names_lookup'!$A:$A,0)),"")</f>
        <v/>
      </c>
      <c r="C56" s="29">
        <f>IFERROR(INDEX('_names_lookup'!$B:$B,MATCH(A56,'_names_lookup'!$A:$A,0)),"")</f>
        <v/>
      </c>
    </row>
    <row r="57" ht="16" customHeight="1">
      <c r="A57" s="29" t="inlineStr">
        <is>
          <t>Gallos, Erhard H.</t>
        </is>
      </c>
      <c r="B57" s="29">
        <f>IFERROR(INDEX('_names_lookup'!$C:$C,MATCH(A57,'_names_lookup'!$A:$A,0)),"")</f>
        <v/>
      </c>
      <c r="C57" s="29">
        <f>IFERROR(INDEX('_names_lookup'!$B:$B,MATCH(A57,'_names_lookup'!$A:$A,0)),"")</f>
        <v/>
      </c>
    </row>
    <row r="58" ht="16" customHeight="1">
      <c r="A58" s="29" t="inlineStr">
        <is>
          <t>Gallusz, Laszlo</t>
        </is>
      </c>
      <c r="B58" s="29">
        <f>IFERROR(INDEX('_names_lookup'!$C:$C,MATCH(A58,'_names_lookup'!$A:$A,0)),"")</f>
        <v/>
      </c>
      <c r="C58" s="29">
        <f>IFERROR(INDEX('_names_lookup'!$B:$B,MATCH(A58,'_names_lookup'!$A:$A,0)),"")</f>
        <v/>
      </c>
    </row>
    <row r="59" ht="16" customHeight="1">
      <c r="A59" s="29" t="inlineStr">
        <is>
          <t>Grzeskowiak, Adam</t>
        </is>
      </c>
      <c r="B59" s="29">
        <f>IFERROR(INDEX('_names_lookup'!$C:$C,MATCH(A59,'_names_lookup'!$A:$A,0)),"")</f>
        <v/>
      </c>
      <c r="C59" s="29">
        <f>IFERROR(INDEX('_names_lookup'!$B:$B,MATCH(A59,'_names_lookup'!$A:$A,0)),"")</f>
        <v/>
      </c>
    </row>
    <row r="60" ht="16" customHeight="1">
      <c r="A60" s="29" t="inlineStr">
        <is>
          <t>Hernandez, Angel M.</t>
        </is>
      </c>
      <c r="B60" s="29">
        <f>IFERROR(INDEX('_names_lookup'!$C:$C,MATCH(A60,'_names_lookup'!$A:$A,0)),"")</f>
        <v/>
      </c>
      <c r="C60" s="29">
        <f>IFERROR(INDEX('_names_lookup'!$B:$B,MATCH(A60,'_names_lookup'!$A:$A,0)),"")</f>
        <v/>
      </c>
    </row>
    <row r="61" ht="16" customHeight="1">
      <c r="A61" s="29" t="inlineStr">
        <is>
          <t>Huss, Rajan P.</t>
        </is>
      </c>
      <c r="B61" s="29">
        <f>IFERROR(INDEX('_names_lookup'!$C:$C,MATCH(A61,'_names_lookup'!$A:$A,0)),"")</f>
        <v/>
      </c>
      <c r="C61" s="29">
        <f>IFERROR(INDEX('_names_lookup'!$B:$B,MATCH(A61,'_names_lookup'!$A:$A,0)),"")</f>
        <v/>
      </c>
    </row>
    <row r="62" ht="16" customHeight="1">
      <c r="A62" s="29" t="inlineStr">
        <is>
          <t>Johnston, Robert M.</t>
        </is>
      </c>
      <c r="B62" s="29">
        <f>IFERROR(INDEX('_names_lookup'!$C:$C,MATCH(A62,'_names_lookup'!$A:$A,0)),"")</f>
        <v/>
      </c>
      <c r="C62" s="29">
        <f>IFERROR(INDEX('_names_lookup'!$B:$B,MATCH(A62,'_names_lookup'!$A:$A,0)),"")</f>
        <v/>
      </c>
    </row>
    <row r="63" ht="16" customHeight="1">
      <c r="A63" s="29" t="inlineStr">
        <is>
          <t>Kondrat, Stanislav</t>
        </is>
      </c>
      <c r="B63" s="29">
        <f>IFERROR(INDEX('_names_lookup'!$C:$C,MATCH(A63,'_names_lookup'!$A:$A,0)),"")</f>
        <v/>
      </c>
      <c r="C63" s="29">
        <f>IFERROR(INDEX('_names_lookup'!$B:$B,MATCH(A63,'_names_lookup'!$A:$A,0)),"")</f>
        <v/>
      </c>
    </row>
    <row r="64" ht="16" customHeight="1">
      <c r="A64" s="29" t="inlineStr">
        <is>
          <t>Kostyuk, Oleg</t>
        </is>
      </c>
      <c r="B64" s="29">
        <f>IFERROR(INDEX('_names_lookup'!$C:$C,MATCH(A64,'_names_lookup'!$A:$A,0)),"")</f>
        <v/>
      </c>
      <c r="C64" s="29">
        <f>IFERROR(INDEX('_names_lookup'!$B:$B,MATCH(A64,'_names_lookup'!$A:$A,0)),"")</f>
        <v/>
      </c>
    </row>
    <row r="65" ht="16" customHeight="1">
      <c r="A65" s="29" t="inlineStr">
        <is>
          <t>Kuryliak, Bohdan</t>
        </is>
      </c>
      <c r="B65" s="29">
        <f>IFERROR(INDEX('_names_lookup'!$C:$C,MATCH(A65,'_names_lookup'!$A:$A,0)),"")</f>
        <v/>
      </c>
      <c r="C65" s="29">
        <f>IFERROR(INDEX('_names_lookup'!$B:$B,MATCH(A65,'_names_lookup'!$A:$A,0)),"")</f>
        <v/>
      </c>
    </row>
    <row r="66" ht="16" customHeight="1">
      <c r="A66" s="29" t="inlineStr">
        <is>
          <t>Kwon, Timothy B.</t>
        </is>
      </c>
      <c r="B66" s="29">
        <f>IFERROR(INDEX('_names_lookup'!$C:$C,MATCH(A66,'_names_lookup'!$A:$A,0)),"")</f>
        <v/>
      </c>
      <c r="C66" s="29">
        <f>IFERROR(INDEX('_names_lookup'!$B:$B,MATCH(A66,'_names_lookup'!$A:$A,0)),"")</f>
        <v/>
      </c>
    </row>
    <row r="67" ht="16" customHeight="1">
      <c r="A67" s="29" t="inlineStr">
        <is>
          <t>Lichtenwalter, Larry L.</t>
        </is>
      </c>
      <c r="B67" s="29">
        <f>IFERROR(INDEX('_names_lookup'!$C:$C,MATCH(A67,'_names_lookup'!$A:$A,0)),"")</f>
        <v/>
      </c>
      <c r="C67" s="29">
        <f>IFERROR(INDEX('_names_lookup'!$B:$B,MATCH(A67,'_names_lookup'!$A:$A,0)),"")</f>
        <v/>
      </c>
    </row>
    <row r="68" ht="16" customHeight="1">
      <c r="A68" s="29" t="inlineStr">
        <is>
          <t>Moral Hernandez, Manuel A.</t>
        </is>
      </c>
      <c r="B68" s="29">
        <f>IFERROR(INDEX('_names_lookup'!$C:$C,MATCH(A68,'_names_lookup'!$A:$A,0)),"")</f>
        <v/>
      </c>
      <c r="C68" s="29">
        <f>IFERROR(INDEX('_names_lookup'!$B:$B,MATCH(A68,'_names_lookup'!$A:$A,0)),"")</f>
        <v/>
      </c>
    </row>
    <row r="69" ht="16" customHeight="1">
      <c r="A69" s="29" t="inlineStr">
        <is>
          <t>Mot, Laurentiu F.</t>
        </is>
      </c>
      <c r="B69" s="29">
        <f>IFERROR(INDEX('_names_lookup'!$C:$C,MATCH(A69,'_names_lookup'!$A:$A,0)),"")</f>
        <v/>
      </c>
      <c r="C69" s="29">
        <f>IFERROR(INDEX('_names_lookup'!$B:$B,MATCH(A69,'_names_lookup'!$A:$A,0)),"")</f>
        <v/>
      </c>
    </row>
    <row r="70" ht="16" customHeight="1">
      <c r="A70" s="29" t="inlineStr">
        <is>
          <t>Munoz, Jose Y.</t>
        </is>
      </c>
      <c r="B70" s="29">
        <f>IFERROR(INDEX('_names_lookup'!$C:$C,MATCH(A70,'_names_lookup'!$A:$A,0)),"")</f>
        <v/>
      </c>
      <c r="C70" s="29">
        <f>IFERROR(INDEX('_names_lookup'!$B:$B,MATCH(A70,'_names_lookup'!$A:$A,0)),"")</f>
        <v/>
      </c>
    </row>
    <row r="71" ht="16" customHeight="1">
      <c r="A71" s="29" t="inlineStr">
        <is>
          <t>Munoz, Ruben A.</t>
        </is>
      </c>
      <c r="B71" s="29">
        <f>IFERROR(INDEX('_names_lookup'!$C:$C,MATCH(A71,'_names_lookup'!$A:$A,0)),"")</f>
        <v/>
      </c>
      <c r="C71" s="29">
        <f>IFERROR(INDEX('_names_lookup'!$B:$B,MATCH(A71,'_names_lookup'!$A:$A,0)),"")</f>
        <v/>
      </c>
    </row>
    <row r="72" ht="16" customHeight="1">
      <c r="A72" s="29" t="inlineStr">
        <is>
          <t>Nunes, Leonardo G.</t>
        </is>
      </c>
      <c r="B72" s="29">
        <f>IFERROR(INDEX('_names_lookup'!$C:$C,MATCH(A72,'_names_lookup'!$A:$A,0)),"")</f>
        <v/>
      </c>
      <c r="C72" s="29">
        <f>IFERROR(INDEX('_names_lookup'!$B:$B,MATCH(A72,'_names_lookup'!$A:$A,0)),"")</f>
        <v/>
      </c>
    </row>
    <row r="73" ht="16" customHeight="1">
      <c r="A73" s="29" t="inlineStr">
        <is>
          <t>Papaioannou, Kim G.</t>
        </is>
      </c>
      <c r="B73" s="29">
        <f>IFERROR(INDEX('_names_lookup'!$C:$C,MATCH(A73,'_names_lookup'!$A:$A,0)),"")</f>
        <v/>
      </c>
      <c r="C73" s="29">
        <f>IFERROR(INDEX('_names_lookup'!$B:$B,MATCH(A73,'_names_lookup'!$A:$A,0)),"")</f>
        <v/>
      </c>
    </row>
    <row r="74" ht="16" customHeight="1">
      <c r="A74" s="29" t="inlineStr">
        <is>
          <t>Phillip, Mario N.</t>
        </is>
      </c>
      <c r="B74" s="29">
        <f>IFERROR(INDEX('_names_lookup'!$C:$C,MATCH(A74,'_names_lookup'!$A:$A,0)),"")</f>
        <v/>
      </c>
      <c r="C74" s="29">
        <f>IFERROR(INDEX('_names_lookup'!$B:$B,MATCH(A74,'_names_lookup'!$A:$A,0)),"")</f>
        <v/>
      </c>
    </row>
    <row r="75" ht="16" customHeight="1">
      <c r="A75" s="29" t="inlineStr">
        <is>
          <t>Reeve, Teresa L.</t>
        </is>
      </c>
      <c r="B75" s="29">
        <f>IFERROR(INDEX('_names_lookup'!$C:$C,MATCH(A75,'_names_lookup'!$A:$A,0)),"")</f>
        <v/>
      </c>
      <c r="C75" s="29">
        <f>IFERROR(INDEX('_names_lookup'!$B:$B,MATCH(A75,'_names_lookup'!$A:$A,0)),"")</f>
        <v/>
      </c>
    </row>
    <row r="76" ht="16" customHeight="1">
      <c r="A76" s="29" t="inlineStr">
        <is>
          <t>Richards, W Larry</t>
        </is>
      </c>
      <c r="B76" s="38">
        <f>IFERROR(INDEX('_names_lookup'!$C:$C,MATCH(A76,'_names_lookup'!$A:$A,0)),"")</f>
        <v/>
      </c>
      <c r="C76" s="29">
        <f>IFERROR(INDEX('_names_lookup'!$B:$B,MATCH(A76,'_names_lookup'!$A:$A,0)),"")</f>
        <v/>
      </c>
    </row>
    <row r="77" ht="16" customHeight="1">
      <c r="A77" s="29" t="inlineStr">
        <is>
          <t>Stefanovic, Ranko</t>
        </is>
      </c>
      <c r="B77" s="29">
        <f>IFERROR(INDEX('_names_lookup'!$C:$C,MATCH(A77,'_names_lookup'!$A:$A,0)),"")</f>
        <v/>
      </c>
      <c r="C77" s="29">
        <f>IFERROR(INDEX('_names_lookup'!$B:$B,MATCH(A77,'_names_lookup'!$A:$A,0)),"")</f>
        <v/>
      </c>
    </row>
    <row r="78" ht="16" customHeight="1">
      <c r="A78" s="29" t="inlineStr">
        <is>
          <t>Vine, Cedric E.</t>
        </is>
      </c>
      <c r="B78" s="29">
        <f>IFERROR(INDEX('_names_lookup'!$C:$C,MATCH(A78,'_names_lookup'!$A:$A,0)),"")</f>
        <v/>
      </c>
      <c r="C78" s="29">
        <f>IFERROR(INDEX('_names_lookup'!$B:$B,MATCH(A78,'_names_lookup'!$A:$A,0)),"")</f>
        <v/>
      </c>
    </row>
    <row r="79" ht="16" customHeight="1">
      <c r="A79" s="29" t="inlineStr">
        <is>
          <t>Baez Garcia, Enrique</t>
        </is>
      </c>
      <c r="B79" s="29">
        <f>IFERROR(INDEX('_names_lookup'!$C:$C,MATCH(A79,'_names_lookup'!$A:$A,0)),"")</f>
        <v/>
      </c>
      <c r="C79" s="29">
        <f>IFERROR(INDEX('_names_lookup'!$B:$B,MATCH(A79,'_names_lookup'!$A:$A,0)),"")</f>
        <v/>
      </c>
    </row>
    <row r="80" ht="16" customHeight="1">
      <c r="A80" s="29" t="inlineStr">
        <is>
          <t>Baker, Leslie S.</t>
        </is>
      </c>
      <c r="B80" s="29">
        <f>IFERROR(INDEX('_names_lookup'!$C:$C,MATCH(A80,'_names_lookup'!$A:$A,0)),"")</f>
        <v/>
      </c>
      <c r="C80" s="29">
        <f>IFERROR(INDEX('_names_lookup'!$B:$B,MATCH(A80,'_names_lookup'!$A:$A,0)),"")</f>
        <v/>
      </c>
    </row>
    <row r="81" ht="16" customHeight="1">
      <c r="A81" s="29" t="inlineStr">
        <is>
          <t>Bates, Robert D.</t>
        </is>
      </c>
      <c r="B81" s="29">
        <f>IFERROR(INDEX('_names_lookup'!$C:$C,MATCH(A81,'_names_lookup'!$A:$A,0)),"")</f>
        <v/>
      </c>
      <c r="C81" s="29">
        <f>IFERROR(INDEX('_names_lookup'!$B:$B,MATCH(A81,'_names_lookup'!$A:$A,0)),"")</f>
        <v/>
      </c>
    </row>
    <row r="82" ht="16" customHeight="1">
      <c r="A82" s="29" t="inlineStr">
        <is>
          <t>Beaulieu, Stephane A.</t>
        </is>
      </c>
      <c r="B82" s="29">
        <f>IFERROR(INDEX('_names_lookup'!$C:$C,MATCH(A82,'_names_lookup'!$A:$A,0)),"")</f>
        <v/>
      </c>
      <c r="C82" s="29">
        <f>IFERROR(INDEX('_names_lookup'!$B:$B,MATCH(A82,'_names_lookup'!$A:$A,0)),"")</f>
        <v/>
      </c>
    </row>
    <row r="83" ht="16" customHeight="1">
      <c r="A83" s="29" t="inlineStr">
        <is>
          <t>Bediako, Daniel K.</t>
        </is>
      </c>
      <c r="B83" s="38">
        <f>IFERROR(INDEX('_names_lookup'!$C:$C,MATCH(A83,'_names_lookup'!$A:$A,0)),"")</f>
        <v/>
      </c>
      <c r="C83" s="29">
        <f>IFERROR(INDEX('_names_lookup'!$B:$B,MATCH(A83,'_names_lookup'!$A:$A,0)),"")</f>
        <v/>
      </c>
    </row>
    <row r="84" ht="16" customHeight="1">
      <c r="A84" s="29" t="inlineStr">
        <is>
          <t>Breja, Alexandru</t>
        </is>
      </c>
      <c r="B84" s="29">
        <f>IFERROR(INDEX('_names_lookup'!$C:$C,MATCH(A84,'_names_lookup'!$A:$A,0)),"")</f>
        <v/>
      </c>
      <c r="C84" s="29">
        <f>IFERROR(INDEX('_names_lookup'!$B:$B,MATCH(A84,'_names_lookup'!$A:$A,0)),"")</f>
        <v/>
      </c>
    </row>
    <row r="85" ht="16" customHeight="1">
      <c r="A85" s="29" t="inlineStr">
        <is>
          <t>Broy, Trisha E.</t>
        </is>
      </c>
      <c r="B85" s="29">
        <f>IFERROR(INDEX('_names_lookup'!$C:$C,MATCH(A85,'_names_lookup'!$A:$A,0)),"")</f>
        <v/>
      </c>
      <c r="C85" s="29">
        <f>IFERROR(INDEX('_names_lookup'!$B:$B,MATCH(A85,'_names_lookup'!$A:$A,0)),"")</f>
        <v/>
      </c>
    </row>
    <row r="86" ht="16" customHeight="1">
      <c r="A86" s="29" t="inlineStr">
        <is>
          <t>Doukhan, Jacques B.</t>
        </is>
      </c>
      <c r="B86" s="29">
        <f>IFERROR(INDEX('_names_lookup'!$C:$C,MATCH(A86,'_names_lookup'!$A:$A,0)),"")</f>
        <v/>
      </c>
      <c r="C86" s="29">
        <f>IFERROR(INDEX('_names_lookup'!$B:$B,MATCH(A86,'_names_lookup'!$A:$A,0)),"")</f>
        <v/>
      </c>
    </row>
    <row r="87" ht="16" customHeight="1">
      <c r="A87" s="29" t="inlineStr">
        <is>
          <t>Emswiler, Elizabeth</t>
        </is>
      </c>
      <c r="B87" s="29">
        <f>IFERROR(INDEX('_names_lookup'!$C:$C,MATCH(A87,'_names_lookup'!$A:$A,0)),"")</f>
        <v/>
      </c>
      <c r="C87" s="29">
        <f>IFERROR(INDEX('_names_lookup'!$B:$B,MATCH(A87,'_names_lookup'!$A:$A,0)),"")</f>
        <v/>
      </c>
    </row>
    <row r="88" ht="16" customHeight="1">
      <c r="A88" s="29" t="inlineStr">
        <is>
          <t>Gane, Constance E.</t>
        </is>
      </c>
      <c r="B88" s="29">
        <f>IFERROR(INDEX('_names_lookup'!$C:$C,MATCH(A88,'_names_lookup'!$A:$A,0)),"")</f>
        <v/>
      </c>
      <c r="C88" s="29">
        <f>IFERROR(INDEX('_names_lookup'!$B:$B,MATCH(A88,'_names_lookup'!$A:$A,0)),"")</f>
        <v/>
      </c>
    </row>
    <row r="89" ht="16" customHeight="1">
      <c r="A89" s="29" t="inlineStr">
        <is>
          <t>Glanz, Oliver</t>
        </is>
      </c>
      <c r="B89" s="29">
        <f>IFERROR(INDEX('_names_lookup'!$C:$C,MATCH(A89,'_names_lookup'!$A:$A,0)),"")</f>
        <v/>
      </c>
      <c r="C89" s="29">
        <f>IFERROR(INDEX('_names_lookup'!$B:$B,MATCH(A89,'_names_lookup'!$A:$A,0)),"")</f>
        <v/>
      </c>
    </row>
    <row r="90" ht="16" customHeight="1">
      <c r="A90" s="29" t="inlineStr">
        <is>
          <t>Gordan, Daniel M.</t>
        </is>
      </c>
      <c r="B90" s="29">
        <f>IFERROR(INDEX('_names_lookup'!$C:$C,MATCH(A90,'_names_lookup'!$A:$A,0)),"")</f>
        <v/>
      </c>
      <c r="C90" s="29">
        <f>IFERROR(INDEX('_names_lookup'!$B:$B,MATCH(A90,'_names_lookup'!$A:$A,0)),"")</f>
        <v/>
      </c>
    </row>
    <row r="91" ht="16" customHeight="1">
      <c r="A91" s="29" t="inlineStr">
        <is>
          <t>Gregor, Paul Z.</t>
        </is>
      </c>
      <c r="B91" s="29">
        <f>IFERROR(INDEX('_names_lookup'!$C:$C,MATCH(A91,'_names_lookup'!$A:$A,0)),"")</f>
        <v/>
      </c>
      <c r="C91" s="29">
        <f>IFERROR(INDEX('_names_lookup'!$B:$B,MATCH(A91,'_names_lookup'!$A:$A,0)),"")</f>
        <v/>
      </c>
    </row>
    <row r="92" ht="16" customHeight="1">
      <c r="A92" s="29" t="inlineStr">
        <is>
          <t>Groda, Johnny</t>
        </is>
      </c>
      <c r="B92" s="29">
        <f>IFERROR(INDEX('_names_lookup'!$C:$C,MATCH(A92,'_names_lookup'!$A:$A,0)),"")</f>
        <v/>
      </c>
      <c r="C92" s="29">
        <f>IFERROR(INDEX('_names_lookup'!$B:$B,MATCH(A92,'_names_lookup'!$A:$A,0)),"")</f>
        <v/>
      </c>
    </row>
    <row r="93" ht="16" customHeight="1">
      <c r="A93" s="29" t="inlineStr">
        <is>
          <t>Hudon, Jeffrey P.</t>
        </is>
      </c>
      <c r="B93" s="29">
        <f>IFERROR(INDEX('_names_lookup'!$C:$C,MATCH(A93,'_names_lookup'!$A:$A,0)),"")</f>
        <v/>
      </c>
      <c r="C93" s="29">
        <f>IFERROR(INDEX('_names_lookup'!$B:$B,MATCH(A93,'_names_lookup'!$A:$A,0)),"")</f>
        <v/>
      </c>
    </row>
    <row r="94" ht="16" customHeight="1">
      <c r="A94" s="29" t="inlineStr">
        <is>
          <t>Ionescu, Laurentiu Gabriel</t>
        </is>
      </c>
      <c r="B94" s="29">
        <f>IFERROR(INDEX('_names_lookup'!$C:$C,MATCH(A94,'_names_lookup'!$A:$A,0)),"")</f>
        <v/>
      </c>
      <c r="C94" s="29">
        <f>IFERROR(INDEX('_names_lookup'!$B:$B,MATCH(A94,'_names_lookup'!$A:$A,0)),"")</f>
        <v/>
      </c>
    </row>
    <row r="95" ht="16" customHeight="1">
      <c r="A95" s="29" t="inlineStr">
        <is>
          <t>Jankovic, Slavisa</t>
        </is>
      </c>
      <c r="B95" s="29">
        <f>IFERROR(INDEX('_names_lookup'!$C:$C,MATCH(A95,'_names_lookup'!$A:$A,0)),"")</f>
        <v/>
      </c>
      <c r="C95" s="29">
        <f>IFERROR(INDEX('_names_lookup'!$B:$B,MATCH(A95,'_names_lookup'!$A:$A,0)),"")</f>
        <v/>
      </c>
    </row>
    <row r="96" ht="16" customHeight="1">
      <c r="A96" s="29" t="inlineStr">
        <is>
          <t>McGuire-Moushon, Joni A.</t>
        </is>
      </c>
      <c r="B96" s="29">
        <f>IFERROR(INDEX('_names_lookup'!$C:$C,MATCH(A96,'_names_lookup'!$A:$A,0)),"")</f>
        <v/>
      </c>
      <c r="C96" s="29">
        <f>IFERROR(INDEX('_names_lookup'!$B:$B,MATCH(A96,'_names_lookup'!$A:$A,0)),"")</f>
        <v/>
      </c>
    </row>
    <row r="97" ht="16" customHeight="1">
      <c r="A97" s="29" t="inlineStr">
        <is>
          <t>Moody, Jacob A.</t>
        </is>
      </c>
      <c r="B97" s="29">
        <f>IFERROR(INDEX('_names_lookup'!$C:$C,MATCH(A97,'_names_lookup'!$A:$A,0)),"")</f>
        <v/>
      </c>
      <c r="C97" s="29">
        <f>IFERROR(INDEX('_names_lookup'!$B:$B,MATCH(A97,'_names_lookup'!$A:$A,0)),"")</f>
        <v/>
      </c>
    </row>
    <row r="98" ht="16" customHeight="1">
      <c r="A98" s="29" t="inlineStr">
        <is>
          <t>Morrow, Laura K.</t>
        </is>
      </c>
      <c r="B98" s="29">
        <f>IFERROR(INDEX('_names_lookup'!$C:$C,MATCH(A98,'_names_lookup'!$A:$A,0)),"")</f>
        <v/>
      </c>
      <c r="C98" s="29">
        <f>IFERROR(INDEX('_names_lookup'!$B:$B,MATCH(A98,'_names_lookup'!$A:$A,0)),"")</f>
        <v/>
      </c>
    </row>
    <row r="99" ht="16" customHeight="1">
      <c r="A99" s="29" t="inlineStr">
        <is>
          <t>Nam, Daegeuk</t>
        </is>
      </c>
      <c r="B99" s="38">
        <f>IFERROR(INDEX('_names_lookup'!$C:$C,MATCH(A99,'_names_lookup'!$A:$A,0)),"")</f>
        <v/>
      </c>
      <c r="C99" s="29">
        <f>IFERROR(INDEX('_names_lookup'!$B:$B,MATCH(A99,'_names_lookup'!$A:$A,0)),"")</f>
        <v/>
      </c>
    </row>
    <row r="100" ht="16" customHeight="1">
      <c r="A100" s="29" t="inlineStr">
        <is>
          <t>Ngo, Kim Chai</t>
        </is>
      </c>
      <c r="B100" s="29">
        <f>IFERROR(INDEX('_names_lookup'!$C:$C,MATCH(A100,'_names_lookup'!$A:$A,0)),"")</f>
        <v/>
      </c>
      <c r="C100" s="29">
        <f>IFERROR(INDEX('_names_lookup'!$B:$B,MATCH(A100,'_names_lookup'!$A:$A,0)),"")</f>
        <v/>
      </c>
    </row>
    <row r="101" ht="16" customHeight="1">
      <c r="A101" s="29" t="inlineStr">
        <is>
          <t>Olariu, Daniel</t>
        </is>
      </c>
      <c r="B101" s="29">
        <f>IFERROR(INDEX('_names_lookup'!$C:$C,MATCH(A101,'_names_lookup'!$A:$A,0)),"")</f>
        <v/>
      </c>
      <c r="C101" s="29">
        <f>IFERROR(INDEX('_names_lookup'!$B:$B,MATCH(A101,'_names_lookup'!$A:$A,0)),"")</f>
        <v/>
      </c>
    </row>
    <row r="102" ht="16" customHeight="1">
      <c r="A102" s="29" t="inlineStr">
        <is>
          <t>Prestes Neto, Flavio</t>
        </is>
      </c>
      <c r="B102" s="29">
        <f>IFERROR(INDEX('_names_lookup'!$C:$C,MATCH(A102,'_names_lookup'!$A:$A,0)),"")</f>
        <v/>
      </c>
      <c r="C102" s="29">
        <f>IFERROR(INDEX('_names_lookup'!$B:$B,MATCH(A102,'_names_lookup'!$A:$A,0)),"")</f>
        <v/>
      </c>
    </row>
    <row r="103" ht="16" customHeight="1">
      <c r="A103" s="29" t="inlineStr">
        <is>
          <t>Rivas Santini, Abelardo J.</t>
        </is>
      </c>
      <c r="B103" s="29">
        <f>IFERROR(INDEX('_names_lookup'!$C:$C,MATCH(A103,'_names_lookup'!$A:$A,0)),"")</f>
        <v/>
      </c>
      <c r="C103" s="29">
        <f>IFERROR(INDEX('_names_lookup'!$B:$B,MATCH(A103,'_names_lookup'!$A:$A,0)),"")</f>
        <v/>
      </c>
    </row>
    <row r="104" ht="16" customHeight="1">
      <c r="A104" s="29" t="inlineStr">
        <is>
          <t>Rojas, Ronald</t>
        </is>
      </c>
      <c r="B104" s="29">
        <f>IFERROR(INDEX('_names_lookup'!$C:$C,MATCH(A104,'_names_lookup'!$A:$A,0)),"")</f>
        <v/>
      </c>
      <c r="C104" s="29">
        <f>IFERROR(INDEX('_names_lookup'!$B:$B,MATCH(A104,'_names_lookup'!$A:$A,0)),"")</f>
        <v/>
      </c>
    </row>
    <row r="105" ht="16" customHeight="1">
      <c r="A105" s="29" t="inlineStr">
        <is>
          <t>Ruiz Araica, Roger D.</t>
        </is>
      </c>
      <c r="B105" s="29">
        <f>IFERROR(INDEX('_names_lookup'!$C:$C,MATCH(A105,'_names_lookup'!$A:$A,0)),"")</f>
        <v/>
      </c>
      <c r="C105" s="29">
        <f>IFERROR(INDEX('_names_lookup'!$B:$B,MATCH(A105,'_names_lookup'!$A:$A,0)),"")</f>
        <v/>
      </c>
    </row>
    <row r="106" ht="16" customHeight="1">
      <c r="A106" s="29" t="inlineStr">
        <is>
          <t>Skinner, Jerome L.</t>
        </is>
      </c>
      <c r="B106" s="29">
        <f>IFERROR(INDEX('_names_lookup'!$C:$C,MATCH(A106,'_names_lookup'!$A:$A,0)),"")</f>
        <v/>
      </c>
      <c r="C106" s="29">
        <f>IFERROR(INDEX('_names_lookup'!$B:$B,MATCH(A106,'_names_lookup'!$A:$A,0)),"")</f>
        <v/>
      </c>
    </row>
    <row r="107" ht="16" customHeight="1">
      <c r="A107" s="29" t="inlineStr">
        <is>
          <t>Sung, Sion</t>
        </is>
      </c>
      <c r="B107" s="29">
        <f>IFERROR(INDEX('_names_lookup'!$C:$C,MATCH(A107,'_names_lookup'!$A:$A,0)),"")</f>
        <v/>
      </c>
      <c r="C107" s="29">
        <f>IFERROR(INDEX('_names_lookup'!$B:$B,MATCH(A107,'_names_lookup'!$A:$A,0)),"")</f>
        <v/>
      </c>
    </row>
    <row r="108" ht="16" customHeight="1">
      <c r="A108" s="29" t="inlineStr">
        <is>
          <t>Tollerton, Evelyn Y.</t>
        </is>
      </c>
      <c r="B108" s="29">
        <f>IFERROR(INDEX('_names_lookup'!$C:$C,MATCH(A108,'_names_lookup'!$A:$A,0)),"")</f>
        <v/>
      </c>
      <c r="C108" s="29">
        <f>IFERROR(INDEX('_names_lookup'!$B:$B,MATCH(A108,'_names_lookup'!$A:$A,0)),"")</f>
        <v/>
      </c>
    </row>
    <row r="109" ht="16" customHeight="1">
      <c r="A109" s="29" t="inlineStr">
        <is>
          <t>Wiens, Roman</t>
        </is>
      </c>
      <c r="B109" s="29">
        <f>IFERROR(INDEX('_names_lookup'!$C:$C,MATCH(A109,'_names_lookup'!$A:$A,0)),"")</f>
        <v/>
      </c>
      <c r="C109" s="29">
        <f>IFERROR(INDEX('_names_lookup'!$B:$B,MATCH(A109,'_names_lookup'!$A:$A,0)),"")</f>
        <v/>
      </c>
    </row>
    <row r="110" ht="16" customHeight="1">
      <c r="A110" s="29" t="inlineStr">
        <is>
          <t>Arias-Quintero, Jose A.</t>
        </is>
      </c>
      <c r="B110" s="29">
        <f>IFERROR(INDEX('_names_lookup'!$C:$C,MATCH(A110,'_names_lookup'!$A:$A,0)),"")</f>
        <v/>
      </c>
      <c r="C110" s="29">
        <f>IFERROR(INDEX('_names_lookup'!$B:$B,MATCH(A110,'_names_lookup'!$A:$A,0)),"")</f>
        <v/>
      </c>
    </row>
    <row r="111" ht="16" customHeight="1">
      <c r="A111" s="29" t="inlineStr">
        <is>
          <t>Bell, Ora M.</t>
        </is>
      </c>
      <c r="B111" s="29">
        <f>IFERROR(INDEX('_names_lookup'!$C:$C,MATCH(A111,'_names_lookup'!$A:$A,0)),"")</f>
        <v/>
      </c>
      <c r="C111" s="29">
        <f>IFERROR(INDEX('_names_lookup'!$B:$B,MATCH(A111,'_names_lookup'!$A:$A,0)),"")</f>
        <v/>
      </c>
    </row>
    <row r="112" ht="16" customHeight="1">
      <c r="A112" s="29" t="inlineStr">
        <is>
          <t>Braun, Erlo</t>
        </is>
      </c>
      <c r="B112" s="29">
        <f>IFERROR(INDEX('_names_lookup'!$C:$C,MATCH(A112,'_names_lookup'!$A:$A,0)),"")</f>
        <v/>
      </c>
      <c r="C112" s="29">
        <f>IFERROR(INDEX('_names_lookup'!$B:$B,MATCH(A112,'_names_lookup'!$A:$A,0)),"")</f>
        <v/>
      </c>
    </row>
    <row r="113" ht="16" customHeight="1">
      <c r="A113" s="29" t="inlineStr">
        <is>
          <t>Bullon, Alejandro</t>
        </is>
      </c>
      <c r="B113" s="29">
        <f>IFERROR(INDEX('_names_lookup'!$C:$C,MATCH(A113,'_names_lookup'!$A:$A,0)),"")</f>
        <v/>
      </c>
      <c r="C113" s="29">
        <f>IFERROR(INDEX('_names_lookup'!$B:$B,MATCH(A113,'_names_lookup'!$A:$A,0)),"")</f>
        <v/>
      </c>
    </row>
    <row r="114" ht="16" customHeight="1">
      <c r="A114" s="29" t="inlineStr">
        <is>
          <t>Canals, Ramon J.</t>
        </is>
      </c>
      <c r="B114" s="29">
        <f>IFERROR(INDEX('_names_lookup'!$C:$C,MATCH(A114,'_names_lookup'!$A:$A,0)),"")</f>
        <v/>
      </c>
      <c r="C114" s="29">
        <f>IFERROR(INDEX('_names_lookup'!$B:$B,MATCH(A114,'_names_lookup'!$A:$A,0)),"")</f>
        <v/>
      </c>
    </row>
    <row r="115" ht="16" customHeight="1">
      <c r="A115" s="29" t="inlineStr">
        <is>
          <t>Cauley, Michael F.</t>
        </is>
      </c>
      <c r="B115" s="29">
        <f>IFERROR(INDEX('_names_lookup'!$C:$C,MATCH(A115,'_names_lookup'!$A:$A,0)),"")</f>
        <v/>
      </c>
      <c r="C115" s="29">
        <f>IFERROR(INDEX('_names_lookup'!$B:$B,MATCH(A115,'_names_lookup'!$A:$A,0)),"")</f>
        <v/>
      </c>
    </row>
    <row r="116" ht="16" customHeight="1">
      <c r="A116" s="29" t="inlineStr">
        <is>
          <t>Cauley, Michael R.</t>
        </is>
      </c>
      <c r="B116" s="29">
        <f>IFERROR(INDEX('_names_lookup'!$C:$C,MATCH(A116,'_names_lookup'!$A:$A,0)),"")</f>
        <v/>
      </c>
      <c r="C116" s="29">
        <f>IFERROR(INDEX('_names_lookup'!$B:$B,MATCH(A116,'_names_lookup'!$A:$A,0)),"")</f>
        <v/>
      </c>
    </row>
    <row r="117" ht="16" customHeight="1">
      <c r="A117" s="29" t="inlineStr">
        <is>
          <t>Ceballos, Mario E.</t>
        </is>
      </c>
      <c r="B117" s="29">
        <f>IFERROR(INDEX('_names_lookup'!$C:$C,MATCH(A117,'_names_lookup'!$A:$A,0)),"")</f>
        <v/>
      </c>
      <c r="C117" s="29">
        <f>IFERROR(INDEX('_names_lookup'!$B:$B,MATCH(A117,'_names_lookup'!$A:$A,0)),"")</f>
        <v/>
      </c>
    </row>
    <row r="118" ht="16" customHeight="1">
      <c r="A118" s="29" t="inlineStr">
        <is>
          <t>Choque Fernandez, Juan</t>
        </is>
      </c>
      <c r="B118" s="29">
        <f>IFERROR(INDEX('_names_lookup'!$C:$C,MATCH(A118,'_names_lookup'!$A:$A,0)),"")</f>
        <v/>
      </c>
      <c r="C118" s="29">
        <f>IFERROR(INDEX('_names_lookup'!$B:$B,MATCH(A118,'_names_lookup'!$A:$A,0)),"")</f>
        <v/>
      </c>
    </row>
    <row r="119" ht="16" customHeight="1">
      <c r="A119" s="29" t="inlineStr">
        <is>
          <t>Evans, Tommy L.</t>
        </is>
      </c>
      <c r="B119" s="29">
        <f>IFERROR(INDEX('_names_lookup'!$C:$C,MATCH(A119,'_names_lookup'!$A:$A,0)),"")</f>
        <v/>
      </c>
      <c r="C119" s="29">
        <f>IFERROR(INDEX('_names_lookup'!$B:$B,MATCH(A119,'_names_lookup'!$A:$A,0)),"")</f>
        <v/>
      </c>
    </row>
    <row r="120" ht="16" customHeight="1">
      <c r="A120" s="29" t="inlineStr">
        <is>
          <t>Li, Angela H.</t>
        </is>
      </c>
      <c r="B120" s="29">
        <f>IFERROR(INDEX('_names_lookup'!$C:$C,MATCH(A120,'_names_lookup'!$A:$A,0)),"")</f>
        <v/>
      </c>
      <c r="C120" s="29">
        <f>IFERROR(INDEX('_names_lookup'!$B:$B,MATCH(A120,'_names_lookup'!$A:$A,0)),"")</f>
        <v/>
      </c>
    </row>
    <row r="121" ht="16" customHeight="1">
      <c r="A121" s="29" t="inlineStr">
        <is>
          <t>Liang, Onn</t>
        </is>
      </c>
      <c r="B121" s="29">
        <f>IFERROR(INDEX('_names_lookup'!$C:$C,MATCH(A121,'_names_lookup'!$A:$A,0)),"")</f>
        <v/>
      </c>
      <c r="C121" s="29">
        <f>IFERROR(INDEX('_names_lookup'!$B:$B,MATCH(A121,'_names_lookup'!$A:$A,0)),"")</f>
        <v/>
      </c>
    </row>
    <row r="122" ht="16" customHeight="1">
      <c r="A122" s="29" t="inlineStr">
        <is>
          <t>Oudri, Gerardo</t>
        </is>
      </c>
      <c r="B122" s="29">
        <f>IFERROR(INDEX('_names_lookup'!$C:$C,MATCH(A122,'_names_lookup'!$A:$A,0)),"")</f>
        <v/>
      </c>
      <c r="C122" s="29">
        <f>IFERROR(INDEX('_names_lookup'!$B:$B,MATCH(A122,'_names_lookup'!$A:$A,0)),"")</f>
        <v/>
      </c>
    </row>
    <row r="123" ht="16" customHeight="1">
      <c r="A123" s="29" t="inlineStr">
        <is>
          <t>Patterson, Stanley E.</t>
        </is>
      </c>
      <c r="B123" s="29">
        <f>IFERROR(INDEX('_names_lookup'!$C:$C,MATCH(A123,'_names_lookup'!$A:$A,0)),"")</f>
        <v/>
      </c>
      <c r="C123" s="29">
        <f>IFERROR(INDEX('_names_lookup'!$B:$B,MATCH(A123,'_names_lookup'!$A:$A,0)),"")</f>
        <v/>
      </c>
    </row>
    <row r="124" ht="16" customHeight="1">
      <c r="A124" s="29" t="inlineStr">
        <is>
          <t>Penno, David K.</t>
        </is>
      </c>
      <c r="B124" s="29">
        <f>IFERROR(INDEX('_names_lookup'!$C:$C,MATCH(A124,'_names_lookup'!$A:$A,0)),"")</f>
        <v/>
      </c>
      <c r="C124" s="29">
        <f>IFERROR(INDEX('_names_lookup'!$B:$B,MATCH(A124,'_names_lookup'!$A:$A,0)),"")</f>
        <v/>
      </c>
    </row>
    <row r="125" ht="16" customHeight="1">
      <c r="A125" s="29" t="inlineStr">
        <is>
          <t>Ramirez, Johnny</t>
        </is>
      </c>
      <c r="B125" s="29">
        <f>IFERROR(INDEX('_names_lookup'!$C:$C,MATCH(A125,'_names_lookup'!$A:$A,0)),"")</f>
        <v/>
      </c>
      <c r="C125" s="29">
        <f>IFERROR(INDEX('_names_lookup'!$B:$B,MATCH(A125,'_names_lookup'!$A:$A,0)),"")</f>
        <v/>
      </c>
    </row>
    <row r="126" ht="16" customHeight="1">
      <c r="A126" s="29" t="inlineStr">
        <is>
          <t>Rico, Jorge E.</t>
        </is>
      </c>
      <c r="B126" s="29">
        <f>IFERROR(INDEX('_names_lookup'!$C:$C,MATCH(A126,'_names_lookup'!$A:$A,0)),"")</f>
        <v/>
      </c>
      <c r="C126" s="29">
        <f>IFERROR(INDEX('_names_lookup'!$B:$B,MATCH(A126,'_names_lookup'!$A:$A,0)),"")</f>
        <v/>
      </c>
    </row>
    <row r="127" ht="16" customHeight="1">
      <c r="A127" s="29" t="inlineStr">
        <is>
          <t>Saravia, Yohalmo A.</t>
        </is>
      </c>
      <c r="B127" s="29">
        <f>IFERROR(INDEX('_names_lookup'!$C:$C,MATCH(A127,'_names_lookup'!$A:$A,0)),"")</f>
        <v/>
      </c>
      <c r="C127" s="29">
        <f>IFERROR(INDEX('_names_lookup'!$B:$B,MATCH(A127,'_names_lookup'!$A:$A,0)),"")</f>
        <v/>
      </c>
    </row>
    <row r="128" ht="16" customHeight="1">
      <c r="A128" s="29" t="inlineStr">
        <is>
          <t>Schmidt, Eduard E.</t>
        </is>
      </c>
      <c r="B128" s="29">
        <f>IFERROR(INDEX('_names_lookup'!$C:$C,MATCH(A128,'_names_lookup'!$A:$A,0)),"")</f>
        <v/>
      </c>
      <c r="C128" s="29">
        <f>IFERROR(INDEX('_names_lookup'!$B:$B,MATCH(A128,'_names_lookup'!$A:$A,0)),"")</f>
        <v/>
      </c>
    </row>
    <row r="129" ht="16" customHeight="1">
      <c r="A129" s="29" t="inlineStr">
        <is>
          <t>Sorajjakool, Siroj</t>
        </is>
      </c>
      <c r="B129" s="29">
        <f>IFERROR(INDEX('_names_lookup'!$C:$C,MATCH(A129,'_names_lookup'!$A:$A,0)),"")</f>
        <v/>
      </c>
      <c r="C129" s="29">
        <f>IFERROR(INDEX('_names_lookup'!$B:$B,MATCH(A129,'_names_lookup'!$A:$A,0)),"")</f>
        <v/>
      </c>
    </row>
    <row r="130" ht="16" customHeight="1">
      <c r="A130" s="29" t="inlineStr">
        <is>
          <t>Wagener Smith, Anthony</t>
        </is>
      </c>
      <c r="B130" s="29">
        <f>IFERROR(INDEX('_names_lookup'!$C:$C,MATCH(A130,'_names_lookup'!$A:$A,0)),"")</f>
        <v/>
      </c>
      <c r="C130" s="29">
        <f>IFERROR(INDEX('_names_lookup'!$B:$B,MATCH(A130,'_names_lookup'!$A:$A,0)),"")</f>
        <v/>
      </c>
    </row>
    <row r="131" ht="16" customHeight="1">
      <c r="A131" s="29" t="inlineStr">
        <is>
          <t>Williams, Hyveth M.</t>
        </is>
      </c>
      <c r="B131" s="29">
        <f>IFERROR(INDEX('_names_lookup'!$C:$C,MATCH(A131,'_names_lookup'!$A:$A,0)),"")</f>
        <v/>
      </c>
      <c r="C131" s="29">
        <f>IFERROR(INDEX('_names_lookup'!$B:$B,MATCH(A131,'_names_lookup'!$A:$A,0)),"")</f>
        <v/>
      </c>
    </row>
    <row r="132" ht="16" customHeight="1">
      <c r="A132" s="29" t="inlineStr">
        <is>
          <t>Anderson, Paul S.</t>
        </is>
      </c>
      <c r="B132" s="29">
        <f>IFERROR(INDEX('_names_lookup'!$C:$C,MATCH(A132,'_names_lookup'!$A:$A,0)),"")</f>
        <v/>
      </c>
      <c r="C132" s="29">
        <f>IFERROR(INDEX('_names_lookup'!$B:$B,MATCH(A132,'_names_lookup'!$A:$A,0)),"")</f>
        <v/>
      </c>
    </row>
    <row r="133" ht="16" customHeight="1">
      <c r="A133" s="29" t="inlineStr">
        <is>
          <t>Barcelo, Saul</t>
        </is>
      </c>
      <c r="B133" s="38">
        <f>IFERROR(INDEX('_names_lookup'!$C:$C,MATCH(A133,'_names_lookup'!$A:$A,0)),"")</f>
        <v/>
      </c>
      <c r="C133" s="29">
        <f>IFERROR(INDEX('_names_lookup'!$B:$B,MATCH(A133,'_names_lookup'!$A:$A,0)),"")</f>
        <v/>
      </c>
    </row>
    <row r="134" ht="16" customHeight="1">
      <c r="A134" s="29" t="inlineStr">
        <is>
          <t>Coralie, Alain G.</t>
        </is>
      </c>
      <c r="B134" s="29">
        <f>IFERROR(INDEX('_names_lookup'!$C:$C,MATCH(A134,'_names_lookup'!$A:$A,0)),"")</f>
        <v/>
      </c>
      <c r="C134" s="29">
        <f>IFERROR(INDEX('_names_lookup'!$B:$B,MATCH(A134,'_names_lookup'!$A:$A,0)),"")</f>
        <v/>
      </c>
    </row>
    <row r="135" ht="16" customHeight="1">
      <c r="A135" s="29" t="inlineStr">
        <is>
          <t>Crews, Heather L.</t>
        </is>
      </c>
      <c r="B135" s="29">
        <f>IFERROR(INDEX('_names_lookup'!$C:$C,MATCH(A135,'_names_lookup'!$A:$A,0)),"")</f>
        <v/>
      </c>
      <c r="C135" s="29">
        <f>IFERROR(INDEX('_names_lookup'!$B:$B,MATCH(A135,'_names_lookup'!$A:$A,0)),"")</f>
        <v/>
      </c>
    </row>
    <row r="136" ht="16" customHeight="1">
      <c r="A136" s="29" t="inlineStr">
        <is>
          <t>Ferreira, Sandy Y.</t>
        </is>
      </c>
      <c r="B136" s="29">
        <f>IFERROR(INDEX('_names_lookup'!$C:$C,MATCH(A136,'_names_lookup'!$A:$A,0)),"")</f>
        <v/>
      </c>
      <c r="C136" s="29">
        <f>IFERROR(INDEX('_names_lookup'!$B:$B,MATCH(A136,'_names_lookup'!$A:$A,0)),"")</f>
        <v/>
      </c>
    </row>
    <row r="137" ht="16" customHeight="1">
      <c r="A137" s="29" t="inlineStr">
        <is>
          <t>Galeniece, Anna</t>
        </is>
      </c>
      <c r="B137" s="29">
        <f>IFERROR(INDEX('_names_lookup'!$C:$C,MATCH(A137,'_names_lookup'!$A:$A,0)),"")</f>
        <v/>
      </c>
      <c r="C137" s="29">
        <f>IFERROR(INDEX('_names_lookup'!$B:$B,MATCH(A137,'_names_lookup'!$A:$A,0)),"")</f>
        <v/>
      </c>
    </row>
    <row r="138" ht="16" customHeight="1">
      <c r="A138" s="29" t="inlineStr">
        <is>
          <t>Grant, Vaughan K.</t>
        </is>
      </c>
      <c r="B138" s="29">
        <f>IFERROR(INDEX('_names_lookup'!$C:$C,MATCH(A138,'_names_lookup'!$A:$A,0)),"")</f>
        <v/>
      </c>
      <c r="C138" s="29">
        <f>IFERROR(INDEX('_names_lookup'!$B:$B,MATCH(A138,'_names_lookup'!$A:$A,0)),"")</f>
        <v/>
      </c>
    </row>
    <row r="139" ht="16" customHeight="1">
      <c r="A139" s="29" t="inlineStr">
        <is>
          <t>Grys, John W.</t>
        </is>
      </c>
      <c r="B139" s="29">
        <f>IFERROR(INDEX('_names_lookup'!$C:$C,MATCH(A139,'_names_lookup'!$A:$A,0)),"")</f>
        <v/>
      </c>
      <c r="C139" s="29">
        <f>IFERROR(INDEX('_names_lookup'!$B:$B,MATCH(A139,'_names_lookup'!$A:$A,0)),"")</f>
        <v/>
      </c>
    </row>
    <row r="140" ht="16" customHeight="1">
      <c r="A140" s="29" t="inlineStr">
        <is>
          <t>Jaeger, Victor A.</t>
        </is>
      </c>
      <c r="B140" s="29">
        <f>IFERROR(INDEX('_names_lookup'!$C:$C,MATCH(A140,'_names_lookup'!$A:$A,0)),"")</f>
        <v/>
      </c>
      <c r="C140" s="29">
        <f>IFERROR(INDEX('_names_lookup'!$B:$B,MATCH(A140,'_names_lookup'!$A:$A,0)),"")</f>
        <v/>
      </c>
    </row>
    <row r="141" ht="16" customHeight="1">
      <c r="A141" s="29" t="inlineStr">
        <is>
          <t>Kissinger, Evelyn G.</t>
        </is>
      </c>
      <c r="B141" s="29">
        <f>IFERROR(INDEX('_names_lookup'!$C:$C,MATCH(A141,'_names_lookup'!$A:$A,0)),"")</f>
        <v/>
      </c>
      <c r="C141" s="29">
        <f>IFERROR(INDEX('_names_lookup'!$B:$B,MATCH(A141,'_names_lookup'!$A:$A,0)),"")</f>
        <v/>
      </c>
    </row>
    <row r="142" ht="16" customHeight="1">
      <c r="A142" s="29" t="inlineStr">
        <is>
          <t>Ledesma, Janet</t>
        </is>
      </c>
      <c r="B142" s="29">
        <f>IFERROR(INDEX('_names_lookup'!$C:$C,MATCH(A142,'_names_lookup'!$A:$A,0)),"")</f>
        <v/>
      </c>
      <c r="C142" s="29">
        <f>IFERROR(INDEX('_names_lookup'!$B:$B,MATCH(A142,'_names_lookup'!$A:$A,0)),"")</f>
        <v/>
      </c>
    </row>
    <row r="143" ht="16" customHeight="1">
      <c r="A143" s="29" t="inlineStr">
        <is>
          <t>Lewis, Michael L.</t>
        </is>
      </c>
      <c r="B143" s="29">
        <f>IFERROR(INDEX('_names_lookup'!$C:$C,MATCH(A143,'_names_lookup'!$A:$A,0)),"")</f>
        <v/>
      </c>
      <c r="C143" s="29">
        <f>IFERROR(INDEX('_names_lookup'!$B:$B,MATCH(A143,'_names_lookup'!$A:$A,0)),"")</f>
        <v/>
      </c>
    </row>
    <row r="144" ht="16" customHeight="1">
      <c r="A144" s="29" t="inlineStr">
        <is>
          <t>Madding, Timothy E.</t>
        </is>
      </c>
      <c r="B144" s="29">
        <f>IFERROR(INDEX('_names_lookup'!$C:$C,MATCH(A144,'_names_lookup'!$A:$A,0)),"")</f>
        <v/>
      </c>
      <c r="C144" s="29">
        <f>IFERROR(INDEX('_names_lookup'!$B:$B,MATCH(A144,'_names_lookup'!$A:$A,0)),"")</f>
        <v/>
      </c>
    </row>
    <row r="145" ht="16" customHeight="1">
      <c r="A145" s="29" t="inlineStr">
        <is>
          <t>Martin, Allan D.</t>
        </is>
      </c>
      <c r="B145" s="38">
        <f>IFERROR(INDEX('_names_lookup'!$C:$C,MATCH(A145,'_names_lookup'!$A:$A,0)),"")</f>
        <v/>
      </c>
      <c r="C145" s="29">
        <f>IFERROR(INDEX('_names_lookup'!$B:$B,MATCH(A145,'_names_lookup'!$A:$A,0)),"")</f>
        <v/>
      </c>
    </row>
    <row r="146" ht="16" customHeight="1">
      <c r="A146" s="29" t="inlineStr">
        <is>
          <t>McLean, Errol N.</t>
        </is>
      </c>
      <c r="B146" s="29">
        <f>IFERROR(INDEX('_names_lookup'!$C:$C,MATCH(A146,'_names_lookup'!$A:$A,0)),"")</f>
        <v/>
      </c>
      <c r="C146" s="29">
        <f>IFERROR(INDEX('_names_lookup'!$B:$B,MATCH(A146,'_names_lookup'!$A:$A,0)),"")</f>
        <v/>
      </c>
    </row>
    <row r="147" ht="16" customHeight="1">
      <c r="A147" s="29" t="inlineStr">
        <is>
          <t>Ming, Marilyn D.</t>
        </is>
      </c>
      <c r="B147" s="29">
        <f>IFERROR(INDEX('_names_lookup'!$C:$C,MATCH(A147,'_names_lookup'!$A:$A,0)),"")</f>
        <v/>
      </c>
      <c r="C147" s="29">
        <f>IFERROR(INDEX('_names_lookup'!$B:$B,MATCH(A147,'_names_lookup'!$A:$A,0)),"")</f>
        <v/>
      </c>
    </row>
    <row r="148" ht="16" customHeight="1">
      <c r="A148" s="29" t="inlineStr">
        <is>
          <t>Morales, Xavier</t>
        </is>
      </c>
      <c r="B148" s="29">
        <f>IFERROR(INDEX('_names_lookup'!$C:$C,MATCH(A148,'_names_lookup'!$A:$A,0)),"")</f>
        <v/>
      </c>
      <c r="C148" s="29">
        <f>IFERROR(INDEX('_names_lookup'!$B:$B,MATCH(A148,'_names_lookup'!$A:$A,0)),"")</f>
        <v/>
      </c>
    </row>
    <row r="149" ht="16" customHeight="1">
      <c r="A149" s="29" t="inlineStr">
        <is>
          <t>Ramos Escobar, Walter</t>
        </is>
      </c>
      <c r="B149" s="29">
        <f>IFERROR(INDEX('_names_lookup'!$C:$C,MATCH(A149,'_names_lookup'!$A:$A,0)),"")</f>
        <v/>
      </c>
      <c r="C149" s="29">
        <f>IFERROR(INDEX('_names_lookup'!$B:$B,MATCH(A149,'_names_lookup'!$A:$A,0)),"")</f>
        <v/>
      </c>
    </row>
    <row r="150" ht="16" customHeight="1">
      <c r="A150" s="29" t="inlineStr">
        <is>
          <t>Rojas, Hugo E.</t>
        </is>
      </c>
      <c r="B150" s="29">
        <f>IFERROR(INDEX('_names_lookup'!$C:$C,MATCH(A150,'_names_lookup'!$A:$A,0)),"")</f>
        <v/>
      </c>
      <c r="C150" s="29">
        <f>IFERROR(INDEX('_names_lookup'!$B:$B,MATCH(A150,'_names_lookup'!$A:$A,0)),"")</f>
        <v/>
      </c>
    </row>
    <row r="151" ht="16" customHeight="1">
      <c r="A151" s="29" t="inlineStr">
        <is>
          <t>Taiwo, Moses O.</t>
        </is>
      </c>
      <c r="B151" s="29">
        <f>IFERROR(INDEX('_names_lookup'!$C:$C,MATCH(A151,'_names_lookup'!$A:$A,0)),"")</f>
        <v/>
      </c>
      <c r="C151" s="29">
        <f>IFERROR(INDEX('_names_lookup'!$B:$B,MATCH(A151,'_names_lookup'!$A:$A,0)),"")</f>
        <v/>
      </c>
    </row>
    <row r="152" ht="16" customHeight="1">
      <c r="A152" s="29" t="inlineStr">
        <is>
          <t>Thordarson, Throstur B.</t>
        </is>
      </c>
      <c r="B152" s="29">
        <f>IFERROR(INDEX('_names_lookup'!$C:$C,MATCH(A152,'_names_lookup'!$A:$A,0)),"")</f>
        <v/>
      </c>
      <c r="C152" s="29">
        <f>IFERROR(INDEX('_names_lookup'!$B:$B,MATCH(A152,'_names_lookup'!$A:$A,0)),"")</f>
        <v/>
      </c>
    </row>
    <row r="153" ht="16" customHeight="1">
      <c r="A153" s="29" t="inlineStr">
        <is>
          <t>Trecartin, Shannon M.</t>
        </is>
      </c>
      <c r="B153" s="29">
        <f>IFERROR(INDEX('_names_lookup'!$C:$C,MATCH(A153,'_names_lookup'!$A:$A,0)),"")</f>
        <v/>
      </c>
      <c r="C153" s="29">
        <f>IFERROR(INDEX('_names_lookup'!$B:$B,MATCH(A153,'_names_lookup'!$A:$A,0)),"")</f>
        <v/>
      </c>
    </row>
    <row r="154" ht="16" customHeight="1">
      <c r="A154" s="29" t="inlineStr">
        <is>
          <t>Tsui, Terry M.</t>
        </is>
      </c>
      <c r="B154" s="29">
        <f>IFERROR(INDEX('_names_lookup'!$C:$C,MATCH(A154,'_names_lookup'!$A:$A,0)),"")</f>
        <v/>
      </c>
      <c r="C154" s="29">
        <f>IFERROR(INDEX('_names_lookup'!$B:$B,MATCH(A154,'_names_lookup'!$A:$A,0)),"")</f>
        <v/>
      </c>
    </row>
    <row r="155" ht="16" customHeight="1">
      <c r="A155" s="29" t="inlineStr">
        <is>
          <t>Vatel, Marie S.</t>
        </is>
      </c>
      <c r="B155" s="29">
        <f>IFERROR(INDEX('_names_lookup'!$C:$C,MATCH(A155,'_names_lookup'!$A:$A,0)),"")</f>
        <v/>
      </c>
      <c r="C155" s="29">
        <f>IFERROR(INDEX('_names_lookup'!$B:$B,MATCH(A155,'_names_lookup'!$A:$A,0)),"")</f>
        <v/>
      </c>
    </row>
    <row r="156" ht="16" customHeight="1">
      <c r="A156" s="29" t="inlineStr">
        <is>
          <t>Wellington, Rohann D.</t>
        </is>
      </c>
      <c r="B156" s="29">
        <f>IFERROR(INDEX('_names_lookup'!$C:$C,MATCH(A156,'_names_lookup'!$A:$A,0)),"")</f>
        <v/>
      </c>
      <c r="C156" s="29">
        <f>IFERROR(INDEX('_names_lookup'!$B:$B,MATCH(A156,'_names_lookup'!$A:$A,0)),"")</f>
        <v/>
      </c>
    </row>
    <row r="157" ht="16" customHeight="1">
      <c r="A157" s="29" t="inlineStr">
        <is>
          <t>Wood, H Stanley</t>
        </is>
      </c>
      <c r="B157" s="29">
        <f>IFERROR(INDEX('_names_lookup'!$C:$C,MATCH(A157,'_names_lookup'!$A:$A,0)),"")</f>
        <v/>
      </c>
      <c r="C157" s="29">
        <f>IFERROR(INDEX('_names_lookup'!$B:$B,MATCH(A157,'_names_lookup'!$A:$A,0)),"")</f>
        <v/>
      </c>
    </row>
    <row r="158" ht="16" customHeight="1">
      <c r="A158" s="29" t="inlineStr">
        <is>
          <t>Young, Dustin R.</t>
        </is>
      </c>
      <c r="B158" s="29">
        <f>IFERROR(INDEX('_names_lookup'!$C:$C,MATCH(A158,'_names_lookup'!$A:$A,0)),"")</f>
        <v/>
      </c>
      <c r="C158" s="29">
        <f>IFERROR(INDEX('_names_lookup'!$B:$B,MATCH(A158,'_names_lookup'!$A:$A,0)),"")</f>
        <v/>
      </c>
    </row>
    <row r="159" ht="16" customHeight="1">
      <c r="A159" s="29" t="inlineStr">
        <is>
          <t>Alexe, Cristina A.</t>
        </is>
      </c>
      <c r="B159" s="29">
        <f>IFERROR(INDEX('_names_lookup'!$C:$C,MATCH(A159,'_names_lookup'!$A:$A,0)),"")</f>
        <v/>
      </c>
      <c r="C159" s="29">
        <f>IFERROR(INDEX('_names_lookup'!$B:$B,MATCH(A159,'_names_lookup'!$A:$A,0)),"")</f>
        <v/>
      </c>
    </row>
    <row r="160" ht="16" customHeight="1">
      <c r="A160" s="29" t="inlineStr">
        <is>
          <t>Andvik, Lidvar</t>
        </is>
      </c>
      <c r="B160" s="29">
        <f>IFERROR(INDEX('_names_lookup'!$C:$C,MATCH(A160,'_names_lookup'!$A:$A,0)),"")</f>
        <v/>
      </c>
      <c r="C160" s="29">
        <f>IFERROR(INDEX('_names_lookup'!$B:$B,MATCH(A160,'_names_lookup'!$A:$A,0)),"")</f>
        <v/>
      </c>
    </row>
    <row r="161" ht="16" customHeight="1">
      <c r="A161" s="29" t="inlineStr">
        <is>
          <t>Arena, Timothy J.</t>
        </is>
      </c>
      <c r="B161" s="29">
        <f>IFERROR(INDEX('_names_lookup'!$C:$C,MATCH(A161,'_names_lookup'!$A:$A,0)),"")</f>
        <v/>
      </c>
      <c r="C161" s="29">
        <f>IFERROR(INDEX('_names_lookup'!$B:$B,MATCH(A161,'_names_lookup'!$A:$A,0)),"")</f>
        <v/>
      </c>
    </row>
    <row r="162" ht="16" customHeight="1">
      <c r="A162" s="29" t="inlineStr">
        <is>
          <t>Baldwin, John T.</t>
        </is>
      </c>
      <c r="B162" s="29">
        <f>IFERROR(INDEX('_names_lookup'!$C:$C,MATCH(A162,'_names_lookup'!$A:$A,0)),"")</f>
        <v/>
      </c>
      <c r="C162" s="29">
        <f>IFERROR(INDEX('_names_lookup'!$B:$B,MATCH(A162,'_names_lookup'!$A:$A,0)),"")</f>
        <v/>
      </c>
    </row>
    <row r="163" ht="16" customHeight="1">
      <c r="A163" s="29" t="inlineStr">
        <is>
          <t>Bentancur, Ricardo</t>
        </is>
      </c>
      <c r="B163" s="29">
        <f>IFERROR(INDEX('_names_lookup'!$C:$C,MATCH(A163,'_names_lookup'!$A:$A,0)),"")</f>
        <v/>
      </c>
      <c r="C163" s="29">
        <f>IFERROR(INDEX('_names_lookup'!$B:$B,MATCH(A163,'_names_lookup'!$A:$A,0)),"")</f>
        <v/>
      </c>
    </row>
    <row r="164" ht="16" customHeight="1">
      <c r="A164" s="29" t="inlineStr">
        <is>
          <t>Canale, Fernando</t>
        </is>
      </c>
      <c r="B164" s="29">
        <f>IFERROR(INDEX('_names_lookup'!$C:$C,MATCH(A164,'_names_lookup'!$A:$A,0)),"")</f>
        <v/>
      </c>
      <c r="C164" s="29">
        <f>IFERROR(INDEX('_names_lookup'!$B:$B,MATCH(A164,'_names_lookup'!$A:$A,0)),"")</f>
        <v/>
      </c>
    </row>
    <row r="165" ht="16" customHeight="1">
      <c r="A165" s="29" t="inlineStr">
        <is>
          <t>Covrig, Duane M.</t>
        </is>
      </c>
      <c r="B165" s="29">
        <f>IFERROR(INDEX('_names_lookup'!$C:$C,MATCH(A165,'_names_lookup'!$A:$A,0)),"")</f>
        <v/>
      </c>
      <c r="C165" s="29">
        <f>IFERROR(INDEX('_names_lookup'!$B:$B,MATCH(A165,'_names_lookup'!$A:$A,0)),"")</f>
        <v/>
      </c>
    </row>
    <row r="166" ht="16" customHeight="1">
      <c r="A166" s="29" t="inlineStr">
        <is>
          <t>Dei, Daniel</t>
        </is>
      </c>
      <c r="B166" s="29">
        <f>IFERROR(INDEX('_names_lookup'!$C:$C,MATCH(A166,'_names_lookup'!$A:$A,0)),"")</f>
        <v/>
      </c>
      <c r="C166" s="29">
        <f>IFERROR(INDEX('_names_lookup'!$B:$B,MATCH(A166,'_names_lookup'!$A:$A,0)),"")</f>
        <v/>
      </c>
    </row>
    <row r="167" ht="16" customHeight="1">
      <c r="A167" s="29" t="inlineStr">
        <is>
          <t>Drew, Arlyn S.</t>
        </is>
      </c>
      <c r="B167" s="29">
        <f>IFERROR(INDEX('_names_lookup'!$C:$C,MATCH(A167,'_names_lookup'!$A:$A,0)),"")</f>
        <v/>
      </c>
      <c r="C167" s="29">
        <f>IFERROR(INDEX('_names_lookup'!$B:$B,MATCH(A167,'_names_lookup'!$A:$A,0)),"")</f>
        <v/>
      </c>
    </row>
    <row r="168" ht="16" customHeight="1">
      <c r="A168" s="29" t="inlineStr">
        <is>
          <t>Dupertuis, Atilio R.</t>
        </is>
      </c>
      <c r="B168" s="29">
        <f>IFERROR(INDEX('_names_lookup'!$C:$C,MATCH(A168,'_names_lookup'!$A:$A,0)),"")</f>
        <v/>
      </c>
      <c r="C168" s="29">
        <f>IFERROR(INDEX('_names_lookup'!$B:$B,MATCH(A168,'_names_lookup'!$A:$A,0)),"")</f>
        <v/>
      </c>
    </row>
    <row r="169" ht="16" customHeight="1">
      <c r="A169" s="29" t="inlineStr">
        <is>
          <t>Duran Royo, Noemi</t>
        </is>
      </c>
      <c r="B169" s="29">
        <f>IFERROR(INDEX('_names_lookup'!$C:$C,MATCH(A169,'_names_lookup'!$A:$A,0)),"")</f>
        <v/>
      </c>
      <c r="C169" s="29">
        <f>IFERROR(INDEX('_names_lookup'!$B:$B,MATCH(A169,'_names_lookup'!$A:$A,0)),"")</f>
        <v/>
      </c>
    </row>
    <row r="170" ht="16" customHeight="1">
      <c r="A170" s="29" t="inlineStr">
        <is>
          <t>Gibbs, Nathaniel</t>
        </is>
      </c>
      <c r="B170" s="29">
        <f>IFERROR(INDEX('_names_lookup'!$C:$C,MATCH(A170,'_names_lookup'!$A:$A,0)),"")</f>
        <v/>
      </c>
      <c r="C170" s="29">
        <f>IFERROR(INDEX('_names_lookup'!$B:$B,MATCH(A170,'_names_lookup'!$A:$A,0)),"")</f>
        <v/>
      </c>
    </row>
    <row r="171" ht="16" customHeight="1">
      <c r="A171" s="29" t="inlineStr">
        <is>
          <t>Hanna, Martin F.</t>
        </is>
      </c>
      <c r="B171" s="29">
        <f>IFERROR(INDEX('_names_lookup'!$C:$C,MATCH(A171,'_names_lookup'!$A:$A,0)),"")</f>
        <v/>
      </c>
      <c r="C171" s="29">
        <f>IFERROR(INDEX('_names_lookup'!$B:$B,MATCH(A171,'_names_lookup'!$A:$A,0)),"")</f>
        <v/>
      </c>
    </row>
    <row r="172" ht="16" customHeight="1">
      <c r="A172" s="29" t="inlineStr">
        <is>
          <t>Jankiewicz, Darius W.</t>
        </is>
      </c>
      <c r="B172" s="29">
        <f>IFERROR(INDEX('_names_lookup'!$C:$C,MATCH(A172,'_names_lookup'!$A:$A,0)),"")</f>
        <v/>
      </c>
      <c r="C172" s="29">
        <f>IFERROR(INDEX('_names_lookup'!$B:$B,MATCH(A172,'_names_lookup'!$A:$A,0)),"")</f>
        <v/>
      </c>
    </row>
    <row r="173" ht="16" customHeight="1">
      <c r="A173" s="29" t="inlineStr">
        <is>
          <t>Kis, Miroslav M.</t>
        </is>
      </c>
      <c r="B173" s="38">
        <f>IFERROR(INDEX('_names_lookup'!$C:$C,MATCH(A173,'_names_lookup'!$A:$A,0)),"")</f>
        <v/>
      </c>
      <c r="C173" s="29">
        <f>IFERROR(INDEX('_names_lookup'!$B:$B,MATCH(A173,'_names_lookup'!$A:$A,0)),"")</f>
        <v/>
      </c>
    </row>
    <row r="174" ht="16" customHeight="1">
      <c r="A174" s="29" t="inlineStr">
        <is>
          <t>Kormos, Erik</t>
        </is>
      </c>
      <c r="B174" s="29">
        <f>IFERROR(INDEX('_names_lookup'!$C:$C,MATCH(A174,'_names_lookup'!$A:$A,0)),"")</f>
        <v/>
      </c>
      <c r="C174" s="29">
        <f>IFERROR(INDEX('_names_lookup'!$B:$B,MATCH(A174,'_names_lookup'!$A:$A,0)),"")</f>
        <v/>
      </c>
    </row>
    <row r="175" ht="16" customHeight="1">
      <c r="A175" s="29" t="inlineStr">
        <is>
          <t>Koval, Bohdan</t>
        </is>
      </c>
      <c r="B175" s="29">
        <f>IFERROR(INDEX('_names_lookup'!$C:$C,MATCH(A175,'_names_lookup'!$A:$A,0)),"")</f>
        <v/>
      </c>
      <c r="C175" s="29">
        <f>IFERROR(INDEX('_names_lookup'!$B:$B,MATCH(A175,'_names_lookup'!$A:$A,0)),"")</f>
        <v/>
      </c>
    </row>
    <row r="176" ht="16" customHeight="1">
      <c r="A176" s="29" t="inlineStr">
        <is>
          <t>Peckham, John C.</t>
        </is>
      </c>
      <c r="B176" s="29">
        <f>IFERROR(INDEX('_names_lookup'!$C:$C,MATCH(A176,'_names_lookup'!$A:$A,0)),"")</f>
        <v/>
      </c>
      <c r="C176" s="29">
        <f>IFERROR(INDEX('_names_lookup'!$B:$B,MATCH(A176,'_names_lookup'!$A:$A,0)),"")</f>
        <v/>
      </c>
    </row>
    <row r="177" ht="16" customHeight="1">
      <c r="A177" s="29" t="inlineStr">
        <is>
          <t>Plantak, Zorislav</t>
        </is>
      </c>
      <c r="B177" s="29">
        <f>IFERROR(INDEX('_names_lookup'!$C:$C,MATCH(A177,'_names_lookup'!$A:$A,0)),"")</f>
        <v/>
      </c>
      <c r="C177" s="29">
        <f>IFERROR(INDEX('_names_lookup'!$B:$B,MATCH(A177,'_names_lookup'!$A:$A,0)),"")</f>
        <v/>
      </c>
    </row>
    <row r="178" ht="16" customHeight="1">
      <c r="A178" s="29" t="inlineStr">
        <is>
          <t>Razmerita, Gheorghe</t>
        </is>
      </c>
      <c r="B178" s="29">
        <f>IFERROR(INDEX('_names_lookup'!$C:$C,MATCH(A178,'_names_lookup'!$A:$A,0)),"")</f>
        <v/>
      </c>
      <c r="C178" s="29">
        <f>IFERROR(INDEX('_names_lookup'!$B:$B,MATCH(A178,'_names_lookup'!$A:$A,0)),"")</f>
        <v/>
      </c>
    </row>
    <row r="179" ht="16" customHeight="1">
      <c r="A179" s="29" t="inlineStr">
        <is>
          <t>Rodrigues, Adriani M.</t>
        </is>
      </c>
      <c r="B179" s="29">
        <f>IFERROR(INDEX('_names_lookup'!$C:$C,MATCH(A179,'_names_lookup'!$A:$A,0)),"")</f>
        <v/>
      </c>
      <c r="C179" s="29">
        <f>IFERROR(INDEX('_names_lookup'!$B:$B,MATCH(A179,'_names_lookup'!$A:$A,0)),"")</f>
        <v/>
      </c>
    </row>
    <row r="180" ht="16" customHeight="1">
      <c r="A180" s="29" t="inlineStr">
        <is>
          <t>Sciarabba, Davide</t>
        </is>
      </c>
      <c r="B180" s="29">
        <f>IFERROR(INDEX('_names_lookup'!$C:$C,MATCH(A180,'_names_lookup'!$A:$A,0)),"")</f>
        <v/>
      </c>
      <c r="C180" s="29">
        <f>IFERROR(INDEX('_names_lookup'!$B:$B,MATCH(A180,'_names_lookup'!$A:$A,0)),"")</f>
        <v/>
      </c>
    </row>
    <row r="181" ht="16" customHeight="1">
      <c r="A181" s="29" t="inlineStr">
        <is>
          <t>Szallos-Farkas, Zoltan</t>
        </is>
      </c>
      <c r="B181" s="29">
        <f>IFERROR(INDEX('_names_lookup'!$C:$C,MATCH(A181,'_names_lookup'!$A:$A,0)),"")</f>
        <v/>
      </c>
      <c r="C181" s="29">
        <f>IFERROR(INDEX('_names_lookup'!$B:$B,MATCH(A181,'_names_lookup'!$A:$A,0)),"")</f>
        <v/>
      </c>
    </row>
    <row r="182" ht="16" customHeight="1">
      <c r="A182" s="29" t="inlineStr">
        <is>
          <t>Terreros, Marco T.</t>
        </is>
      </c>
      <c r="B182" s="29">
        <f>IFERROR(INDEX('_names_lookup'!$C:$C,MATCH(A182,'_names_lookup'!$A:$A,0)),"")</f>
        <v/>
      </c>
      <c r="C182" s="29">
        <f>IFERROR(INDEX('_names_lookup'!$B:$B,MATCH(A182,'_names_lookup'!$A:$A,0)),"")</f>
        <v/>
      </c>
    </row>
    <row r="183" ht="16" customHeight="1">
      <c r="A183" s="29" t="inlineStr">
        <is>
          <t>Tornalejo, Remwil R.</t>
        </is>
      </c>
      <c r="B183" s="29">
        <f>IFERROR(INDEX('_names_lookup'!$C:$C,MATCH(A183,'_names_lookup'!$A:$A,0)),"")</f>
        <v/>
      </c>
      <c r="C183" s="29">
        <f>IFERROR(INDEX('_names_lookup'!$B:$B,MATCH(A183,'_names_lookup'!$A:$A,0)),"")</f>
        <v/>
      </c>
    </row>
    <row r="184" ht="16" customHeight="1">
      <c r="A184" s="29" t="inlineStr">
        <is>
          <t>Wetterlin, Cory D.</t>
        </is>
      </c>
      <c r="B184" s="29">
        <f>IFERROR(INDEX('_names_lookup'!$C:$C,MATCH(A184,'_names_lookup'!$A:$A,0)),"")</f>
        <v/>
      </c>
      <c r="C184" s="29">
        <f>IFERROR(INDEX('_names_lookup'!$B:$B,MATCH(A184,'_names_lookup'!$A:$A,0)),"")</f>
        <v/>
      </c>
    </row>
    <row r="185" ht="16" customHeight="1">
      <c r="A185" s="29" t="inlineStr">
        <is>
          <t>Zaitsev, Eugene V.</t>
        </is>
      </c>
      <c r="B185" s="29">
        <f>IFERROR(INDEX('_names_lookup'!$C:$C,MATCH(A185,'_names_lookup'!$A:$A,0)),"")</f>
        <v/>
      </c>
      <c r="C185" s="29">
        <f>IFERROR(INDEX('_names_lookup'!$B:$B,MATCH(A185,'_names_lookup'!$A:$A,0)),"")</f>
        <v/>
      </c>
    </row>
    <row r="186" ht="16" customHeight="1">
      <c r="A186" s="29" t="inlineStr">
        <is>
          <t>Bauer, Bruce L.</t>
        </is>
      </c>
      <c r="B186" s="29">
        <f>IFERROR(INDEX('_names_lookup'!$C:$C,MATCH(A186,'_names_lookup'!$A:$A,0)),"")</f>
        <v/>
      </c>
      <c r="C186" s="29">
        <f>IFERROR(INDEX('_names_lookup'!$B:$B,MATCH(A186,'_names_lookup'!$A:$A,0)),"")</f>
        <v/>
      </c>
    </row>
    <row r="187" ht="16" customHeight="1">
      <c r="A187" s="29" t="inlineStr">
        <is>
          <t>Cincala, Petr</t>
        </is>
      </c>
      <c r="B187" s="29">
        <f>IFERROR(INDEX('_names_lookup'!$C:$C,MATCH(A187,'_names_lookup'!$A:$A,0)),"")</f>
        <v/>
      </c>
      <c r="C187" s="29">
        <f>IFERROR(INDEX('_names_lookup'!$B:$B,MATCH(A187,'_names_lookup'!$A:$A,0)),"")</f>
        <v/>
      </c>
    </row>
    <row r="188" ht="16" customHeight="1">
      <c r="A188" s="29" t="inlineStr">
        <is>
          <t>Dementyev, Vadim</t>
        </is>
      </c>
      <c r="B188" s="29">
        <f>IFERROR(INDEX('_names_lookup'!$C:$C,MATCH(A188,'_names_lookup'!$A:$A,0)),"")</f>
        <v/>
      </c>
      <c r="C188" s="29">
        <f>IFERROR(INDEX('_names_lookup'!$B:$B,MATCH(A188,'_names_lookup'!$A:$A,0)),"")</f>
        <v/>
      </c>
    </row>
    <row r="189" ht="16" customHeight="1">
      <c r="A189" s="29" t="inlineStr">
        <is>
          <t>Doss, Cheryl D.</t>
        </is>
      </c>
      <c r="B189" s="29">
        <f>IFERROR(INDEX('_names_lookup'!$C:$C,MATCH(A189,'_names_lookup'!$A:$A,0)),"")</f>
        <v/>
      </c>
      <c r="C189" s="29">
        <f>IFERROR(INDEX('_names_lookup'!$B:$B,MATCH(A189,'_names_lookup'!$A:$A,0)),"")</f>
        <v/>
      </c>
    </row>
    <row r="190" ht="16" customHeight="1">
      <c r="A190" s="29" t="inlineStr">
        <is>
          <t>Doss, Gorden R.</t>
        </is>
      </c>
      <c r="B190" s="29">
        <f>IFERROR(INDEX('_names_lookup'!$C:$C,MATCH(A190,'_names_lookup'!$A:$A,0)),"")</f>
        <v/>
      </c>
      <c r="C190" s="29">
        <f>IFERROR(INDEX('_names_lookup'!$B:$B,MATCH(A190,'_names_lookup'!$A:$A,0)),"")</f>
        <v/>
      </c>
    </row>
    <row r="191" ht="16" customHeight="1">
      <c r="A191" s="29" t="inlineStr">
        <is>
          <t>Drumi, Iurii N.</t>
        </is>
      </c>
      <c r="B191" s="29">
        <f>IFERROR(INDEX('_names_lookup'!$C:$C,MATCH(A191,'_names_lookup'!$A:$A,0)),"")</f>
        <v/>
      </c>
      <c r="C191" s="29">
        <f>IFERROR(INDEX('_names_lookup'!$B:$B,MATCH(A191,'_names_lookup'!$A:$A,0)),"")</f>
        <v/>
      </c>
    </row>
    <row r="192" ht="16" customHeight="1">
      <c r="A192" s="29" t="inlineStr">
        <is>
          <t>Duffis Gordon, Daniel M.</t>
        </is>
      </c>
      <c r="B192" s="29">
        <f>IFERROR(INDEX('_names_lookup'!$C:$C,MATCH(A192,'_names_lookup'!$A:$A,0)),"")</f>
        <v/>
      </c>
      <c r="C192" s="29">
        <f>IFERROR(INDEX('_names_lookup'!$B:$B,MATCH(A192,'_names_lookup'!$A:$A,0)),"")</f>
        <v/>
      </c>
    </row>
    <row r="193" ht="16" customHeight="1">
      <c r="A193" s="29" t="inlineStr">
        <is>
          <t>Dybdahl, Jon L.</t>
        </is>
      </c>
      <c r="B193" s="29">
        <f>IFERROR(INDEX('_names_lookup'!$C:$C,MATCH(A193,'_names_lookup'!$A:$A,0)),"")</f>
        <v/>
      </c>
      <c r="C193" s="29">
        <f>IFERROR(INDEX('_names_lookup'!$B:$B,MATCH(A193,'_names_lookup'!$A:$A,0)),"")</f>
        <v/>
      </c>
    </row>
    <row r="194" ht="16" customHeight="1">
      <c r="A194" s="29" t="inlineStr">
        <is>
          <t>Dybdahl, Paul B.</t>
        </is>
      </c>
      <c r="B194" s="29">
        <f>IFERROR(INDEX('_names_lookup'!$C:$C,MATCH(A194,'_names_lookup'!$A:$A,0)),"")</f>
        <v/>
      </c>
      <c r="C194" s="29">
        <f>IFERROR(INDEX('_names_lookup'!$B:$B,MATCH(A194,'_names_lookup'!$A:$A,0)),"")</f>
        <v/>
      </c>
    </row>
    <row r="195" ht="16" customHeight="1">
      <c r="A195" s="29" t="inlineStr">
        <is>
          <t>Goya Rozas, Ignacio</t>
        </is>
      </c>
      <c r="B195" s="29">
        <f>IFERROR(INDEX('_names_lookup'!$C:$C,MATCH(A195,'_names_lookup'!$A:$A,0)),"")</f>
        <v/>
      </c>
      <c r="C195" s="29">
        <f>IFERROR(INDEX('_names_lookup'!$B:$B,MATCH(A195,'_names_lookup'!$A:$A,0)),"")</f>
        <v/>
      </c>
    </row>
    <row r="196" ht="16" customHeight="1">
      <c r="A196" s="29" t="inlineStr">
        <is>
          <t>Guerrero Romero, Abraham I.</t>
        </is>
      </c>
      <c r="B196" s="29">
        <f>IFERROR(INDEX('_names_lookup'!$C:$C,MATCH(A196,'_names_lookup'!$A:$A,0)),"")</f>
        <v/>
      </c>
      <c r="C196" s="29">
        <f>IFERROR(INDEX('_names_lookup'!$B:$B,MATCH(A196,'_names_lookup'!$A:$A,0)),"")</f>
        <v/>
      </c>
    </row>
    <row r="197" ht="16" customHeight="1">
      <c r="A197" s="29" t="inlineStr">
        <is>
          <t>Guirguis, Youssry L.</t>
        </is>
      </c>
      <c r="B197" s="29">
        <f>IFERROR(INDEX('_names_lookup'!$C:$C,MATCH(A197,'_names_lookup'!$A:$A,0)),"")</f>
        <v/>
      </c>
      <c r="C197" s="29">
        <f>IFERROR(INDEX('_names_lookup'!$B:$B,MATCH(A197,'_names_lookup'!$A:$A,0)),"")</f>
        <v/>
      </c>
    </row>
    <row r="198" ht="16" customHeight="1">
      <c r="A198" s="29" t="inlineStr">
        <is>
          <t>Hunter, Claval I.</t>
        </is>
      </c>
      <c r="B198" s="29">
        <f>IFERROR(INDEX('_names_lookup'!$C:$C,MATCH(A198,'_names_lookup'!$A:$A,0)),"")</f>
        <v/>
      </c>
      <c r="C198" s="29">
        <f>IFERROR(INDEX('_names_lookup'!$B:$B,MATCH(A198,'_names_lookup'!$A:$A,0)),"")</f>
        <v/>
      </c>
    </row>
    <row r="199" ht="16" customHeight="1">
      <c r="A199" s="29" t="inlineStr">
        <is>
          <t>Ialyshev, Kemil K.</t>
        </is>
      </c>
      <c r="B199" s="29">
        <f>IFERROR(INDEX('_names_lookup'!$C:$C,MATCH(A199,'_names_lookup'!$A:$A,0)),"")</f>
        <v/>
      </c>
      <c r="C199" s="29">
        <f>IFERROR(INDEX('_names_lookup'!$B:$B,MATCH(A199,'_names_lookup'!$A:$A,0)),"")</f>
        <v/>
      </c>
    </row>
    <row r="200" ht="16" customHeight="1">
      <c r="A200" s="29" t="inlineStr">
        <is>
          <t>Insom, Surachet</t>
        </is>
      </c>
      <c r="B200" s="29">
        <f>IFERROR(INDEX('_names_lookup'!$C:$C,MATCH(A200,'_names_lookup'!$A:$A,0)),"")</f>
        <v/>
      </c>
      <c r="C200" s="29">
        <f>IFERROR(INDEX('_names_lookup'!$B:$B,MATCH(A200,'_names_lookup'!$A:$A,0)),"")</f>
        <v/>
      </c>
    </row>
    <row r="201" ht="16" customHeight="1">
      <c r="A201" s="29" t="inlineStr">
        <is>
          <t>Krause, Gary D.</t>
        </is>
      </c>
      <c r="B201" s="29">
        <f>IFERROR(INDEX('_names_lookup'!$C:$C,MATCH(A201,'_names_lookup'!$A:$A,0)),"")</f>
        <v/>
      </c>
      <c r="C201" s="29">
        <f>IFERROR(INDEX('_names_lookup'!$B:$B,MATCH(A201,'_names_lookup'!$A:$A,0)),"")</f>
        <v/>
      </c>
    </row>
    <row r="202" ht="16" customHeight="1">
      <c r="A202" s="29" t="inlineStr">
        <is>
          <t>Kuhn, Wagner</t>
        </is>
      </c>
      <c r="B202" s="29">
        <f>IFERROR(INDEX('_names_lookup'!$C:$C,MATCH(A202,'_names_lookup'!$A:$A,0)),"")</f>
        <v/>
      </c>
      <c r="C202" s="29">
        <f>IFERROR(INDEX('_names_lookup'!$B:$B,MATCH(A202,'_names_lookup'!$A:$A,0)),"")</f>
        <v/>
      </c>
    </row>
    <row r="203" ht="16" customHeight="1">
      <c r="A203" s="29" t="inlineStr">
        <is>
          <t>Maier, Rudolf</t>
        </is>
      </c>
      <c r="B203" s="29">
        <f>IFERROR(INDEX('_names_lookup'!$C:$C,MATCH(A203,'_names_lookup'!$A:$A,0)),"")</f>
        <v/>
      </c>
      <c r="C203" s="29">
        <f>IFERROR(INDEX('_names_lookup'!$B:$B,MATCH(A203,'_names_lookup'!$A:$A,0)),"")</f>
        <v/>
      </c>
    </row>
    <row r="204" ht="16" customHeight="1">
      <c r="A204" s="29" t="inlineStr">
        <is>
          <t>McEdward, Richard E.</t>
        </is>
      </c>
      <c r="B204" s="29">
        <f>IFERROR(INDEX('_names_lookup'!$C:$C,MATCH(A204,'_names_lookup'!$A:$A,0)),"")</f>
        <v/>
      </c>
      <c r="C204" s="29">
        <f>IFERROR(INDEX('_names_lookup'!$B:$B,MATCH(A204,'_names_lookup'!$A:$A,0)),"")</f>
        <v/>
      </c>
    </row>
    <row r="205" ht="16" customHeight="1">
      <c r="A205" s="29" t="inlineStr">
        <is>
          <t>Mercado, Carmelo</t>
        </is>
      </c>
      <c r="B205" s="29">
        <f>IFERROR(INDEX('_names_lookup'!$C:$C,MATCH(A205,'_names_lookup'!$A:$A,0)),"")</f>
        <v/>
      </c>
      <c r="C205" s="29">
        <f>IFERROR(INDEX('_names_lookup'!$B:$B,MATCH(A205,'_names_lookup'!$A:$A,0)),"")</f>
        <v/>
      </c>
    </row>
    <row r="206" ht="16" customHeight="1">
      <c r="A206" s="29" t="inlineStr">
        <is>
          <t>Merklin, Lester P.</t>
        </is>
      </c>
      <c r="B206" s="29">
        <f>IFERROR(INDEX('_names_lookup'!$C:$C,MATCH(A206,'_names_lookup'!$A:$A,0)),"")</f>
        <v/>
      </c>
      <c r="C206" s="29">
        <f>IFERROR(INDEX('_names_lookup'!$B:$B,MATCH(A206,'_names_lookup'!$A:$A,0)),"")</f>
        <v/>
      </c>
    </row>
    <row r="207" ht="16" customHeight="1">
      <c r="A207" s="29" t="inlineStr">
        <is>
          <t>Namoradze, Sergo</t>
        </is>
      </c>
      <c r="B207" s="29">
        <f>IFERROR(INDEX('_names_lookup'!$C:$C,MATCH(A207,'_names_lookup'!$A:$A,0)),"")</f>
        <v/>
      </c>
      <c r="C207" s="29">
        <f>IFERROR(INDEX('_names_lookup'!$B:$B,MATCH(A207,'_names_lookup'!$A:$A,0)),"")</f>
        <v/>
      </c>
    </row>
    <row r="208" ht="16" customHeight="1">
      <c r="A208" s="29" t="inlineStr">
        <is>
          <t>Onongha, Kelvin O.</t>
        </is>
      </c>
      <c r="B208" s="29">
        <f>IFERROR(INDEX('_names_lookup'!$C:$C,MATCH(A208,'_names_lookup'!$A:$A,0)),"")</f>
        <v/>
      </c>
      <c r="C208" s="29">
        <f>IFERROR(INDEX('_names_lookup'!$B:$B,MATCH(A208,'_names_lookup'!$A:$A,0)),"")</f>
        <v/>
      </c>
    </row>
    <row r="209" ht="16" customHeight="1">
      <c r="A209" s="29" t="inlineStr">
        <is>
          <t>Osindo, Oscar</t>
        </is>
      </c>
      <c r="B209" s="29">
        <f>IFERROR(INDEX('_names_lookup'!$C:$C,MATCH(A209,'_names_lookup'!$A:$A,0)),"")</f>
        <v/>
      </c>
      <c r="C209" s="29">
        <f>IFERROR(INDEX('_names_lookup'!$B:$B,MATCH(A209,'_names_lookup'!$A:$A,0)),"")</f>
        <v/>
      </c>
    </row>
    <row r="210" ht="16" customHeight="1">
      <c r="A210" s="29" t="inlineStr">
        <is>
          <t>Phillips, Gabriela F.</t>
        </is>
      </c>
      <c r="B210" s="29">
        <f>IFERROR(INDEX('_names_lookup'!$C:$C,MATCH(A210,'_names_lookup'!$A:$A,0)),"")</f>
        <v/>
      </c>
      <c r="C210" s="29">
        <f>IFERROR(INDEX('_names_lookup'!$B:$B,MATCH(A210,'_names_lookup'!$A:$A,0)),"")</f>
        <v/>
      </c>
    </row>
    <row r="211" ht="16" customHeight="1">
      <c r="A211" s="29" t="inlineStr">
        <is>
          <t>Tompkins, Andrew J.</t>
        </is>
      </c>
      <c r="B211" s="29">
        <f>IFERROR(INDEX('_names_lookup'!$C:$C,MATCH(A211,'_names_lookup'!$A:$A,0)),"")</f>
        <v/>
      </c>
      <c r="C211" s="29">
        <f>IFERROR(INDEX('_names_lookup'!$B:$B,MATCH(A211,'_names_lookup'!$A:$A,0)),"")</f>
        <v/>
      </c>
    </row>
    <row r="212" ht="16" customHeight="1">
      <c r="A212" s="29" t="inlineStr">
        <is>
          <t>William, Michelet</t>
        </is>
      </c>
      <c r="B212" s="29">
        <f>IFERROR(INDEX('_names_lookup'!$C:$C,MATCH(A212,'_names_lookup'!$A:$A,0)),"")</f>
        <v/>
      </c>
      <c r="C212" s="29">
        <f>IFERROR(INDEX('_names_lookup'!$B:$B,MATCH(A212,'_names_lookup'!$A:$A,0)),"")</f>
        <v/>
      </c>
    </row>
    <row r="213" ht="16" customHeight="1">
      <c r="A213" s="29" t="inlineStr">
        <is>
          <t>Zhanikaev, Makhti K.</t>
        </is>
      </c>
      <c r="B213" s="29">
        <f>IFERROR(INDEX('_names_lookup'!$C:$C,MATCH(A213,'_names_lookup'!$A:$A,0)),"")</f>
        <v/>
      </c>
      <c r="C213" s="29">
        <f>IFERROR(INDEX('_names_lookup'!$B:$B,MATCH(A213,'_names_lookup'!$A:$A,0)),"")</f>
        <v/>
      </c>
    </row>
    <row r="214" ht="16" customHeight="1">
      <c r="A214" s="29" t="inlineStr">
        <is>
          <t>Zubkov, Pavel A.</t>
        </is>
      </c>
      <c r="B214" s="29">
        <f>IFERROR(INDEX('_names_lookup'!$C:$C,MATCH(A214,'_names_lookup'!$A:$A,0)),"")</f>
        <v/>
      </c>
      <c r="C214" s="29">
        <f>IFERROR(INDEX('_names_lookup'!$B:$B,MATCH(A214,'_names_lookup'!$A:$A,0)),"")</f>
        <v/>
      </c>
    </row>
    <row r="215" ht="16" customHeight="1">
      <c r="A215" s="29" t="inlineStr">
        <is>
          <t>Blue, Katrina B.</t>
        </is>
      </c>
      <c r="B215" s="29">
        <f>IFERROR(INDEX('_names_lookup'!$C:$C,MATCH(A215,'_names_lookup'!$A:$A,0)),"")</f>
        <v/>
      </c>
      <c r="C215" s="29">
        <f>IFERROR(INDEX('_names_lookup'!$B:$B,MATCH(A215,'_names_lookup'!$A:$A,0)),"")</f>
        <v/>
      </c>
    </row>
    <row r="216" ht="16" customHeight="1">
      <c r="A216" s="29" t="inlineStr">
        <is>
          <t>Burt, Merlin D.</t>
        </is>
      </c>
      <c r="B216" s="29">
        <f>IFERROR(INDEX('_names_lookup'!$C:$C,MATCH(A216,'_names_lookup'!$A:$A,0)),"")</f>
        <v/>
      </c>
      <c r="C216" s="29">
        <f>IFERROR(INDEX('_names_lookup'!$B:$B,MATCH(A216,'_names_lookup'!$A:$A,0)),"")</f>
        <v/>
      </c>
    </row>
    <row r="217" ht="16" customHeight="1">
      <c r="A217" s="29" t="inlineStr">
        <is>
          <t>Camarena, Carlos C.</t>
        </is>
      </c>
      <c r="B217" s="29">
        <f>IFERROR(INDEX('_names_lookup'!$C:$C,MATCH(A217,'_names_lookup'!$A:$A,0)),"")</f>
        <v/>
      </c>
      <c r="C217" s="29">
        <f>IFERROR(INDEX('_names_lookup'!$B:$B,MATCH(A217,'_names_lookup'!$A:$A,0)),"")</f>
        <v/>
      </c>
    </row>
    <row r="218" ht="16" customHeight="1">
      <c r="A218" s="29" t="inlineStr">
        <is>
          <t>Case, Steve W.</t>
        </is>
      </c>
      <c r="B218" s="29">
        <f>IFERROR(INDEX('_names_lookup'!$C:$C,MATCH(A218,'_names_lookup'!$A:$A,0)),"")</f>
        <v/>
      </c>
      <c r="C218" s="29">
        <f>IFERROR(INDEX('_names_lookup'!$B:$B,MATCH(A218,'_names_lookup'!$A:$A,0)),"")</f>
        <v/>
      </c>
    </row>
    <row r="219" ht="16" customHeight="1">
      <c r="A219" s="29" t="inlineStr">
        <is>
          <t>Davidson, JoAnn</t>
        </is>
      </c>
      <c r="B219" s="29">
        <f>IFERROR(INDEX('_names_lookup'!$C:$C,MATCH(A219,'_names_lookup'!$A:$A,0)),"")</f>
        <v/>
      </c>
      <c r="C219" s="29">
        <f>IFERROR(INDEX('_names_lookup'!$B:$B,MATCH(A219,'_names_lookup'!$A:$A,0)),"")</f>
        <v/>
      </c>
    </row>
    <row r="220" ht="16" customHeight="1">
      <c r="A220" s="29" t="inlineStr">
        <is>
          <t>Davidson, Richard M.</t>
        </is>
      </c>
      <c r="B220" s="29">
        <f>IFERROR(INDEX('_names_lookup'!$C:$C,MATCH(A220,'_names_lookup'!$A:$A,0)),"")</f>
        <v/>
      </c>
      <c r="C220" s="29">
        <f>IFERROR(INDEX('_names_lookup'!$B:$B,MATCH(A220,'_names_lookup'!$A:$A,0)),"")</f>
        <v/>
      </c>
    </row>
    <row r="221" ht="16" customHeight="1">
      <c r="A221" s="29" t="inlineStr">
        <is>
          <t>Fortin, Denis</t>
        </is>
      </c>
      <c r="B221" s="29">
        <f>IFERROR(INDEX('_names_lookup'!$C:$C,MATCH(A221,'_names_lookup'!$A:$A,0)),"")</f>
        <v/>
      </c>
      <c r="C221" s="29">
        <f>IFERROR(INDEX('_names_lookup'!$B:$B,MATCH(A221,'_names_lookup'!$A:$A,0)),"")</f>
        <v/>
      </c>
    </row>
    <row r="222" ht="16" customHeight="1">
      <c r="A222" s="29" t="inlineStr">
        <is>
          <t>Galenieks, Eriks</t>
        </is>
      </c>
      <c r="B222" s="29">
        <f>IFERROR(INDEX('_names_lookup'!$C:$C,MATCH(A222,'_names_lookup'!$A:$A,0)),"")</f>
        <v/>
      </c>
      <c r="C222" s="29">
        <f>IFERROR(INDEX('_names_lookup'!$B:$B,MATCH(A222,'_names_lookup'!$A:$A,0)),"")</f>
        <v/>
      </c>
    </row>
    <row r="223" ht="16" customHeight="1">
      <c r="A223" s="29" t="inlineStr">
        <is>
          <t>Gane, Roy E.</t>
        </is>
      </c>
      <c r="B223" s="29">
        <f>IFERROR(INDEX('_names_lookup'!$C:$C,MATCH(A223,'_names_lookup'!$A:$A,0)),"")</f>
        <v/>
      </c>
      <c r="C223" s="29">
        <f>IFERROR(INDEX('_names_lookup'!$B:$B,MATCH(A223,'_names_lookup'!$A:$A,0)),"")</f>
        <v/>
      </c>
    </row>
    <row r="224" ht="16" customHeight="1">
      <c r="A224" s="29" t="inlineStr">
        <is>
          <t>Gaton, Roy G.</t>
        </is>
      </c>
      <c r="B224" s="29">
        <f>IFERROR(INDEX('_names_lookup'!$C:$C,MATCH(A224,'_names_lookup'!$A:$A,0)),"")</f>
        <v/>
      </c>
      <c r="C224" s="29">
        <f>IFERROR(INDEX('_names_lookup'!$B:$B,MATCH(A224,'_names_lookup'!$A:$A,0)),"")</f>
        <v/>
      </c>
    </row>
    <row r="225" ht="16" customHeight="1">
      <c r="A225" s="29" t="inlineStr">
        <is>
          <t>Goncalves, Kleber D.</t>
        </is>
      </c>
      <c r="B225" s="29">
        <f>IFERROR(INDEX('_names_lookup'!$C:$C,MATCH(A225,'_names_lookup'!$A:$A,0)),"")</f>
        <v/>
      </c>
      <c r="C225" s="29">
        <f>IFERROR(INDEX('_names_lookup'!$B:$B,MATCH(A225,'_names_lookup'!$A:$A,0)),"")</f>
        <v/>
      </c>
    </row>
    <row r="226" ht="16" customHeight="1">
      <c r="A226" s="29" t="inlineStr">
        <is>
          <t>Green, Esther</t>
        </is>
      </c>
      <c r="B226" s="29">
        <f>IFERROR(INDEX('_names_lookup'!$C:$C,MATCH(A226,'_names_lookup'!$A:$A,0)),"")</f>
        <v/>
      </c>
      <c r="C226" s="29">
        <f>IFERROR(INDEX('_names_lookup'!$B:$B,MATCH(A226,'_names_lookup'!$A:$A,0)),"")</f>
        <v/>
      </c>
    </row>
    <row r="227" ht="16" customHeight="1">
      <c r="A227" s="29" t="inlineStr">
        <is>
          <t>Hall, Kenley D.</t>
        </is>
      </c>
      <c r="B227" s="29">
        <f>IFERROR(INDEX('_names_lookup'!$C:$C,MATCH(A227,'_names_lookup'!$A:$A,0)),"")</f>
        <v/>
      </c>
      <c r="C227" s="29">
        <f>IFERROR(INDEX('_names_lookup'!$B:$B,MATCH(A227,'_names_lookup'!$A:$A,0)),"")</f>
        <v/>
      </c>
    </row>
    <row r="228" ht="16" customHeight="1">
      <c r="A228" s="29" t="inlineStr">
        <is>
          <t>Hernandez, Abner F.</t>
        </is>
      </c>
      <c r="B228" s="29">
        <f>IFERROR(INDEX('_names_lookup'!$C:$C,MATCH(A228,'_names_lookup'!$A:$A,0)),"")</f>
        <v/>
      </c>
      <c r="C228" s="29">
        <f>IFERROR(INDEX('_names_lookup'!$B:$B,MATCH(A228,'_names_lookup'!$A:$A,0)),"")</f>
        <v/>
      </c>
    </row>
    <row r="229" ht="16" customHeight="1">
      <c r="A229" s="29" t="inlineStr">
        <is>
          <t>Hucks, Willie E.</t>
        </is>
      </c>
      <c r="B229" s="29">
        <f>IFERROR(INDEX('_names_lookup'!$C:$C,MATCH(A229,'_names_lookup'!$A:$A,0)),"")</f>
        <v/>
      </c>
      <c r="C229" s="29">
        <f>IFERROR(INDEX('_names_lookup'!$B:$B,MATCH(A229,'_names_lookup'!$A:$A,0)),"")</f>
        <v/>
      </c>
    </row>
    <row r="230" ht="16" customHeight="1">
      <c r="A230" s="29" t="inlineStr">
        <is>
          <t>Irizarry De La Cruz, Iriann M.</t>
        </is>
      </c>
      <c r="B230" s="29">
        <f>IFERROR(INDEX('_names_lookup'!$C:$C,MATCH(A230,'_names_lookup'!$A:$A,0)),"")</f>
        <v/>
      </c>
      <c r="C230" s="29">
        <f>IFERROR(INDEX('_names_lookup'!$B:$B,MATCH(A230,'_names_lookup'!$A:$A,0)),"")</f>
        <v/>
      </c>
    </row>
    <row r="231" ht="16" customHeight="1">
      <c r="A231" s="29" t="inlineStr">
        <is>
          <t>Jeroncic, Ante</t>
        </is>
      </c>
      <c r="B231" s="29">
        <f>IFERROR(INDEX('_names_lookup'!$C:$C,MATCH(A231,'_names_lookup'!$A:$A,0)),"")</f>
        <v/>
      </c>
      <c r="C231" s="29">
        <f>IFERROR(INDEX('_names_lookup'!$B:$B,MATCH(A231,'_names_lookup'!$A:$A,0)),"")</f>
        <v/>
      </c>
    </row>
    <row r="232" ht="16" customHeight="1">
      <c r="A232" s="29" t="inlineStr">
        <is>
          <t>Kidder, S Joseph</t>
        </is>
      </c>
      <c r="B232" s="29">
        <f>IFERROR(INDEX('_names_lookup'!$C:$C,MATCH(A232,'_names_lookup'!$A:$A,0)),"")</f>
        <v/>
      </c>
      <c r="C232" s="29">
        <f>IFERROR(INDEX('_names_lookup'!$B:$B,MATCH(A232,'_names_lookup'!$A:$A,0)),"")</f>
        <v/>
      </c>
    </row>
    <row r="233" ht="16" customHeight="1">
      <c r="A233" s="29" t="inlineStr">
        <is>
          <t>Korchuk, Viacheslav I.</t>
        </is>
      </c>
      <c r="B233" s="29">
        <f>IFERROR(INDEX('_names_lookup'!$C:$C,MATCH(A233,'_names_lookup'!$A:$A,0)),"")</f>
        <v/>
      </c>
      <c r="C233" s="29">
        <f>IFERROR(INDEX('_names_lookup'!$B:$B,MATCH(A233,'_names_lookup'!$A:$A,0)),"")</f>
        <v/>
      </c>
    </row>
    <row r="234" ht="16" customHeight="1">
      <c r="A234" s="29" t="inlineStr">
        <is>
          <t>Kwon, Sung K.</t>
        </is>
      </c>
      <c r="B234" s="29">
        <f>IFERROR(INDEX('_names_lookup'!$C:$C,MATCH(A234,'_names_lookup'!$A:$A,0)),"")</f>
        <v/>
      </c>
      <c r="C234" s="29">
        <f>IFERROR(INDEX('_names_lookup'!$B:$B,MATCH(A234,'_names_lookup'!$A:$A,0)),"")</f>
        <v/>
      </c>
    </row>
    <row r="235" ht="16" customHeight="1">
      <c r="A235" s="29" t="inlineStr">
        <is>
          <t>Machado, Carlos A.</t>
        </is>
      </c>
      <c r="B235" s="29">
        <f>IFERROR(INDEX('_names_lookup'!$C:$C,MATCH(A235,'_names_lookup'!$A:$A,0)),"")</f>
        <v/>
      </c>
      <c r="C235" s="29">
        <f>IFERROR(INDEX('_names_lookup'!$B:$B,MATCH(A235,'_names_lookup'!$A:$A,0)),"")</f>
        <v/>
      </c>
    </row>
    <row r="236" ht="16" customHeight="1">
      <c r="A236" s="29" t="inlineStr">
        <is>
          <t>Matthews, John V.</t>
        </is>
      </c>
      <c r="B236" s="29">
        <f>IFERROR(INDEX('_names_lookup'!$C:$C,MATCH(A236,'_names_lookup'!$A:$A,0)),"")</f>
        <v/>
      </c>
      <c r="C236" s="29">
        <f>IFERROR(INDEX('_names_lookup'!$B:$B,MATCH(A236,'_names_lookup'!$A:$A,0)),"")</f>
        <v/>
      </c>
    </row>
    <row r="237" ht="16" customHeight="1">
      <c r="A237" s="29" t="inlineStr">
        <is>
          <t>Miller, Nicholas P.</t>
        </is>
      </c>
      <c r="B237" s="29">
        <f>IFERROR(INDEX('_names_lookup'!$C:$C,MATCH(A237,'_names_lookup'!$A:$A,0)),"")</f>
        <v/>
      </c>
      <c r="C237" s="29">
        <f>IFERROR(INDEX('_names_lookup'!$B:$B,MATCH(A237,'_names_lookup'!$A:$A,0)),"")</f>
        <v/>
      </c>
    </row>
    <row r="238" ht="16" customHeight="1">
      <c r="A238" s="29" t="inlineStr">
        <is>
          <t>Moon, Jerry A.</t>
        </is>
      </c>
      <c r="B238" s="29">
        <f>IFERROR(INDEX('_names_lookup'!$C:$C,MATCH(A238,'_names_lookup'!$A:$A,0)),"")</f>
        <v/>
      </c>
      <c r="C238" s="29">
        <f>IFERROR(INDEX('_names_lookup'!$B:$B,MATCH(A238,'_names_lookup'!$A:$A,0)),"")</f>
        <v/>
      </c>
    </row>
    <row r="239" ht="16" customHeight="1">
      <c r="A239" s="29" t="inlineStr">
        <is>
          <t>Moskala, Jiri</t>
        </is>
      </c>
      <c r="B239" s="29">
        <f>IFERROR(INDEX('_names_lookup'!$C:$C,MATCH(A239,'_names_lookup'!$A:$A,0)),"")</f>
        <v/>
      </c>
      <c r="C239" s="29">
        <f>IFERROR(INDEX('_names_lookup'!$B:$B,MATCH(A239,'_names_lookup'!$A:$A,0)),"")</f>
        <v/>
      </c>
    </row>
    <row r="240" ht="16" customHeight="1">
      <c r="A240" s="29" t="inlineStr">
        <is>
          <t>Muran, Alexej</t>
        </is>
      </c>
      <c r="B240" s="29">
        <f>IFERROR(INDEX('_names_lookup'!$C:$C,MATCH(A240,'_names_lookup'!$A:$A,0)),"")</f>
        <v/>
      </c>
      <c r="C240" s="29">
        <f>IFERROR(INDEX('_names_lookup'!$B:$B,MATCH(A240,'_names_lookup'!$A:$A,0)),"")</f>
        <v/>
      </c>
    </row>
    <row r="241" ht="16" customHeight="1">
      <c r="A241" s="29" t="inlineStr">
        <is>
          <t>Nogueira, Lincoln</t>
        </is>
      </c>
      <c r="B241" s="29">
        <f>IFERROR(INDEX('_names_lookup'!$C:$C,MATCH(A241,'_names_lookup'!$A:$A,0)),"")</f>
        <v/>
      </c>
      <c r="C241" s="29">
        <f>IFERROR(INDEX('_names_lookup'!$B:$B,MATCH(A241,'_names_lookup'!$A:$A,0)),"")</f>
        <v/>
      </c>
    </row>
    <row r="242" ht="16" customHeight="1">
      <c r="A242" s="29" t="inlineStr">
        <is>
          <t>Norton, Ricardo</t>
        </is>
      </c>
      <c r="B242" s="29">
        <f>IFERROR(INDEX('_names_lookup'!$C:$C,MATCH(A242,'_names_lookup'!$A:$A,0)),"")</f>
        <v/>
      </c>
      <c r="C242" s="29">
        <f>IFERROR(INDEX('_names_lookup'!$B:$B,MATCH(A242,'_names_lookup'!$A:$A,0)),"")</f>
        <v/>
      </c>
    </row>
    <row r="243" ht="16" customHeight="1">
      <c r="A243" s="29" t="inlineStr">
        <is>
          <t>O'Reggio, Trevor E.</t>
        </is>
      </c>
      <c r="B243" s="29">
        <f>IFERROR(INDEX('_names_lookup'!$C:$C,MATCH(A243,'_names_lookup'!$A:$A,0)),"")</f>
        <v/>
      </c>
      <c r="C243" s="29">
        <f>IFERROR(INDEX('_names_lookup'!$B:$B,MATCH(A243,'_names_lookup'!$A:$A,0)),"")</f>
        <v/>
      </c>
    </row>
    <row r="244" ht="16" customHeight="1">
      <c r="A244" s="29" t="inlineStr">
        <is>
          <t>Ortiz, Luis F.</t>
        </is>
      </c>
      <c r="B244" s="29">
        <f>IFERROR(INDEX('_names_lookup'!$C:$C,MATCH(A244,'_names_lookup'!$A:$A,0)),"")</f>
        <v/>
      </c>
      <c r="C244" s="29">
        <f>IFERROR(INDEX('_names_lookup'!$B:$B,MATCH(A244,'_names_lookup'!$A:$A,0)),"")</f>
        <v/>
      </c>
    </row>
    <row r="245" ht="16" customHeight="1">
      <c r="A245" s="29" t="inlineStr">
        <is>
          <t>Pagan, Samuel</t>
        </is>
      </c>
      <c r="B245" s="29">
        <f>IFERROR(INDEX('_names_lookup'!$C:$C,MATCH(A245,'_names_lookup'!$A:$A,0)),"")</f>
        <v/>
      </c>
      <c r="C245" s="29">
        <f>IFERROR(INDEX('_names_lookup'!$B:$B,MATCH(A245,'_names_lookup'!$A:$A,0)),"")</f>
        <v/>
      </c>
    </row>
    <row r="246" ht="16" customHeight="1">
      <c r="A246" s="29" t="inlineStr">
        <is>
          <t>Paquini, Rogelio</t>
        </is>
      </c>
      <c r="B246" s="29">
        <f>IFERROR(INDEX('_names_lookup'!$C:$C,MATCH(A246,'_names_lookup'!$A:$A,0)),"")</f>
        <v/>
      </c>
      <c r="C246" s="29">
        <f>IFERROR(INDEX('_names_lookup'!$B:$B,MATCH(A246,'_names_lookup'!$A:$A,0)),"")</f>
        <v/>
      </c>
    </row>
    <row r="247" ht="16" customHeight="1">
      <c r="A247" s="29" t="inlineStr">
        <is>
          <t>Petrishchev, Anton</t>
        </is>
      </c>
      <c r="B247" s="29">
        <f>IFERROR(INDEX('_names_lookup'!$C:$C,MATCH(A247,'_names_lookup'!$A:$A,0)),"")</f>
        <v/>
      </c>
      <c r="C247" s="29">
        <f>IFERROR(INDEX('_names_lookup'!$B:$B,MATCH(A247,'_names_lookup'!$A:$A,0)),"")</f>
        <v/>
      </c>
    </row>
    <row r="248" ht="16" customHeight="1">
      <c r="A248" s="29" t="inlineStr">
        <is>
          <t>Ponyatovsky, Felix</t>
        </is>
      </c>
      <c r="B248" s="29">
        <f>IFERROR(INDEX('_names_lookup'!$C:$C,MATCH(A248,'_names_lookup'!$A:$A,0)),"")</f>
        <v/>
      </c>
      <c r="C248" s="29">
        <f>IFERROR(INDEX('_names_lookup'!$B:$B,MATCH(A248,'_names_lookup'!$A:$A,0)),"")</f>
        <v/>
      </c>
    </row>
    <row r="249" ht="16" customHeight="1">
      <c r="A249" s="29" t="inlineStr">
        <is>
          <t>Quispe, Gluder</t>
        </is>
      </c>
      <c r="B249" s="29">
        <f>IFERROR(INDEX('_names_lookup'!$C:$C,MATCH(A249,'_names_lookup'!$A:$A,0)),"")</f>
        <v/>
      </c>
      <c r="C249" s="29">
        <f>IFERROR(INDEX('_names_lookup'!$B:$B,MATCH(A249,'_names_lookup'!$A:$A,0)),"")</f>
        <v/>
      </c>
    </row>
    <row r="250" ht="16" customHeight="1">
      <c r="A250" s="29" t="inlineStr">
        <is>
          <t>Ray, Paul J.</t>
        </is>
      </c>
      <c r="B250" s="29">
        <f>IFERROR(INDEX('_names_lookup'!$C:$C,MATCH(A250,'_names_lookup'!$A:$A,0)),"")</f>
        <v/>
      </c>
      <c r="C250" s="29">
        <f>IFERROR(INDEX('_names_lookup'!$B:$B,MATCH(A250,'_names_lookup'!$A:$A,0)),"")</f>
        <v/>
      </c>
    </row>
    <row r="251" ht="16" customHeight="1">
      <c r="A251" s="29" t="inlineStr">
        <is>
          <t>Reeve, John W.</t>
        </is>
      </c>
      <c r="B251" s="29">
        <f>IFERROR(INDEX('_names_lookup'!$C:$C,MATCH(A251,'_names_lookup'!$A:$A,0)),"")</f>
        <v/>
      </c>
      <c r="C251" s="29">
        <f>IFERROR(INDEX('_names_lookup'!$B:$B,MATCH(A251,'_names_lookup'!$A:$A,0)),"")</f>
        <v/>
      </c>
    </row>
    <row r="252" ht="16" customHeight="1">
      <c r="A252" s="29" t="inlineStr">
        <is>
          <t>Richards, Natasha A.</t>
        </is>
      </c>
      <c r="B252" s="29">
        <f>IFERROR(INDEX('_names_lookup'!$C:$C,MATCH(A252,'_names_lookup'!$A:$A,0)),"")</f>
        <v/>
      </c>
      <c r="C252" s="29">
        <f>IFERROR(INDEX('_names_lookup'!$B:$B,MATCH(A252,'_names_lookup'!$A:$A,0)),"")</f>
        <v/>
      </c>
    </row>
    <row r="253" ht="16" customHeight="1">
      <c r="A253" s="29" t="inlineStr">
        <is>
          <t>Sanou, Boubakar</t>
        </is>
      </c>
      <c r="B253" s="29">
        <f>IFERROR(INDEX('_names_lookup'!$C:$C,MATCH(A253,'_names_lookup'!$A:$A,0)),"")</f>
        <v/>
      </c>
      <c r="C253" s="29">
        <f>IFERROR(INDEX('_names_lookup'!$B:$B,MATCH(A253,'_names_lookup'!$A:$A,0)),"")</f>
        <v/>
      </c>
    </row>
    <row r="254" ht="16" customHeight="1">
      <c r="A254" s="29" t="inlineStr">
        <is>
          <t>Shepherd, Thomas R.</t>
        </is>
      </c>
      <c r="B254" s="29">
        <f>IFERROR(INDEX('_names_lookup'!$C:$C,MATCH(A254,'_names_lookup'!$A:$A,0)),"")</f>
        <v/>
      </c>
      <c r="C254" s="29">
        <f>IFERROR(INDEX('_names_lookup'!$B:$B,MATCH(A254,'_names_lookup'!$A:$A,0)),"")</f>
        <v/>
      </c>
    </row>
    <row r="255" ht="16" customHeight="1">
      <c r="A255" s="29" t="inlineStr">
        <is>
          <t>Valenzuela, Alfonso</t>
        </is>
      </c>
      <c r="B255" s="29">
        <f>IFERROR(INDEX('_names_lookup'!$C:$C,MATCH(A255,'_names_lookup'!$A:$A,0)),"")</f>
        <v/>
      </c>
      <c r="C255" s="29">
        <f>IFERROR(INDEX('_names_lookup'!$B:$B,MATCH(A255,'_names_lookup'!$A:$A,0)),"")</f>
        <v/>
      </c>
    </row>
    <row r="256" ht="16" customHeight="1">
      <c r="A256" s="29" t="inlineStr">
        <is>
          <t>Williams, David A.</t>
        </is>
      </c>
      <c r="B256" s="29">
        <f>IFERROR(INDEX('_names_lookup'!$C:$C,MATCH(A256,'_names_lookup'!$A:$A,0)),"")</f>
        <v/>
      </c>
      <c r="C256" s="29">
        <f>IFERROR(INDEX('_names_lookup'!$B:$B,MATCH(A256,'_names_lookup'!$A:$A,0)),"")</f>
        <v/>
      </c>
    </row>
    <row r="257" ht="16" customHeight="1">
      <c r="A257" s="29" t="inlineStr">
        <is>
          <t>Yeagley, Stephen T.</t>
        </is>
      </c>
      <c r="B257" s="29">
        <f>IFERROR(INDEX('_names_lookup'!$C:$C,MATCH(A257,'_names_lookup'!$A:$A,0)),"")</f>
        <v/>
      </c>
      <c r="C257" s="29">
        <f>IFERROR(INDEX('_names_lookup'!$B:$B,MATCH(A257,'_names_lookup'!$A:$A,0)),"")</f>
        <v/>
      </c>
    </row>
    <row r="258" ht="16" customHeight="1">
      <c r="A258" s="29" t="inlineStr">
        <is>
          <t>Younker, Randall W.</t>
        </is>
      </c>
      <c r="B258" s="29">
        <f>IFERROR(INDEX('_names_lookup'!$C:$C,MATCH(A258,'_names_lookup'!$A:$A,0)),"")</f>
        <v/>
      </c>
      <c r="C258" s="29">
        <f>IFERROR(INDEX('_names_lookup'!$B:$B,MATCH(A258,'_names_lookup'!$A:$A,0)),"")</f>
        <v/>
      </c>
    </row>
    <row r="259">
      <c r="B259">
        <f>IFERROR(INDEX('_names_lookup'!$C:$C,MATCH(A259,'_names_lookup'!$A:$A,0)),"")</f>
        <v/>
      </c>
      <c r="C259">
        <f>IFERROR(INDEX('_names_lookup'!$B:$B,MATCH(A259,'_names_lookup'!$A:$A,0)),"")</f>
        <v/>
      </c>
    </row>
    <row r="260">
      <c r="B260">
        <f>IFERROR(INDEX('_names_lookup'!$C:$C,MATCH(A260,'_names_lookup'!$A:$A,0)),"")</f>
        <v/>
      </c>
      <c r="C260">
        <f>IFERROR(INDEX('_names_lookup'!$B:$B,MATCH(A260,'_names_lookup'!$A:$A,0)),"")</f>
        <v/>
      </c>
    </row>
    <row r="261">
      <c r="B261">
        <f>IFERROR(INDEX('_names_lookup'!$C:$C,MATCH(A261,'_names_lookup'!$A:$A,0)),"")</f>
        <v/>
      </c>
      <c r="C261">
        <f>IFERROR(INDEX('_names_lookup'!$B:$B,MATCH(A261,'_names_lookup'!$A:$A,0)),"")</f>
        <v/>
      </c>
    </row>
    <row r="262">
      <c r="B262">
        <f>IFERROR(INDEX('_names_lookup'!$C:$C,MATCH(A262,'_names_lookup'!$A:$A,0)),"")</f>
        <v/>
      </c>
      <c r="C262">
        <f>IFERROR(INDEX('_names_lookup'!$B:$B,MATCH(A262,'_names_lookup'!$A:$A,0)),"")</f>
        <v/>
      </c>
    </row>
    <row r="263">
      <c r="B263">
        <f>IFERROR(INDEX('_names_lookup'!$C:$C,MATCH(A263,'_names_lookup'!$A:$A,0)),"")</f>
        <v/>
      </c>
      <c r="C263">
        <f>IFERROR(INDEX('_names_lookup'!$B:$B,MATCH(A263,'_names_lookup'!$A:$A,0)),"")</f>
        <v/>
      </c>
    </row>
    <row r="264">
      <c r="B264">
        <f>IFERROR(INDEX('_names_lookup'!$C:$C,MATCH(A264,'_names_lookup'!$A:$A,0)),"")</f>
        <v/>
      </c>
      <c r="C264">
        <f>IFERROR(INDEX('_names_lookup'!$B:$B,MATCH(A264,'_names_lookup'!$A:$A,0)),"")</f>
        <v/>
      </c>
    </row>
    <row r="265">
      <c r="B265">
        <f>IFERROR(INDEX('_names_lookup'!$C:$C,MATCH(A265,'_names_lookup'!$A:$A,0)),"")</f>
        <v/>
      </c>
      <c r="C265">
        <f>IFERROR(INDEX('_names_lookup'!$B:$B,MATCH(A265,'_names_lookup'!$A:$A,0)),"")</f>
        <v/>
      </c>
    </row>
    <row r="266">
      <c r="B266">
        <f>IFERROR(INDEX('_names_lookup'!$C:$C,MATCH(A266,'_names_lookup'!$A:$A,0)),"")</f>
        <v/>
      </c>
      <c r="C266">
        <f>IFERROR(INDEX('_names_lookup'!$B:$B,MATCH(A266,'_names_lookup'!$A:$A,0)),"")</f>
        <v/>
      </c>
    </row>
    <row r="267">
      <c r="B267">
        <f>IFERROR(INDEX('_names_lookup'!$C:$C,MATCH(A267,'_names_lookup'!$A:$A,0)),"")</f>
        <v/>
      </c>
      <c r="C267">
        <f>IFERROR(INDEX('_names_lookup'!$B:$B,MATCH(A267,'_names_lookup'!$A:$A,0)),"")</f>
        <v/>
      </c>
    </row>
    <row r="268">
      <c r="B268">
        <f>IFERROR(INDEX('_names_lookup'!$C:$C,MATCH(A268,'_names_lookup'!$A:$A,0)),"")</f>
        <v/>
      </c>
      <c r="C268">
        <f>IFERROR(INDEX('_names_lookup'!$B:$B,MATCH(A268,'_names_lookup'!$A:$A,0)),"")</f>
        <v/>
      </c>
    </row>
    <row r="269">
      <c r="B269">
        <f>IFERROR(INDEX('_names_lookup'!$C:$C,MATCH(A269,'_names_lookup'!$A:$A,0)),"")</f>
        <v/>
      </c>
      <c r="C269">
        <f>IFERROR(INDEX('_names_lookup'!$B:$B,MATCH(A269,'_names_lookup'!$A:$A,0)),"")</f>
        <v/>
      </c>
    </row>
    <row r="270">
      <c r="B270">
        <f>IFERROR(INDEX('_names_lookup'!$C:$C,MATCH(A270,'_names_lookup'!$A:$A,0)),"")</f>
        <v/>
      </c>
      <c r="C270">
        <f>IFERROR(INDEX('_names_lookup'!$B:$B,MATCH(A270,'_names_lookup'!$A:$A,0)),"")</f>
        <v/>
      </c>
    </row>
    <row r="271">
      <c r="B271">
        <f>IFERROR(INDEX('_names_lookup'!$C:$C,MATCH(A271,'_names_lookup'!$A:$A,0)),"")</f>
        <v/>
      </c>
      <c r="C271">
        <f>IFERROR(INDEX('_names_lookup'!$B:$B,MATCH(A271,'_names_lookup'!$A:$A,0)),"")</f>
        <v/>
      </c>
    </row>
    <row r="272">
      <c r="B272">
        <f>IFERROR(INDEX('_names_lookup'!$C:$C,MATCH(A272,'_names_lookup'!$A:$A,0)),"")</f>
        <v/>
      </c>
      <c r="C272">
        <f>IFERROR(INDEX('_names_lookup'!$B:$B,MATCH(A272,'_names_lookup'!$A:$A,0)),"")</f>
        <v/>
      </c>
    </row>
    <row r="273">
      <c r="B273">
        <f>IFERROR(INDEX('_names_lookup'!$C:$C,MATCH(A273,'_names_lookup'!$A:$A,0)),"")</f>
        <v/>
      </c>
      <c r="C273">
        <f>IFERROR(INDEX('_names_lookup'!$B:$B,MATCH(A273,'_names_lookup'!$A:$A,0)),"")</f>
        <v/>
      </c>
    </row>
    <row r="274">
      <c r="B274">
        <f>IFERROR(INDEX('_names_lookup'!$C:$C,MATCH(A274,'_names_lookup'!$A:$A,0)),"")</f>
        <v/>
      </c>
      <c r="C274">
        <f>IFERROR(INDEX('_names_lookup'!$B:$B,MATCH(A274,'_names_lookup'!$A:$A,0)),"")</f>
        <v/>
      </c>
    </row>
    <row r="275">
      <c r="B275">
        <f>IFERROR(INDEX('_names_lookup'!$C:$C,MATCH(A275,'_names_lookup'!$A:$A,0)),"")</f>
        <v/>
      </c>
      <c r="C275">
        <f>IFERROR(INDEX('_names_lookup'!$B:$B,MATCH(A275,'_names_lookup'!$A:$A,0)),"")</f>
        <v/>
      </c>
    </row>
    <row r="276">
      <c r="B276">
        <f>IFERROR(INDEX('_names_lookup'!$C:$C,MATCH(A276,'_names_lookup'!$A:$A,0)),"")</f>
        <v/>
      </c>
      <c r="C276">
        <f>IFERROR(INDEX('_names_lookup'!$B:$B,MATCH(A276,'_names_lookup'!$A:$A,0)),"")</f>
        <v/>
      </c>
    </row>
    <row r="277">
      <c r="B277">
        <f>IFERROR(INDEX('_names_lookup'!$C:$C,MATCH(A277,'_names_lookup'!$A:$A,0)),"")</f>
        <v/>
      </c>
      <c r="C277">
        <f>IFERROR(INDEX('_names_lookup'!$B:$B,MATCH(A277,'_names_lookup'!$A:$A,0)),"")</f>
        <v/>
      </c>
    </row>
    <row r="278">
      <c r="B278">
        <f>IFERROR(INDEX('_names_lookup'!$C:$C,MATCH(A278,'_names_lookup'!$A:$A,0)),"")</f>
        <v/>
      </c>
      <c r="C278">
        <f>IFERROR(INDEX('_names_lookup'!$B:$B,MATCH(A278,'_names_lookup'!$A:$A,0)),"")</f>
        <v/>
      </c>
    </row>
    <row r="279">
      <c r="B279">
        <f>IFERROR(INDEX('_names_lookup'!$C:$C,MATCH(A279,'_names_lookup'!$A:$A,0)),"")</f>
        <v/>
      </c>
      <c r="C279">
        <f>IFERROR(INDEX('_names_lookup'!$B:$B,MATCH(A279,'_names_lookup'!$A:$A,0)),"")</f>
        <v/>
      </c>
    </row>
    <row r="280">
      <c r="B280">
        <f>IFERROR(INDEX('_names_lookup'!$C:$C,MATCH(A280,'_names_lookup'!$A:$A,0)),"")</f>
        <v/>
      </c>
      <c r="C280">
        <f>IFERROR(INDEX('_names_lookup'!$B:$B,MATCH(A280,'_names_lookup'!$A:$A,0)),"")</f>
        <v/>
      </c>
    </row>
    <row r="281">
      <c r="B281">
        <f>IFERROR(INDEX('_names_lookup'!$C:$C,MATCH(A281,'_names_lookup'!$A:$A,0)),"")</f>
        <v/>
      </c>
      <c r="C281">
        <f>IFERROR(INDEX('_names_lookup'!$B:$B,MATCH(A281,'_names_lookup'!$A:$A,0)),"")</f>
        <v/>
      </c>
    </row>
    <row r="282">
      <c r="B282">
        <f>IFERROR(INDEX('_names_lookup'!$C:$C,MATCH(A282,'_names_lookup'!$A:$A,0)),"")</f>
        <v/>
      </c>
      <c r="C282">
        <f>IFERROR(INDEX('_names_lookup'!$B:$B,MATCH(A282,'_names_lookup'!$A:$A,0)),"")</f>
        <v/>
      </c>
    </row>
    <row r="283">
      <c r="B283">
        <f>IFERROR(INDEX('_names_lookup'!$C:$C,MATCH(A283,'_names_lookup'!$A:$A,0)),"")</f>
        <v/>
      </c>
      <c r="C283">
        <f>IFERROR(INDEX('_names_lookup'!$B:$B,MATCH(A283,'_names_lookup'!$A:$A,0)),"")</f>
        <v/>
      </c>
    </row>
    <row r="284">
      <c r="B284">
        <f>IFERROR(INDEX('_names_lookup'!$C:$C,MATCH(A284,'_names_lookup'!$A:$A,0)),"")</f>
        <v/>
      </c>
      <c r="C284">
        <f>IFERROR(INDEX('_names_lookup'!$B:$B,MATCH(A284,'_names_lookup'!$A:$A,0)),"")</f>
        <v/>
      </c>
    </row>
    <row r="285">
      <c r="B285">
        <f>IFERROR(INDEX('_names_lookup'!$C:$C,MATCH(A285,'_names_lookup'!$A:$A,0)),"")</f>
        <v/>
      </c>
      <c r="C285">
        <f>IFERROR(INDEX('_names_lookup'!$B:$B,MATCH(A285,'_names_lookup'!$A:$A,0)),"")</f>
        <v/>
      </c>
    </row>
    <row r="286">
      <c r="B286">
        <f>IFERROR(INDEX('_names_lookup'!$C:$C,MATCH(A286,'_names_lookup'!$A:$A,0)),"")</f>
        <v/>
      </c>
      <c r="C286">
        <f>IFERROR(INDEX('_names_lookup'!$B:$B,MATCH(A286,'_names_lookup'!$A:$A,0)),"")</f>
        <v/>
      </c>
    </row>
    <row r="287">
      <c r="B287">
        <f>IFERROR(INDEX('_names_lookup'!$C:$C,MATCH(A287,'_names_lookup'!$A:$A,0)),"")</f>
        <v/>
      </c>
      <c r="C287">
        <f>IFERROR(INDEX('_names_lookup'!$B:$B,MATCH(A287,'_names_lookup'!$A:$A,0)),"")</f>
        <v/>
      </c>
    </row>
    <row r="288">
      <c r="B288">
        <f>IFERROR(INDEX('_names_lookup'!$C:$C,MATCH(A288,'_names_lookup'!$A:$A,0)),"")</f>
        <v/>
      </c>
      <c r="C288">
        <f>IFERROR(INDEX('_names_lookup'!$B:$B,MATCH(A288,'_names_lookup'!$A:$A,0)),"")</f>
        <v/>
      </c>
    </row>
    <row r="289">
      <c r="B289">
        <f>IFERROR(INDEX('_names_lookup'!$C:$C,MATCH(A289,'_names_lookup'!$A:$A,0)),"")</f>
        <v/>
      </c>
      <c r="C289">
        <f>IFERROR(INDEX('_names_lookup'!$B:$B,MATCH(A289,'_names_lookup'!$A:$A,0)),"")</f>
        <v/>
      </c>
    </row>
    <row r="290">
      <c r="B290">
        <f>IFERROR(INDEX('_names_lookup'!$C:$C,MATCH(A290,'_names_lookup'!$A:$A,0)),"")</f>
        <v/>
      </c>
      <c r="C290">
        <f>IFERROR(INDEX('_names_lookup'!$B:$B,MATCH(A290,'_names_lookup'!$A:$A,0)),"")</f>
        <v/>
      </c>
    </row>
    <row r="291">
      <c r="B291">
        <f>IFERROR(INDEX('_names_lookup'!$C:$C,MATCH(A291,'_names_lookup'!$A:$A,0)),"")</f>
        <v/>
      </c>
      <c r="C291">
        <f>IFERROR(INDEX('_names_lookup'!$B:$B,MATCH(A291,'_names_lookup'!$A:$A,0)),"")</f>
        <v/>
      </c>
    </row>
    <row r="292">
      <c r="B292">
        <f>IFERROR(INDEX('_names_lookup'!$C:$C,MATCH(A292,'_names_lookup'!$A:$A,0)),"")</f>
        <v/>
      </c>
      <c r="C292">
        <f>IFERROR(INDEX('_names_lookup'!$B:$B,MATCH(A292,'_names_lookup'!$A:$A,0)),"")</f>
        <v/>
      </c>
    </row>
    <row r="293">
      <c r="B293">
        <f>IFERROR(INDEX('_names_lookup'!$C:$C,MATCH(A293,'_names_lookup'!$A:$A,0)),"")</f>
        <v/>
      </c>
      <c r="C293">
        <f>IFERROR(INDEX('_names_lookup'!$B:$B,MATCH(A293,'_names_lookup'!$A:$A,0)),"")</f>
        <v/>
      </c>
    </row>
    <row r="294">
      <c r="B294">
        <f>IFERROR(INDEX('_names_lookup'!$C:$C,MATCH(A294,'_names_lookup'!$A:$A,0)),"")</f>
        <v/>
      </c>
      <c r="C294">
        <f>IFERROR(INDEX('_names_lookup'!$B:$B,MATCH(A294,'_names_lookup'!$A:$A,0)),"")</f>
        <v/>
      </c>
    </row>
    <row r="295">
      <c r="B295">
        <f>IFERROR(INDEX('_names_lookup'!$C:$C,MATCH(A295,'_names_lookup'!$A:$A,0)),"")</f>
        <v/>
      </c>
      <c r="C295">
        <f>IFERROR(INDEX('_names_lookup'!$B:$B,MATCH(A295,'_names_lookup'!$A:$A,0)),"")</f>
        <v/>
      </c>
    </row>
    <row r="296">
      <c r="B296">
        <f>IFERROR(INDEX('_names_lookup'!$C:$C,MATCH(A296,'_names_lookup'!$A:$A,0)),"")</f>
        <v/>
      </c>
      <c r="C296">
        <f>IFERROR(INDEX('_names_lookup'!$B:$B,MATCH(A296,'_names_lookup'!$A:$A,0)),"")</f>
        <v/>
      </c>
    </row>
    <row r="297">
      <c r="B297">
        <f>IFERROR(INDEX('_names_lookup'!$C:$C,MATCH(A297,'_names_lookup'!$A:$A,0)),"")</f>
        <v/>
      </c>
      <c r="C297">
        <f>IFERROR(INDEX('_names_lookup'!$B:$B,MATCH(A297,'_names_lookup'!$A:$A,0)),"")</f>
        <v/>
      </c>
    </row>
    <row r="298">
      <c r="B298">
        <f>IFERROR(INDEX('_names_lookup'!$C:$C,MATCH(A298,'_names_lookup'!$A:$A,0)),"")</f>
        <v/>
      </c>
      <c r="C298">
        <f>IFERROR(INDEX('_names_lookup'!$B:$B,MATCH(A298,'_names_lookup'!$A:$A,0)),"")</f>
        <v/>
      </c>
    </row>
    <row r="299">
      <c r="B299">
        <f>IFERROR(INDEX('_names_lookup'!$C:$C,MATCH(A299,'_names_lookup'!$A:$A,0)),"")</f>
        <v/>
      </c>
      <c r="C299">
        <f>IFERROR(INDEX('_names_lookup'!$B:$B,MATCH(A299,'_names_lookup'!$A:$A,0)),"")</f>
        <v/>
      </c>
    </row>
    <row r="300">
      <c r="B300">
        <f>IFERROR(INDEX('_names_lookup'!$C:$C,MATCH(A300,'_names_lookup'!$A:$A,0)),"")</f>
        <v/>
      </c>
      <c r="C300">
        <f>IFERROR(INDEX('_names_lookup'!$B:$B,MATCH(A300,'_names_lookup'!$A:$A,0)),"")</f>
        <v/>
      </c>
    </row>
  </sheetData>
  <autoFilter ref="A1:C258"/>
  <dataValidations count="3">
    <dataValidation sqref="A2:A5000" showDropDown="0" showInputMessage="0" showErrorMessage="0" allowBlank="1" type="list">
      <formula1>='DropDownMenu'!$BC$2:$BC$259</formula1>
    </dataValidation>
    <dataValidation sqref="B2:B5000" showDropDown="0" showInputMessage="0" showErrorMessage="0" allowBlank="1" type="list">
      <formula1>='DropDownMenu'!$BD$2:$BD$253</formula1>
    </dataValidation>
    <dataValidation sqref="C2:C5000" showDropDown="0" showInputMessage="0" showErrorMessage="0" allowBlank="1" type="list">
      <formula1>='DropDownMenu'!$BE$2:$BE$259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W1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 {not in Banner}</t>
        </is>
      </c>
      <c r="B1" t="inlineStr">
        <is>
          <t>Mismatching {not in Banner}</t>
        </is>
      </c>
      <c r="C1" t="inlineStr">
        <is>
          <t>Dept/Prog Admin {not in Banner}</t>
        </is>
      </c>
      <c r="D1" t="inlineStr">
        <is>
          <t>Mona {not in Banner}</t>
        </is>
      </c>
      <c r="E1" t="inlineStr">
        <is>
          <t>Karen {not in Banner}</t>
        </is>
      </c>
      <c r="F1" t="inlineStr">
        <is>
          <t>DONE {not in Banner}</t>
        </is>
      </c>
      <c r="G1" t="inlineStr">
        <is>
          <t>Notes {not in Banner}</t>
        </is>
      </c>
      <c r="H1" t="inlineStr">
        <is>
          <t>CRN sorted {not in Banner}</t>
        </is>
      </c>
      <c r="I1" t="inlineStr">
        <is>
          <t>CRN</t>
        </is>
      </c>
      <c r="J1" t="inlineStr">
        <is>
          <t>Subject</t>
        </is>
      </c>
      <c r="K1" t="inlineStr">
        <is>
          <t>Course Number {Crse Num}</t>
        </is>
      </c>
      <c r="L1" t="inlineStr">
        <is>
          <t>Course Section {Seq Crse Num}</t>
        </is>
      </c>
      <c r="M1" t="inlineStr">
        <is>
          <t>Program {not in Banner}</t>
        </is>
      </c>
      <c r="N1" t="inlineStr">
        <is>
          <t>Catalog Title</t>
        </is>
      </c>
      <c r="O1" t="inlineStr">
        <is>
          <t>Section Title</t>
        </is>
      </c>
      <c r="P1" t="inlineStr">
        <is>
          <t>X Lst</t>
        </is>
      </c>
      <c r="Q1" t="inlineStr">
        <is>
          <t>Campus {Ssasect Campus}</t>
        </is>
      </c>
      <c r="R1" t="inlineStr">
        <is>
          <t>Campus Restriction {Camp Restr CC}</t>
        </is>
      </c>
      <c r="S1" t="inlineStr">
        <is>
          <t>Schedule Type {not in Banner}</t>
        </is>
      </c>
      <c r="T1" t="inlineStr">
        <is>
          <t>Instruction Method {Inst Method}</t>
        </is>
      </c>
      <c r="U1" t="inlineStr">
        <is>
          <t>Level {Level SC}</t>
        </is>
      </c>
      <c r="V1" t="inlineStr">
        <is>
          <t>Part-Of-Term</t>
        </is>
      </c>
      <c r="W1" t="inlineStr">
        <is>
          <t>Credit Catalog {Cat Crs}</t>
        </is>
      </c>
      <c r="X1" t="inlineStr">
        <is>
          <t>Credits {Sect Crs}</t>
        </is>
      </c>
      <c r="Y1" t="inlineStr">
        <is>
          <t>Faculty Load / Contract Credits {not in Banner}</t>
        </is>
      </c>
      <c r="Z1" t="inlineStr">
        <is>
          <t>Enrollment Cap {Max Enrl}</t>
        </is>
      </c>
      <c r="AA1" t="inlineStr">
        <is>
          <t>Meeting Type</t>
        </is>
      </c>
      <c r="AB1" t="inlineStr">
        <is>
          <t>Semester Start Date {Soaterm Start Date}</t>
        </is>
      </c>
      <c r="AC1" t="inlineStr">
        <is>
          <t>pre-work # of weeks {not in Banner}</t>
        </is>
      </c>
      <c r="AD1" t="inlineStr">
        <is>
          <t>pre-work hours/week {not in Banner}</t>
        </is>
      </c>
      <c r="AE1" t="inlineStr">
        <is>
          <t>pre-work hours/period {not in Banner}</t>
        </is>
      </c>
      <c r="AF1" t="inlineStr">
        <is>
          <t>Intensive Period Start Date {Meet Start Date}</t>
        </is>
      </c>
      <c r="AG1" t="inlineStr">
        <is>
          <t>Intensive Period End Date {Meet End Date}</t>
        </is>
      </c>
      <c r="AH1" t="inlineStr">
        <is>
          <t>intensive # of weeks {not in Banner}</t>
        </is>
      </c>
      <c r="AI1" t="inlineStr">
        <is>
          <t>intensive hours/week {not in Banner}</t>
        </is>
      </c>
      <c r="AJ1" t="inlineStr">
        <is>
          <t>intensive hours/period {not in Banner}</t>
        </is>
      </c>
      <c r="AK1" t="inlineStr">
        <is>
          <t>post-work # of weeks {not in Banner}</t>
        </is>
      </c>
      <c r="AL1" t="inlineStr">
        <is>
          <t>post-work hours/week {not in Banner}</t>
        </is>
      </c>
      <c r="AM1" t="inlineStr">
        <is>
          <t>post-work hours/period {not in Banner}</t>
        </is>
      </c>
      <c r="AN1" t="inlineStr">
        <is>
          <t>sum of weeks (for check) {not in Banner}</t>
        </is>
      </c>
      <c r="AO1" t="inlineStr">
        <is>
          <t>total contract hours {not in Banner}</t>
        </is>
      </c>
      <c r="AP1" t="inlineStr">
        <is>
          <t>Semester End Date {Soaterm End Date}</t>
        </is>
      </c>
      <c r="AQ1" t="inlineStr">
        <is>
          <t>Course Beginning Time {Meet Beg Time}</t>
        </is>
      </c>
      <c r="AR1" t="inlineStr">
        <is>
          <t>Course Ending Time {Meet End Time}</t>
        </is>
      </c>
      <c r="AS1" t="inlineStr">
        <is>
          <t>SUN</t>
        </is>
      </c>
      <c r="AT1" t="inlineStr">
        <is>
          <t>MON</t>
        </is>
      </c>
      <c r="AU1" t="inlineStr">
        <is>
          <t>TUE</t>
        </is>
      </c>
      <c r="AV1" t="inlineStr">
        <is>
          <t>WED</t>
        </is>
      </c>
      <c r="AW1" t="inlineStr">
        <is>
          <t>THU</t>
        </is>
      </c>
      <c r="AX1" t="inlineStr">
        <is>
          <t>Weeks</t>
        </is>
      </c>
      <c r="AY1" t="inlineStr">
        <is>
          <t>Fiscal Year {not in Banner}</t>
        </is>
      </c>
      <c r="AZ1" t="inlineStr">
        <is>
          <t>Semester {not in Banner}</t>
        </is>
      </c>
      <c r="BA1" t="inlineStr">
        <is>
          <t>Room {Meet Room}</t>
        </is>
      </c>
      <c r="BB1" t="inlineStr">
        <is>
          <t>Building {Meet Bldg}</t>
        </is>
      </c>
      <c r="BC1" t="inlineStr">
        <is>
          <t>Instructor Name {Instr Name}</t>
        </is>
      </c>
      <c r="BD1" t="inlineStr">
        <is>
          <t>Instructor Email {Instr Email}</t>
        </is>
      </c>
      <c r="BE1" t="inlineStr">
        <is>
          <t>Instructor ID {Instr ID}</t>
        </is>
      </c>
      <c r="BF1" t="inlineStr">
        <is>
          <t>Remote Employee {not in Banner}</t>
        </is>
      </c>
      <c r="BG1" t="inlineStr">
        <is>
          <t>% Responsibility</t>
        </is>
      </c>
      <c r="BH1" t="inlineStr">
        <is>
          <t>load/contract {not in Banner}</t>
        </is>
      </c>
      <c r="BI1" t="inlineStr">
        <is>
          <t>Reason for Contract {not in Banner}</t>
        </is>
      </c>
      <c r="BJ1" t="inlineStr">
        <is>
          <t>costs per credit {not in Banner}</t>
        </is>
      </c>
      <c r="BK1" t="inlineStr">
        <is>
          <t>dept budget {not in Banner}</t>
        </is>
      </c>
      <c r="BL1" t="inlineStr">
        <is>
          <t>account to be charged {not in Banner}</t>
        </is>
      </c>
      <c r="BM1" t="inlineStr">
        <is>
          <t>SEM Department {Scacrse Dept}</t>
        </is>
      </c>
      <c r="BN1" t="inlineStr">
        <is>
          <t>dean email</t>
        </is>
      </c>
      <c r="BO1" t="inlineStr">
        <is>
          <t>VP finance email</t>
        </is>
      </c>
      <c r="BP1" t="inlineStr">
        <is>
          <t>HR email</t>
        </is>
      </c>
      <c r="BQ1" t="inlineStr">
        <is>
          <t>Fee Amount {Fees Amt}</t>
        </is>
      </c>
      <c r="BR1" t="inlineStr">
        <is>
          <t>Fee Code {Detl Code}</t>
        </is>
      </c>
      <c r="BS1" t="inlineStr">
        <is>
          <t>Fee Type</t>
        </is>
      </c>
      <c r="BT1" t="inlineStr">
        <is>
          <t>Fee Level</t>
        </is>
      </c>
      <c r="BU1" t="inlineStr">
        <is>
          <t>Fee Term</t>
        </is>
      </c>
      <c r="BV1" t="inlineStr">
        <is>
          <t>Activity Date</t>
        </is>
      </c>
      <c r="BW1" t="inlineStr">
        <is>
          <t>Status</t>
        </is>
      </c>
      <c r="BX1" t="inlineStr">
        <is>
          <t>Bill Hrs</t>
        </is>
      </c>
      <c r="BY1" t="inlineStr">
        <is>
          <t>Sect Sch Type</t>
        </is>
      </c>
      <c r="BZ1" t="inlineStr">
        <is>
          <t>Prerequisites {Preq Areas}</t>
        </is>
      </c>
      <c r="CA1" t="inlineStr">
        <is>
          <t>Link Ind</t>
        </is>
      </c>
      <c r="CB1" t="inlineStr">
        <is>
          <t>Integration Code</t>
        </is>
      </c>
      <c r="CC1" t="inlineStr">
        <is>
          <t>Crs Attr</t>
        </is>
      </c>
      <c r="CD1" t="inlineStr">
        <is>
          <t>Scacrse College</t>
        </is>
      </c>
      <c r="CE1" t="inlineStr">
        <is>
          <t>Enrolled</t>
        </is>
      </c>
      <c r="CF1" t="inlineStr">
        <is>
          <t>Waitlist Capacity</t>
        </is>
      </c>
      <c r="CG1" t="inlineStr">
        <is>
          <t>Primary Ind</t>
        </is>
      </c>
      <c r="CH1" t="inlineStr">
        <is>
          <t>Override</t>
        </is>
      </c>
      <c r="CI1" t="inlineStr">
        <is>
          <t>1st Date Reg Opens</t>
        </is>
      </c>
      <c r="CJ1" t="inlineStr">
        <is>
          <t>Last Date Reg Opens</t>
        </is>
      </c>
      <c r="CK1" t="inlineStr">
        <is>
          <t>OL Range From Date</t>
        </is>
      </c>
      <c r="CL1" t="inlineStr">
        <is>
          <t>OL Range To Date</t>
        </is>
      </c>
      <c r="CM1" t="inlineStr">
        <is>
          <t>OL Numb Units</t>
        </is>
      </c>
      <c r="CN1" t="inlineStr">
        <is>
          <t>OL Duration Code</t>
        </is>
      </c>
      <c r="CO1" t="inlineStr">
        <is>
          <t>Grade Mode</t>
        </is>
      </c>
      <c r="CP1" t="inlineStr">
        <is>
          <t>Gradable Ind</t>
        </is>
      </c>
      <c r="CQ1" t="inlineStr">
        <is>
          <t>Tuit Waiver</t>
        </is>
      </c>
      <c r="CR1" t="inlineStr">
        <is>
          <t>Course Override {Meet Override}</t>
        </is>
      </c>
      <c r="CS1" t="inlineStr">
        <is>
          <t>Coll SC</t>
        </is>
      </c>
      <c r="CT1" t="inlineStr">
        <is>
          <t>DegC SC</t>
        </is>
      </c>
      <c r="CU1" t="inlineStr">
        <is>
          <t>FOS Type</t>
        </is>
      </c>
      <c r="CV1" t="inlineStr">
        <is>
          <t>Special Approval {Special Apvl}</t>
        </is>
      </c>
      <c r="CW1" t="inlineStr">
        <is>
          <t>Camp SC</t>
        </is>
      </c>
    </row>
    <row r="2">
      <c r="A2" t="inlineStr">
        <is>
          <t>✓</t>
        </is>
      </c>
      <c r="B2" t="inlineStr">
        <is>
          <t>✓</t>
        </is>
      </c>
      <c r="C2" t="inlineStr">
        <is>
          <t>✓</t>
        </is>
      </c>
      <c r="D2" t="inlineStr">
        <is>
          <t>✓</t>
        </is>
      </c>
      <c r="E2" t="inlineStr">
        <is>
          <t>✓</t>
        </is>
      </c>
      <c r="F2" t="inlineStr">
        <is>
          <t>✓</t>
        </is>
      </c>
      <c r="G2" t="inlineStr">
        <is>
          <t>New Class</t>
        </is>
      </c>
      <c r="H2" t="inlineStr">
        <is>
          <t>1043-01</t>
        </is>
      </c>
      <c r="I2" t="inlineStr">
        <is>
          <t>1043</t>
        </is>
      </c>
      <c r="J2" t="inlineStr">
        <is>
          <t>ANEA</t>
        </is>
      </c>
      <c r="K2" t="inlineStr">
        <is>
          <t>500</t>
        </is>
      </c>
      <c r="L2" t="inlineStr">
        <is>
          <t>0</t>
        </is>
      </c>
      <c r="M2" t="inlineStr">
        <is>
          <t>MDIV</t>
        </is>
      </c>
      <c r="N2">
        <f>IFERROR(INDEX('_courses_lookup'!$C:$C,MATCH(J2&amp;K2,'_courses_lookup'!$E:$E,0)),"")</f>
        <v/>
      </c>
      <c r="O2">
        <f>IFERROR(INDEX('_courses_lookup'!$D:$D,MATCH(J2&amp;K2,'_courses_lookup'!$E:$E,0)),"")</f>
        <v/>
      </c>
      <c r="P2" t="inlineStr">
        <is>
          <t>009</t>
        </is>
      </c>
      <c r="Q2" t="inlineStr">
        <is>
          <t>0</t>
        </is>
      </c>
      <c r="R2" t="inlineStr">
        <is>
          <t>0</t>
        </is>
      </c>
      <c r="S2" t="inlineStr">
        <is>
          <t>Blended Learning</t>
        </is>
      </c>
      <c r="T2" t="inlineStr">
        <is>
          <t>ASYNC</t>
        </is>
      </c>
      <c r="U2" t="inlineStr">
        <is>
          <t>DO</t>
        </is>
      </c>
      <c r="V2" t="inlineStr">
        <is>
          <t>1</t>
        </is>
      </c>
      <c r="W2" t="inlineStr">
        <is>
          <t>0</t>
        </is>
      </c>
      <c r="X2" t="inlineStr">
        <is>
          <t>0</t>
        </is>
      </c>
      <c r="Y2" t="inlineStr">
        <is>
          <t>1</t>
        </is>
      </c>
      <c r="Z2" t="inlineStr">
        <is>
          <t>0</t>
        </is>
      </c>
      <c r="AA2" t="inlineStr">
        <is>
          <t>CLAS</t>
        </is>
      </c>
      <c r="AB2" t="inlineStr">
        <is>
          <t>04-MAY-25</t>
        </is>
      </c>
      <c r="AC2" t="inlineStr">
        <is>
          <t>1</t>
        </is>
      </c>
      <c r="AD2" t="inlineStr">
        <is>
          <t>1</t>
        </is>
      </c>
      <c r="AE2">
        <f>IFERROR(IF(AC2*AD2=0,"",AC2*AD2),"")</f>
        <v/>
      </c>
      <c r="AF2" t="inlineStr">
        <is>
          <t>01-JUN-25</t>
        </is>
      </c>
      <c r="AG2" t="inlineStr">
        <is>
          <t>01-AUG-25</t>
        </is>
      </c>
      <c r="AH2">
        <f>IF(AND(AF2&lt;&gt;"",AG2&lt;&gt;""),ROUNDUP((AG2-AF2)/7,0),"")</f>
        <v/>
      </c>
      <c r="AI2" t="inlineStr">
        <is>
          <t>40</t>
        </is>
      </c>
      <c r="AJ2">
        <f>IFERROR(IF(AH2*AI2=0,"",AH2*AI2),"")</f>
        <v/>
      </c>
      <c r="AK2" t="inlineStr">
        <is>
          <t>1</t>
        </is>
      </c>
      <c r="AL2">
        <f>IFERROR(IF((AO2-(AE2+AJ2))/AK2=0,"",ROUNDUP((AO2-(AE2+AJ2))/AK2,0)),"")</f>
        <v/>
      </c>
      <c r="AM2">
        <f>IFERROR(IF((AO2-(AE2+AJ2))=0,"",(AO2-(AE2+AJ2))),"")</f>
        <v/>
      </c>
      <c r="AN2">
        <f>IF(AND(AC2="",AK2=""),AH2,IF(SUM(AC2,AH2,AK2)=0,"",SUM(AC2,AH2,AK2)))</f>
        <v/>
      </c>
      <c r="AO2" t="inlineStr">
        <is>
          <t>109</t>
        </is>
      </c>
      <c r="AP2" t="inlineStr">
        <is>
          <t>01-AUG-25</t>
        </is>
      </c>
      <c r="AQ2" t="inlineStr">
        <is>
          <t>0800</t>
        </is>
      </c>
      <c r="AR2" t="inlineStr">
        <is>
          <t>1020</t>
        </is>
      </c>
      <c r="AS2" t="inlineStr">
        <is>
          <t>S</t>
        </is>
      </c>
      <c r="AT2" t="inlineStr">
        <is>
          <t>M</t>
        </is>
      </c>
      <c r="AU2" t="inlineStr">
        <is>
          <t>T</t>
        </is>
      </c>
      <c r="AV2" t="inlineStr">
        <is>
          <t>W</t>
        </is>
      </c>
      <c r="AW2" t="inlineStr">
        <is>
          <t>R</t>
        </is>
      </c>
      <c r="AX2" t="inlineStr">
        <is>
          <t>12</t>
        </is>
      </c>
      <c r="AY2">
        <f>IF(AB2="","",YEAR(AB2)+IF(MONTH(AB2)&gt;=5,1,0))</f>
        <v/>
      </c>
      <c r="AZ2">
        <f>IF(AB2="","",IF(AND(MONTH(AB2)=8,DAY(AB2)&gt;=15),"Fall",IF(MONTH(AB2)&gt;8,"Fall",IF(MONTH(AB2)=5,"Summer",IF(MONTH(AB2)=1,"Spring","")))))</f>
        <v/>
      </c>
      <c r="BA2" t="inlineStr">
        <is>
          <t>118</t>
        </is>
      </c>
      <c r="BB2" t="inlineStr">
        <is>
          <t>Bell Hall [BH]</t>
        </is>
      </c>
      <c r="BC2" t="inlineStr">
        <is>
          <t>Abar, Emmanuel M.</t>
        </is>
      </c>
      <c r="BD2">
        <f>IFERROR(INDEX('_names_lookup'!$C:$C,MATCH(BC2,'_names_lookup'!$A:$A,0)),"")</f>
        <v/>
      </c>
      <c r="BE2">
        <f>IFERROR(INDEX('_names_lookup'!$B:$B,MATCH(BC2,'_names_lookup'!$A:$A,0)),"")</f>
        <v/>
      </c>
      <c r="BF2" t="inlineStr">
        <is>
          <t>yes</t>
        </is>
      </c>
      <c r="BG2" t="inlineStr">
        <is>
          <t>100</t>
        </is>
      </c>
      <c r="BH2" t="inlineStr">
        <is>
          <t>load</t>
        </is>
      </c>
      <c r="BI2" t="inlineStr">
        <is>
          <t>Teacher loads are full</t>
        </is>
      </c>
      <c r="BJ2" t="inlineStr">
        <is>
          <t>1000</t>
        </is>
      </c>
      <c r="BK2" t="inlineStr">
        <is>
          <t>yes</t>
        </is>
      </c>
      <c r="BL2" t="inlineStr">
        <is>
          <t>CHIS: 11-1100-9120-70</t>
        </is>
      </c>
      <c r="BM2" t="inlineStr">
        <is>
          <t>CHIS</t>
        </is>
      </c>
      <c r="BN2" t="inlineStr">
        <is>
          <t>moskala@andrews.edu</t>
        </is>
      </c>
      <c r="BO2" t="inlineStr">
        <is>
          <t>valencia@andrews.edu</t>
        </is>
      </c>
      <c r="BP2" t="inlineStr">
        <is>
          <t>employment@andrews.edu</t>
        </is>
      </c>
      <c r="BQ2" t="inlineStr">
        <is>
          <t>-633</t>
        </is>
      </c>
      <c r="BR2" t="inlineStr">
        <is>
          <t>EAB4</t>
        </is>
      </c>
      <c r="BS2" t="inlineStr">
        <is>
          <t>BILL</t>
        </is>
      </c>
      <c r="BT2" t="inlineStr">
        <is>
          <t>DO</t>
        </is>
      </c>
      <c r="BU2" t="inlineStr">
        <is>
          <t>202531</t>
        </is>
      </c>
      <c r="BV2" t="inlineStr">
        <is>
          <t>01-JUL-25</t>
        </is>
      </c>
      <c r="BW2" t="inlineStr">
        <is>
          <t>A</t>
        </is>
      </c>
      <c r="BX2" t="inlineStr">
        <is>
          <t>0</t>
        </is>
      </c>
      <c r="BY2" t="inlineStr">
        <is>
          <t>A</t>
        </is>
      </c>
      <c r="BZ2" t="inlineStr">
        <is>
          <t>P-ANEA830</t>
        </is>
      </c>
      <c r="CA2" t="inlineStr">
        <is>
          <t>A1</t>
        </is>
      </c>
      <c r="CB2" t="inlineStr">
        <is>
          <t>MOODL</t>
        </is>
      </c>
      <c r="CC2" t="inlineStr">
        <is>
          <t>ADVN</t>
        </is>
      </c>
      <c r="CD2" t="inlineStr">
        <is>
          <t>70</t>
        </is>
      </c>
      <c r="CE2" t="inlineStr">
        <is>
          <t>0</t>
        </is>
      </c>
      <c r="CF2" t="inlineStr">
        <is>
          <t>0</t>
        </is>
      </c>
      <c r="CG2" t="inlineStr">
        <is>
          <t>Y</t>
        </is>
      </c>
      <c r="CH2" t="inlineStr">
        <is>
          <t>O</t>
        </is>
      </c>
      <c r="CI2" t="inlineStr">
        <is>
          <t>03-FEB-25</t>
        </is>
      </c>
      <c r="CJ2" t="inlineStr">
        <is>
          <t>01-AUG-25</t>
        </is>
      </c>
      <c r="CK2" t="inlineStr">
        <is>
          <t>03-FEB-25</t>
        </is>
      </c>
      <c r="CL2" t="inlineStr">
        <is>
          <t>01-AUG-25</t>
        </is>
      </c>
      <c r="CM2" t="inlineStr">
        <is>
          <t>1</t>
        </is>
      </c>
      <c r="CN2" t="inlineStr">
        <is>
          <t>DAYS</t>
        </is>
      </c>
      <c r="CO2" t="inlineStr">
        <is>
          <t>X</t>
        </is>
      </c>
      <c r="CP2" t="inlineStr">
        <is>
          <t>Y</t>
        </is>
      </c>
      <c r="CQ2" t="inlineStr">
        <is>
          <t>N</t>
        </is>
      </c>
      <c r="CR2" t="inlineStr">
        <is>
          <t>O</t>
        </is>
      </c>
      <c r="CS2" t="inlineStr">
        <is>
          <t>70</t>
        </is>
      </c>
      <c r="CT2" t="inlineStr">
        <is>
          <t>MSCID</t>
        </is>
      </c>
      <c r="CU2" t="inlineStr">
        <is>
          <t>MAJOR</t>
        </is>
      </c>
      <c r="CV2" t="inlineStr">
        <is>
          <t>I</t>
        </is>
      </c>
      <c r="CW2" t="inlineStr">
        <is>
          <t>0</t>
        </is>
      </c>
    </row>
    <row r="3">
      <c r="A3" t="inlineStr">
        <is>
          <t>🔔</t>
        </is>
      </c>
      <c r="B3" t="inlineStr">
        <is>
          <t>🔔</t>
        </is>
      </c>
      <c r="C3" t="inlineStr">
        <is>
          <t>🔔</t>
        </is>
      </c>
      <c r="D3" t="inlineStr">
        <is>
          <t>🔔</t>
        </is>
      </c>
      <c r="E3" t="inlineStr">
        <is>
          <t>🔔</t>
        </is>
      </c>
      <c r="F3" t="inlineStr">
        <is>
          <t>🔔</t>
        </is>
      </c>
      <c r="G3" t="inlineStr">
        <is>
          <t>Delete Class</t>
        </is>
      </c>
      <c r="H3" t="inlineStr">
        <is>
          <t>1044-01</t>
        </is>
      </c>
      <c r="I3" t="inlineStr">
        <is>
          <t>1044</t>
        </is>
      </c>
      <c r="J3" t="inlineStr">
        <is>
          <t>CHIS</t>
        </is>
      </c>
      <c r="K3" t="inlineStr">
        <is>
          <t>501</t>
        </is>
      </c>
      <c r="L3" t="inlineStr">
        <is>
          <t>001</t>
        </is>
      </c>
      <c r="M3" t="inlineStr">
        <is>
          <t>MDIV-FL</t>
        </is>
      </c>
      <c r="N3">
        <f>IFERROR(INDEX('_courses_lookup'!$C:$C,MATCH(J3&amp;K3,'_courses_lookup'!$E:$E,0)),"")</f>
        <v/>
      </c>
      <c r="O3">
        <f>IFERROR(INDEX('_courses_lookup'!$D:$D,MATCH(J3&amp;K3,'_courses_lookup'!$E:$E,0)),"")</f>
        <v/>
      </c>
      <c r="P3" t="inlineStr">
        <is>
          <t>028</t>
        </is>
      </c>
      <c r="Q3" t="inlineStr">
        <is>
          <t>7</t>
        </is>
      </c>
      <c r="R3" t="inlineStr">
        <is>
          <t>7</t>
        </is>
      </c>
      <c r="S3" t="inlineStr">
        <is>
          <t>Equivalency Assessment</t>
        </is>
      </c>
      <c r="T3" t="inlineStr">
        <is>
          <t>EXAM</t>
        </is>
      </c>
      <c r="U3" t="inlineStr">
        <is>
          <t>FP</t>
        </is>
      </c>
      <c r="V3" t="inlineStr">
        <is>
          <t>2</t>
        </is>
      </c>
      <c r="W3" t="inlineStr">
        <is>
          <t>0,2</t>
        </is>
      </c>
      <c r="X3" t="inlineStr">
        <is>
          <t>0,2</t>
        </is>
      </c>
      <c r="Y3" t="inlineStr">
        <is>
          <t>2</t>
        </is>
      </c>
      <c r="Z3" t="inlineStr">
        <is>
          <t>1</t>
        </is>
      </c>
      <c r="AA3" t="inlineStr">
        <is>
          <t>POST</t>
        </is>
      </c>
      <c r="AB3" t="inlineStr">
        <is>
          <t>07-JUL-25</t>
        </is>
      </c>
      <c r="AE3">
        <f>IFERROR(IF(AC3*AD3=0,"",AC3*AD3),"")</f>
        <v/>
      </c>
      <c r="AF3" t="inlineStr">
        <is>
          <t>02-JUL-25</t>
        </is>
      </c>
      <c r="AG3" t="inlineStr">
        <is>
          <t>01-JUL-25</t>
        </is>
      </c>
      <c r="AH3">
        <f>IF(AND(AF3&lt;&gt;"",AG3&lt;&gt;""),ROUNDUP((AG3-AF3)/7,0),"")</f>
        <v/>
      </c>
      <c r="AJ3">
        <f>IFERROR(IF(AH3*AI3=0,"",AH3*AI3),"")</f>
        <v/>
      </c>
      <c r="AL3">
        <f>IFERROR(IF((AO3-(AE3+AJ3))/AK3=0,"",ROUNDUP((AO3-(AE3+AJ3))/AK3,0)),"")</f>
        <v/>
      </c>
      <c r="AM3">
        <f>IFERROR(IF((AO3-(AE3+AJ3))=0,"",(AO3-(AE3+AJ3))),"")</f>
        <v/>
      </c>
      <c r="AN3">
        <f>IF(AND(AC3="",AK3=""),AH3,IF(SUM(AC3,AH3,AK3)=0,"",SUM(AC3,AH3,AK3)))</f>
        <v/>
      </c>
      <c r="AP3" t="inlineStr">
        <is>
          <t>03-JUL-25</t>
        </is>
      </c>
      <c r="AQ3" t="inlineStr">
        <is>
          <t>0830</t>
        </is>
      </c>
      <c r="AR3" t="inlineStr">
        <is>
          <t>1120</t>
        </is>
      </c>
      <c r="AX3" t="inlineStr">
        <is>
          <t>3</t>
        </is>
      </c>
      <c r="AY3">
        <f>IF(AB3="","",YEAR(AB3)+IF(MONTH(AB3)&gt;=5,1,0))</f>
        <v/>
      </c>
      <c r="AZ3">
        <f>IF(AB3="","",IF(AND(MONTH(AB3)=8,DAY(AB3)&gt;=15),"Fall",IF(MONTH(AB3)&gt;8,"Fall",IF(MONTH(AB3)=5,"Summer",IF(MONTH(AB3)=1,"Spring","")))))</f>
        <v/>
      </c>
      <c r="BA3" t="inlineStr">
        <is>
          <t>120</t>
        </is>
      </c>
      <c r="BB3" t="inlineStr">
        <is>
          <t>Buller Hall [BUL]</t>
        </is>
      </c>
      <c r="BC3" t="inlineStr">
        <is>
          <t>Antic, Radisa</t>
        </is>
      </c>
      <c r="BD3">
        <f>IFERROR(INDEX('_names_lookup'!$C:$C,MATCH(BC3,'_names_lookup'!$A:$A,0)),"")</f>
        <v/>
      </c>
      <c r="BE3">
        <f>IFERROR(INDEX('_names_lookup'!$B:$B,MATCH(BC3,'_names_lookup'!$A:$A,0)),"")</f>
        <v/>
      </c>
      <c r="BF3" t="inlineStr">
        <is>
          <t>no</t>
        </is>
      </c>
      <c r="BG3" t="inlineStr">
        <is>
          <t>34</t>
        </is>
      </c>
      <c r="BH3" t="inlineStr">
        <is>
          <t>contract</t>
        </is>
      </c>
      <c r="BI3" t="inlineStr">
        <is>
          <t>Teacher overload</t>
        </is>
      </c>
      <c r="BJ3" t="inlineStr">
        <is>
          <t>1050</t>
        </is>
      </c>
      <c r="BK3" t="inlineStr">
        <is>
          <t>no</t>
        </is>
      </c>
      <c r="BL3" t="inlineStr">
        <is>
          <t>PATH: 11-1150-9120-70</t>
        </is>
      </c>
      <c r="BM3" t="inlineStr">
        <is>
          <t>DSLE</t>
        </is>
      </c>
      <c r="BQ3" t="inlineStr">
        <is>
          <t>-922</t>
        </is>
      </c>
      <c r="BR3" t="inlineStr">
        <is>
          <t>EAR2</t>
        </is>
      </c>
      <c r="BS3" t="inlineStr">
        <is>
          <t>FLAT</t>
        </is>
      </c>
      <c r="BT3" t="inlineStr">
        <is>
          <t>FP</t>
        </is>
      </c>
      <c r="BV3" t="inlineStr">
        <is>
          <t>01-JUN-25</t>
        </is>
      </c>
      <c r="BW3" t="inlineStr">
        <is>
          <t>I</t>
        </is>
      </c>
      <c r="BX3" t="inlineStr">
        <is>
          <t>1</t>
        </is>
      </c>
      <c r="BY3" t="inlineStr">
        <is>
          <t>BL</t>
        </is>
      </c>
      <c r="BZ3" t="inlineStr">
        <is>
          <t>P-CHIS624</t>
        </is>
      </c>
      <c r="CA3" t="inlineStr">
        <is>
          <t>T1</t>
        </is>
      </c>
      <c r="CC3" t="inlineStr">
        <is>
          <t>ADVN,THEO</t>
        </is>
      </c>
      <c r="CE3" t="inlineStr">
        <is>
          <t>1</t>
        </is>
      </c>
      <c r="CJ3" t="inlineStr">
        <is>
          <t>11-MAY-25</t>
        </is>
      </c>
      <c r="CK3" t="inlineStr">
        <is>
          <t>12-MAY-25</t>
        </is>
      </c>
      <c r="CL3" t="inlineStr">
        <is>
          <t>12-MAY-25</t>
        </is>
      </c>
      <c r="CM3" t="inlineStr">
        <is>
          <t>160</t>
        </is>
      </c>
      <c r="CV3" t="inlineStr">
        <is>
          <t>IT</t>
        </is>
      </c>
      <c r="CW3" t="inlineStr">
        <is>
          <t>7</t>
        </is>
      </c>
    </row>
    <row r="4">
      <c r="G4" t="inlineStr">
        <is>
          <t>Title</t>
        </is>
      </c>
      <c r="H4" t="inlineStr">
        <is>
          <t>1045-01</t>
        </is>
      </c>
      <c r="I4" t="inlineStr">
        <is>
          <t>1045</t>
        </is>
      </c>
      <c r="J4" t="inlineStr">
        <is>
          <t>DSLE</t>
        </is>
      </c>
      <c r="K4" t="inlineStr">
        <is>
          <t>503</t>
        </is>
      </c>
      <c r="L4" t="inlineStr">
        <is>
          <t>002</t>
        </is>
      </c>
      <c r="M4" t="inlineStr">
        <is>
          <t>MAPM-HISP</t>
        </is>
      </c>
      <c r="N4">
        <f>IFERROR(INDEX('_courses_lookup'!$C:$C,MATCH(J4&amp;K4,'_courses_lookup'!$E:$E,0)),"")</f>
        <v/>
      </c>
      <c r="O4">
        <f>IFERROR(INDEX('_courses_lookup'!$D:$D,MATCH(J4&amp;K4,'_courses_lookup'!$E:$E,0)),"")</f>
        <v/>
      </c>
      <c r="P4" t="inlineStr">
        <is>
          <t>044</t>
        </is>
      </c>
      <c r="Q4" t="inlineStr">
        <is>
          <t>9OM</t>
        </is>
      </c>
      <c r="R4" t="inlineStr">
        <is>
          <t>9</t>
        </is>
      </c>
      <c r="S4" t="inlineStr">
        <is>
          <t>Independent</t>
        </is>
      </c>
      <c r="T4" t="inlineStr">
        <is>
          <t>INTEN</t>
        </is>
      </c>
      <c r="U4" t="inlineStr">
        <is>
          <t>MA</t>
        </is>
      </c>
      <c r="V4" t="inlineStr">
        <is>
          <t>3</t>
        </is>
      </c>
      <c r="W4" t="inlineStr">
        <is>
          <t>0,3</t>
        </is>
      </c>
      <c r="X4" t="inlineStr">
        <is>
          <t>0,3</t>
        </is>
      </c>
      <c r="Y4" t="inlineStr">
        <is>
          <t>3</t>
        </is>
      </c>
      <c r="Z4" t="inlineStr">
        <is>
          <t>10</t>
        </is>
      </c>
      <c r="AA4" t="inlineStr">
        <is>
          <t>PRE</t>
        </is>
      </c>
      <c r="AB4" t="inlineStr">
        <is>
          <t>09-JUN-25</t>
        </is>
      </c>
      <c r="AE4">
        <f>IFERROR(IF(AC4*AD4=0,"",AC4*AD4),"")</f>
        <v/>
      </c>
      <c r="AF4" t="inlineStr">
        <is>
          <t>02-JUN-25</t>
        </is>
      </c>
      <c r="AG4" t="inlineStr">
        <is>
          <t>01-JUN-25</t>
        </is>
      </c>
      <c r="AH4">
        <f>IF(AND(AF4&lt;&gt;"",AG4&lt;&gt;""),ROUNDUP((AG4-AF4)/7,0),"")</f>
        <v/>
      </c>
      <c r="AJ4">
        <f>IFERROR(IF(AH4*AI4=0,"",AH4*AI4),"")</f>
        <v/>
      </c>
      <c r="AL4">
        <f>IFERROR(IF((AO4-(AE4+AJ4))/AK4=0,"",ROUNDUP((AO4-(AE4+AJ4))/AK4,0)),"")</f>
        <v/>
      </c>
      <c r="AM4">
        <f>IFERROR(IF((AO4-(AE4+AJ4))=0,"",(AO4-(AE4+AJ4))),"")</f>
        <v/>
      </c>
      <c r="AN4">
        <f>IF(AND(AC4="",AK4=""),AH4,IF(SUM(AC4,AH4,AK4)=0,"",SUM(AC4,AH4,AK4)))</f>
        <v/>
      </c>
      <c r="AP4" t="inlineStr">
        <is>
          <t>04-JUL-25</t>
        </is>
      </c>
      <c r="AQ4" t="inlineStr">
        <is>
          <t>1330</t>
        </is>
      </c>
      <c r="AR4" t="inlineStr">
        <is>
          <t>1200</t>
        </is>
      </c>
      <c r="AX4" t="inlineStr">
        <is>
          <t>4</t>
        </is>
      </c>
      <c r="AY4">
        <f>IF(AB4="","",YEAR(AB4)+IF(MONTH(AB4)&gt;=5,1,0))</f>
        <v/>
      </c>
      <c r="AZ4">
        <f>IF(AB4="","",IF(AND(MONTH(AB4)=8,DAY(AB4)&gt;=15),"Fall",IF(MONTH(AB4)&gt;8,"Fall",IF(MONTH(AB4)=5,"Summer",IF(MONTH(AB4)=1,"Spring","")))))</f>
        <v/>
      </c>
      <c r="BA4" t="inlineStr">
        <is>
          <t>153</t>
        </is>
      </c>
      <c r="BB4" t="inlineStr">
        <is>
          <t>Chan Shun Hall [CSH]</t>
        </is>
      </c>
      <c r="BC4" t="inlineStr">
        <is>
          <t>Augsburger, Daniel E.</t>
        </is>
      </c>
      <c r="BD4">
        <f>IFERROR(INDEX('_names_lookup'!$C:$C,MATCH(BC4,'_names_lookup'!$A:$A,0)),"")</f>
        <v/>
      </c>
      <c r="BE4">
        <f>IFERROR(INDEX('_names_lookup'!$B:$B,MATCH(BC4,'_names_lookup'!$A:$A,0)),"")</f>
        <v/>
      </c>
      <c r="BG4" t="inlineStr">
        <is>
          <t>50</t>
        </is>
      </c>
      <c r="BH4" t="inlineStr">
        <is>
          <t>load x-list</t>
        </is>
      </c>
      <c r="BI4" t="inlineStr">
        <is>
          <t>Subject-matter expert</t>
        </is>
      </c>
      <c r="BL4" t="inlineStr">
        <is>
          <t>MSSN: 11-1200-9120-70</t>
        </is>
      </c>
      <c r="BM4" t="inlineStr">
        <is>
          <t>GSEM</t>
        </is>
      </c>
      <c r="BQ4" t="inlineStr">
        <is>
          <t>1267</t>
        </is>
      </c>
      <c r="BR4" t="inlineStr">
        <is>
          <t>ES12</t>
        </is>
      </c>
      <c r="BT4" t="inlineStr">
        <is>
          <t>MA</t>
        </is>
      </c>
      <c r="BV4" t="inlineStr">
        <is>
          <t>01-MAY-25</t>
        </is>
      </c>
      <c r="BX4" t="inlineStr">
        <is>
          <t>2</t>
        </is>
      </c>
      <c r="BY4" t="inlineStr">
        <is>
          <t>EA</t>
        </is>
      </c>
      <c r="BZ4" t="inlineStr">
        <is>
          <t>P-CHIS674</t>
        </is>
      </c>
      <c r="CC4" t="inlineStr">
        <is>
          <t>ARHA,CLAS,JEWS,NTBG</t>
        </is>
      </c>
      <c r="CE4" t="inlineStr">
        <is>
          <t>10</t>
        </is>
      </c>
      <c r="CJ4" t="inlineStr">
        <is>
          <t>15-JUN-25</t>
        </is>
      </c>
      <c r="CK4" t="inlineStr">
        <is>
          <t>16-JUN-25</t>
        </is>
      </c>
      <c r="CL4" t="inlineStr">
        <is>
          <t>16-JUN-25</t>
        </is>
      </c>
      <c r="CM4" t="inlineStr">
        <is>
          <t>180</t>
        </is>
      </c>
      <c r="CV4" t="inlineStr">
        <is>
          <t>RC</t>
        </is>
      </c>
    </row>
    <row r="5">
      <c r="G5" t="inlineStr">
        <is>
          <t>Add X-List</t>
        </is>
      </c>
      <c r="H5" t="inlineStr">
        <is>
          <t>1047-01</t>
        </is>
      </c>
      <c r="I5" t="inlineStr">
        <is>
          <t>1047</t>
        </is>
      </c>
      <c r="J5" t="inlineStr">
        <is>
          <t>GSEM</t>
        </is>
      </c>
      <c r="K5" t="inlineStr">
        <is>
          <t>504</t>
        </is>
      </c>
      <c r="L5" t="inlineStr">
        <is>
          <t>003</t>
        </is>
      </c>
      <c r="M5" t="inlineStr">
        <is>
          <t>MAPM-ENGL</t>
        </is>
      </c>
      <c r="N5">
        <f>IFERROR(INDEX('_courses_lookup'!$C:$C,MATCH(J5&amp;K5,'_courses_lookup'!$E:$E,0)),"")</f>
        <v/>
      </c>
      <c r="O5">
        <f>IFERROR(INDEX('_courses_lookup'!$D:$D,MATCH(J5&amp;K5,'_courses_lookup'!$E:$E,0)),"")</f>
        <v/>
      </c>
      <c r="P5" t="inlineStr">
        <is>
          <t>061</t>
        </is>
      </c>
      <c r="Q5" t="inlineStr">
        <is>
          <t>ZOM</t>
        </is>
      </c>
      <c r="R5" t="inlineStr">
        <is>
          <t>9OM</t>
        </is>
      </c>
      <c r="S5" t="inlineStr">
        <is>
          <t>Int, Online</t>
        </is>
      </c>
      <c r="T5" t="inlineStr">
        <is>
          <t>SYNC</t>
        </is>
      </c>
      <c r="V5" t="inlineStr">
        <is>
          <t>Q</t>
        </is>
      </c>
      <c r="W5" t="inlineStr">
        <is>
          <t>0-3</t>
        </is>
      </c>
      <c r="X5" t="inlineStr">
        <is>
          <t>0-3</t>
        </is>
      </c>
      <c r="Y5" t="inlineStr">
        <is>
          <t>4</t>
        </is>
      </c>
      <c r="Z5" t="inlineStr">
        <is>
          <t>15</t>
        </is>
      </c>
      <c r="AA5" t="inlineStr">
        <is>
          <t>TOUR</t>
        </is>
      </c>
      <c r="AB5" t="inlineStr">
        <is>
          <t>12-MAY-25</t>
        </is>
      </c>
      <c r="AE5">
        <f>IFERROR(IF(AC5*AD5=0,"",AC5*AD5),"")</f>
        <v/>
      </c>
      <c r="AF5" t="inlineStr">
        <is>
          <t>03-FEB-25</t>
        </is>
      </c>
      <c r="AG5" t="inlineStr">
        <is>
          <t>01-NOV-25</t>
        </is>
      </c>
      <c r="AH5">
        <f>IF(AND(AF5&lt;&gt;"",AG5&lt;&gt;""),ROUNDUP((AG5-AF5)/7,0),"")</f>
        <v/>
      </c>
      <c r="AJ5">
        <f>IFERROR(IF(AH5*AI5=0,"",AH5*AI5),"")</f>
        <v/>
      </c>
      <c r="AL5">
        <f>IFERROR(IF((AO5-(AE5+AJ5))/AK5=0,"",ROUNDUP((AO5-(AE5+AJ5))/AK5,0)),"")</f>
        <v/>
      </c>
      <c r="AM5">
        <f>IFERROR(IF((AO5-(AE5+AJ5))=0,"",(AO5-(AE5+AJ5))),"")</f>
        <v/>
      </c>
      <c r="AN5">
        <f>IF(AND(AC5="",AK5=""),AH5,IF(SUM(AC5,AH5,AK5)=0,"",SUM(AC5,AH5,AK5)))</f>
        <v/>
      </c>
      <c r="AP5" t="inlineStr">
        <is>
          <t>06-JUN-25</t>
        </is>
      </c>
      <c r="AQ5" t="inlineStr">
        <is>
          <t>1400</t>
        </is>
      </c>
      <c r="AR5" t="inlineStr">
        <is>
          <t>1220</t>
        </is>
      </c>
      <c r="AX5" t="inlineStr">
        <is>
          <t>8</t>
        </is>
      </c>
      <c r="AY5">
        <f>IF(AB5="","",YEAR(AB5)+IF(MONTH(AB5)&gt;=5,1,0))</f>
        <v/>
      </c>
      <c r="AZ5">
        <f>IF(AB5="","",IF(AND(MONTH(AB5)=8,DAY(AB5)&gt;=15),"Fall",IF(MONTH(AB5)&gt;8,"Fall",IF(MONTH(AB5)=5,"Summer",IF(MONTH(AB5)=1,"Spring","")))))</f>
        <v/>
      </c>
      <c r="BA5" t="inlineStr">
        <is>
          <t>N108</t>
        </is>
      </c>
      <c r="BB5" t="inlineStr">
        <is>
          <t>Griggs Hall A [GHA]</t>
        </is>
      </c>
      <c r="BC5" t="inlineStr">
        <is>
          <t>Barbosa, Rodrigo d.</t>
        </is>
      </c>
      <c r="BD5">
        <f>IFERROR(INDEX('_names_lookup'!$C:$C,MATCH(BC5,'_names_lookup'!$A:$A,0)),"")</f>
        <v/>
      </c>
      <c r="BE5">
        <f>IFERROR(INDEX('_names_lookup'!$B:$B,MATCH(BC5,'_names_lookup'!$A:$A,0)),"")</f>
        <v/>
      </c>
      <c r="BH5" t="inlineStr">
        <is>
          <t>contract x-list</t>
        </is>
      </c>
      <c r="BL5" t="inlineStr">
        <is>
          <t>_DIS: 11-1200-9120-70-120011</t>
        </is>
      </c>
      <c r="BM5" t="inlineStr">
        <is>
          <t>NTST</t>
        </is>
      </c>
      <c r="BQ5" t="inlineStr">
        <is>
          <t>130</t>
        </is>
      </c>
      <c r="BR5" t="inlineStr">
        <is>
          <t>ES30</t>
        </is>
      </c>
      <c r="BV5" t="inlineStr">
        <is>
          <t>02-JUL-25</t>
        </is>
      </c>
      <c r="BX5" t="inlineStr">
        <is>
          <t>3</t>
        </is>
      </c>
      <c r="BY5" t="inlineStr">
        <is>
          <t>I</t>
        </is>
      </c>
      <c r="BZ5" t="inlineStr">
        <is>
          <t>P-NTST658</t>
        </is>
      </c>
      <c r="CC5" t="inlineStr">
        <is>
          <t>CH1</t>
        </is>
      </c>
      <c r="CE5" t="inlineStr">
        <is>
          <t>11</t>
        </is>
      </c>
      <c r="CJ5" t="inlineStr">
        <is>
          <t>18-MAY-25</t>
        </is>
      </c>
      <c r="CK5" t="inlineStr">
        <is>
          <t>19-MAY-25</t>
        </is>
      </c>
      <c r="CL5" t="inlineStr">
        <is>
          <t>19-MAY-25</t>
        </is>
      </c>
      <c r="CM5" t="inlineStr">
        <is>
          <t>290</t>
        </is>
      </c>
      <c r="CV5" t="inlineStr">
        <is>
          <t>T</t>
        </is>
      </c>
    </row>
    <row r="6">
      <c r="G6" t="inlineStr">
        <is>
          <t>Delete X-List</t>
        </is>
      </c>
      <c r="H6" t="inlineStr">
        <is>
          <t>1050-01</t>
        </is>
      </c>
      <c r="I6" t="inlineStr">
        <is>
          <t>1050</t>
        </is>
      </c>
      <c r="J6" t="inlineStr">
        <is>
          <t>MSSN</t>
        </is>
      </c>
      <c r="K6" t="inlineStr">
        <is>
          <t>505</t>
        </is>
      </c>
      <c r="L6" t="inlineStr">
        <is>
          <t>004</t>
        </is>
      </c>
      <c r="M6" t="inlineStr">
        <is>
          <t>MAR-NAD</t>
        </is>
      </c>
      <c r="N6">
        <f>IFERROR(INDEX('_courses_lookup'!$C:$C,MATCH(J6&amp;K6,'_courses_lookup'!$E:$E,0)),"")</f>
        <v/>
      </c>
      <c r="O6">
        <f>IFERROR(INDEX('_courses_lookup'!$D:$D,MATCH(J6&amp;K6,'_courses_lookup'!$E:$E,0)),"")</f>
        <v/>
      </c>
      <c r="P6" t="inlineStr">
        <is>
          <t>086</t>
        </is>
      </c>
      <c r="Q6" t="inlineStr">
        <is>
          <t>·­</t>
        </is>
      </c>
      <c r="R6" t="inlineStr">
        <is>
          <t>Z</t>
        </is>
      </c>
      <c r="S6" t="inlineStr">
        <is>
          <t>Lecture</t>
        </is>
      </c>
      <c r="T6" t="inlineStr">
        <is>
          <t>TOUR</t>
        </is>
      </c>
      <c r="V6" t="inlineStr">
        <is>
          <t>W</t>
        </is>
      </c>
      <c r="W6" t="inlineStr">
        <is>
          <t>1</t>
        </is>
      </c>
      <c r="X6" t="inlineStr">
        <is>
          <t>1</t>
        </is>
      </c>
      <c r="Y6" t="inlineStr">
        <is>
          <t>5</t>
        </is>
      </c>
      <c r="Z6" t="inlineStr">
        <is>
          <t>18</t>
        </is>
      </c>
      <c r="AA6" t="inlineStr">
        <is>
          <t>WEB</t>
        </is>
      </c>
      <c r="AB6" t="inlineStr">
        <is>
          <t>14-JUL-25</t>
        </is>
      </c>
      <c r="AE6">
        <f>IFERROR(IF(AC6*AD6=0,"",AC6*AD6),"")</f>
        <v/>
      </c>
      <c r="AF6" t="inlineStr">
        <is>
          <t>03-JUL-25</t>
        </is>
      </c>
      <c r="AG6" t="inlineStr">
        <is>
          <t>02-DEC-25</t>
        </is>
      </c>
      <c r="AH6">
        <f>IF(AND(AF6&lt;&gt;"",AG6&lt;&gt;""),ROUNDUP((AG6-AF6)/7,0),"")</f>
        <v/>
      </c>
      <c r="AJ6">
        <f>IFERROR(IF(AH6*AI6=0,"",AH6*AI6),"")</f>
        <v/>
      </c>
      <c r="AL6">
        <f>IFERROR(IF((AO6-(AE6+AJ6))/AK6=0,"",ROUNDUP((AO6-(AE6+AJ6))/AK6,0)),"")</f>
        <v/>
      </c>
      <c r="AM6">
        <f>IFERROR(IF((AO6-(AE6+AJ6))=0,"",(AO6-(AE6+AJ6))),"")</f>
        <v/>
      </c>
      <c r="AN6">
        <f>IF(AND(AC6="",AK6=""),AH6,IF(SUM(AC6,AH6,AK6)=0,"",SUM(AC6,AH6,AK6)))</f>
        <v/>
      </c>
      <c r="AP6" t="inlineStr">
        <is>
          <t>18-MAY-25</t>
        </is>
      </c>
      <c r="AQ6" t="inlineStr">
        <is>
          <t>1430</t>
        </is>
      </c>
      <c r="AR6" t="inlineStr">
        <is>
          <t>1400</t>
        </is>
      </c>
      <c r="AY6">
        <f>IF(AB6="","",YEAR(AB6)+IF(MONTH(AB6)&gt;=5,1,0))</f>
        <v/>
      </c>
      <c r="AZ6">
        <f>IF(AB6="","",IF(AND(MONTH(AB6)=8,DAY(AB6)&gt;=15),"Fall",IF(MONTH(AB6)&gt;8,"Fall",IF(MONTH(AB6)=5,"Summer",IF(MONTH(AB6)=1,"Spring","")))))</f>
        <v/>
      </c>
      <c r="BA6" t="inlineStr">
        <is>
          <t>N110</t>
        </is>
      </c>
      <c r="BB6" t="inlineStr">
        <is>
          <t>Griggs Hall B [GHB]</t>
        </is>
      </c>
      <c r="BC6" t="inlineStr">
        <is>
          <t>Barna, Jan</t>
        </is>
      </c>
      <c r="BD6">
        <f>IFERROR(INDEX('_names_lookup'!$C:$C,MATCH(BC6,'_names_lookup'!$A:$A,0)),"")</f>
        <v/>
      </c>
      <c r="BE6">
        <f>IFERROR(INDEX('_names_lookup'!$B:$B,MATCH(BC6,'_names_lookup'!$A:$A,0)),"")</f>
        <v/>
      </c>
      <c r="BH6" t="inlineStr">
        <is>
          <t>continuous</t>
        </is>
      </c>
      <c r="BL6" t="inlineStr">
        <is>
          <t>NTST: 11-1250-9120-70</t>
        </is>
      </c>
      <c r="BM6" t="inlineStr">
        <is>
          <t>OTST</t>
        </is>
      </c>
      <c r="BQ6" t="inlineStr">
        <is>
          <t>1471</t>
        </is>
      </c>
      <c r="BR6" t="inlineStr">
        <is>
          <t>ESCF</t>
        </is>
      </c>
      <c r="BV6" t="inlineStr">
        <is>
          <t>02-JUN-25</t>
        </is>
      </c>
      <c r="BX6" t="inlineStr">
        <is>
          <t>4</t>
        </is>
      </c>
      <c r="BY6" t="inlineStr">
        <is>
          <t>M</t>
        </is>
      </c>
      <c r="BZ6" t="inlineStr">
        <is>
          <t>P-NTST668</t>
        </is>
      </c>
      <c r="CC6" t="inlineStr">
        <is>
          <t>CH1,REFM</t>
        </is>
      </c>
      <c r="CE6" t="inlineStr">
        <is>
          <t>12</t>
        </is>
      </c>
      <c r="CJ6" t="inlineStr">
        <is>
          <t>21-JUN-25</t>
        </is>
      </c>
      <c r="CK6" t="inlineStr">
        <is>
          <t>22-JUN-25</t>
        </is>
      </c>
      <c r="CL6" t="inlineStr">
        <is>
          <t>26-JUN-25</t>
        </is>
      </c>
      <c r="CM6" t="inlineStr">
        <is>
          <t>90</t>
        </is>
      </c>
    </row>
    <row r="7">
      <c r="G7" t="inlineStr">
        <is>
          <t>Sp. Approval</t>
        </is>
      </c>
      <c r="H7" t="inlineStr">
        <is>
          <t>1050-02</t>
        </is>
      </c>
      <c r="I7" t="inlineStr">
        <is>
          <t>1120</t>
        </is>
      </c>
      <c r="J7" t="inlineStr">
        <is>
          <t>NTST</t>
        </is>
      </c>
      <c r="K7" t="inlineStr">
        <is>
          <t>506</t>
        </is>
      </c>
      <c r="L7" t="inlineStr">
        <is>
          <t>006</t>
        </is>
      </c>
      <c r="M7" t="inlineStr">
        <is>
          <t>MAR-INT</t>
        </is>
      </c>
      <c r="N7">
        <f>IFERROR(INDEX('_courses_lookup'!$C:$C,MATCH(J7&amp;K7,'_courses_lookup'!$E:$E,0)),"")</f>
        <v/>
      </c>
      <c r="O7">
        <f>IFERROR(INDEX('_courses_lookup'!$D:$D,MATCH(J7&amp;K7,'_courses_lookup'!$E:$E,0)),"")</f>
        <v/>
      </c>
      <c r="P7" t="inlineStr">
        <is>
          <t>087</t>
        </is>
      </c>
      <c r="R7" t="inlineStr">
        <is>
          <t>ZOM</t>
        </is>
      </c>
      <c r="S7" t="inlineStr">
        <is>
          <t>Lecture/Lab</t>
        </is>
      </c>
      <c r="T7" t="inlineStr">
        <is>
          <t>WEB</t>
        </is>
      </c>
      <c r="W7" t="inlineStr">
        <is>
          <t>1-10</t>
        </is>
      </c>
      <c r="X7" t="inlineStr">
        <is>
          <t>1-10</t>
        </is>
      </c>
      <c r="Y7" t="inlineStr">
        <is>
          <t>6</t>
        </is>
      </c>
      <c r="Z7" t="inlineStr">
        <is>
          <t>20</t>
        </is>
      </c>
      <c r="AB7" t="inlineStr">
        <is>
          <t>17-JUN-25</t>
        </is>
      </c>
      <c r="AE7">
        <f>IFERROR(IF(AC7*AD7=0,"",AC7*AD7),"")</f>
        <v/>
      </c>
      <c r="AF7" t="inlineStr">
        <is>
          <t>04-JUL-25</t>
        </is>
      </c>
      <c r="AG7" t="inlineStr">
        <is>
          <t>02-JUL-25</t>
        </is>
      </c>
      <c r="AH7">
        <f>IF(AND(AF7&lt;&gt;"",AG7&lt;&gt;""),ROUNDUP((AG7-AF7)/7,0),"")</f>
        <v/>
      </c>
      <c r="AJ7">
        <f>IFERROR(IF(AH7*AI7=0,"",AH7*AI7),"")</f>
        <v/>
      </c>
      <c r="AL7">
        <f>IFERROR(IF((AO7-(AE7+AJ7))/AK7=0,"",ROUNDUP((AO7-(AE7+AJ7))/AK7,0)),"")</f>
        <v/>
      </c>
      <c r="AM7">
        <f>IFERROR(IF((AO7-(AE7+AJ7))=0,"",(AO7-(AE7+AJ7))),"")</f>
        <v/>
      </c>
      <c r="AN7">
        <f>IF(AND(AC7="",AK7=""),AH7,IF(SUM(AC7,AH7,AK7)=0,"",SUM(AC7,AH7,AK7)))</f>
        <v/>
      </c>
      <c r="AP7" t="inlineStr">
        <is>
          <t>24-JUN-25</t>
        </is>
      </c>
      <c r="AR7" t="inlineStr">
        <is>
          <t>1520</t>
        </is>
      </c>
      <c r="AY7">
        <f>IF(AB7="","",YEAR(AB7)+IF(MONTH(AB7)&gt;=5,1,0))</f>
        <v/>
      </c>
      <c r="AZ7">
        <f>IF(AB7="","",IF(AND(MONTH(AB7)=8,DAY(AB7)&gt;=15),"Fall",IF(MONTH(AB7)&gt;8,"Fall",IF(MONTH(AB7)=5,"Summer",IF(MONTH(AB7)=1,"Spring","")))))</f>
        <v/>
      </c>
      <c r="BA7" t="inlineStr">
        <is>
          <t>N150</t>
        </is>
      </c>
      <c r="BB7" t="inlineStr">
        <is>
          <t>Horn Museum [HORN]</t>
        </is>
      </c>
      <c r="BC7" t="inlineStr">
        <is>
          <t>Burton, Kevin M.</t>
        </is>
      </c>
      <c r="BD7">
        <f>IFERROR(INDEX('_names_lookup'!$C:$C,MATCH(BC7,'_names_lookup'!$A:$A,0)),"")</f>
        <v/>
      </c>
      <c r="BE7">
        <f>IFERROR(INDEX('_names_lookup'!$B:$B,MATCH(BC7,'_names_lookup'!$A:$A,0)),"")</f>
        <v/>
      </c>
      <c r="BL7" t="inlineStr">
        <is>
          <t>OTST: 11-1300-9120-70</t>
        </is>
      </c>
      <c r="BM7" t="inlineStr">
        <is>
          <t>PATH</t>
        </is>
      </c>
      <c r="BQ7" t="inlineStr">
        <is>
          <t>160</t>
        </is>
      </c>
      <c r="BR7" t="inlineStr">
        <is>
          <t>ESM1</t>
        </is>
      </c>
      <c r="BV7" t="inlineStr">
        <is>
          <t>03-JUL-25</t>
        </is>
      </c>
      <c r="BX7" t="inlineStr">
        <is>
          <t>5</t>
        </is>
      </c>
      <c r="BY7" t="inlineStr">
        <is>
          <t>N</t>
        </is>
      </c>
      <c r="BZ7" t="inlineStr">
        <is>
          <t>P-OTST552</t>
        </is>
      </c>
      <c r="CC7" t="inlineStr">
        <is>
          <t>CHAP,HITH,REFM</t>
        </is>
      </c>
      <c r="CE7" t="inlineStr">
        <is>
          <t>13</t>
        </is>
      </c>
      <c r="CJ7" t="inlineStr">
        <is>
          <t>25-MAY-25</t>
        </is>
      </c>
      <c r="CK7" t="inlineStr">
        <is>
          <t>26-MAY-25</t>
        </is>
      </c>
      <c r="CL7" t="inlineStr">
        <is>
          <t>26-MAY-25</t>
        </is>
      </c>
    </row>
    <row r="8">
      <c r="G8" t="inlineStr">
        <is>
          <t>Campus 7 Restr.</t>
        </is>
      </c>
      <c r="H8" t="inlineStr">
        <is>
          <t>1120-01</t>
        </is>
      </c>
      <c r="I8" t="inlineStr">
        <is>
          <t>1123</t>
        </is>
      </c>
      <c r="J8" t="inlineStr">
        <is>
          <t>OTST</t>
        </is>
      </c>
      <c r="K8" t="inlineStr">
        <is>
          <t>507</t>
        </is>
      </c>
      <c r="L8" t="inlineStr">
        <is>
          <t>031</t>
        </is>
      </c>
      <c r="M8" t="inlineStr">
        <is>
          <t>MAYYAM</t>
        </is>
      </c>
      <c r="N8">
        <f>IFERROR(INDEX('_courses_lookup'!$C:$C,MATCH(J8&amp;K8,'_courses_lookup'!$E:$E,0)),"")</f>
        <v/>
      </c>
      <c r="O8">
        <f>IFERROR(INDEX('_courses_lookup'!$D:$D,MATCH(J8&amp;K8,'_courses_lookup'!$E:$E,0)),"")</f>
        <v/>
      </c>
      <c r="P8" t="inlineStr">
        <is>
          <t>088</t>
        </is>
      </c>
      <c r="S8" t="inlineStr">
        <is>
          <t>Music Organization</t>
        </is>
      </c>
      <c r="T8" t="inlineStr">
        <is>
          <t>INPERSON</t>
        </is>
      </c>
      <c r="W8" t="inlineStr">
        <is>
          <t>1-12</t>
        </is>
      </c>
      <c r="X8" t="inlineStr">
        <is>
          <t>1-12</t>
        </is>
      </c>
      <c r="Y8" t="inlineStr">
        <is>
          <t>7</t>
        </is>
      </c>
      <c r="Z8" t="inlineStr">
        <is>
          <t>25</t>
        </is>
      </c>
      <c r="AE8">
        <f>IFERROR(IF(AC8*AD8=0,"",AC8*AD8),"")</f>
        <v/>
      </c>
      <c r="AF8" t="inlineStr">
        <is>
          <t>04-MAY-25</t>
        </is>
      </c>
      <c r="AG8" t="inlineStr">
        <is>
          <t>03-DEC-25</t>
        </is>
      </c>
      <c r="AH8">
        <f>IF(AND(AF8&lt;&gt;"",AG8&lt;&gt;""),ROUNDUP((AG8-AF8)/7,0),"")</f>
        <v/>
      </c>
      <c r="AJ8">
        <f>IFERROR(IF(AH8*AI8=0,"",AH8*AI8),"")</f>
        <v/>
      </c>
      <c r="AL8">
        <f>IFERROR(IF((AO8-(AE8+AJ8))/AK8=0,"",ROUNDUP((AO8-(AE8+AJ8))/AK8,0)),"")</f>
        <v/>
      </c>
      <c r="AM8">
        <f>IFERROR(IF((AO8-(AE8+AJ8))=0,"",(AO8-(AE8+AJ8))),"")</f>
        <v/>
      </c>
      <c r="AN8">
        <f>IF(AND(AC8="",AK8=""),AH8,IF(SUM(AC8,AH8,AK8)=0,"",SUM(AC8,AH8,AK8)))</f>
        <v/>
      </c>
      <c r="AP8" t="inlineStr">
        <is>
          <t>25-JUN-25</t>
        </is>
      </c>
      <c r="AR8" t="inlineStr">
        <is>
          <t>1620</t>
        </is>
      </c>
      <c r="AY8">
        <f>IF(AB8="","",YEAR(AB8)+IF(MONTH(AB8)&gt;=5,1,0))</f>
        <v/>
      </c>
      <c r="AZ8">
        <f>IF(AB8="","",IF(AND(MONTH(AB8)=8,DAY(AB8)&gt;=15),"Fall",IF(MONTH(AB8)&gt;8,"Fall",IF(MONTH(AB8)=5,"Summer",IF(MONTH(AB8)=1,"Spring","")))))</f>
        <v/>
      </c>
      <c r="BA8" t="inlineStr">
        <is>
          <t>N235</t>
        </is>
      </c>
      <c r="BB8" t="inlineStr">
        <is>
          <t>James White Library [JWL]</t>
        </is>
      </c>
      <c r="BC8" t="inlineStr">
        <is>
          <t>Chow, Christie Chui-Shan</t>
        </is>
      </c>
      <c r="BD8">
        <f>IFERROR(INDEX('_names_lookup'!$C:$C,MATCH(BC8,'_names_lookup'!$A:$A,0)),"")</f>
        <v/>
      </c>
      <c r="BE8">
        <f>IFERROR(INDEX('_names_lookup'!$B:$B,MATCH(BC8,'_names_lookup'!$A:$A,0)),"")</f>
        <v/>
      </c>
      <c r="BL8" t="inlineStr">
        <is>
          <t>DSLE: 11-1320-9120-70</t>
        </is>
      </c>
      <c r="BM8" t="inlineStr">
        <is>
          <t>THCP</t>
        </is>
      </c>
      <c r="BQ8" t="inlineStr">
        <is>
          <t>45</t>
        </is>
      </c>
      <c r="BR8" t="inlineStr">
        <is>
          <t>ESM3</t>
        </is>
      </c>
      <c r="BV8" t="inlineStr">
        <is>
          <t>03-JUN-25</t>
        </is>
      </c>
      <c r="BY8" t="inlineStr">
        <is>
          <t>P</t>
        </is>
      </c>
      <c r="BZ8" t="inlineStr">
        <is>
          <t>P-OTST664</t>
        </is>
      </c>
      <c r="CC8" t="inlineStr">
        <is>
          <t>CHAP,PACC,PACO</t>
        </is>
      </c>
      <c r="CE8" t="inlineStr">
        <is>
          <t>14</t>
        </is>
      </c>
      <c r="CJ8" t="inlineStr">
        <is>
          <t>26-JUN-25</t>
        </is>
      </c>
      <c r="CK8" t="inlineStr">
        <is>
          <t>27-JUN-25</t>
        </is>
      </c>
      <c r="CL8" t="inlineStr">
        <is>
          <t>27-JUN-25</t>
        </is>
      </c>
    </row>
    <row r="9">
      <c r="G9" t="inlineStr">
        <is>
          <t>Remove C7 Restr.</t>
        </is>
      </c>
      <c r="H9" t="inlineStr">
        <is>
          <t>1123-01</t>
        </is>
      </c>
      <c r="I9" t="inlineStr">
        <is>
          <t>1124</t>
        </is>
      </c>
      <c r="J9" t="inlineStr">
        <is>
          <t>PATH</t>
        </is>
      </c>
      <c r="K9" t="inlineStr">
        <is>
          <t>508</t>
        </is>
      </c>
      <c r="L9" t="inlineStr">
        <is>
          <t>038</t>
        </is>
      </c>
      <c r="M9" t="inlineStr">
        <is>
          <t>TOUR</t>
        </is>
      </c>
      <c r="N9">
        <f>IFERROR(INDEX('_courses_lookup'!$C:$C,MATCH(J9&amp;K9,'_courses_lookup'!$E:$E,0)),"")</f>
        <v/>
      </c>
      <c r="O9">
        <f>IFERROR(INDEX('_courses_lookup'!$D:$D,MATCH(J9&amp;K9,'_courses_lookup'!$E:$E,0)),"")</f>
        <v/>
      </c>
      <c r="P9" t="inlineStr">
        <is>
          <t>089</t>
        </is>
      </c>
      <c r="S9" t="inlineStr">
        <is>
          <t>Practicum</t>
        </is>
      </c>
      <c r="T9" t="inlineStr">
        <is>
          <t>EGW Cert</t>
        </is>
      </c>
      <c r="W9" t="inlineStr">
        <is>
          <t>1-13</t>
        </is>
      </c>
      <c r="X9" t="inlineStr">
        <is>
          <t>1-13</t>
        </is>
      </c>
      <c r="Y9" t="inlineStr">
        <is>
          <t>8</t>
        </is>
      </c>
      <c r="Z9" t="inlineStr">
        <is>
          <t>30</t>
        </is>
      </c>
      <c r="AE9">
        <f>IFERROR(IF(AC9*AD9=0,"",AC9*AD9),"")</f>
        <v/>
      </c>
      <c r="AF9" t="inlineStr">
        <is>
          <t>05-JUL-25</t>
        </is>
      </c>
      <c r="AG9" t="inlineStr">
        <is>
          <t>03-JUL-25</t>
        </is>
      </c>
      <c r="AH9">
        <f>IF(AND(AF9&lt;&gt;"",AG9&lt;&gt;""),ROUNDUP((AG9-AF9)/7,0),"")</f>
        <v/>
      </c>
      <c r="AJ9">
        <f>IFERROR(IF(AH9*AI9=0,"",AH9*AI9),"")</f>
        <v/>
      </c>
      <c r="AL9">
        <f>IFERROR(IF((AO9-(AE9+AJ9))/AK9=0,"",ROUNDUP((AO9-(AE9+AJ9))/AK9,0)),"")</f>
        <v/>
      </c>
      <c r="AM9">
        <f>IFERROR(IF((AO9-(AE9+AJ9))=0,"",(AO9-(AE9+AJ9))),"")</f>
        <v/>
      </c>
      <c r="AN9">
        <f>IF(AND(AC9="",AK9=""),AH9,IF(SUM(AC9,AH9,AK9)=0,"",SUM(AC9,AH9,AK9)))</f>
        <v/>
      </c>
      <c r="AP9" t="inlineStr">
        <is>
          <t>31-JUL-25</t>
        </is>
      </c>
      <c r="AR9" t="inlineStr">
        <is>
          <t>1700</t>
        </is>
      </c>
      <c r="AY9">
        <f>IF(AB9="","",YEAR(AB9)+IF(MONTH(AB9)&gt;=5,1,0))</f>
        <v/>
      </c>
      <c r="AZ9">
        <f>IF(AB9="","",IF(AND(MONTH(AB9)=8,DAY(AB9)&gt;=15),"Fall",IF(MONTH(AB9)&gt;8,"Fall",IF(MONTH(AB9)=5,"Summer",IF(MONTH(AB9)=1,"Spring","")))))</f>
        <v/>
      </c>
      <c r="BA9" t="inlineStr">
        <is>
          <t>N310</t>
        </is>
      </c>
      <c r="BB9" t="inlineStr">
        <is>
          <t>Johnson Gym [JGYM]</t>
        </is>
      </c>
      <c r="BC9" t="inlineStr">
        <is>
          <t>Damsteegt, P Gerard</t>
        </is>
      </c>
      <c r="BD9">
        <f>IFERROR(INDEX('_names_lookup'!$C:$C,MATCH(BC9,'_names_lookup'!$A:$A,0)),"")</f>
        <v/>
      </c>
      <c r="BE9">
        <f>IFERROR(INDEX('_names_lookup'!$B:$B,MATCH(BC9,'_names_lookup'!$A:$A,0)),"")</f>
        <v/>
      </c>
      <c r="BL9" t="inlineStr">
        <is>
          <t>THST: 11-1350-9120-70</t>
        </is>
      </c>
      <c r="BM9" t="inlineStr">
        <is>
          <t>WMIS</t>
        </is>
      </c>
      <c r="BQ9" t="inlineStr">
        <is>
          <t>929</t>
        </is>
      </c>
      <c r="BR9" t="inlineStr">
        <is>
          <t>ESM4</t>
        </is>
      </c>
      <c r="BV9" t="inlineStr">
        <is>
          <t>03-OCT-25</t>
        </is>
      </c>
      <c r="BY9" t="inlineStr">
        <is>
          <t>W</t>
        </is>
      </c>
      <c r="BZ9" t="inlineStr">
        <is>
          <t>P-OTST940</t>
        </is>
      </c>
      <c r="CC9" t="inlineStr">
        <is>
          <t>CHGE,CHPL,EVAN</t>
        </is>
      </c>
      <c r="CE9" t="inlineStr">
        <is>
          <t>15</t>
        </is>
      </c>
    </row>
    <row r="10">
      <c r="G10" t="inlineStr">
        <is>
          <t>Progr. Restr.</t>
        </is>
      </c>
      <c r="H10" t="inlineStr">
        <is>
          <t>1123-02</t>
        </is>
      </c>
      <c r="I10" t="inlineStr">
        <is>
          <t>1148</t>
        </is>
      </c>
      <c r="J10" t="inlineStr">
        <is>
          <t>THST</t>
        </is>
      </c>
      <c r="K10" t="inlineStr">
        <is>
          <t>509</t>
        </is>
      </c>
      <c r="L10" t="inlineStr">
        <is>
          <t>040</t>
        </is>
      </c>
      <c r="M10" t="inlineStr">
        <is>
          <t>DIS</t>
        </is>
      </c>
      <c r="N10">
        <f>IFERROR(INDEX('_courses_lookup'!$C:$C,MATCH(J10&amp;K10,'_courses_lookup'!$E:$E,0)),"")</f>
        <v/>
      </c>
      <c r="O10">
        <f>IFERROR(INDEX('_courses_lookup'!$D:$D,MATCH(J10&amp;K10,'_courses_lookup'!$E:$E,0)),"")</f>
        <v/>
      </c>
      <c r="P10" t="inlineStr">
        <is>
          <t>093</t>
        </is>
      </c>
      <c r="S10" t="inlineStr">
        <is>
          <t>Seminar</t>
        </is>
      </c>
      <c r="T10" t="inlineStr">
        <is>
          <t>MAPM_HISP</t>
        </is>
      </c>
      <c r="W10" t="inlineStr">
        <is>
          <t>1-3</t>
        </is>
      </c>
      <c r="X10" t="inlineStr">
        <is>
          <t>1-3</t>
        </is>
      </c>
      <c r="Z10" t="inlineStr">
        <is>
          <t>35</t>
        </is>
      </c>
      <c r="AE10">
        <f>IFERROR(IF(AC10*AD10=0,"",AC10*AD10),"")</f>
        <v/>
      </c>
      <c r="AF10" t="inlineStr">
        <is>
          <t>05-JUN-25</t>
        </is>
      </c>
      <c r="AG10" t="inlineStr">
        <is>
          <t>04-JUL-25</t>
        </is>
      </c>
      <c r="AH10">
        <f>IF(AND(AF10&lt;&gt;"",AG10&lt;&gt;""),ROUNDUP((AG10-AF10)/7,0),"")</f>
        <v/>
      </c>
      <c r="AJ10">
        <f>IFERROR(IF(AH10*AI10=0,"",AH10*AI10),"")</f>
        <v/>
      </c>
      <c r="AL10">
        <f>IFERROR(IF((AO10-(AE10+AJ10))/AK10=0,"",ROUNDUP((AO10-(AE10+AJ10))/AK10,0)),"")</f>
        <v/>
      </c>
      <c r="AM10">
        <f>IFERROR(IF((AO10-(AE10+AJ10))=0,"",(AO10-(AE10+AJ10))),"")</f>
        <v/>
      </c>
      <c r="AN10">
        <f>IF(AND(AC10="",AK10=""),AH10,IF(SUM(AC10,AH10,AK10)=0,"",SUM(AC10,AH10,AK10)))</f>
        <v/>
      </c>
      <c r="AR10" t="inlineStr">
        <is>
          <t>1720</t>
        </is>
      </c>
      <c r="AY10">
        <f>IF(AB10="","",YEAR(AB10)+IF(MONTH(AB10)&gt;=5,1,0))</f>
        <v/>
      </c>
      <c r="AZ10">
        <f>IF(AB10="","",IF(AND(MONTH(AB10)=8,DAY(AB10)&gt;=15),"Fall",IF(MONTH(AB10)&gt;8,"Fall",IF(MONTH(AB10)=5,"Summer",IF(MONTH(AB10)=1,"Spring","")))))</f>
        <v/>
      </c>
      <c r="BA10" t="inlineStr">
        <is>
          <t>N335</t>
        </is>
      </c>
      <c r="BB10" t="inlineStr">
        <is>
          <t>Nethery Hall [NH]</t>
        </is>
      </c>
      <c r="BC10" t="inlineStr">
        <is>
          <t>Figueroa, Victor F.</t>
        </is>
      </c>
      <c r="BD10">
        <f>IFERROR(INDEX('_names_lookup'!$C:$C,MATCH(BC10,'_names_lookup'!$A:$A,0)),"")</f>
        <v/>
      </c>
      <c r="BE10">
        <f>IFERROR(INDEX('_names_lookup'!$B:$B,MATCH(BC10,'_names_lookup'!$A:$A,0)),"")</f>
        <v/>
      </c>
      <c r="BL10" t="inlineStr">
        <is>
          <t>DMIN: 11-1170-9120-70-1170*</t>
        </is>
      </c>
      <c r="BR10" t="inlineStr">
        <is>
          <t>ESTD</t>
        </is>
      </c>
      <c r="BV10" t="inlineStr">
        <is>
          <t>04-AUG-25</t>
        </is>
      </c>
      <c r="CC10" t="inlineStr">
        <is>
          <t>CHGE,EVAN</t>
        </is>
      </c>
      <c r="CE10" t="inlineStr">
        <is>
          <t>16</t>
        </is>
      </c>
    </row>
    <row r="11">
      <c r="G11" t="inlineStr">
        <is>
          <t>Credits</t>
        </is>
      </c>
      <c r="H11" t="inlineStr">
        <is>
          <t>1123-03</t>
        </is>
      </c>
      <c r="I11" t="inlineStr">
        <is>
          <t>1149</t>
        </is>
      </c>
      <c r="K11" t="inlineStr">
        <is>
          <t>510</t>
        </is>
      </c>
      <c r="L11" t="inlineStr">
        <is>
          <t>041</t>
        </is>
      </c>
      <c r="M11" t="inlineStr">
        <is>
          <t>DMIN</t>
        </is>
      </c>
      <c r="N11">
        <f>IFERROR(INDEX('_courses_lookup'!$C:$C,MATCH(J11&amp;K11,'_courses_lookup'!$E:$E,0)),"")</f>
        <v/>
      </c>
      <c r="O11">
        <f>IFERROR(INDEX('_courses_lookup'!$D:$D,MATCH(J11&amp;K11,'_courses_lookup'!$E:$E,0)),"")</f>
        <v/>
      </c>
      <c r="P11" t="inlineStr">
        <is>
          <t>104</t>
        </is>
      </c>
      <c r="S11" t="inlineStr">
        <is>
          <t>Workshop</t>
        </is>
      </c>
      <c r="T11" t="inlineStr">
        <is>
          <t>MAPM_ENGL</t>
        </is>
      </c>
      <c r="W11" t="inlineStr">
        <is>
          <t>1-4</t>
        </is>
      </c>
      <c r="X11" t="inlineStr">
        <is>
          <t>1-4</t>
        </is>
      </c>
      <c r="Z11" t="inlineStr">
        <is>
          <t>36</t>
        </is>
      </c>
      <c r="AE11">
        <f>IFERROR(IF(AC11*AD11=0,"",AC11*AD11),"")</f>
        <v/>
      </c>
      <c r="AF11" t="inlineStr">
        <is>
          <t>06-JUN-25</t>
        </is>
      </c>
      <c r="AG11" t="inlineStr">
        <is>
          <t>04-JUN-25</t>
        </is>
      </c>
      <c r="AH11">
        <f>IF(AND(AF11&lt;&gt;"",AG11&lt;&gt;""),ROUNDUP((AG11-AF11)/7,0),"")</f>
        <v/>
      </c>
      <c r="AJ11">
        <f>IFERROR(IF(AH11*AI11=0,"",AH11*AI11),"")</f>
        <v/>
      </c>
      <c r="AL11">
        <f>IFERROR(IF((AO11-(AE11+AJ11))/AK11=0,"",ROUNDUP((AO11-(AE11+AJ11))/AK11,0)),"")</f>
        <v/>
      </c>
      <c r="AM11">
        <f>IFERROR(IF((AO11-(AE11+AJ11))=0,"",(AO11-(AE11+AJ11))),"")</f>
        <v/>
      </c>
      <c r="AN11">
        <f>IF(AND(AC11="",AK11=""),AH11,IF(SUM(AC11,AH11,AK11)=0,"",SUM(AC11,AH11,AK11)))</f>
        <v/>
      </c>
      <c r="AR11" t="inlineStr">
        <is>
          <t>1730</t>
        </is>
      </c>
      <c r="AY11">
        <f>IF(AB11="","",YEAR(AB11)+IF(MONTH(AB11)&gt;=5,1,0))</f>
        <v/>
      </c>
      <c r="AZ11">
        <f>IF(AB11="","",IF(AND(MONTH(AB11)=8,DAY(AB11)&gt;=15),"Fall",IF(MONTH(AB11)&gt;8,"Fall",IF(MONTH(AB11)=5,"Summer",IF(MONTH(AB11)=1,"Spring","")))))</f>
        <v/>
      </c>
      <c r="BA11" t="inlineStr">
        <is>
          <t>S120</t>
        </is>
      </c>
      <c r="BB11" t="inlineStr">
        <is>
          <t>Pioneer Memorial Church [PMC]</t>
        </is>
      </c>
      <c r="BC11" t="inlineStr">
        <is>
          <t>Gameti, Yvonne Y.</t>
        </is>
      </c>
      <c r="BD11">
        <f>IFERROR(INDEX('_names_lookup'!$C:$C,MATCH(BC11,'_names_lookup'!$A:$A,0)),"")</f>
        <v/>
      </c>
      <c r="BE11">
        <f>IFERROR(INDEX('_names_lookup'!$B:$B,MATCH(BC11,'_names_lookup'!$A:$A,0)),"")</f>
        <v/>
      </c>
      <c r="BL11" t="inlineStr">
        <is>
          <t>TOUR</t>
        </is>
      </c>
      <c r="BR11" t="inlineStr">
        <is>
          <t>ESTM</t>
        </is>
      </c>
      <c r="BV11" t="inlineStr">
        <is>
          <t>04-JUN-25</t>
        </is>
      </c>
      <c r="CC11" t="inlineStr">
        <is>
          <t>CHGE,HLEV,HLMN,PACC</t>
        </is>
      </c>
      <c r="CE11" t="inlineStr">
        <is>
          <t>17</t>
        </is>
      </c>
    </row>
    <row r="12">
      <c r="G12" t="inlineStr">
        <is>
          <t>Cap</t>
        </is>
      </c>
      <c r="H12" t="inlineStr">
        <is>
          <t>1124-01</t>
        </is>
      </c>
      <c r="I12" t="inlineStr">
        <is>
          <t>1150</t>
        </is>
      </c>
      <c r="K12" t="inlineStr">
        <is>
          <t>511</t>
        </is>
      </c>
      <c r="L12" t="inlineStr">
        <is>
          <t>042</t>
        </is>
      </c>
      <c r="M12" t="inlineStr">
        <is>
          <t>PHD/THD</t>
        </is>
      </c>
      <c r="N12">
        <f>IFERROR(INDEX('_courses_lookup'!$C:$C,MATCH(J12&amp;K12,'_courses_lookup'!$E:$E,0)),"")</f>
        <v/>
      </c>
      <c r="O12">
        <f>IFERROR(INDEX('_courses_lookup'!$D:$D,MATCH(J12&amp;K12,'_courses_lookup'!$E:$E,0)),"")</f>
        <v/>
      </c>
      <c r="P12" t="inlineStr">
        <is>
          <t>126</t>
        </is>
      </c>
      <c r="S12" t="inlineStr">
        <is>
          <t>·­</t>
        </is>
      </c>
      <c r="T12" t="inlineStr">
        <is>
          <t>MAR_INT</t>
        </is>
      </c>
      <c r="W12" t="inlineStr">
        <is>
          <t>1-5</t>
        </is>
      </c>
      <c r="X12" t="inlineStr">
        <is>
          <t>1-5</t>
        </is>
      </c>
      <c r="Z12" t="inlineStr">
        <is>
          <t>40</t>
        </is>
      </c>
      <c r="AE12">
        <f>IFERROR(IF(AC12*AD12=0,"",AC12*AD12),"")</f>
        <v/>
      </c>
      <c r="AF12" t="inlineStr">
        <is>
          <t>07-JUL-25</t>
        </is>
      </c>
      <c r="AG12" t="inlineStr">
        <is>
          <t>05-JUN-25</t>
        </is>
      </c>
      <c r="AH12">
        <f>IF(AND(AF12&lt;&gt;"",AG12&lt;&gt;""),ROUNDUP((AG12-AF12)/7,0),"")</f>
        <v/>
      </c>
      <c r="AJ12">
        <f>IFERROR(IF(AH12*AI12=0,"",AH12*AI12),"")</f>
        <v/>
      </c>
      <c r="AL12">
        <f>IFERROR(IF((AO12-(AE12+AJ12))/AK12=0,"",ROUNDUP((AO12-(AE12+AJ12))/AK12,0)),"")</f>
        <v/>
      </c>
      <c r="AM12">
        <f>IFERROR(IF((AO12-(AE12+AJ12))=0,"",(AO12-(AE12+AJ12))),"")</f>
        <v/>
      </c>
      <c r="AN12">
        <f>IF(AND(AC12="",AK12=""),AH12,IF(SUM(AC12,AH12,AK12)=0,"",SUM(AC12,AH12,AK12)))</f>
        <v/>
      </c>
      <c r="AY12">
        <f>IF(AB12="","",YEAR(AB12)+IF(MONTH(AB12)&gt;=5,1,0))</f>
        <v/>
      </c>
      <c r="AZ12">
        <f>IF(AB12="","",IF(AND(MONTH(AB12)=8,DAY(AB12)&gt;=15),"Fall",IF(MONTH(AB12)&gt;8,"Fall",IF(MONTH(AB12)=5,"Summer",IF(MONTH(AB12)=1,"Spring","")))))</f>
        <v/>
      </c>
      <c r="BA12" t="inlineStr">
        <is>
          <t>S215</t>
        </is>
      </c>
      <c r="BB12" t="inlineStr">
        <is>
          <t>Seminary Building / Lake Union [SEM]</t>
        </is>
      </c>
      <c r="BC12" t="inlineStr">
        <is>
          <t>Garcia Zarate, Heber E.</t>
        </is>
      </c>
      <c r="BD12">
        <f>IFERROR(INDEX('_names_lookup'!$C:$C,MATCH(BC12,'_names_lookup'!$A:$A,0)),"")</f>
        <v/>
      </c>
      <c r="BE12">
        <f>IFERROR(INDEX('_names_lookup'!$B:$B,MATCH(BC12,'_names_lookup'!$A:$A,0)),"")</f>
        <v/>
      </c>
      <c r="BV12" t="inlineStr">
        <is>
          <t>04-MAY-25</t>
        </is>
      </c>
      <c r="CC12" t="inlineStr">
        <is>
          <t>CHLP</t>
        </is>
      </c>
      <c r="CE12" t="inlineStr">
        <is>
          <t>18</t>
        </is>
      </c>
    </row>
    <row r="13">
      <c r="G13" t="inlineStr">
        <is>
          <t>Day</t>
        </is>
      </c>
      <c r="H13" t="inlineStr">
        <is>
          <t>1124-02</t>
        </is>
      </c>
      <c r="I13" t="inlineStr">
        <is>
          <t>1151</t>
        </is>
      </c>
      <c r="K13" t="inlineStr">
        <is>
          <t>514</t>
        </is>
      </c>
      <c r="L13" t="inlineStr">
        <is>
          <t>043</t>
        </is>
      </c>
      <c r="M13" t="inlineStr">
        <is>
          <t>PHD-RelEd</t>
        </is>
      </c>
      <c r="N13">
        <f>IFERROR(INDEX('_courses_lookup'!$C:$C,MATCH(J13&amp;K13,'_courses_lookup'!$E:$E,0)),"")</f>
        <v/>
      </c>
      <c r="O13">
        <f>IFERROR(INDEX('_courses_lookup'!$D:$D,MATCH(J13&amp;K13,'_courses_lookup'!$E:$E,0)),"")</f>
        <v/>
      </c>
      <c r="P13" t="inlineStr">
        <is>
          <t>128</t>
        </is>
      </c>
      <c r="T13" t="inlineStr">
        <is>
          <t>MAR_NAD</t>
        </is>
      </c>
      <c r="W13" t="inlineStr">
        <is>
          <t>1-6</t>
        </is>
      </c>
      <c r="X13" t="inlineStr">
        <is>
          <t>1-6</t>
        </is>
      </c>
      <c r="Z13" t="inlineStr">
        <is>
          <t>45</t>
        </is>
      </c>
      <c r="AE13">
        <f>IFERROR(IF(AC13*AD13=0,"",AC13*AD13),"")</f>
        <v/>
      </c>
      <c r="AF13" t="inlineStr">
        <is>
          <t>07-JUN-25</t>
        </is>
      </c>
      <c r="AG13" t="inlineStr">
        <is>
          <t>06-JUN-25</t>
        </is>
      </c>
      <c r="AH13">
        <f>IF(AND(AF13&lt;&gt;"",AG13&lt;&gt;""),ROUNDUP((AG13-AF13)/7,0),"")</f>
        <v/>
      </c>
      <c r="AJ13">
        <f>IFERROR(IF(AH13*AI13=0,"",AH13*AI13),"")</f>
        <v/>
      </c>
      <c r="AL13">
        <f>IFERROR(IF((AO13-(AE13+AJ13))/AK13=0,"",ROUNDUP((AO13-(AE13+AJ13))/AK13,0)),"")</f>
        <v/>
      </c>
      <c r="AM13">
        <f>IFERROR(IF((AO13-(AE13+AJ13))=0,"",(AO13-(AE13+AJ13))),"")</f>
        <v/>
      </c>
      <c r="AN13">
        <f>IF(AND(AC13="",AK13=""),AH13,IF(SUM(AC13,AH13,AK13)=0,"",SUM(AC13,AH13,AK13)))</f>
        <v/>
      </c>
      <c r="AY13">
        <f>IF(AB13="","",YEAR(AB13)+IF(MONTH(AB13)&gt;=5,1,0))</f>
        <v/>
      </c>
      <c r="AZ13">
        <f>IF(AB13="","",IF(AND(MONTH(AB13)=8,DAY(AB13)&gt;=15),"Fall",IF(MONTH(AB13)&gt;8,"Fall",IF(MONTH(AB13)=5,"Summer",IF(MONTH(AB13)=1,"Spring","")))))</f>
        <v/>
      </c>
      <c r="BA13" t="inlineStr">
        <is>
          <t>S340</t>
        </is>
      </c>
      <c r="BB13" t="inlineStr">
        <is>
          <t>Wellness Center [ACW]</t>
        </is>
      </c>
      <c r="BC13" t="inlineStr">
        <is>
          <t>Kaiser, Angelika</t>
        </is>
      </c>
      <c r="BD13">
        <f>IFERROR(INDEX('_names_lookup'!$C:$C,MATCH(BC13,'_names_lookup'!$A:$A,0)),"")</f>
        <v/>
      </c>
      <c r="BE13">
        <f>IFERROR(INDEX('_names_lookup'!$B:$B,MATCH(BC13,'_names_lookup'!$A:$A,0)),"")</f>
        <v/>
      </c>
      <c r="BV13" t="inlineStr">
        <is>
          <t>05-MAY-25</t>
        </is>
      </c>
      <c r="CC13" t="inlineStr">
        <is>
          <t>EVAN</t>
        </is>
      </c>
      <c r="CE13" t="inlineStr">
        <is>
          <t>19</t>
        </is>
      </c>
    </row>
    <row r="14">
      <c r="G14" t="inlineStr">
        <is>
          <t>Time</t>
        </is>
      </c>
      <c r="H14" t="inlineStr">
        <is>
          <t>1124-03</t>
        </is>
      </c>
      <c r="I14" t="inlineStr">
        <is>
          <t>1154</t>
        </is>
      </c>
      <c r="K14" t="inlineStr">
        <is>
          <t>515</t>
        </is>
      </c>
      <c r="L14" t="inlineStr">
        <is>
          <t>044</t>
        </is>
      </c>
      <c r="M14" t="inlineStr">
        <is>
          <t>POSTDOC</t>
        </is>
      </c>
      <c r="N14">
        <f>IFERROR(INDEX('_courses_lookup'!$C:$C,MATCH(J14&amp;K14,'_courses_lookup'!$E:$E,0)),"")</f>
        <v/>
      </c>
      <c r="O14">
        <f>IFERROR(INDEX('_courses_lookup'!$D:$D,MATCH(J14&amp;K14,'_courses_lookup'!$E:$E,0)),"")</f>
        <v/>
      </c>
      <c r="P14" t="inlineStr">
        <is>
          <t>129</t>
        </is>
      </c>
      <c r="W14" t="inlineStr">
        <is>
          <t>1-8</t>
        </is>
      </c>
      <c r="X14" t="inlineStr">
        <is>
          <t>1-8</t>
        </is>
      </c>
      <c r="Z14" t="inlineStr">
        <is>
          <t>5</t>
        </is>
      </c>
      <c r="AE14">
        <f>IFERROR(IF(AC14*AD14=0,"",AC14*AD14),"")</f>
        <v/>
      </c>
      <c r="AF14" t="inlineStr">
        <is>
          <t>08-JUN-25</t>
        </is>
      </c>
      <c r="AG14" t="inlineStr">
        <is>
          <t>07-JUN-25</t>
        </is>
      </c>
      <c r="AH14">
        <f>IF(AND(AF14&lt;&gt;"",AG14&lt;&gt;""),ROUNDUP((AG14-AF14)/7,0),"")</f>
        <v/>
      </c>
      <c r="AJ14">
        <f>IFERROR(IF(AH14*AI14=0,"",AH14*AI14),"")</f>
        <v/>
      </c>
      <c r="AL14">
        <f>IFERROR(IF((AO14-(AE14+AJ14))/AK14=0,"",ROUNDUP((AO14-(AE14+AJ14))/AK14,0)),"")</f>
        <v/>
      </c>
      <c r="AM14">
        <f>IFERROR(IF((AO14-(AE14+AJ14))=0,"",(AO14-(AE14+AJ14))),"")</f>
        <v/>
      </c>
      <c r="AN14">
        <f>IF(AND(AC14="",AK14=""),AH14,IF(SUM(AC14,AH14,AK14)=0,"",SUM(AC14,AH14,AK14)))</f>
        <v/>
      </c>
      <c r="AY14">
        <f>IF(AB14="","",YEAR(AB14)+IF(MONTH(AB14)&gt;=5,1,0))</f>
        <v/>
      </c>
      <c r="AZ14">
        <f>IF(AB14="","",IF(AND(MONTH(AB14)=8,DAY(AB14)&gt;=15),"Fall",IF(MONTH(AB14)&gt;8,"Fall",IF(MONTH(AB14)=5,"Summer",IF(MONTH(AB14)=1,"Spring","")))))</f>
        <v/>
      </c>
      <c r="BB14" t="inlineStr">
        <is>
          <t>Advent Health University [OCFLAH]</t>
        </is>
      </c>
      <c r="BC14" t="inlineStr">
        <is>
          <t>Kaiser, Denis</t>
        </is>
      </c>
      <c r="BD14">
        <f>IFERROR(INDEX('_names_lookup'!$C:$C,MATCH(BC14,'_names_lookup'!$A:$A,0)),"")</f>
        <v/>
      </c>
      <c r="BE14">
        <f>IFERROR(INDEX('_names_lookup'!$B:$B,MATCH(BC14,'_names_lookup'!$A:$A,0)),"")</f>
        <v/>
      </c>
      <c r="BV14" t="inlineStr">
        <is>
          <t>06-AUG-25</t>
        </is>
      </c>
      <c r="CC14" t="inlineStr">
        <is>
          <t>EXEG</t>
        </is>
      </c>
      <c r="CE14" t="inlineStr">
        <is>
          <t>2</t>
        </is>
      </c>
    </row>
    <row r="15">
      <c r="G15" t="inlineStr">
        <is>
          <t>Room</t>
        </is>
      </c>
      <c r="H15" t="inlineStr">
        <is>
          <t>1148-01</t>
        </is>
      </c>
      <c r="I15" t="inlineStr">
        <is>
          <t>1155</t>
        </is>
      </c>
      <c r="K15" t="inlineStr">
        <is>
          <t>516</t>
        </is>
      </c>
      <c r="L15" t="inlineStr">
        <is>
          <t>045</t>
        </is>
      </c>
      <c r="M15" t="inlineStr">
        <is>
          <t>EGW-Cert</t>
        </is>
      </c>
      <c r="N15">
        <f>IFERROR(INDEX('_courses_lookup'!$C:$C,MATCH(J15&amp;K15,'_courses_lookup'!$E:$E,0)),"")</f>
        <v/>
      </c>
      <c r="O15">
        <f>IFERROR(INDEX('_courses_lookup'!$D:$D,MATCH(J15&amp;K15,'_courses_lookup'!$E:$E,0)),"")</f>
        <v/>
      </c>
      <c r="P15" t="inlineStr">
        <is>
          <t>132</t>
        </is>
      </c>
      <c r="W15" t="inlineStr">
        <is>
          <t>1-9</t>
        </is>
      </c>
      <c r="X15" t="inlineStr">
        <is>
          <t>1-9</t>
        </is>
      </c>
      <c r="Z15" t="inlineStr">
        <is>
          <t>999</t>
        </is>
      </c>
      <c r="AE15">
        <f>IFERROR(IF(AC15*AD15=0,"",AC15*AD15),"")</f>
        <v/>
      </c>
      <c r="AF15" t="inlineStr">
        <is>
          <t>09-JUN-25</t>
        </is>
      </c>
      <c r="AG15" t="inlineStr">
        <is>
          <t>07-NOV-25</t>
        </is>
      </c>
      <c r="AH15">
        <f>IF(AND(AF15&lt;&gt;"",AG15&lt;&gt;""),ROUNDUP((AG15-AF15)/7,0),"")</f>
        <v/>
      </c>
      <c r="AJ15">
        <f>IFERROR(IF(AH15*AI15=0,"",AH15*AI15),"")</f>
        <v/>
      </c>
      <c r="AL15">
        <f>IFERROR(IF((AO15-(AE15+AJ15))/AK15=0,"",ROUNDUP((AO15-(AE15+AJ15))/AK15,0)),"")</f>
        <v/>
      </c>
      <c r="AM15">
        <f>IFERROR(IF((AO15-(AE15+AJ15))=0,"",(AO15-(AE15+AJ15))),"")</f>
        <v/>
      </c>
      <c r="AN15">
        <f>IF(AND(AC15="",AK15=""),AH15,IF(SUM(AC15,AH15,AK15)=0,"",SUM(AC15,AH15,AK15)))</f>
        <v/>
      </c>
      <c r="AY15">
        <f>IF(AB15="","",YEAR(AB15)+IF(MONTH(AB15)&gt;=5,1,0))</f>
        <v/>
      </c>
      <c r="AZ15">
        <f>IF(AB15="","",IF(AND(MONTH(AB15)=8,DAY(AB15)&gt;=15),"Fall",IF(MONTH(AB15)&gt;8,"Fall",IF(MONTH(AB15)=5,"Summer",IF(MONTH(AB15)=1,"Spring","")))))</f>
        <v/>
      </c>
      <c r="BB15" t="inlineStr">
        <is>
          <t>Thailand (Asia-Pacific Int Univ AIU) [OCTHA]</t>
        </is>
      </c>
      <c r="BC15" t="inlineStr">
        <is>
          <t>Louw, Eric A.</t>
        </is>
      </c>
      <c r="BD15">
        <f>IFERROR(INDEX('_names_lookup'!$C:$C,MATCH(BC15,'_names_lookup'!$A:$A,0)),"")</f>
        <v/>
      </c>
      <c r="BE15">
        <f>IFERROR(INDEX('_names_lookup'!$B:$B,MATCH(BC15,'_names_lookup'!$A:$A,0)),"")</f>
        <v/>
      </c>
      <c r="BV15" t="inlineStr">
        <is>
          <t>06-JUL-25</t>
        </is>
      </c>
      <c r="CC15" t="inlineStr">
        <is>
          <t>FT</t>
        </is>
      </c>
      <c r="CE15" t="inlineStr">
        <is>
          <t>20</t>
        </is>
      </c>
    </row>
    <row r="16">
      <c r="G16" t="inlineStr">
        <is>
          <t>Location</t>
        </is>
      </c>
      <c r="H16" t="inlineStr">
        <is>
          <t>1149-01</t>
        </is>
      </c>
      <c r="I16" t="inlineStr">
        <is>
          <t>1159</t>
        </is>
      </c>
      <c r="K16" t="inlineStr">
        <is>
          <t>517</t>
        </is>
      </c>
      <c r="L16" t="inlineStr">
        <is>
          <t>055</t>
        </is>
      </c>
      <c r="N16">
        <f>IFERROR(INDEX('_courses_lookup'!$C:$C,MATCH(J16&amp;K16,'_courses_lookup'!$E:$E,0)),"")</f>
        <v/>
      </c>
      <c r="O16">
        <f>IFERROR(INDEX('_courses_lookup'!$D:$D,MATCH(J16&amp;K16,'_courses_lookup'!$E:$E,0)),"")</f>
        <v/>
      </c>
      <c r="P16" t="inlineStr">
        <is>
          <t>133</t>
        </is>
      </c>
      <c r="W16" t="inlineStr">
        <is>
          <t>1.5,2</t>
        </is>
      </c>
      <c r="X16" t="inlineStr">
        <is>
          <t>1.5,2</t>
        </is>
      </c>
      <c r="AE16">
        <f>IFERROR(IF(AC16*AD16=0,"",AC16*AD16),"")</f>
        <v/>
      </c>
      <c r="AF16" t="inlineStr">
        <is>
          <t>10-AUG-25</t>
        </is>
      </c>
      <c r="AG16" t="inlineStr">
        <is>
          <t>08-JUN-25</t>
        </is>
      </c>
      <c r="AH16">
        <f>IF(AND(AF16&lt;&gt;"",AG16&lt;&gt;""),ROUNDUP((AG16-AF16)/7,0),"")</f>
        <v/>
      </c>
      <c r="AJ16">
        <f>IFERROR(IF(AH16*AI16=0,"",AH16*AI16),"")</f>
        <v/>
      </c>
      <c r="AL16">
        <f>IFERROR(IF((AO16-(AE16+AJ16))/AK16=0,"",ROUNDUP((AO16-(AE16+AJ16))/AK16,0)),"")</f>
        <v/>
      </c>
      <c r="AM16">
        <f>IFERROR(IF((AO16-(AE16+AJ16))=0,"",(AO16-(AE16+AJ16))),"")</f>
        <v/>
      </c>
      <c r="AN16">
        <f>IF(AND(AC16="",AK16=""),AH16,IF(SUM(AC16,AH16,AK16)=0,"",SUM(AC16,AH16,AK16)))</f>
        <v/>
      </c>
      <c r="AY16">
        <f>IF(AB16="","",YEAR(AB16)+IF(MONTH(AB16)&gt;=5,1,0))</f>
        <v/>
      </c>
      <c r="AZ16">
        <f>IF(AB16="","",IF(AND(MONTH(AB16)=8,DAY(AB16)&gt;=15),"Fall",IF(MONTH(AB16)&gt;8,"Fall",IF(MONTH(AB16)=5,"Summer",IF(MONTH(AB16)=1,"Spring","")))))</f>
        <v/>
      </c>
      <c r="BB16" t="inlineStr">
        <is>
          <t>Canadian Union (Burman University) [OCCABU]</t>
        </is>
      </c>
      <c r="BC16" t="inlineStr">
        <is>
          <t>Park, Jungkyu</t>
        </is>
      </c>
      <c r="BD16">
        <f>IFERROR(INDEX('_names_lookup'!$C:$C,MATCH(BC16,'_names_lookup'!$A:$A,0)),"")</f>
        <v/>
      </c>
      <c r="BE16">
        <f>IFERROR(INDEX('_names_lookup'!$B:$B,MATCH(BC16,'_names_lookup'!$A:$A,0)),"")</f>
        <v/>
      </c>
      <c r="BV16" t="inlineStr">
        <is>
          <t>06-JUN-25</t>
        </is>
      </c>
      <c r="CC16" t="inlineStr">
        <is>
          <t>HITH</t>
        </is>
      </c>
      <c r="CE16" t="inlineStr">
        <is>
          <t>22</t>
        </is>
      </c>
    </row>
    <row r="17">
      <c r="G17" t="inlineStr">
        <is>
          <t>Instructor</t>
        </is>
      </c>
      <c r="H17" t="inlineStr">
        <is>
          <t>1150-01</t>
        </is>
      </c>
      <c r="I17" t="inlineStr">
        <is>
          <t>1160</t>
        </is>
      </c>
      <c r="K17" t="inlineStr">
        <is>
          <t>520</t>
        </is>
      </c>
      <c r="L17" t="inlineStr">
        <is>
          <t>065</t>
        </is>
      </c>
      <c r="N17">
        <f>IFERROR(INDEX('_courses_lookup'!$C:$C,MATCH(J17&amp;K17,'_courses_lookup'!$E:$E,0)),"")</f>
        <v/>
      </c>
      <c r="O17">
        <f>IFERROR(INDEX('_courses_lookup'!$D:$D,MATCH(J17&amp;K17,'_courses_lookup'!$E:$E,0)),"")</f>
        <v/>
      </c>
      <c r="P17" t="inlineStr">
        <is>
          <t>136</t>
        </is>
      </c>
      <c r="W17" t="inlineStr">
        <is>
          <t>2</t>
        </is>
      </c>
      <c r="X17" t="inlineStr">
        <is>
          <t>2</t>
        </is>
      </c>
      <c r="AE17">
        <f>IFERROR(IF(AC17*AD17=0,"",AC17*AD17),"")</f>
        <v/>
      </c>
      <c r="AF17" t="inlineStr">
        <is>
          <t>10-JUN-25</t>
        </is>
      </c>
      <c r="AG17" t="inlineStr">
        <is>
          <t>09-AUG-25</t>
        </is>
      </c>
      <c r="AH17">
        <f>IF(AND(AF17&lt;&gt;"",AG17&lt;&gt;""),ROUNDUP((AG17-AF17)/7,0),"")</f>
        <v/>
      </c>
      <c r="AJ17">
        <f>IFERROR(IF(AH17*AI17=0,"",AH17*AI17),"")</f>
        <v/>
      </c>
      <c r="AL17">
        <f>IFERROR(IF((AO17-(AE17+AJ17))/AK17=0,"",ROUNDUP((AO17-(AE17+AJ17))/AK17,0)),"")</f>
        <v/>
      </c>
      <c r="AM17">
        <f>IFERROR(IF((AO17-(AE17+AJ17))=0,"",(AO17-(AE17+AJ17))),"")</f>
        <v/>
      </c>
      <c r="AN17">
        <f>IF(AND(AC17="",AK17=""),AH17,IF(SUM(AC17,AH17,AK17)=0,"",SUM(AC17,AH17,AK17)))</f>
        <v/>
      </c>
      <c r="AY17">
        <f>IF(AB17="","",YEAR(AB17)+IF(MONTH(AB17)&gt;=5,1,0))</f>
        <v/>
      </c>
      <c r="AZ17">
        <f>IF(AB17="","",IF(AND(MONTH(AB17)=8,DAY(AB17)&gt;=15),"Fall",IF(MONTH(AB17)&gt;8,"Fall",IF(MONTH(AB17)=5,"Summer",IF(MONTH(AB17)=1,"Spring","")))))</f>
        <v/>
      </c>
      <c r="BB17" t="inlineStr">
        <is>
          <t>Centro Univ Adv de Sao Paulo [OCBRA1]</t>
        </is>
      </c>
      <c r="BC17" t="inlineStr">
        <is>
          <t>Rodrigues, Gerson C.</t>
        </is>
      </c>
      <c r="BD17">
        <f>IFERROR(INDEX('_names_lookup'!$C:$C,MATCH(BC17,'_names_lookup'!$A:$A,0)),"")</f>
        <v/>
      </c>
      <c r="BE17">
        <f>IFERROR(INDEX('_names_lookup'!$B:$B,MATCH(BC17,'_names_lookup'!$A:$A,0)),"")</f>
        <v/>
      </c>
      <c r="BV17" t="inlineStr">
        <is>
          <t>06-MAY-25</t>
        </is>
      </c>
      <c r="CC17" t="inlineStr">
        <is>
          <t>HT</t>
        </is>
      </c>
      <c r="CE17" t="inlineStr">
        <is>
          <t>23</t>
        </is>
      </c>
    </row>
    <row r="18">
      <c r="G18" t="inlineStr">
        <is>
          <t>Add Fee</t>
        </is>
      </c>
      <c r="H18" t="inlineStr">
        <is>
          <t>1151-01</t>
        </is>
      </c>
      <c r="I18" t="inlineStr">
        <is>
          <t>1161</t>
        </is>
      </c>
      <c r="K18" t="inlineStr">
        <is>
          <t>521</t>
        </is>
      </c>
      <c r="L18" t="inlineStr">
        <is>
          <t>069</t>
        </is>
      </c>
      <c r="N18">
        <f>IFERROR(INDEX('_courses_lookup'!$C:$C,MATCH(J18&amp;K18,'_courses_lookup'!$E:$E,0)),"")</f>
        <v/>
      </c>
      <c r="O18">
        <f>IFERROR(INDEX('_courses_lookup'!$D:$D,MATCH(J18&amp;K18,'_courses_lookup'!$E:$E,0)),"")</f>
        <v/>
      </c>
      <c r="P18" t="inlineStr">
        <is>
          <t>137</t>
        </is>
      </c>
      <c r="W18" t="inlineStr">
        <is>
          <t>2,3</t>
        </is>
      </c>
      <c r="X18" t="inlineStr">
        <is>
          <t>2,3</t>
        </is>
      </c>
      <c r="AE18">
        <f>IFERROR(IF(AC18*AD18=0,"",AC18*AD18),"")</f>
        <v/>
      </c>
      <c r="AF18" t="inlineStr">
        <is>
          <t>12-MAY-25</t>
        </is>
      </c>
      <c r="AG18" t="inlineStr">
        <is>
          <t>09-JUN-25</t>
        </is>
      </c>
      <c r="AH18">
        <f>IF(AND(AF18&lt;&gt;"",AG18&lt;&gt;""),ROUNDUP((AG18-AF18)/7,0),"")</f>
        <v/>
      </c>
      <c r="AJ18">
        <f>IFERROR(IF(AH18*AI18=0,"",AH18*AI18),"")</f>
        <v/>
      </c>
      <c r="AL18">
        <f>IFERROR(IF((AO18-(AE18+AJ18))/AK18=0,"",ROUNDUP((AO18-(AE18+AJ18))/AK18,0)),"")</f>
        <v/>
      </c>
      <c r="AM18">
        <f>IFERROR(IF((AO18-(AE18+AJ18))=0,"",(AO18-(AE18+AJ18))),"")</f>
        <v/>
      </c>
      <c r="AN18">
        <f>IF(AND(AC18="",AK18=""),AH18,IF(SUM(AC18,AH18,AK18)=0,"",SUM(AC18,AH18,AK18)))</f>
        <v/>
      </c>
      <c r="AY18">
        <f>IF(AB18="","",YEAR(AB18)+IF(MONTH(AB18)&gt;=5,1,0))</f>
        <v/>
      </c>
      <c r="AZ18">
        <f>IF(AB18="","",IF(AND(MONTH(AB18)=8,DAY(AB18)&gt;=15),"Fall",IF(MONTH(AB18)&gt;8,"Fall",IF(MONTH(AB18)=5,"Summer",IF(MONTH(AB18)=1,"Spring","")))))</f>
        <v/>
      </c>
      <c r="BB18" t="inlineStr">
        <is>
          <t>Florida Conference of SDA [OCFLFC]</t>
        </is>
      </c>
      <c r="BC18" t="inlineStr">
        <is>
          <t>Rosario, Antonio M.</t>
        </is>
      </c>
      <c r="BD18">
        <f>IFERROR(INDEX('_names_lookup'!$C:$C,MATCH(BC18,'_names_lookup'!$A:$A,0)),"")</f>
        <v/>
      </c>
      <c r="BE18">
        <f>IFERROR(INDEX('_names_lookup'!$B:$B,MATCH(BC18,'_names_lookup'!$A:$A,0)),"")</f>
        <v/>
      </c>
      <c r="BV18" t="inlineStr">
        <is>
          <t>07-AUG-25</t>
        </is>
      </c>
      <c r="CC18" t="inlineStr">
        <is>
          <t>LLIT</t>
        </is>
      </c>
      <c r="CE18" t="inlineStr">
        <is>
          <t>24</t>
        </is>
      </c>
    </row>
    <row r="19">
      <c r="G19" t="inlineStr">
        <is>
          <t>Remove Fee</t>
        </is>
      </c>
      <c r="H19" t="inlineStr">
        <is>
          <t>1151-02</t>
        </is>
      </c>
      <c r="I19" t="inlineStr">
        <is>
          <t>1162</t>
        </is>
      </c>
      <c r="K19" t="inlineStr">
        <is>
          <t>522</t>
        </is>
      </c>
      <c r="L19" t="inlineStr">
        <is>
          <t>079</t>
        </is>
      </c>
      <c r="N19">
        <f>IFERROR(INDEX('_courses_lookup'!$C:$C,MATCH(J19&amp;K19,'_courses_lookup'!$E:$E,0)),"")</f>
        <v/>
      </c>
      <c r="O19">
        <f>IFERROR(INDEX('_courses_lookup'!$D:$D,MATCH(J19&amp;K19,'_courses_lookup'!$E:$E,0)),"")</f>
        <v/>
      </c>
      <c r="P19" t="inlineStr">
        <is>
          <t>138</t>
        </is>
      </c>
      <c r="W19" t="inlineStr">
        <is>
          <t>2-12</t>
        </is>
      </c>
      <c r="X19" t="inlineStr">
        <is>
          <t>2-12</t>
        </is>
      </c>
      <c r="AE19">
        <f>IFERROR(IF(AC19*AD19=0,"",AC19*AD19),"")</f>
        <v/>
      </c>
      <c r="AF19" t="inlineStr">
        <is>
          <t>13-JUL-25</t>
        </is>
      </c>
      <c r="AG19" t="inlineStr">
        <is>
          <t>10-OCT-25</t>
        </is>
      </c>
      <c r="AH19">
        <f>IF(AND(AF19&lt;&gt;"",AG19&lt;&gt;""),ROUNDUP((AG19-AF19)/7,0),"")</f>
        <v/>
      </c>
      <c r="AJ19">
        <f>IFERROR(IF(AH19*AI19=0,"",AH19*AI19),"")</f>
        <v/>
      </c>
      <c r="AL19">
        <f>IFERROR(IF((AO19-(AE19+AJ19))/AK19=0,"",ROUNDUP((AO19-(AE19+AJ19))/AK19,0)),"")</f>
        <v/>
      </c>
      <c r="AM19">
        <f>IFERROR(IF((AO19-(AE19+AJ19))=0,"",(AO19-(AE19+AJ19))),"")</f>
        <v/>
      </c>
      <c r="AN19">
        <f>IF(AND(AC19="",AK19=""),AH19,IF(SUM(AC19,AH19,AK19)=0,"",SUM(AC19,AH19,AK19)))</f>
        <v/>
      </c>
      <c r="AY19">
        <f>IF(AB19="","",YEAR(AB19)+IF(MONTH(AB19)&gt;=5,1,0))</f>
        <v/>
      </c>
      <c r="AZ19">
        <f>IF(AB19="","",IF(AND(MONTH(AB19)=8,DAY(AB19)&gt;=15),"Fall",IF(MONTH(AB19)&gt;8,"Fall",IF(MONTH(AB19)=5,"Summer",IF(MONTH(AB19)=1,"Spring","")))))</f>
        <v/>
      </c>
      <c r="BB19" t="inlineStr">
        <is>
          <t>Southern Union / Forest Lake SDA Church [OCFLFL]</t>
        </is>
      </c>
      <c r="BC19" t="inlineStr">
        <is>
          <t>Steger, Walter E.</t>
        </is>
      </c>
      <c r="BD19">
        <f>IFERROR(INDEX('_names_lookup'!$C:$C,MATCH(BC19,'_names_lookup'!$A:$A,0)),"")</f>
        <v/>
      </c>
      <c r="BE19">
        <f>IFERROR(INDEX('_names_lookup'!$B:$B,MATCH(BC19,'_names_lookup'!$A:$A,0)),"")</f>
        <v/>
      </c>
      <c r="BV19" t="inlineStr">
        <is>
          <t>07-MAY-25</t>
        </is>
      </c>
      <c r="CC19" t="inlineStr">
        <is>
          <t>NTBG</t>
        </is>
      </c>
      <c r="CE19" t="inlineStr">
        <is>
          <t>25</t>
        </is>
      </c>
    </row>
    <row r="20">
      <c r="H20" t="inlineStr">
        <is>
          <t>1151-03</t>
        </is>
      </c>
      <c r="I20" t="inlineStr">
        <is>
          <t>1169</t>
        </is>
      </c>
      <c r="K20" t="inlineStr">
        <is>
          <t>523</t>
        </is>
      </c>
      <c r="L20" t="inlineStr">
        <is>
          <t>091</t>
        </is>
      </c>
      <c r="N20">
        <f>IFERROR(INDEX('_courses_lookup'!$C:$C,MATCH(J20&amp;K20,'_courses_lookup'!$E:$E,0)),"")</f>
        <v/>
      </c>
      <c r="O20">
        <f>IFERROR(INDEX('_courses_lookup'!$D:$D,MATCH(J20&amp;K20,'_courses_lookup'!$E:$E,0)),"")</f>
        <v/>
      </c>
      <c r="P20" t="inlineStr">
        <is>
          <t>146</t>
        </is>
      </c>
      <c r="W20" t="inlineStr">
        <is>
          <t>2-4</t>
        </is>
      </c>
      <c r="X20" t="inlineStr">
        <is>
          <t>2-4</t>
        </is>
      </c>
      <c r="AE20">
        <f>IFERROR(IF(AC20*AD20=0,"",AC20*AD20),"")</f>
        <v/>
      </c>
      <c r="AF20" t="inlineStr">
        <is>
          <t>13-MAY-25</t>
        </is>
      </c>
      <c r="AG20" t="inlineStr">
        <is>
          <t>12-JUL-25</t>
        </is>
      </c>
      <c r="AH20">
        <f>IF(AND(AF20&lt;&gt;"",AG20&lt;&gt;""),ROUNDUP((AG20-AF20)/7,0),"")</f>
        <v/>
      </c>
      <c r="AJ20">
        <f>IFERROR(IF(AH20*AI20=0,"",AH20*AI20),"")</f>
        <v/>
      </c>
      <c r="AL20">
        <f>IFERROR(IF((AO20-(AE20+AJ20))/AK20=0,"",ROUNDUP((AO20-(AE20+AJ20))/AK20,0)),"")</f>
        <v/>
      </c>
      <c r="AM20">
        <f>IFERROR(IF((AO20-(AE20+AJ20))=0,"",(AO20-(AE20+AJ20))),"")</f>
        <v/>
      </c>
      <c r="AN20">
        <f>IF(AND(AC20="",AK20=""),AH20,IF(SUM(AC20,AH20,AK20)=0,"",SUM(AC20,AH20,AK20)))</f>
        <v/>
      </c>
      <c r="AY20">
        <f>IF(AB20="","",YEAR(AB20)+IF(MONTH(AB20)&gt;=5,1,0))</f>
        <v/>
      </c>
      <c r="AZ20">
        <f>IF(AB20="","",IF(AND(MONTH(AB20)=8,DAY(AB20)&gt;=15),"Fall",IF(MONTH(AB20)&gt;8,"Fall",IF(MONTH(AB20)=5,"Summer",IF(MONTH(AB20)=1,"Spring","")))))</f>
        <v/>
      </c>
      <c r="BB20" t="inlineStr">
        <is>
          <t>Hong Kong Adventist College [OCCHK]</t>
        </is>
      </c>
      <c r="BC20" t="inlineStr">
        <is>
          <t>Toscano, Steven M.</t>
        </is>
      </c>
      <c r="BD20">
        <f>IFERROR(INDEX('_names_lookup'!$C:$C,MATCH(BC20,'_names_lookup'!$A:$A,0)),"")</f>
        <v/>
      </c>
      <c r="BE20">
        <f>IFERROR(INDEX('_names_lookup'!$B:$B,MATCH(BC20,'_names_lookup'!$A:$A,0)),"")</f>
        <v/>
      </c>
      <c r="BV20" t="inlineStr">
        <is>
          <t>08-JUL-25</t>
        </is>
      </c>
      <c r="CC20" t="inlineStr">
        <is>
          <t>NTTH,PAUL,THEO</t>
        </is>
      </c>
      <c r="CE20" t="inlineStr">
        <is>
          <t>26</t>
        </is>
      </c>
    </row>
    <row r="21">
      <c r="H21" t="inlineStr">
        <is>
          <t>1151-04</t>
        </is>
      </c>
      <c r="I21" t="inlineStr">
        <is>
          <t>1170</t>
        </is>
      </c>
      <c r="K21" t="inlineStr">
        <is>
          <t>524</t>
        </is>
      </c>
      <c r="L21" t="inlineStr">
        <is>
          <t>092</t>
        </is>
      </c>
      <c r="N21">
        <f>IFERROR(INDEX('_courses_lookup'!$C:$C,MATCH(J21&amp;K21,'_courses_lookup'!$E:$E,0)),"")</f>
        <v/>
      </c>
      <c r="O21">
        <f>IFERROR(INDEX('_courses_lookup'!$D:$D,MATCH(J21&amp;K21,'_courses_lookup'!$E:$E,0)),"")</f>
        <v/>
      </c>
      <c r="P21" t="inlineStr">
        <is>
          <t>147</t>
        </is>
      </c>
      <c r="W21" t="inlineStr">
        <is>
          <t>2-8</t>
        </is>
      </c>
      <c r="X21" t="inlineStr">
        <is>
          <t>2-8</t>
        </is>
      </c>
      <c r="AE21">
        <f>IFERROR(IF(AC21*AD21=0,"",AC21*AD21),"")</f>
        <v/>
      </c>
      <c r="AF21" t="inlineStr">
        <is>
          <t>14-JUL-25</t>
        </is>
      </c>
      <c r="AG21" t="inlineStr">
        <is>
          <t>13-JUL-25</t>
        </is>
      </c>
      <c r="AH21">
        <f>IF(AND(AF21&lt;&gt;"",AG21&lt;&gt;""),ROUNDUP((AG21-AF21)/7,0),"")</f>
        <v/>
      </c>
      <c r="AJ21">
        <f>IFERROR(IF(AH21*AI21=0,"",AH21*AI21),"")</f>
        <v/>
      </c>
      <c r="AL21">
        <f>IFERROR(IF((AO21-(AE21+AJ21))/AK21=0,"",ROUNDUP((AO21-(AE21+AJ21))/AK21,0)),"")</f>
        <v/>
      </c>
      <c r="AM21">
        <f>IFERROR(IF((AO21-(AE21+AJ21))=0,"",(AO21-(AE21+AJ21))),"")</f>
        <v/>
      </c>
      <c r="AN21">
        <f>IF(AND(AC21="",AK21=""),AH21,IF(SUM(AC21,AH21,AK21)=0,"",SUM(AC21,AH21,AK21)))</f>
        <v/>
      </c>
      <c r="AY21">
        <f>IF(AB21="","",YEAR(AB21)+IF(MONTH(AB21)&gt;=5,1,0))</f>
        <v/>
      </c>
      <c r="AZ21">
        <f>IF(AB21="","",IF(AND(MONTH(AB21)=8,DAY(AB21)&gt;=15),"Fall",IF(MONTH(AB21)&gt;8,"Fall",IF(MONTH(AB21)=5,"Summer",IF(MONTH(AB21)=1,"Spring","")))))</f>
        <v/>
      </c>
      <c r="BB21" t="inlineStr">
        <is>
          <t>Loma Linda University [OCCALL]</t>
        </is>
      </c>
      <c r="BC21" t="inlineStr">
        <is>
          <t>Allen, Shirley M.</t>
        </is>
      </c>
      <c r="BD21">
        <f>IFERROR(INDEX('_names_lookup'!$C:$C,MATCH(BC21,'_names_lookup'!$A:$A,0)),"")</f>
        <v/>
      </c>
      <c r="BE21">
        <f>IFERROR(INDEX('_names_lookup'!$B:$B,MATCH(BC21,'_names_lookup'!$A:$A,0)),"")</f>
        <v/>
      </c>
      <c r="BV21" t="inlineStr">
        <is>
          <t>08-JUN-25</t>
        </is>
      </c>
      <c r="CC21" t="inlineStr">
        <is>
          <t>NTTH,SYNG,THEO</t>
        </is>
      </c>
      <c r="CE21" t="inlineStr">
        <is>
          <t>27</t>
        </is>
      </c>
    </row>
    <row r="22">
      <c r="H22" t="inlineStr">
        <is>
          <t>1154-01</t>
        </is>
      </c>
      <c r="I22" t="inlineStr">
        <is>
          <t>1171</t>
        </is>
      </c>
      <c r="K22" t="inlineStr">
        <is>
          <t>525</t>
        </is>
      </c>
      <c r="L22" t="inlineStr">
        <is>
          <t>095</t>
        </is>
      </c>
      <c r="N22">
        <f>IFERROR(INDEX('_courses_lookup'!$C:$C,MATCH(J22&amp;K22,'_courses_lookup'!$E:$E,0)),"")</f>
        <v/>
      </c>
      <c r="O22">
        <f>IFERROR(INDEX('_courses_lookup'!$D:$D,MATCH(J22&amp;K22,'_courses_lookup'!$E:$E,0)),"")</f>
        <v/>
      </c>
      <c r="P22" t="inlineStr">
        <is>
          <t>314</t>
        </is>
      </c>
      <c r="W22" t="inlineStr">
        <is>
          <t>3</t>
        </is>
      </c>
      <c r="X22" t="inlineStr">
        <is>
          <t>3</t>
        </is>
      </c>
      <c r="AE22">
        <f>IFERROR(IF(AC22*AD22=0,"",AC22*AD22),"")</f>
        <v/>
      </c>
      <c r="AF22" t="inlineStr">
        <is>
          <t>14-JUN-25</t>
        </is>
      </c>
      <c r="AG22" t="inlineStr">
        <is>
          <t>13-JUN-25</t>
        </is>
      </c>
      <c r="AH22">
        <f>IF(AND(AF22&lt;&gt;"",AG22&lt;&gt;""),ROUNDUP((AG22-AF22)/7,0),"")</f>
        <v/>
      </c>
      <c r="AJ22">
        <f>IFERROR(IF(AH22*AI22=0,"",AH22*AI22),"")</f>
        <v/>
      </c>
      <c r="AL22">
        <f>IFERROR(IF((AO22-(AE22+AJ22))/AK22=0,"",ROUNDUP((AO22-(AE22+AJ22))/AK22,0)),"")</f>
        <v/>
      </c>
      <c r="AM22">
        <f>IFERROR(IF((AO22-(AE22+AJ22))=0,"",(AO22-(AE22+AJ22))),"")</f>
        <v/>
      </c>
      <c r="AN22">
        <f>IF(AND(AC22="",AK22=""),AH22,IF(SUM(AC22,AH22,AK22)=0,"",SUM(AC22,AH22,AK22)))</f>
        <v/>
      </c>
      <c r="AY22">
        <f>IF(AB22="","",YEAR(AB22)+IF(MONTH(AB22)&gt;=5,1,0))</f>
        <v/>
      </c>
      <c r="AZ22">
        <f>IF(AB22="","",IF(AND(MONTH(AB22)=8,DAY(AB22)&gt;=15),"Fall",IF(MONTH(AB22)&gt;8,"Fall",IF(MONTH(AB22)=5,"Summer",IF(MONTH(AB22)=1,"Spring","")))))</f>
        <v/>
      </c>
      <c r="BB22" t="inlineStr">
        <is>
          <t>Newbold College [OCGBR]</t>
        </is>
      </c>
      <c r="BC22" t="inlineStr">
        <is>
          <t>Beagles, Kathleen A.</t>
        </is>
      </c>
      <c r="BD22">
        <f>IFERROR(INDEX('_names_lookup'!$C:$C,MATCH(BC22,'_names_lookup'!$A:$A,0)),"")</f>
        <v/>
      </c>
      <c r="BE22">
        <f>IFERROR(INDEX('_names_lookup'!$B:$B,MATCH(BC22,'_names_lookup'!$A:$A,0)),"")</f>
        <v/>
      </c>
      <c r="BV22" t="inlineStr">
        <is>
          <t>08-MAY-25</t>
        </is>
      </c>
      <c r="CC22" t="inlineStr">
        <is>
          <t>NTTH,THEO</t>
        </is>
      </c>
      <c r="CE22" t="inlineStr">
        <is>
          <t>29</t>
        </is>
      </c>
    </row>
    <row r="23">
      <c r="H23" t="inlineStr">
        <is>
          <t>1155-01</t>
        </is>
      </c>
      <c r="I23" t="inlineStr">
        <is>
          <t>1175</t>
        </is>
      </c>
      <c r="K23" t="inlineStr">
        <is>
          <t>526</t>
        </is>
      </c>
      <c r="L23" t="inlineStr">
        <is>
          <t>101</t>
        </is>
      </c>
      <c r="N23">
        <f>IFERROR(INDEX('_courses_lookup'!$C:$C,MATCH(J23&amp;K23,'_courses_lookup'!$E:$E,0)),"")</f>
        <v/>
      </c>
      <c r="O23">
        <f>IFERROR(INDEX('_courses_lookup'!$D:$D,MATCH(J23&amp;K23,'_courses_lookup'!$E:$E,0)),"")</f>
        <v/>
      </c>
      <c r="P23" t="inlineStr">
        <is>
          <t>315</t>
        </is>
      </c>
      <c r="W23" t="inlineStr">
        <is>
          <t>3,4</t>
        </is>
      </c>
      <c r="X23" t="inlineStr">
        <is>
          <t>3,4</t>
        </is>
      </c>
      <c r="AE23">
        <f>IFERROR(IF(AC23*AD23=0,"",AC23*AD23),"")</f>
        <v/>
      </c>
      <c r="AF23" t="inlineStr">
        <is>
          <t>15-AUG-25</t>
        </is>
      </c>
      <c r="AG23" t="inlineStr">
        <is>
          <t>14-AUG-25</t>
        </is>
      </c>
      <c r="AH23">
        <f>IF(AND(AF23&lt;&gt;"",AG23&lt;&gt;""),ROUNDUP((AG23-AF23)/7,0),"")</f>
        <v/>
      </c>
      <c r="AJ23">
        <f>IFERROR(IF(AH23*AI23=0,"",AH23*AI23),"")</f>
        <v/>
      </c>
      <c r="AL23">
        <f>IFERROR(IF((AO23-(AE23+AJ23))/AK23=0,"",ROUNDUP((AO23-(AE23+AJ23))/AK23,0)),"")</f>
        <v/>
      </c>
      <c r="AM23">
        <f>IFERROR(IF((AO23-(AE23+AJ23))=0,"",(AO23-(AE23+AJ23))),"")</f>
        <v/>
      </c>
      <c r="AN23">
        <f>IF(AND(AC23="",AK23=""),AH23,IF(SUM(AC23,AH23,AK23)=0,"",SUM(AC23,AH23,AK23)))</f>
        <v/>
      </c>
      <c r="AY23">
        <f>IF(AB23="","",YEAR(AB23)+IF(MONTH(AB23)&gt;=5,1,0))</f>
        <v/>
      </c>
      <c r="AZ23">
        <f>IF(AB23="","",IF(AND(MONTH(AB23)=8,DAY(AB23)&gt;=15),"Fall",IF(MONTH(AB23)&gt;8,"Fall",IF(MONTH(AB23)=5,"Summer",IF(MONTH(AB23)=1,"Spring","")))))</f>
        <v/>
      </c>
      <c r="BB23" t="inlineStr">
        <is>
          <t>Columbia Union / North American Division of SDA [OCMDND]</t>
        </is>
      </c>
      <c r="BC23" t="inlineStr">
        <is>
          <t>Consuegra, Claudio J.</t>
        </is>
      </c>
      <c r="BD23">
        <f>IFERROR(INDEX('_names_lookup'!$C:$C,MATCH(BC23,'_names_lookup'!$A:$A,0)),"")</f>
        <v/>
      </c>
      <c r="BE23">
        <f>IFERROR(INDEX('_names_lookup'!$B:$B,MATCH(BC23,'_names_lookup'!$A:$A,0)),"")</f>
        <v/>
      </c>
      <c r="BV23" t="inlineStr">
        <is>
          <t>09-APR-25</t>
        </is>
      </c>
      <c r="CC23" t="inlineStr">
        <is>
          <t>OTHA</t>
        </is>
      </c>
      <c r="CE23" t="inlineStr">
        <is>
          <t>3</t>
        </is>
      </c>
    </row>
    <row r="24">
      <c r="H24" t="inlineStr">
        <is>
          <t>1159-01</t>
        </is>
      </c>
      <c r="I24" t="inlineStr">
        <is>
          <t>1176</t>
        </is>
      </c>
      <c r="K24" t="inlineStr">
        <is>
          <t>529</t>
        </is>
      </c>
      <c r="L24" t="inlineStr">
        <is>
          <t>102</t>
        </is>
      </c>
      <c r="N24">
        <f>IFERROR(INDEX('_courses_lookup'!$C:$C,MATCH(J24&amp;K24,'_courses_lookup'!$E:$E,0)),"")</f>
        <v/>
      </c>
      <c r="O24">
        <f>IFERROR(INDEX('_courses_lookup'!$D:$D,MATCH(J24&amp;K24,'_courses_lookup'!$E:$E,0)),"")</f>
        <v/>
      </c>
      <c r="P24" t="inlineStr">
        <is>
          <t>316</t>
        </is>
      </c>
      <c r="W24" t="inlineStr">
        <is>
          <t>3-6</t>
        </is>
      </c>
      <c r="X24" t="inlineStr">
        <is>
          <t>3-6</t>
        </is>
      </c>
      <c r="AE24">
        <f>IFERROR(IF(AC24*AD24=0,"",AC24*AD24),"")</f>
        <v/>
      </c>
      <c r="AF24" t="inlineStr">
        <is>
          <t>15-JUN-25</t>
        </is>
      </c>
      <c r="AG24" t="inlineStr">
        <is>
          <t>14-JUN-25</t>
        </is>
      </c>
      <c r="AH24">
        <f>IF(AND(AF24&lt;&gt;"",AG24&lt;&gt;""),ROUNDUP((AG24-AF24)/7,0),"")</f>
        <v/>
      </c>
      <c r="AJ24">
        <f>IFERROR(IF(AH24*AI24=0,"",AH24*AI24),"")</f>
        <v/>
      </c>
      <c r="AL24">
        <f>IFERROR(IF((AO24-(AE24+AJ24))/AK24=0,"",ROUNDUP((AO24-(AE24+AJ24))/AK24,0)),"")</f>
        <v/>
      </c>
      <c r="AM24">
        <f>IFERROR(IF((AO24-(AE24+AJ24))=0,"",(AO24-(AE24+AJ24))),"")</f>
        <v/>
      </c>
      <c r="AN24">
        <f>IF(AND(AC24="",AK24=""),AH24,IF(SUM(AC24,AH24,AK24)=0,"",SUM(AC24,AH24,AK24)))</f>
        <v/>
      </c>
      <c r="AY24">
        <f>IF(AB24="","",YEAR(AB24)+IF(MONTH(AB24)&gt;=5,1,0))</f>
        <v/>
      </c>
      <c r="AZ24">
        <f>IF(AB24="","",IF(AND(MONTH(AB24)=8,DAY(AB24)&gt;=15),"Fall",IF(MONTH(AB24)&gt;8,"Fall",IF(MONTH(AB24)=5,"Summer",IF(MONTH(AB24)=1,"Spring","")))))</f>
        <v/>
      </c>
      <c r="BB24" t="inlineStr">
        <is>
          <t>North Pacific Union Conference [OCWANP]</t>
        </is>
      </c>
      <c r="BC24" t="inlineStr">
        <is>
          <t>Davis, Desiree E.</t>
        </is>
      </c>
      <c r="BD24">
        <f>IFERROR(INDEX('_names_lookup'!$C:$C,MATCH(BC24,'_names_lookup'!$A:$A,0)),"")</f>
        <v/>
      </c>
      <c r="BE24">
        <f>IFERROR(INDEX('_names_lookup'!$B:$B,MATCH(BC24,'_names_lookup'!$A:$A,0)),"")</f>
        <v/>
      </c>
      <c r="BV24" t="inlineStr">
        <is>
          <t>09-JUL-25</t>
        </is>
      </c>
      <c r="CC24" t="inlineStr">
        <is>
          <t>PACC</t>
        </is>
      </c>
      <c r="CE24" t="inlineStr">
        <is>
          <t>30</t>
        </is>
      </c>
    </row>
    <row r="25">
      <c r="H25" t="inlineStr">
        <is>
          <t>1160-01</t>
        </is>
      </c>
      <c r="I25" t="inlineStr">
        <is>
          <t>1177</t>
        </is>
      </c>
      <c r="K25" t="inlineStr">
        <is>
          <t>530</t>
        </is>
      </c>
      <c r="L25" t="inlineStr">
        <is>
          <t>103</t>
        </is>
      </c>
      <c r="N25">
        <f>IFERROR(INDEX('_courses_lookup'!$C:$C,MATCH(J25&amp;K25,'_courses_lookup'!$E:$E,0)),"")</f>
        <v/>
      </c>
      <c r="O25">
        <f>IFERROR(INDEX('_courses_lookup'!$D:$D,MATCH(J25&amp;K25,'_courses_lookup'!$E:$E,0)),"")</f>
        <v/>
      </c>
      <c r="P25" t="inlineStr">
        <is>
          <t>318</t>
        </is>
      </c>
      <c r="W25" t="inlineStr">
        <is>
          <t>4,5</t>
        </is>
      </c>
      <c r="X25" t="inlineStr">
        <is>
          <t>4,5</t>
        </is>
      </c>
      <c r="AE25">
        <f>IFERROR(IF(AC25*AD25=0,"",AC25*AD25),"")</f>
        <v/>
      </c>
      <c r="AF25" t="inlineStr">
        <is>
          <t>16-JUN-25</t>
        </is>
      </c>
      <c r="AG25" t="inlineStr">
        <is>
          <t>16-AUG-25</t>
        </is>
      </c>
      <c r="AH25">
        <f>IF(AND(AF25&lt;&gt;"",AG25&lt;&gt;""),ROUNDUP((AG25-AF25)/7,0),"")</f>
        <v/>
      </c>
      <c r="AJ25">
        <f>IFERROR(IF(AH25*AI25=0,"",AH25*AI25),"")</f>
        <v/>
      </c>
      <c r="AL25">
        <f>IFERROR(IF((AO25-(AE25+AJ25))/AK25=0,"",ROUNDUP((AO25-(AE25+AJ25))/AK25,0)),"")</f>
        <v/>
      </c>
      <c r="AM25">
        <f>IFERROR(IF((AO25-(AE25+AJ25))=0,"",(AO25-(AE25+AJ25))),"")</f>
        <v/>
      </c>
      <c r="AN25">
        <f>IF(AND(AC25="",AK25=""),AH25,IF(SUM(AC25,AH25,AK25)=0,"",SUM(AC25,AH25,AK25)))</f>
        <v/>
      </c>
      <c r="AY25">
        <f>IF(AB25="","",YEAR(AB25)+IF(MONTH(AB25)&gt;=5,1,0))</f>
        <v/>
      </c>
      <c r="AZ25">
        <f>IF(AB25="","",IF(AND(MONTH(AB25)=8,DAY(AB25)&gt;=15),"Fall",IF(MONTH(AB25)&gt;8,"Fall",IF(MONTH(AB25)=5,"Summer",IF(MONTH(AB25)=1,"Spring","")))))</f>
        <v/>
      </c>
      <c r="BB25" t="inlineStr">
        <is>
          <t>Atlantic Union / Northern New England Conf [OCMENE]</t>
        </is>
      </c>
      <c r="BC25" t="inlineStr">
        <is>
          <t>Duany, Efrain</t>
        </is>
      </c>
      <c r="BD25">
        <f>IFERROR(INDEX('_names_lookup'!$C:$C,MATCH(BC25,'_names_lookup'!$A:$A,0)),"")</f>
        <v/>
      </c>
      <c r="BE25">
        <f>IFERROR(INDEX('_names_lookup'!$B:$B,MATCH(BC25,'_names_lookup'!$A:$A,0)),"")</f>
        <v/>
      </c>
      <c r="BV25" t="inlineStr">
        <is>
          <t>09-JUN-25</t>
        </is>
      </c>
      <c r="CC25" t="inlineStr">
        <is>
          <t>PREA,PWOR</t>
        </is>
      </c>
      <c r="CE25" t="inlineStr">
        <is>
          <t>37</t>
        </is>
      </c>
    </row>
    <row r="26">
      <c r="H26" t="inlineStr">
        <is>
          <t>1161-01</t>
        </is>
      </c>
      <c r="I26" t="inlineStr">
        <is>
          <t>1178</t>
        </is>
      </c>
      <c r="K26" t="inlineStr">
        <is>
          <t>534</t>
        </is>
      </c>
      <c r="L26" t="inlineStr">
        <is>
          <t>104</t>
        </is>
      </c>
      <c r="N26">
        <f>IFERROR(INDEX('_courses_lookup'!$C:$C,MATCH(J26&amp;K26,'_courses_lookup'!$E:$E,0)),"")</f>
        <v/>
      </c>
      <c r="O26">
        <f>IFERROR(INDEX('_courses_lookup'!$D:$D,MATCH(J26&amp;K26,'_courses_lookup'!$E:$E,0)),"")</f>
        <v/>
      </c>
      <c r="P26" t="inlineStr">
        <is>
          <t>319</t>
        </is>
      </c>
      <c r="W26" t="inlineStr">
        <is>
          <t>5,6</t>
        </is>
      </c>
      <c r="X26" t="inlineStr">
        <is>
          <t>5,6</t>
        </is>
      </c>
      <c r="AE26">
        <f>IFERROR(IF(AC26*AD26=0,"",AC26*AD26),"")</f>
        <v/>
      </c>
      <c r="AF26" t="inlineStr">
        <is>
          <t>17-AUG-25</t>
        </is>
      </c>
      <c r="AG26" t="inlineStr">
        <is>
          <t>17-JUL-25</t>
        </is>
      </c>
      <c r="AH26">
        <f>IF(AND(AF26&lt;&gt;"",AG26&lt;&gt;""),ROUNDUP((AG26-AF26)/7,0),"")</f>
        <v/>
      </c>
      <c r="AJ26">
        <f>IFERROR(IF(AH26*AI26=0,"",AH26*AI26),"")</f>
        <v/>
      </c>
      <c r="AL26">
        <f>IFERROR(IF((AO26-(AE26+AJ26))/AK26=0,"",ROUNDUP((AO26-(AE26+AJ26))/AK26,0)),"")</f>
        <v/>
      </c>
      <c r="AM26">
        <f>IFERROR(IF((AO26-(AE26+AJ26))=0,"",(AO26-(AE26+AJ26))),"")</f>
        <v/>
      </c>
      <c r="AN26">
        <f>IF(AND(AC26="",AK26=""),AH26,IF(SUM(AC26,AH26,AK26)=0,"",SUM(AC26,AH26,AK26)))</f>
        <v/>
      </c>
      <c r="AY26">
        <f>IF(AB26="","",YEAR(AB26)+IF(MONTH(AB26)&gt;=5,1,0))</f>
        <v/>
      </c>
      <c r="AZ26">
        <f>IF(AB26="","",IF(AND(MONTH(AB26)=8,DAY(AB26)&gt;=15),"Fall",IF(MONTH(AB26)&gt;8,"Fall",IF(MONTH(AB26)=5,"Summer",IF(MONTH(AB26)=1,"Spring","")))))</f>
        <v/>
      </c>
      <c r="BB26" t="inlineStr">
        <is>
          <t>Southwestern Union / Oklahoma City Central [OCOKOC]</t>
        </is>
      </c>
      <c r="BC26" t="inlineStr">
        <is>
          <t>Espinosa, Jose M.</t>
        </is>
      </c>
      <c r="BD26">
        <f>IFERROR(INDEX('_names_lookup'!$C:$C,MATCH(BC26,'_names_lookup'!$A:$A,0)),"")</f>
        <v/>
      </c>
      <c r="BE26">
        <f>IFERROR(INDEX('_names_lookup'!$B:$B,MATCH(BC26,'_names_lookup'!$A:$A,0)),"")</f>
        <v/>
      </c>
      <c r="BV26" t="inlineStr">
        <is>
          <t>09-MAY-25</t>
        </is>
      </c>
      <c r="CC26" t="inlineStr">
        <is>
          <t>SMUS</t>
        </is>
      </c>
      <c r="CE26" t="inlineStr">
        <is>
          <t>4</t>
        </is>
      </c>
    </row>
    <row r="27">
      <c r="H27" t="inlineStr">
        <is>
          <t>1162-01</t>
        </is>
      </c>
      <c r="I27" t="inlineStr">
        <is>
          <t>1180</t>
        </is>
      </c>
      <c r="K27" t="inlineStr">
        <is>
          <t>535</t>
        </is>
      </c>
      <c r="L27" t="inlineStr">
        <is>
          <t>105</t>
        </is>
      </c>
      <c r="N27">
        <f>IFERROR(INDEX('_courses_lookup'!$C:$C,MATCH(J27&amp;K27,'_courses_lookup'!$E:$E,0)),"")</f>
        <v/>
      </c>
      <c r="O27">
        <f>IFERROR(INDEX('_courses_lookup'!$D:$D,MATCH(J27&amp;K27,'_courses_lookup'!$E:$E,0)),"")</f>
        <v/>
      </c>
      <c r="P27" t="inlineStr">
        <is>
          <t>321</t>
        </is>
      </c>
      <c r="AE27">
        <f>IFERROR(IF(AC27*AD27=0,"",AC27*AD27),"")</f>
        <v/>
      </c>
      <c r="AF27" t="inlineStr">
        <is>
          <t>17-JUN-25</t>
        </is>
      </c>
      <c r="AG27" t="inlineStr">
        <is>
          <t>17-JUN-25</t>
        </is>
      </c>
      <c r="AH27">
        <f>IF(AND(AF27&lt;&gt;"",AG27&lt;&gt;""),ROUNDUP((AG27-AF27)/7,0),"")</f>
        <v/>
      </c>
      <c r="AJ27">
        <f>IFERROR(IF(AH27*AI27=0,"",AH27*AI27),"")</f>
        <v/>
      </c>
      <c r="AL27">
        <f>IFERROR(IF((AO27-(AE27+AJ27))/AK27=0,"",ROUNDUP((AO27-(AE27+AJ27))/AK27,0)),"")</f>
        <v/>
      </c>
      <c r="AM27">
        <f>IFERROR(IF((AO27-(AE27+AJ27))=0,"",(AO27-(AE27+AJ27))),"")</f>
        <v/>
      </c>
      <c r="AN27">
        <f>IF(AND(AC27="",AK27=""),AH27,IF(SUM(AC27,AH27,AK27)=0,"",SUM(AC27,AH27,AK27)))</f>
        <v/>
      </c>
      <c r="AY27">
        <f>IF(AB27="","",YEAR(AB27)+IF(MONTH(AB27)&gt;=5,1,0))</f>
        <v/>
      </c>
      <c r="AZ27">
        <f>IF(AB27="","",IF(AND(MONTH(AB27)=8,DAY(AB27)&gt;=15),"Fall",IF(MONTH(AB27)&gt;8,"Fall",IF(MONTH(AB27)=5,"Summer",IF(MONTH(AB27)=1,"Spring","")))))</f>
        <v/>
      </c>
      <c r="BB27" t="inlineStr">
        <is>
          <t>Poland/Baltic States (Polish Senior College Theo&amp;Hum) [OCPOL]</t>
        </is>
      </c>
      <c r="BC27" t="inlineStr">
        <is>
          <t>Fraser, Jasmine J.</t>
        </is>
      </c>
      <c r="BD27">
        <f>IFERROR(INDEX('_names_lookup'!$C:$C,MATCH(BC27,'_names_lookup'!$A:$A,0)),"")</f>
        <v/>
      </c>
      <c r="BE27">
        <f>IFERROR(INDEX('_names_lookup'!$B:$B,MATCH(BC27,'_names_lookup'!$A:$A,0)),"")</f>
        <v/>
      </c>
      <c r="BV27" t="inlineStr">
        <is>
          <t>10-JUN-25</t>
        </is>
      </c>
      <c r="CC27" t="inlineStr">
        <is>
          <t>SYTH</t>
        </is>
      </c>
      <c r="CE27" t="inlineStr">
        <is>
          <t>43</t>
        </is>
      </c>
    </row>
    <row r="28">
      <c r="H28" t="inlineStr">
        <is>
          <t>1162-02</t>
        </is>
      </c>
      <c r="I28" t="inlineStr">
        <is>
          <t>1220</t>
        </is>
      </c>
      <c r="K28" t="inlineStr">
        <is>
          <t>536</t>
        </is>
      </c>
      <c r="L28" t="inlineStr">
        <is>
          <t>106</t>
        </is>
      </c>
      <c r="N28">
        <f>IFERROR(INDEX('_courses_lookup'!$C:$C,MATCH(J28&amp;K28,'_courses_lookup'!$E:$E,0)),"")</f>
        <v/>
      </c>
      <c r="O28">
        <f>IFERROR(INDEX('_courses_lookup'!$D:$D,MATCH(J28&amp;K28,'_courses_lookup'!$E:$E,0)),"")</f>
        <v/>
      </c>
      <c r="P28" t="inlineStr">
        <is>
          <t>322</t>
        </is>
      </c>
      <c r="AE28">
        <f>IFERROR(IF(AC28*AD28=0,"",AC28*AD28),"")</f>
        <v/>
      </c>
      <c r="AF28" t="inlineStr">
        <is>
          <t>18-JUL-25</t>
        </is>
      </c>
      <c r="AG28" t="inlineStr">
        <is>
          <t>17-MAY-25</t>
        </is>
      </c>
      <c r="AH28">
        <f>IF(AND(AF28&lt;&gt;"",AG28&lt;&gt;""),ROUNDUP((AG28-AF28)/7,0),"")</f>
        <v/>
      </c>
      <c r="AJ28">
        <f>IFERROR(IF(AH28*AI28=0,"",AH28*AI28),"")</f>
        <v/>
      </c>
      <c r="AL28">
        <f>IFERROR(IF((AO28-(AE28+AJ28))/AK28=0,"",ROUNDUP((AO28-(AE28+AJ28))/AK28,0)),"")</f>
        <v/>
      </c>
      <c r="AM28">
        <f>IFERROR(IF((AO28-(AE28+AJ28))=0,"",(AO28-(AE28+AJ28))),"")</f>
        <v/>
      </c>
      <c r="AN28">
        <f>IF(AND(AC28="",AK28=""),AH28,IF(SUM(AC28,AH28,AK28)=0,"",SUM(AC28,AH28,AK28)))</f>
        <v/>
      </c>
      <c r="AY28">
        <f>IF(AB28="","",YEAR(AB28)+IF(MONTH(AB28)&gt;=5,1,0))</f>
        <v/>
      </c>
      <c r="AZ28">
        <f>IF(AB28="","",IF(AND(MONTH(AB28)=8,DAY(AB28)&gt;=15),"Fall",IF(MONTH(AB28)&gt;8,"Fall",IF(MONTH(AB28)=5,"Summer",IF(MONTH(AB28)=1,"Spring","")))))</f>
        <v/>
      </c>
      <c r="BB28" t="inlineStr">
        <is>
          <t>Pacific Union (Southeastern California Conf) [OCCASC]</t>
        </is>
      </c>
      <c r="BC28" t="inlineStr">
        <is>
          <t>Freed, Kristina M.</t>
        </is>
      </c>
      <c r="BD28">
        <f>IFERROR(INDEX('_names_lookup'!$C:$C,MATCH(BC28,'_names_lookup'!$A:$A,0)),"")</f>
        <v/>
      </c>
      <c r="BE28">
        <f>IFERROR(INDEX('_names_lookup'!$B:$B,MATCH(BC28,'_names_lookup'!$A:$A,0)),"")</f>
        <v/>
      </c>
      <c r="BV28" t="inlineStr">
        <is>
          <t>11-MAY-25</t>
        </is>
      </c>
      <c r="CC28" t="inlineStr">
        <is>
          <t>THEO</t>
        </is>
      </c>
      <c r="CE28" t="inlineStr">
        <is>
          <t>5</t>
        </is>
      </c>
    </row>
    <row r="29">
      <c r="H29" t="inlineStr">
        <is>
          <t>1162-03</t>
        </is>
      </c>
      <c r="I29" t="inlineStr">
        <is>
          <t>1223</t>
        </is>
      </c>
      <c r="K29" t="inlineStr">
        <is>
          <t>537</t>
        </is>
      </c>
      <c r="L29" t="inlineStr">
        <is>
          <t>107</t>
        </is>
      </c>
      <c r="N29">
        <f>IFERROR(INDEX('_courses_lookup'!$C:$C,MATCH(J29&amp;K29,'_courses_lookup'!$E:$E,0)),"")</f>
        <v/>
      </c>
      <c r="O29">
        <f>IFERROR(INDEX('_courses_lookup'!$D:$D,MATCH(J29&amp;K29,'_courses_lookup'!$E:$E,0)),"")</f>
        <v/>
      </c>
      <c r="P29" t="inlineStr">
        <is>
          <t>323</t>
        </is>
      </c>
      <c r="AE29">
        <f>IFERROR(IF(AC29*AD29=0,"",AC29*AD29),"")</f>
        <v/>
      </c>
      <c r="AF29" t="inlineStr">
        <is>
          <t>18-JUN-25</t>
        </is>
      </c>
      <c r="AG29" t="inlineStr">
        <is>
          <t>18-MAY-25</t>
        </is>
      </c>
      <c r="AH29">
        <f>IF(AND(AF29&lt;&gt;"",AG29&lt;&gt;""),ROUNDUP((AG29-AF29)/7,0),"")</f>
        <v/>
      </c>
      <c r="AJ29">
        <f>IFERROR(IF(AH29*AI29=0,"",AH29*AI29),"")</f>
        <v/>
      </c>
      <c r="AL29">
        <f>IFERROR(IF((AO29-(AE29+AJ29))/AK29=0,"",ROUNDUP((AO29-(AE29+AJ29))/AK29,0)),"")</f>
        <v/>
      </c>
      <c r="AM29">
        <f>IFERROR(IF((AO29-(AE29+AJ29))=0,"",(AO29-(AE29+AJ29))),"")</f>
        <v/>
      </c>
      <c r="AN29">
        <f>IF(AND(AC29="",AK29=""),AH29,IF(SUM(AC29,AH29,AK29)=0,"",SUM(AC29,AH29,AK29)))</f>
        <v/>
      </c>
      <c r="AY29">
        <f>IF(AB29="","",YEAR(AB29)+IF(MONTH(AB29)&gt;=5,1,0))</f>
        <v/>
      </c>
      <c r="AZ29">
        <f>IF(AB29="","",IF(AND(MONTH(AB29)=8,DAY(AB29)&gt;=15),"Fall",IF(MONTH(AB29)&gt;8,"Fall",IF(MONTH(AB29)=5,"Summer",IF(MONTH(AB29)=1,"Spring","")))))</f>
        <v/>
      </c>
      <c r="BB29" t="inlineStr">
        <is>
          <t>Taiwan Adventist College [OCTWN]</t>
        </is>
      </c>
      <c r="BC29" t="inlineStr">
        <is>
          <t>Gilles, Allens</t>
        </is>
      </c>
      <c r="BD29">
        <f>IFERROR(INDEX('_names_lookup'!$C:$C,MATCH(BC29,'_names_lookup'!$A:$A,0)),"")</f>
        <v/>
      </c>
      <c r="BE29">
        <f>IFERROR(INDEX('_names_lookup'!$B:$B,MATCH(BC29,'_names_lookup'!$A:$A,0)),"")</f>
        <v/>
      </c>
      <c r="BV29" t="inlineStr">
        <is>
          <t>12-AUG-25</t>
        </is>
      </c>
      <c r="CC29" t="inlineStr">
        <is>
          <t>TOUR</t>
        </is>
      </c>
      <c r="CE29" t="inlineStr">
        <is>
          <t>51</t>
        </is>
      </c>
    </row>
    <row r="30">
      <c r="H30" t="inlineStr">
        <is>
          <t>1162-04</t>
        </is>
      </c>
      <c r="I30" t="inlineStr">
        <is>
          <t>1235</t>
        </is>
      </c>
      <c r="K30" t="inlineStr">
        <is>
          <t>538</t>
        </is>
      </c>
      <c r="L30" t="inlineStr">
        <is>
          <t>108</t>
        </is>
      </c>
      <c r="N30">
        <f>IFERROR(INDEX('_courses_lookup'!$C:$C,MATCH(J30&amp;K30,'_courses_lookup'!$E:$E,0)),"")</f>
        <v/>
      </c>
      <c r="O30">
        <f>IFERROR(INDEX('_courses_lookup'!$D:$D,MATCH(J30&amp;K30,'_courses_lookup'!$E:$E,0)),"")</f>
        <v/>
      </c>
      <c r="P30" t="inlineStr">
        <is>
          <t>325</t>
        </is>
      </c>
      <c r="AE30">
        <f>IFERROR(IF(AC30*AD30=0,"",AC30*AD30),"")</f>
        <v/>
      </c>
      <c r="AF30" t="inlineStr">
        <is>
          <t>18-MAY-25</t>
        </is>
      </c>
      <c r="AG30" t="inlineStr">
        <is>
          <t>19-JUL-25</t>
        </is>
      </c>
      <c r="AH30">
        <f>IF(AND(AF30&lt;&gt;"",AG30&lt;&gt;""),ROUNDUP((AG30-AF30)/7,0),"")</f>
        <v/>
      </c>
      <c r="AJ30">
        <f>IFERROR(IF(AH30*AI30=0,"",AH30*AI30),"")</f>
        <v/>
      </c>
      <c r="AL30">
        <f>IFERROR(IF((AO30-(AE30+AJ30))/AK30=0,"",ROUNDUP((AO30-(AE30+AJ30))/AK30,0)),"")</f>
        <v/>
      </c>
      <c r="AM30">
        <f>IFERROR(IF((AO30-(AE30+AJ30))=0,"",(AO30-(AE30+AJ30))),"")</f>
        <v/>
      </c>
      <c r="AN30">
        <f>IF(AND(AC30="",AK30=""),AH30,IF(SUM(AC30,AH30,AK30)=0,"",SUM(AC30,AH30,AK30)))</f>
        <v/>
      </c>
      <c r="AY30">
        <f>IF(AB30="","",YEAR(AB30)+IF(MONTH(AB30)&gt;=5,1,0))</f>
        <v/>
      </c>
      <c r="AZ30">
        <f>IF(AB30="","",IF(AND(MONTH(AB30)=8,DAY(AB30)&gt;=15),"Fall",IF(MONTH(AB30)&gt;8,"Fall",IF(MONTH(AB30)=5,"Summer",IF(MONTH(AB30)=1,"Spring","")))))</f>
        <v/>
      </c>
      <c r="BB30" t="inlineStr">
        <is>
          <t>Ukrainan Adv Center Higher ED [OCUKR]</t>
        </is>
      </c>
      <c r="BC30" t="inlineStr">
        <is>
          <t>Hamilton, Lloyd M.</t>
        </is>
      </c>
      <c r="BD30">
        <f>IFERROR(INDEX('_names_lookup'!$C:$C,MATCH(BC30,'_names_lookup'!$A:$A,0)),"")</f>
        <v/>
      </c>
      <c r="BE30">
        <f>IFERROR(INDEX('_names_lookup'!$B:$B,MATCH(BC30,'_names_lookup'!$A:$A,0)),"")</f>
        <v/>
      </c>
      <c r="BV30" t="inlineStr">
        <is>
          <t>12-JUN-25</t>
        </is>
      </c>
      <c r="CE30" t="inlineStr">
        <is>
          <t>6</t>
        </is>
      </c>
    </row>
    <row r="31">
      <c r="H31" t="inlineStr">
        <is>
          <t>1169-01</t>
        </is>
      </c>
      <c r="I31" t="inlineStr">
        <is>
          <t>1277</t>
        </is>
      </c>
      <c r="K31" t="inlineStr">
        <is>
          <t>539</t>
        </is>
      </c>
      <c r="L31" t="inlineStr">
        <is>
          <t>111</t>
        </is>
      </c>
      <c r="N31">
        <f>IFERROR(INDEX('_courses_lookup'!$C:$C,MATCH(J31&amp;K31,'_courses_lookup'!$E:$E,0)),"")</f>
        <v/>
      </c>
      <c r="O31">
        <f>IFERROR(INDEX('_courses_lookup'!$D:$D,MATCH(J31&amp;K31,'_courses_lookup'!$E:$E,0)),"")</f>
        <v/>
      </c>
      <c r="P31" t="inlineStr">
        <is>
          <t>326</t>
        </is>
      </c>
      <c r="AE31">
        <f>IFERROR(IF(AC31*AD31=0,"",AC31*AD31),"")</f>
        <v/>
      </c>
      <c r="AF31" t="inlineStr">
        <is>
          <t>19-MAY-25</t>
        </is>
      </c>
      <c r="AG31" t="inlineStr">
        <is>
          <t>19-JUN-25</t>
        </is>
      </c>
      <c r="AH31">
        <f>IF(AND(AF31&lt;&gt;"",AG31&lt;&gt;""),ROUNDUP((AG31-AF31)/7,0),"")</f>
        <v/>
      </c>
      <c r="AJ31">
        <f>IFERROR(IF(AH31*AI31=0,"",AH31*AI31),"")</f>
        <v/>
      </c>
      <c r="AL31">
        <f>IFERROR(IF((AO31-(AE31+AJ31))/AK31=0,"",ROUNDUP((AO31-(AE31+AJ31))/AK31,0)),"")</f>
        <v/>
      </c>
      <c r="AM31">
        <f>IFERROR(IF((AO31-(AE31+AJ31))=0,"",(AO31-(AE31+AJ31))),"")</f>
        <v/>
      </c>
      <c r="AN31">
        <f>IF(AND(AC31="",AK31=""),AH31,IF(SUM(AC31,AH31,AK31)=0,"",SUM(AC31,AH31,AK31)))</f>
        <v/>
      </c>
      <c r="AY31">
        <f>IF(AB31="","",YEAR(AB31)+IF(MONTH(AB31)&gt;=5,1,0))</f>
        <v/>
      </c>
      <c r="AZ31">
        <f>IF(AB31="","",IF(AND(MONTH(AB31)=8,DAY(AB31)&gt;=15),"Fall",IF(MONTH(AB31)&gt;8,"Fall",IF(MONTH(AB31)=5,"Summer",IF(MONTH(AB31)=1,"Spring","")))))</f>
        <v/>
      </c>
      <c r="BB31" t="inlineStr">
        <is>
          <t>Mid-American Union / Union College [OCNEUC]</t>
        </is>
      </c>
      <c r="BC31" t="inlineStr">
        <is>
          <t>Joseph, Ainsworth E.</t>
        </is>
      </c>
      <c r="BD31">
        <f>IFERROR(INDEX('_names_lookup'!$C:$C,MATCH(BC31,'_names_lookup'!$A:$A,0)),"")</f>
        <v/>
      </c>
      <c r="BE31">
        <f>IFERROR(INDEX('_names_lookup'!$B:$B,MATCH(BC31,'_names_lookup'!$A:$A,0)),"")</f>
        <v/>
      </c>
      <c r="BV31" t="inlineStr">
        <is>
          <t>12-MAY-25</t>
        </is>
      </c>
      <c r="CE31" t="inlineStr">
        <is>
          <t>7</t>
        </is>
      </c>
    </row>
    <row r="32">
      <c r="H32" t="inlineStr">
        <is>
          <t>1170-01</t>
        </is>
      </c>
      <c r="I32" t="inlineStr">
        <is>
          <t>1279</t>
        </is>
      </c>
      <c r="K32" t="inlineStr">
        <is>
          <t>540</t>
        </is>
      </c>
      <c r="L32" t="inlineStr">
        <is>
          <t>116</t>
        </is>
      </c>
      <c r="N32">
        <f>IFERROR(INDEX('_courses_lookup'!$C:$C,MATCH(J32&amp;K32,'_courses_lookup'!$E:$E,0)),"")</f>
        <v/>
      </c>
      <c r="O32">
        <f>IFERROR(INDEX('_courses_lookup'!$D:$D,MATCH(J32&amp;K32,'_courses_lookup'!$E:$E,0)),"")</f>
        <v/>
      </c>
      <c r="P32" t="inlineStr">
        <is>
          <t>327</t>
        </is>
      </c>
      <c r="AE32">
        <f>IFERROR(IF(AC32*AD32=0,"",AC32*AD32),"")</f>
        <v/>
      </c>
      <c r="AF32" t="inlineStr">
        <is>
          <t>20-JUL-25</t>
        </is>
      </c>
      <c r="AG32" t="inlineStr">
        <is>
          <t>20-JUL-25</t>
        </is>
      </c>
      <c r="AH32">
        <f>IF(AND(AF32&lt;&gt;"",AG32&lt;&gt;""),ROUNDUP((AG32-AF32)/7,0),"")</f>
        <v/>
      </c>
      <c r="AJ32">
        <f>IFERROR(IF(AH32*AI32=0,"",AH32*AI32),"")</f>
        <v/>
      </c>
      <c r="AL32">
        <f>IFERROR(IF((AO32-(AE32+AJ32))/AK32=0,"",ROUNDUP((AO32-(AE32+AJ32))/AK32,0)),"")</f>
        <v/>
      </c>
      <c r="AM32">
        <f>IFERROR(IF((AO32-(AE32+AJ32))=0,"",(AO32-(AE32+AJ32))),"")</f>
        <v/>
      </c>
      <c r="AN32">
        <f>IF(AND(AC32="",AK32=""),AH32,IF(SUM(AC32,AH32,AK32)=0,"",SUM(AC32,AH32,AK32)))</f>
        <v/>
      </c>
      <c r="AY32">
        <f>IF(AB32="","",YEAR(AB32)+IF(MONTH(AB32)&gt;=5,1,0))</f>
        <v/>
      </c>
      <c r="AZ32">
        <f>IF(AB32="","",IF(AND(MONTH(AB32)=8,DAY(AB32)&gt;=15),"Fall",IF(MONTH(AB32)&gt;8,"Fall",IF(MONTH(AB32)=5,"Summer",IF(MONTH(AB32)=1,"Spring","")))))</f>
        <v/>
      </c>
      <c r="BB32" t="inlineStr">
        <is>
          <t>Univ Adventista del Plata [OCARG]</t>
        </is>
      </c>
      <c r="BC32" t="inlineStr">
        <is>
          <t>Martin, Benjamin L.</t>
        </is>
      </c>
      <c r="BD32">
        <f>IFERROR(INDEX('_names_lookup'!$C:$C,MATCH(BC32,'_names_lookup'!$A:$A,0)),"")</f>
        <v/>
      </c>
      <c r="BE32">
        <f>IFERROR(INDEX('_names_lookup'!$B:$B,MATCH(BC32,'_names_lookup'!$A:$A,0)),"")</f>
        <v/>
      </c>
      <c r="BV32" t="inlineStr">
        <is>
          <t>13-JUN-25</t>
        </is>
      </c>
      <c r="CE32" t="inlineStr">
        <is>
          <t>8</t>
        </is>
      </c>
    </row>
    <row r="33">
      <c r="H33" t="inlineStr">
        <is>
          <t>1171-01</t>
        </is>
      </c>
      <c r="I33" t="inlineStr">
        <is>
          <t>1305</t>
        </is>
      </c>
      <c r="K33" t="inlineStr">
        <is>
          <t>541</t>
        </is>
      </c>
      <c r="L33" t="inlineStr">
        <is>
          <t>127</t>
        </is>
      </c>
      <c r="N33">
        <f>IFERROR(INDEX('_courses_lookup'!$C:$C,MATCH(J33&amp;K33,'_courses_lookup'!$E:$E,0)),"")</f>
        <v/>
      </c>
      <c r="O33">
        <f>IFERROR(INDEX('_courses_lookup'!$D:$D,MATCH(J33&amp;K33,'_courses_lookup'!$E:$E,0)),"")</f>
        <v/>
      </c>
      <c r="P33" t="inlineStr">
        <is>
          <t>328</t>
        </is>
      </c>
      <c r="AE33">
        <f>IFERROR(IF(AC33*AD33=0,"",AC33*AD33),"")</f>
        <v/>
      </c>
      <c r="AF33" t="inlineStr">
        <is>
          <t>20-JUN-25</t>
        </is>
      </c>
      <c r="AG33" t="inlineStr">
        <is>
          <t>20-JUN-25</t>
        </is>
      </c>
      <c r="AH33">
        <f>IF(AND(AF33&lt;&gt;"",AG33&lt;&gt;""),ROUNDUP((AG33-AF33)/7,0),"")</f>
        <v/>
      </c>
      <c r="AJ33">
        <f>IFERROR(IF(AH33*AI33=0,"",AH33*AI33),"")</f>
        <v/>
      </c>
      <c r="AL33">
        <f>IFERROR(IF((AO33-(AE33+AJ33))/AK33=0,"",ROUNDUP((AO33-(AE33+AJ33))/AK33,0)),"")</f>
        <v/>
      </c>
      <c r="AM33">
        <f>IFERROR(IF((AO33-(AE33+AJ33))=0,"",(AO33-(AE33+AJ33))),"")</f>
        <v/>
      </c>
      <c r="AN33">
        <f>IF(AND(AC33="",AK33=""),AH33,IF(SUM(AC33,AH33,AK33)=0,"",SUM(AC33,AH33,AK33)))</f>
        <v/>
      </c>
      <c r="AY33">
        <f>IF(AB33="","",YEAR(AB33)+IF(MONTH(AB33)&gt;=5,1,0))</f>
        <v/>
      </c>
      <c r="AZ33">
        <f>IF(AB33="","",IF(AND(MONTH(AB33)=8,DAY(AB33)&gt;=15),"Fall",IF(MONTH(AB33)&gt;8,"Fall",IF(MONTH(AB33)=5,"Summer",IF(MONTH(AB33)=1,"Spring","")))))</f>
        <v/>
      </c>
      <c r="BB33" t="inlineStr">
        <is>
          <t>Universitatea Adventus din Cer [OCROU]</t>
        </is>
      </c>
      <c r="BC33" t="inlineStr">
        <is>
          <t>Mayer, Jorge R.</t>
        </is>
      </c>
      <c r="BD33">
        <f>IFERROR(INDEX('_names_lookup'!$C:$C,MATCH(BC33,'_names_lookup'!$A:$A,0)),"")</f>
        <v/>
      </c>
      <c r="BE33">
        <f>IFERROR(INDEX('_names_lookup'!$B:$B,MATCH(BC33,'_names_lookup'!$A:$A,0)),"")</f>
        <v/>
      </c>
      <c r="BV33" t="inlineStr">
        <is>
          <t>13-MAY-25</t>
        </is>
      </c>
      <c r="CE33" t="inlineStr">
        <is>
          <t>9</t>
        </is>
      </c>
    </row>
    <row r="34">
      <c r="H34" t="inlineStr">
        <is>
          <t>1171-02</t>
        </is>
      </c>
      <c r="I34" t="inlineStr">
        <is>
          <t>1309</t>
        </is>
      </c>
      <c r="K34" t="inlineStr">
        <is>
          <t>543</t>
        </is>
      </c>
      <c r="L34" t="inlineStr">
        <is>
          <t>128</t>
        </is>
      </c>
      <c r="N34">
        <f>IFERROR(INDEX('_courses_lookup'!$C:$C,MATCH(J34&amp;K34,'_courses_lookup'!$E:$E,0)),"")</f>
        <v/>
      </c>
      <c r="O34">
        <f>IFERROR(INDEX('_courses_lookup'!$D:$D,MATCH(J34&amp;K34,'_courses_lookup'!$E:$E,0)),"")</f>
        <v/>
      </c>
      <c r="P34" t="inlineStr">
        <is>
          <t>329</t>
        </is>
      </c>
      <c r="AE34">
        <f>IFERROR(IF(AC34*AD34=0,"",AC34*AD34),"")</f>
        <v/>
      </c>
      <c r="AF34" t="inlineStr">
        <is>
          <t>21-JUL-25</t>
        </is>
      </c>
      <c r="AG34" t="inlineStr">
        <is>
          <t>21-AUG-25</t>
        </is>
      </c>
      <c r="AH34">
        <f>IF(AND(AF34&lt;&gt;"",AG34&lt;&gt;""),ROUNDUP((AG34-AF34)/7,0),"")</f>
        <v/>
      </c>
      <c r="AJ34">
        <f>IFERROR(IF(AH34*AI34=0,"",AH34*AI34),"")</f>
        <v/>
      </c>
      <c r="AL34">
        <f>IFERROR(IF((AO34-(AE34+AJ34))/AK34=0,"",ROUNDUP((AO34-(AE34+AJ34))/AK34,0)),"")</f>
        <v/>
      </c>
      <c r="AM34">
        <f>IFERROR(IF((AO34-(AE34+AJ34))=0,"",(AO34-(AE34+AJ34))),"")</f>
        <v/>
      </c>
      <c r="AN34">
        <f>IF(AND(AC34="",AK34=""),AH34,IF(SUM(AC34,AH34,AK34)=0,"",SUM(AC34,AH34,AK34)))</f>
        <v/>
      </c>
      <c r="AY34">
        <f>IF(AB34="","",YEAR(AB34)+IF(MONTH(AB34)&gt;=5,1,0))</f>
        <v/>
      </c>
      <c r="AZ34">
        <f>IF(AB34="","",IF(AND(MONTH(AB34)=8,DAY(AB34)&gt;=15),"Fall",IF(MONTH(AB34)&gt;8,"Fall",IF(MONTH(AB34)=5,"Summer",IF(MONTH(AB34)=1,"Spring","")))))</f>
        <v/>
      </c>
      <c r="BB34" t="inlineStr">
        <is>
          <t>Zaokski Theo Seminary [OCRUS]</t>
        </is>
      </c>
      <c r="BC34" t="inlineStr">
        <is>
          <t>Moore, Richard A.</t>
        </is>
      </c>
      <c r="BD34">
        <f>IFERROR(INDEX('_names_lookup'!$C:$C,MATCH(BC34,'_names_lookup'!$A:$A,0)),"")</f>
        <v/>
      </c>
      <c r="BE34">
        <f>IFERROR(INDEX('_names_lookup'!$B:$B,MATCH(BC34,'_names_lookup'!$A:$A,0)),"")</f>
        <v/>
      </c>
      <c r="BV34" t="inlineStr">
        <is>
          <t>14-APR-25</t>
        </is>
      </c>
    </row>
    <row r="35">
      <c r="H35" t="inlineStr">
        <is>
          <t>1171-03</t>
        </is>
      </c>
      <c r="I35" t="inlineStr">
        <is>
          <t>1311</t>
        </is>
      </c>
      <c r="K35" t="inlineStr">
        <is>
          <t>545</t>
        </is>
      </c>
      <c r="L35" t="inlineStr">
        <is>
          <t>129</t>
        </is>
      </c>
      <c r="N35">
        <f>IFERROR(INDEX('_courses_lookup'!$C:$C,MATCH(J35&amp;K35,'_courses_lookup'!$E:$E,0)),"")</f>
        <v/>
      </c>
      <c r="O35">
        <f>IFERROR(INDEX('_courses_lookup'!$D:$D,MATCH(J35&amp;K35,'_courses_lookup'!$E:$E,0)),"")</f>
        <v/>
      </c>
      <c r="P35" t="inlineStr">
        <is>
          <t>330</t>
        </is>
      </c>
      <c r="AE35">
        <f>IFERROR(IF(AC35*AD35=0,"",AC35*AD35),"")</f>
        <v/>
      </c>
      <c r="AF35" t="inlineStr">
        <is>
          <t>21-JUN-25</t>
        </is>
      </c>
      <c r="AG35" t="inlineStr">
        <is>
          <t>21-JUN-25</t>
        </is>
      </c>
      <c r="AH35">
        <f>IF(AND(AF35&lt;&gt;"",AG35&lt;&gt;""),ROUNDUP((AG35-AF35)/7,0),"")</f>
        <v/>
      </c>
      <c r="AJ35">
        <f>IFERROR(IF(AH35*AI35=0,"",AH35*AI35),"")</f>
        <v/>
      </c>
      <c r="AL35">
        <f>IFERROR(IF((AO35-(AE35+AJ35))/AK35=0,"",ROUNDUP((AO35-(AE35+AJ35))/AK35,0)),"")</f>
        <v/>
      </c>
      <c r="AM35">
        <f>IFERROR(IF((AO35-(AE35+AJ35))=0,"",(AO35-(AE35+AJ35))),"")</f>
        <v/>
      </c>
      <c r="AN35">
        <f>IF(AND(AC35="",AK35=""),AH35,IF(SUM(AC35,AH35,AK35)=0,"",SUM(AC35,AH35,AK35)))</f>
        <v/>
      </c>
      <c r="AY35">
        <f>IF(AB35="","",YEAR(AB35)+IF(MONTH(AB35)&gt;=5,1,0))</f>
        <v/>
      </c>
      <c r="AZ35">
        <f>IF(AB35="","",IF(AND(MONTH(AB35)=8,DAY(AB35)&gt;=15),"Fall",IF(MONTH(AB35)&gt;8,"Fall",IF(MONTH(AB35)=5,"Summer",IF(MONTH(AB35)=1,"Spring","")))))</f>
        <v/>
      </c>
      <c r="BC35" t="inlineStr">
        <is>
          <t>Ramos, Israel</t>
        </is>
      </c>
      <c r="BD35">
        <f>IFERROR(INDEX('_names_lookup'!$C:$C,MATCH(BC35,'_names_lookup'!$A:$A,0)),"")</f>
        <v/>
      </c>
      <c r="BE35">
        <f>IFERROR(INDEX('_names_lookup'!$B:$B,MATCH(BC35,'_names_lookup'!$A:$A,0)),"")</f>
        <v/>
      </c>
      <c r="BV35" t="inlineStr">
        <is>
          <t>14-FEB-25</t>
        </is>
      </c>
    </row>
    <row r="36">
      <c r="H36" t="inlineStr">
        <is>
          <t>1171-04</t>
        </is>
      </c>
      <c r="I36" t="inlineStr">
        <is>
          <t>1999</t>
        </is>
      </c>
      <c r="K36" t="inlineStr">
        <is>
          <t>546</t>
        </is>
      </c>
      <c r="L36" t="inlineStr">
        <is>
          <t>130</t>
        </is>
      </c>
      <c r="N36">
        <f>IFERROR(INDEX('_courses_lookup'!$C:$C,MATCH(J36&amp;K36,'_courses_lookup'!$E:$E,0)),"")</f>
        <v/>
      </c>
      <c r="O36">
        <f>IFERROR(INDEX('_courses_lookup'!$D:$D,MATCH(J36&amp;K36,'_courses_lookup'!$E:$E,0)),"")</f>
        <v/>
      </c>
      <c r="P36" t="inlineStr">
        <is>
          <t>331</t>
        </is>
      </c>
      <c r="AE36">
        <f>IFERROR(IF(AC36*AD36=0,"",AC36*AD36),"")</f>
        <v/>
      </c>
      <c r="AF36" t="inlineStr">
        <is>
          <t>22-AUG-25</t>
        </is>
      </c>
      <c r="AG36" t="inlineStr">
        <is>
          <t>22-JUN-25</t>
        </is>
      </c>
      <c r="AH36">
        <f>IF(AND(AF36&lt;&gt;"",AG36&lt;&gt;""),ROUNDUP((AG36-AF36)/7,0),"")</f>
        <v/>
      </c>
      <c r="AJ36">
        <f>IFERROR(IF(AH36*AI36=0,"",AH36*AI36),"")</f>
        <v/>
      </c>
      <c r="AL36">
        <f>IFERROR(IF((AO36-(AE36+AJ36))/AK36=0,"",ROUNDUP((AO36-(AE36+AJ36))/AK36,0)),"")</f>
        <v/>
      </c>
      <c r="AM36">
        <f>IFERROR(IF((AO36-(AE36+AJ36))=0,"",(AO36-(AE36+AJ36))),"")</f>
        <v/>
      </c>
      <c r="AN36">
        <f>IF(AND(AC36="",AK36=""),AH36,IF(SUM(AC36,AH36,AK36)=0,"",SUM(AC36,AH36,AK36)))</f>
        <v/>
      </c>
      <c r="AY36">
        <f>IF(AB36="","",YEAR(AB36)+IF(MONTH(AB36)&gt;=5,1,0))</f>
        <v/>
      </c>
      <c r="AZ36">
        <f>IF(AB36="","",IF(AND(MONTH(AB36)=8,DAY(AB36)&gt;=15),"Fall",IF(MONTH(AB36)&gt;8,"Fall",IF(MONTH(AB36)=5,"Summer",IF(MONTH(AB36)=1,"Spring","")))))</f>
        <v/>
      </c>
      <c r="BC36" t="inlineStr">
        <is>
          <t>Reddy, Ashley C.</t>
        </is>
      </c>
      <c r="BD36">
        <f>IFERROR(INDEX('_names_lookup'!$C:$C,MATCH(BC36,'_names_lookup'!$A:$A,0)),"")</f>
        <v/>
      </c>
      <c r="BE36">
        <f>IFERROR(INDEX('_names_lookup'!$B:$B,MATCH(BC36,'_names_lookup'!$A:$A,0)),"")</f>
        <v/>
      </c>
      <c r="BV36" t="inlineStr">
        <is>
          <t>14-JUL-25</t>
        </is>
      </c>
    </row>
    <row r="37">
      <c r="H37" t="inlineStr">
        <is>
          <t>1175-01</t>
        </is>
      </c>
      <c r="I37" t="inlineStr">
        <is>
          <t>2005</t>
        </is>
      </c>
      <c r="K37" t="inlineStr">
        <is>
          <t>548</t>
        </is>
      </c>
      <c r="L37" t="inlineStr">
        <is>
          <t>131</t>
        </is>
      </c>
      <c r="N37">
        <f>IFERROR(INDEX('_courses_lookup'!$C:$C,MATCH(J37&amp;K37,'_courses_lookup'!$E:$E,0)),"")</f>
        <v/>
      </c>
      <c r="O37">
        <f>IFERROR(INDEX('_courses_lookup'!$D:$D,MATCH(J37&amp;K37,'_courses_lookup'!$E:$E,0)),"")</f>
        <v/>
      </c>
      <c r="P37" t="inlineStr">
        <is>
          <t>332</t>
        </is>
      </c>
      <c r="AE37">
        <f>IFERROR(IF(AC37*AD37=0,"",AC37*AD37),"")</f>
        <v/>
      </c>
      <c r="AF37" t="inlineStr">
        <is>
          <t>22-JUN-25</t>
        </is>
      </c>
      <c r="AG37" t="inlineStr">
        <is>
          <t>22-MAY-25</t>
        </is>
      </c>
      <c r="AH37">
        <f>IF(AND(AF37&lt;&gt;"",AG37&lt;&gt;""),ROUNDUP((AG37-AF37)/7,0),"")</f>
        <v/>
      </c>
      <c r="AJ37">
        <f>IFERROR(IF(AH37*AI37=0,"",AH37*AI37),"")</f>
        <v/>
      </c>
      <c r="AL37">
        <f>IFERROR(IF((AO37-(AE37+AJ37))/AK37=0,"",ROUNDUP((AO37-(AE37+AJ37))/AK37,0)),"")</f>
        <v/>
      </c>
      <c r="AM37">
        <f>IFERROR(IF((AO37-(AE37+AJ37))=0,"",(AO37-(AE37+AJ37))),"")</f>
        <v/>
      </c>
      <c r="AN37">
        <f>IF(AND(AC37="",AK37=""),AH37,IF(SUM(AC37,AH37,AK37)=0,"",SUM(AC37,AH37,AK37)))</f>
        <v/>
      </c>
      <c r="AY37">
        <f>IF(AB37="","",YEAR(AB37)+IF(MONTH(AB37)&gt;=5,1,0))</f>
        <v/>
      </c>
      <c r="AZ37">
        <f>IF(AB37="","",IF(AND(MONTH(AB37)=8,DAY(AB37)&gt;=15),"Fall",IF(MONTH(AB37)&gt;8,"Fall",IF(MONTH(AB37)=5,"Summer",IF(MONTH(AB37)=1,"Spring","")))))</f>
        <v/>
      </c>
      <c r="BC37" t="inlineStr">
        <is>
          <t>Reinert, Katia G.</t>
        </is>
      </c>
      <c r="BD37">
        <f>IFERROR(INDEX('_names_lookup'!$C:$C,MATCH(BC37,'_names_lookup'!$A:$A,0)),"")</f>
        <v/>
      </c>
      <c r="BE37">
        <f>IFERROR(INDEX('_names_lookup'!$B:$B,MATCH(BC37,'_names_lookup'!$A:$A,0)),"")</f>
        <v/>
      </c>
      <c r="BV37" t="inlineStr">
        <is>
          <t>14-MAY-25</t>
        </is>
      </c>
    </row>
    <row r="38">
      <c r="H38" t="inlineStr">
        <is>
          <t>1176-01</t>
        </is>
      </c>
      <c r="I38" t="inlineStr">
        <is>
          <t>2008</t>
        </is>
      </c>
      <c r="K38" t="inlineStr">
        <is>
          <t>549</t>
        </is>
      </c>
      <c r="L38" t="inlineStr">
        <is>
          <t>132</t>
        </is>
      </c>
      <c r="N38">
        <f>IFERROR(INDEX('_courses_lookup'!$C:$C,MATCH(J38&amp;K38,'_courses_lookup'!$E:$E,0)),"")</f>
        <v/>
      </c>
      <c r="O38">
        <f>IFERROR(INDEX('_courses_lookup'!$D:$D,MATCH(J38&amp;K38,'_courses_lookup'!$E:$E,0)),"")</f>
        <v/>
      </c>
      <c r="P38" t="inlineStr">
        <is>
          <t>333</t>
        </is>
      </c>
      <c r="AE38">
        <f>IFERROR(IF(AC38*AD38=0,"",AC38*AD38),"")</f>
        <v/>
      </c>
      <c r="AF38" t="inlineStr">
        <is>
          <t>23-JUN-25</t>
        </is>
      </c>
      <c r="AG38" t="inlineStr">
        <is>
          <t>22-NOV-25</t>
        </is>
      </c>
      <c r="AH38">
        <f>IF(AND(AF38&lt;&gt;"",AG38&lt;&gt;""),ROUNDUP((AG38-AF38)/7,0),"")</f>
        <v/>
      </c>
      <c r="AJ38">
        <f>IFERROR(IF(AH38*AI38=0,"",AH38*AI38),"")</f>
        <v/>
      </c>
      <c r="AL38">
        <f>IFERROR(IF((AO38-(AE38+AJ38))/AK38=0,"",ROUNDUP((AO38-(AE38+AJ38))/AK38,0)),"")</f>
        <v/>
      </c>
      <c r="AM38">
        <f>IFERROR(IF((AO38-(AE38+AJ38))=0,"",(AO38-(AE38+AJ38))),"")</f>
        <v/>
      </c>
      <c r="AN38">
        <f>IF(AND(AC38="",AK38=""),AH38,IF(SUM(AC38,AH38,AK38)=0,"",SUM(AC38,AH38,AK38)))</f>
        <v/>
      </c>
      <c r="AY38">
        <f>IF(AB38="","",YEAR(AB38)+IF(MONTH(AB38)&gt;=5,1,0))</f>
        <v/>
      </c>
      <c r="AZ38">
        <f>IF(AB38="","",IF(AND(MONTH(AB38)=8,DAY(AB38)&gt;=15),"Fall",IF(MONTH(AB38)&gt;8,"Fall",IF(MONTH(AB38)=5,"Summer",IF(MONTH(AB38)=1,"Spring","")))))</f>
        <v/>
      </c>
      <c r="BC38" t="inlineStr">
        <is>
          <t>Sedlacek, David</t>
        </is>
      </c>
      <c r="BD38">
        <f>IFERROR(INDEX('_names_lookup'!$C:$C,MATCH(BC38,'_names_lookup'!$A:$A,0)),"")</f>
        <v/>
      </c>
      <c r="BE38">
        <f>IFERROR(INDEX('_names_lookup'!$B:$B,MATCH(BC38,'_names_lookup'!$A:$A,0)),"")</f>
        <v/>
      </c>
      <c r="BV38" t="inlineStr">
        <is>
          <t>15-JUL-25</t>
        </is>
      </c>
    </row>
    <row r="39">
      <c r="H39" t="inlineStr">
        <is>
          <t>1177-01</t>
        </is>
      </c>
      <c r="I39" t="inlineStr">
        <is>
          <t>2013</t>
        </is>
      </c>
      <c r="K39" t="inlineStr">
        <is>
          <t>550</t>
        </is>
      </c>
      <c r="L39" t="inlineStr">
        <is>
          <t>133</t>
        </is>
      </c>
      <c r="N39">
        <f>IFERROR(INDEX('_courses_lookup'!$C:$C,MATCH(J39&amp;K39,'_courses_lookup'!$E:$E,0)),"")</f>
        <v/>
      </c>
      <c r="O39">
        <f>IFERROR(INDEX('_courses_lookup'!$D:$D,MATCH(J39&amp;K39,'_courses_lookup'!$E:$E,0)),"")</f>
        <v/>
      </c>
      <c r="P39" t="inlineStr">
        <is>
          <t>334</t>
        </is>
      </c>
      <c r="AE39">
        <f>IFERROR(IF(AC39*AD39=0,"",AC39*AD39),"")</f>
        <v/>
      </c>
      <c r="AF39" t="inlineStr">
        <is>
          <t>23-MAY-25</t>
        </is>
      </c>
      <c r="AG39" t="inlineStr">
        <is>
          <t>23-MAY-25</t>
        </is>
      </c>
      <c r="AH39">
        <f>IF(AND(AF39&lt;&gt;"",AG39&lt;&gt;""),ROUNDUP((AG39-AF39)/7,0),"")</f>
        <v/>
      </c>
      <c r="AJ39">
        <f>IFERROR(IF(AH39*AI39=0,"",AH39*AI39),"")</f>
        <v/>
      </c>
      <c r="AL39">
        <f>IFERROR(IF((AO39-(AE39+AJ39))/AK39=0,"",ROUNDUP((AO39-(AE39+AJ39))/AK39,0)),"")</f>
        <v/>
      </c>
      <c r="AM39">
        <f>IFERROR(IF((AO39-(AE39+AJ39))=0,"",(AO39-(AE39+AJ39))),"")</f>
        <v/>
      </c>
      <c r="AN39">
        <f>IF(AND(AC39="",AK39=""),AH39,IF(SUM(AC39,AH39,AK39)=0,"",SUM(AC39,AH39,AK39)))</f>
        <v/>
      </c>
      <c r="AY39">
        <f>IF(AB39="","",YEAR(AB39)+IF(MONTH(AB39)&gt;=5,1,0))</f>
        <v/>
      </c>
      <c r="AZ39">
        <f>IF(AB39="","",IF(AND(MONTH(AB39)=8,DAY(AB39)&gt;=15),"Fall",IF(MONTH(AB39)&gt;8,"Fall",IF(MONTH(AB39)=5,"Summer",IF(MONTH(AB39)=1,"Spring","")))))</f>
        <v/>
      </c>
      <c r="BC39" t="inlineStr">
        <is>
          <t>Ward, Scott R.</t>
        </is>
      </c>
      <c r="BD39">
        <f>IFERROR(INDEX('_names_lookup'!$C:$C,MATCH(BC39,'_names_lookup'!$A:$A,0)),"")</f>
        <v/>
      </c>
      <c r="BE39">
        <f>IFERROR(INDEX('_names_lookup'!$B:$B,MATCH(BC39,'_names_lookup'!$A:$A,0)),"")</f>
        <v/>
      </c>
      <c r="BV39" t="inlineStr">
        <is>
          <t>15-MAY-25</t>
        </is>
      </c>
    </row>
    <row r="40">
      <c r="H40" t="inlineStr">
        <is>
          <t>1178-01</t>
        </is>
      </c>
      <c r="I40" t="inlineStr">
        <is>
          <t>2022</t>
        </is>
      </c>
      <c r="K40" t="inlineStr">
        <is>
          <t>551</t>
        </is>
      </c>
      <c r="L40" t="inlineStr">
        <is>
          <t>201</t>
        </is>
      </c>
      <c r="N40">
        <f>IFERROR(INDEX('_courses_lookup'!$C:$C,MATCH(J40&amp;K40,'_courses_lookup'!$E:$E,0)),"")</f>
        <v/>
      </c>
      <c r="O40">
        <f>IFERROR(INDEX('_courses_lookup'!$D:$D,MATCH(J40&amp;K40,'_courses_lookup'!$E:$E,0)),"")</f>
        <v/>
      </c>
      <c r="P40" t="inlineStr">
        <is>
          <t>335</t>
        </is>
      </c>
      <c r="AE40">
        <f>IFERROR(IF(AC40*AD40=0,"",AC40*AD40),"")</f>
        <v/>
      </c>
      <c r="AF40" t="inlineStr">
        <is>
          <t>24-MAY-25</t>
        </is>
      </c>
      <c r="AG40" t="inlineStr">
        <is>
          <t>24-JUL-25</t>
        </is>
      </c>
      <c r="AH40">
        <f>IF(AND(AF40&lt;&gt;"",AG40&lt;&gt;""),ROUNDUP((AG40-AF40)/7,0),"")</f>
        <v/>
      </c>
      <c r="AJ40">
        <f>IFERROR(IF(AH40*AI40=0,"",AH40*AI40),"")</f>
        <v/>
      </c>
      <c r="AL40">
        <f>IFERROR(IF((AO40-(AE40+AJ40))/AK40=0,"",ROUNDUP((AO40-(AE40+AJ40))/AK40,0)),"")</f>
        <v/>
      </c>
      <c r="AM40">
        <f>IFERROR(IF((AO40-(AE40+AJ40))=0,"",(AO40-(AE40+AJ40))),"")</f>
        <v/>
      </c>
      <c r="AN40">
        <f>IF(AND(AC40="",AK40=""),AH40,IF(SUM(AC40,AH40,AK40)=0,"",SUM(AC40,AH40,AK40)))</f>
        <v/>
      </c>
      <c r="AY40">
        <f>IF(AB40="","",YEAR(AB40)+IF(MONTH(AB40)&gt;=5,1,0))</f>
        <v/>
      </c>
      <c r="AZ40">
        <f>IF(AB40="","",IF(AND(MONTH(AB40)=8,DAY(AB40)&gt;=15),"Fall",IF(MONTH(AB40)&gt;8,"Fall",IF(MONTH(AB40)=5,"Summer",IF(MONTH(AB40)=1,"Spring","")))))</f>
        <v/>
      </c>
      <c r="BC40" t="inlineStr">
        <is>
          <t>Fernandez-Gibbs, Jharony E.</t>
        </is>
      </c>
      <c r="BD40">
        <f>IFERROR(INDEX('_names_lookup'!$C:$C,MATCH(BC40,'_names_lookup'!$A:$A,0)),"")</f>
        <v/>
      </c>
      <c r="BE40">
        <f>IFERROR(INDEX('_names_lookup'!$B:$B,MATCH(BC40,'_names_lookup'!$A:$A,0)),"")</f>
        <v/>
      </c>
      <c r="BV40" t="inlineStr">
        <is>
          <t>16-APR-25</t>
        </is>
      </c>
    </row>
    <row r="41">
      <c r="H41" t="inlineStr">
        <is>
          <t>1178-02</t>
        </is>
      </c>
      <c r="I41" t="inlineStr">
        <is>
          <t>2024</t>
        </is>
      </c>
      <c r="K41" t="inlineStr">
        <is>
          <t>552</t>
        </is>
      </c>
      <c r="L41" t="inlineStr">
        <is>
          <t>995</t>
        </is>
      </c>
      <c r="N41">
        <f>IFERROR(INDEX('_courses_lookup'!$C:$C,MATCH(J41&amp;K41,'_courses_lookup'!$E:$E,0)),"")</f>
        <v/>
      </c>
      <c r="O41">
        <f>IFERROR(INDEX('_courses_lookup'!$D:$D,MATCH(J41&amp;K41,'_courses_lookup'!$E:$E,0)),"")</f>
        <v/>
      </c>
      <c r="P41" t="inlineStr">
        <is>
          <t>336</t>
        </is>
      </c>
      <c r="AE41">
        <f>IFERROR(IF(AC41*AD41=0,"",AC41*AD41),"")</f>
        <v/>
      </c>
      <c r="AF41" t="inlineStr">
        <is>
          <t>25-JUL-25</t>
        </is>
      </c>
      <c r="AG41" t="inlineStr">
        <is>
          <t>24-JUN-25</t>
        </is>
      </c>
      <c r="AH41">
        <f>IF(AND(AF41&lt;&gt;"",AG41&lt;&gt;""),ROUNDUP((AG41-AF41)/7,0),"")</f>
        <v/>
      </c>
      <c r="AJ41">
        <f>IFERROR(IF(AH41*AI41=0,"",AH41*AI41),"")</f>
        <v/>
      </c>
      <c r="AL41">
        <f>IFERROR(IF((AO41-(AE41+AJ41))/AK41=0,"",ROUNDUP((AO41-(AE41+AJ41))/AK41,0)),"")</f>
        <v/>
      </c>
      <c r="AM41">
        <f>IFERROR(IF((AO41-(AE41+AJ41))=0,"",(AO41-(AE41+AJ41))),"")</f>
        <v/>
      </c>
      <c r="AN41">
        <f>IF(AND(AC41="",AK41=""),AH41,IF(SUM(AC41,AH41,AK41)=0,"",SUM(AC41,AH41,AK41)))</f>
        <v/>
      </c>
      <c r="AY41">
        <f>IF(AB41="","",YEAR(AB41)+IF(MONTH(AB41)&gt;=5,1,0))</f>
        <v/>
      </c>
      <c r="AZ41">
        <f>IF(AB41="","",IF(AND(MONTH(AB41)=8,DAY(AB41)&gt;=15),"Fall",IF(MONTH(AB41)&gt;8,"Fall",IF(MONTH(AB41)=5,"Summer",IF(MONTH(AB41)=1,"Spring","")))))</f>
        <v/>
      </c>
      <c r="BC41" t="inlineStr">
        <is>
          <t>Peguero Colon, Samuel</t>
        </is>
      </c>
      <c r="BD41">
        <f>IFERROR(INDEX('_names_lookup'!$C:$C,MATCH(BC41,'_names_lookup'!$A:$A,0)),"")</f>
        <v/>
      </c>
      <c r="BE41">
        <f>IFERROR(INDEX('_names_lookup'!$B:$B,MATCH(BC41,'_names_lookup'!$A:$A,0)),"")</f>
        <v/>
      </c>
      <c r="BV41" t="inlineStr">
        <is>
          <t>17-APR-25</t>
        </is>
      </c>
    </row>
    <row r="42">
      <c r="H42" t="inlineStr">
        <is>
          <t>1178-03</t>
        </is>
      </c>
      <c r="I42" t="inlineStr">
        <is>
          <t>2161</t>
        </is>
      </c>
      <c r="K42" t="inlineStr">
        <is>
          <t>553</t>
        </is>
      </c>
      <c r="L42" t="inlineStr">
        <is>
          <t>996</t>
        </is>
      </c>
      <c r="N42">
        <f>IFERROR(INDEX('_courses_lookup'!$C:$C,MATCH(J42&amp;K42,'_courses_lookup'!$E:$E,0)),"")</f>
        <v/>
      </c>
      <c r="O42">
        <f>IFERROR(INDEX('_courses_lookup'!$D:$D,MATCH(J42&amp;K42,'_courses_lookup'!$E:$E,0)),"")</f>
        <v/>
      </c>
      <c r="P42" t="inlineStr">
        <is>
          <t>337</t>
        </is>
      </c>
      <c r="AE42">
        <f>IFERROR(IF(AC42*AD42=0,"",AC42*AD42),"")</f>
        <v/>
      </c>
      <c r="AF42" t="inlineStr">
        <is>
          <t>25-MAY-25</t>
        </is>
      </c>
      <c r="AG42" t="inlineStr">
        <is>
          <t>24-MAY-25</t>
        </is>
      </c>
      <c r="AH42">
        <f>IF(AND(AF42&lt;&gt;"",AG42&lt;&gt;""),ROUNDUP((AG42-AF42)/7,0),"")</f>
        <v/>
      </c>
      <c r="AJ42">
        <f>IFERROR(IF(AH42*AI42=0,"",AH42*AI42),"")</f>
        <v/>
      </c>
      <c r="AL42">
        <f>IFERROR(IF((AO42-(AE42+AJ42))/AK42=0,"",ROUNDUP((AO42-(AE42+AJ42))/AK42,0)),"")</f>
        <v/>
      </c>
      <c r="AM42">
        <f>IFERROR(IF((AO42-(AE42+AJ42))=0,"",(AO42-(AE42+AJ42))),"")</f>
        <v/>
      </c>
      <c r="AN42">
        <f>IF(AND(AC42="",AK42=""),AH42,IF(SUM(AC42,AH42,AK42)=0,"",SUM(AC42,AH42,AK42)))</f>
        <v/>
      </c>
      <c r="AY42">
        <f>IF(AB42="","",YEAR(AB42)+IF(MONTH(AB42)&gt;=5,1,0))</f>
        <v/>
      </c>
      <c r="AZ42">
        <f>IF(AB42="","",IF(AND(MONTH(AB42)=8,DAY(AB42)&gt;=15),"Fall",IF(MONTH(AB42)&gt;8,"Fall",IF(MONTH(AB42)=5,"Summer",IF(MONTH(AB42)=1,"Spring","")))))</f>
        <v/>
      </c>
      <c r="BC42" t="inlineStr">
        <is>
          <t>Fox, Curtis A.</t>
        </is>
      </c>
      <c r="BD42">
        <f>IFERROR(INDEX('_names_lookup'!$C:$C,MATCH(BC42,'_names_lookup'!$A:$A,0)),"")</f>
        <v/>
      </c>
      <c r="BE42">
        <f>IFERROR(INDEX('_names_lookup'!$B:$B,MATCH(BC42,'_names_lookup'!$A:$A,0)),"")</f>
        <v/>
      </c>
      <c r="BV42" t="inlineStr">
        <is>
          <t>17-JUL-25</t>
        </is>
      </c>
    </row>
    <row r="43">
      <c r="H43" t="inlineStr">
        <is>
          <t>1178-04</t>
        </is>
      </c>
      <c r="I43" t="inlineStr">
        <is>
          <t>2173</t>
        </is>
      </c>
      <c r="K43" t="inlineStr">
        <is>
          <t>554</t>
        </is>
      </c>
      <c r="L43" t="inlineStr">
        <is>
          <t>997</t>
        </is>
      </c>
      <c r="N43">
        <f>IFERROR(INDEX('_courses_lookup'!$C:$C,MATCH(J43&amp;K43,'_courses_lookup'!$E:$E,0)),"")</f>
        <v/>
      </c>
      <c r="O43">
        <f>IFERROR(INDEX('_courses_lookup'!$D:$D,MATCH(J43&amp;K43,'_courses_lookup'!$E:$E,0)),"")</f>
        <v/>
      </c>
      <c r="P43" t="inlineStr">
        <is>
          <t>338</t>
        </is>
      </c>
      <c r="AE43">
        <f>IFERROR(IF(AC43*AD43=0,"",AC43*AD43),"")</f>
        <v/>
      </c>
      <c r="AF43" t="inlineStr">
        <is>
          <t>26-MAY-25</t>
        </is>
      </c>
      <c r="AG43" t="inlineStr">
        <is>
          <t>25-FEB-26</t>
        </is>
      </c>
      <c r="AH43">
        <f>IF(AND(AF43&lt;&gt;"",AG43&lt;&gt;""),ROUNDUP((AG43-AF43)/7,0),"")</f>
        <v/>
      </c>
      <c r="AJ43">
        <f>IFERROR(IF(AH43*AI43=0,"",AH43*AI43),"")</f>
        <v/>
      </c>
      <c r="AL43">
        <f>IFERROR(IF((AO43-(AE43+AJ43))/AK43=0,"",ROUNDUP((AO43-(AE43+AJ43))/AK43,0)),"")</f>
        <v/>
      </c>
      <c r="AM43">
        <f>IFERROR(IF((AO43-(AE43+AJ43))=0,"",(AO43-(AE43+AJ43))),"")</f>
        <v/>
      </c>
      <c r="AN43">
        <f>IF(AND(AC43="",AK43=""),AH43,IF(SUM(AC43,AH43,AK43)=0,"",SUM(AC43,AH43,AK43)))</f>
        <v/>
      </c>
      <c r="AY43">
        <f>IF(AB43="","",YEAR(AB43)+IF(MONTH(AB43)&gt;=5,1,0))</f>
        <v/>
      </c>
      <c r="AZ43">
        <f>IF(AB43="","",IF(AND(MONTH(AB43)=8,DAY(AB43)&gt;=15),"Fall",IF(MONTH(AB43)&gt;8,"Fall",IF(MONTH(AB43)=5,"Summer",IF(MONTH(AB43)=1,"Spring","")))))</f>
        <v/>
      </c>
      <c r="BC43" t="inlineStr">
        <is>
          <t>Lopez, Elim J.</t>
        </is>
      </c>
      <c r="BD43">
        <f>IFERROR(INDEX('_names_lookup'!$C:$C,MATCH(BC43,'_names_lookup'!$A:$A,0)),"")</f>
        <v/>
      </c>
      <c r="BE43">
        <f>IFERROR(INDEX('_names_lookup'!$B:$B,MATCH(BC43,'_names_lookup'!$A:$A,0)),"")</f>
        <v/>
      </c>
      <c r="BV43" t="inlineStr">
        <is>
          <t>18-APR-25</t>
        </is>
      </c>
    </row>
    <row r="44">
      <c r="H44" t="inlineStr">
        <is>
          <t>1180-01</t>
        </is>
      </c>
      <c r="I44" t="inlineStr">
        <is>
          <t>2199</t>
        </is>
      </c>
      <c r="K44" t="inlineStr">
        <is>
          <t>555</t>
        </is>
      </c>
      <c r="L44" t="inlineStr">
        <is>
          <t>998</t>
        </is>
      </c>
      <c r="N44">
        <f>IFERROR(INDEX('_courses_lookup'!$C:$C,MATCH(J44&amp;K44,'_courses_lookup'!$E:$E,0)),"")</f>
        <v/>
      </c>
      <c r="O44">
        <f>IFERROR(INDEX('_courses_lookup'!$D:$D,MATCH(J44&amp;K44,'_courses_lookup'!$E:$E,0)),"")</f>
        <v/>
      </c>
      <c r="P44" t="inlineStr">
        <is>
          <t>339</t>
        </is>
      </c>
      <c r="AE44">
        <f>IFERROR(IF(AC44*AD44=0,"",AC44*AD44),"")</f>
        <v/>
      </c>
      <c r="AF44" t="inlineStr">
        <is>
          <t>27-JUN-25</t>
        </is>
      </c>
      <c r="AG44" t="inlineStr">
        <is>
          <t>26-JUN-25</t>
        </is>
      </c>
      <c r="AH44">
        <f>IF(AND(AF44&lt;&gt;"",AG44&lt;&gt;""),ROUNDUP((AG44-AF44)/7,0),"")</f>
        <v/>
      </c>
      <c r="AJ44">
        <f>IFERROR(IF(AH44*AI44=0,"",AH44*AI44),"")</f>
        <v/>
      </c>
      <c r="AL44">
        <f>IFERROR(IF((AO44-(AE44+AJ44))/AK44=0,"",ROUNDUP((AO44-(AE44+AJ44))/AK44,0)),"")</f>
        <v/>
      </c>
      <c r="AM44">
        <f>IFERROR(IF((AO44-(AE44+AJ44))=0,"",(AO44-(AE44+AJ44))),"")</f>
        <v/>
      </c>
      <c r="AN44">
        <f>IF(AND(AC44="",AK44=""),AH44,IF(SUM(AC44,AH44,AK44)=0,"",SUM(AC44,AH44,AK44)))</f>
        <v/>
      </c>
      <c r="AY44">
        <f>IF(AB44="","",YEAR(AB44)+IF(MONTH(AB44)&gt;=5,1,0))</f>
        <v/>
      </c>
      <c r="AZ44">
        <f>IF(AB44="","",IF(AND(MONTH(AB44)=8,DAY(AB44)&gt;=15),"Fall",IF(MONTH(AB44)&gt;8,"Fall",IF(MONTH(AB44)=5,"Summer",IF(MONTH(AB44)=1,"Spring","")))))</f>
        <v/>
      </c>
      <c r="BC44" t="inlineStr">
        <is>
          <t>Maxson, Benjamin C.</t>
        </is>
      </c>
      <c r="BD44">
        <f>IFERROR(INDEX('_names_lookup'!$C:$C,MATCH(BC44,'_names_lookup'!$A:$A,0)),"")</f>
        <v/>
      </c>
      <c r="BE44">
        <f>IFERROR(INDEX('_names_lookup'!$B:$B,MATCH(BC44,'_names_lookup'!$A:$A,0)),"")</f>
        <v/>
      </c>
      <c r="BV44" t="inlineStr">
        <is>
          <t>18-JUL-25</t>
        </is>
      </c>
    </row>
    <row r="45">
      <c r="H45" t="inlineStr">
        <is>
          <t>1220-01</t>
        </is>
      </c>
      <c r="I45" t="inlineStr">
        <is>
          <t>2200</t>
        </is>
      </c>
      <c r="K45" t="inlineStr">
        <is>
          <t>556</t>
        </is>
      </c>
      <c r="L45" t="inlineStr">
        <is>
          <t>999</t>
        </is>
      </c>
      <c r="N45">
        <f>IFERROR(INDEX('_courses_lookup'!$C:$C,MATCH(J45&amp;K45,'_courses_lookup'!$E:$E,0)),"")</f>
        <v/>
      </c>
      <c r="O45">
        <f>IFERROR(INDEX('_courses_lookup'!$D:$D,MATCH(J45&amp;K45,'_courses_lookup'!$E:$E,0)),"")</f>
        <v/>
      </c>
      <c r="P45" t="inlineStr">
        <is>
          <t>346</t>
        </is>
      </c>
      <c r="AE45">
        <f>IFERROR(IF(AC45*AD45=0,"",AC45*AD45),"")</f>
        <v/>
      </c>
      <c r="AF45" t="inlineStr">
        <is>
          <t>27-MAY-25</t>
        </is>
      </c>
      <c r="AG45" t="inlineStr">
        <is>
          <t>26-MAY-25</t>
        </is>
      </c>
      <c r="AH45">
        <f>IF(AND(AF45&lt;&gt;"",AG45&lt;&gt;""),ROUNDUP((AG45-AF45)/7,0),"")</f>
        <v/>
      </c>
      <c r="AJ45">
        <f>IFERROR(IF(AH45*AI45=0,"",AH45*AI45),"")</f>
        <v/>
      </c>
      <c r="AL45">
        <f>IFERROR(IF((AO45-(AE45+AJ45))/AK45=0,"",ROUNDUP((AO45-(AE45+AJ45))/AK45,0)),"")</f>
        <v/>
      </c>
      <c r="AM45">
        <f>IFERROR(IF((AO45-(AE45+AJ45))=0,"",(AO45-(AE45+AJ45))),"")</f>
        <v/>
      </c>
      <c r="AN45">
        <f>IF(AND(AC45="",AK45=""),AH45,IF(SUM(AC45,AH45,AK45)=0,"",SUM(AC45,AH45,AK45)))</f>
        <v/>
      </c>
      <c r="AY45">
        <f>IF(AB45="","",YEAR(AB45)+IF(MONTH(AB45)&gt;=5,1,0))</f>
        <v/>
      </c>
      <c r="AZ45">
        <f>IF(AB45="","",IF(AND(MONTH(AB45)=8,DAY(AB45)&gt;=15),"Fall",IF(MONTH(AB45)&gt;8,"Fall",IF(MONTH(AB45)=5,"Summer",IF(MONTH(AB45)=1,"Spring","")))))</f>
        <v/>
      </c>
      <c r="BC45" t="inlineStr">
        <is>
          <t>Oliver, Wilbert H.</t>
        </is>
      </c>
      <c r="BD45">
        <f>IFERROR(INDEX('_names_lookup'!$C:$C,MATCH(BC45,'_names_lookup'!$A:$A,0)),"")</f>
        <v/>
      </c>
      <c r="BE45">
        <f>IFERROR(INDEX('_names_lookup'!$B:$B,MATCH(BC45,'_names_lookup'!$A:$A,0)),"")</f>
        <v/>
      </c>
      <c r="BV45" t="inlineStr">
        <is>
          <t>19-AUG-25</t>
        </is>
      </c>
    </row>
    <row r="46">
      <c r="H46" t="inlineStr">
        <is>
          <t>1223-01</t>
        </is>
      </c>
      <c r="I46" t="inlineStr">
        <is>
          <t>2204</t>
        </is>
      </c>
      <c r="K46" t="inlineStr">
        <is>
          <t>557</t>
        </is>
      </c>
      <c r="N46">
        <f>IFERROR(INDEX('_courses_lookup'!$C:$C,MATCH(J46&amp;K46,'_courses_lookup'!$E:$E,0)),"")</f>
        <v/>
      </c>
      <c r="O46">
        <f>IFERROR(INDEX('_courses_lookup'!$D:$D,MATCH(J46&amp;K46,'_courses_lookup'!$E:$E,0)),"")</f>
        <v/>
      </c>
      <c r="AE46">
        <f>IFERROR(IF(AC46*AD46=0,"",AC46*AD46),"")</f>
        <v/>
      </c>
      <c r="AF46" t="inlineStr">
        <is>
          <t>28-JUL-25</t>
        </is>
      </c>
      <c r="AG46" t="inlineStr">
        <is>
          <t>27-JAN-26</t>
        </is>
      </c>
      <c r="AH46">
        <f>IF(AND(AF46&lt;&gt;"",AG46&lt;&gt;""),ROUNDUP((AG46-AF46)/7,0),"")</f>
        <v/>
      </c>
      <c r="AJ46">
        <f>IFERROR(IF(AH46*AI46=0,"",AH46*AI46),"")</f>
        <v/>
      </c>
      <c r="AL46">
        <f>IFERROR(IF((AO46-(AE46+AJ46))/AK46=0,"",ROUNDUP((AO46-(AE46+AJ46))/AK46,0)),"")</f>
        <v/>
      </c>
      <c r="AM46">
        <f>IFERROR(IF((AO46-(AE46+AJ46))=0,"",(AO46-(AE46+AJ46))),"")</f>
        <v/>
      </c>
      <c r="AN46">
        <f>IF(AND(AC46="",AK46=""),AH46,IF(SUM(AC46,AH46,AK46)=0,"",SUM(AC46,AH46,AK46)))</f>
        <v/>
      </c>
      <c r="AY46">
        <f>IF(AB46="","",YEAR(AB46)+IF(MONTH(AB46)&gt;=5,1,0))</f>
        <v/>
      </c>
      <c r="AZ46">
        <f>IF(AB46="","",IF(AND(MONTH(AB46)=8,DAY(AB46)&gt;=15),"Fall",IF(MONTH(AB46)&gt;8,"Fall",IF(MONTH(AB46)=5,"Summer",IF(MONTH(AB46)=1,"Spring","")))))</f>
        <v/>
      </c>
      <c r="BC46" t="inlineStr">
        <is>
          <t>Olivo, Dionisio</t>
        </is>
      </c>
      <c r="BD46">
        <f>IFERROR(INDEX('_names_lookup'!$C:$C,MATCH(BC46,'_names_lookup'!$A:$A,0)),"")</f>
        <v/>
      </c>
      <c r="BE46">
        <f>IFERROR(INDEX('_names_lookup'!$B:$B,MATCH(BC46,'_names_lookup'!$A:$A,0)),"")</f>
        <v/>
      </c>
      <c r="BV46" t="inlineStr">
        <is>
          <t>19-JUN-25</t>
        </is>
      </c>
    </row>
    <row r="47">
      <c r="H47" t="inlineStr">
        <is>
          <t>1223-02</t>
        </is>
      </c>
      <c r="I47" t="inlineStr">
        <is>
          <t>2212</t>
        </is>
      </c>
      <c r="K47" t="inlineStr">
        <is>
          <t>558</t>
        </is>
      </c>
      <c r="N47">
        <f>IFERROR(INDEX('_courses_lookup'!$C:$C,MATCH(J47&amp;K47,'_courses_lookup'!$E:$E,0)),"")</f>
        <v/>
      </c>
      <c r="O47">
        <f>IFERROR(INDEX('_courses_lookup'!$D:$D,MATCH(J47&amp;K47,'_courses_lookup'!$E:$E,0)),"")</f>
        <v/>
      </c>
      <c r="AE47">
        <f>IFERROR(IF(AC47*AD47=0,"",AC47*AD47),"")</f>
        <v/>
      </c>
      <c r="AF47" t="inlineStr">
        <is>
          <t>28-JUN-25</t>
        </is>
      </c>
      <c r="AG47" t="inlineStr">
        <is>
          <t>27-JUL-25</t>
        </is>
      </c>
      <c r="AH47">
        <f>IF(AND(AF47&lt;&gt;"",AG47&lt;&gt;""),ROUNDUP((AG47-AF47)/7,0),"")</f>
        <v/>
      </c>
      <c r="AJ47">
        <f>IFERROR(IF(AH47*AI47=0,"",AH47*AI47),"")</f>
        <v/>
      </c>
      <c r="AL47">
        <f>IFERROR(IF((AO47-(AE47+AJ47))/AK47=0,"",ROUNDUP((AO47-(AE47+AJ47))/AK47,0)),"")</f>
        <v/>
      </c>
      <c r="AM47">
        <f>IFERROR(IF((AO47-(AE47+AJ47))=0,"",(AO47-(AE47+AJ47))),"")</f>
        <v/>
      </c>
      <c r="AN47">
        <f>IF(AND(AC47="",AK47=""),AH47,IF(SUM(AC47,AH47,AK47)=0,"",SUM(AC47,AH47,AK47)))</f>
        <v/>
      </c>
      <c r="AY47">
        <f>IF(AB47="","",YEAR(AB47)+IF(MONTH(AB47)&gt;=5,1,0))</f>
        <v/>
      </c>
      <c r="AZ47">
        <f>IF(AB47="","",IF(AND(MONTH(AB47)=8,DAY(AB47)&gt;=15),"Fall",IF(MONTH(AB47)&gt;8,"Fall",IF(MONTH(AB47)=5,"Summer",IF(MONTH(AB47)=1,"Spring","")))))</f>
        <v/>
      </c>
      <c r="BC47" t="inlineStr">
        <is>
          <t>Swanson, H Peter</t>
        </is>
      </c>
      <c r="BD47">
        <f>IFERROR(INDEX('_names_lookup'!$C:$C,MATCH(BC47,'_names_lookup'!$A:$A,0)),"")</f>
        <v/>
      </c>
      <c r="BE47">
        <f>IFERROR(INDEX('_names_lookup'!$B:$B,MATCH(BC47,'_names_lookup'!$A:$A,0)),"")</f>
        <v/>
      </c>
      <c r="BV47" t="inlineStr">
        <is>
          <t>19-MAY-25</t>
        </is>
      </c>
    </row>
    <row r="48">
      <c r="H48" t="inlineStr">
        <is>
          <t>1235-01</t>
        </is>
      </c>
      <c r="I48" t="inlineStr">
        <is>
          <t>2214</t>
        </is>
      </c>
      <c r="K48" t="inlineStr">
        <is>
          <t>560</t>
        </is>
      </c>
      <c r="N48">
        <f>IFERROR(INDEX('_courses_lookup'!$C:$C,MATCH(J48&amp;K48,'_courses_lookup'!$E:$E,0)),"")</f>
        <v/>
      </c>
      <c r="O48">
        <f>IFERROR(INDEX('_courses_lookup'!$D:$D,MATCH(J48&amp;K48,'_courses_lookup'!$E:$E,0)),"")</f>
        <v/>
      </c>
      <c r="AE48">
        <f>IFERROR(IF(AC48*AD48=0,"",AC48*AD48),"")</f>
        <v/>
      </c>
      <c r="AF48" t="inlineStr">
        <is>
          <t>30-MAY-25</t>
        </is>
      </c>
      <c r="AG48" t="inlineStr">
        <is>
          <t>27-JUN-25</t>
        </is>
      </c>
      <c r="AH48">
        <f>IF(AND(AF48&lt;&gt;"",AG48&lt;&gt;""),ROUNDUP((AG48-AF48)/7,0),"")</f>
        <v/>
      </c>
      <c r="AJ48">
        <f>IFERROR(IF(AH48*AI48=0,"",AH48*AI48),"")</f>
        <v/>
      </c>
      <c r="AL48">
        <f>IFERROR(IF((AO48-(AE48+AJ48))/AK48=0,"",ROUNDUP((AO48-(AE48+AJ48))/AK48,0)),"")</f>
        <v/>
      </c>
      <c r="AM48">
        <f>IFERROR(IF((AO48-(AE48+AJ48))=0,"",(AO48-(AE48+AJ48))),"")</f>
        <v/>
      </c>
      <c r="AN48">
        <f>IF(AND(AC48="",AK48=""),AH48,IF(SUM(AC48,AH48,AK48)=0,"",SUM(AC48,AH48,AK48)))</f>
        <v/>
      </c>
      <c r="AY48">
        <f>IF(AB48="","",YEAR(AB48)+IF(MONTH(AB48)&gt;=5,1,0))</f>
        <v/>
      </c>
      <c r="AZ48">
        <f>IF(AB48="","",IF(AND(MONTH(AB48)=8,DAY(AB48)&gt;=15),"Fall",IF(MONTH(AB48)&gt;8,"Fall",IF(MONTH(AB48)=5,"Summer",IF(MONTH(AB48)=1,"Spring","")))))</f>
        <v/>
      </c>
      <c r="BC48" t="inlineStr">
        <is>
          <t>Walshe, Allan R.</t>
        </is>
      </c>
      <c r="BD48">
        <f>IFERROR(INDEX('_names_lookup'!$C:$C,MATCH(BC48,'_names_lookup'!$A:$A,0)),"")</f>
        <v/>
      </c>
      <c r="BE48">
        <f>IFERROR(INDEX('_names_lookup'!$B:$B,MATCH(BC48,'_names_lookup'!$A:$A,0)),"")</f>
        <v/>
      </c>
      <c r="BV48" t="inlineStr">
        <is>
          <t>20-JUN-25</t>
        </is>
      </c>
    </row>
    <row r="49">
      <c r="H49" t="inlineStr">
        <is>
          <t>1277-01</t>
        </is>
      </c>
      <c r="I49" t="inlineStr">
        <is>
          <t>2216</t>
        </is>
      </c>
      <c r="K49" t="inlineStr">
        <is>
          <t>561</t>
        </is>
      </c>
      <c r="N49">
        <f>IFERROR(INDEX('_courses_lookup'!$C:$C,MATCH(J49&amp;K49,'_courses_lookup'!$E:$E,0)),"")</f>
        <v/>
      </c>
      <c r="O49">
        <f>IFERROR(INDEX('_courses_lookup'!$D:$D,MATCH(J49&amp;K49,'_courses_lookup'!$E:$E,0)),"")</f>
        <v/>
      </c>
      <c r="AE49">
        <f>IFERROR(IF(AC49*AD49=0,"",AC49*AD49),"")</f>
        <v/>
      </c>
      <c r="AF49" t="inlineStr">
        <is>
          <t>31-MAY-25</t>
        </is>
      </c>
      <c r="AG49" t="inlineStr">
        <is>
          <t>29-MAY-25</t>
        </is>
      </c>
      <c r="AH49">
        <f>IF(AND(AF49&lt;&gt;"",AG49&lt;&gt;""),ROUNDUP((AG49-AF49)/7,0),"")</f>
        <v/>
      </c>
      <c r="AJ49">
        <f>IFERROR(IF(AH49*AI49=0,"",AH49*AI49),"")</f>
        <v/>
      </c>
      <c r="AL49">
        <f>IFERROR(IF((AO49-(AE49+AJ49))/AK49=0,"",ROUNDUP((AO49-(AE49+AJ49))/AK49,0)),"")</f>
        <v/>
      </c>
      <c r="AM49">
        <f>IFERROR(IF((AO49-(AE49+AJ49))=0,"",(AO49-(AE49+AJ49))),"")</f>
        <v/>
      </c>
      <c r="AN49">
        <f>IF(AND(AC49="",AK49=""),AH49,IF(SUM(AC49,AH49,AK49)=0,"",SUM(AC49,AH49,AK49)))</f>
        <v/>
      </c>
      <c r="AY49">
        <f>IF(AB49="","",YEAR(AB49)+IF(MONTH(AB49)&gt;=5,1,0))</f>
        <v/>
      </c>
      <c r="AZ49">
        <f>IF(AB49="","",IF(AND(MONTH(AB49)=8,DAY(AB49)&gt;=15),"Fall",IF(MONTH(AB49)&gt;8,"Fall",IF(MONTH(AB49)=5,"Summer",IF(MONTH(AB49)=1,"Spring","")))))</f>
        <v/>
      </c>
      <c r="BC49" t="inlineStr">
        <is>
          <t>Aguiar, Adenilton T.</t>
        </is>
      </c>
      <c r="BD49">
        <f>IFERROR(INDEX('_names_lookup'!$C:$C,MATCH(BC49,'_names_lookup'!$A:$A,0)),"")</f>
        <v/>
      </c>
      <c r="BE49">
        <f>IFERROR(INDEX('_names_lookup'!$B:$B,MATCH(BC49,'_names_lookup'!$A:$A,0)),"")</f>
        <v/>
      </c>
      <c r="BV49" t="inlineStr">
        <is>
          <t>20-MAR-25</t>
        </is>
      </c>
    </row>
    <row r="50">
      <c r="H50" t="inlineStr">
        <is>
          <t>1279-01</t>
        </is>
      </c>
      <c r="I50" t="inlineStr">
        <is>
          <t>2217</t>
        </is>
      </c>
      <c r="K50" t="inlineStr">
        <is>
          <t>562</t>
        </is>
      </c>
      <c r="N50">
        <f>IFERROR(INDEX('_courses_lookup'!$C:$C,MATCH(J50&amp;K50,'_courses_lookup'!$E:$E,0)),"")</f>
        <v/>
      </c>
      <c r="O50">
        <f>IFERROR(INDEX('_courses_lookup'!$D:$D,MATCH(J50&amp;K50,'_courses_lookup'!$E:$E,0)),"")</f>
        <v/>
      </c>
      <c r="AE50">
        <f>IFERROR(IF(AC50*AD50=0,"",AC50*AD50),"")</f>
        <v/>
      </c>
      <c r="AG50" t="inlineStr">
        <is>
          <t>30-MAY-25</t>
        </is>
      </c>
      <c r="AH50">
        <f>IF(AND(AF50&lt;&gt;"",AG50&lt;&gt;""),ROUNDUP((AG50-AF50)/7,0),"")</f>
        <v/>
      </c>
      <c r="AJ50">
        <f>IFERROR(IF(AH50*AI50=0,"",AH50*AI50),"")</f>
        <v/>
      </c>
      <c r="AL50">
        <f>IFERROR(IF((AO50-(AE50+AJ50))/AK50=0,"",ROUNDUP((AO50-(AE50+AJ50))/AK50,0)),"")</f>
        <v/>
      </c>
      <c r="AM50">
        <f>IFERROR(IF((AO50-(AE50+AJ50))=0,"",(AO50-(AE50+AJ50))),"")</f>
        <v/>
      </c>
      <c r="AN50">
        <f>IF(AND(AC50="",AK50=""),AH50,IF(SUM(AC50,AH50,AK50)=0,"",SUM(AC50,AH50,AK50)))</f>
        <v/>
      </c>
      <c r="AY50">
        <f>IF(AB50="","",YEAR(AB50)+IF(MONTH(AB50)&gt;=5,1,0))</f>
        <v/>
      </c>
      <c r="AZ50">
        <f>IF(AB50="","",IF(AND(MONTH(AB50)=8,DAY(AB50)&gt;=15),"Fall",IF(MONTH(AB50)&gt;8,"Fall",IF(MONTH(AB50)=5,"Summer",IF(MONTH(AB50)=1,"Spring","")))))</f>
        <v/>
      </c>
      <c r="BC50" t="inlineStr">
        <is>
          <t>Agustin, Alfredo G.</t>
        </is>
      </c>
      <c r="BD50">
        <f>IFERROR(INDEX('_names_lookup'!$C:$C,MATCH(BC50,'_names_lookup'!$A:$A,0)),"")</f>
        <v/>
      </c>
      <c r="BE50">
        <f>IFERROR(INDEX('_names_lookup'!$B:$B,MATCH(BC50,'_names_lookup'!$A:$A,0)),"")</f>
        <v/>
      </c>
      <c r="BV50" t="inlineStr">
        <is>
          <t>20-MAY-25</t>
        </is>
      </c>
    </row>
    <row r="51">
      <c r="H51" t="inlineStr">
        <is>
          <t>1305-01</t>
        </is>
      </c>
      <c r="I51" t="inlineStr">
        <is>
          <t>2218</t>
        </is>
      </c>
      <c r="K51" t="inlineStr">
        <is>
          <t>564</t>
        </is>
      </c>
      <c r="N51">
        <f>IFERROR(INDEX('_courses_lookup'!$C:$C,MATCH(J51&amp;K51,'_courses_lookup'!$E:$E,0)),"")</f>
        <v/>
      </c>
      <c r="O51">
        <f>IFERROR(INDEX('_courses_lookup'!$D:$D,MATCH(J51&amp;K51,'_courses_lookup'!$E:$E,0)),"")</f>
        <v/>
      </c>
      <c r="AE51">
        <f>IFERROR(IF(AC51*AD51=0,"",AC51*AD51),"")</f>
        <v/>
      </c>
      <c r="AG51" t="inlineStr">
        <is>
          <t>31-JUL-25</t>
        </is>
      </c>
      <c r="AH51">
        <f>IF(AND(AF51&lt;&gt;"",AG51&lt;&gt;""),ROUNDUP((AG51-AF51)/7,0),"")</f>
        <v/>
      </c>
      <c r="AJ51">
        <f>IFERROR(IF(AH51*AI51=0,"",AH51*AI51),"")</f>
        <v/>
      </c>
      <c r="AL51">
        <f>IFERROR(IF((AO51-(AE51+AJ51))/AK51=0,"",ROUNDUP((AO51-(AE51+AJ51))/AK51,0)),"")</f>
        <v/>
      </c>
      <c r="AM51">
        <f>IFERROR(IF((AO51-(AE51+AJ51))=0,"",(AO51-(AE51+AJ51))),"")</f>
        <v/>
      </c>
      <c r="AN51">
        <f>IF(AND(AC51="",AK51=""),AH51,IF(SUM(AC51,AH51,AK51)=0,"",SUM(AC51,AH51,AK51)))</f>
        <v/>
      </c>
      <c r="AY51">
        <f>IF(AB51="","",YEAR(AB51)+IF(MONTH(AB51)&gt;=5,1,0))</f>
        <v/>
      </c>
      <c r="AZ51">
        <f>IF(AB51="","",IF(AND(MONTH(AB51)=8,DAY(AB51)&gt;=15),"Fall",IF(MONTH(AB51)&gt;8,"Fall",IF(MONTH(AB51)=5,"Summer",IF(MONTH(AB51)=1,"Spring","")))))</f>
        <v/>
      </c>
      <c r="BC51" t="inlineStr">
        <is>
          <t>Badenas, Roberto D.</t>
        </is>
      </c>
      <c r="BD51">
        <f>IFERROR(INDEX('_names_lookup'!$C:$C,MATCH(BC51,'_names_lookup'!$A:$A,0)),"")</f>
        <v/>
      </c>
      <c r="BE51">
        <f>IFERROR(INDEX('_names_lookup'!$B:$B,MATCH(BC51,'_names_lookup'!$A:$A,0)),"")</f>
        <v/>
      </c>
      <c r="BV51" t="inlineStr">
        <is>
          <t>21-APR-25</t>
        </is>
      </c>
    </row>
    <row r="52">
      <c r="H52" t="inlineStr">
        <is>
          <t>1309-01</t>
        </is>
      </c>
      <c r="I52" t="inlineStr">
        <is>
          <t>2219</t>
        </is>
      </c>
      <c r="K52" t="inlineStr">
        <is>
          <t>565</t>
        </is>
      </c>
      <c r="N52">
        <f>IFERROR(INDEX('_courses_lookup'!$C:$C,MATCH(J52&amp;K52,'_courses_lookup'!$E:$E,0)),"")</f>
        <v/>
      </c>
      <c r="O52">
        <f>IFERROR(INDEX('_courses_lookup'!$D:$D,MATCH(J52&amp;K52,'_courses_lookup'!$E:$E,0)),"")</f>
        <v/>
      </c>
      <c r="AE52">
        <f>IFERROR(IF(AC52*AD52=0,"",AC52*AD52),"")</f>
        <v/>
      </c>
      <c r="AG52" t="inlineStr">
        <is>
          <t>31-MAY-25</t>
        </is>
      </c>
      <c r="AH52">
        <f>IF(AND(AF52&lt;&gt;"",AG52&lt;&gt;""),ROUNDUP((AG52-AF52)/7,0),"")</f>
        <v/>
      </c>
      <c r="AJ52">
        <f>IFERROR(IF(AH52*AI52=0,"",AH52*AI52),"")</f>
        <v/>
      </c>
      <c r="AL52">
        <f>IFERROR(IF((AO52-(AE52+AJ52))/AK52=0,"",ROUNDUP((AO52-(AE52+AJ52))/AK52,0)),"")</f>
        <v/>
      </c>
      <c r="AM52">
        <f>IFERROR(IF((AO52-(AE52+AJ52))=0,"",(AO52-(AE52+AJ52))),"")</f>
        <v/>
      </c>
      <c r="AN52">
        <f>IF(AND(AC52="",AK52=""),AH52,IF(SUM(AC52,AH52,AK52)=0,"",SUM(AC52,AH52,AK52)))</f>
        <v/>
      </c>
      <c r="AY52">
        <f>IF(AB52="","",YEAR(AB52)+IF(MONTH(AB52)&gt;=5,1,0))</f>
        <v/>
      </c>
      <c r="AZ52">
        <f>IF(AB52="","",IF(AND(MONTH(AB52)=8,DAY(AB52)&gt;=15),"Fall",IF(MONTH(AB52)&gt;8,"Fall",IF(MONTH(AB52)=5,"Summer",IF(MONTH(AB52)=1,"Spring","")))))</f>
        <v/>
      </c>
      <c r="BC52" t="inlineStr">
        <is>
          <t>Borda, Guilherme L.</t>
        </is>
      </c>
      <c r="BD52">
        <f>IFERROR(INDEX('_names_lookup'!$C:$C,MATCH(BC52,'_names_lookup'!$A:$A,0)),"")</f>
        <v/>
      </c>
      <c r="BE52">
        <f>IFERROR(INDEX('_names_lookup'!$B:$B,MATCH(BC52,'_names_lookup'!$A:$A,0)),"")</f>
        <v/>
      </c>
      <c r="BV52" t="inlineStr">
        <is>
          <t>21-FEB-25</t>
        </is>
      </c>
    </row>
    <row r="53">
      <c r="H53" t="inlineStr">
        <is>
          <t>1311-01</t>
        </is>
      </c>
      <c r="I53" t="inlineStr">
        <is>
          <t>2220</t>
        </is>
      </c>
      <c r="K53" t="inlineStr">
        <is>
          <t>566</t>
        </is>
      </c>
      <c r="N53">
        <f>IFERROR(INDEX('_courses_lookup'!$C:$C,MATCH(J53&amp;K53,'_courses_lookup'!$E:$E,0)),"")</f>
        <v/>
      </c>
      <c r="O53">
        <f>IFERROR(INDEX('_courses_lookup'!$D:$D,MATCH(J53&amp;K53,'_courses_lookup'!$E:$E,0)),"")</f>
        <v/>
      </c>
      <c r="AE53">
        <f>IFERROR(IF(AC53*AD53=0,"",AC53*AD53),"")</f>
        <v/>
      </c>
      <c r="AH53">
        <f>IF(AND(AF53&lt;&gt;"",AG53&lt;&gt;""),ROUNDUP((AG53-AF53)/7,0),"")</f>
        <v/>
      </c>
      <c r="AJ53">
        <f>IFERROR(IF(AH53*AI53=0,"",AH53*AI53),"")</f>
        <v/>
      </c>
      <c r="AL53">
        <f>IFERROR(IF((AO53-(AE53+AJ53))/AK53=0,"",ROUNDUP((AO53-(AE53+AJ53))/AK53,0)),"")</f>
        <v/>
      </c>
      <c r="AM53">
        <f>IFERROR(IF((AO53-(AE53+AJ53))=0,"",(AO53-(AE53+AJ53))),"")</f>
        <v/>
      </c>
      <c r="AN53">
        <f>IF(AND(AC53="",AK53=""),AH53,IF(SUM(AC53,AH53,AK53)=0,"",SUM(AC53,AH53,AK53)))</f>
        <v/>
      </c>
      <c r="AY53">
        <f>IF(AB53="","",YEAR(AB53)+IF(MONTH(AB53)&gt;=5,1,0))</f>
        <v/>
      </c>
      <c r="AZ53">
        <f>IF(AB53="","",IF(AND(MONTH(AB53)=8,DAY(AB53)&gt;=15),"Fall",IF(MONTH(AB53)&gt;8,"Fall",IF(MONTH(AB53)=5,"Summer",IF(MONTH(AB53)=1,"Spring","")))))</f>
        <v/>
      </c>
      <c r="BC53" t="inlineStr">
        <is>
          <t>Choi, Phuichun R.</t>
        </is>
      </c>
      <c r="BD53">
        <f>IFERROR(INDEX('_names_lookup'!$C:$C,MATCH(BC53,'_names_lookup'!$A:$A,0)),"")</f>
        <v/>
      </c>
      <c r="BE53">
        <f>IFERROR(INDEX('_names_lookup'!$B:$B,MATCH(BC53,'_names_lookup'!$A:$A,0)),"")</f>
        <v/>
      </c>
      <c r="BV53" t="inlineStr">
        <is>
          <t>21-JUL-25</t>
        </is>
      </c>
    </row>
    <row r="54">
      <c r="H54" t="inlineStr">
        <is>
          <t>1999-01</t>
        </is>
      </c>
      <c r="I54" t="inlineStr">
        <is>
          <t>2221</t>
        </is>
      </c>
      <c r="K54" t="inlineStr">
        <is>
          <t>567</t>
        </is>
      </c>
      <c r="N54">
        <f>IFERROR(INDEX('_courses_lookup'!$C:$C,MATCH(J54&amp;K54,'_courses_lookup'!$E:$E,0)),"")</f>
        <v/>
      </c>
      <c r="O54">
        <f>IFERROR(INDEX('_courses_lookup'!$D:$D,MATCH(J54&amp;K54,'_courses_lookup'!$E:$E,0)),"")</f>
        <v/>
      </c>
      <c r="AE54">
        <f>IFERROR(IF(AC54*AD54=0,"",AC54*AD54),"")</f>
        <v/>
      </c>
      <c r="AH54">
        <f>IF(AND(AF54&lt;&gt;"",AG54&lt;&gt;""),ROUNDUP((AG54-AF54)/7,0),"")</f>
        <v/>
      </c>
      <c r="AJ54">
        <f>IFERROR(IF(AH54*AI54=0,"",AH54*AI54),"")</f>
        <v/>
      </c>
      <c r="AL54">
        <f>IFERROR(IF((AO54-(AE54+AJ54))/AK54=0,"",ROUNDUP((AO54-(AE54+AJ54))/AK54,0)),"")</f>
        <v/>
      </c>
      <c r="AM54">
        <f>IFERROR(IF((AO54-(AE54+AJ54))=0,"",(AO54-(AE54+AJ54))),"")</f>
        <v/>
      </c>
      <c r="AN54">
        <f>IF(AND(AC54="",AK54=""),AH54,IF(SUM(AC54,AH54,AK54)=0,"",SUM(AC54,AH54,AK54)))</f>
        <v/>
      </c>
      <c r="AY54">
        <f>IF(AB54="","",YEAR(AB54)+IF(MONTH(AB54)&gt;=5,1,0))</f>
        <v/>
      </c>
      <c r="AZ54">
        <f>IF(AB54="","",IF(AND(MONTH(AB54)=8,DAY(AB54)&gt;=15),"Fall",IF(MONTH(AB54)&gt;8,"Fall",IF(MONTH(AB54)=5,"Summer",IF(MONTH(AB54)=1,"Spring","")))))</f>
        <v/>
      </c>
      <c r="BC54" t="inlineStr">
        <is>
          <t>Cortez, Felix H.</t>
        </is>
      </c>
      <c r="BD54">
        <f>IFERROR(INDEX('_names_lookup'!$C:$C,MATCH(BC54,'_names_lookup'!$A:$A,0)),"")</f>
        <v/>
      </c>
      <c r="BE54">
        <f>IFERROR(INDEX('_names_lookup'!$B:$B,MATCH(BC54,'_names_lookup'!$A:$A,0)),"")</f>
        <v/>
      </c>
      <c r="BV54" t="inlineStr">
        <is>
          <t>21-MAY-25</t>
        </is>
      </c>
    </row>
    <row r="55">
      <c r="H55" t="inlineStr">
        <is>
          <t>1999-02</t>
        </is>
      </c>
      <c r="I55" t="inlineStr">
        <is>
          <t>2241</t>
        </is>
      </c>
      <c r="K55" t="inlineStr">
        <is>
          <t>568</t>
        </is>
      </c>
      <c r="N55">
        <f>IFERROR(INDEX('_courses_lookup'!$C:$C,MATCH(J55&amp;K55,'_courses_lookup'!$E:$E,0)),"")</f>
        <v/>
      </c>
      <c r="O55">
        <f>IFERROR(INDEX('_courses_lookup'!$D:$D,MATCH(J55&amp;K55,'_courses_lookup'!$E:$E,0)),"")</f>
        <v/>
      </c>
      <c r="AE55">
        <f>IFERROR(IF(AC55*AD55=0,"",AC55*AD55),"")</f>
        <v/>
      </c>
      <c r="AH55">
        <f>IF(AND(AF55&lt;&gt;"",AG55&lt;&gt;""),ROUNDUP((AG55-AF55)/7,0),"")</f>
        <v/>
      </c>
      <c r="AJ55">
        <f>IFERROR(IF(AH55*AI55=0,"",AH55*AI55),"")</f>
        <v/>
      </c>
      <c r="AL55">
        <f>IFERROR(IF((AO55-(AE55+AJ55))/AK55=0,"",ROUNDUP((AO55-(AE55+AJ55))/AK55,0)),"")</f>
        <v/>
      </c>
      <c r="AM55">
        <f>IFERROR(IF((AO55-(AE55+AJ55))=0,"",(AO55-(AE55+AJ55))),"")</f>
        <v/>
      </c>
      <c r="AN55">
        <f>IF(AND(AC55="",AK55=""),AH55,IF(SUM(AC55,AH55,AK55)=0,"",SUM(AC55,AH55,AK55)))</f>
        <v/>
      </c>
      <c r="AY55">
        <f>IF(AB55="","",YEAR(AB55)+IF(MONTH(AB55)&gt;=5,1,0))</f>
        <v/>
      </c>
      <c r="AZ55">
        <f>IF(AB55="","",IF(AND(MONTH(AB55)=8,DAY(AB55)&gt;=15),"Fall",IF(MONTH(AB55)&gt;8,"Fall",IF(MONTH(AB55)=5,"Summer",IF(MONTH(AB55)=1,"Spring","")))))</f>
        <v/>
      </c>
      <c r="BC55" t="inlineStr">
        <is>
          <t>Ferreira, Jonatas L.</t>
        </is>
      </c>
      <c r="BD55">
        <f>IFERROR(INDEX('_names_lookup'!$C:$C,MATCH(BC55,'_names_lookup'!$A:$A,0)),"")</f>
        <v/>
      </c>
      <c r="BE55">
        <f>IFERROR(INDEX('_names_lookup'!$B:$B,MATCH(BC55,'_names_lookup'!$A:$A,0)),"")</f>
        <v/>
      </c>
      <c r="BV55" t="inlineStr">
        <is>
          <t>22-JUL-25</t>
        </is>
      </c>
    </row>
    <row r="56">
      <c r="H56" t="inlineStr">
        <is>
          <t>2005-01</t>
        </is>
      </c>
      <c r="I56" t="inlineStr">
        <is>
          <t>2252</t>
        </is>
      </c>
      <c r="K56" t="inlineStr">
        <is>
          <t>570</t>
        </is>
      </c>
      <c r="N56">
        <f>IFERROR(INDEX('_courses_lookup'!$C:$C,MATCH(J56&amp;K56,'_courses_lookup'!$E:$E,0)),"")</f>
        <v/>
      </c>
      <c r="O56">
        <f>IFERROR(INDEX('_courses_lookup'!$D:$D,MATCH(J56&amp;K56,'_courses_lookup'!$E:$E,0)),"")</f>
        <v/>
      </c>
      <c r="AE56">
        <f>IFERROR(IF(AC56*AD56=0,"",AC56*AD56),"")</f>
        <v/>
      </c>
      <c r="AH56">
        <f>IF(AND(AF56&lt;&gt;"",AG56&lt;&gt;""),ROUNDUP((AG56-AF56)/7,0),"")</f>
        <v/>
      </c>
      <c r="AJ56">
        <f>IFERROR(IF(AH56*AI56=0,"",AH56*AI56),"")</f>
        <v/>
      </c>
      <c r="AL56">
        <f>IFERROR(IF((AO56-(AE56+AJ56))/AK56=0,"",ROUNDUP((AO56-(AE56+AJ56))/AK56,0)),"")</f>
        <v/>
      </c>
      <c r="AM56">
        <f>IFERROR(IF((AO56-(AE56+AJ56))=0,"",(AO56-(AE56+AJ56))),"")</f>
        <v/>
      </c>
      <c r="AN56">
        <f>IF(AND(AC56="",AK56=""),AH56,IF(SUM(AC56,AH56,AK56)=0,"",SUM(AC56,AH56,AK56)))</f>
        <v/>
      </c>
      <c r="AY56">
        <f>IF(AB56="","",YEAR(AB56)+IF(MONTH(AB56)&gt;=5,1,0))</f>
        <v/>
      </c>
      <c r="AZ56">
        <f>IF(AB56="","",IF(AND(MONTH(AB56)=8,DAY(AB56)&gt;=15),"Fall",IF(MONTH(AB56)&gt;8,"Fall",IF(MONTH(AB56)=5,"Summer",IF(MONTH(AB56)=1,"Spring","")))))</f>
        <v/>
      </c>
      <c r="BC56" t="inlineStr">
        <is>
          <t>Festa, Sergio R.</t>
        </is>
      </c>
      <c r="BD56">
        <f>IFERROR(INDEX('_names_lookup'!$C:$C,MATCH(BC56,'_names_lookup'!$A:$A,0)),"")</f>
        <v/>
      </c>
      <c r="BE56">
        <f>IFERROR(INDEX('_names_lookup'!$B:$B,MATCH(BC56,'_names_lookup'!$A:$A,0)),"")</f>
        <v/>
      </c>
      <c r="BV56" t="inlineStr">
        <is>
          <t>22-JUN-25</t>
        </is>
      </c>
    </row>
    <row r="57">
      <c r="H57" t="inlineStr">
        <is>
          <t>2008-01</t>
        </is>
      </c>
      <c r="I57" t="inlineStr">
        <is>
          <t>2259</t>
        </is>
      </c>
      <c r="K57" t="inlineStr">
        <is>
          <t>571</t>
        </is>
      </c>
      <c r="N57">
        <f>IFERROR(INDEX('_courses_lookup'!$C:$C,MATCH(J57&amp;K57,'_courses_lookup'!$E:$E,0)),"")</f>
        <v/>
      </c>
      <c r="O57">
        <f>IFERROR(INDEX('_courses_lookup'!$D:$D,MATCH(J57&amp;K57,'_courses_lookup'!$E:$E,0)),"")</f>
        <v/>
      </c>
      <c r="AE57">
        <f>IFERROR(IF(AC57*AD57=0,"",AC57*AD57),"")</f>
        <v/>
      </c>
      <c r="AH57">
        <f>IF(AND(AF57&lt;&gt;"",AG57&lt;&gt;""),ROUNDUP((AG57-AF57)/7,0),"")</f>
        <v/>
      </c>
      <c r="AJ57">
        <f>IFERROR(IF(AH57*AI57=0,"",AH57*AI57),"")</f>
        <v/>
      </c>
      <c r="AL57">
        <f>IFERROR(IF((AO57-(AE57+AJ57))/AK57=0,"",ROUNDUP((AO57-(AE57+AJ57))/AK57,0)),"")</f>
        <v/>
      </c>
      <c r="AM57">
        <f>IFERROR(IF((AO57-(AE57+AJ57))=0,"",(AO57-(AE57+AJ57))),"")</f>
        <v/>
      </c>
      <c r="AN57">
        <f>IF(AND(AC57="",AK57=""),AH57,IF(SUM(AC57,AH57,AK57)=0,"",SUM(AC57,AH57,AK57)))</f>
        <v/>
      </c>
      <c r="AY57">
        <f>IF(AB57="","",YEAR(AB57)+IF(MONTH(AB57)&gt;=5,1,0))</f>
        <v/>
      </c>
      <c r="AZ57">
        <f>IF(AB57="","",IF(AND(MONTH(AB57)=8,DAY(AB57)&gt;=15),"Fall",IF(MONTH(AB57)&gt;8,"Fall",IF(MONTH(AB57)=5,"Summer",IF(MONTH(AB57)=1,"Spring","")))))</f>
        <v/>
      </c>
      <c r="BC57" t="inlineStr">
        <is>
          <t>Gallos, Erhard H.</t>
        </is>
      </c>
      <c r="BD57">
        <f>IFERROR(INDEX('_names_lookup'!$C:$C,MATCH(BC57,'_names_lookup'!$A:$A,0)),"")</f>
        <v/>
      </c>
      <c r="BE57">
        <f>IFERROR(INDEX('_names_lookup'!$B:$B,MATCH(BC57,'_names_lookup'!$A:$A,0)),"")</f>
        <v/>
      </c>
      <c r="BV57" t="inlineStr">
        <is>
          <t>22-MAY-25</t>
        </is>
      </c>
    </row>
    <row r="58">
      <c r="H58" t="inlineStr">
        <is>
          <t>2013-01</t>
        </is>
      </c>
      <c r="I58" t="inlineStr">
        <is>
          <t>2260</t>
        </is>
      </c>
      <c r="K58" t="inlineStr">
        <is>
          <t>574</t>
        </is>
      </c>
      <c r="N58">
        <f>IFERROR(INDEX('_courses_lookup'!$C:$C,MATCH(J58&amp;K58,'_courses_lookup'!$E:$E,0)),"")</f>
        <v/>
      </c>
      <c r="O58">
        <f>IFERROR(INDEX('_courses_lookup'!$D:$D,MATCH(J58&amp;K58,'_courses_lookup'!$E:$E,0)),"")</f>
        <v/>
      </c>
      <c r="AE58">
        <f>IFERROR(IF(AC58*AD58=0,"",AC58*AD58),"")</f>
        <v/>
      </c>
      <c r="AH58">
        <f>IF(AND(AF58&lt;&gt;"",AG58&lt;&gt;""),ROUNDUP((AG58-AF58)/7,0),"")</f>
        <v/>
      </c>
      <c r="AJ58">
        <f>IFERROR(IF(AH58*AI58=0,"",AH58*AI58),"")</f>
        <v/>
      </c>
      <c r="AL58">
        <f>IFERROR(IF((AO58-(AE58+AJ58))/AK58=0,"",ROUNDUP((AO58-(AE58+AJ58))/AK58,0)),"")</f>
        <v/>
      </c>
      <c r="AM58">
        <f>IFERROR(IF((AO58-(AE58+AJ58))=0,"",(AO58-(AE58+AJ58))),"")</f>
        <v/>
      </c>
      <c r="AN58">
        <f>IF(AND(AC58="",AK58=""),AH58,IF(SUM(AC58,AH58,AK58)=0,"",SUM(AC58,AH58,AK58)))</f>
        <v/>
      </c>
      <c r="AY58">
        <f>IF(AB58="","",YEAR(AB58)+IF(MONTH(AB58)&gt;=5,1,0))</f>
        <v/>
      </c>
      <c r="AZ58">
        <f>IF(AB58="","",IF(AND(MONTH(AB58)=8,DAY(AB58)&gt;=15),"Fall",IF(MONTH(AB58)&gt;8,"Fall",IF(MONTH(AB58)=5,"Summer",IF(MONTH(AB58)=1,"Spring","")))))</f>
        <v/>
      </c>
      <c r="BC58" t="inlineStr">
        <is>
          <t>Gallusz, Laszlo</t>
        </is>
      </c>
      <c r="BD58">
        <f>IFERROR(INDEX('_names_lookup'!$C:$C,MATCH(BC58,'_names_lookup'!$A:$A,0)),"")</f>
        <v/>
      </c>
      <c r="BE58">
        <f>IFERROR(INDEX('_names_lookup'!$B:$B,MATCH(BC58,'_names_lookup'!$A:$A,0)),"")</f>
        <v/>
      </c>
      <c r="BV58" t="inlineStr">
        <is>
          <t>23-APR-25</t>
        </is>
      </c>
    </row>
    <row r="59">
      <c r="H59" t="inlineStr">
        <is>
          <t>2022-01</t>
        </is>
      </c>
      <c r="I59" t="inlineStr">
        <is>
          <t>2261</t>
        </is>
      </c>
      <c r="K59" t="inlineStr">
        <is>
          <t>575</t>
        </is>
      </c>
      <c r="N59">
        <f>IFERROR(INDEX('_courses_lookup'!$C:$C,MATCH(J59&amp;K59,'_courses_lookup'!$E:$E,0)),"")</f>
        <v/>
      </c>
      <c r="O59">
        <f>IFERROR(INDEX('_courses_lookup'!$D:$D,MATCH(J59&amp;K59,'_courses_lookup'!$E:$E,0)),"")</f>
        <v/>
      </c>
      <c r="AE59">
        <f>IFERROR(IF(AC59*AD59=0,"",AC59*AD59),"")</f>
        <v/>
      </c>
      <c r="AH59">
        <f>IF(AND(AF59&lt;&gt;"",AG59&lt;&gt;""),ROUNDUP((AG59-AF59)/7,0),"")</f>
        <v/>
      </c>
      <c r="AJ59">
        <f>IFERROR(IF(AH59*AI59=0,"",AH59*AI59),"")</f>
        <v/>
      </c>
      <c r="AL59">
        <f>IFERROR(IF((AO59-(AE59+AJ59))/AK59=0,"",ROUNDUP((AO59-(AE59+AJ59))/AK59,0)),"")</f>
        <v/>
      </c>
      <c r="AM59">
        <f>IFERROR(IF((AO59-(AE59+AJ59))=0,"",(AO59-(AE59+AJ59))),"")</f>
        <v/>
      </c>
      <c r="AN59">
        <f>IF(AND(AC59="",AK59=""),AH59,IF(SUM(AC59,AH59,AK59)=0,"",SUM(AC59,AH59,AK59)))</f>
        <v/>
      </c>
      <c r="AY59">
        <f>IF(AB59="","",YEAR(AB59)+IF(MONTH(AB59)&gt;=5,1,0))</f>
        <v/>
      </c>
      <c r="AZ59">
        <f>IF(AB59="","",IF(AND(MONTH(AB59)=8,DAY(AB59)&gt;=15),"Fall",IF(MONTH(AB59)&gt;8,"Fall",IF(MONTH(AB59)=5,"Summer",IF(MONTH(AB59)=1,"Spring","")))))</f>
        <v/>
      </c>
      <c r="BC59" t="inlineStr">
        <is>
          <t>Grzeskowiak, Adam</t>
        </is>
      </c>
      <c r="BD59">
        <f>IFERROR(INDEX('_names_lookup'!$C:$C,MATCH(BC59,'_names_lookup'!$A:$A,0)),"")</f>
        <v/>
      </c>
      <c r="BE59">
        <f>IFERROR(INDEX('_names_lookup'!$B:$B,MATCH(BC59,'_names_lookup'!$A:$A,0)),"")</f>
        <v/>
      </c>
      <c r="BV59" t="inlineStr">
        <is>
          <t>23-JUL-25</t>
        </is>
      </c>
    </row>
    <row r="60">
      <c r="H60" t="inlineStr">
        <is>
          <t>2022-02</t>
        </is>
      </c>
      <c r="I60" t="inlineStr">
        <is>
          <t>2265</t>
        </is>
      </c>
      <c r="K60" t="inlineStr">
        <is>
          <t>584</t>
        </is>
      </c>
      <c r="N60">
        <f>IFERROR(INDEX('_courses_lookup'!$C:$C,MATCH(J60&amp;K60,'_courses_lookup'!$E:$E,0)),"")</f>
        <v/>
      </c>
      <c r="O60">
        <f>IFERROR(INDEX('_courses_lookup'!$D:$D,MATCH(J60&amp;K60,'_courses_lookup'!$E:$E,0)),"")</f>
        <v/>
      </c>
      <c r="AE60">
        <f>IFERROR(IF(AC60*AD60=0,"",AC60*AD60),"")</f>
        <v/>
      </c>
      <c r="AH60">
        <f>IF(AND(AF60&lt;&gt;"",AG60&lt;&gt;""),ROUNDUP((AG60-AF60)/7,0),"")</f>
        <v/>
      </c>
      <c r="AJ60">
        <f>IFERROR(IF(AH60*AI60=0,"",AH60*AI60),"")</f>
        <v/>
      </c>
      <c r="AL60">
        <f>IFERROR(IF((AO60-(AE60+AJ60))/AK60=0,"",ROUNDUP((AO60-(AE60+AJ60))/AK60,0)),"")</f>
        <v/>
      </c>
      <c r="AM60">
        <f>IFERROR(IF((AO60-(AE60+AJ60))=0,"",(AO60-(AE60+AJ60))),"")</f>
        <v/>
      </c>
      <c r="AN60">
        <f>IF(AND(AC60="",AK60=""),AH60,IF(SUM(AC60,AH60,AK60)=0,"",SUM(AC60,AH60,AK60)))</f>
        <v/>
      </c>
      <c r="AY60">
        <f>IF(AB60="","",YEAR(AB60)+IF(MONTH(AB60)&gt;=5,1,0))</f>
        <v/>
      </c>
      <c r="AZ60">
        <f>IF(AB60="","",IF(AND(MONTH(AB60)=8,DAY(AB60)&gt;=15),"Fall",IF(MONTH(AB60)&gt;8,"Fall",IF(MONTH(AB60)=5,"Summer",IF(MONTH(AB60)=1,"Spring","")))))</f>
        <v/>
      </c>
      <c r="BC60" t="inlineStr">
        <is>
          <t>Hernandez, Angel M.</t>
        </is>
      </c>
      <c r="BD60">
        <f>IFERROR(INDEX('_names_lookup'!$C:$C,MATCH(BC60,'_names_lookup'!$A:$A,0)),"")</f>
        <v/>
      </c>
      <c r="BE60">
        <f>IFERROR(INDEX('_names_lookup'!$B:$B,MATCH(BC60,'_names_lookup'!$A:$A,0)),"")</f>
        <v/>
      </c>
      <c r="BV60" t="inlineStr">
        <is>
          <t>23-MAY-25</t>
        </is>
      </c>
    </row>
    <row r="61">
      <c r="H61" t="inlineStr">
        <is>
          <t>2024-01</t>
        </is>
      </c>
      <c r="I61" t="inlineStr">
        <is>
          <t>2267</t>
        </is>
      </c>
      <c r="K61" t="inlineStr">
        <is>
          <t>585</t>
        </is>
      </c>
      <c r="N61">
        <f>IFERROR(INDEX('_courses_lookup'!$C:$C,MATCH(J61&amp;K61,'_courses_lookup'!$E:$E,0)),"")</f>
        <v/>
      </c>
      <c r="O61">
        <f>IFERROR(INDEX('_courses_lookup'!$D:$D,MATCH(J61&amp;K61,'_courses_lookup'!$E:$E,0)),"")</f>
        <v/>
      </c>
      <c r="AE61">
        <f>IFERROR(IF(AC61*AD61=0,"",AC61*AD61),"")</f>
        <v/>
      </c>
      <c r="AH61">
        <f>IF(AND(AF61&lt;&gt;"",AG61&lt;&gt;""),ROUNDUP((AG61-AF61)/7,0),"")</f>
        <v/>
      </c>
      <c r="AJ61">
        <f>IFERROR(IF(AH61*AI61=0,"",AH61*AI61),"")</f>
        <v/>
      </c>
      <c r="AL61">
        <f>IFERROR(IF((AO61-(AE61+AJ61))/AK61=0,"",ROUNDUP((AO61-(AE61+AJ61))/AK61,0)),"")</f>
        <v/>
      </c>
      <c r="AM61">
        <f>IFERROR(IF((AO61-(AE61+AJ61))=0,"",(AO61-(AE61+AJ61))),"")</f>
        <v/>
      </c>
      <c r="AN61">
        <f>IF(AND(AC61="",AK61=""),AH61,IF(SUM(AC61,AH61,AK61)=0,"",SUM(AC61,AH61,AK61)))</f>
        <v/>
      </c>
      <c r="AY61">
        <f>IF(AB61="","",YEAR(AB61)+IF(MONTH(AB61)&gt;=5,1,0))</f>
        <v/>
      </c>
      <c r="AZ61">
        <f>IF(AB61="","",IF(AND(MONTH(AB61)=8,DAY(AB61)&gt;=15),"Fall",IF(MONTH(AB61)&gt;8,"Fall",IF(MONTH(AB61)=5,"Summer",IF(MONTH(AB61)=1,"Spring","")))))</f>
        <v/>
      </c>
      <c r="BC61" t="inlineStr">
        <is>
          <t>Huss, Rajan P.</t>
        </is>
      </c>
      <c r="BD61">
        <f>IFERROR(INDEX('_names_lookup'!$C:$C,MATCH(BC61,'_names_lookup'!$A:$A,0)),"")</f>
        <v/>
      </c>
      <c r="BE61">
        <f>IFERROR(INDEX('_names_lookup'!$B:$B,MATCH(BC61,'_names_lookup'!$A:$A,0)),"")</f>
        <v/>
      </c>
      <c r="BV61" t="inlineStr">
        <is>
          <t>24-APR-25</t>
        </is>
      </c>
    </row>
    <row r="62">
      <c r="H62" t="inlineStr">
        <is>
          <t>2024-02</t>
        </is>
      </c>
      <c r="I62" t="inlineStr">
        <is>
          <t>2270</t>
        </is>
      </c>
      <c r="K62" t="inlineStr">
        <is>
          <t>586</t>
        </is>
      </c>
      <c r="N62">
        <f>IFERROR(INDEX('_courses_lookup'!$C:$C,MATCH(J62&amp;K62,'_courses_lookup'!$E:$E,0)),"")</f>
        <v/>
      </c>
      <c r="O62">
        <f>IFERROR(INDEX('_courses_lookup'!$D:$D,MATCH(J62&amp;K62,'_courses_lookup'!$E:$E,0)),"")</f>
        <v/>
      </c>
      <c r="AE62">
        <f>IFERROR(IF(AC62*AD62=0,"",AC62*AD62),"")</f>
        <v/>
      </c>
      <c r="AH62">
        <f>IF(AND(AF62&lt;&gt;"",AG62&lt;&gt;""),ROUNDUP((AG62-AF62)/7,0),"")</f>
        <v/>
      </c>
      <c r="AJ62">
        <f>IFERROR(IF(AH62*AI62=0,"",AH62*AI62),"")</f>
        <v/>
      </c>
      <c r="AL62">
        <f>IFERROR(IF((AO62-(AE62+AJ62))/AK62=0,"",ROUNDUP((AO62-(AE62+AJ62))/AK62,0)),"")</f>
        <v/>
      </c>
      <c r="AM62">
        <f>IFERROR(IF((AO62-(AE62+AJ62))=0,"",(AO62-(AE62+AJ62))),"")</f>
        <v/>
      </c>
      <c r="AN62">
        <f>IF(AND(AC62="",AK62=""),AH62,IF(SUM(AC62,AH62,AK62)=0,"",SUM(AC62,AH62,AK62)))</f>
        <v/>
      </c>
      <c r="AY62">
        <f>IF(AB62="","",YEAR(AB62)+IF(MONTH(AB62)&gt;=5,1,0))</f>
        <v/>
      </c>
      <c r="AZ62">
        <f>IF(AB62="","",IF(AND(MONTH(AB62)=8,DAY(AB62)&gt;=15),"Fall",IF(MONTH(AB62)&gt;8,"Fall",IF(MONTH(AB62)=5,"Summer",IF(MONTH(AB62)=1,"Spring","")))))</f>
        <v/>
      </c>
      <c r="BC62" t="inlineStr">
        <is>
          <t>Johnston, Robert M.</t>
        </is>
      </c>
      <c r="BD62">
        <f>IFERROR(INDEX('_names_lookup'!$C:$C,MATCH(BC62,'_names_lookup'!$A:$A,0)),"")</f>
        <v/>
      </c>
      <c r="BE62">
        <f>IFERROR(INDEX('_names_lookup'!$B:$B,MATCH(BC62,'_names_lookup'!$A:$A,0)),"")</f>
        <v/>
      </c>
      <c r="BV62" t="inlineStr">
        <is>
          <t>25-APR-25</t>
        </is>
      </c>
    </row>
    <row r="63">
      <c r="H63" t="inlineStr">
        <is>
          <t>2161-01</t>
        </is>
      </c>
      <c r="I63" t="inlineStr">
        <is>
          <t>2271</t>
        </is>
      </c>
      <c r="K63" t="inlineStr">
        <is>
          <t>587</t>
        </is>
      </c>
      <c r="N63">
        <f>IFERROR(INDEX('_courses_lookup'!$C:$C,MATCH(J63&amp;K63,'_courses_lookup'!$E:$E,0)),"")</f>
        <v/>
      </c>
      <c r="O63">
        <f>IFERROR(INDEX('_courses_lookup'!$D:$D,MATCH(J63&amp;K63,'_courses_lookup'!$E:$E,0)),"")</f>
        <v/>
      </c>
      <c r="AE63">
        <f>IFERROR(IF(AC63*AD63=0,"",AC63*AD63),"")</f>
        <v/>
      </c>
      <c r="AH63">
        <f>IF(AND(AF63&lt;&gt;"",AG63&lt;&gt;""),ROUNDUP((AG63-AF63)/7,0),"")</f>
        <v/>
      </c>
      <c r="AJ63">
        <f>IFERROR(IF(AH63*AI63=0,"",AH63*AI63),"")</f>
        <v/>
      </c>
      <c r="AL63">
        <f>IFERROR(IF((AO63-(AE63+AJ63))/AK63=0,"",ROUNDUP((AO63-(AE63+AJ63))/AK63,0)),"")</f>
        <v/>
      </c>
      <c r="AM63">
        <f>IFERROR(IF((AO63-(AE63+AJ63))=0,"",(AO63-(AE63+AJ63))),"")</f>
        <v/>
      </c>
      <c r="AN63">
        <f>IF(AND(AC63="",AK63=""),AH63,IF(SUM(AC63,AH63,AK63)=0,"",SUM(AC63,AH63,AK63)))</f>
        <v/>
      </c>
      <c r="AY63">
        <f>IF(AB63="","",YEAR(AB63)+IF(MONTH(AB63)&gt;=5,1,0))</f>
        <v/>
      </c>
      <c r="AZ63">
        <f>IF(AB63="","",IF(AND(MONTH(AB63)=8,DAY(AB63)&gt;=15),"Fall",IF(MONTH(AB63)&gt;8,"Fall",IF(MONTH(AB63)=5,"Summer",IF(MONTH(AB63)=1,"Spring","")))))</f>
        <v/>
      </c>
      <c r="BC63" t="inlineStr">
        <is>
          <t>Kondrat, Stanislav</t>
        </is>
      </c>
      <c r="BD63">
        <f>IFERROR(INDEX('_names_lookup'!$C:$C,MATCH(BC63,'_names_lookup'!$A:$A,0)),"")</f>
        <v/>
      </c>
      <c r="BE63">
        <f>IFERROR(INDEX('_names_lookup'!$B:$B,MATCH(BC63,'_names_lookup'!$A:$A,0)),"")</f>
        <v/>
      </c>
      <c r="BV63" t="inlineStr">
        <is>
          <t>25-JUN-25</t>
        </is>
      </c>
    </row>
    <row r="64">
      <c r="H64" t="inlineStr">
        <is>
          <t>2173-01</t>
        </is>
      </c>
      <c r="I64" t="inlineStr">
        <is>
          <t>2293</t>
        </is>
      </c>
      <c r="K64" t="inlineStr">
        <is>
          <t>588</t>
        </is>
      </c>
      <c r="N64">
        <f>IFERROR(INDEX('_courses_lookup'!$C:$C,MATCH(J64&amp;K64,'_courses_lookup'!$E:$E,0)),"")</f>
        <v/>
      </c>
      <c r="O64">
        <f>IFERROR(INDEX('_courses_lookup'!$D:$D,MATCH(J64&amp;K64,'_courses_lookup'!$E:$E,0)),"")</f>
        <v/>
      </c>
      <c r="AE64">
        <f>IFERROR(IF(AC64*AD64=0,"",AC64*AD64),"")</f>
        <v/>
      </c>
      <c r="AH64">
        <f>IF(AND(AF64&lt;&gt;"",AG64&lt;&gt;""),ROUNDUP((AG64-AF64)/7,0),"")</f>
        <v/>
      </c>
      <c r="AJ64">
        <f>IFERROR(IF(AH64*AI64=0,"",AH64*AI64),"")</f>
        <v/>
      </c>
      <c r="AL64">
        <f>IFERROR(IF((AO64-(AE64+AJ64))/AK64=0,"",ROUNDUP((AO64-(AE64+AJ64))/AK64,0)),"")</f>
        <v/>
      </c>
      <c r="AM64">
        <f>IFERROR(IF((AO64-(AE64+AJ64))=0,"",(AO64-(AE64+AJ64))),"")</f>
        <v/>
      </c>
      <c r="AN64">
        <f>IF(AND(AC64="",AK64=""),AH64,IF(SUM(AC64,AH64,AK64)=0,"",SUM(AC64,AH64,AK64)))</f>
        <v/>
      </c>
      <c r="AY64">
        <f>IF(AB64="","",YEAR(AB64)+IF(MONTH(AB64)&gt;=5,1,0))</f>
        <v/>
      </c>
      <c r="AZ64">
        <f>IF(AB64="","",IF(AND(MONTH(AB64)=8,DAY(AB64)&gt;=15),"Fall",IF(MONTH(AB64)&gt;8,"Fall",IF(MONTH(AB64)=5,"Summer",IF(MONTH(AB64)=1,"Spring","")))))</f>
        <v/>
      </c>
      <c r="BC64" t="inlineStr">
        <is>
          <t>Kostyuk, Oleg</t>
        </is>
      </c>
      <c r="BD64">
        <f>IFERROR(INDEX('_names_lookup'!$C:$C,MATCH(BC64,'_names_lookup'!$A:$A,0)),"")</f>
        <v/>
      </c>
      <c r="BE64">
        <f>IFERROR(INDEX('_names_lookup'!$B:$B,MATCH(BC64,'_names_lookup'!$A:$A,0)),"")</f>
        <v/>
      </c>
      <c r="BV64" t="inlineStr">
        <is>
          <t>26-AUG-25</t>
        </is>
      </c>
    </row>
    <row r="65">
      <c r="H65" t="inlineStr">
        <is>
          <t>2199-01</t>
        </is>
      </c>
      <c r="I65" t="inlineStr">
        <is>
          <t>2301</t>
        </is>
      </c>
      <c r="K65" t="inlineStr">
        <is>
          <t>590</t>
        </is>
      </c>
      <c r="N65">
        <f>IFERROR(INDEX('_courses_lookup'!$C:$C,MATCH(J65&amp;K65,'_courses_lookup'!$E:$E,0)),"")</f>
        <v/>
      </c>
      <c r="O65">
        <f>IFERROR(INDEX('_courses_lookup'!$D:$D,MATCH(J65&amp;K65,'_courses_lookup'!$E:$E,0)),"")</f>
        <v/>
      </c>
      <c r="AE65">
        <f>IFERROR(IF(AC65*AD65=0,"",AC65*AD65),"")</f>
        <v/>
      </c>
      <c r="AH65">
        <f>IF(AND(AF65&lt;&gt;"",AG65&lt;&gt;""),ROUNDUP((AG65-AF65)/7,0),"")</f>
        <v/>
      </c>
      <c r="AJ65">
        <f>IFERROR(IF(AH65*AI65=0,"",AH65*AI65),"")</f>
        <v/>
      </c>
      <c r="AL65">
        <f>IFERROR(IF((AO65-(AE65+AJ65))/AK65=0,"",ROUNDUP((AO65-(AE65+AJ65))/AK65,0)),"")</f>
        <v/>
      </c>
      <c r="AM65">
        <f>IFERROR(IF((AO65-(AE65+AJ65))=0,"",(AO65-(AE65+AJ65))),"")</f>
        <v/>
      </c>
      <c r="AN65">
        <f>IF(AND(AC65="",AK65=""),AH65,IF(SUM(AC65,AH65,AK65)=0,"",SUM(AC65,AH65,AK65)))</f>
        <v/>
      </c>
      <c r="AY65">
        <f>IF(AB65="","",YEAR(AB65)+IF(MONTH(AB65)&gt;=5,1,0))</f>
        <v/>
      </c>
      <c r="AZ65">
        <f>IF(AB65="","",IF(AND(MONTH(AB65)=8,DAY(AB65)&gt;=15),"Fall",IF(MONTH(AB65)&gt;8,"Fall",IF(MONTH(AB65)=5,"Summer",IF(MONTH(AB65)=1,"Spring","")))))</f>
        <v/>
      </c>
      <c r="BC65" t="inlineStr">
        <is>
          <t>Kuryliak, Bohdan</t>
        </is>
      </c>
      <c r="BD65">
        <f>IFERROR(INDEX('_names_lookup'!$C:$C,MATCH(BC65,'_names_lookup'!$A:$A,0)),"")</f>
        <v/>
      </c>
      <c r="BE65">
        <f>IFERROR(INDEX('_names_lookup'!$B:$B,MATCH(BC65,'_names_lookup'!$A:$A,0)),"")</f>
        <v/>
      </c>
      <c r="BV65" t="inlineStr">
        <is>
          <t>26-JUN-25</t>
        </is>
      </c>
    </row>
    <row r="66">
      <c r="H66" t="inlineStr">
        <is>
          <t>2200-01</t>
        </is>
      </c>
      <c r="I66" t="inlineStr">
        <is>
          <t>2302</t>
        </is>
      </c>
      <c r="K66" t="inlineStr">
        <is>
          <t>600</t>
        </is>
      </c>
      <c r="N66">
        <f>IFERROR(INDEX('_courses_lookup'!$C:$C,MATCH(J66&amp;K66,'_courses_lookup'!$E:$E,0)),"")</f>
        <v/>
      </c>
      <c r="O66">
        <f>IFERROR(INDEX('_courses_lookup'!$D:$D,MATCH(J66&amp;K66,'_courses_lookup'!$E:$E,0)),"")</f>
        <v/>
      </c>
      <c r="AE66">
        <f>IFERROR(IF(AC66*AD66=0,"",AC66*AD66),"")</f>
        <v/>
      </c>
      <c r="AH66">
        <f>IF(AND(AF66&lt;&gt;"",AG66&lt;&gt;""),ROUNDUP((AG66-AF66)/7,0),"")</f>
        <v/>
      </c>
      <c r="AJ66">
        <f>IFERROR(IF(AH66*AI66=0,"",AH66*AI66),"")</f>
        <v/>
      </c>
      <c r="AL66">
        <f>IFERROR(IF((AO66-(AE66+AJ66))/AK66=0,"",ROUNDUP((AO66-(AE66+AJ66))/AK66,0)),"")</f>
        <v/>
      </c>
      <c r="AM66">
        <f>IFERROR(IF((AO66-(AE66+AJ66))=0,"",(AO66-(AE66+AJ66))),"")</f>
        <v/>
      </c>
      <c r="AN66">
        <f>IF(AND(AC66="",AK66=""),AH66,IF(SUM(AC66,AH66,AK66)=0,"",SUM(AC66,AH66,AK66)))</f>
        <v/>
      </c>
      <c r="AY66">
        <f>IF(AB66="","",YEAR(AB66)+IF(MONTH(AB66)&gt;=5,1,0))</f>
        <v/>
      </c>
      <c r="AZ66">
        <f>IF(AB66="","",IF(AND(MONTH(AB66)=8,DAY(AB66)&gt;=15),"Fall",IF(MONTH(AB66)&gt;8,"Fall",IF(MONTH(AB66)=5,"Summer",IF(MONTH(AB66)=1,"Spring","")))))</f>
        <v/>
      </c>
      <c r="BC66" t="inlineStr">
        <is>
          <t>Kwon, Timothy B.</t>
        </is>
      </c>
      <c r="BD66">
        <f>IFERROR(INDEX('_names_lookup'!$C:$C,MATCH(BC66,'_names_lookup'!$A:$A,0)),"")</f>
        <v/>
      </c>
      <c r="BE66">
        <f>IFERROR(INDEX('_names_lookup'!$B:$B,MATCH(BC66,'_names_lookup'!$A:$A,0)),"")</f>
        <v/>
      </c>
      <c r="BV66" t="inlineStr">
        <is>
          <t>26-MAY-25</t>
        </is>
      </c>
    </row>
    <row r="67">
      <c r="H67" t="inlineStr">
        <is>
          <t>2204-01</t>
        </is>
      </c>
      <c r="I67" t="inlineStr">
        <is>
          <t>2310</t>
        </is>
      </c>
      <c r="K67" t="inlineStr">
        <is>
          <t>601</t>
        </is>
      </c>
      <c r="N67">
        <f>IFERROR(INDEX('_courses_lookup'!$C:$C,MATCH(J67&amp;K67,'_courses_lookup'!$E:$E,0)),"")</f>
        <v/>
      </c>
      <c r="O67">
        <f>IFERROR(INDEX('_courses_lookup'!$D:$D,MATCH(J67&amp;K67,'_courses_lookup'!$E:$E,0)),"")</f>
        <v/>
      </c>
      <c r="AE67">
        <f>IFERROR(IF(AC67*AD67=0,"",AC67*AD67),"")</f>
        <v/>
      </c>
      <c r="AH67">
        <f>IF(AND(AF67&lt;&gt;"",AG67&lt;&gt;""),ROUNDUP((AG67-AF67)/7,0),"")</f>
        <v/>
      </c>
      <c r="AJ67">
        <f>IFERROR(IF(AH67*AI67=0,"",AH67*AI67),"")</f>
        <v/>
      </c>
      <c r="AL67">
        <f>IFERROR(IF((AO67-(AE67+AJ67))/AK67=0,"",ROUNDUP((AO67-(AE67+AJ67))/AK67,0)),"")</f>
        <v/>
      </c>
      <c r="AM67">
        <f>IFERROR(IF((AO67-(AE67+AJ67))=0,"",(AO67-(AE67+AJ67))),"")</f>
        <v/>
      </c>
      <c r="AN67">
        <f>IF(AND(AC67="",AK67=""),AH67,IF(SUM(AC67,AH67,AK67)=0,"",SUM(AC67,AH67,AK67)))</f>
        <v/>
      </c>
      <c r="AY67">
        <f>IF(AB67="","",YEAR(AB67)+IF(MONTH(AB67)&gt;=5,1,0))</f>
        <v/>
      </c>
      <c r="AZ67">
        <f>IF(AB67="","",IF(AND(MONTH(AB67)=8,DAY(AB67)&gt;=15),"Fall",IF(MONTH(AB67)&gt;8,"Fall",IF(MONTH(AB67)=5,"Summer",IF(MONTH(AB67)=1,"Spring","")))))</f>
        <v/>
      </c>
      <c r="BC67" t="inlineStr">
        <is>
          <t>Lichtenwalter, Larry L.</t>
        </is>
      </c>
      <c r="BD67">
        <f>IFERROR(INDEX('_names_lookup'!$C:$C,MATCH(BC67,'_names_lookup'!$A:$A,0)),"")</f>
        <v/>
      </c>
      <c r="BE67">
        <f>IFERROR(INDEX('_names_lookup'!$B:$B,MATCH(BC67,'_names_lookup'!$A:$A,0)),"")</f>
        <v/>
      </c>
      <c r="BV67" t="inlineStr">
        <is>
          <t>27-APR-25</t>
        </is>
      </c>
    </row>
    <row r="68">
      <c r="H68" t="inlineStr">
        <is>
          <t>2212-01</t>
        </is>
      </c>
      <c r="I68" t="inlineStr">
        <is>
          <t>2384</t>
        </is>
      </c>
      <c r="K68" t="inlineStr">
        <is>
          <t>602</t>
        </is>
      </c>
      <c r="N68">
        <f>IFERROR(INDEX('_courses_lookup'!$C:$C,MATCH(J68&amp;K68,'_courses_lookup'!$E:$E,0)),"")</f>
        <v/>
      </c>
      <c r="O68">
        <f>IFERROR(INDEX('_courses_lookup'!$D:$D,MATCH(J68&amp;K68,'_courses_lookup'!$E:$E,0)),"")</f>
        <v/>
      </c>
      <c r="AE68">
        <f>IFERROR(IF(AC68*AD68=0,"",AC68*AD68),"")</f>
        <v/>
      </c>
      <c r="AH68">
        <f>IF(AND(AF68&lt;&gt;"",AG68&lt;&gt;""),ROUNDUP((AG68-AF68)/7,0),"")</f>
        <v/>
      </c>
      <c r="AJ68">
        <f>IFERROR(IF(AH68*AI68=0,"",AH68*AI68),"")</f>
        <v/>
      </c>
      <c r="AL68">
        <f>IFERROR(IF((AO68-(AE68+AJ68))/AK68=0,"",ROUNDUP((AO68-(AE68+AJ68))/AK68,0)),"")</f>
        <v/>
      </c>
      <c r="AM68">
        <f>IFERROR(IF((AO68-(AE68+AJ68))=0,"",(AO68-(AE68+AJ68))),"")</f>
        <v/>
      </c>
      <c r="AN68">
        <f>IF(AND(AC68="",AK68=""),AH68,IF(SUM(AC68,AH68,AK68)=0,"",SUM(AC68,AH68,AK68)))</f>
        <v/>
      </c>
      <c r="AY68">
        <f>IF(AB68="","",YEAR(AB68)+IF(MONTH(AB68)&gt;=5,1,0))</f>
        <v/>
      </c>
      <c r="AZ68">
        <f>IF(AB68="","",IF(AND(MONTH(AB68)=8,DAY(AB68)&gt;=15),"Fall",IF(MONTH(AB68)&gt;8,"Fall",IF(MONTH(AB68)=5,"Summer",IF(MONTH(AB68)=1,"Spring","")))))</f>
        <v/>
      </c>
      <c r="BC68" t="inlineStr">
        <is>
          <t>Moral Hernandez, Manuel A.</t>
        </is>
      </c>
      <c r="BD68">
        <f>IFERROR(INDEX('_names_lookup'!$C:$C,MATCH(BC68,'_names_lookup'!$A:$A,0)),"")</f>
        <v/>
      </c>
      <c r="BE68">
        <f>IFERROR(INDEX('_names_lookup'!$B:$B,MATCH(BC68,'_names_lookup'!$A:$A,0)),"")</f>
        <v/>
      </c>
      <c r="BV68" t="inlineStr">
        <is>
          <t>27-JAN-25</t>
        </is>
      </c>
    </row>
    <row r="69">
      <c r="H69" t="inlineStr">
        <is>
          <t>2214-01</t>
        </is>
      </c>
      <c r="I69" t="inlineStr">
        <is>
          <t>2385</t>
        </is>
      </c>
      <c r="K69" t="inlineStr">
        <is>
          <t>603</t>
        </is>
      </c>
      <c r="N69">
        <f>IFERROR(INDEX('_courses_lookup'!$C:$C,MATCH(J69&amp;K69,'_courses_lookup'!$E:$E,0)),"")</f>
        <v/>
      </c>
      <c r="O69">
        <f>IFERROR(INDEX('_courses_lookup'!$D:$D,MATCH(J69&amp;K69,'_courses_lookup'!$E:$E,0)),"")</f>
        <v/>
      </c>
      <c r="AE69">
        <f>IFERROR(IF(AC69*AD69=0,"",AC69*AD69),"")</f>
        <v/>
      </c>
      <c r="AH69">
        <f>IF(AND(AF69&lt;&gt;"",AG69&lt;&gt;""),ROUNDUP((AG69-AF69)/7,0),"")</f>
        <v/>
      </c>
      <c r="AJ69">
        <f>IFERROR(IF(AH69*AI69=0,"",AH69*AI69),"")</f>
        <v/>
      </c>
      <c r="AL69">
        <f>IFERROR(IF((AO69-(AE69+AJ69))/AK69=0,"",ROUNDUP((AO69-(AE69+AJ69))/AK69,0)),"")</f>
        <v/>
      </c>
      <c r="AM69">
        <f>IFERROR(IF((AO69-(AE69+AJ69))=0,"",(AO69-(AE69+AJ69))),"")</f>
        <v/>
      </c>
      <c r="AN69">
        <f>IF(AND(AC69="",AK69=""),AH69,IF(SUM(AC69,AH69,AK69)=0,"",SUM(AC69,AH69,AK69)))</f>
        <v/>
      </c>
      <c r="AY69">
        <f>IF(AB69="","",YEAR(AB69)+IF(MONTH(AB69)&gt;=5,1,0))</f>
        <v/>
      </c>
      <c r="AZ69">
        <f>IF(AB69="","",IF(AND(MONTH(AB69)=8,DAY(AB69)&gt;=15),"Fall",IF(MONTH(AB69)&gt;8,"Fall",IF(MONTH(AB69)=5,"Summer",IF(MONTH(AB69)=1,"Spring","")))))</f>
        <v/>
      </c>
      <c r="BC69" t="inlineStr">
        <is>
          <t>Mot, Laurentiu F.</t>
        </is>
      </c>
      <c r="BD69">
        <f>IFERROR(INDEX('_names_lookup'!$C:$C,MATCH(BC69,'_names_lookup'!$A:$A,0)),"")</f>
        <v/>
      </c>
      <c r="BE69">
        <f>IFERROR(INDEX('_names_lookup'!$B:$B,MATCH(BC69,'_names_lookup'!$A:$A,0)),"")</f>
        <v/>
      </c>
      <c r="BV69" t="inlineStr">
        <is>
          <t>27-JUN-25</t>
        </is>
      </c>
    </row>
    <row r="70">
      <c r="H70" t="inlineStr">
        <is>
          <t>2216-01</t>
        </is>
      </c>
      <c r="I70" t="inlineStr">
        <is>
          <t>2394</t>
        </is>
      </c>
      <c r="K70" t="inlineStr">
        <is>
          <t>604</t>
        </is>
      </c>
      <c r="N70">
        <f>IFERROR(INDEX('_courses_lookup'!$C:$C,MATCH(J70&amp;K70,'_courses_lookup'!$E:$E,0)),"")</f>
        <v/>
      </c>
      <c r="O70">
        <f>IFERROR(INDEX('_courses_lookup'!$D:$D,MATCH(J70&amp;K70,'_courses_lookup'!$E:$E,0)),"")</f>
        <v/>
      </c>
      <c r="AE70">
        <f>IFERROR(IF(AC70*AD70=0,"",AC70*AD70),"")</f>
        <v/>
      </c>
      <c r="AH70">
        <f>IF(AND(AF70&lt;&gt;"",AG70&lt;&gt;""),ROUNDUP((AG70-AF70)/7,0),"")</f>
        <v/>
      </c>
      <c r="AJ70">
        <f>IFERROR(IF(AH70*AI70=0,"",AH70*AI70),"")</f>
        <v/>
      </c>
      <c r="AL70">
        <f>IFERROR(IF((AO70-(AE70+AJ70))/AK70=0,"",ROUNDUP((AO70-(AE70+AJ70))/AK70,0)),"")</f>
        <v/>
      </c>
      <c r="AM70">
        <f>IFERROR(IF((AO70-(AE70+AJ70))=0,"",(AO70-(AE70+AJ70))),"")</f>
        <v/>
      </c>
      <c r="AN70">
        <f>IF(AND(AC70="",AK70=""),AH70,IF(SUM(AC70,AH70,AK70)=0,"",SUM(AC70,AH70,AK70)))</f>
        <v/>
      </c>
      <c r="AY70">
        <f>IF(AB70="","",YEAR(AB70)+IF(MONTH(AB70)&gt;=5,1,0))</f>
        <v/>
      </c>
      <c r="AZ70">
        <f>IF(AB70="","",IF(AND(MONTH(AB70)=8,DAY(AB70)&gt;=15),"Fall",IF(MONTH(AB70)&gt;8,"Fall",IF(MONTH(AB70)=5,"Summer",IF(MONTH(AB70)=1,"Spring","")))))</f>
        <v/>
      </c>
      <c r="BC70" t="inlineStr">
        <is>
          <t>Munoz, Jose Y.</t>
        </is>
      </c>
      <c r="BD70">
        <f>IFERROR(INDEX('_names_lookup'!$C:$C,MATCH(BC70,'_names_lookup'!$A:$A,0)),"")</f>
        <v/>
      </c>
      <c r="BE70">
        <f>IFERROR(INDEX('_names_lookup'!$B:$B,MATCH(BC70,'_names_lookup'!$A:$A,0)),"")</f>
        <v/>
      </c>
      <c r="BV70" t="inlineStr">
        <is>
          <t>27-MAR-25</t>
        </is>
      </c>
    </row>
    <row r="71">
      <c r="H71" t="inlineStr">
        <is>
          <t>2217-01</t>
        </is>
      </c>
      <c r="I71" t="inlineStr">
        <is>
          <t>2395</t>
        </is>
      </c>
      <c r="K71" t="inlineStr">
        <is>
          <t>605</t>
        </is>
      </c>
      <c r="N71">
        <f>IFERROR(INDEX('_courses_lookup'!$C:$C,MATCH(J71&amp;K71,'_courses_lookup'!$E:$E,0)),"")</f>
        <v/>
      </c>
      <c r="O71">
        <f>IFERROR(INDEX('_courses_lookup'!$D:$D,MATCH(J71&amp;K71,'_courses_lookup'!$E:$E,0)),"")</f>
        <v/>
      </c>
      <c r="AE71">
        <f>IFERROR(IF(AC71*AD71=0,"",AC71*AD71),"")</f>
        <v/>
      </c>
      <c r="AH71">
        <f>IF(AND(AF71&lt;&gt;"",AG71&lt;&gt;""),ROUNDUP((AG71-AF71)/7,0),"")</f>
        <v/>
      </c>
      <c r="AJ71">
        <f>IFERROR(IF(AH71*AI71=0,"",AH71*AI71),"")</f>
        <v/>
      </c>
      <c r="AL71">
        <f>IFERROR(IF((AO71-(AE71+AJ71))/AK71=0,"",ROUNDUP((AO71-(AE71+AJ71))/AK71,0)),"")</f>
        <v/>
      </c>
      <c r="AM71">
        <f>IFERROR(IF((AO71-(AE71+AJ71))=0,"",(AO71-(AE71+AJ71))),"")</f>
        <v/>
      </c>
      <c r="AN71">
        <f>IF(AND(AC71="",AK71=""),AH71,IF(SUM(AC71,AH71,AK71)=0,"",SUM(AC71,AH71,AK71)))</f>
        <v/>
      </c>
      <c r="AY71">
        <f>IF(AB71="","",YEAR(AB71)+IF(MONTH(AB71)&gt;=5,1,0))</f>
        <v/>
      </c>
      <c r="AZ71">
        <f>IF(AB71="","",IF(AND(MONTH(AB71)=8,DAY(AB71)&gt;=15),"Fall",IF(MONTH(AB71)&gt;8,"Fall",IF(MONTH(AB71)=5,"Summer",IF(MONTH(AB71)=1,"Spring","")))))</f>
        <v/>
      </c>
      <c r="BC71" t="inlineStr">
        <is>
          <t>Munoz, Ruben A.</t>
        </is>
      </c>
      <c r="BD71">
        <f>IFERROR(INDEX('_names_lookup'!$C:$C,MATCH(BC71,'_names_lookup'!$A:$A,0)),"")</f>
        <v/>
      </c>
      <c r="BE71">
        <f>IFERROR(INDEX('_names_lookup'!$B:$B,MATCH(BC71,'_names_lookup'!$A:$A,0)),"")</f>
        <v/>
      </c>
      <c r="BV71" t="inlineStr">
        <is>
          <t>27-MAY-25</t>
        </is>
      </c>
    </row>
    <row r="72">
      <c r="H72" t="inlineStr">
        <is>
          <t>2218-01</t>
        </is>
      </c>
      <c r="I72" t="inlineStr">
        <is>
          <t>2396</t>
        </is>
      </c>
      <c r="K72" t="inlineStr">
        <is>
          <t>606</t>
        </is>
      </c>
      <c r="N72">
        <f>IFERROR(INDEX('_courses_lookup'!$C:$C,MATCH(J72&amp;K72,'_courses_lookup'!$E:$E,0)),"")</f>
        <v/>
      </c>
      <c r="O72">
        <f>IFERROR(INDEX('_courses_lookup'!$D:$D,MATCH(J72&amp;K72,'_courses_lookup'!$E:$E,0)),"")</f>
        <v/>
      </c>
      <c r="AE72">
        <f>IFERROR(IF(AC72*AD72=0,"",AC72*AD72),"")</f>
        <v/>
      </c>
      <c r="AH72">
        <f>IF(AND(AF72&lt;&gt;"",AG72&lt;&gt;""),ROUNDUP((AG72-AF72)/7,0),"")</f>
        <v/>
      </c>
      <c r="AJ72">
        <f>IFERROR(IF(AH72*AI72=0,"",AH72*AI72),"")</f>
        <v/>
      </c>
      <c r="AL72">
        <f>IFERROR(IF((AO72-(AE72+AJ72))/AK72=0,"",ROUNDUP((AO72-(AE72+AJ72))/AK72,0)),"")</f>
        <v/>
      </c>
      <c r="AM72">
        <f>IFERROR(IF((AO72-(AE72+AJ72))=0,"",(AO72-(AE72+AJ72))),"")</f>
        <v/>
      </c>
      <c r="AN72">
        <f>IF(AND(AC72="",AK72=""),AH72,IF(SUM(AC72,AH72,AK72)=0,"",SUM(AC72,AH72,AK72)))</f>
        <v/>
      </c>
      <c r="AY72">
        <f>IF(AB72="","",YEAR(AB72)+IF(MONTH(AB72)&gt;=5,1,0))</f>
        <v/>
      </c>
      <c r="AZ72">
        <f>IF(AB72="","",IF(AND(MONTH(AB72)=8,DAY(AB72)&gt;=15),"Fall",IF(MONTH(AB72)&gt;8,"Fall",IF(MONTH(AB72)=5,"Summer",IF(MONTH(AB72)=1,"Spring","")))))</f>
        <v/>
      </c>
      <c r="BC72" t="inlineStr">
        <is>
          <t>Nunes, Leonardo G.</t>
        </is>
      </c>
      <c r="BD72">
        <f>IFERROR(INDEX('_names_lookup'!$C:$C,MATCH(BC72,'_names_lookup'!$A:$A,0)),"")</f>
        <v/>
      </c>
      <c r="BE72">
        <f>IFERROR(INDEX('_names_lookup'!$B:$B,MATCH(BC72,'_names_lookup'!$A:$A,0)),"")</f>
        <v/>
      </c>
      <c r="BV72" t="inlineStr">
        <is>
          <t>28-APR-25</t>
        </is>
      </c>
    </row>
    <row r="73">
      <c r="H73" t="inlineStr">
        <is>
          <t>2219-01</t>
        </is>
      </c>
      <c r="I73" t="inlineStr">
        <is>
          <t>2397</t>
        </is>
      </c>
      <c r="K73" t="inlineStr">
        <is>
          <t>607</t>
        </is>
      </c>
      <c r="N73">
        <f>IFERROR(INDEX('_courses_lookup'!$C:$C,MATCH(J73&amp;K73,'_courses_lookup'!$E:$E,0)),"")</f>
        <v/>
      </c>
      <c r="O73">
        <f>IFERROR(INDEX('_courses_lookup'!$D:$D,MATCH(J73&amp;K73,'_courses_lookup'!$E:$E,0)),"")</f>
        <v/>
      </c>
      <c r="AE73">
        <f>IFERROR(IF(AC73*AD73=0,"",AC73*AD73),"")</f>
        <v/>
      </c>
      <c r="AH73">
        <f>IF(AND(AF73&lt;&gt;"",AG73&lt;&gt;""),ROUNDUP((AG73-AF73)/7,0),"")</f>
        <v/>
      </c>
      <c r="AJ73">
        <f>IFERROR(IF(AH73*AI73=0,"",AH73*AI73),"")</f>
        <v/>
      </c>
      <c r="AL73">
        <f>IFERROR(IF((AO73-(AE73+AJ73))/AK73=0,"",ROUNDUP((AO73-(AE73+AJ73))/AK73,0)),"")</f>
        <v/>
      </c>
      <c r="AM73">
        <f>IFERROR(IF((AO73-(AE73+AJ73))=0,"",(AO73-(AE73+AJ73))),"")</f>
        <v/>
      </c>
      <c r="AN73">
        <f>IF(AND(AC73="",AK73=""),AH73,IF(SUM(AC73,AH73,AK73)=0,"",SUM(AC73,AH73,AK73)))</f>
        <v/>
      </c>
      <c r="AY73">
        <f>IF(AB73="","",YEAR(AB73)+IF(MONTH(AB73)&gt;=5,1,0))</f>
        <v/>
      </c>
      <c r="AZ73">
        <f>IF(AB73="","",IF(AND(MONTH(AB73)=8,DAY(AB73)&gt;=15),"Fall",IF(MONTH(AB73)&gt;8,"Fall",IF(MONTH(AB73)=5,"Summer",IF(MONTH(AB73)=1,"Spring","")))))</f>
        <v/>
      </c>
      <c r="BC73" t="inlineStr">
        <is>
          <t>Papaioannou, Kim G.</t>
        </is>
      </c>
      <c r="BD73">
        <f>IFERROR(INDEX('_names_lookup'!$C:$C,MATCH(BC73,'_names_lookup'!$A:$A,0)),"")</f>
        <v/>
      </c>
      <c r="BE73">
        <f>IFERROR(INDEX('_names_lookup'!$B:$B,MATCH(BC73,'_names_lookup'!$A:$A,0)),"")</f>
        <v/>
      </c>
      <c r="BV73" t="inlineStr">
        <is>
          <t>28-MAR-25</t>
        </is>
      </c>
    </row>
    <row r="74">
      <c r="H74" t="inlineStr">
        <is>
          <t>2220-01</t>
        </is>
      </c>
      <c r="I74" t="inlineStr">
        <is>
          <t>2398</t>
        </is>
      </c>
      <c r="K74" t="inlineStr">
        <is>
          <t>608</t>
        </is>
      </c>
      <c r="N74">
        <f>IFERROR(INDEX('_courses_lookup'!$C:$C,MATCH(J74&amp;K74,'_courses_lookup'!$E:$E,0)),"")</f>
        <v/>
      </c>
      <c r="O74">
        <f>IFERROR(INDEX('_courses_lookup'!$D:$D,MATCH(J74&amp;K74,'_courses_lookup'!$E:$E,0)),"")</f>
        <v/>
      </c>
      <c r="AE74">
        <f>IFERROR(IF(AC74*AD74=0,"",AC74*AD74),"")</f>
        <v/>
      </c>
      <c r="AH74">
        <f>IF(AND(AF74&lt;&gt;"",AG74&lt;&gt;""),ROUNDUP((AG74-AF74)/7,0),"")</f>
        <v/>
      </c>
      <c r="AJ74">
        <f>IFERROR(IF(AH74*AI74=0,"",AH74*AI74),"")</f>
        <v/>
      </c>
      <c r="AL74">
        <f>IFERROR(IF((AO74-(AE74+AJ74))/AK74=0,"",ROUNDUP((AO74-(AE74+AJ74))/AK74,0)),"")</f>
        <v/>
      </c>
      <c r="AM74">
        <f>IFERROR(IF((AO74-(AE74+AJ74))=0,"",(AO74-(AE74+AJ74))),"")</f>
        <v/>
      </c>
      <c r="AN74">
        <f>IF(AND(AC74="",AK74=""),AH74,IF(SUM(AC74,AH74,AK74)=0,"",SUM(AC74,AH74,AK74)))</f>
        <v/>
      </c>
      <c r="AY74">
        <f>IF(AB74="","",YEAR(AB74)+IF(MONTH(AB74)&gt;=5,1,0))</f>
        <v/>
      </c>
      <c r="AZ74">
        <f>IF(AB74="","",IF(AND(MONTH(AB74)=8,DAY(AB74)&gt;=15),"Fall",IF(MONTH(AB74)&gt;8,"Fall",IF(MONTH(AB74)=5,"Summer",IF(MONTH(AB74)=1,"Spring","")))))</f>
        <v/>
      </c>
      <c r="BC74" t="inlineStr">
        <is>
          <t>Phillip, Mario N.</t>
        </is>
      </c>
      <c r="BD74">
        <f>IFERROR(INDEX('_names_lookup'!$C:$C,MATCH(BC74,'_names_lookup'!$A:$A,0)),"")</f>
        <v/>
      </c>
      <c r="BE74">
        <f>IFERROR(INDEX('_names_lookup'!$B:$B,MATCH(BC74,'_names_lookup'!$A:$A,0)),"")</f>
        <v/>
      </c>
      <c r="BV74" t="inlineStr">
        <is>
          <t>28-MAY-25</t>
        </is>
      </c>
    </row>
    <row r="75">
      <c r="H75" t="inlineStr">
        <is>
          <t>2220-02</t>
        </is>
      </c>
      <c r="I75" t="inlineStr">
        <is>
          <t>2399</t>
        </is>
      </c>
      <c r="K75" t="inlineStr">
        <is>
          <t>609</t>
        </is>
      </c>
      <c r="N75">
        <f>IFERROR(INDEX('_courses_lookup'!$C:$C,MATCH(J75&amp;K75,'_courses_lookup'!$E:$E,0)),"")</f>
        <v/>
      </c>
      <c r="O75">
        <f>IFERROR(INDEX('_courses_lookup'!$D:$D,MATCH(J75&amp;K75,'_courses_lookup'!$E:$E,0)),"")</f>
        <v/>
      </c>
      <c r="AE75">
        <f>IFERROR(IF(AC75*AD75=0,"",AC75*AD75),"")</f>
        <v/>
      </c>
      <c r="AH75">
        <f>IF(AND(AF75&lt;&gt;"",AG75&lt;&gt;""),ROUNDUP((AG75-AF75)/7,0),"")</f>
        <v/>
      </c>
      <c r="AJ75">
        <f>IFERROR(IF(AH75*AI75=0,"",AH75*AI75),"")</f>
        <v/>
      </c>
      <c r="AL75">
        <f>IFERROR(IF((AO75-(AE75+AJ75))/AK75=0,"",ROUNDUP((AO75-(AE75+AJ75))/AK75,0)),"")</f>
        <v/>
      </c>
      <c r="AM75">
        <f>IFERROR(IF((AO75-(AE75+AJ75))=0,"",(AO75-(AE75+AJ75))),"")</f>
        <v/>
      </c>
      <c r="AN75">
        <f>IF(AND(AC75="",AK75=""),AH75,IF(SUM(AC75,AH75,AK75)=0,"",SUM(AC75,AH75,AK75)))</f>
        <v/>
      </c>
      <c r="AY75">
        <f>IF(AB75="","",YEAR(AB75)+IF(MONTH(AB75)&gt;=5,1,0))</f>
        <v/>
      </c>
      <c r="AZ75">
        <f>IF(AB75="","",IF(AND(MONTH(AB75)=8,DAY(AB75)&gt;=15),"Fall",IF(MONTH(AB75)&gt;8,"Fall",IF(MONTH(AB75)=5,"Summer",IF(MONTH(AB75)=1,"Spring","")))))</f>
        <v/>
      </c>
      <c r="BC75" t="inlineStr">
        <is>
          <t>Reeve, Teresa L.</t>
        </is>
      </c>
      <c r="BD75">
        <f>IFERROR(INDEX('_names_lookup'!$C:$C,MATCH(BC75,'_names_lookup'!$A:$A,0)),"")</f>
        <v/>
      </c>
      <c r="BE75">
        <f>IFERROR(INDEX('_names_lookup'!$B:$B,MATCH(BC75,'_names_lookup'!$A:$A,0)),"")</f>
        <v/>
      </c>
      <c r="BV75" t="inlineStr">
        <is>
          <t>29-APR-25</t>
        </is>
      </c>
    </row>
    <row r="76">
      <c r="H76" t="inlineStr">
        <is>
          <t>2220-03</t>
        </is>
      </c>
      <c r="I76" t="inlineStr">
        <is>
          <t>2404</t>
        </is>
      </c>
      <c r="K76" t="inlineStr">
        <is>
          <t>610</t>
        </is>
      </c>
      <c r="N76">
        <f>IFERROR(INDEX('_courses_lookup'!$C:$C,MATCH(J76&amp;K76,'_courses_lookup'!$E:$E,0)),"")</f>
        <v/>
      </c>
      <c r="O76">
        <f>IFERROR(INDEX('_courses_lookup'!$D:$D,MATCH(J76&amp;K76,'_courses_lookup'!$E:$E,0)),"")</f>
        <v/>
      </c>
      <c r="AE76">
        <f>IFERROR(IF(AC76*AD76=0,"",AC76*AD76),"")</f>
        <v/>
      </c>
      <c r="AH76">
        <f>IF(AND(AF76&lt;&gt;"",AG76&lt;&gt;""),ROUNDUP((AG76-AF76)/7,0),"")</f>
        <v/>
      </c>
      <c r="AJ76">
        <f>IFERROR(IF(AH76*AI76=0,"",AH76*AI76),"")</f>
        <v/>
      </c>
      <c r="AL76">
        <f>IFERROR(IF((AO76-(AE76+AJ76))/AK76=0,"",ROUNDUP((AO76-(AE76+AJ76))/AK76,0)),"")</f>
        <v/>
      </c>
      <c r="AM76">
        <f>IFERROR(IF((AO76-(AE76+AJ76))=0,"",(AO76-(AE76+AJ76))),"")</f>
        <v/>
      </c>
      <c r="AN76">
        <f>IF(AND(AC76="",AK76=""),AH76,IF(SUM(AC76,AH76,AK76)=0,"",SUM(AC76,AH76,AK76)))</f>
        <v/>
      </c>
      <c r="AY76">
        <f>IF(AB76="","",YEAR(AB76)+IF(MONTH(AB76)&gt;=5,1,0))</f>
        <v/>
      </c>
      <c r="AZ76">
        <f>IF(AB76="","",IF(AND(MONTH(AB76)=8,DAY(AB76)&gt;=15),"Fall",IF(MONTH(AB76)&gt;8,"Fall",IF(MONTH(AB76)=5,"Summer",IF(MONTH(AB76)=1,"Spring","")))))</f>
        <v/>
      </c>
      <c r="BC76" t="inlineStr">
        <is>
          <t>Richards, W Larry</t>
        </is>
      </c>
      <c r="BD76">
        <f>IFERROR(INDEX('_names_lookup'!$C:$C,MATCH(BC76,'_names_lookup'!$A:$A,0)),"")</f>
        <v/>
      </c>
      <c r="BE76">
        <f>IFERROR(INDEX('_names_lookup'!$B:$B,MATCH(BC76,'_names_lookup'!$A:$A,0)),"")</f>
        <v/>
      </c>
      <c r="BV76" t="inlineStr">
        <is>
          <t>29-MAY-25</t>
        </is>
      </c>
    </row>
    <row r="77">
      <c r="H77" t="inlineStr">
        <is>
          <t>2221-01</t>
        </is>
      </c>
      <c r="I77" t="inlineStr">
        <is>
          <t>2411</t>
        </is>
      </c>
      <c r="K77" t="inlineStr">
        <is>
          <t>611</t>
        </is>
      </c>
      <c r="N77">
        <f>IFERROR(INDEX('_courses_lookup'!$C:$C,MATCH(J77&amp;K77,'_courses_lookup'!$E:$E,0)),"")</f>
        <v/>
      </c>
      <c r="O77">
        <f>IFERROR(INDEX('_courses_lookup'!$D:$D,MATCH(J77&amp;K77,'_courses_lookup'!$E:$E,0)),"")</f>
        <v/>
      </c>
      <c r="AE77">
        <f>IFERROR(IF(AC77*AD77=0,"",AC77*AD77),"")</f>
        <v/>
      </c>
      <c r="AH77">
        <f>IF(AND(AF77&lt;&gt;"",AG77&lt;&gt;""),ROUNDUP((AG77-AF77)/7,0),"")</f>
        <v/>
      </c>
      <c r="AJ77">
        <f>IFERROR(IF(AH77*AI77=0,"",AH77*AI77),"")</f>
        <v/>
      </c>
      <c r="AL77">
        <f>IFERROR(IF((AO77-(AE77+AJ77))/AK77=0,"",ROUNDUP((AO77-(AE77+AJ77))/AK77,0)),"")</f>
        <v/>
      </c>
      <c r="AM77">
        <f>IFERROR(IF((AO77-(AE77+AJ77))=0,"",(AO77-(AE77+AJ77))),"")</f>
        <v/>
      </c>
      <c r="AN77">
        <f>IF(AND(AC77="",AK77=""),AH77,IF(SUM(AC77,AH77,AK77)=0,"",SUM(AC77,AH77,AK77)))</f>
        <v/>
      </c>
      <c r="AY77">
        <f>IF(AB77="","",YEAR(AB77)+IF(MONTH(AB77)&gt;=5,1,0))</f>
        <v/>
      </c>
      <c r="AZ77">
        <f>IF(AB77="","",IF(AND(MONTH(AB77)=8,DAY(AB77)&gt;=15),"Fall",IF(MONTH(AB77)&gt;8,"Fall",IF(MONTH(AB77)=5,"Summer",IF(MONTH(AB77)=1,"Spring","")))))</f>
        <v/>
      </c>
      <c r="BC77" t="inlineStr">
        <is>
          <t>Stefanovic, Ranko</t>
        </is>
      </c>
      <c r="BD77">
        <f>IFERROR(INDEX('_names_lookup'!$C:$C,MATCH(BC77,'_names_lookup'!$A:$A,0)),"")</f>
        <v/>
      </c>
      <c r="BE77">
        <f>IFERROR(INDEX('_names_lookup'!$B:$B,MATCH(BC77,'_names_lookup'!$A:$A,0)),"")</f>
        <v/>
      </c>
      <c r="BV77" t="inlineStr">
        <is>
          <t>30-APR-25</t>
        </is>
      </c>
    </row>
    <row r="78">
      <c r="H78" t="inlineStr">
        <is>
          <t>2221-02</t>
        </is>
      </c>
      <c r="I78" t="inlineStr">
        <is>
          <t>2462</t>
        </is>
      </c>
      <c r="K78" t="inlineStr">
        <is>
          <t>612</t>
        </is>
      </c>
      <c r="N78">
        <f>IFERROR(INDEX('_courses_lookup'!$C:$C,MATCH(J78&amp;K78,'_courses_lookup'!$E:$E,0)),"")</f>
        <v/>
      </c>
      <c r="O78">
        <f>IFERROR(INDEX('_courses_lookup'!$D:$D,MATCH(J78&amp;K78,'_courses_lookup'!$E:$E,0)),"")</f>
        <v/>
      </c>
      <c r="AE78">
        <f>IFERROR(IF(AC78*AD78=0,"",AC78*AD78),"")</f>
        <v/>
      </c>
      <c r="AH78">
        <f>IF(AND(AF78&lt;&gt;"",AG78&lt;&gt;""),ROUNDUP((AG78-AF78)/7,0),"")</f>
        <v/>
      </c>
      <c r="AJ78">
        <f>IFERROR(IF(AH78*AI78=0,"",AH78*AI78),"")</f>
        <v/>
      </c>
      <c r="AL78">
        <f>IFERROR(IF((AO78-(AE78+AJ78))/AK78=0,"",ROUNDUP((AO78-(AE78+AJ78))/AK78,0)),"")</f>
        <v/>
      </c>
      <c r="AM78">
        <f>IFERROR(IF((AO78-(AE78+AJ78))=0,"",(AO78-(AE78+AJ78))),"")</f>
        <v/>
      </c>
      <c r="AN78">
        <f>IF(AND(AC78="",AK78=""),AH78,IF(SUM(AC78,AH78,AK78)=0,"",SUM(AC78,AH78,AK78)))</f>
        <v/>
      </c>
      <c r="AY78">
        <f>IF(AB78="","",YEAR(AB78)+IF(MONTH(AB78)&gt;=5,1,0))</f>
        <v/>
      </c>
      <c r="AZ78">
        <f>IF(AB78="","",IF(AND(MONTH(AB78)=8,DAY(AB78)&gt;=15),"Fall",IF(MONTH(AB78)&gt;8,"Fall",IF(MONTH(AB78)=5,"Summer",IF(MONTH(AB78)=1,"Spring","")))))</f>
        <v/>
      </c>
      <c r="BC78" t="inlineStr">
        <is>
          <t>Vine, Cedric E.</t>
        </is>
      </c>
      <c r="BD78">
        <f>IFERROR(INDEX('_names_lookup'!$C:$C,MATCH(BC78,'_names_lookup'!$A:$A,0)),"")</f>
        <v/>
      </c>
      <c r="BE78">
        <f>IFERROR(INDEX('_names_lookup'!$B:$B,MATCH(BC78,'_names_lookup'!$A:$A,0)),"")</f>
        <v/>
      </c>
      <c r="BV78" t="inlineStr">
        <is>
          <t>30-JUL-25</t>
        </is>
      </c>
    </row>
    <row r="79">
      <c r="H79" t="inlineStr">
        <is>
          <t>2221-03</t>
        </is>
      </c>
      <c r="I79" t="inlineStr">
        <is>
          <t>2490</t>
        </is>
      </c>
      <c r="K79" t="inlineStr">
        <is>
          <t>613</t>
        </is>
      </c>
      <c r="N79">
        <f>IFERROR(INDEX('_courses_lookup'!$C:$C,MATCH(J79&amp;K79,'_courses_lookup'!$E:$E,0)),"")</f>
        <v/>
      </c>
      <c r="O79">
        <f>IFERROR(INDEX('_courses_lookup'!$D:$D,MATCH(J79&amp;K79,'_courses_lookup'!$E:$E,0)),"")</f>
        <v/>
      </c>
      <c r="AE79">
        <f>IFERROR(IF(AC79*AD79=0,"",AC79*AD79),"")</f>
        <v/>
      </c>
      <c r="AH79">
        <f>IF(AND(AF79&lt;&gt;"",AG79&lt;&gt;""),ROUNDUP((AG79-AF79)/7,0),"")</f>
        <v/>
      </c>
      <c r="AJ79">
        <f>IFERROR(IF(AH79*AI79=0,"",AH79*AI79),"")</f>
        <v/>
      </c>
      <c r="AL79">
        <f>IFERROR(IF((AO79-(AE79+AJ79))/AK79=0,"",ROUNDUP((AO79-(AE79+AJ79))/AK79,0)),"")</f>
        <v/>
      </c>
      <c r="AM79">
        <f>IFERROR(IF((AO79-(AE79+AJ79))=0,"",(AO79-(AE79+AJ79))),"")</f>
        <v/>
      </c>
      <c r="AN79">
        <f>IF(AND(AC79="",AK79=""),AH79,IF(SUM(AC79,AH79,AK79)=0,"",SUM(AC79,AH79,AK79)))</f>
        <v/>
      </c>
      <c r="AY79">
        <f>IF(AB79="","",YEAR(AB79)+IF(MONTH(AB79)&gt;=5,1,0))</f>
        <v/>
      </c>
      <c r="AZ79">
        <f>IF(AB79="","",IF(AND(MONTH(AB79)=8,DAY(AB79)&gt;=15),"Fall",IF(MONTH(AB79)&gt;8,"Fall",IF(MONTH(AB79)=5,"Summer",IF(MONTH(AB79)=1,"Spring","")))))</f>
        <v/>
      </c>
      <c r="BC79" t="inlineStr">
        <is>
          <t>Baez Garcia, Enrique</t>
        </is>
      </c>
      <c r="BD79">
        <f>IFERROR(INDEX('_names_lookup'!$C:$C,MATCH(BC79,'_names_lookup'!$A:$A,0)),"")</f>
        <v/>
      </c>
      <c r="BE79">
        <f>IFERROR(INDEX('_names_lookup'!$B:$B,MATCH(BC79,'_names_lookup'!$A:$A,0)),"")</f>
        <v/>
      </c>
      <c r="BV79" t="inlineStr">
        <is>
          <t>30-JUN-25</t>
        </is>
      </c>
    </row>
    <row r="80">
      <c r="H80" t="inlineStr">
        <is>
          <t>2241-01</t>
        </is>
      </c>
      <c r="I80" t="inlineStr">
        <is>
          <t>2492</t>
        </is>
      </c>
      <c r="K80" t="inlineStr">
        <is>
          <t>614</t>
        </is>
      </c>
      <c r="N80">
        <f>IFERROR(INDEX('_courses_lookup'!$C:$C,MATCH(J80&amp;K80,'_courses_lookup'!$E:$E,0)),"")</f>
        <v/>
      </c>
      <c r="O80">
        <f>IFERROR(INDEX('_courses_lookup'!$D:$D,MATCH(J80&amp;K80,'_courses_lookup'!$E:$E,0)),"")</f>
        <v/>
      </c>
      <c r="AE80">
        <f>IFERROR(IF(AC80*AD80=0,"",AC80*AD80),"")</f>
        <v/>
      </c>
      <c r="AH80">
        <f>IF(AND(AF80&lt;&gt;"",AG80&lt;&gt;""),ROUNDUP((AG80-AF80)/7,0),"")</f>
        <v/>
      </c>
      <c r="AJ80">
        <f>IFERROR(IF(AH80*AI80=0,"",AH80*AI80),"")</f>
        <v/>
      </c>
      <c r="AL80">
        <f>IFERROR(IF((AO80-(AE80+AJ80))/AK80=0,"",ROUNDUP((AO80-(AE80+AJ80))/AK80,0)),"")</f>
        <v/>
      </c>
      <c r="AM80">
        <f>IFERROR(IF((AO80-(AE80+AJ80))=0,"",(AO80-(AE80+AJ80))),"")</f>
        <v/>
      </c>
      <c r="AN80">
        <f>IF(AND(AC80="",AK80=""),AH80,IF(SUM(AC80,AH80,AK80)=0,"",SUM(AC80,AH80,AK80)))</f>
        <v/>
      </c>
      <c r="AY80">
        <f>IF(AB80="","",YEAR(AB80)+IF(MONTH(AB80)&gt;=5,1,0))</f>
        <v/>
      </c>
      <c r="AZ80">
        <f>IF(AB80="","",IF(AND(MONTH(AB80)=8,DAY(AB80)&gt;=15),"Fall",IF(MONTH(AB80)&gt;8,"Fall",IF(MONTH(AB80)=5,"Summer",IF(MONTH(AB80)=1,"Spring","")))))</f>
        <v/>
      </c>
      <c r="BC80" t="inlineStr">
        <is>
          <t>Baker, Leslie S.</t>
        </is>
      </c>
      <c r="BD80">
        <f>IFERROR(INDEX('_names_lookup'!$C:$C,MATCH(BC80,'_names_lookup'!$A:$A,0)),"")</f>
        <v/>
      </c>
      <c r="BE80">
        <f>IFERROR(INDEX('_names_lookup'!$B:$B,MATCH(BC80,'_names_lookup'!$A:$A,0)),"")</f>
        <v/>
      </c>
      <c r="BV80" t="inlineStr">
        <is>
          <t>31-JUL-25</t>
        </is>
      </c>
    </row>
    <row r="81">
      <c r="H81" t="inlineStr">
        <is>
          <t>2252-01</t>
        </is>
      </c>
      <c r="I81" t="inlineStr">
        <is>
          <t>2509</t>
        </is>
      </c>
      <c r="K81" t="inlineStr">
        <is>
          <t>615</t>
        </is>
      </c>
      <c r="N81">
        <f>IFERROR(INDEX('_courses_lookup'!$C:$C,MATCH(J81&amp;K81,'_courses_lookup'!$E:$E,0)),"")</f>
        <v/>
      </c>
      <c r="O81">
        <f>IFERROR(INDEX('_courses_lookup'!$D:$D,MATCH(J81&amp;K81,'_courses_lookup'!$E:$E,0)),"")</f>
        <v/>
      </c>
      <c r="AE81">
        <f>IFERROR(IF(AC81*AD81=0,"",AC81*AD81),"")</f>
        <v/>
      </c>
      <c r="AH81">
        <f>IF(AND(AF81&lt;&gt;"",AG81&lt;&gt;""),ROUNDUP((AG81-AF81)/7,0),"")</f>
        <v/>
      </c>
      <c r="AJ81">
        <f>IFERROR(IF(AH81*AI81=0,"",AH81*AI81),"")</f>
        <v/>
      </c>
      <c r="AL81">
        <f>IFERROR(IF((AO81-(AE81+AJ81))/AK81=0,"",ROUNDUP((AO81-(AE81+AJ81))/AK81,0)),"")</f>
        <v/>
      </c>
      <c r="AM81">
        <f>IFERROR(IF((AO81-(AE81+AJ81))=0,"",(AO81-(AE81+AJ81))),"")</f>
        <v/>
      </c>
      <c r="AN81">
        <f>IF(AND(AC81="",AK81=""),AH81,IF(SUM(AC81,AH81,AK81)=0,"",SUM(AC81,AH81,AK81)))</f>
        <v/>
      </c>
      <c r="AY81">
        <f>IF(AB81="","",YEAR(AB81)+IF(MONTH(AB81)&gt;=5,1,0))</f>
        <v/>
      </c>
      <c r="AZ81">
        <f>IF(AB81="","",IF(AND(MONTH(AB81)=8,DAY(AB81)&gt;=15),"Fall",IF(MONTH(AB81)&gt;8,"Fall",IF(MONTH(AB81)=5,"Summer",IF(MONTH(AB81)=1,"Spring","")))))</f>
        <v/>
      </c>
      <c r="BC81" t="inlineStr">
        <is>
          <t>Bates, Robert D.</t>
        </is>
      </c>
      <c r="BD81">
        <f>IFERROR(INDEX('_names_lookup'!$C:$C,MATCH(BC81,'_names_lookup'!$A:$A,0)),"")</f>
        <v/>
      </c>
      <c r="BE81">
        <f>IFERROR(INDEX('_names_lookup'!$B:$B,MATCH(BC81,'_names_lookup'!$A:$A,0)),"")</f>
        <v/>
      </c>
      <c r="BV81" t="inlineStr">
        <is>
          <t>31-MAR-25</t>
        </is>
      </c>
    </row>
    <row r="82">
      <c r="H82" t="inlineStr">
        <is>
          <t>2259-01</t>
        </is>
      </c>
      <c r="I82" t="inlineStr">
        <is>
          <t>2519</t>
        </is>
      </c>
      <c r="K82" t="inlineStr">
        <is>
          <t>616</t>
        </is>
      </c>
      <c r="N82">
        <f>IFERROR(INDEX('_courses_lookup'!$C:$C,MATCH(J82&amp;K82,'_courses_lookup'!$E:$E,0)),"")</f>
        <v/>
      </c>
      <c r="O82">
        <f>IFERROR(INDEX('_courses_lookup'!$D:$D,MATCH(J82&amp;K82,'_courses_lookup'!$E:$E,0)),"")</f>
        <v/>
      </c>
      <c r="AE82">
        <f>IFERROR(IF(AC82*AD82=0,"",AC82*AD82),"")</f>
        <v/>
      </c>
      <c r="AH82">
        <f>IF(AND(AF82&lt;&gt;"",AG82&lt;&gt;""),ROUNDUP((AG82-AF82)/7,0),"")</f>
        <v/>
      </c>
      <c r="AJ82">
        <f>IFERROR(IF(AH82*AI82=0,"",AH82*AI82),"")</f>
        <v/>
      </c>
      <c r="AL82">
        <f>IFERROR(IF((AO82-(AE82+AJ82))/AK82=0,"",ROUNDUP((AO82-(AE82+AJ82))/AK82,0)),"")</f>
        <v/>
      </c>
      <c r="AM82">
        <f>IFERROR(IF((AO82-(AE82+AJ82))=0,"",(AO82-(AE82+AJ82))),"")</f>
        <v/>
      </c>
      <c r="AN82">
        <f>IF(AND(AC82="",AK82=""),AH82,IF(SUM(AC82,AH82,AK82)=0,"",SUM(AC82,AH82,AK82)))</f>
        <v/>
      </c>
      <c r="AY82">
        <f>IF(AB82="","",YEAR(AB82)+IF(MONTH(AB82)&gt;=5,1,0))</f>
        <v/>
      </c>
      <c r="AZ82">
        <f>IF(AB82="","",IF(AND(MONTH(AB82)=8,DAY(AB82)&gt;=15),"Fall",IF(MONTH(AB82)&gt;8,"Fall",IF(MONTH(AB82)=5,"Summer",IF(MONTH(AB82)=1,"Spring","")))))</f>
        <v/>
      </c>
      <c r="BC82" t="inlineStr">
        <is>
          <t>Beaulieu, Stephane A.</t>
        </is>
      </c>
      <c r="BD82">
        <f>IFERROR(INDEX('_names_lookup'!$C:$C,MATCH(BC82,'_names_lookup'!$A:$A,0)),"")</f>
        <v/>
      </c>
      <c r="BE82">
        <f>IFERROR(INDEX('_names_lookup'!$B:$B,MATCH(BC82,'_names_lookup'!$A:$A,0)),"")</f>
        <v/>
      </c>
    </row>
    <row r="83">
      <c r="H83" t="inlineStr">
        <is>
          <t>2259-02</t>
        </is>
      </c>
      <c r="I83" t="inlineStr">
        <is>
          <t>2535</t>
        </is>
      </c>
      <c r="K83" t="inlineStr">
        <is>
          <t>617</t>
        </is>
      </c>
      <c r="N83">
        <f>IFERROR(INDEX('_courses_lookup'!$C:$C,MATCH(J83&amp;K83,'_courses_lookup'!$E:$E,0)),"")</f>
        <v/>
      </c>
      <c r="O83">
        <f>IFERROR(INDEX('_courses_lookup'!$D:$D,MATCH(J83&amp;K83,'_courses_lookup'!$E:$E,0)),"")</f>
        <v/>
      </c>
      <c r="AE83">
        <f>IFERROR(IF(AC83*AD83=0,"",AC83*AD83),"")</f>
        <v/>
      </c>
      <c r="AH83">
        <f>IF(AND(AF83&lt;&gt;"",AG83&lt;&gt;""),ROUNDUP((AG83-AF83)/7,0),"")</f>
        <v/>
      </c>
      <c r="AJ83">
        <f>IFERROR(IF(AH83*AI83=0,"",AH83*AI83),"")</f>
        <v/>
      </c>
      <c r="AL83">
        <f>IFERROR(IF((AO83-(AE83+AJ83))/AK83=0,"",ROUNDUP((AO83-(AE83+AJ83))/AK83,0)),"")</f>
        <v/>
      </c>
      <c r="AM83">
        <f>IFERROR(IF((AO83-(AE83+AJ83))=0,"",(AO83-(AE83+AJ83))),"")</f>
        <v/>
      </c>
      <c r="AN83">
        <f>IF(AND(AC83="",AK83=""),AH83,IF(SUM(AC83,AH83,AK83)=0,"",SUM(AC83,AH83,AK83)))</f>
        <v/>
      </c>
      <c r="AY83">
        <f>IF(AB83="","",YEAR(AB83)+IF(MONTH(AB83)&gt;=5,1,0))</f>
        <v/>
      </c>
      <c r="AZ83">
        <f>IF(AB83="","",IF(AND(MONTH(AB83)=8,DAY(AB83)&gt;=15),"Fall",IF(MONTH(AB83)&gt;8,"Fall",IF(MONTH(AB83)=5,"Summer",IF(MONTH(AB83)=1,"Spring","")))))</f>
        <v/>
      </c>
      <c r="BC83" t="inlineStr">
        <is>
          <t>Bediako, Daniel K.</t>
        </is>
      </c>
      <c r="BD83">
        <f>IFERROR(INDEX('_names_lookup'!$C:$C,MATCH(BC83,'_names_lookup'!$A:$A,0)),"")</f>
        <v/>
      </c>
      <c r="BE83">
        <f>IFERROR(INDEX('_names_lookup'!$B:$B,MATCH(BC83,'_names_lookup'!$A:$A,0)),"")</f>
        <v/>
      </c>
    </row>
    <row r="84">
      <c r="H84" t="inlineStr">
        <is>
          <t>2260-01</t>
        </is>
      </c>
      <c r="I84" t="inlineStr">
        <is>
          <t>2550</t>
        </is>
      </c>
      <c r="K84" t="inlineStr">
        <is>
          <t>618</t>
        </is>
      </c>
      <c r="N84">
        <f>IFERROR(INDEX('_courses_lookup'!$C:$C,MATCH(J84&amp;K84,'_courses_lookup'!$E:$E,0)),"")</f>
        <v/>
      </c>
      <c r="O84">
        <f>IFERROR(INDEX('_courses_lookup'!$D:$D,MATCH(J84&amp;K84,'_courses_lookup'!$E:$E,0)),"")</f>
        <v/>
      </c>
      <c r="AE84">
        <f>IFERROR(IF(AC84*AD84=0,"",AC84*AD84),"")</f>
        <v/>
      </c>
      <c r="AH84">
        <f>IF(AND(AF84&lt;&gt;"",AG84&lt;&gt;""),ROUNDUP((AG84-AF84)/7,0),"")</f>
        <v/>
      </c>
      <c r="AJ84">
        <f>IFERROR(IF(AH84*AI84=0,"",AH84*AI84),"")</f>
        <v/>
      </c>
      <c r="AL84">
        <f>IFERROR(IF((AO84-(AE84+AJ84))/AK84=0,"",ROUNDUP((AO84-(AE84+AJ84))/AK84,0)),"")</f>
        <v/>
      </c>
      <c r="AM84">
        <f>IFERROR(IF((AO84-(AE84+AJ84))=0,"",(AO84-(AE84+AJ84))),"")</f>
        <v/>
      </c>
      <c r="AN84">
        <f>IF(AND(AC84="",AK84=""),AH84,IF(SUM(AC84,AH84,AK84)=0,"",SUM(AC84,AH84,AK84)))</f>
        <v/>
      </c>
      <c r="AY84">
        <f>IF(AB84="","",YEAR(AB84)+IF(MONTH(AB84)&gt;=5,1,0))</f>
        <v/>
      </c>
      <c r="AZ84">
        <f>IF(AB84="","",IF(AND(MONTH(AB84)=8,DAY(AB84)&gt;=15),"Fall",IF(MONTH(AB84)&gt;8,"Fall",IF(MONTH(AB84)=5,"Summer",IF(MONTH(AB84)=1,"Spring","")))))</f>
        <v/>
      </c>
      <c r="BC84" t="inlineStr">
        <is>
          <t>Breja, Alexandru</t>
        </is>
      </c>
      <c r="BD84">
        <f>IFERROR(INDEX('_names_lookup'!$C:$C,MATCH(BC84,'_names_lookup'!$A:$A,0)),"")</f>
        <v/>
      </c>
      <c r="BE84">
        <f>IFERROR(INDEX('_names_lookup'!$B:$B,MATCH(BC84,'_names_lookup'!$A:$A,0)),"")</f>
        <v/>
      </c>
    </row>
    <row r="85">
      <c r="H85" t="inlineStr">
        <is>
          <t>2260-02</t>
        </is>
      </c>
      <c r="I85" t="inlineStr">
        <is>
          <t>2580</t>
        </is>
      </c>
      <c r="K85" t="inlineStr">
        <is>
          <t>619</t>
        </is>
      </c>
      <c r="N85">
        <f>IFERROR(INDEX('_courses_lookup'!$C:$C,MATCH(J85&amp;K85,'_courses_lookup'!$E:$E,0)),"")</f>
        <v/>
      </c>
      <c r="O85">
        <f>IFERROR(INDEX('_courses_lookup'!$D:$D,MATCH(J85&amp;K85,'_courses_lookup'!$E:$E,0)),"")</f>
        <v/>
      </c>
      <c r="AE85">
        <f>IFERROR(IF(AC85*AD85=0,"",AC85*AD85),"")</f>
        <v/>
      </c>
      <c r="AH85">
        <f>IF(AND(AF85&lt;&gt;"",AG85&lt;&gt;""),ROUNDUP((AG85-AF85)/7,0),"")</f>
        <v/>
      </c>
      <c r="AJ85">
        <f>IFERROR(IF(AH85*AI85=0,"",AH85*AI85),"")</f>
        <v/>
      </c>
      <c r="AL85">
        <f>IFERROR(IF((AO85-(AE85+AJ85))/AK85=0,"",ROUNDUP((AO85-(AE85+AJ85))/AK85,0)),"")</f>
        <v/>
      </c>
      <c r="AM85">
        <f>IFERROR(IF((AO85-(AE85+AJ85))=0,"",(AO85-(AE85+AJ85))),"")</f>
        <v/>
      </c>
      <c r="AN85">
        <f>IF(AND(AC85="",AK85=""),AH85,IF(SUM(AC85,AH85,AK85)=0,"",SUM(AC85,AH85,AK85)))</f>
        <v/>
      </c>
      <c r="AY85">
        <f>IF(AB85="","",YEAR(AB85)+IF(MONTH(AB85)&gt;=5,1,0))</f>
        <v/>
      </c>
      <c r="AZ85">
        <f>IF(AB85="","",IF(AND(MONTH(AB85)=8,DAY(AB85)&gt;=15),"Fall",IF(MONTH(AB85)&gt;8,"Fall",IF(MONTH(AB85)=5,"Summer",IF(MONTH(AB85)=1,"Spring","")))))</f>
        <v/>
      </c>
      <c r="BC85" t="inlineStr">
        <is>
          <t>Broy, Trisha E.</t>
        </is>
      </c>
      <c r="BD85">
        <f>IFERROR(INDEX('_names_lookup'!$C:$C,MATCH(BC85,'_names_lookup'!$A:$A,0)),"")</f>
        <v/>
      </c>
      <c r="BE85">
        <f>IFERROR(INDEX('_names_lookup'!$B:$B,MATCH(BC85,'_names_lookup'!$A:$A,0)),"")</f>
        <v/>
      </c>
    </row>
    <row r="86">
      <c r="H86" t="inlineStr">
        <is>
          <t>2261-01</t>
        </is>
      </c>
      <c r="I86" t="inlineStr">
        <is>
          <t>2612</t>
        </is>
      </c>
      <c r="K86" t="inlineStr">
        <is>
          <t>620</t>
        </is>
      </c>
      <c r="N86">
        <f>IFERROR(INDEX('_courses_lookup'!$C:$C,MATCH(J86&amp;K86,'_courses_lookup'!$E:$E,0)),"")</f>
        <v/>
      </c>
      <c r="O86">
        <f>IFERROR(INDEX('_courses_lookup'!$D:$D,MATCH(J86&amp;K86,'_courses_lookup'!$E:$E,0)),"")</f>
        <v/>
      </c>
      <c r="AE86">
        <f>IFERROR(IF(AC86*AD86=0,"",AC86*AD86),"")</f>
        <v/>
      </c>
      <c r="AH86">
        <f>IF(AND(AF86&lt;&gt;"",AG86&lt;&gt;""),ROUNDUP((AG86-AF86)/7,0),"")</f>
        <v/>
      </c>
      <c r="AJ86">
        <f>IFERROR(IF(AH86*AI86=0,"",AH86*AI86),"")</f>
        <v/>
      </c>
      <c r="AL86">
        <f>IFERROR(IF((AO86-(AE86+AJ86))/AK86=0,"",ROUNDUP((AO86-(AE86+AJ86))/AK86,0)),"")</f>
        <v/>
      </c>
      <c r="AM86">
        <f>IFERROR(IF((AO86-(AE86+AJ86))=0,"",(AO86-(AE86+AJ86))),"")</f>
        <v/>
      </c>
      <c r="AN86">
        <f>IF(AND(AC86="",AK86=""),AH86,IF(SUM(AC86,AH86,AK86)=0,"",SUM(AC86,AH86,AK86)))</f>
        <v/>
      </c>
      <c r="AY86">
        <f>IF(AB86="","",YEAR(AB86)+IF(MONTH(AB86)&gt;=5,1,0))</f>
        <v/>
      </c>
      <c r="AZ86">
        <f>IF(AB86="","",IF(AND(MONTH(AB86)=8,DAY(AB86)&gt;=15),"Fall",IF(MONTH(AB86)&gt;8,"Fall",IF(MONTH(AB86)=5,"Summer",IF(MONTH(AB86)=1,"Spring","")))))</f>
        <v/>
      </c>
      <c r="BC86" t="inlineStr">
        <is>
          <t>Doukhan, Jacques B.</t>
        </is>
      </c>
      <c r="BD86">
        <f>IFERROR(INDEX('_names_lookup'!$C:$C,MATCH(BC86,'_names_lookup'!$A:$A,0)),"")</f>
        <v/>
      </c>
      <c r="BE86">
        <f>IFERROR(INDEX('_names_lookup'!$B:$B,MATCH(BC86,'_names_lookup'!$A:$A,0)),"")</f>
        <v/>
      </c>
    </row>
    <row r="87">
      <c r="H87" t="inlineStr">
        <is>
          <t>2261-02</t>
        </is>
      </c>
      <c r="I87" t="inlineStr">
        <is>
          <t>2694</t>
        </is>
      </c>
      <c r="K87" t="inlineStr">
        <is>
          <t>622</t>
        </is>
      </c>
      <c r="N87">
        <f>IFERROR(INDEX('_courses_lookup'!$C:$C,MATCH(J87&amp;K87,'_courses_lookup'!$E:$E,0)),"")</f>
        <v/>
      </c>
      <c r="O87">
        <f>IFERROR(INDEX('_courses_lookup'!$D:$D,MATCH(J87&amp;K87,'_courses_lookup'!$E:$E,0)),"")</f>
        <v/>
      </c>
      <c r="AE87">
        <f>IFERROR(IF(AC87*AD87=0,"",AC87*AD87),"")</f>
        <v/>
      </c>
      <c r="AH87">
        <f>IF(AND(AF87&lt;&gt;"",AG87&lt;&gt;""),ROUNDUP((AG87-AF87)/7,0),"")</f>
        <v/>
      </c>
      <c r="AJ87">
        <f>IFERROR(IF(AH87*AI87=0,"",AH87*AI87),"")</f>
        <v/>
      </c>
      <c r="AL87">
        <f>IFERROR(IF((AO87-(AE87+AJ87))/AK87=0,"",ROUNDUP((AO87-(AE87+AJ87))/AK87,0)),"")</f>
        <v/>
      </c>
      <c r="AM87">
        <f>IFERROR(IF((AO87-(AE87+AJ87))=0,"",(AO87-(AE87+AJ87))),"")</f>
        <v/>
      </c>
      <c r="AN87">
        <f>IF(AND(AC87="",AK87=""),AH87,IF(SUM(AC87,AH87,AK87)=0,"",SUM(AC87,AH87,AK87)))</f>
        <v/>
      </c>
      <c r="AY87">
        <f>IF(AB87="","",YEAR(AB87)+IF(MONTH(AB87)&gt;=5,1,0))</f>
        <v/>
      </c>
      <c r="AZ87">
        <f>IF(AB87="","",IF(AND(MONTH(AB87)=8,DAY(AB87)&gt;=15),"Fall",IF(MONTH(AB87)&gt;8,"Fall",IF(MONTH(AB87)=5,"Summer",IF(MONTH(AB87)=1,"Spring","")))))</f>
        <v/>
      </c>
      <c r="BC87" t="inlineStr">
        <is>
          <t>Emswiler, Elizabeth</t>
        </is>
      </c>
      <c r="BD87">
        <f>IFERROR(INDEX('_names_lookup'!$C:$C,MATCH(BC87,'_names_lookup'!$A:$A,0)),"")</f>
        <v/>
      </c>
      <c r="BE87">
        <f>IFERROR(INDEX('_names_lookup'!$B:$B,MATCH(BC87,'_names_lookup'!$A:$A,0)),"")</f>
        <v/>
      </c>
    </row>
    <row r="88">
      <c r="H88" t="inlineStr">
        <is>
          <t>2265-01</t>
        </is>
      </c>
      <c r="I88" t="inlineStr">
        <is>
          <t>2695</t>
        </is>
      </c>
      <c r="K88" t="inlineStr">
        <is>
          <t>623</t>
        </is>
      </c>
      <c r="N88">
        <f>IFERROR(INDEX('_courses_lookup'!$C:$C,MATCH(J88&amp;K88,'_courses_lookup'!$E:$E,0)),"")</f>
        <v/>
      </c>
      <c r="O88">
        <f>IFERROR(INDEX('_courses_lookup'!$D:$D,MATCH(J88&amp;K88,'_courses_lookup'!$E:$E,0)),"")</f>
        <v/>
      </c>
      <c r="AE88">
        <f>IFERROR(IF(AC88*AD88=0,"",AC88*AD88),"")</f>
        <v/>
      </c>
      <c r="AH88">
        <f>IF(AND(AF88&lt;&gt;"",AG88&lt;&gt;""),ROUNDUP((AG88-AF88)/7,0),"")</f>
        <v/>
      </c>
      <c r="AJ88">
        <f>IFERROR(IF(AH88*AI88=0,"",AH88*AI88),"")</f>
        <v/>
      </c>
      <c r="AL88">
        <f>IFERROR(IF((AO88-(AE88+AJ88))/AK88=0,"",ROUNDUP((AO88-(AE88+AJ88))/AK88,0)),"")</f>
        <v/>
      </c>
      <c r="AM88">
        <f>IFERROR(IF((AO88-(AE88+AJ88))=0,"",(AO88-(AE88+AJ88))),"")</f>
        <v/>
      </c>
      <c r="AN88">
        <f>IF(AND(AC88="",AK88=""),AH88,IF(SUM(AC88,AH88,AK88)=0,"",SUM(AC88,AH88,AK88)))</f>
        <v/>
      </c>
      <c r="AY88">
        <f>IF(AB88="","",YEAR(AB88)+IF(MONTH(AB88)&gt;=5,1,0))</f>
        <v/>
      </c>
      <c r="AZ88">
        <f>IF(AB88="","",IF(AND(MONTH(AB88)=8,DAY(AB88)&gt;=15),"Fall",IF(MONTH(AB88)&gt;8,"Fall",IF(MONTH(AB88)=5,"Summer",IF(MONTH(AB88)=1,"Spring","")))))</f>
        <v/>
      </c>
      <c r="BC88" t="inlineStr">
        <is>
          <t>Gane, Constance E.</t>
        </is>
      </c>
      <c r="BD88">
        <f>IFERROR(INDEX('_names_lookup'!$C:$C,MATCH(BC88,'_names_lookup'!$A:$A,0)),"")</f>
        <v/>
      </c>
      <c r="BE88">
        <f>IFERROR(INDEX('_names_lookup'!$B:$B,MATCH(BC88,'_names_lookup'!$A:$A,0)),"")</f>
        <v/>
      </c>
    </row>
    <row r="89">
      <c r="H89" t="inlineStr">
        <is>
          <t>2265-02</t>
        </is>
      </c>
      <c r="I89" t="inlineStr">
        <is>
          <t>2696</t>
        </is>
      </c>
      <c r="K89" t="inlineStr">
        <is>
          <t>624</t>
        </is>
      </c>
      <c r="N89">
        <f>IFERROR(INDEX('_courses_lookup'!$C:$C,MATCH(J89&amp;K89,'_courses_lookup'!$E:$E,0)),"")</f>
        <v/>
      </c>
      <c r="O89">
        <f>IFERROR(INDEX('_courses_lookup'!$D:$D,MATCH(J89&amp;K89,'_courses_lookup'!$E:$E,0)),"")</f>
        <v/>
      </c>
      <c r="AE89">
        <f>IFERROR(IF(AC89*AD89=0,"",AC89*AD89),"")</f>
        <v/>
      </c>
      <c r="AH89">
        <f>IF(AND(AF89&lt;&gt;"",AG89&lt;&gt;""),ROUNDUP((AG89-AF89)/7,0),"")</f>
        <v/>
      </c>
      <c r="AJ89">
        <f>IFERROR(IF(AH89*AI89=0,"",AH89*AI89),"")</f>
        <v/>
      </c>
      <c r="AL89">
        <f>IFERROR(IF((AO89-(AE89+AJ89))/AK89=0,"",ROUNDUP((AO89-(AE89+AJ89))/AK89,0)),"")</f>
        <v/>
      </c>
      <c r="AM89">
        <f>IFERROR(IF((AO89-(AE89+AJ89))=0,"",(AO89-(AE89+AJ89))),"")</f>
        <v/>
      </c>
      <c r="AN89">
        <f>IF(AND(AC89="",AK89=""),AH89,IF(SUM(AC89,AH89,AK89)=0,"",SUM(AC89,AH89,AK89)))</f>
        <v/>
      </c>
      <c r="AY89">
        <f>IF(AB89="","",YEAR(AB89)+IF(MONTH(AB89)&gt;=5,1,0))</f>
        <v/>
      </c>
      <c r="AZ89">
        <f>IF(AB89="","",IF(AND(MONTH(AB89)=8,DAY(AB89)&gt;=15),"Fall",IF(MONTH(AB89)&gt;8,"Fall",IF(MONTH(AB89)=5,"Summer",IF(MONTH(AB89)=1,"Spring","")))))</f>
        <v/>
      </c>
      <c r="BC89" t="inlineStr">
        <is>
          <t>Glanz, Oliver</t>
        </is>
      </c>
      <c r="BD89">
        <f>IFERROR(INDEX('_names_lookup'!$C:$C,MATCH(BC89,'_names_lookup'!$A:$A,0)),"")</f>
        <v/>
      </c>
      <c r="BE89">
        <f>IFERROR(INDEX('_names_lookup'!$B:$B,MATCH(BC89,'_names_lookup'!$A:$A,0)),"")</f>
        <v/>
      </c>
    </row>
    <row r="90">
      <c r="H90" t="inlineStr">
        <is>
          <t>2267-01</t>
        </is>
      </c>
      <c r="I90" t="inlineStr">
        <is>
          <t>2699</t>
        </is>
      </c>
      <c r="K90" t="inlineStr">
        <is>
          <t>625</t>
        </is>
      </c>
      <c r="N90">
        <f>IFERROR(INDEX('_courses_lookup'!$C:$C,MATCH(J90&amp;K90,'_courses_lookup'!$E:$E,0)),"")</f>
        <v/>
      </c>
      <c r="O90">
        <f>IFERROR(INDEX('_courses_lookup'!$D:$D,MATCH(J90&amp;K90,'_courses_lookup'!$E:$E,0)),"")</f>
        <v/>
      </c>
      <c r="AE90">
        <f>IFERROR(IF(AC90*AD90=0,"",AC90*AD90),"")</f>
        <v/>
      </c>
      <c r="AH90">
        <f>IF(AND(AF90&lt;&gt;"",AG90&lt;&gt;""),ROUNDUP((AG90-AF90)/7,0),"")</f>
        <v/>
      </c>
      <c r="AJ90">
        <f>IFERROR(IF(AH90*AI90=0,"",AH90*AI90),"")</f>
        <v/>
      </c>
      <c r="AL90">
        <f>IFERROR(IF((AO90-(AE90+AJ90))/AK90=0,"",ROUNDUP((AO90-(AE90+AJ90))/AK90,0)),"")</f>
        <v/>
      </c>
      <c r="AM90">
        <f>IFERROR(IF((AO90-(AE90+AJ90))=0,"",(AO90-(AE90+AJ90))),"")</f>
        <v/>
      </c>
      <c r="AN90">
        <f>IF(AND(AC90="",AK90=""),AH90,IF(SUM(AC90,AH90,AK90)=0,"",SUM(AC90,AH90,AK90)))</f>
        <v/>
      </c>
      <c r="AY90">
        <f>IF(AB90="","",YEAR(AB90)+IF(MONTH(AB90)&gt;=5,1,0))</f>
        <v/>
      </c>
      <c r="AZ90">
        <f>IF(AB90="","",IF(AND(MONTH(AB90)=8,DAY(AB90)&gt;=15),"Fall",IF(MONTH(AB90)&gt;8,"Fall",IF(MONTH(AB90)=5,"Summer",IF(MONTH(AB90)=1,"Spring","")))))</f>
        <v/>
      </c>
      <c r="BC90" t="inlineStr">
        <is>
          <t>Gordan, Daniel M.</t>
        </is>
      </c>
      <c r="BD90">
        <f>IFERROR(INDEX('_names_lookup'!$C:$C,MATCH(BC90,'_names_lookup'!$A:$A,0)),"")</f>
        <v/>
      </c>
      <c r="BE90">
        <f>IFERROR(INDEX('_names_lookup'!$B:$B,MATCH(BC90,'_names_lookup'!$A:$A,0)),"")</f>
        <v/>
      </c>
    </row>
    <row r="91">
      <c r="H91" t="inlineStr">
        <is>
          <t>2270-01</t>
        </is>
      </c>
      <c r="I91" t="inlineStr">
        <is>
          <t>2700</t>
        </is>
      </c>
      <c r="K91" t="inlineStr">
        <is>
          <t>626</t>
        </is>
      </c>
      <c r="N91">
        <f>IFERROR(INDEX('_courses_lookup'!$C:$C,MATCH(J91&amp;K91,'_courses_lookup'!$E:$E,0)),"")</f>
        <v/>
      </c>
      <c r="O91">
        <f>IFERROR(INDEX('_courses_lookup'!$D:$D,MATCH(J91&amp;K91,'_courses_lookup'!$E:$E,0)),"")</f>
        <v/>
      </c>
      <c r="AE91">
        <f>IFERROR(IF(AC91*AD91=0,"",AC91*AD91),"")</f>
        <v/>
      </c>
      <c r="AH91">
        <f>IF(AND(AF91&lt;&gt;"",AG91&lt;&gt;""),ROUNDUP((AG91-AF91)/7,0),"")</f>
        <v/>
      </c>
      <c r="AJ91">
        <f>IFERROR(IF(AH91*AI91=0,"",AH91*AI91),"")</f>
        <v/>
      </c>
      <c r="AL91">
        <f>IFERROR(IF((AO91-(AE91+AJ91))/AK91=0,"",ROUNDUP((AO91-(AE91+AJ91))/AK91,0)),"")</f>
        <v/>
      </c>
      <c r="AM91">
        <f>IFERROR(IF((AO91-(AE91+AJ91))=0,"",(AO91-(AE91+AJ91))),"")</f>
        <v/>
      </c>
      <c r="AN91">
        <f>IF(AND(AC91="",AK91=""),AH91,IF(SUM(AC91,AH91,AK91)=0,"",SUM(AC91,AH91,AK91)))</f>
        <v/>
      </c>
      <c r="AY91">
        <f>IF(AB91="","",YEAR(AB91)+IF(MONTH(AB91)&gt;=5,1,0))</f>
        <v/>
      </c>
      <c r="AZ91">
        <f>IF(AB91="","",IF(AND(MONTH(AB91)=8,DAY(AB91)&gt;=15),"Fall",IF(MONTH(AB91)&gt;8,"Fall",IF(MONTH(AB91)=5,"Summer",IF(MONTH(AB91)=1,"Spring","")))))</f>
        <v/>
      </c>
      <c r="BC91" t="inlineStr">
        <is>
          <t>Gregor, Paul Z.</t>
        </is>
      </c>
      <c r="BD91">
        <f>IFERROR(INDEX('_names_lookup'!$C:$C,MATCH(BC91,'_names_lookup'!$A:$A,0)),"")</f>
        <v/>
      </c>
      <c r="BE91">
        <f>IFERROR(INDEX('_names_lookup'!$B:$B,MATCH(BC91,'_names_lookup'!$A:$A,0)),"")</f>
        <v/>
      </c>
    </row>
    <row r="92">
      <c r="H92" t="inlineStr">
        <is>
          <t>2271-01</t>
        </is>
      </c>
      <c r="I92" t="inlineStr">
        <is>
          <t>2701</t>
        </is>
      </c>
      <c r="K92" t="inlineStr">
        <is>
          <t>627</t>
        </is>
      </c>
      <c r="N92">
        <f>IFERROR(INDEX('_courses_lookup'!$C:$C,MATCH(J92&amp;K92,'_courses_lookup'!$E:$E,0)),"")</f>
        <v/>
      </c>
      <c r="O92">
        <f>IFERROR(INDEX('_courses_lookup'!$D:$D,MATCH(J92&amp;K92,'_courses_lookup'!$E:$E,0)),"")</f>
        <v/>
      </c>
      <c r="AE92">
        <f>IFERROR(IF(AC92*AD92=0,"",AC92*AD92),"")</f>
        <v/>
      </c>
      <c r="AH92">
        <f>IF(AND(AF92&lt;&gt;"",AG92&lt;&gt;""),ROUNDUP((AG92-AF92)/7,0),"")</f>
        <v/>
      </c>
      <c r="AJ92">
        <f>IFERROR(IF(AH92*AI92=0,"",AH92*AI92),"")</f>
        <v/>
      </c>
      <c r="AL92">
        <f>IFERROR(IF((AO92-(AE92+AJ92))/AK92=0,"",ROUNDUP((AO92-(AE92+AJ92))/AK92,0)),"")</f>
        <v/>
      </c>
      <c r="AM92">
        <f>IFERROR(IF((AO92-(AE92+AJ92))=0,"",(AO92-(AE92+AJ92))),"")</f>
        <v/>
      </c>
      <c r="AN92">
        <f>IF(AND(AC92="",AK92=""),AH92,IF(SUM(AC92,AH92,AK92)=0,"",SUM(AC92,AH92,AK92)))</f>
        <v/>
      </c>
      <c r="AY92">
        <f>IF(AB92="","",YEAR(AB92)+IF(MONTH(AB92)&gt;=5,1,0))</f>
        <v/>
      </c>
      <c r="AZ92">
        <f>IF(AB92="","",IF(AND(MONTH(AB92)=8,DAY(AB92)&gt;=15),"Fall",IF(MONTH(AB92)&gt;8,"Fall",IF(MONTH(AB92)=5,"Summer",IF(MONTH(AB92)=1,"Spring","")))))</f>
        <v/>
      </c>
      <c r="BC92" t="inlineStr">
        <is>
          <t>Groda, Johnny</t>
        </is>
      </c>
      <c r="BD92">
        <f>IFERROR(INDEX('_names_lookup'!$C:$C,MATCH(BC92,'_names_lookup'!$A:$A,0)),"")</f>
        <v/>
      </c>
      <c r="BE92">
        <f>IFERROR(INDEX('_names_lookup'!$B:$B,MATCH(BC92,'_names_lookup'!$A:$A,0)),"")</f>
        <v/>
      </c>
    </row>
    <row r="93">
      <c r="H93" t="inlineStr">
        <is>
          <t>2293-01</t>
        </is>
      </c>
      <c r="I93" t="inlineStr">
        <is>
          <t>2702</t>
        </is>
      </c>
      <c r="K93" t="inlineStr">
        <is>
          <t>628</t>
        </is>
      </c>
      <c r="N93">
        <f>IFERROR(INDEX('_courses_lookup'!$C:$C,MATCH(J93&amp;K93,'_courses_lookup'!$E:$E,0)),"")</f>
        <v/>
      </c>
      <c r="O93">
        <f>IFERROR(INDEX('_courses_lookup'!$D:$D,MATCH(J93&amp;K93,'_courses_lookup'!$E:$E,0)),"")</f>
        <v/>
      </c>
      <c r="AE93">
        <f>IFERROR(IF(AC93*AD93=0,"",AC93*AD93),"")</f>
        <v/>
      </c>
      <c r="AH93">
        <f>IF(AND(AF93&lt;&gt;"",AG93&lt;&gt;""),ROUNDUP((AG93-AF93)/7,0),"")</f>
        <v/>
      </c>
      <c r="AJ93">
        <f>IFERROR(IF(AH93*AI93=0,"",AH93*AI93),"")</f>
        <v/>
      </c>
      <c r="AL93">
        <f>IFERROR(IF((AO93-(AE93+AJ93))/AK93=0,"",ROUNDUP((AO93-(AE93+AJ93))/AK93,0)),"")</f>
        <v/>
      </c>
      <c r="AM93">
        <f>IFERROR(IF((AO93-(AE93+AJ93))=0,"",(AO93-(AE93+AJ93))),"")</f>
        <v/>
      </c>
      <c r="AN93">
        <f>IF(AND(AC93="",AK93=""),AH93,IF(SUM(AC93,AH93,AK93)=0,"",SUM(AC93,AH93,AK93)))</f>
        <v/>
      </c>
      <c r="AY93">
        <f>IF(AB93="","",YEAR(AB93)+IF(MONTH(AB93)&gt;=5,1,0))</f>
        <v/>
      </c>
      <c r="AZ93">
        <f>IF(AB93="","",IF(AND(MONTH(AB93)=8,DAY(AB93)&gt;=15),"Fall",IF(MONTH(AB93)&gt;8,"Fall",IF(MONTH(AB93)=5,"Summer",IF(MONTH(AB93)=1,"Spring","")))))</f>
        <v/>
      </c>
      <c r="BC93" t="inlineStr">
        <is>
          <t>Hudon, Jeffrey P.</t>
        </is>
      </c>
      <c r="BD93">
        <f>IFERROR(INDEX('_names_lookup'!$C:$C,MATCH(BC93,'_names_lookup'!$A:$A,0)),"")</f>
        <v/>
      </c>
      <c r="BE93">
        <f>IFERROR(INDEX('_names_lookup'!$B:$B,MATCH(BC93,'_names_lookup'!$A:$A,0)),"")</f>
        <v/>
      </c>
    </row>
    <row r="94">
      <c r="H94" t="inlineStr">
        <is>
          <t>2301-01</t>
        </is>
      </c>
      <c r="I94" t="inlineStr">
        <is>
          <t>2704</t>
        </is>
      </c>
      <c r="K94" t="inlineStr">
        <is>
          <t>629</t>
        </is>
      </c>
      <c r="N94">
        <f>IFERROR(INDEX('_courses_lookup'!$C:$C,MATCH(J94&amp;K94,'_courses_lookup'!$E:$E,0)),"")</f>
        <v/>
      </c>
      <c r="O94">
        <f>IFERROR(INDEX('_courses_lookup'!$D:$D,MATCH(J94&amp;K94,'_courses_lookup'!$E:$E,0)),"")</f>
        <v/>
      </c>
      <c r="AE94">
        <f>IFERROR(IF(AC94*AD94=0,"",AC94*AD94),"")</f>
        <v/>
      </c>
      <c r="AH94">
        <f>IF(AND(AF94&lt;&gt;"",AG94&lt;&gt;""),ROUNDUP((AG94-AF94)/7,0),"")</f>
        <v/>
      </c>
      <c r="AJ94">
        <f>IFERROR(IF(AH94*AI94=0,"",AH94*AI94),"")</f>
        <v/>
      </c>
      <c r="AL94">
        <f>IFERROR(IF((AO94-(AE94+AJ94))/AK94=0,"",ROUNDUP((AO94-(AE94+AJ94))/AK94,0)),"")</f>
        <v/>
      </c>
      <c r="AM94">
        <f>IFERROR(IF((AO94-(AE94+AJ94))=0,"",(AO94-(AE94+AJ94))),"")</f>
        <v/>
      </c>
      <c r="AN94">
        <f>IF(AND(AC94="",AK94=""),AH94,IF(SUM(AC94,AH94,AK94)=0,"",SUM(AC94,AH94,AK94)))</f>
        <v/>
      </c>
      <c r="AY94">
        <f>IF(AB94="","",YEAR(AB94)+IF(MONTH(AB94)&gt;=5,1,0))</f>
        <v/>
      </c>
      <c r="AZ94">
        <f>IF(AB94="","",IF(AND(MONTH(AB94)=8,DAY(AB94)&gt;=15),"Fall",IF(MONTH(AB94)&gt;8,"Fall",IF(MONTH(AB94)=5,"Summer",IF(MONTH(AB94)=1,"Spring","")))))</f>
        <v/>
      </c>
      <c r="BC94" t="inlineStr">
        <is>
          <t>Ionescu, Laurentiu Gabriel</t>
        </is>
      </c>
      <c r="BD94">
        <f>IFERROR(INDEX('_names_lookup'!$C:$C,MATCH(BC94,'_names_lookup'!$A:$A,0)),"")</f>
        <v/>
      </c>
      <c r="BE94">
        <f>IFERROR(INDEX('_names_lookup'!$B:$B,MATCH(BC94,'_names_lookup'!$A:$A,0)),"")</f>
        <v/>
      </c>
    </row>
    <row r="95">
      <c r="H95" t="inlineStr">
        <is>
          <t>2301-02</t>
        </is>
      </c>
      <c r="I95" t="inlineStr">
        <is>
          <t>2735</t>
        </is>
      </c>
      <c r="K95" t="inlineStr">
        <is>
          <t>630</t>
        </is>
      </c>
      <c r="N95">
        <f>IFERROR(INDEX('_courses_lookup'!$C:$C,MATCH(J95&amp;K95,'_courses_lookup'!$E:$E,0)),"")</f>
        <v/>
      </c>
      <c r="O95">
        <f>IFERROR(INDEX('_courses_lookup'!$D:$D,MATCH(J95&amp;K95,'_courses_lookup'!$E:$E,0)),"")</f>
        <v/>
      </c>
      <c r="AE95">
        <f>IFERROR(IF(AC95*AD95=0,"",AC95*AD95),"")</f>
        <v/>
      </c>
      <c r="AH95">
        <f>IF(AND(AF95&lt;&gt;"",AG95&lt;&gt;""),ROUNDUP((AG95-AF95)/7,0),"")</f>
        <v/>
      </c>
      <c r="AJ95">
        <f>IFERROR(IF(AH95*AI95=0,"",AH95*AI95),"")</f>
        <v/>
      </c>
      <c r="AL95">
        <f>IFERROR(IF((AO95-(AE95+AJ95))/AK95=0,"",ROUNDUP((AO95-(AE95+AJ95))/AK95,0)),"")</f>
        <v/>
      </c>
      <c r="AM95">
        <f>IFERROR(IF((AO95-(AE95+AJ95))=0,"",(AO95-(AE95+AJ95))),"")</f>
        <v/>
      </c>
      <c r="AN95">
        <f>IF(AND(AC95="",AK95=""),AH95,IF(SUM(AC95,AH95,AK95)=0,"",SUM(AC95,AH95,AK95)))</f>
        <v/>
      </c>
      <c r="AY95">
        <f>IF(AB95="","",YEAR(AB95)+IF(MONTH(AB95)&gt;=5,1,0))</f>
        <v/>
      </c>
      <c r="AZ95">
        <f>IF(AB95="","",IF(AND(MONTH(AB95)=8,DAY(AB95)&gt;=15),"Fall",IF(MONTH(AB95)&gt;8,"Fall",IF(MONTH(AB95)=5,"Summer",IF(MONTH(AB95)=1,"Spring","")))))</f>
        <v/>
      </c>
      <c r="BC95" t="inlineStr">
        <is>
          <t>Jankovic, Slavisa</t>
        </is>
      </c>
      <c r="BD95">
        <f>IFERROR(INDEX('_names_lookup'!$C:$C,MATCH(BC95,'_names_lookup'!$A:$A,0)),"")</f>
        <v/>
      </c>
      <c r="BE95">
        <f>IFERROR(INDEX('_names_lookup'!$B:$B,MATCH(BC95,'_names_lookup'!$A:$A,0)),"")</f>
        <v/>
      </c>
    </row>
    <row r="96">
      <c r="H96" t="inlineStr">
        <is>
          <t>2301-03</t>
        </is>
      </c>
      <c r="I96" t="inlineStr">
        <is>
          <t>2736</t>
        </is>
      </c>
      <c r="K96" t="inlineStr">
        <is>
          <t>631</t>
        </is>
      </c>
      <c r="N96">
        <f>IFERROR(INDEX('_courses_lookup'!$C:$C,MATCH(J96&amp;K96,'_courses_lookup'!$E:$E,0)),"")</f>
        <v/>
      </c>
      <c r="O96">
        <f>IFERROR(INDEX('_courses_lookup'!$D:$D,MATCH(J96&amp;K96,'_courses_lookup'!$E:$E,0)),"")</f>
        <v/>
      </c>
      <c r="AE96">
        <f>IFERROR(IF(AC96*AD96=0,"",AC96*AD96),"")</f>
        <v/>
      </c>
      <c r="AH96">
        <f>IF(AND(AF96&lt;&gt;"",AG96&lt;&gt;""),ROUNDUP((AG96-AF96)/7,0),"")</f>
        <v/>
      </c>
      <c r="AJ96">
        <f>IFERROR(IF(AH96*AI96=0,"",AH96*AI96),"")</f>
        <v/>
      </c>
      <c r="AL96">
        <f>IFERROR(IF((AO96-(AE96+AJ96))/AK96=0,"",ROUNDUP((AO96-(AE96+AJ96))/AK96,0)),"")</f>
        <v/>
      </c>
      <c r="AM96">
        <f>IFERROR(IF((AO96-(AE96+AJ96))=0,"",(AO96-(AE96+AJ96))),"")</f>
        <v/>
      </c>
      <c r="AN96">
        <f>IF(AND(AC96="",AK96=""),AH96,IF(SUM(AC96,AH96,AK96)=0,"",SUM(AC96,AH96,AK96)))</f>
        <v/>
      </c>
      <c r="AY96">
        <f>IF(AB96="","",YEAR(AB96)+IF(MONTH(AB96)&gt;=5,1,0))</f>
        <v/>
      </c>
      <c r="AZ96">
        <f>IF(AB96="","",IF(AND(MONTH(AB96)=8,DAY(AB96)&gt;=15),"Fall",IF(MONTH(AB96)&gt;8,"Fall",IF(MONTH(AB96)=5,"Summer",IF(MONTH(AB96)=1,"Spring","")))))</f>
        <v/>
      </c>
      <c r="BC96" t="inlineStr">
        <is>
          <t>McGuire-Moushon, Joni A.</t>
        </is>
      </c>
      <c r="BD96">
        <f>IFERROR(INDEX('_names_lookup'!$C:$C,MATCH(BC96,'_names_lookup'!$A:$A,0)),"")</f>
        <v/>
      </c>
      <c r="BE96">
        <f>IFERROR(INDEX('_names_lookup'!$B:$B,MATCH(BC96,'_names_lookup'!$A:$A,0)),"")</f>
        <v/>
      </c>
    </row>
    <row r="97">
      <c r="H97" t="inlineStr">
        <is>
          <t>2302-01</t>
        </is>
      </c>
      <c r="I97" t="inlineStr">
        <is>
          <t>2739</t>
        </is>
      </c>
      <c r="K97" t="inlineStr">
        <is>
          <t>632</t>
        </is>
      </c>
      <c r="N97">
        <f>IFERROR(INDEX('_courses_lookup'!$C:$C,MATCH(J97&amp;K97,'_courses_lookup'!$E:$E,0)),"")</f>
        <v/>
      </c>
      <c r="O97">
        <f>IFERROR(INDEX('_courses_lookup'!$D:$D,MATCH(J97&amp;K97,'_courses_lookup'!$E:$E,0)),"")</f>
        <v/>
      </c>
      <c r="AE97">
        <f>IFERROR(IF(AC97*AD97=0,"",AC97*AD97),"")</f>
        <v/>
      </c>
      <c r="AH97">
        <f>IF(AND(AF97&lt;&gt;"",AG97&lt;&gt;""),ROUNDUP((AG97-AF97)/7,0),"")</f>
        <v/>
      </c>
      <c r="AJ97">
        <f>IFERROR(IF(AH97*AI97=0,"",AH97*AI97),"")</f>
        <v/>
      </c>
      <c r="AL97">
        <f>IFERROR(IF((AO97-(AE97+AJ97))/AK97=0,"",ROUNDUP((AO97-(AE97+AJ97))/AK97,0)),"")</f>
        <v/>
      </c>
      <c r="AM97">
        <f>IFERROR(IF((AO97-(AE97+AJ97))=0,"",(AO97-(AE97+AJ97))),"")</f>
        <v/>
      </c>
      <c r="AN97">
        <f>IF(AND(AC97="",AK97=""),AH97,IF(SUM(AC97,AH97,AK97)=0,"",SUM(AC97,AH97,AK97)))</f>
        <v/>
      </c>
      <c r="AY97">
        <f>IF(AB97="","",YEAR(AB97)+IF(MONTH(AB97)&gt;=5,1,0))</f>
        <v/>
      </c>
      <c r="AZ97">
        <f>IF(AB97="","",IF(AND(MONTH(AB97)=8,DAY(AB97)&gt;=15),"Fall",IF(MONTH(AB97)&gt;8,"Fall",IF(MONTH(AB97)=5,"Summer",IF(MONTH(AB97)=1,"Spring","")))))</f>
        <v/>
      </c>
      <c r="BC97" t="inlineStr">
        <is>
          <t>Moody, Jacob A.</t>
        </is>
      </c>
      <c r="BD97">
        <f>IFERROR(INDEX('_names_lookup'!$C:$C,MATCH(BC97,'_names_lookup'!$A:$A,0)),"")</f>
        <v/>
      </c>
      <c r="BE97">
        <f>IFERROR(INDEX('_names_lookup'!$B:$B,MATCH(BC97,'_names_lookup'!$A:$A,0)),"")</f>
        <v/>
      </c>
    </row>
    <row r="98">
      <c r="H98" t="inlineStr">
        <is>
          <t>2302-02</t>
        </is>
      </c>
      <c r="I98" t="inlineStr">
        <is>
          <t>2740</t>
        </is>
      </c>
      <c r="K98" t="inlineStr">
        <is>
          <t>633</t>
        </is>
      </c>
      <c r="N98">
        <f>IFERROR(INDEX('_courses_lookup'!$C:$C,MATCH(J98&amp;K98,'_courses_lookup'!$E:$E,0)),"")</f>
        <v/>
      </c>
      <c r="O98">
        <f>IFERROR(INDEX('_courses_lookup'!$D:$D,MATCH(J98&amp;K98,'_courses_lookup'!$E:$E,0)),"")</f>
        <v/>
      </c>
      <c r="AE98">
        <f>IFERROR(IF(AC98*AD98=0,"",AC98*AD98),"")</f>
        <v/>
      </c>
      <c r="AH98">
        <f>IF(AND(AF98&lt;&gt;"",AG98&lt;&gt;""),ROUNDUP((AG98-AF98)/7,0),"")</f>
        <v/>
      </c>
      <c r="AJ98">
        <f>IFERROR(IF(AH98*AI98=0,"",AH98*AI98),"")</f>
        <v/>
      </c>
      <c r="AL98">
        <f>IFERROR(IF((AO98-(AE98+AJ98))/AK98=0,"",ROUNDUP((AO98-(AE98+AJ98))/AK98,0)),"")</f>
        <v/>
      </c>
      <c r="AM98">
        <f>IFERROR(IF((AO98-(AE98+AJ98))=0,"",(AO98-(AE98+AJ98))),"")</f>
        <v/>
      </c>
      <c r="AN98">
        <f>IF(AND(AC98="",AK98=""),AH98,IF(SUM(AC98,AH98,AK98)=0,"",SUM(AC98,AH98,AK98)))</f>
        <v/>
      </c>
      <c r="AY98">
        <f>IF(AB98="","",YEAR(AB98)+IF(MONTH(AB98)&gt;=5,1,0))</f>
        <v/>
      </c>
      <c r="AZ98">
        <f>IF(AB98="","",IF(AND(MONTH(AB98)=8,DAY(AB98)&gt;=15),"Fall",IF(MONTH(AB98)&gt;8,"Fall",IF(MONTH(AB98)=5,"Summer",IF(MONTH(AB98)=1,"Spring","")))))</f>
        <v/>
      </c>
      <c r="BC98" t="inlineStr">
        <is>
          <t>Morrow, Laura K.</t>
        </is>
      </c>
      <c r="BD98">
        <f>IFERROR(INDEX('_names_lookup'!$C:$C,MATCH(BC98,'_names_lookup'!$A:$A,0)),"")</f>
        <v/>
      </c>
      <c r="BE98">
        <f>IFERROR(INDEX('_names_lookup'!$B:$B,MATCH(BC98,'_names_lookup'!$A:$A,0)),"")</f>
        <v/>
      </c>
    </row>
    <row r="99">
      <c r="H99" t="inlineStr">
        <is>
          <t>2302-03</t>
        </is>
      </c>
      <c r="I99" t="inlineStr">
        <is>
          <t>2741</t>
        </is>
      </c>
      <c r="K99" t="inlineStr">
        <is>
          <t>634</t>
        </is>
      </c>
      <c r="N99">
        <f>IFERROR(INDEX('_courses_lookup'!$C:$C,MATCH(J99&amp;K99,'_courses_lookup'!$E:$E,0)),"")</f>
        <v/>
      </c>
      <c r="O99">
        <f>IFERROR(INDEX('_courses_lookup'!$D:$D,MATCH(J99&amp;K99,'_courses_lookup'!$E:$E,0)),"")</f>
        <v/>
      </c>
      <c r="AE99">
        <f>IFERROR(IF(AC99*AD99=0,"",AC99*AD99),"")</f>
        <v/>
      </c>
      <c r="AH99">
        <f>IF(AND(AF99&lt;&gt;"",AG99&lt;&gt;""),ROUNDUP((AG99-AF99)/7,0),"")</f>
        <v/>
      </c>
      <c r="AJ99">
        <f>IFERROR(IF(AH99*AI99=0,"",AH99*AI99),"")</f>
        <v/>
      </c>
      <c r="AL99">
        <f>IFERROR(IF((AO99-(AE99+AJ99))/AK99=0,"",ROUNDUP((AO99-(AE99+AJ99))/AK99,0)),"")</f>
        <v/>
      </c>
      <c r="AM99">
        <f>IFERROR(IF((AO99-(AE99+AJ99))=0,"",(AO99-(AE99+AJ99))),"")</f>
        <v/>
      </c>
      <c r="AN99">
        <f>IF(AND(AC99="",AK99=""),AH99,IF(SUM(AC99,AH99,AK99)=0,"",SUM(AC99,AH99,AK99)))</f>
        <v/>
      </c>
      <c r="AY99">
        <f>IF(AB99="","",YEAR(AB99)+IF(MONTH(AB99)&gt;=5,1,0))</f>
        <v/>
      </c>
      <c r="AZ99">
        <f>IF(AB99="","",IF(AND(MONTH(AB99)=8,DAY(AB99)&gt;=15),"Fall",IF(MONTH(AB99)&gt;8,"Fall",IF(MONTH(AB99)=5,"Summer",IF(MONTH(AB99)=1,"Spring","")))))</f>
        <v/>
      </c>
      <c r="BC99" t="inlineStr">
        <is>
          <t>Nam, Daegeuk</t>
        </is>
      </c>
      <c r="BD99">
        <f>IFERROR(INDEX('_names_lookup'!$C:$C,MATCH(BC99,'_names_lookup'!$A:$A,0)),"")</f>
        <v/>
      </c>
      <c r="BE99">
        <f>IFERROR(INDEX('_names_lookup'!$B:$B,MATCH(BC99,'_names_lookup'!$A:$A,0)),"")</f>
        <v/>
      </c>
    </row>
    <row r="100">
      <c r="H100" t="inlineStr">
        <is>
          <t>2310-01</t>
        </is>
      </c>
      <c r="I100" t="inlineStr">
        <is>
          <t>2742</t>
        </is>
      </c>
      <c r="K100" t="inlineStr">
        <is>
          <t>635</t>
        </is>
      </c>
      <c r="N100">
        <f>IFERROR(INDEX('_courses_lookup'!$C:$C,MATCH(J100&amp;K100,'_courses_lookup'!$E:$E,0)),"")</f>
        <v/>
      </c>
      <c r="O100">
        <f>IFERROR(INDEX('_courses_lookup'!$D:$D,MATCH(J100&amp;K100,'_courses_lookup'!$E:$E,0)),"")</f>
        <v/>
      </c>
      <c r="AE100">
        <f>IFERROR(IF(AC100*AD100=0,"",AC100*AD100),"")</f>
        <v/>
      </c>
      <c r="AH100">
        <f>IF(AND(AF100&lt;&gt;"",AG100&lt;&gt;""),ROUNDUP((AG100-AF100)/7,0),"")</f>
        <v/>
      </c>
      <c r="AJ100">
        <f>IFERROR(IF(AH100*AI100=0,"",AH100*AI100),"")</f>
        <v/>
      </c>
      <c r="AL100">
        <f>IFERROR(IF((AO100-(AE100+AJ100))/AK100=0,"",ROUNDUP((AO100-(AE100+AJ100))/AK100,0)),"")</f>
        <v/>
      </c>
      <c r="AM100">
        <f>IFERROR(IF((AO100-(AE100+AJ100))=0,"",(AO100-(AE100+AJ100))),"")</f>
        <v/>
      </c>
      <c r="AN100">
        <f>IF(AND(AC100="",AK100=""),AH100,IF(SUM(AC100,AH100,AK100)=0,"",SUM(AC100,AH100,AK100)))</f>
        <v/>
      </c>
      <c r="AY100">
        <f>IF(AB100="","",YEAR(AB100)+IF(MONTH(AB100)&gt;=5,1,0))</f>
        <v/>
      </c>
      <c r="AZ100">
        <f>IF(AB100="","",IF(AND(MONTH(AB100)=8,DAY(AB100)&gt;=15),"Fall",IF(MONTH(AB100)&gt;8,"Fall",IF(MONTH(AB100)=5,"Summer",IF(MONTH(AB100)=1,"Spring","")))))</f>
        <v/>
      </c>
      <c r="BC100" t="inlineStr">
        <is>
          <t>Ngo, Kim Chai</t>
        </is>
      </c>
      <c r="BD100">
        <f>IFERROR(INDEX('_names_lookup'!$C:$C,MATCH(BC100,'_names_lookup'!$A:$A,0)),"")</f>
        <v/>
      </c>
      <c r="BE100">
        <f>IFERROR(INDEX('_names_lookup'!$B:$B,MATCH(BC100,'_names_lookup'!$A:$A,0)),"")</f>
        <v/>
      </c>
    </row>
    <row r="101">
      <c r="H101" t="inlineStr">
        <is>
          <t>2310-02</t>
        </is>
      </c>
      <c r="I101" t="inlineStr">
        <is>
          <t>2743</t>
        </is>
      </c>
      <c r="K101" t="inlineStr">
        <is>
          <t>636</t>
        </is>
      </c>
      <c r="N101">
        <f>IFERROR(INDEX('_courses_lookup'!$C:$C,MATCH(J101&amp;K101,'_courses_lookup'!$E:$E,0)),"")</f>
        <v/>
      </c>
      <c r="O101">
        <f>IFERROR(INDEX('_courses_lookup'!$D:$D,MATCH(J101&amp;K101,'_courses_lookup'!$E:$E,0)),"")</f>
        <v/>
      </c>
      <c r="AE101">
        <f>IFERROR(IF(AC101*AD101=0,"",AC101*AD101),"")</f>
        <v/>
      </c>
      <c r="AH101">
        <f>IF(AND(AF101&lt;&gt;"",AG101&lt;&gt;""),ROUNDUP((AG101-AF101)/7,0),"")</f>
        <v/>
      </c>
      <c r="AJ101">
        <f>IFERROR(IF(AH101*AI101=0,"",AH101*AI101),"")</f>
        <v/>
      </c>
      <c r="AL101">
        <f>IFERROR(IF((AO101-(AE101+AJ101))/AK101=0,"",ROUNDUP((AO101-(AE101+AJ101))/AK101,0)),"")</f>
        <v/>
      </c>
      <c r="AM101">
        <f>IFERROR(IF((AO101-(AE101+AJ101))=0,"",(AO101-(AE101+AJ101))),"")</f>
        <v/>
      </c>
      <c r="AN101">
        <f>IF(AND(AC101="",AK101=""),AH101,IF(SUM(AC101,AH101,AK101)=0,"",SUM(AC101,AH101,AK101)))</f>
        <v/>
      </c>
      <c r="AY101">
        <f>IF(AB101="","",YEAR(AB101)+IF(MONTH(AB101)&gt;=5,1,0))</f>
        <v/>
      </c>
      <c r="AZ101">
        <f>IF(AB101="","",IF(AND(MONTH(AB101)=8,DAY(AB101)&gt;=15),"Fall",IF(MONTH(AB101)&gt;8,"Fall",IF(MONTH(AB101)=5,"Summer",IF(MONTH(AB101)=1,"Spring","")))))</f>
        <v/>
      </c>
      <c r="BC101" t="inlineStr">
        <is>
          <t>Olariu, Daniel</t>
        </is>
      </c>
      <c r="BD101">
        <f>IFERROR(INDEX('_names_lookup'!$C:$C,MATCH(BC101,'_names_lookup'!$A:$A,0)),"")</f>
        <v/>
      </c>
      <c r="BE101">
        <f>IFERROR(INDEX('_names_lookup'!$B:$B,MATCH(BC101,'_names_lookup'!$A:$A,0)),"")</f>
        <v/>
      </c>
    </row>
    <row r="102">
      <c r="H102" t="inlineStr">
        <is>
          <t>2384-01</t>
        </is>
      </c>
      <c r="I102" t="inlineStr">
        <is>
          <t>2749</t>
        </is>
      </c>
      <c r="K102" t="inlineStr">
        <is>
          <t>637</t>
        </is>
      </c>
      <c r="N102">
        <f>IFERROR(INDEX('_courses_lookup'!$C:$C,MATCH(J102&amp;K102,'_courses_lookup'!$E:$E,0)),"")</f>
        <v/>
      </c>
      <c r="O102">
        <f>IFERROR(INDEX('_courses_lookup'!$D:$D,MATCH(J102&amp;K102,'_courses_lookup'!$E:$E,0)),"")</f>
        <v/>
      </c>
      <c r="AE102">
        <f>IFERROR(IF(AC102*AD102=0,"",AC102*AD102),"")</f>
        <v/>
      </c>
      <c r="AH102">
        <f>IF(AND(AF102&lt;&gt;"",AG102&lt;&gt;""),ROUNDUP((AG102-AF102)/7,0),"")</f>
        <v/>
      </c>
      <c r="AJ102">
        <f>IFERROR(IF(AH102*AI102=0,"",AH102*AI102),"")</f>
        <v/>
      </c>
      <c r="AL102">
        <f>IFERROR(IF((AO102-(AE102+AJ102))/AK102=0,"",ROUNDUP((AO102-(AE102+AJ102))/AK102,0)),"")</f>
        <v/>
      </c>
      <c r="AM102">
        <f>IFERROR(IF((AO102-(AE102+AJ102))=0,"",(AO102-(AE102+AJ102))),"")</f>
        <v/>
      </c>
      <c r="AN102">
        <f>IF(AND(AC102="",AK102=""),AH102,IF(SUM(AC102,AH102,AK102)=0,"",SUM(AC102,AH102,AK102)))</f>
        <v/>
      </c>
      <c r="AY102">
        <f>IF(AB102="","",YEAR(AB102)+IF(MONTH(AB102)&gt;=5,1,0))</f>
        <v/>
      </c>
      <c r="AZ102">
        <f>IF(AB102="","",IF(AND(MONTH(AB102)=8,DAY(AB102)&gt;=15),"Fall",IF(MONTH(AB102)&gt;8,"Fall",IF(MONTH(AB102)=5,"Summer",IF(MONTH(AB102)=1,"Spring","")))))</f>
        <v/>
      </c>
      <c r="BC102" t="inlineStr">
        <is>
          <t>Prestes Neto, Flavio</t>
        </is>
      </c>
      <c r="BD102">
        <f>IFERROR(INDEX('_names_lookup'!$C:$C,MATCH(BC102,'_names_lookup'!$A:$A,0)),"")</f>
        <v/>
      </c>
      <c r="BE102">
        <f>IFERROR(INDEX('_names_lookup'!$B:$B,MATCH(BC102,'_names_lookup'!$A:$A,0)),"")</f>
        <v/>
      </c>
    </row>
    <row r="103">
      <c r="H103" t="inlineStr">
        <is>
          <t>2385-01</t>
        </is>
      </c>
      <c r="I103" t="inlineStr">
        <is>
          <t>2789</t>
        </is>
      </c>
      <c r="K103" t="inlineStr">
        <is>
          <t>638</t>
        </is>
      </c>
      <c r="N103">
        <f>IFERROR(INDEX('_courses_lookup'!$C:$C,MATCH(J103&amp;K103,'_courses_lookup'!$E:$E,0)),"")</f>
        <v/>
      </c>
      <c r="O103">
        <f>IFERROR(INDEX('_courses_lookup'!$D:$D,MATCH(J103&amp;K103,'_courses_lookup'!$E:$E,0)),"")</f>
        <v/>
      </c>
      <c r="AE103">
        <f>IFERROR(IF(AC103*AD103=0,"",AC103*AD103),"")</f>
        <v/>
      </c>
      <c r="AH103">
        <f>IF(AND(AF103&lt;&gt;"",AG103&lt;&gt;""),ROUNDUP((AG103-AF103)/7,0),"")</f>
        <v/>
      </c>
      <c r="AJ103">
        <f>IFERROR(IF(AH103*AI103=0,"",AH103*AI103),"")</f>
        <v/>
      </c>
      <c r="AL103">
        <f>IFERROR(IF((AO103-(AE103+AJ103))/AK103=0,"",ROUNDUP((AO103-(AE103+AJ103))/AK103,0)),"")</f>
        <v/>
      </c>
      <c r="AM103">
        <f>IFERROR(IF((AO103-(AE103+AJ103))=0,"",(AO103-(AE103+AJ103))),"")</f>
        <v/>
      </c>
      <c r="AN103">
        <f>IF(AND(AC103="",AK103=""),AH103,IF(SUM(AC103,AH103,AK103)=0,"",SUM(AC103,AH103,AK103)))</f>
        <v/>
      </c>
      <c r="AY103">
        <f>IF(AB103="","",YEAR(AB103)+IF(MONTH(AB103)&gt;=5,1,0))</f>
        <v/>
      </c>
      <c r="AZ103">
        <f>IF(AB103="","",IF(AND(MONTH(AB103)=8,DAY(AB103)&gt;=15),"Fall",IF(MONTH(AB103)&gt;8,"Fall",IF(MONTH(AB103)=5,"Summer",IF(MONTH(AB103)=1,"Spring","")))))</f>
        <v/>
      </c>
      <c r="BC103" t="inlineStr">
        <is>
          <t>Rivas Santini, Abelardo J.</t>
        </is>
      </c>
      <c r="BD103">
        <f>IFERROR(INDEX('_names_lookup'!$C:$C,MATCH(BC103,'_names_lookup'!$A:$A,0)),"")</f>
        <v/>
      </c>
      <c r="BE103">
        <f>IFERROR(INDEX('_names_lookup'!$B:$B,MATCH(BC103,'_names_lookup'!$A:$A,0)),"")</f>
        <v/>
      </c>
    </row>
    <row r="104">
      <c r="H104" t="inlineStr">
        <is>
          <t>2385-02</t>
        </is>
      </c>
      <c r="I104" t="inlineStr">
        <is>
          <t>2790</t>
        </is>
      </c>
      <c r="K104" t="inlineStr">
        <is>
          <t>639</t>
        </is>
      </c>
      <c r="N104">
        <f>IFERROR(INDEX('_courses_lookup'!$C:$C,MATCH(J104&amp;K104,'_courses_lookup'!$E:$E,0)),"")</f>
        <v/>
      </c>
      <c r="O104">
        <f>IFERROR(INDEX('_courses_lookup'!$D:$D,MATCH(J104&amp;K104,'_courses_lookup'!$E:$E,0)),"")</f>
        <v/>
      </c>
      <c r="AE104">
        <f>IFERROR(IF(AC104*AD104=0,"",AC104*AD104),"")</f>
        <v/>
      </c>
      <c r="AH104">
        <f>IF(AND(AF104&lt;&gt;"",AG104&lt;&gt;""),ROUNDUP((AG104-AF104)/7,0),"")</f>
        <v/>
      </c>
      <c r="AJ104">
        <f>IFERROR(IF(AH104*AI104=0,"",AH104*AI104),"")</f>
        <v/>
      </c>
      <c r="AL104">
        <f>IFERROR(IF((AO104-(AE104+AJ104))/AK104=0,"",ROUNDUP((AO104-(AE104+AJ104))/AK104,0)),"")</f>
        <v/>
      </c>
      <c r="AM104">
        <f>IFERROR(IF((AO104-(AE104+AJ104))=0,"",(AO104-(AE104+AJ104))),"")</f>
        <v/>
      </c>
      <c r="AN104">
        <f>IF(AND(AC104="",AK104=""),AH104,IF(SUM(AC104,AH104,AK104)=0,"",SUM(AC104,AH104,AK104)))</f>
        <v/>
      </c>
      <c r="AY104">
        <f>IF(AB104="","",YEAR(AB104)+IF(MONTH(AB104)&gt;=5,1,0))</f>
        <v/>
      </c>
      <c r="AZ104">
        <f>IF(AB104="","",IF(AND(MONTH(AB104)=8,DAY(AB104)&gt;=15),"Fall",IF(MONTH(AB104)&gt;8,"Fall",IF(MONTH(AB104)=5,"Summer",IF(MONTH(AB104)=1,"Spring","")))))</f>
        <v/>
      </c>
      <c r="BC104" t="inlineStr">
        <is>
          <t>Rojas, Ronald</t>
        </is>
      </c>
      <c r="BD104">
        <f>IFERROR(INDEX('_names_lookup'!$C:$C,MATCH(BC104,'_names_lookup'!$A:$A,0)),"")</f>
        <v/>
      </c>
      <c r="BE104">
        <f>IFERROR(INDEX('_names_lookup'!$B:$B,MATCH(BC104,'_names_lookup'!$A:$A,0)),"")</f>
        <v/>
      </c>
    </row>
    <row r="105">
      <c r="H105" t="inlineStr">
        <is>
          <t>2394-01</t>
        </is>
      </c>
      <c r="I105" t="inlineStr">
        <is>
          <t>2791</t>
        </is>
      </c>
      <c r="K105" t="inlineStr">
        <is>
          <t>640</t>
        </is>
      </c>
      <c r="N105">
        <f>IFERROR(INDEX('_courses_lookup'!$C:$C,MATCH(J105&amp;K105,'_courses_lookup'!$E:$E,0)),"")</f>
        <v/>
      </c>
      <c r="O105">
        <f>IFERROR(INDEX('_courses_lookup'!$D:$D,MATCH(J105&amp;K105,'_courses_lookup'!$E:$E,0)),"")</f>
        <v/>
      </c>
      <c r="AE105">
        <f>IFERROR(IF(AC105*AD105=0,"",AC105*AD105),"")</f>
        <v/>
      </c>
      <c r="AH105">
        <f>IF(AND(AF105&lt;&gt;"",AG105&lt;&gt;""),ROUNDUP((AG105-AF105)/7,0),"")</f>
        <v/>
      </c>
      <c r="AJ105">
        <f>IFERROR(IF(AH105*AI105=0,"",AH105*AI105),"")</f>
        <v/>
      </c>
      <c r="AL105">
        <f>IFERROR(IF((AO105-(AE105+AJ105))/AK105=0,"",ROUNDUP((AO105-(AE105+AJ105))/AK105,0)),"")</f>
        <v/>
      </c>
      <c r="AM105">
        <f>IFERROR(IF((AO105-(AE105+AJ105))=0,"",(AO105-(AE105+AJ105))),"")</f>
        <v/>
      </c>
      <c r="AN105">
        <f>IF(AND(AC105="",AK105=""),AH105,IF(SUM(AC105,AH105,AK105)=0,"",SUM(AC105,AH105,AK105)))</f>
        <v/>
      </c>
      <c r="AY105">
        <f>IF(AB105="","",YEAR(AB105)+IF(MONTH(AB105)&gt;=5,1,0))</f>
        <v/>
      </c>
      <c r="AZ105">
        <f>IF(AB105="","",IF(AND(MONTH(AB105)=8,DAY(AB105)&gt;=15),"Fall",IF(MONTH(AB105)&gt;8,"Fall",IF(MONTH(AB105)=5,"Summer",IF(MONTH(AB105)=1,"Spring","")))))</f>
        <v/>
      </c>
      <c r="BC105" t="inlineStr">
        <is>
          <t>Ruiz Araica, Roger D.</t>
        </is>
      </c>
      <c r="BD105">
        <f>IFERROR(INDEX('_names_lookup'!$C:$C,MATCH(BC105,'_names_lookup'!$A:$A,0)),"")</f>
        <v/>
      </c>
      <c r="BE105">
        <f>IFERROR(INDEX('_names_lookup'!$B:$B,MATCH(BC105,'_names_lookup'!$A:$A,0)),"")</f>
        <v/>
      </c>
    </row>
    <row r="106">
      <c r="H106" t="inlineStr">
        <is>
          <t>2395-01</t>
        </is>
      </c>
      <c r="I106" t="inlineStr">
        <is>
          <t>2793</t>
        </is>
      </c>
      <c r="K106" t="inlineStr">
        <is>
          <t>641</t>
        </is>
      </c>
      <c r="N106">
        <f>IFERROR(INDEX('_courses_lookup'!$C:$C,MATCH(J106&amp;K106,'_courses_lookup'!$E:$E,0)),"")</f>
        <v/>
      </c>
      <c r="O106">
        <f>IFERROR(INDEX('_courses_lookup'!$D:$D,MATCH(J106&amp;K106,'_courses_lookup'!$E:$E,0)),"")</f>
        <v/>
      </c>
      <c r="AE106">
        <f>IFERROR(IF(AC106*AD106=0,"",AC106*AD106),"")</f>
        <v/>
      </c>
      <c r="AH106">
        <f>IF(AND(AF106&lt;&gt;"",AG106&lt;&gt;""),ROUNDUP((AG106-AF106)/7,0),"")</f>
        <v/>
      </c>
      <c r="AJ106">
        <f>IFERROR(IF(AH106*AI106=0,"",AH106*AI106),"")</f>
        <v/>
      </c>
      <c r="AL106">
        <f>IFERROR(IF((AO106-(AE106+AJ106))/AK106=0,"",ROUNDUP((AO106-(AE106+AJ106))/AK106,0)),"")</f>
        <v/>
      </c>
      <c r="AM106">
        <f>IFERROR(IF((AO106-(AE106+AJ106))=0,"",(AO106-(AE106+AJ106))),"")</f>
        <v/>
      </c>
      <c r="AN106">
        <f>IF(AND(AC106="",AK106=""),AH106,IF(SUM(AC106,AH106,AK106)=0,"",SUM(AC106,AH106,AK106)))</f>
        <v/>
      </c>
      <c r="AY106">
        <f>IF(AB106="","",YEAR(AB106)+IF(MONTH(AB106)&gt;=5,1,0))</f>
        <v/>
      </c>
      <c r="AZ106">
        <f>IF(AB106="","",IF(AND(MONTH(AB106)=8,DAY(AB106)&gt;=15),"Fall",IF(MONTH(AB106)&gt;8,"Fall",IF(MONTH(AB106)=5,"Summer",IF(MONTH(AB106)=1,"Spring","")))))</f>
        <v/>
      </c>
      <c r="BC106" t="inlineStr">
        <is>
          <t>Skinner, Jerome L.</t>
        </is>
      </c>
      <c r="BD106">
        <f>IFERROR(INDEX('_names_lookup'!$C:$C,MATCH(BC106,'_names_lookup'!$A:$A,0)),"")</f>
        <v/>
      </c>
      <c r="BE106">
        <f>IFERROR(INDEX('_names_lookup'!$B:$B,MATCH(BC106,'_names_lookup'!$A:$A,0)),"")</f>
        <v/>
      </c>
    </row>
    <row r="107">
      <c r="H107" t="inlineStr">
        <is>
          <t>2396-01</t>
        </is>
      </c>
      <c r="I107" t="inlineStr">
        <is>
          <t>2796</t>
        </is>
      </c>
      <c r="K107" t="inlineStr">
        <is>
          <t>643</t>
        </is>
      </c>
      <c r="N107">
        <f>IFERROR(INDEX('_courses_lookup'!$C:$C,MATCH(J107&amp;K107,'_courses_lookup'!$E:$E,0)),"")</f>
        <v/>
      </c>
      <c r="O107">
        <f>IFERROR(INDEX('_courses_lookup'!$D:$D,MATCH(J107&amp;K107,'_courses_lookup'!$E:$E,0)),"")</f>
        <v/>
      </c>
      <c r="AE107">
        <f>IFERROR(IF(AC107*AD107=0,"",AC107*AD107),"")</f>
        <v/>
      </c>
      <c r="AH107">
        <f>IF(AND(AF107&lt;&gt;"",AG107&lt;&gt;""),ROUNDUP((AG107-AF107)/7,0),"")</f>
        <v/>
      </c>
      <c r="AJ107">
        <f>IFERROR(IF(AH107*AI107=0,"",AH107*AI107),"")</f>
        <v/>
      </c>
      <c r="AL107">
        <f>IFERROR(IF((AO107-(AE107+AJ107))/AK107=0,"",ROUNDUP((AO107-(AE107+AJ107))/AK107,0)),"")</f>
        <v/>
      </c>
      <c r="AM107">
        <f>IFERROR(IF((AO107-(AE107+AJ107))=0,"",(AO107-(AE107+AJ107))),"")</f>
        <v/>
      </c>
      <c r="AN107">
        <f>IF(AND(AC107="",AK107=""),AH107,IF(SUM(AC107,AH107,AK107)=0,"",SUM(AC107,AH107,AK107)))</f>
        <v/>
      </c>
      <c r="AY107">
        <f>IF(AB107="","",YEAR(AB107)+IF(MONTH(AB107)&gt;=5,1,0))</f>
        <v/>
      </c>
      <c r="AZ107">
        <f>IF(AB107="","",IF(AND(MONTH(AB107)=8,DAY(AB107)&gt;=15),"Fall",IF(MONTH(AB107)&gt;8,"Fall",IF(MONTH(AB107)=5,"Summer",IF(MONTH(AB107)=1,"Spring","")))))</f>
        <v/>
      </c>
      <c r="BC107" t="inlineStr">
        <is>
          <t>Sung, Sion</t>
        </is>
      </c>
      <c r="BD107">
        <f>IFERROR(INDEX('_names_lookup'!$C:$C,MATCH(BC107,'_names_lookup'!$A:$A,0)),"")</f>
        <v/>
      </c>
      <c r="BE107">
        <f>IFERROR(INDEX('_names_lookup'!$B:$B,MATCH(BC107,'_names_lookup'!$A:$A,0)),"")</f>
        <v/>
      </c>
    </row>
    <row r="108">
      <c r="H108" t="inlineStr">
        <is>
          <t>2396-02</t>
        </is>
      </c>
      <c r="I108" t="inlineStr">
        <is>
          <t>2802</t>
        </is>
      </c>
      <c r="K108" t="inlineStr">
        <is>
          <t>644</t>
        </is>
      </c>
      <c r="N108">
        <f>IFERROR(INDEX('_courses_lookup'!$C:$C,MATCH(J108&amp;K108,'_courses_lookup'!$E:$E,0)),"")</f>
        <v/>
      </c>
      <c r="O108">
        <f>IFERROR(INDEX('_courses_lookup'!$D:$D,MATCH(J108&amp;K108,'_courses_lookup'!$E:$E,0)),"")</f>
        <v/>
      </c>
      <c r="AE108">
        <f>IFERROR(IF(AC108*AD108=0,"",AC108*AD108),"")</f>
        <v/>
      </c>
      <c r="AH108">
        <f>IF(AND(AF108&lt;&gt;"",AG108&lt;&gt;""),ROUNDUP((AG108-AF108)/7,0),"")</f>
        <v/>
      </c>
      <c r="AJ108">
        <f>IFERROR(IF(AH108*AI108=0,"",AH108*AI108),"")</f>
        <v/>
      </c>
      <c r="AL108">
        <f>IFERROR(IF((AO108-(AE108+AJ108))/AK108=0,"",ROUNDUP((AO108-(AE108+AJ108))/AK108,0)),"")</f>
        <v/>
      </c>
      <c r="AM108">
        <f>IFERROR(IF((AO108-(AE108+AJ108))=0,"",(AO108-(AE108+AJ108))),"")</f>
        <v/>
      </c>
      <c r="AN108">
        <f>IF(AND(AC108="",AK108=""),AH108,IF(SUM(AC108,AH108,AK108)=0,"",SUM(AC108,AH108,AK108)))</f>
        <v/>
      </c>
      <c r="AY108">
        <f>IF(AB108="","",YEAR(AB108)+IF(MONTH(AB108)&gt;=5,1,0))</f>
        <v/>
      </c>
      <c r="AZ108">
        <f>IF(AB108="","",IF(AND(MONTH(AB108)=8,DAY(AB108)&gt;=15),"Fall",IF(MONTH(AB108)&gt;8,"Fall",IF(MONTH(AB108)=5,"Summer",IF(MONTH(AB108)=1,"Spring","")))))</f>
        <v/>
      </c>
      <c r="BC108" t="inlineStr">
        <is>
          <t>Tollerton, Evelyn Y.</t>
        </is>
      </c>
      <c r="BD108">
        <f>IFERROR(INDEX('_names_lookup'!$C:$C,MATCH(BC108,'_names_lookup'!$A:$A,0)),"")</f>
        <v/>
      </c>
      <c r="BE108">
        <f>IFERROR(INDEX('_names_lookup'!$B:$B,MATCH(BC108,'_names_lookup'!$A:$A,0)),"")</f>
        <v/>
      </c>
    </row>
    <row r="109">
      <c r="H109" t="inlineStr">
        <is>
          <t>2397-01</t>
        </is>
      </c>
      <c r="I109" t="inlineStr">
        <is>
          <t>2804</t>
        </is>
      </c>
      <c r="K109" t="inlineStr">
        <is>
          <t>645</t>
        </is>
      </c>
      <c r="N109">
        <f>IFERROR(INDEX('_courses_lookup'!$C:$C,MATCH(J109&amp;K109,'_courses_lookup'!$E:$E,0)),"")</f>
        <v/>
      </c>
      <c r="O109">
        <f>IFERROR(INDEX('_courses_lookup'!$D:$D,MATCH(J109&amp;K109,'_courses_lookup'!$E:$E,0)),"")</f>
        <v/>
      </c>
      <c r="AE109">
        <f>IFERROR(IF(AC109*AD109=0,"",AC109*AD109),"")</f>
        <v/>
      </c>
      <c r="AH109">
        <f>IF(AND(AF109&lt;&gt;"",AG109&lt;&gt;""),ROUNDUP((AG109-AF109)/7,0),"")</f>
        <v/>
      </c>
      <c r="AJ109">
        <f>IFERROR(IF(AH109*AI109=0,"",AH109*AI109),"")</f>
        <v/>
      </c>
      <c r="AL109">
        <f>IFERROR(IF((AO109-(AE109+AJ109))/AK109=0,"",ROUNDUP((AO109-(AE109+AJ109))/AK109,0)),"")</f>
        <v/>
      </c>
      <c r="AM109">
        <f>IFERROR(IF((AO109-(AE109+AJ109))=0,"",(AO109-(AE109+AJ109))),"")</f>
        <v/>
      </c>
      <c r="AN109">
        <f>IF(AND(AC109="",AK109=""),AH109,IF(SUM(AC109,AH109,AK109)=0,"",SUM(AC109,AH109,AK109)))</f>
        <v/>
      </c>
      <c r="AY109">
        <f>IF(AB109="","",YEAR(AB109)+IF(MONTH(AB109)&gt;=5,1,0))</f>
        <v/>
      </c>
      <c r="AZ109">
        <f>IF(AB109="","",IF(AND(MONTH(AB109)=8,DAY(AB109)&gt;=15),"Fall",IF(MONTH(AB109)&gt;8,"Fall",IF(MONTH(AB109)=5,"Summer",IF(MONTH(AB109)=1,"Spring","")))))</f>
        <v/>
      </c>
      <c r="BC109" t="inlineStr">
        <is>
          <t>Wiens, Roman</t>
        </is>
      </c>
      <c r="BD109">
        <f>IFERROR(INDEX('_names_lookup'!$C:$C,MATCH(BC109,'_names_lookup'!$A:$A,0)),"")</f>
        <v/>
      </c>
      <c r="BE109">
        <f>IFERROR(INDEX('_names_lookup'!$B:$B,MATCH(BC109,'_names_lookup'!$A:$A,0)),"")</f>
        <v/>
      </c>
    </row>
    <row r="110">
      <c r="H110" t="inlineStr">
        <is>
          <t>2397-02</t>
        </is>
      </c>
      <c r="I110" t="inlineStr">
        <is>
          <t>2805</t>
        </is>
      </c>
      <c r="K110" t="inlineStr">
        <is>
          <t>646</t>
        </is>
      </c>
      <c r="N110">
        <f>IFERROR(INDEX('_courses_lookup'!$C:$C,MATCH(J110&amp;K110,'_courses_lookup'!$E:$E,0)),"")</f>
        <v/>
      </c>
      <c r="O110">
        <f>IFERROR(INDEX('_courses_lookup'!$D:$D,MATCH(J110&amp;K110,'_courses_lookup'!$E:$E,0)),"")</f>
        <v/>
      </c>
      <c r="AE110">
        <f>IFERROR(IF(AC110*AD110=0,"",AC110*AD110),"")</f>
        <v/>
      </c>
      <c r="AH110">
        <f>IF(AND(AF110&lt;&gt;"",AG110&lt;&gt;""),ROUNDUP((AG110-AF110)/7,0),"")</f>
        <v/>
      </c>
      <c r="AJ110">
        <f>IFERROR(IF(AH110*AI110=0,"",AH110*AI110),"")</f>
        <v/>
      </c>
      <c r="AL110">
        <f>IFERROR(IF((AO110-(AE110+AJ110))/AK110=0,"",ROUNDUP((AO110-(AE110+AJ110))/AK110,0)),"")</f>
        <v/>
      </c>
      <c r="AM110">
        <f>IFERROR(IF((AO110-(AE110+AJ110))=0,"",(AO110-(AE110+AJ110))),"")</f>
        <v/>
      </c>
      <c r="AN110">
        <f>IF(AND(AC110="",AK110=""),AH110,IF(SUM(AC110,AH110,AK110)=0,"",SUM(AC110,AH110,AK110)))</f>
        <v/>
      </c>
      <c r="AY110">
        <f>IF(AB110="","",YEAR(AB110)+IF(MONTH(AB110)&gt;=5,1,0))</f>
        <v/>
      </c>
      <c r="AZ110">
        <f>IF(AB110="","",IF(AND(MONTH(AB110)=8,DAY(AB110)&gt;=15),"Fall",IF(MONTH(AB110)&gt;8,"Fall",IF(MONTH(AB110)=5,"Summer",IF(MONTH(AB110)=1,"Spring","")))))</f>
        <v/>
      </c>
      <c r="BC110" t="inlineStr">
        <is>
          <t>Arias-Quintero, Jose A.</t>
        </is>
      </c>
      <c r="BD110">
        <f>IFERROR(INDEX('_names_lookup'!$C:$C,MATCH(BC110,'_names_lookup'!$A:$A,0)),"")</f>
        <v/>
      </c>
      <c r="BE110">
        <f>IFERROR(INDEX('_names_lookup'!$B:$B,MATCH(BC110,'_names_lookup'!$A:$A,0)),"")</f>
        <v/>
      </c>
    </row>
    <row r="111">
      <c r="H111" t="inlineStr">
        <is>
          <t>2398-01</t>
        </is>
      </c>
      <c r="I111" t="inlineStr">
        <is>
          <t>2806</t>
        </is>
      </c>
      <c r="K111" t="inlineStr">
        <is>
          <t>647</t>
        </is>
      </c>
      <c r="N111">
        <f>IFERROR(INDEX('_courses_lookup'!$C:$C,MATCH(J111&amp;K111,'_courses_lookup'!$E:$E,0)),"")</f>
        <v/>
      </c>
      <c r="O111">
        <f>IFERROR(INDEX('_courses_lookup'!$D:$D,MATCH(J111&amp;K111,'_courses_lookup'!$E:$E,0)),"")</f>
        <v/>
      </c>
      <c r="AE111">
        <f>IFERROR(IF(AC111*AD111=0,"",AC111*AD111),"")</f>
        <v/>
      </c>
      <c r="AH111">
        <f>IF(AND(AF111&lt;&gt;"",AG111&lt;&gt;""),ROUNDUP((AG111-AF111)/7,0),"")</f>
        <v/>
      </c>
      <c r="AJ111">
        <f>IFERROR(IF(AH111*AI111=0,"",AH111*AI111),"")</f>
        <v/>
      </c>
      <c r="AL111">
        <f>IFERROR(IF((AO111-(AE111+AJ111))/AK111=0,"",ROUNDUP((AO111-(AE111+AJ111))/AK111,0)),"")</f>
        <v/>
      </c>
      <c r="AM111">
        <f>IFERROR(IF((AO111-(AE111+AJ111))=0,"",(AO111-(AE111+AJ111))),"")</f>
        <v/>
      </c>
      <c r="AN111">
        <f>IF(AND(AC111="",AK111=""),AH111,IF(SUM(AC111,AH111,AK111)=0,"",SUM(AC111,AH111,AK111)))</f>
        <v/>
      </c>
      <c r="AY111">
        <f>IF(AB111="","",YEAR(AB111)+IF(MONTH(AB111)&gt;=5,1,0))</f>
        <v/>
      </c>
      <c r="AZ111">
        <f>IF(AB111="","",IF(AND(MONTH(AB111)=8,DAY(AB111)&gt;=15),"Fall",IF(MONTH(AB111)&gt;8,"Fall",IF(MONTH(AB111)=5,"Summer",IF(MONTH(AB111)=1,"Spring","")))))</f>
        <v/>
      </c>
      <c r="BC111" t="inlineStr">
        <is>
          <t>Bell, Ora M.</t>
        </is>
      </c>
      <c r="BD111">
        <f>IFERROR(INDEX('_names_lookup'!$C:$C,MATCH(BC111,'_names_lookup'!$A:$A,0)),"")</f>
        <v/>
      </c>
      <c r="BE111">
        <f>IFERROR(INDEX('_names_lookup'!$B:$B,MATCH(BC111,'_names_lookup'!$A:$A,0)),"")</f>
        <v/>
      </c>
    </row>
    <row r="112">
      <c r="H112" t="inlineStr">
        <is>
          <t>2398-02</t>
        </is>
      </c>
      <c r="I112" t="inlineStr">
        <is>
          <t>2807</t>
        </is>
      </c>
      <c r="K112" t="inlineStr">
        <is>
          <t>648</t>
        </is>
      </c>
      <c r="N112">
        <f>IFERROR(INDEX('_courses_lookup'!$C:$C,MATCH(J112&amp;K112,'_courses_lookup'!$E:$E,0)),"")</f>
        <v/>
      </c>
      <c r="O112">
        <f>IFERROR(INDEX('_courses_lookup'!$D:$D,MATCH(J112&amp;K112,'_courses_lookup'!$E:$E,0)),"")</f>
        <v/>
      </c>
      <c r="AE112">
        <f>IFERROR(IF(AC112*AD112=0,"",AC112*AD112),"")</f>
        <v/>
      </c>
      <c r="AH112">
        <f>IF(AND(AF112&lt;&gt;"",AG112&lt;&gt;""),ROUNDUP((AG112-AF112)/7,0),"")</f>
        <v/>
      </c>
      <c r="AJ112">
        <f>IFERROR(IF(AH112*AI112=0,"",AH112*AI112),"")</f>
        <v/>
      </c>
      <c r="AL112">
        <f>IFERROR(IF((AO112-(AE112+AJ112))/AK112=0,"",ROUNDUP((AO112-(AE112+AJ112))/AK112,0)),"")</f>
        <v/>
      </c>
      <c r="AM112">
        <f>IFERROR(IF((AO112-(AE112+AJ112))=0,"",(AO112-(AE112+AJ112))),"")</f>
        <v/>
      </c>
      <c r="AN112">
        <f>IF(AND(AC112="",AK112=""),AH112,IF(SUM(AC112,AH112,AK112)=0,"",SUM(AC112,AH112,AK112)))</f>
        <v/>
      </c>
      <c r="AY112">
        <f>IF(AB112="","",YEAR(AB112)+IF(MONTH(AB112)&gt;=5,1,0))</f>
        <v/>
      </c>
      <c r="AZ112">
        <f>IF(AB112="","",IF(AND(MONTH(AB112)=8,DAY(AB112)&gt;=15),"Fall",IF(MONTH(AB112)&gt;8,"Fall",IF(MONTH(AB112)=5,"Summer",IF(MONTH(AB112)=1,"Spring","")))))</f>
        <v/>
      </c>
      <c r="BC112" t="inlineStr">
        <is>
          <t>Braun, Erlo</t>
        </is>
      </c>
      <c r="BD112">
        <f>IFERROR(INDEX('_names_lookup'!$C:$C,MATCH(BC112,'_names_lookup'!$A:$A,0)),"")</f>
        <v/>
      </c>
      <c r="BE112">
        <f>IFERROR(INDEX('_names_lookup'!$B:$B,MATCH(BC112,'_names_lookup'!$A:$A,0)),"")</f>
        <v/>
      </c>
    </row>
    <row r="113">
      <c r="H113" t="inlineStr">
        <is>
          <t>2399-01</t>
        </is>
      </c>
      <c r="I113" t="inlineStr">
        <is>
          <t>2808</t>
        </is>
      </c>
      <c r="K113" t="inlineStr">
        <is>
          <t>649</t>
        </is>
      </c>
      <c r="N113">
        <f>IFERROR(INDEX('_courses_lookup'!$C:$C,MATCH(J113&amp;K113,'_courses_lookup'!$E:$E,0)),"")</f>
        <v/>
      </c>
      <c r="O113">
        <f>IFERROR(INDEX('_courses_lookup'!$D:$D,MATCH(J113&amp;K113,'_courses_lookup'!$E:$E,0)),"")</f>
        <v/>
      </c>
      <c r="AE113">
        <f>IFERROR(IF(AC113*AD113=0,"",AC113*AD113),"")</f>
        <v/>
      </c>
      <c r="AH113">
        <f>IF(AND(AF113&lt;&gt;"",AG113&lt;&gt;""),ROUNDUP((AG113-AF113)/7,0),"")</f>
        <v/>
      </c>
      <c r="AJ113">
        <f>IFERROR(IF(AH113*AI113=0,"",AH113*AI113),"")</f>
        <v/>
      </c>
      <c r="AL113">
        <f>IFERROR(IF((AO113-(AE113+AJ113))/AK113=0,"",ROUNDUP((AO113-(AE113+AJ113))/AK113,0)),"")</f>
        <v/>
      </c>
      <c r="AM113">
        <f>IFERROR(IF((AO113-(AE113+AJ113))=0,"",(AO113-(AE113+AJ113))),"")</f>
        <v/>
      </c>
      <c r="AN113">
        <f>IF(AND(AC113="",AK113=""),AH113,IF(SUM(AC113,AH113,AK113)=0,"",SUM(AC113,AH113,AK113)))</f>
        <v/>
      </c>
      <c r="AY113">
        <f>IF(AB113="","",YEAR(AB113)+IF(MONTH(AB113)&gt;=5,1,0))</f>
        <v/>
      </c>
      <c r="AZ113">
        <f>IF(AB113="","",IF(AND(MONTH(AB113)=8,DAY(AB113)&gt;=15),"Fall",IF(MONTH(AB113)&gt;8,"Fall",IF(MONTH(AB113)=5,"Summer",IF(MONTH(AB113)=1,"Spring","")))))</f>
        <v/>
      </c>
      <c r="BC113" t="inlineStr">
        <is>
          <t>Bullon, Alejandro</t>
        </is>
      </c>
      <c r="BD113">
        <f>IFERROR(INDEX('_names_lookup'!$C:$C,MATCH(BC113,'_names_lookup'!$A:$A,0)),"")</f>
        <v/>
      </c>
      <c r="BE113">
        <f>IFERROR(INDEX('_names_lookup'!$B:$B,MATCH(BC113,'_names_lookup'!$A:$A,0)),"")</f>
        <v/>
      </c>
    </row>
    <row r="114">
      <c r="H114" t="inlineStr">
        <is>
          <t>2399-02</t>
        </is>
      </c>
      <c r="I114" t="inlineStr">
        <is>
          <t>2809</t>
        </is>
      </c>
      <c r="K114" t="inlineStr">
        <is>
          <t>650</t>
        </is>
      </c>
      <c r="N114">
        <f>IFERROR(INDEX('_courses_lookup'!$C:$C,MATCH(J114&amp;K114,'_courses_lookup'!$E:$E,0)),"")</f>
        <v/>
      </c>
      <c r="O114">
        <f>IFERROR(INDEX('_courses_lookup'!$D:$D,MATCH(J114&amp;K114,'_courses_lookup'!$E:$E,0)),"")</f>
        <v/>
      </c>
      <c r="AE114">
        <f>IFERROR(IF(AC114*AD114=0,"",AC114*AD114),"")</f>
        <v/>
      </c>
      <c r="AH114">
        <f>IF(AND(AF114&lt;&gt;"",AG114&lt;&gt;""),ROUNDUP((AG114-AF114)/7,0),"")</f>
        <v/>
      </c>
      <c r="AJ114">
        <f>IFERROR(IF(AH114*AI114=0,"",AH114*AI114),"")</f>
        <v/>
      </c>
      <c r="AL114">
        <f>IFERROR(IF((AO114-(AE114+AJ114))/AK114=0,"",ROUNDUP((AO114-(AE114+AJ114))/AK114,0)),"")</f>
        <v/>
      </c>
      <c r="AM114">
        <f>IFERROR(IF((AO114-(AE114+AJ114))=0,"",(AO114-(AE114+AJ114))),"")</f>
        <v/>
      </c>
      <c r="AN114">
        <f>IF(AND(AC114="",AK114=""),AH114,IF(SUM(AC114,AH114,AK114)=0,"",SUM(AC114,AH114,AK114)))</f>
        <v/>
      </c>
      <c r="AY114">
        <f>IF(AB114="","",YEAR(AB114)+IF(MONTH(AB114)&gt;=5,1,0))</f>
        <v/>
      </c>
      <c r="AZ114">
        <f>IF(AB114="","",IF(AND(MONTH(AB114)=8,DAY(AB114)&gt;=15),"Fall",IF(MONTH(AB114)&gt;8,"Fall",IF(MONTH(AB114)=5,"Summer",IF(MONTH(AB114)=1,"Spring","")))))</f>
        <v/>
      </c>
      <c r="BC114" t="inlineStr">
        <is>
          <t>Canals, Ramon J.</t>
        </is>
      </c>
      <c r="BD114">
        <f>IFERROR(INDEX('_names_lookup'!$C:$C,MATCH(BC114,'_names_lookup'!$A:$A,0)),"")</f>
        <v/>
      </c>
      <c r="BE114">
        <f>IFERROR(INDEX('_names_lookup'!$B:$B,MATCH(BC114,'_names_lookup'!$A:$A,0)),"")</f>
        <v/>
      </c>
    </row>
    <row r="115">
      <c r="H115" t="inlineStr">
        <is>
          <t>2404-01</t>
        </is>
      </c>
      <c r="I115" t="inlineStr">
        <is>
          <t>2813</t>
        </is>
      </c>
      <c r="K115" t="inlineStr">
        <is>
          <t>651</t>
        </is>
      </c>
      <c r="N115">
        <f>IFERROR(INDEX('_courses_lookup'!$C:$C,MATCH(J115&amp;K115,'_courses_lookup'!$E:$E,0)),"")</f>
        <v/>
      </c>
      <c r="O115">
        <f>IFERROR(INDEX('_courses_lookup'!$D:$D,MATCH(J115&amp;K115,'_courses_lookup'!$E:$E,0)),"")</f>
        <v/>
      </c>
      <c r="AE115">
        <f>IFERROR(IF(AC115*AD115=0,"",AC115*AD115),"")</f>
        <v/>
      </c>
      <c r="AH115">
        <f>IF(AND(AF115&lt;&gt;"",AG115&lt;&gt;""),ROUNDUP((AG115-AF115)/7,0),"")</f>
        <v/>
      </c>
      <c r="AJ115">
        <f>IFERROR(IF(AH115*AI115=0,"",AH115*AI115),"")</f>
        <v/>
      </c>
      <c r="AL115">
        <f>IFERROR(IF((AO115-(AE115+AJ115))/AK115=0,"",ROUNDUP((AO115-(AE115+AJ115))/AK115,0)),"")</f>
        <v/>
      </c>
      <c r="AM115">
        <f>IFERROR(IF((AO115-(AE115+AJ115))=0,"",(AO115-(AE115+AJ115))),"")</f>
        <v/>
      </c>
      <c r="AN115">
        <f>IF(AND(AC115="",AK115=""),AH115,IF(SUM(AC115,AH115,AK115)=0,"",SUM(AC115,AH115,AK115)))</f>
        <v/>
      </c>
      <c r="AY115">
        <f>IF(AB115="","",YEAR(AB115)+IF(MONTH(AB115)&gt;=5,1,0))</f>
        <v/>
      </c>
      <c r="AZ115">
        <f>IF(AB115="","",IF(AND(MONTH(AB115)=8,DAY(AB115)&gt;=15),"Fall",IF(MONTH(AB115)&gt;8,"Fall",IF(MONTH(AB115)=5,"Summer",IF(MONTH(AB115)=1,"Spring","")))))</f>
        <v/>
      </c>
      <c r="BC115" t="inlineStr">
        <is>
          <t>Cauley, Michael F.</t>
        </is>
      </c>
      <c r="BD115">
        <f>IFERROR(INDEX('_names_lookup'!$C:$C,MATCH(BC115,'_names_lookup'!$A:$A,0)),"")</f>
        <v/>
      </c>
      <c r="BE115">
        <f>IFERROR(INDEX('_names_lookup'!$B:$B,MATCH(BC115,'_names_lookup'!$A:$A,0)),"")</f>
        <v/>
      </c>
    </row>
    <row r="116">
      <c r="H116" t="inlineStr">
        <is>
          <t>2404-02</t>
        </is>
      </c>
      <c r="I116" t="inlineStr">
        <is>
          <t>2814</t>
        </is>
      </c>
      <c r="K116" t="inlineStr">
        <is>
          <t>652</t>
        </is>
      </c>
      <c r="N116">
        <f>IFERROR(INDEX('_courses_lookup'!$C:$C,MATCH(J116&amp;K116,'_courses_lookup'!$E:$E,0)),"")</f>
        <v/>
      </c>
      <c r="O116">
        <f>IFERROR(INDEX('_courses_lookup'!$D:$D,MATCH(J116&amp;K116,'_courses_lookup'!$E:$E,0)),"")</f>
        <v/>
      </c>
      <c r="AE116">
        <f>IFERROR(IF(AC116*AD116=0,"",AC116*AD116),"")</f>
        <v/>
      </c>
      <c r="AH116">
        <f>IF(AND(AF116&lt;&gt;"",AG116&lt;&gt;""),ROUNDUP((AG116-AF116)/7,0),"")</f>
        <v/>
      </c>
      <c r="AJ116">
        <f>IFERROR(IF(AH116*AI116=0,"",AH116*AI116),"")</f>
        <v/>
      </c>
      <c r="AL116">
        <f>IFERROR(IF((AO116-(AE116+AJ116))/AK116=0,"",ROUNDUP((AO116-(AE116+AJ116))/AK116,0)),"")</f>
        <v/>
      </c>
      <c r="AM116">
        <f>IFERROR(IF((AO116-(AE116+AJ116))=0,"",(AO116-(AE116+AJ116))),"")</f>
        <v/>
      </c>
      <c r="AN116">
        <f>IF(AND(AC116="",AK116=""),AH116,IF(SUM(AC116,AH116,AK116)=0,"",SUM(AC116,AH116,AK116)))</f>
        <v/>
      </c>
      <c r="AY116">
        <f>IF(AB116="","",YEAR(AB116)+IF(MONTH(AB116)&gt;=5,1,0))</f>
        <v/>
      </c>
      <c r="AZ116">
        <f>IF(AB116="","",IF(AND(MONTH(AB116)=8,DAY(AB116)&gt;=15),"Fall",IF(MONTH(AB116)&gt;8,"Fall",IF(MONTH(AB116)=5,"Summer",IF(MONTH(AB116)=1,"Spring","")))))</f>
        <v/>
      </c>
      <c r="BC116" t="inlineStr">
        <is>
          <t>Cauley, Michael R.</t>
        </is>
      </c>
      <c r="BD116">
        <f>IFERROR(INDEX('_names_lookup'!$C:$C,MATCH(BC116,'_names_lookup'!$A:$A,0)),"")</f>
        <v/>
      </c>
      <c r="BE116">
        <f>IFERROR(INDEX('_names_lookup'!$B:$B,MATCH(BC116,'_names_lookup'!$A:$A,0)),"")</f>
        <v/>
      </c>
    </row>
    <row r="117">
      <c r="H117" t="inlineStr">
        <is>
          <t>2411-01</t>
        </is>
      </c>
      <c r="I117" t="inlineStr">
        <is>
          <t>2818</t>
        </is>
      </c>
      <c r="K117" t="inlineStr">
        <is>
          <t>653</t>
        </is>
      </c>
      <c r="N117">
        <f>IFERROR(INDEX('_courses_lookup'!$C:$C,MATCH(J117&amp;K117,'_courses_lookup'!$E:$E,0)),"")</f>
        <v/>
      </c>
      <c r="O117">
        <f>IFERROR(INDEX('_courses_lookup'!$D:$D,MATCH(J117&amp;K117,'_courses_lookup'!$E:$E,0)),"")</f>
        <v/>
      </c>
      <c r="AE117">
        <f>IFERROR(IF(AC117*AD117=0,"",AC117*AD117),"")</f>
        <v/>
      </c>
      <c r="AH117">
        <f>IF(AND(AF117&lt;&gt;"",AG117&lt;&gt;""),ROUNDUP((AG117-AF117)/7,0),"")</f>
        <v/>
      </c>
      <c r="AJ117">
        <f>IFERROR(IF(AH117*AI117=0,"",AH117*AI117),"")</f>
        <v/>
      </c>
      <c r="AL117">
        <f>IFERROR(IF((AO117-(AE117+AJ117))/AK117=0,"",ROUNDUP((AO117-(AE117+AJ117))/AK117,0)),"")</f>
        <v/>
      </c>
      <c r="AM117">
        <f>IFERROR(IF((AO117-(AE117+AJ117))=0,"",(AO117-(AE117+AJ117))),"")</f>
        <v/>
      </c>
      <c r="AN117">
        <f>IF(AND(AC117="",AK117=""),AH117,IF(SUM(AC117,AH117,AK117)=0,"",SUM(AC117,AH117,AK117)))</f>
        <v/>
      </c>
      <c r="AY117">
        <f>IF(AB117="","",YEAR(AB117)+IF(MONTH(AB117)&gt;=5,1,0))</f>
        <v/>
      </c>
      <c r="AZ117">
        <f>IF(AB117="","",IF(AND(MONTH(AB117)=8,DAY(AB117)&gt;=15),"Fall",IF(MONTH(AB117)&gt;8,"Fall",IF(MONTH(AB117)=5,"Summer",IF(MONTH(AB117)=1,"Spring","")))))</f>
        <v/>
      </c>
      <c r="BC117" t="inlineStr">
        <is>
          <t>Ceballos, Mario E.</t>
        </is>
      </c>
      <c r="BD117">
        <f>IFERROR(INDEX('_names_lookup'!$C:$C,MATCH(BC117,'_names_lookup'!$A:$A,0)),"")</f>
        <v/>
      </c>
      <c r="BE117">
        <f>IFERROR(INDEX('_names_lookup'!$B:$B,MATCH(BC117,'_names_lookup'!$A:$A,0)),"")</f>
        <v/>
      </c>
    </row>
    <row r="118">
      <c r="H118" t="inlineStr">
        <is>
          <t>2411-02</t>
        </is>
      </c>
      <c r="I118" t="inlineStr">
        <is>
          <t>2819</t>
        </is>
      </c>
      <c r="K118" t="inlineStr">
        <is>
          <t>654</t>
        </is>
      </c>
      <c r="N118">
        <f>IFERROR(INDEX('_courses_lookup'!$C:$C,MATCH(J118&amp;K118,'_courses_lookup'!$E:$E,0)),"")</f>
        <v/>
      </c>
      <c r="O118">
        <f>IFERROR(INDEX('_courses_lookup'!$D:$D,MATCH(J118&amp;K118,'_courses_lookup'!$E:$E,0)),"")</f>
        <v/>
      </c>
      <c r="AE118">
        <f>IFERROR(IF(AC118*AD118=0,"",AC118*AD118),"")</f>
        <v/>
      </c>
      <c r="AH118">
        <f>IF(AND(AF118&lt;&gt;"",AG118&lt;&gt;""),ROUNDUP((AG118-AF118)/7,0),"")</f>
        <v/>
      </c>
      <c r="AJ118">
        <f>IFERROR(IF(AH118*AI118=0,"",AH118*AI118),"")</f>
        <v/>
      </c>
      <c r="AL118">
        <f>IFERROR(IF((AO118-(AE118+AJ118))/AK118=0,"",ROUNDUP((AO118-(AE118+AJ118))/AK118,0)),"")</f>
        <v/>
      </c>
      <c r="AM118">
        <f>IFERROR(IF((AO118-(AE118+AJ118))=0,"",(AO118-(AE118+AJ118))),"")</f>
        <v/>
      </c>
      <c r="AN118">
        <f>IF(AND(AC118="",AK118=""),AH118,IF(SUM(AC118,AH118,AK118)=0,"",SUM(AC118,AH118,AK118)))</f>
        <v/>
      </c>
      <c r="AY118">
        <f>IF(AB118="","",YEAR(AB118)+IF(MONTH(AB118)&gt;=5,1,0))</f>
        <v/>
      </c>
      <c r="AZ118">
        <f>IF(AB118="","",IF(AND(MONTH(AB118)=8,DAY(AB118)&gt;=15),"Fall",IF(MONTH(AB118)&gt;8,"Fall",IF(MONTH(AB118)=5,"Summer",IF(MONTH(AB118)=1,"Spring","")))))</f>
        <v/>
      </c>
      <c r="BC118" t="inlineStr">
        <is>
          <t>Choque Fernandez, Juan</t>
        </is>
      </c>
      <c r="BD118">
        <f>IFERROR(INDEX('_names_lookup'!$C:$C,MATCH(BC118,'_names_lookup'!$A:$A,0)),"")</f>
        <v/>
      </c>
      <c r="BE118">
        <f>IFERROR(INDEX('_names_lookup'!$B:$B,MATCH(BC118,'_names_lookup'!$A:$A,0)),"")</f>
        <v/>
      </c>
    </row>
    <row r="119">
      <c r="H119" t="inlineStr">
        <is>
          <t>2462-01</t>
        </is>
      </c>
      <c r="I119" t="inlineStr">
        <is>
          <t>282</t>
        </is>
      </c>
      <c r="K119" t="inlineStr">
        <is>
          <t>655</t>
        </is>
      </c>
      <c r="N119">
        <f>IFERROR(INDEX('_courses_lookup'!$C:$C,MATCH(J119&amp;K119,'_courses_lookup'!$E:$E,0)),"")</f>
        <v/>
      </c>
      <c r="O119">
        <f>IFERROR(INDEX('_courses_lookup'!$D:$D,MATCH(J119&amp;K119,'_courses_lookup'!$E:$E,0)),"")</f>
        <v/>
      </c>
      <c r="AE119">
        <f>IFERROR(IF(AC119*AD119=0,"",AC119*AD119),"")</f>
        <v/>
      </c>
      <c r="AH119">
        <f>IF(AND(AF119&lt;&gt;"",AG119&lt;&gt;""),ROUNDUP((AG119-AF119)/7,0),"")</f>
        <v/>
      </c>
      <c r="AJ119">
        <f>IFERROR(IF(AH119*AI119=0,"",AH119*AI119),"")</f>
        <v/>
      </c>
      <c r="AL119">
        <f>IFERROR(IF((AO119-(AE119+AJ119))/AK119=0,"",ROUNDUP((AO119-(AE119+AJ119))/AK119,0)),"")</f>
        <v/>
      </c>
      <c r="AM119">
        <f>IFERROR(IF((AO119-(AE119+AJ119))=0,"",(AO119-(AE119+AJ119))),"")</f>
        <v/>
      </c>
      <c r="AN119">
        <f>IF(AND(AC119="",AK119=""),AH119,IF(SUM(AC119,AH119,AK119)=0,"",SUM(AC119,AH119,AK119)))</f>
        <v/>
      </c>
      <c r="AY119">
        <f>IF(AB119="","",YEAR(AB119)+IF(MONTH(AB119)&gt;=5,1,0))</f>
        <v/>
      </c>
      <c r="AZ119">
        <f>IF(AB119="","",IF(AND(MONTH(AB119)=8,DAY(AB119)&gt;=15),"Fall",IF(MONTH(AB119)&gt;8,"Fall",IF(MONTH(AB119)=5,"Summer",IF(MONTH(AB119)=1,"Spring","")))))</f>
        <v/>
      </c>
      <c r="BC119" t="inlineStr">
        <is>
          <t>Evans, Tommy L.</t>
        </is>
      </c>
      <c r="BD119">
        <f>IFERROR(INDEX('_names_lookup'!$C:$C,MATCH(BC119,'_names_lookup'!$A:$A,0)),"")</f>
        <v/>
      </c>
      <c r="BE119">
        <f>IFERROR(INDEX('_names_lookup'!$B:$B,MATCH(BC119,'_names_lookup'!$A:$A,0)),"")</f>
        <v/>
      </c>
    </row>
    <row r="120">
      <c r="H120" t="inlineStr">
        <is>
          <t>2490-01</t>
        </is>
      </c>
      <c r="I120" t="inlineStr">
        <is>
          <t>2820</t>
        </is>
      </c>
      <c r="K120" t="inlineStr">
        <is>
          <t>656</t>
        </is>
      </c>
      <c r="N120">
        <f>IFERROR(INDEX('_courses_lookup'!$C:$C,MATCH(J120&amp;K120,'_courses_lookup'!$E:$E,0)),"")</f>
        <v/>
      </c>
      <c r="O120">
        <f>IFERROR(INDEX('_courses_lookup'!$D:$D,MATCH(J120&amp;K120,'_courses_lookup'!$E:$E,0)),"")</f>
        <v/>
      </c>
      <c r="AE120">
        <f>IFERROR(IF(AC120*AD120=0,"",AC120*AD120),"")</f>
        <v/>
      </c>
      <c r="AH120">
        <f>IF(AND(AF120&lt;&gt;"",AG120&lt;&gt;""),ROUNDUP((AG120-AF120)/7,0),"")</f>
        <v/>
      </c>
      <c r="AJ120">
        <f>IFERROR(IF(AH120*AI120=0,"",AH120*AI120),"")</f>
        <v/>
      </c>
      <c r="AL120">
        <f>IFERROR(IF((AO120-(AE120+AJ120))/AK120=0,"",ROUNDUP((AO120-(AE120+AJ120))/AK120,0)),"")</f>
        <v/>
      </c>
      <c r="AM120">
        <f>IFERROR(IF((AO120-(AE120+AJ120))=0,"",(AO120-(AE120+AJ120))),"")</f>
        <v/>
      </c>
      <c r="AN120">
        <f>IF(AND(AC120="",AK120=""),AH120,IF(SUM(AC120,AH120,AK120)=0,"",SUM(AC120,AH120,AK120)))</f>
        <v/>
      </c>
      <c r="AY120">
        <f>IF(AB120="","",YEAR(AB120)+IF(MONTH(AB120)&gt;=5,1,0))</f>
        <v/>
      </c>
      <c r="AZ120">
        <f>IF(AB120="","",IF(AND(MONTH(AB120)=8,DAY(AB120)&gt;=15),"Fall",IF(MONTH(AB120)&gt;8,"Fall",IF(MONTH(AB120)=5,"Summer",IF(MONTH(AB120)=1,"Spring","")))))</f>
        <v/>
      </c>
      <c r="BC120" t="inlineStr">
        <is>
          <t>Li, Angela H.</t>
        </is>
      </c>
      <c r="BD120">
        <f>IFERROR(INDEX('_names_lookup'!$C:$C,MATCH(BC120,'_names_lookup'!$A:$A,0)),"")</f>
        <v/>
      </c>
      <c r="BE120">
        <f>IFERROR(INDEX('_names_lookup'!$B:$B,MATCH(BC120,'_names_lookup'!$A:$A,0)),"")</f>
        <v/>
      </c>
    </row>
    <row r="121">
      <c r="H121" t="inlineStr">
        <is>
          <t>2492-01</t>
        </is>
      </c>
      <c r="I121" t="inlineStr">
        <is>
          <t>2822</t>
        </is>
      </c>
      <c r="K121" t="inlineStr">
        <is>
          <t>657</t>
        </is>
      </c>
      <c r="N121">
        <f>IFERROR(INDEX('_courses_lookup'!$C:$C,MATCH(J121&amp;K121,'_courses_lookup'!$E:$E,0)),"")</f>
        <v/>
      </c>
      <c r="O121">
        <f>IFERROR(INDEX('_courses_lookup'!$D:$D,MATCH(J121&amp;K121,'_courses_lookup'!$E:$E,0)),"")</f>
        <v/>
      </c>
      <c r="AE121">
        <f>IFERROR(IF(AC121*AD121=0,"",AC121*AD121),"")</f>
        <v/>
      </c>
      <c r="AH121">
        <f>IF(AND(AF121&lt;&gt;"",AG121&lt;&gt;""),ROUNDUP((AG121-AF121)/7,0),"")</f>
        <v/>
      </c>
      <c r="AJ121">
        <f>IFERROR(IF(AH121*AI121=0,"",AH121*AI121),"")</f>
        <v/>
      </c>
      <c r="AL121">
        <f>IFERROR(IF((AO121-(AE121+AJ121))/AK121=0,"",ROUNDUP((AO121-(AE121+AJ121))/AK121,0)),"")</f>
        <v/>
      </c>
      <c r="AM121">
        <f>IFERROR(IF((AO121-(AE121+AJ121))=0,"",(AO121-(AE121+AJ121))),"")</f>
        <v/>
      </c>
      <c r="AN121">
        <f>IF(AND(AC121="",AK121=""),AH121,IF(SUM(AC121,AH121,AK121)=0,"",SUM(AC121,AH121,AK121)))</f>
        <v/>
      </c>
      <c r="AY121">
        <f>IF(AB121="","",YEAR(AB121)+IF(MONTH(AB121)&gt;=5,1,0))</f>
        <v/>
      </c>
      <c r="AZ121">
        <f>IF(AB121="","",IF(AND(MONTH(AB121)=8,DAY(AB121)&gt;=15),"Fall",IF(MONTH(AB121)&gt;8,"Fall",IF(MONTH(AB121)=5,"Summer",IF(MONTH(AB121)=1,"Spring","")))))</f>
        <v/>
      </c>
      <c r="BC121" t="inlineStr">
        <is>
          <t>Liang, Onn</t>
        </is>
      </c>
      <c r="BD121">
        <f>IFERROR(INDEX('_names_lookup'!$C:$C,MATCH(BC121,'_names_lookup'!$A:$A,0)),"")</f>
        <v/>
      </c>
      <c r="BE121">
        <f>IFERROR(INDEX('_names_lookup'!$B:$B,MATCH(BC121,'_names_lookup'!$A:$A,0)),"")</f>
        <v/>
      </c>
    </row>
    <row r="122">
      <c r="H122" t="inlineStr">
        <is>
          <t>2509-01</t>
        </is>
      </c>
      <c r="I122" t="inlineStr">
        <is>
          <t>2826</t>
        </is>
      </c>
      <c r="K122" t="inlineStr">
        <is>
          <t>658</t>
        </is>
      </c>
      <c r="N122">
        <f>IFERROR(INDEX('_courses_lookup'!$C:$C,MATCH(J122&amp;K122,'_courses_lookup'!$E:$E,0)),"")</f>
        <v/>
      </c>
      <c r="O122">
        <f>IFERROR(INDEX('_courses_lookup'!$D:$D,MATCH(J122&amp;K122,'_courses_lookup'!$E:$E,0)),"")</f>
        <v/>
      </c>
      <c r="AE122">
        <f>IFERROR(IF(AC122*AD122=0,"",AC122*AD122),"")</f>
        <v/>
      </c>
      <c r="AH122">
        <f>IF(AND(AF122&lt;&gt;"",AG122&lt;&gt;""),ROUNDUP((AG122-AF122)/7,0),"")</f>
        <v/>
      </c>
      <c r="AJ122">
        <f>IFERROR(IF(AH122*AI122=0,"",AH122*AI122),"")</f>
        <v/>
      </c>
      <c r="AL122">
        <f>IFERROR(IF((AO122-(AE122+AJ122))/AK122=0,"",ROUNDUP((AO122-(AE122+AJ122))/AK122,0)),"")</f>
        <v/>
      </c>
      <c r="AM122">
        <f>IFERROR(IF((AO122-(AE122+AJ122))=0,"",(AO122-(AE122+AJ122))),"")</f>
        <v/>
      </c>
      <c r="AN122">
        <f>IF(AND(AC122="",AK122=""),AH122,IF(SUM(AC122,AH122,AK122)=0,"",SUM(AC122,AH122,AK122)))</f>
        <v/>
      </c>
      <c r="AY122">
        <f>IF(AB122="","",YEAR(AB122)+IF(MONTH(AB122)&gt;=5,1,0))</f>
        <v/>
      </c>
      <c r="AZ122">
        <f>IF(AB122="","",IF(AND(MONTH(AB122)=8,DAY(AB122)&gt;=15),"Fall",IF(MONTH(AB122)&gt;8,"Fall",IF(MONTH(AB122)=5,"Summer",IF(MONTH(AB122)=1,"Spring","")))))</f>
        <v/>
      </c>
      <c r="BC122" t="inlineStr">
        <is>
          <t>Oudri, Gerardo</t>
        </is>
      </c>
      <c r="BD122">
        <f>IFERROR(INDEX('_names_lookup'!$C:$C,MATCH(BC122,'_names_lookup'!$A:$A,0)),"")</f>
        <v/>
      </c>
      <c r="BE122">
        <f>IFERROR(INDEX('_names_lookup'!$B:$B,MATCH(BC122,'_names_lookup'!$A:$A,0)),"")</f>
        <v/>
      </c>
    </row>
    <row r="123">
      <c r="H123" t="inlineStr">
        <is>
          <t>2519-01</t>
        </is>
      </c>
      <c r="I123" t="inlineStr">
        <is>
          <t>2827</t>
        </is>
      </c>
      <c r="K123" t="inlineStr">
        <is>
          <t>659</t>
        </is>
      </c>
      <c r="N123">
        <f>IFERROR(INDEX('_courses_lookup'!$C:$C,MATCH(J123&amp;K123,'_courses_lookup'!$E:$E,0)),"")</f>
        <v/>
      </c>
      <c r="O123">
        <f>IFERROR(INDEX('_courses_lookup'!$D:$D,MATCH(J123&amp;K123,'_courses_lookup'!$E:$E,0)),"")</f>
        <v/>
      </c>
      <c r="AE123">
        <f>IFERROR(IF(AC123*AD123=0,"",AC123*AD123),"")</f>
        <v/>
      </c>
      <c r="AH123">
        <f>IF(AND(AF123&lt;&gt;"",AG123&lt;&gt;""),ROUNDUP((AG123-AF123)/7,0),"")</f>
        <v/>
      </c>
      <c r="AJ123">
        <f>IFERROR(IF(AH123*AI123=0,"",AH123*AI123),"")</f>
        <v/>
      </c>
      <c r="AL123">
        <f>IFERROR(IF((AO123-(AE123+AJ123))/AK123=0,"",ROUNDUP((AO123-(AE123+AJ123))/AK123,0)),"")</f>
        <v/>
      </c>
      <c r="AM123">
        <f>IFERROR(IF((AO123-(AE123+AJ123))=0,"",(AO123-(AE123+AJ123))),"")</f>
        <v/>
      </c>
      <c r="AN123">
        <f>IF(AND(AC123="",AK123=""),AH123,IF(SUM(AC123,AH123,AK123)=0,"",SUM(AC123,AH123,AK123)))</f>
        <v/>
      </c>
      <c r="AY123">
        <f>IF(AB123="","",YEAR(AB123)+IF(MONTH(AB123)&gt;=5,1,0))</f>
        <v/>
      </c>
      <c r="AZ123">
        <f>IF(AB123="","",IF(AND(MONTH(AB123)=8,DAY(AB123)&gt;=15),"Fall",IF(MONTH(AB123)&gt;8,"Fall",IF(MONTH(AB123)=5,"Summer",IF(MONTH(AB123)=1,"Spring","")))))</f>
        <v/>
      </c>
      <c r="BC123" t="inlineStr">
        <is>
          <t>Patterson, Stanley E.</t>
        </is>
      </c>
      <c r="BD123">
        <f>IFERROR(INDEX('_names_lookup'!$C:$C,MATCH(BC123,'_names_lookup'!$A:$A,0)),"")</f>
        <v/>
      </c>
      <c r="BE123">
        <f>IFERROR(INDEX('_names_lookup'!$B:$B,MATCH(BC123,'_names_lookup'!$A:$A,0)),"")</f>
        <v/>
      </c>
    </row>
    <row r="124">
      <c r="H124" t="inlineStr">
        <is>
          <t>2535-01</t>
        </is>
      </c>
      <c r="I124" t="inlineStr">
        <is>
          <t>283</t>
        </is>
      </c>
      <c r="K124" t="inlineStr">
        <is>
          <t>660</t>
        </is>
      </c>
      <c r="N124">
        <f>IFERROR(INDEX('_courses_lookup'!$C:$C,MATCH(J124&amp;K124,'_courses_lookup'!$E:$E,0)),"")</f>
        <v/>
      </c>
      <c r="O124">
        <f>IFERROR(INDEX('_courses_lookup'!$D:$D,MATCH(J124&amp;K124,'_courses_lookup'!$E:$E,0)),"")</f>
        <v/>
      </c>
      <c r="AE124">
        <f>IFERROR(IF(AC124*AD124=0,"",AC124*AD124),"")</f>
        <v/>
      </c>
      <c r="AH124">
        <f>IF(AND(AF124&lt;&gt;"",AG124&lt;&gt;""),ROUNDUP((AG124-AF124)/7,0),"")</f>
        <v/>
      </c>
      <c r="AJ124">
        <f>IFERROR(IF(AH124*AI124=0,"",AH124*AI124),"")</f>
        <v/>
      </c>
      <c r="AL124">
        <f>IFERROR(IF((AO124-(AE124+AJ124))/AK124=0,"",ROUNDUP((AO124-(AE124+AJ124))/AK124,0)),"")</f>
        <v/>
      </c>
      <c r="AM124">
        <f>IFERROR(IF((AO124-(AE124+AJ124))=0,"",(AO124-(AE124+AJ124))),"")</f>
        <v/>
      </c>
      <c r="AN124">
        <f>IF(AND(AC124="",AK124=""),AH124,IF(SUM(AC124,AH124,AK124)=0,"",SUM(AC124,AH124,AK124)))</f>
        <v/>
      </c>
      <c r="AY124">
        <f>IF(AB124="","",YEAR(AB124)+IF(MONTH(AB124)&gt;=5,1,0))</f>
        <v/>
      </c>
      <c r="AZ124">
        <f>IF(AB124="","",IF(AND(MONTH(AB124)=8,DAY(AB124)&gt;=15),"Fall",IF(MONTH(AB124)&gt;8,"Fall",IF(MONTH(AB124)=5,"Summer",IF(MONTH(AB124)=1,"Spring","")))))</f>
        <v/>
      </c>
      <c r="BC124" t="inlineStr">
        <is>
          <t>Penno, David K.</t>
        </is>
      </c>
      <c r="BD124">
        <f>IFERROR(INDEX('_names_lookup'!$C:$C,MATCH(BC124,'_names_lookup'!$A:$A,0)),"")</f>
        <v/>
      </c>
      <c r="BE124">
        <f>IFERROR(INDEX('_names_lookup'!$B:$B,MATCH(BC124,'_names_lookup'!$A:$A,0)),"")</f>
        <v/>
      </c>
    </row>
    <row r="125">
      <c r="H125" t="inlineStr">
        <is>
          <t>2550-01</t>
        </is>
      </c>
      <c r="I125" t="inlineStr">
        <is>
          <t>2835</t>
        </is>
      </c>
      <c r="K125" t="inlineStr">
        <is>
          <t>661</t>
        </is>
      </c>
      <c r="N125">
        <f>IFERROR(INDEX('_courses_lookup'!$C:$C,MATCH(J125&amp;K125,'_courses_lookup'!$E:$E,0)),"")</f>
        <v/>
      </c>
      <c r="O125">
        <f>IFERROR(INDEX('_courses_lookup'!$D:$D,MATCH(J125&amp;K125,'_courses_lookup'!$E:$E,0)),"")</f>
        <v/>
      </c>
      <c r="AE125">
        <f>IFERROR(IF(AC125*AD125=0,"",AC125*AD125),"")</f>
        <v/>
      </c>
      <c r="AH125">
        <f>IF(AND(AF125&lt;&gt;"",AG125&lt;&gt;""),ROUNDUP((AG125-AF125)/7,0),"")</f>
        <v/>
      </c>
      <c r="AJ125">
        <f>IFERROR(IF(AH125*AI125=0,"",AH125*AI125),"")</f>
        <v/>
      </c>
      <c r="AL125">
        <f>IFERROR(IF((AO125-(AE125+AJ125))/AK125=0,"",ROUNDUP((AO125-(AE125+AJ125))/AK125,0)),"")</f>
        <v/>
      </c>
      <c r="AM125">
        <f>IFERROR(IF((AO125-(AE125+AJ125))=0,"",(AO125-(AE125+AJ125))),"")</f>
        <v/>
      </c>
      <c r="AN125">
        <f>IF(AND(AC125="",AK125=""),AH125,IF(SUM(AC125,AH125,AK125)=0,"",SUM(AC125,AH125,AK125)))</f>
        <v/>
      </c>
      <c r="AY125">
        <f>IF(AB125="","",YEAR(AB125)+IF(MONTH(AB125)&gt;=5,1,0))</f>
        <v/>
      </c>
      <c r="AZ125">
        <f>IF(AB125="","",IF(AND(MONTH(AB125)=8,DAY(AB125)&gt;=15),"Fall",IF(MONTH(AB125)&gt;8,"Fall",IF(MONTH(AB125)=5,"Summer",IF(MONTH(AB125)=1,"Spring","")))))</f>
        <v/>
      </c>
      <c r="BC125" t="inlineStr">
        <is>
          <t>Ramirez, Johnny</t>
        </is>
      </c>
      <c r="BD125">
        <f>IFERROR(INDEX('_names_lookup'!$C:$C,MATCH(BC125,'_names_lookup'!$A:$A,0)),"")</f>
        <v/>
      </c>
      <c r="BE125">
        <f>IFERROR(INDEX('_names_lookup'!$B:$B,MATCH(BC125,'_names_lookup'!$A:$A,0)),"")</f>
        <v/>
      </c>
    </row>
    <row r="126">
      <c r="H126" t="inlineStr">
        <is>
          <t>2580-01</t>
        </is>
      </c>
      <c r="I126" t="inlineStr">
        <is>
          <t>2836</t>
        </is>
      </c>
      <c r="K126" t="inlineStr">
        <is>
          <t>662</t>
        </is>
      </c>
      <c r="N126">
        <f>IFERROR(INDEX('_courses_lookup'!$C:$C,MATCH(J126&amp;K126,'_courses_lookup'!$E:$E,0)),"")</f>
        <v/>
      </c>
      <c r="O126">
        <f>IFERROR(INDEX('_courses_lookup'!$D:$D,MATCH(J126&amp;K126,'_courses_lookup'!$E:$E,0)),"")</f>
        <v/>
      </c>
      <c r="AE126">
        <f>IFERROR(IF(AC126*AD126=0,"",AC126*AD126),"")</f>
        <v/>
      </c>
      <c r="AH126">
        <f>IF(AND(AF126&lt;&gt;"",AG126&lt;&gt;""),ROUNDUP((AG126-AF126)/7,0),"")</f>
        <v/>
      </c>
      <c r="AJ126">
        <f>IFERROR(IF(AH126*AI126=0,"",AH126*AI126),"")</f>
        <v/>
      </c>
      <c r="AL126">
        <f>IFERROR(IF((AO126-(AE126+AJ126))/AK126=0,"",ROUNDUP((AO126-(AE126+AJ126))/AK126,0)),"")</f>
        <v/>
      </c>
      <c r="AM126">
        <f>IFERROR(IF((AO126-(AE126+AJ126))=0,"",(AO126-(AE126+AJ126))),"")</f>
        <v/>
      </c>
      <c r="AN126">
        <f>IF(AND(AC126="",AK126=""),AH126,IF(SUM(AC126,AH126,AK126)=0,"",SUM(AC126,AH126,AK126)))</f>
        <v/>
      </c>
      <c r="AY126">
        <f>IF(AB126="","",YEAR(AB126)+IF(MONTH(AB126)&gt;=5,1,0))</f>
        <v/>
      </c>
      <c r="AZ126">
        <f>IF(AB126="","",IF(AND(MONTH(AB126)=8,DAY(AB126)&gt;=15),"Fall",IF(MONTH(AB126)&gt;8,"Fall",IF(MONTH(AB126)=5,"Summer",IF(MONTH(AB126)=1,"Spring","")))))</f>
        <v/>
      </c>
      <c r="BC126" t="inlineStr">
        <is>
          <t>Rico, Jorge E.</t>
        </is>
      </c>
      <c r="BD126">
        <f>IFERROR(INDEX('_names_lookup'!$C:$C,MATCH(BC126,'_names_lookup'!$A:$A,0)),"")</f>
        <v/>
      </c>
      <c r="BE126">
        <f>IFERROR(INDEX('_names_lookup'!$B:$B,MATCH(BC126,'_names_lookup'!$A:$A,0)),"")</f>
        <v/>
      </c>
    </row>
    <row r="127">
      <c r="H127" t="inlineStr">
        <is>
          <t>2612-01</t>
        </is>
      </c>
      <c r="I127" t="inlineStr">
        <is>
          <t>2838</t>
        </is>
      </c>
      <c r="K127" t="inlineStr">
        <is>
          <t>664</t>
        </is>
      </c>
      <c r="N127">
        <f>IFERROR(INDEX('_courses_lookup'!$C:$C,MATCH(J127&amp;K127,'_courses_lookup'!$E:$E,0)),"")</f>
        <v/>
      </c>
      <c r="O127">
        <f>IFERROR(INDEX('_courses_lookup'!$D:$D,MATCH(J127&amp;K127,'_courses_lookup'!$E:$E,0)),"")</f>
        <v/>
      </c>
      <c r="AE127">
        <f>IFERROR(IF(AC127*AD127=0,"",AC127*AD127),"")</f>
        <v/>
      </c>
      <c r="AH127">
        <f>IF(AND(AF127&lt;&gt;"",AG127&lt;&gt;""),ROUNDUP((AG127-AF127)/7,0),"")</f>
        <v/>
      </c>
      <c r="AJ127">
        <f>IFERROR(IF(AH127*AI127=0,"",AH127*AI127),"")</f>
        <v/>
      </c>
      <c r="AL127">
        <f>IFERROR(IF((AO127-(AE127+AJ127))/AK127=0,"",ROUNDUP((AO127-(AE127+AJ127))/AK127,0)),"")</f>
        <v/>
      </c>
      <c r="AM127">
        <f>IFERROR(IF((AO127-(AE127+AJ127))=0,"",(AO127-(AE127+AJ127))),"")</f>
        <v/>
      </c>
      <c r="AN127">
        <f>IF(AND(AC127="",AK127=""),AH127,IF(SUM(AC127,AH127,AK127)=0,"",SUM(AC127,AH127,AK127)))</f>
        <v/>
      </c>
      <c r="AY127">
        <f>IF(AB127="","",YEAR(AB127)+IF(MONTH(AB127)&gt;=5,1,0))</f>
        <v/>
      </c>
      <c r="AZ127">
        <f>IF(AB127="","",IF(AND(MONTH(AB127)=8,DAY(AB127)&gt;=15),"Fall",IF(MONTH(AB127)&gt;8,"Fall",IF(MONTH(AB127)=5,"Summer",IF(MONTH(AB127)=1,"Spring","")))))</f>
        <v/>
      </c>
      <c r="BC127" t="inlineStr">
        <is>
          <t>Saravia, Yohalmo A.</t>
        </is>
      </c>
      <c r="BD127">
        <f>IFERROR(INDEX('_names_lookup'!$C:$C,MATCH(BC127,'_names_lookup'!$A:$A,0)),"")</f>
        <v/>
      </c>
      <c r="BE127">
        <f>IFERROR(INDEX('_names_lookup'!$B:$B,MATCH(BC127,'_names_lookup'!$A:$A,0)),"")</f>
        <v/>
      </c>
    </row>
    <row r="128">
      <c r="H128" t="inlineStr">
        <is>
          <t>2694-01</t>
        </is>
      </c>
      <c r="I128" t="inlineStr">
        <is>
          <t>2841</t>
        </is>
      </c>
      <c r="K128" t="inlineStr">
        <is>
          <t>665</t>
        </is>
      </c>
      <c r="N128">
        <f>IFERROR(INDEX('_courses_lookup'!$C:$C,MATCH(J128&amp;K128,'_courses_lookup'!$E:$E,0)),"")</f>
        <v/>
      </c>
      <c r="O128">
        <f>IFERROR(INDEX('_courses_lookup'!$D:$D,MATCH(J128&amp;K128,'_courses_lookup'!$E:$E,0)),"")</f>
        <v/>
      </c>
      <c r="AE128">
        <f>IFERROR(IF(AC128*AD128=0,"",AC128*AD128),"")</f>
        <v/>
      </c>
      <c r="AH128">
        <f>IF(AND(AF128&lt;&gt;"",AG128&lt;&gt;""),ROUNDUP((AG128-AF128)/7,0),"")</f>
        <v/>
      </c>
      <c r="AJ128">
        <f>IFERROR(IF(AH128*AI128=0,"",AH128*AI128),"")</f>
        <v/>
      </c>
      <c r="AL128">
        <f>IFERROR(IF((AO128-(AE128+AJ128))/AK128=0,"",ROUNDUP((AO128-(AE128+AJ128))/AK128,0)),"")</f>
        <v/>
      </c>
      <c r="AM128">
        <f>IFERROR(IF((AO128-(AE128+AJ128))=0,"",(AO128-(AE128+AJ128))),"")</f>
        <v/>
      </c>
      <c r="AN128">
        <f>IF(AND(AC128="",AK128=""),AH128,IF(SUM(AC128,AH128,AK128)=0,"",SUM(AC128,AH128,AK128)))</f>
        <v/>
      </c>
      <c r="AY128">
        <f>IF(AB128="","",YEAR(AB128)+IF(MONTH(AB128)&gt;=5,1,0))</f>
        <v/>
      </c>
      <c r="AZ128">
        <f>IF(AB128="","",IF(AND(MONTH(AB128)=8,DAY(AB128)&gt;=15),"Fall",IF(MONTH(AB128)&gt;8,"Fall",IF(MONTH(AB128)=5,"Summer",IF(MONTH(AB128)=1,"Spring","")))))</f>
        <v/>
      </c>
      <c r="BC128" t="inlineStr">
        <is>
          <t>Schmidt, Eduard E.</t>
        </is>
      </c>
      <c r="BD128">
        <f>IFERROR(INDEX('_names_lookup'!$C:$C,MATCH(BC128,'_names_lookup'!$A:$A,0)),"")</f>
        <v/>
      </c>
      <c r="BE128">
        <f>IFERROR(INDEX('_names_lookup'!$B:$B,MATCH(BC128,'_names_lookup'!$A:$A,0)),"")</f>
        <v/>
      </c>
    </row>
    <row r="129">
      <c r="H129" t="inlineStr">
        <is>
          <t>2694-02</t>
        </is>
      </c>
      <c r="I129" t="inlineStr">
        <is>
          <t>2847</t>
        </is>
      </c>
      <c r="K129" t="inlineStr">
        <is>
          <t>666</t>
        </is>
      </c>
      <c r="N129">
        <f>IFERROR(INDEX('_courses_lookup'!$C:$C,MATCH(J129&amp;K129,'_courses_lookup'!$E:$E,0)),"")</f>
        <v/>
      </c>
      <c r="O129">
        <f>IFERROR(INDEX('_courses_lookup'!$D:$D,MATCH(J129&amp;K129,'_courses_lookup'!$E:$E,0)),"")</f>
        <v/>
      </c>
      <c r="AE129">
        <f>IFERROR(IF(AC129*AD129=0,"",AC129*AD129),"")</f>
        <v/>
      </c>
      <c r="AH129">
        <f>IF(AND(AF129&lt;&gt;"",AG129&lt;&gt;""),ROUNDUP((AG129-AF129)/7,0),"")</f>
        <v/>
      </c>
      <c r="AJ129">
        <f>IFERROR(IF(AH129*AI129=0,"",AH129*AI129),"")</f>
        <v/>
      </c>
      <c r="AL129">
        <f>IFERROR(IF((AO129-(AE129+AJ129))/AK129=0,"",ROUNDUP((AO129-(AE129+AJ129))/AK129,0)),"")</f>
        <v/>
      </c>
      <c r="AM129">
        <f>IFERROR(IF((AO129-(AE129+AJ129))=0,"",(AO129-(AE129+AJ129))),"")</f>
        <v/>
      </c>
      <c r="AN129">
        <f>IF(AND(AC129="",AK129=""),AH129,IF(SUM(AC129,AH129,AK129)=0,"",SUM(AC129,AH129,AK129)))</f>
        <v/>
      </c>
      <c r="AY129">
        <f>IF(AB129="","",YEAR(AB129)+IF(MONTH(AB129)&gt;=5,1,0))</f>
        <v/>
      </c>
      <c r="AZ129">
        <f>IF(AB129="","",IF(AND(MONTH(AB129)=8,DAY(AB129)&gt;=15),"Fall",IF(MONTH(AB129)&gt;8,"Fall",IF(MONTH(AB129)=5,"Summer",IF(MONTH(AB129)=1,"Spring","")))))</f>
        <v/>
      </c>
      <c r="BC129" t="inlineStr">
        <is>
          <t>Sorajjakool, Siroj</t>
        </is>
      </c>
      <c r="BD129">
        <f>IFERROR(INDEX('_names_lookup'!$C:$C,MATCH(BC129,'_names_lookup'!$A:$A,0)),"")</f>
        <v/>
      </c>
      <c r="BE129">
        <f>IFERROR(INDEX('_names_lookup'!$B:$B,MATCH(BC129,'_names_lookup'!$A:$A,0)),"")</f>
        <v/>
      </c>
    </row>
    <row r="130">
      <c r="H130" t="inlineStr">
        <is>
          <t>2695-01</t>
        </is>
      </c>
      <c r="I130" t="inlineStr">
        <is>
          <t>2852</t>
        </is>
      </c>
      <c r="K130" t="inlineStr">
        <is>
          <t>667</t>
        </is>
      </c>
      <c r="N130">
        <f>IFERROR(INDEX('_courses_lookup'!$C:$C,MATCH(J130&amp;K130,'_courses_lookup'!$E:$E,0)),"")</f>
        <v/>
      </c>
      <c r="O130">
        <f>IFERROR(INDEX('_courses_lookup'!$D:$D,MATCH(J130&amp;K130,'_courses_lookup'!$E:$E,0)),"")</f>
        <v/>
      </c>
      <c r="AE130">
        <f>IFERROR(IF(AC130*AD130=0,"",AC130*AD130),"")</f>
        <v/>
      </c>
      <c r="AH130">
        <f>IF(AND(AF130&lt;&gt;"",AG130&lt;&gt;""),ROUNDUP((AG130-AF130)/7,0),"")</f>
        <v/>
      </c>
      <c r="AJ130">
        <f>IFERROR(IF(AH130*AI130=0,"",AH130*AI130),"")</f>
        <v/>
      </c>
      <c r="AL130">
        <f>IFERROR(IF((AO130-(AE130+AJ130))/AK130=0,"",ROUNDUP((AO130-(AE130+AJ130))/AK130,0)),"")</f>
        <v/>
      </c>
      <c r="AM130">
        <f>IFERROR(IF((AO130-(AE130+AJ130))=0,"",(AO130-(AE130+AJ130))),"")</f>
        <v/>
      </c>
      <c r="AN130">
        <f>IF(AND(AC130="",AK130=""),AH130,IF(SUM(AC130,AH130,AK130)=0,"",SUM(AC130,AH130,AK130)))</f>
        <v/>
      </c>
      <c r="AY130">
        <f>IF(AB130="","",YEAR(AB130)+IF(MONTH(AB130)&gt;=5,1,0))</f>
        <v/>
      </c>
      <c r="AZ130">
        <f>IF(AB130="","",IF(AND(MONTH(AB130)=8,DAY(AB130)&gt;=15),"Fall",IF(MONTH(AB130)&gt;8,"Fall",IF(MONTH(AB130)=5,"Summer",IF(MONTH(AB130)=1,"Spring","")))))</f>
        <v/>
      </c>
      <c r="BC130" t="inlineStr">
        <is>
          <t>Wagener Smith, Anthony</t>
        </is>
      </c>
      <c r="BD130">
        <f>IFERROR(INDEX('_names_lookup'!$C:$C,MATCH(BC130,'_names_lookup'!$A:$A,0)),"")</f>
        <v/>
      </c>
      <c r="BE130">
        <f>IFERROR(INDEX('_names_lookup'!$B:$B,MATCH(BC130,'_names_lookup'!$A:$A,0)),"")</f>
        <v/>
      </c>
    </row>
    <row r="131">
      <c r="H131" t="inlineStr">
        <is>
          <t>2696-01</t>
        </is>
      </c>
      <c r="I131" t="inlineStr">
        <is>
          <t>2855</t>
        </is>
      </c>
      <c r="K131" t="inlineStr">
        <is>
          <t>668</t>
        </is>
      </c>
      <c r="N131">
        <f>IFERROR(INDEX('_courses_lookup'!$C:$C,MATCH(J131&amp;K131,'_courses_lookup'!$E:$E,0)),"")</f>
        <v/>
      </c>
      <c r="O131">
        <f>IFERROR(INDEX('_courses_lookup'!$D:$D,MATCH(J131&amp;K131,'_courses_lookup'!$E:$E,0)),"")</f>
        <v/>
      </c>
      <c r="AE131">
        <f>IFERROR(IF(AC131*AD131=0,"",AC131*AD131),"")</f>
        <v/>
      </c>
      <c r="AH131">
        <f>IF(AND(AF131&lt;&gt;"",AG131&lt;&gt;""),ROUNDUP((AG131-AF131)/7,0),"")</f>
        <v/>
      </c>
      <c r="AJ131">
        <f>IFERROR(IF(AH131*AI131=0,"",AH131*AI131),"")</f>
        <v/>
      </c>
      <c r="AL131">
        <f>IFERROR(IF((AO131-(AE131+AJ131))/AK131=0,"",ROUNDUP((AO131-(AE131+AJ131))/AK131,0)),"")</f>
        <v/>
      </c>
      <c r="AM131">
        <f>IFERROR(IF((AO131-(AE131+AJ131))=0,"",(AO131-(AE131+AJ131))),"")</f>
        <v/>
      </c>
      <c r="AN131">
        <f>IF(AND(AC131="",AK131=""),AH131,IF(SUM(AC131,AH131,AK131)=0,"",SUM(AC131,AH131,AK131)))</f>
        <v/>
      </c>
      <c r="AY131">
        <f>IF(AB131="","",YEAR(AB131)+IF(MONTH(AB131)&gt;=5,1,0))</f>
        <v/>
      </c>
      <c r="AZ131">
        <f>IF(AB131="","",IF(AND(MONTH(AB131)=8,DAY(AB131)&gt;=15),"Fall",IF(MONTH(AB131)&gt;8,"Fall",IF(MONTH(AB131)=5,"Summer",IF(MONTH(AB131)=1,"Spring","")))))</f>
        <v/>
      </c>
      <c r="BC131" t="inlineStr">
        <is>
          <t>Williams, Hyveth M.</t>
        </is>
      </c>
      <c r="BD131">
        <f>IFERROR(INDEX('_names_lookup'!$C:$C,MATCH(BC131,'_names_lookup'!$A:$A,0)),"")</f>
        <v/>
      </c>
      <c r="BE131">
        <f>IFERROR(INDEX('_names_lookup'!$B:$B,MATCH(BC131,'_names_lookup'!$A:$A,0)),"")</f>
        <v/>
      </c>
    </row>
    <row r="132">
      <c r="H132" t="inlineStr">
        <is>
          <t>2699-01</t>
        </is>
      </c>
      <c r="I132" t="inlineStr">
        <is>
          <t>2856</t>
        </is>
      </c>
      <c r="K132" t="inlineStr">
        <is>
          <t>669</t>
        </is>
      </c>
      <c r="N132">
        <f>IFERROR(INDEX('_courses_lookup'!$C:$C,MATCH(J132&amp;K132,'_courses_lookup'!$E:$E,0)),"")</f>
        <v/>
      </c>
      <c r="O132">
        <f>IFERROR(INDEX('_courses_lookup'!$D:$D,MATCH(J132&amp;K132,'_courses_lookup'!$E:$E,0)),"")</f>
        <v/>
      </c>
      <c r="AE132">
        <f>IFERROR(IF(AC132*AD132=0,"",AC132*AD132),"")</f>
        <v/>
      </c>
      <c r="AH132">
        <f>IF(AND(AF132&lt;&gt;"",AG132&lt;&gt;""),ROUNDUP((AG132-AF132)/7,0),"")</f>
        <v/>
      </c>
      <c r="AJ132">
        <f>IFERROR(IF(AH132*AI132=0,"",AH132*AI132),"")</f>
        <v/>
      </c>
      <c r="AL132">
        <f>IFERROR(IF((AO132-(AE132+AJ132))/AK132=0,"",ROUNDUP((AO132-(AE132+AJ132))/AK132,0)),"")</f>
        <v/>
      </c>
      <c r="AM132">
        <f>IFERROR(IF((AO132-(AE132+AJ132))=0,"",(AO132-(AE132+AJ132))),"")</f>
        <v/>
      </c>
      <c r="AN132">
        <f>IF(AND(AC132="",AK132=""),AH132,IF(SUM(AC132,AH132,AK132)=0,"",SUM(AC132,AH132,AK132)))</f>
        <v/>
      </c>
      <c r="AY132">
        <f>IF(AB132="","",YEAR(AB132)+IF(MONTH(AB132)&gt;=5,1,0))</f>
        <v/>
      </c>
      <c r="AZ132">
        <f>IF(AB132="","",IF(AND(MONTH(AB132)=8,DAY(AB132)&gt;=15),"Fall",IF(MONTH(AB132)&gt;8,"Fall",IF(MONTH(AB132)=5,"Summer",IF(MONTH(AB132)=1,"Spring","")))))</f>
        <v/>
      </c>
      <c r="BC132" t="inlineStr">
        <is>
          <t>Anderson, Paul S.</t>
        </is>
      </c>
      <c r="BD132">
        <f>IFERROR(INDEX('_names_lookup'!$C:$C,MATCH(BC132,'_names_lookup'!$A:$A,0)),"")</f>
        <v/>
      </c>
      <c r="BE132">
        <f>IFERROR(INDEX('_names_lookup'!$B:$B,MATCH(BC132,'_names_lookup'!$A:$A,0)),"")</f>
        <v/>
      </c>
    </row>
    <row r="133">
      <c r="H133" t="inlineStr">
        <is>
          <t>2699-02</t>
        </is>
      </c>
      <c r="I133" t="inlineStr">
        <is>
          <t>2859</t>
        </is>
      </c>
      <c r="K133" t="inlineStr">
        <is>
          <t>670</t>
        </is>
      </c>
      <c r="N133">
        <f>IFERROR(INDEX('_courses_lookup'!$C:$C,MATCH(J133&amp;K133,'_courses_lookup'!$E:$E,0)),"")</f>
        <v/>
      </c>
      <c r="O133">
        <f>IFERROR(INDEX('_courses_lookup'!$D:$D,MATCH(J133&amp;K133,'_courses_lookup'!$E:$E,0)),"")</f>
        <v/>
      </c>
      <c r="AE133">
        <f>IFERROR(IF(AC133*AD133=0,"",AC133*AD133),"")</f>
        <v/>
      </c>
      <c r="AH133">
        <f>IF(AND(AF133&lt;&gt;"",AG133&lt;&gt;""),ROUNDUP((AG133-AF133)/7,0),"")</f>
        <v/>
      </c>
      <c r="AJ133">
        <f>IFERROR(IF(AH133*AI133=0,"",AH133*AI133),"")</f>
        <v/>
      </c>
      <c r="AL133">
        <f>IFERROR(IF((AO133-(AE133+AJ133))/AK133=0,"",ROUNDUP((AO133-(AE133+AJ133))/AK133,0)),"")</f>
        <v/>
      </c>
      <c r="AM133">
        <f>IFERROR(IF((AO133-(AE133+AJ133))=0,"",(AO133-(AE133+AJ133))),"")</f>
        <v/>
      </c>
      <c r="AN133">
        <f>IF(AND(AC133="",AK133=""),AH133,IF(SUM(AC133,AH133,AK133)=0,"",SUM(AC133,AH133,AK133)))</f>
        <v/>
      </c>
      <c r="AY133">
        <f>IF(AB133="","",YEAR(AB133)+IF(MONTH(AB133)&gt;=5,1,0))</f>
        <v/>
      </c>
      <c r="AZ133">
        <f>IF(AB133="","",IF(AND(MONTH(AB133)=8,DAY(AB133)&gt;=15),"Fall",IF(MONTH(AB133)&gt;8,"Fall",IF(MONTH(AB133)=5,"Summer",IF(MONTH(AB133)=1,"Spring","")))))</f>
        <v/>
      </c>
      <c r="BC133" t="inlineStr">
        <is>
          <t>Barcelo, Saul</t>
        </is>
      </c>
      <c r="BD133">
        <f>IFERROR(INDEX('_names_lookup'!$C:$C,MATCH(BC133,'_names_lookup'!$A:$A,0)),"")</f>
        <v/>
      </c>
      <c r="BE133">
        <f>IFERROR(INDEX('_names_lookup'!$B:$B,MATCH(BC133,'_names_lookup'!$A:$A,0)),"")</f>
        <v/>
      </c>
    </row>
    <row r="134">
      <c r="H134" t="inlineStr">
        <is>
          <t>2700-01</t>
        </is>
      </c>
      <c r="I134" t="inlineStr">
        <is>
          <t>2860</t>
        </is>
      </c>
      <c r="K134" t="inlineStr">
        <is>
          <t>672</t>
        </is>
      </c>
      <c r="N134">
        <f>IFERROR(INDEX('_courses_lookup'!$C:$C,MATCH(J134&amp;K134,'_courses_lookup'!$E:$E,0)),"")</f>
        <v/>
      </c>
      <c r="O134">
        <f>IFERROR(INDEX('_courses_lookup'!$D:$D,MATCH(J134&amp;K134,'_courses_lookup'!$E:$E,0)),"")</f>
        <v/>
      </c>
      <c r="AE134">
        <f>IFERROR(IF(AC134*AD134=0,"",AC134*AD134),"")</f>
        <v/>
      </c>
      <c r="AH134">
        <f>IF(AND(AF134&lt;&gt;"",AG134&lt;&gt;""),ROUNDUP((AG134-AF134)/7,0),"")</f>
        <v/>
      </c>
      <c r="AJ134">
        <f>IFERROR(IF(AH134*AI134=0,"",AH134*AI134),"")</f>
        <v/>
      </c>
      <c r="AL134">
        <f>IFERROR(IF((AO134-(AE134+AJ134))/AK134=0,"",ROUNDUP((AO134-(AE134+AJ134))/AK134,0)),"")</f>
        <v/>
      </c>
      <c r="AM134">
        <f>IFERROR(IF((AO134-(AE134+AJ134))=0,"",(AO134-(AE134+AJ134))),"")</f>
        <v/>
      </c>
      <c r="AN134">
        <f>IF(AND(AC134="",AK134=""),AH134,IF(SUM(AC134,AH134,AK134)=0,"",SUM(AC134,AH134,AK134)))</f>
        <v/>
      </c>
      <c r="AY134">
        <f>IF(AB134="","",YEAR(AB134)+IF(MONTH(AB134)&gt;=5,1,0))</f>
        <v/>
      </c>
      <c r="AZ134">
        <f>IF(AB134="","",IF(AND(MONTH(AB134)=8,DAY(AB134)&gt;=15),"Fall",IF(MONTH(AB134)&gt;8,"Fall",IF(MONTH(AB134)=5,"Summer",IF(MONTH(AB134)=1,"Spring","")))))</f>
        <v/>
      </c>
      <c r="BC134" t="inlineStr">
        <is>
          <t>Coralie, Alain G.</t>
        </is>
      </c>
      <c r="BD134">
        <f>IFERROR(INDEX('_names_lookup'!$C:$C,MATCH(BC134,'_names_lookup'!$A:$A,0)),"")</f>
        <v/>
      </c>
      <c r="BE134">
        <f>IFERROR(INDEX('_names_lookup'!$B:$B,MATCH(BC134,'_names_lookup'!$A:$A,0)),"")</f>
        <v/>
      </c>
    </row>
    <row r="135">
      <c r="H135" t="inlineStr">
        <is>
          <t>2701-01</t>
        </is>
      </c>
      <c r="I135" t="inlineStr">
        <is>
          <t>2865</t>
        </is>
      </c>
      <c r="K135" t="inlineStr">
        <is>
          <t>673</t>
        </is>
      </c>
      <c r="N135">
        <f>IFERROR(INDEX('_courses_lookup'!$C:$C,MATCH(J135&amp;K135,'_courses_lookup'!$E:$E,0)),"")</f>
        <v/>
      </c>
      <c r="O135">
        <f>IFERROR(INDEX('_courses_lookup'!$D:$D,MATCH(J135&amp;K135,'_courses_lookup'!$E:$E,0)),"")</f>
        <v/>
      </c>
      <c r="AE135">
        <f>IFERROR(IF(AC135*AD135=0,"",AC135*AD135),"")</f>
        <v/>
      </c>
      <c r="AH135">
        <f>IF(AND(AF135&lt;&gt;"",AG135&lt;&gt;""),ROUNDUP((AG135-AF135)/7,0),"")</f>
        <v/>
      </c>
      <c r="AJ135">
        <f>IFERROR(IF(AH135*AI135=0,"",AH135*AI135),"")</f>
        <v/>
      </c>
      <c r="AL135">
        <f>IFERROR(IF((AO135-(AE135+AJ135))/AK135=0,"",ROUNDUP((AO135-(AE135+AJ135))/AK135,0)),"")</f>
        <v/>
      </c>
      <c r="AM135">
        <f>IFERROR(IF((AO135-(AE135+AJ135))=0,"",(AO135-(AE135+AJ135))),"")</f>
        <v/>
      </c>
      <c r="AN135">
        <f>IF(AND(AC135="",AK135=""),AH135,IF(SUM(AC135,AH135,AK135)=0,"",SUM(AC135,AH135,AK135)))</f>
        <v/>
      </c>
      <c r="AY135">
        <f>IF(AB135="","",YEAR(AB135)+IF(MONTH(AB135)&gt;=5,1,0))</f>
        <v/>
      </c>
      <c r="AZ135">
        <f>IF(AB135="","",IF(AND(MONTH(AB135)=8,DAY(AB135)&gt;=15),"Fall",IF(MONTH(AB135)&gt;8,"Fall",IF(MONTH(AB135)=5,"Summer",IF(MONTH(AB135)=1,"Spring","")))))</f>
        <v/>
      </c>
      <c r="BC135" t="inlineStr">
        <is>
          <t>Crews, Heather L.</t>
        </is>
      </c>
      <c r="BD135">
        <f>IFERROR(INDEX('_names_lookup'!$C:$C,MATCH(BC135,'_names_lookup'!$A:$A,0)),"")</f>
        <v/>
      </c>
      <c r="BE135">
        <f>IFERROR(INDEX('_names_lookup'!$B:$B,MATCH(BC135,'_names_lookup'!$A:$A,0)),"")</f>
        <v/>
      </c>
    </row>
    <row r="136">
      <c r="H136" t="inlineStr">
        <is>
          <t>2702-01</t>
        </is>
      </c>
      <c r="I136" t="inlineStr">
        <is>
          <t>2871</t>
        </is>
      </c>
      <c r="K136" t="inlineStr">
        <is>
          <t>674</t>
        </is>
      </c>
      <c r="N136">
        <f>IFERROR(INDEX('_courses_lookup'!$C:$C,MATCH(J136&amp;K136,'_courses_lookup'!$E:$E,0)),"")</f>
        <v/>
      </c>
      <c r="O136">
        <f>IFERROR(INDEX('_courses_lookup'!$D:$D,MATCH(J136&amp;K136,'_courses_lookup'!$E:$E,0)),"")</f>
        <v/>
      </c>
      <c r="AE136">
        <f>IFERROR(IF(AC136*AD136=0,"",AC136*AD136),"")</f>
        <v/>
      </c>
      <c r="AH136">
        <f>IF(AND(AF136&lt;&gt;"",AG136&lt;&gt;""),ROUNDUP((AG136-AF136)/7,0),"")</f>
        <v/>
      </c>
      <c r="AJ136">
        <f>IFERROR(IF(AH136*AI136=0,"",AH136*AI136),"")</f>
        <v/>
      </c>
      <c r="AL136">
        <f>IFERROR(IF((AO136-(AE136+AJ136))/AK136=0,"",ROUNDUP((AO136-(AE136+AJ136))/AK136,0)),"")</f>
        <v/>
      </c>
      <c r="AM136">
        <f>IFERROR(IF((AO136-(AE136+AJ136))=0,"",(AO136-(AE136+AJ136))),"")</f>
        <v/>
      </c>
      <c r="AN136">
        <f>IF(AND(AC136="",AK136=""),AH136,IF(SUM(AC136,AH136,AK136)=0,"",SUM(AC136,AH136,AK136)))</f>
        <v/>
      </c>
      <c r="AY136">
        <f>IF(AB136="","",YEAR(AB136)+IF(MONTH(AB136)&gt;=5,1,0))</f>
        <v/>
      </c>
      <c r="AZ136">
        <f>IF(AB136="","",IF(AND(MONTH(AB136)=8,DAY(AB136)&gt;=15),"Fall",IF(MONTH(AB136)&gt;8,"Fall",IF(MONTH(AB136)=5,"Summer",IF(MONTH(AB136)=1,"Spring","")))))</f>
        <v/>
      </c>
      <c r="BC136" t="inlineStr">
        <is>
          <t>Ferreira, Sandy Y.</t>
        </is>
      </c>
      <c r="BD136">
        <f>IFERROR(INDEX('_names_lookup'!$C:$C,MATCH(BC136,'_names_lookup'!$A:$A,0)),"")</f>
        <v/>
      </c>
      <c r="BE136">
        <f>IFERROR(INDEX('_names_lookup'!$B:$B,MATCH(BC136,'_names_lookup'!$A:$A,0)),"")</f>
        <v/>
      </c>
    </row>
    <row r="137">
      <c r="H137" t="inlineStr">
        <is>
          <t>2704-01</t>
        </is>
      </c>
      <c r="I137" t="inlineStr">
        <is>
          <t>2879</t>
        </is>
      </c>
      <c r="K137" t="inlineStr">
        <is>
          <t>675</t>
        </is>
      </c>
      <c r="N137">
        <f>IFERROR(INDEX('_courses_lookup'!$C:$C,MATCH(J137&amp;K137,'_courses_lookup'!$E:$E,0)),"")</f>
        <v/>
      </c>
      <c r="O137">
        <f>IFERROR(INDEX('_courses_lookup'!$D:$D,MATCH(J137&amp;K137,'_courses_lookup'!$E:$E,0)),"")</f>
        <v/>
      </c>
      <c r="AE137">
        <f>IFERROR(IF(AC137*AD137=0,"",AC137*AD137),"")</f>
        <v/>
      </c>
      <c r="AH137">
        <f>IF(AND(AF137&lt;&gt;"",AG137&lt;&gt;""),ROUNDUP((AG137-AF137)/7,0),"")</f>
        <v/>
      </c>
      <c r="AJ137">
        <f>IFERROR(IF(AH137*AI137=0,"",AH137*AI137),"")</f>
        <v/>
      </c>
      <c r="AL137">
        <f>IFERROR(IF((AO137-(AE137+AJ137))/AK137=0,"",ROUNDUP((AO137-(AE137+AJ137))/AK137,0)),"")</f>
        <v/>
      </c>
      <c r="AM137">
        <f>IFERROR(IF((AO137-(AE137+AJ137))=0,"",(AO137-(AE137+AJ137))),"")</f>
        <v/>
      </c>
      <c r="AN137">
        <f>IF(AND(AC137="",AK137=""),AH137,IF(SUM(AC137,AH137,AK137)=0,"",SUM(AC137,AH137,AK137)))</f>
        <v/>
      </c>
      <c r="AY137">
        <f>IF(AB137="","",YEAR(AB137)+IF(MONTH(AB137)&gt;=5,1,0))</f>
        <v/>
      </c>
      <c r="AZ137">
        <f>IF(AB137="","",IF(AND(MONTH(AB137)=8,DAY(AB137)&gt;=15),"Fall",IF(MONTH(AB137)&gt;8,"Fall",IF(MONTH(AB137)=5,"Summer",IF(MONTH(AB137)=1,"Spring","")))))</f>
        <v/>
      </c>
      <c r="BC137" t="inlineStr">
        <is>
          <t>Galeniece, Anna</t>
        </is>
      </c>
      <c r="BD137">
        <f>IFERROR(INDEX('_names_lookup'!$C:$C,MATCH(BC137,'_names_lookup'!$A:$A,0)),"")</f>
        <v/>
      </c>
      <c r="BE137">
        <f>IFERROR(INDEX('_names_lookup'!$B:$B,MATCH(BC137,'_names_lookup'!$A:$A,0)),"")</f>
        <v/>
      </c>
    </row>
    <row r="138">
      <c r="H138" t="inlineStr">
        <is>
          <t>2704-02</t>
        </is>
      </c>
      <c r="I138" t="inlineStr">
        <is>
          <t>3057</t>
        </is>
      </c>
      <c r="K138" t="inlineStr">
        <is>
          <t>676</t>
        </is>
      </c>
      <c r="N138">
        <f>IFERROR(INDEX('_courses_lookup'!$C:$C,MATCH(J138&amp;K138,'_courses_lookup'!$E:$E,0)),"")</f>
        <v/>
      </c>
      <c r="O138">
        <f>IFERROR(INDEX('_courses_lookup'!$D:$D,MATCH(J138&amp;K138,'_courses_lookup'!$E:$E,0)),"")</f>
        <v/>
      </c>
      <c r="AE138">
        <f>IFERROR(IF(AC138*AD138=0,"",AC138*AD138),"")</f>
        <v/>
      </c>
      <c r="AH138">
        <f>IF(AND(AF138&lt;&gt;"",AG138&lt;&gt;""),ROUNDUP((AG138-AF138)/7,0),"")</f>
        <v/>
      </c>
      <c r="AJ138">
        <f>IFERROR(IF(AH138*AI138=0,"",AH138*AI138),"")</f>
        <v/>
      </c>
      <c r="AL138">
        <f>IFERROR(IF((AO138-(AE138+AJ138))/AK138=0,"",ROUNDUP((AO138-(AE138+AJ138))/AK138,0)),"")</f>
        <v/>
      </c>
      <c r="AM138">
        <f>IFERROR(IF((AO138-(AE138+AJ138))=0,"",(AO138-(AE138+AJ138))),"")</f>
        <v/>
      </c>
      <c r="AN138">
        <f>IF(AND(AC138="",AK138=""),AH138,IF(SUM(AC138,AH138,AK138)=0,"",SUM(AC138,AH138,AK138)))</f>
        <v/>
      </c>
      <c r="AY138">
        <f>IF(AB138="","",YEAR(AB138)+IF(MONTH(AB138)&gt;=5,1,0))</f>
        <v/>
      </c>
      <c r="AZ138">
        <f>IF(AB138="","",IF(AND(MONTH(AB138)=8,DAY(AB138)&gt;=15),"Fall",IF(MONTH(AB138)&gt;8,"Fall",IF(MONTH(AB138)=5,"Summer",IF(MONTH(AB138)=1,"Spring","")))))</f>
        <v/>
      </c>
      <c r="BC138" t="inlineStr">
        <is>
          <t>Grant, Vaughan K.</t>
        </is>
      </c>
      <c r="BD138">
        <f>IFERROR(INDEX('_names_lookup'!$C:$C,MATCH(BC138,'_names_lookup'!$A:$A,0)),"")</f>
        <v/>
      </c>
      <c r="BE138">
        <f>IFERROR(INDEX('_names_lookup'!$B:$B,MATCH(BC138,'_names_lookup'!$A:$A,0)),"")</f>
        <v/>
      </c>
    </row>
    <row r="139">
      <c r="H139" t="inlineStr">
        <is>
          <t>2704-03</t>
        </is>
      </c>
      <c r="I139" t="inlineStr">
        <is>
          <t>3073</t>
        </is>
      </c>
      <c r="K139" t="inlineStr">
        <is>
          <t>677</t>
        </is>
      </c>
      <c r="N139">
        <f>IFERROR(INDEX('_courses_lookup'!$C:$C,MATCH(J139&amp;K139,'_courses_lookup'!$E:$E,0)),"")</f>
        <v/>
      </c>
      <c r="O139">
        <f>IFERROR(INDEX('_courses_lookup'!$D:$D,MATCH(J139&amp;K139,'_courses_lookup'!$E:$E,0)),"")</f>
        <v/>
      </c>
      <c r="AE139">
        <f>IFERROR(IF(AC139*AD139=0,"",AC139*AD139),"")</f>
        <v/>
      </c>
      <c r="AH139">
        <f>IF(AND(AF139&lt;&gt;"",AG139&lt;&gt;""),ROUNDUP((AG139-AF139)/7,0),"")</f>
        <v/>
      </c>
      <c r="AJ139">
        <f>IFERROR(IF(AH139*AI139=0,"",AH139*AI139),"")</f>
        <v/>
      </c>
      <c r="AL139">
        <f>IFERROR(IF((AO139-(AE139+AJ139))/AK139=0,"",ROUNDUP((AO139-(AE139+AJ139))/AK139,0)),"")</f>
        <v/>
      </c>
      <c r="AM139">
        <f>IFERROR(IF((AO139-(AE139+AJ139))=0,"",(AO139-(AE139+AJ139))),"")</f>
        <v/>
      </c>
      <c r="AN139">
        <f>IF(AND(AC139="",AK139=""),AH139,IF(SUM(AC139,AH139,AK139)=0,"",SUM(AC139,AH139,AK139)))</f>
        <v/>
      </c>
      <c r="AY139">
        <f>IF(AB139="","",YEAR(AB139)+IF(MONTH(AB139)&gt;=5,1,0))</f>
        <v/>
      </c>
      <c r="AZ139">
        <f>IF(AB139="","",IF(AND(MONTH(AB139)=8,DAY(AB139)&gt;=15),"Fall",IF(MONTH(AB139)&gt;8,"Fall",IF(MONTH(AB139)=5,"Summer",IF(MONTH(AB139)=1,"Spring","")))))</f>
        <v/>
      </c>
      <c r="BC139" t="inlineStr">
        <is>
          <t>Grys, John W.</t>
        </is>
      </c>
      <c r="BD139">
        <f>IFERROR(INDEX('_names_lookup'!$C:$C,MATCH(BC139,'_names_lookup'!$A:$A,0)),"")</f>
        <v/>
      </c>
      <c r="BE139">
        <f>IFERROR(INDEX('_names_lookup'!$B:$B,MATCH(BC139,'_names_lookup'!$A:$A,0)),"")</f>
        <v/>
      </c>
    </row>
    <row r="140">
      <c r="H140" t="inlineStr">
        <is>
          <t>2735-01</t>
        </is>
      </c>
      <c r="I140" t="inlineStr">
        <is>
          <t>3079</t>
        </is>
      </c>
      <c r="K140" t="inlineStr">
        <is>
          <t>678</t>
        </is>
      </c>
      <c r="N140">
        <f>IFERROR(INDEX('_courses_lookup'!$C:$C,MATCH(J140&amp;K140,'_courses_lookup'!$E:$E,0)),"")</f>
        <v/>
      </c>
      <c r="O140">
        <f>IFERROR(INDEX('_courses_lookup'!$D:$D,MATCH(J140&amp;K140,'_courses_lookup'!$E:$E,0)),"")</f>
        <v/>
      </c>
      <c r="AE140">
        <f>IFERROR(IF(AC140*AD140=0,"",AC140*AD140),"")</f>
        <v/>
      </c>
      <c r="AH140">
        <f>IF(AND(AF140&lt;&gt;"",AG140&lt;&gt;""),ROUNDUP((AG140-AF140)/7,0),"")</f>
        <v/>
      </c>
      <c r="AJ140">
        <f>IFERROR(IF(AH140*AI140=0,"",AH140*AI140),"")</f>
        <v/>
      </c>
      <c r="AL140">
        <f>IFERROR(IF((AO140-(AE140+AJ140))/AK140=0,"",ROUNDUP((AO140-(AE140+AJ140))/AK140,0)),"")</f>
        <v/>
      </c>
      <c r="AM140">
        <f>IFERROR(IF((AO140-(AE140+AJ140))=0,"",(AO140-(AE140+AJ140))),"")</f>
        <v/>
      </c>
      <c r="AN140">
        <f>IF(AND(AC140="",AK140=""),AH140,IF(SUM(AC140,AH140,AK140)=0,"",SUM(AC140,AH140,AK140)))</f>
        <v/>
      </c>
      <c r="AY140">
        <f>IF(AB140="","",YEAR(AB140)+IF(MONTH(AB140)&gt;=5,1,0))</f>
        <v/>
      </c>
      <c r="AZ140">
        <f>IF(AB140="","",IF(AND(MONTH(AB140)=8,DAY(AB140)&gt;=15),"Fall",IF(MONTH(AB140)&gt;8,"Fall",IF(MONTH(AB140)=5,"Summer",IF(MONTH(AB140)=1,"Spring","")))))</f>
        <v/>
      </c>
      <c r="BC140" t="inlineStr">
        <is>
          <t>Jaeger, Victor A.</t>
        </is>
      </c>
      <c r="BD140">
        <f>IFERROR(INDEX('_names_lookup'!$C:$C,MATCH(BC140,'_names_lookup'!$A:$A,0)),"")</f>
        <v/>
      </c>
      <c r="BE140">
        <f>IFERROR(INDEX('_names_lookup'!$B:$B,MATCH(BC140,'_names_lookup'!$A:$A,0)),"")</f>
        <v/>
      </c>
    </row>
    <row r="141">
      <c r="H141" t="inlineStr">
        <is>
          <t>2735-02</t>
        </is>
      </c>
      <c r="I141" t="inlineStr">
        <is>
          <t>3080</t>
        </is>
      </c>
      <c r="K141" t="inlineStr">
        <is>
          <t>679</t>
        </is>
      </c>
      <c r="N141">
        <f>IFERROR(INDEX('_courses_lookup'!$C:$C,MATCH(J141&amp;K141,'_courses_lookup'!$E:$E,0)),"")</f>
        <v/>
      </c>
      <c r="O141">
        <f>IFERROR(INDEX('_courses_lookup'!$D:$D,MATCH(J141&amp;K141,'_courses_lookup'!$E:$E,0)),"")</f>
        <v/>
      </c>
      <c r="AE141">
        <f>IFERROR(IF(AC141*AD141=0,"",AC141*AD141),"")</f>
        <v/>
      </c>
      <c r="AH141">
        <f>IF(AND(AF141&lt;&gt;"",AG141&lt;&gt;""),ROUNDUP((AG141-AF141)/7,0),"")</f>
        <v/>
      </c>
      <c r="AJ141">
        <f>IFERROR(IF(AH141*AI141=0,"",AH141*AI141),"")</f>
        <v/>
      </c>
      <c r="AL141">
        <f>IFERROR(IF((AO141-(AE141+AJ141))/AK141=0,"",ROUNDUP((AO141-(AE141+AJ141))/AK141,0)),"")</f>
        <v/>
      </c>
      <c r="AM141">
        <f>IFERROR(IF((AO141-(AE141+AJ141))=0,"",(AO141-(AE141+AJ141))),"")</f>
        <v/>
      </c>
      <c r="AN141">
        <f>IF(AND(AC141="",AK141=""),AH141,IF(SUM(AC141,AH141,AK141)=0,"",SUM(AC141,AH141,AK141)))</f>
        <v/>
      </c>
      <c r="AY141">
        <f>IF(AB141="","",YEAR(AB141)+IF(MONTH(AB141)&gt;=5,1,0))</f>
        <v/>
      </c>
      <c r="AZ141">
        <f>IF(AB141="","",IF(AND(MONTH(AB141)=8,DAY(AB141)&gt;=15),"Fall",IF(MONTH(AB141)&gt;8,"Fall",IF(MONTH(AB141)=5,"Summer",IF(MONTH(AB141)=1,"Spring","")))))</f>
        <v/>
      </c>
      <c r="BC141" t="inlineStr">
        <is>
          <t>Kissinger, Evelyn G.</t>
        </is>
      </c>
      <c r="BD141">
        <f>IFERROR(INDEX('_names_lookup'!$C:$C,MATCH(BC141,'_names_lookup'!$A:$A,0)),"")</f>
        <v/>
      </c>
      <c r="BE141">
        <f>IFERROR(INDEX('_names_lookup'!$B:$B,MATCH(BC141,'_names_lookup'!$A:$A,0)),"")</f>
        <v/>
      </c>
    </row>
    <row r="142">
      <c r="H142" t="inlineStr">
        <is>
          <t>2735-03</t>
        </is>
      </c>
      <c r="I142" t="inlineStr">
        <is>
          <t>3097</t>
        </is>
      </c>
      <c r="K142" t="inlineStr">
        <is>
          <t>680</t>
        </is>
      </c>
      <c r="N142">
        <f>IFERROR(INDEX('_courses_lookup'!$C:$C,MATCH(J142&amp;K142,'_courses_lookup'!$E:$E,0)),"")</f>
        <v/>
      </c>
      <c r="O142">
        <f>IFERROR(INDEX('_courses_lookup'!$D:$D,MATCH(J142&amp;K142,'_courses_lookup'!$E:$E,0)),"")</f>
        <v/>
      </c>
      <c r="AE142">
        <f>IFERROR(IF(AC142*AD142=0,"",AC142*AD142),"")</f>
        <v/>
      </c>
      <c r="AH142">
        <f>IF(AND(AF142&lt;&gt;"",AG142&lt;&gt;""),ROUNDUP((AG142-AF142)/7,0),"")</f>
        <v/>
      </c>
      <c r="AJ142">
        <f>IFERROR(IF(AH142*AI142=0,"",AH142*AI142),"")</f>
        <v/>
      </c>
      <c r="AL142">
        <f>IFERROR(IF((AO142-(AE142+AJ142))/AK142=0,"",ROUNDUP((AO142-(AE142+AJ142))/AK142,0)),"")</f>
        <v/>
      </c>
      <c r="AM142">
        <f>IFERROR(IF((AO142-(AE142+AJ142))=0,"",(AO142-(AE142+AJ142))),"")</f>
        <v/>
      </c>
      <c r="AN142">
        <f>IF(AND(AC142="",AK142=""),AH142,IF(SUM(AC142,AH142,AK142)=0,"",SUM(AC142,AH142,AK142)))</f>
        <v/>
      </c>
      <c r="AY142">
        <f>IF(AB142="","",YEAR(AB142)+IF(MONTH(AB142)&gt;=5,1,0))</f>
        <v/>
      </c>
      <c r="AZ142">
        <f>IF(AB142="","",IF(AND(MONTH(AB142)=8,DAY(AB142)&gt;=15),"Fall",IF(MONTH(AB142)&gt;8,"Fall",IF(MONTH(AB142)=5,"Summer",IF(MONTH(AB142)=1,"Spring","")))))</f>
        <v/>
      </c>
      <c r="BC142" t="inlineStr">
        <is>
          <t>Ledesma, Janet</t>
        </is>
      </c>
      <c r="BD142">
        <f>IFERROR(INDEX('_names_lookup'!$C:$C,MATCH(BC142,'_names_lookup'!$A:$A,0)),"")</f>
        <v/>
      </c>
      <c r="BE142">
        <f>IFERROR(INDEX('_names_lookup'!$B:$B,MATCH(BC142,'_names_lookup'!$A:$A,0)),"")</f>
        <v/>
      </c>
    </row>
    <row r="143">
      <c r="H143" t="inlineStr">
        <is>
          <t>2735-04</t>
        </is>
      </c>
      <c r="I143" t="inlineStr">
        <is>
          <t>3106</t>
        </is>
      </c>
      <c r="K143" t="inlineStr">
        <is>
          <t>681</t>
        </is>
      </c>
      <c r="N143">
        <f>IFERROR(INDEX('_courses_lookup'!$C:$C,MATCH(J143&amp;K143,'_courses_lookup'!$E:$E,0)),"")</f>
        <v/>
      </c>
      <c r="O143">
        <f>IFERROR(INDEX('_courses_lookup'!$D:$D,MATCH(J143&amp;K143,'_courses_lookup'!$E:$E,0)),"")</f>
        <v/>
      </c>
      <c r="AE143">
        <f>IFERROR(IF(AC143*AD143=0,"",AC143*AD143),"")</f>
        <v/>
      </c>
      <c r="AH143">
        <f>IF(AND(AF143&lt;&gt;"",AG143&lt;&gt;""),ROUNDUP((AG143-AF143)/7,0),"")</f>
        <v/>
      </c>
      <c r="AJ143">
        <f>IFERROR(IF(AH143*AI143=0,"",AH143*AI143),"")</f>
        <v/>
      </c>
      <c r="AL143">
        <f>IFERROR(IF((AO143-(AE143+AJ143))/AK143=0,"",ROUNDUP((AO143-(AE143+AJ143))/AK143,0)),"")</f>
        <v/>
      </c>
      <c r="AM143">
        <f>IFERROR(IF((AO143-(AE143+AJ143))=0,"",(AO143-(AE143+AJ143))),"")</f>
        <v/>
      </c>
      <c r="AN143">
        <f>IF(AND(AC143="",AK143=""),AH143,IF(SUM(AC143,AH143,AK143)=0,"",SUM(AC143,AH143,AK143)))</f>
        <v/>
      </c>
      <c r="AY143">
        <f>IF(AB143="","",YEAR(AB143)+IF(MONTH(AB143)&gt;=5,1,0))</f>
        <v/>
      </c>
      <c r="AZ143">
        <f>IF(AB143="","",IF(AND(MONTH(AB143)=8,DAY(AB143)&gt;=15),"Fall",IF(MONTH(AB143)&gt;8,"Fall",IF(MONTH(AB143)=5,"Summer",IF(MONTH(AB143)=1,"Spring","")))))</f>
        <v/>
      </c>
      <c r="BC143" t="inlineStr">
        <is>
          <t>Lewis, Michael L.</t>
        </is>
      </c>
      <c r="BD143">
        <f>IFERROR(INDEX('_names_lookup'!$C:$C,MATCH(BC143,'_names_lookup'!$A:$A,0)),"")</f>
        <v/>
      </c>
      <c r="BE143">
        <f>IFERROR(INDEX('_names_lookup'!$B:$B,MATCH(BC143,'_names_lookup'!$A:$A,0)),"")</f>
        <v/>
      </c>
    </row>
    <row r="144">
      <c r="H144" t="inlineStr">
        <is>
          <t>2735-05</t>
        </is>
      </c>
      <c r="I144" t="inlineStr">
        <is>
          <t>3109</t>
        </is>
      </c>
      <c r="K144" t="inlineStr">
        <is>
          <t>682</t>
        </is>
      </c>
      <c r="N144">
        <f>IFERROR(INDEX('_courses_lookup'!$C:$C,MATCH(J144&amp;K144,'_courses_lookup'!$E:$E,0)),"")</f>
        <v/>
      </c>
      <c r="O144">
        <f>IFERROR(INDEX('_courses_lookup'!$D:$D,MATCH(J144&amp;K144,'_courses_lookup'!$E:$E,0)),"")</f>
        <v/>
      </c>
      <c r="AE144">
        <f>IFERROR(IF(AC144*AD144=0,"",AC144*AD144),"")</f>
        <v/>
      </c>
      <c r="AH144">
        <f>IF(AND(AF144&lt;&gt;"",AG144&lt;&gt;""),ROUNDUP((AG144-AF144)/7,0),"")</f>
        <v/>
      </c>
      <c r="AJ144">
        <f>IFERROR(IF(AH144*AI144=0,"",AH144*AI144),"")</f>
        <v/>
      </c>
      <c r="AL144">
        <f>IFERROR(IF((AO144-(AE144+AJ144))/AK144=0,"",ROUNDUP((AO144-(AE144+AJ144))/AK144,0)),"")</f>
        <v/>
      </c>
      <c r="AM144">
        <f>IFERROR(IF((AO144-(AE144+AJ144))=0,"",(AO144-(AE144+AJ144))),"")</f>
        <v/>
      </c>
      <c r="AN144">
        <f>IF(AND(AC144="",AK144=""),AH144,IF(SUM(AC144,AH144,AK144)=0,"",SUM(AC144,AH144,AK144)))</f>
        <v/>
      </c>
      <c r="AY144">
        <f>IF(AB144="","",YEAR(AB144)+IF(MONTH(AB144)&gt;=5,1,0))</f>
        <v/>
      </c>
      <c r="AZ144">
        <f>IF(AB144="","",IF(AND(MONTH(AB144)=8,DAY(AB144)&gt;=15),"Fall",IF(MONTH(AB144)&gt;8,"Fall",IF(MONTH(AB144)=5,"Summer",IF(MONTH(AB144)=1,"Spring","")))))</f>
        <v/>
      </c>
      <c r="BC144" t="inlineStr">
        <is>
          <t>Madding, Timothy E.</t>
        </is>
      </c>
      <c r="BD144">
        <f>IFERROR(INDEX('_names_lookup'!$C:$C,MATCH(BC144,'_names_lookup'!$A:$A,0)),"")</f>
        <v/>
      </c>
      <c r="BE144">
        <f>IFERROR(INDEX('_names_lookup'!$B:$B,MATCH(BC144,'_names_lookup'!$A:$A,0)),"")</f>
        <v/>
      </c>
    </row>
    <row r="145">
      <c r="H145" t="inlineStr">
        <is>
          <t>2735-06</t>
        </is>
      </c>
      <c r="I145" t="inlineStr">
        <is>
          <t>3125</t>
        </is>
      </c>
      <c r="K145" t="inlineStr">
        <is>
          <t>683</t>
        </is>
      </c>
      <c r="N145">
        <f>IFERROR(INDEX('_courses_lookup'!$C:$C,MATCH(J145&amp;K145,'_courses_lookup'!$E:$E,0)),"")</f>
        <v/>
      </c>
      <c r="O145">
        <f>IFERROR(INDEX('_courses_lookup'!$D:$D,MATCH(J145&amp;K145,'_courses_lookup'!$E:$E,0)),"")</f>
        <v/>
      </c>
      <c r="AE145">
        <f>IFERROR(IF(AC145*AD145=0,"",AC145*AD145),"")</f>
        <v/>
      </c>
      <c r="AH145">
        <f>IF(AND(AF145&lt;&gt;"",AG145&lt;&gt;""),ROUNDUP((AG145-AF145)/7,0),"")</f>
        <v/>
      </c>
      <c r="AJ145">
        <f>IFERROR(IF(AH145*AI145=0,"",AH145*AI145),"")</f>
        <v/>
      </c>
      <c r="AL145">
        <f>IFERROR(IF((AO145-(AE145+AJ145))/AK145=0,"",ROUNDUP((AO145-(AE145+AJ145))/AK145,0)),"")</f>
        <v/>
      </c>
      <c r="AM145">
        <f>IFERROR(IF((AO145-(AE145+AJ145))=0,"",(AO145-(AE145+AJ145))),"")</f>
        <v/>
      </c>
      <c r="AN145">
        <f>IF(AND(AC145="",AK145=""),AH145,IF(SUM(AC145,AH145,AK145)=0,"",SUM(AC145,AH145,AK145)))</f>
        <v/>
      </c>
      <c r="AY145">
        <f>IF(AB145="","",YEAR(AB145)+IF(MONTH(AB145)&gt;=5,1,0))</f>
        <v/>
      </c>
      <c r="AZ145">
        <f>IF(AB145="","",IF(AND(MONTH(AB145)=8,DAY(AB145)&gt;=15),"Fall",IF(MONTH(AB145)&gt;8,"Fall",IF(MONTH(AB145)=5,"Summer",IF(MONTH(AB145)=1,"Spring","")))))</f>
        <v/>
      </c>
      <c r="BC145" t="inlineStr">
        <is>
          <t>Martin, Allan D.</t>
        </is>
      </c>
      <c r="BD145">
        <f>IFERROR(INDEX('_names_lookup'!$C:$C,MATCH(BC145,'_names_lookup'!$A:$A,0)),"")</f>
        <v/>
      </c>
      <c r="BE145">
        <f>IFERROR(INDEX('_names_lookup'!$B:$B,MATCH(BC145,'_names_lookup'!$A:$A,0)),"")</f>
        <v/>
      </c>
    </row>
    <row r="146">
      <c r="H146" t="inlineStr">
        <is>
          <t>2736-01</t>
        </is>
      </c>
      <c r="I146" t="inlineStr">
        <is>
          <t>3163</t>
        </is>
      </c>
      <c r="K146" t="inlineStr">
        <is>
          <t>684</t>
        </is>
      </c>
      <c r="N146">
        <f>IFERROR(INDEX('_courses_lookup'!$C:$C,MATCH(J146&amp;K146,'_courses_lookup'!$E:$E,0)),"")</f>
        <v/>
      </c>
      <c r="O146">
        <f>IFERROR(INDEX('_courses_lookup'!$D:$D,MATCH(J146&amp;K146,'_courses_lookup'!$E:$E,0)),"")</f>
        <v/>
      </c>
      <c r="AE146">
        <f>IFERROR(IF(AC146*AD146=0,"",AC146*AD146),"")</f>
        <v/>
      </c>
      <c r="AH146">
        <f>IF(AND(AF146&lt;&gt;"",AG146&lt;&gt;""),ROUNDUP((AG146-AF146)/7,0),"")</f>
        <v/>
      </c>
      <c r="AJ146">
        <f>IFERROR(IF(AH146*AI146=0,"",AH146*AI146),"")</f>
        <v/>
      </c>
      <c r="AL146">
        <f>IFERROR(IF((AO146-(AE146+AJ146))/AK146=0,"",ROUNDUP((AO146-(AE146+AJ146))/AK146,0)),"")</f>
        <v/>
      </c>
      <c r="AM146">
        <f>IFERROR(IF((AO146-(AE146+AJ146))=0,"",(AO146-(AE146+AJ146))),"")</f>
        <v/>
      </c>
      <c r="AN146">
        <f>IF(AND(AC146="",AK146=""),AH146,IF(SUM(AC146,AH146,AK146)=0,"",SUM(AC146,AH146,AK146)))</f>
        <v/>
      </c>
      <c r="AY146">
        <f>IF(AB146="","",YEAR(AB146)+IF(MONTH(AB146)&gt;=5,1,0))</f>
        <v/>
      </c>
      <c r="AZ146">
        <f>IF(AB146="","",IF(AND(MONTH(AB146)=8,DAY(AB146)&gt;=15),"Fall",IF(MONTH(AB146)&gt;8,"Fall",IF(MONTH(AB146)=5,"Summer",IF(MONTH(AB146)=1,"Spring","")))))</f>
        <v/>
      </c>
      <c r="BC146" t="inlineStr">
        <is>
          <t>McLean, Errol N.</t>
        </is>
      </c>
      <c r="BD146">
        <f>IFERROR(INDEX('_names_lookup'!$C:$C,MATCH(BC146,'_names_lookup'!$A:$A,0)),"")</f>
        <v/>
      </c>
      <c r="BE146">
        <f>IFERROR(INDEX('_names_lookup'!$B:$B,MATCH(BC146,'_names_lookup'!$A:$A,0)),"")</f>
        <v/>
      </c>
    </row>
    <row r="147">
      <c r="H147" t="inlineStr">
        <is>
          <t>2736-02</t>
        </is>
      </c>
      <c r="I147" t="inlineStr">
        <is>
          <t>3184</t>
        </is>
      </c>
      <c r="K147" t="inlineStr">
        <is>
          <t>685</t>
        </is>
      </c>
      <c r="N147">
        <f>IFERROR(INDEX('_courses_lookup'!$C:$C,MATCH(J147&amp;K147,'_courses_lookup'!$E:$E,0)),"")</f>
        <v/>
      </c>
      <c r="O147">
        <f>IFERROR(INDEX('_courses_lookup'!$D:$D,MATCH(J147&amp;K147,'_courses_lookup'!$E:$E,0)),"")</f>
        <v/>
      </c>
      <c r="AE147">
        <f>IFERROR(IF(AC147*AD147=0,"",AC147*AD147),"")</f>
        <v/>
      </c>
      <c r="AH147">
        <f>IF(AND(AF147&lt;&gt;"",AG147&lt;&gt;""),ROUNDUP((AG147-AF147)/7,0),"")</f>
        <v/>
      </c>
      <c r="AJ147">
        <f>IFERROR(IF(AH147*AI147=0,"",AH147*AI147),"")</f>
        <v/>
      </c>
      <c r="AL147">
        <f>IFERROR(IF((AO147-(AE147+AJ147))/AK147=0,"",ROUNDUP((AO147-(AE147+AJ147))/AK147,0)),"")</f>
        <v/>
      </c>
      <c r="AM147">
        <f>IFERROR(IF((AO147-(AE147+AJ147))=0,"",(AO147-(AE147+AJ147))),"")</f>
        <v/>
      </c>
      <c r="AN147">
        <f>IF(AND(AC147="",AK147=""),AH147,IF(SUM(AC147,AH147,AK147)=0,"",SUM(AC147,AH147,AK147)))</f>
        <v/>
      </c>
      <c r="AY147">
        <f>IF(AB147="","",YEAR(AB147)+IF(MONTH(AB147)&gt;=5,1,0))</f>
        <v/>
      </c>
      <c r="AZ147">
        <f>IF(AB147="","",IF(AND(MONTH(AB147)=8,DAY(AB147)&gt;=15),"Fall",IF(MONTH(AB147)&gt;8,"Fall",IF(MONTH(AB147)=5,"Summer",IF(MONTH(AB147)=1,"Spring","")))))</f>
        <v/>
      </c>
      <c r="BC147" t="inlineStr">
        <is>
          <t>Ming, Marilyn D.</t>
        </is>
      </c>
      <c r="BD147">
        <f>IFERROR(INDEX('_names_lookup'!$C:$C,MATCH(BC147,'_names_lookup'!$A:$A,0)),"")</f>
        <v/>
      </c>
      <c r="BE147">
        <f>IFERROR(INDEX('_names_lookup'!$B:$B,MATCH(BC147,'_names_lookup'!$A:$A,0)),"")</f>
        <v/>
      </c>
    </row>
    <row r="148">
      <c r="H148" t="inlineStr">
        <is>
          <t>2739-01</t>
        </is>
      </c>
      <c r="I148" t="inlineStr">
        <is>
          <t>3185</t>
        </is>
      </c>
      <c r="K148" t="inlineStr">
        <is>
          <t>686</t>
        </is>
      </c>
      <c r="N148">
        <f>IFERROR(INDEX('_courses_lookup'!$C:$C,MATCH(J148&amp;K148,'_courses_lookup'!$E:$E,0)),"")</f>
        <v/>
      </c>
      <c r="O148">
        <f>IFERROR(INDEX('_courses_lookup'!$D:$D,MATCH(J148&amp;K148,'_courses_lookup'!$E:$E,0)),"")</f>
        <v/>
      </c>
      <c r="AE148">
        <f>IFERROR(IF(AC148*AD148=0,"",AC148*AD148),"")</f>
        <v/>
      </c>
      <c r="AH148">
        <f>IF(AND(AF148&lt;&gt;"",AG148&lt;&gt;""),ROUNDUP((AG148-AF148)/7,0),"")</f>
        <v/>
      </c>
      <c r="AJ148">
        <f>IFERROR(IF(AH148*AI148=0,"",AH148*AI148),"")</f>
        <v/>
      </c>
      <c r="AL148">
        <f>IFERROR(IF((AO148-(AE148+AJ148))/AK148=0,"",ROUNDUP((AO148-(AE148+AJ148))/AK148,0)),"")</f>
        <v/>
      </c>
      <c r="AM148">
        <f>IFERROR(IF((AO148-(AE148+AJ148))=0,"",(AO148-(AE148+AJ148))),"")</f>
        <v/>
      </c>
      <c r="AN148">
        <f>IF(AND(AC148="",AK148=""),AH148,IF(SUM(AC148,AH148,AK148)=0,"",SUM(AC148,AH148,AK148)))</f>
        <v/>
      </c>
      <c r="AY148">
        <f>IF(AB148="","",YEAR(AB148)+IF(MONTH(AB148)&gt;=5,1,0))</f>
        <v/>
      </c>
      <c r="AZ148">
        <f>IF(AB148="","",IF(AND(MONTH(AB148)=8,DAY(AB148)&gt;=15),"Fall",IF(MONTH(AB148)&gt;8,"Fall",IF(MONTH(AB148)=5,"Summer",IF(MONTH(AB148)=1,"Spring","")))))</f>
        <v/>
      </c>
      <c r="BC148" t="inlineStr">
        <is>
          <t>Morales, Xavier</t>
        </is>
      </c>
      <c r="BD148">
        <f>IFERROR(INDEX('_names_lookup'!$C:$C,MATCH(BC148,'_names_lookup'!$A:$A,0)),"")</f>
        <v/>
      </c>
      <c r="BE148">
        <f>IFERROR(INDEX('_names_lookup'!$B:$B,MATCH(BC148,'_names_lookup'!$A:$A,0)),"")</f>
        <v/>
      </c>
    </row>
    <row r="149">
      <c r="H149" t="inlineStr">
        <is>
          <t>2740-01</t>
        </is>
      </c>
      <c r="I149" t="inlineStr">
        <is>
          <t>3186</t>
        </is>
      </c>
      <c r="K149" t="inlineStr">
        <is>
          <t>688</t>
        </is>
      </c>
      <c r="N149">
        <f>IFERROR(INDEX('_courses_lookup'!$C:$C,MATCH(J149&amp;K149,'_courses_lookup'!$E:$E,0)),"")</f>
        <v/>
      </c>
      <c r="O149">
        <f>IFERROR(INDEX('_courses_lookup'!$D:$D,MATCH(J149&amp;K149,'_courses_lookup'!$E:$E,0)),"")</f>
        <v/>
      </c>
      <c r="AE149">
        <f>IFERROR(IF(AC149*AD149=0,"",AC149*AD149),"")</f>
        <v/>
      </c>
      <c r="AH149">
        <f>IF(AND(AF149&lt;&gt;"",AG149&lt;&gt;""),ROUNDUP((AG149-AF149)/7,0),"")</f>
        <v/>
      </c>
      <c r="AJ149">
        <f>IFERROR(IF(AH149*AI149=0,"",AH149*AI149),"")</f>
        <v/>
      </c>
      <c r="AL149">
        <f>IFERROR(IF((AO149-(AE149+AJ149))/AK149=0,"",ROUNDUP((AO149-(AE149+AJ149))/AK149,0)),"")</f>
        <v/>
      </c>
      <c r="AM149">
        <f>IFERROR(IF((AO149-(AE149+AJ149))=0,"",(AO149-(AE149+AJ149))),"")</f>
        <v/>
      </c>
      <c r="AN149">
        <f>IF(AND(AC149="",AK149=""),AH149,IF(SUM(AC149,AH149,AK149)=0,"",SUM(AC149,AH149,AK149)))</f>
        <v/>
      </c>
      <c r="AY149">
        <f>IF(AB149="","",YEAR(AB149)+IF(MONTH(AB149)&gt;=5,1,0))</f>
        <v/>
      </c>
      <c r="AZ149">
        <f>IF(AB149="","",IF(AND(MONTH(AB149)=8,DAY(AB149)&gt;=15),"Fall",IF(MONTH(AB149)&gt;8,"Fall",IF(MONTH(AB149)=5,"Summer",IF(MONTH(AB149)=1,"Spring","")))))</f>
        <v/>
      </c>
      <c r="BC149" t="inlineStr">
        <is>
          <t>Ramos Escobar, Walter</t>
        </is>
      </c>
      <c r="BD149">
        <f>IFERROR(INDEX('_names_lookup'!$C:$C,MATCH(BC149,'_names_lookup'!$A:$A,0)),"")</f>
        <v/>
      </c>
      <c r="BE149">
        <f>IFERROR(INDEX('_names_lookup'!$B:$B,MATCH(BC149,'_names_lookup'!$A:$A,0)),"")</f>
        <v/>
      </c>
    </row>
    <row r="150">
      <c r="H150" t="inlineStr">
        <is>
          <t>2740-02</t>
        </is>
      </c>
      <c r="I150" t="inlineStr">
        <is>
          <t>3188</t>
        </is>
      </c>
      <c r="K150" t="inlineStr">
        <is>
          <t>689</t>
        </is>
      </c>
      <c r="N150">
        <f>IFERROR(INDEX('_courses_lookup'!$C:$C,MATCH(J150&amp;K150,'_courses_lookup'!$E:$E,0)),"")</f>
        <v/>
      </c>
      <c r="O150">
        <f>IFERROR(INDEX('_courses_lookup'!$D:$D,MATCH(J150&amp;K150,'_courses_lookup'!$E:$E,0)),"")</f>
        <v/>
      </c>
      <c r="AE150">
        <f>IFERROR(IF(AC150*AD150=0,"",AC150*AD150),"")</f>
        <v/>
      </c>
      <c r="AH150">
        <f>IF(AND(AF150&lt;&gt;"",AG150&lt;&gt;""),ROUNDUP((AG150-AF150)/7,0),"")</f>
        <v/>
      </c>
      <c r="AJ150">
        <f>IFERROR(IF(AH150*AI150=0,"",AH150*AI150),"")</f>
        <v/>
      </c>
      <c r="AL150">
        <f>IFERROR(IF((AO150-(AE150+AJ150))/AK150=0,"",ROUNDUP((AO150-(AE150+AJ150))/AK150,0)),"")</f>
        <v/>
      </c>
      <c r="AM150">
        <f>IFERROR(IF((AO150-(AE150+AJ150))=0,"",(AO150-(AE150+AJ150))),"")</f>
        <v/>
      </c>
      <c r="AN150">
        <f>IF(AND(AC150="",AK150=""),AH150,IF(SUM(AC150,AH150,AK150)=0,"",SUM(AC150,AH150,AK150)))</f>
        <v/>
      </c>
      <c r="AY150">
        <f>IF(AB150="","",YEAR(AB150)+IF(MONTH(AB150)&gt;=5,1,0))</f>
        <v/>
      </c>
      <c r="AZ150">
        <f>IF(AB150="","",IF(AND(MONTH(AB150)=8,DAY(AB150)&gt;=15),"Fall",IF(MONTH(AB150)&gt;8,"Fall",IF(MONTH(AB150)=5,"Summer",IF(MONTH(AB150)=1,"Spring","")))))</f>
        <v/>
      </c>
      <c r="BC150" t="inlineStr">
        <is>
          <t>Rojas, Hugo E.</t>
        </is>
      </c>
      <c r="BD150">
        <f>IFERROR(INDEX('_names_lookup'!$C:$C,MATCH(BC150,'_names_lookup'!$A:$A,0)),"")</f>
        <v/>
      </c>
      <c r="BE150">
        <f>IFERROR(INDEX('_names_lookup'!$B:$B,MATCH(BC150,'_names_lookup'!$A:$A,0)),"")</f>
        <v/>
      </c>
    </row>
    <row r="151">
      <c r="H151" t="inlineStr">
        <is>
          <t>2741-01</t>
        </is>
      </c>
      <c r="I151" t="inlineStr">
        <is>
          <t>3189</t>
        </is>
      </c>
      <c r="K151" t="inlineStr">
        <is>
          <t>690</t>
        </is>
      </c>
      <c r="N151">
        <f>IFERROR(INDEX('_courses_lookup'!$C:$C,MATCH(J151&amp;K151,'_courses_lookup'!$E:$E,0)),"")</f>
        <v/>
      </c>
      <c r="O151">
        <f>IFERROR(INDEX('_courses_lookup'!$D:$D,MATCH(J151&amp;K151,'_courses_lookup'!$E:$E,0)),"")</f>
        <v/>
      </c>
      <c r="AE151">
        <f>IFERROR(IF(AC151*AD151=0,"",AC151*AD151),"")</f>
        <v/>
      </c>
      <c r="AH151">
        <f>IF(AND(AF151&lt;&gt;"",AG151&lt;&gt;""),ROUNDUP((AG151-AF151)/7,0),"")</f>
        <v/>
      </c>
      <c r="AJ151">
        <f>IFERROR(IF(AH151*AI151=0,"",AH151*AI151),"")</f>
        <v/>
      </c>
      <c r="AL151">
        <f>IFERROR(IF((AO151-(AE151+AJ151))/AK151=0,"",ROUNDUP((AO151-(AE151+AJ151))/AK151,0)),"")</f>
        <v/>
      </c>
      <c r="AM151">
        <f>IFERROR(IF((AO151-(AE151+AJ151))=0,"",(AO151-(AE151+AJ151))),"")</f>
        <v/>
      </c>
      <c r="AN151">
        <f>IF(AND(AC151="",AK151=""),AH151,IF(SUM(AC151,AH151,AK151)=0,"",SUM(AC151,AH151,AK151)))</f>
        <v/>
      </c>
      <c r="AY151">
        <f>IF(AB151="","",YEAR(AB151)+IF(MONTH(AB151)&gt;=5,1,0))</f>
        <v/>
      </c>
      <c r="AZ151">
        <f>IF(AB151="","",IF(AND(MONTH(AB151)=8,DAY(AB151)&gt;=15),"Fall",IF(MONTH(AB151)&gt;8,"Fall",IF(MONTH(AB151)=5,"Summer",IF(MONTH(AB151)=1,"Spring","")))))</f>
        <v/>
      </c>
      <c r="BC151" t="inlineStr">
        <is>
          <t>Taiwo, Moses O.</t>
        </is>
      </c>
      <c r="BD151">
        <f>IFERROR(INDEX('_names_lookup'!$C:$C,MATCH(BC151,'_names_lookup'!$A:$A,0)),"")</f>
        <v/>
      </c>
      <c r="BE151">
        <f>IFERROR(INDEX('_names_lookup'!$B:$B,MATCH(BC151,'_names_lookup'!$A:$A,0)),"")</f>
        <v/>
      </c>
    </row>
    <row r="152">
      <c r="H152" t="inlineStr">
        <is>
          <t>2742-01</t>
        </is>
      </c>
      <c r="I152" t="inlineStr">
        <is>
          <t>3261</t>
        </is>
      </c>
      <c r="K152" t="inlineStr">
        <is>
          <t>695</t>
        </is>
      </c>
      <c r="N152">
        <f>IFERROR(INDEX('_courses_lookup'!$C:$C,MATCH(J152&amp;K152,'_courses_lookup'!$E:$E,0)),"")</f>
        <v/>
      </c>
      <c r="O152">
        <f>IFERROR(INDEX('_courses_lookup'!$D:$D,MATCH(J152&amp;K152,'_courses_lookup'!$E:$E,0)),"")</f>
        <v/>
      </c>
      <c r="AE152">
        <f>IFERROR(IF(AC152*AD152=0,"",AC152*AD152),"")</f>
        <v/>
      </c>
      <c r="AH152">
        <f>IF(AND(AF152&lt;&gt;"",AG152&lt;&gt;""),ROUNDUP((AG152-AF152)/7,0),"")</f>
        <v/>
      </c>
      <c r="AJ152">
        <f>IFERROR(IF(AH152*AI152=0,"",AH152*AI152),"")</f>
        <v/>
      </c>
      <c r="AL152">
        <f>IFERROR(IF((AO152-(AE152+AJ152))/AK152=0,"",ROUNDUP((AO152-(AE152+AJ152))/AK152,0)),"")</f>
        <v/>
      </c>
      <c r="AM152">
        <f>IFERROR(IF((AO152-(AE152+AJ152))=0,"",(AO152-(AE152+AJ152))),"")</f>
        <v/>
      </c>
      <c r="AN152">
        <f>IF(AND(AC152="",AK152=""),AH152,IF(SUM(AC152,AH152,AK152)=0,"",SUM(AC152,AH152,AK152)))</f>
        <v/>
      </c>
      <c r="AY152">
        <f>IF(AB152="","",YEAR(AB152)+IF(MONTH(AB152)&gt;=5,1,0))</f>
        <v/>
      </c>
      <c r="AZ152">
        <f>IF(AB152="","",IF(AND(MONTH(AB152)=8,DAY(AB152)&gt;=15),"Fall",IF(MONTH(AB152)&gt;8,"Fall",IF(MONTH(AB152)=5,"Summer",IF(MONTH(AB152)=1,"Spring","")))))</f>
        <v/>
      </c>
      <c r="BC152" t="inlineStr">
        <is>
          <t>Thordarson, Throstur B.</t>
        </is>
      </c>
      <c r="BD152">
        <f>IFERROR(INDEX('_names_lookup'!$C:$C,MATCH(BC152,'_names_lookup'!$A:$A,0)),"")</f>
        <v/>
      </c>
      <c r="BE152">
        <f>IFERROR(INDEX('_names_lookup'!$B:$B,MATCH(BC152,'_names_lookup'!$A:$A,0)),"")</f>
        <v/>
      </c>
    </row>
    <row r="153">
      <c r="H153" t="inlineStr">
        <is>
          <t>2743-01</t>
        </is>
      </c>
      <c r="I153" t="inlineStr">
        <is>
          <t>3262</t>
        </is>
      </c>
      <c r="K153" t="inlineStr">
        <is>
          <t>696</t>
        </is>
      </c>
      <c r="N153">
        <f>IFERROR(INDEX('_courses_lookup'!$C:$C,MATCH(J153&amp;K153,'_courses_lookup'!$E:$E,0)),"")</f>
        <v/>
      </c>
      <c r="O153">
        <f>IFERROR(INDEX('_courses_lookup'!$D:$D,MATCH(J153&amp;K153,'_courses_lookup'!$E:$E,0)),"")</f>
        <v/>
      </c>
      <c r="AE153">
        <f>IFERROR(IF(AC153*AD153=0,"",AC153*AD153),"")</f>
        <v/>
      </c>
      <c r="AH153">
        <f>IF(AND(AF153&lt;&gt;"",AG153&lt;&gt;""),ROUNDUP((AG153-AF153)/7,0),"")</f>
        <v/>
      </c>
      <c r="AJ153">
        <f>IFERROR(IF(AH153*AI153=0,"",AH153*AI153),"")</f>
        <v/>
      </c>
      <c r="AL153">
        <f>IFERROR(IF((AO153-(AE153+AJ153))/AK153=0,"",ROUNDUP((AO153-(AE153+AJ153))/AK153,0)),"")</f>
        <v/>
      </c>
      <c r="AM153">
        <f>IFERROR(IF((AO153-(AE153+AJ153))=0,"",(AO153-(AE153+AJ153))),"")</f>
        <v/>
      </c>
      <c r="AN153">
        <f>IF(AND(AC153="",AK153=""),AH153,IF(SUM(AC153,AH153,AK153)=0,"",SUM(AC153,AH153,AK153)))</f>
        <v/>
      </c>
      <c r="AY153">
        <f>IF(AB153="","",YEAR(AB153)+IF(MONTH(AB153)&gt;=5,1,0))</f>
        <v/>
      </c>
      <c r="AZ153">
        <f>IF(AB153="","",IF(AND(MONTH(AB153)=8,DAY(AB153)&gt;=15),"Fall",IF(MONTH(AB153)&gt;8,"Fall",IF(MONTH(AB153)=5,"Summer",IF(MONTH(AB153)=1,"Spring","")))))</f>
        <v/>
      </c>
      <c r="BC153" t="inlineStr">
        <is>
          <t>Trecartin, Shannon M.</t>
        </is>
      </c>
      <c r="BD153">
        <f>IFERROR(INDEX('_names_lookup'!$C:$C,MATCH(BC153,'_names_lookup'!$A:$A,0)),"")</f>
        <v/>
      </c>
      <c r="BE153">
        <f>IFERROR(INDEX('_names_lookup'!$B:$B,MATCH(BC153,'_names_lookup'!$A:$A,0)),"")</f>
        <v/>
      </c>
    </row>
    <row r="154">
      <c r="H154" t="inlineStr">
        <is>
          <t>2743-02</t>
        </is>
      </c>
      <c r="I154" t="inlineStr">
        <is>
          <t>3264</t>
        </is>
      </c>
      <c r="K154" t="inlineStr">
        <is>
          <t>697</t>
        </is>
      </c>
      <c r="N154">
        <f>IFERROR(INDEX('_courses_lookup'!$C:$C,MATCH(J154&amp;K154,'_courses_lookup'!$E:$E,0)),"")</f>
        <v/>
      </c>
      <c r="O154">
        <f>IFERROR(INDEX('_courses_lookup'!$D:$D,MATCH(J154&amp;K154,'_courses_lookup'!$E:$E,0)),"")</f>
        <v/>
      </c>
      <c r="AE154">
        <f>IFERROR(IF(AC154*AD154=0,"",AC154*AD154),"")</f>
        <v/>
      </c>
      <c r="AH154">
        <f>IF(AND(AF154&lt;&gt;"",AG154&lt;&gt;""),ROUNDUP((AG154-AF154)/7,0),"")</f>
        <v/>
      </c>
      <c r="AJ154">
        <f>IFERROR(IF(AH154*AI154=0,"",AH154*AI154),"")</f>
        <v/>
      </c>
      <c r="AL154">
        <f>IFERROR(IF((AO154-(AE154+AJ154))/AK154=0,"",ROUNDUP((AO154-(AE154+AJ154))/AK154,0)),"")</f>
        <v/>
      </c>
      <c r="AM154">
        <f>IFERROR(IF((AO154-(AE154+AJ154))=0,"",(AO154-(AE154+AJ154))),"")</f>
        <v/>
      </c>
      <c r="AN154">
        <f>IF(AND(AC154="",AK154=""),AH154,IF(SUM(AC154,AH154,AK154)=0,"",SUM(AC154,AH154,AK154)))</f>
        <v/>
      </c>
      <c r="AY154">
        <f>IF(AB154="","",YEAR(AB154)+IF(MONTH(AB154)&gt;=5,1,0))</f>
        <v/>
      </c>
      <c r="AZ154">
        <f>IF(AB154="","",IF(AND(MONTH(AB154)=8,DAY(AB154)&gt;=15),"Fall",IF(MONTH(AB154)&gt;8,"Fall",IF(MONTH(AB154)=5,"Summer",IF(MONTH(AB154)=1,"Spring","")))))</f>
        <v/>
      </c>
      <c r="BC154" t="inlineStr">
        <is>
          <t>Tsui, Terry M.</t>
        </is>
      </c>
      <c r="BD154">
        <f>IFERROR(INDEX('_names_lookup'!$C:$C,MATCH(BC154,'_names_lookup'!$A:$A,0)),"")</f>
        <v/>
      </c>
      <c r="BE154">
        <f>IFERROR(INDEX('_names_lookup'!$B:$B,MATCH(BC154,'_names_lookup'!$A:$A,0)),"")</f>
        <v/>
      </c>
    </row>
    <row r="155">
      <c r="H155" t="inlineStr">
        <is>
          <t>2749-01</t>
        </is>
      </c>
      <c r="I155" t="inlineStr">
        <is>
          <t>3265</t>
        </is>
      </c>
      <c r="K155" t="inlineStr">
        <is>
          <t>698</t>
        </is>
      </c>
      <c r="N155">
        <f>IFERROR(INDEX('_courses_lookup'!$C:$C,MATCH(J155&amp;K155,'_courses_lookup'!$E:$E,0)),"")</f>
        <v/>
      </c>
      <c r="O155">
        <f>IFERROR(INDEX('_courses_lookup'!$D:$D,MATCH(J155&amp;K155,'_courses_lookup'!$E:$E,0)),"")</f>
        <v/>
      </c>
      <c r="AE155">
        <f>IFERROR(IF(AC155*AD155=0,"",AC155*AD155),"")</f>
        <v/>
      </c>
      <c r="AH155">
        <f>IF(AND(AF155&lt;&gt;"",AG155&lt;&gt;""),ROUNDUP((AG155-AF155)/7,0),"")</f>
        <v/>
      </c>
      <c r="AJ155">
        <f>IFERROR(IF(AH155*AI155=0,"",AH155*AI155),"")</f>
        <v/>
      </c>
      <c r="AL155">
        <f>IFERROR(IF((AO155-(AE155+AJ155))/AK155=0,"",ROUNDUP((AO155-(AE155+AJ155))/AK155,0)),"")</f>
        <v/>
      </c>
      <c r="AM155">
        <f>IFERROR(IF((AO155-(AE155+AJ155))=0,"",(AO155-(AE155+AJ155))),"")</f>
        <v/>
      </c>
      <c r="AN155">
        <f>IF(AND(AC155="",AK155=""),AH155,IF(SUM(AC155,AH155,AK155)=0,"",SUM(AC155,AH155,AK155)))</f>
        <v/>
      </c>
      <c r="AY155">
        <f>IF(AB155="","",YEAR(AB155)+IF(MONTH(AB155)&gt;=5,1,0))</f>
        <v/>
      </c>
      <c r="AZ155">
        <f>IF(AB155="","",IF(AND(MONTH(AB155)=8,DAY(AB155)&gt;=15),"Fall",IF(MONTH(AB155)&gt;8,"Fall",IF(MONTH(AB155)=5,"Summer",IF(MONTH(AB155)=1,"Spring","")))))</f>
        <v/>
      </c>
      <c r="BC155" t="inlineStr">
        <is>
          <t>Vatel, Marie S.</t>
        </is>
      </c>
      <c r="BD155">
        <f>IFERROR(INDEX('_names_lookup'!$C:$C,MATCH(BC155,'_names_lookup'!$A:$A,0)),"")</f>
        <v/>
      </c>
      <c r="BE155">
        <f>IFERROR(INDEX('_names_lookup'!$B:$B,MATCH(BC155,'_names_lookup'!$A:$A,0)),"")</f>
        <v/>
      </c>
    </row>
    <row r="156">
      <c r="H156" t="inlineStr">
        <is>
          <t>2789-01</t>
        </is>
      </c>
      <c r="I156" t="inlineStr">
        <is>
          <t>3266</t>
        </is>
      </c>
      <c r="K156" t="inlineStr">
        <is>
          <t>699</t>
        </is>
      </c>
      <c r="N156">
        <f>IFERROR(INDEX('_courses_lookup'!$C:$C,MATCH(J156&amp;K156,'_courses_lookup'!$E:$E,0)),"")</f>
        <v/>
      </c>
      <c r="O156">
        <f>IFERROR(INDEX('_courses_lookup'!$D:$D,MATCH(J156&amp;K156,'_courses_lookup'!$E:$E,0)),"")</f>
        <v/>
      </c>
      <c r="AE156">
        <f>IFERROR(IF(AC156*AD156=0,"",AC156*AD156),"")</f>
        <v/>
      </c>
      <c r="AH156">
        <f>IF(AND(AF156&lt;&gt;"",AG156&lt;&gt;""),ROUNDUP((AG156-AF156)/7,0),"")</f>
        <v/>
      </c>
      <c r="AJ156">
        <f>IFERROR(IF(AH156*AI156=0,"",AH156*AI156),"")</f>
        <v/>
      </c>
      <c r="AL156">
        <f>IFERROR(IF((AO156-(AE156+AJ156))/AK156=0,"",ROUNDUP((AO156-(AE156+AJ156))/AK156,0)),"")</f>
        <v/>
      </c>
      <c r="AM156">
        <f>IFERROR(IF((AO156-(AE156+AJ156))=0,"",(AO156-(AE156+AJ156))),"")</f>
        <v/>
      </c>
      <c r="AN156">
        <f>IF(AND(AC156="",AK156=""),AH156,IF(SUM(AC156,AH156,AK156)=0,"",SUM(AC156,AH156,AK156)))</f>
        <v/>
      </c>
      <c r="AY156">
        <f>IF(AB156="","",YEAR(AB156)+IF(MONTH(AB156)&gt;=5,1,0))</f>
        <v/>
      </c>
      <c r="AZ156">
        <f>IF(AB156="","",IF(AND(MONTH(AB156)=8,DAY(AB156)&gt;=15),"Fall",IF(MONTH(AB156)&gt;8,"Fall",IF(MONTH(AB156)=5,"Summer",IF(MONTH(AB156)=1,"Spring","")))))</f>
        <v/>
      </c>
      <c r="BC156" t="inlineStr">
        <is>
          <t>Wellington, Rohann D.</t>
        </is>
      </c>
      <c r="BD156">
        <f>IFERROR(INDEX('_names_lookup'!$C:$C,MATCH(BC156,'_names_lookup'!$A:$A,0)),"")</f>
        <v/>
      </c>
      <c r="BE156">
        <f>IFERROR(INDEX('_names_lookup'!$B:$B,MATCH(BC156,'_names_lookup'!$A:$A,0)),"")</f>
        <v/>
      </c>
    </row>
    <row r="157">
      <c r="H157" t="inlineStr">
        <is>
          <t>2789-02</t>
        </is>
      </c>
      <c r="I157" t="inlineStr">
        <is>
          <t>3267</t>
        </is>
      </c>
      <c r="K157" t="inlineStr">
        <is>
          <t>700</t>
        </is>
      </c>
      <c r="N157">
        <f>IFERROR(INDEX('_courses_lookup'!$C:$C,MATCH(J157&amp;K157,'_courses_lookup'!$E:$E,0)),"")</f>
        <v/>
      </c>
      <c r="O157">
        <f>IFERROR(INDEX('_courses_lookup'!$D:$D,MATCH(J157&amp;K157,'_courses_lookup'!$E:$E,0)),"")</f>
        <v/>
      </c>
      <c r="AE157">
        <f>IFERROR(IF(AC157*AD157=0,"",AC157*AD157),"")</f>
        <v/>
      </c>
      <c r="AH157">
        <f>IF(AND(AF157&lt;&gt;"",AG157&lt;&gt;""),ROUNDUP((AG157-AF157)/7,0),"")</f>
        <v/>
      </c>
      <c r="AJ157">
        <f>IFERROR(IF(AH157*AI157=0,"",AH157*AI157),"")</f>
        <v/>
      </c>
      <c r="AL157">
        <f>IFERROR(IF((AO157-(AE157+AJ157))/AK157=0,"",ROUNDUP((AO157-(AE157+AJ157))/AK157,0)),"")</f>
        <v/>
      </c>
      <c r="AM157">
        <f>IFERROR(IF((AO157-(AE157+AJ157))=0,"",(AO157-(AE157+AJ157))),"")</f>
        <v/>
      </c>
      <c r="AN157">
        <f>IF(AND(AC157="",AK157=""),AH157,IF(SUM(AC157,AH157,AK157)=0,"",SUM(AC157,AH157,AK157)))</f>
        <v/>
      </c>
      <c r="AY157">
        <f>IF(AB157="","",YEAR(AB157)+IF(MONTH(AB157)&gt;=5,1,0))</f>
        <v/>
      </c>
      <c r="AZ157">
        <f>IF(AB157="","",IF(AND(MONTH(AB157)=8,DAY(AB157)&gt;=15),"Fall",IF(MONTH(AB157)&gt;8,"Fall",IF(MONTH(AB157)=5,"Summer",IF(MONTH(AB157)=1,"Spring","")))))</f>
        <v/>
      </c>
      <c r="BC157" t="inlineStr">
        <is>
          <t>Wood, H Stanley</t>
        </is>
      </c>
      <c r="BD157">
        <f>IFERROR(INDEX('_names_lookup'!$C:$C,MATCH(BC157,'_names_lookup'!$A:$A,0)),"")</f>
        <v/>
      </c>
      <c r="BE157">
        <f>IFERROR(INDEX('_names_lookup'!$B:$B,MATCH(BC157,'_names_lookup'!$A:$A,0)),"")</f>
        <v/>
      </c>
    </row>
    <row r="158">
      <c r="H158" t="inlineStr">
        <is>
          <t>2790-01</t>
        </is>
      </c>
      <c r="I158" t="inlineStr">
        <is>
          <t>3268</t>
        </is>
      </c>
      <c r="K158" t="inlineStr">
        <is>
          <t>704</t>
        </is>
      </c>
      <c r="N158">
        <f>IFERROR(INDEX('_courses_lookup'!$C:$C,MATCH(J158&amp;K158,'_courses_lookup'!$E:$E,0)),"")</f>
        <v/>
      </c>
      <c r="O158">
        <f>IFERROR(INDEX('_courses_lookup'!$D:$D,MATCH(J158&amp;K158,'_courses_lookup'!$E:$E,0)),"")</f>
        <v/>
      </c>
      <c r="AE158">
        <f>IFERROR(IF(AC158*AD158=0,"",AC158*AD158),"")</f>
        <v/>
      </c>
      <c r="AH158">
        <f>IF(AND(AF158&lt;&gt;"",AG158&lt;&gt;""),ROUNDUP((AG158-AF158)/7,0),"")</f>
        <v/>
      </c>
      <c r="AJ158">
        <f>IFERROR(IF(AH158*AI158=0,"",AH158*AI158),"")</f>
        <v/>
      </c>
      <c r="AL158">
        <f>IFERROR(IF((AO158-(AE158+AJ158))/AK158=0,"",ROUNDUP((AO158-(AE158+AJ158))/AK158,0)),"")</f>
        <v/>
      </c>
      <c r="AM158">
        <f>IFERROR(IF((AO158-(AE158+AJ158))=0,"",(AO158-(AE158+AJ158))),"")</f>
        <v/>
      </c>
      <c r="AN158">
        <f>IF(AND(AC158="",AK158=""),AH158,IF(SUM(AC158,AH158,AK158)=0,"",SUM(AC158,AH158,AK158)))</f>
        <v/>
      </c>
      <c r="AY158">
        <f>IF(AB158="","",YEAR(AB158)+IF(MONTH(AB158)&gt;=5,1,0))</f>
        <v/>
      </c>
      <c r="AZ158">
        <f>IF(AB158="","",IF(AND(MONTH(AB158)=8,DAY(AB158)&gt;=15),"Fall",IF(MONTH(AB158)&gt;8,"Fall",IF(MONTH(AB158)=5,"Summer",IF(MONTH(AB158)=1,"Spring","")))))</f>
        <v/>
      </c>
      <c r="BC158" t="inlineStr">
        <is>
          <t>Young, Dustin R.</t>
        </is>
      </c>
      <c r="BD158">
        <f>IFERROR(INDEX('_names_lookup'!$C:$C,MATCH(BC158,'_names_lookup'!$A:$A,0)),"")</f>
        <v/>
      </c>
      <c r="BE158">
        <f>IFERROR(INDEX('_names_lookup'!$B:$B,MATCH(BC158,'_names_lookup'!$A:$A,0)),"")</f>
        <v/>
      </c>
    </row>
    <row r="159">
      <c r="H159" t="inlineStr">
        <is>
          <t>2791-01</t>
        </is>
      </c>
      <c r="I159" t="inlineStr">
        <is>
          <t>3269</t>
        </is>
      </c>
      <c r="K159" t="inlineStr">
        <is>
          <t>705</t>
        </is>
      </c>
      <c r="N159">
        <f>IFERROR(INDEX('_courses_lookup'!$C:$C,MATCH(J159&amp;K159,'_courses_lookup'!$E:$E,0)),"")</f>
        <v/>
      </c>
      <c r="O159">
        <f>IFERROR(INDEX('_courses_lookup'!$D:$D,MATCH(J159&amp;K159,'_courses_lookup'!$E:$E,0)),"")</f>
        <v/>
      </c>
      <c r="AE159">
        <f>IFERROR(IF(AC159*AD159=0,"",AC159*AD159),"")</f>
        <v/>
      </c>
      <c r="AH159">
        <f>IF(AND(AF159&lt;&gt;"",AG159&lt;&gt;""),ROUNDUP((AG159-AF159)/7,0),"")</f>
        <v/>
      </c>
      <c r="AJ159">
        <f>IFERROR(IF(AH159*AI159=0,"",AH159*AI159),"")</f>
        <v/>
      </c>
      <c r="AL159">
        <f>IFERROR(IF((AO159-(AE159+AJ159))/AK159=0,"",ROUNDUP((AO159-(AE159+AJ159))/AK159,0)),"")</f>
        <v/>
      </c>
      <c r="AM159">
        <f>IFERROR(IF((AO159-(AE159+AJ159))=0,"",(AO159-(AE159+AJ159))),"")</f>
        <v/>
      </c>
      <c r="AN159">
        <f>IF(AND(AC159="",AK159=""),AH159,IF(SUM(AC159,AH159,AK159)=0,"",SUM(AC159,AH159,AK159)))</f>
        <v/>
      </c>
      <c r="AY159">
        <f>IF(AB159="","",YEAR(AB159)+IF(MONTH(AB159)&gt;=5,1,0))</f>
        <v/>
      </c>
      <c r="AZ159">
        <f>IF(AB159="","",IF(AND(MONTH(AB159)=8,DAY(AB159)&gt;=15),"Fall",IF(MONTH(AB159)&gt;8,"Fall",IF(MONTH(AB159)=5,"Summer",IF(MONTH(AB159)=1,"Spring","")))))</f>
        <v/>
      </c>
      <c r="BC159" t="inlineStr">
        <is>
          <t>Alexe, Cristina A.</t>
        </is>
      </c>
      <c r="BD159">
        <f>IFERROR(INDEX('_names_lookup'!$C:$C,MATCH(BC159,'_names_lookup'!$A:$A,0)),"")</f>
        <v/>
      </c>
      <c r="BE159">
        <f>IFERROR(INDEX('_names_lookup'!$B:$B,MATCH(BC159,'_names_lookup'!$A:$A,0)),"")</f>
        <v/>
      </c>
    </row>
    <row r="160">
      <c r="H160" t="inlineStr">
        <is>
          <t>2793-01</t>
        </is>
      </c>
      <c r="I160" t="inlineStr">
        <is>
          <t>3270</t>
        </is>
      </c>
      <c r="K160" t="inlineStr">
        <is>
          <t>706</t>
        </is>
      </c>
      <c r="N160">
        <f>IFERROR(INDEX('_courses_lookup'!$C:$C,MATCH(J160&amp;K160,'_courses_lookup'!$E:$E,0)),"")</f>
        <v/>
      </c>
      <c r="O160">
        <f>IFERROR(INDEX('_courses_lookup'!$D:$D,MATCH(J160&amp;K160,'_courses_lookup'!$E:$E,0)),"")</f>
        <v/>
      </c>
      <c r="AE160">
        <f>IFERROR(IF(AC160*AD160=0,"",AC160*AD160),"")</f>
        <v/>
      </c>
      <c r="AH160">
        <f>IF(AND(AF160&lt;&gt;"",AG160&lt;&gt;""),ROUNDUP((AG160-AF160)/7,0),"")</f>
        <v/>
      </c>
      <c r="AJ160">
        <f>IFERROR(IF(AH160*AI160=0,"",AH160*AI160),"")</f>
        <v/>
      </c>
      <c r="AL160">
        <f>IFERROR(IF((AO160-(AE160+AJ160))/AK160=0,"",ROUNDUP((AO160-(AE160+AJ160))/AK160,0)),"")</f>
        <v/>
      </c>
      <c r="AM160">
        <f>IFERROR(IF((AO160-(AE160+AJ160))=0,"",(AO160-(AE160+AJ160))),"")</f>
        <v/>
      </c>
      <c r="AN160">
        <f>IF(AND(AC160="",AK160=""),AH160,IF(SUM(AC160,AH160,AK160)=0,"",SUM(AC160,AH160,AK160)))</f>
        <v/>
      </c>
      <c r="AY160">
        <f>IF(AB160="","",YEAR(AB160)+IF(MONTH(AB160)&gt;=5,1,0))</f>
        <v/>
      </c>
      <c r="AZ160">
        <f>IF(AB160="","",IF(AND(MONTH(AB160)=8,DAY(AB160)&gt;=15),"Fall",IF(MONTH(AB160)&gt;8,"Fall",IF(MONTH(AB160)=5,"Summer",IF(MONTH(AB160)=1,"Spring","")))))</f>
        <v/>
      </c>
      <c r="BC160" t="inlineStr">
        <is>
          <t>Andvik, Lidvar</t>
        </is>
      </c>
      <c r="BD160">
        <f>IFERROR(INDEX('_names_lookup'!$C:$C,MATCH(BC160,'_names_lookup'!$A:$A,0)),"")</f>
        <v/>
      </c>
      <c r="BE160">
        <f>IFERROR(INDEX('_names_lookup'!$B:$B,MATCH(BC160,'_names_lookup'!$A:$A,0)),"")</f>
        <v/>
      </c>
    </row>
    <row r="161">
      <c r="H161" t="inlineStr">
        <is>
          <t>2796-01</t>
        </is>
      </c>
      <c r="I161" t="inlineStr">
        <is>
          <t>3271</t>
        </is>
      </c>
      <c r="K161" t="inlineStr">
        <is>
          <t>707</t>
        </is>
      </c>
      <c r="N161">
        <f>IFERROR(INDEX('_courses_lookup'!$C:$C,MATCH(J161&amp;K161,'_courses_lookup'!$E:$E,0)),"")</f>
        <v/>
      </c>
      <c r="O161">
        <f>IFERROR(INDEX('_courses_lookup'!$D:$D,MATCH(J161&amp;K161,'_courses_lookup'!$E:$E,0)),"")</f>
        <v/>
      </c>
      <c r="AE161">
        <f>IFERROR(IF(AC161*AD161=0,"",AC161*AD161),"")</f>
        <v/>
      </c>
      <c r="AH161">
        <f>IF(AND(AF161&lt;&gt;"",AG161&lt;&gt;""),ROUNDUP((AG161-AF161)/7,0),"")</f>
        <v/>
      </c>
      <c r="AJ161">
        <f>IFERROR(IF(AH161*AI161=0,"",AH161*AI161),"")</f>
        <v/>
      </c>
      <c r="AL161">
        <f>IFERROR(IF((AO161-(AE161+AJ161))/AK161=0,"",ROUNDUP((AO161-(AE161+AJ161))/AK161,0)),"")</f>
        <v/>
      </c>
      <c r="AM161">
        <f>IFERROR(IF((AO161-(AE161+AJ161))=0,"",(AO161-(AE161+AJ161))),"")</f>
        <v/>
      </c>
      <c r="AN161">
        <f>IF(AND(AC161="",AK161=""),AH161,IF(SUM(AC161,AH161,AK161)=0,"",SUM(AC161,AH161,AK161)))</f>
        <v/>
      </c>
      <c r="AY161">
        <f>IF(AB161="","",YEAR(AB161)+IF(MONTH(AB161)&gt;=5,1,0))</f>
        <v/>
      </c>
      <c r="AZ161">
        <f>IF(AB161="","",IF(AND(MONTH(AB161)=8,DAY(AB161)&gt;=15),"Fall",IF(MONTH(AB161)&gt;8,"Fall",IF(MONTH(AB161)=5,"Summer",IF(MONTH(AB161)=1,"Spring","")))))</f>
        <v/>
      </c>
      <c r="BC161" t="inlineStr">
        <is>
          <t>Arena, Timothy J.</t>
        </is>
      </c>
      <c r="BD161">
        <f>IFERROR(INDEX('_names_lookup'!$C:$C,MATCH(BC161,'_names_lookup'!$A:$A,0)),"")</f>
        <v/>
      </c>
      <c r="BE161">
        <f>IFERROR(INDEX('_names_lookup'!$B:$B,MATCH(BC161,'_names_lookup'!$A:$A,0)),"")</f>
        <v/>
      </c>
    </row>
    <row r="162">
      <c r="H162" t="inlineStr">
        <is>
          <t>2802-01</t>
        </is>
      </c>
      <c r="I162" t="inlineStr">
        <is>
          <t>3272</t>
        </is>
      </c>
      <c r="K162" t="inlineStr">
        <is>
          <t>708</t>
        </is>
      </c>
      <c r="N162">
        <f>IFERROR(INDEX('_courses_lookup'!$C:$C,MATCH(J162&amp;K162,'_courses_lookup'!$E:$E,0)),"")</f>
        <v/>
      </c>
      <c r="O162">
        <f>IFERROR(INDEX('_courses_lookup'!$D:$D,MATCH(J162&amp;K162,'_courses_lookup'!$E:$E,0)),"")</f>
        <v/>
      </c>
      <c r="AE162">
        <f>IFERROR(IF(AC162*AD162=0,"",AC162*AD162),"")</f>
        <v/>
      </c>
      <c r="AH162">
        <f>IF(AND(AF162&lt;&gt;"",AG162&lt;&gt;""),ROUNDUP((AG162-AF162)/7,0),"")</f>
        <v/>
      </c>
      <c r="AJ162">
        <f>IFERROR(IF(AH162*AI162=0,"",AH162*AI162),"")</f>
        <v/>
      </c>
      <c r="AL162">
        <f>IFERROR(IF((AO162-(AE162+AJ162))/AK162=0,"",ROUNDUP((AO162-(AE162+AJ162))/AK162,0)),"")</f>
        <v/>
      </c>
      <c r="AM162">
        <f>IFERROR(IF((AO162-(AE162+AJ162))=0,"",(AO162-(AE162+AJ162))),"")</f>
        <v/>
      </c>
      <c r="AN162">
        <f>IF(AND(AC162="",AK162=""),AH162,IF(SUM(AC162,AH162,AK162)=0,"",SUM(AC162,AH162,AK162)))</f>
        <v/>
      </c>
      <c r="AY162">
        <f>IF(AB162="","",YEAR(AB162)+IF(MONTH(AB162)&gt;=5,1,0))</f>
        <v/>
      </c>
      <c r="AZ162">
        <f>IF(AB162="","",IF(AND(MONTH(AB162)=8,DAY(AB162)&gt;=15),"Fall",IF(MONTH(AB162)&gt;8,"Fall",IF(MONTH(AB162)=5,"Summer",IF(MONTH(AB162)=1,"Spring","")))))</f>
        <v/>
      </c>
      <c r="BC162" t="inlineStr">
        <is>
          <t>Baldwin, John T.</t>
        </is>
      </c>
      <c r="BD162">
        <f>IFERROR(INDEX('_names_lookup'!$C:$C,MATCH(BC162,'_names_lookup'!$A:$A,0)),"")</f>
        <v/>
      </c>
      <c r="BE162">
        <f>IFERROR(INDEX('_names_lookup'!$B:$B,MATCH(BC162,'_names_lookup'!$A:$A,0)),"")</f>
        <v/>
      </c>
    </row>
    <row r="163">
      <c r="H163" t="inlineStr">
        <is>
          <t>2802-02</t>
        </is>
      </c>
      <c r="I163" t="inlineStr">
        <is>
          <t>3273</t>
        </is>
      </c>
      <c r="K163" t="inlineStr">
        <is>
          <t>709</t>
        </is>
      </c>
      <c r="N163">
        <f>IFERROR(INDEX('_courses_lookup'!$C:$C,MATCH(J163&amp;K163,'_courses_lookup'!$E:$E,0)),"")</f>
        <v/>
      </c>
      <c r="O163">
        <f>IFERROR(INDEX('_courses_lookup'!$D:$D,MATCH(J163&amp;K163,'_courses_lookup'!$E:$E,0)),"")</f>
        <v/>
      </c>
      <c r="AE163">
        <f>IFERROR(IF(AC163*AD163=0,"",AC163*AD163),"")</f>
        <v/>
      </c>
      <c r="AH163">
        <f>IF(AND(AF163&lt;&gt;"",AG163&lt;&gt;""),ROUNDUP((AG163-AF163)/7,0),"")</f>
        <v/>
      </c>
      <c r="AJ163">
        <f>IFERROR(IF(AH163*AI163=0,"",AH163*AI163),"")</f>
        <v/>
      </c>
      <c r="AL163">
        <f>IFERROR(IF((AO163-(AE163+AJ163))/AK163=0,"",ROUNDUP((AO163-(AE163+AJ163))/AK163,0)),"")</f>
        <v/>
      </c>
      <c r="AM163">
        <f>IFERROR(IF((AO163-(AE163+AJ163))=0,"",(AO163-(AE163+AJ163))),"")</f>
        <v/>
      </c>
      <c r="AN163">
        <f>IF(AND(AC163="",AK163=""),AH163,IF(SUM(AC163,AH163,AK163)=0,"",SUM(AC163,AH163,AK163)))</f>
        <v/>
      </c>
      <c r="AY163">
        <f>IF(AB163="","",YEAR(AB163)+IF(MONTH(AB163)&gt;=5,1,0))</f>
        <v/>
      </c>
      <c r="AZ163">
        <f>IF(AB163="","",IF(AND(MONTH(AB163)=8,DAY(AB163)&gt;=15),"Fall",IF(MONTH(AB163)&gt;8,"Fall",IF(MONTH(AB163)=5,"Summer",IF(MONTH(AB163)=1,"Spring","")))))</f>
        <v/>
      </c>
      <c r="BC163" t="inlineStr">
        <is>
          <t>Bentancur, Ricardo</t>
        </is>
      </c>
      <c r="BD163">
        <f>IFERROR(INDEX('_names_lookup'!$C:$C,MATCH(BC163,'_names_lookup'!$A:$A,0)),"")</f>
        <v/>
      </c>
      <c r="BE163">
        <f>IFERROR(INDEX('_names_lookup'!$B:$B,MATCH(BC163,'_names_lookup'!$A:$A,0)),"")</f>
        <v/>
      </c>
    </row>
    <row r="164">
      <c r="H164" t="inlineStr">
        <is>
          <t>2804-01</t>
        </is>
      </c>
      <c r="I164" t="inlineStr">
        <is>
          <t>3274</t>
        </is>
      </c>
      <c r="K164" t="inlineStr">
        <is>
          <t>710</t>
        </is>
      </c>
      <c r="N164">
        <f>IFERROR(INDEX('_courses_lookup'!$C:$C,MATCH(J164&amp;K164,'_courses_lookup'!$E:$E,0)),"")</f>
        <v/>
      </c>
      <c r="O164">
        <f>IFERROR(INDEX('_courses_lookup'!$D:$D,MATCH(J164&amp;K164,'_courses_lookup'!$E:$E,0)),"")</f>
        <v/>
      </c>
      <c r="AE164">
        <f>IFERROR(IF(AC164*AD164=0,"",AC164*AD164),"")</f>
        <v/>
      </c>
      <c r="AH164">
        <f>IF(AND(AF164&lt;&gt;"",AG164&lt;&gt;""),ROUNDUP((AG164-AF164)/7,0),"")</f>
        <v/>
      </c>
      <c r="AJ164">
        <f>IFERROR(IF(AH164*AI164=0,"",AH164*AI164),"")</f>
        <v/>
      </c>
      <c r="AL164">
        <f>IFERROR(IF((AO164-(AE164+AJ164))/AK164=0,"",ROUNDUP((AO164-(AE164+AJ164))/AK164,0)),"")</f>
        <v/>
      </c>
      <c r="AM164">
        <f>IFERROR(IF((AO164-(AE164+AJ164))=0,"",(AO164-(AE164+AJ164))),"")</f>
        <v/>
      </c>
      <c r="AN164">
        <f>IF(AND(AC164="",AK164=""),AH164,IF(SUM(AC164,AH164,AK164)=0,"",SUM(AC164,AH164,AK164)))</f>
        <v/>
      </c>
      <c r="AY164">
        <f>IF(AB164="","",YEAR(AB164)+IF(MONTH(AB164)&gt;=5,1,0))</f>
        <v/>
      </c>
      <c r="AZ164">
        <f>IF(AB164="","",IF(AND(MONTH(AB164)=8,DAY(AB164)&gt;=15),"Fall",IF(MONTH(AB164)&gt;8,"Fall",IF(MONTH(AB164)=5,"Summer",IF(MONTH(AB164)=1,"Spring","")))))</f>
        <v/>
      </c>
      <c r="BC164" t="inlineStr">
        <is>
          <t>Canale, Fernando</t>
        </is>
      </c>
      <c r="BD164">
        <f>IFERROR(INDEX('_names_lookup'!$C:$C,MATCH(BC164,'_names_lookup'!$A:$A,0)),"")</f>
        <v/>
      </c>
      <c r="BE164">
        <f>IFERROR(INDEX('_names_lookup'!$B:$B,MATCH(BC164,'_names_lookup'!$A:$A,0)),"")</f>
        <v/>
      </c>
    </row>
    <row r="165">
      <c r="H165" t="inlineStr">
        <is>
          <t>2804-02</t>
        </is>
      </c>
      <c r="I165" t="inlineStr">
        <is>
          <t>3275</t>
        </is>
      </c>
      <c r="K165" t="inlineStr">
        <is>
          <t>712</t>
        </is>
      </c>
      <c r="N165">
        <f>IFERROR(INDEX('_courses_lookup'!$C:$C,MATCH(J165&amp;K165,'_courses_lookup'!$E:$E,0)),"")</f>
        <v/>
      </c>
      <c r="O165">
        <f>IFERROR(INDEX('_courses_lookup'!$D:$D,MATCH(J165&amp;K165,'_courses_lookup'!$E:$E,0)),"")</f>
        <v/>
      </c>
      <c r="AE165">
        <f>IFERROR(IF(AC165*AD165=0,"",AC165*AD165),"")</f>
        <v/>
      </c>
      <c r="AH165">
        <f>IF(AND(AF165&lt;&gt;"",AG165&lt;&gt;""),ROUNDUP((AG165-AF165)/7,0),"")</f>
        <v/>
      </c>
      <c r="AJ165">
        <f>IFERROR(IF(AH165*AI165=0,"",AH165*AI165),"")</f>
        <v/>
      </c>
      <c r="AL165">
        <f>IFERROR(IF((AO165-(AE165+AJ165))/AK165=0,"",ROUNDUP((AO165-(AE165+AJ165))/AK165,0)),"")</f>
        <v/>
      </c>
      <c r="AM165">
        <f>IFERROR(IF((AO165-(AE165+AJ165))=0,"",(AO165-(AE165+AJ165))),"")</f>
        <v/>
      </c>
      <c r="AN165">
        <f>IF(AND(AC165="",AK165=""),AH165,IF(SUM(AC165,AH165,AK165)=0,"",SUM(AC165,AH165,AK165)))</f>
        <v/>
      </c>
      <c r="AY165">
        <f>IF(AB165="","",YEAR(AB165)+IF(MONTH(AB165)&gt;=5,1,0))</f>
        <v/>
      </c>
      <c r="AZ165">
        <f>IF(AB165="","",IF(AND(MONTH(AB165)=8,DAY(AB165)&gt;=15),"Fall",IF(MONTH(AB165)&gt;8,"Fall",IF(MONTH(AB165)=5,"Summer",IF(MONTH(AB165)=1,"Spring","")))))</f>
        <v/>
      </c>
      <c r="BC165" t="inlineStr">
        <is>
          <t>Covrig, Duane M.</t>
        </is>
      </c>
      <c r="BD165">
        <f>IFERROR(INDEX('_names_lookup'!$C:$C,MATCH(BC165,'_names_lookup'!$A:$A,0)),"")</f>
        <v/>
      </c>
      <c r="BE165">
        <f>IFERROR(INDEX('_names_lookup'!$B:$B,MATCH(BC165,'_names_lookup'!$A:$A,0)),"")</f>
        <v/>
      </c>
    </row>
    <row r="166">
      <c r="H166" t="inlineStr">
        <is>
          <t>2805-01</t>
        </is>
      </c>
      <c r="I166" t="inlineStr">
        <is>
          <t>3278</t>
        </is>
      </c>
      <c r="K166" t="inlineStr">
        <is>
          <t>713</t>
        </is>
      </c>
      <c r="N166">
        <f>IFERROR(INDEX('_courses_lookup'!$C:$C,MATCH(J166&amp;K166,'_courses_lookup'!$E:$E,0)),"")</f>
        <v/>
      </c>
      <c r="O166">
        <f>IFERROR(INDEX('_courses_lookup'!$D:$D,MATCH(J166&amp;K166,'_courses_lookup'!$E:$E,0)),"")</f>
        <v/>
      </c>
      <c r="AE166">
        <f>IFERROR(IF(AC166*AD166=0,"",AC166*AD166),"")</f>
        <v/>
      </c>
      <c r="AH166">
        <f>IF(AND(AF166&lt;&gt;"",AG166&lt;&gt;""),ROUNDUP((AG166-AF166)/7,0),"")</f>
        <v/>
      </c>
      <c r="AJ166">
        <f>IFERROR(IF(AH166*AI166=0,"",AH166*AI166),"")</f>
        <v/>
      </c>
      <c r="AL166">
        <f>IFERROR(IF((AO166-(AE166+AJ166))/AK166=0,"",ROUNDUP((AO166-(AE166+AJ166))/AK166,0)),"")</f>
        <v/>
      </c>
      <c r="AM166">
        <f>IFERROR(IF((AO166-(AE166+AJ166))=0,"",(AO166-(AE166+AJ166))),"")</f>
        <v/>
      </c>
      <c r="AN166">
        <f>IF(AND(AC166="",AK166=""),AH166,IF(SUM(AC166,AH166,AK166)=0,"",SUM(AC166,AH166,AK166)))</f>
        <v/>
      </c>
      <c r="AY166">
        <f>IF(AB166="","",YEAR(AB166)+IF(MONTH(AB166)&gt;=5,1,0))</f>
        <v/>
      </c>
      <c r="AZ166">
        <f>IF(AB166="","",IF(AND(MONTH(AB166)=8,DAY(AB166)&gt;=15),"Fall",IF(MONTH(AB166)&gt;8,"Fall",IF(MONTH(AB166)=5,"Summer",IF(MONTH(AB166)=1,"Spring","")))))</f>
        <v/>
      </c>
      <c r="BC166" t="inlineStr">
        <is>
          <t>Dei, Daniel</t>
        </is>
      </c>
      <c r="BD166">
        <f>IFERROR(INDEX('_names_lookup'!$C:$C,MATCH(BC166,'_names_lookup'!$A:$A,0)),"")</f>
        <v/>
      </c>
      <c r="BE166">
        <f>IFERROR(INDEX('_names_lookup'!$B:$B,MATCH(BC166,'_names_lookup'!$A:$A,0)),"")</f>
        <v/>
      </c>
    </row>
    <row r="167">
      <c r="H167" t="inlineStr">
        <is>
          <t>2805-02</t>
        </is>
      </c>
      <c r="I167" t="inlineStr">
        <is>
          <t>3279</t>
        </is>
      </c>
      <c r="K167" t="inlineStr">
        <is>
          <t>714</t>
        </is>
      </c>
      <c r="N167">
        <f>IFERROR(INDEX('_courses_lookup'!$C:$C,MATCH(J167&amp;K167,'_courses_lookup'!$E:$E,0)),"")</f>
        <v/>
      </c>
      <c r="O167">
        <f>IFERROR(INDEX('_courses_lookup'!$D:$D,MATCH(J167&amp;K167,'_courses_lookup'!$E:$E,0)),"")</f>
        <v/>
      </c>
      <c r="AE167">
        <f>IFERROR(IF(AC167*AD167=0,"",AC167*AD167),"")</f>
        <v/>
      </c>
      <c r="AH167">
        <f>IF(AND(AF167&lt;&gt;"",AG167&lt;&gt;""),ROUNDUP((AG167-AF167)/7,0),"")</f>
        <v/>
      </c>
      <c r="AJ167">
        <f>IFERROR(IF(AH167*AI167=0,"",AH167*AI167),"")</f>
        <v/>
      </c>
      <c r="AL167">
        <f>IFERROR(IF((AO167-(AE167+AJ167))/AK167=0,"",ROUNDUP((AO167-(AE167+AJ167))/AK167,0)),"")</f>
        <v/>
      </c>
      <c r="AM167">
        <f>IFERROR(IF((AO167-(AE167+AJ167))=0,"",(AO167-(AE167+AJ167))),"")</f>
        <v/>
      </c>
      <c r="AN167">
        <f>IF(AND(AC167="",AK167=""),AH167,IF(SUM(AC167,AH167,AK167)=0,"",SUM(AC167,AH167,AK167)))</f>
        <v/>
      </c>
      <c r="AY167">
        <f>IF(AB167="","",YEAR(AB167)+IF(MONTH(AB167)&gt;=5,1,0))</f>
        <v/>
      </c>
      <c r="AZ167">
        <f>IF(AB167="","",IF(AND(MONTH(AB167)=8,DAY(AB167)&gt;=15),"Fall",IF(MONTH(AB167)&gt;8,"Fall",IF(MONTH(AB167)=5,"Summer",IF(MONTH(AB167)=1,"Spring","")))))</f>
        <v/>
      </c>
      <c r="BC167" t="inlineStr">
        <is>
          <t>Drew, Arlyn S.</t>
        </is>
      </c>
      <c r="BD167">
        <f>IFERROR(INDEX('_names_lookup'!$C:$C,MATCH(BC167,'_names_lookup'!$A:$A,0)),"")</f>
        <v/>
      </c>
      <c r="BE167">
        <f>IFERROR(INDEX('_names_lookup'!$B:$B,MATCH(BC167,'_names_lookup'!$A:$A,0)),"")</f>
        <v/>
      </c>
    </row>
    <row r="168">
      <c r="H168" t="inlineStr">
        <is>
          <t>2806-01</t>
        </is>
      </c>
      <c r="I168" t="inlineStr">
        <is>
          <t>3284</t>
        </is>
      </c>
      <c r="K168" t="inlineStr">
        <is>
          <t>715</t>
        </is>
      </c>
      <c r="N168">
        <f>IFERROR(INDEX('_courses_lookup'!$C:$C,MATCH(J168&amp;K168,'_courses_lookup'!$E:$E,0)),"")</f>
        <v/>
      </c>
      <c r="O168">
        <f>IFERROR(INDEX('_courses_lookup'!$D:$D,MATCH(J168&amp;K168,'_courses_lookup'!$E:$E,0)),"")</f>
        <v/>
      </c>
      <c r="AE168">
        <f>IFERROR(IF(AC168*AD168=0,"",AC168*AD168),"")</f>
        <v/>
      </c>
      <c r="AH168">
        <f>IF(AND(AF168&lt;&gt;"",AG168&lt;&gt;""),ROUNDUP((AG168-AF168)/7,0),"")</f>
        <v/>
      </c>
      <c r="AJ168">
        <f>IFERROR(IF(AH168*AI168=0,"",AH168*AI168),"")</f>
        <v/>
      </c>
      <c r="AL168">
        <f>IFERROR(IF((AO168-(AE168+AJ168))/AK168=0,"",ROUNDUP((AO168-(AE168+AJ168))/AK168,0)),"")</f>
        <v/>
      </c>
      <c r="AM168">
        <f>IFERROR(IF((AO168-(AE168+AJ168))=0,"",(AO168-(AE168+AJ168))),"")</f>
        <v/>
      </c>
      <c r="AN168">
        <f>IF(AND(AC168="",AK168=""),AH168,IF(SUM(AC168,AH168,AK168)=0,"",SUM(AC168,AH168,AK168)))</f>
        <v/>
      </c>
      <c r="AY168">
        <f>IF(AB168="","",YEAR(AB168)+IF(MONTH(AB168)&gt;=5,1,0))</f>
        <v/>
      </c>
      <c r="AZ168">
        <f>IF(AB168="","",IF(AND(MONTH(AB168)=8,DAY(AB168)&gt;=15),"Fall",IF(MONTH(AB168)&gt;8,"Fall",IF(MONTH(AB168)=5,"Summer",IF(MONTH(AB168)=1,"Spring","")))))</f>
        <v/>
      </c>
      <c r="BC168" t="inlineStr">
        <is>
          <t>Dupertuis, Atilio R.</t>
        </is>
      </c>
      <c r="BD168">
        <f>IFERROR(INDEX('_names_lookup'!$C:$C,MATCH(BC168,'_names_lookup'!$A:$A,0)),"")</f>
        <v/>
      </c>
      <c r="BE168">
        <f>IFERROR(INDEX('_names_lookup'!$B:$B,MATCH(BC168,'_names_lookup'!$A:$A,0)),"")</f>
        <v/>
      </c>
    </row>
    <row r="169">
      <c r="H169" t="inlineStr">
        <is>
          <t>2806-02</t>
        </is>
      </c>
      <c r="I169" t="inlineStr">
        <is>
          <t>3285</t>
        </is>
      </c>
      <c r="K169" t="inlineStr">
        <is>
          <t>721</t>
        </is>
      </c>
      <c r="N169">
        <f>IFERROR(INDEX('_courses_lookup'!$C:$C,MATCH(J169&amp;K169,'_courses_lookup'!$E:$E,0)),"")</f>
        <v/>
      </c>
      <c r="O169">
        <f>IFERROR(INDEX('_courses_lookup'!$D:$D,MATCH(J169&amp;K169,'_courses_lookup'!$E:$E,0)),"")</f>
        <v/>
      </c>
      <c r="AE169">
        <f>IFERROR(IF(AC169*AD169=0,"",AC169*AD169),"")</f>
        <v/>
      </c>
      <c r="AH169">
        <f>IF(AND(AF169&lt;&gt;"",AG169&lt;&gt;""),ROUNDUP((AG169-AF169)/7,0),"")</f>
        <v/>
      </c>
      <c r="AJ169">
        <f>IFERROR(IF(AH169*AI169=0,"",AH169*AI169),"")</f>
        <v/>
      </c>
      <c r="AL169">
        <f>IFERROR(IF((AO169-(AE169+AJ169))/AK169=0,"",ROUNDUP((AO169-(AE169+AJ169))/AK169,0)),"")</f>
        <v/>
      </c>
      <c r="AM169">
        <f>IFERROR(IF((AO169-(AE169+AJ169))=0,"",(AO169-(AE169+AJ169))),"")</f>
        <v/>
      </c>
      <c r="AN169">
        <f>IF(AND(AC169="",AK169=""),AH169,IF(SUM(AC169,AH169,AK169)=0,"",SUM(AC169,AH169,AK169)))</f>
        <v/>
      </c>
      <c r="AY169">
        <f>IF(AB169="","",YEAR(AB169)+IF(MONTH(AB169)&gt;=5,1,0))</f>
        <v/>
      </c>
      <c r="AZ169">
        <f>IF(AB169="","",IF(AND(MONTH(AB169)=8,DAY(AB169)&gt;=15),"Fall",IF(MONTH(AB169)&gt;8,"Fall",IF(MONTH(AB169)=5,"Summer",IF(MONTH(AB169)=1,"Spring","")))))</f>
        <v/>
      </c>
      <c r="BC169" t="inlineStr">
        <is>
          <t>Duran Royo, Noemi</t>
        </is>
      </c>
      <c r="BD169">
        <f>IFERROR(INDEX('_names_lookup'!$C:$C,MATCH(BC169,'_names_lookup'!$A:$A,0)),"")</f>
        <v/>
      </c>
      <c r="BE169">
        <f>IFERROR(INDEX('_names_lookup'!$B:$B,MATCH(BC169,'_names_lookup'!$A:$A,0)),"")</f>
        <v/>
      </c>
    </row>
    <row r="170">
      <c r="H170" t="inlineStr">
        <is>
          <t>2807-01</t>
        </is>
      </c>
      <c r="I170" t="inlineStr">
        <is>
          <t>3286</t>
        </is>
      </c>
      <c r="K170" t="inlineStr">
        <is>
          <t>722</t>
        </is>
      </c>
      <c r="N170">
        <f>IFERROR(INDEX('_courses_lookup'!$C:$C,MATCH(J170&amp;K170,'_courses_lookup'!$E:$E,0)),"")</f>
        <v/>
      </c>
      <c r="O170">
        <f>IFERROR(INDEX('_courses_lookup'!$D:$D,MATCH(J170&amp;K170,'_courses_lookup'!$E:$E,0)),"")</f>
        <v/>
      </c>
      <c r="AE170">
        <f>IFERROR(IF(AC170*AD170=0,"",AC170*AD170),"")</f>
        <v/>
      </c>
      <c r="AH170">
        <f>IF(AND(AF170&lt;&gt;"",AG170&lt;&gt;""),ROUNDUP((AG170-AF170)/7,0),"")</f>
        <v/>
      </c>
      <c r="AJ170">
        <f>IFERROR(IF(AH170*AI170=0,"",AH170*AI170),"")</f>
        <v/>
      </c>
      <c r="AL170">
        <f>IFERROR(IF((AO170-(AE170+AJ170))/AK170=0,"",ROUNDUP((AO170-(AE170+AJ170))/AK170,0)),"")</f>
        <v/>
      </c>
      <c r="AM170">
        <f>IFERROR(IF((AO170-(AE170+AJ170))=0,"",(AO170-(AE170+AJ170))),"")</f>
        <v/>
      </c>
      <c r="AN170">
        <f>IF(AND(AC170="",AK170=""),AH170,IF(SUM(AC170,AH170,AK170)=0,"",SUM(AC170,AH170,AK170)))</f>
        <v/>
      </c>
      <c r="AY170">
        <f>IF(AB170="","",YEAR(AB170)+IF(MONTH(AB170)&gt;=5,1,0))</f>
        <v/>
      </c>
      <c r="AZ170">
        <f>IF(AB170="","",IF(AND(MONTH(AB170)=8,DAY(AB170)&gt;=15),"Fall",IF(MONTH(AB170)&gt;8,"Fall",IF(MONTH(AB170)=5,"Summer",IF(MONTH(AB170)=1,"Spring","")))))</f>
        <v/>
      </c>
      <c r="BC170" t="inlineStr">
        <is>
          <t>Gibbs, Nathaniel</t>
        </is>
      </c>
      <c r="BD170">
        <f>IFERROR(INDEX('_names_lookup'!$C:$C,MATCH(BC170,'_names_lookup'!$A:$A,0)),"")</f>
        <v/>
      </c>
      <c r="BE170">
        <f>IFERROR(INDEX('_names_lookup'!$B:$B,MATCH(BC170,'_names_lookup'!$A:$A,0)),"")</f>
        <v/>
      </c>
    </row>
    <row r="171">
      <c r="H171" t="inlineStr">
        <is>
          <t>2808-01</t>
        </is>
      </c>
      <c r="I171" t="inlineStr">
        <is>
          <t>3287</t>
        </is>
      </c>
      <c r="K171" t="inlineStr">
        <is>
          <t>723</t>
        </is>
      </c>
      <c r="N171">
        <f>IFERROR(INDEX('_courses_lookup'!$C:$C,MATCH(J171&amp;K171,'_courses_lookup'!$E:$E,0)),"")</f>
        <v/>
      </c>
      <c r="O171">
        <f>IFERROR(INDEX('_courses_lookup'!$D:$D,MATCH(J171&amp;K171,'_courses_lookup'!$E:$E,0)),"")</f>
        <v/>
      </c>
      <c r="AE171">
        <f>IFERROR(IF(AC171*AD171=0,"",AC171*AD171),"")</f>
        <v/>
      </c>
      <c r="AH171">
        <f>IF(AND(AF171&lt;&gt;"",AG171&lt;&gt;""),ROUNDUP((AG171-AF171)/7,0),"")</f>
        <v/>
      </c>
      <c r="AJ171">
        <f>IFERROR(IF(AH171*AI171=0,"",AH171*AI171),"")</f>
        <v/>
      </c>
      <c r="AL171">
        <f>IFERROR(IF((AO171-(AE171+AJ171))/AK171=0,"",ROUNDUP((AO171-(AE171+AJ171))/AK171,0)),"")</f>
        <v/>
      </c>
      <c r="AM171">
        <f>IFERROR(IF((AO171-(AE171+AJ171))=0,"",(AO171-(AE171+AJ171))),"")</f>
        <v/>
      </c>
      <c r="AN171">
        <f>IF(AND(AC171="",AK171=""),AH171,IF(SUM(AC171,AH171,AK171)=0,"",SUM(AC171,AH171,AK171)))</f>
        <v/>
      </c>
      <c r="AY171">
        <f>IF(AB171="","",YEAR(AB171)+IF(MONTH(AB171)&gt;=5,1,0))</f>
        <v/>
      </c>
      <c r="AZ171">
        <f>IF(AB171="","",IF(AND(MONTH(AB171)=8,DAY(AB171)&gt;=15),"Fall",IF(MONTH(AB171)&gt;8,"Fall",IF(MONTH(AB171)=5,"Summer",IF(MONTH(AB171)=1,"Spring","")))))</f>
        <v/>
      </c>
      <c r="BC171" t="inlineStr">
        <is>
          <t>Hanna, Martin F.</t>
        </is>
      </c>
      <c r="BD171">
        <f>IFERROR(INDEX('_names_lookup'!$C:$C,MATCH(BC171,'_names_lookup'!$A:$A,0)),"")</f>
        <v/>
      </c>
      <c r="BE171">
        <f>IFERROR(INDEX('_names_lookup'!$B:$B,MATCH(BC171,'_names_lookup'!$A:$A,0)),"")</f>
        <v/>
      </c>
    </row>
    <row r="172">
      <c r="H172" t="inlineStr">
        <is>
          <t>2808-02</t>
        </is>
      </c>
      <c r="I172" t="inlineStr">
        <is>
          <t>3288</t>
        </is>
      </c>
      <c r="K172" t="inlineStr">
        <is>
          <t>727</t>
        </is>
      </c>
      <c r="N172">
        <f>IFERROR(INDEX('_courses_lookup'!$C:$C,MATCH(J172&amp;K172,'_courses_lookup'!$E:$E,0)),"")</f>
        <v/>
      </c>
      <c r="O172">
        <f>IFERROR(INDEX('_courses_lookup'!$D:$D,MATCH(J172&amp;K172,'_courses_lookup'!$E:$E,0)),"")</f>
        <v/>
      </c>
      <c r="AE172">
        <f>IFERROR(IF(AC172*AD172=0,"",AC172*AD172),"")</f>
        <v/>
      </c>
      <c r="AH172">
        <f>IF(AND(AF172&lt;&gt;"",AG172&lt;&gt;""),ROUNDUP((AG172-AF172)/7,0),"")</f>
        <v/>
      </c>
      <c r="AJ172">
        <f>IFERROR(IF(AH172*AI172=0,"",AH172*AI172),"")</f>
        <v/>
      </c>
      <c r="AL172">
        <f>IFERROR(IF((AO172-(AE172+AJ172))/AK172=0,"",ROUNDUP((AO172-(AE172+AJ172))/AK172,0)),"")</f>
        <v/>
      </c>
      <c r="AM172">
        <f>IFERROR(IF((AO172-(AE172+AJ172))=0,"",(AO172-(AE172+AJ172))),"")</f>
        <v/>
      </c>
      <c r="AN172">
        <f>IF(AND(AC172="",AK172=""),AH172,IF(SUM(AC172,AH172,AK172)=0,"",SUM(AC172,AH172,AK172)))</f>
        <v/>
      </c>
      <c r="AY172">
        <f>IF(AB172="","",YEAR(AB172)+IF(MONTH(AB172)&gt;=5,1,0))</f>
        <v/>
      </c>
      <c r="AZ172">
        <f>IF(AB172="","",IF(AND(MONTH(AB172)=8,DAY(AB172)&gt;=15),"Fall",IF(MONTH(AB172)&gt;8,"Fall",IF(MONTH(AB172)=5,"Summer",IF(MONTH(AB172)=1,"Spring","")))))</f>
        <v/>
      </c>
      <c r="BC172" t="inlineStr">
        <is>
          <t>Jankiewicz, Darius W.</t>
        </is>
      </c>
      <c r="BD172">
        <f>IFERROR(INDEX('_names_lookup'!$C:$C,MATCH(BC172,'_names_lookup'!$A:$A,0)),"")</f>
        <v/>
      </c>
      <c r="BE172">
        <f>IFERROR(INDEX('_names_lookup'!$B:$B,MATCH(BC172,'_names_lookup'!$A:$A,0)),"")</f>
        <v/>
      </c>
    </row>
    <row r="173">
      <c r="H173" t="inlineStr">
        <is>
          <t>2809-01</t>
        </is>
      </c>
      <c r="I173" t="inlineStr">
        <is>
          <t>3289</t>
        </is>
      </c>
      <c r="K173" t="inlineStr">
        <is>
          <t>728</t>
        </is>
      </c>
      <c r="N173">
        <f>IFERROR(INDEX('_courses_lookup'!$C:$C,MATCH(J173&amp;K173,'_courses_lookup'!$E:$E,0)),"")</f>
        <v/>
      </c>
      <c r="O173">
        <f>IFERROR(INDEX('_courses_lookup'!$D:$D,MATCH(J173&amp;K173,'_courses_lookup'!$E:$E,0)),"")</f>
        <v/>
      </c>
      <c r="AE173">
        <f>IFERROR(IF(AC173*AD173=0,"",AC173*AD173),"")</f>
        <v/>
      </c>
      <c r="AH173">
        <f>IF(AND(AF173&lt;&gt;"",AG173&lt;&gt;""),ROUNDUP((AG173-AF173)/7,0),"")</f>
        <v/>
      </c>
      <c r="AJ173">
        <f>IFERROR(IF(AH173*AI173=0,"",AH173*AI173),"")</f>
        <v/>
      </c>
      <c r="AL173">
        <f>IFERROR(IF((AO173-(AE173+AJ173))/AK173=0,"",ROUNDUP((AO173-(AE173+AJ173))/AK173,0)),"")</f>
        <v/>
      </c>
      <c r="AM173">
        <f>IFERROR(IF((AO173-(AE173+AJ173))=0,"",(AO173-(AE173+AJ173))),"")</f>
        <v/>
      </c>
      <c r="AN173">
        <f>IF(AND(AC173="",AK173=""),AH173,IF(SUM(AC173,AH173,AK173)=0,"",SUM(AC173,AH173,AK173)))</f>
        <v/>
      </c>
      <c r="AY173">
        <f>IF(AB173="","",YEAR(AB173)+IF(MONTH(AB173)&gt;=5,1,0))</f>
        <v/>
      </c>
      <c r="AZ173">
        <f>IF(AB173="","",IF(AND(MONTH(AB173)=8,DAY(AB173)&gt;=15),"Fall",IF(MONTH(AB173)&gt;8,"Fall",IF(MONTH(AB173)=5,"Summer",IF(MONTH(AB173)=1,"Spring","")))))</f>
        <v/>
      </c>
      <c r="BC173" t="inlineStr">
        <is>
          <t>Kis, Miroslav M.</t>
        </is>
      </c>
      <c r="BD173">
        <f>IFERROR(INDEX('_names_lookup'!$C:$C,MATCH(BC173,'_names_lookup'!$A:$A,0)),"")</f>
        <v/>
      </c>
      <c r="BE173">
        <f>IFERROR(INDEX('_names_lookup'!$B:$B,MATCH(BC173,'_names_lookup'!$A:$A,0)),"")</f>
        <v/>
      </c>
    </row>
    <row r="174">
      <c r="H174" t="inlineStr">
        <is>
          <t>2809-02</t>
        </is>
      </c>
      <c r="I174" t="inlineStr">
        <is>
          <t>329</t>
        </is>
      </c>
      <c r="K174" t="inlineStr">
        <is>
          <t>731</t>
        </is>
      </c>
      <c r="N174">
        <f>IFERROR(INDEX('_courses_lookup'!$C:$C,MATCH(J174&amp;K174,'_courses_lookup'!$E:$E,0)),"")</f>
        <v/>
      </c>
      <c r="O174">
        <f>IFERROR(INDEX('_courses_lookup'!$D:$D,MATCH(J174&amp;K174,'_courses_lookup'!$E:$E,0)),"")</f>
        <v/>
      </c>
      <c r="AE174">
        <f>IFERROR(IF(AC174*AD174=0,"",AC174*AD174),"")</f>
        <v/>
      </c>
      <c r="AH174">
        <f>IF(AND(AF174&lt;&gt;"",AG174&lt;&gt;""),ROUNDUP((AG174-AF174)/7,0),"")</f>
        <v/>
      </c>
      <c r="AJ174">
        <f>IFERROR(IF(AH174*AI174=0,"",AH174*AI174),"")</f>
        <v/>
      </c>
      <c r="AL174">
        <f>IFERROR(IF((AO174-(AE174+AJ174))/AK174=0,"",ROUNDUP((AO174-(AE174+AJ174))/AK174,0)),"")</f>
        <v/>
      </c>
      <c r="AM174">
        <f>IFERROR(IF((AO174-(AE174+AJ174))=0,"",(AO174-(AE174+AJ174))),"")</f>
        <v/>
      </c>
      <c r="AN174">
        <f>IF(AND(AC174="",AK174=""),AH174,IF(SUM(AC174,AH174,AK174)=0,"",SUM(AC174,AH174,AK174)))</f>
        <v/>
      </c>
      <c r="AY174">
        <f>IF(AB174="","",YEAR(AB174)+IF(MONTH(AB174)&gt;=5,1,0))</f>
        <v/>
      </c>
      <c r="AZ174">
        <f>IF(AB174="","",IF(AND(MONTH(AB174)=8,DAY(AB174)&gt;=15),"Fall",IF(MONTH(AB174)&gt;8,"Fall",IF(MONTH(AB174)=5,"Summer",IF(MONTH(AB174)=1,"Spring","")))))</f>
        <v/>
      </c>
      <c r="BC174" t="inlineStr">
        <is>
          <t>Kormos, Erik</t>
        </is>
      </c>
      <c r="BD174">
        <f>IFERROR(INDEX('_names_lookup'!$C:$C,MATCH(BC174,'_names_lookup'!$A:$A,0)),"")</f>
        <v/>
      </c>
      <c r="BE174">
        <f>IFERROR(INDEX('_names_lookup'!$B:$B,MATCH(BC174,'_names_lookup'!$A:$A,0)),"")</f>
        <v/>
      </c>
    </row>
    <row r="175">
      <c r="H175" t="inlineStr">
        <is>
          <t>2813-01</t>
        </is>
      </c>
      <c r="I175" t="inlineStr">
        <is>
          <t>3290</t>
        </is>
      </c>
      <c r="K175" t="inlineStr">
        <is>
          <t>732</t>
        </is>
      </c>
      <c r="N175">
        <f>IFERROR(INDEX('_courses_lookup'!$C:$C,MATCH(J175&amp;K175,'_courses_lookup'!$E:$E,0)),"")</f>
        <v/>
      </c>
      <c r="O175">
        <f>IFERROR(INDEX('_courses_lookup'!$D:$D,MATCH(J175&amp;K175,'_courses_lookup'!$E:$E,0)),"")</f>
        <v/>
      </c>
      <c r="AE175">
        <f>IFERROR(IF(AC175*AD175=0,"",AC175*AD175),"")</f>
        <v/>
      </c>
      <c r="AH175">
        <f>IF(AND(AF175&lt;&gt;"",AG175&lt;&gt;""),ROUNDUP((AG175-AF175)/7,0),"")</f>
        <v/>
      </c>
      <c r="AJ175">
        <f>IFERROR(IF(AH175*AI175=0,"",AH175*AI175),"")</f>
        <v/>
      </c>
      <c r="AL175">
        <f>IFERROR(IF((AO175-(AE175+AJ175))/AK175=0,"",ROUNDUP((AO175-(AE175+AJ175))/AK175,0)),"")</f>
        <v/>
      </c>
      <c r="AM175">
        <f>IFERROR(IF((AO175-(AE175+AJ175))=0,"",(AO175-(AE175+AJ175))),"")</f>
        <v/>
      </c>
      <c r="AN175">
        <f>IF(AND(AC175="",AK175=""),AH175,IF(SUM(AC175,AH175,AK175)=0,"",SUM(AC175,AH175,AK175)))</f>
        <v/>
      </c>
      <c r="AY175">
        <f>IF(AB175="","",YEAR(AB175)+IF(MONTH(AB175)&gt;=5,1,0))</f>
        <v/>
      </c>
      <c r="AZ175">
        <f>IF(AB175="","",IF(AND(MONTH(AB175)=8,DAY(AB175)&gt;=15),"Fall",IF(MONTH(AB175)&gt;8,"Fall",IF(MONTH(AB175)=5,"Summer",IF(MONTH(AB175)=1,"Spring","")))))</f>
        <v/>
      </c>
      <c r="BC175" t="inlineStr">
        <is>
          <t>Koval, Bohdan</t>
        </is>
      </c>
      <c r="BD175">
        <f>IFERROR(INDEX('_names_lookup'!$C:$C,MATCH(BC175,'_names_lookup'!$A:$A,0)),"")</f>
        <v/>
      </c>
      <c r="BE175">
        <f>IFERROR(INDEX('_names_lookup'!$B:$B,MATCH(BC175,'_names_lookup'!$A:$A,0)),"")</f>
        <v/>
      </c>
    </row>
    <row r="176">
      <c r="H176" t="inlineStr">
        <is>
          <t>2813-02</t>
        </is>
      </c>
      <c r="I176" t="inlineStr">
        <is>
          <t>3291</t>
        </is>
      </c>
      <c r="K176" t="inlineStr">
        <is>
          <t>734</t>
        </is>
      </c>
      <c r="N176">
        <f>IFERROR(INDEX('_courses_lookup'!$C:$C,MATCH(J176&amp;K176,'_courses_lookup'!$E:$E,0)),"")</f>
        <v/>
      </c>
      <c r="O176">
        <f>IFERROR(INDEX('_courses_lookup'!$D:$D,MATCH(J176&amp;K176,'_courses_lookup'!$E:$E,0)),"")</f>
        <v/>
      </c>
      <c r="AE176">
        <f>IFERROR(IF(AC176*AD176=0,"",AC176*AD176),"")</f>
        <v/>
      </c>
      <c r="AH176">
        <f>IF(AND(AF176&lt;&gt;"",AG176&lt;&gt;""),ROUNDUP((AG176-AF176)/7,0),"")</f>
        <v/>
      </c>
      <c r="AJ176">
        <f>IFERROR(IF(AH176*AI176=0,"",AH176*AI176),"")</f>
        <v/>
      </c>
      <c r="AL176">
        <f>IFERROR(IF((AO176-(AE176+AJ176))/AK176=0,"",ROUNDUP((AO176-(AE176+AJ176))/AK176,0)),"")</f>
        <v/>
      </c>
      <c r="AM176">
        <f>IFERROR(IF((AO176-(AE176+AJ176))=0,"",(AO176-(AE176+AJ176))),"")</f>
        <v/>
      </c>
      <c r="AN176">
        <f>IF(AND(AC176="",AK176=""),AH176,IF(SUM(AC176,AH176,AK176)=0,"",SUM(AC176,AH176,AK176)))</f>
        <v/>
      </c>
      <c r="AY176">
        <f>IF(AB176="","",YEAR(AB176)+IF(MONTH(AB176)&gt;=5,1,0))</f>
        <v/>
      </c>
      <c r="AZ176">
        <f>IF(AB176="","",IF(AND(MONTH(AB176)=8,DAY(AB176)&gt;=15),"Fall",IF(MONTH(AB176)&gt;8,"Fall",IF(MONTH(AB176)=5,"Summer",IF(MONTH(AB176)=1,"Spring","")))))</f>
        <v/>
      </c>
      <c r="BC176" t="inlineStr">
        <is>
          <t>Peckham, John C.</t>
        </is>
      </c>
      <c r="BD176">
        <f>IFERROR(INDEX('_names_lookup'!$C:$C,MATCH(BC176,'_names_lookup'!$A:$A,0)),"")</f>
        <v/>
      </c>
      <c r="BE176">
        <f>IFERROR(INDEX('_names_lookup'!$B:$B,MATCH(BC176,'_names_lookup'!$A:$A,0)),"")</f>
        <v/>
      </c>
    </row>
    <row r="177">
      <c r="H177" t="inlineStr">
        <is>
          <t>2814-01</t>
        </is>
      </c>
      <c r="I177" t="inlineStr">
        <is>
          <t>3292</t>
        </is>
      </c>
      <c r="K177" t="inlineStr">
        <is>
          <t>739</t>
        </is>
      </c>
      <c r="N177">
        <f>IFERROR(INDEX('_courses_lookup'!$C:$C,MATCH(J177&amp;K177,'_courses_lookup'!$E:$E,0)),"")</f>
        <v/>
      </c>
      <c r="O177">
        <f>IFERROR(INDEX('_courses_lookup'!$D:$D,MATCH(J177&amp;K177,'_courses_lookup'!$E:$E,0)),"")</f>
        <v/>
      </c>
      <c r="AE177">
        <f>IFERROR(IF(AC177*AD177=0,"",AC177*AD177),"")</f>
        <v/>
      </c>
      <c r="AH177">
        <f>IF(AND(AF177&lt;&gt;"",AG177&lt;&gt;""),ROUNDUP((AG177-AF177)/7,0),"")</f>
        <v/>
      </c>
      <c r="AJ177">
        <f>IFERROR(IF(AH177*AI177=0,"",AH177*AI177),"")</f>
        <v/>
      </c>
      <c r="AL177">
        <f>IFERROR(IF((AO177-(AE177+AJ177))/AK177=0,"",ROUNDUP((AO177-(AE177+AJ177))/AK177,0)),"")</f>
        <v/>
      </c>
      <c r="AM177">
        <f>IFERROR(IF((AO177-(AE177+AJ177))=0,"",(AO177-(AE177+AJ177))),"")</f>
        <v/>
      </c>
      <c r="AN177">
        <f>IF(AND(AC177="",AK177=""),AH177,IF(SUM(AC177,AH177,AK177)=0,"",SUM(AC177,AH177,AK177)))</f>
        <v/>
      </c>
      <c r="AY177">
        <f>IF(AB177="","",YEAR(AB177)+IF(MONTH(AB177)&gt;=5,1,0))</f>
        <v/>
      </c>
      <c r="AZ177">
        <f>IF(AB177="","",IF(AND(MONTH(AB177)=8,DAY(AB177)&gt;=15),"Fall",IF(MONTH(AB177)&gt;8,"Fall",IF(MONTH(AB177)=5,"Summer",IF(MONTH(AB177)=1,"Spring","")))))</f>
        <v/>
      </c>
      <c r="BC177" t="inlineStr">
        <is>
          <t>Plantak, Zorislav</t>
        </is>
      </c>
      <c r="BD177">
        <f>IFERROR(INDEX('_names_lookup'!$C:$C,MATCH(BC177,'_names_lookup'!$A:$A,0)),"")</f>
        <v/>
      </c>
      <c r="BE177">
        <f>IFERROR(INDEX('_names_lookup'!$B:$B,MATCH(BC177,'_names_lookup'!$A:$A,0)),"")</f>
        <v/>
      </c>
    </row>
    <row r="178">
      <c r="H178" t="inlineStr">
        <is>
          <t>2818-01</t>
        </is>
      </c>
      <c r="I178" t="inlineStr">
        <is>
          <t>3293</t>
        </is>
      </c>
      <c r="K178" t="inlineStr">
        <is>
          <t>741</t>
        </is>
      </c>
      <c r="N178">
        <f>IFERROR(INDEX('_courses_lookup'!$C:$C,MATCH(J178&amp;K178,'_courses_lookup'!$E:$E,0)),"")</f>
        <v/>
      </c>
      <c r="O178">
        <f>IFERROR(INDEX('_courses_lookup'!$D:$D,MATCH(J178&amp;K178,'_courses_lookup'!$E:$E,0)),"")</f>
        <v/>
      </c>
      <c r="AE178">
        <f>IFERROR(IF(AC178*AD178=0,"",AC178*AD178),"")</f>
        <v/>
      </c>
      <c r="AH178">
        <f>IF(AND(AF178&lt;&gt;"",AG178&lt;&gt;""),ROUNDUP((AG178-AF178)/7,0),"")</f>
        <v/>
      </c>
      <c r="AJ178">
        <f>IFERROR(IF(AH178*AI178=0,"",AH178*AI178),"")</f>
        <v/>
      </c>
      <c r="AL178">
        <f>IFERROR(IF((AO178-(AE178+AJ178))/AK178=0,"",ROUNDUP((AO178-(AE178+AJ178))/AK178,0)),"")</f>
        <v/>
      </c>
      <c r="AM178">
        <f>IFERROR(IF((AO178-(AE178+AJ178))=0,"",(AO178-(AE178+AJ178))),"")</f>
        <v/>
      </c>
      <c r="AN178">
        <f>IF(AND(AC178="",AK178=""),AH178,IF(SUM(AC178,AH178,AK178)=0,"",SUM(AC178,AH178,AK178)))</f>
        <v/>
      </c>
      <c r="AY178">
        <f>IF(AB178="","",YEAR(AB178)+IF(MONTH(AB178)&gt;=5,1,0))</f>
        <v/>
      </c>
      <c r="AZ178">
        <f>IF(AB178="","",IF(AND(MONTH(AB178)=8,DAY(AB178)&gt;=15),"Fall",IF(MONTH(AB178)&gt;8,"Fall",IF(MONTH(AB178)=5,"Summer",IF(MONTH(AB178)=1,"Spring","")))))</f>
        <v/>
      </c>
      <c r="BC178" t="inlineStr">
        <is>
          <t>Razmerita, Gheorghe</t>
        </is>
      </c>
      <c r="BD178">
        <f>IFERROR(INDEX('_names_lookup'!$C:$C,MATCH(BC178,'_names_lookup'!$A:$A,0)),"")</f>
        <v/>
      </c>
      <c r="BE178">
        <f>IFERROR(INDEX('_names_lookup'!$B:$B,MATCH(BC178,'_names_lookup'!$A:$A,0)),"")</f>
        <v/>
      </c>
    </row>
    <row r="179">
      <c r="H179" t="inlineStr">
        <is>
          <t>2819-01</t>
        </is>
      </c>
      <c r="I179" t="inlineStr">
        <is>
          <t>3294</t>
        </is>
      </c>
      <c r="K179" t="inlineStr">
        <is>
          <t>742</t>
        </is>
      </c>
      <c r="N179">
        <f>IFERROR(INDEX('_courses_lookup'!$C:$C,MATCH(J179&amp;K179,'_courses_lookup'!$E:$E,0)),"")</f>
        <v/>
      </c>
      <c r="O179">
        <f>IFERROR(INDEX('_courses_lookup'!$D:$D,MATCH(J179&amp;K179,'_courses_lookup'!$E:$E,0)),"")</f>
        <v/>
      </c>
      <c r="AE179">
        <f>IFERROR(IF(AC179*AD179=0,"",AC179*AD179),"")</f>
        <v/>
      </c>
      <c r="AH179">
        <f>IF(AND(AF179&lt;&gt;"",AG179&lt;&gt;""),ROUNDUP((AG179-AF179)/7,0),"")</f>
        <v/>
      </c>
      <c r="AJ179">
        <f>IFERROR(IF(AH179*AI179=0,"",AH179*AI179),"")</f>
        <v/>
      </c>
      <c r="AL179">
        <f>IFERROR(IF((AO179-(AE179+AJ179))/AK179=0,"",ROUNDUP((AO179-(AE179+AJ179))/AK179,0)),"")</f>
        <v/>
      </c>
      <c r="AM179">
        <f>IFERROR(IF((AO179-(AE179+AJ179))=0,"",(AO179-(AE179+AJ179))),"")</f>
        <v/>
      </c>
      <c r="AN179">
        <f>IF(AND(AC179="",AK179=""),AH179,IF(SUM(AC179,AH179,AK179)=0,"",SUM(AC179,AH179,AK179)))</f>
        <v/>
      </c>
      <c r="AY179">
        <f>IF(AB179="","",YEAR(AB179)+IF(MONTH(AB179)&gt;=5,1,0))</f>
        <v/>
      </c>
      <c r="AZ179">
        <f>IF(AB179="","",IF(AND(MONTH(AB179)=8,DAY(AB179)&gt;=15),"Fall",IF(MONTH(AB179)&gt;8,"Fall",IF(MONTH(AB179)=5,"Summer",IF(MONTH(AB179)=1,"Spring","")))))</f>
        <v/>
      </c>
      <c r="BC179" t="inlineStr">
        <is>
          <t>Rodrigues, Adriani M.</t>
        </is>
      </c>
      <c r="BD179">
        <f>IFERROR(INDEX('_names_lookup'!$C:$C,MATCH(BC179,'_names_lookup'!$A:$A,0)),"")</f>
        <v/>
      </c>
      <c r="BE179">
        <f>IFERROR(INDEX('_names_lookup'!$B:$B,MATCH(BC179,'_names_lookup'!$A:$A,0)),"")</f>
        <v/>
      </c>
    </row>
    <row r="180">
      <c r="H180" t="inlineStr">
        <is>
          <t>282-01</t>
        </is>
      </c>
      <c r="I180" t="inlineStr">
        <is>
          <t>3295</t>
        </is>
      </c>
      <c r="K180" t="inlineStr">
        <is>
          <t>743</t>
        </is>
      </c>
      <c r="N180">
        <f>IFERROR(INDEX('_courses_lookup'!$C:$C,MATCH(J180&amp;K180,'_courses_lookup'!$E:$E,0)),"")</f>
        <v/>
      </c>
      <c r="O180">
        <f>IFERROR(INDEX('_courses_lookup'!$D:$D,MATCH(J180&amp;K180,'_courses_lookup'!$E:$E,0)),"")</f>
        <v/>
      </c>
      <c r="AE180">
        <f>IFERROR(IF(AC180*AD180=0,"",AC180*AD180),"")</f>
        <v/>
      </c>
      <c r="AH180">
        <f>IF(AND(AF180&lt;&gt;"",AG180&lt;&gt;""),ROUNDUP((AG180-AF180)/7,0),"")</f>
        <v/>
      </c>
      <c r="AJ180">
        <f>IFERROR(IF(AH180*AI180=0,"",AH180*AI180),"")</f>
        <v/>
      </c>
      <c r="AL180">
        <f>IFERROR(IF((AO180-(AE180+AJ180))/AK180=0,"",ROUNDUP((AO180-(AE180+AJ180))/AK180,0)),"")</f>
        <v/>
      </c>
      <c r="AM180">
        <f>IFERROR(IF((AO180-(AE180+AJ180))=0,"",(AO180-(AE180+AJ180))),"")</f>
        <v/>
      </c>
      <c r="AN180">
        <f>IF(AND(AC180="",AK180=""),AH180,IF(SUM(AC180,AH180,AK180)=0,"",SUM(AC180,AH180,AK180)))</f>
        <v/>
      </c>
      <c r="AY180">
        <f>IF(AB180="","",YEAR(AB180)+IF(MONTH(AB180)&gt;=5,1,0))</f>
        <v/>
      </c>
      <c r="AZ180">
        <f>IF(AB180="","",IF(AND(MONTH(AB180)=8,DAY(AB180)&gt;=15),"Fall",IF(MONTH(AB180)&gt;8,"Fall",IF(MONTH(AB180)=5,"Summer",IF(MONTH(AB180)=1,"Spring","")))))</f>
        <v/>
      </c>
      <c r="BC180" t="inlineStr">
        <is>
          <t>Sciarabba, Davide</t>
        </is>
      </c>
      <c r="BD180">
        <f>IFERROR(INDEX('_names_lookup'!$C:$C,MATCH(BC180,'_names_lookup'!$A:$A,0)),"")</f>
        <v/>
      </c>
      <c r="BE180">
        <f>IFERROR(INDEX('_names_lookup'!$B:$B,MATCH(BC180,'_names_lookup'!$A:$A,0)),"")</f>
        <v/>
      </c>
    </row>
    <row r="181">
      <c r="H181" t="inlineStr">
        <is>
          <t>2820-01</t>
        </is>
      </c>
      <c r="I181" t="inlineStr">
        <is>
          <t>3296</t>
        </is>
      </c>
      <c r="K181" t="inlineStr">
        <is>
          <t>744</t>
        </is>
      </c>
      <c r="N181">
        <f>IFERROR(INDEX('_courses_lookup'!$C:$C,MATCH(J181&amp;K181,'_courses_lookup'!$E:$E,0)),"")</f>
        <v/>
      </c>
      <c r="O181">
        <f>IFERROR(INDEX('_courses_lookup'!$D:$D,MATCH(J181&amp;K181,'_courses_lookup'!$E:$E,0)),"")</f>
        <v/>
      </c>
      <c r="AE181">
        <f>IFERROR(IF(AC181*AD181=0,"",AC181*AD181),"")</f>
        <v/>
      </c>
      <c r="AH181">
        <f>IF(AND(AF181&lt;&gt;"",AG181&lt;&gt;""),ROUNDUP((AG181-AF181)/7,0),"")</f>
        <v/>
      </c>
      <c r="AJ181">
        <f>IFERROR(IF(AH181*AI181=0,"",AH181*AI181),"")</f>
        <v/>
      </c>
      <c r="AL181">
        <f>IFERROR(IF((AO181-(AE181+AJ181))/AK181=0,"",ROUNDUP((AO181-(AE181+AJ181))/AK181,0)),"")</f>
        <v/>
      </c>
      <c r="AM181">
        <f>IFERROR(IF((AO181-(AE181+AJ181))=0,"",(AO181-(AE181+AJ181))),"")</f>
        <v/>
      </c>
      <c r="AN181">
        <f>IF(AND(AC181="",AK181=""),AH181,IF(SUM(AC181,AH181,AK181)=0,"",SUM(AC181,AH181,AK181)))</f>
        <v/>
      </c>
      <c r="AY181">
        <f>IF(AB181="","",YEAR(AB181)+IF(MONTH(AB181)&gt;=5,1,0))</f>
        <v/>
      </c>
      <c r="AZ181">
        <f>IF(AB181="","",IF(AND(MONTH(AB181)=8,DAY(AB181)&gt;=15),"Fall",IF(MONTH(AB181)&gt;8,"Fall",IF(MONTH(AB181)=5,"Summer",IF(MONTH(AB181)=1,"Spring","")))))</f>
        <v/>
      </c>
      <c r="BC181" t="inlineStr">
        <is>
          <t>Szallos-Farkas, Zoltan</t>
        </is>
      </c>
      <c r="BD181">
        <f>IFERROR(INDEX('_names_lookup'!$C:$C,MATCH(BC181,'_names_lookup'!$A:$A,0)),"")</f>
        <v/>
      </c>
      <c r="BE181">
        <f>IFERROR(INDEX('_names_lookup'!$B:$B,MATCH(BC181,'_names_lookup'!$A:$A,0)),"")</f>
        <v/>
      </c>
    </row>
    <row r="182">
      <c r="H182" t="inlineStr">
        <is>
          <t>2822-01</t>
        </is>
      </c>
      <c r="I182" t="inlineStr">
        <is>
          <t>3297</t>
        </is>
      </c>
      <c r="K182" t="inlineStr">
        <is>
          <t>747</t>
        </is>
      </c>
      <c r="N182">
        <f>IFERROR(INDEX('_courses_lookup'!$C:$C,MATCH(J182&amp;K182,'_courses_lookup'!$E:$E,0)),"")</f>
        <v/>
      </c>
      <c r="O182">
        <f>IFERROR(INDEX('_courses_lookup'!$D:$D,MATCH(J182&amp;K182,'_courses_lookup'!$E:$E,0)),"")</f>
        <v/>
      </c>
      <c r="AE182">
        <f>IFERROR(IF(AC182*AD182=0,"",AC182*AD182),"")</f>
        <v/>
      </c>
      <c r="AH182">
        <f>IF(AND(AF182&lt;&gt;"",AG182&lt;&gt;""),ROUNDUP((AG182-AF182)/7,0),"")</f>
        <v/>
      </c>
      <c r="AJ182">
        <f>IFERROR(IF(AH182*AI182=0,"",AH182*AI182),"")</f>
        <v/>
      </c>
      <c r="AL182">
        <f>IFERROR(IF((AO182-(AE182+AJ182))/AK182=0,"",ROUNDUP((AO182-(AE182+AJ182))/AK182,0)),"")</f>
        <v/>
      </c>
      <c r="AM182">
        <f>IFERROR(IF((AO182-(AE182+AJ182))=0,"",(AO182-(AE182+AJ182))),"")</f>
        <v/>
      </c>
      <c r="AN182">
        <f>IF(AND(AC182="",AK182=""),AH182,IF(SUM(AC182,AH182,AK182)=0,"",SUM(AC182,AH182,AK182)))</f>
        <v/>
      </c>
      <c r="AY182">
        <f>IF(AB182="","",YEAR(AB182)+IF(MONTH(AB182)&gt;=5,1,0))</f>
        <v/>
      </c>
      <c r="AZ182">
        <f>IF(AB182="","",IF(AND(MONTH(AB182)=8,DAY(AB182)&gt;=15),"Fall",IF(MONTH(AB182)&gt;8,"Fall",IF(MONTH(AB182)=5,"Summer",IF(MONTH(AB182)=1,"Spring","")))))</f>
        <v/>
      </c>
      <c r="BC182" t="inlineStr">
        <is>
          <t>Terreros, Marco T.</t>
        </is>
      </c>
      <c r="BD182">
        <f>IFERROR(INDEX('_names_lookup'!$C:$C,MATCH(BC182,'_names_lookup'!$A:$A,0)),"")</f>
        <v/>
      </c>
      <c r="BE182">
        <f>IFERROR(INDEX('_names_lookup'!$B:$B,MATCH(BC182,'_names_lookup'!$A:$A,0)),"")</f>
        <v/>
      </c>
    </row>
    <row r="183">
      <c r="H183" t="inlineStr">
        <is>
          <t>2826-01</t>
        </is>
      </c>
      <c r="I183" t="inlineStr">
        <is>
          <t>3298</t>
        </is>
      </c>
      <c r="K183" t="inlineStr">
        <is>
          <t>748</t>
        </is>
      </c>
      <c r="N183">
        <f>IFERROR(INDEX('_courses_lookup'!$C:$C,MATCH(J183&amp;K183,'_courses_lookup'!$E:$E,0)),"")</f>
        <v/>
      </c>
      <c r="O183">
        <f>IFERROR(INDEX('_courses_lookup'!$D:$D,MATCH(J183&amp;K183,'_courses_lookup'!$E:$E,0)),"")</f>
        <v/>
      </c>
      <c r="AE183">
        <f>IFERROR(IF(AC183*AD183=0,"",AC183*AD183),"")</f>
        <v/>
      </c>
      <c r="AH183">
        <f>IF(AND(AF183&lt;&gt;"",AG183&lt;&gt;""),ROUNDUP((AG183-AF183)/7,0),"")</f>
        <v/>
      </c>
      <c r="AJ183">
        <f>IFERROR(IF(AH183*AI183=0,"",AH183*AI183),"")</f>
        <v/>
      </c>
      <c r="AL183">
        <f>IFERROR(IF((AO183-(AE183+AJ183))/AK183=0,"",ROUNDUP((AO183-(AE183+AJ183))/AK183,0)),"")</f>
        <v/>
      </c>
      <c r="AM183">
        <f>IFERROR(IF((AO183-(AE183+AJ183))=0,"",(AO183-(AE183+AJ183))),"")</f>
        <v/>
      </c>
      <c r="AN183">
        <f>IF(AND(AC183="",AK183=""),AH183,IF(SUM(AC183,AH183,AK183)=0,"",SUM(AC183,AH183,AK183)))</f>
        <v/>
      </c>
      <c r="AY183">
        <f>IF(AB183="","",YEAR(AB183)+IF(MONTH(AB183)&gt;=5,1,0))</f>
        <v/>
      </c>
      <c r="AZ183">
        <f>IF(AB183="","",IF(AND(MONTH(AB183)=8,DAY(AB183)&gt;=15),"Fall",IF(MONTH(AB183)&gt;8,"Fall",IF(MONTH(AB183)=5,"Summer",IF(MONTH(AB183)=1,"Spring","")))))</f>
        <v/>
      </c>
      <c r="BC183" t="inlineStr">
        <is>
          <t>Tornalejo, Remwil R.</t>
        </is>
      </c>
      <c r="BD183">
        <f>IFERROR(INDEX('_names_lookup'!$C:$C,MATCH(BC183,'_names_lookup'!$A:$A,0)),"")</f>
        <v/>
      </c>
      <c r="BE183">
        <f>IFERROR(INDEX('_names_lookup'!$B:$B,MATCH(BC183,'_names_lookup'!$A:$A,0)),"")</f>
        <v/>
      </c>
    </row>
    <row r="184">
      <c r="H184" t="inlineStr">
        <is>
          <t>2827-01</t>
        </is>
      </c>
      <c r="I184" t="inlineStr">
        <is>
          <t>3299</t>
        </is>
      </c>
      <c r="K184" t="inlineStr">
        <is>
          <t>749</t>
        </is>
      </c>
      <c r="N184">
        <f>IFERROR(INDEX('_courses_lookup'!$C:$C,MATCH(J184&amp;K184,'_courses_lookup'!$E:$E,0)),"")</f>
        <v/>
      </c>
      <c r="O184">
        <f>IFERROR(INDEX('_courses_lookup'!$D:$D,MATCH(J184&amp;K184,'_courses_lookup'!$E:$E,0)),"")</f>
        <v/>
      </c>
      <c r="AE184">
        <f>IFERROR(IF(AC184*AD184=0,"",AC184*AD184),"")</f>
        <v/>
      </c>
      <c r="AH184">
        <f>IF(AND(AF184&lt;&gt;"",AG184&lt;&gt;""),ROUNDUP((AG184-AF184)/7,0),"")</f>
        <v/>
      </c>
      <c r="AJ184">
        <f>IFERROR(IF(AH184*AI184=0,"",AH184*AI184),"")</f>
        <v/>
      </c>
      <c r="AL184">
        <f>IFERROR(IF((AO184-(AE184+AJ184))/AK184=0,"",ROUNDUP((AO184-(AE184+AJ184))/AK184,0)),"")</f>
        <v/>
      </c>
      <c r="AM184">
        <f>IFERROR(IF((AO184-(AE184+AJ184))=0,"",(AO184-(AE184+AJ184))),"")</f>
        <v/>
      </c>
      <c r="AN184">
        <f>IF(AND(AC184="",AK184=""),AH184,IF(SUM(AC184,AH184,AK184)=0,"",SUM(AC184,AH184,AK184)))</f>
        <v/>
      </c>
      <c r="AY184">
        <f>IF(AB184="","",YEAR(AB184)+IF(MONTH(AB184)&gt;=5,1,0))</f>
        <v/>
      </c>
      <c r="AZ184">
        <f>IF(AB184="","",IF(AND(MONTH(AB184)=8,DAY(AB184)&gt;=15),"Fall",IF(MONTH(AB184)&gt;8,"Fall",IF(MONTH(AB184)=5,"Summer",IF(MONTH(AB184)=1,"Spring","")))))</f>
        <v/>
      </c>
      <c r="BC184" t="inlineStr">
        <is>
          <t>Wetterlin, Cory D.</t>
        </is>
      </c>
      <c r="BD184">
        <f>IFERROR(INDEX('_names_lookup'!$C:$C,MATCH(BC184,'_names_lookup'!$A:$A,0)),"")</f>
        <v/>
      </c>
      <c r="BE184">
        <f>IFERROR(INDEX('_names_lookup'!$B:$B,MATCH(BC184,'_names_lookup'!$A:$A,0)),"")</f>
        <v/>
      </c>
    </row>
    <row r="185">
      <c r="H185" t="inlineStr">
        <is>
          <t>283-01</t>
        </is>
      </c>
      <c r="I185" t="inlineStr">
        <is>
          <t>330</t>
        </is>
      </c>
      <c r="K185" t="inlineStr">
        <is>
          <t>751</t>
        </is>
      </c>
      <c r="N185">
        <f>IFERROR(INDEX('_courses_lookup'!$C:$C,MATCH(J185&amp;K185,'_courses_lookup'!$E:$E,0)),"")</f>
        <v/>
      </c>
      <c r="O185">
        <f>IFERROR(INDEX('_courses_lookup'!$D:$D,MATCH(J185&amp;K185,'_courses_lookup'!$E:$E,0)),"")</f>
        <v/>
      </c>
      <c r="AE185">
        <f>IFERROR(IF(AC185*AD185=0,"",AC185*AD185),"")</f>
        <v/>
      </c>
      <c r="AH185">
        <f>IF(AND(AF185&lt;&gt;"",AG185&lt;&gt;""),ROUNDUP((AG185-AF185)/7,0),"")</f>
        <v/>
      </c>
      <c r="AJ185">
        <f>IFERROR(IF(AH185*AI185=0,"",AH185*AI185),"")</f>
        <v/>
      </c>
      <c r="AL185">
        <f>IFERROR(IF((AO185-(AE185+AJ185))/AK185=0,"",ROUNDUP((AO185-(AE185+AJ185))/AK185,0)),"")</f>
        <v/>
      </c>
      <c r="AM185">
        <f>IFERROR(IF((AO185-(AE185+AJ185))=0,"",(AO185-(AE185+AJ185))),"")</f>
        <v/>
      </c>
      <c r="AN185">
        <f>IF(AND(AC185="",AK185=""),AH185,IF(SUM(AC185,AH185,AK185)=0,"",SUM(AC185,AH185,AK185)))</f>
        <v/>
      </c>
      <c r="AY185">
        <f>IF(AB185="","",YEAR(AB185)+IF(MONTH(AB185)&gt;=5,1,0))</f>
        <v/>
      </c>
      <c r="AZ185">
        <f>IF(AB185="","",IF(AND(MONTH(AB185)=8,DAY(AB185)&gt;=15),"Fall",IF(MONTH(AB185)&gt;8,"Fall",IF(MONTH(AB185)=5,"Summer",IF(MONTH(AB185)=1,"Spring","")))))</f>
        <v/>
      </c>
      <c r="BC185" t="inlineStr">
        <is>
          <t>Zaitsev, Eugene V.</t>
        </is>
      </c>
      <c r="BD185">
        <f>IFERROR(INDEX('_names_lookup'!$C:$C,MATCH(BC185,'_names_lookup'!$A:$A,0)),"")</f>
        <v/>
      </c>
      <c r="BE185">
        <f>IFERROR(INDEX('_names_lookup'!$B:$B,MATCH(BC185,'_names_lookup'!$A:$A,0)),"")</f>
        <v/>
      </c>
    </row>
    <row r="186">
      <c r="H186" t="inlineStr">
        <is>
          <t>2835-01</t>
        </is>
      </c>
      <c r="I186" t="inlineStr">
        <is>
          <t>3300</t>
        </is>
      </c>
      <c r="K186" t="inlineStr">
        <is>
          <t>752</t>
        </is>
      </c>
      <c r="N186">
        <f>IFERROR(INDEX('_courses_lookup'!$C:$C,MATCH(J186&amp;K186,'_courses_lookup'!$E:$E,0)),"")</f>
        <v/>
      </c>
      <c r="O186">
        <f>IFERROR(INDEX('_courses_lookup'!$D:$D,MATCH(J186&amp;K186,'_courses_lookup'!$E:$E,0)),"")</f>
        <v/>
      </c>
      <c r="AE186">
        <f>IFERROR(IF(AC186*AD186=0,"",AC186*AD186),"")</f>
        <v/>
      </c>
      <c r="AH186">
        <f>IF(AND(AF186&lt;&gt;"",AG186&lt;&gt;""),ROUNDUP((AG186-AF186)/7,0),"")</f>
        <v/>
      </c>
      <c r="AJ186">
        <f>IFERROR(IF(AH186*AI186=0,"",AH186*AI186),"")</f>
        <v/>
      </c>
      <c r="AL186">
        <f>IFERROR(IF((AO186-(AE186+AJ186))/AK186=0,"",ROUNDUP((AO186-(AE186+AJ186))/AK186,0)),"")</f>
        <v/>
      </c>
      <c r="AM186">
        <f>IFERROR(IF((AO186-(AE186+AJ186))=0,"",(AO186-(AE186+AJ186))),"")</f>
        <v/>
      </c>
      <c r="AN186">
        <f>IF(AND(AC186="",AK186=""),AH186,IF(SUM(AC186,AH186,AK186)=0,"",SUM(AC186,AH186,AK186)))</f>
        <v/>
      </c>
      <c r="AY186">
        <f>IF(AB186="","",YEAR(AB186)+IF(MONTH(AB186)&gt;=5,1,0))</f>
        <v/>
      </c>
      <c r="AZ186">
        <f>IF(AB186="","",IF(AND(MONTH(AB186)=8,DAY(AB186)&gt;=15),"Fall",IF(MONTH(AB186)&gt;8,"Fall",IF(MONTH(AB186)=5,"Summer",IF(MONTH(AB186)=1,"Spring","")))))</f>
        <v/>
      </c>
      <c r="BC186" t="inlineStr">
        <is>
          <t>Bauer, Bruce L.</t>
        </is>
      </c>
      <c r="BD186">
        <f>IFERROR(INDEX('_names_lookup'!$C:$C,MATCH(BC186,'_names_lookup'!$A:$A,0)),"")</f>
        <v/>
      </c>
      <c r="BE186">
        <f>IFERROR(INDEX('_names_lookup'!$B:$B,MATCH(BC186,'_names_lookup'!$A:$A,0)),"")</f>
        <v/>
      </c>
    </row>
    <row r="187">
      <c r="H187" t="inlineStr">
        <is>
          <t>2835-02</t>
        </is>
      </c>
      <c r="I187" t="inlineStr">
        <is>
          <t>3301</t>
        </is>
      </c>
      <c r="K187" t="inlineStr">
        <is>
          <t>753</t>
        </is>
      </c>
      <c r="N187">
        <f>IFERROR(INDEX('_courses_lookup'!$C:$C,MATCH(J187&amp;K187,'_courses_lookup'!$E:$E,0)),"")</f>
        <v/>
      </c>
      <c r="O187">
        <f>IFERROR(INDEX('_courses_lookup'!$D:$D,MATCH(J187&amp;K187,'_courses_lookup'!$E:$E,0)),"")</f>
        <v/>
      </c>
      <c r="AE187">
        <f>IFERROR(IF(AC187*AD187=0,"",AC187*AD187),"")</f>
        <v/>
      </c>
      <c r="AH187">
        <f>IF(AND(AF187&lt;&gt;"",AG187&lt;&gt;""),ROUNDUP((AG187-AF187)/7,0),"")</f>
        <v/>
      </c>
      <c r="AJ187">
        <f>IFERROR(IF(AH187*AI187=0,"",AH187*AI187),"")</f>
        <v/>
      </c>
      <c r="AL187">
        <f>IFERROR(IF((AO187-(AE187+AJ187))/AK187=0,"",ROUNDUP((AO187-(AE187+AJ187))/AK187,0)),"")</f>
        <v/>
      </c>
      <c r="AM187">
        <f>IFERROR(IF((AO187-(AE187+AJ187))=0,"",(AO187-(AE187+AJ187))),"")</f>
        <v/>
      </c>
      <c r="AN187">
        <f>IF(AND(AC187="",AK187=""),AH187,IF(SUM(AC187,AH187,AK187)=0,"",SUM(AC187,AH187,AK187)))</f>
        <v/>
      </c>
      <c r="AY187">
        <f>IF(AB187="","",YEAR(AB187)+IF(MONTH(AB187)&gt;=5,1,0))</f>
        <v/>
      </c>
      <c r="AZ187">
        <f>IF(AB187="","",IF(AND(MONTH(AB187)=8,DAY(AB187)&gt;=15),"Fall",IF(MONTH(AB187)&gt;8,"Fall",IF(MONTH(AB187)=5,"Summer",IF(MONTH(AB187)=1,"Spring","")))))</f>
        <v/>
      </c>
      <c r="BC187" t="inlineStr">
        <is>
          <t>Cincala, Petr</t>
        </is>
      </c>
      <c r="BD187">
        <f>IFERROR(INDEX('_names_lookup'!$C:$C,MATCH(BC187,'_names_lookup'!$A:$A,0)),"")</f>
        <v/>
      </c>
      <c r="BE187">
        <f>IFERROR(INDEX('_names_lookup'!$B:$B,MATCH(BC187,'_names_lookup'!$A:$A,0)),"")</f>
        <v/>
      </c>
    </row>
    <row r="188">
      <c r="H188" t="inlineStr">
        <is>
          <t>2836-01</t>
        </is>
      </c>
      <c r="I188" t="inlineStr">
        <is>
          <t>3302</t>
        </is>
      </c>
      <c r="K188" t="inlineStr">
        <is>
          <t>754</t>
        </is>
      </c>
      <c r="N188">
        <f>IFERROR(INDEX('_courses_lookup'!$C:$C,MATCH(J188&amp;K188,'_courses_lookup'!$E:$E,0)),"")</f>
        <v/>
      </c>
      <c r="O188">
        <f>IFERROR(INDEX('_courses_lookup'!$D:$D,MATCH(J188&amp;K188,'_courses_lookup'!$E:$E,0)),"")</f>
        <v/>
      </c>
      <c r="AE188">
        <f>IFERROR(IF(AC188*AD188=0,"",AC188*AD188),"")</f>
        <v/>
      </c>
      <c r="AH188">
        <f>IF(AND(AF188&lt;&gt;"",AG188&lt;&gt;""),ROUNDUP((AG188-AF188)/7,0),"")</f>
        <v/>
      </c>
      <c r="AJ188">
        <f>IFERROR(IF(AH188*AI188=0,"",AH188*AI188),"")</f>
        <v/>
      </c>
      <c r="AL188">
        <f>IFERROR(IF((AO188-(AE188+AJ188))/AK188=0,"",ROUNDUP((AO188-(AE188+AJ188))/AK188,0)),"")</f>
        <v/>
      </c>
      <c r="AM188">
        <f>IFERROR(IF((AO188-(AE188+AJ188))=0,"",(AO188-(AE188+AJ188))),"")</f>
        <v/>
      </c>
      <c r="AN188">
        <f>IF(AND(AC188="",AK188=""),AH188,IF(SUM(AC188,AH188,AK188)=0,"",SUM(AC188,AH188,AK188)))</f>
        <v/>
      </c>
      <c r="AY188">
        <f>IF(AB188="","",YEAR(AB188)+IF(MONTH(AB188)&gt;=5,1,0))</f>
        <v/>
      </c>
      <c r="AZ188">
        <f>IF(AB188="","",IF(AND(MONTH(AB188)=8,DAY(AB188)&gt;=15),"Fall",IF(MONTH(AB188)&gt;8,"Fall",IF(MONTH(AB188)=5,"Summer",IF(MONTH(AB188)=1,"Spring","")))))</f>
        <v/>
      </c>
      <c r="BC188" t="inlineStr">
        <is>
          <t>Dementyev, Vadim</t>
        </is>
      </c>
      <c r="BD188">
        <f>IFERROR(INDEX('_names_lookup'!$C:$C,MATCH(BC188,'_names_lookup'!$A:$A,0)),"")</f>
        <v/>
      </c>
      <c r="BE188">
        <f>IFERROR(INDEX('_names_lookup'!$B:$B,MATCH(BC188,'_names_lookup'!$A:$A,0)),"")</f>
        <v/>
      </c>
    </row>
    <row r="189">
      <c r="H189" t="inlineStr">
        <is>
          <t>2836-02</t>
        </is>
      </c>
      <c r="I189" t="inlineStr">
        <is>
          <t>3303</t>
        </is>
      </c>
      <c r="K189" t="inlineStr">
        <is>
          <t>758</t>
        </is>
      </c>
      <c r="N189">
        <f>IFERROR(INDEX('_courses_lookup'!$C:$C,MATCH(J189&amp;K189,'_courses_lookup'!$E:$E,0)),"")</f>
        <v/>
      </c>
      <c r="O189">
        <f>IFERROR(INDEX('_courses_lookup'!$D:$D,MATCH(J189&amp;K189,'_courses_lookup'!$E:$E,0)),"")</f>
        <v/>
      </c>
      <c r="AE189">
        <f>IFERROR(IF(AC189*AD189=0,"",AC189*AD189),"")</f>
        <v/>
      </c>
      <c r="AH189">
        <f>IF(AND(AF189&lt;&gt;"",AG189&lt;&gt;""),ROUNDUP((AG189-AF189)/7,0),"")</f>
        <v/>
      </c>
      <c r="AJ189">
        <f>IFERROR(IF(AH189*AI189=0,"",AH189*AI189),"")</f>
        <v/>
      </c>
      <c r="AL189">
        <f>IFERROR(IF((AO189-(AE189+AJ189))/AK189=0,"",ROUNDUP((AO189-(AE189+AJ189))/AK189,0)),"")</f>
        <v/>
      </c>
      <c r="AM189">
        <f>IFERROR(IF((AO189-(AE189+AJ189))=0,"",(AO189-(AE189+AJ189))),"")</f>
        <v/>
      </c>
      <c r="AN189">
        <f>IF(AND(AC189="",AK189=""),AH189,IF(SUM(AC189,AH189,AK189)=0,"",SUM(AC189,AH189,AK189)))</f>
        <v/>
      </c>
      <c r="AY189">
        <f>IF(AB189="","",YEAR(AB189)+IF(MONTH(AB189)&gt;=5,1,0))</f>
        <v/>
      </c>
      <c r="AZ189">
        <f>IF(AB189="","",IF(AND(MONTH(AB189)=8,DAY(AB189)&gt;=15),"Fall",IF(MONTH(AB189)&gt;8,"Fall",IF(MONTH(AB189)=5,"Summer",IF(MONTH(AB189)=1,"Spring","")))))</f>
        <v/>
      </c>
      <c r="BC189" t="inlineStr">
        <is>
          <t>Doss, Cheryl D.</t>
        </is>
      </c>
      <c r="BD189">
        <f>IFERROR(INDEX('_names_lookup'!$C:$C,MATCH(BC189,'_names_lookup'!$A:$A,0)),"")</f>
        <v/>
      </c>
      <c r="BE189">
        <f>IFERROR(INDEX('_names_lookup'!$B:$B,MATCH(BC189,'_names_lookup'!$A:$A,0)),"")</f>
        <v/>
      </c>
    </row>
    <row r="190">
      <c r="H190" t="inlineStr">
        <is>
          <t>2838-01</t>
        </is>
      </c>
      <c r="I190" t="inlineStr">
        <is>
          <t>3304</t>
        </is>
      </c>
      <c r="K190" t="inlineStr">
        <is>
          <t>760</t>
        </is>
      </c>
      <c r="N190">
        <f>IFERROR(INDEX('_courses_lookup'!$C:$C,MATCH(J190&amp;K190,'_courses_lookup'!$E:$E,0)),"")</f>
        <v/>
      </c>
      <c r="O190">
        <f>IFERROR(INDEX('_courses_lookup'!$D:$D,MATCH(J190&amp;K190,'_courses_lookup'!$E:$E,0)),"")</f>
        <v/>
      </c>
      <c r="AE190">
        <f>IFERROR(IF(AC190*AD190=0,"",AC190*AD190),"")</f>
        <v/>
      </c>
      <c r="AH190">
        <f>IF(AND(AF190&lt;&gt;"",AG190&lt;&gt;""),ROUNDUP((AG190-AF190)/7,0),"")</f>
        <v/>
      </c>
      <c r="AJ190">
        <f>IFERROR(IF(AH190*AI190=0,"",AH190*AI190),"")</f>
        <v/>
      </c>
      <c r="AL190">
        <f>IFERROR(IF((AO190-(AE190+AJ190))/AK190=0,"",ROUNDUP((AO190-(AE190+AJ190))/AK190,0)),"")</f>
        <v/>
      </c>
      <c r="AM190">
        <f>IFERROR(IF((AO190-(AE190+AJ190))=0,"",(AO190-(AE190+AJ190))),"")</f>
        <v/>
      </c>
      <c r="AN190">
        <f>IF(AND(AC190="",AK190=""),AH190,IF(SUM(AC190,AH190,AK190)=0,"",SUM(AC190,AH190,AK190)))</f>
        <v/>
      </c>
      <c r="AY190">
        <f>IF(AB190="","",YEAR(AB190)+IF(MONTH(AB190)&gt;=5,1,0))</f>
        <v/>
      </c>
      <c r="AZ190">
        <f>IF(AB190="","",IF(AND(MONTH(AB190)=8,DAY(AB190)&gt;=15),"Fall",IF(MONTH(AB190)&gt;8,"Fall",IF(MONTH(AB190)=5,"Summer",IF(MONTH(AB190)=1,"Spring","")))))</f>
        <v/>
      </c>
      <c r="BC190" t="inlineStr">
        <is>
          <t>Doss, Gorden R.</t>
        </is>
      </c>
      <c r="BD190">
        <f>IFERROR(INDEX('_names_lookup'!$C:$C,MATCH(BC190,'_names_lookup'!$A:$A,0)),"")</f>
        <v/>
      </c>
      <c r="BE190">
        <f>IFERROR(INDEX('_names_lookup'!$B:$B,MATCH(BC190,'_names_lookup'!$A:$A,0)),"")</f>
        <v/>
      </c>
    </row>
    <row r="191">
      <c r="H191" t="inlineStr">
        <is>
          <t>2838-02</t>
        </is>
      </c>
      <c r="I191" t="inlineStr">
        <is>
          <t>3305</t>
        </is>
      </c>
      <c r="K191" t="inlineStr">
        <is>
          <t>761</t>
        </is>
      </c>
      <c r="N191">
        <f>IFERROR(INDEX('_courses_lookup'!$C:$C,MATCH(J191&amp;K191,'_courses_lookup'!$E:$E,0)),"")</f>
        <v/>
      </c>
      <c r="O191">
        <f>IFERROR(INDEX('_courses_lookup'!$D:$D,MATCH(J191&amp;K191,'_courses_lookup'!$E:$E,0)),"")</f>
        <v/>
      </c>
      <c r="AE191">
        <f>IFERROR(IF(AC191*AD191=0,"",AC191*AD191),"")</f>
        <v/>
      </c>
      <c r="AH191">
        <f>IF(AND(AF191&lt;&gt;"",AG191&lt;&gt;""),ROUNDUP((AG191-AF191)/7,0),"")</f>
        <v/>
      </c>
      <c r="AJ191">
        <f>IFERROR(IF(AH191*AI191=0,"",AH191*AI191),"")</f>
        <v/>
      </c>
      <c r="AL191">
        <f>IFERROR(IF((AO191-(AE191+AJ191))/AK191=0,"",ROUNDUP((AO191-(AE191+AJ191))/AK191,0)),"")</f>
        <v/>
      </c>
      <c r="AM191">
        <f>IFERROR(IF((AO191-(AE191+AJ191))=0,"",(AO191-(AE191+AJ191))),"")</f>
        <v/>
      </c>
      <c r="AN191">
        <f>IF(AND(AC191="",AK191=""),AH191,IF(SUM(AC191,AH191,AK191)=0,"",SUM(AC191,AH191,AK191)))</f>
        <v/>
      </c>
      <c r="AY191">
        <f>IF(AB191="","",YEAR(AB191)+IF(MONTH(AB191)&gt;=5,1,0))</f>
        <v/>
      </c>
      <c r="AZ191">
        <f>IF(AB191="","",IF(AND(MONTH(AB191)=8,DAY(AB191)&gt;=15),"Fall",IF(MONTH(AB191)&gt;8,"Fall",IF(MONTH(AB191)=5,"Summer",IF(MONTH(AB191)=1,"Spring","")))))</f>
        <v/>
      </c>
      <c r="BC191" t="inlineStr">
        <is>
          <t>Drumi, Iurii N.</t>
        </is>
      </c>
      <c r="BD191">
        <f>IFERROR(INDEX('_names_lookup'!$C:$C,MATCH(BC191,'_names_lookup'!$A:$A,0)),"")</f>
        <v/>
      </c>
      <c r="BE191">
        <f>IFERROR(INDEX('_names_lookup'!$B:$B,MATCH(BC191,'_names_lookup'!$A:$A,0)),"")</f>
        <v/>
      </c>
    </row>
    <row r="192">
      <c r="H192" t="inlineStr">
        <is>
          <t>2841-01</t>
        </is>
      </c>
      <c r="I192" t="inlineStr">
        <is>
          <t>3306</t>
        </is>
      </c>
      <c r="K192" t="inlineStr">
        <is>
          <t>762</t>
        </is>
      </c>
      <c r="N192">
        <f>IFERROR(INDEX('_courses_lookup'!$C:$C,MATCH(J192&amp;K192,'_courses_lookup'!$E:$E,0)),"")</f>
        <v/>
      </c>
      <c r="O192">
        <f>IFERROR(INDEX('_courses_lookup'!$D:$D,MATCH(J192&amp;K192,'_courses_lookup'!$E:$E,0)),"")</f>
        <v/>
      </c>
      <c r="AE192">
        <f>IFERROR(IF(AC192*AD192=0,"",AC192*AD192),"")</f>
        <v/>
      </c>
      <c r="AH192">
        <f>IF(AND(AF192&lt;&gt;"",AG192&lt;&gt;""),ROUNDUP((AG192-AF192)/7,0),"")</f>
        <v/>
      </c>
      <c r="AJ192">
        <f>IFERROR(IF(AH192*AI192=0,"",AH192*AI192),"")</f>
        <v/>
      </c>
      <c r="AL192">
        <f>IFERROR(IF((AO192-(AE192+AJ192))/AK192=0,"",ROUNDUP((AO192-(AE192+AJ192))/AK192,0)),"")</f>
        <v/>
      </c>
      <c r="AM192">
        <f>IFERROR(IF((AO192-(AE192+AJ192))=0,"",(AO192-(AE192+AJ192))),"")</f>
        <v/>
      </c>
      <c r="AN192">
        <f>IF(AND(AC192="",AK192=""),AH192,IF(SUM(AC192,AH192,AK192)=0,"",SUM(AC192,AH192,AK192)))</f>
        <v/>
      </c>
      <c r="AY192">
        <f>IF(AB192="","",YEAR(AB192)+IF(MONTH(AB192)&gt;=5,1,0))</f>
        <v/>
      </c>
      <c r="AZ192">
        <f>IF(AB192="","",IF(AND(MONTH(AB192)=8,DAY(AB192)&gt;=15),"Fall",IF(MONTH(AB192)&gt;8,"Fall",IF(MONTH(AB192)=5,"Summer",IF(MONTH(AB192)=1,"Spring","")))))</f>
        <v/>
      </c>
      <c r="BC192" t="inlineStr">
        <is>
          <t>Duffis Gordon, Daniel M.</t>
        </is>
      </c>
      <c r="BD192">
        <f>IFERROR(INDEX('_names_lookup'!$C:$C,MATCH(BC192,'_names_lookup'!$A:$A,0)),"")</f>
        <v/>
      </c>
      <c r="BE192">
        <f>IFERROR(INDEX('_names_lookup'!$B:$B,MATCH(BC192,'_names_lookup'!$A:$A,0)),"")</f>
        <v/>
      </c>
    </row>
    <row r="193">
      <c r="H193" t="inlineStr">
        <is>
          <t>2847-01</t>
        </is>
      </c>
      <c r="I193" t="inlineStr">
        <is>
          <t>3307</t>
        </is>
      </c>
      <c r="K193" t="inlineStr">
        <is>
          <t>763</t>
        </is>
      </c>
      <c r="N193">
        <f>IFERROR(INDEX('_courses_lookup'!$C:$C,MATCH(J193&amp;K193,'_courses_lookup'!$E:$E,0)),"")</f>
        <v/>
      </c>
      <c r="O193">
        <f>IFERROR(INDEX('_courses_lookup'!$D:$D,MATCH(J193&amp;K193,'_courses_lookup'!$E:$E,0)),"")</f>
        <v/>
      </c>
      <c r="AE193">
        <f>IFERROR(IF(AC193*AD193=0,"",AC193*AD193),"")</f>
        <v/>
      </c>
      <c r="AH193">
        <f>IF(AND(AF193&lt;&gt;"",AG193&lt;&gt;""),ROUNDUP((AG193-AF193)/7,0),"")</f>
        <v/>
      </c>
      <c r="AJ193">
        <f>IFERROR(IF(AH193*AI193=0,"",AH193*AI193),"")</f>
        <v/>
      </c>
      <c r="AL193">
        <f>IFERROR(IF((AO193-(AE193+AJ193))/AK193=0,"",ROUNDUP((AO193-(AE193+AJ193))/AK193,0)),"")</f>
        <v/>
      </c>
      <c r="AM193">
        <f>IFERROR(IF((AO193-(AE193+AJ193))=0,"",(AO193-(AE193+AJ193))),"")</f>
        <v/>
      </c>
      <c r="AN193">
        <f>IF(AND(AC193="",AK193=""),AH193,IF(SUM(AC193,AH193,AK193)=0,"",SUM(AC193,AH193,AK193)))</f>
        <v/>
      </c>
      <c r="AY193">
        <f>IF(AB193="","",YEAR(AB193)+IF(MONTH(AB193)&gt;=5,1,0))</f>
        <v/>
      </c>
      <c r="AZ193">
        <f>IF(AB193="","",IF(AND(MONTH(AB193)=8,DAY(AB193)&gt;=15),"Fall",IF(MONTH(AB193)&gt;8,"Fall",IF(MONTH(AB193)=5,"Summer",IF(MONTH(AB193)=1,"Spring","")))))</f>
        <v/>
      </c>
      <c r="BC193" t="inlineStr">
        <is>
          <t>Dybdahl, Jon L.</t>
        </is>
      </c>
      <c r="BD193">
        <f>IFERROR(INDEX('_names_lookup'!$C:$C,MATCH(BC193,'_names_lookup'!$A:$A,0)),"")</f>
        <v/>
      </c>
      <c r="BE193">
        <f>IFERROR(INDEX('_names_lookup'!$B:$B,MATCH(BC193,'_names_lookup'!$A:$A,0)),"")</f>
        <v/>
      </c>
    </row>
    <row r="194">
      <c r="H194" t="inlineStr">
        <is>
          <t>2852-01</t>
        </is>
      </c>
      <c r="I194" t="inlineStr">
        <is>
          <t>3308</t>
        </is>
      </c>
      <c r="K194" t="inlineStr">
        <is>
          <t>765</t>
        </is>
      </c>
      <c r="N194">
        <f>IFERROR(INDEX('_courses_lookup'!$C:$C,MATCH(J194&amp;K194,'_courses_lookup'!$E:$E,0)),"")</f>
        <v/>
      </c>
      <c r="O194">
        <f>IFERROR(INDEX('_courses_lookup'!$D:$D,MATCH(J194&amp;K194,'_courses_lookup'!$E:$E,0)),"")</f>
        <v/>
      </c>
      <c r="AE194">
        <f>IFERROR(IF(AC194*AD194=0,"",AC194*AD194),"")</f>
        <v/>
      </c>
      <c r="AH194">
        <f>IF(AND(AF194&lt;&gt;"",AG194&lt;&gt;""),ROUNDUP((AG194-AF194)/7,0),"")</f>
        <v/>
      </c>
      <c r="AJ194">
        <f>IFERROR(IF(AH194*AI194=0,"",AH194*AI194),"")</f>
        <v/>
      </c>
      <c r="AL194">
        <f>IFERROR(IF((AO194-(AE194+AJ194))/AK194=0,"",ROUNDUP((AO194-(AE194+AJ194))/AK194,0)),"")</f>
        <v/>
      </c>
      <c r="AM194">
        <f>IFERROR(IF((AO194-(AE194+AJ194))=0,"",(AO194-(AE194+AJ194))),"")</f>
        <v/>
      </c>
      <c r="AN194">
        <f>IF(AND(AC194="",AK194=""),AH194,IF(SUM(AC194,AH194,AK194)=0,"",SUM(AC194,AH194,AK194)))</f>
        <v/>
      </c>
      <c r="AY194">
        <f>IF(AB194="","",YEAR(AB194)+IF(MONTH(AB194)&gt;=5,1,0))</f>
        <v/>
      </c>
      <c r="AZ194">
        <f>IF(AB194="","",IF(AND(MONTH(AB194)=8,DAY(AB194)&gt;=15),"Fall",IF(MONTH(AB194)&gt;8,"Fall",IF(MONTH(AB194)=5,"Summer",IF(MONTH(AB194)=1,"Spring","")))))</f>
        <v/>
      </c>
      <c r="BC194" t="inlineStr">
        <is>
          <t>Dybdahl, Paul B.</t>
        </is>
      </c>
      <c r="BD194">
        <f>IFERROR(INDEX('_names_lookup'!$C:$C,MATCH(BC194,'_names_lookup'!$A:$A,0)),"")</f>
        <v/>
      </c>
      <c r="BE194">
        <f>IFERROR(INDEX('_names_lookup'!$B:$B,MATCH(BC194,'_names_lookup'!$A:$A,0)),"")</f>
        <v/>
      </c>
    </row>
    <row r="195">
      <c r="H195" t="inlineStr">
        <is>
          <t>2855-01</t>
        </is>
      </c>
      <c r="I195" t="inlineStr">
        <is>
          <t>3309</t>
        </is>
      </c>
      <c r="K195" t="inlineStr">
        <is>
          <t>767</t>
        </is>
      </c>
      <c r="N195">
        <f>IFERROR(INDEX('_courses_lookup'!$C:$C,MATCH(J195&amp;K195,'_courses_lookup'!$E:$E,0)),"")</f>
        <v/>
      </c>
      <c r="O195">
        <f>IFERROR(INDEX('_courses_lookup'!$D:$D,MATCH(J195&amp;K195,'_courses_lookup'!$E:$E,0)),"")</f>
        <v/>
      </c>
      <c r="AE195">
        <f>IFERROR(IF(AC195*AD195=0,"",AC195*AD195),"")</f>
        <v/>
      </c>
      <c r="AH195">
        <f>IF(AND(AF195&lt;&gt;"",AG195&lt;&gt;""),ROUNDUP((AG195-AF195)/7,0),"")</f>
        <v/>
      </c>
      <c r="AJ195">
        <f>IFERROR(IF(AH195*AI195=0,"",AH195*AI195),"")</f>
        <v/>
      </c>
      <c r="AL195">
        <f>IFERROR(IF((AO195-(AE195+AJ195))/AK195=0,"",ROUNDUP((AO195-(AE195+AJ195))/AK195,0)),"")</f>
        <v/>
      </c>
      <c r="AM195">
        <f>IFERROR(IF((AO195-(AE195+AJ195))=0,"",(AO195-(AE195+AJ195))),"")</f>
        <v/>
      </c>
      <c r="AN195">
        <f>IF(AND(AC195="",AK195=""),AH195,IF(SUM(AC195,AH195,AK195)=0,"",SUM(AC195,AH195,AK195)))</f>
        <v/>
      </c>
      <c r="AY195">
        <f>IF(AB195="","",YEAR(AB195)+IF(MONTH(AB195)&gt;=5,1,0))</f>
        <v/>
      </c>
      <c r="AZ195">
        <f>IF(AB195="","",IF(AND(MONTH(AB195)=8,DAY(AB195)&gt;=15),"Fall",IF(MONTH(AB195)&gt;8,"Fall",IF(MONTH(AB195)=5,"Summer",IF(MONTH(AB195)=1,"Spring","")))))</f>
        <v/>
      </c>
      <c r="BC195" t="inlineStr">
        <is>
          <t>Goya Rozas, Ignacio</t>
        </is>
      </c>
      <c r="BD195">
        <f>IFERROR(INDEX('_names_lookup'!$C:$C,MATCH(BC195,'_names_lookup'!$A:$A,0)),"")</f>
        <v/>
      </c>
      <c r="BE195">
        <f>IFERROR(INDEX('_names_lookup'!$B:$B,MATCH(BC195,'_names_lookup'!$A:$A,0)),"")</f>
        <v/>
      </c>
    </row>
    <row r="196">
      <c r="H196" t="inlineStr">
        <is>
          <t>2855-02</t>
        </is>
      </c>
      <c r="I196" t="inlineStr">
        <is>
          <t>331</t>
        </is>
      </c>
      <c r="K196" t="inlineStr">
        <is>
          <t>770</t>
        </is>
      </c>
      <c r="N196">
        <f>IFERROR(INDEX('_courses_lookup'!$C:$C,MATCH(J196&amp;K196,'_courses_lookup'!$E:$E,0)),"")</f>
        <v/>
      </c>
      <c r="O196">
        <f>IFERROR(INDEX('_courses_lookup'!$D:$D,MATCH(J196&amp;K196,'_courses_lookup'!$E:$E,0)),"")</f>
        <v/>
      </c>
      <c r="AE196">
        <f>IFERROR(IF(AC196*AD196=0,"",AC196*AD196),"")</f>
        <v/>
      </c>
      <c r="AH196">
        <f>IF(AND(AF196&lt;&gt;"",AG196&lt;&gt;""),ROUNDUP((AG196-AF196)/7,0),"")</f>
        <v/>
      </c>
      <c r="AJ196">
        <f>IFERROR(IF(AH196*AI196=0,"",AH196*AI196),"")</f>
        <v/>
      </c>
      <c r="AL196">
        <f>IFERROR(IF((AO196-(AE196+AJ196))/AK196=0,"",ROUNDUP((AO196-(AE196+AJ196))/AK196,0)),"")</f>
        <v/>
      </c>
      <c r="AM196">
        <f>IFERROR(IF((AO196-(AE196+AJ196))=0,"",(AO196-(AE196+AJ196))),"")</f>
        <v/>
      </c>
      <c r="AN196">
        <f>IF(AND(AC196="",AK196=""),AH196,IF(SUM(AC196,AH196,AK196)=0,"",SUM(AC196,AH196,AK196)))</f>
        <v/>
      </c>
      <c r="AY196">
        <f>IF(AB196="","",YEAR(AB196)+IF(MONTH(AB196)&gt;=5,1,0))</f>
        <v/>
      </c>
      <c r="AZ196">
        <f>IF(AB196="","",IF(AND(MONTH(AB196)=8,DAY(AB196)&gt;=15),"Fall",IF(MONTH(AB196)&gt;8,"Fall",IF(MONTH(AB196)=5,"Summer",IF(MONTH(AB196)=1,"Spring","")))))</f>
        <v/>
      </c>
      <c r="BC196" t="inlineStr">
        <is>
          <t>Guerrero Romero, Abraham I.</t>
        </is>
      </c>
      <c r="BD196">
        <f>IFERROR(INDEX('_names_lookup'!$C:$C,MATCH(BC196,'_names_lookup'!$A:$A,0)),"")</f>
        <v/>
      </c>
      <c r="BE196">
        <f>IFERROR(INDEX('_names_lookup'!$B:$B,MATCH(BC196,'_names_lookup'!$A:$A,0)),"")</f>
        <v/>
      </c>
    </row>
    <row r="197">
      <c r="H197" t="inlineStr">
        <is>
          <t>2856-01</t>
        </is>
      </c>
      <c r="I197" t="inlineStr">
        <is>
          <t>3310</t>
        </is>
      </c>
      <c r="K197" t="inlineStr">
        <is>
          <t>773</t>
        </is>
      </c>
      <c r="N197">
        <f>IFERROR(INDEX('_courses_lookup'!$C:$C,MATCH(J197&amp;K197,'_courses_lookup'!$E:$E,0)),"")</f>
        <v/>
      </c>
      <c r="O197">
        <f>IFERROR(INDEX('_courses_lookup'!$D:$D,MATCH(J197&amp;K197,'_courses_lookup'!$E:$E,0)),"")</f>
        <v/>
      </c>
      <c r="AE197">
        <f>IFERROR(IF(AC197*AD197=0,"",AC197*AD197),"")</f>
        <v/>
      </c>
      <c r="AH197">
        <f>IF(AND(AF197&lt;&gt;"",AG197&lt;&gt;""),ROUNDUP((AG197-AF197)/7,0),"")</f>
        <v/>
      </c>
      <c r="AJ197">
        <f>IFERROR(IF(AH197*AI197=0,"",AH197*AI197),"")</f>
        <v/>
      </c>
      <c r="AL197">
        <f>IFERROR(IF((AO197-(AE197+AJ197))/AK197=0,"",ROUNDUP((AO197-(AE197+AJ197))/AK197,0)),"")</f>
        <v/>
      </c>
      <c r="AM197">
        <f>IFERROR(IF((AO197-(AE197+AJ197))=0,"",(AO197-(AE197+AJ197))),"")</f>
        <v/>
      </c>
      <c r="AN197">
        <f>IF(AND(AC197="",AK197=""),AH197,IF(SUM(AC197,AH197,AK197)=0,"",SUM(AC197,AH197,AK197)))</f>
        <v/>
      </c>
      <c r="AY197">
        <f>IF(AB197="","",YEAR(AB197)+IF(MONTH(AB197)&gt;=5,1,0))</f>
        <v/>
      </c>
      <c r="AZ197">
        <f>IF(AB197="","",IF(AND(MONTH(AB197)=8,DAY(AB197)&gt;=15),"Fall",IF(MONTH(AB197)&gt;8,"Fall",IF(MONTH(AB197)=5,"Summer",IF(MONTH(AB197)=1,"Spring","")))))</f>
        <v/>
      </c>
      <c r="BC197" t="inlineStr">
        <is>
          <t>Guirguis, Youssry L.</t>
        </is>
      </c>
      <c r="BD197">
        <f>IFERROR(INDEX('_names_lookup'!$C:$C,MATCH(BC197,'_names_lookup'!$A:$A,0)),"")</f>
        <v/>
      </c>
      <c r="BE197">
        <f>IFERROR(INDEX('_names_lookup'!$B:$B,MATCH(BC197,'_names_lookup'!$A:$A,0)),"")</f>
        <v/>
      </c>
    </row>
    <row r="198">
      <c r="H198" t="inlineStr">
        <is>
          <t>2859-01</t>
        </is>
      </c>
      <c r="I198" t="inlineStr">
        <is>
          <t>3311</t>
        </is>
      </c>
      <c r="K198" t="inlineStr">
        <is>
          <t>774</t>
        </is>
      </c>
      <c r="N198">
        <f>IFERROR(INDEX('_courses_lookup'!$C:$C,MATCH(J198&amp;K198,'_courses_lookup'!$E:$E,0)),"")</f>
        <v/>
      </c>
      <c r="O198">
        <f>IFERROR(INDEX('_courses_lookup'!$D:$D,MATCH(J198&amp;K198,'_courses_lookup'!$E:$E,0)),"")</f>
        <v/>
      </c>
      <c r="AE198">
        <f>IFERROR(IF(AC198*AD198=0,"",AC198*AD198),"")</f>
        <v/>
      </c>
      <c r="AH198">
        <f>IF(AND(AF198&lt;&gt;"",AG198&lt;&gt;""),ROUNDUP((AG198-AF198)/7,0),"")</f>
        <v/>
      </c>
      <c r="AJ198">
        <f>IFERROR(IF(AH198*AI198=0,"",AH198*AI198),"")</f>
        <v/>
      </c>
      <c r="AL198">
        <f>IFERROR(IF((AO198-(AE198+AJ198))/AK198=0,"",ROUNDUP((AO198-(AE198+AJ198))/AK198,0)),"")</f>
        <v/>
      </c>
      <c r="AM198">
        <f>IFERROR(IF((AO198-(AE198+AJ198))=0,"",(AO198-(AE198+AJ198))),"")</f>
        <v/>
      </c>
      <c r="AN198">
        <f>IF(AND(AC198="",AK198=""),AH198,IF(SUM(AC198,AH198,AK198)=0,"",SUM(AC198,AH198,AK198)))</f>
        <v/>
      </c>
      <c r="AY198">
        <f>IF(AB198="","",YEAR(AB198)+IF(MONTH(AB198)&gt;=5,1,0))</f>
        <v/>
      </c>
      <c r="AZ198">
        <f>IF(AB198="","",IF(AND(MONTH(AB198)=8,DAY(AB198)&gt;=15),"Fall",IF(MONTH(AB198)&gt;8,"Fall",IF(MONTH(AB198)=5,"Summer",IF(MONTH(AB198)=1,"Spring","")))))</f>
        <v/>
      </c>
      <c r="BC198" t="inlineStr">
        <is>
          <t>Hunter, Claval I.</t>
        </is>
      </c>
      <c r="BD198">
        <f>IFERROR(INDEX('_names_lookup'!$C:$C,MATCH(BC198,'_names_lookup'!$A:$A,0)),"")</f>
        <v/>
      </c>
      <c r="BE198">
        <f>IFERROR(INDEX('_names_lookup'!$B:$B,MATCH(BC198,'_names_lookup'!$A:$A,0)),"")</f>
        <v/>
      </c>
    </row>
    <row r="199">
      <c r="H199" t="inlineStr">
        <is>
          <t>2860-01</t>
        </is>
      </c>
      <c r="I199" t="inlineStr">
        <is>
          <t>3312</t>
        </is>
      </c>
      <c r="K199" t="inlineStr">
        <is>
          <t>776</t>
        </is>
      </c>
      <c r="N199">
        <f>IFERROR(INDEX('_courses_lookup'!$C:$C,MATCH(J199&amp;K199,'_courses_lookup'!$E:$E,0)),"")</f>
        <v/>
      </c>
      <c r="O199">
        <f>IFERROR(INDEX('_courses_lookup'!$D:$D,MATCH(J199&amp;K199,'_courses_lookup'!$E:$E,0)),"")</f>
        <v/>
      </c>
      <c r="AE199">
        <f>IFERROR(IF(AC199*AD199=0,"",AC199*AD199),"")</f>
        <v/>
      </c>
      <c r="AH199">
        <f>IF(AND(AF199&lt;&gt;"",AG199&lt;&gt;""),ROUNDUP((AG199-AF199)/7,0),"")</f>
        <v/>
      </c>
      <c r="AJ199">
        <f>IFERROR(IF(AH199*AI199=0,"",AH199*AI199),"")</f>
        <v/>
      </c>
      <c r="AL199">
        <f>IFERROR(IF((AO199-(AE199+AJ199))/AK199=0,"",ROUNDUP((AO199-(AE199+AJ199))/AK199,0)),"")</f>
        <v/>
      </c>
      <c r="AM199">
        <f>IFERROR(IF((AO199-(AE199+AJ199))=0,"",(AO199-(AE199+AJ199))),"")</f>
        <v/>
      </c>
      <c r="AN199">
        <f>IF(AND(AC199="",AK199=""),AH199,IF(SUM(AC199,AH199,AK199)=0,"",SUM(AC199,AH199,AK199)))</f>
        <v/>
      </c>
      <c r="AY199">
        <f>IF(AB199="","",YEAR(AB199)+IF(MONTH(AB199)&gt;=5,1,0))</f>
        <v/>
      </c>
      <c r="AZ199">
        <f>IF(AB199="","",IF(AND(MONTH(AB199)=8,DAY(AB199)&gt;=15),"Fall",IF(MONTH(AB199)&gt;8,"Fall",IF(MONTH(AB199)=5,"Summer",IF(MONTH(AB199)=1,"Spring","")))))</f>
        <v/>
      </c>
      <c r="BC199" t="inlineStr">
        <is>
          <t>Ialyshev, Kemil K.</t>
        </is>
      </c>
      <c r="BD199">
        <f>IFERROR(INDEX('_names_lookup'!$C:$C,MATCH(BC199,'_names_lookup'!$A:$A,0)),"")</f>
        <v/>
      </c>
      <c r="BE199">
        <f>IFERROR(INDEX('_names_lookup'!$B:$B,MATCH(BC199,'_names_lookup'!$A:$A,0)),"")</f>
        <v/>
      </c>
    </row>
    <row r="200">
      <c r="H200" t="inlineStr">
        <is>
          <t>2865-01</t>
        </is>
      </c>
      <c r="I200" t="inlineStr">
        <is>
          <t>3313</t>
        </is>
      </c>
      <c r="K200" t="inlineStr">
        <is>
          <t>777</t>
        </is>
      </c>
      <c r="N200">
        <f>IFERROR(INDEX('_courses_lookup'!$C:$C,MATCH(J200&amp;K200,'_courses_lookup'!$E:$E,0)),"")</f>
        <v/>
      </c>
      <c r="O200">
        <f>IFERROR(INDEX('_courses_lookup'!$D:$D,MATCH(J200&amp;K200,'_courses_lookup'!$E:$E,0)),"")</f>
        <v/>
      </c>
      <c r="AE200">
        <f>IFERROR(IF(AC200*AD200=0,"",AC200*AD200),"")</f>
        <v/>
      </c>
      <c r="AH200">
        <f>IF(AND(AF200&lt;&gt;"",AG200&lt;&gt;""),ROUNDUP((AG200-AF200)/7,0),"")</f>
        <v/>
      </c>
      <c r="AJ200">
        <f>IFERROR(IF(AH200*AI200=0,"",AH200*AI200),"")</f>
        <v/>
      </c>
      <c r="AL200">
        <f>IFERROR(IF((AO200-(AE200+AJ200))/AK200=0,"",ROUNDUP((AO200-(AE200+AJ200))/AK200,0)),"")</f>
        <v/>
      </c>
      <c r="AM200">
        <f>IFERROR(IF((AO200-(AE200+AJ200))=0,"",(AO200-(AE200+AJ200))),"")</f>
        <v/>
      </c>
      <c r="AN200">
        <f>IF(AND(AC200="",AK200=""),AH200,IF(SUM(AC200,AH200,AK200)=0,"",SUM(AC200,AH200,AK200)))</f>
        <v/>
      </c>
      <c r="AY200">
        <f>IF(AB200="","",YEAR(AB200)+IF(MONTH(AB200)&gt;=5,1,0))</f>
        <v/>
      </c>
      <c r="AZ200">
        <f>IF(AB200="","",IF(AND(MONTH(AB200)=8,DAY(AB200)&gt;=15),"Fall",IF(MONTH(AB200)&gt;8,"Fall",IF(MONTH(AB200)=5,"Summer",IF(MONTH(AB200)=1,"Spring","")))))</f>
        <v/>
      </c>
      <c r="BC200" t="inlineStr">
        <is>
          <t>Insom, Surachet</t>
        </is>
      </c>
      <c r="BD200">
        <f>IFERROR(INDEX('_names_lookup'!$C:$C,MATCH(BC200,'_names_lookup'!$A:$A,0)),"")</f>
        <v/>
      </c>
      <c r="BE200">
        <f>IFERROR(INDEX('_names_lookup'!$B:$B,MATCH(BC200,'_names_lookup'!$A:$A,0)),"")</f>
        <v/>
      </c>
    </row>
    <row r="201">
      <c r="H201" t="inlineStr">
        <is>
          <t>2871-01</t>
        </is>
      </c>
      <c r="I201" t="inlineStr">
        <is>
          <t>3314</t>
        </is>
      </c>
      <c r="K201" t="inlineStr">
        <is>
          <t>778</t>
        </is>
      </c>
      <c r="N201">
        <f>IFERROR(INDEX('_courses_lookup'!$C:$C,MATCH(J201&amp;K201,'_courses_lookup'!$E:$E,0)),"")</f>
        <v/>
      </c>
      <c r="O201">
        <f>IFERROR(INDEX('_courses_lookup'!$D:$D,MATCH(J201&amp;K201,'_courses_lookup'!$E:$E,0)),"")</f>
        <v/>
      </c>
      <c r="AE201">
        <f>IFERROR(IF(AC201*AD201=0,"",AC201*AD201),"")</f>
        <v/>
      </c>
      <c r="AH201">
        <f>IF(AND(AF201&lt;&gt;"",AG201&lt;&gt;""),ROUNDUP((AG201-AF201)/7,0),"")</f>
        <v/>
      </c>
      <c r="AJ201">
        <f>IFERROR(IF(AH201*AI201=0,"",AH201*AI201),"")</f>
        <v/>
      </c>
      <c r="AL201">
        <f>IFERROR(IF((AO201-(AE201+AJ201))/AK201=0,"",ROUNDUP((AO201-(AE201+AJ201))/AK201,0)),"")</f>
        <v/>
      </c>
      <c r="AM201">
        <f>IFERROR(IF((AO201-(AE201+AJ201))=0,"",(AO201-(AE201+AJ201))),"")</f>
        <v/>
      </c>
      <c r="AN201">
        <f>IF(AND(AC201="",AK201=""),AH201,IF(SUM(AC201,AH201,AK201)=0,"",SUM(AC201,AH201,AK201)))</f>
        <v/>
      </c>
      <c r="AY201">
        <f>IF(AB201="","",YEAR(AB201)+IF(MONTH(AB201)&gt;=5,1,0))</f>
        <v/>
      </c>
      <c r="AZ201">
        <f>IF(AB201="","",IF(AND(MONTH(AB201)=8,DAY(AB201)&gt;=15),"Fall",IF(MONTH(AB201)&gt;8,"Fall",IF(MONTH(AB201)=5,"Summer",IF(MONTH(AB201)=1,"Spring","")))))</f>
        <v/>
      </c>
      <c r="BC201" t="inlineStr">
        <is>
          <t>Krause, Gary D.</t>
        </is>
      </c>
      <c r="BD201">
        <f>IFERROR(INDEX('_names_lookup'!$C:$C,MATCH(BC201,'_names_lookup'!$A:$A,0)),"")</f>
        <v/>
      </c>
      <c r="BE201">
        <f>IFERROR(INDEX('_names_lookup'!$B:$B,MATCH(BC201,'_names_lookup'!$A:$A,0)),"")</f>
        <v/>
      </c>
    </row>
    <row r="202">
      <c r="H202" t="inlineStr">
        <is>
          <t>2879-01</t>
        </is>
      </c>
      <c r="I202" t="inlineStr">
        <is>
          <t>3315</t>
        </is>
      </c>
      <c r="K202" t="inlineStr">
        <is>
          <t>779</t>
        </is>
      </c>
      <c r="N202">
        <f>IFERROR(INDEX('_courses_lookup'!$C:$C,MATCH(J202&amp;K202,'_courses_lookup'!$E:$E,0)),"")</f>
        <v/>
      </c>
      <c r="O202">
        <f>IFERROR(INDEX('_courses_lookup'!$D:$D,MATCH(J202&amp;K202,'_courses_lookup'!$E:$E,0)),"")</f>
        <v/>
      </c>
      <c r="AE202">
        <f>IFERROR(IF(AC202*AD202=0,"",AC202*AD202),"")</f>
        <v/>
      </c>
      <c r="AH202">
        <f>IF(AND(AF202&lt;&gt;"",AG202&lt;&gt;""),ROUNDUP((AG202-AF202)/7,0),"")</f>
        <v/>
      </c>
      <c r="AJ202">
        <f>IFERROR(IF(AH202*AI202=0,"",AH202*AI202),"")</f>
        <v/>
      </c>
      <c r="AL202">
        <f>IFERROR(IF((AO202-(AE202+AJ202))/AK202=0,"",ROUNDUP((AO202-(AE202+AJ202))/AK202,0)),"")</f>
        <v/>
      </c>
      <c r="AM202">
        <f>IFERROR(IF((AO202-(AE202+AJ202))=0,"",(AO202-(AE202+AJ202))),"")</f>
        <v/>
      </c>
      <c r="AN202">
        <f>IF(AND(AC202="",AK202=""),AH202,IF(SUM(AC202,AH202,AK202)=0,"",SUM(AC202,AH202,AK202)))</f>
        <v/>
      </c>
      <c r="AY202">
        <f>IF(AB202="","",YEAR(AB202)+IF(MONTH(AB202)&gt;=5,1,0))</f>
        <v/>
      </c>
      <c r="AZ202">
        <f>IF(AB202="","",IF(AND(MONTH(AB202)=8,DAY(AB202)&gt;=15),"Fall",IF(MONTH(AB202)&gt;8,"Fall",IF(MONTH(AB202)=5,"Summer",IF(MONTH(AB202)=1,"Spring","")))))</f>
        <v/>
      </c>
      <c r="BC202" t="inlineStr">
        <is>
          <t>Kuhn, Wagner</t>
        </is>
      </c>
      <c r="BD202">
        <f>IFERROR(INDEX('_names_lookup'!$C:$C,MATCH(BC202,'_names_lookup'!$A:$A,0)),"")</f>
        <v/>
      </c>
      <c r="BE202">
        <f>IFERROR(INDEX('_names_lookup'!$B:$B,MATCH(BC202,'_names_lookup'!$A:$A,0)),"")</f>
        <v/>
      </c>
    </row>
    <row r="203">
      <c r="H203" t="inlineStr">
        <is>
          <t>3057-01</t>
        </is>
      </c>
      <c r="I203" t="inlineStr">
        <is>
          <t>3316</t>
        </is>
      </c>
      <c r="K203" t="inlineStr">
        <is>
          <t>780</t>
        </is>
      </c>
      <c r="N203">
        <f>IFERROR(INDEX('_courses_lookup'!$C:$C,MATCH(J203&amp;K203,'_courses_lookup'!$E:$E,0)),"")</f>
        <v/>
      </c>
      <c r="O203">
        <f>IFERROR(INDEX('_courses_lookup'!$D:$D,MATCH(J203&amp;K203,'_courses_lookup'!$E:$E,0)),"")</f>
        <v/>
      </c>
      <c r="AE203">
        <f>IFERROR(IF(AC203*AD203=0,"",AC203*AD203),"")</f>
        <v/>
      </c>
      <c r="AH203">
        <f>IF(AND(AF203&lt;&gt;"",AG203&lt;&gt;""),ROUNDUP((AG203-AF203)/7,0),"")</f>
        <v/>
      </c>
      <c r="AJ203">
        <f>IFERROR(IF(AH203*AI203=0,"",AH203*AI203),"")</f>
        <v/>
      </c>
      <c r="AL203">
        <f>IFERROR(IF((AO203-(AE203+AJ203))/AK203=0,"",ROUNDUP((AO203-(AE203+AJ203))/AK203,0)),"")</f>
        <v/>
      </c>
      <c r="AM203">
        <f>IFERROR(IF((AO203-(AE203+AJ203))=0,"",(AO203-(AE203+AJ203))),"")</f>
        <v/>
      </c>
      <c r="AN203">
        <f>IF(AND(AC203="",AK203=""),AH203,IF(SUM(AC203,AH203,AK203)=0,"",SUM(AC203,AH203,AK203)))</f>
        <v/>
      </c>
      <c r="AY203">
        <f>IF(AB203="","",YEAR(AB203)+IF(MONTH(AB203)&gt;=5,1,0))</f>
        <v/>
      </c>
      <c r="AZ203">
        <f>IF(AB203="","",IF(AND(MONTH(AB203)=8,DAY(AB203)&gt;=15),"Fall",IF(MONTH(AB203)&gt;8,"Fall",IF(MONTH(AB203)=5,"Summer",IF(MONTH(AB203)=1,"Spring","")))))</f>
        <v/>
      </c>
      <c r="BC203" t="inlineStr">
        <is>
          <t>Maier, Rudolf</t>
        </is>
      </c>
      <c r="BD203">
        <f>IFERROR(INDEX('_names_lookup'!$C:$C,MATCH(BC203,'_names_lookup'!$A:$A,0)),"")</f>
        <v/>
      </c>
      <c r="BE203">
        <f>IFERROR(INDEX('_names_lookup'!$B:$B,MATCH(BC203,'_names_lookup'!$A:$A,0)),"")</f>
        <v/>
      </c>
    </row>
    <row r="204">
      <c r="H204" t="inlineStr">
        <is>
          <t>3073-01</t>
        </is>
      </c>
      <c r="I204" t="inlineStr">
        <is>
          <t>3317</t>
        </is>
      </c>
      <c r="K204" t="inlineStr">
        <is>
          <t>781</t>
        </is>
      </c>
      <c r="N204">
        <f>IFERROR(INDEX('_courses_lookup'!$C:$C,MATCH(J204&amp;K204,'_courses_lookup'!$E:$E,0)),"")</f>
        <v/>
      </c>
      <c r="O204">
        <f>IFERROR(INDEX('_courses_lookup'!$D:$D,MATCH(J204&amp;K204,'_courses_lookup'!$E:$E,0)),"")</f>
        <v/>
      </c>
      <c r="AE204">
        <f>IFERROR(IF(AC204*AD204=0,"",AC204*AD204),"")</f>
        <v/>
      </c>
      <c r="AH204">
        <f>IF(AND(AF204&lt;&gt;"",AG204&lt;&gt;""),ROUNDUP((AG204-AF204)/7,0),"")</f>
        <v/>
      </c>
      <c r="AJ204">
        <f>IFERROR(IF(AH204*AI204=0,"",AH204*AI204),"")</f>
        <v/>
      </c>
      <c r="AL204">
        <f>IFERROR(IF((AO204-(AE204+AJ204))/AK204=0,"",ROUNDUP((AO204-(AE204+AJ204))/AK204,0)),"")</f>
        <v/>
      </c>
      <c r="AM204">
        <f>IFERROR(IF((AO204-(AE204+AJ204))=0,"",(AO204-(AE204+AJ204))),"")</f>
        <v/>
      </c>
      <c r="AN204">
        <f>IF(AND(AC204="",AK204=""),AH204,IF(SUM(AC204,AH204,AK204)=0,"",SUM(AC204,AH204,AK204)))</f>
        <v/>
      </c>
      <c r="AY204">
        <f>IF(AB204="","",YEAR(AB204)+IF(MONTH(AB204)&gt;=5,1,0))</f>
        <v/>
      </c>
      <c r="AZ204">
        <f>IF(AB204="","",IF(AND(MONTH(AB204)=8,DAY(AB204)&gt;=15),"Fall",IF(MONTH(AB204)&gt;8,"Fall",IF(MONTH(AB204)=5,"Summer",IF(MONTH(AB204)=1,"Spring","")))))</f>
        <v/>
      </c>
      <c r="BC204" t="inlineStr">
        <is>
          <t>McEdward, Richard E.</t>
        </is>
      </c>
      <c r="BD204">
        <f>IFERROR(INDEX('_names_lookup'!$C:$C,MATCH(BC204,'_names_lookup'!$A:$A,0)),"")</f>
        <v/>
      </c>
      <c r="BE204">
        <f>IFERROR(INDEX('_names_lookup'!$B:$B,MATCH(BC204,'_names_lookup'!$A:$A,0)),"")</f>
        <v/>
      </c>
    </row>
    <row r="205">
      <c r="H205" t="inlineStr">
        <is>
          <t>3073-02</t>
        </is>
      </c>
      <c r="I205" t="inlineStr">
        <is>
          <t>3318</t>
        </is>
      </c>
      <c r="K205" t="inlineStr">
        <is>
          <t>782</t>
        </is>
      </c>
      <c r="N205">
        <f>IFERROR(INDEX('_courses_lookup'!$C:$C,MATCH(J205&amp;K205,'_courses_lookup'!$E:$E,0)),"")</f>
        <v/>
      </c>
      <c r="O205">
        <f>IFERROR(INDEX('_courses_lookup'!$D:$D,MATCH(J205&amp;K205,'_courses_lookup'!$E:$E,0)),"")</f>
        <v/>
      </c>
      <c r="AE205">
        <f>IFERROR(IF(AC205*AD205=0,"",AC205*AD205),"")</f>
        <v/>
      </c>
      <c r="AH205">
        <f>IF(AND(AF205&lt;&gt;"",AG205&lt;&gt;""),ROUNDUP((AG205-AF205)/7,0),"")</f>
        <v/>
      </c>
      <c r="AJ205">
        <f>IFERROR(IF(AH205*AI205=0,"",AH205*AI205),"")</f>
        <v/>
      </c>
      <c r="AL205">
        <f>IFERROR(IF((AO205-(AE205+AJ205))/AK205=0,"",ROUNDUP((AO205-(AE205+AJ205))/AK205,0)),"")</f>
        <v/>
      </c>
      <c r="AM205">
        <f>IFERROR(IF((AO205-(AE205+AJ205))=0,"",(AO205-(AE205+AJ205))),"")</f>
        <v/>
      </c>
      <c r="AN205">
        <f>IF(AND(AC205="",AK205=""),AH205,IF(SUM(AC205,AH205,AK205)=0,"",SUM(AC205,AH205,AK205)))</f>
        <v/>
      </c>
      <c r="AY205">
        <f>IF(AB205="","",YEAR(AB205)+IF(MONTH(AB205)&gt;=5,1,0))</f>
        <v/>
      </c>
      <c r="AZ205">
        <f>IF(AB205="","",IF(AND(MONTH(AB205)=8,DAY(AB205)&gt;=15),"Fall",IF(MONTH(AB205)&gt;8,"Fall",IF(MONTH(AB205)=5,"Summer",IF(MONTH(AB205)=1,"Spring","")))))</f>
        <v/>
      </c>
      <c r="BC205" t="inlineStr">
        <is>
          <t>Mercado, Carmelo</t>
        </is>
      </c>
      <c r="BD205">
        <f>IFERROR(INDEX('_names_lookup'!$C:$C,MATCH(BC205,'_names_lookup'!$A:$A,0)),"")</f>
        <v/>
      </c>
      <c r="BE205">
        <f>IFERROR(INDEX('_names_lookup'!$B:$B,MATCH(BC205,'_names_lookup'!$A:$A,0)),"")</f>
        <v/>
      </c>
    </row>
    <row r="206">
      <c r="H206" t="inlineStr">
        <is>
          <t>3073-03</t>
        </is>
      </c>
      <c r="I206" t="inlineStr">
        <is>
          <t>3319</t>
        </is>
      </c>
      <c r="K206" t="inlineStr">
        <is>
          <t>783</t>
        </is>
      </c>
      <c r="N206">
        <f>IFERROR(INDEX('_courses_lookup'!$C:$C,MATCH(J206&amp;K206,'_courses_lookup'!$E:$E,0)),"")</f>
        <v/>
      </c>
      <c r="O206">
        <f>IFERROR(INDEX('_courses_lookup'!$D:$D,MATCH(J206&amp;K206,'_courses_lookup'!$E:$E,0)),"")</f>
        <v/>
      </c>
      <c r="AE206">
        <f>IFERROR(IF(AC206*AD206=0,"",AC206*AD206),"")</f>
        <v/>
      </c>
      <c r="AH206">
        <f>IF(AND(AF206&lt;&gt;"",AG206&lt;&gt;""),ROUNDUP((AG206-AF206)/7,0),"")</f>
        <v/>
      </c>
      <c r="AJ206">
        <f>IFERROR(IF(AH206*AI206=0,"",AH206*AI206),"")</f>
        <v/>
      </c>
      <c r="AL206">
        <f>IFERROR(IF((AO206-(AE206+AJ206))/AK206=0,"",ROUNDUP((AO206-(AE206+AJ206))/AK206,0)),"")</f>
        <v/>
      </c>
      <c r="AM206">
        <f>IFERROR(IF((AO206-(AE206+AJ206))=0,"",(AO206-(AE206+AJ206))),"")</f>
        <v/>
      </c>
      <c r="AN206">
        <f>IF(AND(AC206="",AK206=""),AH206,IF(SUM(AC206,AH206,AK206)=0,"",SUM(AC206,AH206,AK206)))</f>
        <v/>
      </c>
      <c r="AY206">
        <f>IF(AB206="","",YEAR(AB206)+IF(MONTH(AB206)&gt;=5,1,0))</f>
        <v/>
      </c>
      <c r="AZ206">
        <f>IF(AB206="","",IF(AND(MONTH(AB206)=8,DAY(AB206)&gt;=15),"Fall",IF(MONTH(AB206)&gt;8,"Fall",IF(MONTH(AB206)=5,"Summer",IF(MONTH(AB206)=1,"Spring","")))))</f>
        <v/>
      </c>
      <c r="BC206" t="inlineStr">
        <is>
          <t>Merklin, Lester P.</t>
        </is>
      </c>
      <c r="BD206">
        <f>IFERROR(INDEX('_names_lookup'!$C:$C,MATCH(BC206,'_names_lookup'!$A:$A,0)),"")</f>
        <v/>
      </c>
      <c r="BE206">
        <f>IFERROR(INDEX('_names_lookup'!$B:$B,MATCH(BC206,'_names_lookup'!$A:$A,0)),"")</f>
        <v/>
      </c>
    </row>
    <row r="207">
      <c r="H207" t="inlineStr">
        <is>
          <t>3073-04</t>
        </is>
      </c>
      <c r="I207" t="inlineStr">
        <is>
          <t>332</t>
        </is>
      </c>
      <c r="K207" t="inlineStr">
        <is>
          <t>785</t>
        </is>
      </c>
      <c r="N207">
        <f>IFERROR(INDEX('_courses_lookup'!$C:$C,MATCH(J207&amp;K207,'_courses_lookup'!$E:$E,0)),"")</f>
        <v/>
      </c>
      <c r="O207">
        <f>IFERROR(INDEX('_courses_lookup'!$D:$D,MATCH(J207&amp;K207,'_courses_lookup'!$E:$E,0)),"")</f>
        <v/>
      </c>
      <c r="AE207">
        <f>IFERROR(IF(AC207*AD207=0,"",AC207*AD207),"")</f>
        <v/>
      </c>
      <c r="AH207">
        <f>IF(AND(AF207&lt;&gt;"",AG207&lt;&gt;""),ROUNDUP((AG207-AF207)/7,0),"")</f>
        <v/>
      </c>
      <c r="AJ207">
        <f>IFERROR(IF(AH207*AI207=0,"",AH207*AI207),"")</f>
        <v/>
      </c>
      <c r="AL207">
        <f>IFERROR(IF((AO207-(AE207+AJ207))/AK207=0,"",ROUNDUP((AO207-(AE207+AJ207))/AK207,0)),"")</f>
        <v/>
      </c>
      <c r="AM207">
        <f>IFERROR(IF((AO207-(AE207+AJ207))=0,"",(AO207-(AE207+AJ207))),"")</f>
        <v/>
      </c>
      <c r="AN207">
        <f>IF(AND(AC207="",AK207=""),AH207,IF(SUM(AC207,AH207,AK207)=0,"",SUM(AC207,AH207,AK207)))</f>
        <v/>
      </c>
      <c r="AY207">
        <f>IF(AB207="","",YEAR(AB207)+IF(MONTH(AB207)&gt;=5,1,0))</f>
        <v/>
      </c>
      <c r="AZ207">
        <f>IF(AB207="","",IF(AND(MONTH(AB207)=8,DAY(AB207)&gt;=15),"Fall",IF(MONTH(AB207)&gt;8,"Fall",IF(MONTH(AB207)=5,"Summer",IF(MONTH(AB207)=1,"Spring","")))))</f>
        <v/>
      </c>
      <c r="BC207" t="inlineStr">
        <is>
          <t>Namoradze, Sergo</t>
        </is>
      </c>
      <c r="BD207">
        <f>IFERROR(INDEX('_names_lookup'!$C:$C,MATCH(BC207,'_names_lookup'!$A:$A,0)),"")</f>
        <v/>
      </c>
      <c r="BE207">
        <f>IFERROR(INDEX('_names_lookup'!$B:$B,MATCH(BC207,'_names_lookup'!$A:$A,0)),"")</f>
        <v/>
      </c>
    </row>
    <row r="208">
      <c r="H208" t="inlineStr">
        <is>
          <t>3079-01</t>
        </is>
      </c>
      <c r="I208" t="inlineStr">
        <is>
          <t>3320</t>
        </is>
      </c>
      <c r="K208" t="inlineStr">
        <is>
          <t>786</t>
        </is>
      </c>
      <c r="N208">
        <f>IFERROR(INDEX('_courses_lookup'!$C:$C,MATCH(J208&amp;K208,'_courses_lookup'!$E:$E,0)),"")</f>
        <v/>
      </c>
      <c r="O208">
        <f>IFERROR(INDEX('_courses_lookup'!$D:$D,MATCH(J208&amp;K208,'_courses_lookup'!$E:$E,0)),"")</f>
        <v/>
      </c>
      <c r="AE208">
        <f>IFERROR(IF(AC208*AD208=0,"",AC208*AD208),"")</f>
        <v/>
      </c>
      <c r="AH208">
        <f>IF(AND(AF208&lt;&gt;"",AG208&lt;&gt;""),ROUNDUP((AG208-AF208)/7,0),"")</f>
        <v/>
      </c>
      <c r="AJ208">
        <f>IFERROR(IF(AH208*AI208=0,"",AH208*AI208),"")</f>
        <v/>
      </c>
      <c r="AL208">
        <f>IFERROR(IF((AO208-(AE208+AJ208))/AK208=0,"",ROUNDUP((AO208-(AE208+AJ208))/AK208,0)),"")</f>
        <v/>
      </c>
      <c r="AM208">
        <f>IFERROR(IF((AO208-(AE208+AJ208))=0,"",(AO208-(AE208+AJ208))),"")</f>
        <v/>
      </c>
      <c r="AN208">
        <f>IF(AND(AC208="",AK208=""),AH208,IF(SUM(AC208,AH208,AK208)=0,"",SUM(AC208,AH208,AK208)))</f>
        <v/>
      </c>
      <c r="AY208">
        <f>IF(AB208="","",YEAR(AB208)+IF(MONTH(AB208)&gt;=5,1,0))</f>
        <v/>
      </c>
      <c r="AZ208">
        <f>IF(AB208="","",IF(AND(MONTH(AB208)=8,DAY(AB208)&gt;=15),"Fall",IF(MONTH(AB208)&gt;8,"Fall",IF(MONTH(AB208)=5,"Summer",IF(MONTH(AB208)=1,"Spring","")))))</f>
        <v/>
      </c>
      <c r="BC208" t="inlineStr">
        <is>
          <t>Onongha, Kelvin O.</t>
        </is>
      </c>
      <c r="BD208">
        <f>IFERROR(INDEX('_names_lookup'!$C:$C,MATCH(BC208,'_names_lookup'!$A:$A,0)),"")</f>
        <v/>
      </c>
      <c r="BE208">
        <f>IFERROR(INDEX('_names_lookup'!$B:$B,MATCH(BC208,'_names_lookup'!$A:$A,0)),"")</f>
        <v/>
      </c>
    </row>
    <row r="209">
      <c r="H209" t="inlineStr">
        <is>
          <t>3080-01</t>
        </is>
      </c>
      <c r="I209" t="inlineStr">
        <is>
          <t>3321</t>
        </is>
      </c>
      <c r="K209" t="inlineStr">
        <is>
          <t>787</t>
        </is>
      </c>
      <c r="N209">
        <f>IFERROR(INDEX('_courses_lookup'!$C:$C,MATCH(J209&amp;K209,'_courses_lookup'!$E:$E,0)),"")</f>
        <v/>
      </c>
      <c r="O209">
        <f>IFERROR(INDEX('_courses_lookup'!$D:$D,MATCH(J209&amp;K209,'_courses_lookup'!$E:$E,0)),"")</f>
        <v/>
      </c>
      <c r="AE209">
        <f>IFERROR(IF(AC209*AD209=0,"",AC209*AD209),"")</f>
        <v/>
      </c>
      <c r="AH209">
        <f>IF(AND(AF209&lt;&gt;"",AG209&lt;&gt;""),ROUNDUP((AG209-AF209)/7,0),"")</f>
        <v/>
      </c>
      <c r="AJ209">
        <f>IFERROR(IF(AH209*AI209=0,"",AH209*AI209),"")</f>
        <v/>
      </c>
      <c r="AL209">
        <f>IFERROR(IF((AO209-(AE209+AJ209))/AK209=0,"",ROUNDUP((AO209-(AE209+AJ209))/AK209,0)),"")</f>
        <v/>
      </c>
      <c r="AM209">
        <f>IFERROR(IF((AO209-(AE209+AJ209))=0,"",(AO209-(AE209+AJ209))),"")</f>
        <v/>
      </c>
      <c r="AN209">
        <f>IF(AND(AC209="",AK209=""),AH209,IF(SUM(AC209,AH209,AK209)=0,"",SUM(AC209,AH209,AK209)))</f>
        <v/>
      </c>
      <c r="AY209">
        <f>IF(AB209="","",YEAR(AB209)+IF(MONTH(AB209)&gt;=5,1,0))</f>
        <v/>
      </c>
      <c r="AZ209">
        <f>IF(AB209="","",IF(AND(MONTH(AB209)=8,DAY(AB209)&gt;=15),"Fall",IF(MONTH(AB209)&gt;8,"Fall",IF(MONTH(AB209)=5,"Summer",IF(MONTH(AB209)=1,"Spring","")))))</f>
        <v/>
      </c>
      <c r="BC209" t="inlineStr">
        <is>
          <t>Osindo, Oscar</t>
        </is>
      </c>
      <c r="BD209">
        <f>IFERROR(INDEX('_names_lookup'!$C:$C,MATCH(BC209,'_names_lookup'!$A:$A,0)),"")</f>
        <v/>
      </c>
      <c r="BE209">
        <f>IFERROR(INDEX('_names_lookup'!$B:$B,MATCH(BC209,'_names_lookup'!$A:$A,0)),"")</f>
        <v/>
      </c>
    </row>
    <row r="210">
      <c r="H210" t="inlineStr">
        <is>
          <t>3097-01</t>
        </is>
      </c>
      <c r="I210" t="inlineStr">
        <is>
          <t>3322</t>
        </is>
      </c>
      <c r="K210" t="inlineStr">
        <is>
          <t>788</t>
        </is>
      </c>
      <c r="N210">
        <f>IFERROR(INDEX('_courses_lookup'!$C:$C,MATCH(J210&amp;K210,'_courses_lookup'!$E:$E,0)),"")</f>
        <v/>
      </c>
      <c r="O210">
        <f>IFERROR(INDEX('_courses_lookup'!$D:$D,MATCH(J210&amp;K210,'_courses_lookup'!$E:$E,0)),"")</f>
        <v/>
      </c>
      <c r="AE210">
        <f>IFERROR(IF(AC210*AD210=0,"",AC210*AD210),"")</f>
        <v/>
      </c>
      <c r="AH210">
        <f>IF(AND(AF210&lt;&gt;"",AG210&lt;&gt;""),ROUNDUP((AG210-AF210)/7,0),"")</f>
        <v/>
      </c>
      <c r="AJ210">
        <f>IFERROR(IF(AH210*AI210=0,"",AH210*AI210),"")</f>
        <v/>
      </c>
      <c r="AL210">
        <f>IFERROR(IF((AO210-(AE210+AJ210))/AK210=0,"",ROUNDUP((AO210-(AE210+AJ210))/AK210,0)),"")</f>
        <v/>
      </c>
      <c r="AM210">
        <f>IFERROR(IF((AO210-(AE210+AJ210))=0,"",(AO210-(AE210+AJ210))),"")</f>
        <v/>
      </c>
      <c r="AN210">
        <f>IF(AND(AC210="",AK210=""),AH210,IF(SUM(AC210,AH210,AK210)=0,"",SUM(AC210,AH210,AK210)))</f>
        <v/>
      </c>
      <c r="AY210">
        <f>IF(AB210="","",YEAR(AB210)+IF(MONTH(AB210)&gt;=5,1,0))</f>
        <v/>
      </c>
      <c r="AZ210">
        <f>IF(AB210="","",IF(AND(MONTH(AB210)=8,DAY(AB210)&gt;=15),"Fall",IF(MONTH(AB210)&gt;8,"Fall",IF(MONTH(AB210)=5,"Summer",IF(MONTH(AB210)=1,"Spring","")))))</f>
        <v/>
      </c>
      <c r="BC210" t="inlineStr">
        <is>
          <t>Phillips, Gabriela F.</t>
        </is>
      </c>
      <c r="BD210">
        <f>IFERROR(INDEX('_names_lookup'!$C:$C,MATCH(BC210,'_names_lookup'!$A:$A,0)),"")</f>
        <v/>
      </c>
      <c r="BE210">
        <f>IFERROR(INDEX('_names_lookup'!$B:$B,MATCH(BC210,'_names_lookup'!$A:$A,0)),"")</f>
        <v/>
      </c>
    </row>
    <row r="211">
      <c r="H211" t="inlineStr">
        <is>
          <t>3097-02</t>
        </is>
      </c>
      <c r="I211" t="inlineStr">
        <is>
          <t>3323</t>
        </is>
      </c>
      <c r="K211" t="inlineStr">
        <is>
          <t>789</t>
        </is>
      </c>
      <c r="N211">
        <f>IFERROR(INDEX('_courses_lookup'!$C:$C,MATCH(J211&amp;K211,'_courses_lookup'!$E:$E,0)),"")</f>
        <v/>
      </c>
      <c r="O211">
        <f>IFERROR(INDEX('_courses_lookup'!$D:$D,MATCH(J211&amp;K211,'_courses_lookup'!$E:$E,0)),"")</f>
        <v/>
      </c>
      <c r="AE211">
        <f>IFERROR(IF(AC211*AD211=0,"",AC211*AD211),"")</f>
        <v/>
      </c>
      <c r="AH211">
        <f>IF(AND(AF211&lt;&gt;"",AG211&lt;&gt;""),ROUNDUP((AG211-AF211)/7,0),"")</f>
        <v/>
      </c>
      <c r="AJ211">
        <f>IFERROR(IF(AH211*AI211=0,"",AH211*AI211),"")</f>
        <v/>
      </c>
      <c r="AL211">
        <f>IFERROR(IF((AO211-(AE211+AJ211))/AK211=0,"",ROUNDUP((AO211-(AE211+AJ211))/AK211,0)),"")</f>
        <v/>
      </c>
      <c r="AM211">
        <f>IFERROR(IF((AO211-(AE211+AJ211))=0,"",(AO211-(AE211+AJ211))),"")</f>
        <v/>
      </c>
      <c r="AN211">
        <f>IF(AND(AC211="",AK211=""),AH211,IF(SUM(AC211,AH211,AK211)=0,"",SUM(AC211,AH211,AK211)))</f>
        <v/>
      </c>
      <c r="AY211">
        <f>IF(AB211="","",YEAR(AB211)+IF(MONTH(AB211)&gt;=5,1,0))</f>
        <v/>
      </c>
      <c r="AZ211">
        <f>IF(AB211="","",IF(AND(MONTH(AB211)=8,DAY(AB211)&gt;=15),"Fall",IF(MONTH(AB211)&gt;8,"Fall",IF(MONTH(AB211)=5,"Summer",IF(MONTH(AB211)=1,"Spring","")))))</f>
        <v/>
      </c>
      <c r="BC211" t="inlineStr">
        <is>
          <t>Tompkins, Andrew J.</t>
        </is>
      </c>
      <c r="BD211">
        <f>IFERROR(INDEX('_names_lookup'!$C:$C,MATCH(BC211,'_names_lookup'!$A:$A,0)),"")</f>
        <v/>
      </c>
      <c r="BE211">
        <f>IFERROR(INDEX('_names_lookup'!$B:$B,MATCH(BC211,'_names_lookup'!$A:$A,0)),"")</f>
        <v/>
      </c>
    </row>
    <row r="212">
      <c r="H212" t="inlineStr">
        <is>
          <t>3106-01</t>
        </is>
      </c>
      <c r="I212" t="inlineStr">
        <is>
          <t>333</t>
        </is>
      </c>
      <c r="K212" t="inlineStr">
        <is>
          <t>790</t>
        </is>
      </c>
      <c r="N212">
        <f>IFERROR(INDEX('_courses_lookup'!$C:$C,MATCH(J212&amp;K212,'_courses_lookup'!$E:$E,0)),"")</f>
        <v/>
      </c>
      <c r="O212">
        <f>IFERROR(INDEX('_courses_lookup'!$D:$D,MATCH(J212&amp;K212,'_courses_lookup'!$E:$E,0)),"")</f>
        <v/>
      </c>
      <c r="AE212">
        <f>IFERROR(IF(AC212*AD212=0,"",AC212*AD212),"")</f>
        <v/>
      </c>
      <c r="AH212">
        <f>IF(AND(AF212&lt;&gt;"",AG212&lt;&gt;""),ROUNDUP((AG212-AF212)/7,0),"")</f>
        <v/>
      </c>
      <c r="AJ212">
        <f>IFERROR(IF(AH212*AI212=0,"",AH212*AI212),"")</f>
        <v/>
      </c>
      <c r="AL212">
        <f>IFERROR(IF((AO212-(AE212+AJ212))/AK212=0,"",ROUNDUP((AO212-(AE212+AJ212))/AK212,0)),"")</f>
        <v/>
      </c>
      <c r="AM212">
        <f>IFERROR(IF((AO212-(AE212+AJ212))=0,"",(AO212-(AE212+AJ212))),"")</f>
        <v/>
      </c>
      <c r="AN212">
        <f>IF(AND(AC212="",AK212=""),AH212,IF(SUM(AC212,AH212,AK212)=0,"",SUM(AC212,AH212,AK212)))</f>
        <v/>
      </c>
      <c r="AY212">
        <f>IF(AB212="","",YEAR(AB212)+IF(MONTH(AB212)&gt;=5,1,0))</f>
        <v/>
      </c>
      <c r="AZ212">
        <f>IF(AB212="","",IF(AND(MONTH(AB212)=8,DAY(AB212)&gt;=15),"Fall",IF(MONTH(AB212)&gt;8,"Fall",IF(MONTH(AB212)=5,"Summer",IF(MONTH(AB212)=1,"Spring","")))))</f>
        <v/>
      </c>
      <c r="BC212" t="inlineStr">
        <is>
          <t>William, Michelet</t>
        </is>
      </c>
      <c r="BD212">
        <f>IFERROR(INDEX('_names_lookup'!$C:$C,MATCH(BC212,'_names_lookup'!$A:$A,0)),"")</f>
        <v/>
      </c>
      <c r="BE212">
        <f>IFERROR(INDEX('_names_lookup'!$B:$B,MATCH(BC212,'_names_lookup'!$A:$A,0)),"")</f>
        <v/>
      </c>
    </row>
    <row r="213">
      <c r="H213" t="inlineStr">
        <is>
          <t>3109-01</t>
        </is>
      </c>
      <c r="I213" t="inlineStr">
        <is>
          <t>334</t>
        </is>
      </c>
      <c r="K213" t="inlineStr">
        <is>
          <t>793</t>
        </is>
      </c>
      <c r="N213">
        <f>IFERROR(INDEX('_courses_lookup'!$C:$C,MATCH(J213&amp;K213,'_courses_lookup'!$E:$E,0)),"")</f>
        <v/>
      </c>
      <c r="O213">
        <f>IFERROR(INDEX('_courses_lookup'!$D:$D,MATCH(J213&amp;K213,'_courses_lookup'!$E:$E,0)),"")</f>
        <v/>
      </c>
      <c r="AE213">
        <f>IFERROR(IF(AC213*AD213=0,"",AC213*AD213),"")</f>
        <v/>
      </c>
      <c r="AH213">
        <f>IF(AND(AF213&lt;&gt;"",AG213&lt;&gt;""),ROUNDUP((AG213-AF213)/7,0),"")</f>
        <v/>
      </c>
      <c r="AJ213">
        <f>IFERROR(IF(AH213*AI213=0,"",AH213*AI213),"")</f>
        <v/>
      </c>
      <c r="AL213">
        <f>IFERROR(IF((AO213-(AE213+AJ213))/AK213=0,"",ROUNDUP((AO213-(AE213+AJ213))/AK213,0)),"")</f>
        <v/>
      </c>
      <c r="AM213">
        <f>IFERROR(IF((AO213-(AE213+AJ213))=0,"",(AO213-(AE213+AJ213))),"")</f>
        <v/>
      </c>
      <c r="AN213">
        <f>IF(AND(AC213="",AK213=""),AH213,IF(SUM(AC213,AH213,AK213)=0,"",SUM(AC213,AH213,AK213)))</f>
        <v/>
      </c>
      <c r="AY213">
        <f>IF(AB213="","",YEAR(AB213)+IF(MONTH(AB213)&gt;=5,1,0))</f>
        <v/>
      </c>
      <c r="AZ213">
        <f>IF(AB213="","",IF(AND(MONTH(AB213)=8,DAY(AB213)&gt;=15),"Fall",IF(MONTH(AB213)&gt;8,"Fall",IF(MONTH(AB213)=5,"Summer",IF(MONTH(AB213)=1,"Spring","")))))</f>
        <v/>
      </c>
      <c r="BC213" t="inlineStr">
        <is>
          <t>Zhanikaev, Makhti K.</t>
        </is>
      </c>
      <c r="BD213">
        <f>IFERROR(INDEX('_names_lookup'!$C:$C,MATCH(BC213,'_names_lookup'!$A:$A,0)),"")</f>
        <v/>
      </c>
      <c r="BE213">
        <f>IFERROR(INDEX('_names_lookup'!$B:$B,MATCH(BC213,'_names_lookup'!$A:$A,0)),"")</f>
        <v/>
      </c>
    </row>
    <row r="214">
      <c r="H214" t="inlineStr">
        <is>
          <t>3125-01</t>
        </is>
      </c>
      <c r="I214" t="inlineStr">
        <is>
          <t>335</t>
        </is>
      </c>
      <c r="K214" t="inlineStr">
        <is>
          <t>795</t>
        </is>
      </c>
      <c r="N214">
        <f>IFERROR(INDEX('_courses_lookup'!$C:$C,MATCH(J214&amp;K214,'_courses_lookup'!$E:$E,0)),"")</f>
        <v/>
      </c>
      <c r="O214">
        <f>IFERROR(INDEX('_courses_lookup'!$D:$D,MATCH(J214&amp;K214,'_courses_lookup'!$E:$E,0)),"")</f>
        <v/>
      </c>
      <c r="AE214">
        <f>IFERROR(IF(AC214*AD214=0,"",AC214*AD214),"")</f>
        <v/>
      </c>
      <c r="AH214">
        <f>IF(AND(AF214&lt;&gt;"",AG214&lt;&gt;""),ROUNDUP((AG214-AF214)/7,0),"")</f>
        <v/>
      </c>
      <c r="AJ214">
        <f>IFERROR(IF(AH214*AI214=0,"",AH214*AI214),"")</f>
        <v/>
      </c>
      <c r="AL214">
        <f>IFERROR(IF((AO214-(AE214+AJ214))/AK214=0,"",ROUNDUP((AO214-(AE214+AJ214))/AK214,0)),"")</f>
        <v/>
      </c>
      <c r="AM214">
        <f>IFERROR(IF((AO214-(AE214+AJ214))=0,"",(AO214-(AE214+AJ214))),"")</f>
        <v/>
      </c>
      <c r="AN214">
        <f>IF(AND(AC214="",AK214=""),AH214,IF(SUM(AC214,AH214,AK214)=0,"",SUM(AC214,AH214,AK214)))</f>
        <v/>
      </c>
      <c r="AY214">
        <f>IF(AB214="","",YEAR(AB214)+IF(MONTH(AB214)&gt;=5,1,0))</f>
        <v/>
      </c>
      <c r="AZ214">
        <f>IF(AB214="","",IF(AND(MONTH(AB214)=8,DAY(AB214)&gt;=15),"Fall",IF(MONTH(AB214)&gt;8,"Fall",IF(MONTH(AB214)=5,"Summer",IF(MONTH(AB214)=1,"Spring","")))))</f>
        <v/>
      </c>
      <c r="BC214" t="inlineStr">
        <is>
          <t>Zubkov, Pavel A.</t>
        </is>
      </c>
      <c r="BD214">
        <f>IFERROR(INDEX('_names_lookup'!$C:$C,MATCH(BC214,'_names_lookup'!$A:$A,0)),"")</f>
        <v/>
      </c>
      <c r="BE214">
        <f>IFERROR(INDEX('_names_lookup'!$B:$B,MATCH(BC214,'_names_lookup'!$A:$A,0)),"")</f>
        <v/>
      </c>
    </row>
    <row r="215">
      <c r="H215" t="inlineStr">
        <is>
          <t>3125-02</t>
        </is>
      </c>
      <c r="I215" t="inlineStr">
        <is>
          <t>336</t>
        </is>
      </c>
      <c r="K215" t="inlineStr">
        <is>
          <t>796</t>
        </is>
      </c>
      <c r="N215">
        <f>IFERROR(INDEX('_courses_lookup'!$C:$C,MATCH(J215&amp;K215,'_courses_lookup'!$E:$E,0)),"")</f>
        <v/>
      </c>
      <c r="O215">
        <f>IFERROR(INDEX('_courses_lookup'!$D:$D,MATCH(J215&amp;K215,'_courses_lookup'!$E:$E,0)),"")</f>
        <v/>
      </c>
      <c r="AE215">
        <f>IFERROR(IF(AC215*AD215=0,"",AC215*AD215),"")</f>
        <v/>
      </c>
      <c r="AH215">
        <f>IF(AND(AF215&lt;&gt;"",AG215&lt;&gt;""),ROUNDUP((AG215-AF215)/7,0),"")</f>
        <v/>
      </c>
      <c r="AJ215">
        <f>IFERROR(IF(AH215*AI215=0,"",AH215*AI215),"")</f>
        <v/>
      </c>
      <c r="AL215">
        <f>IFERROR(IF((AO215-(AE215+AJ215))/AK215=0,"",ROUNDUP((AO215-(AE215+AJ215))/AK215,0)),"")</f>
        <v/>
      </c>
      <c r="AM215">
        <f>IFERROR(IF((AO215-(AE215+AJ215))=0,"",(AO215-(AE215+AJ215))),"")</f>
        <v/>
      </c>
      <c r="AN215">
        <f>IF(AND(AC215="",AK215=""),AH215,IF(SUM(AC215,AH215,AK215)=0,"",SUM(AC215,AH215,AK215)))</f>
        <v/>
      </c>
      <c r="AY215">
        <f>IF(AB215="","",YEAR(AB215)+IF(MONTH(AB215)&gt;=5,1,0))</f>
        <v/>
      </c>
      <c r="AZ215">
        <f>IF(AB215="","",IF(AND(MONTH(AB215)=8,DAY(AB215)&gt;=15),"Fall",IF(MONTH(AB215)&gt;8,"Fall",IF(MONTH(AB215)=5,"Summer",IF(MONTH(AB215)=1,"Spring","")))))</f>
        <v/>
      </c>
      <c r="BC215" t="inlineStr">
        <is>
          <t>Blue, Katrina B.</t>
        </is>
      </c>
      <c r="BD215">
        <f>IFERROR(INDEX('_names_lookup'!$C:$C,MATCH(BC215,'_names_lookup'!$A:$A,0)),"")</f>
        <v/>
      </c>
      <c r="BE215">
        <f>IFERROR(INDEX('_names_lookup'!$B:$B,MATCH(BC215,'_names_lookup'!$A:$A,0)),"")</f>
        <v/>
      </c>
    </row>
    <row r="216">
      <c r="H216" t="inlineStr">
        <is>
          <t>3163-01</t>
        </is>
      </c>
      <c r="I216" t="inlineStr">
        <is>
          <t>3362</t>
        </is>
      </c>
      <c r="K216" t="inlineStr">
        <is>
          <t>797</t>
        </is>
      </c>
      <c r="N216">
        <f>IFERROR(INDEX('_courses_lookup'!$C:$C,MATCH(J216&amp;K216,'_courses_lookup'!$E:$E,0)),"")</f>
        <v/>
      </c>
      <c r="O216">
        <f>IFERROR(INDEX('_courses_lookup'!$D:$D,MATCH(J216&amp;K216,'_courses_lookup'!$E:$E,0)),"")</f>
        <v/>
      </c>
      <c r="AE216">
        <f>IFERROR(IF(AC216*AD216=0,"",AC216*AD216),"")</f>
        <v/>
      </c>
      <c r="AH216">
        <f>IF(AND(AF216&lt;&gt;"",AG216&lt;&gt;""),ROUNDUP((AG216-AF216)/7,0),"")</f>
        <v/>
      </c>
      <c r="AJ216">
        <f>IFERROR(IF(AH216*AI216=0,"",AH216*AI216),"")</f>
        <v/>
      </c>
      <c r="AL216">
        <f>IFERROR(IF((AO216-(AE216+AJ216))/AK216=0,"",ROUNDUP((AO216-(AE216+AJ216))/AK216,0)),"")</f>
        <v/>
      </c>
      <c r="AM216">
        <f>IFERROR(IF((AO216-(AE216+AJ216))=0,"",(AO216-(AE216+AJ216))),"")</f>
        <v/>
      </c>
      <c r="AN216">
        <f>IF(AND(AC216="",AK216=""),AH216,IF(SUM(AC216,AH216,AK216)=0,"",SUM(AC216,AH216,AK216)))</f>
        <v/>
      </c>
      <c r="AY216">
        <f>IF(AB216="","",YEAR(AB216)+IF(MONTH(AB216)&gt;=5,1,0))</f>
        <v/>
      </c>
      <c r="AZ216">
        <f>IF(AB216="","",IF(AND(MONTH(AB216)=8,DAY(AB216)&gt;=15),"Fall",IF(MONTH(AB216)&gt;8,"Fall",IF(MONTH(AB216)=5,"Summer",IF(MONTH(AB216)=1,"Spring","")))))</f>
        <v/>
      </c>
      <c r="BC216" t="inlineStr">
        <is>
          <t>Burt, Merlin D.</t>
        </is>
      </c>
      <c r="BD216">
        <f>IFERROR(INDEX('_names_lookup'!$C:$C,MATCH(BC216,'_names_lookup'!$A:$A,0)),"")</f>
        <v/>
      </c>
      <c r="BE216">
        <f>IFERROR(INDEX('_names_lookup'!$B:$B,MATCH(BC216,'_names_lookup'!$A:$A,0)),"")</f>
        <v/>
      </c>
    </row>
    <row r="217">
      <c r="H217" t="inlineStr">
        <is>
          <t>3184-01</t>
        </is>
      </c>
      <c r="I217" t="inlineStr">
        <is>
          <t>3363</t>
        </is>
      </c>
      <c r="K217" t="inlineStr">
        <is>
          <t>805</t>
        </is>
      </c>
      <c r="N217">
        <f>IFERROR(INDEX('_courses_lookup'!$C:$C,MATCH(J217&amp;K217,'_courses_lookup'!$E:$E,0)),"")</f>
        <v/>
      </c>
      <c r="O217">
        <f>IFERROR(INDEX('_courses_lookup'!$D:$D,MATCH(J217&amp;K217,'_courses_lookup'!$E:$E,0)),"")</f>
        <v/>
      </c>
      <c r="AE217">
        <f>IFERROR(IF(AC217*AD217=0,"",AC217*AD217),"")</f>
        <v/>
      </c>
      <c r="AH217">
        <f>IF(AND(AF217&lt;&gt;"",AG217&lt;&gt;""),ROUNDUP((AG217-AF217)/7,0),"")</f>
        <v/>
      </c>
      <c r="AJ217">
        <f>IFERROR(IF(AH217*AI217=0,"",AH217*AI217),"")</f>
        <v/>
      </c>
      <c r="AL217">
        <f>IFERROR(IF((AO217-(AE217+AJ217))/AK217=0,"",ROUNDUP((AO217-(AE217+AJ217))/AK217,0)),"")</f>
        <v/>
      </c>
      <c r="AM217">
        <f>IFERROR(IF((AO217-(AE217+AJ217))=0,"",(AO217-(AE217+AJ217))),"")</f>
        <v/>
      </c>
      <c r="AN217">
        <f>IF(AND(AC217="",AK217=""),AH217,IF(SUM(AC217,AH217,AK217)=0,"",SUM(AC217,AH217,AK217)))</f>
        <v/>
      </c>
      <c r="AY217">
        <f>IF(AB217="","",YEAR(AB217)+IF(MONTH(AB217)&gt;=5,1,0))</f>
        <v/>
      </c>
      <c r="AZ217">
        <f>IF(AB217="","",IF(AND(MONTH(AB217)=8,DAY(AB217)&gt;=15),"Fall",IF(MONTH(AB217)&gt;8,"Fall",IF(MONTH(AB217)=5,"Summer",IF(MONTH(AB217)=1,"Spring","")))))</f>
        <v/>
      </c>
      <c r="BC217" t="inlineStr">
        <is>
          <t>Camarena, Carlos C.</t>
        </is>
      </c>
      <c r="BD217">
        <f>IFERROR(INDEX('_names_lookup'!$C:$C,MATCH(BC217,'_names_lookup'!$A:$A,0)),"")</f>
        <v/>
      </c>
      <c r="BE217">
        <f>IFERROR(INDEX('_names_lookup'!$B:$B,MATCH(BC217,'_names_lookup'!$A:$A,0)),"")</f>
        <v/>
      </c>
    </row>
    <row r="218">
      <c r="H218" t="inlineStr">
        <is>
          <t>3184-02</t>
        </is>
      </c>
      <c r="I218" t="inlineStr">
        <is>
          <t>3364</t>
        </is>
      </c>
      <c r="K218" t="inlineStr">
        <is>
          <t>806</t>
        </is>
      </c>
      <c r="N218">
        <f>IFERROR(INDEX('_courses_lookup'!$C:$C,MATCH(J218&amp;K218,'_courses_lookup'!$E:$E,0)),"")</f>
        <v/>
      </c>
      <c r="O218">
        <f>IFERROR(INDEX('_courses_lookup'!$D:$D,MATCH(J218&amp;K218,'_courses_lookup'!$E:$E,0)),"")</f>
        <v/>
      </c>
      <c r="AE218">
        <f>IFERROR(IF(AC218*AD218=0,"",AC218*AD218),"")</f>
        <v/>
      </c>
      <c r="AH218">
        <f>IF(AND(AF218&lt;&gt;"",AG218&lt;&gt;""),ROUNDUP((AG218-AF218)/7,0),"")</f>
        <v/>
      </c>
      <c r="AJ218">
        <f>IFERROR(IF(AH218*AI218=0,"",AH218*AI218),"")</f>
        <v/>
      </c>
      <c r="AL218">
        <f>IFERROR(IF((AO218-(AE218+AJ218))/AK218=0,"",ROUNDUP((AO218-(AE218+AJ218))/AK218,0)),"")</f>
        <v/>
      </c>
      <c r="AM218">
        <f>IFERROR(IF((AO218-(AE218+AJ218))=0,"",(AO218-(AE218+AJ218))),"")</f>
        <v/>
      </c>
      <c r="AN218">
        <f>IF(AND(AC218="",AK218=""),AH218,IF(SUM(AC218,AH218,AK218)=0,"",SUM(AC218,AH218,AK218)))</f>
        <v/>
      </c>
      <c r="AY218">
        <f>IF(AB218="","",YEAR(AB218)+IF(MONTH(AB218)&gt;=5,1,0))</f>
        <v/>
      </c>
      <c r="AZ218">
        <f>IF(AB218="","",IF(AND(MONTH(AB218)=8,DAY(AB218)&gt;=15),"Fall",IF(MONTH(AB218)&gt;8,"Fall",IF(MONTH(AB218)=5,"Summer",IF(MONTH(AB218)=1,"Spring","")))))</f>
        <v/>
      </c>
      <c r="BC218" t="inlineStr">
        <is>
          <t>Case, Steve W.</t>
        </is>
      </c>
      <c r="BD218">
        <f>IFERROR(INDEX('_names_lookup'!$C:$C,MATCH(BC218,'_names_lookup'!$A:$A,0)),"")</f>
        <v/>
      </c>
      <c r="BE218">
        <f>IFERROR(INDEX('_names_lookup'!$B:$B,MATCH(BC218,'_names_lookup'!$A:$A,0)),"")</f>
        <v/>
      </c>
    </row>
    <row r="219">
      <c r="H219" t="inlineStr">
        <is>
          <t>3184-03</t>
        </is>
      </c>
      <c r="I219" t="inlineStr">
        <is>
          <t>3365</t>
        </is>
      </c>
      <c r="K219" t="inlineStr">
        <is>
          <t>808</t>
        </is>
      </c>
      <c r="N219">
        <f>IFERROR(INDEX('_courses_lookup'!$C:$C,MATCH(J219&amp;K219,'_courses_lookup'!$E:$E,0)),"")</f>
        <v/>
      </c>
      <c r="O219">
        <f>IFERROR(INDEX('_courses_lookup'!$D:$D,MATCH(J219&amp;K219,'_courses_lookup'!$E:$E,0)),"")</f>
        <v/>
      </c>
      <c r="AE219">
        <f>IFERROR(IF(AC219*AD219=0,"",AC219*AD219),"")</f>
        <v/>
      </c>
      <c r="AH219">
        <f>IF(AND(AF219&lt;&gt;"",AG219&lt;&gt;""),ROUNDUP((AG219-AF219)/7,0),"")</f>
        <v/>
      </c>
      <c r="AJ219">
        <f>IFERROR(IF(AH219*AI219=0,"",AH219*AI219),"")</f>
        <v/>
      </c>
      <c r="AL219">
        <f>IFERROR(IF((AO219-(AE219+AJ219))/AK219=0,"",ROUNDUP((AO219-(AE219+AJ219))/AK219,0)),"")</f>
        <v/>
      </c>
      <c r="AM219">
        <f>IFERROR(IF((AO219-(AE219+AJ219))=0,"",(AO219-(AE219+AJ219))),"")</f>
        <v/>
      </c>
      <c r="AN219">
        <f>IF(AND(AC219="",AK219=""),AH219,IF(SUM(AC219,AH219,AK219)=0,"",SUM(AC219,AH219,AK219)))</f>
        <v/>
      </c>
      <c r="AY219">
        <f>IF(AB219="","",YEAR(AB219)+IF(MONTH(AB219)&gt;=5,1,0))</f>
        <v/>
      </c>
      <c r="AZ219">
        <f>IF(AB219="","",IF(AND(MONTH(AB219)=8,DAY(AB219)&gt;=15),"Fall",IF(MONTH(AB219)&gt;8,"Fall",IF(MONTH(AB219)=5,"Summer",IF(MONTH(AB219)=1,"Spring","")))))</f>
        <v/>
      </c>
      <c r="BC219" t="inlineStr">
        <is>
          <t>Davidson, JoAnn</t>
        </is>
      </c>
      <c r="BD219">
        <f>IFERROR(INDEX('_names_lookup'!$C:$C,MATCH(BC219,'_names_lookup'!$A:$A,0)),"")</f>
        <v/>
      </c>
      <c r="BE219">
        <f>IFERROR(INDEX('_names_lookup'!$B:$B,MATCH(BC219,'_names_lookup'!$A:$A,0)),"")</f>
        <v/>
      </c>
    </row>
    <row r="220">
      <c r="H220" t="inlineStr">
        <is>
          <t>3185-01</t>
        </is>
      </c>
      <c r="I220" t="inlineStr">
        <is>
          <t>3366</t>
        </is>
      </c>
      <c r="K220" t="inlineStr">
        <is>
          <t>809</t>
        </is>
      </c>
      <c r="N220">
        <f>IFERROR(INDEX('_courses_lookup'!$C:$C,MATCH(J220&amp;K220,'_courses_lookup'!$E:$E,0)),"")</f>
        <v/>
      </c>
      <c r="O220">
        <f>IFERROR(INDEX('_courses_lookup'!$D:$D,MATCH(J220&amp;K220,'_courses_lookup'!$E:$E,0)),"")</f>
        <v/>
      </c>
      <c r="AE220">
        <f>IFERROR(IF(AC220*AD220=0,"",AC220*AD220),"")</f>
        <v/>
      </c>
      <c r="AH220">
        <f>IF(AND(AF220&lt;&gt;"",AG220&lt;&gt;""),ROUNDUP((AG220-AF220)/7,0),"")</f>
        <v/>
      </c>
      <c r="AJ220">
        <f>IFERROR(IF(AH220*AI220=0,"",AH220*AI220),"")</f>
        <v/>
      </c>
      <c r="AL220">
        <f>IFERROR(IF((AO220-(AE220+AJ220))/AK220=0,"",ROUNDUP((AO220-(AE220+AJ220))/AK220,0)),"")</f>
        <v/>
      </c>
      <c r="AM220">
        <f>IFERROR(IF((AO220-(AE220+AJ220))=0,"",(AO220-(AE220+AJ220))),"")</f>
        <v/>
      </c>
      <c r="AN220">
        <f>IF(AND(AC220="",AK220=""),AH220,IF(SUM(AC220,AH220,AK220)=0,"",SUM(AC220,AH220,AK220)))</f>
        <v/>
      </c>
      <c r="AY220">
        <f>IF(AB220="","",YEAR(AB220)+IF(MONTH(AB220)&gt;=5,1,0))</f>
        <v/>
      </c>
      <c r="AZ220">
        <f>IF(AB220="","",IF(AND(MONTH(AB220)=8,DAY(AB220)&gt;=15),"Fall",IF(MONTH(AB220)&gt;8,"Fall",IF(MONTH(AB220)=5,"Summer",IF(MONTH(AB220)=1,"Spring","")))))</f>
        <v/>
      </c>
      <c r="BC220" t="inlineStr">
        <is>
          <t>Davidson, Richard M.</t>
        </is>
      </c>
      <c r="BD220">
        <f>IFERROR(INDEX('_names_lookup'!$C:$C,MATCH(BC220,'_names_lookup'!$A:$A,0)),"")</f>
        <v/>
      </c>
      <c r="BE220">
        <f>IFERROR(INDEX('_names_lookup'!$B:$B,MATCH(BC220,'_names_lookup'!$A:$A,0)),"")</f>
        <v/>
      </c>
    </row>
    <row r="221">
      <c r="H221" t="inlineStr">
        <is>
          <t>3185-02</t>
        </is>
      </c>
      <c r="I221" t="inlineStr">
        <is>
          <t>3367</t>
        </is>
      </c>
      <c r="K221" t="inlineStr">
        <is>
          <t>810</t>
        </is>
      </c>
      <c r="N221">
        <f>IFERROR(INDEX('_courses_lookup'!$C:$C,MATCH(J221&amp;K221,'_courses_lookup'!$E:$E,0)),"")</f>
        <v/>
      </c>
      <c r="O221">
        <f>IFERROR(INDEX('_courses_lookup'!$D:$D,MATCH(J221&amp;K221,'_courses_lookup'!$E:$E,0)),"")</f>
        <v/>
      </c>
      <c r="AE221">
        <f>IFERROR(IF(AC221*AD221=0,"",AC221*AD221),"")</f>
        <v/>
      </c>
      <c r="AH221">
        <f>IF(AND(AF221&lt;&gt;"",AG221&lt;&gt;""),ROUNDUP((AG221-AF221)/7,0),"")</f>
        <v/>
      </c>
      <c r="AJ221">
        <f>IFERROR(IF(AH221*AI221=0,"",AH221*AI221),"")</f>
        <v/>
      </c>
      <c r="AL221">
        <f>IFERROR(IF((AO221-(AE221+AJ221))/AK221=0,"",ROUNDUP((AO221-(AE221+AJ221))/AK221,0)),"")</f>
        <v/>
      </c>
      <c r="AM221">
        <f>IFERROR(IF((AO221-(AE221+AJ221))=0,"",(AO221-(AE221+AJ221))),"")</f>
        <v/>
      </c>
      <c r="AN221">
        <f>IF(AND(AC221="",AK221=""),AH221,IF(SUM(AC221,AH221,AK221)=0,"",SUM(AC221,AH221,AK221)))</f>
        <v/>
      </c>
      <c r="AY221">
        <f>IF(AB221="","",YEAR(AB221)+IF(MONTH(AB221)&gt;=5,1,0))</f>
        <v/>
      </c>
      <c r="AZ221">
        <f>IF(AB221="","",IF(AND(MONTH(AB221)=8,DAY(AB221)&gt;=15),"Fall",IF(MONTH(AB221)&gt;8,"Fall",IF(MONTH(AB221)=5,"Summer",IF(MONTH(AB221)=1,"Spring","")))))</f>
        <v/>
      </c>
      <c r="BC221" t="inlineStr">
        <is>
          <t>Fortin, Denis</t>
        </is>
      </c>
      <c r="BD221">
        <f>IFERROR(INDEX('_names_lookup'!$C:$C,MATCH(BC221,'_names_lookup'!$A:$A,0)),"")</f>
        <v/>
      </c>
      <c r="BE221">
        <f>IFERROR(INDEX('_names_lookup'!$B:$B,MATCH(BC221,'_names_lookup'!$A:$A,0)),"")</f>
        <v/>
      </c>
    </row>
    <row r="222">
      <c r="H222" t="inlineStr">
        <is>
          <t>3185-03</t>
        </is>
      </c>
      <c r="I222" t="inlineStr">
        <is>
          <t>3368</t>
        </is>
      </c>
      <c r="K222" t="inlineStr">
        <is>
          <t>814</t>
        </is>
      </c>
      <c r="N222">
        <f>IFERROR(INDEX('_courses_lookup'!$C:$C,MATCH(J222&amp;K222,'_courses_lookup'!$E:$E,0)),"")</f>
        <v/>
      </c>
      <c r="O222">
        <f>IFERROR(INDEX('_courses_lookup'!$D:$D,MATCH(J222&amp;K222,'_courses_lookup'!$E:$E,0)),"")</f>
        <v/>
      </c>
      <c r="AE222">
        <f>IFERROR(IF(AC222*AD222=0,"",AC222*AD222),"")</f>
        <v/>
      </c>
      <c r="AH222">
        <f>IF(AND(AF222&lt;&gt;"",AG222&lt;&gt;""),ROUNDUP((AG222-AF222)/7,0),"")</f>
        <v/>
      </c>
      <c r="AJ222">
        <f>IFERROR(IF(AH222*AI222=0,"",AH222*AI222),"")</f>
        <v/>
      </c>
      <c r="AL222">
        <f>IFERROR(IF((AO222-(AE222+AJ222))/AK222=0,"",ROUNDUP((AO222-(AE222+AJ222))/AK222,0)),"")</f>
        <v/>
      </c>
      <c r="AM222">
        <f>IFERROR(IF((AO222-(AE222+AJ222))=0,"",(AO222-(AE222+AJ222))),"")</f>
        <v/>
      </c>
      <c r="AN222">
        <f>IF(AND(AC222="",AK222=""),AH222,IF(SUM(AC222,AH222,AK222)=0,"",SUM(AC222,AH222,AK222)))</f>
        <v/>
      </c>
      <c r="AY222">
        <f>IF(AB222="","",YEAR(AB222)+IF(MONTH(AB222)&gt;=5,1,0))</f>
        <v/>
      </c>
      <c r="AZ222">
        <f>IF(AB222="","",IF(AND(MONTH(AB222)=8,DAY(AB222)&gt;=15),"Fall",IF(MONTH(AB222)&gt;8,"Fall",IF(MONTH(AB222)=5,"Summer",IF(MONTH(AB222)=1,"Spring","")))))</f>
        <v/>
      </c>
      <c r="BC222" t="inlineStr">
        <is>
          <t>Galenieks, Eriks</t>
        </is>
      </c>
      <c r="BD222">
        <f>IFERROR(INDEX('_names_lookup'!$C:$C,MATCH(BC222,'_names_lookup'!$A:$A,0)),"")</f>
        <v/>
      </c>
      <c r="BE222">
        <f>IFERROR(INDEX('_names_lookup'!$B:$B,MATCH(BC222,'_names_lookup'!$A:$A,0)),"")</f>
        <v/>
      </c>
    </row>
    <row r="223">
      <c r="H223" t="inlineStr">
        <is>
          <t>3186-01</t>
        </is>
      </c>
      <c r="I223" t="inlineStr">
        <is>
          <t>3369</t>
        </is>
      </c>
      <c r="K223" t="inlineStr">
        <is>
          <t>815</t>
        </is>
      </c>
      <c r="N223">
        <f>IFERROR(INDEX('_courses_lookup'!$C:$C,MATCH(J223&amp;K223,'_courses_lookup'!$E:$E,0)),"")</f>
        <v/>
      </c>
      <c r="O223">
        <f>IFERROR(INDEX('_courses_lookup'!$D:$D,MATCH(J223&amp;K223,'_courses_lookup'!$E:$E,0)),"")</f>
        <v/>
      </c>
      <c r="AE223">
        <f>IFERROR(IF(AC223*AD223=0,"",AC223*AD223),"")</f>
        <v/>
      </c>
      <c r="AH223">
        <f>IF(AND(AF223&lt;&gt;"",AG223&lt;&gt;""),ROUNDUP((AG223-AF223)/7,0),"")</f>
        <v/>
      </c>
      <c r="AJ223">
        <f>IFERROR(IF(AH223*AI223=0,"",AH223*AI223),"")</f>
        <v/>
      </c>
      <c r="AL223">
        <f>IFERROR(IF((AO223-(AE223+AJ223))/AK223=0,"",ROUNDUP((AO223-(AE223+AJ223))/AK223,0)),"")</f>
        <v/>
      </c>
      <c r="AM223">
        <f>IFERROR(IF((AO223-(AE223+AJ223))=0,"",(AO223-(AE223+AJ223))),"")</f>
        <v/>
      </c>
      <c r="AN223">
        <f>IF(AND(AC223="",AK223=""),AH223,IF(SUM(AC223,AH223,AK223)=0,"",SUM(AC223,AH223,AK223)))</f>
        <v/>
      </c>
      <c r="AY223">
        <f>IF(AB223="","",YEAR(AB223)+IF(MONTH(AB223)&gt;=5,1,0))</f>
        <v/>
      </c>
      <c r="AZ223">
        <f>IF(AB223="","",IF(AND(MONTH(AB223)=8,DAY(AB223)&gt;=15),"Fall",IF(MONTH(AB223)&gt;8,"Fall",IF(MONTH(AB223)=5,"Summer",IF(MONTH(AB223)=1,"Spring","")))))</f>
        <v/>
      </c>
      <c r="BC223" t="inlineStr">
        <is>
          <t>Gane, Roy E.</t>
        </is>
      </c>
      <c r="BD223">
        <f>IFERROR(INDEX('_names_lookup'!$C:$C,MATCH(BC223,'_names_lookup'!$A:$A,0)),"")</f>
        <v/>
      </c>
      <c r="BE223">
        <f>IFERROR(INDEX('_names_lookup'!$B:$B,MATCH(BC223,'_names_lookup'!$A:$A,0)),"")</f>
        <v/>
      </c>
    </row>
    <row r="224">
      <c r="H224" t="inlineStr">
        <is>
          <t>3186-02</t>
        </is>
      </c>
      <c r="I224" t="inlineStr">
        <is>
          <t>337</t>
        </is>
      </c>
      <c r="K224" t="inlineStr">
        <is>
          <t>820</t>
        </is>
      </c>
      <c r="N224">
        <f>IFERROR(INDEX('_courses_lookup'!$C:$C,MATCH(J224&amp;K224,'_courses_lookup'!$E:$E,0)),"")</f>
        <v/>
      </c>
      <c r="O224">
        <f>IFERROR(INDEX('_courses_lookup'!$D:$D,MATCH(J224&amp;K224,'_courses_lookup'!$E:$E,0)),"")</f>
        <v/>
      </c>
      <c r="AE224">
        <f>IFERROR(IF(AC224*AD224=0,"",AC224*AD224),"")</f>
        <v/>
      </c>
      <c r="AH224">
        <f>IF(AND(AF224&lt;&gt;"",AG224&lt;&gt;""),ROUNDUP((AG224-AF224)/7,0),"")</f>
        <v/>
      </c>
      <c r="AJ224">
        <f>IFERROR(IF(AH224*AI224=0,"",AH224*AI224),"")</f>
        <v/>
      </c>
      <c r="AL224">
        <f>IFERROR(IF((AO224-(AE224+AJ224))/AK224=0,"",ROUNDUP((AO224-(AE224+AJ224))/AK224,0)),"")</f>
        <v/>
      </c>
      <c r="AM224">
        <f>IFERROR(IF((AO224-(AE224+AJ224))=0,"",(AO224-(AE224+AJ224))),"")</f>
        <v/>
      </c>
      <c r="AN224">
        <f>IF(AND(AC224="",AK224=""),AH224,IF(SUM(AC224,AH224,AK224)=0,"",SUM(AC224,AH224,AK224)))</f>
        <v/>
      </c>
      <c r="AY224">
        <f>IF(AB224="","",YEAR(AB224)+IF(MONTH(AB224)&gt;=5,1,0))</f>
        <v/>
      </c>
      <c r="AZ224">
        <f>IF(AB224="","",IF(AND(MONTH(AB224)=8,DAY(AB224)&gt;=15),"Fall",IF(MONTH(AB224)&gt;8,"Fall",IF(MONTH(AB224)=5,"Summer",IF(MONTH(AB224)=1,"Spring","")))))</f>
        <v/>
      </c>
      <c r="BC224" t="inlineStr">
        <is>
          <t>Gaton, Roy G.</t>
        </is>
      </c>
      <c r="BD224">
        <f>IFERROR(INDEX('_names_lookup'!$C:$C,MATCH(BC224,'_names_lookup'!$A:$A,0)),"")</f>
        <v/>
      </c>
      <c r="BE224">
        <f>IFERROR(INDEX('_names_lookup'!$B:$B,MATCH(BC224,'_names_lookup'!$A:$A,0)),"")</f>
        <v/>
      </c>
    </row>
    <row r="225">
      <c r="H225" t="inlineStr">
        <is>
          <t>3186-03</t>
        </is>
      </c>
      <c r="I225" t="inlineStr">
        <is>
          <t>3370</t>
        </is>
      </c>
      <c r="K225" t="inlineStr">
        <is>
          <t>826</t>
        </is>
      </c>
      <c r="N225">
        <f>IFERROR(INDEX('_courses_lookup'!$C:$C,MATCH(J225&amp;K225,'_courses_lookup'!$E:$E,0)),"")</f>
        <v/>
      </c>
      <c r="O225">
        <f>IFERROR(INDEX('_courses_lookup'!$D:$D,MATCH(J225&amp;K225,'_courses_lookup'!$E:$E,0)),"")</f>
        <v/>
      </c>
      <c r="AE225">
        <f>IFERROR(IF(AC225*AD225=0,"",AC225*AD225),"")</f>
        <v/>
      </c>
      <c r="AH225">
        <f>IF(AND(AF225&lt;&gt;"",AG225&lt;&gt;""),ROUNDUP((AG225-AF225)/7,0),"")</f>
        <v/>
      </c>
      <c r="AJ225">
        <f>IFERROR(IF(AH225*AI225=0,"",AH225*AI225),"")</f>
        <v/>
      </c>
      <c r="AL225">
        <f>IFERROR(IF((AO225-(AE225+AJ225))/AK225=0,"",ROUNDUP((AO225-(AE225+AJ225))/AK225,0)),"")</f>
        <v/>
      </c>
      <c r="AM225">
        <f>IFERROR(IF((AO225-(AE225+AJ225))=0,"",(AO225-(AE225+AJ225))),"")</f>
        <v/>
      </c>
      <c r="AN225">
        <f>IF(AND(AC225="",AK225=""),AH225,IF(SUM(AC225,AH225,AK225)=0,"",SUM(AC225,AH225,AK225)))</f>
        <v/>
      </c>
      <c r="AY225">
        <f>IF(AB225="","",YEAR(AB225)+IF(MONTH(AB225)&gt;=5,1,0))</f>
        <v/>
      </c>
      <c r="AZ225">
        <f>IF(AB225="","",IF(AND(MONTH(AB225)=8,DAY(AB225)&gt;=15),"Fall",IF(MONTH(AB225)&gt;8,"Fall",IF(MONTH(AB225)=5,"Summer",IF(MONTH(AB225)=1,"Spring","")))))</f>
        <v/>
      </c>
      <c r="BC225" t="inlineStr">
        <is>
          <t>Goncalves, Kleber D.</t>
        </is>
      </c>
      <c r="BD225">
        <f>IFERROR(INDEX('_names_lookup'!$C:$C,MATCH(BC225,'_names_lookup'!$A:$A,0)),"")</f>
        <v/>
      </c>
      <c r="BE225">
        <f>IFERROR(INDEX('_names_lookup'!$B:$B,MATCH(BC225,'_names_lookup'!$A:$A,0)),"")</f>
        <v/>
      </c>
    </row>
    <row r="226">
      <c r="H226" t="inlineStr">
        <is>
          <t>3188-01</t>
        </is>
      </c>
      <c r="I226" t="inlineStr">
        <is>
          <t>3371</t>
        </is>
      </c>
      <c r="K226" t="inlineStr">
        <is>
          <t>827</t>
        </is>
      </c>
      <c r="N226">
        <f>IFERROR(INDEX('_courses_lookup'!$C:$C,MATCH(J226&amp;K226,'_courses_lookup'!$E:$E,0)),"")</f>
        <v/>
      </c>
      <c r="O226">
        <f>IFERROR(INDEX('_courses_lookup'!$D:$D,MATCH(J226&amp;K226,'_courses_lookup'!$E:$E,0)),"")</f>
        <v/>
      </c>
      <c r="AE226">
        <f>IFERROR(IF(AC226*AD226=0,"",AC226*AD226),"")</f>
        <v/>
      </c>
      <c r="AH226">
        <f>IF(AND(AF226&lt;&gt;"",AG226&lt;&gt;""),ROUNDUP((AG226-AF226)/7,0),"")</f>
        <v/>
      </c>
      <c r="AJ226">
        <f>IFERROR(IF(AH226*AI226=0,"",AH226*AI226),"")</f>
        <v/>
      </c>
      <c r="AL226">
        <f>IFERROR(IF((AO226-(AE226+AJ226))/AK226=0,"",ROUNDUP((AO226-(AE226+AJ226))/AK226,0)),"")</f>
        <v/>
      </c>
      <c r="AM226">
        <f>IFERROR(IF((AO226-(AE226+AJ226))=0,"",(AO226-(AE226+AJ226))),"")</f>
        <v/>
      </c>
      <c r="AN226">
        <f>IF(AND(AC226="",AK226=""),AH226,IF(SUM(AC226,AH226,AK226)=0,"",SUM(AC226,AH226,AK226)))</f>
        <v/>
      </c>
      <c r="AY226">
        <f>IF(AB226="","",YEAR(AB226)+IF(MONTH(AB226)&gt;=5,1,0))</f>
        <v/>
      </c>
      <c r="AZ226">
        <f>IF(AB226="","",IF(AND(MONTH(AB226)=8,DAY(AB226)&gt;=15),"Fall",IF(MONTH(AB226)&gt;8,"Fall",IF(MONTH(AB226)=5,"Summer",IF(MONTH(AB226)=1,"Spring","")))))</f>
        <v/>
      </c>
      <c r="BC226" t="inlineStr">
        <is>
          <t>Green, Esther</t>
        </is>
      </c>
      <c r="BD226">
        <f>IFERROR(INDEX('_names_lookup'!$C:$C,MATCH(BC226,'_names_lookup'!$A:$A,0)),"")</f>
        <v/>
      </c>
      <c r="BE226">
        <f>IFERROR(INDEX('_names_lookup'!$B:$B,MATCH(BC226,'_names_lookup'!$A:$A,0)),"")</f>
        <v/>
      </c>
    </row>
    <row r="227">
      <c r="H227" t="inlineStr">
        <is>
          <t>3188-02</t>
        </is>
      </c>
      <c r="I227" t="inlineStr">
        <is>
          <t>3373</t>
        </is>
      </c>
      <c r="K227" t="inlineStr">
        <is>
          <t>828</t>
        </is>
      </c>
      <c r="N227">
        <f>IFERROR(INDEX('_courses_lookup'!$C:$C,MATCH(J227&amp;K227,'_courses_lookup'!$E:$E,0)),"")</f>
        <v/>
      </c>
      <c r="O227">
        <f>IFERROR(INDEX('_courses_lookup'!$D:$D,MATCH(J227&amp;K227,'_courses_lookup'!$E:$E,0)),"")</f>
        <v/>
      </c>
      <c r="AE227">
        <f>IFERROR(IF(AC227*AD227=0,"",AC227*AD227),"")</f>
        <v/>
      </c>
      <c r="AH227">
        <f>IF(AND(AF227&lt;&gt;"",AG227&lt;&gt;""),ROUNDUP((AG227-AF227)/7,0),"")</f>
        <v/>
      </c>
      <c r="AJ227">
        <f>IFERROR(IF(AH227*AI227=0,"",AH227*AI227),"")</f>
        <v/>
      </c>
      <c r="AL227">
        <f>IFERROR(IF((AO227-(AE227+AJ227))/AK227=0,"",ROUNDUP((AO227-(AE227+AJ227))/AK227,0)),"")</f>
        <v/>
      </c>
      <c r="AM227">
        <f>IFERROR(IF((AO227-(AE227+AJ227))=0,"",(AO227-(AE227+AJ227))),"")</f>
        <v/>
      </c>
      <c r="AN227">
        <f>IF(AND(AC227="",AK227=""),AH227,IF(SUM(AC227,AH227,AK227)=0,"",SUM(AC227,AH227,AK227)))</f>
        <v/>
      </c>
      <c r="AY227">
        <f>IF(AB227="","",YEAR(AB227)+IF(MONTH(AB227)&gt;=5,1,0))</f>
        <v/>
      </c>
      <c r="AZ227">
        <f>IF(AB227="","",IF(AND(MONTH(AB227)=8,DAY(AB227)&gt;=15),"Fall",IF(MONTH(AB227)&gt;8,"Fall",IF(MONTH(AB227)=5,"Summer",IF(MONTH(AB227)=1,"Spring","")))))</f>
        <v/>
      </c>
      <c r="BC227" t="inlineStr">
        <is>
          <t>Hall, Kenley D.</t>
        </is>
      </c>
      <c r="BD227">
        <f>IFERROR(INDEX('_names_lookup'!$C:$C,MATCH(BC227,'_names_lookup'!$A:$A,0)),"")</f>
        <v/>
      </c>
      <c r="BE227">
        <f>IFERROR(INDEX('_names_lookup'!$B:$B,MATCH(BC227,'_names_lookup'!$A:$A,0)),"")</f>
        <v/>
      </c>
    </row>
    <row r="228">
      <c r="H228" t="inlineStr">
        <is>
          <t>3188-03</t>
        </is>
      </c>
      <c r="I228" t="inlineStr">
        <is>
          <t>3374</t>
        </is>
      </c>
      <c r="K228" t="inlineStr">
        <is>
          <t>829</t>
        </is>
      </c>
      <c r="N228">
        <f>IFERROR(INDEX('_courses_lookup'!$C:$C,MATCH(J228&amp;K228,'_courses_lookup'!$E:$E,0)),"")</f>
        <v/>
      </c>
      <c r="O228">
        <f>IFERROR(INDEX('_courses_lookup'!$D:$D,MATCH(J228&amp;K228,'_courses_lookup'!$E:$E,0)),"")</f>
        <v/>
      </c>
      <c r="AE228">
        <f>IFERROR(IF(AC228*AD228=0,"",AC228*AD228),"")</f>
        <v/>
      </c>
      <c r="AH228">
        <f>IF(AND(AF228&lt;&gt;"",AG228&lt;&gt;""),ROUNDUP((AG228-AF228)/7,0),"")</f>
        <v/>
      </c>
      <c r="AJ228">
        <f>IFERROR(IF(AH228*AI228=0,"",AH228*AI228),"")</f>
        <v/>
      </c>
      <c r="AL228">
        <f>IFERROR(IF((AO228-(AE228+AJ228))/AK228=0,"",ROUNDUP((AO228-(AE228+AJ228))/AK228,0)),"")</f>
        <v/>
      </c>
      <c r="AM228">
        <f>IFERROR(IF((AO228-(AE228+AJ228))=0,"",(AO228-(AE228+AJ228))),"")</f>
        <v/>
      </c>
      <c r="AN228">
        <f>IF(AND(AC228="",AK228=""),AH228,IF(SUM(AC228,AH228,AK228)=0,"",SUM(AC228,AH228,AK228)))</f>
        <v/>
      </c>
      <c r="AY228">
        <f>IF(AB228="","",YEAR(AB228)+IF(MONTH(AB228)&gt;=5,1,0))</f>
        <v/>
      </c>
      <c r="AZ228">
        <f>IF(AB228="","",IF(AND(MONTH(AB228)=8,DAY(AB228)&gt;=15),"Fall",IF(MONTH(AB228)&gt;8,"Fall",IF(MONTH(AB228)=5,"Summer",IF(MONTH(AB228)=1,"Spring","")))))</f>
        <v/>
      </c>
      <c r="BC228" t="inlineStr">
        <is>
          <t>Hernandez, Abner F.</t>
        </is>
      </c>
      <c r="BD228">
        <f>IFERROR(INDEX('_names_lookup'!$C:$C,MATCH(BC228,'_names_lookup'!$A:$A,0)),"")</f>
        <v/>
      </c>
      <c r="BE228">
        <f>IFERROR(INDEX('_names_lookup'!$B:$B,MATCH(BC228,'_names_lookup'!$A:$A,0)),"")</f>
        <v/>
      </c>
    </row>
    <row r="229">
      <c r="H229" t="inlineStr">
        <is>
          <t>3189-01</t>
        </is>
      </c>
      <c r="I229" t="inlineStr">
        <is>
          <t>3375</t>
        </is>
      </c>
      <c r="K229" t="inlineStr">
        <is>
          <t>830</t>
        </is>
      </c>
      <c r="N229">
        <f>IFERROR(INDEX('_courses_lookup'!$C:$C,MATCH(J229&amp;K229,'_courses_lookup'!$E:$E,0)),"")</f>
        <v/>
      </c>
      <c r="O229">
        <f>IFERROR(INDEX('_courses_lookup'!$D:$D,MATCH(J229&amp;K229,'_courses_lookup'!$E:$E,0)),"")</f>
        <v/>
      </c>
      <c r="AE229">
        <f>IFERROR(IF(AC229*AD229=0,"",AC229*AD229),"")</f>
        <v/>
      </c>
      <c r="AH229">
        <f>IF(AND(AF229&lt;&gt;"",AG229&lt;&gt;""),ROUNDUP((AG229-AF229)/7,0),"")</f>
        <v/>
      </c>
      <c r="AJ229">
        <f>IFERROR(IF(AH229*AI229=0,"",AH229*AI229),"")</f>
        <v/>
      </c>
      <c r="AL229">
        <f>IFERROR(IF((AO229-(AE229+AJ229))/AK229=0,"",ROUNDUP((AO229-(AE229+AJ229))/AK229,0)),"")</f>
        <v/>
      </c>
      <c r="AM229">
        <f>IFERROR(IF((AO229-(AE229+AJ229))=0,"",(AO229-(AE229+AJ229))),"")</f>
        <v/>
      </c>
      <c r="AN229">
        <f>IF(AND(AC229="",AK229=""),AH229,IF(SUM(AC229,AH229,AK229)=0,"",SUM(AC229,AH229,AK229)))</f>
        <v/>
      </c>
      <c r="AY229">
        <f>IF(AB229="","",YEAR(AB229)+IF(MONTH(AB229)&gt;=5,1,0))</f>
        <v/>
      </c>
      <c r="AZ229">
        <f>IF(AB229="","",IF(AND(MONTH(AB229)=8,DAY(AB229)&gt;=15),"Fall",IF(MONTH(AB229)&gt;8,"Fall",IF(MONTH(AB229)=5,"Summer",IF(MONTH(AB229)=1,"Spring","")))))</f>
        <v/>
      </c>
      <c r="BC229" t="inlineStr">
        <is>
          <t>Hucks, Willie E.</t>
        </is>
      </c>
      <c r="BD229">
        <f>IFERROR(INDEX('_names_lookup'!$C:$C,MATCH(BC229,'_names_lookup'!$A:$A,0)),"")</f>
        <v/>
      </c>
      <c r="BE229">
        <f>IFERROR(INDEX('_names_lookup'!$B:$B,MATCH(BC229,'_names_lookup'!$A:$A,0)),"")</f>
        <v/>
      </c>
    </row>
    <row r="230">
      <c r="H230" t="inlineStr">
        <is>
          <t>3189-02</t>
        </is>
      </c>
      <c r="I230" t="inlineStr">
        <is>
          <t>3376</t>
        </is>
      </c>
      <c r="K230" t="inlineStr">
        <is>
          <t>834</t>
        </is>
      </c>
      <c r="N230">
        <f>IFERROR(INDEX('_courses_lookup'!$C:$C,MATCH(J230&amp;K230,'_courses_lookup'!$E:$E,0)),"")</f>
        <v/>
      </c>
      <c r="O230">
        <f>IFERROR(INDEX('_courses_lookup'!$D:$D,MATCH(J230&amp;K230,'_courses_lookup'!$E:$E,0)),"")</f>
        <v/>
      </c>
      <c r="AE230">
        <f>IFERROR(IF(AC230*AD230=0,"",AC230*AD230),"")</f>
        <v/>
      </c>
      <c r="AH230">
        <f>IF(AND(AF230&lt;&gt;"",AG230&lt;&gt;""),ROUNDUP((AG230-AF230)/7,0),"")</f>
        <v/>
      </c>
      <c r="AJ230">
        <f>IFERROR(IF(AH230*AI230=0,"",AH230*AI230),"")</f>
        <v/>
      </c>
      <c r="AL230">
        <f>IFERROR(IF((AO230-(AE230+AJ230))/AK230=0,"",ROUNDUP((AO230-(AE230+AJ230))/AK230,0)),"")</f>
        <v/>
      </c>
      <c r="AM230">
        <f>IFERROR(IF((AO230-(AE230+AJ230))=0,"",(AO230-(AE230+AJ230))),"")</f>
        <v/>
      </c>
      <c r="AN230">
        <f>IF(AND(AC230="",AK230=""),AH230,IF(SUM(AC230,AH230,AK230)=0,"",SUM(AC230,AH230,AK230)))</f>
        <v/>
      </c>
      <c r="AY230">
        <f>IF(AB230="","",YEAR(AB230)+IF(MONTH(AB230)&gt;=5,1,0))</f>
        <v/>
      </c>
      <c r="AZ230">
        <f>IF(AB230="","",IF(AND(MONTH(AB230)=8,DAY(AB230)&gt;=15),"Fall",IF(MONTH(AB230)&gt;8,"Fall",IF(MONTH(AB230)=5,"Summer",IF(MONTH(AB230)=1,"Spring","")))))</f>
        <v/>
      </c>
      <c r="BC230" t="inlineStr">
        <is>
          <t>Irizarry De La Cruz, Iriann M.</t>
        </is>
      </c>
      <c r="BD230">
        <f>IFERROR(INDEX('_names_lookup'!$C:$C,MATCH(BC230,'_names_lookup'!$A:$A,0)),"")</f>
        <v/>
      </c>
      <c r="BE230">
        <f>IFERROR(INDEX('_names_lookup'!$B:$B,MATCH(BC230,'_names_lookup'!$A:$A,0)),"")</f>
        <v/>
      </c>
    </row>
    <row r="231">
      <c r="H231" t="inlineStr">
        <is>
          <t>3189-03</t>
        </is>
      </c>
      <c r="I231" t="inlineStr">
        <is>
          <t>3377</t>
        </is>
      </c>
      <c r="K231" t="inlineStr">
        <is>
          <t>835</t>
        </is>
      </c>
      <c r="N231">
        <f>IFERROR(INDEX('_courses_lookup'!$C:$C,MATCH(J231&amp;K231,'_courses_lookup'!$E:$E,0)),"")</f>
        <v/>
      </c>
      <c r="O231">
        <f>IFERROR(INDEX('_courses_lookup'!$D:$D,MATCH(J231&amp;K231,'_courses_lookup'!$E:$E,0)),"")</f>
        <v/>
      </c>
      <c r="AE231">
        <f>IFERROR(IF(AC231*AD231=0,"",AC231*AD231),"")</f>
        <v/>
      </c>
      <c r="AH231">
        <f>IF(AND(AF231&lt;&gt;"",AG231&lt;&gt;""),ROUNDUP((AG231-AF231)/7,0),"")</f>
        <v/>
      </c>
      <c r="AJ231">
        <f>IFERROR(IF(AH231*AI231=0,"",AH231*AI231),"")</f>
        <v/>
      </c>
      <c r="AL231">
        <f>IFERROR(IF((AO231-(AE231+AJ231))/AK231=0,"",ROUNDUP((AO231-(AE231+AJ231))/AK231,0)),"")</f>
        <v/>
      </c>
      <c r="AM231">
        <f>IFERROR(IF((AO231-(AE231+AJ231))=0,"",(AO231-(AE231+AJ231))),"")</f>
        <v/>
      </c>
      <c r="AN231">
        <f>IF(AND(AC231="",AK231=""),AH231,IF(SUM(AC231,AH231,AK231)=0,"",SUM(AC231,AH231,AK231)))</f>
        <v/>
      </c>
      <c r="AY231">
        <f>IF(AB231="","",YEAR(AB231)+IF(MONTH(AB231)&gt;=5,1,0))</f>
        <v/>
      </c>
      <c r="AZ231">
        <f>IF(AB231="","",IF(AND(MONTH(AB231)=8,DAY(AB231)&gt;=15),"Fall",IF(MONTH(AB231)&gt;8,"Fall",IF(MONTH(AB231)=5,"Summer",IF(MONTH(AB231)=1,"Spring","")))))</f>
        <v/>
      </c>
      <c r="BC231" t="inlineStr">
        <is>
          <t>Jeroncic, Ante</t>
        </is>
      </c>
      <c r="BD231">
        <f>IFERROR(INDEX('_names_lookup'!$C:$C,MATCH(BC231,'_names_lookup'!$A:$A,0)),"")</f>
        <v/>
      </c>
      <c r="BE231">
        <f>IFERROR(INDEX('_names_lookup'!$B:$B,MATCH(BC231,'_names_lookup'!$A:$A,0)),"")</f>
        <v/>
      </c>
    </row>
    <row r="232">
      <c r="H232" t="inlineStr">
        <is>
          <t>3261-01</t>
        </is>
      </c>
      <c r="I232" t="inlineStr">
        <is>
          <t>3378</t>
        </is>
      </c>
      <c r="K232" t="inlineStr">
        <is>
          <t>837</t>
        </is>
      </c>
      <c r="N232">
        <f>IFERROR(INDEX('_courses_lookup'!$C:$C,MATCH(J232&amp;K232,'_courses_lookup'!$E:$E,0)),"")</f>
        <v/>
      </c>
      <c r="O232">
        <f>IFERROR(INDEX('_courses_lookup'!$D:$D,MATCH(J232&amp;K232,'_courses_lookup'!$E:$E,0)),"")</f>
        <v/>
      </c>
      <c r="AE232">
        <f>IFERROR(IF(AC232*AD232=0,"",AC232*AD232),"")</f>
        <v/>
      </c>
      <c r="AH232">
        <f>IF(AND(AF232&lt;&gt;"",AG232&lt;&gt;""),ROUNDUP((AG232-AF232)/7,0),"")</f>
        <v/>
      </c>
      <c r="AJ232">
        <f>IFERROR(IF(AH232*AI232=0,"",AH232*AI232),"")</f>
        <v/>
      </c>
      <c r="AL232">
        <f>IFERROR(IF((AO232-(AE232+AJ232))/AK232=0,"",ROUNDUP((AO232-(AE232+AJ232))/AK232,0)),"")</f>
        <v/>
      </c>
      <c r="AM232">
        <f>IFERROR(IF((AO232-(AE232+AJ232))=0,"",(AO232-(AE232+AJ232))),"")</f>
        <v/>
      </c>
      <c r="AN232">
        <f>IF(AND(AC232="",AK232=""),AH232,IF(SUM(AC232,AH232,AK232)=0,"",SUM(AC232,AH232,AK232)))</f>
        <v/>
      </c>
      <c r="AY232">
        <f>IF(AB232="","",YEAR(AB232)+IF(MONTH(AB232)&gt;=5,1,0))</f>
        <v/>
      </c>
      <c r="AZ232">
        <f>IF(AB232="","",IF(AND(MONTH(AB232)=8,DAY(AB232)&gt;=15),"Fall",IF(MONTH(AB232)&gt;8,"Fall",IF(MONTH(AB232)=5,"Summer",IF(MONTH(AB232)=1,"Spring","")))))</f>
        <v/>
      </c>
      <c r="BC232" t="inlineStr">
        <is>
          <t>Kidder, S Joseph</t>
        </is>
      </c>
      <c r="BD232">
        <f>IFERROR(INDEX('_names_lookup'!$C:$C,MATCH(BC232,'_names_lookup'!$A:$A,0)),"")</f>
        <v/>
      </c>
      <c r="BE232">
        <f>IFERROR(INDEX('_names_lookup'!$B:$B,MATCH(BC232,'_names_lookup'!$A:$A,0)),"")</f>
        <v/>
      </c>
    </row>
    <row r="233">
      <c r="H233" t="inlineStr">
        <is>
          <t>3261-02</t>
        </is>
      </c>
      <c r="I233" t="inlineStr">
        <is>
          <t>3379</t>
        </is>
      </c>
      <c r="K233" t="inlineStr">
        <is>
          <t>838</t>
        </is>
      </c>
      <c r="N233">
        <f>IFERROR(INDEX('_courses_lookup'!$C:$C,MATCH(J233&amp;K233,'_courses_lookup'!$E:$E,0)),"")</f>
        <v/>
      </c>
      <c r="O233">
        <f>IFERROR(INDEX('_courses_lookup'!$D:$D,MATCH(J233&amp;K233,'_courses_lookup'!$E:$E,0)),"")</f>
        <v/>
      </c>
      <c r="AE233">
        <f>IFERROR(IF(AC233*AD233=0,"",AC233*AD233),"")</f>
        <v/>
      </c>
      <c r="AH233">
        <f>IF(AND(AF233&lt;&gt;"",AG233&lt;&gt;""),ROUNDUP((AG233-AF233)/7,0),"")</f>
        <v/>
      </c>
      <c r="AJ233">
        <f>IFERROR(IF(AH233*AI233=0,"",AH233*AI233),"")</f>
        <v/>
      </c>
      <c r="AL233">
        <f>IFERROR(IF((AO233-(AE233+AJ233))/AK233=0,"",ROUNDUP((AO233-(AE233+AJ233))/AK233,0)),"")</f>
        <v/>
      </c>
      <c r="AM233">
        <f>IFERROR(IF((AO233-(AE233+AJ233))=0,"",(AO233-(AE233+AJ233))),"")</f>
        <v/>
      </c>
      <c r="AN233">
        <f>IF(AND(AC233="",AK233=""),AH233,IF(SUM(AC233,AH233,AK233)=0,"",SUM(AC233,AH233,AK233)))</f>
        <v/>
      </c>
      <c r="AY233">
        <f>IF(AB233="","",YEAR(AB233)+IF(MONTH(AB233)&gt;=5,1,0))</f>
        <v/>
      </c>
      <c r="AZ233">
        <f>IF(AB233="","",IF(AND(MONTH(AB233)=8,DAY(AB233)&gt;=15),"Fall",IF(MONTH(AB233)&gt;8,"Fall",IF(MONTH(AB233)=5,"Summer",IF(MONTH(AB233)=1,"Spring","")))))</f>
        <v/>
      </c>
      <c r="BC233" t="inlineStr">
        <is>
          <t>Korchuk, Viacheslav I.</t>
        </is>
      </c>
      <c r="BD233">
        <f>IFERROR(INDEX('_names_lookup'!$C:$C,MATCH(BC233,'_names_lookup'!$A:$A,0)),"")</f>
        <v/>
      </c>
      <c r="BE233">
        <f>IFERROR(INDEX('_names_lookup'!$B:$B,MATCH(BC233,'_names_lookup'!$A:$A,0)),"")</f>
        <v/>
      </c>
    </row>
    <row r="234">
      <c r="H234" t="inlineStr">
        <is>
          <t>3262-01</t>
        </is>
      </c>
      <c r="I234" t="inlineStr">
        <is>
          <t>338</t>
        </is>
      </c>
      <c r="K234" t="inlineStr">
        <is>
          <t>840</t>
        </is>
      </c>
      <c r="N234">
        <f>IFERROR(INDEX('_courses_lookup'!$C:$C,MATCH(J234&amp;K234,'_courses_lookup'!$E:$E,0)),"")</f>
        <v/>
      </c>
      <c r="O234">
        <f>IFERROR(INDEX('_courses_lookup'!$D:$D,MATCH(J234&amp;K234,'_courses_lookup'!$E:$E,0)),"")</f>
        <v/>
      </c>
      <c r="AE234">
        <f>IFERROR(IF(AC234*AD234=0,"",AC234*AD234),"")</f>
        <v/>
      </c>
      <c r="AH234">
        <f>IF(AND(AF234&lt;&gt;"",AG234&lt;&gt;""),ROUNDUP((AG234-AF234)/7,0),"")</f>
        <v/>
      </c>
      <c r="AJ234">
        <f>IFERROR(IF(AH234*AI234=0,"",AH234*AI234),"")</f>
        <v/>
      </c>
      <c r="AL234">
        <f>IFERROR(IF((AO234-(AE234+AJ234))/AK234=0,"",ROUNDUP((AO234-(AE234+AJ234))/AK234,0)),"")</f>
        <v/>
      </c>
      <c r="AM234">
        <f>IFERROR(IF((AO234-(AE234+AJ234))=0,"",(AO234-(AE234+AJ234))),"")</f>
        <v/>
      </c>
      <c r="AN234">
        <f>IF(AND(AC234="",AK234=""),AH234,IF(SUM(AC234,AH234,AK234)=0,"",SUM(AC234,AH234,AK234)))</f>
        <v/>
      </c>
      <c r="AY234">
        <f>IF(AB234="","",YEAR(AB234)+IF(MONTH(AB234)&gt;=5,1,0))</f>
        <v/>
      </c>
      <c r="AZ234">
        <f>IF(AB234="","",IF(AND(MONTH(AB234)=8,DAY(AB234)&gt;=15),"Fall",IF(MONTH(AB234)&gt;8,"Fall",IF(MONTH(AB234)=5,"Summer",IF(MONTH(AB234)=1,"Spring","")))))</f>
        <v/>
      </c>
      <c r="BC234" t="inlineStr">
        <is>
          <t>Kwon, Sung K.</t>
        </is>
      </c>
      <c r="BD234">
        <f>IFERROR(INDEX('_names_lookup'!$C:$C,MATCH(BC234,'_names_lookup'!$A:$A,0)),"")</f>
        <v/>
      </c>
      <c r="BE234">
        <f>IFERROR(INDEX('_names_lookup'!$B:$B,MATCH(BC234,'_names_lookup'!$A:$A,0)),"")</f>
        <v/>
      </c>
    </row>
    <row r="235">
      <c r="H235" t="inlineStr">
        <is>
          <t>3262-02</t>
        </is>
      </c>
      <c r="I235" t="inlineStr">
        <is>
          <t>3380</t>
        </is>
      </c>
      <c r="K235" t="inlineStr">
        <is>
          <t>844</t>
        </is>
      </c>
      <c r="N235">
        <f>IFERROR(INDEX('_courses_lookup'!$C:$C,MATCH(J235&amp;K235,'_courses_lookup'!$E:$E,0)),"")</f>
        <v/>
      </c>
      <c r="O235">
        <f>IFERROR(INDEX('_courses_lookup'!$D:$D,MATCH(J235&amp;K235,'_courses_lookup'!$E:$E,0)),"")</f>
        <v/>
      </c>
      <c r="AE235">
        <f>IFERROR(IF(AC235*AD235=0,"",AC235*AD235),"")</f>
        <v/>
      </c>
      <c r="AH235">
        <f>IF(AND(AF235&lt;&gt;"",AG235&lt;&gt;""),ROUNDUP((AG235-AF235)/7,0),"")</f>
        <v/>
      </c>
      <c r="AJ235">
        <f>IFERROR(IF(AH235*AI235=0,"",AH235*AI235),"")</f>
        <v/>
      </c>
      <c r="AL235">
        <f>IFERROR(IF((AO235-(AE235+AJ235))/AK235=0,"",ROUNDUP((AO235-(AE235+AJ235))/AK235,0)),"")</f>
        <v/>
      </c>
      <c r="AM235">
        <f>IFERROR(IF((AO235-(AE235+AJ235))=0,"",(AO235-(AE235+AJ235))),"")</f>
        <v/>
      </c>
      <c r="AN235">
        <f>IF(AND(AC235="",AK235=""),AH235,IF(SUM(AC235,AH235,AK235)=0,"",SUM(AC235,AH235,AK235)))</f>
        <v/>
      </c>
      <c r="AY235">
        <f>IF(AB235="","",YEAR(AB235)+IF(MONTH(AB235)&gt;=5,1,0))</f>
        <v/>
      </c>
      <c r="AZ235">
        <f>IF(AB235="","",IF(AND(MONTH(AB235)=8,DAY(AB235)&gt;=15),"Fall",IF(MONTH(AB235)&gt;8,"Fall",IF(MONTH(AB235)=5,"Summer",IF(MONTH(AB235)=1,"Spring","")))))</f>
        <v/>
      </c>
      <c r="BC235" t="inlineStr">
        <is>
          <t>Machado, Carlos A.</t>
        </is>
      </c>
      <c r="BD235">
        <f>IFERROR(INDEX('_names_lookup'!$C:$C,MATCH(BC235,'_names_lookup'!$A:$A,0)),"")</f>
        <v/>
      </c>
      <c r="BE235">
        <f>IFERROR(INDEX('_names_lookup'!$B:$B,MATCH(BC235,'_names_lookup'!$A:$A,0)),"")</f>
        <v/>
      </c>
    </row>
    <row r="236">
      <c r="H236" t="inlineStr">
        <is>
          <t>3264-01</t>
        </is>
      </c>
      <c r="I236" t="inlineStr">
        <is>
          <t>3381</t>
        </is>
      </c>
      <c r="K236" t="inlineStr">
        <is>
          <t>850</t>
        </is>
      </c>
      <c r="N236">
        <f>IFERROR(INDEX('_courses_lookup'!$C:$C,MATCH(J236&amp;K236,'_courses_lookup'!$E:$E,0)),"")</f>
        <v/>
      </c>
      <c r="O236">
        <f>IFERROR(INDEX('_courses_lookup'!$D:$D,MATCH(J236&amp;K236,'_courses_lookup'!$E:$E,0)),"")</f>
        <v/>
      </c>
      <c r="AE236">
        <f>IFERROR(IF(AC236*AD236=0,"",AC236*AD236),"")</f>
        <v/>
      </c>
      <c r="AH236">
        <f>IF(AND(AF236&lt;&gt;"",AG236&lt;&gt;""),ROUNDUP((AG236-AF236)/7,0),"")</f>
        <v/>
      </c>
      <c r="AJ236">
        <f>IFERROR(IF(AH236*AI236=0,"",AH236*AI236),"")</f>
        <v/>
      </c>
      <c r="AL236">
        <f>IFERROR(IF((AO236-(AE236+AJ236))/AK236=0,"",ROUNDUP((AO236-(AE236+AJ236))/AK236,0)),"")</f>
        <v/>
      </c>
      <c r="AM236">
        <f>IFERROR(IF((AO236-(AE236+AJ236))=0,"",(AO236-(AE236+AJ236))),"")</f>
        <v/>
      </c>
      <c r="AN236">
        <f>IF(AND(AC236="",AK236=""),AH236,IF(SUM(AC236,AH236,AK236)=0,"",SUM(AC236,AH236,AK236)))</f>
        <v/>
      </c>
      <c r="AY236">
        <f>IF(AB236="","",YEAR(AB236)+IF(MONTH(AB236)&gt;=5,1,0))</f>
        <v/>
      </c>
      <c r="AZ236">
        <f>IF(AB236="","",IF(AND(MONTH(AB236)=8,DAY(AB236)&gt;=15),"Fall",IF(MONTH(AB236)&gt;8,"Fall",IF(MONTH(AB236)=5,"Summer",IF(MONTH(AB236)=1,"Spring","")))))</f>
        <v/>
      </c>
      <c r="BC236" t="inlineStr">
        <is>
          <t>Matthews, John V.</t>
        </is>
      </c>
      <c r="BD236">
        <f>IFERROR(INDEX('_names_lookup'!$C:$C,MATCH(BC236,'_names_lookup'!$A:$A,0)),"")</f>
        <v/>
      </c>
      <c r="BE236">
        <f>IFERROR(INDEX('_names_lookup'!$B:$B,MATCH(BC236,'_names_lookup'!$A:$A,0)),"")</f>
        <v/>
      </c>
    </row>
    <row r="237">
      <c r="H237" t="inlineStr">
        <is>
          <t>3264-02</t>
        </is>
      </c>
      <c r="I237" t="inlineStr">
        <is>
          <t>3382</t>
        </is>
      </c>
      <c r="K237" t="inlineStr">
        <is>
          <t>854</t>
        </is>
      </c>
      <c r="N237">
        <f>IFERROR(INDEX('_courses_lookup'!$C:$C,MATCH(J237&amp;K237,'_courses_lookup'!$E:$E,0)),"")</f>
        <v/>
      </c>
      <c r="O237">
        <f>IFERROR(INDEX('_courses_lookup'!$D:$D,MATCH(J237&amp;K237,'_courses_lookup'!$E:$E,0)),"")</f>
        <v/>
      </c>
      <c r="AE237">
        <f>IFERROR(IF(AC237*AD237=0,"",AC237*AD237),"")</f>
        <v/>
      </c>
      <c r="AH237">
        <f>IF(AND(AF237&lt;&gt;"",AG237&lt;&gt;""),ROUNDUP((AG237-AF237)/7,0),"")</f>
        <v/>
      </c>
      <c r="AJ237">
        <f>IFERROR(IF(AH237*AI237=0,"",AH237*AI237),"")</f>
        <v/>
      </c>
      <c r="AL237">
        <f>IFERROR(IF((AO237-(AE237+AJ237))/AK237=0,"",ROUNDUP((AO237-(AE237+AJ237))/AK237,0)),"")</f>
        <v/>
      </c>
      <c r="AM237">
        <f>IFERROR(IF((AO237-(AE237+AJ237))=0,"",(AO237-(AE237+AJ237))),"")</f>
        <v/>
      </c>
      <c r="AN237">
        <f>IF(AND(AC237="",AK237=""),AH237,IF(SUM(AC237,AH237,AK237)=0,"",SUM(AC237,AH237,AK237)))</f>
        <v/>
      </c>
      <c r="AY237">
        <f>IF(AB237="","",YEAR(AB237)+IF(MONTH(AB237)&gt;=5,1,0))</f>
        <v/>
      </c>
      <c r="AZ237">
        <f>IF(AB237="","",IF(AND(MONTH(AB237)=8,DAY(AB237)&gt;=15),"Fall",IF(MONTH(AB237)&gt;8,"Fall",IF(MONTH(AB237)=5,"Summer",IF(MONTH(AB237)=1,"Spring","")))))</f>
        <v/>
      </c>
      <c r="BC237" t="inlineStr">
        <is>
          <t>Miller, Nicholas P.</t>
        </is>
      </c>
      <c r="BD237">
        <f>IFERROR(INDEX('_names_lookup'!$C:$C,MATCH(BC237,'_names_lookup'!$A:$A,0)),"")</f>
        <v/>
      </c>
      <c r="BE237">
        <f>IFERROR(INDEX('_names_lookup'!$B:$B,MATCH(BC237,'_names_lookup'!$A:$A,0)),"")</f>
        <v/>
      </c>
    </row>
    <row r="238">
      <c r="H238" t="inlineStr">
        <is>
          <t>3265-01</t>
        </is>
      </c>
      <c r="I238" t="inlineStr">
        <is>
          <t>3383</t>
        </is>
      </c>
      <c r="K238" t="inlineStr">
        <is>
          <t>860</t>
        </is>
      </c>
      <c r="N238">
        <f>IFERROR(INDEX('_courses_lookup'!$C:$C,MATCH(J238&amp;K238,'_courses_lookup'!$E:$E,0)),"")</f>
        <v/>
      </c>
      <c r="O238">
        <f>IFERROR(INDEX('_courses_lookup'!$D:$D,MATCH(J238&amp;K238,'_courses_lookup'!$E:$E,0)),"")</f>
        <v/>
      </c>
      <c r="AE238">
        <f>IFERROR(IF(AC238*AD238=0,"",AC238*AD238),"")</f>
        <v/>
      </c>
      <c r="AH238">
        <f>IF(AND(AF238&lt;&gt;"",AG238&lt;&gt;""),ROUNDUP((AG238-AF238)/7,0),"")</f>
        <v/>
      </c>
      <c r="AJ238">
        <f>IFERROR(IF(AH238*AI238=0,"",AH238*AI238),"")</f>
        <v/>
      </c>
      <c r="AL238">
        <f>IFERROR(IF((AO238-(AE238+AJ238))/AK238=0,"",ROUNDUP((AO238-(AE238+AJ238))/AK238,0)),"")</f>
        <v/>
      </c>
      <c r="AM238">
        <f>IFERROR(IF((AO238-(AE238+AJ238))=0,"",(AO238-(AE238+AJ238))),"")</f>
        <v/>
      </c>
      <c r="AN238">
        <f>IF(AND(AC238="",AK238=""),AH238,IF(SUM(AC238,AH238,AK238)=0,"",SUM(AC238,AH238,AK238)))</f>
        <v/>
      </c>
      <c r="AY238">
        <f>IF(AB238="","",YEAR(AB238)+IF(MONTH(AB238)&gt;=5,1,0))</f>
        <v/>
      </c>
      <c r="AZ238">
        <f>IF(AB238="","",IF(AND(MONTH(AB238)=8,DAY(AB238)&gt;=15),"Fall",IF(MONTH(AB238)&gt;8,"Fall",IF(MONTH(AB238)=5,"Summer",IF(MONTH(AB238)=1,"Spring","")))))</f>
        <v/>
      </c>
      <c r="BC238" t="inlineStr">
        <is>
          <t>Moon, Jerry A.</t>
        </is>
      </c>
      <c r="BD238">
        <f>IFERROR(INDEX('_names_lookup'!$C:$C,MATCH(BC238,'_names_lookup'!$A:$A,0)),"")</f>
        <v/>
      </c>
      <c r="BE238">
        <f>IFERROR(INDEX('_names_lookup'!$B:$B,MATCH(BC238,'_names_lookup'!$A:$A,0)),"")</f>
        <v/>
      </c>
    </row>
    <row r="239">
      <c r="H239" t="inlineStr">
        <is>
          <t>3265-02</t>
        </is>
      </c>
      <c r="I239" t="inlineStr">
        <is>
          <t>3384</t>
        </is>
      </c>
      <c r="K239" t="inlineStr">
        <is>
          <t>870</t>
        </is>
      </c>
      <c r="N239">
        <f>IFERROR(INDEX('_courses_lookup'!$C:$C,MATCH(J239&amp;K239,'_courses_lookup'!$E:$E,0)),"")</f>
        <v/>
      </c>
      <c r="O239">
        <f>IFERROR(INDEX('_courses_lookup'!$D:$D,MATCH(J239&amp;K239,'_courses_lookup'!$E:$E,0)),"")</f>
        <v/>
      </c>
      <c r="AE239">
        <f>IFERROR(IF(AC239*AD239=0,"",AC239*AD239),"")</f>
        <v/>
      </c>
      <c r="AH239">
        <f>IF(AND(AF239&lt;&gt;"",AG239&lt;&gt;""),ROUNDUP((AG239-AF239)/7,0),"")</f>
        <v/>
      </c>
      <c r="AJ239">
        <f>IFERROR(IF(AH239*AI239=0,"",AH239*AI239),"")</f>
        <v/>
      </c>
      <c r="AL239">
        <f>IFERROR(IF((AO239-(AE239+AJ239))/AK239=0,"",ROUNDUP((AO239-(AE239+AJ239))/AK239,0)),"")</f>
        <v/>
      </c>
      <c r="AM239">
        <f>IFERROR(IF((AO239-(AE239+AJ239))=0,"",(AO239-(AE239+AJ239))),"")</f>
        <v/>
      </c>
      <c r="AN239">
        <f>IF(AND(AC239="",AK239=""),AH239,IF(SUM(AC239,AH239,AK239)=0,"",SUM(AC239,AH239,AK239)))</f>
        <v/>
      </c>
      <c r="AY239">
        <f>IF(AB239="","",YEAR(AB239)+IF(MONTH(AB239)&gt;=5,1,0))</f>
        <v/>
      </c>
      <c r="AZ239">
        <f>IF(AB239="","",IF(AND(MONTH(AB239)=8,DAY(AB239)&gt;=15),"Fall",IF(MONTH(AB239)&gt;8,"Fall",IF(MONTH(AB239)=5,"Summer",IF(MONTH(AB239)=1,"Spring","")))))</f>
        <v/>
      </c>
      <c r="BC239" t="inlineStr">
        <is>
          <t>Moskala, Jiri</t>
        </is>
      </c>
      <c r="BD239">
        <f>IFERROR(INDEX('_names_lookup'!$C:$C,MATCH(BC239,'_names_lookup'!$A:$A,0)),"")</f>
        <v/>
      </c>
      <c r="BE239">
        <f>IFERROR(INDEX('_names_lookup'!$B:$B,MATCH(BC239,'_names_lookup'!$A:$A,0)),"")</f>
        <v/>
      </c>
    </row>
    <row r="240">
      <c r="H240" t="inlineStr">
        <is>
          <t>3265-03</t>
        </is>
      </c>
      <c r="I240" t="inlineStr">
        <is>
          <t>3385</t>
        </is>
      </c>
      <c r="K240" t="inlineStr">
        <is>
          <t>878</t>
        </is>
      </c>
      <c r="N240">
        <f>IFERROR(INDEX('_courses_lookup'!$C:$C,MATCH(J240&amp;K240,'_courses_lookup'!$E:$E,0)),"")</f>
        <v/>
      </c>
      <c r="O240">
        <f>IFERROR(INDEX('_courses_lookup'!$D:$D,MATCH(J240&amp;K240,'_courses_lookup'!$E:$E,0)),"")</f>
        <v/>
      </c>
      <c r="AE240">
        <f>IFERROR(IF(AC240*AD240=0,"",AC240*AD240),"")</f>
        <v/>
      </c>
      <c r="AH240">
        <f>IF(AND(AF240&lt;&gt;"",AG240&lt;&gt;""),ROUNDUP((AG240-AF240)/7,0),"")</f>
        <v/>
      </c>
      <c r="AJ240">
        <f>IFERROR(IF(AH240*AI240=0,"",AH240*AI240),"")</f>
        <v/>
      </c>
      <c r="AL240">
        <f>IFERROR(IF((AO240-(AE240+AJ240))/AK240=0,"",ROUNDUP((AO240-(AE240+AJ240))/AK240,0)),"")</f>
        <v/>
      </c>
      <c r="AM240">
        <f>IFERROR(IF((AO240-(AE240+AJ240))=0,"",(AO240-(AE240+AJ240))),"")</f>
        <v/>
      </c>
      <c r="AN240">
        <f>IF(AND(AC240="",AK240=""),AH240,IF(SUM(AC240,AH240,AK240)=0,"",SUM(AC240,AH240,AK240)))</f>
        <v/>
      </c>
      <c r="AY240">
        <f>IF(AB240="","",YEAR(AB240)+IF(MONTH(AB240)&gt;=5,1,0))</f>
        <v/>
      </c>
      <c r="AZ240">
        <f>IF(AB240="","",IF(AND(MONTH(AB240)=8,DAY(AB240)&gt;=15),"Fall",IF(MONTH(AB240)&gt;8,"Fall",IF(MONTH(AB240)=5,"Summer",IF(MONTH(AB240)=1,"Spring","")))))</f>
        <v/>
      </c>
      <c r="BC240" t="inlineStr">
        <is>
          <t>Muran, Alexej</t>
        </is>
      </c>
      <c r="BD240">
        <f>IFERROR(INDEX('_names_lookup'!$C:$C,MATCH(BC240,'_names_lookup'!$A:$A,0)),"")</f>
        <v/>
      </c>
      <c r="BE240">
        <f>IFERROR(INDEX('_names_lookup'!$B:$B,MATCH(BC240,'_names_lookup'!$A:$A,0)),"")</f>
        <v/>
      </c>
    </row>
    <row r="241">
      <c r="H241" t="inlineStr">
        <is>
          <t>3265-04</t>
        </is>
      </c>
      <c r="I241" t="inlineStr">
        <is>
          <t>3386</t>
        </is>
      </c>
      <c r="K241" t="inlineStr">
        <is>
          <t>880</t>
        </is>
      </c>
      <c r="N241">
        <f>IFERROR(INDEX('_courses_lookup'!$C:$C,MATCH(J241&amp;K241,'_courses_lookup'!$E:$E,0)),"")</f>
        <v/>
      </c>
      <c r="O241">
        <f>IFERROR(INDEX('_courses_lookup'!$D:$D,MATCH(J241&amp;K241,'_courses_lookup'!$E:$E,0)),"")</f>
        <v/>
      </c>
      <c r="AE241">
        <f>IFERROR(IF(AC241*AD241=0,"",AC241*AD241),"")</f>
        <v/>
      </c>
      <c r="AH241">
        <f>IF(AND(AF241&lt;&gt;"",AG241&lt;&gt;""),ROUNDUP((AG241-AF241)/7,0),"")</f>
        <v/>
      </c>
      <c r="AJ241">
        <f>IFERROR(IF(AH241*AI241=0,"",AH241*AI241),"")</f>
        <v/>
      </c>
      <c r="AL241">
        <f>IFERROR(IF((AO241-(AE241+AJ241))/AK241=0,"",ROUNDUP((AO241-(AE241+AJ241))/AK241,0)),"")</f>
        <v/>
      </c>
      <c r="AM241">
        <f>IFERROR(IF((AO241-(AE241+AJ241))=0,"",(AO241-(AE241+AJ241))),"")</f>
        <v/>
      </c>
      <c r="AN241">
        <f>IF(AND(AC241="",AK241=""),AH241,IF(SUM(AC241,AH241,AK241)=0,"",SUM(AC241,AH241,AK241)))</f>
        <v/>
      </c>
      <c r="AY241">
        <f>IF(AB241="","",YEAR(AB241)+IF(MONTH(AB241)&gt;=5,1,0))</f>
        <v/>
      </c>
      <c r="AZ241">
        <f>IF(AB241="","",IF(AND(MONTH(AB241)=8,DAY(AB241)&gt;=15),"Fall",IF(MONTH(AB241)&gt;8,"Fall",IF(MONTH(AB241)=5,"Summer",IF(MONTH(AB241)=1,"Spring","")))))</f>
        <v/>
      </c>
      <c r="BC241" t="inlineStr">
        <is>
          <t>Nogueira, Lincoln</t>
        </is>
      </c>
      <c r="BD241">
        <f>IFERROR(INDEX('_names_lookup'!$C:$C,MATCH(BC241,'_names_lookup'!$A:$A,0)),"")</f>
        <v/>
      </c>
      <c r="BE241">
        <f>IFERROR(INDEX('_names_lookup'!$B:$B,MATCH(BC241,'_names_lookup'!$A:$A,0)),"")</f>
        <v/>
      </c>
    </row>
    <row r="242">
      <c r="H242" t="inlineStr">
        <is>
          <t>3266-01</t>
        </is>
      </c>
      <c r="I242" t="inlineStr">
        <is>
          <t>3387</t>
        </is>
      </c>
      <c r="K242" t="inlineStr">
        <is>
          <t>885</t>
        </is>
      </c>
      <c r="N242">
        <f>IFERROR(INDEX('_courses_lookup'!$C:$C,MATCH(J242&amp;K242,'_courses_lookup'!$E:$E,0)),"")</f>
        <v/>
      </c>
      <c r="O242">
        <f>IFERROR(INDEX('_courses_lookup'!$D:$D,MATCH(J242&amp;K242,'_courses_lookup'!$E:$E,0)),"")</f>
        <v/>
      </c>
      <c r="AE242">
        <f>IFERROR(IF(AC242*AD242=0,"",AC242*AD242),"")</f>
        <v/>
      </c>
      <c r="AH242">
        <f>IF(AND(AF242&lt;&gt;"",AG242&lt;&gt;""),ROUNDUP((AG242-AF242)/7,0),"")</f>
        <v/>
      </c>
      <c r="AJ242">
        <f>IFERROR(IF(AH242*AI242=0,"",AH242*AI242),"")</f>
        <v/>
      </c>
      <c r="AL242">
        <f>IFERROR(IF((AO242-(AE242+AJ242))/AK242=0,"",ROUNDUP((AO242-(AE242+AJ242))/AK242,0)),"")</f>
        <v/>
      </c>
      <c r="AM242">
        <f>IFERROR(IF((AO242-(AE242+AJ242))=0,"",(AO242-(AE242+AJ242))),"")</f>
        <v/>
      </c>
      <c r="AN242">
        <f>IF(AND(AC242="",AK242=""),AH242,IF(SUM(AC242,AH242,AK242)=0,"",SUM(AC242,AH242,AK242)))</f>
        <v/>
      </c>
      <c r="AY242">
        <f>IF(AB242="","",YEAR(AB242)+IF(MONTH(AB242)&gt;=5,1,0))</f>
        <v/>
      </c>
      <c r="AZ242">
        <f>IF(AB242="","",IF(AND(MONTH(AB242)=8,DAY(AB242)&gt;=15),"Fall",IF(MONTH(AB242)&gt;8,"Fall",IF(MONTH(AB242)=5,"Summer",IF(MONTH(AB242)=1,"Spring","")))))</f>
        <v/>
      </c>
      <c r="BC242" t="inlineStr">
        <is>
          <t>Norton, Ricardo</t>
        </is>
      </c>
      <c r="BD242">
        <f>IFERROR(INDEX('_names_lookup'!$C:$C,MATCH(BC242,'_names_lookup'!$A:$A,0)),"")</f>
        <v/>
      </c>
      <c r="BE242">
        <f>IFERROR(INDEX('_names_lookup'!$B:$B,MATCH(BC242,'_names_lookup'!$A:$A,0)),"")</f>
        <v/>
      </c>
    </row>
    <row r="243">
      <c r="H243" t="inlineStr">
        <is>
          <t>3267-01</t>
        </is>
      </c>
      <c r="I243" t="inlineStr">
        <is>
          <t>3388</t>
        </is>
      </c>
      <c r="K243" t="inlineStr">
        <is>
          <t>887</t>
        </is>
      </c>
      <c r="N243">
        <f>IFERROR(INDEX('_courses_lookup'!$C:$C,MATCH(J243&amp;K243,'_courses_lookup'!$E:$E,0)),"")</f>
        <v/>
      </c>
      <c r="O243">
        <f>IFERROR(INDEX('_courses_lookup'!$D:$D,MATCH(J243&amp;K243,'_courses_lookup'!$E:$E,0)),"")</f>
        <v/>
      </c>
      <c r="AE243">
        <f>IFERROR(IF(AC243*AD243=0,"",AC243*AD243),"")</f>
        <v/>
      </c>
      <c r="AH243">
        <f>IF(AND(AF243&lt;&gt;"",AG243&lt;&gt;""),ROUNDUP((AG243-AF243)/7,0),"")</f>
        <v/>
      </c>
      <c r="AJ243">
        <f>IFERROR(IF(AH243*AI243=0,"",AH243*AI243),"")</f>
        <v/>
      </c>
      <c r="AL243">
        <f>IFERROR(IF((AO243-(AE243+AJ243))/AK243=0,"",ROUNDUP((AO243-(AE243+AJ243))/AK243,0)),"")</f>
        <v/>
      </c>
      <c r="AM243">
        <f>IFERROR(IF((AO243-(AE243+AJ243))=0,"",(AO243-(AE243+AJ243))),"")</f>
        <v/>
      </c>
      <c r="AN243">
        <f>IF(AND(AC243="",AK243=""),AH243,IF(SUM(AC243,AH243,AK243)=0,"",SUM(AC243,AH243,AK243)))</f>
        <v/>
      </c>
      <c r="AY243">
        <f>IF(AB243="","",YEAR(AB243)+IF(MONTH(AB243)&gt;=5,1,0))</f>
        <v/>
      </c>
      <c r="AZ243">
        <f>IF(AB243="","",IF(AND(MONTH(AB243)=8,DAY(AB243)&gt;=15),"Fall",IF(MONTH(AB243)&gt;8,"Fall",IF(MONTH(AB243)=5,"Summer",IF(MONTH(AB243)=1,"Spring","")))))</f>
        <v/>
      </c>
      <c r="BC243" t="inlineStr">
        <is>
          <t>O'Reggio, Trevor E.</t>
        </is>
      </c>
      <c r="BD243">
        <f>IFERROR(INDEX('_names_lookup'!$C:$C,MATCH(BC243,'_names_lookup'!$A:$A,0)),"")</f>
        <v/>
      </c>
      <c r="BE243">
        <f>IFERROR(INDEX('_names_lookup'!$B:$B,MATCH(BC243,'_names_lookup'!$A:$A,0)),"")</f>
        <v/>
      </c>
    </row>
    <row r="244">
      <c r="H244" t="inlineStr">
        <is>
          <t>3267-02</t>
        </is>
      </c>
      <c r="I244" t="inlineStr">
        <is>
          <t>3389</t>
        </is>
      </c>
      <c r="K244" t="inlineStr">
        <is>
          <t>888</t>
        </is>
      </c>
      <c r="N244">
        <f>IFERROR(INDEX('_courses_lookup'!$C:$C,MATCH(J244&amp;K244,'_courses_lookup'!$E:$E,0)),"")</f>
        <v/>
      </c>
      <c r="O244">
        <f>IFERROR(INDEX('_courses_lookup'!$D:$D,MATCH(J244&amp;K244,'_courses_lookup'!$E:$E,0)),"")</f>
        <v/>
      </c>
      <c r="AE244">
        <f>IFERROR(IF(AC244*AD244=0,"",AC244*AD244),"")</f>
        <v/>
      </c>
      <c r="AH244">
        <f>IF(AND(AF244&lt;&gt;"",AG244&lt;&gt;""),ROUNDUP((AG244-AF244)/7,0),"")</f>
        <v/>
      </c>
      <c r="AJ244">
        <f>IFERROR(IF(AH244*AI244=0,"",AH244*AI244),"")</f>
        <v/>
      </c>
      <c r="AL244">
        <f>IFERROR(IF((AO244-(AE244+AJ244))/AK244=0,"",ROUNDUP((AO244-(AE244+AJ244))/AK244,0)),"")</f>
        <v/>
      </c>
      <c r="AM244">
        <f>IFERROR(IF((AO244-(AE244+AJ244))=0,"",(AO244-(AE244+AJ244))),"")</f>
        <v/>
      </c>
      <c r="AN244">
        <f>IF(AND(AC244="",AK244=""),AH244,IF(SUM(AC244,AH244,AK244)=0,"",SUM(AC244,AH244,AK244)))</f>
        <v/>
      </c>
      <c r="AY244">
        <f>IF(AB244="","",YEAR(AB244)+IF(MONTH(AB244)&gt;=5,1,0))</f>
        <v/>
      </c>
      <c r="AZ244">
        <f>IF(AB244="","",IF(AND(MONTH(AB244)=8,DAY(AB244)&gt;=15),"Fall",IF(MONTH(AB244)&gt;8,"Fall",IF(MONTH(AB244)=5,"Summer",IF(MONTH(AB244)=1,"Spring","")))))</f>
        <v/>
      </c>
      <c r="BC244" t="inlineStr">
        <is>
          <t>Ortiz, Luis F.</t>
        </is>
      </c>
      <c r="BD244">
        <f>IFERROR(INDEX('_names_lookup'!$C:$C,MATCH(BC244,'_names_lookup'!$A:$A,0)),"")</f>
        <v/>
      </c>
      <c r="BE244">
        <f>IFERROR(INDEX('_names_lookup'!$B:$B,MATCH(BC244,'_names_lookup'!$A:$A,0)),"")</f>
        <v/>
      </c>
    </row>
    <row r="245">
      <c r="H245" t="inlineStr">
        <is>
          <t>3268-01</t>
        </is>
      </c>
      <c r="I245" t="inlineStr">
        <is>
          <t>339</t>
        </is>
      </c>
      <c r="K245" t="inlineStr">
        <is>
          <t>890</t>
        </is>
      </c>
      <c r="N245">
        <f>IFERROR(INDEX('_courses_lookup'!$C:$C,MATCH(J245&amp;K245,'_courses_lookup'!$E:$E,0)),"")</f>
        <v/>
      </c>
      <c r="O245">
        <f>IFERROR(INDEX('_courses_lookup'!$D:$D,MATCH(J245&amp;K245,'_courses_lookup'!$E:$E,0)),"")</f>
        <v/>
      </c>
      <c r="AE245">
        <f>IFERROR(IF(AC245*AD245=0,"",AC245*AD245),"")</f>
        <v/>
      </c>
      <c r="AH245">
        <f>IF(AND(AF245&lt;&gt;"",AG245&lt;&gt;""),ROUNDUP((AG245-AF245)/7,0),"")</f>
        <v/>
      </c>
      <c r="AJ245">
        <f>IFERROR(IF(AH245*AI245=0,"",AH245*AI245),"")</f>
        <v/>
      </c>
      <c r="AL245">
        <f>IFERROR(IF((AO245-(AE245+AJ245))/AK245=0,"",ROUNDUP((AO245-(AE245+AJ245))/AK245,0)),"")</f>
        <v/>
      </c>
      <c r="AM245">
        <f>IFERROR(IF((AO245-(AE245+AJ245))=0,"",(AO245-(AE245+AJ245))),"")</f>
        <v/>
      </c>
      <c r="AN245">
        <f>IF(AND(AC245="",AK245=""),AH245,IF(SUM(AC245,AH245,AK245)=0,"",SUM(AC245,AH245,AK245)))</f>
        <v/>
      </c>
      <c r="AY245">
        <f>IF(AB245="","",YEAR(AB245)+IF(MONTH(AB245)&gt;=5,1,0))</f>
        <v/>
      </c>
      <c r="AZ245">
        <f>IF(AB245="","",IF(AND(MONTH(AB245)=8,DAY(AB245)&gt;=15),"Fall",IF(MONTH(AB245)&gt;8,"Fall",IF(MONTH(AB245)=5,"Summer",IF(MONTH(AB245)=1,"Spring","")))))</f>
        <v/>
      </c>
      <c r="BC245" t="inlineStr">
        <is>
          <t>Pagan, Samuel</t>
        </is>
      </c>
      <c r="BD245">
        <f>IFERROR(INDEX('_names_lookup'!$C:$C,MATCH(BC245,'_names_lookup'!$A:$A,0)),"")</f>
        <v/>
      </c>
      <c r="BE245">
        <f>IFERROR(INDEX('_names_lookup'!$B:$B,MATCH(BC245,'_names_lookup'!$A:$A,0)),"")</f>
        <v/>
      </c>
    </row>
    <row r="246">
      <c r="H246" t="inlineStr">
        <is>
          <t>3268-02</t>
        </is>
      </c>
      <c r="I246" t="inlineStr">
        <is>
          <t>3391</t>
        </is>
      </c>
      <c r="K246" t="inlineStr">
        <is>
          <t>891</t>
        </is>
      </c>
      <c r="N246">
        <f>IFERROR(INDEX('_courses_lookup'!$C:$C,MATCH(J246&amp;K246,'_courses_lookup'!$E:$E,0)),"")</f>
        <v/>
      </c>
      <c r="O246">
        <f>IFERROR(INDEX('_courses_lookup'!$D:$D,MATCH(J246&amp;K246,'_courses_lookup'!$E:$E,0)),"")</f>
        <v/>
      </c>
      <c r="AE246">
        <f>IFERROR(IF(AC246*AD246=0,"",AC246*AD246),"")</f>
        <v/>
      </c>
      <c r="AH246">
        <f>IF(AND(AF246&lt;&gt;"",AG246&lt;&gt;""),ROUNDUP((AG246-AF246)/7,0),"")</f>
        <v/>
      </c>
      <c r="AJ246">
        <f>IFERROR(IF(AH246*AI246=0,"",AH246*AI246),"")</f>
        <v/>
      </c>
      <c r="AL246">
        <f>IFERROR(IF((AO246-(AE246+AJ246))/AK246=0,"",ROUNDUP((AO246-(AE246+AJ246))/AK246,0)),"")</f>
        <v/>
      </c>
      <c r="AM246">
        <f>IFERROR(IF((AO246-(AE246+AJ246))=0,"",(AO246-(AE246+AJ246))),"")</f>
        <v/>
      </c>
      <c r="AN246">
        <f>IF(AND(AC246="",AK246=""),AH246,IF(SUM(AC246,AH246,AK246)=0,"",SUM(AC246,AH246,AK246)))</f>
        <v/>
      </c>
      <c r="AY246">
        <f>IF(AB246="","",YEAR(AB246)+IF(MONTH(AB246)&gt;=5,1,0))</f>
        <v/>
      </c>
      <c r="AZ246">
        <f>IF(AB246="","",IF(AND(MONTH(AB246)=8,DAY(AB246)&gt;=15),"Fall",IF(MONTH(AB246)&gt;8,"Fall",IF(MONTH(AB246)=5,"Summer",IF(MONTH(AB246)=1,"Spring","")))))</f>
        <v/>
      </c>
      <c r="BC246" t="inlineStr">
        <is>
          <t>Paquini, Rogelio</t>
        </is>
      </c>
      <c r="BD246">
        <f>IFERROR(INDEX('_names_lookup'!$C:$C,MATCH(BC246,'_names_lookup'!$A:$A,0)),"")</f>
        <v/>
      </c>
      <c r="BE246">
        <f>IFERROR(INDEX('_names_lookup'!$B:$B,MATCH(BC246,'_names_lookup'!$A:$A,0)),"")</f>
        <v/>
      </c>
    </row>
    <row r="247">
      <c r="H247" t="inlineStr">
        <is>
          <t>3269-01</t>
        </is>
      </c>
      <c r="I247" t="inlineStr">
        <is>
          <t>3392</t>
        </is>
      </c>
      <c r="K247" t="inlineStr">
        <is>
          <t>892</t>
        </is>
      </c>
      <c r="N247">
        <f>IFERROR(INDEX('_courses_lookup'!$C:$C,MATCH(J247&amp;K247,'_courses_lookup'!$E:$E,0)),"")</f>
        <v/>
      </c>
      <c r="O247">
        <f>IFERROR(INDEX('_courses_lookup'!$D:$D,MATCH(J247&amp;K247,'_courses_lookup'!$E:$E,0)),"")</f>
        <v/>
      </c>
      <c r="AE247">
        <f>IFERROR(IF(AC247*AD247=0,"",AC247*AD247),"")</f>
        <v/>
      </c>
      <c r="AH247">
        <f>IF(AND(AF247&lt;&gt;"",AG247&lt;&gt;""),ROUNDUP((AG247-AF247)/7,0),"")</f>
        <v/>
      </c>
      <c r="AJ247">
        <f>IFERROR(IF(AH247*AI247=0,"",AH247*AI247),"")</f>
        <v/>
      </c>
      <c r="AL247">
        <f>IFERROR(IF((AO247-(AE247+AJ247))/AK247=0,"",ROUNDUP((AO247-(AE247+AJ247))/AK247,0)),"")</f>
        <v/>
      </c>
      <c r="AM247">
        <f>IFERROR(IF((AO247-(AE247+AJ247))=0,"",(AO247-(AE247+AJ247))),"")</f>
        <v/>
      </c>
      <c r="AN247">
        <f>IF(AND(AC247="",AK247=""),AH247,IF(SUM(AC247,AH247,AK247)=0,"",SUM(AC247,AH247,AK247)))</f>
        <v/>
      </c>
      <c r="AY247">
        <f>IF(AB247="","",YEAR(AB247)+IF(MONTH(AB247)&gt;=5,1,0))</f>
        <v/>
      </c>
      <c r="AZ247">
        <f>IF(AB247="","",IF(AND(MONTH(AB247)=8,DAY(AB247)&gt;=15),"Fall",IF(MONTH(AB247)&gt;8,"Fall",IF(MONTH(AB247)=5,"Summer",IF(MONTH(AB247)=1,"Spring","")))))</f>
        <v/>
      </c>
      <c r="BC247" t="inlineStr">
        <is>
          <t>Petrishchev, Anton</t>
        </is>
      </c>
      <c r="BD247">
        <f>IFERROR(INDEX('_names_lookup'!$C:$C,MATCH(BC247,'_names_lookup'!$A:$A,0)),"")</f>
        <v/>
      </c>
      <c r="BE247">
        <f>IFERROR(INDEX('_names_lookup'!$B:$B,MATCH(BC247,'_names_lookup'!$A:$A,0)),"")</f>
        <v/>
      </c>
    </row>
    <row r="248">
      <c r="H248" t="inlineStr">
        <is>
          <t>3269-02</t>
        </is>
      </c>
      <c r="I248" t="inlineStr">
        <is>
          <t>3393</t>
        </is>
      </c>
      <c r="K248" t="inlineStr">
        <is>
          <t>895</t>
        </is>
      </c>
      <c r="N248">
        <f>IFERROR(INDEX('_courses_lookup'!$C:$C,MATCH(J248&amp;K248,'_courses_lookup'!$E:$E,0)),"")</f>
        <v/>
      </c>
      <c r="O248">
        <f>IFERROR(INDEX('_courses_lookup'!$D:$D,MATCH(J248&amp;K248,'_courses_lookup'!$E:$E,0)),"")</f>
        <v/>
      </c>
      <c r="AE248">
        <f>IFERROR(IF(AC248*AD248=0,"",AC248*AD248),"")</f>
        <v/>
      </c>
      <c r="AH248">
        <f>IF(AND(AF248&lt;&gt;"",AG248&lt;&gt;""),ROUNDUP((AG248-AF248)/7,0),"")</f>
        <v/>
      </c>
      <c r="AJ248">
        <f>IFERROR(IF(AH248*AI248=0,"",AH248*AI248),"")</f>
        <v/>
      </c>
      <c r="AL248">
        <f>IFERROR(IF((AO248-(AE248+AJ248))/AK248=0,"",ROUNDUP((AO248-(AE248+AJ248))/AK248,0)),"")</f>
        <v/>
      </c>
      <c r="AM248">
        <f>IFERROR(IF((AO248-(AE248+AJ248))=0,"",(AO248-(AE248+AJ248))),"")</f>
        <v/>
      </c>
      <c r="AN248">
        <f>IF(AND(AC248="",AK248=""),AH248,IF(SUM(AC248,AH248,AK248)=0,"",SUM(AC248,AH248,AK248)))</f>
        <v/>
      </c>
      <c r="AY248">
        <f>IF(AB248="","",YEAR(AB248)+IF(MONTH(AB248)&gt;=5,1,0))</f>
        <v/>
      </c>
      <c r="AZ248">
        <f>IF(AB248="","",IF(AND(MONTH(AB248)=8,DAY(AB248)&gt;=15),"Fall",IF(MONTH(AB248)&gt;8,"Fall",IF(MONTH(AB248)=5,"Summer",IF(MONTH(AB248)=1,"Spring","")))))</f>
        <v/>
      </c>
      <c r="BC248" t="inlineStr">
        <is>
          <t>Ponyatovsky, Felix</t>
        </is>
      </c>
      <c r="BD248">
        <f>IFERROR(INDEX('_names_lookup'!$C:$C,MATCH(BC248,'_names_lookup'!$A:$A,0)),"")</f>
        <v/>
      </c>
      <c r="BE248">
        <f>IFERROR(INDEX('_names_lookup'!$B:$B,MATCH(BC248,'_names_lookup'!$A:$A,0)),"")</f>
        <v/>
      </c>
    </row>
    <row r="249">
      <c r="H249" t="inlineStr">
        <is>
          <t>3270-01</t>
        </is>
      </c>
      <c r="I249" t="inlineStr">
        <is>
          <t>3394</t>
        </is>
      </c>
      <c r="K249" t="inlineStr">
        <is>
          <t>896</t>
        </is>
      </c>
      <c r="N249">
        <f>IFERROR(INDEX('_courses_lookup'!$C:$C,MATCH(J249&amp;K249,'_courses_lookup'!$E:$E,0)),"")</f>
        <v/>
      </c>
      <c r="O249">
        <f>IFERROR(INDEX('_courses_lookup'!$D:$D,MATCH(J249&amp;K249,'_courses_lookup'!$E:$E,0)),"")</f>
        <v/>
      </c>
      <c r="AE249">
        <f>IFERROR(IF(AC249*AD249=0,"",AC249*AD249),"")</f>
        <v/>
      </c>
      <c r="AH249">
        <f>IF(AND(AF249&lt;&gt;"",AG249&lt;&gt;""),ROUNDUP((AG249-AF249)/7,0),"")</f>
        <v/>
      </c>
      <c r="AJ249">
        <f>IFERROR(IF(AH249*AI249=0,"",AH249*AI249),"")</f>
        <v/>
      </c>
      <c r="AL249">
        <f>IFERROR(IF((AO249-(AE249+AJ249))/AK249=0,"",ROUNDUP((AO249-(AE249+AJ249))/AK249,0)),"")</f>
        <v/>
      </c>
      <c r="AM249">
        <f>IFERROR(IF((AO249-(AE249+AJ249))=0,"",(AO249-(AE249+AJ249))),"")</f>
        <v/>
      </c>
      <c r="AN249">
        <f>IF(AND(AC249="",AK249=""),AH249,IF(SUM(AC249,AH249,AK249)=0,"",SUM(AC249,AH249,AK249)))</f>
        <v/>
      </c>
      <c r="AY249">
        <f>IF(AB249="","",YEAR(AB249)+IF(MONTH(AB249)&gt;=5,1,0))</f>
        <v/>
      </c>
      <c r="AZ249">
        <f>IF(AB249="","",IF(AND(MONTH(AB249)=8,DAY(AB249)&gt;=15),"Fall",IF(MONTH(AB249)&gt;8,"Fall",IF(MONTH(AB249)=5,"Summer",IF(MONTH(AB249)=1,"Spring","")))))</f>
        <v/>
      </c>
      <c r="BC249" t="inlineStr">
        <is>
          <t>Quispe, Gluder</t>
        </is>
      </c>
      <c r="BD249">
        <f>IFERROR(INDEX('_names_lookup'!$C:$C,MATCH(BC249,'_names_lookup'!$A:$A,0)),"")</f>
        <v/>
      </c>
      <c r="BE249">
        <f>IFERROR(INDEX('_names_lookup'!$B:$B,MATCH(BC249,'_names_lookup'!$A:$A,0)),"")</f>
        <v/>
      </c>
    </row>
    <row r="250">
      <c r="H250" t="inlineStr">
        <is>
          <t>3270-02</t>
        </is>
      </c>
      <c r="I250" t="inlineStr">
        <is>
          <t>3395</t>
        </is>
      </c>
      <c r="K250" t="inlineStr">
        <is>
          <t>897</t>
        </is>
      </c>
      <c r="N250">
        <f>IFERROR(INDEX('_courses_lookup'!$C:$C,MATCH(J250&amp;K250,'_courses_lookup'!$E:$E,0)),"")</f>
        <v/>
      </c>
      <c r="O250">
        <f>IFERROR(INDEX('_courses_lookup'!$D:$D,MATCH(J250&amp;K250,'_courses_lookup'!$E:$E,0)),"")</f>
        <v/>
      </c>
      <c r="AE250">
        <f>IFERROR(IF(AC250*AD250=0,"",AC250*AD250),"")</f>
        <v/>
      </c>
      <c r="AH250">
        <f>IF(AND(AF250&lt;&gt;"",AG250&lt;&gt;""),ROUNDUP((AG250-AF250)/7,0),"")</f>
        <v/>
      </c>
      <c r="AJ250">
        <f>IFERROR(IF(AH250*AI250=0,"",AH250*AI250),"")</f>
        <v/>
      </c>
      <c r="AL250">
        <f>IFERROR(IF((AO250-(AE250+AJ250))/AK250=0,"",ROUNDUP((AO250-(AE250+AJ250))/AK250,0)),"")</f>
        <v/>
      </c>
      <c r="AM250">
        <f>IFERROR(IF((AO250-(AE250+AJ250))=0,"",(AO250-(AE250+AJ250))),"")</f>
        <v/>
      </c>
      <c r="AN250">
        <f>IF(AND(AC250="",AK250=""),AH250,IF(SUM(AC250,AH250,AK250)=0,"",SUM(AC250,AH250,AK250)))</f>
        <v/>
      </c>
      <c r="AY250">
        <f>IF(AB250="","",YEAR(AB250)+IF(MONTH(AB250)&gt;=5,1,0))</f>
        <v/>
      </c>
      <c r="AZ250">
        <f>IF(AB250="","",IF(AND(MONTH(AB250)=8,DAY(AB250)&gt;=15),"Fall",IF(MONTH(AB250)&gt;8,"Fall",IF(MONTH(AB250)=5,"Summer",IF(MONTH(AB250)=1,"Spring","")))))</f>
        <v/>
      </c>
      <c r="BC250" t="inlineStr">
        <is>
          <t>Ray, Paul J.</t>
        </is>
      </c>
      <c r="BD250">
        <f>IFERROR(INDEX('_names_lookup'!$C:$C,MATCH(BC250,'_names_lookup'!$A:$A,0)),"")</f>
        <v/>
      </c>
      <c r="BE250">
        <f>IFERROR(INDEX('_names_lookup'!$B:$B,MATCH(BC250,'_names_lookup'!$A:$A,0)),"")</f>
        <v/>
      </c>
    </row>
    <row r="251">
      <c r="H251" t="inlineStr">
        <is>
          <t>3271-01</t>
        </is>
      </c>
      <c r="I251" t="inlineStr">
        <is>
          <t>3396</t>
        </is>
      </c>
      <c r="K251" t="inlineStr">
        <is>
          <t>898</t>
        </is>
      </c>
      <c r="N251">
        <f>IFERROR(INDEX('_courses_lookup'!$C:$C,MATCH(J251&amp;K251,'_courses_lookup'!$E:$E,0)),"")</f>
        <v/>
      </c>
      <c r="O251">
        <f>IFERROR(INDEX('_courses_lookup'!$D:$D,MATCH(J251&amp;K251,'_courses_lookup'!$E:$E,0)),"")</f>
        <v/>
      </c>
      <c r="AE251">
        <f>IFERROR(IF(AC251*AD251=0,"",AC251*AD251),"")</f>
        <v/>
      </c>
      <c r="AH251">
        <f>IF(AND(AF251&lt;&gt;"",AG251&lt;&gt;""),ROUNDUP((AG251-AF251)/7,0),"")</f>
        <v/>
      </c>
      <c r="AJ251">
        <f>IFERROR(IF(AH251*AI251=0,"",AH251*AI251),"")</f>
        <v/>
      </c>
      <c r="AL251">
        <f>IFERROR(IF((AO251-(AE251+AJ251))/AK251=0,"",ROUNDUP((AO251-(AE251+AJ251))/AK251,0)),"")</f>
        <v/>
      </c>
      <c r="AM251">
        <f>IFERROR(IF((AO251-(AE251+AJ251))=0,"",(AO251-(AE251+AJ251))),"")</f>
        <v/>
      </c>
      <c r="AN251">
        <f>IF(AND(AC251="",AK251=""),AH251,IF(SUM(AC251,AH251,AK251)=0,"",SUM(AC251,AH251,AK251)))</f>
        <v/>
      </c>
      <c r="AY251">
        <f>IF(AB251="","",YEAR(AB251)+IF(MONTH(AB251)&gt;=5,1,0))</f>
        <v/>
      </c>
      <c r="AZ251">
        <f>IF(AB251="","",IF(AND(MONTH(AB251)=8,DAY(AB251)&gt;=15),"Fall",IF(MONTH(AB251)&gt;8,"Fall",IF(MONTH(AB251)=5,"Summer",IF(MONTH(AB251)=1,"Spring","")))))</f>
        <v/>
      </c>
      <c r="BC251" t="inlineStr">
        <is>
          <t>Reeve, John W.</t>
        </is>
      </c>
      <c r="BD251">
        <f>IFERROR(INDEX('_names_lookup'!$C:$C,MATCH(BC251,'_names_lookup'!$A:$A,0)),"")</f>
        <v/>
      </c>
      <c r="BE251">
        <f>IFERROR(INDEX('_names_lookup'!$B:$B,MATCH(BC251,'_names_lookup'!$A:$A,0)),"")</f>
        <v/>
      </c>
    </row>
    <row r="252">
      <c r="H252" t="inlineStr">
        <is>
          <t>3271-02</t>
        </is>
      </c>
      <c r="I252" t="inlineStr">
        <is>
          <t>3397</t>
        </is>
      </c>
      <c r="K252" t="inlineStr">
        <is>
          <t>899</t>
        </is>
      </c>
      <c r="N252">
        <f>IFERROR(INDEX('_courses_lookup'!$C:$C,MATCH(J252&amp;K252,'_courses_lookup'!$E:$E,0)),"")</f>
        <v/>
      </c>
      <c r="O252">
        <f>IFERROR(INDEX('_courses_lookup'!$D:$D,MATCH(J252&amp;K252,'_courses_lookup'!$E:$E,0)),"")</f>
        <v/>
      </c>
      <c r="AE252">
        <f>IFERROR(IF(AC252*AD252=0,"",AC252*AD252),"")</f>
        <v/>
      </c>
      <c r="AH252">
        <f>IF(AND(AF252&lt;&gt;"",AG252&lt;&gt;""),ROUNDUP((AG252-AF252)/7,0),"")</f>
        <v/>
      </c>
      <c r="AJ252">
        <f>IFERROR(IF(AH252*AI252=0,"",AH252*AI252),"")</f>
        <v/>
      </c>
      <c r="AL252">
        <f>IFERROR(IF((AO252-(AE252+AJ252))/AK252=0,"",ROUNDUP((AO252-(AE252+AJ252))/AK252,0)),"")</f>
        <v/>
      </c>
      <c r="AM252">
        <f>IFERROR(IF((AO252-(AE252+AJ252))=0,"",(AO252-(AE252+AJ252))),"")</f>
        <v/>
      </c>
      <c r="AN252">
        <f>IF(AND(AC252="",AK252=""),AH252,IF(SUM(AC252,AH252,AK252)=0,"",SUM(AC252,AH252,AK252)))</f>
        <v/>
      </c>
      <c r="AY252">
        <f>IF(AB252="","",YEAR(AB252)+IF(MONTH(AB252)&gt;=5,1,0))</f>
        <v/>
      </c>
      <c r="AZ252">
        <f>IF(AB252="","",IF(AND(MONTH(AB252)=8,DAY(AB252)&gt;=15),"Fall",IF(MONTH(AB252)&gt;8,"Fall",IF(MONTH(AB252)=5,"Summer",IF(MONTH(AB252)=1,"Spring","")))))</f>
        <v/>
      </c>
      <c r="BC252" t="inlineStr">
        <is>
          <t>Richards, Natasha A.</t>
        </is>
      </c>
      <c r="BD252">
        <f>IFERROR(INDEX('_names_lookup'!$C:$C,MATCH(BC252,'_names_lookup'!$A:$A,0)),"")</f>
        <v/>
      </c>
      <c r="BE252">
        <f>IFERROR(INDEX('_names_lookup'!$B:$B,MATCH(BC252,'_names_lookup'!$A:$A,0)),"")</f>
        <v/>
      </c>
    </row>
    <row r="253">
      <c r="H253" t="inlineStr">
        <is>
          <t>3272-01</t>
        </is>
      </c>
      <c r="I253" t="inlineStr">
        <is>
          <t>3398</t>
        </is>
      </c>
      <c r="K253" t="inlineStr">
        <is>
          <t>905</t>
        </is>
      </c>
      <c r="N253">
        <f>IFERROR(INDEX('_courses_lookup'!$C:$C,MATCH(J253&amp;K253,'_courses_lookup'!$E:$E,0)),"")</f>
        <v/>
      </c>
      <c r="O253">
        <f>IFERROR(INDEX('_courses_lookup'!$D:$D,MATCH(J253&amp;K253,'_courses_lookup'!$E:$E,0)),"")</f>
        <v/>
      </c>
      <c r="AE253">
        <f>IFERROR(IF(AC253*AD253=0,"",AC253*AD253),"")</f>
        <v/>
      </c>
      <c r="AH253">
        <f>IF(AND(AF253&lt;&gt;"",AG253&lt;&gt;""),ROUNDUP((AG253-AF253)/7,0),"")</f>
        <v/>
      </c>
      <c r="AJ253">
        <f>IFERROR(IF(AH253*AI253=0,"",AH253*AI253),"")</f>
        <v/>
      </c>
      <c r="AL253">
        <f>IFERROR(IF((AO253-(AE253+AJ253))/AK253=0,"",ROUNDUP((AO253-(AE253+AJ253))/AK253,0)),"")</f>
        <v/>
      </c>
      <c r="AM253">
        <f>IFERROR(IF((AO253-(AE253+AJ253))=0,"",(AO253-(AE253+AJ253))),"")</f>
        <v/>
      </c>
      <c r="AN253">
        <f>IF(AND(AC253="",AK253=""),AH253,IF(SUM(AC253,AH253,AK253)=0,"",SUM(AC253,AH253,AK253)))</f>
        <v/>
      </c>
      <c r="AY253">
        <f>IF(AB253="","",YEAR(AB253)+IF(MONTH(AB253)&gt;=5,1,0))</f>
        <v/>
      </c>
      <c r="AZ253">
        <f>IF(AB253="","",IF(AND(MONTH(AB253)=8,DAY(AB253)&gt;=15),"Fall",IF(MONTH(AB253)&gt;8,"Fall",IF(MONTH(AB253)=5,"Summer",IF(MONTH(AB253)=1,"Spring","")))))</f>
        <v/>
      </c>
      <c r="BC253" t="inlineStr">
        <is>
          <t>Sanou, Boubakar</t>
        </is>
      </c>
      <c r="BD253">
        <f>IFERROR(INDEX('_names_lookup'!$C:$C,MATCH(BC253,'_names_lookup'!$A:$A,0)),"")</f>
        <v/>
      </c>
      <c r="BE253">
        <f>IFERROR(INDEX('_names_lookup'!$B:$B,MATCH(BC253,'_names_lookup'!$A:$A,0)),"")</f>
        <v/>
      </c>
    </row>
    <row r="254">
      <c r="H254" t="inlineStr">
        <is>
          <t>3273-01</t>
        </is>
      </c>
      <c r="I254" t="inlineStr">
        <is>
          <t>3399</t>
        </is>
      </c>
      <c r="K254" t="inlineStr">
        <is>
          <t>915</t>
        </is>
      </c>
      <c r="N254">
        <f>IFERROR(INDEX('_courses_lookup'!$C:$C,MATCH(J254&amp;K254,'_courses_lookup'!$E:$E,0)),"")</f>
        <v/>
      </c>
      <c r="O254">
        <f>IFERROR(INDEX('_courses_lookup'!$D:$D,MATCH(J254&amp;K254,'_courses_lookup'!$E:$E,0)),"")</f>
        <v/>
      </c>
      <c r="AE254">
        <f>IFERROR(IF(AC254*AD254=0,"",AC254*AD254),"")</f>
        <v/>
      </c>
      <c r="AH254">
        <f>IF(AND(AF254&lt;&gt;"",AG254&lt;&gt;""),ROUNDUP((AG254-AF254)/7,0),"")</f>
        <v/>
      </c>
      <c r="AJ254">
        <f>IFERROR(IF(AH254*AI254=0,"",AH254*AI254),"")</f>
        <v/>
      </c>
      <c r="AL254">
        <f>IFERROR(IF((AO254-(AE254+AJ254))/AK254=0,"",ROUNDUP((AO254-(AE254+AJ254))/AK254,0)),"")</f>
        <v/>
      </c>
      <c r="AM254">
        <f>IFERROR(IF((AO254-(AE254+AJ254))=0,"",(AO254-(AE254+AJ254))),"")</f>
        <v/>
      </c>
      <c r="AN254">
        <f>IF(AND(AC254="",AK254=""),AH254,IF(SUM(AC254,AH254,AK254)=0,"",SUM(AC254,AH254,AK254)))</f>
        <v/>
      </c>
      <c r="AY254">
        <f>IF(AB254="","",YEAR(AB254)+IF(MONTH(AB254)&gt;=5,1,0))</f>
        <v/>
      </c>
      <c r="AZ254">
        <f>IF(AB254="","",IF(AND(MONTH(AB254)=8,DAY(AB254)&gt;=15),"Fall",IF(MONTH(AB254)&gt;8,"Fall",IF(MONTH(AB254)=5,"Summer",IF(MONTH(AB254)=1,"Spring","")))))</f>
        <v/>
      </c>
      <c r="BC254" t="inlineStr">
        <is>
          <t>Shepherd, Thomas R.</t>
        </is>
      </c>
      <c r="BD254">
        <f>IFERROR(INDEX('_names_lookup'!$C:$C,MATCH(BC254,'_names_lookup'!$A:$A,0)),"")</f>
        <v/>
      </c>
      <c r="BE254">
        <f>IFERROR(INDEX('_names_lookup'!$B:$B,MATCH(BC254,'_names_lookup'!$A:$A,0)),"")</f>
        <v/>
      </c>
    </row>
    <row r="255">
      <c r="H255" t="inlineStr">
        <is>
          <t>3273-02</t>
        </is>
      </c>
      <c r="I255" t="inlineStr">
        <is>
          <t>340</t>
        </is>
      </c>
      <c r="K255" t="inlineStr">
        <is>
          <t>920</t>
        </is>
      </c>
      <c r="N255">
        <f>IFERROR(INDEX('_courses_lookup'!$C:$C,MATCH(J255&amp;K255,'_courses_lookup'!$E:$E,0)),"")</f>
        <v/>
      </c>
      <c r="O255">
        <f>IFERROR(INDEX('_courses_lookup'!$D:$D,MATCH(J255&amp;K255,'_courses_lookup'!$E:$E,0)),"")</f>
        <v/>
      </c>
      <c r="AE255">
        <f>IFERROR(IF(AC255*AD255=0,"",AC255*AD255),"")</f>
        <v/>
      </c>
      <c r="AH255">
        <f>IF(AND(AF255&lt;&gt;"",AG255&lt;&gt;""),ROUNDUP((AG255-AF255)/7,0),"")</f>
        <v/>
      </c>
      <c r="AJ255">
        <f>IFERROR(IF(AH255*AI255=0,"",AH255*AI255),"")</f>
        <v/>
      </c>
      <c r="AL255">
        <f>IFERROR(IF((AO255-(AE255+AJ255))/AK255=0,"",ROUNDUP((AO255-(AE255+AJ255))/AK255,0)),"")</f>
        <v/>
      </c>
      <c r="AM255">
        <f>IFERROR(IF((AO255-(AE255+AJ255))=0,"",(AO255-(AE255+AJ255))),"")</f>
        <v/>
      </c>
      <c r="AN255">
        <f>IF(AND(AC255="",AK255=""),AH255,IF(SUM(AC255,AH255,AK255)=0,"",SUM(AC255,AH255,AK255)))</f>
        <v/>
      </c>
      <c r="AY255">
        <f>IF(AB255="","",YEAR(AB255)+IF(MONTH(AB255)&gt;=5,1,0))</f>
        <v/>
      </c>
      <c r="AZ255">
        <f>IF(AB255="","",IF(AND(MONTH(AB255)=8,DAY(AB255)&gt;=15),"Fall",IF(MONTH(AB255)&gt;8,"Fall",IF(MONTH(AB255)=5,"Summer",IF(MONTH(AB255)=1,"Spring","")))))</f>
        <v/>
      </c>
      <c r="BC255" t="inlineStr">
        <is>
          <t>Valenzuela, Alfonso</t>
        </is>
      </c>
      <c r="BD255">
        <f>IFERROR(INDEX('_names_lookup'!$C:$C,MATCH(BC255,'_names_lookup'!$A:$A,0)),"")</f>
        <v/>
      </c>
      <c r="BE255">
        <f>IFERROR(INDEX('_names_lookup'!$B:$B,MATCH(BC255,'_names_lookup'!$A:$A,0)),"")</f>
        <v/>
      </c>
    </row>
    <row r="256">
      <c r="H256" t="inlineStr">
        <is>
          <t>3273-03</t>
        </is>
      </c>
      <c r="I256" t="inlineStr">
        <is>
          <t>3400</t>
        </is>
      </c>
      <c r="K256" t="inlineStr">
        <is>
          <t>930</t>
        </is>
      </c>
      <c r="N256">
        <f>IFERROR(INDEX('_courses_lookup'!$C:$C,MATCH(J256&amp;K256,'_courses_lookup'!$E:$E,0)),"")</f>
        <v/>
      </c>
      <c r="O256">
        <f>IFERROR(INDEX('_courses_lookup'!$D:$D,MATCH(J256&amp;K256,'_courses_lookup'!$E:$E,0)),"")</f>
        <v/>
      </c>
      <c r="AE256">
        <f>IFERROR(IF(AC256*AD256=0,"",AC256*AD256),"")</f>
        <v/>
      </c>
      <c r="AH256">
        <f>IF(AND(AF256&lt;&gt;"",AG256&lt;&gt;""),ROUNDUP((AG256-AF256)/7,0),"")</f>
        <v/>
      </c>
      <c r="AJ256">
        <f>IFERROR(IF(AH256*AI256=0,"",AH256*AI256),"")</f>
        <v/>
      </c>
      <c r="AL256">
        <f>IFERROR(IF((AO256-(AE256+AJ256))/AK256=0,"",ROUNDUP((AO256-(AE256+AJ256))/AK256,0)),"")</f>
        <v/>
      </c>
      <c r="AM256">
        <f>IFERROR(IF((AO256-(AE256+AJ256))=0,"",(AO256-(AE256+AJ256))),"")</f>
        <v/>
      </c>
      <c r="AN256">
        <f>IF(AND(AC256="",AK256=""),AH256,IF(SUM(AC256,AH256,AK256)=0,"",SUM(AC256,AH256,AK256)))</f>
        <v/>
      </c>
      <c r="AY256">
        <f>IF(AB256="","",YEAR(AB256)+IF(MONTH(AB256)&gt;=5,1,0))</f>
        <v/>
      </c>
      <c r="AZ256">
        <f>IF(AB256="","",IF(AND(MONTH(AB256)=8,DAY(AB256)&gt;=15),"Fall",IF(MONTH(AB256)&gt;8,"Fall",IF(MONTH(AB256)=5,"Summer",IF(MONTH(AB256)=1,"Spring","")))))</f>
        <v/>
      </c>
      <c r="BC256" t="inlineStr">
        <is>
          <t>Williams, David A.</t>
        </is>
      </c>
      <c r="BD256">
        <f>IFERROR(INDEX('_names_lookup'!$C:$C,MATCH(BC256,'_names_lookup'!$A:$A,0)),"")</f>
        <v/>
      </c>
      <c r="BE256">
        <f>IFERROR(INDEX('_names_lookup'!$B:$B,MATCH(BC256,'_names_lookup'!$A:$A,0)),"")</f>
        <v/>
      </c>
    </row>
    <row r="257">
      <c r="H257" t="inlineStr">
        <is>
          <t>3273-04</t>
        </is>
      </c>
      <c r="I257" t="inlineStr">
        <is>
          <t>3401</t>
        </is>
      </c>
      <c r="K257" t="inlineStr">
        <is>
          <t>935</t>
        </is>
      </c>
      <c r="N257">
        <f>IFERROR(INDEX('_courses_lookup'!$C:$C,MATCH(J257&amp;K257,'_courses_lookup'!$E:$E,0)),"")</f>
        <v/>
      </c>
      <c r="O257">
        <f>IFERROR(INDEX('_courses_lookup'!$D:$D,MATCH(J257&amp;K257,'_courses_lookup'!$E:$E,0)),"")</f>
        <v/>
      </c>
      <c r="AE257">
        <f>IFERROR(IF(AC257*AD257=0,"",AC257*AD257),"")</f>
        <v/>
      </c>
      <c r="AH257">
        <f>IF(AND(AF257&lt;&gt;"",AG257&lt;&gt;""),ROUNDUP((AG257-AF257)/7,0),"")</f>
        <v/>
      </c>
      <c r="AJ257">
        <f>IFERROR(IF(AH257*AI257=0,"",AH257*AI257),"")</f>
        <v/>
      </c>
      <c r="AL257">
        <f>IFERROR(IF((AO257-(AE257+AJ257))/AK257=0,"",ROUNDUP((AO257-(AE257+AJ257))/AK257,0)),"")</f>
        <v/>
      </c>
      <c r="AM257">
        <f>IFERROR(IF((AO257-(AE257+AJ257))=0,"",(AO257-(AE257+AJ257))),"")</f>
        <v/>
      </c>
      <c r="AN257">
        <f>IF(AND(AC257="",AK257=""),AH257,IF(SUM(AC257,AH257,AK257)=0,"",SUM(AC257,AH257,AK257)))</f>
        <v/>
      </c>
      <c r="AY257">
        <f>IF(AB257="","",YEAR(AB257)+IF(MONTH(AB257)&gt;=5,1,0))</f>
        <v/>
      </c>
      <c r="AZ257">
        <f>IF(AB257="","",IF(AND(MONTH(AB257)=8,DAY(AB257)&gt;=15),"Fall",IF(MONTH(AB257)&gt;8,"Fall",IF(MONTH(AB257)=5,"Summer",IF(MONTH(AB257)=1,"Spring","")))))</f>
        <v/>
      </c>
      <c r="BC257" t="inlineStr">
        <is>
          <t>Yeagley, Stephen T.</t>
        </is>
      </c>
      <c r="BD257">
        <f>IFERROR(INDEX('_names_lookup'!$C:$C,MATCH(BC257,'_names_lookup'!$A:$A,0)),"")</f>
        <v/>
      </c>
      <c r="BE257">
        <f>IFERROR(INDEX('_names_lookup'!$B:$B,MATCH(BC257,'_names_lookup'!$A:$A,0)),"")</f>
        <v/>
      </c>
    </row>
    <row r="258">
      <c r="H258" t="inlineStr">
        <is>
          <t>3273-05</t>
        </is>
      </c>
      <c r="I258" t="inlineStr">
        <is>
          <t>3402</t>
        </is>
      </c>
      <c r="K258" t="inlineStr">
        <is>
          <t>940</t>
        </is>
      </c>
      <c r="N258">
        <f>IFERROR(INDEX('_courses_lookup'!$C:$C,MATCH(J258&amp;K258,'_courses_lookup'!$E:$E,0)),"")</f>
        <v/>
      </c>
      <c r="O258">
        <f>IFERROR(INDEX('_courses_lookup'!$D:$D,MATCH(J258&amp;K258,'_courses_lookup'!$E:$E,0)),"")</f>
        <v/>
      </c>
      <c r="AE258">
        <f>IFERROR(IF(AC258*AD258=0,"",AC258*AD258),"")</f>
        <v/>
      </c>
      <c r="AH258">
        <f>IF(AND(AF258&lt;&gt;"",AG258&lt;&gt;""),ROUNDUP((AG258-AF258)/7,0),"")</f>
        <v/>
      </c>
      <c r="AJ258">
        <f>IFERROR(IF(AH258*AI258=0,"",AH258*AI258),"")</f>
        <v/>
      </c>
      <c r="AL258">
        <f>IFERROR(IF((AO258-(AE258+AJ258))/AK258=0,"",ROUNDUP((AO258-(AE258+AJ258))/AK258,0)),"")</f>
        <v/>
      </c>
      <c r="AM258">
        <f>IFERROR(IF((AO258-(AE258+AJ258))=0,"",(AO258-(AE258+AJ258))),"")</f>
        <v/>
      </c>
      <c r="AN258">
        <f>IF(AND(AC258="",AK258=""),AH258,IF(SUM(AC258,AH258,AK258)=0,"",SUM(AC258,AH258,AK258)))</f>
        <v/>
      </c>
      <c r="AY258">
        <f>IF(AB258="","",YEAR(AB258)+IF(MONTH(AB258)&gt;=5,1,0))</f>
        <v/>
      </c>
      <c r="AZ258">
        <f>IF(AB258="","",IF(AND(MONTH(AB258)=8,DAY(AB258)&gt;=15),"Fall",IF(MONTH(AB258)&gt;8,"Fall",IF(MONTH(AB258)=5,"Summer",IF(MONTH(AB258)=1,"Spring","")))))</f>
        <v/>
      </c>
      <c r="BC258" t="inlineStr">
        <is>
          <t>Younker, Randall W.</t>
        </is>
      </c>
      <c r="BD258">
        <f>IFERROR(INDEX('_names_lookup'!$C:$C,MATCH(BC258,'_names_lookup'!$A:$A,0)),"")</f>
        <v/>
      </c>
      <c r="BE258">
        <f>IFERROR(INDEX('_names_lookup'!$B:$B,MATCH(BC258,'_names_lookup'!$A:$A,0)),"")</f>
        <v/>
      </c>
    </row>
    <row r="259">
      <c r="H259" t="inlineStr">
        <is>
          <t>3274-01</t>
        </is>
      </c>
      <c r="I259" t="inlineStr">
        <is>
          <t>3404</t>
        </is>
      </c>
      <c r="K259" t="inlineStr">
        <is>
          <t>944</t>
        </is>
      </c>
      <c r="N259">
        <f>IFERROR(INDEX('_courses_lookup'!$C:$C,MATCH(J259&amp;K259,'_courses_lookup'!$E:$E,0)),"")</f>
        <v/>
      </c>
      <c r="O259">
        <f>IFERROR(INDEX('_courses_lookup'!$D:$D,MATCH(J259&amp;K259,'_courses_lookup'!$E:$E,0)),"")</f>
        <v/>
      </c>
      <c r="AE259">
        <f>IFERROR(IF(AC259*AD259=0,"",AC259*AD259),"")</f>
        <v/>
      </c>
      <c r="AH259">
        <f>IF(AND(AF259&lt;&gt;"",AG259&lt;&gt;""),ROUNDUP((AG259-AF259)/7,0),"")</f>
        <v/>
      </c>
      <c r="AJ259">
        <f>IFERROR(IF(AH259*AI259=0,"",AH259*AI259),"")</f>
        <v/>
      </c>
      <c r="AL259">
        <f>IFERROR(IF((AO259-(AE259+AJ259))/AK259=0,"",ROUNDUP((AO259-(AE259+AJ259))/AK259,0)),"")</f>
        <v/>
      </c>
      <c r="AM259">
        <f>IFERROR(IF((AO259-(AE259+AJ259))=0,"",(AO259-(AE259+AJ259))),"")</f>
        <v/>
      </c>
      <c r="AN259">
        <f>IF(AND(AC259="",AK259=""),AH259,IF(SUM(AC259,AH259,AK259)=0,"",SUM(AC259,AH259,AK259)))</f>
        <v/>
      </c>
      <c r="AY259">
        <f>IF(AB259="","",YEAR(AB259)+IF(MONTH(AB259)&gt;=5,1,0))</f>
        <v/>
      </c>
      <c r="AZ259">
        <f>IF(AB259="","",IF(AND(MONTH(AB259)=8,DAY(AB259)&gt;=15),"Fall",IF(MONTH(AB259)&gt;8,"Fall",IF(MONTH(AB259)=5,"Summer",IF(MONTH(AB259)=1,"Spring","")))))</f>
        <v/>
      </c>
      <c r="BC259" t="inlineStr">
        <is>
          <t>Campbell, Michael</t>
        </is>
      </c>
      <c r="BD259">
        <f>IFERROR(INDEX('_names_lookup'!$C:$C,MATCH(BC259,'_names_lookup'!$A:$A,0)),"")</f>
        <v/>
      </c>
      <c r="BE259">
        <f>IFERROR(INDEX('_names_lookup'!$B:$B,MATCH(BC259,'_names_lookup'!$A:$A,0)),"")</f>
        <v/>
      </c>
    </row>
    <row r="260">
      <c r="H260" t="inlineStr">
        <is>
          <t>3274-02</t>
        </is>
      </c>
      <c r="I260" t="inlineStr">
        <is>
          <t>3405</t>
        </is>
      </c>
      <c r="K260" t="inlineStr">
        <is>
          <t>945</t>
        </is>
      </c>
      <c r="N260">
        <f>IFERROR(INDEX('_courses_lookup'!$C:$C,MATCH(J260&amp;K260,'_courses_lookup'!$E:$E,0)),"")</f>
        <v/>
      </c>
      <c r="O260">
        <f>IFERROR(INDEX('_courses_lookup'!$D:$D,MATCH(J260&amp;K260,'_courses_lookup'!$E:$E,0)),"")</f>
        <v/>
      </c>
      <c r="AE260">
        <f>IFERROR(IF(AC260*AD260=0,"",AC260*AD260),"")</f>
        <v/>
      </c>
      <c r="AH260">
        <f>IF(AND(AF260&lt;&gt;"",AG260&lt;&gt;""),ROUNDUP((AG260-AF260)/7,0),"")</f>
        <v/>
      </c>
      <c r="AJ260">
        <f>IFERROR(IF(AH260*AI260=0,"",AH260*AI260),"")</f>
        <v/>
      </c>
      <c r="AL260">
        <f>IFERROR(IF((AO260-(AE260+AJ260))/AK260=0,"",ROUNDUP((AO260-(AE260+AJ260))/AK260,0)),"")</f>
        <v/>
      </c>
      <c r="AM260">
        <f>IFERROR(IF((AO260-(AE260+AJ260))=0,"",(AO260-(AE260+AJ260))),"")</f>
        <v/>
      </c>
      <c r="AN260">
        <f>IF(AND(AC260="",AK260=""),AH260,IF(SUM(AC260,AH260,AK260)=0,"",SUM(AC260,AH260,AK260)))</f>
        <v/>
      </c>
      <c r="AY260">
        <f>IF(AB260="","",YEAR(AB260)+IF(MONTH(AB260)&gt;=5,1,0))</f>
        <v/>
      </c>
      <c r="AZ260">
        <f>IF(AB260="","",IF(AND(MONTH(AB260)=8,DAY(AB260)&gt;=15),"Fall",IF(MONTH(AB260)&gt;8,"Fall",IF(MONTH(AB260)=5,"Summer",IF(MONTH(AB260)=1,"Spring","")))))</f>
        <v/>
      </c>
      <c r="BD260">
        <f>IFERROR(INDEX('_names_lookup'!$C:$C,MATCH(BC260,'_names_lookup'!$A:$A,0)),"")</f>
        <v/>
      </c>
      <c r="BE260">
        <f>IFERROR(INDEX('_names_lookup'!$B:$B,MATCH(BC260,'_names_lookup'!$A:$A,0)),"")</f>
        <v/>
      </c>
    </row>
    <row r="261">
      <c r="H261" t="inlineStr">
        <is>
          <t>3275-01</t>
        </is>
      </c>
      <c r="I261" t="inlineStr">
        <is>
          <t>3406</t>
        </is>
      </c>
      <c r="K261" t="inlineStr">
        <is>
          <t>950</t>
        </is>
      </c>
      <c r="N261">
        <f>IFERROR(INDEX('_courses_lookup'!$C:$C,MATCH(J261&amp;K261,'_courses_lookup'!$E:$E,0)),"")</f>
        <v/>
      </c>
      <c r="O261">
        <f>IFERROR(INDEX('_courses_lookup'!$D:$D,MATCH(J261&amp;K261,'_courses_lookup'!$E:$E,0)),"")</f>
        <v/>
      </c>
      <c r="AE261">
        <f>IFERROR(IF(AC261*AD261=0,"",AC261*AD261),"")</f>
        <v/>
      </c>
      <c r="AH261">
        <f>IF(AND(AF261&lt;&gt;"",AG261&lt;&gt;""),ROUNDUP((AG261-AF261)/7,0),"")</f>
        <v/>
      </c>
      <c r="AJ261">
        <f>IFERROR(IF(AH261*AI261=0,"",AH261*AI261),"")</f>
        <v/>
      </c>
      <c r="AL261">
        <f>IFERROR(IF((AO261-(AE261+AJ261))/AK261=0,"",ROUNDUP((AO261-(AE261+AJ261))/AK261,0)),"")</f>
        <v/>
      </c>
      <c r="AM261">
        <f>IFERROR(IF((AO261-(AE261+AJ261))=0,"",(AO261-(AE261+AJ261))),"")</f>
        <v/>
      </c>
      <c r="AN261">
        <f>IF(AND(AC261="",AK261=""),AH261,IF(SUM(AC261,AH261,AK261)=0,"",SUM(AC261,AH261,AK261)))</f>
        <v/>
      </c>
      <c r="AY261">
        <f>IF(AB261="","",YEAR(AB261)+IF(MONTH(AB261)&gt;=5,1,0))</f>
        <v/>
      </c>
      <c r="AZ261">
        <f>IF(AB261="","",IF(AND(MONTH(AB261)=8,DAY(AB261)&gt;=15),"Fall",IF(MONTH(AB261)&gt;8,"Fall",IF(MONTH(AB261)=5,"Summer",IF(MONTH(AB261)=1,"Spring","")))))</f>
        <v/>
      </c>
      <c r="BD261">
        <f>IFERROR(INDEX('_names_lookup'!$C:$C,MATCH(BC261,'_names_lookup'!$A:$A,0)),"")</f>
        <v/>
      </c>
      <c r="BE261">
        <f>IFERROR(INDEX('_names_lookup'!$B:$B,MATCH(BC261,'_names_lookup'!$A:$A,0)),"")</f>
        <v/>
      </c>
    </row>
    <row r="262">
      <c r="H262" t="inlineStr">
        <is>
          <t>3275-02</t>
        </is>
      </c>
      <c r="I262" t="inlineStr">
        <is>
          <t>341</t>
        </is>
      </c>
      <c r="K262" t="inlineStr">
        <is>
          <t>964</t>
        </is>
      </c>
      <c r="N262">
        <f>IFERROR(INDEX('_courses_lookup'!$C:$C,MATCH(J262&amp;K262,'_courses_lookup'!$E:$E,0)),"")</f>
        <v/>
      </c>
      <c r="O262">
        <f>IFERROR(INDEX('_courses_lookup'!$D:$D,MATCH(J262&amp;K262,'_courses_lookup'!$E:$E,0)),"")</f>
        <v/>
      </c>
      <c r="AE262">
        <f>IFERROR(IF(AC262*AD262=0,"",AC262*AD262),"")</f>
        <v/>
      </c>
      <c r="AH262">
        <f>IF(AND(AF262&lt;&gt;"",AG262&lt;&gt;""),ROUNDUP((AG262-AF262)/7,0),"")</f>
        <v/>
      </c>
      <c r="AJ262">
        <f>IFERROR(IF(AH262*AI262=0,"",AH262*AI262),"")</f>
        <v/>
      </c>
      <c r="AL262">
        <f>IFERROR(IF((AO262-(AE262+AJ262))/AK262=0,"",ROUNDUP((AO262-(AE262+AJ262))/AK262,0)),"")</f>
        <v/>
      </c>
      <c r="AM262">
        <f>IFERROR(IF((AO262-(AE262+AJ262))=0,"",(AO262-(AE262+AJ262))),"")</f>
        <v/>
      </c>
      <c r="AN262">
        <f>IF(AND(AC262="",AK262=""),AH262,IF(SUM(AC262,AH262,AK262)=0,"",SUM(AC262,AH262,AK262)))</f>
        <v/>
      </c>
      <c r="AY262">
        <f>IF(AB262="","",YEAR(AB262)+IF(MONTH(AB262)&gt;=5,1,0))</f>
        <v/>
      </c>
      <c r="AZ262">
        <f>IF(AB262="","",IF(AND(MONTH(AB262)=8,DAY(AB262)&gt;=15),"Fall",IF(MONTH(AB262)&gt;8,"Fall",IF(MONTH(AB262)=5,"Summer",IF(MONTH(AB262)=1,"Spring","")))))</f>
        <v/>
      </c>
      <c r="BD262">
        <f>IFERROR(INDEX('_names_lookup'!$C:$C,MATCH(BC262,'_names_lookup'!$A:$A,0)),"")</f>
        <v/>
      </c>
      <c r="BE262">
        <f>IFERROR(INDEX('_names_lookup'!$B:$B,MATCH(BC262,'_names_lookup'!$A:$A,0)),"")</f>
        <v/>
      </c>
    </row>
    <row r="263">
      <c r="H263" t="inlineStr">
        <is>
          <t>3278-01</t>
        </is>
      </c>
      <c r="I263" t="inlineStr">
        <is>
          <t>3415</t>
        </is>
      </c>
      <c r="K263" t="inlineStr">
        <is>
          <t>966</t>
        </is>
      </c>
      <c r="N263">
        <f>IFERROR(INDEX('_courses_lookup'!$C:$C,MATCH(J263&amp;K263,'_courses_lookup'!$E:$E,0)),"")</f>
        <v/>
      </c>
      <c r="O263">
        <f>IFERROR(INDEX('_courses_lookup'!$D:$D,MATCH(J263&amp;K263,'_courses_lookup'!$E:$E,0)),"")</f>
        <v/>
      </c>
      <c r="AE263">
        <f>IFERROR(IF(AC263*AD263=0,"",AC263*AD263),"")</f>
        <v/>
      </c>
      <c r="AH263">
        <f>IF(AND(AF263&lt;&gt;"",AG263&lt;&gt;""),ROUNDUP((AG263-AF263)/7,0),"")</f>
        <v/>
      </c>
      <c r="AJ263">
        <f>IFERROR(IF(AH263*AI263=0,"",AH263*AI263),"")</f>
        <v/>
      </c>
      <c r="AL263">
        <f>IFERROR(IF((AO263-(AE263+AJ263))/AK263=0,"",ROUNDUP((AO263-(AE263+AJ263))/AK263,0)),"")</f>
        <v/>
      </c>
      <c r="AM263">
        <f>IFERROR(IF((AO263-(AE263+AJ263))=0,"",(AO263-(AE263+AJ263))),"")</f>
        <v/>
      </c>
      <c r="AN263">
        <f>IF(AND(AC263="",AK263=""),AH263,IF(SUM(AC263,AH263,AK263)=0,"",SUM(AC263,AH263,AK263)))</f>
        <v/>
      </c>
      <c r="AY263">
        <f>IF(AB263="","",YEAR(AB263)+IF(MONTH(AB263)&gt;=5,1,0))</f>
        <v/>
      </c>
      <c r="AZ263">
        <f>IF(AB263="","",IF(AND(MONTH(AB263)=8,DAY(AB263)&gt;=15),"Fall",IF(MONTH(AB263)&gt;8,"Fall",IF(MONTH(AB263)=5,"Summer",IF(MONTH(AB263)=1,"Spring","")))))</f>
        <v/>
      </c>
      <c r="BD263">
        <f>IFERROR(INDEX('_names_lookup'!$C:$C,MATCH(BC263,'_names_lookup'!$A:$A,0)),"")</f>
        <v/>
      </c>
      <c r="BE263">
        <f>IFERROR(INDEX('_names_lookup'!$B:$B,MATCH(BC263,'_names_lookup'!$A:$A,0)),"")</f>
        <v/>
      </c>
    </row>
    <row r="264">
      <c r="H264" t="inlineStr">
        <is>
          <t>3278-02</t>
        </is>
      </c>
      <c r="I264" t="inlineStr">
        <is>
          <t>3419</t>
        </is>
      </c>
      <c r="K264" t="inlineStr">
        <is>
          <t>974</t>
        </is>
      </c>
      <c r="N264">
        <f>IFERROR(INDEX('_courses_lookup'!$C:$C,MATCH(J264&amp;K264,'_courses_lookup'!$E:$E,0)),"")</f>
        <v/>
      </c>
      <c r="O264">
        <f>IFERROR(INDEX('_courses_lookup'!$D:$D,MATCH(J264&amp;K264,'_courses_lookup'!$E:$E,0)),"")</f>
        <v/>
      </c>
      <c r="AE264">
        <f>IFERROR(IF(AC264*AD264=0,"",AC264*AD264),"")</f>
        <v/>
      </c>
      <c r="AH264">
        <f>IF(AND(AF264&lt;&gt;"",AG264&lt;&gt;""),ROUNDUP((AG264-AF264)/7,0),"")</f>
        <v/>
      </c>
      <c r="AJ264">
        <f>IFERROR(IF(AH264*AI264=0,"",AH264*AI264),"")</f>
        <v/>
      </c>
      <c r="AL264">
        <f>IFERROR(IF((AO264-(AE264+AJ264))/AK264=0,"",ROUNDUP((AO264-(AE264+AJ264))/AK264,0)),"")</f>
        <v/>
      </c>
      <c r="AM264">
        <f>IFERROR(IF((AO264-(AE264+AJ264))=0,"",(AO264-(AE264+AJ264))),"")</f>
        <v/>
      </c>
      <c r="AN264">
        <f>IF(AND(AC264="",AK264=""),AH264,IF(SUM(AC264,AH264,AK264)=0,"",SUM(AC264,AH264,AK264)))</f>
        <v/>
      </c>
      <c r="AY264">
        <f>IF(AB264="","",YEAR(AB264)+IF(MONTH(AB264)&gt;=5,1,0))</f>
        <v/>
      </c>
      <c r="AZ264">
        <f>IF(AB264="","",IF(AND(MONTH(AB264)=8,DAY(AB264)&gt;=15),"Fall",IF(MONTH(AB264)&gt;8,"Fall",IF(MONTH(AB264)=5,"Summer",IF(MONTH(AB264)=1,"Spring","")))))</f>
        <v/>
      </c>
      <c r="BD264">
        <f>IFERROR(INDEX('_names_lookup'!$C:$C,MATCH(BC264,'_names_lookup'!$A:$A,0)),"")</f>
        <v/>
      </c>
      <c r="BE264">
        <f>IFERROR(INDEX('_names_lookup'!$B:$B,MATCH(BC264,'_names_lookup'!$A:$A,0)),"")</f>
        <v/>
      </c>
    </row>
    <row r="265">
      <c r="H265" t="inlineStr">
        <is>
          <t>3278-03</t>
        </is>
      </c>
      <c r="I265" t="inlineStr">
        <is>
          <t>342</t>
        </is>
      </c>
      <c r="K265" t="inlineStr">
        <is>
          <t>990</t>
        </is>
      </c>
      <c r="N265">
        <f>IFERROR(INDEX('_courses_lookup'!$C:$C,MATCH(J265&amp;K265,'_courses_lookup'!$E:$E,0)),"")</f>
        <v/>
      </c>
      <c r="O265">
        <f>IFERROR(INDEX('_courses_lookup'!$D:$D,MATCH(J265&amp;K265,'_courses_lookup'!$E:$E,0)),"")</f>
        <v/>
      </c>
      <c r="AE265">
        <f>IFERROR(IF(AC265*AD265=0,"",AC265*AD265),"")</f>
        <v/>
      </c>
      <c r="AH265">
        <f>IF(AND(AF265&lt;&gt;"",AG265&lt;&gt;""),ROUNDUP((AG265-AF265)/7,0),"")</f>
        <v/>
      </c>
      <c r="AJ265">
        <f>IFERROR(IF(AH265*AI265=0,"",AH265*AI265),"")</f>
        <v/>
      </c>
      <c r="AL265">
        <f>IFERROR(IF((AO265-(AE265+AJ265))/AK265=0,"",ROUNDUP((AO265-(AE265+AJ265))/AK265,0)),"")</f>
        <v/>
      </c>
      <c r="AM265">
        <f>IFERROR(IF((AO265-(AE265+AJ265))=0,"",(AO265-(AE265+AJ265))),"")</f>
        <v/>
      </c>
      <c r="AN265">
        <f>IF(AND(AC265="",AK265=""),AH265,IF(SUM(AC265,AH265,AK265)=0,"",SUM(AC265,AH265,AK265)))</f>
        <v/>
      </c>
      <c r="AY265">
        <f>IF(AB265="","",YEAR(AB265)+IF(MONTH(AB265)&gt;=5,1,0))</f>
        <v/>
      </c>
      <c r="AZ265">
        <f>IF(AB265="","",IF(AND(MONTH(AB265)=8,DAY(AB265)&gt;=15),"Fall",IF(MONTH(AB265)&gt;8,"Fall",IF(MONTH(AB265)=5,"Summer",IF(MONTH(AB265)=1,"Spring","")))))</f>
        <v/>
      </c>
      <c r="BD265">
        <f>IFERROR(INDEX('_names_lookup'!$C:$C,MATCH(BC265,'_names_lookup'!$A:$A,0)),"")</f>
        <v/>
      </c>
      <c r="BE265">
        <f>IFERROR(INDEX('_names_lookup'!$B:$B,MATCH(BC265,'_names_lookup'!$A:$A,0)),"")</f>
        <v/>
      </c>
    </row>
    <row r="266">
      <c r="H266" t="inlineStr">
        <is>
          <t>3279-01</t>
        </is>
      </c>
      <c r="I266" t="inlineStr">
        <is>
          <t>3420</t>
        </is>
      </c>
      <c r="K266" t="inlineStr">
        <is>
          <t>994</t>
        </is>
      </c>
      <c r="N266">
        <f>IFERROR(INDEX('_courses_lookup'!$C:$C,MATCH(J266&amp;K266,'_courses_lookup'!$E:$E,0)),"")</f>
        <v/>
      </c>
      <c r="O266">
        <f>IFERROR(INDEX('_courses_lookup'!$D:$D,MATCH(J266&amp;K266,'_courses_lookup'!$E:$E,0)),"")</f>
        <v/>
      </c>
      <c r="AE266">
        <f>IFERROR(IF(AC266*AD266=0,"",AC266*AD266),"")</f>
        <v/>
      </c>
      <c r="AH266">
        <f>IF(AND(AF266&lt;&gt;"",AG266&lt;&gt;""),ROUNDUP((AG266-AF266)/7,0),"")</f>
        <v/>
      </c>
      <c r="AJ266">
        <f>IFERROR(IF(AH266*AI266=0,"",AH266*AI266),"")</f>
        <v/>
      </c>
      <c r="AL266">
        <f>IFERROR(IF((AO266-(AE266+AJ266))/AK266=0,"",ROUNDUP((AO266-(AE266+AJ266))/AK266,0)),"")</f>
        <v/>
      </c>
      <c r="AM266">
        <f>IFERROR(IF((AO266-(AE266+AJ266))=0,"",(AO266-(AE266+AJ266))),"")</f>
        <v/>
      </c>
      <c r="AN266">
        <f>IF(AND(AC266="",AK266=""),AH266,IF(SUM(AC266,AH266,AK266)=0,"",SUM(AC266,AH266,AK266)))</f>
        <v/>
      </c>
      <c r="AY266">
        <f>IF(AB266="","",YEAR(AB266)+IF(MONTH(AB266)&gt;=5,1,0))</f>
        <v/>
      </c>
      <c r="AZ266">
        <f>IF(AB266="","",IF(AND(MONTH(AB266)=8,DAY(AB266)&gt;=15),"Fall",IF(MONTH(AB266)&gt;8,"Fall",IF(MONTH(AB266)=5,"Summer",IF(MONTH(AB266)=1,"Spring","")))))</f>
        <v/>
      </c>
      <c r="BD266">
        <f>IFERROR(INDEX('_names_lookup'!$C:$C,MATCH(BC266,'_names_lookup'!$A:$A,0)),"")</f>
        <v/>
      </c>
      <c r="BE266">
        <f>IFERROR(INDEX('_names_lookup'!$B:$B,MATCH(BC266,'_names_lookup'!$A:$A,0)),"")</f>
        <v/>
      </c>
    </row>
    <row r="267">
      <c r="H267" t="inlineStr">
        <is>
          <t>3279-02</t>
        </is>
      </c>
      <c r="I267" t="inlineStr">
        <is>
          <t>3421</t>
        </is>
      </c>
      <c r="K267" t="inlineStr">
        <is>
          <t>995</t>
        </is>
      </c>
      <c r="N267">
        <f>IFERROR(INDEX('_courses_lookup'!$C:$C,MATCH(J267&amp;K267,'_courses_lookup'!$E:$E,0)),"")</f>
        <v/>
      </c>
      <c r="O267">
        <f>IFERROR(INDEX('_courses_lookup'!$D:$D,MATCH(J267&amp;K267,'_courses_lookup'!$E:$E,0)),"")</f>
        <v/>
      </c>
      <c r="AE267">
        <f>IFERROR(IF(AC267*AD267=0,"",AC267*AD267),"")</f>
        <v/>
      </c>
      <c r="AH267">
        <f>IF(AND(AF267&lt;&gt;"",AG267&lt;&gt;""),ROUNDUP((AG267-AF267)/7,0),"")</f>
        <v/>
      </c>
      <c r="AJ267">
        <f>IFERROR(IF(AH267*AI267=0,"",AH267*AI267),"")</f>
        <v/>
      </c>
      <c r="AL267">
        <f>IFERROR(IF((AO267-(AE267+AJ267))/AK267=0,"",ROUNDUP((AO267-(AE267+AJ267))/AK267,0)),"")</f>
        <v/>
      </c>
      <c r="AM267">
        <f>IFERROR(IF((AO267-(AE267+AJ267))=0,"",(AO267-(AE267+AJ267))),"")</f>
        <v/>
      </c>
      <c r="AN267">
        <f>IF(AND(AC267="",AK267=""),AH267,IF(SUM(AC267,AH267,AK267)=0,"",SUM(AC267,AH267,AK267)))</f>
        <v/>
      </c>
      <c r="AY267">
        <f>IF(AB267="","",YEAR(AB267)+IF(MONTH(AB267)&gt;=5,1,0))</f>
        <v/>
      </c>
      <c r="AZ267">
        <f>IF(AB267="","",IF(AND(MONTH(AB267)=8,DAY(AB267)&gt;=15),"Fall",IF(MONTH(AB267)&gt;8,"Fall",IF(MONTH(AB267)=5,"Summer",IF(MONTH(AB267)=1,"Spring","")))))</f>
        <v/>
      </c>
      <c r="BD267">
        <f>IFERROR(INDEX('_names_lookup'!$C:$C,MATCH(BC267,'_names_lookup'!$A:$A,0)),"")</f>
        <v/>
      </c>
      <c r="BE267">
        <f>IFERROR(INDEX('_names_lookup'!$B:$B,MATCH(BC267,'_names_lookup'!$A:$A,0)),"")</f>
        <v/>
      </c>
    </row>
    <row r="268">
      <c r="H268" t="inlineStr">
        <is>
          <t>3284-01</t>
        </is>
      </c>
      <c r="I268" t="inlineStr">
        <is>
          <t>343</t>
        </is>
      </c>
      <c r="N268">
        <f>IFERROR(INDEX('_courses_lookup'!$C:$C,MATCH(J268&amp;K268,'_courses_lookup'!$E:$E,0)),"")</f>
        <v/>
      </c>
      <c r="O268">
        <f>IFERROR(INDEX('_courses_lookup'!$D:$D,MATCH(J268&amp;K268,'_courses_lookup'!$E:$E,0)),"")</f>
        <v/>
      </c>
      <c r="AE268">
        <f>IFERROR(IF(AC268*AD268=0,"",AC268*AD268),"")</f>
        <v/>
      </c>
      <c r="AH268">
        <f>IF(AND(AF268&lt;&gt;"",AG268&lt;&gt;""),ROUNDUP((AG268-AF268)/7,0),"")</f>
        <v/>
      </c>
      <c r="AJ268">
        <f>IFERROR(IF(AH268*AI268=0,"",AH268*AI268),"")</f>
        <v/>
      </c>
      <c r="AL268">
        <f>IFERROR(IF((AO268-(AE268+AJ268))/AK268=0,"",ROUNDUP((AO268-(AE268+AJ268))/AK268,0)),"")</f>
        <v/>
      </c>
      <c r="AM268">
        <f>IFERROR(IF((AO268-(AE268+AJ268))=0,"",(AO268-(AE268+AJ268))),"")</f>
        <v/>
      </c>
      <c r="AN268">
        <f>IF(AND(AC268="",AK268=""),AH268,IF(SUM(AC268,AH268,AK268)=0,"",SUM(AC268,AH268,AK268)))</f>
        <v/>
      </c>
      <c r="AY268">
        <f>IF(AB268="","",YEAR(AB268)+IF(MONTH(AB268)&gt;=5,1,0))</f>
        <v/>
      </c>
      <c r="AZ268">
        <f>IF(AB268="","",IF(AND(MONTH(AB268)=8,DAY(AB268)&gt;=15),"Fall",IF(MONTH(AB268)&gt;8,"Fall",IF(MONTH(AB268)=5,"Summer",IF(MONTH(AB268)=1,"Spring","")))))</f>
        <v/>
      </c>
      <c r="BD268">
        <f>IFERROR(INDEX('_names_lookup'!$C:$C,MATCH(BC268,'_names_lookup'!$A:$A,0)),"")</f>
        <v/>
      </c>
      <c r="BE268">
        <f>IFERROR(INDEX('_names_lookup'!$B:$B,MATCH(BC268,'_names_lookup'!$A:$A,0)),"")</f>
        <v/>
      </c>
    </row>
    <row r="269">
      <c r="H269" t="inlineStr">
        <is>
          <t>3284-02</t>
        </is>
      </c>
      <c r="I269" t="inlineStr">
        <is>
          <t>344</t>
        </is>
      </c>
      <c r="N269">
        <f>IFERROR(INDEX('_courses_lookup'!$C:$C,MATCH(J269&amp;K269,'_courses_lookup'!$E:$E,0)),"")</f>
        <v/>
      </c>
      <c r="O269">
        <f>IFERROR(INDEX('_courses_lookup'!$D:$D,MATCH(J269&amp;K269,'_courses_lookup'!$E:$E,0)),"")</f>
        <v/>
      </c>
      <c r="AE269">
        <f>IFERROR(IF(AC269*AD269=0,"",AC269*AD269),"")</f>
        <v/>
      </c>
      <c r="AH269">
        <f>IF(AND(AF269&lt;&gt;"",AG269&lt;&gt;""),ROUNDUP((AG269-AF269)/7,0),"")</f>
        <v/>
      </c>
      <c r="AJ269">
        <f>IFERROR(IF(AH269*AI269=0,"",AH269*AI269),"")</f>
        <v/>
      </c>
      <c r="AL269">
        <f>IFERROR(IF((AO269-(AE269+AJ269))/AK269=0,"",ROUNDUP((AO269-(AE269+AJ269))/AK269,0)),"")</f>
        <v/>
      </c>
      <c r="AM269">
        <f>IFERROR(IF((AO269-(AE269+AJ269))=0,"",(AO269-(AE269+AJ269))),"")</f>
        <v/>
      </c>
      <c r="AN269">
        <f>IF(AND(AC269="",AK269=""),AH269,IF(SUM(AC269,AH269,AK269)=0,"",SUM(AC269,AH269,AK269)))</f>
        <v/>
      </c>
      <c r="AY269">
        <f>IF(AB269="","",YEAR(AB269)+IF(MONTH(AB269)&gt;=5,1,0))</f>
        <v/>
      </c>
      <c r="AZ269">
        <f>IF(AB269="","",IF(AND(MONTH(AB269)=8,DAY(AB269)&gt;=15),"Fall",IF(MONTH(AB269)&gt;8,"Fall",IF(MONTH(AB269)=5,"Summer",IF(MONTH(AB269)=1,"Spring","")))))</f>
        <v/>
      </c>
      <c r="BD269">
        <f>IFERROR(INDEX('_names_lookup'!$C:$C,MATCH(BC269,'_names_lookup'!$A:$A,0)),"")</f>
        <v/>
      </c>
      <c r="BE269">
        <f>IFERROR(INDEX('_names_lookup'!$B:$B,MATCH(BC269,'_names_lookup'!$A:$A,0)),"")</f>
        <v/>
      </c>
    </row>
    <row r="270">
      <c r="H270" t="inlineStr">
        <is>
          <t>3284-03</t>
        </is>
      </c>
      <c r="I270" t="inlineStr">
        <is>
          <t>345</t>
        </is>
      </c>
      <c r="N270">
        <f>IFERROR(INDEX('_courses_lookup'!$C:$C,MATCH(J270&amp;K270,'_courses_lookup'!$E:$E,0)),"")</f>
        <v/>
      </c>
      <c r="O270">
        <f>IFERROR(INDEX('_courses_lookup'!$D:$D,MATCH(J270&amp;K270,'_courses_lookup'!$E:$E,0)),"")</f>
        <v/>
      </c>
      <c r="AE270">
        <f>IFERROR(IF(AC270*AD270=0,"",AC270*AD270),"")</f>
        <v/>
      </c>
      <c r="AH270">
        <f>IF(AND(AF270&lt;&gt;"",AG270&lt;&gt;""),ROUNDUP((AG270-AF270)/7,0),"")</f>
        <v/>
      </c>
      <c r="AJ270">
        <f>IFERROR(IF(AH270*AI270=0,"",AH270*AI270),"")</f>
        <v/>
      </c>
      <c r="AL270">
        <f>IFERROR(IF((AO270-(AE270+AJ270))/AK270=0,"",ROUNDUP((AO270-(AE270+AJ270))/AK270,0)),"")</f>
        <v/>
      </c>
      <c r="AM270">
        <f>IFERROR(IF((AO270-(AE270+AJ270))=0,"",(AO270-(AE270+AJ270))),"")</f>
        <v/>
      </c>
      <c r="AN270">
        <f>IF(AND(AC270="",AK270=""),AH270,IF(SUM(AC270,AH270,AK270)=0,"",SUM(AC270,AH270,AK270)))</f>
        <v/>
      </c>
      <c r="AY270">
        <f>IF(AB270="","",YEAR(AB270)+IF(MONTH(AB270)&gt;=5,1,0))</f>
        <v/>
      </c>
      <c r="AZ270">
        <f>IF(AB270="","",IF(AND(MONTH(AB270)=8,DAY(AB270)&gt;=15),"Fall",IF(MONTH(AB270)&gt;8,"Fall",IF(MONTH(AB270)=5,"Summer",IF(MONTH(AB270)=1,"Spring","")))))</f>
        <v/>
      </c>
      <c r="BD270">
        <f>IFERROR(INDEX('_names_lookup'!$C:$C,MATCH(BC270,'_names_lookup'!$A:$A,0)),"")</f>
        <v/>
      </c>
      <c r="BE270">
        <f>IFERROR(INDEX('_names_lookup'!$B:$B,MATCH(BC270,'_names_lookup'!$A:$A,0)),"")</f>
        <v/>
      </c>
    </row>
    <row r="271">
      <c r="H271" t="inlineStr">
        <is>
          <t>3285-01</t>
        </is>
      </c>
      <c r="I271" t="inlineStr">
        <is>
          <t>3451</t>
        </is>
      </c>
      <c r="N271">
        <f>IFERROR(INDEX('_courses_lookup'!$C:$C,MATCH(J271&amp;K271,'_courses_lookup'!$E:$E,0)),"")</f>
        <v/>
      </c>
      <c r="O271">
        <f>IFERROR(INDEX('_courses_lookup'!$D:$D,MATCH(J271&amp;K271,'_courses_lookup'!$E:$E,0)),"")</f>
        <v/>
      </c>
      <c r="AE271">
        <f>IFERROR(IF(AC271*AD271=0,"",AC271*AD271),"")</f>
        <v/>
      </c>
      <c r="AH271">
        <f>IF(AND(AF271&lt;&gt;"",AG271&lt;&gt;""),ROUNDUP((AG271-AF271)/7,0),"")</f>
        <v/>
      </c>
      <c r="AJ271">
        <f>IFERROR(IF(AH271*AI271=0,"",AH271*AI271),"")</f>
        <v/>
      </c>
      <c r="AL271">
        <f>IFERROR(IF((AO271-(AE271+AJ271))/AK271=0,"",ROUNDUP((AO271-(AE271+AJ271))/AK271,0)),"")</f>
        <v/>
      </c>
      <c r="AM271">
        <f>IFERROR(IF((AO271-(AE271+AJ271))=0,"",(AO271-(AE271+AJ271))),"")</f>
        <v/>
      </c>
      <c r="AN271">
        <f>IF(AND(AC271="",AK271=""),AH271,IF(SUM(AC271,AH271,AK271)=0,"",SUM(AC271,AH271,AK271)))</f>
        <v/>
      </c>
      <c r="AY271">
        <f>IF(AB271="","",YEAR(AB271)+IF(MONTH(AB271)&gt;=5,1,0))</f>
        <v/>
      </c>
      <c r="AZ271">
        <f>IF(AB271="","",IF(AND(MONTH(AB271)=8,DAY(AB271)&gt;=15),"Fall",IF(MONTH(AB271)&gt;8,"Fall",IF(MONTH(AB271)=5,"Summer",IF(MONTH(AB271)=1,"Spring","")))))</f>
        <v/>
      </c>
      <c r="BD271">
        <f>IFERROR(INDEX('_names_lookup'!$C:$C,MATCH(BC271,'_names_lookup'!$A:$A,0)),"")</f>
        <v/>
      </c>
      <c r="BE271">
        <f>IFERROR(INDEX('_names_lookup'!$B:$B,MATCH(BC271,'_names_lookup'!$A:$A,0)),"")</f>
        <v/>
      </c>
    </row>
    <row r="272">
      <c r="H272" t="inlineStr">
        <is>
          <t>3285-02</t>
        </is>
      </c>
      <c r="I272" t="inlineStr">
        <is>
          <t>3452</t>
        </is>
      </c>
      <c r="N272">
        <f>IFERROR(INDEX('_courses_lookup'!$C:$C,MATCH(J272&amp;K272,'_courses_lookup'!$E:$E,0)),"")</f>
        <v/>
      </c>
      <c r="O272">
        <f>IFERROR(INDEX('_courses_lookup'!$D:$D,MATCH(J272&amp;K272,'_courses_lookup'!$E:$E,0)),"")</f>
        <v/>
      </c>
      <c r="AE272">
        <f>IFERROR(IF(AC272*AD272=0,"",AC272*AD272),"")</f>
        <v/>
      </c>
      <c r="AH272">
        <f>IF(AND(AF272&lt;&gt;"",AG272&lt;&gt;""),ROUNDUP((AG272-AF272)/7,0),"")</f>
        <v/>
      </c>
      <c r="AJ272">
        <f>IFERROR(IF(AH272*AI272=0,"",AH272*AI272),"")</f>
        <v/>
      </c>
      <c r="AL272">
        <f>IFERROR(IF((AO272-(AE272+AJ272))/AK272=0,"",ROUNDUP((AO272-(AE272+AJ272))/AK272,0)),"")</f>
        <v/>
      </c>
      <c r="AM272">
        <f>IFERROR(IF((AO272-(AE272+AJ272))=0,"",(AO272-(AE272+AJ272))),"")</f>
        <v/>
      </c>
      <c r="AN272">
        <f>IF(AND(AC272="",AK272=""),AH272,IF(SUM(AC272,AH272,AK272)=0,"",SUM(AC272,AH272,AK272)))</f>
        <v/>
      </c>
      <c r="AY272">
        <f>IF(AB272="","",YEAR(AB272)+IF(MONTH(AB272)&gt;=5,1,0))</f>
        <v/>
      </c>
      <c r="AZ272">
        <f>IF(AB272="","",IF(AND(MONTH(AB272)=8,DAY(AB272)&gt;=15),"Fall",IF(MONTH(AB272)&gt;8,"Fall",IF(MONTH(AB272)=5,"Summer",IF(MONTH(AB272)=1,"Spring","")))))</f>
        <v/>
      </c>
      <c r="BD272">
        <f>IFERROR(INDEX('_names_lookup'!$C:$C,MATCH(BC272,'_names_lookup'!$A:$A,0)),"")</f>
        <v/>
      </c>
      <c r="BE272">
        <f>IFERROR(INDEX('_names_lookup'!$B:$B,MATCH(BC272,'_names_lookup'!$A:$A,0)),"")</f>
        <v/>
      </c>
    </row>
    <row r="273">
      <c r="H273" t="inlineStr">
        <is>
          <t>3285-03</t>
        </is>
      </c>
      <c r="I273" t="inlineStr">
        <is>
          <t>3453</t>
        </is>
      </c>
      <c r="N273">
        <f>IFERROR(INDEX('_courses_lookup'!$C:$C,MATCH(J273&amp;K273,'_courses_lookup'!$E:$E,0)),"")</f>
        <v/>
      </c>
      <c r="O273">
        <f>IFERROR(INDEX('_courses_lookup'!$D:$D,MATCH(J273&amp;K273,'_courses_lookup'!$E:$E,0)),"")</f>
        <v/>
      </c>
      <c r="AE273">
        <f>IFERROR(IF(AC273*AD273=0,"",AC273*AD273),"")</f>
        <v/>
      </c>
      <c r="AH273">
        <f>IF(AND(AF273&lt;&gt;"",AG273&lt;&gt;""),ROUNDUP((AG273-AF273)/7,0),"")</f>
        <v/>
      </c>
      <c r="AJ273">
        <f>IFERROR(IF(AH273*AI273=0,"",AH273*AI273),"")</f>
        <v/>
      </c>
      <c r="AL273">
        <f>IFERROR(IF((AO273-(AE273+AJ273))/AK273=0,"",ROUNDUP((AO273-(AE273+AJ273))/AK273,0)),"")</f>
        <v/>
      </c>
      <c r="AM273">
        <f>IFERROR(IF((AO273-(AE273+AJ273))=0,"",(AO273-(AE273+AJ273))),"")</f>
        <v/>
      </c>
      <c r="AN273">
        <f>IF(AND(AC273="",AK273=""),AH273,IF(SUM(AC273,AH273,AK273)=0,"",SUM(AC273,AH273,AK273)))</f>
        <v/>
      </c>
      <c r="AY273">
        <f>IF(AB273="","",YEAR(AB273)+IF(MONTH(AB273)&gt;=5,1,0))</f>
        <v/>
      </c>
      <c r="AZ273">
        <f>IF(AB273="","",IF(AND(MONTH(AB273)=8,DAY(AB273)&gt;=15),"Fall",IF(MONTH(AB273)&gt;8,"Fall",IF(MONTH(AB273)=5,"Summer",IF(MONTH(AB273)=1,"Spring","")))))</f>
        <v/>
      </c>
      <c r="BD273">
        <f>IFERROR(INDEX('_names_lookup'!$C:$C,MATCH(BC273,'_names_lookup'!$A:$A,0)),"")</f>
        <v/>
      </c>
      <c r="BE273">
        <f>IFERROR(INDEX('_names_lookup'!$B:$B,MATCH(BC273,'_names_lookup'!$A:$A,0)),"")</f>
        <v/>
      </c>
    </row>
    <row r="274">
      <c r="H274" t="inlineStr">
        <is>
          <t>3286-01</t>
        </is>
      </c>
      <c r="I274" t="inlineStr">
        <is>
          <t>346</t>
        </is>
      </c>
      <c r="N274">
        <f>IFERROR(INDEX('_courses_lookup'!$C:$C,MATCH(J274&amp;K274,'_courses_lookup'!$E:$E,0)),"")</f>
        <v/>
      </c>
      <c r="O274">
        <f>IFERROR(INDEX('_courses_lookup'!$D:$D,MATCH(J274&amp;K274,'_courses_lookup'!$E:$E,0)),"")</f>
        <v/>
      </c>
      <c r="AE274">
        <f>IFERROR(IF(AC274*AD274=0,"",AC274*AD274),"")</f>
        <v/>
      </c>
      <c r="AH274">
        <f>IF(AND(AF274&lt;&gt;"",AG274&lt;&gt;""),ROUNDUP((AG274-AF274)/7,0),"")</f>
        <v/>
      </c>
      <c r="AJ274">
        <f>IFERROR(IF(AH274*AI274=0,"",AH274*AI274),"")</f>
        <v/>
      </c>
      <c r="AL274">
        <f>IFERROR(IF((AO274-(AE274+AJ274))/AK274=0,"",ROUNDUP((AO274-(AE274+AJ274))/AK274,0)),"")</f>
        <v/>
      </c>
      <c r="AM274">
        <f>IFERROR(IF((AO274-(AE274+AJ274))=0,"",(AO274-(AE274+AJ274))),"")</f>
        <v/>
      </c>
      <c r="AN274">
        <f>IF(AND(AC274="",AK274=""),AH274,IF(SUM(AC274,AH274,AK274)=0,"",SUM(AC274,AH274,AK274)))</f>
        <v/>
      </c>
      <c r="AY274">
        <f>IF(AB274="","",YEAR(AB274)+IF(MONTH(AB274)&gt;=5,1,0))</f>
        <v/>
      </c>
      <c r="AZ274">
        <f>IF(AB274="","",IF(AND(MONTH(AB274)=8,DAY(AB274)&gt;=15),"Fall",IF(MONTH(AB274)&gt;8,"Fall",IF(MONTH(AB274)=5,"Summer",IF(MONTH(AB274)=1,"Spring","")))))</f>
        <v/>
      </c>
      <c r="BD274">
        <f>IFERROR(INDEX('_names_lookup'!$C:$C,MATCH(BC274,'_names_lookup'!$A:$A,0)),"")</f>
        <v/>
      </c>
      <c r="BE274">
        <f>IFERROR(INDEX('_names_lookup'!$B:$B,MATCH(BC274,'_names_lookup'!$A:$A,0)),"")</f>
        <v/>
      </c>
    </row>
    <row r="275">
      <c r="H275" t="inlineStr">
        <is>
          <t>3286-02</t>
        </is>
      </c>
      <c r="I275" t="inlineStr">
        <is>
          <t>347</t>
        </is>
      </c>
      <c r="N275">
        <f>IFERROR(INDEX('_courses_lookup'!$C:$C,MATCH(J275&amp;K275,'_courses_lookup'!$E:$E,0)),"")</f>
        <v/>
      </c>
      <c r="O275">
        <f>IFERROR(INDEX('_courses_lookup'!$D:$D,MATCH(J275&amp;K275,'_courses_lookup'!$E:$E,0)),"")</f>
        <v/>
      </c>
      <c r="AE275">
        <f>IFERROR(IF(AC275*AD275=0,"",AC275*AD275),"")</f>
        <v/>
      </c>
      <c r="AH275">
        <f>IF(AND(AF275&lt;&gt;"",AG275&lt;&gt;""),ROUNDUP((AG275-AF275)/7,0),"")</f>
        <v/>
      </c>
      <c r="AJ275">
        <f>IFERROR(IF(AH275*AI275=0,"",AH275*AI275),"")</f>
        <v/>
      </c>
      <c r="AL275">
        <f>IFERROR(IF((AO275-(AE275+AJ275))/AK275=0,"",ROUNDUP((AO275-(AE275+AJ275))/AK275,0)),"")</f>
        <v/>
      </c>
      <c r="AM275">
        <f>IFERROR(IF((AO275-(AE275+AJ275))=0,"",(AO275-(AE275+AJ275))),"")</f>
        <v/>
      </c>
      <c r="AN275">
        <f>IF(AND(AC275="",AK275=""),AH275,IF(SUM(AC275,AH275,AK275)=0,"",SUM(AC275,AH275,AK275)))</f>
        <v/>
      </c>
      <c r="AY275">
        <f>IF(AB275="","",YEAR(AB275)+IF(MONTH(AB275)&gt;=5,1,0))</f>
        <v/>
      </c>
      <c r="AZ275">
        <f>IF(AB275="","",IF(AND(MONTH(AB275)=8,DAY(AB275)&gt;=15),"Fall",IF(MONTH(AB275)&gt;8,"Fall",IF(MONTH(AB275)=5,"Summer",IF(MONTH(AB275)=1,"Spring","")))))</f>
        <v/>
      </c>
      <c r="BD275">
        <f>IFERROR(INDEX('_names_lookup'!$C:$C,MATCH(BC275,'_names_lookup'!$A:$A,0)),"")</f>
        <v/>
      </c>
      <c r="BE275">
        <f>IFERROR(INDEX('_names_lookup'!$B:$B,MATCH(BC275,'_names_lookup'!$A:$A,0)),"")</f>
        <v/>
      </c>
    </row>
    <row r="276">
      <c r="H276" t="inlineStr">
        <is>
          <t>3286-03</t>
        </is>
      </c>
      <c r="I276" t="inlineStr">
        <is>
          <t>349</t>
        </is>
      </c>
      <c r="N276">
        <f>IFERROR(INDEX('_courses_lookup'!$C:$C,MATCH(J276&amp;K276,'_courses_lookup'!$E:$E,0)),"")</f>
        <v/>
      </c>
      <c r="O276">
        <f>IFERROR(INDEX('_courses_lookup'!$D:$D,MATCH(J276&amp;K276,'_courses_lookup'!$E:$E,0)),"")</f>
        <v/>
      </c>
      <c r="AE276">
        <f>IFERROR(IF(AC276*AD276=0,"",AC276*AD276),"")</f>
        <v/>
      </c>
      <c r="AH276">
        <f>IF(AND(AF276&lt;&gt;"",AG276&lt;&gt;""),ROUNDUP((AG276-AF276)/7,0),"")</f>
        <v/>
      </c>
      <c r="AJ276">
        <f>IFERROR(IF(AH276*AI276=0,"",AH276*AI276),"")</f>
        <v/>
      </c>
      <c r="AL276">
        <f>IFERROR(IF((AO276-(AE276+AJ276))/AK276=0,"",ROUNDUP((AO276-(AE276+AJ276))/AK276,0)),"")</f>
        <v/>
      </c>
      <c r="AM276">
        <f>IFERROR(IF((AO276-(AE276+AJ276))=0,"",(AO276-(AE276+AJ276))),"")</f>
        <v/>
      </c>
      <c r="AN276">
        <f>IF(AND(AC276="",AK276=""),AH276,IF(SUM(AC276,AH276,AK276)=0,"",SUM(AC276,AH276,AK276)))</f>
        <v/>
      </c>
      <c r="AY276">
        <f>IF(AB276="","",YEAR(AB276)+IF(MONTH(AB276)&gt;=5,1,0))</f>
        <v/>
      </c>
      <c r="AZ276">
        <f>IF(AB276="","",IF(AND(MONTH(AB276)=8,DAY(AB276)&gt;=15),"Fall",IF(MONTH(AB276)&gt;8,"Fall",IF(MONTH(AB276)=5,"Summer",IF(MONTH(AB276)=1,"Spring","")))))</f>
        <v/>
      </c>
      <c r="BD276">
        <f>IFERROR(INDEX('_names_lookup'!$C:$C,MATCH(BC276,'_names_lookup'!$A:$A,0)),"")</f>
        <v/>
      </c>
      <c r="BE276">
        <f>IFERROR(INDEX('_names_lookup'!$B:$B,MATCH(BC276,'_names_lookup'!$A:$A,0)),"")</f>
        <v/>
      </c>
    </row>
    <row r="277">
      <c r="H277" t="inlineStr">
        <is>
          <t>3287-01</t>
        </is>
      </c>
      <c r="I277" t="inlineStr">
        <is>
          <t>350</t>
        </is>
      </c>
      <c r="N277">
        <f>IFERROR(INDEX('_courses_lookup'!$C:$C,MATCH(J277&amp;K277,'_courses_lookup'!$E:$E,0)),"")</f>
        <v/>
      </c>
      <c r="O277">
        <f>IFERROR(INDEX('_courses_lookup'!$D:$D,MATCH(J277&amp;K277,'_courses_lookup'!$E:$E,0)),"")</f>
        <v/>
      </c>
      <c r="AE277">
        <f>IFERROR(IF(AC277*AD277=0,"",AC277*AD277),"")</f>
        <v/>
      </c>
      <c r="AH277">
        <f>IF(AND(AF277&lt;&gt;"",AG277&lt;&gt;""),ROUNDUP((AG277-AF277)/7,0),"")</f>
        <v/>
      </c>
      <c r="AJ277">
        <f>IFERROR(IF(AH277*AI277=0,"",AH277*AI277),"")</f>
        <v/>
      </c>
      <c r="AL277">
        <f>IFERROR(IF((AO277-(AE277+AJ277))/AK277=0,"",ROUNDUP((AO277-(AE277+AJ277))/AK277,0)),"")</f>
        <v/>
      </c>
      <c r="AM277">
        <f>IFERROR(IF((AO277-(AE277+AJ277))=0,"",(AO277-(AE277+AJ277))),"")</f>
        <v/>
      </c>
      <c r="AN277">
        <f>IF(AND(AC277="",AK277=""),AH277,IF(SUM(AC277,AH277,AK277)=0,"",SUM(AC277,AH277,AK277)))</f>
        <v/>
      </c>
      <c r="AY277">
        <f>IF(AB277="","",YEAR(AB277)+IF(MONTH(AB277)&gt;=5,1,0))</f>
        <v/>
      </c>
      <c r="AZ277">
        <f>IF(AB277="","",IF(AND(MONTH(AB277)=8,DAY(AB277)&gt;=15),"Fall",IF(MONTH(AB277)&gt;8,"Fall",IF(MONTH(AB277)=5,"Summer",IF(MONTH(AB277)=1,"Spring","")))))</f>
        <v/>
      </c>
      <c r="BD277">
        <f>IFERROR(INDEX('_names_lookup'!$C:$C,MATCH(BC277,'_names_lookup'!$A:$A,0)),"")</f>
        <v/>
      </c>
      <c r="BE277">
        <f>IFERROR(INDEX('_names_lookup'!$B:$B,MATCH(BC277,'_names_lookup'!$A:$A,0)),"")</f>
        <v/>
      </c>
    </row>
    <row r="278">
      <c r="H278" t="inlineStr">
        <is>
          <t>3287-02</t>
        </is>
      </c>
      <c r="I278" t="inlineStr">
        <is>
          <t>351</t>
        </is>
      </c>
      <c r="N278">
        <f>IFERROR(INDEX('_courses_lookup'!$C:$C,MATCH(J278&amp;K278,'_courses_lookup'!$E:$E,0)),"")</f>
        <v/>
      </c>
      <c r="O278">
        <f>IFERROR(INDEX('_courses_lookup'!$D:$D,MATCH(J278&amp;K278,'_courses_lookup'!$E:$E,0)),"")</f>
        <v/>
      </c>
      <c r="AE278">
        <f>IFERROR(IF(AC278*AD278=0,"",AC278*AD278),"")</f>
        <v/>
      </c>
      <c r="AH278">
        <f>IF(AND(AF278&lt;&gt;"",AG278&lt;&gt;""),ROUNDUP((AG278-AF278)/7,0),"")</f>
        <v/>
      </c>
      <c r="AJ278">
        <f>IFERROR(IF(AH278*AI278=0,"",AH278*AI278),"")</f>
        <v/>
      </c>
      <c r="AL278">
        <f>IFERROR(IF((AO278-(AE278+AJ278))/AK278=0,"",ROUNDUP((AO278-(AE278+AJ278))/AK278,0)),"")</f>
        <v/>
      </c>
      <c r="AM278">
        <f>IFERROR(IF((AO278-(AE278+AJ278))=0,"",(AO278-(AE278+AJ278))),"")</f>
        <v/>
      </c>
      <c r="AN278">
        <f>IF(AND(AC278="",AK278=""),AH278,IF(SUM(AC278,AH278,AK278)=0,"",SUM(AC278,AH278,AK278)))</f>
        <v/>
      </c>
      <c r="AY278">
        <f>IF(AB278="","",YEAR(AB278)+IF(MONTH(AB278)&gt;=5,1,0))</f>
        <v/>
      </c>
      <c r="AZ278">
        <f>IF(AB278="","",IF(AND(MONTH(AB278)=8,DAY(AB278)&gt;=15),"Fall",IF(MONTH(AB278)&gt;8,"Fall",IF(MONTH(AB278)=5,"Summer",IF(MONTH(AB278)=1,"Spring","")))))</f>
        <v/>
      </c>
      <c r="BD278">
        <f>IFERROR(INDEX('_names_lookup'!$C:$C,MATCH(BC278,'_names_lookup'!$A:$A,0)),"")</f>
        <v/>
      </c>
      <c r="BE278">
        <f>IFERROR(INDEX('_names_lookup'!$B:$B,MATCH(BC278,'_names_lookup'!$A:$A,0)),"")</f>
        <v/>
      </c>
    </row>
    <row r="279">
      <c r="H279" t="inlineStr">
        <is>
          <t>3287-03</t>
        </is>
      </c>
      <c r="I279" t="inlineStr">
        <is>
          <t>352</t>
        </is>
      </c>
      <c r="N279">
        <f>IFERROR(INDEX('_courses_lookup'!$C:$C,MATCH(J279&amp;K279,'_courses_lookup'!$E:$E,0)),"")</f>
        <v/>
      </c>
      <c r="O279">
        <f>IFERROR(INDEX('_courses_lookup'!$D:$D,MATCH(J279&amp;K279,'_courses_lookup'!$E:$E,0)),"")</f>
        <v/>
      </c>
      <c r="AE279">
        <f>IFERROR(IF(AC279*AD279=0,"",AC279*AD279),"")</f>
        <v/>
      </c>
      <c r="AH279">
        <f>IF(AND(AF279&lt;&gt;"",AG279&lt;&gt;""),ROUNDUP((AG279-AF279)/7,0),"")</f>
        <v/>
      </c>
      <c r="AJ279">
        <f>IFERROR(IF(AH279*AI279=0,"",AH279*AI279),"")</f>
        <v/>
      </c>
      <c r="AL279">
        <f>IFERROR(IF((AO279-(AE279+AJ279))/AK279=0,"",ROUNDUP((AO279-(AE279+AJ279))/AK279,0)),"")</f>
        <v/>
      </c>
      <c r="AM279">
        <f>IFERROR(IF((AO279-(AE279+AJ279))=0,"",(AO279-(AE279+AJ279))),"")</f>
        <v/>
      </c>
      <c r="AN279">
        <f>IF(AND(AC279="",AK279=""),AH279,IF(SUM(AC279,AH279,AK279)=0,"",SUM(AC279,AH279,AK279)))</f>
        <v/>
      </c>
      <c r="AY279">
        <f>IF(AB279="","",YEAR(AB279)+IF(MONTH(AB279)&gt;=5,1,0))</f>
        <v/>
      </c>
      <c r="AZ279">
        <f>IF(AB279="","",IF(AND(MONTH(AB279)=8,DAY(AB279)&gt;=15),"Fall",IF(MONTH(AB279)&gt;8,"Fall",IF(MONTH(AB279)=5,"Summer",IF(MONTH(AB279)=1,"Spring","")))))</f>
        <v/>
      </c>
      <c r="BD279">
        <f>IFERROR(INDEX('_names_lookup'!$C:$C,MATCH(BC279,'_names_lookup'!$A:$A,0)),"")</f>
        <v/>
      </c>
      <c r="BE279">
        <f>IFERROR(INDEX('_names_lookup'!$B:$B,MATCH(BC279,'_names_lookup'!$A:$A,0)),"")</f>
        <v/>
      </c>
    </row>
    <row r="280">
      <c r="H280" t="inlineStr">
        <is>
          <t>3288-01</t>
        </is>
      </c>
      <c r="I280" t="inlineStr">
        <is>
          <t>3528</t>
        </is>
      </c>
      <c r="N280">
        <f>IFERROR(INDEX('_courses_lookup'!$C:$C,MATCH(J280&amp;K280,'_courses_lookup'!$E:$E,0)),"")</f>
        <v/>
      </c>
      <c r="O280">
        <f>IFERROR(INDEX('_courses_lookup'!$D:$D,MATCH(J280&amp;K280,'_courses_lookup'!$E:$E,0)),"")</f>
        <v/>
      </c>
      <c r="AE280">
        <f>IFERROR(IF(AC280*AD280=0,"",AC280*AD280),"")</f>
        <v/>
      </c>
      <c r="AH280">
        <f>IF(AND(AF280&lt;&gt;"",AG280&lt;&gt;""),ROUNDUP((AG280-AF280)/7,0),"")</f>
        <v/>
      </c>
      <c r="AJ280">
        <f>IFERROR(IF(AH280*AI280=0,"",AH280*AI280),"")</f>
        <v/>
      </c>
      <c r="AL280">
        <f>IFERROR(IF((AO280-(AE280+AJ280))/AK280=0,"",ROUNDUP((AO280-(AE280+AJ280))/AK280,0)),"")</f>
        <v/>
      </c>
      <c r="AM280">
        <f>IFERROR(IF((AO280-(AE280+AJ280))=0,"",(AO280-(AE280+AJ280))),"")</f>
        <v/>
      </c>
      <c r="AN280">
        <f>IF(AND(AC280="",AK280=""),AH280,IF(SUM(AC280,AH280,AK280)=0,"",SUM(AC280,AH280,AK280)))</f>
        <v/>
      </c>
      <c r="AY280">
        <f>IF(AB280="","",YEAR(AB280)+IF(MONTH(AB280)&gt;=5,1,0))</f>
        <v/>
      </c>
      <c r="AZ280">
        <f>IF(AB280="","",IF(AND(MONTH(AB280)=8,DAY(AB280)&gt;=15),"Fall",IF(MONTH(AB280)&gt;8,"Fall",IF(MONTH(AB280)=5,"Summer",IF(MONTH(AB280)=1,"Spring","")))))</f>
        <v/>
      </c>
      <c r="BD280">
        <f>IFERROR(INDEX('_names_lookup'!$C:$C,MATCH(BC280,'_names_lookup'!$A:$A,0)),"")</f>
        <v/>
      </c>
      <c r="BE280">
        <f>IFERROR(INDEX('_names_lookup'!$B:$B,MATCH(BC280,'_names_lookup'!$A:$A,0)),"")</f>
        <v/>
      </c>
    </row>
    <row r="281">
      <c r="H281" t="inlineStr">
        <is>
          <t>3288-02</t>
        </is>
      </c>
      <c r="I281" t="inlineStr">
        <is>
          <t>3531</t>
        </is>
      </c>
      <c r="N281">
        <f>IFERROR(INDEX('_courses_lookup'!$C:$C,MATCH(J281&amp;K281,'_courses_lookup'!$E:$E,0)),"")</f>
        <v/>
      </c>
      <c r="O281">
        <f>IFERROR(INDEX('_courses_lookup'!$D:$D,MATCH(J281&amp;K281,'_courses_lookup'!$E:$E,0)),"")</f>
        <v/>
      </c>
      <c r="AE281">
        <f>IFERROR(IF(AC281*AD281=0,"",AC281*AD281),"")</f>
        <v/>
      </c>
      <c r="AH281">
        <f>IF(AND(AF281&lt;&gt;"",AG281&lt;&gt;""),ROUNDUP((AG281-AF281)/7,0),"")</f>
        <v/>
      </c>
      <c r="AJ281">
        <f>IFERROR(IF(AH281*AI281=0,"",AH281*AI281),"")</f>
        <v/>
      </c>
      <c r="AL281">
        <f>IFERROR(IF((AO281-(AE281+AJ281))/AK281=0,"",ROUNDUP((AO281-(AE281+AJ281))/AK281,0)),"")</f>
        <v/>
      </c>
      <c r="AM281">
        <f>IFERROR(IF((AO281-(AE281+AJ281))=0,"",(AO281-(AE281+AJ281))),"")</f>
        <v/>
      </c>
      <c r="AN281">
        <f>IF(AND(AC281="",AK281=""),AH281,IF(SUM(AC281,AH281,AK281)=0,"",SUM(AC281,AH281,AK281)))</f>
        <v/>
      </c>
      <c r="AY281">
        <f>IF(AB281="","",YEAR(AB281)+IF(MONTH(AB281)&gt;=5,1,0))</f>
        <v/>
      </c>
      <c r="AZ281">
        <f>IF(AB281="","",IF(AND(MONTH(AB281)=8,DAY(AB281)&gt;=15),"Fall",IF(MONTH(AB281)&gt;8,"Fall",IF(MONTH(AB281)=5,"Summer",IF(MONTH(AB281)=1,"Spring","")))))</f>
        <v/>
      </c>
      <c r="BD281">
        <f>IFERROR(INDEX('_names_lookup'!$C:$C,MATCH(BC281,'_names_lookup'!$A:$A,0)),"")</f>
        <v/>
      </c>
      <c r="BE281">
        <f>IFERROR(INDEX('_names_lookup'!$B:$B,MATCH(BC281,'_names_lookup'!$A:$A,0)),"")</f>
        <v/>
      </c>
    </row>
    <row r="282">
      <c r="H282" t="inlineStr">
        <is>
          <t>3288-03</t>
        </is>
      </c>
      <c r="I282" t="inlineStr">
        <is>
          <t>3549</t>
        </is>
      </c>
      <c r="N282">
        <f>IFERROR(INDEX('_courses_lookup'!$C:$C,MATCH(J282&amp;K282,'_courses_lookup'!$E:$E,0)),"")</f>
        <v/>
      </c>
      <c r="O282">
        <f>IFERROR(INDEX('_courses_lookup'!$D:$D,MATCH(J282&amp;K282,'_courses_lookup'!$E:$E,0)),"")</f>
        <v/>
      </c>
      <c r="AE282">
        <f>IFERROR(IF(AC282*AD282=0,"",AC282*AD282),"")</f>
        <v/>
      </c>
      <c r="AH282">
        <f>IF(AND(AF282&lt;&gt;"",AG282&lt;&gt;""),ROUNDUP((AG282-AF282)/7,0),"")</f>
        <v/>
      </c>
      <c r="AJ282">
        <f>IFERROR(IF(AH282*AI282=0,"",AH282*AI282),"")</f>
        <v/>
      </c>
      <c r="AL282">
        <f>IFERROR(IF((AO282-(AE282+AJ282))/AK282=0,"",ROUNDUP((AO282-(AE282+AJ282))/AK282,0)),"")</f>
        <v/>
      </c>
      <c r="AM282">
        <f>IFERROR(IF((AO282-(AE282+AJ282))=0,"",(AO282-(AE282+AJ282))),"")</f>
        <v/>
      </c>
      <c r="AN282">
        <f>IF(AND(AC282="",AK282=""),AH282,IF(SUM(AC282,AH282,AK282)=0,"",SUM(AC282,AH282,AK282)))</f>
        <v/>
      </c>
      <c r="AY282">
        <f>IF(AB282="","",YEAR(AB282)+IF(MONTH(AB282)&gt;=5,1,0))</f>
        <v/>
      </c>
      <c r="AZ282">
        <f>IF(AB282="","",IF(AND(MONTH(AB282)=8,DAY(AB282)&gt;=15),"Fall",IF(MONTH(AB282)&gt;8,"Fall",IF(MONTH(AB282)=5,"Summer",IF(MONTH(AB282)=1,"Spring","")))))</f>
        <v/>
      </c>
      <c r="BD282">
        <f>IFERROR(INDEX('_names_lookup'!$C:$C,MATCH(BC282,'_names_lookup'!$A:$A,0)),"")</f>
        <v/>
      </c>
      <c r="BE282">
        <f>IFERROR(INDEX('_names_lookup'!$B:$B,MATCH(BC282,'_names_lookup'!$A:$A,0)),"")</f>
        <v/>
      </c>
    </row>
    <row r="283">
      <c r="H283" t="inlineStr">
        <is>
          <t>3289-01</t>
        </is>
      </c>
      <c r="I283" t="inlineStr">
        <is>
          <t>356</t>
        </is>
      </c>
      <c r="N283">
        <f>IFERROR(INDEX('_courses_lookup'!$C:$C,MATCH(J283&amp;K283,'_courses_lookup'!$E:$E,0)),"")</f>
        <v/>
      </c>
      <c r="O283">
        <f>IFERROR(INDEX('_courses_lookup'!$D:$D,MATCH(J283&amp;K283,'_courses_lookup'!$E:$E,0)),"")</f>
        <v/>
      </c>
      <c r="AE283">
        <f>IFERROR(IF(AC283*AD283=0,"",AC283*AD283),"")</f>
        <v/>
      </c>
      <c r="AH283">
        <f>IF(AND(AF283&lt;&gt;"",AG283&lt;&gt;""),ROUNDUP((AG283-AF283)/7,0),"")</f>
        <v/>
      </c>
      <c r="AJ283">
        <f>IFERROR(IF(AH283*AI283=0,"",AH283*AI283),"")</f>
        <v/>
      </c>
      <c r="AL283">
        <f>IFERROR(IF((AO283-(AE283+AJ283))/AK283=0,"",ROUNDUP((AO283-(AE283+AJ283))/AK283,0)),"")</f>
        <v/>
      </c>
      <c r="AM283">
        <f>IFERROR(IF((AO283-(AE283+AJ283))=0,"",(AO283-(AE283+AJ283))),"")</f>
        <v/>
      </c>
      <c r="AN283">
        <f>IF(AND(AC283="",AK283=""),AH283,IF(SUM(AC283,AH283,AK283)=0,"",SUM(AC283,AH283,AK283)))</f>
        <v/>
      </c>
      <c r="AY283">
        <f>IF(AB283="","",YEAR(AB283)+IF(MONTH(AB283)&gt;=5,1,0))</f>
        <v/>
      </c>
      <c r="AZ283">
        <f>IF(AB283="","",IF(AND(MONTH(AB283)=8,DAY(AB283)&gt;=15),"Fall",IF(MONTH(AB283)&gt;8,"Fall",IF(MONTH(AB283)=5,"Summer",IF(MONTH(AB283)=1,"Spring","")))))</f>
        <v/>
      </c>
      <c r="BD283">
        <f>IFERROR(INDEX('_names_lookup'!$C:$C,MATCH(BC283,'_names_lookup'!$A:$A,0)),"")</f>
        <v/>
      </c>
      <c r="BE283">
        <f>IFERROR(INDEX('_names_lookup'!$B:$B,MATCH(BC283,'_names_lookup'!$A:$A,0)),"")</f>
        <v/>
      </c>
    </row>
    <row r="284">
      <c r="H284" t="inlineStr">
        <is>
          <t>3289-02</t>
        </is>
      </c>
      <c r="I284" t="inlineStr">
        <is>
          <t>357</t>
        </is>
      </c>
      <c r="N284">
        <f>IFERROR(INDEX('_courses_lookup'!$C:$C,MATCH(J284&amp;K284,'_courses_lookup'!$E:$E,0)),"")</f>
        <v/>
      </c>
      <c r="O284">
        <f>IFERROR(INDEX('_courses_lookup'!$D:$D,MATCH(J284&amp;K284,'_courses_lookup'!$E:$E,0)),"")</f>
        <v/>
      </c>
      <c r="AE284">
        <f>IFERROR(IF(AC284*AD284=0,"",AC284*AD284),"")</f>
        <v/>
      </c>
      <c r="AH284">
        <f>IF(AND(AF284&lt;&gt;"",AG284&lt;&gt;""),ROUNDUP((AG284-AF284)/7,0),"")</f>
        <v/>
      </c>
      <c r="AJ284">
        <f>IFERROR(IF(AH284*AI284=0,"",AH284*AI284),"")</f>
        <v/>
      </c>
      <c r="AL284">
        <f>IFERROR(IF((AO284-(AE284+AJ284))/AK284=0,"",ROUNDUP((AO284-(AE284+AJ284))/AK284,0)),"")</f>
        <v/>
      </c>
      <c r="AM284">
        <f>IFERROR(IF((AO284-(AE284+AJ284))=0,"",(AO284-(AE284+AJ284))),"")</f>
        <v/>
      </c>
      <c r="AN284">
        <f>IF(AND(AC284="",AK284=""),AH284,IF(SUM(AC284,AH284,AK284)=0,"",SUM(AC284,AH284,AK284)))</f>
        <v/>
      </c>
      <c r="AY284">
        <f>IF(AB284="","",YEAR(AB284)+IF(MONTH(AB284)&gt;=5,1,0))</f>
        <v/>
      </c>
      <c r="AZ284">
        <f>IF(AB284="","",IF(AND(MONTH(AB284)=8,DAY(AB284)&gt;=15),"Fall",IF(MONTH(AB284)&gt;8,"Fall",IF(MONTH(AB284)=5,"Summer",IF(MONTH(AB284)=1,"Spring","")))))</f>
        <v/>
      </c>
      <c r="BD284">
        <f>IFERROR(INDEX('_names_lookup'!$C:$C,MATCH(BC284,'_names_lookup'!$A:$A,0)),"")</f>
        <v/>
      </c>
      <c r="BE284">
        <f>IFERROR(INDEX('_names_lookup'!$B:$B,MATCH(BC284,'_names_lookup'!$A:$A,0)),"")</f>
        <v/>
      </c>
    </row>
    <row r="285">
      <c r="H285" t="inlineStr">
        <is>
          <t>3289-03</t>
        </is>
      </c>
      <c r="I285" t="inlineStr">
        <is>
          <t>360</t>
        </is>
      </c>
      <c r="N285">
        <f>IFERROR(INDEX('_courses_lookup'!$C:$C,MATCH(J285&amp;K285,'_courses_lookup'!$E:$E,0)),"")</f>
        <v/>
      </c>
      <c r="O285">
        <f>IFERROR(INDEX('_courses_lookup'!$D:$D,MATCH(J285&amp;K285,'_courses_lookup'!$E:$E,0)),"")</f>
        <v/>
      </c>
      <c r="AE285">
        <f>IFERROR(IF(AC285*AD285=0,"",AC285*AD285),"")</f>
        <v/>
      </c>
      <c r="AH285">
        <f>IF(AND(AF285&lt;&gt;"",AG285&lt;&gt;""),ROUNDUP((AG285-AF285)/7,0),"")</f>
        <v/>
      </c>
      <c r="AJ285">
        <f>IFERROR(IF(AH285*AI285=0,"",AH285*AI285),"")</f>
        <v/>
      </c>
      <c r="AL285">
        <f>IFERROR(IF((AO285-(AE285+AJ285))/AK285=0,"",ROUNDUP((AO285-(AE285+AJ285))/AK285,0)),"")</f>
        <v/>
      </c>
      <c r="AM285">
        <f>IFERROR(IF((AO285-(AE285+AJ285))=0,"",(AO285-(AE285+AJ285))),"")</f>
        <v/>
      </c>
      <c r="AN285">
        <f>IF(AND(AC285="",AK285=""),AH285,IF(SUM(AC285,AH285,AK285)=0,"",SUM(AC285,AH285,AK285)))</f>
        <v/>
      </c>
      <c r="AY285">
        <f>IF(AB285="","",YEAR(AB285)+IF(MONTH(AB285)&gt;=5,1,0))</f>
        <v/>
      </c>
      <c r="AZ285">
        <f>IF(AB285="","",IF(AND(MONTH(AB285)=8,DAY(AB285)&gt;=15),"Fall",IF(MONTH(AB285)&gt;8,"Fall",IF(MONTH(AB285)=5,"Summer",IF(MONTH(AB285)=1,"Spring","")))))</f>
        <v/>
      </c>
      <c r="BD285">
        <f>IFERROR(INDEX('_names_lookup'!$C:$C,MATCH(BC285,'_names_lookup'!$A:$A,0)),"")</f>
        <v/>
      </c>
      <c r="BE285">
        <f>IFERROR(INDEX('_names_lookup'!$B:$B,MATCH(BC285,'_names_lookup'!$A:$A,0)),"")</f>
        <v/>
      </c>
    </row>
    <row r="286">
      <c r="H286" t="inlineStr">
        <is>
          <t>329-01</t>
        </is>
      </c>
      <c r="I286" t="inlineStr">
        <is>
          <t>361</t>
        </is>
      </c>
      <c r="N286">
        <f>IFERROR(INDEX('_courses_lookup'!$C:$C,MATCH(J286&amp;K286,'_courses_lookup'!$E:$E,0)),"")</f>
        <v/>
      </c>
      <c r="O286">
        <f>IFERROR(INDEX('_courses_lookup'!$D:$D,MATCH(J286&amp;K286,'_courses_lookup'!$E:$E,0)),"")</f>
        <v/>
      </c>
      <c r="AE286">
        <f>IFERROR(IF(AC286*AD286=0,"",AC286*AD286),"")</f>
        <v/>
      </c>
      <c r="AH286">
        <f>IF(AND(AF286&lt;&gt;"",AG286&lt;&gt;""),ROUNDUP((AG286-AF286)/7,0),"")</f>
        <v/>
      </c>
      <c r="AJ286">
        <f>IFERROR(IF(AH286*AI286=0,"",AH286*AI286),"")</f>
        <v/>
      </c>
      <c r="AL286">
        <f>IFERROR(IF((AO286-(AE286+AJ286))/AK286=0,"",ROUNDUP((AO286-(AE286+AJ286))/AK286,0)),"")</f>
        <v/>
      </c>
      <c r="AM286">
        <f>IFERROR(IF((AO286-(AE286+AJ286))=0,"",(AO286-(AE286+AJ286))),"")</f>
        <v/>
      </c>
      <c r="AN286">
        <f>IF(AND(AC286="",AK286=""),AH286,IF(SUM(AC286,AH286,AK286)=0,"",SUM(AC286,AH286,AK286)))</f>
        <v/>
      </c>
      <c r="AY286">
        <f>IF(AB286="","",YEAR(AB286)+IF(MONTH(AB286)&gt;=5,1,0))</f>
        <v/>
      </c>
      <c r="AZ286">
        <f>IF(AB286="","",IF(AND(MONTH(AB286)=8,DAY(AB286)&gt;=15),"Fall",IF(MONTH(AB286)&gt;8,"Fall",IF(MONTH(AB286)=5,"Summer",IF(MONTH(AB286)=1,"Spring","")))))</f>
        <v/>
      </c>
      <c r="BD286">
        <f>IFERROR(INDEX('_names_lookup'!$C:$C,MATCH(BC286,'_names_lookup'!$A:$A,0)),"")</f>
        <v/>
      </c>
      <c r="BE286">
        <f>IFERROR(INDEX('_names_lookup'!$B:$B,MATCH(BC286,'_names_lookup'!$A:$A,0)),"")</f>
        <v/>
      </c>
    </row>
    <row r="287">
      <c r="H287" t="inlineStr">
        <is>
          <t>3290-01</t>
        </is>
      </c>
      <c r="I287" t="inlineStr">
        <is>
          <t>448</t>
        </is>
      </c>
      <c r="N287">
        <f>IFERROR(INDEX('_courses_lookup'!$C:$C,MATCH(J287&amp;K287,'_courses_lookup'!$E:$E,0)),"")</f>
        <v/>
      </c>
      <c r="O287">
        <f>IFERROR(INDEX('_courses_lookup'!$D:$D,MATCH(J287&amp;K287,'_courses_lookup'!$E:$E,0)),"")</f>
        <v/>
      </c>
      <c r="AE287">
        <f>IFERROR(IF(AC287*AD287=0,"",AC287*AD287),"")</f>
        <v/>
      </c>
      <c r="AH287">
        <f>IF(AND(AF287&lt;&gt;"",AG287&lt;&gt;""),ROUNDUP((AG287-AF287)/7,0),"")</f>
        <v/>
      </c>
      <c r="AJ287">
        <f>IFERROR(IF(AH287*AI287=0,"",AH287*AI287),"")</f>
        <v/>
      </c>
      <c r="AL287">
        <f>IFERROR(IF((AO287-(AE287+AJ287))/AK287=0,"",ROUNDUP((AO287-(AE287+AJ287))/AK287,0)),"")</f>
        <v/>
      </c>
      <c r="AM287">
        <f>IFERROR(IF((AO287-(AE287+AJ287))=0,"",(AO287-(AE287+AJ287))),"")</f>
        <v/>
      </c>
      <c r="AN287">
        <f>IF(AND(AC287="",AK287=""),AH287,IF(SUM(AC287,AH287,AK287)=0,"",SUM(AC287,AH287,AK287)))</f>
        <v/>
      </c>
      <c r="AY287">
        <f>IF(AB287="","",YEAR(AB287)+IF(MONTH(AB287)&gt;=5,1,0))</f>
        <v/>
      </c>
      <c r="AZ287">
        <f>IF(AB287="","",IF(AND(MONTH(AB287)=8,DAY(AB287)&gt;=15),"Fall",IF(MONTH(AB287)&gt;8,"Fall",IF(MONTH(AB287)=5,"Summer",IF(MONTH(AB287)=1,"Spring","")))))</f>
        <v/>
      </c>
      <c r="BD287">
        <f>IFERROR(INDEX('_names_lookup'!$C:$C,MATCH(BC287,'_names_lookup'!$A:$A,0)),"")</f>
        <v/>
      </c>
      <c r="BE287">
        <f>IFERROR(INDEX('_names_lookup'!$B:$B,MATCH(BC287,'_names_lookup'!$A:$A,0)),"")</f>
        <v/>
      </c>
    </row>
    <row r="288">
      <c r="H288" t="inlineStr">
        <is>
          <t>3290-02</t>
        </is>
      </c>
      <c r="I288" t="inlineStr">
        <is>
          <t>449</t>
        </is>
      </c>
      <c r="N288">
        <f>IFERROR(INDEX('_courses_lookup'!$C:$C,MATCH(J288&amp;K288,'_courses_lookup'!$E:$E,0)),"")</f>
        <v/>
      </c>
      <c r="O288">
        <f>IFERROR(INDEX('_courses_lookup'!$D:$D,MATCH(J288&amp;K288,'_courses_lookup'!$E:$E,0)),"")</f>
        <v/>
      </c>
      <c r="AE288">
        <f>IFERROR(IF(AC288*AD288=0,"",AC288*AD288),"")</f>
        <v/>
      </c>
      <c r="AH288">
        <f>IF(AND(AF288&lt;&gt;"",AG288&lt;&gt;""),ROUNDUP((AG288-AF288)/7,0),"")</f>
        <v/>
      </c>
      <c r="AJ288">
        <f>IFERROR(IF(AH288*AI288=0,"",AH288*AI288),"")</f>
        <v/>
      </c>
      <c r="AL288">
        <f>IFERROR(IF((AO288-(AE288+AJ288))/AK288=0,"",ROUNDUP((AO288-(AE288+AJ288))/AK288,0)),"")</f>
        <v/>
      </c>
      <c r="AM288">
        <f>IFERROR(IF((AO288-(AE288+AJ288))=0,"",(AO288-(AE288+AJ288))),"")</f>
        <v/>
      </c>
      <c r="AN288">
        <f>IF(AND(AC288="",AK288=""),AH288,IF(SUM(AC288,AH288,AK288)=0,"",SUM(AC288,AH288,AK288)))</f>
        <v/>
      </c>
      <c r="AY288">
        <f>IF(AB288="","",YEAR(AB288)+IF(MONTH(AB288)&gt;=5,1,0))</f>
        <v/>
      </c>
      <c r="AZ288">
        <f>IF(AB288="","",IF(AND(MONTH(AB288)=8,DAY(AB288)&gt;=15),"Fall",IF(MONTH(AB288)&gt;8,"Fall",IF(MONTH(AB288)=5,"Summer",IF(MONTH(AB288)=1,"Spring","")))))</f>
        <v/>
      </c>
      <c r="BD288">
        <f>IFERROR(INDEX('_names_lookup'!$C:$C,MATCH(BC288,'_names_lookup'!$A:$A,0)),"")</f>
        <v/>
      </c>
      <c r="BE288">
        <f>IFERROR(INDEX('_names_lookup'!$B:$B,MATCH(BC288,'_names_lookup'!$A:$A,0)),"")</f>
        <v/>
      </c>
    </row>
    <row r="289">
      <c r="H289" t="inlineStr">
        <is>
          <t>3290-03</t>
        </is>
      </c>
      <c r="I289" t="inlineStr">
        <is>
          <t>516</t>
        </is>
      </c>
      <c r="N289">
        <f>IFERROR(INDEX('_courses_lookup'!$C:$C,MATCH(J289&amp;K289,'_courses_lookup'!$E:$E,0)),"")</f>
        <v/>
      </c>
      <c r="O289">
        <f>IFERROR(INDEX('_courses_lookup'!$D:$D,MATCH(J289&amp;K289,'_courses_lookup'!$E:$E,0)),"")</f>
        <v/>
      </c>
      <c r="AE289">
        <f>IFERROR(IF(AC289*AD289=0,"",AC289*AD289),"")</f>
        <v/>
      </c>
      <c r="AH289">
        <f>IF(AND(AF289&lt;&gt;"",AG289&lt;&gt;""),ROUNDUP((AG289-AF289)/7,0),"")</f>
        <v/>
      </c>
      <c r="AJ289">
        <f>IFERROR(IF(AH289*AI289=0,"",AH289*AI289),"")</f>
        <v/>
      </c>
      <c r="AL289">
        <f>IFERROR(IF((AO289-(AE289+AJ289))/AK289=0,"",ROUNDUP((AO289-(AE289+AJ289))/AK289,0)),"")</f>
        <v/>
      </c>
      <c r="AM289">
        <f>IFERROR(IF((AO289-(AE289+AJ289))=0,"",(AO289-(AE289+AJ289))),"")</f>
        <v/>
      </c>
      <c r="AN289">
        <f>IF(AND(AC289="",AK289=""),AH289,IF(SUM(AC289,AH289,AK289)=0,"",SUM(AC289,AH289,AK289)))</f>
        <v/>
      </c>
      <c r="AY289">
        <f>IF(AB289="","",YEAR(AB289)+IF(MONTH(AB289)&gt;=5,1,0))</f>
        <v/>
      </c>
      <c r="AZ289">
        <f>IF(AB289="","",IF(AND(MONTH(AB289)=8,DAY(AB289)&gt;=15),"Fall",IF(MONTH(AB289)&gt;8,"Fall",IF(MONTH(AB289)=5,"Summer",IF(MONTH(AB289)=1,"Spring","")))))</f>
        <v/>
      </c>
      <c r="BD289">
        <f>IFERROR(INDEX('_names_lookup'!$C:$C,MATCH(BC289,'_names_lookup'!$A:$A,0)),"")</f>
        <v/>
      </c>
      <c r="BE289">
        <f>IFERROR(INDEX('_names_lookup'!$B:$B,MATCH(BC289,'_names_lookup'!$A:$A,0)),"")</f>
        <v/>
      </c>
    </row>
    <row r="290">
      <c r="H290" t="inlineStr">
        <is>
          <t>3291-01</t>
        </is>
      </c>
      <c r="I290" t="inlineStr">
        <is>
          <t>517</t>
        </is>
      </c>
      <c r="N290">
        <f>IFERROR(INDEX('_courses_lookup'!$C:$C,MATCH(J290&amp;K290,'_courses_lookup'!$E:$E,0)),"")</f>
        <v/>
      </c>
      <c r="O290">
        <f>IFERROR(INDEX('_courses_lookup'!$D:$D,MATCH(J290&amp;K290,'_courses_lookup'!$E:$E,0)),"")</f>
        <v/>
      </c>
      <c r="AE290">
        <f>IFERROR(IF(AC290*AD290=0,"",AC290*AD290),"")</f>
        <v/>
      </c>
      <c r="AH290">
        <f>IF(AND(AF290&lt;&gt;"",AG290&lt;&gt;""),ROUNDUP((AG290-AF290)/7,0),"")</f>
        <v/>
      </c>
      <c r="AJ290">
        <f>IFERROR(IF(AH290*AI290=0,"",AH290*AI290),"")</f>
        <v/>
      </c>
      <c r="AL290">
        <f>IFERROR(IF((AO290-(AE290+AJ290))/AK290=0,"",ROUNDUP((AO290-(AE290+AJ290))/AK290,0)),"")</f>
        <v/>
      </c>
      <c r="AM290">
        <f>IFERROR(IF((AO290-(AE290+AJ290))=0,"",(AO290-(AE290+AJ290))),"")</f>
        <v/>
      </c>
      <c r="AN290">
        <f>IF(AND(AC290="",AK290=""),AH290,IF(SUM(AC290,AH290,AK290)=0,"",SUM(AC290,AH290,AK290)))</f>
        <v/>
      </c>
      <c r="AY290">
        <f>IF(AB290="","",YEAR(AB290)+IF(MONTH(AB290)&gt;=5,1,0))</f>
        <v/>
      </c>
      <c r="AZ290">
        <f>IF(AB290="","",IF(AND(MONTH(AB290)=8,DAY(AB290)&gt;=15),"Fall",IF(MONTH(AB290)&gt;8,"Fall",IF(MONTH(AB290)=5,"Summer",IF(MONTH(AB290)=1,"Spring","")))))</f>
        <v/>
      </c>
      <c r="BD290">
        <f>IFERROR(INDEX('_names_lookup'!$C:$C,MATCH(BC290,'_names_lookup'!$A:$A,0)),"")</f>
        <v/>
      </c>
      <c r="BE290">
        <f>IFERROR(INDEX('_names_lookup'!$B:$B,MATCH(BC290,'_names_lookup'!$A:$A,0)),"")</f>
        <v/>
      </c>
    </row>
    <row r="291">
      <c r="H291" t="inlineStr">
        <is>
          <t>3291-02</t>
        </is>
      </c>
      <c r="I291" t="inlineStr">
        <is>
          <t>519</t>
        </is>
      </c>
      <c r="N291">
        <f>IFERROR(INDEX('_courses_lookup'!$C:$C,MATCH(J291&amp;K291,'_courses_lookup'!$E:$E,0)),"")</f>
        <v/>
      </c>
      <c r="O291">
        <f>IFERROR(INDEX('_courses_lookup'!$D:$D,MATCH(J291&amp;K291,'_courses_lookup'!$E:$E,0)),"")</f>
        <v/>
      </c>
      <c r="AE291">
        <f>IFERROR(IF(AC291*AD291=0,"",AC291*AD291),"")</f>
        <v/>
      </c>
      <c r="AH291">
        <f>IF(AND(AF291&lt;&gt;"",AG291&lt;&gt;""),ROUNDUP((AG291-AF291)/7,0),"")</f>
        <v/>
      </c>
      <c r="AJ291">
        <f>IFERROR(IF(AH291*AI291=0,"",AH291*AI291),"")</f>
        <v/>
      </c>
      <c r="AL291">
        <f>IFERROR(IF((AO291-(AE291+AJ291))/AK291=0,"",ROUNDUP((AO291-(AE291+AJ291))/AK291,0)),"")</f>
        <v/>
      </c>
      <c r="AM291">
        <f>IFERROR(IF((AO291-(AE291+AJ291))=0,"",(AO291-(AE291+AJ291))),"")</f>
        <v/>
      </c>
      <c r="AN291">
        <f>IF(AND(AC291="",AK291=""),AH291,IF(SUM(AC291,AH291,AK291)=0,"",SUM(AC291,AH291,AK291)))</f>
        <v/>
      </c>
      <c r="AY291">
        <f>IF(AB291="","",YEAR(AB291)+IF(MONTH(AB291)&gt;=5,1,0))</f>
        <v/>
      </c>
      <c r="AZ291">
        <f>IF(AB291="","",IF(AND(MONTH(AB291)=8,DAY(AB291)&gt;=15),"Fall",IF(MONTH(AB291)&gt;8,"Fall",IF(MONTH(AB291)=5,"Summer",IF(MONTH(AB291)=1,"Spring","")))))</f>
        <v/>
      </c>
      <c r="BD291">
        <f>IFERROR(INDEX('_names_lookup'!$C:$C,MATCH(BC291,'_names_lookup'!$A:$A,0)),"")</f>
        <v/>
      </c>
      <c r="BE291">
        <f>IFERROR(INDEX('_names_lookup'!$B:$B,MATCH(BC291,'_names_lookup'!$A:$A,0)),"")</f>
        <v/>
      </c>
    </row>
    <row r="292">
      <c r="H292" t="inlineStr">
        <is>
          <t>3291-03</t>
        </is>
      </c>
      <c r="I292" t="inlineStr">
        <is>
          <t>520</t>
        </is>
      </c>
      <c r="N292">
        <f>IFERROR(INDEX('_courses_lookup'!$C:$C,MATCH(J292&amp;K292,'_courses_lookup'!$E:$E,0)),"")</f>
        <v/>
      </c>
      <c r="O292">
        <f>IFERROR(INDEX('_courses_lookup'!$D:$D,MATCH(J292&amp;K292,'_courses_lookup'!$E:$E,0)),"")</f>
        <v/>
      </c>
      <c r="AE292">
        <f>IFERROR(IF(AC292*AD292=0,"",AC292*AD292),"")</f>
        <v/>
      </c>
      <c r="AH292">
        <f>IF(AND(AF292&lt;&gt;"",AG292&lt;&gt;""),ROUNDUP((AG292-AF292)/7,0),"")</f>
        <v/>
      </c>
      <c r="AJ292">
        <f>IFERROR(IF(AH292*AI292=0,"",AH292*AI292),"")</f>
        <v/>
      </c>
      <c r="AL292">
        <f>IFERROR(IF((AO292-(AE292+AJ292))/AK292=0,"",ROUNDUP((AO292-(AE292+AJ292))/AK292,0)),"")</f>
        <v/>
      </c>
      <c r="AM292">
        <f>IFERROR(IF((AO292-(AE292+AJ292))=0,"",(AO292-(AE292+AJ292))),"")</f>
        <v/>
      </c>
      <c r="AN292">
        <f>IF(AND(AC292="",AK292=""),AH292,IF(SUM(AC292,AH292,AK292)=0,"",SUM(AC292,AH292,AK292)))</f>
        <v/>
      </c>
      <c r="AY292">
        <f>IF(AB292="","",YEAR(AB292)+IF(MONTH(AB292)&gt;=5,1,0))</f>
        <v/>
      </c>
      <c r="AZ292">
        <f>IF(AB292="","",IF(AND(MONTH(AB292)=8,DAY(AB292)&gt;=15),"Fall",IF(MONTH(AB292)&gt;8,"Fall",IF(MONTH(AB292)=5,"Summer",IF(MONTH(AB292)=1,"Spring","")))))</f>
        <v/>
      </c>
      <c r="BD292">
        <f>IFERROR(INDEX('_names_lookup'!$C:$C,MATCH(BC292,'_names_lookup'!$A:$A,0)),"")</f>
        <v/>
      </c>
      <c r="BE292">
        <f>IFERROR(INDEX('_names_lookup'!$B:$B,MATCH(BC292,'_names_lookup'!$A:$A,0)),"")</f>
        <v/>
      </c>
    </row>
    <row r="293">
      <c r="H293" t="inlineStr">
        <is>
          <t>3292-01</t>
        </is>
      </c>
      <c r="I293" t="inlineStr">
        <is>
          <t>524</t>
        </is>
      </c>
      <c r="N293">
        <f>IFERROR(INDEX('_courses_lookup'!$C:$C,MATCH(J293&amp;K293,'_courses_lookup'!$E:$E,0)),"")</f>
        <v/>
      </c>
      <c r="O293">
        <f>IFERROR(INDEX('_courses_lookup'!$D:$D,MATCH(J293&amp;K293,'_courses_lookup'!$E:$E,0)),"")</f>
        <v/>
      </c>
      <c r="AE293">
        <f>IFERROR(IF(AC293*AD293=0,"",AC293*AD293),"")</f>
        <v/>
      </c>
      <c r="AH293">
        <f>IF(AND(AF293&lt;&gt;"",AG293&lt;&gt;""),ROUNDUP((AG293-AF293)/7,0),"")</f>
        <v/>
      </c>
      <c r="AJ293">
        <f>IFERROR(IF(AH293*AI293=0,"",AH293*AI293),"")</f>
        <v/>
      </c>
      <c r="AL293">
        <f>IFERROR(IF((AO293-(AE293+AJ293))/AK293=0,"",ROUNDUP((AO293-(AE293+AJ293))/AK293,0)),"")</f>
        <v/>
      </c>
      <c r="AM293">
        <f>IFERROR(IF((AO293-(AE293+AJ293))=0,"",(AO293-(AE293+AJ293))),"")</f>
        <v/>
      </c>
      <c r="AN293">
        <f>IF(AND(AC293="",AK293=""),AH293,IF(SUM(AC293,AH293,AK293)=0,"",SUM(AC293,AH293,AK293)))</f>
        <v/>
      </c>
      <c r="AY293">
        <f>IF(AB293="","",YEAR(AB293)+IF(MONTH(AB293)&gt;=5,1,0))</f>
        <v/>
      </c>
      <c r="AZ293">
        <f>IF(AB293="","",IF(AND(MONTH(AB293)=8,DAY(AB293)&gt;=15),"Fall",IF(MONTH(AB293)&gt;8,"Fall",IF(MONTH(AB293)=5,"Summer",IF(MONTH(AB293)=1,"Spring","")))))</f>
        <v/>
      </c>
      <c r="BD293">
        <f>IFERROR(INDEX('_names_lookup'!$C:$C,MATCH(BC293,'_names_lookup'!$A:$A,0)),"")</f>
        <v/>
      </c>
      <c r="BE293">
        <f>IFERROR(INDEX('_names_lookup'!$B:$B,MATCH(BC293,'_names_lookup'!$A:$A,0)),"")</f>
        <v/>
      </c>
    </row>
    <row r="294">
      <c r="H294" t="inlineStr">
        <is>
          <t>3292-02</t>
        </is>
      </c>
      <c r="I294" t="inlineStr">
        <is>
          <t>643</t>
        </is>
      </c>
      <c r="N294">
        <f>IFERROR(INDEX('_courses_lookup'!$C:$C,MATCH(J294&amp;K294,'_courses_lookup'!$E:$E,0)),"")</f>
        <v/>
      </c>
      <c r="O294">
        <f>IFERROR(INDEX('_courses_lookup'!$D:$D,MATCH(J294&amp;K294,'_courses_lookup'!$E:$E,0)),"")</f>
        <v/>
      </c>
      <c r="AE294">
        <f>IFERROR(IF(AC294*AD294=0,"",AC294*AD294),"")</f>
        <v/>
      </c>
      <c r="AH294">
        <f>IF(AND(AF294&lt;&gt;"",AG294&lt;&gt;""),ROUNDUP((AG294-AF294)/7,0),"")</f>
        <v/>
      </c>
      <c r="AJ294">
        <f>IFERROR(IF(AH294*AI294=0,"",AH294*AI294),"")</f>
        <v/>
      </c>
      <c r="AL294">
        <f>IFERROR(IF((AO294-(AE294+AJ294))/AK294=0,"",ROUNDUP((AO294-(AE294+AJ294))/AK294,0)),"")</f>
        <v/>
      </c>
      <c r="AM294">
        <f>IFERROR(IF((AO294-(AE294+AJ294))=0,"",(AO294-(AE294+AJ294))),"")</f>
        <v/>
      </c>
      <c r="AN294">
        <f>IF(AND(AC294="",AK294=""),AH294,IF(SUM(AC294,AH294,AK294)=0,"",SUM(AC294,AH294,AK294)))</f>
        <v/>
      </c>
      <c r="AY294">
        <f>IF(AB294="","",YEAR(AB294)+IF(MONTH(AB294)&gt;=5,1,0))</f>
        <v/>
      </c>
      <c r="AZ294">
        <f>IF(AB294="","",IF(AND(MONTH(AB294)=8,DAY(AB294)&gt;=15),"Fall",IF(MONTH(AB294)&gt;8,"Fall",IF(MONTH(AB294)=5,"Summer",IF(MONTH(AB294)=1,"Spring","")))))</f>
        <v/>
      </c>
      <c r="BD294">
        <f>IFERROR(INDEX('_names_lookup'!$C:$C,MATCH(BC294,'_names_lookup'!$A:$A,0)),"")</f>
        <v/>
      </c>
      <c r="BE294">
        <f>IFERROR(INDEX('_names_lookup'!$B:$B,MATCH(BC294,'_names_lookup'!$A:$A,0)),"")</f>
        <v/>
      </c>
    </row>
    <row r="295">
      <c r="H295" t="inlineStr">
        <is>
          <t>3293-01</t>
        </is>
      </c>
      <c r="I295" t="inlineStr">
        <is>
          <t>646</t>
        </is>
      </c>
      <c r="N295">
        <f>IFERROR(INDEX('_courses_lookup'!$C:$C,MATCH(J295&amp;K295,'_courses_lookup'!$E:$E,0)),"")</f>
        <v/>
      </c>
      <c r="O295">
        <f>IFERROR(INDEX('_courses_lookup'!$D:$D,MATCH(J295&amp;K295,'_courses_lookup'!$E:$E,0)),"")</f>
        <v/>
      </c>
      <c r="AE295">
        <f>IFERROR(IF(AC295*AD295=0,"",AC295*AD295),"")</f>
        <v/>
      </c>
      <c r="AH295">
        <f>IF(AND(AF295&lt;&gt;"",AG295&lt;&gt;""),ROUNDUP((AG295-AF295)/7,0),"")</f>
        <v/>
      </c>
      <c r="AJ295">
        <f>IFERROR(IF(AH295*AI295=0,"",AH295*AI295),"")</f>
        <v/>
      </c>
      <c r="AL295">
        <f>IFERROR(IF((AO295-(AE295+AJ295))/AK295=0,"",ROUNDUP((AO295-(AE295+AJ295))/AK295,0)),"")</f>
        <v/>
      </c>
      <c r="AM295">
        <f>IFERROR(IF((AO295-(AE295+AJ295))=0,"",(AO295-(AE295+AJ295))),"")</f>
        <v/>
      </c>
      <c r="AN295">
        <f>IF(AND(AC295="",AK295=""),AH295,IF(SUM(AC295,AH295,AK295)=0,"",SUM(AC295,AH295,AK295)))</f>
        <v/>
      </c>
      <c r="AY295">
        <f>IF(AB295="","",YEAR(AB295)+IF(MONTH(AB295)&gt;=5,1,0))</f>
        <v/>
      </c>
      <c r="AZ295">
        <f>IF(AB295="","",IF(AND(MONTH(AB295)=8,DAY(AB295)&gt;=15),"Fall",IF(MONTH(AB295)&gt;8,"Fall",IF(MONTH(AB295)=5,"Summer",IF(MONTH(AB295)=1,"Spring","")))))</f>
        <v/>
      </c>
      <c r="BD295">
        <f>IFERROR(INDEX('_names_lookup'!$C:$C,MATCH(BC295,'_names_lookup'!$A:$A,0)),"")</f>
        <v/>
      </c>
      <c r="BE295">
        <f>IFERROR(INDEX('_names_lookup'!$B:$B,MATCH(BC295,'_names_lookup'!$A:$A,0)),"")</f>
        <v/>
      </c>
    </row>
    <row r="296">
      <c r="H296" t="inlineStr">
        <is>
          <t>3293-02</t>
        </is>
      </c>
      <c r="I296" t="inlineStr">
        <is>
          <t>647</t>
        </is>
      </c>
      <c r="N296">
        <f>IFERROR(INDEX('_courses_lookup'!$C:$C,MATCH(J296&amp;K296,'_courses_lookup'!$E:$E,0)),"")</f>
        <v/>
      </c>
      <c r="O296">
        <f>IFERROR(INDEX('_courses_lookup'!$D:$D,MATCH(J296&amp;K296,'_courses_lookup'!$E:$E,0)),"")</f>
        <v/>
      </c>
      <c r="AE296">
        <f>IFERROR(IF(AC296*AD296=0,"",AC296*AD296),"")</f>
        <v/>
      </c>
      <c r="AH296">
        <f>IF(AND(AF296&lt;&gt;"",AG296&lt;&gt;""),ROUNDUP((AG296-AF296)/7,0),"")</f>
        <v/>
      </c>
      <c r="AJ296">
        <f>IFERROR(IF(AH296*AI296=0,"",AH296*AI296),"")</f>
        <v/>
      </c>
      <c r="AL296">
        <f>IFERROR(IF((AO296-(AE296+AJ296))/AK296=0,"",ROUNDUP((AO296-(AE296+AJ296))/AK296,0)),"")</f>
        <v/>
      </c>
      <c r="AM296">
        <f>IFERROR(IF((AO296-(AE296+AJ296))=0,"",(AO296-(AE296+AJ296))),"")</f>
        <v/>
      </c>
      <c r="AN296">
        <f>IF(AND(AC296="",AK296=""),AH296,IF(SUM(AC296,AH296,AK296)=0,"",SUM(AC296,AH296,AK296)))</f>
        <v/>
      </c>
      <c r="AY296">
        <f>IF(AB296="","",YEAR(AB296)+IF(MONTH(AB296)&gt;=5,1,0))</f>
        <v/>
      </c>
      <c r="AZ296">
        <f>IF(AB296="","",IF(AND(MONTH(AB296)=8,DAY(AB296)&gt;=15),"Fall",IF(MONTH(AB296)&gt;8,"Fall",IF(MONTH(AB296)=5,"Summer",IF(MONTH(AB296)=1,"Spring","")))))</f>
        <v/>
      </c>
      <c r="BD296">
        <f>IFERROR(INDEX('_names_lookup'!$C:$C,MATCH(BC296,'_names_lookup'!$A:$A,0)),"")</f>
        <v/>
      </c>
      <c r="BE296">
        <f>IFERROR(INDEX('_names_lookup'!$B:$B,MATCH(BC296,'_names_lookup'!$A:$A,0)),"")</f>
        <v/>
      </c>
    </row>
    <row r="297">
      <c r="H297" t="inlineStr">
        <is>
          <t>3294-01</t>
        </is>
      </c>
      <c r="I297" t="inlineStr">
        <is>
          <t>648</t>
        </is>
      </c>
      <c r="N297">
        <f>IFERROR(INDEX('_courses_lookup'!$C:$C,MATCH(J297&amp;K297,'_courses_lookup'!$E:$E,0)),"")</f>
        <v/>
      </c>
      <c r="O297">
        <f>IFERROR(INDEX('_courses_lookup'!$D:$D,MATCH(J297&amp;K297,'_courses_lookup'!$E:$E,0)),"")</f>
        <v/>
      </c>
      <c r="AE297">
        <f>IFERROR(IF(AC297*AD297=0,"",AC297*AD297),"")</f>
        <v/>
      </c>
      <c r="AH297">
        <f>IF(AND(AF297&lt;&gt;"",AG297&lt;&gt;""),ROUNDUP((AG297-AF297)/7,0),"")</f>
        <v/>
      </c>
      <c r="AJ297">
        <f>IFERROR(IF(AH297*AI297=0,"",AH297*AI297),"")</f>
        <v/>
      </c>
      <c r="AL297">
        <f>IFERROR(IF((AO297-(AE297+AJ297))/AK297=0,"",ROUNDUP((AO297-(AE297+AJ297))/AK297,0)),"")</f>
        <v/>
      </c>
      <c r="AM297">
        <f>IFERROR(IF((AO297-(AE297+AJ297))=0,"",(AO297-(AE297+AJ297))),"")</f>
        <v/>
      </c>
      <c r="AN297">
        <f>IF(AND(AC297="",AK297=""),AH297,IF(SUM(AC297,AH297,AK297)=0,"",SUM(AC297,AH297,AK297)))</f>
        <v/>
      </c>
      <c r="AY297">
        <f>IF(AB297="","",YEAR(AB297)+IF(MONTH(AB297)&gt;=5,1,0))</f>
        <v/>
      </c>
      <c r="AZ297">
        <f>IF(AB297="","",IF(AND(MONTH(AB297)=8,DAY(AB297)&gt;=15),"Fall",IF(MONTH(AB297)&gt;8,"Fall",IF(MONTH(AB297)=5,"Summer",IF(MONTH(AB297)=1,"Spring","")))))</f>
        <v/>
      </c>
      <c r="BD297">
        <f>IFERROR(INDEX('_names_lookup'!$C:$C,MATCH(BC297,'_names_lookup'!$A:$A,0)),"")</f>
        <v/>
      </c>
      <c r="BE297">
        <f>IFERROR(INDEX('_names_lookup'!$B:$B,MATCH(BC297,'_names_lookup'!$A:$A,0)),"")</f>
        <v/>
      </c>
    </row>
    <row r="298">
      <c r="H298" t="inlineStr">
        <is>
          <t>3294-02</t>
        </is>
      </c>
      <c r="I298" t="inlineStr">
        <is>
          <t>650</t>
        </is>
      </c>
      <c r="N298">
        <f>IFERROR(INDEX('_courses_lookup'!$C:$C,MATCH(J298&amp;K298,'_courses_lookup'!$E:$E,0)),"")</f>
        <v/>
      </c>
      <c r="O298">
        <f>IFERROR(INDEX('_courses_lookup'!$D:$D,MATCH(J298&amp;K298,'_courses_lookup'!$E:$E,0)),"")</f>
        <v/>
      </c>
      <c r="AE298">
        <f>IFERROR(IF(AC298*AD298=0,"",AC298*AD298),"")</f>
        <v/>
      </c>
      <c r="AH298">
        <f>IF(AND(AF298&lt;&gt;"",AG298&lt;&gt;""),ROUNDUP((AG298-AF298)/7,0),"")</f>
        <v/>
      </c>
      <c r="AJ298">
        <f>IFERROR(IF(AH298*AI298=0,"",AH298*AI298),"")</f>
        <v/>
      </c>
      <c r="AL298">
        <f>IFERROR(IF((AO298-(AE298+AJ298))/AK298=0,"",ROUNDUP((AO298-(AE298+AJ298))/AK298,0)),"")</f>
        <v/>
      </c>
      <c r="AM298">
        <f>IFERROR(IF((AO298-(AE298+AJ298))=0,"",(AO298-(AE298+AJ298))),"")</f>
        <v/>
      </c>
      <c r="AN298">
        <f>IF(AND(AC298="",AK298=""),AH298,IF(SUM(AC298,AH298,AK298)=0,"",SUM(AC298,AH298,AK298)))</f>
        <v/>
      </c>
      <c r="AY298">
        <f>IF(AB298="","",YEAR(AB298)+IF(MONTH(AB298)&gt;=5,1,0))</f>
        <v/>
      </c>
      <c r="AZ298">
        <f>IF(AB298="","",IF(AND(MONTH(AB298)=8,DAY(AB298)&gt;=15),"Fall",IF(MONTH(AB298)&gt;8,"Fall",IF(MONTH(AB298)=5,"Summer",IF(MONTH(AB298)=1,"Spring","")))))</f>
        <v/>
      </c>
      <c r="BD298">
        <f>IFERROR(INDEX('_names_lookup'!$C:$C,MATCH(BC298,'_names_lookup'!$A:$A,0)),"")</f>
        <v/>
      </c>
      <c r="BE298">
        <f>IFERROR(INDEX('_names_lookup'!$B:$B,MATCH(BC298,'_names_lookup'!$A:$A,0)),"")</f>
        <v/>
      </c>
    </row>
    <row r="299">
      <c r="H299" t="inlineStr">
        <is>
          <t>3295-01</t>
        </is>
      </c>
      <c r="I299" t="inlineStr">
        <is>
          <t>651</t>
        </is>
      </c>
      <c r="N299">
        <f>IFERROR(INDEX('_courses_lookup'!$C:$C,MATCH(J299&amp;K299,'_courses_lookup'!$E:$E,0)),"")</f>
        <v/>
      </c>
      <c r="O299">
        <f>IFERROR(INDEX('_courses_lookup'!$D:$D,MATCH(J299&amp;K299,'_courses_lookup'!$E:$E,0)),"")</f>
        <v/>
      </c>
      <c r="AE299">
        <f>IFERROR(IF(AC299*AD299=0,"",AC299*AD299),"")</f>
        <v/>
      </c>
      <c r="AH299">
        <f>IF(AND(AF299&lt;&gt;"",AG299&lt;&gt;""),ROUNDUP((AG299-AF299)/7,0),"")</f>
        <v/>
      </c>
      <c r="AJ299">
        <f>IFERROR(IF(AH299*AI299=0,"",AH299*AI299),"")</f>
        <v/>
      </c>
      <c r="AL299">
        <f>IFERROR(IF((AO299-(AE299+AJ299))/AK299=0,"",ROUNDUP((AO299-(AE299+AJ299))/AK299,0)),"")</f>
        <v/>
      </c>
      <c r="AM299">
        <f>IFERROR(IF((AO299-(AE299+AJ299))=0,"",(AO299-(AE299+AJ299))),"")</f>
        <v/>
      </c>
      <c r="AN299">
        <f>IF(AND(AC299="",AK299=""),AH299,IF(SUM(AC299,AH299,AK299)=0,"",SUM(AC299,AH299,AK299)))</f>
        <v/>
      </c>
      <c r="AY299">
        <f>IF(AB299="","",YEAR(AB299)+IF(MONTH(AB299)&gt;=5,1,0))</f>
        <v/>
      </c>
      <c r="AZ299">
        <f>IF(AB299="","",IF(AND(MONTH(AB299)=8,DAY(AB299)&gt;=15),"Fall",IF(MONTH(AB299)&gt;8,"Fall",IF(MONTH(AB299)=5,"Summer",IF(MONTH(AB299)=1,"Spring","")))))</f>
        <v/>
      </c>
      <c r="BD299">
        <f>IFERROR(INDEX('_names_lookup'!$C:$C,MATCH(BC299,'_names_lookup'!$A:$A,0)),"")</f>
        <v/>
      </c>
      <c r="BE299">
        <f>IFERROR(INDEX('_names_lookup'!$B:$B,MATCH(BC299,'_names_lookup'!$A:$A,0)),"")</f>
        <v/>
      </c>
    </row>
    <row r="300">
      <c r="H300" t="inlineStr">
        <is>
          <t>3295-02</t>
        </is>
      </c>
      <c r="I300" t="inlineStr">
        <is>
          <t>653</t>
        </is>
      </c>
      <c r="N300">
        <f>IFERROR(INDEX('_courses_lookup'!$C:$C,MATCH(J300&amp;K300,'_courses_lookup'!$E:$E,0)),"")</f>
        <v/>
      </c>
      <c r="O300">
        <f>IFERROR(INDEX('_courses_lookup'!$D:$D,MATCH(J300&amp;K300,'_courses_lookup'!$E:$E,0)),"")</f>
        <v/>
      </c>
      <c r="AE300">
        <f>IFERROR(IF(AC300*AD300=0,"",AC300*AD300),"")</f>
        <v/>
      </c>
      <c r="AH300">
        <f>IF(AND(AF300&lt;&gt;"",AG300&lt;&gt;""),ROUNDUP((AG300-AF300)/7,0),"")</f>
        <v/>
      </c>
      <c r="AJ300">
        <f>IFERROR(IF(AH300*AI300=0,"",AH300*AI300),"")</f>
        <v/>
      </c>
      <c r="AL300">
        <f>IFERROR(IF((AO300-(AE300+AJ300))/AK300=0,"",ROUNDUP((AO300-(AE300+AJ300))/AK300,0)),"")</f>
        <v/>
      </c>
      <c r="AM300">
        <f>IFERROR(IF((AO300-(AE300+AJ300))=0,"",(AO300-(AE300+AJ300))),"")</f>
        <v/>
      </c>
      <c r="AN300">
        <f>IF(AND(AC300="",AK300=""),AH300,IF(SUM(AC300,AH300,AK300)=0,"",SUM(AC300,AH300,AK300)))</f>
        <v/>
      </c>
      <c r="AY300">
        <f>IF(AB300="","",YEAR(AB300)+IF(MONTH(AB300)&gt;=5,1,0))</f>
        <v/>
      </c>
      <c r="AZ300">
        <f>IF(AB300="","",IF(AND(MONTH(AB300)=8,DAY(AB300)&gt;=15),"Fall",IF(MONTH(AB300)&gt;8,"Fall",IF(MONTH(AB300)=5,"Summer",IF(MONTH(AB300)=1,"Spring","")))))</f>
        <v/>
      </c>
      <c r="BD300">
        <f>IFERROR(INDEX('_names_lookup'!$C:$C,MATCH(BC300,'_names_lookup'!$A:$A,0)),"")</f>
        <v/>
      </c>
      <c r="BE300">
        <f>IFERROR(INDEX('_names_lookup'!$B:$B,MATCH(BC300,'_names_lookup'!$A:$A,0)),"")</f>
        <v/>
      </c>
    </row>
    <row r="301">
      <c r="H301" t="inlineStr">
        <is>
          <t>3296-01</t>
        </is>
      </c>
      <c r="I301" t="inlineStr">
        <is>
          <t>654</t>
        </is>
      </c>
      <c r="N301" t="inlineStr">
        <is>
          <t>Parenting Educ &amp; Guidance</t>
        </is>
      </c>
      <c r="O301" t="inlineStr">
        <is>
          <t>Ind St Systematic Theo</t>
        </is>
      </c>
    </row>
    <row r="302">
      <c r="H302" t="inlineStr">
        <is>
          <t>3296-02</t>
        </is>
      </c>
      <c r="I302" t="inlineStr">
        <is>
          <t>655</t>
        </is>
      </c>
      <c r="N302" t="inlineStr">
        <is>
          <t>Pastoral Counseling</t>
        </is>
      </c>
      <c r="O302" t="inlineStr">
        <is>
          <t>Ind St:</t>
        </is>
      </c>
    </row>
    <row r="303">
      <c r="H303" t="inlineStr">
        <is>
          <t>3297-01</t>
        </is>
      </c>
      <c r="I303" t="inlineStr">
        <is>
          <t>656</t>
        </is>
      </c>
      <c r="N303" t="inlineStr">
        <is>
          <t>Pentateuch</t>
        </is>
      </c>
      <c r="O303" t="inlineStr">
        <is>
          <t>Ind St:  Mission</t>
        </is>
      </c>
    </row>
    <row r="304">
      <c r="H304" t="inlineStr">
        <is>
          <t>3297-02</t>
        </is>
      </c>
      <c r="I304" t="inlineStr">
        <is>
          <t>657</t>
        </is>
      </c>
      <c r="N304" t="inlineStr">
        <is>
          <t>Pentateuch (Hebrew)</t>
        </is>
      </c>
      <c r="O304" t="inlineStr">
        <is>
          <t>Ind St: Adv OT Exegesis-Theodi</t>
        </is>
      </c>
    </row>
    <row r="305">
      <c r="H305" t="inlineStr">
        <is>
          <t>3297-03</t>
        </is>
      </c>
      <c r="I305" t="inlineStr">
        <is>
          <t>658</t>
        </is>
      </c>
      <c r="N305" t="inlineStr">
        <is>
          <t>Pers Pract Dis&amp;Bibl Spirtualty</t>
        </is>
      </c>
      <c r="O305" t="inlineStr">
        <is>
          <t>Ind St: Adventist Heritage</t>
        </is>
      </c>
    </row>
    <row r="306">
      <c r="H306" t="inlineStr">
        <is>
          <t>3297-04</t>
        </is>
      </c>
      <c r="I306" t="inlineStr">
        <is>
          <t>659</t>
        </is>
      </c>
      <c r="N306" t="inlineStr">
        <is>
          <t>Personal &amp; Fam Finance</t>
        </is>
      </c>
      <c r="O306" t="inlineStr">
        <is>
          <t>Ind St: American Prophets</t>
        </is>
      </c>
    </row>
    <row r="307">
      <c r="H307" t="inlineStr">
        <is>
          <t>3298-01</t>
        </is>
      </c>
      <c r="I307" t="inlineStr">
        <is>
          <t>660</t>
        </is>
      </c>
      <c r="N307" t="inlineStr">
        <is>
          <t>Personal Evangelistic Ministry</t>
        </is>
      </c>
      <c r="O307" t="inlineStr">
        <is>
          <t>Ind St: ANE Lang - Akkadian</t>
        </is>
      </c>
    </row>
    <row r="308">
      <c r="H308" t="inlineStr">
        <is>
          <t>3298-02</t>
        </is>
      </c>
      <c r="I308" t="inlineStr">
        <is>
          <t>663</t>
        </is>
      </c>
      <c r="N308" t="inlineStr">
        <is>
          <t>Persp on Yth Min Ldrshp Strat</t>
        </is>
      </c>
      <c r="O308" t="inlineStr">
        <is>
          <t>Ind St: Begotteness in Adv</t>
        </is>
      </c>
    </row>
    <row r="309">
      <c r="H309" t="inlineStr">
        <is>
          <t>3299-01</t>
        </is>
      </c>
      <c r="I309" t="inlineStr">
        <is>
          <t>664</t>
        </is>
      </c>
      <c r="N309" t="inlineStr">
        <is>
          <t>Perspectives in Church Mrkting</t>
        </is>
      </c>
      <c r="O309" t="inlineStr">
        <is>
          <t>Ind St: Biblical Hebrew III</t>
        </is>
      </c>
    </row>
    <row r="310">
      <c r="H310" t="inlineStr">
        <is>
          <t>3299-02</t>
        </is>
      </c>
      <c r="I310" t="inlineStr">
        <is>
          <t>665</t>
        </is>
      </c>
      <c r="N310" t="inlineStr">
        <is>
          <t>PhD (DSLE) Prog Cont</t>
        </is>
      </c>
      <c r="O310" t="inlineStr">
        <is>
          <t>Ind St: Biblical Spirituality</t>
        </is>
      </c>
    </row>
    <row r="311">
      <c r="H311" t="inlineStr">
        <is>
          <t>3299-03</t>
        </is>
      </c>
      <c r="I311" t="inlineStr">
        <is>
          <t>666</t>
        </is>
      </c>
      <c r="N311" t="inlineStr">
        <is>
          <t>PhD (Rel Education) Prog Cont</t>
        </is>
      </c>
      <c r="O311" t="inlineStr">
        <is>
          <t>Ind St: CHIS to 1500</t>
        </is>
      </c>
    </row>
    <row r="312">
      <c r="H312" t="inlineStr">
        <is>
          <t>330-01</t>
        </is>
      </c>
      <c r="I312" t="inlineStr">
        <is>
          <t>667</t>
        </is>
      </c>
      <c r="N312" t="inlineStr">
        <is>
          <t>PhD-ThD Colloquium</t>
        </is>
      </c>
      <c r="O312" t="inlineStr">
        <is>
          <t>Ind St: Christian Ethics</t>
        </is>
      </c>
    </row>
    <row r="313">
      <c r="H313" t="inlineStr">
        <is>
          <t>3300-01</t>
        </is>
      </c>
      <c r="I313" t="inlineStr">
        <is>
          <t>668</t>
        </is>
      </c>
      <c r="N313" t="inlineStr">
        <is>
          <t>PhD-ThD Comp Exams</t>
        </is>
      </c>
      <c r="O313" t="inlineStr">
        <is>
          <t>Ind St: Christian Theo II</t>
        </is>
      </c>
    </row>
    <row r="314">
      <c r="H314" t="inlineStr">
        <is>
          <t>3301-01</t>
        </is>
      </c>
      <c r="I314" t="inlineStr">
        <is>
          <t>669</t>
        </is>
      </c>
      <c r="N314" t="inlineStr">
        <is>
          <t>PhD-ThD Diss Prop Prep</t>
        </is>
      </c>
      <c r="O314" t="inlineStr">
        <is>
          <t>Ind St: Christian Theology 2</t>
        </is>
      </c>
    </row>
    <row r="315">
      <c r="H315" t="inlineStr">
        <is>
          <t>3302-01</t>
        </is>
      </c>
      <c r="I315" t="inlineStr">
        <is>
          <t>670</t>
        </is>
      </c>
      <c r="N315" t="inlineStr">
        <is>
          <t>PhD-ThD Diss Proposal Sem</t>
        </is>
      </c>
      <c r="O315" t="inlineStr">
        <is>
          <t>Ind St: Church History</t>
        </is>
      </c>
    </row>
    <row r="316">
      <c r="H316" t="inlineStr">
        <is>
          <t>3302-02</t>
        </is>
      </c>
      <c r="I316" t="inlineStr">
        <is>
          <t>671</t>
        </is>
      </c>
      <c r="N316" t="inlineStr">
        <is>
          <t>PhD-ThD Dissertation</t>
        </is>
      </c>
      <c r="O316" t="inlineStr">
        <is>
          <t>Ind St: Contextual Theology</t>
        </is>
      </c>
    </row>
    <row r="317">
      <c r="H317" t="inlineStr">
        <is>
          <t>3303-01</t>
        </is>
      </c>
      <c r="I317" t="inlineStr">
        <is>
          <t>672</t>
        </is>
      </c>
      <c r="N317" t="inlineStr">
        <is>
          <t>Phil &amp; Ethics in Chaplaincy</t>
        </is>
      </c>
      <c r="O317" t="inlineStr">
        <is>
          <t>Ind St: Counseling YYA</t>
        </is>
      </c>
    </row>
    <row r="318">
      <c r="H318" t="inlineStr">
        <is>
          <t>3303-02</t>
        </is>
      </c>
      <c r="I318" t="inlineStr">
        <is>
          <t>673</t>
        </is>
      </c>
      <c r="N318" t="inlineStr">
        <is>
          <t>Philosphcl Foundtns for Prof</t>
        </is>
      </c>
      <c r="O318" t="inlineStr">
        <is>
          <t>Ind St: Daniel</t>
        </is>
      </c>
    </row>
    <row r="319">
      <c r="H319" t="inlineStr">
        <is>
          <t>3304-01</t>
        </is>
      </c>
      <c r="I319" t="inlineStr">
        <is>
          <t>674</t>
        </is>
      </c>
      <c r="N319" t="inlineStr">
        <is>
          <t>Postdoctoral Research Project</t>
        </is>
      </c>
      <c r="O319" t="inlineStr">
        <is>
          <t>Ind St: Daniel &amp; Revelation</t>
        </is>
      </c>
    </row>
    <row r="320">
      <c r="H320" t="inlineStr">
        <is>
          <t>3305-01</t>
        </is>
      </c>
      <c r="I320" t="inlineStr">
        <is>
          <t>675</t>
        </is>
      </c>
      <c r="N320" t="inlineStr">
        <is>
          <t>Postdoctoral Seminar</t>
        </is>
      </c>
      <c r="O320" t="inlineStr">
        <is>
          <t>Ind St: Dev of SDA Theo</t>
        </is>
      </c>
    </row>
    <row r="321">
      <c r="H321" t="inlineStr">
        <is>
          <t>3305-02</t>
        </is>
      </c>
      <c r="I321" t="inlineStr">
        <is>
          <t>676</t>
        </is>
      </c>
      <c r="N321" t="inlineStr">
        <is>
          <t>Postmodernism &amp; the Church</t>
        </is>
      </c>
      <c r="O321" t="inlineStr">
        <is>
          <t>Ind St: Dev of SDA Theology</t>
        </is>
      </c>
    </row>
    <row r="322">
      <c r="H322" t="inlineStr">
        <is>
          <t>3306-01</t>
        </is>
      </c>
      <c r="I322" t="inlineStr">
        <is>
          <t>677</t>
        </is>
      </c>
      <c r="N322" t="inlineStr">
        <is>
          <t>Pract Clinl Past Educ:</t>
        </is>
      </c>
      <c r="O322" t="inlineStr">
        <is>
          <t>Ind St: Dev. of SDA Theo</t>
        </is>
      </c>
    </row>
    <row r="323">
      <c r="H323" t="inlineStr">
        <is>
          <t>3307-01</t>
        </is>
      </c>
      <c r="I323" t="inlineStr">
        <is>
          <t>678</t>
        </is>
      </c>
      <c r="N323" t="inlineStr">
        <is>
          <t>Practicum Clin Pastoral Educ</t>
        </is>
      </c>
      <c r="O323" t="inlineStr">
        <is>
          <t>Ind St: Dev. of SDA Theology</t>
        </is>
      </c>
    </row>
    <row r="324">
      <c r="H324" t="inlineStr">
        <is>
          <t>3307-02</t>
        </is>
      </c>
      <c r="I324" t="inlineStr">
        <is>
          <t>679</t>
        </is>
      </c>
      <c r="N324" t="inlineStr">
        <is>
          <t>Practicum Military Chaplaincy</t>
        </is>
      </c>
      <c r="O324" t="inlineStr">
        <is>
          <t>Ind St: Dissertation Proposal</t>
        </is>
      </c>
    </row>
    <row r="325">
      <c r="H325" t="inlineStr">
        <is>
          <t>3308-01</t>
        </is>
      </c>
      <c r="I325" t="inlineStr">
        <is>
          <t>680</t>
        </is>
      </c>
      <c r="N325" t="inlineStr">
        <is>
          <t>Practicum Past Care&amp;Counseling</t>
        </is>
      </c>
      <c r="O325" t="inlineStr">
        <is>
          <t>Ind St: Doctrine of Christ</t>
        </is>
      </c>
    </row>
    <row r="326">
      <c r="H326" t="inlineStr">
        <is>
          <t>3309-01</t>
        </is>
      </c>
      <c r="I326" t="inlineStr">
        <is>
          <t>681</t>
        </is>
      </c>
      <c r="N326" t="inlineStr">
        <is>
          <t>Prch Literary Forms of Bible</t>
        </is>
      </c>
      <c r="O326" t="inlineStr">
        <is>
          <t>Ind St: Early Church</t>
        </is>
      </c>
    </row>
    <row r="327">
      <c r="H327" t="inlineStr">
        <is>
          <t>331-01</t>
        </is>
      </c>
      <c r="I327" t="inlineStr">
        <is>
          <t>682</t>
        </is>
      </c>
      <c r="N327" t="inlineStr">
        <is>
          <t>Prchg OT/NT for Max Impact</t>
        </is>
      </c>
      <c r="O327" t="inlineStr">
        <is>
          <t>Ind St: Early Church to AD 604</t>
        </is>
      </c>
    </row>
    <row r="328">
      <c r="H328" t="inlineStr">
        <is>
          <t>3310-01</t>
        </is>
      </c>
      <c r="I328" t="inlineStr">
        <is>
          <t>697</t>
        </is>
      </c>
      <c r="N328" t="inlineStr">
        <is>
          <t>Preach Literary Forms of Bible</t>
        </is>
      </c>
      <c r="O328" t="inlineStr">
        <is>
          <t>Ind St: Eschatology</t>
        </is>
      </c>
    </row>
    <row r="329">
      <c r="H329" t="inlineStr">
        <is>
          <t>3310-02</t>
        </is>
      </c>
      <c r="I329" t="inlineStr">
        <is>
          <t>701</t>
        </is>
      </c>
      <c r="N329" t="inlineStr">
        <is>
          <t>Preach. Biblical Prophecies</t>
        </is>
      </c>
      <c r="O329" t="inlineStr">
        <is>
          <t>Ind St: Fdns of Bibl Spir</t>
        </is>
      </c>
    </row>
    <row r="330">
      <c r="H330" t="inlineStr">
        <is>
          <t>3311-01</t>
        </is>
      </c>
      <c r="I330" t="inlineStr">
        <is>
          <t>704</t>
        </is>
      </c>
      <c r="N330" t="inlineStr">
        <is>
          <t>Preaching frm Daniel or Rev</t>
        </is>
      </c>
      <c r="O330" t="inlineStr">
        <is>
          <t>Ind St: Gr Cont, Cov, Law, Sab</t>
        </is>
      </c>
    </row>
    <row r="331">
      <c r="H331" t="inlineStr">
        <is>
          <t>3312-01</t>
        </is>
      </c>
      <c r="I331" t="inlineStr">
        <is>
          <t>706</t>
        </is>
      </c>
      <c r="N331" t="inlineStr">
        <is>
          <t>Preaching from the New Testmnt</t>
        </is>
      </c>
      <c r="O331" t="inlineStr">
        <is>
          <t>Ind St: Greco Roman World</t>
        </is>
      </c>
    </row>
    <row r="332">
      <c r="H332" t="inlineStr">
        <is>
          <t>3312-02</t>
        </is>
      </c>
      <c r="I332" t="inlineStr">
        <is>
          <t>707</t>
        </is>
      </c>
      <c r="N332" t="inlineStr">
        <is>
          <t>Preaching from the Old Testmnt</t>
        </is>
      </c>
      <c r="O332" t="inlineStr">
        <is>
          <t>Ind St: Grt Con, Cov, Law, Sab</t>
        </is>
      </c>
    </row>
    <row r="333">
      <c r="H333" t="inlineStr">
        <is>
          <t>3313-01</t>
        </is>
      </c>
      <c r="I333" t="inlineStr">
        <is>
          <t>709</t>
        </is>
      </c>
      <c r="N333" t="inlineStr">
        <is>
          <t>Prep for Comprehensive Exams</t>
        </is>
      </c>
      <c r="O333" t="inlineStr">
        <is>
          <t>Ind St: Grt Cont, Cov Law, Sab</t>
        </is>
      </c>
    </row>
    <row r="334">
      <c r="H334" t="inlineStr">
        <is>
          <t>3313-02</t>
        </is>
      </c>
      <c r="I334" t="inlineStr">
        <is>
          <t>712</t>
        </is>
      </c>
      <c r="N334" t="inlineStr">
        <is>
          <t>Prep for Cross-Cultrl Workers</t>
        </is>
      </c>
      <c r="O334" t="inlineStr">
        <is>
          <t>Ind St: Hebrew II</t>
        </is>
      </c>
    </row>
    <row r="335">
      <c r="H335" t="inlineStr">
        <is>
          <t>3314-01</t>
        </is>
      </c>
      <c r="I335" t="inlineStr">
        <is>
          <t>718</t>
        </is>
      </c>
      <c r="N335" t="inlineStr">
        <is>
          <t>Principles of Christian Ethics</t>
        </is>
      </c>
      <c r="O335" t="inlineStr">
        <is>
          <t>Ind St: Hebrews</t>
        </is>
      </c>
    </row>
    <row r="336">
      <c r="H336" t="inlineStr">
        <is>
          <t>3314-02</t>
        </is>
      </c>
      <c r="I336" t="inlineStr">
        <is>
          <t>719</t>
        </is>
      </c>
      <c r="N336" t="inlineStr">
        <is>
          <t>Principles of Hermeneutics</t>
        </is>
      </c>
      <c r="O336" t="inlineStr">
        <is>
          <t>Ind St: His of GGCLS</t>
        </is>
      </c>
    </row>
    <row r="337">
      <c r="H337" t="inlineStr">
        <is>
          <t>3314-03</t>
        </is>
      </c>
      <c r="I337" t="inlineStr">
        <is>
          <t>731</t>
        </is>
      </c>
      <c r="N337" t="inlineStr">
        <is>
          <t>Principles of Stewardship</t>
        </is>
      </c>
      <c r="O337" t="inlineStr">
        <is>
          <t>Ind St: Hist Cov, Law, Sab</t>
        </is>
      </c>
    </row>
    <row r="338">
      <c r="H338" t="inlineStr">
        <is>
          <t>3314-04</t>
        </is>
      </c>
      <c r="I338" t="inlineStr">
        <is>
          <t>741</t>
        </is>
      </c>
      <c r="N338" t="inlineStr">
        <is>
          <t>Principles&amp;Methods of Theology</t>
        </is>
      </c>
      <c r="O338" t="inlineStr">
        <is>
          <t>Ind St: Historical Books</t>
        </is>
      </c>
    </row>
    <row r="339">
      <c r="H339" t="inlineStr">
        <is>
          <t>3314-05</t>
        </is>
      </c>
      <c r="I339" t="inlineStr">
        <is>
          <t>742</t>
        </is>
      </c>
      <c r="N339" t="inlineStr">
        <is>
          <t>Prof Development Practicum</t>
        </is>
      </c>
      <c r="O339" t="inlineStr">
        <is>
          <t>Ind St: History of Mission</t>
        </is>
      </c>
    </row>
    <row r="340">
      <c r="H340" t="inlineStr">
        <is>
          <t>3314-06</t>
        </is>
      </c>
      <c r="I340" t="inlineStr">
        <is>
          <t>743</t>
        </is>
      </c>
      <c r="N340" t="inlineStr">
        <is>
          <t>Profssnl Pract in Chaplaincy</t>
        </is>
      </c>
      <c r="O340" t="inlineStr">
        <is>
          <t>Ind St: Holy Spirit in the NT</t>
        </is>
      </c>
    </row>
    <row r="341">
      <c r="H341" t="inlineStr">
        <is>
          <t>3314-07</t>
        </is>
      </c>
      <c r="I341" t="inlineStr">
        <is>
          <t>744</t>
        </is>
      </c>
      <c r="N341" t="inlineStr">
        <is>
          <t>Prophetic Preach in Worship</t>
        </is>
      </c>
      <c r="O341" t="inlineStr">
        <is>
          <t>Ind St: Humanity of Christ</t>
        </is>
      </c>
    </row>
    <row r="342">
      <c r="H342" t="inlineStr">
        <is>
          <t>3314-08</t>
        </is>
      </c>
      <c r="I342" t="inlineStr">
        <is>
          <t>764</t>
        </is>
      </c>
      <c r="N342" t="inlineStr">
        <is>
          <t>Prophets</t>
        </is>
      </c>
      <c r="O342" t="inlineStr">
        <is>
          <t>Ind St: Intergenerational Mini</t>
        </is>
      </c>
    </row>
    <row r="343">
      <c r="H343" t="inlineStr">
        <is>
          <t>3314-09</t>
        </is>
      </c>
      <c r="I343" t="inlineStr">
        <is>
          <t>765</t>
        </is>
      </c>
      <c r="N343" t="inlineStr">
        <is>
          <t>Protestant Theologicl Heritage</t>
        </is>
      </c>
      <c r="O343" t="inlineStr">
        <is>
          <t>Ind St: Intro to Chaplaincy</t>
        </is>
      </c>
    </row>
    <row r="344">
      <c r="H344" t="inlineStr">
        <is>
          <t>3314-10</t>
        </is>
      </c>
      <c r="I344" t="inlineStr">
        <is>
          <t>841</t>
        </is>
      </c>
      <c r="N344" t="inlineStr">
        <is>
          <t>Psalms/Wisdom Lit (Hebrew)</t>
        </is>
      </c>
      <c r="O344" t="inlineStr">
        <is>
          <t>Ind St: Issues in EGW Studies</t>
        </is>
      </c>
    </row>
    <row r="345">
      <c r="H345" t="inlineStr">
        <is>
          <t>3314-11</t>
        </is>
      </c>
      <c r="I345" t="inlineStr">
        <is>
          <t>843</t>
        </is>
      </c>
      <c r="N345" t="inlineStr">
        <is>
          <t>Public Evangelism (Hispanic)</t>
        </is>
      </c>
      <c r="O345" t="inlineStr">
        <is>
          <t>Ind St: Issues in Origins</t>
        </is>
      </c>
    </row>
    <row r="346">
      <c r="H346" t="inlineStr">
        <is>
          <t>3314-12</t>
        </is>
      </c>
      <c r="I346" t="inlineStr">
        <is>
          <t>849</t>
        </is>
      </c>
      <c r="N346" t="inlineStr">
        <is>
          <t>Rdgs in Ecclesiastical Latin</t>
        </is>
      </c>
      <c r="O346" t="inlineStr">
        <is>
          <t>Ind St: Jewish Life &amp; Thought</t>
        </is>
      </c>
    </row>
    <row r="347">
      <c r="H347" t="inlineStr">
        <is>
          <t>3315-01</t>
        </is>
      </c>
      <c r="I347" t="inlineStr">
        <is>
          <t>850</t>
        </is>
      </c>
      <c r="N347" t="inlineStr">
        <is>
          <t>Rdngs in Acts&amp;General Epistles</t>
        </is>
      </c>
      <c r="O347" t="inlineStr">
        <is>
          <t>Ind St: Leadership</t>
        </is>
      </c>
    </row>
    <row r="348">
      <c r="H348" t="inlineStr">
        <is>
          <t>3315-02</t>
        </is>
      </c>
      <c r="I348" t="inlineStr">
        <is>
          <t>851</t>
        </is>
      </c>
      <c r="N348" t="inlineStr">
        <is>
          <t>Reaching Out</t>
        </is>
      </c>
      <c r="O348" t="inlineStr">
        <is>
          <t>Ind St: Minor Prophets</t>
        </is>
      </c>
    </row>
    <row r="349">
      <c r="H349" t="inlineStr">
        <is>
          <t>3315-03</t>
        </is>
      </c>
      <c r="I349" t="inlineStr">
        <is>
          <t>852</t>
        </is>
      </c>
      <c r="N349" t="inlineStr">
        <is>
          <t>Reaching the Secular Mind</t>
        </is>
      </c>
      <c r="O349" t="inlineStr">
        <is>
          <t>Ind St: Mission &amp; Other Relgns</t>
        </is>
      </c>
    </row>
    <row r="350">
      <c r="H350" t="inlineStr">
        <is>
          <t>3316-01</t>
        </is>
      </c>
      <c r="I350" t="inlineStr">
        <is>
          <t>853</t>
        </is>
      </c>
      <c r="N350" t="inlineStr">
        <is>
          <t>Readings in Prophets (Engl)</t>
        </is>
      </c>
      <c r="O350" t="inlineStr">
        <is>
          <t>Ind St: Mission Field Research</t>
        </is>
      </c>
    </row>
    <row r="351">
      <c r="H351" t="inlineStr">
        <is>
          <t>3317-01</t>
        </is>
      </c>
      <c r="I351" t="inlineStr">
        <is>
          <t>854</t>
        </is>
      </c>
      <c r="N351" t="inlineStr">
        <is>
          <t>Readings in Revelation</t>
        </is>
      </c>
      <c r="O351" t="inlineStr">
        <is>
          <t>Ind St: Missionary Kids</t>
        </is>
      </c>
    </row>
    <row r="352">
      <c r="H352" t="inlineStr">
        <is>
          <t>3317-02</t>
        </is>
      </c>
      <c r="I352" t="inlineStr">
        <is>
          <t>857</t>
        </is>
      </c>
      <c r="N352" t="inlineStr">
        <is>
          <t>Readings in the Gospels</t>
        </is>
      </c>
      <c r="O352" t="inlineStr">
        <is>
          <t>Ind St: Mitry to At-Risk Youth</t>
        </is>
      </c>
    </row>
    <row r="353">
      <c r="H353" t="inlineStr">
        <is>
          <t>3317-03</t>
        </is>
      </c>
      <c r="N353" t="inlineStr">
        <is>
          <t>Readings in the OT (English)</t>
        </is>
      </c>
      <c r="O353" t="inlineStr">
        <is>
          <t>Ind St: NT Backgrounds</t>
        </is>
      </c>
    </row>
    <row r="354">
      <c r="H354" t="inlineStr">
        <is>
          <t>3318-01</t>
        </is>
      </c>
      <c r="N354" t="inlineStr">
        <is>
          <t>Readings in the Septuagint</t>
        </is>
      </c>
      <c r="O354" t="inlineStr">
        <is>
          <t>Ind St: NT Exegesis</t>
        </is>
      </c>
    </row>
    <row r="355">
      <c r="H355" t="inlineStr">
        <is>
          <t>3318-02</t>
        </is>
      </c>
      <c r="N355" t="inlineStr">
        <is>
          <t>Reformation Theology</t>
        </is>
      </c>
      <c r="O355" t="inlineStr">
        <is>
          <t>Ind St: Older Adult Ministry</t>
        </is>
      </c>
    </row>
    <row r="356">
      <c r="H356" t="inlineStr">
        <is>
          <t>3318-03</t>
        </is>
      </c>
      <c r="N356" t="inlineStr">
        <is>
          <t>Reformation:</t>
        </is>
      </c>
      <c r="O356" t="inlineStr">
        <is>
          <t>Ind St: OT Exegesis</t>
        </is>
      </c>
    </row>
    <row r="357">
      <c r="H357" t="inlineStr">
        <is>
          <t>3319-01</t>
        </is>
      </c>
      <c r="N357" t="inlineStr">
        <is>
          <t>Relationl Dynamics&amp;IGEN Church</t>
        </is>
      </c>
      <c r="O357" t="inlineStr">
        <is>
          <t>Ind St: Pentateuch</t>
        </is>
      </c>
    </row>
    <row r="358">
      <c r="H358" t="inlineStr">
        <is>
          <t>332-01</t>
        </is>
      </c>
      <c r="N358" t="inlineStr">
        <is>
          <t>Relg &amp; the Black Experience</t>
        </is>
      </c>
      <c r="O358" t="inlineStr">
        <is>
          <t>Ind St: Postmodernism</t>
        </is>
      </c>
    </row>
    <row r="359">
      <c r="H359" t="inlineStr">
        <is>
          <t>3320-01</t>
        </is>
      </c>
      <c r="N359" t="inlineStr">
        <is>
          <t>Relg Experience in Adolescence</t>
        </is>
      </c>
      <c r="O359" t="inlineStr">
        <is>
          <t>Ind St: Prch Biblical Prophecy</t>
        </is>
      </c>
    </row>
    <row r="360">
      <c r="H360" t="inlineStr">
        <is>
          <t>3320-02</t>
        </is>
      </c>
      <c r="N360" t="inlineStr">
        <is>
          <t>Res, Method &amp; Theory in Arch</t>
        </is>
      </c>
      <c r="O360" t="inlineStr">
        <is>
          <t>Ind St: Princ of Christ Ethics</t>
        </is>
      </c>
    </row>
    <row r="361">
      <c r="H361" t="inlineStr">
        <is>
          <t>3321-01</t>
        </is>
      </c>
      <c r="N361" t="inlineStr">
        <is>
          <t>Research Design in Mission</t>
        </is>
      </c>
      <c r="O361" t="inlineStr">
        <is>
          <t>Ind St: Reception of Monogenes</t>
        </is>
      </c>
    </row>
    <row r="362">
      <c r="H362" t="inlineStr">
        <is>
          <t>3321-02</t>
        </is>
      </c>
      <c r="N362" t="inlineStr">
        <is>
          <t>Research Methods</t>
        </is>
      </c>
      <c r="O362" t="inlineStr">
        <is>
          <t>Ind St: Religion in America</t>
        </is>
      </c>
    </row>
    <row r="363">
      <c r="H363" t="inlineStr">
        <is>
          <t>3322-01</t>
        </is>
      </c>
      <c r="N363" t="inlineStr">
        <is>
          <t>Research Methods in Miss&amp;Min</t>
        </is>
      </c>
      <c r="O363" t="inlineStr">
        <is>
          <t>Ind St: Remnant Theology</t>
        </is>
      </c>
    </row>
    <row r="364">
      <c r="H364" t="inlineStr">
        <is>
          <t>3322-02</t>
        </is>
      </c>
      <c r="N364" t="inlineStr">
        <is>
          <t>Research Project</t>
        </is>
      </c>
      <c r="O364" t="inlineStr">
        <is>
          <t>Ind St: Research Methods</t>
        </is>
      </c>
    </row>
    <row r="365">
      <c r="H365" t="inlineStr">
        <is>
          <t>3323-01</t>
        </is>
      </c>
      <c r="N365" t="inlineStr">
        <is>
          <t>Rev, Insp &amp; Hermeneutics</t>
        </is>
      </c>
      <c r="O365" t="inlineStr">
        <is>
          <t>Ind St: Revelation</t>
        </is>
      </c>
    </row>
    <row r="366">
      <c r="H366" t="inlineStr">
        <is>
          <t>3323-02</t>
        </is>
      </c>
      <c r="N366" t="inlineStr">
        <is>
          <t>Rev, Inspir &amp; Herm</t>
        </is>
      </c>
      <c r="O366" t="inlineStr">
        <is>
          <t>Ind St: Sem in Youth Ministry</t>
        </is>
      </c>
    </row>
    <row r="367">
      <c r="H367" t="inlineStr">
        <is>
          <t>333-01</t>
        </is>
      </c>
      <c r="N367" t="inlineStr">
        <is>
          <t>Revelation</t>
        </is>
      </c>
      <c r="O367" t="inlineStr">
        <is>
          <t>Ind St: Studies in Church Hist</t>
        </is>
      </c>
    </row>
    <row r="368">
      <c r="H368" t="inlineStr">
        <is>
          <t>334-01</t>
        </is>
      </c>
      <c r="N368" t="inlineStr">
        <is>
          <t>Revelation, Inspiratn&amp;Herm</t>
        </is>
      </c>
      <c r="O368" t="inlineStr">
        <is>
          <t>Ind St: Studies in OT Exegesis</t>
        </is>
      </c>
    </row>
    <row r="369">
      <c r="H369" t="inlineStr">
        <is>
          <t>335-01</t>
        </is>
      </c>
      <c r="N369" t="inlineStr">
        <is>
          <t>Roman Catholic Life &amp; Thought</t>
        </is>
      </c>
      <c r="O369" t="inlineStr">
        <is>
          <t>Ind St: Theo of Hebrews</t>
        </is>
      </c>
    </row>
    <row r="370">
      <c r="H370" t="inlineStr">
        <is>
          <t>336-01</t>
        </is>
      </c>
      <c r="N370" t="inlineStr">
        <is>
          <t>Sacred Mus Afri-Amer Traditn</t>
        </is>
      </c>
      <c r="O370" t="inlineStr">
        <is>
          <t>Ind St: Theo of the OT</t>
        </is>
      </c>
    </row>
    <row r="371">
      <c r="H371" t="inlineStr">
        <is>
          <t>3362-01</t>
        </is>
      </c>
      <c r="N371" t="inlineStr">
        <is>
          <t>Scholarly and Professional Dev</t>
        </is>
      </c>
      <c r="O371" t="inlineStr">
        <is>
          <t>Ind St: Theodicy</t>
        </is>
      </c>
    </row>
    <row r="372">
      <c r="H372" t="inlineStr">
        <is>
          <t>3362-02</t>
        </is>
      </c>
      <c r="N372" t="inlineStr">
        <is>
          <t>Science &amp; Religion</t>
        </is>
      </c>
      <c r="O372" t="inlineStr">
        <is>
          <t>Ind St: Trinity in Adventism</t>
        </is>
      </c>
    </row>
    <row r="373">
      <c r="H373" t="inlineStr">
        <is>
          <t>3363-01</t>
        </is>
      </c>
      <c r="N373" t="inlineStr">
        <is>
          <t>Sem Adv Arch&amp;Hist of Antiquity</t>
        </is>
      </c>
      <c r="O373" t="inlineStr">
        <is>
          <t>Ind St: Und Christ'n World</t>
        </is>
      </c>
    </row>
    <row r="374">
      <c r="H374" t="inlineStr">
        <is>
          <t>3364-01</t>
        </is>
      </c>
      <c r="N374" t="inlineStr">
        <is>
          <t>Sem Adv OT Exegesis</t>
        </is>
      </c>
      <c r="O374" t="inlineStr">
        <is>
          <t>Ind St: Urban Context MSSN</t>
        </is>
      </c>
    </row>
    <row r="375">
      <c r="H375" t="inlineStr">
        <is>
          <t>3364-02</t>
        </is>
      </c>
      <c r="N375" t="inlineStr">
        <is>
          <t>Sem Ancient Near Est Lang:</t>
        </is>
      </c>
      <c r="O375" t="inlineStr">
        <is>
          <t>Ind St: Witnessing to Muslims</t>
        </is>
      </c>
    </row>
    <row r="376">
      <c r="H376" t="inlineStr">
        <is>
          <t>3365-01</t>
        </is>
      </c>
      <c r="N376" t="inlineStr">
        <is>
          <t>Sem Arch &amp; Hist of Antiquity</t>
        </is>
      </c>
      <c r="O376" t="inlineStr">
        <is>
          <t>Ind St: Worship: Word &amp; Music</t>
        </is>
      </c>
    </row>
    <row r="377">
      <c r="H377" t="inlineStr">
        <is>
          <t>3366-01</t>
        </is>
      </c>
      <c r="N377" t="inlineStr">
        <is>
          <t>Sem Development SDA Doctrines</t>
        </is>
      </c>
      <c r="O377" t="inlineStr">
        <is>
          <t>Ind St: Youth Ministry</t>
        </is>
      </c>
    </row>
    <row r="378">
      <c r="H378" t="inlineStr">
        <is>
          <t>3367-01</t>
        </is>
      </c>
      <c r="N378" t="inlineStr">
        <is>
          <t>Sem Hist of Sabbath &amp; Sunday</t>
        </is>
      </c>
      <c r="O378" t="inlineStr">
        <is>
          <t>Ind St:Adv Biblical Archeology</t>
        </is>
      </c>
    </row>
    <row r="379">
      <c r="H379" t="inlineStr">
        <is>
          <t>3367-02</t>
        </is>
      </c>
      <c r="N379" t="inlineStr">
        <is>
          <t>Sem History of Mission</t>
        </is>
      </c>
      <c r="O379" t="inlineStr">
        <is>
          <t>Ind St:Adventist Heritage</t>
        </is>
      </c>
    </row>
    <row r="380">
      <c r="H380" t="inlineStr">
        <is>
          <t>3368-01</t>
        </is>
      </c>
      <c r="N380" t="inlineStr">
        <is>
          <t>Sem Hst Select Christn Doct</t>
        </is>
      </c>
      <c r="O380" t="inlineStr">
        <is>
          <t>Ind St:Advncd Stds n the Gspls</t>
        </is>
      </c>
    </row>
    <row r="381">
      <c r="H381" t="inlineStr">
        <is>
          <t>3368-02</t>
        </is>
      </c>
      <c r="N381" t="inlineStr">
        <is>
          <t>Sem in Biblical Theology</t>
        </is>
      </c>
      <c r="O381" t="inlineStr">
        <is>
          <t>Ind St:Advntst Stds Research</t>
        </is>
      </c>
    </row>
    <row r="382">
      <c r="H382" t="inlineStr">
        <is>
          <t>3369-01</t>
        </is>
      </c>
      <c r="N382" t="inlineStr">
        <is>
          <t>Sem in Greek Exegesis</t>
        </is>
      </c>
      <c r="O382" t="inlineStr">
        <is>
          <t>Ind St:Bblcl &amp; Theo Hrmntcs</t>
        </is>
      </c>
    </row>
    <row r="383">
      <c r="H383" t="inlineStr">
        <is>
          <t>3369-02</t>
        </is>
      </c>
      <c r="N383" t="inlineStr">
        <is>
          <t>Sem in Hellenistic Greek</t>
        </is>
      </c>
      <c r="O383" t="inlineStr">
        <is>
          <t>Ind St:Black Theodicy</t>
        </is>
      </c>
    </row>
    <row r="384">
      <c r="H384" t="inlineStr">
        <is>
          <t>337-01</t>
        </is>
      </c>
      <c r="N384" t="inlineStr">
        <is>
          <t>Sem in Historical Theology:</t>
        </is>
      </c>
      <c r="O384" t="inlineStr">
        <is>
          <t>Ind St:CHIS Study Tour</t>
        </is>
      </c>
    </row>
    <row r="385">
      <c r="H385" t="inlineStr">
        <is>
          <t>3370-01</t>
        </is>
      </c>
      <c r="N385" t="inlineStr">
        <is>
          <t>Sem in NT Backgrnds</t>
        </is>
      </c>
      <c r="O385" t="inlineStr">
        <is>
          <t>Ind St:Christian Ethics</t>
        </is>
      </c>
    </row>
    <row r="386">
      <c r="H386" t="inlineStr">
        <is>
          <t>3370-02</t>
        </is>
      </c>
      <c r="N386" t="inlineStr">
        <is>
          <t>Sem in NT Exegesis &amp; Hermn:</t>
        </is>
      </c>
      <c r="O386" t="inlineStr">
        <is>
          <t>Ind St:Chrstn Rspnss Hmn Needs</t>
        </is>
      </c>
    </row>
    <row r="387">
      <c r="H387" t="inlineStr">
        <is>
          <t>3371-01</t>
        </is>
      </c>
      <c r="N387" t="inlineStr">
        <is>
          <t>Sem in NT Theology &amp; Ethics</t>
        </is>
      </c>
      <c r="O387" t="inlineStr">
        <is>
          <t>Ind St:Chrstn Wtnss &amp; Wrld Rlg</t>
        </is>
      </c>
    </row>
    <row r="388">
      <c r="H388" t="inlineStr">
        <is>
          <t>3371-02</t>
        </is>
      </c>
      <c r="N388" t="inlineStr">
        <is>
          <t>Sem in Old Testament Theology</t>
        </is>
      </c>
      <c r="O388" t="inlineStr">
        <is>
          <t>Ind St:Chrstn Wtnss&amp;Wrld Rlgns</t>
        </is>
      </c>
    </row>
    <row r="389">
      <c r="H389" t="inlineStr">
        <is>
          <t>3373-01</t>
        </is>
      </c>
      <c r="N389" t="inlineStr">
        <is>
          <t>Sem in Other Religions</t>
        </is>
      </c>
      <c r="O389" t="inlineStr">
        <is>
          <t>Ind St:Church &amp; Social Issues</t>
        </is>
      </c>
    </row>
    <row r="390">
      <c r="H390" t="inlineStr">
        <is>
          <t>3374-01</t>
        </is>
      </c>
      <c r="N390" t="inlineStr">
        <is>
          <t>Sem in Pastoral Counseling</t>
        </is>
      </c>
      <c r="O390" t="inlineStr">
        <is>
          <t>Ind St:Church Growth/Disc Urba</t>
        </is>
      </c>
    </row>
    <row r="391">
      <c r="H391" t="inlineStr">
        <is>
          <t>3375-01</t>
        </is>
      </c>
      <c r="N391" t="inlineStr">
        <is>
          <t>Sem in Phil, Theo &amp; Ethics:</t>
        </is>
      </c>
      <c r="O391" t="inlineStr">
        <is>
          <t>Ind St:Church Grwth&amp;Discip Urb</t>
        </is>
      </c>
    </row>
    <row r="392">
      <c r="H392" t="inlineStr">
        <is>
          <t>3376-01</t>
        </is>
      </c>
      <c r="N392" t="inlineStr">
        <is>
          <t>Sem in Systematic Theology:</t>
        </is>
      </c>
      <c r="O392" t="inlineStr">
        <is>
          <t>Ind St:Church Hist Study Tour</t>
        </is>
      </c>
    </row>
    <row r="393">
      <c r="H393" t="inlineStr">
        <is>
          <t>3377-01</t>
        </is>
      </c>
      <c r="N393" t="inlineStr">
        <is>
          <t>Sem in Theological Issues:</t>
        </is>
      </c>
      <c r="O393" t="inlineStr">
        <is>
          <t>Ind St:Church History</t>
        </is>
      </c>
    </row>
    <row r="394">
      <c r="H394" t="inlineStr">
        <is>
          <t>3378-01</t>
        </is>
      </c>
      <c r="N394" t="inlineStr">
        <is>
          <t>Sem OT Exegesis</t>
        </is>
      </c>
      <c r="O394" t="inlineStr">
        <is>
          <t>Ind St:Church History Study</t>
        </is>
      </c>
    </row>
    <row r="395">
      <c r="H395" t="inlineStr">
        <is>
          <t>3379-01</t>
        </is>
      </c>
      <c r="N395" t="inlineStr">
        <is>
          <t>Sem Phil Theology&amp;Ethics:</t>
        </is>
      </c>
      <c r="O395" t="inlineStr">
        <is>
          <t>Ind St:Church History Tour</t>
        </is>
      </c>
    </row>
    <row r="396">
      <c r="H396" t="inlineStr">
        <is>
          <t>338-01</t>
        </is>
      </c>
      <c r="N396" t="inlineStr">
        <is>
          <t>Sem Philosophical Theology:</t>
        </is>
      </c>
      <c r="O396" t="inlineStr">
        <is>
          <t>Ind St:Cntmp Iss Rel Ed&amp; Disc</t>
        </is>
      </c>
    </row>
    <row r="397">
      <c r="H397" t="inlineStr">
        <is>
          <t>3380-01</t>
        </is>
      </c>
      <c r="N397" t="inlineStr">
        <is>
          <t>Sem Social Sciences&amp;Mission</t>
        </is>
      </c>
      <c r="O397" t="inlineStr">
        <is>
          <t>Ind St:Contemporary Theology</t>
        </is>
      </c>
    </row>
    <row r="398">
      <c r="H398" t="inlineStr">
        <is>
          <t>3381-01</t>
        </is>
      </c>
      <c r="N398" t="inlineStr">
        <is>
          <t>Sem Strategies&amp;Dev in Mission</t>
        </is>
      </c>
      <c r="O398" t="inlineStr">
        <is>
          <t>Ind St:Counseling Youth &amp; Y Ad</t>
        </is>
      </c>
    </row>
    <row r="399">
      <c r="H399" t="inlineStr">
        <is>
          <t>3382-01</t>
        </is>
      </c>
      <c r="N399" t="inlineStr">
        <is>
          <t>Sem Theology of Mission</t>
        </is>
      </c>
      <c r="O399" t="inlineStr">
        <is>
          <t>Ind St:Cross Cult Lead Dev</t>
        </is>
      </c>
    </row>
    <row r="400">
      <c r="H400" t="inlineStr">
        <is>
          <t>3383-01</t>
        </is>
      </c>
      <c r="N400" t="inlineStr">
        <is>
          <t>Sem:</t>
        </is>
      </c>
      <c r="O400" t="inlineStr">
        <is>
          <t>Ind St:CrssCulturalComm&amp;Missin</t>
        </is>
      </c>
    </row>
    <row r="401">
      <c r="H401" t="inlineStr">
        <is>
          <t>3384-01</t>
        </is>
      </c>
      <c r="N401" t="inlineStr">
        <is>
          <t>Seminar in Adventist Studies</t>
        </is>
      </c>
      <c r="O401" t="inlineStr">
        <is>
          <t>Ind St:Crstn Rspns Human Needs</t>
        </is>
      </c>
    </row>
    <row r="402">
      <c r="H402" t="inlineStr">
        <is>
          <t>3385-01</t>
        </is>
      </c>
      <c r="N402" t="inlineStr">
        <is>
          <t>Seminar in Adventist Studies:</t>
        </is>
      </c>
      <c r="O402" t="inlineStr">
        <is>
          <t>Ind St:Dev of SDA Theology</t>
        </is>
      </c>
    </row>
    <row r="403">
      <c r="H403" t="inlineStr">
        <is>
          <t>3385-02</t>
        </is>
      </c>
      <c r="N403" t="inlineStr">
        <is>
          <t>Seminar in Church History</t>
        </is>
      </c>
      <c r="O403" t="inlineStr">
        <is>
          <t>Ind St:Devlmnt of SDA Theology</t>
        </is>
      </c>
    </row>
    <row r="404">
      <c r="H404" t="inlineStr">
        <is>
          <t>3386-01</t>
        </is>
      </c>
      <c r="N404" t="inlineStr">
        <is>
          <t>Seminar in Church History:</t>
        </is>
      </c>
      <c r="O404" t="inlineStr">
        <is>
          <t>Ind St:Diss.Pro.Prep.Mission</t>
        </is>
      </c>
    </row>
    <row r="405">
      <c r="H405" t="inlineStr">
        <is>
          <t>3386-02</t>
        </is>
      </c>
      <c r="N405" t="inlineStr">
        <is>
          <t>Seminar in Ethics:</t>
        </is>
      </c>
      <c r="O405" t="inlineStr">
        <is>
          <t>Ind St:DMin Dissert Project</t>
        </is>
      </c>
    </row>
    <row r="406">
      <c r="H406" t="inlineStr">
        <is>
          <t>3387-01</t>
        </is>
      </c>
      <c r="N406" t="inlineStr">
        <is>
          <t>Seminar in Evangelism</t>
        </is>
      </c>
      <c r="O406" t="inlineStr">
        <is>
          <t>Ind St:DMin Dssn</t>
        </is>
      </c>
    </row>
    <row r="407">
      <c r="H407" t="inlineStr">
        <is>
          <t>3388-01</t>
        </is>
      </c>
      <c r="N407" t="inlineStr">
        <is>
          <t>Seminar in Leadership</t>
        </is>
      </c>
      <c r="O407" t="inlineStr">
        <is>
          <t>Ind St:DMin Project Seminar</t>
        </is>
      </c>
    </row>
    <row r="408">
      <c r="H408" t="inlineStr">
        <is>
          <t>3388-02</t>
        </is>
      </c>
      <c r="N408" t="inlineStr">
        <is>
          <t>Seminar in Preaching</t>
        </is>
      </c>
      <c r="O408" t="inlineStr">
        <is>
          <t>Ind St:Dvlpmnt SDA Theology</t>
        </is>
      </c>
    </row>
    <row r="409">
      <c r="H409" t="inlineStr">
        <is>
          <t>3389-01</t>
        </is>
      </c>
      <c r="N409" t="inlineStr">
        <is>
          <t>Seminar in Youth Ministry</t>
        </is>
      </c>
      <c r="O409" t="inlineStr">
        <is>
          <t>Ind St:Early Christian Lit</t>
        </is>
      </c>
    </row>
    <row r="410">
      <c r="H410" t="inlineStr">
        <is>
          <t>339-01</t>
        </is>
      </c>
      <c r="N410" t="inlineStr">
        <is>
          <t>Seminar Theory &amp; Praxis</t>
        </is>
      </c>
      <c r="O410" t="inlineStr">
        <is>
          <t>Ind St:Early Christian Literat</t>
        </is>
      </c>
    </row>
    <row r="411">
      <c r="H411" t="inlineStr">
        <is>
          <t>3391-01</t>
        </is>
      </c>
      <c r="N411" t="inlineStr">
        <is>
          <t>Seminar:</t>
        </is>
      </c>
      <c r="O411" t="inlineStr">
        <is>
          <t>Ind St:Effective Strategic Grw</t>
        </is>
      </c>
    </row>
    <row r="412">
      <c r="H412" t="inlineStr">
        <is>
          <t>3391-02</t>
        </is>
      </c>
      <c r="N412" t="inlineStr">
        <is>
          <t>Seminary Chorus</t>
        </is>
      </c>
      <c r="O412" t="inlineStr">
        <is>
          <t>Ind St:Erly Christn Theolgns</t>
        </is>
      </c>
    </row>
    <row r="413">
      <c r="H413" t="inlineStr">
        <is>
          <t>3392-01</t>
        </is>
      </c>
      <c r="N413" t="inlineStr">
        <is>
          <t>Social Policy</t>
        </is>
      </c>
      <c r="O413" t="inlineStr">
        <is>
          <t>Ind St:Ethics and Theology</t>
        </is>
      </c>
    </row>
    <row r="414">
      <c r="H414" t="inlineStr">
        <is>
          <t>3392-02</t>
        </is>
      </c>
      <c r="N414" t="inlineStr">
        <is>
          <t>Spec Approaches to Evan:</t>
        </is>
      </c>
      <c r="O414" t="inlineStr">
        <is>
          <t>Ind St:Ethics&amp;the Good Life</t>
        </is>
      </c>
    </row>
    <row r="415">
      <c r="H415" t="inlineStr">
        <is>
          <t>3393-01</t>
        </is>
      </c>
      <c r="N415" t="inlineStr">
        <is>
          <t>Spiritual Nurture of Children</t>
        </is>
      </c>
      <c r="O415" t="inlineStr">
        <is>
          <t>Ind St:Fdns of Bibl Spirituaty</t>
        </is>
      </c>
    </row>
    <row r="416">
      <c r="H416" t="inlineStr">
        <is>
          <t>3394-01</t>
        </is>
      </c>
      <c r="N416" t="inlineStr">
        <is>
          <t>Spiritual&amp;Theo Found Ministry</t>
        </is>
      </c>
      <c r="O416" t="inlineStr">
        <is>
          <t>Ind St:Field Rsrch for Mission</t>
        </is>
      </c>
    </row>
    <row r="417">
      <c r="H417" t="inlineStr">
        <is>
          <t>3394-02</t>
        </is>
      </c>
      <c r="N417" t="inlineStr">
        <is>
          <t>Stewardshp, Church &amp; Pers Res</t>
        </is>
      </c>
      <c r="O417" t="inlineStr">
        <is>
          <t>Ind St:Fnd of Bblcl Sprtlty</t>
        </is>
      </c>
    </row>
    <row r="418">
      <c r="H418" t="inlineStr">
        <is>
          <t>3395-01</t>
        </is>
      </c>
      <c r="N418" t="inlineStr">
        <is>
          <t>Strategies World Mission</t>
        </is>
      </c>
      <c r="O418" t="inlineStr">
        <is>
          <t>Ind St:Grt Contr Cov Law, Sabb</t>
        </is>
      </c>
    </row>
    <row r="419">
      <c r="H419" t="inlineStr">
        <is>
          <t>3396-01</t>
        </is>
      </c>
      <c r="N419" t="inlineStr">
        <is>
          <t>Strategy Development I</t>
        </is>
      </c>
      <c r="O419" t="inlineStr">
        <is>
          <t>Ind St:Grt Contrv, Cov La, Sab</t>
        </is>
      </c>
    </row>
    <row r="420">
      <c r="H420" t="inlineStr">
        <is>
          <t>3396-02</t>
        </is>
      </c>
      <c r="N420" t="inlineStr">
        <is>
          <t>Strategy Development II</t>
        </is>
      </c>
      <c r="O420" t="inlineStr">
        <is>
          <t>Ind St:GSEM706 Sp&amp;Theo Foundts</t>
        </is>
      </c>
    </row>
    <row r="421">
      <c r="H421" t="inlineStr">
        <is>
          <t>3397-01</t>
        </is>
      </c>
      <c r="N421" t="inlineStr">
        <is>
          <t>Stud in the Pentateuch (Engl)</t>
        </is>
      </c>
      <c r="O421" t="inlineStr">
        <is>
          <t>Ind St:Hebrews - Text Analysis</t>
        </is>
      </c>
    </row>
    <row r="422">
      <c r="H422" t="inlineStr">
        <is>
          <t>3397-02</t>
        </is>
      </c>
      <c r="N422" t="inlineStr">
        <is>
          <t>Studies in Church History</t>
        </is>
      </c>
      <c r="O422" t="inlineStr">
        <is>
          <t>Ind St:Hist of Adventist Theo</t>
        </is>
      </c>
    </row>
    <row r="423">
      <c r="H423" t="inlineStr">
        <is>
          <t>3398-01</t>
        </is>
      </c>
      <c r="N423" t="inlineStr">
        <is>
          <t>Studies in Daniel (Engl)</t>
        </is>
      </c>
      <c r="O423" t="inlineStr">
        <is>
          <t>Ind St:History of SDA Theology</t>
        </is>
      </c>
    </row>
    <row r="424">
      <c r="H424" t="inlineStr">
        <is>
          <t>3398-02</t>
        </is>
      </c>
      <c r="N424" t="inlineStr">
        <is>
          <t>Studies in Hebrews</t>
        </is>
      </c>
      <c r="O424" t="inlineStr">
        <is>
          <t>Ind St:History SDA Development</t>
        </is>
      </c>
    </row>
    <row r="425">
      <c r="H425" t="inlineStr">
        <is>
          <t>3399-01</t>
        </is>
      </c>
      <c r="N425" t="inlineStr">
        <is>
          <t>Studies in OT Exegesis</t>
        </is>
      </c>
      <c r="O425" t="inlineStr">
        <is>
          <t>Ind St:Hstry of Sabbath&amp;Sunday</t>
        </is>
      </c>
    </row>
    <row r="426">
      <c r="H426" t="inlineStr">
        <is>
          <t>3399-02</t>
        </is>
      </c>
      <c r="N426" t="inlineStr">
        <is>
          <t>Studies in Pauline Writings</t>
        </is>
      </c>
      <c r="O426" t="inlineStr">
        <is>
          <t>Ind St:Hx of SDA Theology</t>
        </is>
      </c>
    </row>
    <row r="427">
      <c r="H427" t="inlineStr">
        <is>
          <t>340-01</t>
        </is>
      </c>
      <c r="N427" t="inlineStr">
        <is>
          <t>Studies in Prophets (Engl)</t>
        </is>
      </c>
      <c r="O427" t="inlineStr">
        <is>
          <t>Ind St:Meth of OT Exegesis</t>
        </is>
      </c>
    </row>
    <row r="428">
      <c r="H428" t="inlineStr">
        <is>
          <t>3400-01</t>
        </is>
      </c>
      <c r="N428" t="inlineStr">
        <is>
          <t>Studies in the Gospels</t>
        </is>
      </c>
      <c r="O428" t="inlineStr">
        <is>
          <t>Ind St:Millerite&amp; Sab Adv Hist</t>
        </is>
      </c>
    </row>
    <row r="429">
      <c r="H429" t="inlineStr">
        <is>
          <t>3400-02</t>
        </is>
      </c>
      <c r="N429" t="inlineStr">
        <is>
          <t>Studies Old Testament Issues</t>
        </is>
      </c>
      <c r="O429" t="inlineStr">
        <is>
          <t>Ind St:Min to Yth &amp; Yng Adlt</t>
        </is>
      </c>
    </row>
    <row r="430">
      <c r="H430" t="inlineStr">
        <is>
          <t>3401-01</t>
        </is>
      </c>
      <c r="N430" t="inlineStr">
        <is>
          <t>Study Tour:</t>
        </is>
      </c>
      <c r="O430" t="inlineStr">
        <is>
          <t>Ind St:Min Youth &amp; Young Adult</t>
        </is>
      </c>
    </row>
    <row r="431">
      <c r="H431" t="inlineStr">
        <is>
          <t>3402-01</t>
        </is>
      </c>
      <c r="N431" t="inlineStr">
        <is>
          <t>Suffering, Death&amp;Resurrection</t>
        </is>
      </c>
      <c r="O431" t="inlineStr">
        <is>
          <t>Ind St:Mnstry to At Risk Youth</t>
        </is>
      </c>
    </row>
    <row r="432">
      <c r="H432" t="inlineStr">
        <is>
          <t>3404-01</t>
        </is>
      </c>
      <c r="N432" t="inlineStr">
        <is>
          <t>Survey of Church History</t>
        </is>
      </c>
      <c r="O432" t="inlineStr">
        <is>
          <t>Ind St:Mssn in Cult &amp; rel Cntx</t>
        </is>
      </c>
    </row>
    <row r="433">
      <c r="H433" t="inlineStr">
        <is>
          <t>3405-01</t>
        </is>
      </c>
      <c r="N433" t="inlineStr">
        <is>
          <t>Survey of the Old Testament</t>
        </is>
      </c>
      <c r="O433" t="inlineStr">
        <is>
          <t>Ind St:NT Backgrounds</t>
        </is>
      </c>
    </row>
    <row r="434">
      <c r="H434" t="inlineStr">
        <is>
          <t>3406-01</t>
        </is>
      </c>
      <c r="N434" t="inlineStr">
        <is>
          <t>Survey of the Pentateuch</t>
        </is>
      </c>
      <c r="O434" t="inlineStr">
        <is>
          <t>Ind St:NT Theology &amp; Ethics</t>
        </is>
      </c>
    </row>
    <row r="435">
      <c r="H435" t="inlineStr">
        <is>
          <t>341-01</t>
        </is>
      </c>
      <c r="N435" t="inlineStr">
        <is>
          <t>Synth in Discipleship Life Ed</t>
        </is>
      </c>
      <c r="O435" t="inlineStr">
        <is>
          <t>Ind St:Pauline Writings</t>
        </is>
      </c>
    </row>
    <row r="436">
      <c r="H436" t="inlineStr">
        <is>
          <t>3415-01</t>
        </is>
      </c>
      <c r="N436" t="inlineStr">
        <is>
          <t>Synthesis in Relg Education</t>
        </is>
      </c>
      <c r="O436" t="inlineStr">
        <is>
          <t>Ind St:Personal Evangelism</t>
        </is>
      </c>
    </row>
    <row r="437">
      <c r="H437" t="inlineStr">
        <is>
          <t>3419-01</t>
        </is>
      </c>
      <c r="N437" t="inlineStr">
        <is>
          <t>Tch Adv Hist &amp; Life/Write EGW</t>
        </is>
      </c>
      <c r="O437" t="inlineStr">
        <is>
          <t>Ind St:Prep Cross-cult Workers</t>
        </is>
      </c>
    </row>
    <row r="438">
      <c r="H438" t="inlineStr">
        <is>
          <t>3419-02</t>
        </is>
      </c>
      <c r="N438" t="inlineStr">
        <is>
          <t>Teaching for Discipleship</t>
        </is>
      </c>
      <c r="O438" t="inlineStr">
        <is>
          <t>Ind St:Prin of Hermeneutics</t>
        </is>
      </c>
    </row>
    <row r="439">
      <c r="H439" t="inlineStr">
        <is>
          <t>342-01</t>
        </is>
      </c>
      <c r="N439" t="inlineStr">
        <is>
          <t>Teaching Religion in College</t>
        </is>
      </c>
      <c r="O439" t="inlineStr">
        <is>
          <t>Ind St:Rchng the Secular Mind</t>
        </is>
      </c>
    </row>
    <row r="440">
      <c r="H440" t="inlineStr">
        <is>
          <t>3420-01</t>
        </is>
      </c>
      <c r="N440" t="inlineStr">
        <is>
          <t>Textural Criticism</t>
        </is>
      </c>
      <c r="O440" t="inlineStr">
        <is>
          <t>Ind St:Reform Philosoph &amp; Theo</t>
        </is>
      </c>
    </row>
    <row r="441">
      <c r="H441" t="inlineStr">
        <is>
          <t>3420-02</t>
        </is>
      </c>
      <c r="N441" t="inlineStr">
        <is>
          <t>The Bible &amp; Biblical History</t>
        </is>
      </c>
      <c r="O441" t="inlineStr">
        <is>
          <t>Ind St:Relief Dvlpmnt&amp;Holistic</t>
        </is>
      </c>
    </row>
    <row r="442">
      <c r="H442" t="inlineStr">
        <is>
          <t>3421-01</t>
        </is>
      </c>
      <c r="N442" t="inlineStr">
        <is>
          <t>The Bible and Biblical History</t>
        </is>
      </c>
      <c r="O442" t="inlineStr">
        <is>
          <t>Ind St:Rev Insp Herm</t>
        </is>
      </c>
    </row>
    <row r="443">
      <c r="H443" t="inlineStr">
        <is>
          <t>343-01</t>
        </is>
      </c>
      <c r="N443" t="inlineStr">
        <is>
          <t>The Changing Church</t>
        </is>
      </c>
      <c r="O443" t="inlineStr">
        <is>
          <t>Ind St:Scnctuary Typology</t>
        </is>
      </c>
    </row>
    <row r="444">
      <c r="H444" t="inlineStr">
        <is>
          <t>344-01</t>
        </is>
      </c>
      <c r="N444" t="inlineStr">
        <is>
          <t>The Church &amp; Social Issues</t>
        </is>
      </c>
      <c r="O444" t="inlineStr">
        <is>
          <t>Ind St:Sem in NT Theo &amp; Ethics</t>
        </is>
      </c>
    </row>
    <row r="445">
      <c r="H445" t="inlineStr">
        <is>
          <t>345-01</t>
        </is>
      </c>
      <c r="N445" t="inlineStr">
        <is>
          <t>The Church in the City</t>
        </is>
      </c>
      <c r="O445" t="inlineStr">
        <is>
          <t>Ind St:Social Sciences&amp;Mission</t>
        </is>
      </c>
    </row>
    <row r="446">
      <c r="H446" t="inlineStr">
        <is>
          <t>3451-01</t>
        </is>
      </c>
      <c r="N446" t="inlineStr">
        <is>
          <t>The Early Church to AD 604</t>
        </is>
      </c>
      <c r="O446" t="inlineStr">
        <is>
          <t>Ind St:Spir&amp;Theo Found Ministr</t>
        </is>
      </c>
    </row>
    <row r="447">
      <c r="H447" t="inlineStr">
        <is>
          <t>3451-02</t>
        </is>
      </c>
      <c r="N447" t="inlineStr">
        <is>
          <t>The Holy Spirit in the NT</t>
        </is>
      </c>
      <c r="O447" t="inlineStr">
        <is>
          <t>Ind St:Spiritual &amp; Theol Found</t>
        </is>
      </c>
    </row>
    <row r="448">
      <c r="H448" t="inlineStr">
        <is>
          <t>3451-03</t>
        </is>
      </c>
      <c r="N448" t="inlineStr">
        <is>
          <t>The Pastor, Church &amp; Civil Law</t>
        </is>
      </c>
      <c r="O448" t="inlineStr">
        <is>
          <t>Ind St:Sprtl Nurtr f Chldrn</t>
        </is>
      </c>
    </row>
    <row r="449">
      <c r="H449" t="inlineStr">
        <is>
          <t>3451-04</t>
        </is>
      </c>
      <c r="N449" t="inlineStr">
        <is>
          <t>The Works of Christ</t>
        </is>
      </c>
      <c r="O449" t="inlineStr">
        <is>
          <t>Ind St:Sprtl Theo Fndatns Min</t>
        </is>
      </c>
    </row>
    <row r="450">
      <c r="H450" t="inlineStr">
        <is>
          <t>3451-05</t>
        </is>
      </c>
      <c r="N450" t="inlineStr">
        <is>
          <t>The Works of God</t>
        </is>
      </c>
      <c r="O450" t="inlineStr">
        <is>
          <t>Ind St:Srvy of the Pentateuch</t>
        </is>
      </c>
    </row>
    <row r="451">
      <c r="H451" t="inlineStr">
        <is>
          <t>3452-01</t>
        </is>
      </c>
      <c r="N451" t="inlineStr">
        <is>
          <t>Theo of the English NT:</t>
        </is>
      </c>
      <c r="O451" t="inlineStr">
        <is>
          <t>Ind St:Stdies in Chrch History</t>
        </is>
      </c>
    </row>
    <row r="452">
      <c r="H452" t="inlineStr">
        <is>
          <t>3453-01</t>
        </is>
      </c>
      <c r="N452" t="inlineStr">
        <is>
          <t>Theo&amp;Hist Perspectve Discplshp</t>
        </is>
      </c>
      <c r="O452" t="inlineStr">
        <is>
          <t>Ind St:Strat for World Mission</t>
        </is>
      </c>
    </row>
    <row r="453">
      <c r="H453" t="inlineStr">
        <is>
          <t>346-01</t>
        </is>
      </c>
      <c r="N453" t="inlineStr">
        <is>
          <t>Theo&amp;Soc Sc Fnd ME/MC Miss&amp;Min</t>
        </is>
      </c>
      <c r="O453" t="inlineStr">
        <is>
          <t>Ind St:Strtgs for Wrld Mission</t>
        </is>
      </c>
    </row>
    <row r="454">
      <c r="H454" t="inlineStr">
        <is>
          <t>347-01</t>
        </is>
      </c>
      <c r="N454" t="inlineStr">
        <is>
          <t>Theological Ethics</t>
        </is>
      </c>
      <c r="O454" t="inlineStr">
        <is>
          <t>Ind St:Stud in Church History</t>
        </is>
      </c>
    </row>
    <row r="455">
      <c r="H455" t="inlineStr">
        <is>
          <t>349-01</t>
        </is>
      </c>
      <c r="N455" t="inlineStr">
        <is>
          <t>Theologicl Found Christian Tch</t>
        </is>
      </c>
      <c r="O455" t="inlineStr">
        <is>
          <t>Ind St:Stud in Disc&amp;Lfspn Educ</t>
        </is>
      </c>
    </row>
    <row r="456">
      <c r="H456" t="inlineStr">
        <is>
          <t>350-01</t>
        </is>
      </c>
      <c r="N456" t="inlineStr">
        <is>
          <t>Theology Hebrew Scriptures</t>
        </is>
      </c>
      <c r="O456" t="inlineStr">
        <is>
          <t>Ind St:Studies in Church Hist</t>
        </is>
      </c>
    </row>
    <row r="457">
      <c r="H457" t="inlineStr">
        <is>
          <t>351-01</t>
        </is>
      </c>
      <c r="N457" t="inlineStr">
        <is>
          <t>Theology of E. G. White</t>
        </is>
      </c>
      <c r="O457" t="inlineStr">
        <is>
          <t>Ind St:StudiesInChurchHistory</t>
        </is>
      </c>
    </row>
    <row r="458">
      <c r="H458" t="inlineStr">
        <is>
          <t>352-01</t>
        </is>
      </c>
      <c r="N458" t="inlineStr">
        <is>
          <t>Theology of Mission</t>
        </is>
      </c>
      <c r="O458" t="inlineStr">
        <is>
          <t>Ind St:Tchng for Discipleship</t>
        </is>
      </c>
    </row>
    <row r="459">
      <c r="H459" t="inlineStr">
        <is>
          <t>3528-01</t>
        </is>
      </c>
      <c r="N459" t="inlineStr">
        <is>
          <t>Theology of Pauline Epistles</t>
        </is>
      </c>
      <c r="O459" t="inlineStr">
        <is>
          <t>Ind St:Teaching for Disciplesh</t>
        </is>
      </c>
    </row>
    <row r="460">
      <c r="H460" t="inlineStr">
        <is>
          <t>3528-02</t>
        </is>
      </c>
      <c r="N460" t="inlineStr">
        <is>
          <t>Theology of Synoptic Gospels</t>
        </is>
      </c>
      <c r="O460" t="inlineStr">
        <is>
          <t>Ind St:TeachingforDiscipleship</t>
        </is>
      </c>
    </row>
    <row r="461">
      <c r="H461" t="inlineStr">
        <is>
          <t>3528-03</t>
        </is>
      </c>
      <c r="N461" t="inlineStr">
        <is>
          <t>Theology of the Old Testament</t>
        </is>
      </c>
      <c r="O461" t="inlineStr">
        <is>
          <t>Ind St:Textual Criticism</t>
        </is>
      </c>
    </row>
    <row r="462">
      <c r="H462" t="inlineStr">
        <is>
          <t>3528-04</t>
        </is>
      </c>
      <c r="N462" t="inlineStr">
        <is>
          <t>Theory&amp;Rsrch in Chaplaincy</t>
        </is>
      </c>
      <c r="O462" t="inlineStr">
        <is>
          <t>Ind St:The Changing Church</t>
        </is>
      </c>
    </row>
    <row r="463">
      <c r="H463" t="inlineStr">
        <is>
          <t>3528-05</t>
        </is>
      </c>
      <c r="N463" t="inlineStr">
        <is>
          <t>Thesis</t>
        </is>
      </c>
      <c r="O463" t="inlineStr">
        <is>
          <t>Ind St:Theology &amp; Peace Build</t>
        </is>
      </c>
    </row>
    <row r="464">
      <c r="H464" t="inlineStr">
        <is>
          <t>3528-06</t>
        </is>
      </c>
      <c r="N464" t="inlineStr">
        <is>
          <t>Thesis for MA Degree</t>
        </is>
      </c>
      <c r="O464" t="inlineStr">
        <is>
          <t>Ind St:Theology of Mission</t>
        </is>
      </c>
    </row>
    <row r="465">
      <c r="H465" t="inlineStr">
        <is>
          <t>3528-07</t>
        </is>
      </c>
      <c r="N465" t="inlineStr">
        <is>
          <t>Tools for Pastor's Spouse</t>
        </is>
      </c>
      <c r="O465" t="inlineStr">
        <is>
          <t>Ind St:Wtnss Pstmdrn&amp;Secular</t>
        </is>
      </c>
    </row>
    <row r="466">
      <c r="H466" t="inlineStr">
        <is>
          <t>3528-08</t>
        </is>
      </c>
      <c r="N466" t="inlineStr">
        <is>
          <t>Top in Advnt St _____</t>
        </is>
      </c>
      <c r="O466" t="inlineStr">
        <is>
          <t>Ind St:Y&amp;YA Cntmprry Cltr</t>
        </is>
      </c>
    </row>
    <row r="467">
      <c r="H467" t="inlineStr">
        <is>
          <t>3528-09</t>
        </is>
      </c>
      <c r="N467" t="inlineStr">
        <is>
          <t>Top in New Testmnt Theo:</t>
        </is>
      </c>
      <c r="O467" t="inlineStr">
        <is>
          <t>Ind Stdy:</t>
        </is>
      </c>
    </row>
    <row r="468">
      <c r="H468" t="inlineStr">
        <is>
          <t>3528-10</t>
        </is>
      </c>
      <c r="N468" t="inlineStr">
        <is>
          <t>Top in NT Backgrounds</t>
        </is>
      </c>
      <c r="O468" t="inlineStr">
        <is>
          <t>Ind Stdy: Church Growth</t>
        </is>
      </c>
    </row>
    <row r="469">
      <c r="H469" t="inlineStr">
        <is>
          <t>3531-01</t>
        </is>
      </c>
      <c r="N469" t="inlineStr">
        <is>
          <t>Top in Urban Min:</t>
        </is>
      </c>
      <c r="O469" t="inlineStr">
        <is>
          <t>Ind Stdy: Coaching for Mission</t>
        </is>
      </c>
    </row>
    <row r="470">
      <c r="H470" t="inlineStr">
        <is>
          <t>3549-01</t>
        </is>
      </c>
      <c r="N470" t="inlineStr">
        <is>
          <t>Top NT Exegesis:</t>
        </is>
      </c>
      <c r="O470" t="inlineStr">
        <is>
          <t>Ind Stdy: Death &amp; Grief</t>
        </is>
      </c>
    </row>
    <row r="471">
      <c r="H471" t="inlineStr">
        <is>
          <t>356-01</t>
        </is>
      </c>
      <c r="N471" t="inlineStr">
        <is>
          <t>Top:</t>
        </is>
      </c>
      <c r="O471" t="inlineStr">
        <is>
          <t>Ind Stdy: Field Evangelism</t>
        </is>
      </c>
    </row>
    <row r="472">
      <c r="H472" t="inlineStr">
        <is>
          <t>357-01</t>
        </is>
      </c>
      <c r="N472" t="inlineStr">
        <is>
          <t>Topics in</t>
        </is>
      </c>
      <c r="O472" t="inlineStr">
        <is>
          <t>Ind Stdy:Gospel of Matthew</t>
        </is>
      </c>
    </row>
    <row r="473">
      <c r="H473" t="inlineStr">
        <is>
          <t>360-01</t>
        </is>
      </c>
      <c r="N473" t="inlineStr">
        <is>
          <t>Topics in Church History:</t>
        </is>
      </c>
      <c r="O473" t="inlineStr">
        <is>
          <t>Ind Stdy:Hlth &amp; Lfstyle Transf</t>
        </is>
      </c>
    </row>
    <row r="474">
      <c r="H474" t="inlineStr">
        <is>
          <t>361-01</t>
        </is>
      </c>
      <c r="N474" t="inlineStr">
        <is>
          <t>Topics in Ministry</t>
        </is>
      </c>
      <c r="O474" t="inlineStr">
        <is>
          <t>Ind Stdy:Meth of OT Exegesisd</t>
        </is>
      </c>
    </row>
    <row r="475">
      <c r="H475" t="inlineStr">
        <is>
          <t>361-02</t>
        </is>
      </c>
      <c r="N475" t="inlineStr">
        <is>
          <t>Topics in:</t>
        </is>
      </c>
      <c r="O475" t="inlineStr">
        <is>
          <t>Ind Stdy:Moral Exmplrty in Rev</t>
        </is>
      </c>
    </row>
    <row r="476">
      <c r="H476" t="inlineStr">
        <is>
          <t>448-01</t>
        </is>
      </c>
      <c r="N476" t="inlineStr">
        <is>
          <t>Topics:</t>
        </is>
      </c>
      <c r="O476" t="inlineStr">
        <is>
          <t>Ind Stdy:OT Exegesis</t>
        </is>
      </c>
    </row>
    <row r="477">
      <c r="H477" t="inlineStr">
        <is>
          <t>448-02</t>
        </is>
      </c>
      <c r="N477" t="inlineStr">
        <is>
          <t>Transformational Leadership</t>
        </is>
      </c>
      <c r="O477" t="inlineStr">
        <is>
          <t>Ind Stdy:Personal Evang Mnstry</t>
        </is>
      </c>
    </row>
    <row r="478">
      <c r="H478" t="inlineStr">
        <is>
          <t>449-01</t>
        </is>
      </c>
      <c r="N478" t="inlineStr">
        <is>
          <t>Transfrm Lead&amp;Org Sys Thinking</t>
        </is>
      </c>
      <c r="O478" t="inlineStr">
        <is>
          <t>Ind Stdy:Princ of Hermeneutcs</t>
        </is>
      </c>
    </row>
    <row r="479">
      <c r="H479" t="inlineStr">
        <is>
          <t>516-01</t>
        </is>
      </c>
      <c r="N479" t="inlineStr">
        <is>
          <t>Trauma&amp;Adv Crisis Intervention</t>
        </is>
      </c>
      <c r="O479" t="inlineStr">
        <is>
          <t>Ind Stdy:Restoration of Israel</t>
        </is>
      </c>
    </row>
    <row r="480">
      <c r="H480" t="inlineStr">
        <is>
          <t>517-01</t>
        </is>
      </c>
      <c r="N480" t="inlineStr">
        <is>
          <t>Understanding Christian World</t>
        </is>
      </c>
      <c r="O480" t="inlineStr">
        <is>
          <t>Ind Stdy:Survy of the Pentatch</t>
        </is>
      </c>
    </row>
    <row r="481">
      <c r="H481" t="inlineStr">
        <is>
          <t>519-01</t>
        </is>
      </c>
      <c r="N481" t="inlineStr">
        <is>
          <t>Urban Church Leadership&amp;Mgmt</t>
        </is>
      </c>
      <c r="O481" t="inlineStr">
        <is>
          <t>Ind Stdy:Topics in Emotions</t>
        </is>
      </c>
    </row>
    <row r="482">
      <c r="H482" t="inlineStr">
        <is>
          <t>520-01</t>
        </is>
      </c>
      <c r="N482" t="inlineStr">
        <is>
          <t>Urban Context Mission/Ministry</t>
        </is>
      </c>
      <c r="O482" t="inlineStr">
        <is>
          <t>Ind Study: Ancient Pottery</t>
        </is>
      </c>
    </row>
    <row r="483">
      <c r="H483" t="inlineStr">
        <is>
          <t>520-02</t>
        </is>
      </c>
      <c r="N483" t="inlineStr">
        <is>
          <t>Urban Ministry Project</t>
        </is>
      </c>
      <c r="O483" t="inlineStr">
        <is>
          <t>Ind Study: Doctrine of God</t>
        </is>
      </c>
    </row>
    <row r="484">
      <c r="H484" t="inlineStr">
        <is>
          <t>520-03</t>
        </is>
      </c>
      <c r="N484" t="inlineStr">
        <is>
          <t>Wholistic Health &amp; Aging</t>
        </is>
      </c>
      <c r="O484" t="inlineStr">
        <is>
          <t>Ind Study: NT Exegesis</t>
        </is>
      </c>
    </row>
    <row r="485">
      <c r="H485" t="inlineStr">
        <is>
          <t>524-01</t>
        </is>
      </c>
      <c r="N485" t="inlineStr">
        <is>
          <t>Wholistic Healthcare Ministry</t>
        </is>
      </c>
      <c r="O485" t="inlineStr">
        <is>
          <t>Ind Study:DMin Project Seminar</t>
        </is>
      </c>
    </row>
    <row r="486">
      <c r="H486" t="inlineStr">
        <is>
          <t>524-02</t>
        </is>
      </c>
      <c r="N486" t="inlineStr">
        <is>
          <t>Witn People Another Rlg:</t>
        </is>
      </c>
      <c r="O486" t="inlineStr">
        <is>
          <t>Ind Study:NT Backgrounds</t>
        </is>
      </c>
    </row>
    <row r="487">
      <c r="H487" t="inlineStr">
        <is>
          <t>524-03</t>
        </is>
      </c>
      <c r="N487" t="inlineStr">
        <is>
          <t>Workshop</t>
        </is>
      </c>
      <c r="O487" t="inlineStr">
        <is>
          <t>Ind Sty: OT Archaeology</t>
        </is>
      </c>
    </row>
    <row r="488">
      <c r="H488" t="inlineStr">
        <is>
          <t>643-01</t>
        </is>
      </c>
      <c r="N488" t="inlineStr">
        <is>
          <t>Worship:Word &amp; Music</t>
        </is>
      </c>
      <c r="O488" t="inlineStr">
        <is>
          <t>Ind Sty: OT Backgrounds</t>
        </is>
      </c>
    </row>
    <row r="489">
      <c r="H489" t="inlineStr">
        <is>
          <t>646-01</t>
        </is>
      </c>
      <c r="N489" t="inlineStr">
        <is>
          <t>Writings</t>
        </is>
      </c>
      <c r="O489" t="inlineStr">
        <is>
          <t>Ind Sty:Dissertn Proposal Prep</t>
        </is>
      </c>
    </row>
    <row r="490">
      <c r="H490" t="inlineStr">
        <is>
          <t>647-01</t>
        </is>
      </c>
      <c r="N490" t="inlineStr">
        <is>
          <t>Yth&amp;Yng Adlt in Contmp Culture</t>
        </is>
      </c>
      <c r="O490" t="inlineStr">
        <is>
          <t>Ind:DMin Project Seminar</t>
        </is>
      </c>
    </row>
    <row r="491">
      <c r="H491" t="inlineStr">
        <is>
          <t>648-01</t>
        </is>
      </c>
      <c r="O491" t="inlineStr">
        <is>
          <t>Ind:Great Contrvrsy Chr Hist</t>
        </is>
      </c>
    </row>
    <row r="492">
      <c r="H492" t="inlineStr">
        <is>
          <t>650-01</t>
        </is>
      </c>
      <c r="O492" t="inlineStr">
        <is>
          <t>Ind:Spiritl/Theo Found for Min</t>
        </is>
      </c>
    </row>
    <row r="493">
      <c r="H493" t="inlineStr">
        <is>
          <t>651-01</t>
        </is>
      </c>
      <c r="O493" t="inlineStr">
        <is>
          <t>Ind:Spiritual &amp; Theo Found Min</t>
        </is>
      </c>
    </row>
    <row r="494">
      <c r="H494" t="inlineStr">
        <is>
          <t>653-01</t>
        </is>
      </c>
      <c r="O494" t="inlineStr">
        <is>
          <t>Ind. St:  Studies in OT Exeges</t>
        </is>
      </c>
    </row>
    <row r="495">
      <c r="H495" t="inlineStr">
        <is>
          <t>654-01</t>
        </is>
      </c>
      <c r="O495" t="inlineStr">
        <is>
          <t>Ind. Study:</t>
        </is>
      </c>
    </row>
    <row r="496">
      <c r="H496" t="inlineStr">
        <is>
          <t>655-01</t>
        </is>
      </c>
      <c r="O496" t="inlineStr">
        <is>
          <t>Ind. Study: Advanced Greek</t>
        </is>
      </c>
    </row>
    <row r="497">
      <c r="H497" t="inlineStr">
        <is>
          <t>656-01</t>
        </is>
      </c>
      <c r="O497" t="inlineStr">
        <is>
          <t>Ind. Study: Matthew</t>
        </is>
      </c>
    </row>
    <row r="498">
      <c r="H498" t="inlineStr">
        <is>
          <t>657-01</t>
        </is>
      </c>
      <c r="O498" t="inlineStr">
        <is>
          <t>Ind. Study: NT Exegesis</t>
        </is>
      </c>
    </row>
    <row r="499">
      <c r="H499" t="inlineStr">
        <is>
          <t>658-01</t>
        </is>
      </c>
      <c r="O499" t="inlineStr">
        <is>
          <t>Ind. Study: Paul &amp; Jerusalem</t>
        </is>
      </c>
    </row>
    <row r="500">
      <c r="H500" t="inlineStr">
        <is>
          <t>659-01</t>
        </is>
      </c>
      <c r="O500" t="inlineStr">
        <is>
          <t>Ind. Study:Nrrtv Thry&amp;Anlyss</t>
        </is>
      </c>
    </row>
    <row r="501">
      <c r="H501" t="inlineStr">
        <is>
          <t>660-01</t>
        </is>
      </c>
      <c r="O501" t="inlineStr">
        <is>
          <t>Indep Study: Septuagint</t>
        </is>
      </c>
    </row>
    <row r="502">
      <c r="H502" t="inlineStr">
        <is>
          <t>663-01</t>
        </is>
      </c>
      <c r="O502" t="inlineStr">
        <is>
          <t>Independent Study</t>
        </is>
      </c>
    </row>
    <row r="503">
      <c r="H503" t="inlineStr">
        <is>
          <t>664-01</t>
        </is>
      </c>
      <c r="O503" t="inlineStr">
        <is>
          <t>Independent Study:</t>
        </is>
      </c>
    </row>
    <row r="504">
      <c r="H504" t="inlineStr">
        <is>
          <t>665-01</t>
        </is>
      </c>
      <c r="O504" t="inlineStr">
        <is>
          <t>Independent Study: Text-Fabric</t>
        </is>
      </c>
    </row>
    <row r="505">
      <c r="H505" t="inlineStr">
        <is>
          <t>666-01</t>
        </is>
      </c>
      <c r="O505" t="inlineStr">
        <is>
          <t>IndepStud:Intergenerationl Min</t>
        </is>
      </c>
    </row>
    <row r="506">
      <c r="H506" t="inlineStr">
        <is>
          <t>667-01</t>
        </is>
      </c>
      <c r="O506" t="inlineStr">
        <is>
          <t>Indpndnt Study:Advntst History</t>
        </is>
      </c>
    </row>
    <row r="507">
      <c r="H507" t="inlineStr">
        <is>
          <t>668-01</t>
        </is>
      </c>
      <c r="O507" t="inlineStr">
        <is>
          <t>IndSdy:Contextualized Preachng</t>
        </is>
      </c>
    </row>
    <row r="508">
      <c r="H508" t="inlineStr">
        <is>
          <t>669-01</t>
        </is>
      </c>
      <c r="O508" t="inlineStr">
        <is>
          <t>IndSdy:Dscp in Synoptic Gospls</t>
        </is>
      </c>
    </row>
    <row r="509">
      <c r="H509" t="inlineStr">
        <is>
          <t>670-01</t>
        </is>
      </c>
      <c r="O509" t="inlineStr">
        <is>
          <t>IndSdy:Prechng Biblcl Prophecy</t>
        </is>
      </c>
    </row>
    <row r="510">
      <c r="H510" t="inlineStr">
        <is>
          <t>671-01</t>
        </is>
      </c>
      <c r="O510" t="inlineStr">
        <is>
          <t>IndSt MssninCultural&amp; ReligsCo</t>
        </is>
      </c>
    </row>
    <row r="511">
      <c r="H511" t="inlineStr">
        <is>
          <t>672-01</t>
        </is>
      </c>
      <c r="O511" t="inlineStr">
        <is>
          <t>IndSt:</t>
        </is>
      </c>
    </row>
    <row r="512">
      <c r="H512" t="inlineStr">
        <is>
          <t>673-01</t>
        </is>
      </c>
      <c r="O512" t="inlineStr">
        <is>
          <t>IndSt: AI's Influence on Theol</t>
        </is>
      </c>
    </row>
    <row r="513">
      <c r="H513" t="inlineStr">
        <is>
          <t>674-01</t>
        </is>
      </c>
      <c r="O513" t="inlineStr">
        <is>
          <t>IndSt: Catholic Sacrament Theo</t>
        </is>
      </c>
    </row>
    <row r="514">
      <c r="H514" t="inlineStr">
        <is>
          <t>675-01</t>
        </is>
      </c>
      <c r="O514" t="inlineStr">
        <is>
          <t>IndSt: Chr. Witness &amp; World Re</t>
        </is>
      </c>
    </row>
    <row r="515">
      <c r="H515" t="inlineStr">
        <is>
          <t>676-01</t>
        </is>
      </c>
      <c r="O515" t="inlineStr">
        <is>
          <t>IndSt: Conspiracy Theories</t>
        </is>
      </c>
    </row>
    <row r="516">
      <c r="H516" t="inlineStr">
        <is>
          <t>677-01</t>
        </is>
      </c>
      <c r="O516" t="inlineStr">
        <is>
          <t>IndSt: Dev of SDA Theo</t>
        </is>
      </c>
    </row>
    <row r="517">
      <c r="H517" t="inlineStr">
        <is>
          <t>677-02</t>
        </is>
      </c>
      <c r="O517" t="inlineStr">
        <is>
          <t>IndSt: Dissertation Proposal</t>
        </is>
      </c>
    </row>
    <row r="518">
      <c r="H518" t="inlineStr">
        <is>
          <t>677-03</t>
        </is>
      </c>
      <c r="O518" t="inlineStr">
        <is>
          <t>IndSt: Hist of Missn Melanesia</t>
        </is>
      </c>
    </row>
    <row r="519">
      <c r="H519" t="inlineStr">
        <is>
          <t>677-04</t>
        </is>
      </c>
      <c r="O519" t="inlineStr">
        <is>
          <t>IndSt: Knowledge &amp; Ignorance</t>
        </is>
      </c>
    </row>
    <row r="520">
      <c r="H520" t="inlineStr">
        <is>
          <t>678-01</t>
        </is>
      </c>
      <c r="O520" t="inlineStr">
        <is>
          <t>IndSt:Advntst Ledrshp Comptncy</t>
        </is>
      </c>
    </row>
    <row r="521">
      <c r="H521" t="inlineStr">
        <is>
          <t>679-01</t>
        </is>
      </c>
      <c r="O521" t="inlineStr">
        <is>
          <t>IndSt:Apoclypt Wrtngs Early Ch</t>
        </is>
      </c>
    </row>
    <row r="522">
      <c r="H522" t="inlineStr">
        <is>
          <t>680-01</t>
        </is>
      </c>
      <c r="O522" t="inlineStr">
        <is>
          <t>IndSt:Conv Pattern Chrstn Theo</t>
        </is>
      </c>
    </row>
    <row r="523">
      <c r="H523" t="inlineStr">
        <is>
          <t>681-01</t>
        </is>
      </c>
      <c r="O523" t="inlineStr">
        <is>
          <t>IndSt:Devlpmnt of SDA Theology</t>
        </is>
      </c>
    </row>
    <row r="524">
      <c r="H524" t="inlineStr">
        <is>
          <t>682-01</t>
        </is>
      </c>
      <c r="O524" t="inlineStr">
        <is>
          <t>IndSt:Disc in Synoptic Gospels</t>
        </is>
      </c>
    </row>
    <row r="525">
      <c r="H525" t="inlineStr">
        <is>
          <t>697-01</t>
        </is>
      </c>
      <c r="O525" t="inlineStr">
        <is>
          <t>IndSt:Doctrin of the Sanctuary</t>
        </is>
      </c>
    </row>
    <row r="526">
      <c r="H526" t="inlineStr">
        <is>
          <t>697-02</t>
        </is>
      </c>
      <c r="O526" t="inlineStr">
        <is>
          <t>IndSt:Doctrine ofthe Sanctuary</t>
        </is>
      </c>
    </row>
    <row r="527">
      <c r="H527" t="inlineStr">
        <is>
          <t>701-01</t>
        </is>
      </c>
      <c r="O527" t="inlineStr">
        <is>
          <t>IndSt:Doctrn of theHoly Spirit</t>
        </is>
      </c>
    </row>
    <row r="528">
      <c r="H528" t="inlineStr">
        <is>
          <t>704-01</t>
        </is>
      </c>
      <c r="O528" t="inlineStr">
        <is>
          <t>IndSt:DSRE708 Ment&amp;Coach Dscpl</t>
        </is>
      </c>
    </row>
    <row r="529">
      <c r="H529" t="inlineStr">
        <is>
          <t>704-02</t>
        </is>
      </c>
      <c r="O529" t="inlineStr">
        <is>
          <t>IndSt:Early Church Backgrounds</t>
        </is>
      </c>
    </row>
    <row r="530">
      <c r="H530" t="inlineStr">
        <is>
          <t>706-01</t>
        </is>
      </c>
      <c r="O530" t="inlineStr">
        <is>
          <t>IndSt:EGW Sabb Theology</t>
        </is>
      </c>
    </row>
    <row r="531">
      <c r="H531" t="inlineStr">
        <is>
          <t>706-02</t>
        </is>
      </c>
      <c r="O531" t="inlineStr">
        <is>
          <t>IndSt:Ellen White’s Life&amp;Wrtng</t>
        </is>
      </c>
    </row>
    <row r="532">
      <c r="H532" t="inlineStr">
        <is>
          <t>706-03</t>
        </is>
      </c>
      <c r="O532" t="inlineStr">
        <is>
          <t>IndSt:Fnd of Bblcl Spirtuality</t>
        </is>
      </c>
    </row>
    <row r="533">
      <c r="H533" t="inlineStr">
        <is>
          <t>706-04</t>
        </is>
      </c>
      <c r="O533" t="inlineStr">
        <is>
          <t>IndSt:Formatnn Evangelst Strat</t>
        </is>
      </c>
    </row>
    <row r="534">
      <c r="H534" t="inlineStr">
        <is>
          <t>707-01</t>
        </is>
      </c>
      <c r="O534" t="inlineStr">
        <is>
          <t>IndSt:Found of Bibcl Counselng</t>
        </is>
      </c>
    </row>
    <row r="535">
      <c r="H535" t="inlineStr">
        <is>
          <t>707-02</t>
        </is>
      </c>
      <c r="O535" t="inlineStr">
        <is>
          <t>IndSt:Great Cont Cov Law Sabbh</t>
        </is>
      </c>
    </row>
    <row r="536">
      <c r="H536" t="inlineStr">
        <is>
          <t>709-01</t>
        </is>
      </c>
      <c r="O536" t="inlineStr">
        <is>
          <t>IndSt:Grt Cnt, Cov Law, Sbbth</t>
        </is>
      </c>
    </row>
    <row r="537">
      <c r="H537" t="inlineStr">
        <is>
          <t>709-02</t>
        </is>
      </c>
      <c r="O537" t="inlineStr">
        <is>
          <t>IndSt:Int Dynamics of Families</t>
        </is>
      </c>
    </row>
    <row r="538">
      <c r="H538" t="inlineStr">
        <is>
          <t>712-01</t>
        </is>
      </c>
      <c r="O538" t="inlineStr">
        <is>
          <t>IndSt:Int Dynmcs of the Family</t>
        </is>
      </c>
    </row>
    <row r="539">
      <c r="H539" t="inlineStr">
        <is>
          <t>712-02</t>
        </is>
      </c>
      <c r="O539" t="inlineStr">
        <is>
          <t>IndSt:Internal Dynamics Family</t>
        </is>
      </c>
    </row>
    <row r="540">
      <c r="H540" t="inlineStr">
        <is>
          <t>718-01</t>
        </is>
      </c>
      <c r="O540" t="inlineStr">
        <is>
          <t>IndSt:Intrgenerational Minstry</t>
        </is>
      </c>
    </row>
    <row r="541">
      <c r="H541" t="inlineStr">
        <is>
          <t>718-02</t>
        </is>
      </c>
      <c r="O541" t="inlineStr">
        <is>
          <t>IndSt:Marriage,Fam&amp;Intrprs Rel</t>
        </is>
      </c>
    </row>
    <row r="542">
      <c r="H542" t="inlineStr">
        <is>
          <t>719-01</t>
        </is>
      </c>
      <c r="O542" t="inlineStr">
        <is>
          <t>IndSt:Millrite&amp;Early SabAd Hst</t>
        </is>
      </c>
    </row>
    <row r="543">
      <c r="H543" t="inlineStr">
        <is>
          <t>719-02</t>
        </is>
      </c>
      <c r="O543" t="inlineStr">
        <is>
          <t>IndSt:Monogenes Acnt Greek Lit</t>
        </is>
      </c>
    </row>
    <row r="544">
      <c r="H544" t="inlineStr">
        <is>
          <t>719-03</t>
        </is>
      </c>
      <c r="O544" t="inlineStr">
        <is>
          <t>IndSt:New Testmnt and Rhetoric</t>
        </is>
      </c>
    </row>
    <row r="545">
      <c r="H545" t="inlineStr">
        <is>
          <t>719-04</t>
        </is>
      </c>
      <c r="O545" t="inlineStr">
        <is>
          <t>IndSt:Relationship to Muslims</t>
        </is>
      </c>
    </row>
    <row r="546">
      <c r="H546" t="inlineStr">
        <is>
          <t>731-01</t>
        </is>
      </c>
      <c r="O546" t="inlineStr">
        <is>
          <t>IndSt:Revltn Insprtn Hermnutic</t>
        </is>
      </c>
    </row>
    <row r="547">
      <c r="H547" t="inlineStr">
        <is>
          <t>731-02</t>
        </is>
      </c>
      <c r="O547" t="inlineStr">
        <is>
          <t>IndSt:Sacrif Trms in Leviticus</t>
        </is>
      </c>
    </row>
    <row r="548">
      <c r="H548" t="inlineStr">
        <is>
          <t>741-01</t>
        </is>
      </c>
      <c r="O548" t="inlineStr">
        <is>
          <t>IndSt:Sffrng, Death&amp; Resurrctn</t>
        </is>
      </c>
    </row>
    <row r="549">
      <c r="H549" t="inlineStr">
        <is>
          <t>742-01</t>
        </is>
      </c>
      <c r="O549" t="inlineStr">
        <is>
          <t>IndSt:Soteriology Arminius&amp;Wes</t>
        </is>
      </c>
    </row>
    <row r="550">
      <c r="H550" t="inlineStr">
        <is>
          <t>743-01</t>
        </is>
      </c>
      <c r="O550" t="inlineStr">
        <is>
          <t>IndSt:Topics in Wrld Religions</t>
        </is>
      </c>
    </row>
    <row r="551">
      <c r="H551" t="inlineStr">
        <is>
          <t>744-01</t>
        </is>
      </c>
      <c r="O551" t="inlineStr">
        <is>
          <t>IndStdy: Bible Translation</t>
        </is>
      </c>
    </row>
    <row r="552">
      <c r="H552" t="inlineStr">
        <is>
          <t>764-01</t>
        </is>
      </c>
      <c r="O552" t="inlineStr">
        <is>
          <t>IndStdy:Bib&amp; Theo Hermeneutics</t>
        </is>
      </c>
    </row>
    <row r="553">
      <c r="H553" t="inlineStr">
        <is>
          <t>765-01</t>
        </is>
      </c>
      <c r="O553" t="inlineStr">
        <is>
          <t>IndStdy:Field Evang Preaching</t>
        </is>
      </c>
    </row>
    <row r="554">
      <c r="H554" t="inlineStr">
        <is>
          <t>841-01</t>
        </is>
      </c>
      <c r="O554" t="inlineStr">
        <is>
          <t>IndStdy:Old Testament Exegesis</t>
        </is>
      </c>
    </row>
    <row r="555">
      <c r="H555" t="inlineStr">
        <is>
          <t>841-02</t>
        </is>
      </c>
      <c r="O555" t="inlineStr">
        <is>
          <t>IndSty inAdv St:Diss Prop Prep</t>
        </is>
      </c>
    </row>
    <row r="556">
      <c r="H556" t="inlineStr">
        <is>
          <t>843-01</t>
        </is>
      </c>
      <c r="O556" t="inlineStr">
        <is>
          <t>IndSty:</t>
        </is>
      </c>
    </row>
    <row r="557">
      <c r="H557" t="inlineStr">
        <is>
          <t>843-02</t>
        </is>
      </c>
      <c r="O557" t="inlineStr">
        <is>
          <t>IndSty:Armin&amp;Wesleyn Hist&amp;Theo</t>
        </is>
      </c>
    </row>
    <row r="558">
      <c r="H558" t="inlineStr">
        <is>
          <t>849-01</t>
        </is>
      </c>
      <c r="O558" t="inlineStr">
        <is>
          <t>IndSty:Diss Proposal</t>
        </is>
      </c>
    </row>
    <row r="559">
      <c r="H559" t="inlineStr">
        <is>
          <t>850-01</t>
        </is>
      </c>
      <c r="O559" t="inlineStr">
        <is>
          <t>IndSty:Exeg in Book of Ezekiel</t>
        </is>
      </c>
    </row>
    <row r="560">
      <c r="H560" t="inlineStr">
        <is>
          <t>851-01</t>
        </is>
      </c>
      <c r="O560" t="inlineStr">
        <is>
          <t>IndSty:Hist of Prophtc Interpr</t>
        </is>
      </c>
    </row>
    <row r="561">
      <c r="H561" t="inlineStr">
        <is>
          <t>852-01</t>
        </is>
      </c>
      <c r="O561" t="inlineStr">
        <is>
          <t>InSt:IntrcultrlThelgy&amp;DigtlSpa</t>
        </is>
      </c>
    </row>
    <row r="562">
      <c r="H562" t="inlineStr">
        <is>
          <t>853-01</t>
        </is>
      </c>
      <c r="O562" t="inlineStr">
        <is>
          <t>Intcultral Min &amp; Mission</t>
        </is>
      </c>
    </row>
    <row r="563">
      <c r="H563" t="inlineStr">
        <is>
          <t>854-01</t>
        </is>
      </c>
      <c r="O563" t="inlineStr">
        <is>
          <t>Intermediate Greek</t>
        </is>
      </c>
    </row>
    <row r="564">
      <c r="H564" t="inlineStr">
        <is>
          <t>857-01</t>
        </is>
      </c>
      <c r="O564" t="inlineStr">
        <is>
          <t>Intro Exeg&amp;Theo 3:Pauline Writ</t>
        </is>
      </c>
    </row>
    <row r="565">
      <c r="O565" t="inlineStr">
        <is>
          <t>Intro Exeg&amp;Theo2:Acts&amp;Epistles</t>
        </is>
      </c>
    </row>
    <row r="566">
      <c r="O566" t="inlineStr">
        <is>
          <t>Issues in Ellen G White Stdies</t>
        </is>
      </c>
    </row>
    <row r="567">
      <c r="O567" t="inlineStr">
        <is>
          <t>Issues in Origins</t>
        </is>
      </c>
    </row>
    <row r="568">
      <c r="O568" t="inlineStr">
        <is>
          <t>Jewish Life &amp; Thought</t>
        </is>
      </c>
    </row>
    <row r="569">
      <c r="O569" t="inlineStr">
        <is>
          <t>Life &amp; Writings of E. G. White</t>
        </is>
      </c>
    </row>
    <row r="570">
      <c r="O570" t="inlineStr">
        <is>
          <t>MA Thesis</t>
        </is>
      </c>
    </row>
    <row r="571">
      <c r="O571" t="inlineStr">
        <is>
          <t>Major Prophets:</t>
        </is>
      </c>
    </row>
    <row r="572">
      <c r="O572" t="inlineStr">
        <is>
          <t>Major Prophets: Exegesis</t>
        </is>
      </c>
    </row>
    <row r="573">
      <c r="O573" t="inlineStr">
        <is>
          <t>Major Prophets: Isaiah</t>
        </is>
      </c>
    </row>
    <row r="574">
      <c r="O574" t="inlineStr">
        <is>
          <t>Major Prophets:Jeremiah</t>
        </is>
      </c>
    </row>
    <row r="575">
      <c r="O575" t="inlineStr">
        <is>
          <t>Marriage, Fam&amp;Interprsnl Reltn</t>
        </is>
      </c>
    </row>
    <row r="576">
      <c r="O576" t="inlineStr">
        <is>
          <t>Master of Divinity Thesis</t>
        </is>
      </c>
    </row>
    <row r="577">
      <c r="O577" t="inlineStr">
        <is>
          <t>Master's Degree Contin</t>
        </is>
      </c>
    </row>
    <row r="578">
      <c r="O578" t="inlineStr">
        <is>
          <t>Masters Comprehensive Exam</t>
        </is>
      </c>
    </row>
    <row r="579">
      <c r="O579" t="inlineStr">
        <is>
          <t>Media Dev &amp; Eqpng Lcal Ldrs</t>
        </is>
      </c>
    </row>
    <row r="580">
      <c r="O580" t="inlineStr">
        <is>
          <t>Media Ministry</t>
        </is>
      </c>
    </row>
    <row r="581">
      <c r="O581" t="inlineStr">
        <is>
          <t>Meth OT Exegesis (Hebw)</t>
        </is>
      </c>
    </row>
    <row r="582">
      <c r="O582" t="inlineStr">
        <is>
          <t>Methods in Biblical &amp; Theo Res</t>
        </is>
      </c>
    </row>
    <row r="583">
      <c r="O583" t="inlineStr">
        <is>
          <t>Ministry among Immigrants</t>
        </is>
      </c>
    </row>
    <row r="584">
      <c r="O584" t="inlineStr">
        <is>
          <t>Ministry to At-Risk Youth</t>
        </is>
      </c>
    </row>
    <row r="585">
      <c r="O585" t="inlineStr">
        <is>
          <t>Ministry to Youth&amp;Yng Adlt</t>
        </is>
      </c>
    </row>
    <row r="586">
      <c r="O586" t="inlineStr">
        <is>
          <t>Minor Prophets Exegesis</t>
        </is>
      </c>
    </row>
    <row r="587">
      <c r="O587" t="inlineStr">
        <is>
          <t>Mission in Cultrl&amp;Rlgs Contxt</t>
        </is>
      </c>
    </row>
    <row r="588">
      <c r="O588" t="inlineStr">
        <is>
          <t>Mobilizing for Evang Min</t>
        </is>
      </c>
    </row>
    <row r="589">
      <c r="O589" t="inlineStr">
        <is>
          <t>Mobilizing Laity Minstry Evang</t>
        </is>
      </c>
    </row>
    <row r="590">
      <c r="O590" t="inlineStr">
        <is>
          <t>New Testament Backgrounds</t>
        </is>
      </c>
    </row>
    <row r="591">
      <c r="O591" t="inlineStr">
        <is>
          <t>New Testament Ethics</t>
        </is>
      </c>
    </row>
    <row r="592">
      <c r="O592" t="inlineStr">
        <is>
          <t>NT Top:Suffering, Death &amp; Res</t>
        </is>
      </c>
    </row>
    <row r="593">
      <c r="O593" t="inlineStr">
        <is>
          <t>Pastoral Counseling</t>
        </is>
      </c>
    </row>
    <row r="594">
      <c r="O594" t="inlineStr">
        <is>
          <t>Pentateuch</t>
        </is>
      </c>
    </row>
    <row r="595">
      <c r="O595" t="inlineStr">
        <is>
          <t>Pentateuch (Hebrew)</t>
        </is>
      </c>
    </row>
    <row r="596">
      <c r="O596" t="inlineStr">
        <is>
          <t>Personal Evangelistic Ministry</t>
        </is>
      </c>
    </row>
    <row r="597">
      <c r="O597" t="inlineStr">
        <is>
          <t>PhD (DSLE) Prog Cont</t>
        </is>
      </c>
    </row>
    <row r="598">
      <c r="O598" t="inlineStr">
        <is>
          <t>PhD (Rel Education) Prog Cont</t>
        </is>
      </c>
    </row>
    <row r="599">
      <c r="O599" t="inlineStr">
        <is>
          <t>PhD-ThD Colloquium</t>
        </is>
      </c>
    </row>
    <row r="600">
      <c r="O600" t="inlineStr">
        <is>
          <t>PhD-ThD Comp Exams</t>
        </is>
      </c>
    </row>
    <row r="601">
      <c r="O601" t="inlineStr">
        <is>
          <t>PhD-ThD Diss Prop Prep</t>
        </is>
      </c>
    </row>
    <row r="602">
      <c r="O602" t="inlineStr">
        <is>
          <t>PhD-ThD Diss Proposal Sem</t>
        </is>
      </c>
    </row>
    <row r="603">
      <c r="O603" t="inlineStr">
        <is>
          <t>PhD-ThD Dissertation</t>
        </is>
      </c>
    </row>
    <row r="604">
      <c r="O604" t="inlineStr">
        <is>
          <t>Phil &amp; Ethics in Chaplaincy</t>
        </is>
      </c>
    </row>
    <row r="605">
      <c r="O605" t="inlineStr">
        <is>
          <t>Philosophy,Theology, &amp; Ethics</t>
        </is>
      </c>
    </row>
    <row r="606">
      <c r="O606" t="inlineStr">
        <is>
          <t>Philosphcl Foundtns for Prof</t>
        </is>
      </c>
    </row>
    <row r="607">
      <c r="O607" t="inlineStr">
        <is>
          <t>Postdoctoral Research Project</t>
        </is>
      </c>
    </row>
    <row r="608">
      <c r="O608" t="inlineStr">
        <is>
          <t>Postdoctoral Seminar</t>
        </is>
      </c>
    </row>
    <row r="609">
      <c r="O609" t="inlineStr">
        <is>
          <t>Pract Clinl Past Educ:Clinical</t>
        </is>
      </c>
    </row>
    <row r="610">
      <c r="O610" t="inlineStr">
        <is>
          <t>Pract:CPE</t>
        </is>
      </c>
    </row>
    <row r="611">
      <c r="O611" t="inlineStr">
        <is>
          <t>Practicum Clin Pastoral Educ</t>
        </is>
      </c>
    </row>
    <row r="612">
      <c r="O612" t="inlineStr">
        <is>
          <t>Practicum Military Chaplaincy</t>
        </is>
      </c>
    </row>
    <row r="613">
      <c r="O613" t="inlineStr">
        <is>
          <t>Practicum Miltary Chaplaincy</t>
        </is>
      </c>
    </row>
    <row r="614">
      <c r="O614" t="inlineStr">
        <is>
          <t>Prch Literary Forms of Bible</t>
        </is>
      </c>
    </row>
    <row r="615">
      <c r="O615" t="inlineStr">
        <is>
          <t>Preaching frm Daniel</t>
        </is>
      </c>
    </row>
    <row r="616">
      <c r="O616" t="inlineStr">
        <is>
          <t>Preaching frm Rev</t>
        </is>
      </c>
    </row>
    <row r="617">
      <c r="O617" t="inlineStr">
        <is>
          <t>Preaching frm Revelation</t>
        </is>
      </c>
    </row>
    <row r="618">
      <c r="O618" t="inlineStr">
        <is>
          <t>Preaching from Daniel</t>
        </is>
      </c>
    </row>
    <row r="619">
      <c r="O619" t="inlineStr">
        <is>
          <t>Preaching from Revelation</t>
        </is>
      </c>
    </row>
    <row r="620">
      <c r="O620" t="inlineStr">
        <is>
          <t>Preaching from the New Testmnt</t>
        </is>
      </c>
    </row>
    <row r="621">
      <c r="O621" t="inlineStr">
        <is>
          <t>Prep for Comprehensive Exams</t>
        </is>
      </c>
    </row>
    <row r="622">
      <c r="O622" t="inlineStr">
        <is>
          <t>Principles of Christian Ethics</t>
        </is>
      </c>
    </row>
    <row r="623">
      <c r="O623" t="inlineStr">
        <is>
          <t>Principles&amp;Methods of Theology</t>
        </is>
      </c>
    </row>
    <row r="624">
      <c r="O624" t="inlineStr">
        <is>
          <t>Prophets</t>
        </is>
      </c>
    </row>
    <row r="625">
      <c r="O625" t="inlineStr">
        <is>
          <t>Protestant Theologicl Heritage</t>
        </is>
      </c>
    </row>
    <row r="626">
      <c r="O626" t="inlineStr">
        <is>
          <t>Psalms/Wisdom Lit</t>
        </is>
      </c>
    </row>
    <row r="627">
      <c r="O627" t="inlineStr">
        <is>
          <t>Psalms/Wisdom Lit (Hebrew)</t>
        </is>
      </c>
    </row>
    <row r="628">
      <c r="O628" t="inlineStr">
        <is>
          <t>Psalms/Wisdom Literature</t>
        </is>
      </c>
    </row>
    <row r="629">
      <c r="O629" t="inlineStr">
        <is>
          <t>Rdngs in the OT (Engl):Daniel</t>
        </is>
      </c>
    </row>
    <row r="630">
      <c r="O630" t="inlineStr">
        <is>
          <t>Rdngs int the Pauline Writings</t>
        </is>
      </c>
    </row>
    <row r="631">
      <c r="O631" t="inlineStr">
        <is>
          <t>Rdngs Proph(Engl):Esther</t>
        </is>
      </c>
    </row>
    <row r="632">
      <c r="O632" t="inlineStr">
        <is>
          <t>Reaching the Secular Mind</t>
        </is>
      </c>
    </row>
    <row r="633">
      <c r="O633" t="inlineStr">
        <is>
          <t>Readings Engl OT:Prophets</t>
        </is>
      </c>
    </row>
    <row r="634">
      <c r="O634" t="inlineStr">
        <is>
          <t>Readings in Daniel (Engl)</t>
        </is>
      </c>
    </row>
    <row r="635">
      <c r="O635" t="inlineStr">
        <is>
          <t>Readings in Prophets (Engl)</t>
        </is>
      </c>
    </row>
    <row r="636">
      <c r="O636" t="inlineStr">
        <is>
          <t>Readings in Revelation</t>
        </is>
      </c>
    </row>
    <row r="637">
      <c r="O637" t="inlineStr">
        <is>
          <t>Readings in the Eng OT:Daniel</t>
        </is>
      </c>
    </row>
    <row r="638">
      <c r="O638" t="inlineStr">
        <is>
          <t>Readings in the Gospels</t>
        </is>
      </c>
    </row>
    <row r="639">
      <c r="O639" t="inlineStr">
        <is>
          <t>Readings in the OT (English)</t>
        </is>
      </c>
    </row>
    <row r="640">
      <c r="O640" t="inlineStr">
        <is>
          <t>Readings in the OT:Daniel</t>
        </is>
      </c>
    </row>
    <row r="641">
      <c r="O641" t="inlineStr">
        <is>
          <t>Reform-Martin Luther</t>
        </is>
      </c>
    </row>
    <row r="642">
      <c r="O642" t="inlineStr">
        <is>
          <t>Reformation: Martin Luther</t>
        </is>
      </c>
    </row>
    <row r="643">
      <c r="O643" t="inlineStr">
        <is>
          <t>Reformation:Reform Theology</t>
        </is>
      </c>
    </row>
    <row r="644">
      <c r="O644" t="inlineStr">
        <is>
          <t>Reformatn:Radical Reformation</t>
        </is>
      </c>
    </row>
    <row r="645">
      <c r="O645" t="inlineStr">
        <is>
          <t>Research Project</t>
        </is>
      </c>
    </row>
    <row r="646">
      <c r="O646" t="inlineStr">
        <is>
          <t>Revelation</t>
        </is>
      </c>
    </row>
    <row r="647">
      <c r="O647" t="inlineStr">
        <is>
          <t>Revelation, Inspiratn&amp;Herm</t>
        </is>
      </c>
    </row>
    <row r="648">
      <c r="O648" t="inlineStr">
        <is>
          <t>Revelation, Inspiratn&amp;Herment</t>
        </is>
      </c>
    </row>
    <row r="649">
      <c r="O649" t="inlineStr">
        <is>
          <t>Roman Catholic Life &amp; Thought</t>
        </is>
      </c>
    </row>
    <row r="650">
      <c r="O650" t="inlineStr">
        <is>
          <t>Scholarly and Professional Dev</t>
        </is>
      </c>
    </row>
    <row r="651">
      <c r="O651" t="inlineStr">
        <is>
          <t>Sem Adv OT Exeg:  Pentateuch</t>
        </is>
      </c>
    </row>
    <row r="652">
      <c r="O652" t="inlineStr">
        <is>
          <t>Sem Adv OT Exeg: Pentateuch</t>
        </is>
      </c>
    </row>
    <row r="653">
      <c r="O653" t="inlineStr">
        <is>
          <t>Sem Adv OT Exeg:Major Prophets</t>
        </is>
      </c>
    </row>
    <row r="654">
      <c r="O654" t="inlineStr">
        <is>
          <t>Sem Adv OT Exegesis</t>
        </is>
      </c>
    </row>
    <row r="655">
      <c r="O655" t="inlineStr">
        <is>
          <t>Sem Adv OT Exegesis:Pentateuch</t>
        </is>
      </c>
    </row>
    <row r="656">
      <c r="O656" t="inlineStr">
        <is>
          <t>Sem Adv St: Theology of EGW</t>
        </is>
      </c>
    </row>
    <row r="657">
      <c r="O657" t="inlineStr">
        <is>
          <t>Sem Adv St:Tchng Adv Hist&amp; EGW</t>
        </is>
      </c>
    </row>
    <row r="658">
      <c r="O658" t="inlineStr">
        <is>
          <t>Sem AdvSt: Theo of EGW</t>
        </is>
      </c>
    </row>
    <row r="659">
      <c r="O659" t="inlineStr">
        <is>
          <t>Sem Arch &amp; Hist of Antiquity</t>
        </is>
      </c>
    </row>
    <row r="660">
      <c r="O660" t="inlineStr">
        <is>
          <t>Sem CHIS:Nat Theo &amp; Moral Phil</t>
        </is>
      </c>
    </row>
    <row r="661">
      <c r="O661" t="inlineStr">
        <is>
          <t>Sem EGW &amp; Adv Research</t>
        </is>
      </c>
    </row>
    <row r="662">
      <c r="O662" t="inlineStr">
        <is>
          <t>Sem EGW &amp; Lts/Mss Annotation</t>
        </is>
      </c>
    </row>
    <row r="663">
      <c r="O663" t="inlineStr">
        <is>
          <t>Sem Ethics:Postmodern Ethics</t>
        </is>
      </c>
    </row>
    <row r="664">
      <c r="O664" t="inlineStr">
        <is>
          <t>Sem Exgsis/Herm:Nartiv Anlysis</t>
        </is>
      </c>
    </row>
    <row r="665">
      <c r="O665" t="inlineStr">
        <is>
          <t>Sem His Theo: Theo of EGW</t>
        </is>
      </c>
    </row>
    <row r="666">
      <c r="O666" t="inlineStr">
        <is>
          <t>Sem Hist of Inter of Gen</t>
        </is>
      </c>
    </row>
    <row r="667">
      <c r="O667" t="inlineStr">
        <is>
          <t>Sem Hist Theo: Justification</t>
        </is>
      </c>
    </row>
    <row r="668">
      <c r="O668" t="inlineStr">
        <is>
          <t>Sem Hist Theo:Auth. in Church</t>
        </is>
      </c>
    </row>
    <row r="669">
      <c r="O669" t="inlineStr">
        <is>
          <t>Sem Historical Theo:Sacraments</t>
        </is>
      </c>
    </row>
    <row r="670">
      <c r="O670" t="inlineStr">
        <is>
          <t>Sem History of Mission</t>
        </is>
      </c>
    </row>
    <row r="671">
      <c r="O671" t="inlineStr">
        <is>
          <t>Sem in Adv His f ANE: Msptmia</t>
        </is>
      </c>
    </row>
    <row r="672">
      <c r="O672" t="inlineStr">
        <is>
          <t>Sem in Adv Hst of ANE: Msptmia</t>
        </is>
      </c>
    </row>
    <row r="673">
      <c r="O673" t="inlineStr">
        <is>
          <t>Sem in Biblcl Theo:Eschatology</t>
        </is>
      </c>
    </row>
    <row r="674">
      <c r="O674" t="inlineStr">
        <is>
          <t>Sem in Biblical Theology</t>
        </is>
      </c>
    </row>
    <row r="675">
      <c r="O675" t="inlineStr">
        <is>
          <t>Sem in CHIS: Historiography</t>
        </is>
      </c>
    </row>
    <row r="676">
      <c r="O676" t="inlineStr">
        <is>
          <t>Sem in Church Hist:</t>
        </is>
      </c>
    </row>
    <row r="677">
      <c r="O677" t="inlineStr">
        <is>
          <t>Sem in Greek Exeg:1-2 Peter</t>
        </is>
      </c>
    </row>
    <row r="678">
      <c r="O678" t="inlineStr">
        <is>
          <t>Sem in Hist Theo:Sacraments</t>
        </is>
      </c>
    </row>
    <row r="679">
      <c r="O679" t="inlineStr">
        <is>
          <t>Sem in NT Exgsis &amp; Hermn:Rvltn</t>
        </is>
      </c>
    </row>
    <row r="680">
      <c r="O680" t="inlineStr">
        <is>
          <t>Sem In NT Theo:Theo of Hebrews</t>
        </is>
      </c>
    </row>
    <row r="681">
      <c r="O681" t="inlineStr">
        <is>
          <t>Sem in Old Testament Theology</t>
        </is>
      </c>
    </row>
    <row r="682">
      <c r="O682" t="inlineStr">
        <is>
          <t>Sem in Other Religions</t>
        </is>
      </c>
    </row>
    <row r="683">
      <c r="O683" t="inlineStr">
        <is>
          <t>Sem in Systematic Theology</t>
        </is>
      </c>
    </row>
    <row r="684">
      <c r="O684" t="inlineStr">
        <is>
          <t>Sem in Systematic Theology:</t>
        </is>
      </c>
    </row>
    <row r="685">
      <c r="O685" t="inlineStr">
        <is>
          <t>Sem in Theological Issues:</t>
        </is>
      </c>
    </row>
    <row r="686">
      <c r="O686" t="inlineStr">
        <is>
          <t>Sem n Adv Arch &amp; Hst f Antqty</t>
        </is>
      </c>
    </row>
    <row r="687">
      <c r="O687" t="inlineStr">
        <is>
          <t>Sem NT Backgrnds:Greco Rom Rel</t>
        </is>
      </c>
    </row>
    <row r="688">
      <c r="O688" t="inlineStr">
        <is>
          <t>Sem NT Backgrnds:Greek &amp; Roman</t>
        </is>
      </c>
    </row>
    <row r="689">
      <c r="O689" t="inlineStr">
        <is>
          <t>Sem NT Exgsis &amp; Hermn:1&amp;2 Tim</t>
        </is>
      </c>
    </row>
    <row r="690">
      <c r="O690" t="inlineStr">
        <is>
          <t>Sem NT Exgsis &amp; Hrmn:Galatians</t>
        </is>
      </c>
    </row>
    <row r="691">
      <c r="O691" t="inlineStr">
        <is>
          <t>Sem OT Exegesis</t>
        </is>
      </c>
    </row>
    <row r="692">
      <c r="O692" t="inlineStr">
        <is>
          <t>Sem Rev&amp;Insp: Narrative Theo</t>
        </is>
      </c>
    </row>
    <row r="693">
      <c r="O693" t="inlineStr">
        <is>
          <t>Sem Social Sciences&amp;Mission</t>
        </is>
      </c>
    </row>
    <row r="694">
      <c r="O694" t="inlineStr">
        <is>
          <t>Sem Sys Theo: Christ-cent Meth</t>
        </is>
      </c>
    </row>
    <row r="695">
      <c r="O695" t="inlineStr">
        <is>
          <t>Sem Sys Theo:Ling for Theolog</t>
        </is>
      </c>
    </row>
    <row r="696">
      <c r="O696" t="inlineStr">
        <is>
          <t>Sem Syst Theo: Faith, Reason&amp;M</t>
        </is>
      </c>
    </row>
    <row r="697">
      <c r="O697" t="inlineStr">
        <is>
          <t>Sem Syst Theo: Sabb Doctr&amp;Bles</t>
        </is>
      </c>
    </row>
    <row r="698">
      <c r="O698" t="inlineStr">
        <is>
          <t>Sem SysTheo:Biblical Narrative</t>
        </is>
      </c>
    </row>
    <row r="699">
      <c r="O699" t="inlineStr">
        <is>
          <t>Sem Thel Iss: Narrative Theo</t>
        </is>
      </c>
    </row>
    <row r="700">
      <c r="O700" t="inlineStr">
        <is>
          <t>Sem Theo:The Problem of Evil</t>
        </is>
      </c>
    </row>
    <row r="701">
      <c r="O701" t="inlineStr">
        <is>
          <t>Sem Theo&amp;Ethics:Postmod Ethics</t>
        </is>
      </c>
    </row>
    <row r="702">
      <c r="O702" t="inlineStr">
        <is>
          <t>Sem Theology of Mission</t>
        </is>
      </c>
    </row>
    <row r="703">
      <c r="O703" t="inlineStr">
        <is>
          <t>Sem: Church &amp; Social Issues</t>
        </is>
      </c>
    </row>
    <row r="704">
      <c r="O704" t="inlineStr">
        <is>
          <t>Sem: Hist of Interpret. Gen1&amp;2</t>
        </is>
      </c>
    </row>
    <row r="705">
      <c r="O705" t="inlineStr">
        <is>
          <t>Sem: History of Inspiration</t>
        </is>
      </c>
    </row>
    <row r="706">
      <c r="O706" t="inlineStr">
        <is>
          <t>Sem: Other Religions</t>
        </is>
      </c>
    </row>
    <row r="707">
      <c r="O707" t="inlineStr">
        <is>
          <t>Sem: Reaching the Secular Mind</t>
        </is>
      </c>
    </row>
    <row r="708">
      <c r="O708" t="inlineStr">
        <is>
          <t>Sem: Sabbth as Dctrne &amp; Blesng</t>
        </is>
      </c>
    </row>
    <row r="709">
      <c r="O709" t="inlineStr">
        <is>
          <t>Sem: Soter of Arminius&amp;Wesley</t>
        </is>
      </c>
    </row>
    <row r="710">
      <c r="O710" t="inlineStr">
        <is>
          <t>Sem: Theological Exegesis</t>
        </is>
      </c>
    </row>
    <row r="711">
      <c r="O711" t="inlineStr">
        <is>
          <t>Sem: World Religions</t>
        </is>
      </c>
    </row>
    <row r="712">
      <c r="O712" t="inlineStr">
        <is>
          <t>Sem:Armi-Wesley&amp;Adventist Sote</t>
        </is>
      </c>
    </row>
    <row r="713">
      <c r="O713" t="inlineStr">
        <is>
          <t>Sem:Creator Creation Interactn</t>
        </is>
      </c>
    </row>
    <row r="714">
      <c r="O714" t="inlineStr">
        <is>
          <t>Sem:Discipl&amp;WorldvTransfrmatn</t>
        </is>
      </c>
    </row>
    <row r="715">
      <c r="O715" t="inlineStr">
        <is>
          <t>Sem:Hist Resrch&amp;Historiography</t>
        </is>
      </c>
    </row>
    <row r="716">
      <c r="O716" t="inlineStr">
        <is>
          <t>Sem:Missi to Postmodems&amp;Secula</t>
        </is>
      </c>
    </row>
    <row r="717">
      <c r="O717" t="inlineStr">
        <is>
          <t>Sem:Mission Leadership</t>
        </is>
      </c>
    </row>
    <row r="718">
      <c r="O718" t="inlineStr">
        <is>
          <t>Sem:Mssn Strtgy &amp; Ldrshp</t>
        </is>
      </c>
    </row>
    <row r="719">
      <c r="O719" t="inlineStr">
        <is>
          <t>Sem:Sotrlgy of Arminius&amp;Wesley</t>
        </is>
      </c>
    </row>
    <row r="720">
      <c r="O720" t="inlineStr">
        <is>
          <t>Sem. Hist Moral Phil&amp;Nat Theo</t>
        </is>
      </c>
    </row>
    <row r="721">
      <c r="O721" t="inlineStr">
        <is>
          <t>Sem. in Hist. Theo:Authority</t>
        </is>
      </c>
    </row>
    <row r="722">
      <c r="O722" t="inlineStr">
        <is>
          <t>SemAdv OT Exeg: Minor Prophets</t>
        </is>
      </c>
    </row>
    <row r="723">
      <c r="O723" t="inlineStr">
        <is>
          <t>SemAdv OT Exeg: Pentateuch</t>
        </is>
      </c>
    </row>
    <row r="724">
      <c r="O724" t="inlineStr">
        <is>
          <t>SemAdv OT Exeg: Proverbs</t>
        </is>
      </c>
    </row>
    <row r="725">
      <c r="O725" t="inlineStr">
        <is>
          <t>SemAdvOTExeg:Psalms/Wisdom Lt</t>
        </is>
      </c>
    </row>
    <row r="726">
      <c r="O726" t="inlineStr">
        <is>
          <t>SemAdvSt:History of the Trinty</t>
        </is>
      </c>
    </row>
    <row r="727">
      <c r="O727" t="inlineStr">
        <is>
          <t>SemChHist:Linguist Theologians</t>
        </is>
      </c>
    </row>
    <row r="728">
      <c r="O728" t="inlineStr">
        <is>
          <t>SemExe/Hrm:ErlyJwshChristns&amp;NT</t>
        </is>
      </c>
    </row>
    <row r="729">
      <c r="O729" t="inlineStr">
        <is>
          <t>SemGrExe:Erly Jwsh Christns&amp;NT</t>
        </is>
      </c>
    </row>
    <row r="730">
      <c r="O730" t="inlineStr">
        <is>
          <t>SemHisTheo:Lead inEarly Church</t>
        </is>
      </c>
    </row>
    <row r="731">
      <c r="O731" t="inlineStr">
        <is>
          <t>Seminar</t>
        </is>
      </c>
    </row>
    <row r="732">
      <c r="O732" t="inlineStr">
        <is>
          <t>Seminar in New Test Bckgrnds</t>
        </is>
      </c>
    </row>
    <row r="733">
      <c r="O733" t="inlineStr">
        <is>
          <t>Seminar in Theological Issues</t>
        </is>
      </c>
    </row>
    <row r="734">
      <c r="O734" t="inlineStr">
        <is>
          <t>Seminar:Hist Christian Spirit</t>
        </is>
      </c>
    </row>
    <row r="735">
      <c r="O735" t="inlineStr">
        <is>
          <t>Seminary Chorus</t>
        </is>
      </c>
    </row>
    <row r="736">
      <c r="O736" t="inlineStr">
        <is>
          <t>SemNTExe&amp;Herm:John</t>
        </is>
      </c>
    </row>
    <row r="737">
      <c r="O737" t="inlineStr">
        <is>
          <t>Semr Gr Exe:Narrative Analysis</t>
        </is>
      </c>
    </row>
    <row r="738">
      <c r="O738" t="inlineStr">
        <is>
          <t>SemTheoIss:Biblical Narratives</t>
        </is>
      </c>
    </row>
    <row r="739">
      <c r="O739" t="inlineStr">
        <is>
          <t>Social Policy</t>
        </is>
      </c>
    </row>
    <row r="740">
      <c r="O740" t="inlineStr">
        <is>
          <t>Sp App to Evan:Bi-Voctnl Ch Pl</t>
        </is>
      </c>
    </row>
    <row r="741">
      <c r="O741" t="inlineStr">
        <is>
          <t>Sp App to Evan:Naturl Ch Dev</t>
        </is>
      </c>
    </row>
    <row r="742">
      <c r="O742" t="inlineStr">
        <is>
          <t>Spec Appr to Evan:Coachng Mssn</t>
        </is>
      </c>
    </row>
    <row r="743">
      <c r="O743" t="inlineStr">
        <is>
          <t>Spec Appr to Evan:Natur.Ch.Dev</t>
        </is>
      </c>
    </row>
    <row r="744">
      <c r="O744" t="inlineStr">
        <is>
          <t>Spec Approach to Evan:Coaching</t>
        </is>
      </c>
    </row>
    <row r="745">
      <c r="O745" t="inlineStr">
        <is>
          <t>Spec Approaches Evan:Coaching</t>
        </is>
      </c>
    </row>
    <row r="746">
      <c r="O746" t="inlineStr">
        <is>
          <t>Spec Apps to Evan:Nat Chrch Dv</t>
        </is>
      </c>
    </row>
    <row r="747">
      <c r="O747" t="inlineStr">
        <is>
          <t>St CHIS: EGW &amp; Adv Research</t>
        </is>
      </c>
    </row>
    <row r="748">
      <c r="O748" t="inlineStr">
        <is>
          <t>St CHIS:Hist&amp; Theo Adv Worship</t>
        </is>
      </c>
    </row>
    <row r="749">
      <c r="O749" t="inlineStr">
        <is>
          <t>St Chrch Hstry:Rdg Bbl 500CE</t>
        </is>
      </c>
    </row>
    <row r="750">
      <c r="O750" t="inlineStr">
        <is>
          <t>St EGW &amp; Lts/Mss Annotation</t>
        </is>
      </c>
    </row>
    <row r="751">
      <c r="O751" t="inlineStr">
        <is>
          <t>St in Adv St: Soteriologies</t>
        </is>
      </c>
    </row>
    <row r="752">
      <c r="O752" t="inlineStr">
        <is>
          <t>St in CHIS: EGW &amp; Advent Rsrch</t>
        </is>
      </c>
    </row>
    <row r="753">
      <c r="O753" t="inlineStr">
        <is>
          <t>St: History of SDA Theo</t>
        </is>
      </c>
    </row>
    <row r="754">
      <c r="O754" t="inlineStr">
        <is>
          <t>StChHist: Hist Cont Prse&amp;Wrsp</t>
        </is>
      </c>
    </row>
    <row r="755">
      <c r="O755" t="inlineStr">
        <is>
          <t>StChHist:Hist of Inspiration</t>
        </is>
      </c>
    </row>
    <row r="756">
      <c r="O756" t="inlineStr">
        <is>
          <t>StChHist:Histry of the Trinity</t>
        </is>
      </c>
    </row>
    <row r="757">
      <c r="O757" t="inlineStr">
        <is>
          <t>StChHist:Linguist Theologians</t>
        </is>
      </c>
    </row>
    <row r="758">
      <c r="O758" t="inlineStr">
        <is>
          <t>StChHist:RdgBible Chrstns&amp;Jews</t>
        </is>
      </c>
    </row>
    <row r="759">
      <c r="O759" t="inlineStr">
        <is>
          <t>Stdies in Acts&amp;General Epstles</t>
        </is>
      </c>
    </row>
    <row r="760">
      <c r="O760" t="inlineStr">
        <is>
          <t>Stdis n CHIS:Chrstn Wrshp Mus</t>
        </is>
      </c>
    </row>
    <row r="761">
      <c r="O761" t="inlineStr">
        <is>
          <t>StdsChrchHstry:ChrstnsJews500C</t>
        </is>
      </c>
    </row>
    <row r="762">
      <c r="O762" t="inlineStr">
        <is>
          <t>Strategies for World Mission</t>
        </is>
      </c>
    </row>
    <row r="763">
      <c r="O763" t="inlineStr">
        <is>
          <t>Stud in the Pentateuch</t>
        </is>
      </c>
    </row>
    <row r="764">
      <c r="O764" t="inlineStr">
        <is>
          <t>Stud in the Pentateuch (Engl)</t>
        </is>
      </c>
    </row>
    <row r="765">
      <c r="O765" t="inlineStr">
        <is>
          <t>Studies in Daniel</t>
        </is>
      </c>
    </row>
    <row r="766">
      <c r="O766" t="inlineStr">
        <is>
          <t>Studies in Daniel (Engl)</t>
        </is>
      </c>
    </row>
    <row r="767">
      <c r="O767" t="inlineStr">
        <is>
          <t>Studies in Daniel (Esp)</t>
        </is>
      </c>
    </row>
    <row r="768">
      <c r="O768" t="inlineStr">
        <is>
          <t>Studies in Prophets (Engl)</t>
        </is>
      </c>
    </row>
    <row r="769">
      <c r="O769" t="inlineStr">
        <is>
          <t>Studies in Revelation</t>
        </is>
      </c>
    </row>
    <row r="770">
      <c r="O770" t="inlineStr">
        <is>
          <t>Studies in the Gospels</t>
        </is>
      </c>
    </row>
    <row r="771">
      <c r="O771" t="inlineStr">
        <is>
          <t>Studies in the Gospels:Mark</t>
        </is>
      </c>
    </row>
    <row r="772">
      <c r="O772" t="inlineStr">
        <is>
          <t>Survey of the Old Testament</t>
        </is>
      </c>
    </row>
    <row r="773">
      <c r="O773" t="inlineStr">
        <is>
          <t>Synthesis in DSLE</t>
        </is>
      </c>
    </row>
    <row r="774">
      <c r="O774" t="inlineStr">
        <is>
          <t>Teaching Religion in College</t>
        </is>
      </c>
    </row>
    <row r="775">
      <c r="O775" t="inlineStr">
        <is>
          <t>The Bible &amp; Biblical History</t>
        </is>
      </c>
    </row>
    <row r="776">
      <c r="O776" t="inlineStr">
        <is>
          <t>The Church &amp; Social Issues</t>
        </is>
      </c>
    </row>
    <row r="777">
      <c r="O777" t="inlineStr">
        <is>
          <t>The Early Church to AD 604</t>
        </is>
      </c>
    </row>
    <row r="778">
      <c r="O778" t="inlineStr">
        <is>
          <t>Theo Eng NT:Parousia</t>
        </is>
      </c>
    </row>
    <row r="779">
      <c r="O779" t="inlineStr">
        <is>
          <t>Theo Engl NT:Eccesiology</t>
        </is>
      </c>
    </row>
    <row r="780">
      <c r="O780" t="inlineStr">
        <is>
          <t>Theo Engl NT:Love,Marriage&amp;Div</t>
        </is>
      </c>
    </row>
    <row r="781">
      <c r="O781" t="inlineStr">
        <is>
          <t>Theo of Eng NT:Ecclesiology</t>
        </is>
      </c>
    </row>
    <row r="782">
      <c r="O782" t="inlineStr">
        <is>
          <t>Theo of Engl NT:Revelation</t>
        </is>
      </c>
    </row>
    <row r="783">
      <c r="O783" t="inlineStr">
        <is>
          <t>Theo of the Engl NT: NT Ethics</t>
        </is>
      </c>
    </row>
    <row r="784">
      <c r="O784" t="inlineStr">
        <is>
          <t>Theo of the English NT</t>
        </is>
      </c>
    </row>
    <row r="785">
      <c r="O785" t="inlineStr">
        <is>
          <t>Theo of the English NT:Ethics</t>
        </is>
      </c>
    </row>
    <row r="786">
      <c r="O786" t="inlineStr">
        <is>
          <t>TheoEngNT:Imm &amp; Delay Parousia</t>
        </is>
      </c>
    </row>
    <row r="787">
      <c r="O787" t="inlineStr">
        <is>
          <t>Theological Field Education</t>
        </is>
      </c>
    </row>
    <row r="788">
      <c r="O788" t="inlineStr">
        <is>
          <t>Theology of E. G. White</t>
        </is>
      </c>
    </row>
    <row r="789">
      <c r="O789" t="inlineStr">
        <is>
          <t>Theology of Pauline Epistles</t>
        </is>
      </c>
    </row>
    <row r="790">
      <c r="O790" t="inlineStr">
        <is>
          <t>Theology of the Old Testament</t>
        </is>
      </c>
    </row>
    <row r="791">
      <c r="O791" t="inlineStr">
        <is>
          <t>Top AdvSt: EGW &amp; Advent Rsrch</t>
        </is>
      </c>
    </row>
    <row r="792">
      <c r="O792" t="inlineStr">
        <is>
          <t>Top AdvSt: Fund of Arch Practc</t>
        </is>
      </c>
    </row>
    <row r="793">
      <c r="O793" t="inlineStr">
        <is>
          <t>Top CHIS: Early Chch to AD 604</t>
        </is>
      </c>
    </row>
    <row r="794">
      <c r="O794" t="inlineStr">
        <is>
          <t>Top CHIS: Hist of Sab&amp;Sun</t>
        </is>
      </c>
    </row>
    <row r="795">
      <c r="O795" t="inlineStr">
        <is>
          <t>Top CHIS:Nat Theo Moral Phi</t>
        </is>
      </c>
    </row>
    <row r="796">
      <c r="O796" t="inlineStr">
        <is>
          <t>Top Church Hist: Martin Luther</t>
        </is>
      </c>
    </row>
    <row r="797">
      <c r="O797" t="inlineStr">
        <is>
          <t>Top in Adv St:Advntsm in China</t>
        </is>
      </c>
    </row>
    <row r="798">
      <c r="O798" t="inlineStr">
        <is>
          <t>Top in CH:Hist of Sab&amp;Sunday</t>
        </is>
      </c>
    </row>
    <row r="799">
      <c r="O799" t="inlineStr">
        <is>
          <t>Top in CHIS: Reform Theology</t>
        </is>
      </c>
    </row>
    <row r="800">
      <c r="O800" t="inlineStr">
        <is>
          <t>Top in CHIS:Archival Mgmt</t>
        </is>
      </c>
    </row>
    <row r="801">
      <c r="O801" t="inlineStr">
        <is>
          <t>Top in Chrch Hist:Early Church</t>
        </is>
      </c>
    </row>
    <row r="802">
      <c r="O802" t="inlineStr">
        <is>
          <t>Top in Chrch Hist:Rlgn in Amer</t>
        </is>
      </c>
    </row>
    <row r="803">
      <c r="O803" t="inlineStr">
        <is>
          <t>Top in Dead Sea Scrolls</t>
        </is>
      </c>
    </row>
    <row r="804">
      <c r="O804" t="inlineStr">
        <is>
          <t>Top in NT Backgrounds:Josephus</t>
        </is>
      </c>
    </row>
    <row r="805">
      <c r="O805" t="inlineStr">
        <is>
          <t>Top in Urban Min</t>
        </is>
      </c>
    </row>
    <row r="806">
      <c r="O806" t="inlineStr">
        <is>
          <t>Top in: Adventist Studies</t>
        </is>
      </c>
    </row>
    <row r="807">
      <c r="O807" t="inlineStr">
        <is>
          <t>Top NT Theo:Dscp Synoptic Gosp</t>
        </is>
      </c>
    </row>
    <row r="808">
      <c r="O808" t="inlineStr">
        <is>
          <t>Top NT Theo:NT New Covenants</t>
        </is>
      </c>
    </row>
    <row r="809">
      <c r="O809" t="inlineStr">
        <is>
          <t>Top:</t>
        </is>
      </c>
    </row>
    <row r="810">
      <c r="O810" t="inlineStr">
        <is>
          <t>Top: Biblical Eschatology</t>
        </is>
      </c>
    </row>
    <row r="811">
      <c r="O811" t="inlineStr">
        <is>
          <t>Top: Christian Personal Ethics</t>
        </is>
      </c>
    </row>
    <row r="812">
      <c r="O812" t="inlineStr">
        <is>
          <t>Top: Christianity Mid East</t>
        </is>
      </c>
    </row>
    <row r="813">
      <c r="O813" t="inlineStr">
        <is>
          <t>Top: Contemp Issues in Mission</t>
        </is>
      </c>
    </row>
    <row r="814">
      <c r="O814" t="inlineStr">
        <is>
          <t>Top: Contemporary Theo</t>
        </is>
      </c>
    </row>
    <row r="815">
      <c r="O815" t="inlineStr">
        <is>
          <t>Top: Contemporary Theology</t>
        </is>
      </c>
    </row>
    <row r="816">
      <c r="O816" t="inlineStr">
        <is>
          <t>Top: Daniel</t>
        </is>
      </c>
    </row>
    <row r="817">
      <c r="O817" t="inlineStr">
        <is>
          <t>Top: Dead Sea Scrolls</t>
        </is>
      </c>
    </row>
    <row r="818">
      <c r="O818" t="inlineStr">
        <is>
          <t>Top: Disc in Synoptic Gospels</t>
        </is>
      </c>
    </row>
    <row r="819">
      <c r="O819" t="inlineStr">
        <is>
          <t>Top: Doctrine of Christ</t>
        </is>
      </c>
    </row>
    <row r="820">
      <c r="O820" t="inlineStr">
        <is>
          <t>Top: Doctrine of God</t>
        </is>
      </c>
    </row>
    <row r="821">
      <c r="O821" t="inlineStr">
        <is>
          <t>Top: Doctrine of Holy Spirit</t>
        </is>
      </c>
    </row>
    <row r="822">
      <c r="O822" t="inlineStr">
        <is>
          <t>Top: Doctrine of Salvation</t>
        </is>
      </c>
    </row>
    <row r="823">
      <c r="O823" t="inlineStr">
        <is>
          <t>Top: Doctrine of the Church</t>
        </is>
      </c>
    </row>
    <row r="824">
      <c r="O824" t="inlineStr">
        <is>
          <t>Top: Dscplshp&amp; Wrldview Transf</t>
        </is>
      </c>
    </row>
    <row r="825">
      <c r="O825" t="inlineStr">
        <is>
          <t>Top: Early Christian Theology</t>
        </is>
      </c>
    </row>
    <row r="826">
      <c r="O826" t="inlineStr">
        <is>
          <t>Top: EGW &amp; Adv Research</t>
        </is>
      </c>
    </row>
    <row r="827">
      <c r="O827" t="inlineStr">
        <is>
          <t>Top: Eschatology</t>
        </is>
      </c>
    </row>
    <row r="828">
      <c r="O828" t="inlineStr">
        <is>
          <t>Top: Ethics and the Good Life</t>
        </is>
      </c>
    </row>
    <row r="829">
      <c r="O829" t="inlineStr">
        <is>
          <t>Top: Gr Con, Cov, Law&amp; Sabbath</t>
        </is>
      </c>
    </row>
    <row r="830">
      <c r="O830" t="inlineStr">
        <is>
          <t>Top: Great Cont, Cov. Law, Sab</t>
        </is>
      </c>
    </row>
    <row r="831">
      <c r="O831" t="inlineStr">
        <is>
          <t>Top: Greco-Roman Religions</t>
        </is>
      </c>
    </row>
    <row r="832">
      <c r="O832" t="inlineStr">
        <is>
          <t>Top: Hebrew III</t>
        </is>
      </c>
    </row>
    <row r="833">
      <c r="O833" t="inlineStr">
        <is>
          <t>Top: Hermeneutics</t>
        </is>
      </c>
    </row>
    <row r="834">
      <c r="O834" t="inlineStr">
        <is>
          <t>Top: Hist of ANE:  Mesopotamia</t>
        </is>
      </c>
    </row>
    <row r="835">
      <c r="O835" t="inlineStr">
        <is>
          <t>Top: Hist of ANE: Mesopotamia</t>
        </is>
      </c>
    </row>
    <row r="836">
      <c r="O836" t="inlineStr">
        <is>
          <t>Top: Hist of Christian Mission</t>
        </is>
      </c>
    </row>
    <row r="837">
      <c r="O837" t="inlineStr">
        <is>
          <t>Top: Hist of Cntemp Pr &amp; Wrshp</t>
        </is>
      </c>
    </row>
    <row r="838">
      <c r="O838" t="inlineStr">
        <is>
          <t>Top: Hist of Cont Praise &amp;Wrsh</t>
        </is>
      </c>
    </row>
    <row r="839">
      <c r="O839" t="inlineStr">
        <is>
          <t>Top: Hist of Philosophy</t>
        </is>
      </c>
    </row>
    <row r="840">
      <c r="O840" t="inlineStr">
        <is>
          <t>Top: Hist&amp;Theo of Ecumenism</t>
        </is>
      </c>
    </row>
    <row r="841">
      <c r="O841" t="inlineStr">
        <is>
          <t>Top: History of Philosophy</t>
        </is>
      </c>
    </row>
    <row r="842">
      <c r="O842" t="inlineStr">
        <is>
          <t>Top: Holy Sprt in the New Test</t>
        </is>
      </c>
    </row>
    <row r="843">
      <c r="O843" t="inlineStr">
        <is>
          <t>Top: Hst of Ctmp Prs &amp; Wrshp</t>
        </is>
      </c>
    </row>
    <row r="844">
      <c r="O844" t="inlineStr">
        <is>
          <t>Top: Hum Nature&amp;Destiny</t>
        </is>
      </c>
    </row>
    <row r="845">
      <c r="O845" t="inlineStr">
        <is>
          <t>Top: Human Nature &amp; Destiny</t>
        </is>
      </c>
    </row>
    <row r="846">
      <c r="O846" t="inlineStr">
        <is>
          <t>Top: I Thessalonians</t>
        </is>
      </c>
    </row>
    <row r="847">
      <c r="O847" t="inlineStr">
        <is>
          <t>Top: ICISF Certif for Crisis</t>
        </is>
      </c>
    </row>
    <row r="848">
      <c r="O848" t="inlineStr">
        <is>
          <t>Top: in Ecumenism</t>
        </is>
      </c>
    </row>
    <row r="849">
      <c r="O849" t="inlineStr">
        <is>
          <t>Top: Interc Theology &amp; Mission</t>
        </is>
      </c>
    </row>
    <row r="850">
      <c r="O850" t="inlineStr">
        <is>
          <t>Top: Intercultural Theology</t>
        </is>
      </c>
    </row>
    <row r="851">
      <c r="O851" t="inlineStr">
        <is>
          <t>Top: Intertestamental Literatu</t>
        </is>
      </c>
    </row>
    <row r="852">
      <c r="O852" t="inlineStr">
        <is>
          <t>Top: Issues in Origins</t>
        </is>
      </c>
    </row>
    <row r="853">
      <c r="O853" t="inlineStr">
        <is>
          <t>Top: Josephus</t>
        </is>
      </c>
    </row>
    <row r="854">
      <c r="O854" t="inlineStr">
        <is>
          <t>Top: Judiasm in the NT</t>
        </is>
      </c>
    </row>
    <row r="855">
      <c r="O855" t="inlineStr">
        <is>
          <t>Top: Mission Research</t>
        </is>
      </c>
    </row>
    <row r="856">
      <c r="O856" t="inlineStr">
        <is>
          <t>Top: Modern Christian Theo</t>
        </is>
      </c>
    </row>
    <row r="857">
      <c r="O857" t="inlineStr">
        <is>
          <t>Top: Modern Christian Theology</t>
        </is>
      </c>
    </row>
    <row r="858">
      <c r="O858" t="inlineStr">
        <is>
          <t>Top: Modern Philosophy</t>
        </is>
      </c>
    </row>
    <row r="859">
      <c r="O859" t="inlineStr">
        <is>
          <t>Top: New Testament Archaeology</t>
        </is>
      </c>
    </row>
    <row r="860">
      <c r="O860" t="inlineStr">
        <is>
          <t>Top: Principles&amp;Methods of The</t>
        </is>
      </c>
    </row>
    <row r="861">
      <c r="O861" t="inlineStr">
        <is>
          <t>Top: RC Life &amp; Thought</t>
        </is>
      </c>
    </row>
    <row r="862">
      <c r="O862" t="inlineStr">
        <is>
          <t>Top: Rev, Insp &amp; Hermeneutics</t>
        </is>
      </c>
    </row>
    <row r="863">
      <c r="O863" t="inlineStr">
        <is>
          <t>Top: Rev, Insp, &amp; Hermeneutics</t>
        </is>
      </c>
    </row>
    <row r="864">
      <c r="O864" t="inlineStr">
        <is>
          <t>Top: Revelation, Inspirat&amp;Herm</t>
        </is>
      </c>
    </row>
    <row r="865">
      <c r="O865" t="inlineStr">
        <is>
          <t>Top: Roman Catholic Thought</t>
        </is>
      </c>
    </row>
    <row r="866">
      <c r="O866" t="inlineStr">
        <is>
          <t>Top: Romans</t>
        </is>
      </c>
    </row>
    <row r="867">
      <c r="O867" t="inlineStr">
        <is>
          <t>Top: Social World of the NT</t>
        </is>
      </c>
    </row>
    <row r="868">
      <c r="O868" t="inlineStr">
        <is>
          <t>Top: The Bible &amp; Human Needs</t>
        </is>
      </c>
    </row>
    <row r="869">
      <c r="O869" t="inlineStr">
        <is>
          <t>Top: Theological Ethics</t>
        </is>
      </c>
    </row>
    <row r="870">
      <c r="O870" t="inlineStr">
        <is>
          <t>Top: Theology of E.G. White</t>
        </is>
      </c>
    </row>
    <row r="871">
      <c r="O871" t="inlineStr">
        <is>
          <t>Top: Theology of Mission</t>
        </is>
      </c>
    </row>
    <row r="872">
      <c r="O872" t="inlineStr">
        <is>
          <t>Top: Theology of the OT</t>
        </is>
      </c>
    </row>
    <row r="873">
      <c r="O873" t="inlineStr">
        <is>
          <t>Top: Urban Mission</t>
        </is>
      </c>
    </row>
    <row r="874">
      <c r="O874" t="inlineStr">
        <is>
          <t>Top: Witnessing to Muslims</t>
        </is>
      </c>
    </row>
    <row r="875">
      <c r="O875" t="inlineStr">
        <is>
          <t>Top: Works of Christ</t>
        </is>
      </c>
    </row>
    <row r="876">
      <c r="O876" t="inlineStr">
        <is>
          <t>Top:Adv Greek Grammr&amp; Sintax</t>
        </is>
      </c>
    </row>
    <row r="877">
      <c r="O877" t="inlineStr">
        <is>
          <t>Top:AdvSt Paulne Wrt:Galatians</t>
        </is>
      </c>
    </row>
    <row r="878">
      <c r="O878" t="inlineStr">
        <is>
          <t>Top:AdvSt Paulne Wrt:Romans</t>
        </is>
      </c>
    </row>
    <row r="879">
      <c r="O879" t="inlineStr">
        <is>
          <t>Top:Bib Theo&amp;Spiritl Mission</t>
        </is>
      </c>
    </row>
    <row r="880">
      <c r="O880" t="inlineStr">
        <is>
          <t>Top:Biblical and Quranic Stud</t>
        </is>
      </c>
    </row>
    <row r="881">
      <c r="O881" t="inlineStr">
        <is>
          <t>Top:Biblical Eschatology</t>
        </is>
      </c>
    </row>
    <row r="882">
      <c r="O882" t="inlineStr">
        <is>
          <t>Top:Biblical&amp; Buddhism Studies</t>
        </is>
      </c>
    </row>
    <row r="883">
      <c r="O883" t="inlineStr">
        <is>
          <t>Top:Buddhism Culture &amp; Society</t>
        </is>
      </c>
    </row>
    <row r="884">
      <c r="O884" t="inlineStr">
        <is>
          <t>Top:Buddhism Culture and Socty</t>
        </is>
      </c>
    </row>
    <row r="885">
      <c r="O885" t="inlineStr">
        <is>
          <t>Top:Christian Personal Ethics</t>
        </is>
      </c>
    </row>
    <row r="886">
      <c r="O886" t="inlineStr">
        <is>
          <t>Top:Christian Prof Ethics</t>
        </is>
      </c>
    </row>
    <row r="887">
      <c r="O887" t="inlineStr">
        <is>
          <t>Top:Christian Social Ethics</t>
        </is>
      </c>
    </row>
    <row r="888">
      <c r="O888" t="inlineStr">
        <is>
          <t>Top:Christianity Mid East</t>
        </is>
      </c>
    </row>
    <row r="889">
      <c r="O889" t="inlineStr">
        <is>
          <t>Top:Christology</t>
        </is>
      </c>
    </row>
    <row r="890">
      <c r="O890" t="inlineStr">
        <is>
          <t>Top:Chrstn Persp on Prof Ethcs</t>
        </is>
      </c>
    </row>
    <row r="891">
      <c r="O891" t="inlineStr">
        <is>
          <t>Top:ChrstnFormation&amp;Discplship</t>
        </is>
      </c>
    </row>
    <row r="892">
      <c r="O892" t="inlineStr">
        <is>
          <t>Top:Contemp Topics in Rel Ed</t>
        </is>
      </c>
    </row>
    <row r="893">
      <c r="O893" t="inlineStr">
        <is>
          <t>Top:Contemporary Theology</t>
        </is>
      </c>
    </row>
    <row r="894">
      <c r="O894" t="inlineStr">
        <is>
          <t>Top:Creating Collective Impact</t>
        </is>
      </c>
    </row>
    <row r="895">
      <c r="O895" t="inlineStr">
        <is>
          <t>Top:CreatngCo Impact&amp;ProjMgmnt</t>
        </is>
      </c>
    </row>
    <row r="896">
      <c r="O896" t="inlineStr">
        <is>
          <t>Top:Cross-Cultl Ldshp Developm</t>
        </is>
      </c>
    </row>
    <row r="897">
      <c r="O897" t="inlineStr">
        <is>
          <t>Top:Cross-Cultural Leadership</t>
        </is>
      </c>
    </row>
    <row r="898">
      <c r="O898" t="inlineStr">
        <is>
          <t>Top:Curr Issues in Mission</t>
        </is>
      </c>
    </row>
    <row r="899">
      <c r="O899" t="inlineStr">
        <is>
          <t>Top:Disciplshp &amp; Wrldvw Transf</t>
        </is>
      </c>
    </row>
    <row r="900">
      <c r="O900" t="inlineStr">
        <is>
          <t>Top:Doctrin of the Holy Spirit</t>
        </is>
      </c>
    </row>
    <row r="901">
      <c r="O901" t="inlineStr">
        <is>
          <t>Top:Doctrine of Christ</t>
        </is>
      </c>
    </row>
    <row r="902">
      <c r="O902" t="inlineStr">
        <is>
          <t>Top:Doctrine of Church</t>
        </is>
      </c>
    </row>
    <row r="903">
      <c r="O903" t="inlineStr">
        <is>
          <t>Top:Doctrine of God</t>
        </is>
      </c>
    </row>
    <row r="904">
      <c r="O904" t="inlineStr">
        <is>
          <t>Top:Doctrine of Holy Spirit</t>
        </is>
      </c>
    </row>
    <row r="905">
      <c r="O905" t="inlineStr">
        <is>
          <t>Top:Doctrine of Salvation</t>
        </is>
      </c>
    </row>
    <row r="906">
      <c r="O906" t="inlineStr">
        <is>
          <t>Top:Doctrine of the Church</t>
        </is>
      </c>
    </row>
    <row r="907">
      <c r="O907" t="inlineStr">
        <is>
          <t>Top:Doctrine of the Sabbath</t>
        </is>
      </c>
    </row>
    <row r="908">
      <c r="O908" t="inlineStr">
        <is>
          <t>Top:Dscpl Mak &amp; Evang 21st Cnt</t>
        </is>
      </c>
    </row>
    <row r="909">
      <c r="O909" t="inlineStr">
        <is>
          <t>Top:Dscplshp  Wrldvw Trnsfrmtn</t>
        </is>
      </c>
    </row>
    <row r="910">
      <c r="O910" t="inlineStr">
        <is>
          <t>Top:Gr Controvrsy,Cov,Law,Sabb</t>
        </is>
      </c>
    </row>
    <row r="911">
      <c r="O911" t="inlineStr">
        <is>
          <t>Top:Greco-Roman Religions</t>
        </is>
      </c>
    </row>
    <row r="912">
      <c r="O912" t="inlineStr">
        <is>
          <t>Top:Grt Ctrvsy, Cvnt, Law&amp; Sab</t>
        </is>
      </c>
    </row>
    <row r="913">
      <c r="O913" t="inlineStr">
        <is>
          <t>Top:Healing &amp; Deliverance</t>
        </is>
      </c>
    </row>
    <row r="914">
      <c r="O914" t="inlineStr">
        <is>
          <t>Top:Healing&amp;Deliverance in Mss</t>
        </is>
      </c>
    </row>
    <row r="915">
      <c r="O915" t="inlineStr">
        <is>
          <t>Top:Hist &amp; Theo of Ecumenism</t>
        </is>
      </c>
    </row>
    <row r="916">
      <c r="O916" t="inlineStr">
        <is>
          <t>Top:Hist Ancnt Near East:Egypt</t>
        </is>
      </c>
    </row>
    <row r="917">
      <c r="O917" t="inlineStr">
        <is>
          <t>Top:Hist of Ancnt Near E-Egypt</t>
        </is>
      </c>
    </row>
    <row r="918">
      <c r="O918" t="inlineStr">
        <is>
          <t>Top:Hist of ANE Msptmia</t>
        </is>
      </c>
    </row>
    <row r="919">
      <c r="O919" t="inlineStr">
        <is>
          <t>Top:Hist of GC, Cov, Law&amp;Sabb</t>
        </is>
      </c>
    </row>
    <row r="920">
      <c r="O920" t="inlineStr">
        <is>
          <t>Top:Hist&amp;Spirt Blk/Wh Adv Wrsp</t>
        </is>
      </c>
    </row>
    <row r="921">
      <c r="O921" t="inlineStr">
        <is>
          <t>Top:Histography</t>
        </is>
      </c>
    </row>
    <row r="922">
      <c r="O922" t="inlineStr">
        <is>
          <t>Top:History of Philosophy</t>
        </is>
      </c>
    </row>
    <row r="923">
      <c r="O923" t="inlineStr">
        <is>
          <t>Top:Holy Spirit in the NT</t>
        </is>
      </c>
    </row>
    <row r="924">
      <c r="O924" t="inlineStr">
        <is>
          <t>Top:Hon,Patrnage,Knship&amp;Purity</t>
        </is>
      </c>
    </row>
    <row r="925">
      <c r="O925" t="inlineStr">
        <is>
          <t>Top:Intertestamental Literatur</t>
        </is>
      </c>
    </row>
    <row r="926">
      <c r="O926" t="inlineStr">
        <is>
          <t>Top:Intertestamntal Literature</t>
        </is>
      </c>
    </row>
    <row r="927">
      <c r="O927" t="inlineStr">
        <is>
          <t>Top:Intrcultral Theol&amp; Mission</t>
        </is>
      </c>
    </row>
    <row r="928">
      <c r="O928" t="inlineStr">
        <is>
          <t>Top:Islamic Culture &amp; Society</t>
        </is>
      </c>
    </row>
    <row r="929">
      <c r="O929" t="inlineStr">
        <is>
          <t>Top:Iss in Ellen G White Stdis</t>
        </is>
      </c>
    </row>
    <row r="930">
      <c r="O930" t="inlineStr">
        <is>
          <t>Top:Issues in Orgins</t>
        </is>
      </c>
    </row>
    <row r="931">
      <c r="O931" t="inlineStr">
        <is>
          <t>Top:Jesus &amp; Recent Arch Disc</t>
        </is>
      </c>
    </row>
    <row r="932">
      <c r="O932" t="inlineStr">
        <is>
          <t>Top:Judaism &amp;the New Testament</t>
        </is>
      </c>
    </row>
    <row r="933">
      <c r="O933" t="inlineStr">
        <is>
          <t>Top:Linguistics for Theolgians</t>
        </is>
      </c>
    </row>
    <row r="934">
      <c r="O934" t="inlineStr">
        <is>
          <t>Top:Marriage Fam&amp;Intrpsnl Rel</t>
        </is>
      </c>
    </row>
    <row r="935">
      <c r="O935" t="inlineStr">
        <is>
          <t>Top:Mission Cultur&amp;Rel Context</t>
        </is>
      </c>
    </row>
    <row r="936">
      <c r="O936" t="inlineStr">
        <is>
          <t>Top:Modern Christian Theology</t>
        </is>
      </c>
    </row>
    <row r="937">
      <c r="O937" t="inlineStr">
        <is>
          <t>Top:Mssn in Cultrl&amp;RlgsContext</t>
        </is>
      </c>
    </row>
    <row r="938">
      <c r="O938" t="inlineStr">
        <is>
          <t>Top:Mssn in Cultural &amp; religs</t>
        </is>
      </c>
    </row>
    <row r="939">
      <c r="O939" t="inlineStr">
        <is>
          <t>Top:NT Text. Crit. &amp;Canon Form</t>
        </is>
      </c>
    </row>
    <row r="940">
      <c r="O940" t="inlineStr">
        <is>
          <t>Top:NT Textl Crtsm&amp; Canon Form</t>
        </is>
      </c>
    </row>
    <row r="941">
      <c r="O941" t="inlineStr">
        <is>
          <t>Top:Philosophcal Found.</t>
        </is>
      </c>
    </row>
    <row r="942">
      <c r="O942" t="inlineStr">
        <is>
          <t>Top:Philosophical Fnd Prof</t>
        </is>
      </c>
    </row>
    <row r="943">
      <c r="O943" t="inlineStr">
        <is>
          <t>Top:Princpl &amp; Meth of Theo</t>
        </is>
      </c>
    </row>
    <row r="944">
      <c r="O944" t="inlineStr">
        <is>
          <t>Top:Prncpls &amp; Mthds of Thlgy</t>
        </is>
      </c>
    </row>
    <row r="945">
      <c r="O945" t="inlineStr">
        <is>
          <t>Top:Protest Theologic Heritage</t>
        </is>
      </c>
    </row>
    <row r="946">
      <c r="O946" t="inlineStr">
        <is>
          <t>Top:Protestant Theo Heritage</t>
        </is>
      </c>
    </row>
    <row r="947">
      <c r="O947" t="inlineStr">
        <is>
          <t>Top:Prtstnt Thlgcl Heritage</t>
        </is>
      </c>
    </row>
    <row r="948">
      <c r="O948" t="inlineStr">
        <is>
          <t>Top:Rdgs in the Septuagint</t>
        </is>
      </c>
    </row>
    <row r="949">
      <c r="O949" t="inlineStr">
        <is>
          <t>Top:Readings in the Septuagint</t>
        </is>
      </c>
    </row>
    <row r="950">
      <c r="O950" t="inlineStr">
        <is>
          <t>Top:ResearchDesigninMission</t>
        </is>
      </c>
    </row>
    <row r="951">
      <c r="O951" t="inlineStr">
        <is>
          <t>Top:Revelation, Inspiratn&amp;Herm</t>
        </is>
      </c>
    </row>
    <row r="952">
      <c r="O952" t="inlineStr">
        <is>
          <t>Top:Rom Catholic Life&amp; Thought</t>
        </is>
      </c>
    </row>
    <row r="953">
      <c r="O953" t="inlineStr">
        <is>
          <t>Top:Rom Catholic Life&amp;Thought</t>
        </is>
      </c>
    </row>
    <row r="954">
      <c r="O954" t="inlineStr">
        <is>
          <t>Top:Roman Cath Life &amp; Thought</t>
        </is>
      </c>
    </row>
    <row r="955">
      <c r="O955" t="inlineStr">
        <is>
          <t>Top:Rsrch Design&amp; Diss Propsal</t>
        </is>
      </c>
    </row>
    <row r="956">
      <c r="O956" t="inlineStr">
        <is>
          <t>Top:Sanctuary Doctrine</t>
        </is>
      </c>
    </row>
    <row r="957">
      <c r="O957" t="inlineStr">
        <is>
          <t>Top:Sem in Theology of Mission</t>
        </is>
      </c>
    </row>
    <row r="958">
      <c r="O958" t="inlineStr">
        <is>
          <t>Top:Seminar in other Religions</t>
        </is>
      </c>
    </row>
    <row r="959">
      <c r="O959" t="inlineStr">
        <is>
          <t>Top:Spiritlty&amp;Tch Bible K-12 M</t>
        </is>
      </c>
    </row>
    <row r="960">
      <c r="O960" t="inlineStr">
        <is>
          <t>Top:Sprtlty&amp;TchngBblK-12Methds</t>
        </is>
      </c>
    </row>
    <row r="961">
      <c r="O961" t="inlineStr">
        <is>
          <t>Top:Suffrng,Death&amp;Resurrection</t>
        </is>
      </c>
    </row>
    <row r="962">
      <c r="O962" t="inlineStr">
        <is>
          <t>Top:The Works of Christ</t>
        </is>
      </c>
    </row>
    <row r="963">
      <c r="O963" t="inlineStr">
        <is>
          <t>Top:Theo of Pauline Epistles</t>
        </is>
      </c>
    </row>
    <row r="964">
      <c r="O964" t="inlineStr">
        <is>
          <t>Top:Theo of Pauline Writings</t>
        </is>
      </c>
    </row>
    <row r="965">
      <c r="O965" t="inlineStr">
        <is>
          <t>Top:Theological Ethics</t>
        </is>
      </c>
    </row>
    <row r="966">
      <c r="O966" t="inlineStr">
        <is>
          <t>Top:Theology of E.G. White</t>
        </is>
      </c>
    </row>
    <row r="967">
      <c r="O967" t="inlineStr">
        <is>
          <t>Top:Theology of Mission</t>
        </is>
      </c>
    </row>
    <row r="968">
      <c r="O968" t="inlineStr">
        <is>
          <t>Top:Theology of New Testament</t>
        </is>
      </c>
    </row>
    <row r="969">
      <c r="O969" t="inlineStr">
        <is>
          <t>Top:Theophany in the Psalms</t>
        </is>
      </c>
    </row>
    <row r="970">
      <c r="O970" t="inlineStr">
        <is>
          <t>Top:Urb Ctxts for Mssn&amp; Mintry</t>
        </is>
      </c>
    </row>
    <row r="971">
      <c r="O971" t="inlineStr">
        <is>
          <t>Top:Witness inSecular Society</t>
        </is>
      </c>
    </row>
    <row r="972">
      <c r="O972" t="inlineStr">
        <is>
          <t>Top:Works of Christ</t>
        </is>
      </c>
    </row>
    <row r="973">
      <c r="O973" t="inlineStr">
        <is>
          <t>Top:World Religions (Emphasis)</t>
        </is>
      </c>
    </row>
    <row r="974">
      <c r="O974" t="inlineStr">
        <is>
          <t>Top:Yth&amp;YngAdult Marriage&amp;Fam</t>
        </is>
      </c>
    </row>
    <row r="975">
      <c r="O975" t="inlineStr">
        <is>
          <t>Topcs in:Mission to the Cities</t>
        </is>
      </c>
    </row>
    <row r="976">
      <c r="O976" t="inlineStr">
        <is>
          <t>Topics AdvSt: Archival Researc</t>
        </is>
      </c>
    </row>
    <row r="977">
      <c r="O977" t="inlineStr">
        <is>
          <t>Topics CHIS: Church Middle Age</t>
        </is>
      </c>
    </row>
    <row r="978">
      <c r="O978" t="inlineStr">
        <is>
          <t>Topics CHIS: Martin Luther</t>
        </is>
      </c>
    </row>
    <row r="979">
      <c r="O979" t="inlineStr">
        <is>
          <t>Topics Grt Cont, Cov, Law, Sab</t>
        </is>
      </c>
    </row>
    <row r="980">
      <c r="O980" t="inlineStr">
        <is>
          <t>Topics in</t>
        </is>
      </c>
    </row>
    <row r="981">
      <c r="O981" t="inlineStr">
        <is>
          <t>Topics in : Biblical Narrative</t>
        </is>
      </c>
    </row>
    <row r="982">
      <c r="O982" t="inlineStr">
        <is>
          <t>Topics in : Daniel</t>
        </is>
      </c>
    </row>
    <row r="983">
      <c r="O983" t="inlineStr">
        <is>
          <t>Topics in : Dead Sea Scrolls</t>
        </is>
      </c>
    </row>
    <row r="984">
      <c r="O984" t="inlineStr">
        <is>
          <t>Topics in : Minor Prophets</t>
        </is>
      </c>
    </row>
    <row r="985">
      <c r="O985" t="inlineStr">
        <is>
          <t>Topics in : Psalms</t>
        </is>
      </c>
    </row>
    <row r="986">
      <c r="O986" t="inlineStr">
        <is>
          <t>Topics in :Biblical Aramaic</t>
        </is>
      </c>
    </row>
    <row r="987">
      <c r="O987" t="inlineStr">
        <is>
          <t>Topics in :Biblical Hebrew III</t>
        </is>
      </c>
    </row>
    <row r="988">
      <c r="O988" t="inlineStr">
        <is>
          <t>Topics in 1st Gen Adv Pioneers</t>
        </is>
      </c>
    </row>
    <row r="989">
      <c r="O989" t="inlineStr">
        <is>
          <t>Topics in Adv Stud in Matthew</t>
        </is>
      </c>
    </row>
    <row r="990">
      <c r="O990" t="inlineStr">
        <is>
          <t>Topics in Advanced Greek</t>
        </is>
      </c>
    </row>
    <row r="991">
      <c r="O991" t="inlineStr">
        <is>
          <t>Topics in Adventist History</t>
        </is>
      </c>
    </row>
    <row r="992">
      <c r="O992" t="inlineStr">
        <is>
          <t>Topics in Adventist Studies</t>
        </is>
      </c>
    </row>
    <row r="993">
      <c r="O993" t="inlineStr">
        <is>
          <t>Topics in Church History:</t>
        </is>
      </c>
    </row>
    <row r="994">
      <c r="O994" t="inlineStr">
        <is>
          <t>Topics in Dev of SDA Theology</t>
        </is>
      </c>
    </row>
    <row r="995">
      <c r="O995" t="inlineStr">
        <is>
          <t>Topics in Diversity, Cultures</t>
        </is>
      </c>
    </row>
    <row r="996">
      <c r="O996" t="inlineStr">
        <is>
          <t>Topics in Eschatology</t>
        </is>
      </c>
    </row>
    <row r="997">
      <c r="O997" t="inlineStr">
        <is>
          <t>Topics in Galatians</t>
        </is>
      </c>
    </row>
    <row r="998">
      <c r="O998" t="inlineStr">
        <is>
          <t>Topics in Greco-Roman World</t>
        </is>
      </c>
    </row>
    <row r="999">
      <c r="O999" t="inlineStr">
        <is>
          <t>Topics in Hebrews</t>
        </is>
      </c>
    </row>
    <row r="1000">
      <c r="O1000" t="inlineStr">
        <is>
          <t>Topics in Holy Spirit in NT</t>
        </is>
      </c>
    </row>
    <row r="1001">
      <c r="O1001" t="inlineStr">
        <is>
          <t>Topics in Holy Spirit in theNT</t>
        </is>
      </c>
    </row>
    <row r="1002">
      <c r="O1002" t="inlineStr">
        <is>
          <t>Topics in Intectual Theology</t>
        </is>
      </c>
    </row>
    <row r="1003">
      <c r="O1003" t="inlineStr">
        <is>
          <t>Topics in John</t>
        </is>
      </c>
    </row>
    <row r="1004">
      <c r="O1004" t="inlineStr">
        <is>
          <t>Topics in Judaism and the NT</t>
        </is>
      </c>
    </row>
    <row r="1005">
      <c r="O1005" t="inlineStr">
        <is>
          <t>Topics in Leadership</t>
        </is>
      </c>
    </row>
    <row r="1006">
      <c r="O1006" t="inlineStr">
        <is>
          <t>Topics in Matthew</t>
        </is>
      </c>
    </row>
    <row r="1007">
      <c r="O1007" t="inlineStr">
        <is>
          <t>Topics in Min: Pastorl Counsel</t>
        </is>
      </c>
    </row>
    <row r="1008">
      <c r="O1008" t="inlineStr">
        <is>
          <t>Topics in NT Archaeology</t>
        </is>
      </c>
    </row>
    <row r="1009">
      <c r="O1009" t="inlineStr">
        <is>
          <t>Topics in NT Ethics</t>
        </is>
      </c>
    </row>
    <row r="1010">
      <c r="O1010" t="inlineStr">
        <is>
          <t>Topics in Pastoral Epistles</t>
        </is>
      </c>
    </row>
    <row r="1011">
      <c r="O1011" t="inlineStr">
        <is>
          <t>Topics in Preaching</t>
        </is>
      </c>
    </row>
    <row r="1012">
      <c r="O1012" t="inlineStr">
        <is>
          <t>Topics in Rel Ed &amp; Discipline</t>
        </is>
      </c>
    </row>
    <row r="1013">
      <c r="O1013" t="inlineStr">
        <is>
          <t>Topics in Revelation</t>
        </is>
      </c>
    </row>
    <row r="1014">
      <c r="O1014" t="inlineStr">
        <is>
          <t>Topics in Romans</t>
        </is>
      </c>
    </row>
    <row r="1015">
      <c r="O1015" t="inlineStr">
        <is>
          <t>Topics in Salvation</t>
        </is>
      </c>
    </row>
    <row r="1016">
      <c r="O1016" t="inlineStr">
        <is>
          <t>Topics in Textual Criticism</t>
        </is>
      </c>
    </row>
    <row r="1017">
      <c r="O1017" t="inlineStr">
        <is>
          <t>Topics in: Akkadian</t>
        </is>
      </c>
    </row>
    <row r="1018">
      <c r="O1018" t="inlineStr">
        <is>
          <t>Topics in: Bblical Hebrew III</t>
        </is>
      </c>
    </row>
    <row r="1019">
      <c r="O1019" t="inlineStr">
        <is>
          <t>Topics in: Biblical Hebrew III</t>
        </is>
      </c>
    </row>
    <row r="1020">
      <c r="O1020" t="inlineStr">
        <is>
          <t>Topics in: Daniel</t>
        </is>
      </c>
    </row>
    <row r="1021">
      <c r="O1021" t="inlineStr">
        <is>
          <t>Topics in: Great Controvery</t>
        </is>
      </c>
    </row>
    <row r="1022">
      <c r="O1022" t="inlineStr">
        <is>
          <t>Topics in: Greco-Roman World</t>
        </is>
      </c>
    </row>
    <row r="1023">
      <c r="O1023" t="inlineStr">
        <is>
          <t>Topics in: Hebrews</t>
        </is>
      </c>
    </row>
    <row r="1024">
      <c r="O1024" t="inlineStr">
        <is>
          <t>Topics in: Hellenistic Greek</t>
        </is>
      </c>
    </row>
    <row r="1025">
      <c r="O1025" t="inlineStr">
        <is>
          <t>Topics in: Matthew</t>
        </is>
      </c>
    </row>
    <row r="1026">
      <c r="O1026" t="inlineStr">
        <is>
          <t>Topics in: NT Theol &amp; Ethics</t>
        </is>
      </c>
    </row>
    <row r="1027">
      <c r="O1027" t="inlineStr">
        <is>
          <t>Topics in: OT Exegesis</t>
        </is>
      </c>
    </row>
    <row r="1028">
      <c r="O1028" t="inlineStr">
        <is>
          <t>Topics in: OT Theology</t>
        </is>
      </c>
    </row>
    <row r="1029">
      <c r="O1029" t="inlineStr">
        <is>
          <t>Topics in: Pentateuch</t>
        </is>
      </c>
    </row>
    <row r="1030">
      <c r="O1030" t="inlineStr">
        <is>
          <t>Topics in: Ugaritic</t>
        </is>
      </c>
    </row>
    <row r="1031">
      <c r="O1031" t="inlineStr">
        <is>
          <t>Topics in: Witness to Muslims</t>
        </is>
      </c>
    </row>
    <row r="1032">
      <c r="O1032" t="inlineStr">
        <is>
          <t>Topics in:AncntNrEstrnLanguags</t>
        </is>
      </c>
    </row>
    <row r="1033">
      <c r="O1033" t="inlineStr">
        <is>
          <t>Topics in:Biblical Aramaic</t>
        </is>
      </c>
    </row>
    <row r="1034">
      <c r="O1034" t="inlineStr">
        <is>
          <t>Topics in:Biblical Hebrew III</t>
        </is>
      </c>
    </row>
    <row r="1035">
      <c r="O1035" t="inlineStr">
        <is>
          <t>Topics in:ChrstnRspnsHumnNeeds</t>
        </is>
      </c>
    </row>
    <row r="1036">
      <c r="O1036" t="inlineStr">
        <is>
          <t>Topics in:Healing&amp; Deliverance</t>
        </is>
      </c>
    </row>
    <row r="1037">
      <c r="O1037" t="inlineStr">
        <is>
          <t>Topics in:Judaism and the NT</t>
        </is>
      </c>
    </row>
    <row r="1038">
      <c r="O1038" t="inlineStr">
        <is>
          <t>Topics in:Leadership</t>
        </is>
      </c>
    </row>
    <row r="1039">
      <c r="O1039" t="inlineStr">
        <is>
          <t>Topics in:Mission Ed &amp; Train</t>
        </is>
      </c>
    </row>
    <row r="1040">
      <c r="O1040" t="inlineStr">
        <is>
          <t>Topics in:Mission Studies</t>
        </is>
      </c>
    </row>
    <row r="1041">
      <c r="O1041" t="inlineStr">
        <is>
          <t>Topics in:Narrative Theology</t>
        </is>
      </c>
    </row>
    <row r="1042">
      <c r="O1042" t="inlineStr">
        <is>
          <t>Topics in:NT Theolgy &amp; Ethics</t>
        </is>
      </c>
    </row>
    <row r="1043">
      <c r="O1043" t="inlineStr">
        <is>
          <t>Topics in:Preaching</t>
        </is>
      </c>
    </row>
    <row r="1044">
      <c r="O1044" t="inlineStr">
        <is>
          <t>Topics in:Reaings in Septuagnt</t>
        </is>
      </c>
    </row>
    <row r="1045">
      <c r="O1045" t="inlineStr">
        <is>
          <t>Topics in:Revelation</t>
        </is>
      </c>
    </row>
    <row r="1046">
      <c r="O1046" t="inlineStr">
        <is>
          <t>Topics in:Strtgs of World Mssn</t>
        </is>
      </c>
    </row>
    <row r="1047">
      <c r="O1047" t="inlineStr">
        <is>
          <t>Topics in:Witness Sec/Post Peo</t>
        </is>
      </c>
    </row>
    <row r="1048">
      <c r="O1048" t="inlineStr">
        <is>
          <t>Topics: Dev of SDA Theology</t>
        </is>
      </c>
    </row>
    <row r="1049">
      <c r="O1049" t="inlineStr">
        <is>
          <t>Topics: Mission Studies</t>
        </is>
      </c>
    </row>
    <row r="1050">
      <c r="O1050" t="inlineStr">
        <is>
          <t>Topics: Mission to the Cities</t>
        </is>
      </c>
    </row>
    <row r="1051">
      <c r="O1051" t="inlineStr">
        <is>
          <t>Topics: Missionary Kids</t>
        </is>
      </c>
    </row>
    <row r="1052">
      <c r="O1052" t="inlineStr">
        <is>
          <t>Topics: Modern Philosophy</t>
        </is>
      </c>
    </row>
    <row r="1053">
      <c r="O1053" t="inlineStr">
        <is>
          <t>Topics: Sem Inter Cultural The</t>
        </is>
      </c>
    </row>
    <row r="1054">
      <c r="O1054" t="inlineStr">
        <is>
          <t>Topics: Urban Mission</t>
        </is>
      </c>
    </row>
    <row r="1055">
      <c r="O1055" t="inlineStr">
        <is>
          <t>Topics:Dctrn Chrch&amp;Mssn</t>
        </is>
      </c>
    </row>
    <row r="1056">
      <c r="O1056" t="inlineStr">
        <is>
          <t>Topics:Eschatology</t>
        </is>
      </c>
    </row>
    <row r="1057">
      <c r="O1057" t="inlineStr">
        <is>
          <t>Topics:Families in Society</t>
        </is>
      </c>
    </row>
    <row r="1058">
      <c r="O1058" t="inlineStr">
        <is>
          <t>Topics:Hebrew</t>
        </is>
      </c>
    </row>
    <row r="1059">
      <c r="O1059" t="inlineStr">
        <is>
          <t>Topics:Hindu Culture &amp; Society</t>
        </is>
      </c>
    </row>
    <row r="1060">
      <c r="O1060" t="inlineStr">
        <is>
          <t>Topics:Incarnational Mssn Thlg</t>
        </is>
      </c>
    </row>
    <row r="1061">
      <c r="O1061" t="inlineStr">
        <is>
          <t>Topics:Research Methods</t>
        </is>
      </c>
    </row>
    <row r="1062">
      <c r="O1062" t="inlineStr">
        <is>
          <t>Topics:Revelation</t>
        </is>
      </c>
    </row>
    <row r="1063">
      <c r="O1063" t="inlineStr">
        <is>
          <t>Topics:Sanctuary Doctrine</t>
        </is>
      </c>
    </row>
    <row r="1064">
      <c r="O1064" t="inlineStr">
        <is>
          <t>Topics:Social Sciences&amp;Mission</t>
        </is>
      </c>
    </row>
    <row r="1065">
      <c r="O1065" t="inlineStr">
        <is>
          <t>Topics:Strategies in Mission</t>
        </is>
      </c>
    </row>
    <row r="1066">
      <c r="O1066" t="inlineStr">
        <is>
          <t>Topics:Strtgs for  World Missn</t>
        </is>
      </c>
    </row>
    <row r="1067">
      <c r="O1067" t="inlineStr">
        <is>
          <t>Topics:Theology of Culture</t>
        </is>
      </c>
    </row>
    <row r="1068">
      <c r="O1068" t="inlineStr">
        <is>
          <t>Topics:Urban Context</t>
        </is>
      </c>
    </row>
    <row r="1069">
      <c r="O1069" t="inlineStr">
        <is>
          <t>Topics:Urban Contexts for Mssn</t>
        </is>
      </c>
    </row>
    <row r="1070">
      <c r="O1070" t="inlineStr">
        <is>
          <t>Topics:Urban Mission</t>
        </is>
      </c>
    </row>
    <row r="1071">
      <c r="O1071" t="inlineStr">
        <is>
          <t>Topics:Witnss Seclr&amp;Pstmdrn Pp</t>
        </is>
      </c>
    </row>
    <row r="1072">
      <c r="O1072" t="inlineStr">
        <is>
          <t>TopicsCHIS: Protest Theo Herit</t>
        </is>
      </c>
    </row>
    <row r="1073">
      <c r="O1073" t="inlineStr">
        <is>
          <t>Tops in Grt Cont, Cvnt, Lw&amp;Sab</t>
        </is>
      </c>
    </row>
    <row r="1074">
      <c r="O1074" t="inlineStr">
        <is>
          <t>Tpcs in :NW Semitic Inscriptin</t>
        </is>
      </c>
    </row>
    <row r="1075">
      <c r="O1075" t="inlineStr">
        <is>
          <t>Tpcs Mnstry:ChrchGrwth&amp;EqpPstr</t>
        </is>
      </c>
    </row>
    <row r="1076">
      <c r="O1076" t="inlineStr">
        <is>
          <t>Trauma&amp;Adv Crisis Intervention</t>
        </is>
      </c>
    </row>
    <row r="1077">
      <c r="O1077" t="inlineStr">
        <is>
          <t>Understanding Christian World</t>
        </is>
      </c>
    </row>
    <row r="1078">
      <c r="O1078" t="inlineStr">
        <is>
          <t>Urban Context Mission/Ministry</t>
        </is>
      </c>
    </row>
    <row r="1079">
      <c r="O1079" t="inlineStr">
        <is>
          <t>Witn People Another Rlg:Islam</t>
        </is>
      </c>
    </row>
    <row r="1080">
      <c r="O1080" t="inlineStr">
        <is>
          <t>Witn Ppl Other Rlg:Pstmdrn &amp; S</t>
        </is>
      </c>
    </row>
    <row r="1081">
      <c r="O1081" t="inlineStr">
        <is>
          <t>Wkshp:Health Min. in Chng Wld</t>
        </is>
      </c>
    </row>
    <row r="1082">
      <c r="O1082" t="inlineStr">
        <is>
          <t>Wkshp:NAD Ministerial Conventn</t>
        </is>
      </c>
    </row>
    <row r="1083">
      <c r="O1083" t="inlineStr">
        <is>
          <t>Wkshp:Natural Rem/Hydro</t>
        </is>
      </c>
    </row>
    <row r="1084">
      <c r="O1084" t="inlineStr">
        <is>
          <t>Wkshp:Natural Rem/Hydrotherapy</t>
        </is>
      </c>
    </row>
    <row r="1085">
      <c r="O1085" t="inlineStr">
        <is>
          <t>Workshop: Advanced SEEDS</t>
        </is>
      </c>
    </row>
    <row r="1086">
      <c r="O1086" t="inlineStr">
        <is>
          <t>Workshop: Prep Mssn Srvc</t>
        </is>
      </c>
    </row>
    <row r="1087">
      <c r="O1087" t="inlineStr">
        <is>
          <t>Workshop: SEEDS</t>
        </is>
      </c>
    </row>
    <row r="1088">
      <c r="O1088" t="inlineStr">
        <is>
          <t>Workshop:Advanced SEEDS</t>
        </is>
      </c>
    </row>
    <row r="1089">
      <c r="O1089" t="inlineStr">
        <is>
          <t>Workshop:Coaching</t>
        </is>
      </c>
    </row>
    <row r="1090">
      <c r="O1090" t="inlineStr">
        <is>
          <t>Workshop:Hlth Mnstry Chng Wrld</t>
        </is>
      </c>
    </row>
    <row r="1091">
      <c r="O1091" t="inlineStr">
        <is>
          <t>Workshop:Prep for Missions</t>
        </is>
      </c>
    </row>
    <row r="1092">
      <c r="O1092" t="inlineStr">
        <is>
          <t>Workshop:Prep Mssn Srvc</t>
        </is>
      </c>
    </row>
    <row r="1093">
      <c r="O1093" t="inlineStr">
        <is>
          <t>Workshop:SEEDS</t>
        </is>
      </c>
    </row>
    <row r="1094">
      <c r="O1094" t="inlineStr">
        <is>
          <t>Workshop:Worship Word &amp; Music</t>
        </is>
      </c>
    </row>
    <row r="1095">
      <c r="O1095" t="inlineStr">
        <is>
          <t>Worship:Word &amp; Music</t>
        </is>
      </c>
    </row>
    <row r="1096">
      <c r="O1096" t="inlineStr">
        <is>
          <t>Wrkshp:AUMusic&amp;Wrshp Cnfrnc</t>
        </is>
      </c>
    </row>
    <row r="1097">
      <c r="O1097" t="inlineStr">
        <is>
          <t>Wrkshp:HealthMngmntChngngWrld</t>
        </is>
      </c>
    </row>
    <row r="1098">
      <c r="O1098" t="inlineStr">
        <is>
          <t>Wrkshp:Ntrl Intrvntns&amp;Hydrthrp</t>
        </is>
      </c>
    </row>
    <row r="1099">
      <c r="O1099" t="inlineStr">
        <is>
          <t>Wrkshp:Prep for Mission Servic</t>
        </is>
      </c>
    </row>
    <row r="1100">
      <c r="O1100" t="inlineStr">
        <is>
          <t>Wrkshp:Preparation for Mission</t>
        </is>
      </c>
    </row>
    <row r="1101">
      <c r="O1101" t="inlineStr">
        <is>
          <t>Wrkshp:Word &amp; Music</t>
        </is>
      </c>
    </row>
    <row r="1102">
      <c r="O1102" t="inlineStr">
        <is>
          <t>Wrksp:2022 Ministrl Convention</t>
        </is>
      </c>
    </row>
    <row r="1103">
      <c r="O1103" t="inlineStr">
        <is>
          <t>Yth&amp;Yng Adlt in Contmp Culture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 Name</t>
        </is>
      </c>
      <c r="B1" t="inlineStr">
        <is>
          <t>ID#</t>
        </is>
      </c>
      <c r="C1" t="inlineStr">
        <is>
          <t>email</t>
        </is>
      </c>
    </row>
    <row r="2">
      <c r="A2" t="inlineStr">
        <is>
          <t>Abar, Emmanuel M.</t>
        </is>
      </c>
      <c r="B2" t="inlineStr">
        <is>
          <t>000114991</t>
        </is>
      </c>
      <c r="C2" t="inlineStr">
        <is>
          <t>abar@andrews.edu</t>
        </is>
      </c>
    </row>
    <row r="3">
      <c r="A3" t="inlineStr">
        <is>
          <t>Antic, Radisa</t>
        </is>
      </c>
      <c r="B3" t="inlineStr">
        <is>
          <t>000042516</t>
        </is>
      </c>
      <c r="C3" t="inlineStr">
        <is>
          <t>radisa@andrews.edu</t>
        </is>
      </c>
    </row>
    <row r="4">
      <c r="A4" t="inlineStr">
        <is>
          <t>Augsburger, Daniel E.</t>
        </is>
      </c>
      <c r="B4" t="inlineStr">
        <is>
          <t>000003539</t>
        </is>
      </c>
      <c r="C4" t="inlineStr">
        <is>
          <t>augsburg@andrews.edu</t>
        </is>
      </c>
    </row>
    <row r="5">
      <c r="A5" t="inlineStr">
        <is>
          <t>Barbosa, Rodrigo d.</t>
        </is>
      </c>
      <c r="B5" t="inlineStr">
        <is>
          <t>000141959</t>
        </is>
      </c>
      <c r="C5" t="inlineStr">
        <is>
          <t>degaliza@andrews.edu</t>
        </is>
      </c>
    </row>
    <row r="6">
      <c r="A6" t="inlineStr">
        <is>
          <t>Barna, Jan</t>
        </is>
      </c>
      <c r="B6" t="inlineStr">
        <is>
          <t>000107673</t>
        </is>
      </c>
      <c r="C6" t="inlineStr">
        <is>
          <t>barna@andrews.edu</t>
        </is>
      </c>
    </row>
    <row r="7">
      <c r="A7" t="inlineStr">
        <is>
          <t>Burton, Kevin M.</t>
        </is>
      </c>
      <c r="B7" t="inlineStr">
        <is>
          <t>000148286</t>
        </is>
      </c>
      <c r="C7" t="inlineStr">
        <is>
          <t>burtonk@andrews.edu</t>
        </is>
      </c>
    </row>
    <row r="8">
      <c r="A8" t="inlineStr">
        <is>
          <t>Chow, Christie Chui-Shan</t>
        </is>
      </c>
      <c r="B8" t="inlineStr">
        <is>
          <t>000232177</t>
        </is>
      </c>
      <c r="C8" t="inlineStr">
        <is>
          <t>christiechu@andrews.edu</t>
        </is>
      </c>
    </row>
    <row r="9">
      <c r="A9" t="inlineStr">
        <is>
          <t>Damsteegt, P Gerard</t>
        </is>
      </c>
      <c r="B9" t="inlineStr">
        <is>
          <t>000009168</t>
        </is>
      </c>
      <c r="C9" t="inlineStr">
        <is>
          <t>damsteeg@andrews.edu</t>
        </is>
      </c>
    </row>
    <row r="10">
      <c r="A10" t="inlineStr">
        <is>
          <t>Figueroa, Victor F.</t>
        </is>
      </c>
      <c r="B10" t="inlineStr">
        <is>
          <t>000055527</t>
        </is>
      </c>
      <c r="C10" t="inlineStr">
        <is>
          <t>figuerov@andrews.edu</t>
        </is>
      </c>
    </row>
    <row r="11">
      <c r="A11" t="inlineStr">
        <is>
          <t>Gameti, Yvonne Y.</t>
        </is>
      </c>
      <c r="B11" t="inlineStr">
        <is>
          <t>000239625</t>
        </is>
      </c>
      <c r="C11" t="inlineStr">
        <is>
          <t>gameti@andrews.edu</t>
        </is>
      </c>
    </row>
    <row r="12">
      <c r="A12" t="inlineStr">
        <is>
          <t>Garcia Zarate, Heber E.</t>
        </is>
      </c>
      <c r="B12" t="inlineStr">
        <is>
          <t>000147941</t>
        </is>
      </c>
      <c r="C12" t="inlineStr">
        <is>
          <t>heber@andrews.edu</t>
        </is>
      </c>
    </row>
    <row r="13">
      <c r="A13" t="inlineStr">
        <is>
          <t>Kaiser, Angelika</t>
        </is>
      </c>
      <c r="B13" t="inlineStr">
        <is>
          <t>000143159</t>
        </is>
      </c>
      <c r="C13" t="inlineStr">
        <is>
          <t>angelika@andrews.edu</t>
        </is>
      </c>
    </row>
    <row r="14">
      <c r="A14" t="inlineStr">
        <is>
          <t>Kaiser, Denis</t>
        </is>
      </c>
      <c r="B14" t="inlineStr">
        <is>
          <t>000134382</t>
        </is>
      </c>
      <c r="C14" t="inlineStr">
        <is>
          <t>denis@andrews.edu</t>
        </is>
      </c>
    </row>
    <row r="15">
      <c r="A15" t="inlineStr">
        <is>
          <t>Louw, Eric A.</t>
        </is>
      </c>
      <c r="B15" t="inlineStr">
        <is>
          <t>000160504</t>
        </is>
      </c>
      <c r="C15" t="inlineStr">
        <is>
          <t>louw@andrews.edu</t>
        </is>
      </c>
    </row>
    <row r="16">
      <c r="A16" t="inlineStr">
        <is>
          <t>Park, Jungkyu</t>
        </is>
      </c>
      <c r="B16" t="inlineStr">
        <is>
          <t>000122429</t>
        </is>
      </c>
      <c r="C16" t="inlineStr">
        <is>
          <t>jungkyu@andrews.edu</t>
        </is>
      </c>
    </row>
    <row r="17">
      <c r="A17" t="inlineStr">
        <is>
          <t>Rodrigues, Gerson C.</t>
        </is>
      </c>
      <c r="B17" t="inlineStr">
        <is>
          <t>000093682</t>
        </is>
      </c>
      <c r="C17" t="inlineStr">
        <is>
          <t>gersoncr@andrews.edu</t>
        </is>
      </c>
    </row>
    <row r="18">
      <c r="A18" t="inlineStr">
        <is>
          <t>Rosario, Antonio M.</t>
        </is>
      </c>
      <c r="B18" t="inlineStr">
        <is>
          <t>000074158</t>
        </is>
      </c>
      <c r="C18" t="inlineStr">
        <is>
          <t>arosario@andrews.edu</t>
        </is>
      </c>
    </row>
    <row r="19">
      <c r="A19" t="inlineStr">
        <is>
          <t>Steger, Walter E.</t>
        </is>
      </c>
      <c r="B19" t="inlineStr">
        <is>
          <t>000064286</t>
        </is>
      </c>
      <c r="C19" t="inlineStr">
        <is>
          <t>steger@andrews.edu</t>
        </is>
      </c>
    </row>
    <row r="20">
      <c r="A20" t="inlineStr">
        <is>
          <t>Toscano, Steven M.</t>
        </is>
      </c>
      <c r="B20" t="inlineStr">
        <is>
          <t>000138178</t>
        </is>
      </c>
      <c r="C20" t="inlineStr">
        <is>
          <t>toscano@andrews.edu</t>
        </is>
      </c>
    </row>
    <row r="21">
      <c r="A21" t="inlineStr">
        <is>
          <t>Allen, Shirley M.</t>
        </is>
      </c>
      <c r="B21" t="inlineStr">
        <is>
          <t>000062024</t>
        </is>
      </c>
      <c r="C21" t="inlineStr">
        <is>
          <t>ashirley@andrews.edu</t>
        </is>
      </c>
    </row>
    <row r="22">
      <c r="A22" t="inlineStr">
        <is>
          <t>Beagles, Kathleen A.</t>
        </is>
      </c>
      <c r="B22" t="inlineStr">
        <is>
          <t>000041794</t>
        </is>
      </c>
      <c r="C22" t="inlineStr">
        <is>
          <t>beaglesk@andrews.edu</t>
        </is>
      </c>
    </row>
    <row r="23">
      <c r="A23" t="inlineStr">
        <is>
          <t>Consuegra, Claudio J.</t>
        </is>
      </c>
      <c r="B23" t="inlineStr">
        <is>
          <t>000041530</t>
        </is>
      </c>
      <c r="C23" t="inlineStr">
        <is>
          <t>consuegr@andrews.edu</t>
        </is>
      </c>
    </row>
    <row r="24">
      <c r="A24" t="inlineStr">
        <is>
          <t>Davis, Desiree E.</t>
        </is>
      </c>
      <c r="B24" t="inlineStr">
        <is>
          <t>000111875</t>
        </is>
      </c>
      <c r="C24" t="inlineStr">
        <is>
          <t>desireed@andrews.edu</t>
        </is>
      </c>
    </row>
    <row r="25">
      <c r="A25" t="inlineStr">
        <is>
          <t>Duany, Efrain</t>
        </is>
      </c>
      <c r="B25" t="inlineStr">
        <is>
          <t>000117365</t>
        </is>
      </c>
      <c r="C25" t="inlineStr">
        <is>
          <t>duany@andrews.edu</t>
        </is>
      </c>
    </row>
    <row r="26">
      <c r="A26" t="inlineStr">
        <is>
          <t>Espinosa, Jose M.</t>
        </is>
      </c>
      <c r="B26" t="inlineStr">
        <is>
          <t>000032088</t>
        </is>
      </c>
      <c r="C26" t="inlineStr">
        <is>
          <t>josee@andrews.edu</t>
        </is>
      </c>
    </row>
    <row r="27">
      <c r="A27" t="inlineStr">
        <is>
          <t>Fraser, Jasmine J.</t>
        </is>
      </c>
      <c r="B27" t="inlineStr">
        <is>
          <t>000129106</t>
        </is>
      </c>
      <c r="C27" t="inlineStr">
        <is>
          <t>fraserj@andrews.edu</t>
        </is>
      </c>
    </row>
    <row r="28">
      <c r="A28" t="inlineStr">
        <is>
          <t>Freed, Kristina M.</t>
        </is>
      </c>
      <c r="B28" t="inlineStr">
        <is>
          <t>000067653</t>
        </is>
      </c>
      <c r="C28" t="inlineStr">
        <is>
          <t>tyrrell@andrews.edu</t>
        </is>
      </c>
    </row>
    <row r="29">
      <c r="A29" t="inlineStr">
        <is>
          <t>Gilles, Allens</t>
        </is>
      </c>
      <c r="B29" t="inlineStr">
        <is>
          <t>000129689</t>
        </is>
      </c>
      <c r="C29" t="inlineStr">
        <is>
          <t>gilles@andrews.edu</t>
        </is>
      </c>
    </row>
    <row r="30">
      <c r="A30" t="inlineStr">
        <is>
          <t>Hamilton, Lloyd M.</t>
        </is>
      </c>
      <c r="B30" t="inlineStr">
        <is>
          <t>000062449</t>
        </is>
      </c>
      <c r="C30" t="inlineStr">
        <is>
          <t>hamiltol@andrews.edu</t>
        </is>
      </c>
    </row>
    <row r="31">
      <c r="A31" t="inlineStr">
        <is>
          <t>Joseph, Ainsworth E.</t>
        </is>
      </c>
      <c r="B31" t="inlineStr">
        <is>
          <t>000079312</t>
        </is>
      </c>
      <c r="C31" t="inlineStr">
        <is>
          <t>ainsworj@andrews.edu</t>
        </is>
      </c>
    </row>
    <row r="32">
      <c r="A32" t="inlineStr">
        <is>
          <t>Martin, Benjamin L.</t>
        </is>
      </c>
      <c r="B32" t="inlineStr">
        <is>
          <t>000155484</t>
        </is>
      </c>
      <c r="C32" t="inlineStr">
        <is>
          <t>benjaminm@andrews.edu</t>
        </is>
      </c>
    </row>
    <row r="33">
      <c r="A33" t="inlineStr">
        <is>
          <t>Mayer, Jorge R.</t>
        </is>
      </c>
      <c r="B33" t="inlineStr">
        <is>
          <t>000049082</t>
        </is>
      </c>
      <c r="C33" t="inlineStr">
        <is>
          <t>jorgem@andrews.edu</t>
        </is>
      </c>
    </row>
    <row r="34">
      <c r="A34" t="inlineStr">
        <is>
          <t>Moore, Richard A.</t>
        </is>
      </c>
      <c r="B34" t="inlineStr">
        <is>
          <t>000054389</t>
        </is>
      </c>
      <c r="C34" t="inlineStr">
        <is>
          <t>mooreri@andrews.edu</t>
        </is>
      </c>
    </row>
    <row r="35">
      <c r="A35" t="inlineStr">
        <is>
          <t>Ramos, Israel</t>
        </is>
      </c>
      <c r="B35" t="inlineStr">
        <is>
          <t>000111021</t>
        </is>
      </c>
      <c r="C35" t="inlineStr">
        <is>
          <t>ramosi@andrews.edu</t>
        </is>
      </c>
    </row>
    <row r="36">
      <c r="A36" t="inlineStr">
        <is>
          <t>Reddy, Ashley C.</t>
        </is>
      </c>
      <c r="B36" t="inlineStr">
        <is>
          <t>000159825</t>
        </is>
      </c>
      <c r="C36" t="inlineStr">
        <is>
          <t>reddy@andrews.edu</t>
        </is>
      </c>
    </row>
    <row r="37">
      <c r="A37" t="inlineStr">
        <is>
          <t>Reinert, Katia G.</t>
        </is>
      </c>
      <c r="B37" t="inlineStr">
        <is>
          <t>000195832</t>
        </is>
      </c>
      <c r="C37" t="inlineStr">
        <is>
          <t>reinert@andrews.edu</t>
        </is>
      </c>
    </row>
    <row r="38">
      <c r="A38" t="inlineStr">
        <is>
          <t>Sedlacek, David</t>
        </is>
      </c>
      <c r="B38" t="inlineStr">
        <is>
          <t>000142355</t>
        </is>
      </c>
      <c r="C38" t="inlineStr">
        <is>
          <t>sedlacek@andrews.edu</t>
        </is>
      </c>
    </row>
    <row r="39">
      <c r="A39" t="inlineStr">
        <is>
          <t>Ward, Scott R.</t>
        </is>
      </c>
      <c r="B39" t="inlineStr">
        <is>
          <t>000077973</t>
        </is>
      </c>
      <c r="C39" t="inlineStr">
        <is>
          <t>sward@andrews.edu</t>
        </is>
      </c>
    </row>
    <row r="40">
      <c r="A40" t="inlineStr">
        <is>
          <t>Fernandez-Gibbs, Jharony E.</t>
        </is>
      </c>
      <c r="B40" t="inlineStr">
        <is>
          <t>000140039</t>
        </is>
      </c>
      <c r="C40" t="inlineStr">
        <is>
          <t>jharony@andrews.edu</t>
        </is>
      </c>
    </row>
    <row r="41">
      <c r="A41" t="inlineStr">
        <is>
          <t>Peguero Colon, Samuel</t>
        </is>
      </c>
      <c r="B41" t="inlineStr">
        <is>
          <t>000130089</t>
        </is>
      </c>
      <c r="C41" t="inlineStr">
        <is>
          <t>pegueroc@andrews.edu</t>
        </is>
      </c>
    </row>
    <row r="42">
      <c r="A42" t="inlineStr">
        <is>
          <t>Fox, Curtis A.</t>
        </is>
      </c>
      <c r="B42" t="inlineStr">
        <is>
          <t>000062042</t>
        </is>
      </c>
      <c r="C42" t="inlineStr">
        <is>
          <t>curtisf@andrews.edu</t>
        </is>
      </c>
    </row>
    <row r="43">
      <c r="A43" t="inlineStr">
        <is>
          <t>Lopez, Elim J.</t>
        </is>
      </c>
      <c r="B43" t="inlineStr">
        <is>
          <t>000132146</t>
        </is>
      </c>
      <c r="C43" t="inlineStr">
        <is>
          <t>elim@andrews.edu</t>
        </is>
      </c>
    </row>
    <row r="44">
      <c r="A44" t="inlineStr">
        <is>
          <t>Maxson, Benjamin C.</t>
        </is>
      </c>
      <c r="B44" t="inlineStr">
        <is>
          <t>000025977</t>
        </is>
      </c>
      <c r="C44" t="inlineStr">
        <is>
          <t>maxson@andrews.edu</t>
        </is>
      </c>
    </row>
    <row r="45">
      <c r="A45" t="inlineStr">
        <is>
          <t>Oliver, Wilbert H.</t>
        </is>
      </c>
      <c r="B45" t="inlineStr">
        <is>
          <t>000034125</t>
        </is>
      </c>
      <c r="C45" t="inlineStr">
        <is>
          <t>wilberto@andrews.edu</t>
        </is>
      </c>
    </row>
    <row r="46">
      <c r="A46" t="inlineStr">
        <is>
          <t>Olivo, Dionisio</t>
        </is>
      </c>
      <c r="B46" t="inlineStr">
        <is>
          <t>000046389</t>
        </is>
      </c>
      <c r="C46" t="inlineStr">
        <is>
          <t>olivo@andrews.edu</t>
        </is>
      </c>
    </row>
    <row r="47">
      <c r="A47" t="inlineStr">
        <is>
          <t>Swanson, H Peter</t>
        </is>
      </c>
      <c r="B47" t="inlineStr">
        <is>
          <t>000031571</t>
        </is>
      </c>
      <c r="C47" t="inlineStr">
        <is>
          <t>swansonp@andrews.edu</t>
        </is>
      </c>
    </row>
    <row r="48">
      <c r="A48" t="inlineStr">
        <is>
          <t>Walshe, Allan R.</t>
        </is>
      </c>
      <c r="B48" t="inlineStr">
        <is>
          <t>000136308</t>
        </is>
      </c>
      <c r="C48" t="inlineStr">
        <is>
          <t>walshe@andrews.edu</t>
        </is>
      </c>
    </row>
    <row r="49">
      <c r="A49" t="inlineStr">
        <is>
          <t>Aguiar, Adenilton T.</t>
        </is>
      </c>
      <c r="B49" t="inlineStr">
        <is>
          <t>000160279</t>
        </is>
      </c>
      <c r="C49" t="inlineStr">
        <is>
          <t>adenilton@andrews.edu</t>
        </is>
      </c>
    </row>
    <row r="50">
      <c r="A50" t="inlineStr">
        <is>
          <t>Agustin, Alfredo G.</t>
        </is>
      </c>
      <c r="B50" t="inlineStr">
        <is>
          <t>000240618</t>
        </is>
      </c>
      <c r="C50" t="inlineStr">
        <is>
          <t>agustina@andrews.edu</t>
        </is>
      </c>
    </row>
    <row r="51">
      <c r="A51" t="inlineStr">
        <is>
          <t>Badenas, Roberto D.</t>
        </is>
      </c>
      <c r="B51" t="inlineStr">
        <is>
          <t>000035367</t>
        </is>
      </c>
      <c r="C51" t="inlineStr">
        <is>
          <t>badenasr@andrews.edu</t>
        </is>
      </c>
    </row>
    <row r="52">
      <c r="A52" t="inlineStr">
        <is>
          <t>Borda, Guilherme L.</t>
        </is>
      </c>
      <c r="B52" t="inlineStr">
        <is>
          <t>000150924</t>
        </is>
      </c>
      <c r="C52" t="inlineStr">
        <is>
          <t>borda@andrews.edu</t>
        </is>
      </c>
    </row>
    <row r="53">
      <c r="A53" t="inlineStr">
        <is>
          <t>Choi, Phuichun R.</t>
        </is>
      </c>
      <c r="B53" t="inlineStr">
        <is>
          <t>000036676</t>
        </is>
      </c>
      <c r="C53" t="inlineStr">
        <is>
          <t>choir@andrews.edu</t>
        </is>
      </c>
    </row>
    <row r="54">
      <c r="A54" t="inlineStr">
        <is>
          <t>Cortez, Felix H.</t>
        </is>
      </c>
      <c r="B54" t="inlineStr">
        <is>
          <t>000110700</t>
        </is>
      </c>
      <c r="C54" t="inlineStr">
        <is>
          <t>fcortez@andrews.edu</t>
        </is>
      </c>
    </row>
    <row r="55">
      <c r="A55" t="inlineStr">
        <is>
          <t>Ferreira, Jonatas L.</t>
        </is>
      </c>
      <c r="B55" t="inlineStr">
        <is>
          <t>000159708</t>
        </is>
      </c>
      <c r="C55" t="inlineStr">
        <is>
          <t>jonatas@andrews.edu</t>
        </is>
      </c>
    </row>
    <row r="56">
      <c r="A56" t="inlineStr">
        <is>
          <t>Festa, Sergio R.</t>
        </is>
      </c>
      <c r="B56" t="inlineStr">
        <is>
          <t>000159784</t>
        </is>
      </c>
      <c r="C56" t="inlineStr">
        <is>
          <t>festa@andrews.edu</t>
        </is>
      </c>
    </row>
    <row r="57">
      <c r="A57" t="inlineStr">
        <is>
          <t>Gallos, Erhard H.</t>
        </is>
      </c>
      <c r="B57" t="inlineStr">
        <is>
          <t>000068119</t>
        </is>
      </c>
      <c r="C57" t="inlineStr">
        <is>
          <t>gallos@andrews.edu</t>
        </is>
      </c>
    </row>
    <row r="58">
      <c r="A58" t="inlineStr">
        <is>
          <t>Gallusz, Laszlo</t>
        </is>
      </c>
      <c r="B58" t="inlineStr">
        <is>
          <t>000203949</t>
        </is>
      </c>
      <c r="C58" t="inlineStr">
        <is>
          <t>gallusz@andrews.edu</t>
        </is>
      </c>
    </row>
    <row r="59">
      <c r="A59" t="inlineStr">
        <is>
          <t>Grzeskowiak, Adam</t>
        </is>
      </c>
      <c r="B59" t="inlineStr">
        <is>
          <t>000204006</t>
        </is>
      </c>
      <c r="C59" t="inlineStr">
        <is>
          <t>grzeskowiak@andrews.edu</t>
        </is>
      </c>
    </row>
    <row r="60">
      <c r="A60" t="inlineStr">
        <is>
          <t>Hernandez, Angel M.</t>
        </is>
      </c>
      <c r="B60" t="inlineStr">
        <is>
          <t>000025476</t>
        </is>
      </c>
      <c r="C60" t="inlineStr">
        <is>
          <t>ahernandez@andrews.edu</t>
        </is>
      </c>
    </row>
    <row r="61">
      <c r="A61" t="inlineStr">
        <is>
          <t>Huss, Rajan P.</t>
        </is>
      </c>
      <c r="B61" t="inlineStr">
        <is>
          <t>000141225</t>
        </is>
      </c>
      <c r="C61" t="inlineStr">
        <is>
          <t>huss@andrews.edu</t>
        </is>
      </c>
    </row>
    <row r="62">
      <c r="A62" t="inlineStr">
        <is>
          <t>Johnston, Robert M.</t>
        </is>
      </c>
      <c r="B62" t="inlineStr">
        <is>
          <t>000003908</t>
        </is>
      </c>
      <c r="C62" t="inlineStr">
        <is>
          <t>bobjohn@andrews.edu</t>
        </is>
      </c>
    </row>
    <row r="63">
      <c r="A63" t="inlineStr">
        <is>
          <t>Kondrat, Stanislav</t>
        </is>
      </c>
      <c r="B63" t="inlineStr">
        <is>
          <t>000119532</t>
        </is>
      </c>
      <c r="C63" t="inlineStr">
        <is>
          <t>kondrat@andrews.edu</t>
        </is>
      </c>
    </row>
    <row r="64">
      <c r="A64" t="inlineStr">
        <is>
          <t>Kostyuk, Oleg</t>
        </is>
      </c>
      <c r="B64" t="inlineStr">
        <is>
          <t>000159768</t>
        </is>
      </c>
      <c r="C64" t="inlineStr">
        <is>
          <t>kostyuk@andrews.edu</t>
        </is>
      </c>
    </row>
    <row r="65">
      <c r="A65" t="inlineStr">
        <is>
          <t>Kuryliak, Bohdan</t>
        </is>
      </c>
      <c r="B65" t="inlineStr">
        <is>
          <t>000200888</t>
        </is>
      </c>
      <c r="C65" t="inlineStr">
        <is>
          <t>bkuryliak@andrews.edu</t>
        </is>
      </c>
    </row>
    <row r="66">
      <c r="A66" t="inlineStr">
        <is>
          <t>Kwon, Timothy B.</t>
        </is>
      </c>
      <c r="B66" t="inlineStr">
        <is>
          <t>000146533</t>
        </is>
      </c>
      <c r="C66" t="inlineStr">
        <is>
          <t>beett@andrews.edu</t>
        </is>
      </c>
    </row>
    <row r="67">
      <c r="A67" t="inlineStr">
        <is>
          <t>Lichtenwalter, Larry L.</t>
        </is>
      </c>
      <c r="B67" t="inlineStr">
        <is>
          <t>000024733</t>
        </is>
      </c>
      <c r="C67" t="inlineStr">
        <is>
          <t>lichtenw@andrews.edu</t>
        </is>
      </c>
    </row>
    <row r="68">
      <c r="A68" t="inlineStr">
        <is>
          <t>Moral Hernandez, Manuel A.</t>
        </is>
      </c>
      <c r="B68" t="inlineStr">
        <is>
          <t>000105885</t>
        </is>
      </c>
      <c r="C68" t="inlineStr">
        <is>
          <t>moral@andrews.edu</t>
        </is>
      </c>
    </row>
    <row r="69">
      <c r="A69" t="inlineStr">
        <is>
          <t>Mot, Laurentiu F.</t>
        </is>
      </c>
      <c r="B69" t="inlineStr">
        <is>
          <t>000115113</t>
        </is>
      </c>
      <c r="C69" t="inlineStr">
        <is>
          <t>laurentiu@andrews.edu</t>
        </is>
      </c>
    </row>
    <row r="70">
      <c r="A70" t="inlineStr">
        <is>
          <t>Munoz, Jose Y.</t>
        </is>
      </c>
      <c r="B70" t="inlineStr">
        <is>
          <t>000073761</t>
        </is>
      </c>
      <c r="C70" t="inlineStr">
        <is>
          <t>munozj@andrews.edu</t>
        </is>
      </c>
    </row>
    <row r="71">
      <c r="A71" t="inlineStr">
        <is>
          <t>Munoz, Ruben A.</t>
        </is>
      </c>
      <c r="B71" t="inlineStr">
        <is>
          <t>000064060</t>
        </is>
      </c>
      <c r="C71" t="inlineStr">
        <is>
          <t>rmunoz@andrews.edu</t>
        </is>
      </c>
    </row>
    <row r="72">
      <c r="A72" t="inlineStr">
        <is>
          <t>Nunes, Leonardo G.</t>
        </is>
      </c>
      <c r="B72" t="inlineStr">
        <is>
          <t>000138706</t>
        </is>
      </c>
      <c r="C72" t="inlineStr">
        <is>
          <t>nunesl@andrews.edu</t>
        </is>
      </c>
    </row>
    <row r="73">
      <c r="A73" t="inlineStr">
        <is>
          <t>Papaioannou, Kim G.</t>
        </is>
      </c>
      <c r="B73" t="inlineStr">
        <is>
          <t>000050429</t>
        </is>
      </c>
      <c r="C73" t="inlineStr">
        <is>
          <t>papaioannou@andrews.edu</t>
        </is>
      </c>
    </row>
    <row r="74">
      <c r="A74" t="inlineStr">
        <is>
          <t>Phillip, Mario N.</t>
        </is>
      </c>
      <c r="B74" t="inlineStr">
        <is>
          <t>000108446</t>
        </is>
      </c>
      <c r="C74" t="inlineStr">
        <is>
          <t>mariop@andrews.edu</t>
        </is>
      </c>
    </row>
    <row r="75">
      <c r="A75" t="inlineStr">
        <is>
          <t>Reeve, Teresa L.</t>
        </is>
      </c>
      <c r="B75" t="inlineStr">
        <is>
          <t>000050236</t>
        </is>
      </c>
      <c r="C75" t="inlineStr">
        <is>
          <t>tlreeve@andrews.edu</t>
        </is>
      </c>
    </row>
    <row r="76">
      <c r="A76" t="inlineStr">
        <is>
          <t>Richards, W Larry</t>
        </is>
      </c>
      <c r="B76" t="inlineStr">
        <is>
          <t>000008252</t>
        </is>
      </c>
    </row>
    <row r="77">
      <c r="A77" t="inlineStr">
        <is>
          <t>Stefanovic, Ranko</t>
        </is>
      </c>
      <c r="B77" t="inlineStr">
        <is>
          <t>000057767</t>
        </is>
      </c>
      <c r="C77" t="inlineStr">
        <is>
          <t>ranko@andrews.edu</t>
        </is>
      </c>
    </row>
    <row r="78">
      <c r="A78" t="inlineStr">
        <is>
          <t>Vine, Cedric E.</t>
        </is>
      </c>
      <c r="B78" t="inlineStr">
        <is>
          <t>000093509</t>
        </is>
      </c>
      <c r="C78" t="inlineStr">
        <is>
          <t>cvine@andrews.edu</t>
        </is>
      </c>
    </row>
    <row r="79">
      <c r="A79" t="inlineStr">
        <is>
          <t>Baez Garcia, Enrique</t>
        </is>
      </c>
      <c r="B79" t="inlineStr">
        <is>
          <t>000118530</t>
        </is>
      </c>
      <c r="C79" t="inlineStr">
        <is>
          <t>baezgarc@andrews.edu</t>
        </is>
      </c>
    </row>
    <row r="80">
      <c r="A80" t="inlineStr">
        <is>
          <t>Baker, Leslie S.</t>
        </is>
      </c>
      <c r="B80" t="inlineStr">
        <is>
          <t>000067622</t>
        </is>
      </c>
      <c r="C80" t="inlineStr">
        <is>
          <t>lsbakerjr@andrews.edu</t>
        </is>
      </c>
    </row>
    <row r="81">
      <c r="A81" t="inlineStr">
        <is>
          <t>Bates, Robert D.</t>
        </is>
      </c>
      <c r="B81" t="inlineStr">
        <is>
          <t>000095796</t>
        </is>
      </c>
      <c r="C81" t="inlineStr">
        <is>
          <t>bates@andrews.edu</t>
        </is>
      </c>
    </row>
    <row r="82">
      <c r="A82" t="inlineStr">
        <is>
          <t>Beaulieu, Stephane A.</t>
        </is>
      </c>
      <c r="B82" t="inlineStr">
        <is>
          <t>000132272</t>
        </is>
      </c>
      <c r="C82" t="inlineStr">
        <is>
          <t>beaulies@andrews.edu</t>
        </is>
      </c>
    </row>
    <row r="83">
      <c r="A83" t="inlineStr">
        <is>
          <t>Bediako, Daniel K.</t>
        </is>
      </c>
      <c r="B83" t="inlineStr">
        <is>
          <t>000246964</t>
        </is>
      </c>
    </row>
    <row r="84">
      <c r="A84" t="inlineStr">
        <is>
          <t>Breja, Alexandru</t>
        </is>
      </c>
      <c r="B84" t="inlineStr">
        <is>
          <t>000068116</t>
        </is>
      </c>
      <c r="C84" t="inlineStr">
        <is>
          <t>brejaal@andrews.edu</t>
        </is>
      </c>
    </row>
    <row r="85">
      <c r="A85" t="inlineStr">
        <is>
          <t>Broy, Trisha E.</t>
        </is>
      </c>
      <c r="B85" t="inlineStr">
        <is>
          <t>000088405</t>
        </is>
      </c>
      <c r="C85" t="inlineStr">
        <is>
          <t>trisha@andrews.edu</t>
        </is>
      </c>
    </row>
    <row r="86">
      <c r="A86" t="inlineStr">
        <is>
          <t>Doukhan, Jacques B.</t>
        </is>
      </c>
      <c r="B86" t="inlineStr">
        <is>
          <t>000027289</t>
        </is>
      </c>
      <c r="C86" t="inlineStr">
        <is>
          <t>doukhanj@andrews.edu</t>
        </is>
      </c>
    </row>
    <row r="87">
      <c r="A87" t="inlineStr">
        <is>
          <t>Emswiler, Elizabeth</t>
        </is>
      </c>
      <c r="B87" t="inlineStr">
        <is>
          <t>000205980</t>
        </is>
      </c>
      <c r="C87" t="inlineStr">
        <is>
          <t>emswiler@andrews.edu</t>
        </is>
      </c>
    </row>
    <row r="88">
      <c r="A88" t="inlineStr">
        <is>
          <t>Gane, Constance E.</t>
        </is>
      </c>
      <c r="B88" t="inlineStr">
        <is>
          <t>000074605</t>
        </is>
      </c>
      <c r="C88" t="inlineStr">
        <is>
          <t>cgane@andrews.edu</t>
        </is>
      </c>
    </row>
    <row r="89">
      <c r="A89" t="inlineStr">
        <is>
          <t>Glanz, Oliver</t>
        </is>
      </c>
      <c r="B89" t="inlineStr">
        <is>
          <t>000162826</t>
        </is>
      </c>
      <c r="C89" t="inlineStr">
        <is>
          <t>glanz@andrews.edu</t>
        </is>
      </c>
    </row>
    <row r="90">
      <c r="A90" t="inlineStr">
        <is>
          <t>Gordan, Daniel M.</t>
        </is>
      </c>
      <c r="B90" t="inlineStr">
        <is>
          <t>000155573</t>
        </is>
      </c>
      <c r="C90" t="inlineStr">
        <is>
          <t>danielgordan@andrews.edu</t>
        </is>
      </c>
    </row>
    <row r="91">
      <c r="A91" t="inlineStr">
        <is>
          <t>Gregor, Paul Z.</t>
        </is>
      </c>
      <c r="B91" t="inlineStr">
        <is>
          <t>000052867</t>
        </is>
      </c>
      <c r="C91" t="inlineStr">
        <is>
          <t>pgregor@andrews.edu</t>
        </is>
      </c>
    </row>
    <row r="92">
      <c r="A92" t="inlineStr">
        <is>
          <t>Groda, Johnny</t>
        </is>
      </c>
      <c r="B92" t="inlineStr">
        <is>
          <t>000102157</t>
        </is>
      </c>
      <c r="C92" t="inlineStr">
        <is>
          <t>johnny@andrews.edu</t>
        </is>
      </c>
    </row>
    <row r="93">
      <c r="A93" t="inlineStr">
        <is>
          <t>Hudon, Jeffrey P.</t>
        </is>
      </c>
      <c r="B93" t="inlineStr">
        <is>
          <t>000133678</t>
        </is>
      </c>
      <c r="C93" t="inlineStr">
        <is>
          <t>hudon@andrews.edu</t>
        </is>
      </c>
    </row>
    <row r="94">
      <c r="A94" t="inlineStr">
        <is>
          <t>Ionescu, Laurentiu Gabriel</t>
        </is>
      </c>
      <c r="B94" t="inlineStr">
        <is>
          <t>000190055</t>
        </is>
      </c>
      <c r="C94" t="inlineStr">
        <is>
          <t>laurentiuga@andrews.edu</t>
        </is>
      </c>
    </row>
    <row r="95">
      <c r="A95" t="inlineStr">
        <is>
          <t>Jankovic, Slavisa</t>
        </is>
      </c>
      <c r="B95" t="inlineStr">
        <is>
          <t>000138176</t>
        </is>
      </c>
      <c r="C95" t="inlineStr">
        <is>
          <t>jankovic@andrews.edu</t>
        </is>
      </c>
    </row>
    <row r="96">
      <c r="A96" t="inlineStr">
        <is>
          <t>McGuire-Moushon, Joni A.</t>
        </is>
      </c>
      <c r="B96" t="inlineStr">
        <is>
          <t>000118224</t>
        </is>
      </c>
      <c r="C96" t="inlineStr">
        <is>
          <t>mcguirej@andrews.edu</t>
        </is>
      </c>
    </row>
    <row r="97">
      <c r="A97" t="inlineStr">
        <is>
          <t>Moody, Jacob A.</t>
        </is>
      </c>
      <c r="B97" t="inlineStr">
        <is>
          <t>000141338</t>
        </is>
      </c>
      <c r="C97" t="inlineStr">
        <is>
          <t>moody@andrews.edu</t>
        </is>
      </c>
    </row>
    <row r="98">
      <c r="A98" t="inlineStr">
        <is>
          <t>Morrow, Laura K.</t>
        </is>
      </c>
      <c r="B98" t="inlineStr">
        <is>
          <t>000112615</t>
        </is>
      </c>
      <c r="C98" t="inlineStr">
        <is>
          <t>morrowl@andrews.edu</t>
        </is>
      </c>
    </row>
    <row r="99">
      <c r="A99" t="inlineStr">
        <is>
          <t>Nam, Daegeuk</t>
        </is>
      </c>
      <c r="B99" t="inlineStr">
        <is>
          <t>000032749</t>
        </is>
      </c>
    </row>
    <row r="100">
      <c r="A100" t="inlineStr">
        <is>
          <t>Ngo, Kim Chai</t>
        </is>
      </c>
      <c r="B100" t="inlineStr">
        <is>
          <t>000212413</t>
        </is>
      </c>
      <c r="C100" t="inlineStr">
        <is>
          <t>kimchai@andrews.edu</t>
        </is>
      </c>
    </row>
    <row r="101">
      <c r="A101" t="inlineStr">
        <is>
          <t>Olariu, Daniel</t>
        </is>
      </c>
      <c r="B101" t="inlineStr">
        <is>
          <t>000163538</t>
        </is>
      </c>
      <c r="C101" t="inlineStr">
        <is>
          <t>olariu@andrews.edu</t>
        </is>
      </c>
    </row>
    <row r="102">
      <c r="A102" t="inlineStr">
        <is>
          <t>Prestes Neto, Flavio</t>
        </is>
      </c>
      <c r="B102" t="inlineStr">
        <is>
          <t>000136415</t>
        </is>
      </c>
      <c r="C102" t="inlineStr">
        <is>
          <t>neto@andrews.edu</t>
        </is>
      </c>
    </row>
    <row r="103">
      <c r="A103" t="inlineStr">
        <is>
          <t>Rivas Santini, Abelardo J.</t>
        </is>
      </c>
      <c r="B103" t="inlineStr">
        <is>
          <t>000133197</t>
        </is>
      </c>
      <c r="C103" t="inlineStr">
        <is>
          <t>abelardo@andrews.edu</t>
        </is>
      </c>
    </row>
    <row r="104">
      <c r="A104" t="inlineStr">
        <is>
          <t>Rojas, Ronald</t>
        </is>
      </c>
      <c r="B104" t="inlineStr">
        <is>
          <t>000124643</t>
        </is>
      </c>
      <c r="C104" t="inlineStr">
        <is>
          <t>rojasr@andrews.edu</t>
        </is>
      </c>
    </row>
    <row r="105">
      <c r="A105" t="inlineStr">
        <is>
          <t>Ruiz Araica, Roger D.</t>
        </is>
      </c>
      <c r="B105" t="inlineStr">
        <is>
          <t>000148578</t>
        </is>
      </c>
      <c r="C105" t="inlineStr">
        <is>
          <t>ruizr@andrews.edu</t>
        </is>
      </c>
    </row>
    <row r="106">
      <c r="A106" t="inlineStr">
        <is>
          <t>Skinner, Jerome L.</t>
        </is>
      </c>
      <c r="B106" t="inlineStr">
        <is>
          <t>000117063</t>
        </is>
      </c>
      <c r="C106" t="inlineStr">
        <is>
          <t>skinnerj@andrews.edu</t>
        </is>
      </c>
    </row>
    <row r="107">
      <c r="A107" t="inlineStr">
        <is>
          <t>Sung, Sion</t>
        </is>
      </c>
      <c r="B107" t="inlineStr">
        <is>
          <t>000117882</t>
        </is>
      </c>
      <c r="C107" t="inlineStr">
        <is>
          <t>sion@andrews.edu</t>
        </is>
      </c>
    </row>
    <row r="108">
      <c r="A108" t="inlineStr">
        <is>
          <t>Tollerton, Evelyn Y.</t>
        </is>
      </c>
      <c r="B108" t="inlineStr">
        <is>
          <t>000117327</t>
        </is>
      </c>
      <c r="C108" t="inlineStr">
        <is>
          <t>tollerto@andrews.edu</t>
        </is>
      </c>
    </row>
    <row r="109">
      <c r="A109" t="inlineStr">
        <is>
          <t>Wiens, Roman</t>
        </is>
      </c>
      <c r="B109" t="inlineStr">
        <is>
          <t>000160271</t>
        </is>
      </c>
      <c r="C109" t="inlineStr">
        <is>
          <t>wiens@andrews.edu</t>
        </is>
      </c>
    </row>
    <row r="110">
      <c r="A110" t="inlineStr">
        <is>
          <t>Arias-Quintero, Jose A.</t>
        </is>
      </c>
      <c r="B110" t="inlineStr">
        <is>
          <t>000099625</t>
        </is>
      </c>
      <c r="C110" t="inlineStr">
        <is>
          <t>ariasqui@andrews.edu</t>
        </is>
      </c>
    </row>
    <row r="111">
      <c r="A111" t="inlineStr">
        <is>
          <t>Bell, Ora M.</t>
        </is>
      </c>
      <c r="B111" t="inlineStr">
        <is>
          <t>000015518</t>
        </is>
      </c>
      <c r="C111" t="inlineStr">
        <is>
          <t>sjbell@andrews.edu</t>
        </is>
      </c>
    </row>
    <row r="112">
      <c r="A112" t="inlineStr">
        <is>
          <t>Braun, Erlo</t>
        </is>
      </c>
      <c r="B112" t="inlineStr">
        <is>
          <t>000137172</t>
        </is>
      </c>
      <c r="C112" t="inlineStr">
        <is>
          <t>erlo@andrews.edu</t>
        </is>
      </c>
    </row>
    <row r="113">
      <c r="A113" t="inlineStr">
        <is>
          <t>Bullon, Alejandro</t>
        </is>
      </c>
      <c r="B113" t="inlineStr">
        <is>
          <t>000181820</t>
        </is>
      </c>
      <c r="C113" t="inlineStr">
        <is>
          <t>alejandrob@andrews.edu</t>
        </is>
      </c>
    </row>
    <row r="114">
      <c r="A114" t="inlineStr">
        <is>
          <t>Canals, Ramon J.</t>
        </is>
      </c>
      <c r="B114" t="inlineStr">
        <is>
          <t>000051912</t>
        </is>
      </c>
      <c r="C114" t="inlineStr">
        <is>
          <t>canals@andrews.edu</t>
        </is>
      </c>
    </row>
    <row r="115">
      <c r="A115" t="inlineStr">
        <is>
          <t>Cauley, Michael F.</t>
        </is>
      </c>
      <c r="B115" t="inlineStr">
        <is>
          <t>000025417</t>
        </is>
      </c>
      <c r="C115" t="inlineStr">
        <is>
          <t>cauleym@andrews.edu</t>
        </is>
      </c>
    </row>
    <row r="116">
      <c r="A116" t="inlineStr">
        <is>
          <t>Cauley, Michael R.</t>
        </is>
      </c>
      <c r="B116" t="inlineStr">
        <is>
          <t>000107141</t>
        </is>
      </c>
      <c r="C116" t="inlineStr">
        <is>
          <t>cauley@andrews.edu</t>
        </is>
      </c>
    </row>
    <row r="117">
      <c r="A117" t="inlineStr">
        <is>
          <t>Ceballos, Mario E.</t>
        </is>
      </c>
      <c r="B117" t="inlineStr">
        <is>
          <t>000039066</t>
        </is>
      </c>
      <c r="C117" t="inlineStr">
        <is>
          <t>ceballom@andrews.edu</t>
        </is>
      </c>
    </row>
    <row r="118">
      <c r="A118" t="inlineStr">
        <is>
          <t>Choque Fernandez, Juan</t>
        </is>
      </c>
      <c r="B118" t="inlineStr">
        <is>
          <t>000127674</t>
        </is>
      </c>
      <c r="C118" t="inlineStr">
        <is>
          <t>choque@andrews.edu</t>
        </is>
      </c>
    </row>
    <row r="119">
      <c r="A119" t="inlineStr">
        <is>
          <t>Evans, Tommy L.</t>
        </is>
      </c>
      <c r="B119" t="inlineStr">
        <is>
          <t>000063105</t>
        </is>
      </c>
      <c r="C119" t="inlineStr">
        <is>
          <t>tevans@andrews.edu</t>
        </is>
      </c>
    </row>
    <row r="120">
      <c r="A120" t="inlineStr">
        <is>
          <t>Li, Angela H.</t>
        </is>
      </c>
      <c r="B120" t="inlineStr">
        <is>
          <t>000225367</t>
        </is>
      </c>
      <c r="C120" t="inlineStr">
        <is>
          <t>angelal@andrews.edu</t>
        </is>
      </c>
    </row>
    <row r="121">
      <c r="A121" t="inlineStr">
        <is>
          <t>Liang, Onn</t>
        </is>
      </c>
      <c r="B121" t="inlineStr">
        <is>
          <t>000035691</t>
        </is>
      </c>
      <c r="C121" t="inlineStr">
        <is>
          <t>lianga@andrews.edu</t>
        </is>
      </c>
    </row>
    <row r="122">
      <c r="A122" t="inlineStr">
        <is>
          <t>Oudri, Gerardo</t>
        </is>
      </c>
      <c r="B122" t="inlineStr">
        <is>
          <t>000077975</t>
        </is>
      </c>
      <c r="C122" t="inlineStr">
        <is>
          <t>oudri@andrews.edu</t>
        </is>
      </c>
    </row>
    <row r="123">
      <c r="A123" t="inlineStr">
        <is>
          <t>Patterson, Stanley E.</t>
        </is>
      </c>
      <c r="B123" t="inlineStr">
        <is>
          <t>000030103</t>
        </is>
      </c>
      <c r="C123" t="inlineStr">
        <is>
          <t>patterss@andrews.edu</t>
        </is>
      </c>
    </row>
    <row r="124">
      <c r="A124" t="inlineStr">
        <is>
          <t>Penno, David K.</t>
        </is>
      </c>
      <c r="B124" t="inlineStr">
        <is>
          <t>000041639</t>
        </is>
      </c>
      <c r="C124" t="inlineStr">
        <is>
          <t>penno@andrews.edu</t>
        </is>
      </c>
    </row>
    <row r="125">
      <c r="A125" t="inlineStr">
        <is>
          <t>Ramirez, Johnny</t>
        </is>
      </c>
      <c r="B125" t="inlineStr">
        <is>
          <t>000030856</t>
        </is>
      </c>
      <c r="C125" t="inlineStr">
        <is>
          <t>johnnyr@andrews.edu</t>
        </is>
      </c>
    </row>
    <row r="126">
      <c r="A126" t="inlineStr">
        <is>
          <t>Rico, Jorge E.</t>
        </is>
      </c>
      <c r="B126" t="inlineStr">
        <is>
          <t>000051411</t>
        </is>
      </c>
      <c r="C126" t="inlineStr">
        <is>
          <t>rico@andrews.edu</t>
        </is>
      </c>
    </row>
    <row r="127">
      <c r="A127" t="inlineStr">
        <is>
          <t>Saravia, Yohalmo A.</t>
        </is>
      </c>
      <c r="B127" t="inlineStr">
        <is>
          <t>000046397</t>
        </is>
      </c>
      <c r="C127" t="inlineStr">
        <is>
          <t>saravia@andrews.edu</t>
        </is>
      </c>
    </row>
    <row r="128">
      <c r="A128" t="inlineStr">
        <is>
          <t>Schmidt, Eduard E.</t>
        </is>
      </c>
      <c r="B128" t="inlineStr">
        <is>
          <t>000041813</t>
        </is>
      </c>
      <c r="C128" t="inlineStr">
        <is>
          <t>eschmidt@andrews.edu</t>
        </is>
      </c>
    </row>
    <row r="129">
      <c r="A129" t="inlineStr">
        <is>
          <t>Sorajjakool, Siroj</t>
        </is>
      </c>
      <c r="B129" t="inlineStr">
        <is>
          <t>000050631</t>
        </is>
      </c>
      <c r="C129" t="inlineStr">
        <is>
          <t>siroj@andrews.edu</t>
        </is>
      </c>
    </row>
    <row r="130">
      <c r="A130" t="inlineStr">
        <is>
          <t>Wagener Smith, Anthony</t>
        </is>
      </c>
      <c r="B130" t="inlineStr">
        <is>
          <t>000118859</t>
        </is>
      </c>
      <c r="C130" t="inlineStr">
        <is>
          <t>wagenersmith@andrews.edu</t>
        </is>
      </c>
    </row>
    <row r="131">
      <c r="A131" t="inlineStr">
        <is>
          <t>Williams, Hyveth M.</t>
        </is>
      </c>
      <c r="B131" t="inlineStr">
        <is>
          <t>000049271</t>
        </is>
      </c>
      <c r="C131" t="inlineStr">
        <is>
          <t>hyveth@andrews.edu</t>
        </is>
      </c>
    </row>
    <row r="132">
      <c r="A132" t="inlineStr">
        <is>
          <t>Anderson, Paul S.</t>
        </is>
      </c>
      <c r="B132" t="inlineStr">
        <is>
          <t>000048877</t>
        </is>
      </c>
      <c r="C132" t="inlineStr">
        <is>
          <t>panderson@andrews.edu</t>
        </is>
      </c>
    </row>
    <row r="133">
      <c r="A133" t="inlineStr">
        <is>
          <t>Barcelo, Saul</t>
        </is>
      </c>
      <c r="B133" t="inlineStr">
        <is>
          <t>000233478</t>
        </is>
      </c>
    </row>
    <row r="134">
      <c r="A134" t="inlineStr">
        <is>
          <t>Coralie, Alain G.</t>
        </is>
      </c>
      <c r="B134" t="inlineStr">
        <is>
          <t>000076162</t>
        </is>
      </c>
      <c r="C134" t="inlineStr">
        <is>
          <t>coralie@andrews.edu</t>
        </is>
      </c>
    </row>
    <row r="135">
      <c r="A135" t="inlineStr">
        <is>
          <t>Crews, Heather L.</t>
        </is>
      </c>
      <c r="B135" t="inlineStr">
        <is>
          <t>000052089</t>
        </is>
      </c>
      <c r="C135" t="inlineStr">
        <is>
          <t>crewsh@andrews.edu</t>
        </is>
      </c>
    </row>
    <row r="136">
      <c r="A136" t="inlineStr">
        <is>
          <t>Ferreira, Sandy Y.</t>
        </is>
      </c>
      <c r="B136" t="inlineStr">
        <is>
          <t>000155280</t>
        </is>
      </c>
      <c r="C136" t="inlineStr">
        <is>
          <t>ferreirajim@andrews.edu</t>
        </is>
      </c>
    </row>
    <row r="137">
      <c r="A137" t="inlineStr">
        <is>
          <t>Galeniece, Anna</t>
        </is>
      </c>
      <c r="B137" t="inlineStr">
        <is>
          <t>000078997</t>
        </is>
      </c>
      <c r="C137" t="inlineStr">
        <is>
          <t>galeniec@andrews.edu</t>
        </is>
      </c>
    </row>
    <row r="138">
      <c r="A138" t="inlineStr">
        <is>
          <t>Grant, Vaughan K.</t>
        </is>
      </c>
      <c r="B138" t="inlineStr">
        <is>
          <t>000054097</t>
        </is>
      </c>
      <c r="C138" t="inlineStr">
        <is>
          <t>vaughang@andrews.edu</t>
        </is>
      </c>
    </row>
    <row r="139">
      <c r="A139" t="inlineStr">
        <is>
          <t>Grys, John W.</t>
        </is>
      </c>
      <c r="B139" t="inlineStr">
        <is>
          <t>000038918</t>
        </is>
      </c>
      <c r="C139" t="inlineStr">
        <is>
          <t>jgrys@andrews.edu</t>
        </is>
      </c>
    </row>
    <row r="140">
      <c r="A140" t="inlineStr">
        <is>
          <t>Jaeger, Victor A.</t>
        </is>
      </c>
      <c r="B140" t="inlineStr">
        <is>
          <t>000115524</t>
        </is>
      </c>
      <c r="C140" t="inlineStr">
        <is>
          <t>jaeger@andrews.edu</t>
        </is>
      </c>
    </row>
    <row r="141">
      <c r="A141" t="inlineStr">
        <is>
          <t>Kissinger, Evelyn G.</t>
        </is>
      </c>
      <c r="B141" t="inlineStr">
        <is>
          <t>000031535</t>
        </is>
      </c>
      <c r="C141" t="inlineStr">
        <is>
          <t>evelynk@andrews.edu</t>
        </is>
      </c>
    </row>
    <row r="142">
      <c r="A142" t="inlineStr">
        <is>
          <t>Ledesma, Janet</t>
        </is>
      </c>
      <c r="B142" t="inlineStr">
        <is>
          <t>000043873</t>
        </is>
      </c>
      <c r="C142" t="inlineStr">
        <is>
          <t>jledesma@andrews.edu</t>
        </is>
      </c>
    </row>
    <row r="143">
      <c r="A143" t="inlineStr">
        <is>
          <t>Lewis, Michael L.</t>
        </is>
      </c>
      <c r="B143" t="inlineStr">
        <is>
          <t>000096645</t>
        </is>
      </c>
      <c r="C143" t="inlineStr">
        <is>
          <t>lewismi@andrews.edu</t>
        </is>
      </c>
    </row>
    <row r="144">
      <c r="A144" t="inlineStr">
        <is>
          <t>Madding, Timothy E.</t>
        </is>
      </c>
      <c r="B144" t="inlineStr">
        <is>
          <t>000069917</t>
        </is>
      </c>
      <c r="C144" t="inlineStr">
        <is>
          <t>madding@andrews.edu</t>
        </is>
      </c>
    </row>
    <row r="145">
      <c r="A145" t="inlineStr">
        <is>
          <t>Martin, Allan D.</t>
        </is>
      </c>
      <c r="B145" t="inlineStr">
        <is>
          <t>000090518</t>
        </is>
      </c>
    </row>
    <row r="146">
      <c r="A146" t="inlineStr">
        <is>
          <t>McLean, Errol N.</t>
        </is>
      </c>
      <c r="B146" t="inlineStr">
        <is>
          <t>000049564</t>
        </is>
      </c>
      <c r="C146" t="inlineStr">
        <is>
          <t>mcleane@andrews.edu</t>
        </is>
      </c>
    </row>
    <row r="147">
      <c r="A147" t="inlineStr">
        <is>
          <t>Ming, Marilyn D.</t>
        </is>
      </c>
      <c r="B147" t="inlineStr">
        <is>
          <t>000126678</t>
        </is>
      </c>
      <c r="C147" t="inlineStr">
        <is>
          <t>ming@andrews.edu</t>
        </is>
      </c>
    </row>
    <row r="148">
      <c r="A148" t="inlineStr">
        <is>
          <t>Morales, Xavier</t>
        </is>
      </c>
      <c r="B148" t="inlineStr">
        <is>
          <t>000139876</t>
        </is>
      </c>
      <c r="C148" t="inlineStr">
        <is>
          <t>moralesx@andrews.edu</t>
        </is>
      </c>
    </row>
    <row r="149">
      <c r="A149" t="inlineStr">
        <is>
          <t>Ramos Escobar, Walter</t>
        </is>
      </c>
      <c r="B149" t="inlineStr">
        <is>
          <t>000155460</t>
        </is>
      </c>
      <c r="C149" t="inlineStr">
        <is>
          <t>ramosescoba@andrews.edu</t>
        </is>
      </c>
    </row>
    <row r="150">
      <c r="A150" t="inlineStr">
        <is>
          <t>Rojas, Hugo E.</t>
        </is>
      </c>
      <c r="B150" t="inlineStr">
        <is>
          <t>000095431</t>
        </is>
      </c>
      <c r="C150" t="inlineStr">
        <is>
          <t>elir@andrews.edu</t>
        </is>
      </c>
    </row>
    <row r="151">
      <c r="A151" t="inlineStr">
        <is>
          <t>Taiwo, Moses O.</t>
        </is>
      </c>
      <c r="B151" t="inlineStr">
        <is>
          <t>000051532</t>
        </is>
      </c>
      <c r="C151" t="inlineStr">
        <is>
          <t>taiwo@andrews.edu</t>
        </is>
      </c>
    </row>
    <row r="152">
      <c r="A152" t="inlineStr">
        <is>
          <t>Thordarson, Throstur B.</t>
        </is>
      </c>
      <c r="B152" t="inlineStr">
        <is>
          <t>000028045</t>
        </is>
      </c>
      <c r="C152" t="inlineStr">
        <is>
          <t>throstur@andrews.edu</t>
        </is>
      </c>
    </row>
    <row r="153">
      <c r="A153" t="inlineStr">
        <is>
          <t>Trecartin, Shannon M.</t>
        </is>
      </c>
      <c r="B153" t="inlineStr">
        <is>
          <t>000133204</t>
        </is>
      </c>
      <c r="C153" t="inlineStr">
        <is>
          <t>trecarts@andrews.edu</t>
        </is>
      </c>
    </row>
    <row r="154">
      <c r="A154" t="inlineStr">
        <is>
          <t>Tsui, Terry M.</t>
        </is>
      </c>
      <c r="B154" t="inlineStr">
        <is>
          <t>000120498</t>
        </is>
      </c>
      <c r="C154" t="inlineStr">
        <is>
          <t>tsui@andrews.edu</t>
        </is>
      </c>
    </row>
    <row r="155">
      <c r="A155" t="inlineStr">
        <is>
          <t>Vatel, Marie S.</t>
        </is>
      </c>
      <c r="B155" t="inlineStr">
        <is>
          <t>000074539</t>
        </is>
      </c>
      <c r="C155" t="inlineStr">
        <is>
          <t>vatelm@andrews.edu</t>
        </is>
      </c>
    </row>
    <row r="156">
      <c r="A156" t="inlineStr">
        <is>
          <t>Wellington, Rohann D.</t>
        </is>
      </c>
      <c r="B156" t="inlineStr">
        <is>
          <t>000110327</t>
        </is>
      </c>
      <c r="C156" t="inlineStr">
        <is>
          <t>rohann@andrews.edu</t>
        </is>
      </c>
    </row>
    <row r="157">
      <c r="A157" t="inlineStr">
        <is>
          <t>Wood, H Stanley</t>
        </is>
      </c>
      <c r="B157" t="inlineStr">
        <is>
          <t>000241606</t>
        </is>
      </c>
      <c r="C157" t="inlineStr">
        <is>
          <t>woodh@andrews.edu</t>
        </is>
      </c>
    </row>
    <row r="158">
      <c r="A158" t="inlineStr">
        <is>
          <t>Young, Dustin R.</t>
        </is>
      </c>
      <c r="B158" t="inlineStr">
        <is>
          <t>000234751</t>
        </is>
      </c>
      <c r="C158" t="inlineStr">
        <is>
          <t>dustiny@andrews.edu</t>
        </is>
      </c>
    </row>
    <row r="159">
      <c r="A159" t="inlineStr">
        <is>
          <t>Alexe, Cristina A.</t>
        </is>
      </c>
      <c r="B159" t="inlineStr">
        <is>
          <t>000134154</t>
        </is>
      </c>
      <c r="C159" t="inlineStr">
        <is>
          <t>alexe@andrews.edu</t>
        </is>
      </c>
    </row>
    <row r="160">
      <c r="A160" t="inlineStr">
        <is>
          <t>Andvik, Lidvar</t>
        </is>
      </c>
      <c r="B160" t="inlineStr">
        <is>
          <t>000148465</t>
        </is>
      </c>
      <c r="C160" t="inlineStr">
        <is>
          <t>lidvar@andrews.edu</t>
        </is>
      </c>
    </row>
    <row r="161">
      <c r="A161" t="inlineStr">
        <is>
          <t>Arena, Timothy J.</t>
        </is>
      </c>
      <c r="B161" t="inlineStr">
        <is>
          <t>000148323</t>
        </is>
      </c>
      <c r="C161" t="inlineStr">
        <is>
          <t>arena@andrews.edu</t>
        </is>
      </c>
    </row>
    <row r="162">
      <c r="A162" t="inlineStr">
        <is>
          <t>Baldwin, John T.</t>
        </is>
      </c>
      <c r="B162" t="inlineStr">
        <is>
          <t>000001902</t>
        </is>
      </c>
      <c r="C162" t="inlineStr">
        <is>
          <t>baldwin@andrews.edu</t>
        </is>
      </c>
    </row>
    <row r="163">
      <c r="A163" t="inlineStr">
        <is>
          <t>Bentancur, Ricardo</t>
        </is>
      </c>
      <c r="B163" t="inlineStr">
        <is>
          <t>000193021</t>
        </is>
      </c>
      <c r="C163" t="inlineStr">
        <is>
          <t>bentancur@andrews.edu</t>
        </is>
      </c>
    </row>
    <row r="164">
      <c r="A164" t="inlineStr">
        <is>
          <t>Canale, Fernando</t>
        </is>
      </c>
      <c r="B164" t="inlineStr">
        <is>
          <t>000033285</t>
        </is>
      </c>
      <c r="C164" t="inlineStr">
        <is>
          <t>canale@andrews.edu</t>
        </is>
      </c>
    </row>
    <row r="165">
      <c r="A165" t="inlineStr">
        <is>
          <t>Covrig, Duane M.</t>
        </is>
      </c>
      <c r="B165" t="inlineStr">
        <is>
          <t>000125642</t>
        </is>
      </c>
      <c r="C165" t="inlineStr">
        <is>
          <t>covrig@andrews.edu</t>
        </is>
      </c>
    </row>
    <row r="166">
      <c r="A166" t="inlineStr">
        <is>
          <t>Dei, Daniel</t>
        </is>
      </c>
      <c r="B166" t="inlineStr">
        <is>
          <t>000214349</t>
        </is>
      </c>
      <c r="C166" t="inlineStr">
        <is>
          <t>dei@andrews.edu</t>
        </is>
      </c>
    </row>
    <row r="167">
      <c r="A167" t="inlineStr">
        <is>
          <t>Drew, Arlyn S.</t>
        </is>
      </c>
      <c r="B167" t="inlineStr">
        <is>
          <t>000043384</t>
        </is>
      </c>
      <c r="C167" t="inlineStr">
        <is>
          <t>drewa@andrews.edu</t>
        </is>
      </c>
    </row>
    <row r="168">
      <c r="A168" t="inlineStr">
        <is>
          <t>Dupertuis, Atilio R.</t>
        </is>
      </c>
      <c r="B168" t="inlineStr">
        <is>
          <t>000001928</t>
        </is>
      </c>
      <c r="C168" t="inlineStr">
        <is>
          <t>dupera@andrews.edu</t>
        </is>
      </c>
    </row>
    <row r="169">
      <c r="A169" t="inlineStr">
        <is>
          <t>Duran Royo, Noemi</t>
        </is>
      </c>
      <c r="B169" t="inlineStr">
        <is>
          <t>000210558</t>
        </is>
      </c>
      <c r="C169" t="inlineStr">
        <is>
          <t>duranroyo@andrews.edu</t>
        </is>
      </c>
    </row>
    <row r="170">
      <c r="A170" t="inlineStr">
        <is>
          <t>Gibbs, Nathaniel</t>
        </is>
      </c>
      <c r="B170" t="inlineStr">
        <is>
          <t>000146529</t>
        </is>
      </c>
      <c r="C170" t="inlineStr">
        <is>
          <t>gibbsn@andrews.edu</t>
        </is>
      </c>
    </row>
    <row r="171">
      <c r="A171" t="inlineStr">
        <is>
          <t>Hanna, Martin F.</t>
        </is>
      </c>
      <c r="B171" t="inlineStr">
        <is>
          <t>000057080</t>
        </is>
      </c>
      <c r="C171" t="inlineStr">
        <is>
          <t>mhanna@andrews.edu</t>
        </is>
      </c>
    </row>
    <row r="172">
      <c r="A172" t="inlineStr">
        <is>
          <t>Jankiewicz, Darius W.</t>
        </is>
      </c>
      <c r="B172" t="inlineStr">
        <is>
          <t>000069427</t>
        </is>
      </c>
      <c r="C172" t="inlineStr">
        <is>
          <t>darius@andrews.edu</t>
        </is>
      </c>
    </row>
    <row r="173">
      <c r="A173" t="inlineStr">
        <is>
          <t>Kis, Miroslav M.</t>
        </is>
      </c>
      <c r="B173" t="inlineStr">
        <is>
          <t>000022704</t>
        </is>
      </c>
    </row>
    <row r="174">
      <c r="A174" t="inlineStr">
        <is>
          <t>Kormos, Erik</t>
        </is>
      </c>
      <c r="B174" t="inlineStr">
        <is>
          <t>000207932</t>
        </is>
      </c>
      <c r="C174" t="inlineStr">
        <is>
          <t>kormos@andrews.edu</t>
        </is>
      </c>
    </row>
    <row r="175">
      <c r="A175" t="inlineStr">
        <is>
          <t>Koval, Bohdan</t>
        </is>
      </c>
      <c r="B175" t="inlineStr">
        <is>
          <t>000163303</t>
        </is>
      </c>
      <c r="C175" t="inlineStr">
        <is>
          <t>koval@andrews.edu</t>
        </is>
      </c>
    </row>
    <row r="176">
      <c r="A176" t="inlineStr">
        <is>
          <t>Peckham, John C.</t>
        </is>
      </c>
      <c r="B176" t="inlineStr">
        <is>
          <t>000116996</t>
        </is>
      </c>
      <c r="C176" t="inlineStr">
        <is>
          <t>jpeckham@andrews.edu</t>
        </is>
      </c>
    </row>
    <row r="177">
      <c r="A177" t="inlineStr">
        <is>
          <t>Plantak, Zorislav</t>
        </is>
      </c>
      <c r="B177" t="inlineStr">
        <is>
          <t>000104055</t>
        </is>
      </c>
      <c r="C177" t="inlineStr">
        <is>
          <t>zplantak@andrews.edu</t>
        </is>
      </c>
    </row>
    <row r="178">
      <c r="A178" t="inlineStr">
        <is>
          <t>Razmerita, Gheorghe</t>
        </is>
      </c>
      <c r="B178" t="inlineStr">
        <is>
          <t>000087063</t>
        </is>
      </c>
      <c r="C178" t="inlineStr">
        <is>
          <t>razmerita@andrews.edu</t>
        </is>
      </c>
    </row>
    <row r="179">
      <c r="A179" t="inlineStr">
        <is>
          <t>Rodrigues, Adriani M.</t>
        </is>
      </c>
      <c r="B179" t="inlineStr">
        <is>
          <t>000145425</t>
        </is>
      </c>
      <c r="C179" t="inlineStr">
        <is>
          <t>adriani@andrews.edu</t>
        </is>
      </c>
    </row>
    <row r="180">
      <c r="A180" t="inlineStr">
        <is>
          <t>Sciarabba, Davide</t>
        </is>
      </c>
      <c r="B180" t="inlineStr">
        <is>
          <t>000138600</t>
        </is>
      </c>
      <c r="C180" t="inlineStr">
        <is>
          <t>sciarabb@andrews.edu</t>
        </is>
      </c>
    </row>
    <row r="181">
      <c r="A181" t="inlineStr">
        <is>
          <t>Szallos-Farkas, Zoltan</t>
        </is>
      </c>
      <c r="B181" t="inlineStr">
        <is>
          <t>000067911</t>
        </is>
      </c>
      <c r="C181" t="inlineStr">
        <is>
          <t>zoltan@andrews.edu</t>
        </is>
      </c>
    </row>
    <row r="182">
      <c r="A182" t="inlineStr">
        <is>
          <t>Terreros, Marco T.</t>
        </is>
      </c>
      <c r="B182" t="inlineStr">
        <is>
          <t>000054615</t>
        </is>
      </c>
      <c r="C182" t="inlineStr">
        <is>
          <t>terreros@andrews.edu</t>
        </is>
      </c>
    </row>
    <row r="183">
      <c r="A183" t="inlineStr">
        <is>
          <t>Tornalejo, Remwil R.</t>
        </is>
      </c>
      <c r="B183" t="inlineStr">
        <is>
          <t>000208503</t>
        </is>
      </c>
      <c r="C183" t="inlineStr">
        <is>
          <t>tornalejo@andrews.edu</t>
        </is>
      </c>
    </row>
    <row r="184">
      <c r="A184" t="inlineStr">
        <is>
          <t>Wetterlin, Cory D.</t>
        </is>
      </c>
      <c r="B184" t="inlineStr">
        <is>
          <t>000095321</t>
        </is>
      </c>
      <c r="C184" t="inlineStr">
        <is>
          <t>wetterli@andrews.edu</t>
        </is>
      </c>
    </row>
    <row r="185">
      <c r="A185" t="inlineStr">
        <is>
          <t>Zaitsev, Eugene V.</t>
        </is>
      </c>
      <c r="B185" t="inlineStr">
        <is>
          <t>000065636</t>
        </is>
      </c>
      <c r="C185" t="inlineStr">
        <is>
          <t>eugenez@andrews.edu</t>
        </is>
      </c>
    </row>
    <row r="186">
      <c r="A186" t="inlineStr">
        <is>
          <t>Bauer, Bruce L.</t>
        </is>
      </c>
      <c r="B186" t="inlineStr">
        <is>
          <t>000003023</t>
        </is>
      </c>
      <c r="C186" t="inlineStr">
        <is>
          <t>bbauer@andrews.edu</t>
        </is>
      </c>
    </row>
    <row r="187">
      <c r="A187" t="inlineStr">
        <is>
          <t>Cincala, Petr</t>
        </is>
      </c>
      <c r="B187" t="inlineStr">
        <is>
          <t>000074406</t>
        </is>
      </c>
      <c r="C187" t="inlineStr">
        <is>
          <t>cincala@andrews.edu</t>
        </is>
      </c>
    </row>
    <row r="188">
      <c r="A188" t="inlineStr">
        <is>
          <t>Dementyev, Vadim</t>
        </is>
      </c>
      <c r="B188" t="inlineStr">
        <is>
          <t>000121343</t>
        </is>
      </c>
      <c r="C188" t="inlineStr">
        <is>
          <t>dementyev@andrews.edu</t>
        </is>
      </c>
    </row>
    <row r="189">
      <c r="A189" t="inlineStr">
        <is>
          <t>Doss, Cheryl D.</t>
        </is>
      </c>
      <c r="B189" t="inlineStr">
        <is>
          <t>000011280</t>
        </is>
      </c>
      <c r="C189" t="inlineStr">
        <is>
          <t>dossc@andrews.edu</t>
        </is>
      </c>
    </row>
    <row r="190">
      <c r="A190" t="inlineStr">
        <is>
          <t>Doss, Gorden R.</t>
        </is>
      </c>
      <c r="B190" t="inlineStr">
        <is>
          <t>000016109</t>
        </is>
      </c>
      <c r="C190" t="inlineStr">
        <is>
          <t>dossg@andrews.edu</t>
        </is>
      </c>
    </row>
    <row r="191">
      <c r="A191" t="inlineStr">
        <is>
          <t>Drumi, Iurii N.</t>
        </is>
      </c>
      <c r="B191" t="inlineStr">
        <is>
          <t>000092262</t>
        </is>
      </c>
      <c r="C191" t="inlineStr">
        <is>
          <t>drumi@andrews.edu</t>
        </is>
      </c>
    </row>
    <row r="192">
      <c r="A192" t="inlineStr">
        <is>
          <t>Duffis Gordon, Daniel M.</t>
        </is>
      </c>
      <c r="B192" t="inlineStr">
        <is>
          <t>000159832</t>
        </is>
      </c>
      <c r="C192" t="inlineStr">
        <is>
          <t>duffisgordo@andrews.edu</t>
        </is>
      </c>
    </row>
    <row r="193">
      <c r="A193" t="inlineStr">
        <is>
          <t>Dybdahl, Jon L.</t>
        </is>
      </c>
      <c r="B193" t="inlineStr">
        <is>
          <t>000006149</t>
        </is>
      </c>
      <c r="C193" t="inlineStr">
        <is>
          <t>dybdahl@andrews.edu</t>
        </is>
      </c>
    </row>
    <row r="194">
      <c r="A194" t="inlineStr">
        <is>
          <t>Dybdahl, Paul B.</t>
        </is>
      </c>
      <c r="B194" t="inlineStr">
        <is>
          <t>000069738</t>
        </is>
      </c>
      <c r="C194" t="inlineStr">
        <is>
          <t>dybdahlp@andrews.edu</t>
        </is>
      </c>
    </row>
    <row r="195">
      <c r="A195" t="inlineStr">
        <is>
          <t>Goya Rozas, Ignacio</t>
        </is>
      </c>
      <c r="B195" t="inlineStr">
        <is>
          <t>000151900</t>
        </is>
      </c>
      <c r="C195" t="inlineStr">
        <is>
          <t>goya@andrews.edu</t>
        </is>
      </c>
    </row>
    <row r="196">
      <c r="A196" t="inlineStr">
        <is>
          <t>Guerrero Romero, Abraham I.</t>
        </is>
      </c>
      <c r="B196" t="inlineStr">
        <is>
          <t>000134376</t>
        </is>
      </c>
      <c r="C196" t="inlineStr">
        <is>
          <t>abrahamg@andrews.edu</t>
        </is>
      </c>
    </row>
    <row r="197">
      <c r="A197" t="inlineStr">
        <is>
          <t>Guirguis, Youssry L.</t>
        </is>
      </c>
      <c r="B197" t="inlineStr">
        <is>
          <t>000229579</t>
        </is>
      </c>
      <c r="C197" t="inlineStr">
        <is>
          <t>youssry@andrews.edu</t>
        </is>
      </c>
    </row>
    <row r="198">
      <c r="A198" t="inlineStr">
        <is>
          <t>Hunter, Claval I.</t>
        </is>
      </c>
      <c r="B198" t="inlineStr">
        <is>
          <t>000124366</t>
        </is>
      </c>
      <c r="C198" t="inlineStr">
        <is>
          <t>claval@andrews.edu</t>
        </is>
      </c>
    </row>
    <row r="199">
      <c r="A199" t="inlineStr">
        <is>
          <t>Ialyshev, Kemil K.</t>
        </is>
      </c>
      <c r="B199" t="inlineStr">
        <is>
          <t>000123480</t>
        </is>
      </c>
      <c r="C199" t="inlineStr">
        <is>
          <t>yalyshev@andrews.edu</t>
        </is>
      </c>
    </row>
    <row r="200">
      <c r="A200" t="inlineStr">
        <is>
          <t>Insom, Surachet</t>
        </is>
      </c>
      <c r="B200" t="inlineStr">
        <is>
          <t>000089320</t>
        </is>
      </c>
      <c r="C200" t="inlineStr">
        <is>
          <t>surachet@andrews.edu</t>
        </is>
      </c>
    </row>
    <row r="201">
      <c r="A201" t="inlineStr">
        <is>
          <t>Krause, Gary D.</t>
        </is>
      </c>
      <c r="B201" t="inlineStr">
        <is>
          <t>000231151</t>
        </is>
      </c>
      <c r="C201" t="inlineStr">
        <is>
          <t>gkrause@andrews.edu</t>
        </is>
      </c>
    </row>
    <row r="202">
      <c r="A202" t="inlineStr">
        <is>
          <t>Kuhn, Wagner</t>
        </is>
      </c>
      <c r="B202" t="inlineStr">
        <is>
          <t>000067555</t>
        </is>
      </c>
      <c r="C202" t="inlineStr">
        <is>
          <t>kuhn@andrews.edu</t>
        </is>
      </c>
    </row>
    <row r="203">
      <c r="A203" t="inlineStr">
        <is>
          <t>Maier, Rudolf</t>
        </is>
      </c>
      <c r="B203" t="inlineStr">
        <is>
          <t>000019537</t>
        </is>
      </c>
      <c r="C203" t="inlineStr">
        <is>
          <t>rmaier@andrews.edu</t>
        </is>
      </c>
    </row>
    <row r="204">
      <c r="A204" t="inlineStr">
        <is>
          <t>McEdward, Richard E.</t>
        </is>
      </c>
      <c r="B204" t="inlineStr">
        <is>
          <t>000062229</t>
        </is>
      </c>
      <c r="C204" t="inlineStr">
        <is>
          <t>mcedward@andrews.edu</t>
        </is>
      </c>
    </row>
    <row r="205">
      <c r="A205" t="inlineStr">
        <is>
          <t>Mercado, Carmelo</t>
        </is>
      </c>
      <c r="B205" t="inlineStr">
        <is>
          <t>000016682</t>
        </is>
      </c>
      <c r="C205" t="inlineStr">
        <is>
          <t>cmercado@andrews.edu</t>
        </is>
      </c>
    </row>
    <row r="206">
      <c r="A206" t="inlineStr">
        <is>
          <t>Merklin, Lester P.</t>
        </is>
      </c>
      <c r="B206" t="inlineStr">
        <is>
          <t>000019722</t>
        </is>
      </c>
      <c r="C206" t="inlineStr">
        <is>
          <t>lmerklin@andrews.edu</t>
        </is>
      </c>
    </row>
    <row r="207">
      <c r="A207" t="inlineStr">
        <is>
          <t>Namoradze, Sergo</t>
        </is>
      </c>
      <c r="B207" t="inlineStr">
        <is>
          <t>000112386</t>
        </is>
      </c>
      <c r="C207" t="inlineStr">
        <is>
          <t>sergo@andrews.edu</t>
        </is>
      </c>
    </row>
    <row r="208">
      <c r="A208" t="inlineStr">
        <is>
          <t>Onongha, Kelvin O.</t>
        </is>
      </c>
      <c r="B208" t="inlineStr">
        <is>
          <t>000056502</t>
        </is>
      </c>
      <c r="C208" t="inlineStr">
        <is>
          <t>onongha@andrews.edu</t>
        </is>
      </c>
    </row>
    <row r="209">
      <c r="A209" t="inlineStr">
        <is>
          <t>Osindo, Oscar</t>
        </is>
      </c>
      <c r="B209" t="inlineStr">
        <is>
          <t>000160575</t>
        </is>
      </c>
      <c r="C209" t="inlineStr">
        <is>
          <t>osindo@andrews.edu</t>
        </is>
      </c>
    </row>
    <row r="210">
      <c r="A210" t="inlineStr">
        <is>
          <t>Phillips, Gabriela F.</t>
        </is>
      </c>
      <c r="B210" t="inlineStr">
        <is>
          <t>000144385</t>
        </is>
      </c>
      <c r="C210" t="inlineStr">
        <is>
          <t>profetadep@andrews.edu</t>
        </is>
      </c>
    </row>
    <row r="211">
      <c r="A211" t="inlineStr">
        <is>
          <t>Tompkins, Andrew J.</t>
        </is>
      </c>
      <c r="B211" t="inlineStr">
        <is>
          <t>000122109</t>
        </is>
      </c>
      <c r="C211" t="inlineStr">
        <is>
          <t>tompkina@andrews.edu</t>
        </is>
      </c>
    </row>
    <row r="212">
      <c r="A212" t="inlineStr">
        <is>
          <t>William, Michelet</t>
        </is>
      </c>
      <c r="B212" t="inlineStr">
        <is>
          <t>000089121</t>
        </is>
      </c>
      <c r="C212" t="inlineStr">
        <is>
          <t>micheletw@andrews.edu</t>
        </is>
      </c>
    </row>
    <row r="213">
      <c r="A213" t="inlineStr">
        <is>
          <t>Zhanikaev, Makhti K.</t>
        </is>
      </c>
      <c r="B213" t="inlineStr">
        <is>
          <t>000160361</t>
        </is>
      </c>
      <c r="C213" t="inlineStr">
        <is>
          <t>makhti@andrews.edu</t>
        </is>
      </c>
    </row>
    <row r="214">
      <c r="A214" t="inlineStr">
        <is>
          <t>Zubkov, Pavel A.</t>
        </is>
      </c>
      <c r="B214" t="inlineStr">
        <is>
          <t>000126778</t>
        </is>
      </c>
      <c r="C214" t="inlineStr">
        <is>
          <t>zubkov@andrews.edu</t>
        </is>
      </c>
    </row>
    <row r="215">
      <c r="A215" t="inlineStr">
        <is>
          <t>Blue, Katrina B.</t>
        </is>
      </c>
      <c r="B215" t="inlineStr">
        <is>
          <t>000133676</t>
        </is>
      </c>
      <c r="C215" t="inlineStr">
        <is>
          <t>large@andrews.edu</t>
        </is>
      </c>
    </row>
    <row r="216">
      <c r="A216" t="inlineStr">
        <is>
          <t>Burt, Merlin D.</t>
        </is>
      </c>
      <c r="B216" t="inlineStr">
        <is>
          <t>000049061</t>
        </is>
      </c>
      <c r="C216" t="inlineStr">
        <is>
          <t>burt@andrews.edu</t>
        </is>
      </c>
    </row>
    <row r="217">
      <c r="A217" t="inlineStr">
        <is>
          <t>Camarena, Carlos C.</t>
        </is>
      </c>
      <c r="B217" t="inlineStr">
        <is>
          <t>000036675</t>
        </is>
      </c>
      <c r="C217" t="inlineStr">
        <is>
          <t>ccarlos@andrews.edu</t>
        </is>
      </c>
    </row>
    <row r="218">
      <c r="A218" t="inlineStr">
        <is>
          <t>Case, Steve W.</t>
        </is>
      </c>
      <c r="B218" t="inlineStr">
        <is>
          <t>000040389</t>
        </is>
      </c>
      <c r="C218" t="inlineStr">
        <is>
          <t>steve@andrews.edu</t>
        </is>
      </c>
    </row>
    <row r="219">
      <c r="A219" t="inlineStr">
        <is>
          <t>Davidson, JoAnn</t>
        </is>
      </c>
      <c r="B219" t="inlineStr">
        <is>
          <t>000012454</t>
        </is>
      </c>
      <c r="C219" t="inlineStr">
        <is>
          <t>jad@andrews.edu</t>
        </is>
      </c>
    </row>
    <row r="220">
      <c r="A220" t="inlineStr">
        <is>
          <t>Davidson, Richard M.</t>
        </is>
      </c>
      <c r="B220" t="inlineStr">
        <is>
          <t>000012107</t>
        </is>
      </c>
      <c r="C220" t="inlineStr">
        <is>
          <t>davidson@andrews.edu</t>
        </is>
      </c>
    </row>
    <row r="221">
      <c r="A221" t="inlineStr">
        <is>
          <t>Fortin, Denis</t>
        </is>
      </c>
      <c r="B221" t="inlineStr">
        <is>
          <t>000043638</t>
        </is>
      </c>
      <c r="C221" t="inlineStr">
        <is>
          <t>fortind@andrews.edu</t>
        </is>
      </c>
    </row>
    <row r="222">
      <c r="A222" t="inlineStr">
        <is>
          <t>Galenieks, Eriks</t>
        </is>
      </c>
      <c r="B222" t="inlineStr">
        <is>
          <t>000077101</t>
        </is>
      </c>
      <c r="C222" t="inlineStr">
        <is>
          <t>egalen@andrews.edu</t>
        </is>
      </c>
    </row>
    <row r="223">
      <c r="A223" t="inlineStr">
        <is>
          <t>Gane, Roy E.</t>
        </is>
      </c>
      <c r="B223" t="inlineStr">
        <is>
          <t>000008963</t>
        </is>
      </c>
      <c r="C223" t="inlineStr">
        <is>
          <t>gane@andrews.edu</t>
        </is>
      </c>
    </row>
    <row r="224">
      <c r="A224" t="inlineStr">
        <is>
          <t>Gaton, Roy G.</t>
        </is>
      </c>
      <c r="B224" t="inlineStr">
        <is>
          <t>000048477</t>
        </is>
      </c>
      <c r="C224" t="inlineStr">
        <is>
          <t>royg@andrews.edu</t>
        </is>
      </c>
    </row>
    <row r="225">
      <c r="A225" t="inlineStr">
        <is>
          <t>Goncalves, Kleber D.</t>
        </is>
      </c>
      <c r="B225" t="inlineStr">
        <is>
          <t>000078571</t>
        </is>
      </c>
      <c r="C225" t="inlineStr">
        <is>
          <t>kleber@andrews.edu</t>
        </is>
      </c>
    </row>
    <row r="226">
      <c r="A226" t="inlineStr">
        <is>
          <t>Green, Esther</t>
        </is>
      </c>
      <c r="B226" t="inlineStr">
        <is>
          <t>000212555</t>
        </is>
      </c>
      <c r="C226" t="inlineStr">
        <is>
          <t>egreen@andrews.edu</t>
        </is>
      </c>
    </row>
    <row r="227">
      <c r="A227" t="inlineStr">
        <is>
          <t>Hall, Kenley D.</t>
        </is>
      </c>
      <c r="B227" t="inlineStr">
        <is>
          <t>000069431</t>
        </is>
      </c>
      <c r="C227" t="inlineStr">
        <is>
          <t>kenley@andrews.edu</t>
        </is>
      </c>
    </row>
    <row r="228">
      <c r="A228" t="inlineStr">
        <is>
          <t>Hernandez, Abner F.</t>
        </is>
      </c>
      <c r="B228" t="inlineStr">
        <is>
          <t>000149024</t>
        </is>
      </c>
      <c r="C228" t="inlineStr">
        <is>
          <t>abnerh@andrews.edu</t>
        </is>
      </c>
    </row>
    <row r="229">
      <c r="A229" t="inlineStr">
        <is>
          <t>Hucks, Willie E.</t>
        </is>
      </c>
      <c r="B229" t="inlineStr">
        <is>
          <t>000048969</t>
        </is>
      </c>
      <c r="C229" t="inlineStr">
        <is>
          <t>hucks@andrews.edu</t>
        </is>
      </c>
    </row>
    <row r="230">
      <c r="A230" t="inlineStr">
        <is>
          <t>Irizarry De La Cruz, Iriann M.</t>
        </is>
      </c>
      <c r="B230" t="inlineStr">
        <is>
          <t>000140394</t>
        </is>
      </c>
      <c r="C230" t="inlineStr">
        <is>
          <t>irizarry@andrews.edu</t>
        </is>
      </c>
    </row>
    <row r="231">
      <c r="A231" t="inlineStr">
        <is>
          <t>Jeroncic, Ante</t>
        </is>
      </c>
      <c r="B231" t="inlineStr">
        <is>
          <t>000066942</t>
        </is>
      </c>
      <c r="C231" t="inlineStr">
        <is>
          <t>jeroncic@andrews.edu</t>
        </is>
      </c>
    </row>
    <row r="232">
      <c r="A232" t="inlineStr">
        <is>
          <t>Kidder, S Joseph</t>
        </is>
      </c>
      <c r="B232" t="inlineStr">
        <is>
          <t>000039170</t>
        </is>
      </c>
      <c r="C232" t="inlineStr">
        <is>
          <t>kiddersj@andrews.edu</t>
        </is>
      </c>
    </row>
    <row r="233">
      <c r="A233" t="inlineStr">
        <is>
          <t>Korchuk, Viacheslav I.</t>
        </is>
      </c>
      <c r="B233" t="inlineStr">
        <is>
          <t>000097153</t>
        </is>
      </c>
      <c r="C233" t="inlineStr">
        <is>
          <t>korchuk@andrews.edu</t>
        </is>
      </c>
    </row>
    <row r="234">
      <c r="A234" t="inlineStr">
        <is>
          <t>Kwon, Sung K.</t>
        </is>
      </c>
      <c r="B234" t="inlineStr">
        <is>
          <t>000073236</t>
        </is>
      </c>
      <c r="C234" t="inlineStr">
        <is>
          <t>kwons@andrews.edu</t>
        </is>
      </c>
    </row>
    <row r="235">
      <c r="A235" t="inlineStr">
        <is>
          <t>Machado, Carlos A.</t>
        </is>
      </c>
      <c r="B235" t="inlineStr">
        <is>
          <t>000117818</t>
        </is>
      </c>
      <c r="C235" t="inlineStr">
        <is>
          <t>machado@andrews.edu</t>
        </is>
      </c>
    </row>
    <row r="236">
      <c r="A236" t="inlineStr">
        <is>
          <t>Matthews, John V.</t>
        </is>
      </c>
      <c r="B236" t="inlineStr">
        <is>
          <t>000021462</t>
        </is>
      </c>
      <c r="C236" t="inlineStr">
        <is>
          <t>johnmatt@andrews.edu</t>
        </is>
      </c>
    </row>
    <row r="237">
      <c r="A237" t="inlineStr">
        <is>
          <t>Miller, Nicholas P.</t>
        </is>
      </c>
      <c r="B237" t="inlineStr">
        <is>
          <t>000050696</t>
        </is>
      </c>
      <c r="C237" t="inlineStr">
        <is>
          <t>nicholas@andrews.edu</t>
        </is>
      </c>
    </row>
    <row r="238">
      <c r="A238" t="inlineStr">
        <is>
          <t>Moon, Jerry A.</t>
        </is>
      </c>
      <c r="B238" t="inlineStr">
        <is>
          <t>000018492</t>
        </is>
      </c>
      <c r="C238" t="inlineStr">
        <is>
          <t>jmoon@andrews.edu</t>
        </is>
      </c>
    </row>
    <row r="239">
      <c r="A239" t="inlineStr">
        <is>
          <t>Moskala, Jiri</t>
        </is>
      </c>
      <c r="B239" t="inlineStr">
        <is>
          <t>000036790</t>
        </is>
      </c>
      <c r="C239" t="inlineStr">
        <is>
          <t>moskala@andrews.edu</t>
        </is>
      </c>
    </row>
    <row r="240">
      <c r="A240" t="inlineStr">
        <is>
          <t>Muran, Alexej</t>
        </is>
      </c>
      <c r="B240" t="inlineStr">
        <is>
          <t>000118655</t>
        </is>
      </c>
      <c r="C240" t="inlineStr">
        <is>
          <t>muran@andrews.edu</t>
        </is>
      </c>
    </row>
    <row r="241">
      <c r="A241" t="inlineStr">
        <is>
          <t>Nogueira, Lincoln</t>
        </is>
      </c>
      <c r="B241" t="inlineStr">
        <is>
          <t>000086036</t>
        </is>
      </c>
      <c r="C241" t="inlineStr">
        <is>
          <t>nogueirl@andrews.edu</t>
        </is>
      </c>
    </row>
    <row r="242">
      <c r="A242" t="inlineStr">
        <is>
          <t>Norton, Ricardo</t>
        </is>
      </c>
      <c r="B242" t="inlineStr">
        <is>
          <t>000033967</t>
        </is>
      </c>
      <c r="C242" t="inlineStr">
        <is>
          <t>ricardo@andrews.edu</t>
        </is>
      </c>
    </row>
    <row r="243">
      <c r="A243" t="inlineStr">
        <is>
          <t>O'Reggio, Trevor E.</t>
        </is>
      </c>
      <c r="B243" t="inlineStr">
        <is>
          <t>000035762</t>
        </is>
      </c>
      <c r="C243" t="inlineStr">
        <is>
          <t>toreggio@andrews.edu</t>
        </is>
      </c>
    </row>
    <row r="244">
      <c r="A244" t="inlineStr">
        <is>
          <t>Ortiz, Luis F.</t>
        </is>
      </c>
      <c r="B244" t="inlineStr">
        <is>
          <t>000069315</t>
        </is>
      </c>
      <c r="C244" t="inlineStr">
        <is>
          <t>ortizl@andrews.edu</t>
        </is>
      </c>
    </row>
    <row r="245">
      <c r="A245" t="inlineStr">
        <is>
          <t>Pagan, Samuel</t>
        </is>
      </c>
      <c r="B245" t="inlineStr">
        <is>
          <t>000067278</t>
        </is>
      </c>
      <c r="C245" t="inlineStr">
        <is>
          <t>pagan@andrews.edu</t>
        </is>
      </c>
    </row>
    <row r="246">
      <c r="A246" t="inlineStr">
        <is>
          <t>Paquini, Rogelio</t>
        </is>
      </c>
      <c r="B246" t="inlineStr">
        <is>
          <t>000105171</t>
        </is>
      </c>
      <c r="C246" t="inlineStr">
        <is>
          <t>rpaquini@andrews.edu</t>
        </is>
      </c>
    </row>
    <row r="247">
      <c r="A247" t="inlineStr">
        <is>
          <t>Petrishchev, Anton</t>
        </is>
      </c>
      <c r="B247" t="inlineStr">
        <is>
          <t>000116224</t>
        </is>
      </c>
      <c r="C247" t="inlineStr">
        <is>
          <t>petrisch@andrews.edu</t>
        </is>
      </c>
    </row>
    <row r="248">
      <c r="A248" t="inlineStr">
        <is>
          <t>Ponyatovsky, Felix</t>
        </is>
      </c>
      <c r="B248" t="inlineStr">
        <is>
          <t>000116220</t>
        </is>
      </c>
      <c r="C248" t="inlineStr">
        <is>
          <t>ponyatov@andrews.edu</t>
        </is>
      </c>
    </row>
    <row r="249">
      <c r="A249" t="inlineStr">
        <is>
          <t>Quispe, Gluder</t>
        </is>
      </c>
      <c r="B249" t="inlineStr">
        <is>
          <t>000122528</t>
        </is>
      </c>
      <c r="C249" t="inlineStr">
        <is>
          <t>gluder@andrews.edu</t>
        </is>
      </c>
    </row>
    <row r="250">
      <c r="A250" t="inlineStr">
        <is>
          <t>Ray, Paul J.</t>
        </is>
      </c>
      <c r="B250" t="inlineStr">
        <is>
          <t>000029934</t>
        </is>
      </c>
      <c r="C250" t="inlineStr">
        <is>
          <t>rayp@andrews.edu</t>
        </is>
      </c>
    </row>
    <row r="251">
      <c r="A251" t="inlineStr">
        <is>
          <t>Reeve, John W.</t>
        </is>
      </c>
      <c r="B251" t="inlineStr">
        <is>
          <t>000049018</t>
        </is>
      </c>
      <c r="C251" t="inlineStr">
        <is>
          <t>jreeve@andrews.edu</t>
        </is>
      </c>
    </row>
    <row r="252">
      <c r="A252" t="inlineStr">
        <is>
          <t>Richards, Natasha A.</t>
        </is>
      </c>
      <c r="B252" t="inlineStr">
        <is>
          <t>000230576</t>
        </is>
      </c>
      <c r="C252" t="inlineStr">
        <is>
          <t>richardsn@andrews.edu</t>
        </is>
      </c>
    </row>
    <row r="253">
      <c r="A253" t="inlineStr">
        <is>
          <t>Sanou, Boubakar</t>
        </is>
      </c>
      <c r="B253" t="inlineStr">
        <is>
          <t>000098144</t>
        </is>
      </c>
      <c r="C253" t="inlineStr">
        <is>
          <t>sanou@andrews.edu</t>
        </is>
      </c>
    </row>
    <row r="254">
      <c r="A254" t="inlineStr">
        <is>
          <t>Shepherd, Thomas R.</t>
        </is>
      </c>
      <c r="B254" t="inlineStr">
        <is>
          <t>000033676</t>
        </is>
      </c>
      <c r="C254" t="inlineStr">
        <is>
          <t>trs@andrews.edu</t>
        </is>
      </c>
    </row>
    <row r="255">
      <c r="A255" t="inlineStr">
        <is>
          <t>Valenzuela, Alfonso</t>
        </is>
      </c>
      <c r="B255" t="inlineStr">
        <is>
          <t>000033969</t>
        </is>
      </c>
      <c r="C255" t="inlineStr">
        <is>
          <t>vale@andrews.edu</t>
        </is>
      </c>
    </row>
    <row r="256">
      <c r="A256" t="inlineStr">
        <is>
          <t>Williams, David A.</t>
        </is>
      </c>
      <c r="B256" t="inlineStr">
        <is>
          <t>000124996</t>
        </is>
      </c>
      <c r="C256" t="inlineStr">
        <is>
          <t>wdavid@andrews.edu</t>
        </is>
      </c>
    </row>
    <row r="257">
      <c r="A257" t="inlineStr">
        <is>
          <t>Yeagley, Stephen T.</t>
        </is>
      </c>
      <c r="B257" t="inlineStr">
        <is>
          <t>000041250</t>
        </is>
      </c>
      <c r="C257" t="inlineStr">
        <is>
          <t>yeagley@andrews.edu</t>
        </is>
      </c>
    </row>
    <row r="258">
      <c r="A258" t="inlineStr">
        <is>
          <t>Younker, Randall W.</t>
        </is>
      </c>
      <c r="B258" t="inlineStr">
        <is>
          <t>000042559</t>
        </is>
      </c>
      <c r="C258" t="inlineStr">
        <is>
          <t>younker@andrews.edu</t>
        </is>
      </c>
    </row>
    <row r="259">
      <c r="A259" t="inlineStr">
        <is>
          <t>Campbell, Michael</t>
        </is>
      </c>
      <c r="B259" t="inlineStr">
        <is>
          <t>000108737</t>
        </is>
      </c>
      <c r="C259" t="inlineStr">
        <is>
          <t>campbelm@andrews.edu</t>
        </is>
      </c>
    </row>
    <row r="260"/>
    <row r="261"/>
    <row r="262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Course Number {Crse Num}</t>
        </is>
      </c>
      <c r="C1" t="inlineStr">
        <is>
          <t>Catalog Title</t>
        </is>
      </c>
      <c r="D1" t="inlineStr">
        <is>
          <t>Section Title</t>
        </is>
      </c>
      <c r="E1" t="inlineStr">
        <is>
          <t>Lookup Key</t>
        </is>
      </c>
    </row>
    <row r="2">
      <c r="A2" t="inlineStr">
        <is>
          <t>CHIS</t>
        </is>
      </c>
      <c r="B2" t="n">
        <v>672</v>
      </c>
      <c r="C2" t="inlineStr">
        <is>
          <t>Tch Adv Hist &amp; Life/Write EGW</t>
        </is>
      </c>
      <c r="E2" t="inlineStr">
        <is>
          <t>CHIS672</t>
        </is>
      </c>
    </row>
    <row r="3">
      <c r="A3" t="inlineStr">
        <is>
          <t>CHIS</t>
        </is>
      </c>
      <c r="B3" t="n">
        <v>674</v>
      </c>
      <c r="C3" t="inlineStr">
        <is>
          <t>Development SDA Theology</t>
        </is>
      </c>
      <c r="E3" t="inlineStr">
        <is>
          <t>CHIS674</t>
        </is>
      </c>
    </row>
    <row r="4">
      <c r="A4" t="inlineStr">
        <is>
          <t>DSRE</t>
        </is>
      </c>
      <c r="B4" t="n">
        <v>606</v>
      </c>
      <c r="C4" t="inlineStr">
        <is>
          <t>Philosphcl Foundtns for Prof</t>
        </is>
      </c>
      <c r="D4" t="inlineStr">
        <is>
          <t>Philosphcl Foundtns for Prof</t>
        </is>
      </c>
      <c r="E4" t="inlineStr">
        <is>
          <t>DSRE606</t>
        </is>
      </c>
    </row>
    <row r="5">
      <c r="A5" t="inlineStr">
        <is>
          <t>DSRE</t>
        </is>
      </c>
      <c r="B5" t="n">
        <v>606</v>
      </c>
      <c r="C5" t="inlineStr">
        <is>
          <t>Philosphcl Foundtns for Prof</t>
        </is>
      </c>
      <c r="E5" t="inlineStr">
        <is>
          <t>DSRE606</t>
        </is>
      </c>
    </row>
    <row r="6">
      <c r="A6" t="inlineStr">
        <is>
          <t>DSRE</t>
        </is>
      </c>
      <c r="B6" t="n">
        <v>676</v>
      </c>
      <c r="C6" t="inlineStr">
        <is>
          <t>Top:</t>
        </is>
      </c>
      <c r="D6" t="inlineStr">
        <is>
          <t>Top:Sprtlty&amp;TchngBblK-12Methds</t>
        </is>
      </c>
      <c r="E6" t="inlineStr">
        <is>
          <t>DSRE676</t>
        </is>
      </c>
    </row>
    <row r="7">
      <c r="A7" t="inlineStr">
        <is>
          <t>NTST</t>
        </is>
      </c>
      <c r="B7" t="n">
        <v>885</v>
      </c>
      <c r="C7" t="inlineStr">
        <is>
          <t>Topics in</t>
        </is>
      </c>
      <c r="D7" t="inlineStr">
        <is>
          <t>Topics in Advanced Greek</t>
        </is>
      </c>
      <c r="E7" t="inlineStr">
        <is>
          <t>NTST885</t>
        </is>
      </c>
    </row>
    <row r="8">
      <c r="A8" t="inlineStr">
        <is>
          <t>DSRE</t>
        </is>
      </c>
      <c r="B8" t="n">
        <v>676</v>
      </c>
      <c r="C8" t="inlineStr">
        <is>
          <t>Top:</t>
        </is>
      </c>
      <c r="D8" t="inlineStr">
        <is>
          <t>Top:Spiritlty&amp;Tch Bible K-12 M</t>
        </is>
      </c>
      <c r="E8" t="inlineStr">
        <is>
          <t>DSRE676</t>
        </is>
      </c>
    </row>
    <row r="9">
      <c r="A9" t="inlineStr">
        <is>
          <t>MSSN</t>
        </is>
      </c>
      <c r="B9" t="n">
        <v>854</v>
      </c>
      <c r="C9" t="inlineStr">
        <is>
          <t>Research Design in Mission</t>
        </is>
      </c>
      <c r="E9" t="inlineStr">
        <is>
          <t>MSSN854</t>
        </is>
      </c>
    </row>
    <row r="10">
      <c r="A10" t="inlineStr">
        <is>
          <t>GSEM</t>
        </is>
      </c>
      <c r="B10" t="n">
        <v>648</v>
      </c>
      <c r="C10" t="inlineStr">
        <is>
          <t>Workshop</t>
        </is>
      </c>
      <c r="D10" t="inlineStr">
        <is>
          <t>Wkshp:Natural Rem/Hydrotherapy</t>
        </is>
      </c>
      <c r="E10" t="inlineStr">
        <is>
          <t>GSEM648</t>
        </is>
      </c>
    </row>
    <row r="11">
      <c r="A11" t="inlineStr">
        <is>
          <t>GSEM</t>
        </is>
      </c>
      <c r="B11" t="n">
        <v>534</v>
      </c>
      <c r="C11" t="inlineStr">
        <is>
          <t>Iss in E G White Studies</t>
        </is>
      </c>
      <c r="E11" t="inlineStr">
        <is>
          <t>GSEM534</t>
        </is>
      </c>
    </row>
    <row r="12">
      <c r="A12" t="inlineStr">
        <is>
          <t>DSRE</t>
        </is>
      </c>
      <c r="B12" t="n">
        <v>657</v>
      </c>
      <c r="C12" t="inlineStr">
        <is>
          <t>Social Policy</t>
        </is>
      </c>
      <c r="E12" t="inlineStr">
        <is>
          <t>DSRE657</t>
        </is>
      </c>
    </row>
    <row r="13">
      <c r="A13" t="inlineStr">
        <is>
          <t>DSRE</t>
        </is>
      </c>
      <c r="B13" t="n">
        <v>669</v>
      </c>
      <c r="C13" t="inlineStr">
        <is>
          <t>Reaching the Secular Mind</t>
        </is>
      </c>
      <c r="E13" t="inlineStr">
        <is>
          <t>DSRE669</t>
        </is>
      </c>
    </row>
    <row r="14">
      <c r="A14" t="inlineStr">
        <is>
          <t>DSLE</t>
        </is>
      </c>
      <c r="B14" t="n">
        <v>657</v>
      </c>
      <c r="C14" t="inlineStr">
        <is>
          <t>Social Policy</t>
        </is>
      </c>
      <c r="D14" t="inlineStr">
        <is>
          <t>Social Policy</t>
        </is>
      </c>
      <c r="E14" t="inlineStr">
        <is>
          <t>DSLE657</t>
        </is>
      </c>
    </row>
    <row r="15">
      <c r="A15" t="inlineStr">
        <is>
          <t>DSLE</t>
        </is>
      </c>
      <c r="B15" t="n">
        <v>541</v>
      </c>
      <c r="C15" t="inlineStr">
        <is>
          <t>Fndtns of Biblicl Spirituality</t>
        </is>
      </c>
      <c r="E15" t="inlineStr">
        <is>
          <t>DSLE541</t>
        </is>
      </c>
    </row>
    <row r="16">
      <c r="A16" t="inlineStr">
        <is>
          <t>PATH</t>
        </is>
      </c>
      <c r="B16" t="n">
        <v>523</v>
      </c>
      <c r="C16" t="inlineStr">
        <is>
          <t>Worship:Word &amp; Music</t>
        </is>
      </c>
      <c r="E16" t="inlineStr">
        <is>
          <t>PATH523</t>
        </is>
      </c>
    </row>
    <row r="17">
      <c r="A17" t="inlineStr">
        <is>
          <t>CHMN</t>
        </is>
      </c>
      <c r="B17" t="n">
        <v>574</v>
      </c>
      <c r="C17" t="inlineStr">
        <is>
          <t>Perspectives in Church Mrkting</t>
        </is>
      </c>
      <c r="E17" t="inlineStr">
        <is>
          <t>CHMN574</t>
        </is>
      </c>
    </row>
    <row r="18">
      <c r="A18" t="inlineStr">
        <is>
          <t>GSEM</t>
        </is>
      </c>
      <c r="B18" t="n">
        <v>539</v>
      </c>
      <c r="C18" t="inlineStr">
        <is>
          <t>Issu in Origins</t>
        </is>
      </c>
      <c r="E18" t="inlineStr">
        <is>
          <t>GSEM539</t>
        </is>
      </c>
    </row>
    <row r="19">
      <c r="A19" t="inlineStr">
        <is>
          <t>THST</t>
        </is>
      </c>
      <c r="B19" t="n">
        <v>634</v>
      </c>
      <c r="C19" t="inlineStr">
        <is>
          <t>Christian Social Ethics</t>
        </is>
      </c>
      <c r="E19" t="inlineStr">
        <is>
          <t>THST634</t>
        </is>
      </c>
    </row>
    <row r="20">
      <c r="A20" t="inlineStr">
        <is>
          <t>CHMN</t>
        </is>
      </c>
      <c r="B20" t="n">
        <v>555</v>
      </c>
      <c r="C20" t="inlineStr">
        <is>
          <t>Pastoral Counseling</t>
        </is>
      </c>
      <c r="E20" t="inlineStr">
        <is>
          <t>CHMN555</t>
        </is>
      </c>
    </row>
    <row r="21">
      <c r="A21" t="inlineStr">
        <is>
          <t>NTST</t>
        </is>
      </c>
      <c r="B21" t="n">
        <v>567</v>
      </c>
      <c r="C21" t="inlineStr">
        <is>
          <t>Theo of the English NT:</t>
        </is>
      </c>
      <c r="E21" t="inlineStr">
        <is>
          <t>NTST567</t>
        </is>
      </c>
    </row>
    <row r="22">
      <c r="A22" t="inlineStr">
        <is>
          <t>CHMN</t>
        </is>
      </c>
      <c r="B22" t="n">
        <v>523</v>
      </c>
      <c r="C22" t="inlineStr">
        <is>
          <t>Worship:Word &amp; Music</t>
        </is>
      </c>
      <c r="E22" t="inlineStr">
        <is>
          <t>CHMN523</t>
        </is>
      </c>
    </row>
    <row r="23">
      <c r="A23" t="inlineStr">
        <is>
          <t>CHMN</t>
        </is>
      </c>
      <c r="B23" t="n">
        <v>539</v>
      </c>
      <c r="C23" t="inlineStr">
        <is>
          <t>Church Grwth&amp; Equipping Pastor</t>
        </is>
      </c>
      <c r="E23" t="inlineStr">
        <is>
          <t>CHMN539</t>
        </is>
      </c>
    </row>
    <row r="24">
      <c r="A24" t="inlineStr">
        <is>
          <t>OTST</t>
        </is>
      </c>
      <c r="B24" t="n">
        <v>551</v>
      </c>
      <c r="C24" t="inlineStr">
        <is>
          <t>Biblical Hebrew I</t>
        </is>
      </c>
      <c r="E24" t="inlineStr">
        <is>
          <t>OTST551</t>
        </is>
      </c>
    </row>
    <row r="25">
      <c r="A25" t="inlineStr">
        <is>
          <t>OTST</t>
        </is>
      </c>
      <c r="B25" t="n">
        <v>552</v>
      </c>
      <c r="C25" t="inlineStr">
        <is>
          <t>Biblical Hebrew II</t>
        </is>
      </c>
      <c r="E25" t="inlineStr">
        <is>
          <t>OTST552</t>
        </is>
      </c>
    </row>
    <row r="26">
      <c r="A26" t="inlineStr">
        <is>
          <t>GSEM</t>
        </is>
      </c>
      <c r="B26" t="n">
        <v>505</v>
      </c>
      <c r="C26" t="inlineStr">
        <is>
          <t>Colloquium:</t>
        </is>
      </c>
      <c r="D26" t="inlineStr">
        <is>
          <t>Coll:Pathfinder Leadership</t>
        </is>
      </c>
      <c r="E26" t="inlineStr">
        <is>
          <t>GSEM505</t>
        </is>
      </c>
    </row>
    <row r="27">
      <c r="A27" t="inlineStr">
        <is>
          <t>OTST</t>
        </is>
      </c>
      <c r="B27" t="n">
        <v>628</v>
      </c>
      <c r="C27" t="inlineStr">
        <is>
          <t>Meth OT Exegesis (Hebw)</t>
        </is>
      </c>
      <c r="E27" t="inlineStr">
        <is>
          <t>OTST628</t>
        </is>
      </c>
    </row>
    <row r="28">
      <c r="A28" t="inlineStr">
        <is>
          <t>OTST</t>
        </is>
      </c>
      <c r="B28" t="n">
        <v>620</v>
      </c>
      <c r="C28" t="inlineStr">
        <is>
          <t>Sem in Old Testament Theology</t>
        </is>
      </c>
      <c r="E28" t="inlineStr">
        <is>
          <t>OTST620</t>
        </is>
      </c>
    </row>
    <row r="29">
      <c r="A29" t="inlineStr">
        <is>
          <t>DSLE</t>
        </is>
      </c>
      <c r="B29" t="n">
        <v>503</v>
      </c>
      <c r="C29" t="inlineStr">
        <is>
          <t>Marriage, Fam&amp;Interprsnl Reltn</t>
        </is>
      </c>
      <c r="E29" t="inlineStr">
        <is>
          <t>DSLE503</t>
        </is>
      </c>
    </row>
    <row r="30">
      <c r="A30" t="inlineStr">
        <is>
          <t>NTST</t>
        </is>
      </c>
      <c r="B30" t="n">
        <v>567</v>
      </c>
      <c r="C30" t="inlineStr">
        <is>
          <t>Theo of the English NT:</t>
        </is>
      </c>
      <c r="D30" t="inlineStr">
        <is>
          <t>Theo of the English NT</t>
        </is>
      </c>
      <c r="E30" t="inlineStr">
        <is>
          <t>NTST567</t>
        </is>
      </c>
    </row>
    <row r="31">
      <c r="A31" t="inlineStr">
        <is>
          <t>PATH</t>
        </is>
      </c>
      <c r="B31" t="n">
        <v>539</v>
      </c>
      <c r="C31" t="inlineStr">
        <is>
          <t>Church Grwth&amp; Equipping Leader</t>
        </is>
      </c>
      <c r="E31" t="inlineStr">
        <is>
          <t>PATH539</t>
        </is>
      </c>
    </row>
    <row r="32">
      <c r="A32" t="inlineStr">
        <is>
          <t>DSRE</t>
        </is>
      </c>
      <c r="B32" t="n">
        <v>749</v>
      </c>
      <c r="C32" t="inlineStr">
        <is>
          <t>Family as Center for Dscplshp</t>
        </is>
      </c>
      <c r="E32" t="inlineStr">
        <is>
          <t>DSRE749</t>
        </is>
      </c>
    </row>
    <row r="33">
      <c r="A33" t="inlineStr">
        <is>
          <t>CHIS</t>
        </is>
      </c>
      <c r="B33" t="n">
        <v>505</v>
      </c>
      <c r="C33" t="inlineStr">
        <is>
          <t>Survey of Church History</t>
        </is>
      </c>
      <c r="E33" t="inlineStr">
        <is>
          <t>CHIS505</t>
        </is>
      </c>
    </row>
    <row r="34">
      <c r="A34" t="inlineStr">
        <is>
          <t>OTST</t>
        </is>
      </c>
      <c r="B34" t="n">
        <v>546</v>
      </c>
      <c r="C34" t="inlineStr">
        <is>
          <t>Studies in Daniel (Engl)</t>
        </is>
      </c>
      <c r="E34" t="inlineStr">
        <is>
          <t>OTST546</t>
        </is>
      </c>
    </row>
    <row r="35">
      <c r="A35" t="inlineStr">
        <is>
          <t>ANEA</t>
        </is>
      </c>
      <c r="B35" t="n">
        <v>640</v>
      </c>
      <c r="C35" t="inlineStr">
        <is>
          <t>Res, Method &amp; Theory in Arch</t>
        </is>
      </c>
      <c r="E35" t="inlineStr">
        <is>
          <t>ANEA640</t>
        </is>
      </c>
    </row>
    <row r="36">
      <c r="A36" t="inlineStr">
        <is>
          <t>ANEA</t>
        </is>
      </c>
      <c r="B36" t="n">
        <v>810</v>
      </c>
      <c r="C36" t="inlineStr">
        <is>
          <t>Near Eastern Archaeology</t>
        </is>
      </c>
      <c r="E36" t="inlineStr">
        <is>
          <t>ANEA810</t>
        </is>
      </c>
    </row>
    <row r="37">
      <c r="A37" t="inlineStr">
        <is>
          <t>ANEA</t>
        </is>
      </c>
      <c r="B37" t="n">
        <v>615</v>
      </c>
      <c r="C37" t="inlineStr">
        <is>
          <t>Sem Arch &amp; Hist of Antiquity</t>
        </is>
      </c>
      <c r="E37" t="inlineStr">
        <is>
          <t>ANEA615</t>
        </is>
      </c>
    </row>
    <row r="38">
      <c r="A38" t="inlineStr">
        <is>
          <t>ANEA</t>
        </is>
      </c>
      <c r="B38" t="n">
        <v>940</v>
      </c>
      <c r="C38" t="inlineStr">
        <is>
          <t>Sem Adv Arch&amp;Hist of Antiquity</t>
        </is>
      </c>
      <c r="E38" t="inlineStr">
        <is>
          <t>ANEA940</t>
        </is>
      </c>
    </row>
    <row r="39">
      <c r="A39" t="inlineStr">
        <is>
          <t>ANEA</t>
        </is>
      </c>
      <c r="B39" t="n">
        <v>840</v>
      </c>
      <c r="C39" t="inlineStr">
        <is>
          <t>Adv Resrch, Methd&amp;Thry in Arch</t>
        </is>
      </c>
      <c r="E39" t="inlineStr">
        <is>
          <t>ANEA840</t>
        </is>
      </c>
    </row>
    <row r="40">
      <c r="A40" t="inlineStr">
        <is>
          <t>ANEA</t>
        </is>
      </c>
      <c r="B40" t="n">
        <v>624</v>
      </c>
      <c r="C40" t="inlineStr">
        <is>
          <t>Bib. Lands &amp; Exploration</t>
        </is>
      </c>
      <c r="E40" t="inlineStr">
        <is>
          <t>ANEA624</t>
        </is>
      </c>
    </row>
    <row r="41">
      <c r="A41" t="inlineStr">
        <is>
          <t>ANEA</t>
        </is>
      </c>
      <c r="B41" t="n">
        <v>805</v>
      </c>
      <c r="C41" t="inlineStr">
        <is>
          <t>Historical Geog Anc Near East</t>
        </is>
      </c>
      <c r="E41" t="inlineStr">
        <is>
          <t>ANEA805</t>
        </is>
      </c>
    </row>
    <row r="42">
      <c r="A42" t="inlineStr">
        <is>
          <t>GSEM</t>
        </is>
      </c>
      <c r="B42" t="n">
        <v>505</v>
      </c>
      <c r="C42" t="inlineStr">
        <is>
          <t>Colloquium:</t>
        </is>
      </c>
      <c r="D42" t="inlineStr">
        <is>
          <t>Colloquium: Poverty Simulation</t>
        </is>
      </c>
      <c r="E42" t="inlineStr">
        <is>
          <t>GSEM505</t>
        </is>
      </c>
    </row>
    <row r="43">
      <c r="A43" t="inlineStr">
        <is>
          <t>DSRE</t>
        </is>
      </c>
      <c r="B43" t="n">
        <v>635</v>
      </c>
      <c r="C43" t="inlineStr">
        <is>
          <t>Christian Persp on Prof Ethics</t>
        </is>
      </c>
      <c r="E43" t="inlineStr">
        <is>
          <t>DSRE635</t>
        </is>
      </c>
    </row>
    <row r="44">
      <c r="A44" t="inlineStr">
        <is>
          <t>DSRE</t>
        </is>
      </c>
      <c r="B44" t="n">
        <v>657</v>
      </c>
      <c r="C44" t="inlineStr">
        <is>
          <t>Social Policy</t>
        </is>
      </c>
      <c r="D44" t="inlineStr">
        <is>
          <t>Social Policy</t>
        </is>
      </c>
      <c r="E44" t="inlineStr">
        <is>
          <t>DSRE657</t>
        </is>
      </c>
    </row>
    <row r="45">
      <c r="A45" t="inlineStr">
        <is>
          <t>CHMN</t>
        </is>
      </c>
      <c r="B45" t="n">
        <v>516</v>
      </c>
      <c r="C45" t="inlineStr">
        <is>
          <t>Death &amp; Grief Contemp Society</t>
        </is>
      </c>
      <c r="E45" t="inlineStr">
        <is>
          <t>CHMN516</t>
        </is>
      </c>
    </row>
    <row r="46">
      <c r="A46" t="inlineStr">
        <is>
          <t>CHMN</t>
        </is>
      </c>
      <c r="B46" t="n">
        <v>516</v>
      </c>
      <c r="C46" t="inlineStr">
        <is>
          <t>Death &amp; Grief Contemp Society</t>
        </is>
      </c>
      <c r="D46" t="inlineStr">
        <is>
          <t>Death &amp; Grief</t>
        </is>
      </c>
      <c r="E46" t="inlineStr">
        <is>
          <t>CHMN516</t>
        </is>
      </c>
    </row>
    <row r="47">
      <c r="A47" t="inlineStr">
        <is>
          <t>DSRE</t>
        </is>
      </c>
      <c r="B47" t="n">
        <v>635</v>
      </c>
      <c r="C47" t="inlineStr">
        <is>
          <t>Christian Persp on Prof Ethics</t>
        </is>
      </c>
      <c r="D47" t="inlineStr">
        <is>
          <t>Christian Persp on Prof Ethics</t>
        </is>
      </c>
      <c r="E47" t="inlineStr">
        <is>
          <t>DSRE635</t>
        </is>
      </c>
    </row>
    <row r="48">
      <c r="A48" t="inlineStr">
        <is>
          <t>CHMN</t>
        </is>
      </c>
      <c r="B48" t="n">
        <v>516</v>
      </c>
      <c r="C48" t="inlineStr">
        <is>
          <t>Death &amp; Grief Contemp Society</t>
        </is>
      </c>
      <c r="D48" t="inlineStr">
        <is>
          <t>Death &amp; Grief Contemp Society</t>
        </is>
      </c>
      <c r="E48" t="inlineStr">
        <is>
          <t>CHMN516</t>
        </is>
      </c>
    </row>
    <row r="49">
      <c r="A49" t="inlineStr">
        <is>
          <t>PATH</t>
        </is>
      </c>
      <c r="B49" t="n">
        <v>516</v>
      </c>
      <c r="C49" t="inlineStr">
        <is>
          <t>Death &amp; Grief Contemp Society</t>
        </is>
      </c>
      <c r="D49" t="inlineStr">
        <is>
          <t>Death &amp; Grief Contemp Society</t>
        </is>
      </c>
      <c r="E49" t="inlineStr">
        <is>
          <t>PATH516</t>
        </is>
      </c>
    </row>
    <row r="50">
      <c r="A50" t="inlineStr">
        <is>
          <t>DSLE</t>
        </is>
      </c>
      <c r="B50" t="n">
        <v>635</v>
      </c>
      <c r="C50" t="inlineStr">
        <is>
          <t>Christian Persp on Prof Ethics</t>
        </is>
      </c>
      <c r="D50" t="inlineStr">
        <is>
          <t>Christian Persp on Prof Ethics</t>
        </is>
      </c>
      <c r="E50" t="inlineStr">
        <is>
          <t>DSLE635</t>
        </is>
      </c>
    </row>
    <row r="51">
      <c r="A51" t="inlineStr">
        <is>
          <t>DSLE</t>
        </is>
      </c>
      <c r="B51" t="n">
        <v>657</v>
      </c>
      <c r="C51" t="inlineStr">
        <is>
          <t>Social Policy</t>
        </is>
      </c>
      <c r="E51" t="inlineStr">
        <is>
          <t>DSLE657</t>
        </is>
      </c>
    </row>
    <row r="52">
      <c r="A52" t="inlineStr">
        <is>
          <t>CHIS</t>
        </is>
      </c>
      <c r="B52" t="n">
        <v>506</v>
      </c>
      <c r="C52" t="inlineStr">
        <is>
          <t>Church History to 1500</t>
        </is>
      </c>
      <c r="E52" t="inlineStr">
        <is>
          <t>CHIS506</t>
        </is>
      </c>
    </row>
    <row r="53">
      <c r="A53" t="inlineStr">
        <is>
          <t>DSRE</t>
        </is>
      </c>
      <c r="B53" t="n">
        <v>705</v>
      </c>
      <c r="C53" t="inlineStr">
        <is>
          <t>Theo&amp;Hist Perspectve Discplshp</t>
        </is>
      </c>
      <c r="E53" t="inlineStr">
        <is>
          <t>DSRE705</t>
        </is>
      </c>
    </row>
    <row r="54">
      <c r="A54" t="inlineStr">
        <is>
          <t>GSEM</t>
        </is>
      </c>
      <c r="B54" t="n">
        <v>790</v>
      </c>
      <c r="C54" t="inlineStr">
        <is>
          <t>DMin Prof Dissertation Sem</t>
        </is>
      </c>
      <c r="E54" t="inlineStr">
        <is>
          <t>GSEM790</t>
        </is>
      </c>
    </row>
    <row r="55">
      <c r="A55" t="inlineStr">
        <is>
          <t>GSEM</t>
        </is>
      </c>
      <c r="B55" t="n">
        <v>706</v>
      </c>
      <c r="C55" t="inlineStr">
        <is>
          <t>Spiritual&amp;Theo Found Ministry</t>
        </is>
      </c>
      <c r="E55" t="inlineStr">
        <is>
          <t>GSEM706</t>
        </is>
      </c>
    </row>
    <row r="56">
      <c r="A56" t="inlineStr">
        <is>
          <t>GSEM</t>
        </is>
      </c>
      <c r="B56" t="n">
        <v>796</v>
      </c>
      <c r="C56" t="inlineStr">
        <is>
          <t>DMin Prof Dissertation</t>
        </is>
      </c>
      <c r="E56" t="inlineStr">
        <is>
          <t>GSEM796</t>
        </is>
      </c>
    </row>
    <row r="57">
      <c r="A57" t="inlineStr">
        <is>
          <t>GSEM</t>
        </is>
      </c>
      <c r="B57" t="n">
        <v>788</v>
      </c>
      <c r="C57" t="inlineStr">
        <is>
          <t>DMin Prof Dissertation Cont</t>
        </is>
      </c>
      <c r="E57" t="inlineStr">
        <is>
          <t>GSEM788</t>
        </is>
      </c>
    </row>
    <row r="58">
      <c r="A58" t="inlineStr">
        <is>
          <t>CHMN</t>
        </is>
      </c>
      <c r="B58" t="n">
        <v>763</v>
      </c>
      <c r="C58" t="inlineStr">
        <is>
          <t>Effective Strategic Growth</t>
        </is>
      </c>
      <c r="E58" t="inlineStr">
        <is>
          <t>CHMN763</t>
        </is>
      </c>
    </row>
    <row r="59">
      <c r="A59" t="inlineStr">
        <is>
          <t>MSSN</t>
        </is>
      </c>
      <c r="B59" t="n">
        <v>795</v>
      </c>
      <c r="C59" t="inlineStr">
        <is>
          <t>Top:</t>
        </is>
      </c>
      <c r="D59" t="inlineStr">
        <is>
          <t>Top:Dscplshp  Wrldvw Trnsfrmtn</t>
        </is>
      </c>
      <c r="E59" t="inlineStr">
        <is>
          <t>MSSN795</t>
        </is>
      </c>
    </row>
    <row r="60">
      <c r="A60" t="inlineStr">
        <is>
          <t>GSEM</t>
        </is>
      </c>
      <c r="B60" t="n">
        <v>793</v>
      </c>
      <c r="C60" t="inlineStr">
        <is>
          <t>DMin Research Methods Sem</t>
        </is>
      </c>
      <c r="E60" t="inlineStr">
        <is>
          <t>GSEM793</t>
        </is>
      </c>
    </row>
    <row r="61">
      <c r="A61" t="inlineStr">
        <is>
          <t>CHMN</t>
        </is>
      </c>
      <c r="B61" t="n">
        <v>779</v>
      </c>
      <c r="C61" t="inlineStr">
        <is>
          <t>Leading Growth</t>
        </is>
      </c>
      <c r="E61" t="inlineStr">
        <is>
          <t>CHMN779</t>
        </is>
      </c>
    </row>
    <row r="62">
      <c r="A62" t="inlineStr">
        <is>
          <t>PATH</t>
        </is>
      </c>
      <c r="B62" t="n">
        <v>779</v>
      </c>
      <c r="C62" t="inlineStr">
        <is>
          <t>Leading Growth</t>
        </is>
      </c>
      <c r="E62" t="inlineStr">
        <is>
          <t>PATH779</t>
        </is>
      </c>
    </row>
    <row r="63">
      <c r="A63" t="inlineStr">
        <is>
          <t>THST</t>
        </is>
      </c>
      <c r="B63" t="n">
        <v>695</v>
      </c>
      <c r="C63" t="inlineStr">
        <is>
          <t>Top:</t>
        </is>
      </c>
      <c r="D63" t="inlineStr">
        <is>
          <t>Top:Sanctuary Doctrine</t>
        </is>
      </c>
      <c r="E63" t="inlineStr">
        <is>
          <t>THST695</t>
        </is>
      </c>
    </row>
    <row r="64">
      <c r="A64" t="inlineStr">
        <is>
          <t>DSRE</t>
        </is>
      </c>
      <c r="B64" t="n">
        <v>534</v>
      </c>
      <c r="C64" t="inlineStr">
        <is>
          <t>Ministry to Youth&amp;Yng Adlt</t>
        </is>
      </c>
      <c r="E64" t="inlineStr">
        <is>
          <t>DSRE534</t>
        </is>
      </c>
    </row>
    <row r="65">
      <c r="A65" t="inlineStr">
        <is>
          <t>DSRE</t>
        </is>
      </c>
      <c r="B65" t="n">
        <v>503</v>
      </c>
      <c r="C65" t="inlineStr">
        <is>
          <t>Marriage, Fam&amp;Interprsnl Reltn</t>
        </is>
      </c>
      <c r="E65" t="inlineStr">
        <is>
          <t>DSRE503</t>
        </is>
      </c>
    </row>
    <row r="66">
      <c r="A66" t="inlineStr">
        <is>
          <t>MSSN</t>
        </is>
      </c>
      <c r="B66" t="n">
        <v>561</v>
      </c>
      <c r="C66" t="inlineStr">
        <is>
          <t>Christian Witness&amp;Wrld Relgns</t>
        </is>
      </c>
      <c r="E66" t="inlineStr">
        <is>
          <t>MSSN561</t>
        </is>
      </c>
    </row>
    <row r="67">
      <c r="A67" t="inlineStr">
        <is>
          <t>CHMN</t>
        </is>
      </c>
      <c r="B67" t="n">
        <v>543</v>
      </c>
      <c r="C67" t="inlineStr">
        <is>
          <t>Christn Lead in a Chnging Wrld</t>
        </is>
      </c>
      <c r="E67" t="inlineStr">
        <is>
          <t>CHMN543</t>
        </is>
      </c>
    </row>
    <row r="68">
      <c r="A68" t="inlineStr">
        <is>
          <t>NTST</t>
        </is>
      </c>
      <c r="B68" t="n">
        <v>537</v>
      </c>
      <c r="C68" t="inlineStr">
        <is>
          <t>Rdngs in Acts&amp;General Epistles</t>
        </is>
      </c>
      <c r="E68" t="inlineStr">
        <is>
          <t>NTST537</t>
        </is>
      </c>
    </row>
    <row r="69">
      <c r="A69" t="inlineStr">
        <is>
          <t>CHMN</t>
        </is>
      </c>
      <c r="B69" t="n">
        <v>637</v>
      </c>
      <c r="C69" t="inlineStr">
        <is>
          <t>Seminar in Preaching</t>
        </is>
      </c>
      <c r="E69" t="inlineStr">
        <is>
          <t>CHMN637</t>
        </is>
      </c>
    </row>
    <row r="70">
      <c r="A70" t="inlineStr">
        <is>
          <t>OTST</t>
        </is>
      </c>
      <c r="B70" t="n">
        <v>520</v>
      </c>
      <c r="C70" t="inlineStr">
        <is>
          <t>Intro to Old Testmnt Theology</t>
        </is>
      </c>
      <c r="E70" t="inlineStr">
        <is>
          <t>OTST520</t>
        </is>
      </c>
    </row>
    <row r="71">
      <c r="A71" t="inlineStr">
        <is>
          <t>DSRE</t>
        </is>
      </c>
      <c r="B71" t="n">
        <v>541</v>
      </c>
      <c r="C71" t="inlineStr">
        <is>
          <t>Fndtns of Biblicl Spirituality</t>
        </is>
      </c>
      <c r="E71" t="inlineStr">
        <is>
          <t>DSRE541</t>
        </is>
      </c>
    </row>
    <row r="72">
      <c r="A72" t="inlineStr">
        <is>
          <t>PATH</t>
        </is>
      </c>
      <c r="B72" t="n">
        <v>543</v>
      </c>
      <c r="C72" t="inlineStr">
        <is>
          <t>Christn Lead in a Chnging Wrld</t>
        </is>
      </c>
      <c r="E72" t="inlineStr">
        <is>
          <t>PATH543</t>
        </is>
      </c>
    </row>
    <row r="73">
      <c r="A73" t="inlineStr">
        <is>
          <t>MSSN</t>
        </is>
      </c>
      <c r="B73" t="n">
        <v>546</v>
      </c>
      <c r="C73" t="inlineStr">
        <is>
          <t>Mission in Cultrl&amp;Rlgs Contxt</t>
        </is>
      </c>
      <c r="E73" t="inlineStr">
        <is>
          <t>MSSN546</t>
        </is>
      </c>
    </row>
    <row r="74">
      <c r="A74" t="inlineStr">
        <is>
          <t>NTST</t>
        </is>
      </c>
      <c r="B74" t="n">
        <v>535</v>
      </c>
      <c r="C74" t="inlineStr">
        <is>
          <t>Studies in Pauline Writings</t>
        </is>
      </c>
      <c r="E74" t="inlineStr">
        <is>
          <t>NTST535</t>
        </is>
      </c>
    </row>
    <row r="75">
      <c r="A75" t="inlineStr">
        <is>
          <t>PATH</t>
        </is>
      </c>
      <c r="B75" t="n">
        <v>637</v>
      </c>
      <c r="C75" t="inlineStr">
        <is>
          <t>Seminar in Preaching</t>
        </is>
      </c>
      <c r="E75" t="inlineStr">
        <is>
          <t>PATH637</t>
        </is>
      </c>
    </row>
    <row r="76">
      <c r="A76" t="inlineStr">
        <is>
          <t>THST</t>
        </is>
      </c>
      <c r="B76" t="n">
        <v>640</v>
      </c>
      <c r="C76" t="inlineStr">
        <is>
          <t>Doctrine of Salvation</t>
        </is>
      </c>
      <c r="E76" t="inlineStr">
        <is>
          <t>THST640</t>
        </is>
      </c>
    </row>
    <row r="77">
      <c r="A77" t="inlineStr">
        <is>
          <t>GSEM</t>
        </is>
      </c>
      <c r="B77" t="n">
        <v>530</v>
      </c>
      <c r="C77" t="inlineStr">
        <is>
          <t>Doctrine of the Sanctuary</t>
        </is>
      </c>
      <c r="E77" t="inlineStr">
        <is>
          <t>GSEM530</t>
        </is>
      </c>
    </row>
    <row r="78">
      <c r="A78" t="inlineStr">
        <is>
          <t>DSLE</t>
        </is>
      </c>
      <c r="B78" t="n">
        <v>534</v>
      </c>
      <c r="C78" t="inlineStr">
        <is>
          <t>Ministry to Youth&amp;Yng Adlt</t>
        </is>
      </c>
      <c r="E78" t="inlineStr">
        <is>
          <t>DSLE534</t>
        </is>
      </c>
    </row>
    <row r="79">
      <c r="A79" t="inlineStr">
        <is>
          <t>PATH</t>
        </is>
      </c>
      <c r="B79" t="n">
        <v>715</v>
      </c>
      <c r="C79" t="inlineStr">
        <is>
          <t>Top in Urban Min:</t>
        </is>
      </c>
      <c r="D79" t="inlineStr">
        <is>
          <t>Top in Urban Min</t>
        </is>
      </c>
      <c r="E79" t="inlineStr">
        <is>
          <t>PATH715</t>
        </is>
      </c>
    </row>
    <row r="80">
      <c r="A80" t="inlineStr">
        <is>
          <t>NTST</t>
        </is>
      </c>
      <c r="B80" t="n">
        <v>538</v>
      </c>
      <c r="C80" t="inlineStr">
        <is>
          <t>Studies in Hebrews</t>
        </is>
      </c>
      <c r="E80" t="inlineStr">
        <is>
          <t>NTST538</t>
        </is>
      </c>
    </row>
    <row r="81">
      <c r="A81" t="inlineStr">
        <is>
          <t>CHMN</t>
        </is>
      </c>
      <c r="B81" t="n">
        <v>707</v>
      </c>
      <c r="C81" t="inlineStr">
        <is>
          <t>Church Intergeneratnl Contexts</t>
        </is>
      </c>
      <c r="E81" t="inlineStr">
        <is>
          <t>CHMN707</t>
        </is>
      </c>
    </row>
    <row r="82">
      <c r="A82" t="inlineStr">
        <is>
          <t>CHMN</t>
        </is>
      </c>
      <c r="B82" t="n">
        <v>751</v>
      </c>
      <c r="C82" t="inlineStr">
        <is>
          <t>Relationl Dynamics&amp;IGEN Church</t>
        </is>
      </c>
      <c r="E82" t="inlineStr">
        <is>
          <t>CHMN751</t>
        </is>
      </c>
    </row>
    <row r="83">
      <c r="A83" t="inlineStr">
        <is>
          <t>DSLE</t>
        </is>
      </c>
      <c r="B83" t="n">
        <v>705</v>
      </c>
      <c r="C83" t="inlineStr">
        <is>
          <t>Theo&amp;Hist Perspectve Discplshp</t>
        </is>
      </c>
      <c r="E83" t="inlineStr">
        <is>
          <t>DSLE705</t>
        </is>
      </c>
    </row>
    <row r="84">
      <c r="A84" t="inlineStr">
        <is>
          <t>PATH</t>
        </is>
      </c>
      <c r="B84" t="n">
        <v>707</v>
      </c>
      <c r="C84" t="inlineStr">
        <is>
          <t>Church Intergeneratnl Contexts</t>
        </is>
      </c>
      <c r="E84" t="inlineStr">
        <is>
          <t>PATH707</t>
        </is>
      </c>
    </row>
    <row r="85">
      <c r="A85" t="inlineStr">
        <is>
          <t>PATH</t>
        </is>
      </c>
      <c r="B85" t="n">
        <v>751</v>
      </c>
      <c r="C85" t="inlineStr">
        <is>
          <t>Relationl Dynamics&amp;IGEN Church</t>
        </is>
      </c>
      <c r="E85" t="inlineStr">
        <is>
          <t>PATH751</t>
        </is>
      </c>
    </row>
    <row r="86">
      <c r="A86" t="inlineStr">
        <is>
          <t>CHMN</t>
        </is>
      </c>
      <c r="B86" t="n">
        <v>606</v>
      </c>
      <c r="C86" t="inlineStr">
        <is>
          <t>Mssn-Shaped Church Planting</t>
        </is>
      </c>
      <c r="E86" t="inlineStr">
        <is>
          <t>CHMN606</t>
        </is>
      </c>
    </row>
    <row r="87">
      <c r="A87" t="inlineStr">
        <is>
          <t>OTST</t>
        </is>
      </c>
      <c r="B87" t="n">
        <v>566</v>
      </c>
      <c r="C87" t="inlineStr">
        <is>
          <t>Stud in the Pentateuch (Engl)</t>
        </is>
      </c>
      <c r="E87" t="inlineStr">
        <is>
          <t>OTST566</t>
        </is>
      </c>
    </row>
    <row r="88">
      <c r="A88" t="inlineStr">
        <is>
          <t>CHMN</t>
        </is>
      </c>
      <c r="B88" t="n">
        <v>760</v>
      </c>
      <c r="C88" t="inlineStr">
        <is>
          <t>Adv Ldshp Competencies</t>
        </is>
      </c>
      <c r="E88" t="inlineStr">
        <is>
          <t>CHMN760</t>
        </is>
      </c>
    </row>
    <row r="89">
      <c r="A89" t="inlineStr">
        <is>
          <t>CHMN</t>
        </is>
      </c>
      <c r="B89" t="n">
        <v>713</v>
      </c>
      <c r="C89" t="inlineStr">
        <is>
          <t>Transfrm Lead&amp;Org Sys Thinking</t>
        </is>
      </c>
      <c r="E89" t="inlineStr">
        <is>
          <t>CHMN713</t>
        </is>
      </c>
    </row>
    <row r="90">
      <c r="A90" t="inlineStr">
        <is>
          <t>CHMN</t>
        </is>
      </c>
      <c r="B90" t="n">
        <v>525</v>
      </c>
      <c r="C90" t="inlineStr">
        <is>
          <t>Hisp/Amer Culture &amp; Challenges</t>
        </is>
      </c>
      <c r="E90" t="inlineStr">
        <is>
          <t>CHMN525</t>
        </is>
      </c>
    </row>
    <row r="91">
      <c r="A91" t="inlineStr">
        <is>
          <t>OTST</t>
        </is>
      </c>
      <c r="B91" t="n">
        <v>556</v>
      </c>
      <c r="C91" t="inlineStr">
        <is>
          <t>Readings in Prophets (Engl)</t>
        </is>
      </c>
      <c r="E91" t="inlineStr">
        <is>
          <t>OTST556</t>
        </is>
      </c>
    </row>
    <row r="92">
      <c r="A92" t="inlineStr">
        <is>
          <t>CHIS</t>
        </is>
      </c>
      <c r="B92" t="n">
        <v>659</v>
      </c>
      <c r="C92" t="inlineStr">
        <is>
          <t>Sem Hst Select Christn Doct</t>
        </is>
      </c>
      <c r="E92" t="inlineStr">
        <is>
          <t>CHIS659</t>
        </is>
      </c>
    </row>
    <row r="93">
      <c r="A93" t="inlineStr">
        <is>
          <t>CHMN</t>
        </is>
      </c>
      <c r="B93" t="n">
        <v>780</v>
      </c>
      <c r="C93" t="inlineStr">
        <is>
          <t>Leading&amp;Managing Church Org</t>
        </is>
      </c>
      <c r="E93" t="inlineStr">
        <is>
          <t>CHMN780</t>
        </is>
      </c>
    </row>
    <row r="94">
      <c r="A94" t="inlineStr">
        <is>
          <t>CHMN</t>
        </is>
      </c>
      <c r="B94" t="n">
        <v>623</v>
      </c>
      <c r="C94" t="inlineStr">
        <is>
          <t>Innovative Evangelism</t>
        </is>
      </c>
      <c r="E94" t="inlineStr">
        <is>
          <t>CHMN623</t>
        </is>
      </c>
    </row>
    <row r="95">
      <c r="A95" t="inlineStr">
        <is>
          <t>CHMN</t>
        </is>
      </c>
      <c r="B95" t="n">
        <v>517</v>
      </c>
      <c r="C95" t="inlineStr">
        <is>
          <t>Topics in Ministry</t>
        </is>
      </c>
      <c r="E95" t="inlineStr">
        <is>
          <t>CHMN517</t>
        </is>
      </c>
    </row>
    <row r="96">
      <c r="A96" t="inlineStr">
        <is>
          <t>DSLE</t>
        </is>
      </c>
      <c r="B96" t="n">
        <v>610</v>
      </c>
      <c r="C96" t="inlineStr">
        <is>
          <t>Teaching for Discipleship</t>
        </is>
      </c>
      <c r="E96" t="inlineStr">
        <is>
          <t>DSLE610</t>
        </is>
      </c>
    </row>
    <row r="97">
      <c r="A97" t="inlineStr">
        <is>
          <t>PATH</t>
        </is>
      </c>
      <c r="B97" t="n">
        <v>538</v>
      </c>
      <c r="C97" t="inlineStr">
        <is>
          <t>Bilingual Ministry</t>
        </is>
      </c>
      <c r="E97" t="inlineStr">
        <is>
          <t>PATH538</t>
        </is>
      </c>
    </row>
    <row r="98">
      <c r="A98" t="inlineStr">
        <is>
          <t>PATH</t>
        </is>
      </c>
      <c r="B98" t="n">
        <v>525</v>
      </c>
      <c r="C98" t="inlineStr">
        <is>
          <t>Hisp/Amer Culture &amp; Challenges</t>
        </is>
      </c>
      <c r="E98" t="inlineStr">
        <is>
          <t>PATH525</t>
        </is>
      </c>
    </row>
    <row r="99">
      <c r="A99" t="inlineStr">
        <is>
          <t>MSSN</t>
        </is>
      </c>
      <c r="B99" t="n">
        <v>505</v>
      </c>
      <c r="C99" t="inlineStr">
        <is>
          <t>Christn Respns to Human Needs</t>
        </is>
      </c>
      <c r="E99" t="inlineStr">
        <is>
          <t>MSSN505</t>
        </is>
      </c>
    </row>
    <row r="100">
      <c r="A100" t="inlineStr">
        <is>
          <t>PATH</t>
        </is>
      </c>
      <c r="B100" t="n">
        <v>753</v>
      </c>
      <c r="C100" t="inlineStr">
        <is>
          <t>Building Syst &amp; Leading Mvmts</t>
        </is>
      </c>
      <c r="E100" t="inlineStr">
        <is>
          <t>PATH753</t>
        </is>
      </c>
    </row>
    <row r="101">
      <c r="A101" t="inlineStr">
        <is>
          <t>PATH</t>
        </is>
      </c>
      <c r="B101" t="n">
        <v>517</v>
      </c>
      <c r="C101" t="inlineStr">
        <is>
          <t>Topics in Ministry</t>
        </is>
      </c>
      <c r="E101" t="inlineStr">
        <is>
          <t>PATH517</t>
        </is>
      </c>
    </row>
    <row r="102">
      <c r="A102" t="inlineStr">
        <is>
          <t>ANEA</t>
        </is>
      </c>
      <c r="B102" t="n">
        <v>510</v>
      </c>
      <c r="C102" t="inlineStr">
        <is>
          <t>Archaeology and the Bible</t>
        </is>
      </c>
      <c r="E102" t="inlineStr">
        <is>
          <t>ANEA510</t>
        </is>
      </c>
    </row>
    <row r="103">
      <c r="A103" t="inlineStr">
        <is>
          <t>PATH</t>
        </is>
      </c>
      <c r="B103" t="n">
        <v>712</v>
      </c>
      <c r="C103" t="inlineStr">
        <is>
          <t>Transformational Leadership</t>
        </is>
      </c>
      <c r="E103" t="inlineStr">
        <is>
          <t>PATH712</t>
        </is>
      </c>
    </row>
    <row r="104">
      <c r="A104" t="inlineStr">
        <is>
          <t>PATH</t>
        </is>
      </c>
      <c r="B104" t="n">
        <v>747</v>
      </c>
      <c r="C104" t="inlineStr">
        <is>
          <t>Christian Leadership</t>
        </is>
      </c>
      <c r="E104" t="inlineStr">
        <is>
          <t>PATH747</t>
        </is>
      </c>
    </row>
    <row r="105">
      <c r="A105" t="inlineStr">
        <is>
          <t>OTST</t>
        </is>
      </c>
      <c r="B105" t="n">
        <v>556</v>
      </c>
      <c r="C105" t="inlineStr">
        <is>
          <t>Studies in Prophets (Engl)</t>
        </is>
      </c>
      <c r="E105" t="inlineStr">
        <is>
          <t>OTST556</t>
        </is>
      </c>
    </row>
    <row r="106">
      <c r="A106" t="inlineStr">
        <is>
          <t>NTST</t>
        </is>
      </c>
      <c r="B106" t="n">
        <v>567</v>
      </c>
      <c r="C106" t="inlineStr">
        <is>
          <t>Theo of the English NT:</t>
        </is>
      </c>
      <c r="D106" t="inlineStr">
        <is>
          <t>Theo of the Engl NT: NT Ethics</t>
        </is>
      </c>
      <c r="E106" t="inlineStr">
        <is>
          <t>NTST567</t>
        </is>
      </c>
    </row>
    <row r="107">
      <c r="A107" t="inlineStr">
        <is>
          <t>GSEM</t>
        </is>
      </c>
      <c r="B107" t="n">
        <v>680</v>
      </c>
      <c r="C107" t="inlineStr">
        <is>
          <t>Masters Comprehensive Exam</t>
        </is>
      </c>
      <c r="E107" t="inlineStr">
        <is>
          <t>GSEM680</t>
        </is>
      </c>
    </row>
    <row r="108">
      <c r="A108" t="inlineStr">
        <is>
          <t>CHIS</t>
        </is>
      </c>
      <c r="B108" t="n">
        <v>574</v>
      </c>
      <c r="C108" t="inlineStr">
        <is>
          <t>Hist of Seventh-day Adv Theo</t>
        </is>
      </c>
      <c r="E108" t="inlineStr">
        <is>
          <t>CHIS574</t>
        </is>
      </c>
    </row>
    <row r="109">
      <c r="A109" t="inlineStr">
        <is>
          <t>CHIS</t>
        </is>
      </c>
      <c r="B109" t="n">
        <v>624</v>
      </c>
      <c r="C109" t="inlineStr">
        <is>
          <t>Issues in Ellen G White Stdies</t>
        </is>
      </c>
      <c r="E109" t="inlineStr">
        <is>
          <t>CHIS624</t>
        </is>
      </c>
    </row>
    <row r="110">
      <c r="A110" t="inlineStr">
        <is>
          <t>CHMN</t>
        </is>
      </c>
      <c r="B110" t="n">
        <v>517</v>
      </c>
      <c r="C110" t="inlineStr">
        <is>
          <t>Topics in Ministry</t>
        </is>
      </c>
      <c r="D110" t="inlineStr">
        <is>
          <t>Topics in Min: Pastorl Counsel</t>
        </is>
      </c>
      <c r="E110" t="inlineStr">
        <is>
          <t>CHMN517</t>
        </is>
      </c>
    </row>
    <row r="111">
      <c r="A111" t="inlineStr">
        <is>
          <t>CHMN</t>
        </is>
      </c>
      <c r="B111" t="n">
        <v>546</v>
      </c>
      <c r="C111" t="inlineStr">
        <is>
          <t>Marriage and Family</t>
        </is>
      </c>
      <c r="E111" t="inlineStr">
        <is>
          <t>CHMN546</t>
        </is>
      </c>
    </row>
    <row r="112">
      <c r="A112" t="inlineStr">
        <is>
          <t>GSEM</t>
        </is>
      </c>
      <c r="B112" t="n">
        <v>520</v>
      </c>
      <c r="C112" t="inlineStr">
        <is>
          <t>Methods in Biblical &amp; Theo Res</t>
        </is>
      </c>
      <c r="E112" t="inlineStr">
        <is>
          <t>GSEM520</t>
        </is>
      </c>
    </row>
    <row r="113">
      <c r="A113" t="inlineStr">
        <is>
          <t>CHIS</t>
        </is>
      </c>
      <c r="B113" t="n">
        <v>696</v>
      </c>
      <c r="C113" t="inlineStr">
        <is>
          <t>Top in Advnt St _____</t>
        </is>
      </c>
      <c r="D113" t="inlineStr">
        <is>
          <t>Top in Adv St:Advntsm in China</t>
        </is>
      </c>
      <c r="E113" t="inlineStr">
        <is>
          <t>CHIS696</t>
        </is>
      </c>
    </row>
    <row r="114">
      <c r="A114" t="inlineStr">
        <is>
          <t>THST</t>
        </is>
      </c>
      <c r="B114" t="n">
        <v>616</v>
      </c>
      <c r="C114" t="inlineStr">
        <is>
          <t>Doctrine of God</t>
        </is>
      </c>
      <c r="E114" t="inlineStr">
        <is>
          <t>THST616</t>
        </is>
      </c>
    </row>
    <row r="115">
      <c r="A115" t="inlineStr">
        <is>
          <t>NTST</t>
        </is>
      </c>
      <c r="B115" t="n">
        <v>539</v>
      </c>
      <c r="C115" t="inlineStr">
        <is>
          <t>Readings in Revelation</t>
        </is>
      </c>
      <c r="E115" t="inlineStr">
        <is>
          <t>NTST539</t>
        </is>
      </c>
    </row>
    <row r="116">
      <c r="A116" t="inlineStr">
        <is>
          <t>MSSN</t>
        </is>
      </c>
      <c r="B116" t="n">
        <v>695</v>
      </c>
      <c r="C116" t="inlineStr">
        <is>
          <t>Topics:</t>
        </is>
      </c>
      <c r="D116" t="inlineStr">
        <is>
          <t>Topics: Urban Mission</t>
        </is>
      </c>
      <c r="E116" t="inlineStr">
        <is>
          <t>MSSN695</t>
        </is>
      </c>
    </row>
    <row r="117">
      <c r="A117" t="inlineStr">
        <is>
          <t>THST</t>
        </is>
      </c>
      <c r="B117" t="n">
        <v>540</v>
      </c>
      <c r="C117" t="inlineStr">
        <is>
          <t>Doctrine of Salvation</t>
        </is>
      </c>
      <c r="E117" t="inlineStr">
        <is>
          <t>THST540</t>
        </is>
      </c>
    </row>
    <row r="118">
      <c r="A118" t="inlineStr">
        <is>
          <t>GSEM</t>
        </is>
      </c>
      <c r="B118" t="n">
        <v>688</v>
      </c>
      <c r="C118" t="inlineStr">
        <is>
          <t>Master's Degree Contin</t>
        </is>
      </c>
      <c r="E118" t="inlineStr">
        <is>
          <t>GSEM688</t>
        </is>
      </c>
    </row>
    <row r="119">
      <c r="A119" t="inlineStr">
        <is>
          <t>CHMN</t>
        </is>
      </c>
      <c r="B119" t="n">
        <v>526</v>
      </c>
      <c r="C119" t="inlineStr">
        <is>
          <t>Conflict Management</t>
        </is>
      </c>
      <c r="E119" t="inlineStr">
        <is>
          <t>CHMN526</t>
        </is>
      </c>
    </row>
    <row r="120">
      <c r="A120" t="inlineStr">
        <is>
          <t>CHMN</t>
        </is>
      </c>
      <c r="B120" t="n">
        <v>787</v>
      </c>
      <c r="C120" t="inlineStr">
        <is>
          <t>Theory&amp;Rsrch in Chaplaincy</t>
        </is>
      </c>
      <c r="E120" t="inlineStr">
        <is>
          <t>CHMN787</t>
        </is>
      </c>
    </row>
    <row r="121">
      <c r="A121" t="inlineStr">
        <is>
          <t>CHMN</t>
        </is>
      </c>
      <c r="B121" t="n">
        <v>714</v>
      </c>
      <c r="C121" t="inlineStr">
        <is>
          <t>Discipling Leaders for Mission</t>
        </is>
      </c>
      <c r="E121" t="inlineStr">
        <is>
          <t>CHMN714</t>
        </is>
      </c>
    </row>
    <row r="122">
      <c r="A122" t="inlineStr">
        <is>
          <t>PATH</t>
        </is>
      </c>
      <c r="B122" t="n">
        <v>773</v>
      </c>
      <c r="C122" t="inlineStr">
        <is>
          <t>Health Care Leadership</t>
        </is>
      </c>
      <c r="E122" t="inlineStr">
        <is>
          <t>PATH773</t>
        </is>
      </c>
    </row>
    <row r="123">
      <c r="A123" t="inlineStr">
        <is>
          <t>PATH</t>
        </is>
      </c>
      <c r="B123" t="n">
        <v>760</v>
      </c>
      <c r="C123" t="inlineStr">
        <is>
          <t>Adv Ldshp Competencies</t>
        </is>
      </c>
      <c r="E123" t="inlineStr">
        <is>
          <t>PATH760</t>
        </is>
      </c>
    </row>
    <row r="124">
      <c r="A124" t="inlineStr">
        <is>
          <t>PATH</t>
        </is>
      </c>
      <c r="B124" t="n">
        <v>786</v>
      </c>
      <c r="C124" t="inlineStr">
        <is>
          <t>Clinical Issues in Care&amp;Counsl</t>
        </is>
      </c>
      <c r="E124" t="inlineStr">
        <is>
          <t>PATH786</t>
        </is>
      </c>
    </row>
    <row r="125">
      <c r="A125" t="inlineStr">
        <is>
          <t>PATH</t>
        </is>
      </c>
      <c r="B125" t="n">
        <v>780</v>
      </c>
      <c r="C125" t="inlineStr">
        <is>
          <t>Leading&amp;Managing Church Org</t>
        </is>
      </c>
      <c r="E125" t="inlineStr">
        <is>
          <t>PATH780</t>
        </is>
      </c>
    </row>
    <row r="126">
      <c r="A126" t="inlineStr">
        <is>
          <t>DSLE</t>
        </is>
      </c>
      <c r="B126" t="n">
        <v>651</v>
      </c>
      <c r="C126" t="inlineStr">
        <is>
          <t>Foundtns of Biblical Counsel</t>
        </is>
      </c>
      <c r="E126" t="inlineStr">
        <is>
          <t>DSLE651</t>
        </is>
      </c>
    </row>
    <row r="127">
      <c r="A127" t="inlineStr">
        <is>
          <t>PATH</t>
        </is>
      </c>
      <c r="B127" t="n">
        <v>788</v>
      </c>
      <c r="C127" t="inlineStr">
        <is>
          <t>Profssnl Pract in Chaplaincy</t>
        </is>
      </c>
      <c r="E127" t="inlineStr">
        <is>
          <t>PATH788</t>
        </is>
      </c>
    </row>
    <row r="128">
      <c r="A128" t="inlineStr">
        <is>
          <t>PATH</t>
        </is>
      </c>
      <c r="B128" t="n">
        <v>777</v>
      </c>
      <c r="C128" t="inlineStr">
        <is>
          <t>Organizational Leadership</t>
        </is>
      </c>
      <c r="E128" t="inlineStr">
        <is>
          <t>PATH777</t>
        </is>
      </c>
    </row>
    <row r="129">
      <c r="A129" t="inlineStr">
        <is>
          <t>NTST</t>
        </is>
      </c>
      <c r="B129" t="n">
        <v>551</v>
      </c>
      <c r="C129" t="inlineStr">
        <is>
          <t>Beginning Greek</t>
        </is>
      </c>
      <c r="E129" t="inlineStr">
        <is>
          <t>NTST551</t>
        </is>
      </c>
    </row>
    <row r="130">
      <c r="A130" t="inlineStr">
        <is>
          <t>MSSN</t>
        </is>
      </c>
      <c r="B130" t="n">
        <v>645</v>
      </c>
      <c r="C130" t="inlineStr">
        <is>
          <t>Ministry Among Immigrants</t>
        </is>
      </c>
      <c r="E130" t="inlineStr">
        <is>
          <t>MSSN645</t>
        </is>
      </c>
    </row>
    <row r="131">
      <c r="A131" t="inlineStr">
        <is>
          <t>THST</t>
        </is>
      </c>
      <c r="B131" t="n">
        <v>611</v>
      </c>
      <c r="C131" t="inlineStr">
        <is>
          <t>Rev, Insp &amp; Hermeneutics</t>
        </is>
      </c>
      <c r="E131" t="inlineStr">
        <is>
          <t>THST611</t>
        </is>
      </c>
    </row>
    <row r="132">
      <c r="A132" t="inlineStr">
        <is>
          <t>NTST</t>
        </is>
      </c>
      <c r="B132" t="n">
        <v>552</v>
      </c>
      <c r="C132" t="inlineStr">
        <is>
          <t>Intermediate Greek</t>
        </is>
      </c>
      <c r="E132" t="inlineStr">
        <is>
          <t>NTST552</t>
        </is>
      </c>
    </row>
    <row r="133">
      <c r="A133" t="inlineStr">
        <is>
          <t>OTST</t>
        </is>
      </c>
      <c r="B133" t="n">
        <v>619</v>
      </c>
      <c r="C133" t="inlineStr">
        <is>
          <t>Theology of the Old Testament</t>
        </is>
      </c>
      <c r="E133" t="inlineStr">
        <is>
          <t>OTST619</t>
        </is>
      </c>
    </row>
    <row r="134">
      <c r="A134" t="inlineStr">
        <is>
          <t>DSRE</t>
        </is>
      </c>
      <c r="B134" t="n">
        <v>655</v>
      </c>
      <c r="C134" t="inlineStr">
        <is>
          <t>Families in Society</t>
        </is>
      </c>
      <c r="E134" t="inlineStr">
        <is>
          <t>DSRE655</t>
        </is>
      </c>
    </row>
    <row r="135">
      <c r="A135" t="inlineStr">
        <is>
          <t>DSRE</t>
        </is>
      </c>
      <c r="B135" t="n">
        <v>610</v>
      </c>
      <c r="C135" t="inlineStr">
        <is>
          <t>Teaching for Discipleship</t>
        </is>
      </c>
      <c r="E135" t="inlineStr">
        <is>
          <t>DSRE610</t>
        </is>
      </c>
    </row>
    <row r="136">
      <c r="A136" t="inlineStr">
        <is>
          <t>DSRE</t>
        </is>
      </c>
      <c r="B136" t="n">
        <v>651</v>
      </c>
      <c r="C136" t="inlineStr">
        <is>
          <t>Foundtns of Biblical Counsel</t>
        </is>
      </c>
      <c r="E136" t="inlineStr">
        <is>
          <t>DSRE651</t>
        </is>
      </c>
    </row>
    <row r="137">
      <c r="A137" t="inlineStr">
        <is>
          <t>THST</t>
        </is>
      </c>
      <c r="B137" t="n">
        <v>656</v>
      </c>
      <c r="C137" t="inlineStr">
        <is>
          <t>Sem in Historical Theology:</t>
        </is>
      </c>
      <c r="E137" t="inlineStr">
        <is>
          <t>THST656</t>
        </is>
      </c>
    </row>
    <row r="138">
      <c r="A138" t="inlineStr">
        <is>
          <t>CHIS</t>
        </is>
      </c>
      <c r="B138" t="n">
        <v>567</v>
      </c>
      <c r="C138" t="inlineStr">
        <is>
          <t>Hispanic-Amer Church History</t>
        </is>
      </c>
      <c r="E138" t="inlineStr">
        <is>
          <t>CHIS567</t>
        </is>
      </c>
    </row>
    <row r="139">
      <c r="A139" t="inlineStr">
        <is>
          <t>CHMN</t>
        </is>
      </c>
      <c r="B139" t="n">
        <v>539</v>
      </c>
      <c r="C139" t="inlineStr">
        <is>
          <t>Church Grwth&amp; Equipping Pastor</t>
        </is>
      </c>
      <c r="D139" t="inlineStr">
        <is>
          <t>Church Grwth&amp; Equipping Leader</t>
        </is>
      </c>
      <c r="E139" t="inlineStr">
        <is>
          <t>CHMN539</t>
        </is>
      </c>
    </row>
    <row r="140">
      <c r="A140" t="inlineStr">
        <is>
          <t>GSEM</t>
        </is>
      </c>
      <c r="B140" t="n">
        <v>620</v>
      </c>
      <c r="C140" t="inlineStr">
        <is>
          <t>Research Methods</t>
        </is>
      </c>
      <c r="E140" t="inlineStr">
        <is>
          <t>GSEM620</t>
        </is>
      </c>
    </row>
    <row r="141">
      <c r="A141" t="inlineStr">
        <is>
          <t>NTST</t>
        </is>
      </c>
      <c r="B141" t="n">
        <v>567</v>
      </c>
      <c r="C141" t="inlineStr">
        <is>
          <t>Theo of the English NT:</t>
        </is>
      </c>
      <c r="D141" t="inlineStr">
        <is>
          <t>Theo of Engl NT:Revelation</t>
        </is>
      </c>
      <c r="E141" t="inlineStr">
        <is>
          <t>NTST567</t>
        </is>
      </c>
    </row>
    <row r="142">
      <c r="A142" t="inlineStr">
        <is>
          <t>PATH</t>
        </is>
      </c>
      <c r="B142" t="n">
        <v>606</v>
      </c>
      <c r="C142" t="inlineStr">
        <is>
          <t>Mssn-Shaped Church Planting</t>
        </is>
      </c>
      <c r="E142" t="inlineStr">
        <is>
          <t>PATH606</t>
        </is>
      </c>
    </row>
    <row r="143">
      <c r="A143" t="inlineStr">
        <is>
          <t>CHMN</t>
        </is>
      </c>
      <c r="B143" t="n">
        <v>723</v>
      </c>
      <c r="C143" t="inlineStr">
        <is>
          <t>Theo&amp;Soc Sc Fnd ME/MC Miss&amp;Min</t>
        </is>
      </c>
      <c r="E143" t="inlineStr">
        <is>
          <t>CHMN723</t>
        </is>
      </c>
    </row>
    <row r="144">
      <c r="A144" t="inlineStr">
        <is>
          <t>PATH</t>
        </is>
      </c>
      <c r="B144" t="n">
        <v>776</v>
      </c>
      <c r="C144" t="inlineStr">
        <is>
          <t>Urban Church Leadership&amp;Mgmt</t>
        </is>
      </c>
      <c r="E144" t="inlineStr">
        <is>
          <t>PATH776</t>
        </is>
      </c>
    </row>
    <row r="145">
      <c r="A145" t="inlineStr">
        <is>
          <t>PATH</t>
        </is>
      </c>
      <c r="B145" t="n">
        <v>742</v>
      </c>
      <c r="C145" t="inlineStr">
        <is>
          <t>Church Multiplication</t>
        </is>
      </c>
      <c r="E145" t="inlineStr">
        <is>
          <t>PATH742</t>
        </is>
      </c>
    </row>
    <row r="146">
      <c r="A146" t="inlineStr">
        <is>
          <t>PATH</t>
        </is>
      </c>
      <c r="B146" t="n">
        <v>754</v>
      </c>
      <c r="C146" t="inlineStr">
        <is>
          <t>Disciple-making and Evangel</t>
        </is>
      </c>
      <c r="E146" t="inlineStr">
        <is>
          <t>PATH754</t>
        </is>
      </c>
    </row>
    <row r="147">
      <c r="A147" t="inlineStr">
        <is>
          <t>NTST</t>
        </is>
      </c>
      <c r="B147" t="n">
        <v>695</v>
      </c>
      <c r="C147" t="inlineStr">
        <is>
          <t>Top in NT Backgrounds</t>
        </is>
      </c>
      <c r="D147" t="inlineStr">
        <is>
          <t>Top: Hermeneutics</t>
        </is>
      </c>
      <c r="E147" t="inlineStr">
        <is>
          <t>NTST695</t>
        </is>
      </c>
    </row>
    <row r="148">
      <c r="A148" t="inlineStr">
        <is>
          <t>NTST</t>
        </is>
      </c>
      <c r="B148" t="n">
        <v>536</v>
      </c>
      <c r="C148" t="inlineStr">
        <is>
          <t>Readings in the Gospels</t>
        </is>
      </c>
      <c r="E148" t="inlineStr">
        <is>
          <t>NTST536</t>
        </is>
      </c>
    </row>
    <row r="149">
      <c r="A149" t="inlineStr">
        <is>
          <t>THST</t>
        </is>
      </c>
      <c r="B149" t="n">
        <v>627</v>
      </c>
      <c r="C149" t="inlineStr">
        <is>
          <t>Roman Catholic Life &amp; Thought</t>
        </is>
      </c>
      <c r="E149" t="inlineStr">
        <is>
          <t>THST627</t>
        </is>
      </c>
    </row>
    <row r="150">
      <c r="A150" t="inlineStr">
        <is>
          <t>CHIS</t>
        </is>
      </c>
      <c r="B150" t="n">
        <v>680</v>
      </c>
      <c r="C150" t="inlineStr">
        <is>
          <t>Hist of Sabbath &amp; Sunday</t>
        </is>
      </c>
      <c r="E150" t="inlineStr">
        <is>
          <t>CHIS680</t>
        </is>
      </c>
    </row>
    <row r="151">
      <c r="A151" t="inlineStr">
        <is>
          <t>CHMN</t>
        </is>
      </c>
      <c r="B151" t="n">
        <v>566</v>
      </c>
      <c r="C151" t="inlineStr">
        <is>
          <t>Mobilizing Laity Minstry Evang</t>
        </is>
      </c>
      <c r="E151" t="inlineStr">
        <is>
          <t>CHMN566</t>
        </is>
      </c>
    </row>
    <row r="152">
      <c r="A152" t="inlineStr">
        <is>
          <t>CHMN</t>
        </is>
      </c>
      <c r="B152" t="n">
        <v>538</v>
      </c>
      <c r="C152" t="inlineStr">
        <is>
          <t>Bilingual Ministry</t>
        </is>
      </c>
      <c r="E152" t="inlineStr">
        <is>
          <t>CHMN538</t>
        </is>
      </c>
    </row>
    <row r="153">
      <c r="A153" t="inlineStr">
        <is>
          <t>THST</t>
        </is>
      </c>
      <c r="B153" t="n">
        <v>647</v>
      </c>
      <c r="C153" t="inlineStr">
        <is>
          <t>Human Nature &amp; Destiny</t>
        </is>
      </c>
      <c r="E153" t="inlineStr">
        <is>
          <t>THST647</t>
        </is>
      </c>
    </row>
    <row r="154">
      <c r="A154" t="inlineStr">
        <is>
          <t>PATH</t>
        </is>
      </c>
      <c r="B154" t="n">
        <v>656</v>
      </c>
      <c r="C154" t="inlineStr">
        <is>
          <t>Evang Small Groups</t>
        </is>
      </c>
      <c r="E154" t="inlineStr">
        <is>
          <t>PATH656</t>
        </is>
      </c>
    </row>
    <row r="155">
      <c r="A155" t="inlineStr">
        <is>
          <t>PATH</t>
        </is>
      </c>
      <c r="B155" t="n">
        <v>604</v>
      </c>
      <c r="C155" t="inlineStr">
        <is>
          <t>Mobilizing for Evang Min</t>
        </is>
      </c>
      <c r="E155" t="inlineStr">
        <is>
          <t>PATH604</t>
        </is>
      </c>
    </row>
    <row r="156">
      <c r="A156" t="inlineStr">
        <is>
          <t>PATH</t>
        </is>
      </c>
      <c r="B156" t="n">
        <v>734</v>
      </c>
      <c r="C156" t="inlineStr">
        <is>
          <t>Organizatnl Comm &amp; Mass Media</t>
        </is>
      </c>
      <c r="E156" t="inlineStr">
        <is>
          <t>PATH734</t>
        </is>
      </c>
    </row>
    <row r="157">
      <c r="A157" t="inlineStr">
        <is>
          <t>PATH</t>
        </is>
      </c>
      <c r="B157" t="n">
        <v>722</v>
      </c>
      <c r="C157" t="inlineStr">
        <is>
          <t>Comm &amp; Media Min Fdns</t>
        </is>
      </c>
      <c r="E157" t="inlineStr">
        <is>
          <t>PATH722</t>
        </is>
      </c>
    </row>
    <row r="158">
      <c r="A158" t="inlineStr">
        <is>
          <t>NTST</t>
        </is>
      </c>
      <c r="B158" t="n">
        <v>536</v>
      </c>
      <c r="C158" t="inlineStr">
        <is>
          <t>Studies in the Gospels</t>
        </is>
      </c>
      <c r="D158" t="inlineStr">
        <is>
          <t>Studies in the Gospels:Mark</t>
        </is>
      </c>
      <c r="E158" t="inlineStr">
        <is>
          <t>NTST536</t>
        </is>
      </c>
    </row>
    <row r="159">
      <c r="A159" t="inlineStr">
        <is>
          <t>PATH</t>
        </is>
      </c>
      <c r="B159" t="n">
        <v>555</v>
      </c>
      <c r="C159" t="inlineStr">
        <is>
          <t>Pastoral Counseling</t>
        </is>
      </c>
      <c r="E159" t="inlineStr">
        <is>
          <t>PATH555</t>
        </is>
      </c>
    </row>
    <row r="160">
      <c r="A160" t="inlineStr">
        <is>
          <t>CHIS</t>
        </is>
      </c>
      <c r="B160" t="n">
        <v>574</v>
      </c>
      <c r="C160" t="inlineStr">
        <is>
          <t>Hist of SDA Theology</t>
        </is>
      </c>
      <c r="E160" t="inlineStr">
        <is>
          <t>CHIS574</t>
        </is>
      </c>
    </row>
    <row r="161">
      <c r="A161" t="inlineStr">
        <is>
          <t>CHMN</t>
        </is>
      </c>
      <c r="B161" t="n">
        <v>656</v>
      </c>
      <c r="C161" t="inlineStr">
        <is>
          <t>Evang Small Groups</t>
        </is>
      </c>
      <c r="E161" t="inlineStr">
        <is>
          <t>CHMN656</t>
        </is>
      </c>
    </row>
    <row r="162">
      <c r="A162" t="inlineStr">
        <is>
          <t>CHMN</t>
        </is>
      </c>
      <c r="B162" t="n">
        <v>514</v>
      </c>
      <c r="C162" t="inlineStr">
        <is>
          <t>Public Evangelism (Hispanic)</t>
        </is>
      </c>
      <c r="E162" t="inlineStr">
        <is>
          <t>CHMN514</t>
        </is>
      </c>
    </row>
    <row r="163">
      <c r="A163" t="inlineStr">
        <is>
          <t>NTST</t>
        </is>
      </c>
      <c r="B163" t="n">
        <v>536</v>
      </c>
      <c r="C163" t="inlineStr">
        <is>
          <t>Studies in the Gospels</t>
        </is>
      </c>
      <c r="E163" t="inlineStr">
        <is>
          <t>NTST536</t>
        </is>
      </c>
    </row>
    <row r="164">
      <c r="A164" t="inlineStr">
        <is>
          <t>NTST</t>
        </is>
      </c>
      <c r="B164" t="n">
        <v>567</v>
      </c>
      <c r="C164" t="inlineStr">
        <is>
          <t>Theo of the English NT:</t>
        </is>
      </c>
      <c r="D164" t="inlineStr">
        <is>
          <t>Theo of the English NT:Ethics</t>
        </is>
      </c>
      <c r="E164" t="inlineStr">
        <is>
          <t>NTST567</t>
        </is>
      </c>
    </row>
    <row r="165">
      <c r="A165" t="inlineStr">
        <is>
          <t>PATH</t>
        </is>
      </c>
      <c r="B165" t="n">
        <v>514</v>
      </c>
      <c r="C165" t="inlineStr">
        <is>
          <t>Public Evangelism (Hispanic)</t>
        </is>
      </c>
      <c r="E165" t="inlineStr">
        <is>
          <t>PATH514</t>
        </is>
      </c>
    </row>
    <row r="166">
      <c r="A166" t="inlineStr">
        <is>
          <t>GSEM</t>
        </is>
      </c>
      <c r="B166" t="n">
        <v>515</v>
      </c>
      <c r="C166" t="inlineStr">
        <is>
          <t>Intro to Biblical Hermeneutics</t>
        </is>
      </c>
      <c r="E166" t="inlineStr">
        <is>
          <t>GSEM515</t>
        </is>
      </c>
    </row>
    <row r="167">
      <c r="A167" t="inlineStr">
        <is>
          <t>GSEM</t>
        </is>
      </c>
      <c r="B167" t="n">
        <v>695</v>
      </c>
      <c r="C167" t="inlineStr">
        <is>
          <t>Research Project</t>
        </is>
      </c>
      <c r="E167" t="inlineStr">
        <is>
          <t>GSEM695</t>
        </is>
      </c>
    </row>
    <row r="168">
      <c r="A168" t="inlineStr">
        <is>
          <t>GSEM</t>
        </is>
      </c>
      <c r="B168" t="n">
        <v>697</v>
      </c>
      <c r="C168" t="inlineStr">
        <is>
          <t>Thesis for MA Degree</t>
        </is>
      </c>
      <c r="E168" t="inlineStr">
        <is>
          <t>GSEM697</t>
        </is>
      </c>
    </row>
    <row r="169">
      <c r="A169" t="inlineStr">
        <is>
          <t>MSSN</t>
        </is>
      </c>
      <c r="B169" t="n">
        <v>635</v>
      </c>
      <c r="C169" t="inlineStr">
        <is>
          <t>Contemporary Iss in Mission</t>
        </is>
      </c>
      <c r="E169" t="inlineStr">
        <is>
          <t>MSSN635</t>
        </is>
      </c>
    </row>
    <row r="170">
      <c r="A170" t="inlineStr">
        <is>
          <t>GSEM</t>
        </is>
      </c>
      <c r="B170" t="n">
        <v>697</v>
      </c>
      <c r="C170" t="inlineStr">
        <is>
          <t>MA Thesis</t>
        </is>
      </c>
      <c r="E170" t="inlineStr">
        <is>
          <t>GSEM697</t>
        </is>
      </c>
    </row>
    <row r="171">
      <c r="A171" t="inlineStr">
        <is>
          <t>MSSN</t>
        </is>
      </c>
      <c r="B171" t="n">
        <v>695</v>
      </c>
      <c r="C171" t="inlineStr">
        <is>
          <t>Topics:</t>
        </is>
      </c>
      <c r="D171" t="inlineStr">
        <is>
          <t>Topics:Urban Mission</t>
        </is>
      </c>
      <c r="E171" t="inlineStr">
        <is>
          <t>MSSN695</t>
        </is>
      </c>
    </row>
    <row r="172">
      <c r="A172" t="inlineStr">
        <is>
          <t>CHIS</t>
        </is>
      </c>
      <c r="B172" t="n">
        <v>628</v>
      </c>
      <c r="C172" t="inlineStr">
        <is>
          <t>Historcl Resrch&amp;Historiography</t>
        </is>
      </c>
      <c r="E172" t="inlineStr">
        <is>
          <t>CHIS628</t>
        </is>
      </c>
    </row>
    <row r="173">
      <c r="A173" t="inlineStr">
        <is>
          <t>MSSN</t>
        </is>
      </c>
      <c r="B173" t="n">
        <v>695</v>
      </c>
      <c r="C173" t="inlineStr">
        <is>
          <t>Topics:</t>
        </is>
      </c>
      <c r="D173" t="inlineStr">
        <is>
          <t>Top: Contemp Issues in Mission</t>
        </is>
      </c>
      <c r="E173" t="inlineStr">
        <is>
          <t>MSSN695</t>
        </is>
      </c>
    </row>
    <row r="174">
      <c r="A174" t="inlineStr">
        <is>
          <t>MSSN</t>
        </is>
      </c>
      <c r="B174" t="n">
        <v>695</v>
      </c>
      <c r="C174" t="inlineStr">
        <is>
          <t>Topics:</t>
        </is>
      </c>
      <c r="D174" t="inlineStr">
        <is>
          <t>Top: Hist of Christian Mission</t>
        </is>
      </c>
      <c r="E174" t="inlineStr">
        <is>
          <t>MSSN695</t>
        </is>
      </c>
    </row>
    <row r="175">
      <c r="A175" t="inlineStr">
        <is>
          <t>NTST</t>
        </is>
      </c>
      <c r="B175" t="n">
        <v>539</v>
      </c>
      <c r="C175" t="inlineStr">
        <is>
          <t>Readings in Revelation</t>
        </is>
      </c>
      <c r="D175" t="inlineStr">
        <is>
          <t>Revelation</t>
        </is>
      </c>
      <c r="E175" t="inlineStr">
        <is>
          <t>NTST539</t>
        </is>
      </c>
    </row>
    <row r="176">
      <c r="A176" t="inlineStr">
        <is>
          <t>NTST</t>
        </is>
      </c>
      <c r="B176" t="n">
        <v>684</v>
      </c>
      <c r="C176" t="inlineStr">
        <is>
          <t>Judaism &amp; the New Testament</t>
        </is>
      </c>
      <c r="E176" t="inlineStr">
        <is>
          <t>NTST684</t>
        </is>
      </c>
    </row>
    <row r="177">
      <c r="A177" t="inlineStr">
        <is>
          <t>GSEM</t>
        </is>
      </c>
      <c r="B177" t="n">
        <v>628</v>
      </c>
      <c r="C177" t="inlineStr">
        <is>
          <t>Grt Controversy, Cov, Law, Sab</t>
        </is>
      </c>
      <c r="E177" t="inlineStr">
        <is>
          <t>GSEM628</t>
        </is>
      </c>
    </row>
    <row r="178">
      <c r="A178" t="inlineStr">
        <is>
          <t>NTST</t>
        </is>
      </c>
      <c r="B178" t="n">
        <v>567</v>
      </c>
      <c r="C178" t="inlineStr">
        <is>
          <t>Theo of the English NT:</t>
        </is>
      </c>
      <c r="D178" t="inlineStr">
        <is>
          <t>Theo Eng NT:Parousia</t>
        </is>
      </c>
      <c r="E178" t="inlineStr">
        <is>
          <t>NTST567</t>
        </is>
      </c>
    </row>
    <row r="179">
      <c r="A179" t="inlineStr">
        <is>
          <t>THST</t>
        </is>
      </c>
      <c r="B179" t="n">
        <v>619</v>
      </c>
      <c r="C179" t="inlineStr">
        <is>
          <t>Principles&amp;Methods of Theology</t>
        </is>
      </c>
      <c r="E179" t="inlineStr">
        <is>
          <t>THST619</t>
        </is>
      </c>
    </row>
    <row r="180">
      <c r="A180" t="inlineStr">
        <is>
          <t>CHIS</t>
        </is>
      </c>
      <c r="B180" t="n">
        <v>600</v>
      </c>
      <c r="C180" t="inlineStr">
        <is>
          <t>The Early Church to AD 604</t>
        </is>
      </c>
      <c r="E180" t="inlineStr">
        <is>
          <t>CHIS600</t>
        </is>
      </c>
    </row>
    <row r="181">
      <c r="A181" t="inlineStr">
        <is>
          <t>THST</t>
        </is>
      </c>
      <c r="B181" t="n">
        <v>678</v>
      </c>
      <c r="C181" t="inlineStr">
        <is>
          <t>Science &amp; Religion</t>
        </is>
      </c>
      <c r="E181" t="inlineStr">
        <is>
          <t>THST678</t>
        </is>
      </c>
    </row>
    <row r="182">
      <c r="A182" t="inlineStr">
        <is>
          <t>PATH</t>
        </is>
      </c>
      <c r="B182" t="n">
        <v>541</v>
      </c>
      <c r="C182" t="inlineStr">
        <is>
          <t>Church Growth</t>
        </is>
      </c>
      <c r="E182" t="inlineStr">
        <is>
          <t>PATH541</t>
        </is>
      </c>
    </row>
    <row r="183">
      <c r="A183" t="inlineStr">
        <is>
          <t>MSSN</t>
        </is>
      </c>
      <c r="B183" t="n">
        <v>660</v>
      </c>
      <c r="C183" t="inlineStr">
        <is>
          <t>Witn People Another Rlg:</t>
        </is>
      </c>
      <c r="E183" t="inlineStr">
        <is>
          <t>MSSN660</t>
        </is>
      </c>
    </row>
    <row r="184">
      <c r="A184" t="inlineStr">
        <is>
          <t>MSSN</t>
        </is>
      </c>
      <c r="B184" t="n">
        <v>741</v>
      </c>
      <c r="C184" t="inlineStr">
        <is>
          <t>Strategy Development I</t>
        </is>
      </c>
      <c r="E184" t="inlineStr">
        <is>
          <t>MSSN741</t>
        </is>
      </c>
    </row>
    <row r="185">
      <c r="A185" t="inlineStr">
        <is>
          <t>MSSN</t>
        </is>
      </c>
      <c r="B185" t="n">
        <v>731</v>
      </c>
      <c r="C185" t="inlineStr">
        <is>
          <t>Cultural &amp; Relg Analysis I</t>
        </is>
      </c>
      <c r="E185" t="inlineStr">
        <is>
          <t>MSSN731</t>
        </is>
      </c>
    </row>
    <row r="186">
      <c r="A186" t="inlineStr">
        <is>
          <t>MSSN</t>
        </is>
      </c>
      <c r="B186" t="n">
        <v>618</v>
      </c>
      <c r="C186" t="inlineStr">
        <is>
          <t>Mission to the Cities</t>
        </is>
      </c>
      <c r="E186" t="inlineStr">
        <is>
          <t>MSSN618</t>
        </is>
      </c>
    </row>
    <row r="187">
      <c r="A187" t="inlineStr">
        <is>
          <t>THST</t>
        </is>
      </c>
      <c r="B187" t="n">
        <v>639</v>
      </c>
      <c r="C187" t="inlineStr">
        <is>
          <t>Doctrine of the Holy Spirit</t>
        </is>
      </c>
      <c r="E187" t="inlineStr">
        <is>
          <t>THST639</t>
        </is>
      </c>
    </row>
    <row r="188">
      <c r="A188" t="inlineStr">
        <is>
          <t>MSSN</t>
        </is>
      </c>
      <c r="B188" t="n">
        <v>695</v>
      </c>
      <c r="C188" t="inlineStr">
        <is>
          <t>Topics:</t>
        </is>
      </c>
      <c r="D188" t="inlineStr">
        <is>
          <t>Top:Islamic Culture &amp; Society</t>
        </is>
      </c>
      <c r="E188" t="inlineStr">
        <is>
          <t>MSSN695</t>
        </is>
      </c>
    </row>
    <row r="189">
      <c r="A189" t="inlineStr">
        <is>
          <t>MSSN</t>
        </is>
      </c>
      <c r="B189" t="n">
        <v>695</v>
      </c>
      <c r="C189" t="inlineStr">
        <is>
          <t>Topics:</t>
        </is>
      </c>
      <c r="D189" t="inlineStr">
        <is>
          <t>Topics:Hindu Culture &amp; Society</t>
        </is>
      </c>
      <c r="E189" t="inlineStr">
        <is>
          <t>MSSN695</t>
        </is>
      </c>
    </row>
    <row r="190">
      <c r="A190" t="inlineStr">
        <is>
          <t>MSSN</t>
        </is>
      </c>
      <c r="B190" t="n">
        <v>695</v>
      </c>
      <c r="C190" t="inlineStr">
        <is>
          <t>Topics:</t>
        </is>
      </c>
      <c r="D190" t="inlineStr">
        <is>
          <t>Top:Biblical and Quranic Stud</t>
        </is>
      </c>
      <c r="E190" t="inlineStr">
        <is>
          <t>MSSN695</t>
        </is>
      </c>
    </row>
    <row r="191">
      <c r="A191" t="inlineStr">
        <is>
          <t>MSSN</t>
        </is>
      </c>
      <c r="B191" t="n">
        <v>695</v>
      </c>
      <c r="C191" t="inlineStr">
        <is>
          <t>Topics:</t>
        </is>
      </c>
      <c r="D191" t="inlineStr">
        <is>
          <t>Top:Biblical&amp; Buddhism Studies</t>
        </is>
      </c>
      <c r="E191" t="inlineStr">
        <is>
          <t>MSSN695</t>
        </is>
      </c>
    </row>
    <row r="192">
      <c r="A192" t="inlineStr">
        <is>
          <t>CHIS</t>
        </is>
      </c>
      <c r="B192" t="n">
        <v>634</v>
      </c>
      <c r="C192" t="inlineStr">
        <is>
          <t>Reformation Theology</t>
        </is>
      </c>
      <c r="E192" t="inlineStr">
        <is>
          <t>CHIS634</t>
        </is>
      </c>
    </row>
    <row r="193">
      <c r="A193" t="inlineStr">
        <is>
          <t>NTST</t>
        </is>
      </c>
      <c r="B193" t="n">
        <v>537</v>
      </c>
      <c r="C193" t="inlineStr">
        <is>
          <t>Rdngs in Acts&amp;General Epistles</t>
        </is>
      </c>
      <c r="D193" t="inlineStr">
        <is>
          <t>Stdies in Acts&amp;General Epstles</t>
        </is>
      </c>
      <c r="E193" t="inlineStr">
        <is>
          <t>NTST537</t>
        </is>
      </c>
    </row>
    <row r="194">
      <c r="A194" t="inlineStr">
        <is>
          <t>MSSN</t>
        </is>
      </c>
      <c r="B194" t="n">
        <v>695</v>
      </c>
      <c r="C194" t="inlineStr">
        <is>
          <t>Topics:</t>
        </is>
      </c>
      <c r="D194" t="inlineStr">
        <is>
          <t>Top:Buddhism Culture and Socty</t>
        </is>
      </c>
      <c r="E194" t="inlineStr">
        <is>
          <t>MSSN695</t>
        </is>
      </c>
    </row>
    <row r="195">
      <c r="A195" t="inlineStr">
        <is>
          <t>THST</t>
        </is>
      </c>
      <c r="B195" t="n">
        <v>615</v>
      </c>
      <c r="C195" t="inlineStr">
        <is>
          <t>Doctrine of the Church</t>
        </is>
      </c>
      <c r="E195" t="inlineStr">
        <is>
          <t>THST615</t>
        </is>
      </c>
    </row>
    <row r="196">
      <c r="A196" t="inlineStr">
        <is>
          <t>THST</t>
        </is>
      </c>
      <c r="B196" t="n">
        <v>623</v>
      </c>
      <c r="C196" t="inlineStr">
        <is>
          <t>Contemp Adventst Theolgcl Iss</t>
        </is>
      </c>
      <c r="E196" t="inlineStr">
        <is>
          <t>THST623</t>
        </is>
      </c>
    </row>
    <row r="197">
      <c r="A197" t="inlineStr">
        <is>
          <t>PATH</t>
        </is>
      </c>
      <c r="B197" t="n">
        <v>634</v>
      </c>
      <c r="C197" t="inlineStr">
        <is>
          <t>Field Evang. Preach. &amp; Pract.</t>
        </is>
      </c>
      <c r="E197" t="inlineStr">
        <is>
          <t>PATH634</t>
        </is>
      </c>
    </row>
    <row r="198">
      <c r="A198" t="inlineStr">
        <is>
          <t>OTST</t>
        </is>
      </c>
      <c r="B198" t="n">
        <v>570</v>
      </c>
      <c r="C198" t="inlineStr">
        <is>
          <t>Readings in the OT (English)</t>
        </is>
      </c>
      <c r="E198" t="inlineStr">
        <is>
          <t>OTST570</t>
        </is>
      </c>
    </row>
    <row r="199">
      <c r="A199" t="inlineStr">
        <is>
          <t>PATH</t>
        </is>
      </c>
      <c r="B199" t="n">
        <v>607</v>
      </c>
      <c r="C199" t="inlineStr">
        <is>
          <t>Preaching from the Old Testmnt</t>
        </is>
      </c>
      <c r="E199" t="inlineStr">
        <is>
          <t>PATH607</t>
        </is>
      </c>
    </row>
    <row r="200">
      <c r="A200" t="inlineStr">
        <is>
          <t>NTST</t>
        </is>
      </c>
      <c r="B200" t="n">
        <v>680</v>
      </c>
      <c r="C200" t="inlineStr">
        <is>
          <t>Greco-Roman World</t>
        </is>
      </c>
      <c r="E200" t="inlineStr">
        <is>
          <t>NTST680</t>
        </is>
      </c>
    </row>
    <row r="201">
      <c r="A201" t="inlineStr">
        <is>
          <t>THST</t>
        </is>
      </c>
      <c r="B201" t="n">
        <v>624</v>
      </c>
      <c r="C201" t="inlineStr">
        <is>
          <t>Protestant Theologicl Heritage</t>
        </is>
      </c>
      <c r="E201" t="inlineStr">
        <is>
          <t>THST624</t>
        </is>
      </c>
    </row>
    <row r="202">
      <c r="A202" t="inlineStr">
        <is>
          <t>DSRE</t>
        </is>
      </c>
      <c r="B202" t="n">
        <v>678</v>
      </c>
      <c r="C202" t="inlineStr">
        <is>
          <t>Spiritual Nurture of Children</t>
        </is>
      </c>
      <c r="E202" t="inlineStr">
        <is>
          <t>DSRE678</t>
        </is>
      </c>
    </row>
    <row r="203">
      <c r="A203" t="inlineStr">
        <is>
          <t>MSSN</t>
        </is>
      </c>
      <c r="B203" t="n">
        <v>685</v>
      </c>
      <c r="C203" t="inlineStr">
        <is>
          <t>Strategies World Mission</t>
        </is>
      </c>
      <c r="E203" t="inlineStr">
        <is>
          <t>MSSN685</t>
        </is>
      </c>
    </row>
    <row r="204">
      <c r="A204" t="inlineStr">
        <is>
          <t>CHMN</t>
        </is>
      </c>
      <c r="B204" t="n">
        <v>607</v>
      </c>
      <c r="C204" t="inlineStr">
        <is>
          <t>Preaching from the Old Testmnt</t>
        </is>
      </c>
      <c r="E204" t="inlineStr">
        <is>
          <t>CHMN607</t>
        </is>
      </c>
    </row>
    <row r="205">
      <c r="A205" t="inlineStr">
        <is>
          <t>NTST</t>
        </is>
      </c>
      <c r="B205" t="n">
        <v>567</v>
      </c>
      <c r="C205" t="inlineStr">
        <is>
          <t>Theo of the English NT:</t>
        </is>
      </c>
      <c r="D205" t="inlineStr">
        <is>
          <t>Theo Engl NT:Love,Marriage&amp;Div</t>
        </is>
      </c>
      <c r="E205" t="inlineStr">
        <is>
          <t>NTST567</t>
        </is>
      </c>
    </row>
    <row r="206">
      <c r="A206" t="inlineStr">
        <is>
          <t>MSSN</t>
        </is>
      </c>
      <c r="B206" t="n">
        <v>676</v>
      </c>
      <c r="C206" t="inlineStr">
        <is>
          <t>Hist of Christian Mission</t>
        </is>
      </c>
      <c r="E206" t="inlineStr">
        <is>
          <t>MSSN676</t>
        </is>
      </c>
    </row>
    <row r="207">
      <c r="A207" t="inlineStr">
        <is>
          <t>THST</t>
        </is>
      </c>
      <c r="B207" t="n">
        <v>600</v>
      </c>
      <c r="C207" t="inlineStr">
        <is>
          <t>Christian Personal Ethics</t>
        </is>
      </c>
      <c r="E207" t="inlineStr">
        <is>
          <t>THST600</t>
        </is>
      </c>
    </row>
    <row r="208">
      <c r="A208" t="inlineStr">
        <is>
          <t>CHMN</t>
        </is>
      </c>
      <c r="B208" t="n">
        <v>604</v>
      </c>
      <c r="C208" t="inlineStr">
        <is>
          <t>Mobilizing for Evang Min</t>
        </is>
      </c>
      <c r="E208" t="inlineStr">
        <is>
          <t>CHMN604</t>
        </is>
      </c>
    </row>
    <row r="209">
      <c r="A209" t="inlineStr">
        <is>
          <t>THST</t>
        </is>
      </c>
      <c r="B209" t="n">
        <v>630</v>
      </c>
      <c r="C209" t="inlineStr">
        <is>
          <t>Doctrine of Christ</t>
        </is>
      </c>
      <c r="E209" t="inlineStr">
        <is>
          <t>THST630</t>
        </is>
      </c>
    </row>
    <row r="210">
      <c r="A210" t="inlineStr">
        <is>
          <t>CHMN</t>
        </is>
      </c>
      <c r="B210" t="n">
        <v>567</v>
      </c>
      <c r="C210" t="inlineStr">
        <is>
          <t>Health&amp;Lifestyle Transformatn</t>
        </is>
      </c>
      <c r="E210" t="inlineStr">
        <is>
          <t>CHMN567</t>
        </is>
      </c>
    </row>
    <row r="211">
      <c r="A211" t="inlineStr">
        <is>
          <t>CHMN</t>
        </is>
      </c>
      <c r="B211" t="n">
        <v>508</v>
      </c>
      <c r="C211" t="inlineStr">
        <is>
          <t>Tools for Pastor's Spouse</t>
        </is>
      </c>
      <c r="E211" t="inlineStr">
        <is>
          <t>CHMN508</t>
        </is>
      </c>
    </row>
    <row r="212">
      <c r="A212" t="inlineStr">
        <is>
          <t>OTST</t>
        </is>
      </c>
      <c r="B212" t="n">
        <v>940</v>
      </c>
      <c r="C212" t="inlineStr">
        <is>
          <t>Sem Adv OT Exegesis</t>
        </is>
      </c>
      <c r="E212" t="inlineStr">
        <is>
          <t>OTST940</t>
        </is>
      </c>
    </row>
    <row r="213">
      <c r="A213" t="inlineStr">
        <is>
          <t>CHMN</t>
        </is>
      </c>
      <c r="B213" t="n">
        <v>505</v>
      </c>
      <c r="C213" t="inlineStr">
        <is>
          <t>Biblical Preaching</t>
        </is>
      </c>
      <c r="E213" t="inlineStr">
        <is>
          <t>CHMN505</t>
        </is>
      </c>
    </row>
    <row r="214">
      <c r="A214" t="inlineStr">
        <is>
          <t>NTST</t>
        </is>
      </c>
      <c r="B214" t="n">
        <v>678</v>
      </c>
      <c r="C214" t="inlineStr">
        <is>
          <t>Sem in Greek Exegesis</t>
        </is>
      </c>
      <c r="E214" t="inlineStr">
        <is>
          <t>NTST678</t>
        </is>
      </c>
    </row>
    <row r="215">
      <c r="A215" t="inlineStr">
        <is>
          <t>CHMN</t>
        </is>
      </c>
      <c r="B215" t="n">
        <v>631</v>
      </c>
      <c r="C215" t="inlineStr">
        <is>
          <t>Field Evangelistic Preaching</t>
        </is>
      </c>
      <c r="E215" t="inlineStr">
        <is>
          <t>CHMN631</t>
        </is>
      </c>
    </row>
    <row r="216">
      <c r="A216" t="inlineStr">
        <is>
          <t>OTST</t>
        </is>
      </c>
      <c r="B216" t="n">
        <v>664</v>
      </c>
      <c r="C216" t="inlineStr">
        <is>
          <t>Pentateuch (Hebrew)</t>
        </is>
      </c>
      <c r="E216" t="inlineStr">
        <is>
          <t>OTST664</t>
        </is>
      </c>
    </row>
    <row r="217">
      <c r="A217" t="inlineStr">
        <is>
          <t>CHMN</t>
        </is>
      </c>
      <c r="B217" t="n">
        <v>529</v>
      </c>
      <c r="C217" t="inlineStr">
        <is>
          <t>Church &amp; Personal Finance</t>
        </is>
      </c>
      <c r="E217" t="inlineStr">
        <is>
          <t>CHMN529</t>
        </is>
      </c>
    </row>
    <row r="218">
      <c r="A218" t="inlineStr">
        <is>
          <t>NTST</t>
        </is>
      </c>
      <c r="B218" t="n">
        <v>543</v>
      </c>
      <c r="C218" t="inlineStr">
        <is>
          <t>Intro Exeg&amp;Theo2:Acts&amp;Epistles</t>
        </is>
      </c>
      <c r="E218" t="inlineStr">
        <is>
          <t>NTST543</t>
        </is>
      </c>
    </row>
    <row r="219">
      <c r="A219" t="inlineStr">
        <is>
          <t>DSRE</t>
        </is>
      </c>
      <c r="B219" t="n">
        <v>630</v>
      </c>
      <c r="C219" t="inlineStr">
        <is>
          <t>Fostering Spiritual Growth</t>
        </is>
      </c>
      <c r="E219" t="inlineStr">
        <is>
          <t>DSRE630</t>
        </is>
      </c>
    </row>
    <row r="220">
      <c r="A220" t="inlineStr">
        <is>
          <t>DSRE</t>
        </is>
      </c>
      <c r="B220" t="n">
        <v>608</v>
      </c>
      <c r="C220" t="inlineStr">
        <is>
          <t>Yth&amp;Yng Adlt in Contmp Culture</t>
        </is>
      </c>
      <c r="E220" t="inlineStr">
        <is>
          <t>DSRE608</t>
        </is>
      </c>
    </row>
    <row r="221">
      <c r="A221" t="inlineStr">
        <is>
          <t>DSRE</t>
        </is>
      </c>
      <c r="B221" t="n">
        <v>564</v>
      </c>
      <c r="C221" t="inlineStr">
        <is>
          <t>Adv Yth&amp;Yng Adlt Min Ldrshp</t>
        </is>
      </c>
      <c r="E221" t="inlineStr">
        <is>
          <t>DSRE564</t>
        </is>
      </c>
    </row>
    <row r="222">
      <c r="A222" t="inlineStr">
        <is>
          <t>OTST</t>
        </is>
      </c>
      <c r="B222" t="n">
        <v>945</v>
      </c>
      <c r="C222" t="inlineStr">
        <is>
          <t>Sem in Biblical Theology</t>
        </is>
      </c>
      <c r="E222" t="inlineStr">
        <is>
          <t>OTST945</t>
        </is>
      </c>
    </row>
    <row r="223">
      <c r="A223" t="inlineStr">
        <is>
          <t>CHIS</t>
        </is>
      </c>
      <c r="B223" t="n">
        <v>614</v>
      </c>
      <c r="C223" t="inlineStr">
        <is>
          <t>Rdgs in Ecclesiastical Latin</t>
        </is>
      </c>
      <c r="E223" t="inlineStr">
        <is>
          <t>CHIS614</t>
        </is>
      </c>
    </row>
    <row r="224">
      <c r="A224" t="inlineStr">
        <is>
          <t>CHMN</t>
        </is>
      </c>
      <c r="B224" t="n">
        <v>632</v>
      </c>
      <c r="C224" t="inlineStr">
        <is>
          <t>Contextualized Preaching</t>
        </is>
      </c>
      <c r="E224" t="inlineStr">
        <is>
          <t>CHMN632</t>
        </is>
      </c>
    </row>
    <row r="225">
      <c r="A225" t="inlineStr">
        <is>
          <t>CHIS</t>
        </is>
      </c>
      <c r="B225" t="n">
        <v>629</v>
      </c>
      <c r="C225" t="inlineStr">
        <is>
          <t>Hist of Christian Spirituality</t>
        </is>
      </c>
      <c r="E225" t="inlineStr">
        <is>
          <t>CHIS629</t>
        </is>
      </c>
    </row>
    <row r="226">
      <c r="A226" t="inlineStr">
        <is>
          <t>CHMN</t>
        </is>
      </c>
      <c r="B226" t="n">
        <v>552</v>
      </c>
      <c r="C226" t="inlineStr">
        <is>
          <t>Foundatns of Pastoral Ministry</t>
        </is>
      </c>
      <c r="E226" t="inlineStr">
        <is>
          <t>CHMN552</t>
        </is>
      </c>
    </row>
    <row r="227">
      <c r="A227" t="inlineStr">
        <is>
          <t>DSRE</t>
        </is>
      </c>
      <c r="B227" t="n">
        <v>658</v>
      </c>
      <c r="C227" t="inlineStr">
        <is>
          <t>Internal Dynamics of Families</t>
        </is>
      </c>
      <c r="E227" t="inlineStr">
        <is>
          <t>DSRE658</t>
        </is>
      </c>
    </row>
    <row r="228">
      <c r="A228" t="inlineStr">
        <is>
          <t>NTST</t>
        </is>
      </c>
      <c r="B228" t="n">
        <v>667</v>
      </c>
      <c r="C228" t="inlineStr">
        <is>
          <t>Top in New Testmnt Theo:</t>
        </is>
      </c>
      <c r="D228" t="inlineStr">
        <is>
          <t>NT Top:Suffering, Death &amp; Res</t>
        </is>
      </c>
      <c r="E228" t="inlineStr">
        <is>
          <t>NTST667</t>
        </is>
      </c>
    </row>
    <row r="229">
      <c r="A229" t="inlineStr">
        <is>
          <t>NTST</t>
        </is>
      </c>
      <c r="B229" t="n">
        <v>655</v>
      </c>
      <c r="C229" t="inlineStr">
        <is>
          <t>Adv Studies Gospels:</t>
        </is>
      </c>
      <c r="D229" t="inlineStr">
        <is>
          <t>Adv Studies Gospels:Mark</t>
        </is>
      </c>
      <c r="E229" t="inlineStr">
        <is>
          <t>NTST655</t>
        </is>
      </c>
    </row>
    <row r="230">
      <c r="A230" t="inlineStr">
        <is>
          <t>THST</t>
        </is>
      </c>
      <c r="B230" t="n">
        <v>626</v>
      </c>
      <c r="C230" t="inlineStr">
        <is>
          <t>Modern Christian Theology</t>
        </is>
      </c>
      <c r="E230" t="inlineStr">
        <is>
          <t>THST626</t>
        </is>
      </c>
    </row>
    <row r="231">
      <c r="A231" t="inlineStr">
        <is>
          <t>THST</t>
        </is>
      </c>
      <c r="B231" t="n">
        <v>550</v>
      </c>
      <c r="C231" t="inlineStr">
        <is>
          <t>Principles of Christian Ethics</t>
        </is>
      </c>
      <c r="E231" t="inlineStr">
        <is>
          <t>THST550</t>
        </is>
      </c>
    </row>
    <row r="232">
      <c r="A232" t="inlineStr">
        <is>
          <t>THST</t>
        </is>
      </c>
      <c r="B232" t="n">
        <v>522</v>
      </c>
      <c r="C232" t="inlineStr">
        <is>
          <t>Christian Theology II</t>
        </is>
      </c>
      <c r="E232" t="inlineStr">
        <is>
          <t>THST522</t>
        </is>
      </c>
    </row>
    <row r="233">
      <c r="A233" t="inlineStr">
        <is>
          <t>CHIS</t>
        </is>
      </c>
      <c r="B233" t="n">
        <v>504</v>
      </c>
      <c r="C233" t="inlineStr">
        <is>
          <t>Advent Hist,Life&amp;Writings EGW</t>
        </is>
      </c>
      <c r="E233" t="inlineStr">
        <is>
          <t>CHIS504</t>
        </is>
      </c>
    </row>
    <row r="234">
      <c r="A234" t="inlineStr">
        <is>
          <t>THST</t>
        </is>
      </c>
      <c r="B234" t="n">
        <v>510</v>
      </c>
      <c r="C234" t="inlineStr">
        <is>
          <t>Understanding Christian World</t>
        </is>
      </c>
      <c r="E234" t="inlineStr">
        <is>
          <t>THST510</t>
        </is>
      </c>
    </row>
    <row r="235">
      <c r="A235" t="inlineStr">
        <is>
          <t>THST</t>
        </is>
      </c>
      <c r="B235" t="n">
        <v>660</v>
      </c>
      <c r="C235" t="inlineStr">
        <is>
          <t>Church and Society</t>
        </is>
      </c>
      <c r="E235" t="inlineStr">
        <is>
          <t>THST660</t>
        </is>
      </c>
    </row>
    <row r="236">
      <c r="A236" t="inlineStr">
        <is>
          <t>CHMN</t>
        </is>
      </c>
      <c r="B236" t="n">
        <v>587</v>
      </c>
      <c r="C236" t="inlineStr">
        <is>
          <t>Apologetics in Evangelism</t>
        </is>
      </c>
      <c r="E236" t="inlineStr">
        <is>
          <t>CHMN587</t>
        </is>
      </c>
    </row>
    <row r="237">
      <c r="A237" t="inlineStr">
        <is>
          <t>OTST</t>
        </is>
      </c>
      <c r="B237" t="n">
        <v>558</v>
      </c>
      <c r="C237" t="inlineStr">
        <is>
          <t>Writings</t>
        </is>
      </c>
      <c r="E237" t="inlineStr">
        <is>
          <t>OTST558</t>
        </is>
      </c>
    </row>
    <row r="238">
      <c r="A238" t="inlineStr">
        <is>
          <t>GSEM</t>
        </is>
      </c>
      <c r="B238" t="n">
        <v>626</v>
      </c>
      <c r="C238" t="inlineStr">
        <is>
          <t>Contemp Adv Theol Issues</t>
        </is>
      </c>
      <c r="E238" t="inlineStr">
        <is>
          <t>GSEM626</t>
        </is>
      </c>
    </row>
    <row r="239">
      <c r="A239" t="inlineStr">
        <is>
          <t>OTST</t>
        </is>
      </c>
      <c r="B239" t="n">
        <v>555</v>
      </c>
      <c r="C239" t="inlineStr">
        <is>
          <t>Prophets</t>
        </is>
      </c>
      <c r="E239" t="inlineStr">
        <is>
          <t>OTST555</t>
        </is>
      </c>
    </row>
    <row r="240">
      <c r="A240" t="inlineStr">
        <is>
          <t>CHMN</t>
        </is>
      </c>
      <c r="B240" t="n">
        <v>614</v>
      </c>
      <c r="C240" t="inlineStr">
        <is>
          <t>Preaching frm Daniel or Rev</t>
        </is>
      </c>
      <c r="D240" t="inlineStr">
        <is>
          <t>Preaching frm Rev</t>
        </is>
      </c>
      <c r="E240" t="inlineStr">
        <is>
          <t>CHMN614</t>
        </is>
      </c>
    </row>
    <row r="241">
      <c r="A241" t="inlineStr">
        <is>
          <t>GSEM</t>
        </is>
      </c>
      <c r="B241" t="n">
        <v>627</v>
      </c>
      <c r="C241" t="inlineStr">
        <is>
          <t>Issues in Daniel &amp; Revelation</t>
        </is>
      </c>
      <c r="E241" t="inlineStr">
        <is>
          <t>GSEM627</t>
        </is>
      </c>
    </row>
    <row r="242">
      <c r="A242" t="inlineStr">
        <is>
          <t>CHMN</t>
        </is>
      </c>
      <c r="B242" t="n">
        <v>553</v>
      </c>
      <c r="C242" t="inlineStr">
        <is>
          <t>The Church &amp; Social Issues</t>
        </is>
      </c>
      <c r="E242" t="inlineStr">
        <is>
          <t>CHMN553</t>
        </is>
      </c>
    </row>
    <row r="243">
      <c r="A243" t="inlineStr">
        <is>
          <t>CHMN</t>
        </is>
      </c>
      <c r="B243" t="n">
        <v>683</v>
      </c>
      <c r="C243" t="inlineStr">
        <is>
          <t>The Pastor, Church &amp; Civil Law</t>
        </is>
      </c>
      <c r="E243" t="inlineStr">
        <is>
          <t>CHMN683</t>
        </is>
      </c>
    </row>
    <row r="244">
      <c r="A244" t="inlineStr">
        <is>
          <t>CHIS</t>
        </is>
      </c>
      <c r="B244" t="n">
        <v>686</v>
      </c>
      <c r="C244" t="inlineStr">
        <is>
          <t>Develop Prophetic Interpretatn</t>
        </is>
      </c>
      <c r="E244" t="inlineStr">
        <is>
          <t>CHIS686</t>
        </is>
      </c>
    </row>
    <row r="245">
      <c r="A245" t="inlineStr">
        <is>
          <t>OTST</t>
        </is>
      </c>
      <c r="B245" t="n">
        <v>639</v>
      </c>
      <c r="C245" t="inlineStr">
        <is>
          <t>Studies in OT Exegesis</t>
        </is>
      </c>
      <c r="E245" t="inlineStr">
        <is>
          <t>OTST639</t>
        </is>
      </c>
    </row>
    <row r="246">
      <c r="A246" t="inlineStr">
        <is>
          <t>CHIS</t>
        </is>
      </c>
      <c r="B246" t="n">
        <v>683</v>
      </c>
      <c r="C246" t="inlineStr">
        <is>
          <t>The Pastor, Church &amp; Civil Law</t>
        </is>
      </c>
      <c r="E246" t="inlineStr">
        <is>
          <t>CHIS683</t>
        </is>
      </c>
    </row>
    <row r="247">
      <c r="A247" t="inlineStr">
        <is>
          <t>NTST</t>
        </is>
      </c>
      <c r="B247" t="n">
        <v>550</v>
      </c>
      <c r="C247" t="inlineStr">
        <is>
          <t>Exegesis of the English NT:</t>
        </is>
      </c>
      <c r="E247" t="inlineStr">
        <is>
          <t>NTST550</t>
        </is>
      </c>
    </row>
    <row r="248">
      <c r="A248" t="inlineStr">
        <is>
          <t>ANEA</t>
        </is>
      </c>
      <c r="B248" t="n">
        <v>612</v>
      </c>
      <c r="C248" t="inlineStr">
        <is>
          <t>Ancient Near Eastern Lang</t>
        </is>
      </c>
      <c r="E248" t="inlineStr">
        <is>
          <t>ANEA612</t>
        </is>
      </c>
    </row>
    <row r="249">
      <c r="A249" t="inlineStr">
        <is>
          <t>DSRE</t>
        </is>
      </c>
      <c r="B249" t="n">
        <v>656</v>
      </c>
      <c r="C249" t="inlineStr">
        <is>
          <t>Counseling Youth &amp; Young Adult</t>
        </is>
      </c>
      <c r="E249" t="inlineStr">
        <is>
          <t>DSRE656</t>
        </is>
      </c>
    </row>
    <row r="250">
      <c r="A250" t="inlineStr">
        <is>
          <t>OTST</t>
        </is>
      </c>
      <c r="B250" t="n">
        <v>627</v>
      </c>
      <c r="C250" t="inlineStr">
        <is>
          <t>Jewish Life &amp; Thought</t>
        </is>
      </c>
      <c r="E250" t="inlineStr">
        <is>
          <t>OTST627</t>
        </is>
      </c>
    </row>
    <row r="251">
      <c r="A251" t="inlineStr">
        <is>
          <t>CHMN</t>
        </is>
      </c>
      <c r="B251" t="n">
        <v>536</v>
      </c>
      <c r="C251" t="inlineStr">
        <is>
          <t>Personal Evangelistic Ministry</t>
        </is>
      </c>
      <c r="E251" t="inlineStr">
        <is>
          <t>CHMN536</t>
        </is>
      </c>
    </row>
    <row r="252">
      <c r="A252" t="inlineStr">
        <is>
          <t>THST</t>
        </is>
      </c>
      <c r="B252" t="n">
        <v>676</v>
      </c>
      <c r="C252" t="inlineStr">
        <is>
          <t>History of Philosophy</t>
        </is>
      </c>
      <c r="E252" t="inlineStr">
        <is>
          <t>THST676</t>
        </is>
      </c>
    </row>
    <row r="253">
      <c r="A253" t="inlineStr">
        <is>
          <t>GSEM</t>
        </is>
      </c>
      <c r="B253" t="n">
        <v>511</v>
      </c>
      <c r="C253" t="inlineStr">
        <is>
          <t>Daniel &amp; Revelation</t>
        </is>
      </c>
      <c r="E253" t="inlineStr">
        <is>
          <t>GSEM511</t>
        </is>
      </c>
    </row>
    <row r="254">
      <c r="A254" t="inlineStr">
        <is>
          <t>NTST</t>
        </is>
      </c>
      <c r="B254" t="n">
        <v>920</v>
      </c>
      <c r="C254" t="inlineStr">
        <is>
          <t>Sem in NT Backgrnds</t>
        </is>
      </c>
      <c r="E254" t="inlineStr">
        <is>
          <t>NTST920</t>
        </is>
      </c>
    </row>
    <row r="255">
      <c r="A255" t="inlineStr">
        <is>
          <t>CHIS</t>
        </is>
      </c>
      <c r="B255" t="n">
        <v>660</v>
      </c>
      <c r="C255" t="inlineStr">
        <is>
          <t>Hist of Relg in America</t>
        </is>
      </c>
      <c r="E255" t="inlineStr">
        <is>
          <t>CHIS660</t>
        </is>
      </c>
    </row>
    <row r="256">
      <c r="A256" t="inlineStr">
        <is>
          <t>CHIS</t>
        </is>
      </c>
      <c r="B256" t="n">
        <v>507</v>
      </c>
      <c r="C256" t="inlineStr">
        <is>
          <t>Church History 1500 to Present</t>
        </is>
      </c>
      <c r="E256" t="inlineStr">
        <is>
          <t>CHIS507</t>
        </is>
      </c>
    </row>
    <row r="257">
      <c r="A257" t="inlineStr">
        <is>
          <t>NTST</t>
        </is>
      </c>
      <c r="B257" t="n">
        <v>509</v>
      </c>
      <c r="C257" t="inlineStr">
        <is>
          <t>Intro Exeg&amp;Theo 3:Pauline Writ</t>
        </is>
      </c>
      <c r="E257" t="inlineStr">
        <is>
          <t>NTST509</t>
        </is>
      </c>
    </row>
    <row r="258">
      <c r="A258" t="inlineStr">
        <is>
          <t>NTST</t>
        </is>
      </c>
      <c r="B258" t="n">
        <v>515</v>
      </c>
      <c r="C258" t="inlineStr">
        <is>
          <t>New Testament Backgrounds</t>
        </is>
      </c>
      <c r="E258" t="inlineStr">
        <is>
          <t>NTST515</t>
        </is>
      </c>
    </row>
    <row r="259">
      <c r="A259" t="inlineStr">
        <is>
          <t>ANEA</t>
        </is>
      </c>
      <c r="B259" t="n">
        <v>514</v>
      </c>
      <c r="C259" t="inlineStr">
        <is>
          <t>Bible Lands&amp; Their Exploration</t>
        </is>
      </c>
      <c r="E259" t="inlineStr">
        <is>
          <t>ANEA514</t>
        </is>
      </c>
    </row>
    <row r="260">
      <c r="A260" t="inlineStr">
        <is>
          <t>THST</t>
        </is>
      </c>
      <c r="B260" t="n">
        <v>625</v>
      </c>
      <c r="C260" t="inlineStr">
        <is>
          <t>Early Christian Theology</t>
        </is>
      </c>
      <c r="E260" t="inlineStr">
        <is>
          <t>THST625</t>
        </is>
      </c>
    </row>
    <row r="261">
      <c r="A261" t="inlineStr">
        <is>
          <t>DSRE</t>
        </is>
      </c>
      <c r="B261" t="n">
        <v>676</v>
      </c>
      <c r="C261" t="inlineStr">
        <is>
          <t>Top:</t>
        </is>
      </c>
      <c r="D261" t="inlineStr">
        <is>
          <t>Topics:Families in Society</t>
        </is>
      </c>
      <c r="E261" t="inlineStr">
        <is>
          <t>DSRE676</t>
        </is>
      </c>
    </row>
    <row r="262">
      <c r="A262" t="inlineStr">
        <is>
          <t>THST</t>
        </is>
      </c>
      <c r="B262" t="n">
        <v>608</v>
      </c>
      <c r="C262" t="inlineStr">
        <is>
          <t>Grt Controversy, Cov, Law, Sab</t>
        </is>
      </c>
      <c r="E262" t="inlineStr">
        <is>
          <t>THST608</t>
        </is>
      </c>
    </row>
    <row r="263">
      <c r="A263" t="inlineStr">
        <is>
          <t>DSRE</t>
        </is>
      </c>
      <c r="B263" t="n">
        <v>676</v>
      </c>
      <c r="C263" t="inlineStr">
        <is>
          <t>Top:</t>
        </is>
      </c>
      <c r="D263" t="inlineStr">
        <is>
          <t>Topics:Research Methods</t>
        </is>
      </c>
      <c r="E263" t="inlineStr">
        <is>
          <t>DSRE676</t>
        </is>
      </c>
    </row>
    <row r="264">
      <c r="A264" t="inlineStr">
        <is>
          <t>GSEM</t>
        </is>
      </c>
      <c r="B264" t="n">
        <v>510</v>
      </c>
      <c r="C264" t="inlineStr">
        <is>
          <t>Rev, Inspir &amp; Herm</t>
        </is>
      </c>
      <c r="E264" t="inlineStr">
        <is>
          <t>GSEM510</t>
        </is>
      </c>
    </row>
    <row r="265">
      <c r="A265" t="inlineStr">
        <is>
          <t>NTST</t>
        </is>
      </c>
      <c r="B265" t="n">
        <v>606</v>
      </c>
      <c r="C265" t="inlineStr">
        <is>
          <t>NT Textl Criticism&amp;Canon Form</t>
        </is>
      </c>
      <c r="E265" t="inlineStr">
        <is>
          <t>NTST606</t>
        </is>
      </c>
    </row>
    <row r="266">
      <c r="A266" t="inlineStr">
        <is>
          <t>THST</t>
        </is>
      </c>
      <c r="B266" t="n">
        <v>637</v>
      </c>
      <c r="C266" t="inlineStr">
        <is>
          <t>Biblical Eschatology</t>
        </is>
      </c>
      <c r="E266" t="inlineStr">
        <is>
          <t>THST637</t>
        </is>
      </c>
    </row>
    <row r="267">
      <c r="A267" t="inlineStr">
        <is>
          <t>NTST</t>
        </is>
      </c>
      <c r="B267" t="n">
        <v>940</v>
      </c>
      <c r="C267" t="inlineStr">
        <is>
          <t>Sem in NT Exegesis &amp; Hermn:</t>
        </is>
      </c>
      <c r="D267" t="inlineStr">
        <is>
          <t>Sem NT Exgsis &amp; Hermn:1&amp;2 Tim</t>
        </is>
      </c>
      <c r="E267" t="inlineStr">
        <is>
          <t>NTST940</t>
        </is>
      </c>
    </row>
    <row r="268">
      <c r="A268" t="inlineStr">
        <is>
          <t>NTST</t>
        </is>
      </c>
      <c r="B268" t="n">
        <v>945</v>
      </c>
      <c r="C268" t="inlineStr">
        <is>
          <t>Sem in Biblical Theology</t>
        </is>
      </c>
      <c r="D268" t="inlineStr">
        <is>
          <t>Sem in Biblcl Theo:Eschatology</t>
        </is>
      </c>
      <c r="E268" t="inlineStr">
        <is>
          <t>NTST945</t>
        </is>
      </c>
    </row>
    <row r="269">
      <c r="A269" t="inlineStr">
        <is>
          <t>CHIS</t>
        </is>
      </c>
      <c r="B269" t="n">
        <v>940</v>
      </c>
      <c r="C269" t="inlineStr">
        <is>
          <t>Seminar in Church History:</t>
        </is>
      </c>
      <c r="E269" t="inlineStr">
        <is>
          <t>CHIS940</t>
        </is>
      </c>
    </row>
    <row r="270">
      <c r="A270" t="inlineStr">
        <is>
          <t>NTST</t>
        </is>
      </c>
      <c r="B270" t="n">
        <v>940</v>
      </c>
      <c r="C270" t="inlineStr">
        <is>
          <t>Sem in NT Exegesis &amp; Hermn:</t>
        </is>
      </c>
      <c r="D270" t="inlineStr">
        <is>
          <t>Sem NT Exgsis &amp; Hrmn:Galatians</t>
        </is>
      </c>
      <c r="E270" t="inlineStr">
        <is>
          <t>NTST940</t>
        </is>
      </c>
    </row>
    <row r="271">
      <c r="A271" t="inlineStr">
        <is>
          <t>NTST</t>
        </is>
      </c>
      <c r="B271" t="n">
        <v>920</v>
      </c>
      <c r="C271" t="inlineStr">
        <is>
          <t>Sem in NT Backgrnds</t>
        </is>
      </c>
      <c r="D271" t="inlineStr">
        <is>
          <t>Sem NT Backgrnds:Greco Rom Rel</t>
        </is>
      </c>
      <c r="E271" t="inlineStr">
        <is>
          <t>NTST920</t>
        </is>
      </c>
    </row>
    <row r="272">
      <c r="A272" t="inlineStr">
        <is>
          <t>OTST</t>
        </is>
      </c>
      <c r="B272" t="n">
        <v>658</v>
      </c>
      <c r="C272" t="inlineStr">
        <is>
          <t>Sem Ancient Near Est Lang:</t>
        </is>
      </c>
      <c r="E272" t="inlineStr">
        <is>
          <t>OTST658</t>
        </is>
      </c>
    </row>
    <row r="273">
      <c r="A273" t="inlineStr">
        <is>
          <t>CHMN</t>
        </is>
      </c>
      <c r="B273" t="n">
        <v>662</v>
      </c>
      <c r="C273" t="inlineStr">
        <is>
          <t>Field Evangelistic Preach Prac</t>
        </is>
      </c>
      <c r="E273" t="inlineStr">
        <is>
          <t>CHMN662</t>
        </is>
      </c>
    </row>
    <row r="274">
      <c r="A274" t="inlineStr">
        <is>
          <t>OTST</t>
        </is>
      </c>
      <c r="B274" t="n">
        <v>674</v>
      </c>
      <c r="C274" t="inlineStr">
        <is>
          <t>Daniel</t>
        </is>
      </c>
      <c r="E274" t="inlineStr">
        <is>
          <t>OTST674</t>
        </is>
      </c>
    </row>
    <row r="275">
      <c r="A275" t="inlineStr">
        <is>
          <t>DSRE</t>
        </is>
      </c>
      <c r="B275" t="n">
        <v>679</v>
      </c>
      <c r="C275" t="inlineStr">
        <is>
          <t>Parenting Educ &amp; Guidance</t>
        </is>
      </c>
      <c r="E275" t="inlineStr">
        <is>
          <t>DSRE679</t>
        </is>
      </c>
    </row>
    <row r="276">
      <c r="A276" t="inlineStr">
        <is>
          <t>GSEM</t>
        </is>
      </c>
      <c r="B276" t="n">
        <v>648</v>
      </c>
      <c r="C276" t="inlineStr">
        <is>
          <t>Workshop</t>
        </is>
      </c>
      <c r="D276" t="inlineStr">
        <is>
          <t>Wkshp:Health Min. in Chng Wld</t>
        </is>
      </c>
      <c r="E276" t="inlineStr">
        <is>
          <t>GSEM648</t>
        </is>
      </c>
    </row>
    <row r="277">
      <c r="A277" t="inlineStr">
        <is>
          <t>CHMN</t>
        </is>
      </c>
      <c r="B277" t="n">
        <v>588</v>
      </c>
      <c r="C277" t="inlineStr">
        <is>
          <t>Seminary Chorus</t>
        </is>
      </c>
      <c r="E277" t="inlineStr">
        <is>
          <t>CHMN588</t>
        </is>
      </c>
    </row>
    <row r="278">
      <c r="A278" t="inlineStr">
        <is>
          <t>CHMN</t>
        </is>
      </c>
      <c r="B278" t="n">
        <v>627</v>
      </c>
      <c r="C278" t="inlineStr">
        <is>
          <t>Black Preaching</t>
        </is>
      </c>
      <c r="E278" t="inlineStr">
        <is>
          <t>CHMN627</t>
        </is>
      </c>
    </row>
    <row r="279">
      <c r="A279" t="inlineStr">
        <is>
          <t>NTST</t>
        </is>
      </c>
      <c r="B279" t="n">
        <v>644</v>
      </c>
      <c r="C279" t="inlineStr">
        <is>
          <t>Readings in the Septuagint</t>
        </is>
      </c>
      <c r="E279" t="inlineStr">
        <is>
          <t>NTST644</t>
        </is>
      </c>
    </row>
    <row r="280">
      <c r="A280" t="inlineStr">
        <is>
          <t>THST</t>
        </is>
      </c>
      <c r="B280" t="n">
        <v>629</v>
      </c>
      <c r="C280" t="inlineStr">
        <is>
          <t>History&amp;Theology of Ecumenism</t>
        </is>
      </c>
      <c r="E280" t="inlineStr">
        <is>
          <t>THST629</t>
        </is>
      </c>
    </row>
    <row r="281">
      <c r="A281" t="inlineStr">
        <is>
          <t>GSEM</t>
        </is>
      </c>
      <c r="B281" t="n">
        <v>525</v>
      </c>
      <c r="C281" t="inlineStr">
        <is>
          <t>The Bible and Biblical History</t>
        </is>
      </c>
      <c r="E281" t="inlineStr">
        <is>
          <t>GSEM525</t>
        </is>
      </c>
    </row>
    <row r="282">
      <c r="A282" t="inlineStr">
        <is>
          <t>GSEM</t>
        </is>
      </c>
      <c r="B282" t="n">
        <v>860</v>
      </c>
      <c r="C282" t="inlineStr">
        <is>
          <t>Teaching Religion in College</t>
        </is>
      </c>
      <c r="E282" t="inlineStr">
        <is>
          <t>GSEM860</t>
        </is>
      </c>
    </row>
    <row r="283">
      <c r="A283" t="inlineStr">
        <is>
          <t>DSRE</t>
        </is>
      </c>
      <c r="B283" t="n">
        <v>626</v>
      </c>
      <c r="C283" t="inlineStr">
        <is>
          <t>Ministry to At-Risk Youth</t>
        </is>
      </c>
      <c r="E283" t="inlineStr">
        <is>
          <t>DSRE626</t>
        </is>
      </c>
    </row>
    <row r="284">
      <c r="A284" t="inlineStr">
        <is>
          <t>DSRE</t>
        </is>
      </c>
      <c r="B284" t="n">
        <v>636</v>
      </c>
      <c r="C284" t="inlineStr">
        <is>
          <t>Seminar in Youth Ministry</t>
        </is>
      </c>
      <c r="E284" t="inlineStr">
        <is>
          <t>DSRE636</t>
        </is>
      </c>
    </row>
    <row r="285">
      <c r="A285" t="inlineStr">
        <is>
          <t>CHMN</t>
        </is>
      </c>
      <c r="B285" t="n">
        <v>614</v>
      </c>
      <c r="C285" t="inlineStr">
        <is>
          <t>Preaching frm Daniel or Rev</t>
        </is>
      </c>
      <c r="E285" t="inlineStr">
        <is>
          <t>CHMN614</t>
        </is>
      </c>
    </row>
    <row r="286">
      <c r="A286" t="inlineStr">
        <is>
          <t>OTST</t>
        </is>
      </c>
      <c r="B286" t="n">
        <v>625</v>
      </c>
      <c r="C286" t="inlineStr">
        <is>
          <t>Biblical Hebrew III</t>
        </is>
      </c>
      <c r="E286" t="inlineStr">
        <is>
          <t>OTST625</t>
        </is>
      </c>
    </row>
    <row r="287">
      <c r="A287" t="inlineStr">
        <is>
          <t>CHMN</t>
        </is>
      </c>
      <c r="B287" t="n">
        <v>600</v>
      </c>
      <c r="C287" t="inlineStr">
        <is>
          <t>Preaching from the New Testmnt</t>
        </is>
      </c>
      <c r="E287" t="inlineStr">
        <is>
          <t>CHMN600</t>
        </is>
      </c>
    </row>
    <row r="288">
      <c r="A288" t="inlineStr">
        <is>
          <t>CHIS</t>
        </is>
      </c>
      <c r="B288" t="n">
        <v>665</v>
      </c>
      <c r="C288" t="inlineStr">
        <is>
          <t>Modern Church History</t>
        </is>
      </c>
      <c r="E288" t="inlineStr">
        <is>
          <t>CHIS665</t>
        </is>
      </c>
    </row>
    <row r="289">
      <c r="A289" t="inlineStr">
        <is>
          <t>CHIS</t>
        </is>
      </c>
      <c r="B289" t="n">
        <v>640</v>
      </c>
      <c r="C289" t="inlineStr">
        <is>
          <t>Reformation:</t>
        </is>
      </c>
      <c r="E289" t="inlineStr">
        <is>
          <t>CHIS640</t>
        </is>
      </c>
    </row>
    <row r="290">
      <c r="A290" t="inlineStr">
        <is>
          <t>OTST</t>
        </is>
      </c>
      <c r="B290" t="n">
        <v>565</v>
      </c>
      <c r="C290" t="inlineStr">
        <is>
          <t>Survey of the Pentateuch</t>
        </is>
      </c>
      <c r="E290" t="inlineStr">
        <is>
          <t>OTST565</t>
        </is>
      </c>
    </row>
    <row r="291">
      <c r="A291" t="inlineStr">
        <is>
          <t>NTST</t>
        </is>
      </c>
      <c r="B291" t="n">
        <v>658</v>
      </c>
      <c r="C291" t="inlineStr">
        <is>
          <t>Adv Studies Pauline Wrtg:</t>
        </is>
      </c>
      <c r="E291" t="inlineStr">
        <is>
          <t>NTST658</t>
        </is>
      </c>
    </row>
    <row r="292">
      <c r="A292" t="inlineStr">
        <is>
          <t>NTST</t>
        </is>
      </c>
      <c r="B292" t="n">
        <v>647</v>
      </c>
      <c r="C292" t="inlineStr">
        <is>
          <t>Eschatology</t>
        </is>
      </c>
      <c r="E292" t="inlineStr">
        <is>
          <t>NTST647</t>
        </is>
      </c>
    </row>
    <row r="293">
      <c r="A293" t="inlineStr">
        <is>
          <t>NTST</t>
        </is>
      </c>
      <c r="B293" t="n">
        <v>510</v>
      </c>
      <c r="C293" t="inlineStr">
        <is>
          <t>Intro Exeg&amp;Theo 1:Gospels</t>
        </is>
      </c>
      <c r="E293" t="inlineStr">
        <is>
          <t>NTST510</t>
        </is>
      </c>
    </row>
    <row r="294">
      <c r="A294" t="inlineStr">
        <is>
          <t>CHMN</t>
        </is>
      </c>
      <c r="B294" t="n">
        <v>644</v>
      </c>
      <c r="C294" t="inlineStr">
        <is>
          <t>Field Evangelism: Chaplaincy</t>
        </is>
      </c>
      <c r="E294" t="inlineStr">
        <is>
          <t>CHMN644</t>
        </is>
      </c>
    </row>
    <row r="295">
      <c r="A295" t="inlineStr">
        <is>
          <t>CHMN</t>
        </is>
      </c>
      <c r="B295" t="n">
        <v>665</v>
      </c>
      <c r="C295" t="inlineStr">
        <is>
          <t>Adv Pastoral Counseling</t>
        </is>
      </c>
      <c r="E295" t="inlineStr">
        <is>
          <t>CHMN665</t>
        </is>
      </c>
    </row>
    <row r="296">
      <c r="A296" t="inlineStr">
        <is>
          <t>CHMN</t>
        </is>
      </c>
      <c r="B296" t="n">
        <v>562</v>
      </c>
      <c r="C296" t="inlineStr">
        <is>
          <t>Field Evangelism</t>
        </is>
      </c>
      <c r="E296" t="inlineStr">
        <is>
          <t>CHMN562</t>
        </is>
      </c>
    </row>
    <row r="297">
      <c r="A297" t="inlineStr">
        <is>
          <t>NTST</t>
        </is>
      </c>
      <c r="B297" t="n">
        <v>940</v>
      </c>
      <c r="C297" t="inlineStr">
        <is>
          <t>Sem in NT Exegesis &amp; Hermn:</t>
        </is>
      </c>
      <c r="E297" t="inlineStr">
        <is>
          <t>NTST940</t>
        </is>
      </c>
    </row>
    <row r="298">
      <c r="A298" t="inlineStr">
        <is>
          <t>THST</t>
        </is>
      </c>
      <c r="B298" t="n">
        <v>964</v>
      </c>
      <c r="C298" t="inlineStr">
        <is>
          <t>Sem in Historical Theology:</t>
        </is>
      </c>
      <c r="E298" t="inlineStr">
        <is>
          <t>THST964</t>
        </is>
      </c>
    </row>
    <row r="299">
      <c r="A299" t="inlineStr">
        <is>
          <t>DSRE</t>
        </is>
      </c>
      <c r="B299" t="n">
        <v>605</v>
      </c>
      <c r="C299" t="inlineStr">
        <is>
          <t>Foundations in Religious Educ</t>
        </is>
      </c>
      <c r="E299" t="inlineStr">
        <is>
          <t>DSRE605</t>
        </is>
      </c>
    </row>
    <row r="300">
      <c r="A300" t="inlineStr">
        <is>
          <t>NTST</t>
        </is>
      </c>
      <c r="B300" t="n">
        <v>689</v>
      </c>
      <c r="C300" t="inlineStr">
        <is>
          <t>Sem in NT Backgrnds</t>
        </is>
      </c>
      <c r="D300" t="inlineStr">
        <is>
          <t>Sem NT Backgrnds:Greek &amp; Roman</t>
        </is>
      </c>
      <c r="E300" t="inlineStr">
        <is>
          <t>NTST689</t>
        </is>
      </c>
    </row>
    <row r="301">
      <c r="A301" t="inlineStr">
        <is>
          <t>MSSN</t>
        </is>
      </c>
      <c r="B301" t="n">
        <v>827</v>
      </c>
      <c r="C301" t="inlineStr">
        <is>
          <t>Sem History of Mission</t>
        </is>
      </c>
      <c r="E301" t="inlineStr">
        <is>
          <t>MSSN827</t>
        </is>
      </c>
    </row>
    <row r="302">
      <c r="A302" t="inlineStr">
        <is>
          <t>NTST</t>
        </is>
      </c>
      <c r="B302" t="n">
        <v>613</v>
      </c>
      <c r="C302" t="inlineStr">
        <is>
          <t>Love, Marriage and Divorce</t>
        </is>
      </c>
      <c r="E302" t="inlineStr">
        <is>
          <t>NTST613</t>
        </is>
      </c>
    </row>
    <row r="303">
      <c r="A303" t="inlineStr">
        <is>
          <t>DSRE</t>
        </is>
      </c>
      <c r="B303" t="n">
        <v>659</v>
      </c>
      <c r="C303" t="inlineStr">
        <is>
          <t>Human Sexuality</t>
        </is>
      </c>
      <c r="E303" t="inlineStr">
        <is>
          <t>DSRE659</t>
        </is>
      </c>
    </row>
    <row r="304">
      <c r="A304" t="inlineStr">
        <is>
          <t>CHMN</t>
        </is>
      </c>
      <c r="B304" t="n">
        <v>633</v>
      </c>
      <c r="C304" t="inlineStr">
        <is>
          <t>Prch Literary Forms of Bible</t>
        </is>
      </c>
      <c r="E304" t="inlineStr">
        <is>
          <t>CHMN633</t>
        </is>
      </c>
    </row>
    <row r="305">
      <c r="A305" t="inlineStr">
        <is>
          <t>NTST</t>
        </is>
      </c>
      <c r="B305" t="n">
        <v>668</v>
      </c>
      <c r="C305" t="inlineStr">
        <is>
          <t>New Testament Ethics</t>
        </is>
      </c>
      <c r="E305" t="inlineStr">
        <is>
          <t>NTST668</t>
        </is>
      </c>
    </row>
    <row r="306">
      <c r="A306" t="inlineStr">
        <is>
          <t>NTST</t>
        </is>
      </c>
      <c r="B306" t="n">
        <v>608</v>
      </c>
      <c r="C306" t="inlineStr">
        <is>
          <t>Adv Greek Grammar &amp; Syntax</t>
        </is>
      </c>
      <c r="E306" t="inlineStr">
        <is>
          <t>NTST608</t>
        </is>
      </c>
    </row>
    <row r="307">
      <c r="A307" t="inlineStr">
        <is>
          <t>THST</t>
        </is>
      </c>
      <c r="B307" t="n">
        <v>628</v>
      </c>
      <c r="C307" t="inlineStr">
        <is>
          <t>Contemporary Theology</t>
        </is>
      </c>
      <c r="E307" t="inlineStr">
        <is>
          <t>THST628</t>
        </is>
      </c>
    </row>
    <row r="308">
      <c r="A308" t="inlineStr">
        <is>
          <t>NTST</t>
        </is>
      </c>
      <c r="B308" t="n">
        <v>615</v>
      </c>
      <c r="C308" t="inlineStr">
        <is>
          <t>New Testament Archaeology</t>
        </is>
      </c>
      <c r="E308" t="inlineStr">
        <is>
          <t>NTST615</t>
        </is>
      </c>
    </row>
    <row r="309">
      <c r="A309" t="inlineStr">
        <is>
          <t>THST</t>
        </is>
      </c>
      <c r="B309" t="n">
        <v>644</v>
      </c>
      <c r="C309" t="inlineStr">
        <is>
          <t>Theological Ethics</t>
        </is>
      </c>
      <c r="E309" t="inlineStr">
        <is>
          <t>THST644</t>
        </is>
      </c>
    </row>
    <row r="310">
      <c r="A310" t="inlineStr">
        <is>
          <t>GSEM</t>
        </is>
      </c>
      <c r="B310" t="n">
        <v>844</v>
      </c>
      <c r="C310" t="inlineStr">
        <is>
          <t>PhD-ThD Diss Prop Prep</t>
        </is>
      </c>
      <c r="D310" t="inlineStr">
        <is>
          <t>PhD-ThD Diss Prop Prep</t>
        </is>
      </c>
      <c r="E310" t="inlineStr">
        <is>
          <t>GSEM844</t>
        </is>
      </c>
    </row>
    <row r="311">
      <c r="A311" t="inlineStr">
        <is>
          <t>GSEM</t>
        </is>
      </c>
      <c r="B311" t="n">
        <v>880</v>
      </c>
      <c r="C311" t="inlineStr">
        <is>
          <t>Prep for Comprehensive Exams</t>
        </is>
      </c>
      <c r="D311" t="inlineStr">
        <is>
          <t>Prep for Comprehensive Exams</t>
        </is>
      </c>
      <c r="E311" t="inlineStr">
        <is>
          <t>GSEM880</t>
        </is>
      </c>
    </row>
    <row r="312">
      <c r="A312" t="inlineStr">
        <is>
          <t>GSEM</t>
        </is>
      </c>
      <c r="B312" t="n">
        <v>888</v>
      </c>
      <c r="C312" t="inlineStr">
        <is>
          <t>Doctoral Degr Continuation</t>
        </is>
      </c>
      <c r="D312" t="inlineStr">
        <is>
          <t>Doctoral Degr Continuation</t>
        </is>
      </c>
      <c r="E312" t="inlineStr">
        <is>
          <t>GSEM888</t>
        </is>
      </c>
    </row>
    <row r="313">
      <c r="A313" t="inlineStr">
        <is>
          <t>GSEM</t>
        </is>
      </c>
      <c r="B313" t="n">
        <v>995</v>
      </c>
      <c r="C313" t="inlineStr">
        <is>
          <t>PhD-ThD Dissertation</t>
        </is>
      </c>
      <c r="D313" t="inlineStr">
        <is>
          <t>PhD-ThD Dissertation</t>
        </is>
      </c>
      <c r="E313" t="inlineStr">
        <is>
          <t>GSEM995</t>
        </is>
      </c>
    </row>
    <row r="314">
      <c r="A314" t="inlineStr">
        <is>
          <t>NTST</t>
        </is>
      </c>
      <c r="B314" t="n">
        <v>645</v>
      </c>
      <c r="C314" t="inlineStr">
        <is>
          <t>Hebrews</t>
        </is>
      </c>
      <c r="E314" t="inlineStr">
        <is>
          <t>NTST645</t>
        </is>
      </c>
    </row>
    <row r="315">
      <c r="A315" t="inlineStr">
        <is>
          <t>NTST</t>
        </is>
      </c>
      <c r="B315" t="n">
        <v>667</v>
      </c>
      <c r="C315" t="inlineStr">
        <is>
          <t>Top in New Testmnt Theo:</t>
        </is>
      </c>
      <c r="D315" t="inlineStr">
        <is>
          <t>Top NT Theo:Dscp Synoptic Gosp</t>
        </is>
      </c>
      <c r="E315" t="inlineStr">
        <is>
          <t>NTST667</t>
        </is>
      </c>
    </row>
    <row r="316">
      <c r="A316" t="inlineStr">
        <is>
          <t>NTST</t>
        </is>
      </c>
      <c r="B316" t="n">
        <v>655</v>
      </c>
      <c r="C316" t="inlineStr">
        <is>
          <t>Adv Studies Gospels:</t>
        </is>
      </c>
      <c r="D316" t="inlineStr">
        <is>
          <t>Adv Studies Gospels:Matthew</t>
        </is>
      </c>
      <c r="E316" t="inlineStr">
        <is>
          <t>NTST655</t>
        </is>
      </c>
    </row>
    <row r="317">
      <c r="A317" t="inlineStr">
        <is>
          <t>GSEM</t>
        </is>
      </c>
      <c r="B317" t="n">
        <v>698</v>
      </c>
      <c r="C317" t="inlineStr">
        <is>
          <t>Master of Divinity Thesis</t>
        </is>
      </c>
      <c r="D317" t="inlineStr">
        <is>
          <t>Master of Divinity Thesis</t>
        </is>
      </c>
      <c r="E317" t="inlineStr">
        <is>
          <t>GSEM698</t>
        </is>
      </c>
    </row>
    <row r="318">
      <c r="A318" t="inlineStr">
        <is>
          <t>THST</t>
        </is>
      </c>
      <c r="B318" t="n">
        <v>940</v>
      </c>
      <c r="C318" t="inlineStr">
        <is>
          <t>Sem in Systematic Theology:</t>
        </is>
      </c>
      <c r="E318" t="inlineStr">
        <is>
          <t>THST940</t>
        </is>
      </c>
    </row>
    <row r="319">
      <c r="A319" t="inlineStr">
        <is>
          <t>NTST</t>
        </is>
      </c>
      <c r="B319" t="n">
        <v>689</v>
      </c>
      <c r="C319" t="inlineStr">
        <is>
          <t>Sem in NT Backgrnds</t>
        </is>
      </c>
      <c r="E319" t="inlineStr">
        <is>
          <t>NTST689</t>
        </is>
      </c>
    </row>
    <row r="320">
      <c r="A320" t="inlineStr">
        <is>
          <t>CHIS</t>
        </is>
      </c>
      <c r="B320" t="n">
        <v>686</v>
      </c>
      <c r="C320" t="inlineStr">
        <is>
          <t>Develop Prophetic Interpretatn</t>
        </is>
      </c>
      <c r="D320" t="inlineStr">
        <is>
          <t>Develop Prophetic Interpretatn</t>
        </is>
      </c>
      <c r="E320" t="inlineStr">
        <is>
          <t>CHIS686</t>
        </is>
      </c>
    </row>
    <row r="321">
      <c r="A321" t="inlineStr">
        <is>
          <t>NTST</t>
        </is>
      </c>
      <c r="B321" t="n">
        <v>945</v>
      </c>
      <c r="C321" t="inlineStr">
        <is>
          <t>Sem in Biblical Theology</t>
        </is>
      </c>
      <c r="E321" t="inlineStr">
        <is>
          <t>NTST945</t>
        </is>
      </c>
    </row>
    <row r="322">
      <c r="A322" t="inlineStr">
        <is>
          <t>THST</t>
        </is>
      </c>
      <c r="B322" t="n">
        <v>624</v>
      </c>
      <c r="C322" t="inlineStr">
        <is>
          <t>Protestant Theologicl Heritage</t>
        </is>
      </c>
      <c r="D322" t="inlineStr">
        <is>
          <t>Protestant Theologicl Heritage</t>
        </is>
      </c>
      <c r="E322" t="inlineStr">
        <is>
          <t>THST624</t>
        </is>
      </c>
    </row>
    <row r="323">
      <c r="A323" t="inlineStr">
        <is>
          <t>CHIS</t>
        </is>
      </c>
      <c r="B323" t="n">
        <v>674</v>
      </c>
      <c r="C323" t="inlineStr">
        <is>
          <t>Development SDA Theology</t>
        </is>
      </c>
      <c r="D323" t="inlineStr">
        <is>
          <t>Development SDA Theology</t>
        </is>
      </c>
      <c r="E323" t="inlineStr">
        <is>
          <t>CHIS674</t>
        </is>
      </c>
    </row>
    <row r="324">
      <c r="A324" t="inlineStr">
        <is>
          <t>CHMN</t>
        </is>
      </c>
      <c r="B324" t="n">
        <v>536</v>
      </c>
      <c r="C324" t="inlineStr">
        <is>
          <t>Personal Evangelistic Ministry</t>
        </is>
      </c>
      <c r="D324" t="inlineStr">
        <is>
          <t>Personal Evangelistic Ministry</t>
        </is>
      </c>
      <c r="E324" t="inlineStr">
        <is>
          <t>CHMN536</t>
        </is>
      </c>
    </row>
    <row r="325">
      <c r="A325" t="inlineStr">
        <is>
          <t>THST</t>
        </is>
      </c>
      <c r="B325" t="n">
        <v>510</v>
      </c>
      <c r="C325" t="inlineStr">
        <is>
          <t>Understanding Christian World</t>
        </is>
      </c>
      <c r="D325" t="inlineStr">
        <is>
          <t>Understanding Christian World</t>
        </is>
      </c>
      <c r="E325" t="inlineStr">
        <is>
          <t>THST510</t>
        </is>
      </c>
    </row>
    <row r="326">
      <c r="A326" t="inlineStr">
        <is>
          <t>THST</t>
        </is>
      </c>
      <c r="B326" t="n">
        <v>540</v>
      </c>
      <c r="C326" t="inlineStr">
        <is>
          <t>Doctrine of Salvation</t>
        </is>
      </c>
      <c r="D326" t="inlineStr">
        <is>
          <t>Doctrine of Salvation</t>
        </is>
      </c>
      <c r="E326" t="inlineStr">
        <is>
          <t>THST540</t>
        </is>
      </c>
    </row>
    <row r="327">
      <c r="A327" t="inlineStr">
        <is>
          <t>CHIS</t>
        </is>
      </c>
      <c r="B327" t="n">
        <v>660</v>
      </c>
      <c r="C327" t="inlineStr">
        <is>
          <t>Hist of Relg in America</t>
        </is>
      </c>
      <c r="D327" t="inlineStr">
        <is>
          <t>Hist of Relg in America</t>
        </is>
      </c>
      <c r="E327" t="inlineStr">
        <is>
          <t>CHIS660</t>
        </is>
      </c>
    </row>
    <row r="328">
      <c r="A328" t="inlineStr">
        <is>
          <t>THST</t>
        </is>
      </c>
      <c r="B328" t="n">
        <v>617</v>
      </c>
      <c r="C328" t="inlineStr">
        <is>
          <t>The Works of God</t>
        </is>
      </c>
      <c r="E328" t="inlineStr">
        <is>
          <t>THST617</t>
        </is>
      </c>
    </row>
    <row r="329">
      <c r="A329" t="inlineStr">
        <is>
          <t>NTST</t>
        </is>
      </c>
      <c r="B329" t="n">
        <v>667</v>
      </c>
      <c r="C329" t="inlineStr">
        <is>
          <t>Top in New Testmnt Theo:</t>
        </is>
      </c>
      <c r="D329" t="inlineStr">
        <is>
          <t>Top NT Theo:NT New Covenants</t>
        </is>
      </c>
      <c r="E329" t="inlineStr">
        <is>
          <t>NTST667</t>
        </is>
      </c>
    </row>
    <row r="330">
      <c r="A330" t="inlineStr">
        <is>
          <t>GSEM</t>
        </is>
      </c>
      <c r="B330" t="n">
        <v>626</v>
      </c>
      <c r="C330" t="inlineStr">
        <is>
          <t>Contemp Adv Theol Issues</t>
        </is>
      </c>
      <c r="D330" t="inlineStr">
        <is>
          <t>Contemp Adventst Theolgcl Iss</t>
        </is>
      </c>
      <c r="E330" t="inlineStr">
        <is>
          <t>GSEM626</t>
        </is>
      </c>
    </row>
    <row r="331">
      <c r="A331" t="inlineStr">
        <is>
          <t>THST</t>
        </is>
      </c>
      <c r="B331" t="n">
        <v>550</v>
      </c>
      <c r="C331" t="inlineStr">
        <is>
          <t>Principles of Christian Ethics</t>
        </is>
      </c>
      <c r="D331" t="inlineStr">
        <is>
          <t>Principles of Christian Ethics</t>
        </is>
      </c>
      <c r="E331" t="inlineStr">
        <is>
          <t>THST550</t>
        </is>
      </c>
    </row>
    <row r="332">
      <c r="A332" t="inlineStr">
        <is>
          <t>OTST</t>
        </is>
      </c>
      <c r="B332" t="n">
        <v>686</v>
      </c>
      <c r="C332" t="inlineStr">
        <is>
          <t>Major Prophets:</t>
        </is>
      </c>
      <c r="E332" t="inlineStr">
        <is>
          <t>OTST686</t>
        </is>
      </c>
    </row>
    <row r="333">
      <c r="A333" t="inlineStr">
        <is>
          <t>THST</t>
        </is>
      </c>
      <c r="B333" t="n">
        <v>809</v>
      </c>
      <c r="C333" t="inlineStr">
        <is>
          <t>Theology of E. G. White</t>
        </is>
      </c>
      <c r="D333" t="inlineStr">
        <is>
          <t>Theology of E. G. White</t>
        </is>
      </c>
      <c r="E333" t="inlineStr">
        <is>
          <t>THST809</t>
        </is>
      </c>
    </row>
    <row r="334">
      <c r="A334" t="inlineStr">
        <is>
          <t>CHMN</t>
        </is>
      </c>
      <c r="B334" t="n">
        <v>505</v>
      </c>
      <c r="C334" t="inlineStr">
        <is>
          <t>Biblical Preaching</t>
        </is>
      </c>
      <c r="D334" t="inlineStr">
        <is>
          <t>Biblical Preaching</t>
        </is>
      </c>
      <c r="E334" t="inlineStr">
        <is>
          <t>CHMN505</t>
        </is>
      </c>
    </row>
    <row r="335">
      <c r="A335" t="inlineStr">
        <is>
          <t>OTST</t>
        </is>
      </c>
      <c r="B335" t="n">
        <v>940</v>
      </c>
      <c r="C335" t="inlineStr">
        <is>
          <t>Sem Adv OT Exegesis</t>
        </is>
      </c>
      <c r="D335" t="inlineStr">
        <is>
          <t>Sem Adv OT Exegesis</t>
        </is>
      </c>
      <c r="E335" t="inlineStr">
        <is>
          <t>OTST940</t>
        </is>
      </c>
    </row>
    <row r="336">
      <c r="A336" t="inlineStr">
        <is>
          <t>THST</t>
        </is>
      </c>
      <c r="B336" t="n">
        <v>695</v>
      </c>
      <c r="C336" t="inlineStr">
        <is>
          <t>Top:</t>
        </is>
      </c>
      <c r="D336" t="inlineStr">
        <is>
          <t>Top: Theology of E.G. White</t>
        </is>
      </c>
      <c r="E336" t="inlineStr">
        <is>
          <t>THST695</t>
        </is>
      </c>
    </row>
    <row r="337">
      <c r="A337" t="inlineStr">
        <is>
          <t>CHMN</t>
        </is>
      </c>
      <c r="B337" t="n">
        <v>656</v>
      </c>
      <c r="C337" t="inlineStr">
        <is>
          <t>Evang Small Groups</t>
        </is>
      </c>
      <c r="D337" t="inlineStr">
        <is>
          <t>Holistic Small Groups</t>
        </is>
      </c>
      <c r="E337" t="inlineStr">
        <is>
          <t>CHMN656</t>
        </is>
      </c>
    </row>
    <row r="338">
      <c r="A338" t="inlineStr">
        <is>
          <t>CHMN</t>
        </is>
      </c>
      <c r="B338" t="n">
        <v>614</v>
      </c>
      <c r="C338" t="inlineStr">
        <is>
          <t>Preaching frm Daniel or Rev</t>
        </is>
      </c>
      <c r="D338" t="inlineStr">
        <is>
          <t>Preaching from Daniel</t>
        </is>
      </c>
      <c r="E338" t="inlineStr">
        <is>
          <t>CHMN614</t>
        </is>
      </c>
    </row>
    <row r="339">
      <c r="A339" t="inlineStr">
        <is>
          <t>GSEM</t>
        </is>
      </c>
      <c r="B339" t="n">
        <v>854</v>
      </c>
      <c r="C339" t="inlineStr">
        <is>
          <t>PhD-ThD Diss Proposal Sem</t>
        </is>
      </c>
      <c r="D339" t="inlineStr">
        <is>
          <t>PhD-ThD Diss Proposal Sem</t>
        </is>
      </c>
      <c r="E339" t="inlineStr">
        <is>
          <t>GSEM854</t>
        </is>
      </c>
    </row>
    <row r="340">
      <c r="A340" t="inlineStr">
        <is>
          <t>CHMN</t>
        </is>
      </c>
      <c r="B340" t="n">
        <v>662</v>
      </c>
      <c r="C340" t="inlineStr">
        <is>
          <t>Field Evangelistic Preach Prac</t>
        </is>
      </c>
      <c r="D340" t="inlineStr">
        <is>
          <t>Field Evang Prching Practicum</t>
        </is>
      </c>
      <c r="E340" t="inlineStr">
        <is>
          <t>CHMN662</t>
        </is>
      </c>
    </row>
    <row r="341">
      <c r="A341" t="inlineStr">
        <is>
          <t>CHMN</t>
        </is>
      </c>
      <c r="B341" t="n">
        <v>627</v>
      </c>
      <c r="C341" t="inlineStr">
        <is>
          <t>Black Preaching</t>
        </is>
      </c>
      <c r="D341" t="inlineStr">
        <is>
          <t>Black Preaching</t>
        </is>
      </c>
      <c r="E341" t="inlineStr">
        <is>
          <t>CHMN627</t>
        </is>
      </c>
    </row>
    <row r="342">
      <c r="A342" t="inlineStr">
        <is>
          <t>GSEM</t>
        </is>
      </c>
      <c r="B342" t="n">
        <v>510</v>
      </c>
      <c r="C342" t="inlineStr">
        <is>
          <t>Rev, Inspir &amp; Herm</t>
        </is>
      </c>
      <c r="D342" t="inlineStr">
        <is>
          <t>Revelation, Inspiratn&amp;Herment</t>
        </is>
      </c>
      <c r="E342" t="inlineStr">
        <is>
          <t>GSEM510</t>
        </is>
      </c>
    </row>
    <row r="343">
      <c r="A343" t="inlineStr">
        <is>
          <t>CHMN</t>
        </is>
      </c>
      <c r="B343" t="n">
        <v>631</v>
      </c>
      <c r="C343" t="inlineStr">
        <is>
          <t>Field Evangelistic Preaching</t>
        </is>
      </c>
      <c r="D343" t="inlineStr">
        <is>
          <t>Field Evangelistic Preaching</t>
        </is>
      </c>
      <c r="E343" t="inlineStr">
        <is>
          <t>CHMN631</t>
        </is>
      </c>
    </row>
    <row r="344">
      <c r="A344" t="inlineStr">
        <is>
          <t>CHMN</t>
        </is>
      </c>
      <c r="B344" t="n">
        <v>543</v>
      </c>
      <c r="C344" t="inlineStr">
        <is>
          <t>Christn Lead in a Chnging Wrld</t>
        </is>
      </c>
      <c r="D344" t="inlineStr">
        <is>
          <t>Christn Lead in a Chnging Wrld</t>
        </is>
      </c>
      <c r="E344" t="inlineStr">
        <is>
          <t>CHMN543</t>
        </is>
      </c>
    </row>
    <row r="345">
      <c r="A345" t="inlineStr">
        <is>
          <t>DSRE</t>
        </is>
      </c>
      <c r="B345" t="n">
        <v>860</v>
      </c>
      <c r="C345" t="inlineStr">
        <is>
          <t>Teaching Religion in College</t>
        </is>
      </c>
      <c r="D345" t="inlineStr">
        <is>
          <t>Teaching Religion in College</t>
        </is>
      </c>
      <c r="E345" t="inlineStr">
        <is>
          <t>DSRE860</t>
        </is>
      </c>
    </row>
    <row r="346">
      <c r="A346" t="inlineStr">
        <is>
          <t>OTST</t>
        </is>
      </c>
      <c r="B346" t="n">
        <v>620</v>
      </c>
      <c r="C346" t="inlineStr">
        <is>
          <t>Sem in Old Testament Theology</t>
        </is>
      </c>
      <c r="D346" t="inlineStr">
        <is>
          <t>Sem in Old Testament Theology</t>
        </is>
      </c>
      <c r="E346" t="inlineStr">
        <is>
          <t>OTST620</t>
        </is>
      </c>
    </row>
    <row r="347">
      <c r="A347" t="inlineStr">
        <is>
          <t>CHMN</t>
        </is>
      </c>
      <c r="B347" t="n">
        <v>526</v>
      </c>
      <c r="C347" t="inlineStr">
        <is>
          <t>Conflict Management</t>
        </is>
      </c>
      <c r="D347" t="inlineStr">
        <is>
          <t>Conflict Management</t>
        </is>
      </c>
      <c r="E347" t="inlineStr">
        <is>
          <t>CHMN526</t>
        </is>
      </c>
    </row>
    <row r="348">
      <c r="A348" t="inlineStr">
        <is>
          <t>CHMN</t>
        </is>
      </c>
      <c r="B348" t="n">
        <v>600</v>
      </c>
      <c r="C348" t="inlineStr">
        <is>
          <t>Preaching from the New Testmnt</t>
        </is>
      </c>
      <c r="D348" t="inlineStr">
        <is>
          <t>Preaching from the New Testmnt</t>
        </is>
      </c>
      <c r="E348" t="inlineStr">
        <is>
          <t>CHMN600</t>
        </is>
      </c>
    </row>
    <row r="349">
      <c r="A349" t="inlineStr">
        <is>
          <t>GSEM</t>
        </is>
      </c>
      <c r="B349" t="n">
        <v>525</v>
      </c>
      <c r="C349" t="inlineStr">
        <is>
          <t>The Bible and Biblical History</t>
        </is>
      </c>
      <c r="D349" t="inlineStr">
        <is>
          <t>The Bible &amp; Biblical History</t>
        </is>
      </c>
      <c r="E349" t="inlineStr">
        <is>
          <t>GSEM525</t>
        </is>
      </c>
    </row>
    <row r="350">
      <c r="A350" t="inlineStr">
        <is>
          <t>OTST</t>
        </is>
      </c>
      <c r="B350" t="n">
        <v>664</v>
      </c>
      <c r="C350" t="inlineStr">
        <is>
          <t>Pentateuch (Hebrew)</t>
        </is>
      </c>
      <c r="D350" t="inlineStr">
        <is>
          <t>Pentateuch (Hebrew)</t>
        </is>
      </c>
      <c r="E350" t="inlineStr">
        <is>
          <t>OTST664</t>
        </is>
      </c>
    </row>
    <row r="351">
      <c r="A351" t="inlineStr">
        <is>
          <t>NTST</t>
        </is>
      </c>
      <c r="B351" t="n">
        <v>676</v>
      </c>
      <c r="C351" t="inlineStr">
        <is>
          <t>Jesus in Recent Scholarshp</t>
        </is>
      </c>
      <c r="E351" t="inlineStr">
        <is>
          <t>NTST676</t>
        </is>
      </c>
    </row>
    <row r="352">
      <c r="A352" t="inlineStr">
        <is>
          <t>NTST</t>
        </is>
      </c>
      <c r="B352" t="n">
        <v>628</v>
      </c>
      <c r="C352" t="inlineStr">
        <is>
          <t>The Holy Spirit in the NT</t>
        </is>
      </c>
      <c r="E352" t="inlineStr">
        <is>
          <t>NTST628</t>
        </is>
      </c>
    </row>
    <row r="353">
      <c r="A353" t="inlineStr">
        <is>
          <t>CHMN</t>
        </is>
      </c>
      <c r="B353" t="n">
        <v>507</v>
      </c>
      <c r="C353" t="inlineStr">
        <is>
          <t>Intro to Chaplaincy Min</t>
        </is>
      </c>
      <c r="E353" t="inlineStr">
        <is>
          <t>CHMN507</t>
        </is>
      </c>
    </row>
    <row r="354">
      <c r="A354" t="inlineStr">
        <is>
          <t>DSRE</t>
        </is>
      </c>
      <c r="B354" t="n">
        <v>507</v>
      </c>
      <c r="C354" t="inlineStr">
        <is>
          <t>Intro to Chaplaincy Min</t>
        </is>
      </c>
      <c r="E354" t="inlineStr">
        <is>
          <t>DSRE507</t>
        </is>
      </c>
    </row>
    <row r="355">
      <c r="A355" t="inlineStr">
        <is>
          <t>OTST</t>
        </is>
      </c>
      <c r="B355" t="n">
        <v>565</v>
      </c>
      <c r="C355" t="inlineStr">
        <is>
          <t>Survey of the Pentateuch</t>
        </is>
      </c>
      <c r="D355" t="inlineStr">
        <is>
          <t>Pentateuch</t>
        </is>
      </c>
      <c r="E355" t="inlineStr">
        <is>
          <t>OTST565</t>
        </is>
      </c>
    </row>
    <row r="356">
      <c r="A356" t="inlineStr">
        <is>
          <t>OTST</t>
        </is>
      </c>
      <c r="B356" t="n">
        <v>551</v>
      </c>
      <c r="C356" t="inlineStr">
        <is>
          <t>Biblical Hebrew I</t>
        </is>
      </c>
      <c r="D356" t="inlineStr">
        <is>
          <t>Biblical Hebrew I</t>
        </is>
      </c>
      <c r="E356" t="inlineStr">
        <is>
          <t>OTST551</t>
        </is>
      </c>
    </row>
    <row r="357">
      <c r="A357" t="inlineStr">
        <is>
          <t>NTST</t>
        </is>
      </c>
      <c r="B357" t="n">
        <v>695</v>
      </c>
      <c r="C357" t="inlineStr">
        <is>
          <t>Top in NT Backgrounds</t>
        </is>
      </c>
      <c r="D357" t="inlineStr">
        <is>
          <t>Top: Greco-Roman Religions</t>
        </is>
      </c>
      <c r="E357" t="inlineStr">
        <is>
          <t>NTST695</t>
        </is>
      </c>
    </row>
    <row r="358">
      <c r="A358" t="inlineStr">
        <is>
          <t>OTST</t>
        </is>
      </c>
      <c r="B358" t="n">
        <v>552</v>
      </c>
      <c r="C358" t="inlineStr">
        <is>
          <t>Biblical Hebrew II</t>
        </is>
      </c>
      <c r="D358" t="inlineStr">
        <is>
          <t>Biblical Hebrew II</t>
        </is>
      </c>
      <c r="E358" t="inlineStr">
        <is>
          <t>OTST552</t>
        </is>
      </c>
    </row>
    <row r="359">
      <c r="A359" t="inlineStr">
        <is>
          <t>ANEA</t>
        </is>
      </c>
      <c r="B359" t="n">
        <v>604</v>
      </c>
      <c r="C359" t="inlineStr">
        <is>
          <t>Hist of the Ancient Near East</t>
        </is>
      </c>
      <c r="E359" t="inlineStr">
        <is>
          <t>ANEA604</t>
        </is>
      </c>
    </row>
    <row r="360">
      <c r="A360" t="inlineStr">
        <is>
          <t>ANEA</t>
        </is>
      </c>
      <c r="B360" t="n">
        <v>614</v>
      </c>
      <c r="C360" t="inlineStr">
        <is>
          <t>Archaeology of Palestine</t>
        </is>
      </c>
      <c r="E360" t="inlineStr">
        <is>
          <t>ANEA614</t>
        </is>
      </c>
    </row>
    <row r="361">
      <c r="A361" t="inlineStr">
        <is>
          <t>NTST</t>
        </is>
      </c>
      <c r="B361" t="n">
        <v>658</v>
      </c>
      <c r="C361" t="inlineStr">
        <is>
          <t>Adv Studies Pauline Wrtg:</t>
        </is>
      </c>
      <c r="D361" t="inlineStr">
        <is>
          <t>Adv Stdy Pauline Wrtg: Romans</t>
        </is>
      </c>
      <c r="E361" t="inlineStr">
        <is>
          <t>NTST658</t>
        </is>
      </c>
    </row>
    <row r="362">
      <c r="A362" t="inlineStr">
        <is>
          <t>GSEM</t>
        </is>
      </c>
      <c r="B362" t="n">
        <v>648</v>
      </c>
      <c r="C362" t="inlineStr">
        <is>
          <t>Workshop</t>
        </is>
      </c>
      <c r="D362" t="inlineStr">
        <is>
          <t>Wkshp:Natural Rem/Hydro</t>
        </is>
      </c>
      <c r="E362" t="inlineStr">
        <is>
          <t>GSEM648</t>
        </is>
      </c>
    </row>
    <row r="363">
      <c r="A363" t="inlineStr">
        <is>
          <t>THST</t>
        </is>
      </c>
      <c r="B363" t="n">
        <v>649</v>
      </c>
      <c r="C363" t="inlineStr">
        <is>
          <t>Sem in Theological Issues:</t>
        </is>
      </c>
      <c r="E363" t="inlineStr">
        <is>
          <t>THST649</t>
        </is>
      </c>
    </row>
    <row r="364">
      <c r="A364" t="inlineStr">
        <is>
          <t>THST</t>
        </is>
      </c>
      <c r="B364" t="n">
        <v>521</v>
      </c>
      <c r="C364" t="inlineStr">
        <is>
          <t>Christian Theology I</t>
        </is>
      </c>
      <c r="E364" t="inlineStr">
        <is>
          <t>THST521</t>
        </is>
      </c>
    </row>
    <row r="365">
      <c r="A365" t="inlineStr">
        <is>
          <t>CHMN</t>
        </is>
      </c>
      <c r="B365" t="n">
        <v>524</v>
      </c>
      <c r="C365" t="inlineStr">
        <is>
          <t>Stewardshp, Church &amp; Pers Res</t>
        </is>
      </c>
      <c r="E365" t="inlineStr">
        <is>
          <t>CHMN524</t>
        </is>
      </c>
    </row>
    <row r="366">
      <c r="A366" t="inlineStr">
        <is>
          <t>NTST</t>
        </is>
      </c>
      <c r="B366" t="n">
        <v>655</v>
      </c>
      <c r="C366" t="inlineStr">
        <is>
          <t>Adv Studies Gospels:</t>
        </is>
      </c>
      <c r="D366" t="inlineStr">
        <is>
          <t>Adv Studies Gospels: John</t>
        </is>
      </c>
      <c r="E366" t="inlineStr">
        <is>
          <t>NTST655</t>
        </is>
      </c>
    </row>
    <row r="367">
      <c r="A367" t="inlineStr">
        <is>
          <t>CHIS</t>
        </is>
      </c>
      <c r="B367" t="n">
        <v>650</v>
      </c>
      <c r="C367" t="inlineStr">
        <is>
          <t>Engl Reformatn &amp; Rise Puritnsm</t>
        </is>
      </c>
      <c r="E367" t="inlineStr">
        <is>
          <t>CHIS650</t>
        </is>
      </c>
    </row>
    <row r="368">
      <c r="A368" t="inlineStr">
        <is>
          <t>CHMN</t>
        </is>
      </c>
      <c r="B368" t="n">
        <v>632</v>
      </c>
      <c r="C368" t="inlineStr">
        <is>
          <t>Contextualized Preaching</t>
        </is>
      </c>
      <c r="D368" t="inlineStr">
        <is>
          <t>Contextualized Preaching:Youth</t>
        </is>
      </c>
      <c r="E368" t="inlineStr">
        <is>
          <t>CHMN632</t>
        </is>
      </c>
    </row>
    <row r="369">
      <c r="A369" t="inlineStr">
        <is>
          <t>GSEM</t>
        </is>
      </c>
      <c r="B369" t="n">
        <v>915</v>
      </c>
      <c r="C369" t="inlineStr">
        <is>
          <t>Bib &amp; Theo Hermeneutics</t>
        </is>
      </c>
      <c r="D369" t="inlineStr">
        <is>
          <t>Bib &amp; Theo Hermeneutics</t>
        </is>
      </c>
      <c r="E369" t="inlineStr">
        <is>
          <t>GSEM915</t>
        </is>
      </c>
    </row>
    <row r="370">
      <c r="A370" t="inlineStr">
        <is>
          <t>NTST</t>
        </is>
      </c>
      <c r="B370" t="n">
        <v>940</v>
      </c>
      <c r="C370" t="inlineStr">
        <is>
          <t>Sem in NT Exegesis &amp; Hermn:</t>
        </is>
      </c>
      <c r="D370" t="inlineStr">
        <is>
          <t>SemNTExe&amp;Herm:John</t>
        </is>
      </c>
      <c r="E370" t="inlineStr">
        <is>
          <t>NTST940</t>
        </is>
      </c>
    </row>
    <row r="371">
      <c r="A371" t="inlineStr">
        <is>
          <t>MSSN</t>
        </is>
      </c>
      <c r="B371" t="n">
        <v>695</v>
      </c>
      <c r="C371" t="inlineStr">
        <is>
          <t>Topics:</t>
        </is>
      </c>
      <c r="D371" t="inlineStr">
        <is>
          <t>Topics:Dctrn Chrch&amp;Mssn</t>
        </is>
      </c>
      <c r="E371" t="inlineStr">
        <is>
          <t>MSSN695</t>
        </is>
      </c>
    </row>
    <row r="372">
      <c r="A372" t="inlineStr">
        <is>
          <t>NTST</t>
        </is>
      </c>
      <c r="B372" t="n">
        <v>614</v>
      </c>
      <c r="C372" t="inlineStr">
        <is>
          <t>Suffering, Death&amp;Resurrection</t>
        </is>
      </c>
      <c r="E372" t="inlineStr">
        <is>
          <t>NTST614</t>
        </is>
      </c>
    </row>
    <row r="373">
      <c r="A373" t="inlineStr">
        <is>
          <t>NTST</t>
        </is>
      </c>
      <c r="B373" t="n">
        <v>630</v>
      </c>
      <c r="C373" t="inlineStr">
        <is>
          <t>Theology of Synoptic Gospels</t>
        </is>
      </c>
      <c r="E373" t="inlineStr">
        <is>
          <t>NTST630</t>
        </is>
      </c>
    </row>
    <row r="374">
      <c r="A374" t="inlineStr">
        <is>
          <t>THST</t>
        </is>
      </c>
      <c r="B374" t="n">
        <v>659</v>
      </c>
      <c r="C374" t="inlineStr">
        <is>
          <t>Sem Phil Theology&amp;Ethics:</t>
        </is>
      </c>
      <c r="E374" t="inlineStr">
        <is>
          <t>THST659</t>
        </is>
      </c>
    </row>
    <row r="375">
      <c r="A375" t="inlineStr">
        <is>
          <t>NTST</t>
        </is>
      </c>
      <c r="B375" t="n">
        <v>658</v>
      </c>
      <c r="C375" t="inlineStr">
        <is>
          <t>Adv Studies Pauline Wrtg:</t>
        </is>
      </c>
      <c r="D375" t="inlineStr">
        <is>
          <t>Adv Stds Pauline Wrtg:1THS</t>
        </is>
      </c>
      <c r="E375" t="inlineStr">
        <is>
          <t>NTST658</t>
        </is>
      </c>
    </row>
    <row r="376">
      <c r="A376" t="inlineStr">
        <is>
          <t>DSRE</t>
        </is>
      </c>
      <c r="B376" t="n">
        <v>669</v>
      </c>
      <c r="C376" t="inlineStr">
        <is>
          <t>Reaching the Secular Mind</t>
        </is>
      </c>
      <c r="D376" t="inlineStr">
        <is>
          <t>Reaching the Secular Mind</t>
        </is>
      </c>
      <c r="E376" t="inlineStr">
        <is>
          <t>DSRE669</t>
        </is>
      </c>
    </row>
    <row r="377">
      <c r="A377" t="inlineStr">
        <is>
          <t>CHMN</t>
        </is>
      </c>
      <c r="B377" t="n">
        <v>614</v>
      </c>
      <c r="C377" t="inlineStr">
        <is>
          <t>Preaching frm Daniel or Rev</t>
        </is>
      </c>
      <c r="D377" t="inlineStr">
        <is>
          <t>Preaching from Revelation</t>
        </is>
      </c>
      <c r="E377" t="inlineStr">
        <is>
          <t>CHMN614</t>
        </is>
      </c>
    </row>
    <row r="378">
      <c r="A378" t="inlineStr">
        <is>
          <t>THST</t>
        </is>
      </c>
      <c r="B378" t="n">
        <v>656</v>
      </c>
      <c r="C378" t="inlineStr">
        <is>
          <t>Sem in Historical Theology:</t>
        </is>
      </c>
      <c r="D378" t="inlineStr">
        <is>
          <t>Sem. in Hist. Theo:Authority</t>
        </is>
      </c>
      <c r="E378" t="inlineStr">
        <is>
          <t>THST656</t>
        </is>
      </c>
    </row>
    <row r="379">
      <c r="A379" t="inlineStr">
        <is>
          <t>THST</t>
        </is>
      </c>
      <c r="B379" t="n">
        <v>966</v>
      </c>
      <c r="C379" t="inlineStr">
        <is>
          <t>Seminar in Ethics:</t>
        </is>
      </c>
      <c r="E379" t="inlineStr">
        <is>
          <t>THST966</t>
        </is>
      </c>
    </row>
    <row r="380">
      <c r="A380" t="inlineStr">
        <is>
          <t>CHIS</t>
        </is>
      </c>
      <c r="B380" t="n">
        <v>695</v>
      </c>
      <c r="C380" t="inlineStr">
        <is>
          <t>Topics in Church History:</t>
        </is>
      </c>
      <c r="E380" t="inlineStr">
        <is>
          <t>CHIS695</t>
        </is>
      </c>
    </row>
    <row r="381">
      <c r="A381" t="inlineStr">
        <is>
          <t>DSRE</t>
        </is>
      </c>
      <c r="B381" t="n">
        <v>860</v>
      </c>
      <c r="C381" t="inlineStr">
        <is>
          <t>Teaching Religion in College</t>
        </is>
      </c>
      <c r="E381" t="inlineStr">
        <is>
          <t>DSRE860</t>
        </is>
      </c>
    </row>
    <row r="382">
      <c r="A382" t="inlineStr">
        <is>
          <t>THST</t>
        </is>
      </c>
      <c r="B382" t="n">
        <v>643</v>
      </c>
      <c r="C382" t="inlineStr">
        <is>
          <t>Christian Professional Ethics</t>
        </is>
      </c>
      <c r="E382" t="inlineStr">
        <is>
          <t>THST643</t>
        </is>
      </c>
    </row>
    <row r="383">
      <c r="A383" t="inlineStr">
        <is>
          <t>DSRE</t>
        </is>
      </c>
      <c r="B383" t="n">
        <v>503</v>
      </c>
      <c r="C383" t="inlineStr">
        <is>
          <t>Marriage, Fam&amp;Interprsnl Reltn</t>
        </is>
      </c>
      <c r="D383" t="inlineStr">
        <is>
          <t>Marriage, Fam&amp;Interprsnl Reltn</t>
        </is>
      </c>
      <c r="E383" t="inlineStr">
        <is>
          <t>DSRE503</t>
        </is>
      </c>
    </row>
    <row r="384">
      <c r="A384" t="inlineStr">
        <is>
          <t>DSRE</t>
        </is>
      </c>
      <c r="B384" t="n">
        <v>830</v>
      </c>
      <c r="C384" t="inlineStr">
        <is>
          <t>Adv Fostering Spiritual Growth</t>
        </is>
      </c>
      <c r="E384" t="inlineStr">
        <is>
          <t>DSRE830</t>
        </is>
      </c>
    </row>
    <row r="385">
      <c r="A385" t="inlineStr">
        <is>
          <t>OTST</t>
        </is>
      </c>
      <c r="B385" t="n">
        <v>680</v>
      </c>
      <c r="C385" t="inlineStr">
        <is>
          <t>Sem OT Exegesis</t>
        </is>
      </c>
      <c r="E385" t="inlineStr">
        <is>
          <t>OTST680</t>
        </is>
      </c>
    </row>
    <row r="386">
      <c r="A386" t="inlineStr">
        <is>
          <t>THST</t>
        </is>
      </c>
      <c r="B386" t="n">
        <v>608</v>
      </c>
      <c r="C386" t="inlineStr">
        <is>
          <t>Grt Controversy, Cov, Law, Sab</t>
        </is>
      </c>
      <c r="D386" t="inlineStr">
        <is>
          <t>Doctrine of Sabbath</t>
        </is>
      </c>
      <c r="E386" t="inlineStr">
        <is>
          <t>THST608</t>
        </is>
      </c>
    </row>
    <row r="387">
      <c r="A387" t="inlineStr">
        <is>
          <t>THST</t>
        </is>
      </c>
      <c r="B387" t="n">
        <v>619</v>
      </c>
      <c r="C387" t="inlineStr">
        <is>
          <t>Principles&amp;Methods of Theology</t>
        </is>
      </c>
      <c r="D387" t="inlineStr">
        <is>
          <t>Principles&amp;Methods of Theology</t>
        </is>
      </c>
      <c r="E387" t="inlineStr">
        <is>
          <t>THST619</t>
        </is>
      </c>
    </row>
    <row r="388">
      <c r="A388" t="inlineStr">
        <is>
          <t>CHMN</t>
        </is>
      </c>
      <c r="B388" t="n">
        <v>885</v>
      </c>
      <c r="C388" t="inlineStr">
        <is>
          <t>Topics in:</t>
        </is>
      </c>
      <c r="D388" t="inlineStr">
        <is>
          <t>Topics in Preaching</t>
        </is>
      </c>
      <c r="E388" t="inlineStr">
        <is>
          <t>CHMN885</t>
        </is>
      </c>
    </row>
    <row r="389">
      <c r="A389" t="inlineStr">
        <is>
          <t>CHMN</t>
        </is>
      </c>
      <c r="B389" t="n">
        <v>614</v>
      </c>
      <c r="C389" t="inlineStr">
        <is>
          <t>Preaching frm Daniel or Rev</t>
        </is>
      </c>
      <c r="D389" t="inlineStr">
        <is>
          <t>Preaching frm Revelation</t>
        </is>
      </c>
      <c r="E389" t="inlineStr">
        <is>
          <t>CHMN614</t>
        </is>
      </c>
    </row>
    <row r="390">
      <c r="A390" t="inlineStr">
        <is>
          <t>MSSN</t>
        </is>
      </c>
      <c r="B390" t="n">
        <v>546</v>
      </c>
      <c r="C390" t="inlineStr">
        <is>
          <t>Mission in Cultrl&amp;Rlgs Contxt</t>
        </is>
      </c>
      <c r="D390" t="inlineStr">
        <is>
          <t>Mission in Cultrl&amp;Rlgs Contxt</t>
        </is>
      </c>
      <c r="E390" t="inlineStr">
        <is>
          <t>MSSN546</t>
        </is>
      </c>
    </row>
    <row r="391">
      <c r="A391" t="inlineStr">
        <is>
          <t>CHMN</t>
        </is>
      </c>
      <c r="B391" t="n">
        <v>885</v>
      </c>
      <c r="C391" t="inlineStr">
        <is>
          <t>Topics in:</t>
        </is>
      </c>
      <c r="D391" t="inlineStr">
        <is>
          <t>Topics in:Leadership</t>
        </is>
      </c>
      <c r="E391" t="inlineStr">
        <is>
          <t>CHMN885</t>
        </is>
      </c>
    </row>
    <row r="392">
      <c r="A392" t="inlineStr">
        <is>
          <t>CHMN</t>
        </is>
      </c>
      <c r="B392" t="n">
        <v>885</v>
      </c>
      <c r="C392" t="inlineStr">
        <is>
          <t>Topics in:</t>
        </is>
      </c>
      <c r="D392" t="inlineStr">
        <is>
          <t>Topics in:Preaching</t>
        </is>
      </c>
      <c r="E392" t="inlineStr">
        <is>
          <t>CHMN885</t>
        </is>
      </c>
    </row>
    <row r="393">
      <c r="A393" t="inlineStr">
        <is>
          <t>CHIS</t>
        </is>
      </c>
      <c r="B393" t="n">
        <v>507</v>
      </c>
      <c r="C393" t="inlineStr">
        <is>
          <t>Church History 1500 to Present</t>
        </is>
      </c>
      <c r="D393" t="inlineStr">
        <is>
          <t>Church History 1500 to Present</t>
        </is>
      </c>
      <c r="E393" t="inlineStr">
        <is>
          <t>CHIS507</t>
        </is>
      </c>
    </row>
    <row r="394">
      <c r="A394" t="inlineStr">
        <is>
          <t>CHIS</t>
        </is>
      </c>
      <c r="B394" t="n">
        <v>506</v>
      </c>
      <c r="C394" t="inlineStr">
        <is>
          <t>Church History to 1500</t>
        </is>
      </c>
      <c r="D394" t="inlineStr">
        <is>
          <t>Church History to 1500</t>
        </is>
      </c>
      <c r="E394" t="inlineStr">
        <is>
          <t>CHIS506</t>
        </is>
      </c>
    </row>
    <row r="395">
      <c r="A395" t="inlineStr">
        <is>
          <t>THST</t>
        </is>
      </c>
      <c r="B395" t="n">
        <v>625</v>
      </c>
      <c r="C395" t="inlineStr">
        <is>
          <t>Early Christian Theology</t>
        </is>
      </c>
      <c r="D395" t="inlineStr">
        <is>
          <t>Early Christian Theology</t>
        </is>
      </c>
      <c r="E395" t="inlineStr">
        <is>
          <t>THST625</t>
        </is>
      </c>
    </row>
    <row r="396">
      <c r="A396" t="inlineStr">
        <is>
          <t>NTST</t>
        </is>
      </c>
      <c r="B396" t="n">
        <v>551</v>
      </c>
      <c r="C396" t="inlineStr">
        <is>
          <t>Beginning Greek</t>
        </is>
      </c>
      <c r="D396" t="inlineStr">
        <is>
          <t>Beginning Greek</t>
        </is>
      </c>
      <c r="E396" t="inlineStr">
        <is>
          <t>NTST551</t>
        </is>
      </c>
    </row>
    <row r="397">
      <c r="A397" t="inlineStr">
        <is>
          <t>THST</t>
        </is>
      </c>
      <c r="B397" t="n">
        <v>656</v>
      </c>
      <c r="C397" t="inlineStr">
        <is>
          <t>Sem in Historical Theology:</t>
        </is>
      </c>
      <c r="D397" t="inlineStr">
        <is>
          <t>Sem Historical Theo:Sacraments</t>
        </is>
      </c>
      <c r="E397" t="inlineStr">
        <is>
          <t>THST656</t>
        </is>
      </c>
    </row>
    <row r="398">
      <c r="A398" t="inlineStr">
        <is>
          <t>THST</t>
        </is>
      </c>
      <c r="B398" t="n">
        <v>637</v>
      </c>
      <c r="C398" t="inlineStr">
        <is>
          <t>Biblical Eschatology</t>
        </is>
      </c>
      <c r="D398" t="inlineStr">
        <is>
          <t>Biblical Eschatology</t>
        </is>
      </c>
      <c r="E398" t="inlineStr">
        <is>
          <t>THST637</t>
        </is>
      </c>
    </row>
    <row r="399">
      <c r="A399" t="inlineStr">
        <is>
          <t>GSEM</t>
        </is>
      </c>
      <c r="B399" t="n">
        <v>534</v>
      </c>
      <c r="C399" t="inlineStr">
        <is>
          <t>Iss in E G White Studies</t>
        </is>
      </c>
      <c r="D399" t="inlineStr">
        <is>
          <t>Issues in Ellen G White Stdies</t>
        </is>
      </c>
      <c r="E399" t="inlineStr">
        <is>
          <t>GSEM534</t>
        </is>
      </c>
    </row>
    <row r="400">
      <c r="A400" t="inlineStr">
        <is>
          <t>OTST</t>
        </is>
      </c>
      <c r="B400" t="n">
        <v>674</v>
      </c>
      <c r="C400" t="inlineStr">
        <is>
          <t>Daniel</t>
        </is>
      </c>
      <c r="D400" t="inlineStr">
        <is>
          <t>Daniel</t>
        </is>
      </c>
      <c r="E400" t="inlineStr">
        <is>
          <t>OTST674</t>
        </is>
      </c>
    </row>
    <row r="401">
      <c r="A401" t="inlineStr">
        <is>
          <t>CHMN</t>
        </is>
      </c>
      <c r="B401" t="n">
        <v>744</v>
      </c>
      <c r="C401" t="inlineStr">
        <is>
          <t>A History of Preaching</t>
        </is>
      </c>
      <c r="E401" t="inlineStr">
        <is>
          <t>CHMN744</t>
        </is>
      </c>
    </row>
    <row r="402">
      <c r="A402" t="inlineStr">
        <is>
          <t>ANEA</t>
        </is>
      </c>
      <c r="B402" t="n">
        <v>510</v>
      </c>
      <c r="C402" t="inlineStr">
        <is>
          <t>Archaeology and the Bible</t>
        </is>
      </c>
      <c r="D402" t="inlineStr">
        <is>
          <t>Archaeology and the Bible</t>
        </is>
      </c>
      <c r="E402" t="inlineStr">
        <is>
          <t>ANEA510</t>
        </is>
      </c>
    </row>
    <row r="403">
      <c r="A403" t="inlineStr">
        <is>
          <t>OTST</t>
        </is>
      </c>
      <c r="B403" t="n">
        <v>628</v>
      </c>
      <c r="C403" t="inlineStr">
        <is>
          <t>Meth OT Exegesis (Hebw)</t>
        </is>
      </c>
      <c r="D403" t="inlineStr">
        <is>
          <t>Meth OT Exegesis (Hebw)</t>
        </is>
      </c>
      <c r="E403" t="inlineStr">
        <is>
          <t>OTST628</t>
        </is>
      </c>
    </row>
    <row r="404">
      <c r="A404" t="inlineStr">
        <is>
          <t>GSEM</t>
        </is>
      </c>
      <c r="B404" t="n">
        <v>885</v>
      </c>
      <c r="C404" t="inlineStr">
        <is>
          <t>PhD-ThD Comp Exams</t>
        </is>
      </c>
      <c r="E404" t="inlineStr">
        <is>
          <t>GSEM885</t>
        </is>
      </c>
    </row>
    <row r="405">
      <c r="A405" t="inlineStr">
        <is>
          <t>GSEM</t>
        </is>
      </c>
      <c r="B405" t="n">
        <v>844</v>
      </c>
      <c r="C405" t="inlineStr">
        <is>
          <t>PhD-ThD Diss Prop Prep</t>
        </is>
      </c>
      <c r="E405" t="inlineStr">
        <is>
          <t>GSEM844</t>
        </is>
      </c>
    </row>
    <row r="406">
      <c r="A406" t="inlineStr">
        <is>
          <t>GSEM</t>
        </is>
      </c>
      <c r="B406" t="n">
        <v>888</v>
      </c>
      <c r="C406" t="inlineStr">
        <is>
          <t>Doctoral Degr Continuation</t>
        </is>
      </c>
      <c r="E406" t="inlineStr">
        <is>
          <t>GSEM888</t>
        </is>
      </c>
    </row>
    <row r="407">
      <c r="A407" t="inlineStr">
        <is>
          <t>GSEM</t>
        </is>
      </c>
      <c r="B407" t="n">
        <v>995</v>
      </c>
      <c r="C407" t="inlineStr">
        <is>
          <t>PhD-ThD Dissertation</t>
        </is>
      </c>
      <c r="E407" t="inlineStr">
        <is>
          <t>GSEM995</t>
        </is>
      </c>
    </row>
    <row r="408">
      <c r="A408" t="inlineStr">
        <is>
          <t>NTST</t>
        </is>
      </c>
      <c r="B408" t="n">
        <v>885</v>
      </c>
      <c r="C408" t="inlineStr">
        <is>
          <t>Topics in</t>
        </is>
      </c>
      <c r="D408" t="inlineStr">
        <is>
          <t>Topics in Hebrews</t>
        </is>
      </c>
      <c r="E408" t="inlineStr">
        <is>
          <t>NTST885</t>
        </is>
      </c>
    </row>
    <row r="409">
      <c r="A409" t="inlineStr">
        <is>
          <t>CHIS</t>
        </is>
      </c>
      <c r="B409" t="n">
        <v>640</v>
      </c>
      <c r="C409" t="inlineStr">
        <is>
          <t>Reformation:</t>
        </is>
      </c>
      <c r="D409" t="inlineStr">
        <is>
          <t>Reformatn:Radical Reformation</t>
        </is>
      </c>
      <c r="E409" t="inlineStr">
        <is>
          <t>CHIS640</t>
        </is>
      </c>
    </row>
    <row r="410">
      <c r="A410" t="inlineStr">
        <is>
          <t>THST</t>
        </is>
      </c>
      <c r="B410" t="n">
        <v>964</v>
      </c>
      <c r="C410" t="inlineStr">
        <is>
          <t>Sem in Historical Theology:</t>
        </is>
      </c>
      <c r="D410" t="inlineStr">
        <is>
          <t>Sem Historical Theo:Sacraments</t>
        </is>
      </c>
      <c r="E410" t="inlineStr">
        <is>
          <t>THST964</t>
        </is>
      </c>
    </row>
    <row r="411">
      <c r="A411" t="inlineStr">
        <is>
          <t>THST</t>
        </is>
      </c>
      <c r="B411" t="n">
        <v>885</v>
      </c>
      <c r="C411" t="inlineStr">
        <is>
          <t>Top:</t>
        </is>
      </c>
      <c r="D411" t="inlineStr">
        <is>
          <t>Topics in Salvation</t>
        </is>
      </c>
      <c r="E411" t="inlineStr">
        <is>
          <t>THST885</t>
        </is>
      </c>
    </row>
    <row r="412">
      <c r="A412" t="inlineStr">
        <is>
          <t>GSEM</t>
        </is>
      </c>
      <c r="B412" t="n">
        <v>860</v>
      </c>
      <c r="C412" t="inlineStr">
        <is>
          <t>Teaching Religion in College</t>
        </is>
      </c>
      <c r="D412" t="inlineStr">
        <is>
          <t>Teaching Religion in College</t>
        </is>
      </c>
      <c r="E412" t="inlineStr">
        <is>
          <t>GSEM860</t>
        </is>
      </c>
    </row>
    <row r="413">
      <c r="A413" t="inlineStr">
        <is>
          <t>THST</t>
        </is>
      </c>
      <c r="B413" t="n">
        <v>885</v>
      </c>
      <c r="C413" t="inlineStr">
        <is>
          <t>Top:</t>
        </is>
      </c>
      <c r="D413" t="inlineStr">
        <is>
          <t>Top:Contemporary Theology</t>
        </is>
      </c>
      <c r="E413" t="inlineStr">
        <is>
          <t>THST885</t>
        </is>
      </c>
    </row>
    <row r="414">
      <c r="A414" t="inlineStr">
        <is>
          <t>THST</t>
        </is>
      </c>
      <c r="B414" t="n">
        <v>885</v>
      </c>
      <c r="C414" t="inlineStr">
        <is>
          <t>Top:</t>
        </is>
      </c>
      <c r="D414" t="inlineStr">
        <is>
          <t>Top:Doctrine of Holy Spirit</t>
        </is>
      </c>
      <c r="E414" t="inlineStr">
        <is>
          <t>THST885</t>
        </is>
      </c>
    </row>
    <row r="415">
      <c r="A415" t="inlineStr">
        <is>
          <t>THST</t>
        </is>
      </c>
      <c r="B415" t="n">
        <v>885</v>
      </c>
      <c r="C415" t="inlineStr">
        <is>
          <t>Top:</t>
        </is>
      </c>
      <c r="D415" t="inlineStr">
        <is>
          <t>Top: in Ecumenism</t>
        </is>
      </c>
      <c r="E415" t="inlineStr">
        <is>
          <t>THST885</t>
        </is>
      </c>
    </row>
    <row r="416">
      <c r="A416" t="inlineStr">
        <is>
          <t>CHMN</t>
        </is>
      </c>
      <c r="B416" t="n">
        <v>634</v>
      </c>
      <c r="C416" t="inlineStr">
        <is>
          <t>Field Evang. Preach. &amp; Pract.</t>
        </is>
      </c>
      <c r="E416" t="inlineStr">
        <is>
          <t>CHMN634</t>
        </is>
      </c>
    </row>
    <row r="417">
      <c r="A417" t="inlineStr">
        <is>
          <t>ANEA</t>
        </is>
      </c>
      <c r="B417" t="n">
        <v>615</v>
      </c>
      <c r="C417" t="inlineStr">
        <is>
          <t>Sem Arch &amp; Hist of Antiquity</t>
        </is>
      </c>
      <c r="D417" t="inlineStr">
        <is>
          <t>Sem Arch &amp; Hist of Antiquity</t>
        </is>
      </c>
      <c r="E417" t="inlineStr">
        <is>
          <t>ANEA615</t>
        </is>
      </c>
    </row>
    <row r="418">
      <c r="A418" t="inlineStr">
        <is>
          <t>CHMN</t>
        </is>
      </c>
      <c r="B418" t="n">
        <v>535</v>
      </c>
      <c r="C418" t="inlineStr">
        <is>
          <t>Issues Urban Ch. Leadshp</t>
        </is>
      </c>
      <c r="E418" t="inlineStr">
        <is>
          <t>CHMN535</t>
        </is>
      </c>
    </row>
    <row r="419">
      <c r="A419" t="inlineStr">
        <is>
          <t>NTST</t>
        </is>
      </c>
      <c r="B419" t="n">
        <v>695</v>
      </c>
      <c r="C419" t="inlineStr">
        <is>
          <t>Top in NT Backgrounds</t>
        </is>
      </c>
      <c r="D419" t="inlineStr">
        <is>
          <t>Top:Hon,Patrnage,Knship&amp;Purity</t>
        </is>
      </c>
      <c r="E419" t="inlineStr">
        <is>
          <t>NTST695</t>
        </is>
      </c>
    </row>
    <row r="420">
      <c r="A420" t="inlineStr">
        <is>
          <t>NTST</t>
        </is>
      </c>
      <c r="B420" t="n">
        <v>885</v>
      </c>
      <c r="C420" t="inlineStr">
        <is>
          <t>Topics in</t>
        </is>
      </c>
      <c r="D420" t="inlineStr">
        <is>
          <t>Top:Holy Spirit in the NT</t>
        </is>
      </c>
      <c r="E420" t="inlineStr">
        <is>
          <t>NTST885</t>
        </is>
      </c>
    </row>
    <row r="421">
      <c r="A421" t="inlineStr">
        <is>
          <t>NTST</t>
        </is>
      </c>
      <c r="B421" t="n">
        <v>885</v>
      </c>
      <c r="C421" t="inlineStr">
        <is>
          <t>Topics in</t>
        </is>
      </c>
      <c r="D421" t="inlineStr">
        <is>
          <t>Topics in Eschatology</t>
        </is>
      </c>
      <c r="E421" t="inlineStr">
        <is>
          <t>NTST885</t>
        </is>
      </c>
    </row>
    <row r="422">
      <c r="A422" t="inlineStr">
        <is>
          <t>GSEM</t>
        </is>
      </c>
      <c r="B422" t="n">
        <v>810</v>
      </c>
      <c r="C422" t="inlineStr">
        <is>
          <t>PhD-ThD Colloquium</t>
        </is>
      </c>
      <c r="E422" t="inlineStr">
        <is>
          <t>GSEM810</t>
        </is>
      </c>
    </row>
    <row r="423">
      <c r="A423" t="inlineStr">
        <is>
          <t>CHMN</t>
        </is>
      </c>
      <c r="B423" t="n">
        <v>614</v>
      </c>
      <c r="C423" t="inlineStr">
        <is>
          <t>Preaching frm Daniel or Rev</t>
        </is>
      </c>
      <c r="D423" t="inlineStr">
        <is>
          <t>Preaching frm Daniel</t>
        </is>
      </c>
      <c r="E423" t="inlineStr">
        <is>
          <t>CHMN614</t>
        </is>
      </c>
    </row>
    <row r="424">
      <c r="A424" t="inlineStr">
        <is>
          <t>THST</t>
        </is>
      </c>
      <c r="B424" t="n">
        <v>885</v>
      </c>
      <c r="C424" t="inlineStr">
        <is>
          <t>Top:</t>
        </is>
      </c>
      <c r="D424" t="inlineStr">
        <is>
          <t>Top:Doctrine of Christ</t>
        </is>
      </c>
      <c r="E424" t="inlineStr">
        <is>
          <t>THST885</t>
        </is>
      </c>
    </row>
    <row r="425">
      <c r="A425" t="inlineStr">
        <is>
          <t>CHIS</t>
        </is>
      </c>
      <c r="B425" t="n">
        <v>689</v>
      </c>
      <c r="C425" t="inlineStr">
        <is>
          <t>History of Worship and Liturgy</t>
        </is>
      </c>
      <c r="E425" t="inlineStr">
        <is>
          <t>CHIS689</t>
        </is>
      </c>
    </row>
    <row r="426">
      <c r="A426" t="inlineStr">
        <is>
          <t>THST</t>
        </is>
      </c>
      <c r="B426" t="n">
        <v>885</v>
      </c>
      <c r="C426" t="inlineStr">
        <is>
          <t>Top:</t>
        </is>
      </c>
      <c r="D426" t="inlineStr">
        <is>
          <t>Roman Catholic Life &amp; Thought</t>
        </is>
      </c>
      <c r="E426" t="inlineStr">
        <is>
          <t>THST885</t>
        </is>
      </c>
    </row>
    <row r="427">
      <c r="A427" t="inlineStr">
        <is>
          <t>THST</t>
        </is>
      </c>
      <c r="B427" t="n">
        <v>885</v>
      </c>
      <c r="C427" t="inlineStr">
        <is>
          <t>Top:</t>
        </is>
      </c>
      <c r="D427" t="inlineStr">
        <is>
          <t>Top:History of Philosophy</t>
        </is>
      </c>
      <c r="E427" t="inlineStr">
        <is>
          <t>THST885</t>
        </is>
      </c>
    </row>
    <row r="428">
      <c r="A428" t="inlineStr">
        <is>
          <t>THST</t>
        </is>
      </c>
      <c r="B428" t="n">
        <v>885</v>
      </c>
      <c r="C428" t="inlineStr">
        <is>
          <t>Top:</t>
        </is>
      </c>
      <c r="D428" t="inlineStr">
        <is>
          <t>Top:Doctrine of the Sabbath</t>
        </is>
      </c>
      <c r="E428" t="inlineStr">
        <is>
          <t>THST885</t>
        </is>
      </c>
    </row>
    <row r="429">
      <c r="A429" t="inlineStr">
        <is>
          <t>THST</t>
        </is>
      </c>
      <c r="B429" t="n">
        <v>885</v>
      </c>
      <c r="C429" t="inlineStr">
        <is>
          <t>Top:</t>
        </is>
      </c>
      <c r="D429" t="inlineStr">
        <is>
          <t>Top:Prtstnt Thlgcl Heritage</t>
        </is>
      </c>
      <c r="E429" t="inlineStr">
        <is>
          <t>THST885</t>
        </is>
      </c>
    </row>
    <row r="430">
      <c r="A430" t="inlineStr">
        <is>
          <t>CHMN</t>
        </is>
      </c>
      <c r="B430" t="n">
        <v>633</v>
      </c>
      <c r="C430" t="inlineStr">
        <is>
          <t>Prch Literary Forms of Bible</t>
        </is>
      </c>
      <c r="D430" t="inlineStr">
        <is>
          <t>Prch Literary Forms of Bible</t>
        </is>
      </c>
      <c r="E430" t="inlineStr">
        <is>
          <t>CHMN633</t>
        </is>
      </c>
    </row>
    <row r="431">
      <c r="A431" t="inlineStr">
        <is>
          <t>DSRE</t>
        </is>
      </c>
      <c r="B431" t="n">
        <v>870</v>
      </c>
      <c r="C431" t="inlineStr">
        <is>
          <t>Adv Studies:</t>
        </is>
      </c>
      <c r="D431" t="inlineStr">
        <is>
          <t>AdvStds:Collaborative Ministry</t>
        </is>
      </c>
      <c r="E431" t="inlineStr">
        <is>
          <t>DSRE870</t>
        </is>
      </c>
    </row>
    <row r="432">
      <c r="A432" t="inlineStr">
        <is>
          <t>THST</t>
        </is>
      </c>
      <c r="B432" t="n">
        <v>885</v>
      </c>
      <c r="C432" t="inlineStr">
        <is>
          <t>Top:</t>
        </is>
      </c>
      <c r="D432" t="inlineStr">
        <is>
          <t>Top:Doctrine of the Church</t>
        </is>
      </c>
      <c r="E432" t="inlineStr">
        <is>
          <t>THST885</t>
        </is>
      </c>
    </row>
    <row r="433">
      <c r="A433" t="inlineStr">
        <is>
          <t>NTST</t>
        </is>
      </c>
      <c r="B433" t="n">
        <v>885</v>
      </c>
      <c r="C433" t="inlineStr">
        <is>
          <t>Topics in</t>
        </is>
      </c>
      <c r="D433" t="inlineStr">
        <is>
          <t>Top: I Thessalonians</t>
        </is>
      </c>
      <c r="E433" t="inlineStr">
        <is>
          <t>NTST885</t>
        </is>
      </c>
    </row>
    <row r="434">
      <c r="A434" t="inlineStr">
        <is>
          <t>NTST</t>
        </is>
      </c>
      <c r="B434" t="n">
        <v>940</v>
      </c>
      <c r="C434" t="inlineStr">
        <is>
          <t>Sem in NT Exegesis &amp; Hermn:</t>
        </is>
      </c>
      <c r="D434" t="inlineStr">
        <is>
          <t>Sem in NT Exgsis &amp; Hermn:Rvltn</t>
        </is>
      </c>
      <c r="E434" t="inlineStr">
        <is>
          <t>NTST940</t>
        </is>
      </c>
    </row>
    <row r="435">
      <c r="A435" t="inlineStr">
        <is>
          <t>OTST</t>
        </is>
      </c>
      <c r="B435" t="n">
        <v>680</v>
      </c>
      <c r="C435" t="inlineStr">
        <is>
          <t>Sem OT Exegesis</t>
        </is>
      </c>
      <c r="D435" t="inlineStr">
        <is>
          <t>Sem OT Exegesis</t>
        </is>
      </c>
      <c r="E435" t="inlineStr">
        <is>
          <t>OTST680</t>
        </is>
      </c>
    </row>
    <row r="436">
      <c r="A436" t="inlineStr">
        <is>
          <t>THST</t>
        </is>
      </c>
      <c r="B436" t="n">
        <v>885</v>
      </c>
      <c r="C436" t="inlineStr">
        <is>
          <t>Top:</t>
        </is>
      </c>
      <c r="D436" t="inlineStr">
        <is>
          <t>Top:Theological Ethics</t>
        </is>
      </c>
      <c r="E436" t="inlineStr">
        <is>
          <t>THST885</t>
        </is>
      </c>
    </row>
    <row r="437">
      <c r="A437" t="inlineStr">
        <is>
          <t>CHIS</t>
        </is>
      </c>
      <c r="B437" t="n">
        <v>685</v>
      </c>
      <c r="C437" t="inlineStr">
        <is>
          <t>Studies in Church History</t>
        </is>
      </c>
      <c r="E437" t="inlineStr">
        <is>
          <t>CHIS685</t>
        </is>
      </c>
    </row>
    <row r="438">
      <c r="A438" t="inlineStr">
        <is>
          <t>CHMN</t>
        </is>
      </c>
      <c r="B438" t="n">
        <v>516</v>
      </c>
      <c r="C438" t="inlineStr">
        <is>
          <t>Death &amp; Grief Contemp Society</t>
        </is>
      </c>
      <c r="D438" t="inlineStr">
        <is>
          <t>Death &amp; Grief in Society</t>
        </is>
      </c>
      <c r="E438" t="inlineStr">
        <is>
          <t>CHMN516</t>
        </is>
      </c>
    </row>
    <row r="439">
      <c r="A439" t="inlineStr">
        <is>
          <t>NTST</t>
        </is>
      </c>
      <c r="B439" t="n">
        <v>624</v>
      </c>
      <c r="C439" t="inlineStr">
        <is>
          <t>New Covenant</t>
        </is>
      </c>
      <c r="E439" t="inlineStr">
        <is>
          <t>NTST624</t>
        </is>
      </c>
    </row>
    <row r="440">
      <c r="A440" t="inlineStr">
        <is>
          <t>THST</t>
        </is>
      </c>
      <c r="B440" t="n">
        <v>885</v>
      </c>
      <c r="C440" t="inlineStr">
        <is>
          <t>Top:</t>
        </is>
      </c>
      <c r="D440" t="inlineStr">
        <is>
          <t>Top:Prncpls &amp; Mthds of Thlgy</t>
        </is>
      </c>
      <c r="E440" t="inlineStr">
        <is>
          <t>THST885</t>
        </is>
      </c>
    </row>
    <row r="441">
      <c r="A441" t="inlineStr">
        <is>
          <t>THST</t>
        </is>
      </c>
      <c r="B441" t="n">
        <v>885</v>
      </c>
      <c r="C441" t="inlineStr">
        <is>
          <t>Top:</t>
        </is>
      </c>
      <c r="D441" t="inlineStr">
        <is>
          <t>Top:The Works of Christ</t>
        </is>
      </c>
      <c r="E441" t="inlineStr">
        <is>
          <t>THST885</t>
        </is>
      </c>
    </row>
    <row r="442">
      <c r="A442" t="inlineStr">
        <is>
          <t>CHMN</t>
        </is>
      </c>
      <c r="B442" t="n">
        <v>629</v>
      </c>
      <c r="C442" t="inlineStr">
        <is>
          <t>Sacred Mus Afri-Amer Traditn</t>
        </is>
      </c>
      <c r="E442" t="inlineStr">
        <is>
          <t>CHMN629</t>
        </is>
      </c>
    </row>
    <row r="443">
      <c r="A443" t="inlineStr">
        <is>
          <t>NTST</t>
        </is>
      </c>
      <c r="B443" t="n">
        <v>658</v>
      </c>
      <c r="C443" t="inlineStr">
        <is>
          <t>Adv Studies Pauline Wrtg:</t>
        </is>
      </c>
      <c r="D443" t="inlineStr">
        <is>
          <t>Adv Stds Pauline Wrtg:1Thessal</t>
        </is>
      </c>
      <c r="E443" t="inlineStr">
        <is>
          <t>NTST658</t>
        </is>
      </c>
    </row>
    <row r="444">
      <c r="A444" t="inlineStr">
        <is>
          <t>DSRE</t>
        </is>
      </c>
      <c r="B444" t="n">
        <v>615</v>
      </c>
      <c r="C444" t="inlineStr">
        <is>
          <t>Collaboratv Min:Schl,Chrch,Com</t>
        </is>
      </c>
      <c r="E444" t="inlineStr">
        <is>
          <t>DSRE615</t>
        </is>
      </c>
    </row>
    <row r="445">
      <c r="A445" t="inlineStr">
        <is>
          <t>OTST</t>
        </is>
      </c>
      <c r="B445" t="n">
        <v>555</v>
      </c>
      <c r="C445" t="inlineStr">
        <is>
          <t>Prophets</t>
        </is>
      </c>
      <c r="D445" t="inlineStr">
        <is>
          <t>Prophets</t>
        </is>
      </c>
      <c r="E445" t="inlineStr">
        <is>
          <t>OTST555</t>
        </is>
      </c>
    </row>
    <row r="446">
      <c r="A446" t="inlineStr">
        <is>
          <t>GSEM</t>
        </is>
      </c>
      <c r="B446" t="n">
        <v>648</v>
      </c>
      <c r="C446" t="inlineStr">
        <is>
          <t>Workshop</t>
        </is>
      </c>
      <c r="E446" t="inlineStr">
        <is>
          <t>GSEM648</t>
        </is>
      </c>
    </row>
    <row r="447">
      <c r="A447" t="inlineStr">
        <is>
          <t>THST</t>
        </is>
      </c>
      <c r="B447" t="n">
        <v>885</v>
      </c>
      <c r="C447" t="inlineStr">
        <is>
          <t>Top:</t>
        </is>
      </c>
      <c r="D447" t="inlineStr">
        <is>
          <t>Top:Doctrine of God</t>
        </is>
      </c>
      <c r="E447" t="inlineStr">
        <is>
          <t>THST885</t>
        </is>
      </c>
    </row>
    <row r="448">
      <c r="A448" t="inlineStr">
        <is>
          <t>THST</t>
        </is>
      </c>
      <c r="B448" t="n">
        <v>885</v>
      </c>
      <c r="C448" t="inlineStr">
        <is>
          <t>Top:</t>
        </is>
      </c>
      <c r="D448" t="inlineStr">
        <is>
          <t>Top:Biblical Eschatology</t>
        </is>
      </c>
      <c r="E448" t="inlineStr">
        <is>
          <t>THST885</t>
        </is>
      </c>
    </row>
    <row r="449">
      <c r="A449" t="inlineStr">
        <is>
          <t>OTST</t>
        </is>
      </c>
      <c r="B449" t="n">
        <v>835</v>
      </c>
      <c r="C449" t="inlineStr">
        <is>
          <t>Theology Hebrew Scriptures</t>
        </is>
      </c>
      <c r="E449" t="inlineStr">
        <is>
          <t>OTST835</t>
        </is>
      </c>
    </row>
    <row r="450">
      <c r="A450" t="inlineStr">
        <is>
          <t>CHMN</t>
        </is>
      </c>
      <c r="B450" t="n">
        <v>748</v>
      </c>
      <c r="C450" t="inlineStr">
        <is>
          <t>Preach Literary Forms of Bible</t>
        </is>
      </c>
      <c r="E450" t="inlineStr">
        <is>
          <t>CHMN748</t>
        </is>
      </c>
    </row>
    <row r="451">
      <c r="A451" t="inlineStr">
        <is>
          <t>CHMN</t>
        </is>
      </c>
      <c r="B451" t="n">
        <v>643</v>
      </c>
      <c r="C451" t="inlineStr">
        <is>
          <t>Trauma&amp;Adv Crisis Intervention</t>
        </is>
      </c>
      <c r="E451" t="inlineStr">
        <is>
          <t>CHMN643</t>
        </is>
      </c>
    </row>
    <row r="452">
      <c r="A452" t="inlineStr">
        <is>
          <t>DSRE</t>
        </is>
      </c>
      <c r="B452" t="n">
        <v>850</v>
      </c>
      <c r="C452" t="inlineStr">
        <is>
          <t>Theologicl Found Christian Tch</t>
        </is>
      </c>
      <c r="E452" t="inlineStr">
        <is>
          <t>DSRE850</t>
        </is>
      </c>
    </row>
    <row r="453">
      <c r="A453" t="inlineStr">
        <is>
          <t>CHMN</t>
        </is>
      </c>
      <c r="B453" t="n">
        <v>776</v>
      </c>
      <c r="C453" t="inlineStr">
        <is>
          <t>Urban Church Leadership&amp;Mgmt</t>
        </is>
      </c>
      <c r="E453" t="inlineStr">
        <is>
          <t>CHMN776</t>
        </is>
      </c>
    </row>
    <row r="454">
      <c r="A454" t="inlineStr">
        <is>
          <t>DSRE</t>
        </is>
      </c>
      <c r="B454" t="n">
        <v>747</v>
      </c>
      <c r="C454" t="inlineStr">
        <is>
          <t>Ministry to Fam in Context</t>
        </is>
      </c>
      <c r="E454" t="inlineStr">
        <is>
          <t>DSRE747</t>
        </is>
      </c>
    </row>
    <row r="455">
      <c r="A455" t="inlineStr">
        <is>
          <t>THST</t>
        </is>
      </c>
      <c r="B455" t="n">
        <v>885</v>
      </c>
      <c r="C455" t="inlineStr">
        <is>
          <t>Top:</t>
        </is>
      </c>
      <c r="D455" t="inlineStr">
        <is>
          <t>Top:Doctrine of Salvation</t>
        </is>
      </c>
      <c r="E455" t="inlineStr">
        <is>
          <t>THST885</t>
        </is>
      </c>
    </row>
    <row r="456">
      <c r="A456" t="inlineStr">
        <is>
          <t>THST</t>
        </is>
      </c>
      <c r="B456" t="n">
        <v>940</v>
      </c>
      <c r="C456" t="inlineStr">
        <is>
          <t>Sem in Systematic Theology:</t>
        </is>
      </c>
      <c r="D456" t="inlineStr">
        <is>
          <t>Sem Theo:The Problem of Evil</t>
        </is>
      </c>
      <c r="E456" t="inlineStr">
        <is>
          <t>THST940</t>
        </is>
      </c>
    </row>
    <row r="457">
      <c r="A457" t="inlineStr">
        <is>
          <t>THST</t>
        </is>
      </c>
      <c r="B457" t="n">
        <v>885</v>
      </c>
      <c r="C457" t="inlineStr">
        <is>
          <t>Top:</t>
        </is>
      </c>
      <c r="D457" t="inlineStr">
        <is>
          <t>Top:Christian Prof Ethics</t>
        </is>
      </c>
      <c r="E457" t="inlineStr">
        <is>
          <t>THST885</t>
        </is>
      </c>
    </row>
    <row r="458">
      <c r="A458" t="inlineStr">
        <is>
          <t>GSEM</t>
        </is>
      </c>
      <c r="B458" t="n">
        <v>854</v>
      </c>
      <c r="C458" t="inlineStr">
        <is>
          <t>PhD-ThD Diss Proposal Sem</t>
        </is>
      </c>
      <c r="E458" t="inlineStr">
        <is>
          <t>GSEM854</t>
        </is>
      </c>
    </row>
    <row r="459">
      <c r="A459" t="inlineStr">
        <is>
          <t>NTST</t>
        </is>
      </c>
      <c r="B459" t="n">
        <v>885</v>
      </c>
      <c r="C459" t="inlineStr">
        <is>
          <t>Topics in</t>
        </is>
      </c>
      <c r="D459" t="inlineStr">
        <is>
          <t>Top: Josephus</t>
        </is>
      </c>
      <c r="E459" t="inlineStr">
        <is>
          <t>NTST885</t>
        </is>
      </c>
    </row>
    <row r="460">
      <c r="A460" t="inlineStr">
        <is>
          <t>MSSN</t>
        </is>
      </c>
      <c r="B460" t="n">
        <v>610</v>
      </c>
      <c r="C460" t="inlineStr">
        <is>
          <t>Theology of Mission</t>
        </is>
      </c>
      <c r="E460" t="inlineStr">
        <is>
          <t>MSSN610</t>
        </is>
      </c>
    </row>
    <row r="461">
      <c r="A461" t="inlineStr">
        <is>
          <t>CHIS</t>
        </is>
      </c>
      <c r="B461" t="n">
        <v>664</v>
      </c>
      <c r="C461" t="inlineStr">
        <is>
          <t>Hist of American Relg Thought</t>
        </is>
      </c>
      <c r="E461" t="inlineStr">
        <is>
          <t>CHIS664</t>
        </is>
      </c>
    </row>
    <row r="462">
      <c r="A462" t="inlineStr">
        <is>
          <t>NTST</t>
        </is>
      </c>
      <c r="B462" t="n">
        <v>885</v>
      </c>
      <c r="C462" t="inlineStr">
        <is>
          <t>Topics in</t>
        </is>
      </c>
      <c r="D462" t="inlineStr">
        <is>
          <t>Topics in Revelation</t>
        </is>
      </c>
      <c r="E462" t="inlineStr">
        <is>
          <t>NTST885</t>
        </is>
      </c>
    </row>
    <row r="463">
      <c r="A463" t="inlineStr">
        <is>
          <t>DSRE</t>
        </is>
      </c>
      <c r="B463" t="n">
        <v>615</v>
      </c>
      <c r="C463" t="inlineStr">
        <is>
          <t>Collaboratv Min:Schl,Chrch,Com</t>
        </is>
      </c>
      <c r="D463" t="inlineStr">
        <is>
          <t>Collaboratv Min:Schl,Chrch,Com</t>
        </is>
      </c>
      <c r="E463" t="inlineStr">
        <is>
          <t>DSRE615</t>
        </is>
      </c>
    </row>
    <row r="464">
      <c r="A464" t="inlineStr">
        <is>
          <t>NTST</t>
        </is>
      </c>
      <c r="B464" t="n">
        <v>885</v>
      </c>
      <c r="C464" t="inlineStr">
        <is>
          <t>Topics in</t>
        </is>
      </c>
      <c r="D464" t="inlineStr">
        <is>
          <t>Top:Intertestamental Literatur</t>
        </is>
      </c>
      <c r="E464" t="inlineStr">
        <is>
          <t>NTST885</t>
        </is>
      </c>
    </row>
    <row r="465">
      <c r="A465" t="inlineStr">
        <is>
          <t>DSRE</t>
        </is>
      </c>
      <c r="B465" t="n">
        <v>655</v>
      </c>
      <c r="C465" t="inlineStr">
        <is>
          <t>Families in Society</t>
        </is>
      </c>
      <c r="D465" t="inlineStr">
        <is>
          <t>Families in Society</t>
        </is>
      </c>
      <c r="E465" t="inlineStr">
        <is>
          <t>DSRE655</t>
        </is>
      </c>
    </row>
    <row r="466">
      <c r="A466" t="inlineStr">
        <is>
          <t>OTST</t>
        </is>
      </c>
      <c r="B466" t="n">
        <v>685</v>
      </c>
      <c r="C466" t="inlineStr">
        <is>
          <t>Principles of Hermeneutics</t>
        </is>
      </c>
      <c r="E466" t="inlineStr">
        <is>
          <t>OTST685</t>
        </is>
      </c>
    </row>
    <row r="467">
      <c r="A467" t="inlineStr">
        <is>
          <t>OTST</t>
        </is>
      </c>
      <c r="B467" t="n">
        <v>500</v>
      </c>
      <c r="C467" t="inlineStr">
        <is>
          <t>Survey of the Old Testament</t>
        </is>
      </c>
      <c r="E467" t="inlineStr">
        <is>
          <t>OTST500</t>
        </is>
      </c>
    </row>
    <row r="468">
      <c r="A468" t="inlineStr">
        <is>
          <t>OTST</t>
        </is>
      </c>
      <c r="B468" t="n">
        <v>885</v>
      </c>
      <c r="C468" t="inlineStr">
        <is>
          <t>Topics in:</t>
        </is>
      </c>
      <c r="D468" t="inlineStr">
        <is>
          <t>Topics in : Dead Sea Scrolls</t>
        </is>
      </c>
      <c r="E468" t="inlineStr">
        <is>
          <t>OTST885</t>
        </is>
      </c>
    </row>
    <row r="469">
      <c r="A469" t="inlineStr">
        <is>
          <t>OTST</t>
        </is>
      </c>
      <c r="B469" t="n">
        <v>614</v>
      </c>
      <c r="C469" t="inlineStr">
        <is>
          <t>Archaeology of Palestine</t>
        </is>
      </c>
      <c r="E469" t="inlineStr">
        <is>
          <t>OTST614</t>
        </is>
      </c>
    </row>
    <row r="470">
      <c r="A470" t="inlineStr">
        <is>
          <t>DSRE</t>
        </is>
      </c>
      <c r="B470" t="n">
        <v>534</v>
      </c>
      <c r="C470" t="inlineStr">
        <is>
          <t>Ministry to Youth&amp;Yng Adlt</t>
        </is>
      </c>
      <c r="D470" t="inlineStr">
        <is>
          <t>Ministry to Youth&amp;Yng Adlt</t>
        </is>
      </c>
      <c r="E470" t="inlineStr">
        <is>
          <t>DSRE534</t>
        </is>
      </c>
    </row>
    <row r="471">
      <c r="A471" t="inlineStr">
        <is>
          <t>MSSN</t>
        </is>
      </c>
      <c r="B471" t="n">
        <v>826</v>
      </c>
      <c r="C471" t="inlineStr">
        <is>
          <t>Sem Theology of Mission</t>
        </is>
      </c>
      <c r="E471" t="inlineStr">
        <is>
          <t>MSSN826</t>
        </is>
      </c>
    </row>
    <row r="472">
      <c r="A472" t="inlineStr">
        <is>
          <t>NTST</t>
        </is>
      </c>
      <c r="B472" t="n">
        <v>885</v>
      </c>
      <c r="C472" t="inlineStr">
        <is>
          <t>Topics in</t>
        </is>
      </c>
      <c r="D472" t="inlineStr">
        <is>
          <t>Top:Theo of Pauline Epistles</t>
        </is>
      </c>
      <c r="E472" t="inlineStr">
        <is>
          <t>NTST885</t>
        </is>
      </c>
    </row>
    <row r="473">
      <c r="A473" t="inlineStr">
        <is>
          <t>THST</t>
        </is>
      </c>
      <c r="B473" t="n">
        <v>611</v>
      </c>
      <c r="C473" t="inlineStr">
        <is>
          <t>Revelation, Inspiratn&amp;Herm</t>
        </is>
      </c>
      <c r="E473" t="inlineStr">
        <is>
          <t>THST611</t>
        </is>
      </c>
    </row>
    <row r="474">
      <c r="A474" t="inlineStr">
        <is>
          <t>OTST</t>
        </is>
      </c>
      <c r="B474" t="n">
        <v>885</v>
      </c>
      <c r="C474" t="inlineStr">
        <is>
          <t>Topics in:</t>
        </is>
      </c>
      <c r="D474" t="inlineStr">
        <is>
          <t>Topics in: Daniel</t>
        </is>
      </c>
      <c r="E474" t="inlineStr">
        <is>
          <t>OTST885</t>
        </is>
      </c>
    </row>
    <row r="475">
      <c r="A475" t="inlineStr">
        <is>
          <t>CHMN</t>
        </is>
      </c>
      <c r="B475" t="n">
        <v>549</v>
      </c>
      <c r="C475" t="inlineStr">
        <is>
          <t>Phil &amp; Ethics in Chaplaincy</t>
        </is>
      </c>
      <c r="E475" t="inlineStr">
        <is>
          <t>CHMN549</t>
        </is>
      </c>
    </row>
    <row r="476">
      <c r="A476" t="inlineStr">
        <is>
          <t>NTST</t>
        </is>
      </c>
      <c r="B476" t="n">
        <v>648</v>
      </c>
      <c r="C476" t="inlineStr">
        <is>
          <t>Revelation</t>
        </is>
      </c>
      <c r="E476" t="inlineStr">
        <is>
          <t>NTST648</t>
        </is>
      </c>
    </row>
    <row r="477">
      <c r="A477" t="inlineStr">
        <is>
          <t>THST</t>
        </is>
      </c>
      <c r="B477" t="n">
        <v>605</v>
      </c>
      <c r="C477" t="inlineStr">
        <is>
          <t>Principles of Christian Ethics</t>
        </is>
      </c>
      <c r="E477" t="inlineStr">
        <is>
          <t>THST605</t>
        </is>
      </c>
    </row>
    <row r="478">
      <c r="A478" t="inlineStr">
        <is>
          <t>NTST</t>
        </is>
      </c>
      <c r="B478" t="n">
        <v>653</v>
      </c>
      <c r="C478" t="inlineStr">
        <is>
          <t>Adv Studies General Epistles:</t>
        </is>
      </c>
      <c r="E478" t="inlineStr">
        <is>
          <t>NTST653</t>
        </is>
      </c>
    </row>
    <row r="479">
      <c r="A479" t="inlineStr">
        <is>
          <t>GSEM</t>
        </is>
      </c>
      <c r="B479" t="n">
        <v>525</v>
      </c>
      <c r="C479" t="inlineStr">
        <is>
          <t>The Bible &amp; Biblical History</t>
        </is>
      </c>
      <c r="E479" t="inlineStr">
        <is>
          <t>GSEM525</t>
        </is>
      </c>
    </row>
    <row r="480">
      <c r="A480" t="inlineStr">
        <is>
          <t>OTST</t>
        </is>
      </c>
      <c r="B480" t="n">
        <v>675</v>
      </c>
      <c r="C480" t="inlineStr">
        <is>
          <t>Minor Prophets</t>
        </is>
      </c>
      <c r="E480" t="inlineStr">
        <is>
          <t>OTST675</t>
        </is>
      </c>
    </row>
    <row r="481">
      <c r="A481" t="inlineStr">
        <is>
          <t>NTST</t>
        </is>
      </c>
      <c r="B481" t="n">
        <v>695</v>
      </c>
      <c r="C481" t="inlineStr">
        <is>
          <t>Top in NT Backgrounds</t>
        </is>
      </c>
      <c r="E481" t="inlineStr">
        <is>
          <t>NTST695</t>
        </is>
      </c>
    </row>
    <row r="482">
      <c r="A482" t="inlineStr">
        <is>
          <t>OTST</t>
        </is>
      </c>
      <c r="B482" t="n">
        <v>634</v>
      </c>
      <c r="C482" t="inlineStr">
        <is>
          <t>Intertestamental Literature</t>
        </is>
      </c>
      <c r="E482" t="inlineStr">
        <is>
          <t>OTST634</t>
        </is>
      </c>
    </row>
    <row r="483">
      <c r="A483" t="inlineStr">
        <is>
          <t>THST</t>
        </is>
      </c>
      <c r="B483" t="n">
        <v>635</v>
      </c>
      <c r="C483" t="inlineStr">
        <is>
          <t>Issues in Origins</t>
        </is>
      </c>
      <c r="E483" t="inlineStr">
        <is>
          <t>THST635</t>
        </is>
      </c>
    </row>
    <row r="484">
      <c r="A484" t="inlineStr">
        <is>
          <t>CHIS</t>
        </is>
      </c>
      <c r="B484" t="n">
        <v>664</v>
      </c>
      <c r="C484" t="inlineStr">
        <is>
          <t>Hist of American Relg Thought</t>
        </is>
      </c>
      <c r="D484" t="inlineStr">
        <is>
          <t>Hist of American Relg Thought</t>
        </is>
      </c>
      <c r="E484" t="inlineStr">
        <is>
          <t>CHIS664</t>
        </is>
      </c>
    </row>
    <row r="485">
      <c r="A485" t="inlineStr">
        <is>
          <t>NTST</t>
        </is>
      </c>
      <c r="B485" t="n">
        <v>634</v>
      </c>
      <c r="C485" t="inlineStr">
        <is>
          <t>Theology of Pauline Epistles</t>
        </is>
      </c>
      <c r="E485" t="inlineStr">
        <is>
          <t>NTST634</t>
        </is>
      </c>
    </row>
    <row r="486">
      <c r="A486" t="inlineStr">
        <is>
          <t>CHIS</t>
        </is>
      </c>
      <c r="B486" t="n">
        <v>638</v>
      </c>
      <c r="C486" t="inlineStr">
        <is>
          <t>Hist of GC, Cov, Law&amp;Sabbath</t>
        </is>
      </c>
      <c r="E486" t="inlineStr">
        <is>
          <t>CHIS638</t>
        </is>
      </c>
    </row>
    <row r="487">
      <c r="A487" t="inlineStr">
        <is>
          <t>THST</t>
        </is>
      </c>
      <c r="B487" t="n">
        <v>649</v>
      </c>
      <c r="C487" t="inlineStr">
        <is>
          <t>Sem in Theological Issues:</t>
        </is>
      </c>
      <c r="D487" t="inlineStr">
        <is>
          <t>Sem Theo:The Problem of Evil</t>
        </is>
      </c>
      <c r="E487" t="inlineStr">
        <is>
          <t>THST649</t>
        </is>
      </c>
    </row>
    <row r="488">
      <c r="A488" t="inlineStr">
        <is>
          <t>NTST</t>
        </is>
      </c>
      <c r="B488" t="n">
        <v>650</v>
      </c>
      <c r="C488" t="inlineStr">
        <is>
          <t>Gr Con, Cov, Law &amp; Sabbath</t>
        </is>
      </c>
      <c r="E488" t="inlineStr">
        <is>
          <t>NTST650</t>
        </is>
      </c>
    </row>
    <row r="489">
      <c r="A489" t="inlineStr">
        <is>
          <t>DSRE</t>
        </is>
      </c>
      <c r="B489" t="n">
        <v>541</v>
      </c>
      <c r="C489" t="inlineStr">
        <is>
          <t>Fndtns of Biblicl Spirituality</t>
        </is>
      </c>
      <c r="D489" t="inlineStr">
        <is>
          <t>Fndtns of Biblicl Spirituality</t>
        </is>
      </c>
      <c r="E489" t="inlineStr">
        <is>
          <t>DSRE541</t>
        </is>
      </c>
    </row>
    <row r="490">
      <c r="A490" t="inlineStr">
        <is>
          <t>THST</t>
        </is>
      </c>
      <c r="B490" t="n">
        <v>964</v>
      </c>
      <c r="C490" t="inlineStr">
        <is>
          <t>Sem in Historical Theology:</t>
        </is>
      </c>
      <c r="D490" t="inlineStr">
        <is>
          <t>Sem in Hist Theo:Sacraments</t>
        </is>
      </c>
      <c r="E490" t="inlineStr">
        <is>
          <t>THST964</t>
        </is>
      </c>
    </row>
    <row r="491">
      <c r="A491" t="inlineStr">
        <is>
          <t>OTST</t>
        </is>
      </c>
      <c r="B491" t="n">
        <v>565</v>
      </c>
      <c r="C491" t="inlineStr">
        <is>
          <t>Pentateuch</t>
        </is>
      </c>
      <c r="E491" t="inlineStr">
        <is>
          <t>OTST565</t>
        </is>
      </c>
    </row>
    <row r="492">
      <c r="A492" t="inlineStr">
        <is>
          <t>NTST</t>
        </is>
      </c>
      <c r="B492" t="n">
        <v>885</v>
      </c>
      <c r="C492" t="inlineStr">
        <is>
          <t>Topics in</t>
        </is>
      </c>
      <c r="D492" t="inlineStr">
        <is>
          <t>Topics in: Matthew</t>
        </is>
      </c>
      <c r="E492" t="inlineStr">
        <is>
          <t>NTST885</t>
        </is>
      </c>
    </row>
    <row r="493">
      <c r="A493" t="inlineStr">
        <is>
          <t>CHMN</t>
        </is>
      </c>
      <c r="B493" t="n">
        <v>609</v>
      </c>
      <c r="C493" t="inlineStr">
        <is>
          <t>Media Ministry</t>
        </is>
      </c>
      <c r="E493" t="inlineStr">
        <is>
          <t>CHMN609</t>
        </is>
      </c>
    </row>
    <row r="494">
      <c r="A494" t="inlineStr">
        <is>
          <t>THST</t>
        </is>
      </c>
      <c r="B494" t="n">
        <v>885</v>
      </c>
      <c r="C494" t="inlineStr">
        <is>
          <t>Top:</t>
        </is>
      </c>
      <c r="D494" t="inlineStr">
        <is>
          <t>Top: Early Christian Theology</t>
        </is>
      </c>
      <c r="E494" t="inlineStr">
        <is>
          <t>THST885</t>
        </is>
      </c>
    </row>
    <row r="495">
      <c r="A495" t="inlineStr">
        <is>
          <t>NTST</t>
        </is>
      </c>
      <c r="B495" t="n">
        <v>885</v>
      </c>
      <c r="C495" t="inlineStr">
        <is>
          <t>Topics in</t>
        </is>
      </c>
      <c r="D495" t="inlineStr">
        <is>
          <t>Top: Romans</t>
        </is>
      </c>
      <c r="E495" t="inlineStr">
        <is>
          <t>NTST885</t>
        </is>
      </c>
    </row>
    <row r="496">
      <c r="A496" t="inlineStr">
        <is>
          <t>NTST</t>
        </is>
      </c>
      <c r="B496" t="n">
        <v>885</v>
      </c>
      <c r="C496" t="inlineStr">
        <is>
          <t>Topics in</t>
        </is>
      </c>
      <c r="D496" t="inlineStr">
        <is>
          <t>Top: Judiasm in the NT</t>
        </is>
      </c>
      <c r="E496" t="inlineStr">
        <is>
          <t>NTST885</t>
        </is>
      </c>
    </row>
    <row r="497">
      <c r="A497" t="inlineStr">
        <is>
          <t>MSSN</t>
        </is>
      </c>
      <c r="B497" t="n">
        <v>695</v>
      </c>
      <c r="C497" t="inlineStr">
        <is>
          <t>Topics:</t>
        </is>
      </c>
      <c r="D497" t="inlineStr">
        <is>
          <t>Topics:Strtgs for  World Missn</t>
        </is>
      </c>
      <c r="E497" t="inlineStr">
        <is>
          <t>MSSN695</t>
        </is>
      </c>
    </row>
    <row r="498">
      <c r="A498" t="inlineStr">
        <is>
          <t>NTST</t>
        </is>
      </c>
      <c r="B498" t="n">
        <v>696</v>
      </c>
      <c r="C498" t="inlineStr">
        <is>
          <t>Sem in Hellenistic Greek</t>
        </is>
      </c>
      <c r="E498" t="inlineStr">
        <is>
          <t>NTST696</t>
        </is>
      </c>
    </row>
    <row r="499">
      <c r="A499" t="inlineStr">
        <is>
          <t>NTST</t>
        </is>
      </c>
      <c r="B499" t="n">
        <v>885</v>
      </c>
      <c r="C499" t="inlineStr">
        <is>
          <t>Topics in</t>
        </is>
      </c>
      <c r="D499" t="inlineStr">
        <is>
          <t>Topics in: Hellenistic Greek</t>
        </is>
      </c>
      <c r="E499" t="inlineStr">
        <is>
          <t>NTST885</t>
        </is>
      </c>
    </row>
    <row r="500">
      <c r="A500" t="inlineStr">
        <is>
          <t>THST</t>
        </is>
      </c>
      <c r="B500" t="n">
        <v>656</v>
      </c>
      <c r="C500" t="inlineStr">
        <is>
          <t>Sem in Historical Theology:</t>
        </is>
      </c>
      <c r="D500" t="inlineStr">
        <is>
          <t>Sem in Hist Theo:Sacraments</t>
        </is>
      </c>
      <c r="E500" t="inlineStr">
        <is>
          <t>THST656</t>
        </is>
      </c>
    </row>
    <row r="501">
      <c r="A501" t="inlineStr">
        <is>
          <t>THST</t>
        </is>
      </c>
      <c r="B501" t="n">
        <v>885</v>
      </c>
      <c r="C501" t="inlineStr">
        <is>
          <t>Top:</t>
        </is>
      </c>
      <c r="D501" t="inlineStr">
        <is>
          <t>Top:Issues in Orgins</t>
        </is>
      </c>
      <c r="E501" t="inlineStr">
        <is>
          <t>THST885</t>
        </is>
      </c>
    </row>
    <row r="502">
      <c r="A502" t="inlineStr">
        <is>
          <t>OTST</t>
        </is>
      </c>
      <c r="B502" t="n">
        <v>510</v>
      </c>
      <c r="C502" t="inlineStr">
        <is>
          <t>Archaeology and the Bible</t>
        </is>
      </c>
      <c r="E502" t="inlineStr">
        <is>
          <t>OTST510</t>
        </is>
      </c>
    </row>
    <row r="503">
      <c r="A503" t="inlineStr">
        <is>
          <t>CHMN</t>
        </is>
      </c>
      <c r="B503" t="n">
        <v>539</v>
      </c>
      <c r="C503" t="inlineStr">
        <is>
          <t>Church Grwth&amp; Equipping Pastor</t>
        </is>
      </c>
      <c r="D503" t="inlineStr">
        <is>
          <t>Chrch Grwth&amp; Eqppng Pstr:_____</t>
        </is>
      </c>
      <c r="E503" t="inlineStr">
        <is>
          <t>CHMN539</t>
        </is>
      </c>
    </row>
    <row r="504">
      <c r="A504" t="inlineStr">
        <is>
          <t>THST</t>
        </is>
      </c>
      <c r="B504" t="n">
        <v>885</v>
      </c>
      <c r="C504" t="inlineStr">
        <is>
          <t>Top:</t>
        </is>
      </c>
      <c r="D504" t="inlineStr">
        <is>
          <t>Top:Gr Controvrsy,Cov,Law,Sabb</t>
        </is>
      </c>
      <c r="E504" t="inlineStr">
        <is>
          <t>THST885</t>
        </is>
      </c>
    </row>
    <row r="505">
      <c r="A505" t="inlineStr">
        <is>
          <t>MSSN</t>
        </is>
      </c>
      <c r="B505" t="n">
        <v>695</v>
      </c>
      <c r="C505" t="inlineStr">
        <is>
          <t>Topics:</t>
        </is>
      </c>
      <c r="D505" t="inlineStr">
        <is>
          <t>Top:Seminar in other Religions</t>
        </is>
      </c>
      <c r="E505" t="inlineStr">
        <is>
          <t>MSSN695</t>
        </is>
      </c>
    </row>
    <row r="506">
      <c r="A506" t="inlineStr">
        <is>
          <t>GSEM</t>
        </is>
      </c>
      <c r="B506" t="n">
        <v>885</v>
      </c>
      <c r="C506" t="inlineStr">
        <is>
          <t>PhD-ThD Comp Exams</t>
        </is>
      </c>
      <c r="D506" t="inlineStr">
        <is>
          <t>PhD-ThD Comp Exams</t>
        </is>
      </c>
      <c r="E506" t="inlineStr">
        <is>
          <t>GSEM885</t>
        </is>
      </c>
    </row>
    <row r="507">
      <c r="A507" t="inlineStr">
        <is>
          <t>NTST</t>
        </is>
      </c>
      <c r="B507" t="n">
        <v>885</v>
      </c>
      <c r="C507" t="inlineStr">
        <is>
          <t>Topics in</t>
        </is>
      </c>
      <c r="D507" t="inlineStr">
        <is>
          <t>Topics:Eschatology</t>
        </is>
      </c>
      <c r="E507" t="inlineStr">
        <is>
          <t>NTST885</t>
        </is>
      </c>
    </row>
    <row r="508">
      <c r="A508" t="inlineStr">
        <is>
          <t>THST</t>
        </is>
      </c>
      <c r="B508" t="n">
        <v>885</v>
      </c>
      <c r="C508" t="inlineStr">
        <is>
          <t>Top:</t>
        </is>
      </c>
      <c r="D508" t="inlineStr">
        <is>
          <t>Top:Hist &amp; Theo of Ecumenism</t>
        </is>
      </c>
      <c r="E508" t="inlineStr">
        <is>
          <t>THST885</t>
        </is>
      </c>
    </row>
    <row r="509">
      <c r="A509" t="inlineStr">
        <is>
          <t>NTST</t>
        </is>
      </c>
      <c r="B509" t="n">
        <v>885</v>
      </c>
      <c r="C509" t="inlineStr">
        <is>
          <t>Topics in</t>
        </is>
      </c>
      <c r="D509" t="inlineStr">
        <is>
          <t>Topics in</t>
        </is>
      </c>
      <c r="E509" t="inlineStr">
        <is>
          <t>NTST885</t>
        </is>
      </c>
    </row>
    <row r="510">
      <c r="A510" t="inlineStr">
        <is>
          <t>THST</t>
        </is>
      </c>
      <c r="B510" t="n">
        <v>618</v>
      </c>
      <c r="C510" t="inlineStr">
        <is>
          <t>The Works of Christ</t>
        </is>
      </c>
      <c r="E510" t="inlineStr">
        <is>
          <t>THST618</t>
        </is>
      </c>
    </row>
    <row r="511">
      <c r="A511" t="inlineStr">
        <is>
          <t>CHMN</t>
        </is>
      </c>
      <c r="B511" t="n">
        <v>586</v>
      </c>
      <c r="C511" t="inlineStr">
        <is>
          <t>Spec Approaches to Evan:</t>
        </is>
      </c>
      <c r="D511" t="inlineStr">
        <is>
          <t>Spec Appr to Evan:Coachng Mssn</t>
        </is>
      </c>
      <c r="E511" t="inlineStr">
        <is>
          <t>CHMN586</t>
        </is>
      </c>
    </row>
    <row r="512">
      <c r="A512" t="inlineStr">
        <is>
          <t>GSEM</t>
        </is>
      </c>
      <c r="B512" t="n">
        <v>505</v>
      </c>
      <c r="C512" t="inlineStr">
        <is>
          <t>Colloquium:</t>
        </is>
      </c>
      <c r="D512" t="inlineStr">
        <is>
          <t>Colloquium:Research &amp; Writing</t>
        </is>
      </c>
      <c r="E512" t="inlineStr">
        <is>
          <t>GSEM505</t>
        </is>
      </c>
    </row>
    <row r="513">
      <c r="A513" t="inlineStr">
        <is>
          <t>THST</t>
        </is>
      </c>
      <c r="B513" t="n">
        <v>885</v>
      </c>
      <c r="C513" t="inlineStr">
        <is>
          <t>Top:</t>
        </is>
      </c>
      <c r="D513" t="inlineStr">
        <is>
          <t>Top:Protestant Theo Heritage</t>
        </is>
      </c>
      <c r="E513" t="inlineStr">
        <is>
          <t>THST885</t>
        </is>
      </c>
    </row>
    <row r="514">
      <c r="A514" t="inlineStr">
        <is>
          <t>THST</t>
        </is>
      </c>
      <c r="B514" t="n">
        <v>885</v>
      </c>
      <c r="C514" t="inlineStr">
        <is>
          <t>Top:</t>
        </is>
      </c>
      <c r="D514" t="inlineStr">
        <is>
          <t>Top: Works of Christ</t>
        </is>
      </c>
      <c r="E514" t="inlineStr">
        <is>
          <t>THST885</t>
        </is>
      </c>
    </row>
    <row r="515">
      <c r="A515" t="inlineStr">
        <is>
          <t>NTST</t>
        </is>
      </c>
      <c r="B515" t="n">
        <v>655</v>
      </c>
      <c r="C515" t="inlineStr">
        <is>
          <t>Adv Studies Gospels:</t>
        </is>
      </c>
      <c r="D515" t="inlineStr">
        <is>
          <t>Adv Studies Gospels: Mark</t>
        </is>
      </c>
      <c r="E515" t="inlineStr">
        <is>
          <t>NTST655</t>
        </is>
      </c>
    </row>
    <row r="516">
      <c r="A516" t="inlineStr">
        <is>
          <t>CHIS</t>
        </is>
      </c>
      <c r="B516" t="n">
        <v>685</v>
      </c>
      <c r="C516" t="inlineStr">
        <is>
          <t>Studies in Church History</t>
        </is>
      </c>
      <c r="D516" t="inlineStr">
        <is>
          <t>St Chrch Hstry:Rdg Bbl 500CE</t>
        </is>
      </c>
      <c r="E516" t="inlineStr">
        <is>
          <t>CHIS685</t>
        </is>
      </c>
    </row>
    <row r="517">
      <c r="A517" t="inlineStr">
        <is>
          <t>DSRE</t>
        </is>
      </c>
      <c r="B517" t="n">
        <v>564</v>
      </c>
      <c r="C517" t="inlineStr">
        <is>
          <t>Adv Yth&amp;Yng Adlt Min Ldrshp</t>
        </is>
      </c>
      <c r="D517" t="inlineStr">
        <is>
          <t>Adv Yth&amp;Yng Adlt Min Ldrshp</t>
        </is>
      </c>
      <c r="E517" t="inlineStr">
        <is>
          <t>DSRE564</t>
        </is>
      </c>
    </row>
    <row r="518">
      <c r="A518" t="inlineStr">
        <is>
          <t>NTST</t>
        </is>
      </c>
      <c r="B518" t="n">
        <v>520</v>
      </c>
      <c r="C518" t="inlineStr">
        <is>
          <t>Intro to the New Testament</t>
        </is>
      </c>
      <c r="E518" t="inlineStr">
        <is>
          <t>NTST520</t>
        </is>
      </c>
    </row>
    <row r="519">
      <c r="A519" t="inlineStr">
        <is>
          <t>NTST</t>
        </is>
      </c>
      <c r="B519" t="n">
        <v>530</v>
      </c>
      <c r="C519" t="inlineStr">
        <is>
          <t>Intro to Revelation</t>
        </is>
      </c>
      <c r="E519" t="inlineStr">
        <is>
          <t>NTST530</t>
        </is>
      </c>
    </row>
    <row r="520">
      <c r="A520" t="inlineStr">
        <is>
          <t>CHIS</t>
        </is>
      </c>
      <c r="B520" t="n">
        <v>668</v>
      </c>
      <c r="C520" t="inlineStr">
        <is>
          <t>History of Relg Liberty</t>
        </is>
      </c>
      <c r="E520" t="inlineStr">
        <is>
          <t>CHIS668</t>
        </is>
      </c>
    </row>
    <row r="521">
      <c r="A521" t="inlineStr">
        <is>
          <t>GSEM</t>
        </is>
      </c>
      <c r="B521" t="n">
        <v>505</v>
      </c>
      <c r="C521" t="inlineStr">
        <is>
          <t>Colloquium:</t>
        </is>
      </c>
      <c r="D521" t="inlineStr">
        <is>
          <t>Coloq:Intercultur Understandng</t>
        </is>
      </c>
      <c r="E521" t="inlineStr">
        <is>
          <t>GSEM505</t>
        </is>
      </c>
    </row>
    <row r="522">
      <c r="A522" t="inlineStr">
        <is>
          <t>GSEM</t>
        </is>
      </c>
      <c r="B522" t="n">
        <v>505</v>
      </c>
      <c r="C522" t="inlineStr">
        <is>
          <t>Colloquium:</t>
        </is>
      </c>
      <c r="D522" t="inlineStr">
        <is>
          <t>Coll:HopeFilled Financial Mgmt</t>
        </is>
      </c>
      <c r="E522" t="inlineStr">
        <is>
          <t>GSEM505</t>
        </is>
      </c>
    </row>
    <row r="523">
      <c r="A523" t="inlineStr">
        <is>
          <t>THST</t>
        </is>
      </c>
      <c r="B523" t="n">
        <v>885</v>
      </c>
      <c r="C523" t="inlineStr">
        <is>
          <t>Top:</t>
        </is>
      </c>
      <c r="D523" t="inlineStr">
        <is>
          <t>Top: Rev, Insp &amp; Hermeneutics</t>
        </is>
      </c>
      <c r="E523" t="inlineStr">
        <is>
          <t>THST885</t>
        </is>
      </c>
    </row>
    <row r="524">
      <c r="A524" t="inlineStr">
        <is>
          <t>OTST</t>
        </is>
      </c>
      <c r="B524" t="n">
        <v>885</v>
      </c>
      <c r="C524" t="inlineStr">
        <is>
          <t>Topics in:</t>
        </is>
      </c>
      <c r="D524" t="inlineStr">
        <is>
          <t>Tpcs in :NW Semitic Inscriptin</t>
        </is>
      </c>
      <c r="E524" t="inlineStr">
        <is>
          <t>OTST885</t>
        </is>
      </c>
    </row>
    <row r="525">
      <c r="A525" t="inlineStr">
        <is>
          <t>GSEM</t>
        </is>
      </c>
      <c r="B525" t="n">
        <v>648</v>
      </c>
      <c r="C525" t="inlineStr">
        <is>
          <t>Workshop</t>
        </is>
      </c>
      <c r="D525" t="inlineStr">
        <is>
          <t>Wrkshp:Ntrl Intrvntns&amp;Hydrthrp</t>
        </is>
      </c>
      <c r="E525" t="inlineStr">
        <is>
          <t>GSEM648</t>
        </is>
      </c>
    </row>
    <row r="526">
      <c r="A526" t="inlineStr">
        <is>
          <t>CHMN</t>
        </is>
      </c>
      <c r="B526" t="n">
        <v>654</v>
      </c>
      <c r="C526" t="inlineStr">
        <is>
          <t>Hist &amp; Theo Adventist Worshp</t>
        </is>
      </c>
      <c r="E526" t="inlineStr">
        <is>
          <t>CHMN654</t>
        </is>
      </c>
    </row>
    <row r="527">
      <c r="A527" t="inlineStr">
        <is>
          <t>THST</t>
        </is>
      </c>
      <c r="B527" t="n">
        <v>885</v>
      </c>
      <c r="C527" t="inlineStr">
        <is>
          <t>Top:</t>
        </is>
      </c>
      <c r="D527" t="inlineStr">
        <is>
          <t>Top:Princpl &amp; Meth of Theo</t>
        </is>
      </c>
      <c r="E527" t="inlineStr">
        <is>
          <t>THST885</t>
        </is>
      </c>
    </row>
    <row r="528">
      <c r="A528" t="inlineStr">
        <is>
          <t>THST</t>
        </is>
      </c>
      <c r="B528" t="n">
        <v>885</v>
      </c>
      <c r="C528" t="inlineStr">
        <is>
          <t>Top:</t>
        </is>
      </c>
      <c r="D528" t="inlineStr">
        <is>
          <t>Top:Christian Personal Ethics</t>
        </is>
      </c>
      <c r="E528" t="inlineStr">
        <is>
          <t>THST885</t>
        </is>
      </c>
    </row>
    <row r="529">
      <c r="A529" t="inlineStr">
        <is>
          <t>THST</t>
        </is>
      </c>
      <c r="B529" t="n">
        <v>605</v>
      </c>
      <c r="C529" t="inlineStr">
        <is>
          <t>Principles of Christian Ethics</t>
        </is>
      </c>
      <c r="D529" t="inlineStr">
        <is>
          <t>Principles of Christian Ethics</t>
        </is>
      </c>
      <c r="E529" t="inlineStr">
        <is>
          <t>THST605</t>
        </is>
      </c>
    </row>
    <row r="530">
      <c r="A530" t="inlineStr">
        <is>
          <t>OTST</t>
        </is>
      </c>
      <c r="B530" t="n">
        <v>668</v>
      </c>
      <c r="C530" t="inlineStr">
        <is>
          <t>Psalms/Wisdom Lit (Hebrew)</t>
        </is>
      </c>
      <c r="E530" t="inlineStr">
        <is>
          <t>OTST668</t>
        </is>
      </c>
    </row>
    <row r="531">
      <c r="A531" t="inlineStr">
        <is>
          <t>NTST</t>
        </is>
      </c>
      <c r="B531" t="n">
        <v>885</v>
      </c>
      <c r="C531" t="inlineStr">
        <is>
          <t>Topics in</t>
        </is>
      </c>
      <c r="D531" t="inlineStr">
        <is>
          <t>Top:Suffrng,Death&amp;Resurrection</t>
        </is>
      </c>
      <c r="E531" t="inlineStr">
        <is>
          <t>NTST885</t>
        </is>
      </c>
    </row>
    <row r="532">
      <c r="A532" t="inlineStr">
        <is>
          <t>CHIS</t>
        </is>
      </c>
      <c r="B532" t="n">
        <v>688</v>
      </c>
      <c r="C532" t="inlineStr">
        <is>
          <t>Contemporary Trends</t>
        </is>
      </c>
      <c r="E532" t="inlineStr">
        <is>
          <t>CHIS688</t>
        </is>
      </c>
    </row>
    <row r="533">
      <c r="A533" t="inlineStr">
        <is>
          <t>NTST</t>
        </is>
      </c>
      <c r="B533" t="n">
        <v>658</v>
      </c>
      <c r="C533" t="inlineStr">
        <is>
          <t>Adv Studies Pauline Wrtg:</t>
        </is>
      </c>
      <c r="D533" t="inlineStr">
        <is>
          <t>Adv Stud Pauline Wrtg: Romans</t>
        </is>
      </c>
      <c r="E533" t="inlineStr">
        <is>
          <t>NTST658</t>
        </is>
      </c>
    </row>
    <row r="534">
      <c r="A534" t="inlineStr">
        <is>
          <t>THST</t>
        </is>
      </c>
      <c r="B534" t="n">
        <v>600</v>
      </c>
      <c r="C534" t="inlineStr">
        <is>
          <t>Christian Personal Ethics</t>
        </is>
      </c>
      <c r="D534" t="inlineStr">
        <is>
          <t>Christian Personal Ethics</t>
        </is>
      </c>
      <c r="E534" t="inlineStr">
        <is>
          <t>THST600</t>
        </is>
      </c>
    </row>
    <row r="535">
      <c r="A535" t="inlineStr">
        <is>
          <t>GSEM</t>
        </is>
      </c>
      <c r="B535" t="n">
        <v>915</v>
      </c>
      <c r="C535" t="inlineStr">
        <is>
          <t>Bib &amp; Theo Hermeneutics</t>
        </is>
      </c>
      <c r="E535" t="inlineStr">
        <is>
          <t>GSEM915</t>
        </is>
      </c>
    </row>
    <row r="536">
      <c r="A536" t="inlineStr">
        <is>
          <t>CHIS</t>
        </is>
      </c>
      <c r="B536" t="n">
        <v>940</v>
      </c>
      <c r="C536" t="inlineStr">
        <is>
          <t>Seminar in Church History:</t>
        </is>
      </c>
      <c r="D536" t="inlineStr">
        <is>
          <t>Seminar:Hist Christian Spirit</t>
        </is>
      </c>
      <c r="E536" t="inlineStr">
        <is>
          <t>CHIS940</t>
        </is>
      </c>
    </row>
    <row r="537">
      <c r="A537" t="inlineStr">
        <is>
          <t>MSSN</t>
        </is>
      </c>
      <c r="B537" t="n">
        <v>660</v>
      </c>
      <c r="C537" t="inlineStr">
        <is>
          <t>Witn People Another Rlg:</t>
        </is>
      </c>
      <c r="D537" t="inlineStr">
        <is>
          <t>Witn People Another Rlg:Islam</t>
        </is>
      </c>
      <c r="E537" t="inlineStr">
        <is>
          <t>MSSN660</t>
        </is>
      </c>
    </row>
    <row r="538">
      <c r="A538" t="inlineStr">
        <is>
          <t>THST</t>
        </is>
      </c>
      <c r="B538" t="n">
        <v>814</v>
      </c>
      <c r="C538" t="inlineStr">
        <is>
          <t>Sem in Phil, Theo &amp; Ethics:</t>
        </is>
      </c>
      <c r="E538" t="inlineStr">
        <is>
          <t>THST814</t>
        </is>
      </c>
    </row>
    <row r="539">
      <c r="A539" t="inlineStr">
        <is>
          <t>NTST</t>
        </is>
      </c>
      <c r="B539" t="n">
        <v>885</v>
      </c>
      <c r="C539" t="inlineStr">
        <is>
          <t>Topics in</t>
        </is>
      </c>
      <c r="D539" t="inlineStr">
        <is>
          <t>Topics:Hebrew</t>
        </is>
      </c>
      <c r="E539" t="inlineStr">
        <is>
          <t>NTST885</t>
        </is>
      </c>
    </row>
    <row r="540">
      <c r="A540" t="inlineStr">
        <is>
          <t>CHIS</t>
        </is>
      </c>
      <c r="B540" t="n">
        <v>940</v>
      </c>
      <c r="C540" t="inlineStr">
        <is>
          <t>Seminar in Church History:</t>
        </is>
      </c>
      <c r="D540" t="inlineStr">
        <is>
          <t>Sem CHIS:Nat Theo &amp; Moral Phil</t>
        </is>
      </c>
      <c r="E540" t="inlineStr">
        <is>
          <t>CHIS940</t>
        </is>
      </c>
    </row>
    <row r="541">
      <c r="A541" t="inlineStr">
        <is>
          <t>OTST</t>
        </is>
      </c>
      <c r="B541" t="n">
        <v>885</v>
      </c>
      <c r="C541" t="inlineStr">
        <is>
          <t>Topics in:</t>
        </is>
      </c>
      <c r="D541" t="inlineStr">
        <is>
          <t>Topics in : Minor Prophets</t>
        </is>
      </c>
      <c r="E541" t="inlineStr">
        <is>
          <t>OTST885</t>
        </is>
      </c>
    </row>
    <row r="542">
      <c r="A542" t="inlineStr">
        <is>
          <t>CHMN</t>
        </is>
      </c>
      <c r="B542" t="n">
        <v>632</v>
      </c>
      <c r="C542" t="inlineStr">
        <is>
          <t>Contextualized Preaching</t>
        </is>
      </c>
      <c r="D542" t="inlineStr">
        <is>
          <t>Contextualized Preaching</t>
        </is>
      </c>
      <c r="E542" t="inlineStr">
        <is>
          <t>CHMN632</t>
        </is>
      </c>
    </row>
    <row r="543">
      <c r="A543" t="inlineStr">
        <is>
          <t>MSSN</t>
        </is>
      </c>
      <c r="B543" t="n">
        <v>885</v>
      </c>
      <c r="C543" t="inlineStr">
        <is>
          <t>Topics in:</t>
        </is>
      </c>
      <c r="D543" t="inlineStr">
        <is>
          <t>Top:Christian Social Ethics</t>
        </is>
      </c>
      <c r="E543" t="inlineStr">
        <is>
          <t>MSSN885</t>
        </is>
      </c>
    </row>
    <row r="544">
      <c r="A544" t="inlineStr">
        <is>
          <t>OTST</t>
        </is>
      </c>
      <c r="B544" t="n">
        <v>885</v>
      </c>
      <c r="C544" t="inlineStr">
        <is>
          <t>Topics in:</t>
        </is>
      </c>
      <c r="D544" t="inlineStr">
        <is>
          <t>Topics in:AncntNrEstrnLanguags</t>
        </is>
      </c>
      <c r="E544" t="inlineStr">
        <is>
          <t>OTST885</t>
        </is>
      </c>
    </row>
    <row r="545">
      <c r="A545" t="inlineStr">
        <is>
          <t>CHIS</t>
        </is>
      </c>
      <c r="B545" t="n">
        <v>695</v>
      </c>
      <c r="C545" t="inlineStr">
        <is>
          <t>Topics in Church History:</t>
        </is>
      </c>
      <c r="D545" t="inlineStr">
        <is>
          <t>Top CHIS:Nat Theo Moral Phi</t>
        </is>
      </c>
      <c r="E545" t="inlineStr">
        <is>
          <t>CHIS695</t>
        </is>
      </c>
    </row>
    <row r="546">
      <c r="A546" t="inlineStr">
        <is>
          <t>THST</t>
        </is>
      </c>
      <c r="B546" t="n">
        <v>635</v>
      </c>
      <c r="C546" t="inlineStr">
        <is>
          <t>Issues in Origins</t>
        </is>
      </c>
      <c r="D546" t="inlineStr">
        <is>
          <t>Issues in Origins</t>
        </is>
      </c>
      <c r="E546" t="inlineStr">
        <is>
          <t>THST635</t>
        </is>
      </c>
    </row>
    <row r="547">
      <c r="A547" t="inlineStr">
        <is>
          <t>OTST</t>
        </is>
      </c>
      <c r="B547" t="n">
        <v>885</v>
      </c>
      <c r="C547" t="inlineStr">
        <is>
          <t>Topics in:</t>
        </is>
      </c>
      <c r="D547" t="inlineStr">
        <is>
          <t>Topics in :Biblical Aramaic</t>
        </is>
      </c>
      <c r="E547" t="inlineStr">
        <is>
          <t>OTST885</t>
        </is>
      </c>
    </row>
    <row r="548">
      <c r="A548" t="inlineStr">
        <is>
          <t>NTST</t>
        </is>
      </c>
      <c r="B548" t="n">
        <v>885</v>
      </c>
      <c r="C548" t="inlineStr">
        <is>
          <t>Topics in</t>
        </is>
      </c>
      <c r="D548" t="inlineStr">
        <is>
          <t>Topics:Revelation</t>
        </is>
      </c>
      <c r="E548" t="inlineStr">
        <is>
          <t>NTST885</t>
        </is>
      </c>
    </row>
    <row r="549">
      <c r="A549" t="inlineStr">
        <is>
          <t>MSSN</t>
        </is>
      </c>
      <c r="B549" t="n">
        <v>885</v>
      </c>
      <c r="C549" t="inlineStr">
        <is>
          <t>Topics in:</t>
        </is>
      </c>
      <c r="D549" t="inlineStr">
        <is>
          <t>Topics in:ChrstnRspnsHumnNeeds</t>
        </is>
      </c>
      <c r="E549" t="inlineStr">
        <is>
          <t>MSSN885</t>
        </is>
      </c>
    </row>
    <row r="550">
      <c r="A550" t="inlineStr">
        <is>
          <t>OTST</t>
        </is>
      </c>
      <c r="B550" t="n">
        <v>514</v>
      </c>
      <c r="C550" t="inlineStr">
        <is>
          <t>Bible Lands &amp; Their Exploraton</t>
        </is>
      </c>
      <c r="D550" t="inlineStr">
        <is>
          <t>Bible Lands &amp; Their Exploraton</t>
        </is>
      </c>
      <c r="E550" t="inlineStr">
        <is>
          <t>OTST514</t>
        </is>
      </c>
    </row>
    <row r="551">
      <c r="A551" t="inlineStr">
        <is>
          <t>OTST</t>
        </is>
      </c>
      <c r="B551" t="n">
        <v>625</v>
      </c>
      <c r="C551" t="inlineStr">
        <is>
          <t>Biblical Hebrew III</t>
        </is>
      </c>
      <c r="D551" t="inlineStr">
        <is>
          <t>Biblical Hebrew III</t>
        </is>
      </c>
      <c r="E551" t="inlineStr">
        <is>
          <t>OTST625</t>
        </is>
      </c>
    </row>
    <row r="552">
      <c r="A552" t="inlineStr">
        <is>
          <t>CHIS</t>
        </is>
      </c>
      <c r="B552" t="n">
        <v>570</v>
      </c>
      <c r="C552" t="inlineStr">
        <is>
          <t>History of the SDA Church</t>
        </is>
      </c>
      <c r="D552" t="inlineStr">
        <is>
          <t>History of the SDA Church</t>
        </is>
      </c>
      <c r="E552" t="inlineStr">
        <is>
          <t>CHIS570</t>
        </is>
      </c>
    </row>
    <row r="553">
      <c r="A553" t="inlineStr">
        <is>
          <t>CHIS</t>
        </is>
      </c>
      <c r="B553" t="n">
        <v>571</v>
      </c>
      <c r="C553" t="inlineStr">
        <is>
          <t>Life &amp; Writings of E. G. White</t>
        </is>
      </c>
      <c r="D553" t="inlineStr">
        <is>
          <t>Life &amp; Writings of E. G. White</t>
        </is>
      </c>
      <c r="E553" t="inlineStr">
        <is>
          <t>CHIS571</t>
        </is>
      </c>
    </row>
    <row r="554">
      <c r="A554" t="inlineStr">
        <is>
          <t>CHMN</t>
        </is>
      </c>
      <c r="B554" t="n">
        <v>523</v>
      </c>
      <c r="C554" t="inlineStr">
        <is>
          <t>Worship:Word &amp; Music</t>
        </is>
      </c>
      <c r="D554" t="inlineStr">
        <is>
          <t>Worship:Word &amp; Music</t>
        </is>
      </c>
      <c r="E554" t="inlineStr">
        <is>
          <t>CHMN523</t>
        </is>
      </c>
    </row>
    <row r="555">
      <c r="A555" t="inlineStr">
        <is>
          <t>OTST</t>
        </is>
      </c>
      <c r="B555" t="n">
        <v>885</v>
      </c>
      <c r="C555" t="inlineStr">
        <is>
          <t>Topics in:</t>
        </is>
      </c>
      <c r="D555" t="inlineStr">
        <is>
          <t>Topics in :Biblical Hebrew III</t>
        </is>
      </c>
      <c r="E555" t="inlineStr">
        <is>
          <t>OTST885</t>
        </is>
      </c>
    </row>
    <row r="556">
      <c r="A556" t="inlineStr">
        <is>
          <t>OTST</t>
        </is>
      </c>
      <c r="B556" t="n">
        <v>885</v>
      </c>
      <c r="C556" t="inlineStr">
        <is>
          <t>Topics in:</t>
        </is>
      </c>
      <c r="D556" t="inlineStr">
        <is>
          <t>Topics in: Pentateuch</t>
        </is>
      </c>
      <c r="E556" t="inlineStr">
        <is>
          <t>OTST885</t>
        </is>
      </c>
    </row>
    <row r="557">
      <c r="A557" t="inlineStr">
        <is>
          <t>GSEM</t>
        </is>
      </c>
      <c r="B557" t="n">
        <v>505</v>
      </c>
      <c r="C557" t="inlineStr">
        <is>
          <t>Colloquium:</t>
        </is>
      </c>
      <c r="D557" t="inlineStr">
        <is>
          <t>Coll:Academic Survival&amp;Success</t>
        </is>
      </c>
      <c r="E557" t="inlineStr">
        <is>
          <t>GSEM505</t>
        </is>
      </c>
    </row>
    <row r="558">
      <c r="A558" t="inlineStr">
        <is>
          <t>THST</t>
        </is>
      </c>
      <c r="B558" t="n">
        <v>616</v>
      </c>
      <c r="C558" t="inlineStr">
        <is>
          <t>Doctrine of God</t>
        </is>
      </c>
      <c r="D558" t="inlineStr">
        <is>
          <t>Doctrine of God</t>
        </is>
      </c>
      <c r="E558" t="inlineStr">
        <is>
          <t>THST616</t>
        </is>
      </c>
    </row>
    <row r="559">
      <c r="A559" t="inlineStr">
        <is>
          <t>CHMN</t>
        </is>
      </c>
      <c r="B559" t="n">
        <v>609</v>
      </c>
      <c r="C559" t="inlineStr">
        <is>
          <t>Media Ministry</t>
        </is>
      </c>
      <c r="D559" t="inlineStr">
        <is>
          <t>Media Ministry</t>
        </is>
      </c>
      <c r="E559" t="inlineStr">
        <is>
          <t>CHMN609</t>
        </is>
      </c>
    </row>
    <row r="560">
      <c r="A560" t="inlineStr">
        <is>
          <t>THST</t>
        </is>
      </c>
      <c r="B560" t="n">
        <v>885</v>
      </c>
      <c r="C560" t="inlineStr">
        <is>
          <t>Top:</t>
        </is>
      </c>
      <c r="D560" t="inlineStr">
        <is>
          <t>Top:Christian Social Ethics</t>
        </is>
      </c>
      <c r="E560" t="inlineStr">
        <is>
          <t>THST885</t>
        </is>
      </c>
    </row>
    <row r="561">
      <c r="A561" t="inlineStr">
        <is>
          <t>THST</t>
        </is>
      </c>
      <c r="B561" t="n">
        <v>521</v>
      </c>
      <c r="C561" t="inlineStr">
        <is>
          <t>Christian Theology I</t>
        </is>
      </c>
      <c r="D561" t="inlineStr">
        <is>
          <t>Christian Theology I</t>
        </is>
      </c>
      <c r="E561" t="inlineStr">
        <is>
          <t>THST521</t>
        </is>
      </c>
    </row>
    <row r="562">
      <c r="A562" t="inlineStr">
        <is>
          <t>NTST</t>
        </is>
      </c>
      <c r="B562" t="n">
        <v>648</v>
      </c>
      <c r="C562" t="inlineStr">
        <is>
          <t>Revelation</t>
        </is>
      </c>
      <c r="D562" t="inlineStr">
        <is>
          <t>Revelation</t>
        </is>
      </c>
      <c r="E562" t="inlineStr">
        <is>
          <t>NTST648</t>
        </is>
      </c>
    </row>
    <row r="563">
      <c r="A563" t="inlineStr">
        <is>
          <t>DSRE</t>
        </is>
      </c>
      <c r="B563" t="n">
        <v>758</v>
      </c>
      <c r="C563" t="inlineStr">
        <is>
          <t>Internal Dynamics of Families</t>
        </is>
      </c>
      <c r="E563" t="inlineStr">
        <is>
          <t>DSRE758</t>
        </is>
      </c>
    </row>
    <row r="564">
      <c r="A564" t="inlineStr">
        <is>
          <t>CHMN</t>
        </is>
      </c>
      <c r="B564" t="n">
        <v>778</v>
      </c>
      <c r="C564" t="inlineStr">
        <is>
          <t>Ch Growth&amp;Discipleshp Urban Ch</t>
        </is>
      </c>
      <c r="E564" t="inlineStr">
        <is>
          <t>CHMN778</t>
        </is>
      </c>
    </row>
    <row r="565">
      <c r="A565" t="inlineStr">
        <is>
          <t>CHMN</t>
        </is>
      </c>
      <c r="B565" t="n">
        <v>588</v>
      </c>
      <c r="C565" t="inlineStr">
        <is>
          <t>Seminary Chorus</t>
        </is>
      </c>
      <c r="D565" t="inlineStr">
        <is>
          <t>Seminary Chorus</t>
        </is>
      </c>
      <c r="E565" t="inlineStr">
        <is>
          <t>CHMN588</t>
        </is>
      </c>
    </row>
    <row r="566">
      <c r="A566" t="inlineStr">
        <is>
          <t>GSEM</t>
        </is>
      </c>
      <c r="B566" t="n">
        <v>788</v>
      </c>
      <c r="C566" t="inlineStr">
        <is>
          <t>DMin Prof. Dissertation Cont</t>
        </is>
      </c>
      <c r="E566" t="inlineStr">
        <is>
          <t>GSEM788</t>
        </is>
      </c>
    </row>
    <row r="567">
      <c r="A567" t="inlineStr">
        <is>
          <t>CHMN</t>
        </is>
      </c>
      <c r="B567" t="n">
        <v>634</v>
      </c>
      <c r="C567" t="inlineStr">
        <is>
          <t>Field Evang. Preach. &amp; Pract.</t>
        </is>
      </c>
      <c r="D567" t="inlineStr">
        <is>
          <t>Field Evang. Preach. &amp; Pract.</t>
        </is>
      </c>
      <c r="E567" t="inlineStr">
        <is>
          <t>CHMN634</t>
        </is>
      </c>
    </row>
    <row r="568">
      <c r="A568" t="inlineStr">
        <is>
          <t>OTST</t>
        </is>
      </c>
      <c r="B568" t="n">
        <v>619</v>
      </c>
      <c r="C568" t="inlineStr">
        <is>
          <t>Theology of the Old Testament</t>
        </is>
      </c>
      <c r="D568" t="inlineStr">
        <is>
          <t>Theology of the Old Testament</t>
        </is>
      </c>
      <c r="E568" t="inlineStr">
        <is>
          <t>OTST619</t>
        </is>
      </c>
    </row>
    <row r="569">
      <c r="A569" t="inlineStr">
        <is>
          <t>CHMN</t>
        </is>
      </c>
      <c r="B569" t="n">
        <v>553</v>
      </c>
      <c r="C569" t="inlineStr">
        <is>
          <t>The Church &amp; Social Issues</t>
        </is>
      </c>
      <c r="D569" t="inlineStr">
        <is>
          <t>The Church &amp; Social Issues</t>
        </is>
      </c>
      <c r="E569" t="inlineStr">
        <is>
          <t>CHMN553</t>
        </is>
      </c>
    </row>
    <row r="570">
      <c r="A570" t="inlineStr">
        <is>
          <t>CHIS</t>
        </is>
      </c>
      <c r="B570" t="n">
        <v>612</v>
      </c>
      <c r="C570" t="inlineStr">
        <is>
          <t>Intro to Ecclesiastical Latin</t>
        </is>
      </c>
      <c r="E570" t="inlineStr">
        <is>
          <t>CHIS612</t>
        </is>
      </c>
    </row>
    <row r="571">
      <c r="A571" t="inlineStr">
        <is>
          <t>THST</t>
        </is>
      </c>
      <c r="B571" t="n">
        <v>611</v>
      </c>
      <c r="C571" t="inlineStr">
        <is>
          <t>Revelation, Inspiratn&amp;Herm</t>
        </is>
      </c>
      <c r="D571" t="inlineStr">
        <is>
          <t>Revelation, Inspiratn&amp;Herm</t>
        </is>
      </c>
      <c r="E571" t="inlineStr">
        <is>
          <t>THST611</t>
        </is>
      </c>
    </row>
    <row r="572">
      <c r="A572" t="inlineStr">
        <is>
          <t>THST</t>
        </is>
      </c>
      <c r="B572" t="n">
        <v>640</v>
      </c>
      <c r="C572" t="inlineStr">
        <is>
          <t>Doctrine of Salvation</t>
        </is>
      </c>
      <c r="D572" t="inlineStr">
        <is>
          <t>Doctrine of Salvation</t>
        </is>
      </c>
      <c r="E572" t="inlineStr">
        <is>
          <t>THST640</t>
        </is>
      </c>
    </row>
    <row r="573">
      <c r="A573" t="inlineStr">
        <is>
          <t>NTST</t>
        </is>
      </c>
      <c r="B573" t="n">
        <v>885</v>
      </c>
      <c r="C573" t="inlineStr">
        <is>
          <t>Topics in</t>
        </is>
      </c>
      <c r="D573" t="inlineStr">
        <is>
          <t>Topics in Holy Spirit in theNT</t>
        </is>
      </c>
      <c r="E573" t="inlineStr">
        <is>
          <t>NTST885</t>
        </is>
      </c>
    </row>
    <row r="574">
      <c r="A574" t="inlineStr">
        <is>
          <t>THST</t>
        </is>
      </c>
      <c r="B574" t="n">
        <v>885</v>
      </c>
      <c r="C574" t="inlineStr">
        <is>
          <t>Top:</t>
        </is>
      </c>
      <c r="D574" t="inlineStr">
        <is>
          <t>Top: Issues in Origins</t>
        </is>
      </c>
      <c r="E574" t="inlineStr">
        <is>
          <t>THST885</t>
        </is>
      </c>
    </row>
    <row r="575">
      <c r="A575" t="inlineStr">
        <is>
          <t>MSSN</t>
        </is>
      </c>
      <c r="B575" t="n">
        <v>695</v>
      </c>
      <c r="C575" t="inlineStr">
        <is>
          <t>Topics:</t>
        </is>
      </c>
      <c r="D575" t="inlineStr">
        <is>
          <t>Top:Mssn in Cultrl&amp;RlgsContext</t>
        </is>
      </c>
      <c r="E575" t="inlineStr">
        <is>
          <t>MSSN695</t>
        </is>
      </c>
    </row>
    <row r="576">
      <c r="A576" t="inlineStr">
        <is>
          <t>THST</t>
        </is>
      </c>
      <c r="B576" t="n">
        <v>885</v>
      </c>
      <c r="C576" t="inlineStr">
        <is>
          <t>Top:</t>
        </is>
      </c>
      <c r="D576" t="inlineStr">
        <is>
          <t>Top: RC Life &amp; Thought</t>
        </is>
      </c>
      <c r="E576" t="inlineStr">
        <is>
          <t>THST885</t>
        </is>
      </c>
    </row>
    <row r="577">
      <c r="A577" t="inlineStr">
        <is>
          <t>THST</t>
        </is>
      </c>
      <c r="B577" t="n">
        <v>885</v>
      </c>
      <c r="C577" t="inlineStr">
        <is>
          <t>Top:</t>
        </is>
      </c>
      <c r="D577" t="inlineStr">
        <is>
          <t>Top: Biblical Eschatology</t>
        </is>
      </c>
      <c r="E577" t="inlineStr">
        <is>
          <t>THST885</t>
        </is>
      </c>
    </row>
    <row r="578">
      <c r="A578" t="inlineStr">
        <is>
          <t>NTST</t>
        </is>
      </c>
      <c r="B578" t="n">
        <v>885</v>
      </c>
      <c r="C578" t="inlineStr">
        <is>
          <t>Topics in</t>
        </is>
      </c>
      <c r="E578" t="inlineStr">
        <is>
          <t>NTST885</t>
        </is>
      </c>
    </row>
    <row r="579">
      <c r="A579" t="inlineStr">
        <is>
          <t>DSRE</t>
        </is>
      </c>
      <c r="B579" t="n">
        <v>608</v>
      </c>
      <c r="C579" t="inlineStr">
        <is>
          <t>Yth&amp;Yng Adlt in Contmp Culture</t>
        </is>
      </c>
      <c r="D579" t="inlineStr">
        <is>
          <t>Yth&amp;Yng Adlt in Contmp Culture</t>
        </is>
      </c>
      <c r="E579" t="inlineStr">
        <is>
          <t>DSRE608</t>
        </is>
      </c>
    </row>
    <row r="580">
      <c r="A580" t="inlineStr">
        <is>
          <t>THST</t>
        </is>
      </c>
      <c r="B580" t="n">
        <v>885</v>
      </c>
      <c r="C580" t="inlineStr">
        <is>
          <t>Top:</t>
        </is>
      </c>
      <c r="D580" t="inlineStr">
        <is>
          <t>Top: Doctrine of Holy Spirit</t>
        </is>
      </c>
      <c r="E580" t="inlineStr">
        <is>
          <t>THST885</t>
        </is>
      </c>
    </row>
    <row r="581">
      <c r="A581" t="inlineStr">
        <is>
          <t>CHIS</t>
        </is>
      </c>
      <c r="B581" t="n">
        <v>685</v>
      </c>
      <c r="C581" t="inlineStr">
        <is>
          <t>Studies in Church History</t>
        </is>
      </c>
      <c r="D581" t="inlineStr">
        <is>
          <t>StChHist:RdgBible Chrstns&amp;Jews</t>
        </is>
      </c>
      <c r="E581" t="inlineStr">
        <is>
          <t>CHIS685</t>
        </is>
      </c>
    </row>
    <row r="582">
      <c r="A582" t="inlineStr">
        <is>
          <t>THST</t>
        </is>
      </c>
      <c r="B582" t="n">
        <v>885</v>
      </c>
      <c r="C582" t="inlineStr">
        <is>
          <t>Top:</t>
        </is>
      </c>
      <c r="D582" t="inlineStr">
        <is>
          <t>Top:Rom Catholic Life&amp;Thought</t>
        </is>
      </c>
      <c r="E582" t="inlineStr">
        <is>
          <t>THST885</t>
        </is>
      </c>
    </row>
    <row r="583">
      <c r="A583" t="inlineStr">
        <is>
          <t>CHIS</t>
        </is>
      </c>
      <c r="B583" t="n">
        <v>940</v>
      </c>
      <c r="C583" t="inlineStr">
        <is>
          <t>Seminar in Church History:</t>
        </is>
      </c>
      <c r="D583" t="inlineStr">
        <is>
          <t>Sem: History of Inspiration</t>
        </is>
      </c>
      <c r="E583" t="inlineStr">
        <is>
          <t>CHIS940</t>
        </is>
      </c>
    </row>
    <row r="584">
      <c r="A584" t="inlineStr">
        <is>
          <t>MSSN</t>
        </is>
      </c>
      <c r="B584" t="n">
        <v>695</v>
      </c>
      <c r="C584" t="inlineStr">
        <is>
          <t>Topics:</t>
        </is>
      </c>
      <c r="D584" t="inlineStr">
        <is>
          <t>Top:Cross-Cultural Leadership</t>
        </is>
      </c>
      <c r="E584" t="inlineStr">
        <is>
          <t>MSSN695</t>
        </is>
      </c>
    </row>
    <row r="585">
      <c r="A585" t="inlineStr">
        <is>
          <t>OTST</t>
        </is>
      </c>
      <c r="B585" t="n">
        <v>885</v>
      </c>
      <c r="C585" t="inlineStr">
        <is>
          <t>Topics in:</t>
        </is>
      </c>
      <c r="D585" t="inlineStr">
        <is>
          <t>Topics in : Psalms</t>
        </is>
      </c>
      <c r="E585" t="inlineStr">
        <is>
          <t>OTST885</t>
        </is>
      </c>
    </row>
    <row r="586">
      <c r="A586" t="inlineStr">
        <is>
          <t>MSSN</t>
        </is>
      </c>
      <c r="B586" t="n">
        <v>885</v>
      </c>
      <c r="C586" t="inlineStr">
        <is>
          <t>Topics in:</t>
        </is>
      </c>
      <c r="D586" t="inlineStr">
        <is>
          <t>Top:Sem in Theology of Mission</t>
        </is>
      </c>
      <c r="E586" t="inlineStr">
        <is>
          <t>MSSN885</t>
        </is>
      </c>
    </row>
    <row r="587">
      <c r="A587" t="inlineStr">
        <is>
          <t>OTST</t>
        </is>
      </c>
      <c r="B587" t="n">
        <v>885</v>
      </c>
      <c r="C587" t="inlineStr">
        <is>
          <t>Topics in:</t>
        </is>
      </c>
      <c r="D587" t="inlineStr">
        <is>
          <t>Topics in : Daniel</t>
        </is>
      </c>
      <c r="E587" t="inlineStr">
        <is>
          <t>OTST885</t>
        </is>
      </c>
    </row>
    <row r="588">
      <c r="A588" t="inlineStr">
        <is>
          <t>DSRE</t>
        </is>
      </c>
      <c r="B588" t="n">
        <v>652</v>
      </c>
      <c r="C588" t="inlineStr">
        <is>
          <t>Personal &amp; Fam Finance</t>
        </is>
      </c>
      <c r="E588" t="inlineStr">
        <is>
          <t>DSRE652</t>
        </is>
      </c>
    </row>
    <row r="589">
      <c r="A589" t="inlineStr">
        <is>
          <t>OTST</t>
        </is>
      </c>
      <c r="B589" t="n">
        <v>610</v>
      </c>
      <c r="C589" t="inlineStr">
        <is>
          <t>Gr Cntrvrsy, Cov, Law, Sabbath</t>
        </is>
      </c>
      <c r="E589" t="inlineStr">
        <is>
          <t>OTST610</t>
        </is>
      </c>
    </row>
    <row r="590">
      <c r="A590" t="inlineStr">
        <is>
          <t>OTST</t>
        </is>
      </c>
      <c r="B590" t="n">
        <v>668</v>
      </c>
      <c r="C590" t="inlineStr">
        <is>
          <t>Psalms/Wisdom Lit (Hebrew)</t>
        </is>
      </c>
      <c r="D590" t="inlineStr">
        <is>
          <t>Psalms/Wisdom Lit (Hebrew)</t>
        </is>
      </c>
      <c r="E590" t="inlineStr">
        <is>
          <t>OTST668</t>
        </is>
      </c>
    </row>
    <row r="591">
      <c r="A591" t="inlineStr">
        <is>
          <t>GSEM</t>
        </is>
      </c>
      <c r="B591" t="n">
        <v>505</v>
      </c>
      <c r="C591" t="inlineStr">
        <is>
          <t>Colloquium:</t>
        </is>
      </c>
      <c r="D591" t="inlineStr">
        <is>
          <t>Coll: Exeg Use of Bib Software</t>
        </is>
      </c>
      <c r="E591" t="inlineStr">
        <is>
          <t>GSEM505</t>
        </is>
      </c>
    </row>
    <row r="592">
      <c r="A592" t="inlineStr">
        <is>
          <t>CHMN</t>
        </is>
      </c>
      <c r="B592" t="n">
        <v>557</v>
      </c>
      <c r="C592" t="inlineStr">
        <is>
          <t>Practicum Clin Pastoral Educ</t>
        </is>
      </c>
      <c r="E592" t="inlineStr">
        <is>
          <t>CHMN557</t>
        </is>
      </c>
    </row>
    <row r="593">
      <c r="A593" t="inlineStr">
        <is>
          <t>MSSN</t>
        </is>
      </c>
      <c r="B593" t="n">
        <v>695</v>
      </c>
      <c r="C593" t="inlineStr">
        <is>
          <t>Topics:</t>
        </is>
      </c>
      <c r="D593" t="inlineStr">
        <is>
          <t>Top: Theology of Mission</t>
        </is>
      </c>
      <c r="E593" t="inlineStr">
        <is>
          <t>MSSN695</t>
        </is>
      </c>
    </row>
    <row r="594">
      <c r="A594" t="inlineStr">
        <is>
          <t>NTST</t>
        </is>
      </c>
      <c r="B594" t="n">
        <v>650</v>
      </c>
      <c r="C594" t="inlineStr">
        <is>
          <t>Gr Con, Cov, Law &amp; Sabbath</t>
        </is>
      </c>
      <c r="D594" t="inlineStr">
        <is>
          <t>Gr Con, Cov, Law &amp; Sabbath</t>
        </is>
      </c>
      <c r="E594" t="inlineStr">
        <is>
          <t>NTST650</t>
        </is>
      </c>
    </row>
    <row r="595">
      <c r="A595" t="inlineStr">
        <is>
          <t>DSRE</t>
        </is>
      </c>
      <c r="B595" t="n">
        <v>709</v>
      </c>
      <c r="C595" t="inlineStr">
        <is>
          <t>Cnstrcts of Corp Min Discpl</t>
        </is>
      </c>
      <c r="E595" t="inlineStr">
        <is>
          <t>DSRE709</t>
        </is>
      </c>
    </row>
    <row r="596">
      <c r="A596" t="inlineStr">
        <is>
          <t>OTST</t>
        </is>
      </c>
      <c r="B596" t="n">
        <v>654</v>
      </c>
      <c r="C596" t="inlineStr">
        <is>
          <t>Biblical Aramaic</t>
        </is>
      </c>
      <c r="E596" t="inlineStr">
        <is>
          <t>OTST654</t>
        </is>
      </c>
    </row>
    <row r="597">
      <c r="A597" t="inlineStr">
        <is>
          <t>MSSN</t>
        </is>
      </c>
      <c r="B597" t="n">
        <v>888</v>
      </c>
      <c r="C597" t="inlineStr">
        <is>
          <t>DIS Dissertation Continuation</t>
        </is>
      </c>
      <c r="E597" t="inlineStr">
        <is>
          <t>MSSN888</t>
        </is>
      </c>
    </row>
    <row r="598">
      <c r="A598" t="inlineStr">
        <is>
          <t>CHIS</t>
        </is>
      </c>
      <c r="B598" t="n">
        <v>685</v>
      </c>
      <c r="C598" t="inlineStr">
        <is>
          <t>Studies in Church History</t>
        </is>
      </c>
      <c r="D598" t="inlineStr">
        <is>
          <t>StChHist:Hist of Inspiration</t>
        </is>
      </c>
      <c r="E598" t="inlineStr">
        <is>
          <t>CHIS685</t>
        </is>
      </c>
    </row>
    <row r="599">
      <c r="A599" t="inlineStr">
        <is>
          <t>GSEM</t>
        </is>
      </c>
      <c r="B599" t="n">
        <v>530</v>
      </c>
      <c r="C599" t="inlineStr">
        <is>
          <t>Doctrine of the Sanctuary</t>
        </is>
      </c>
      <c r="D599" t="inlineStr">
        <is>
          <t>Doctrine of the Sanctuary</t>
        </is>
      </c>
      <c r="E599" t="inlineStr">
        <is>
          <t>GSEM530</t>
        </is>
      </c>
    </row>
    <row r="600">
      <c r="A600" t="inlineStr">
        <is>
          <t>CHIS</t>
        </is>
      </c>
      <c r="B600" t="n">
        <v>624</v>
      </c>
      <c r="C600" t="inlineStr">
        <is>
          <t>Issues in Ellen G White Stdies</t>
        </is>
      </c>
      <c r="D600" t="inlineStr">
        <is>
          <t>Issues in Ellen G White Stdies</t>
        </is>
      </c>
      <c r="E600" t="inlineStr">
        <is>
          <t>CHIS624</t>
        </is>
      </c>
    </row>
    <row r="601">
      <c r="A601" t="inlineStr">
        <is>
          <t>MSSN</t>
        </is>
      </c>
      <c r="B601" t="n">
        <v>795</v>
      </c>
      <c r="C601" t="inlineStr">
        <is>
          <t>Top:</t>
        </is>
      </c>
      <c r="D601" t="inlineStr">
        <is>
          <t>Top:Disciplshp &amp; Wrldvw Transf</t>
        </is>
      </c>
      <c r="E601" t="inlineStr">
        <is>
          <t>MSSN795</t>
        </is>
      </c>
    </row>
    <row r="602">
      <c r="A602" t="inlineStr">
        <is>
          <t>DSRE</t>
        </is>
      </c>
      <c r="B602" t="n">
        <v>870</v>
      </c>
      <c r="C602" t="inlineStr">
        <is>
          <t>Adv Studies:</t>
        </is>
      </c>
      <c r="D602" t="inlineStr">
        <is>
          <t>AdvSt: Teach for Disc Life Spa</t>
        </is>
      </c>
      <c r="E602" t="inlineStr">
        <is>
          <t>DSRE870</t>
        </is>
      </c>
    </row>
    <row r="603">
      <c r="A603" t="inlineStr">
        <is>
          <t>THST</t>
        </is>
      </c>
      <c r="B603" t="n">
        <v>656</v>
      </c>
      <c r="C603" t="inlineStr">
        <is>
          <t>Sem in Historical Theology:</t>
        </is>
      </c>
      <c r="D603" t="inlineStr">
        <is>
          <t>Sem Hist Theo: Justification</t>
        </is>
      </c>
      <c r="E603" t="inlineStr">
        <is>
          <t>THST656</t>
        </is>
      </c>
    </row>
    <row r="604">
      <c r="A604" t="inlineStr">
        <is>
          <t>MSSN</t>
        </is>
      </c>
      <c r="B604" t="n">
        <v>885</v>
      </c>
      <c r="C604" t="inlineStr">
        <is>
          <t>Topics in:</t>
        </is>
      </c>
      <c r="D604" t="inlineStr">
        <is>
          <t>Top:Curr Issues in Mission</t>
        </is>
      </c>
      <c r="E604" t="inlineStr">
        <is>
          <t>MSSN885</t>
        </is>
      </c>
    </row>
    <row r="605">
      <c r="A605" t="inlineStr">
        <is>
          <t>DSRE</t>
        </is>
      </c>
      <c r="B605" t="n">
        <v>950</v>
      </c>
      <c r="C605" t="inlineStr">
        <is>
          <t>Synthesis in Relg Education</t>
        </is>
      </c>
      <c r="E605" t="inlineStr">
        <is>
          <t>DSRE950</t>
        </is>
      </c>
    </row>
    <row r="606">
      <c r="A606" t="inlineStr">
        <is>
          <t>THST</t>
        </is>
      </c>
      <c r="B606" t="n">
        <v>633</v>
      </c>
      <c r="C606" t="inlineStr">
        <is>
          <t>Ethics and the Good Life</t>
        </is>
      </c>
      <c r="E606" t="inlineStr">
        <is>
          <t>THST633</t>
        </is>
      </c>
    </row>
    <row r="607">
      <c r="A607" t="inlineStr">
        <is>
          <t>THST</t>
        </is>
      </c>
      <c r="B607" t="n">
        <v>885</v>
      </c>
      <c r="C607" t="inlineStr">
        <is>
          <t>Top:</t>
        </is>
      </c>
      <c r="D607" t="inlineStr">
        <is>
          <t>Top: Christian Personal Ethics</t>
        </is>
      </c>
      <c r="E607" t="inlineStr">
        <is>
          <t>THST885</t>
        </is>
      </c>
    </row>
    <row r="608">
      <c r="A608" t="inlineStr">
        <is>
          <t>CHIS</t>
        </is>
      </c>
      <c r="B608" t="n">
        <v>570</v>
      </c>
      <c r="C608" t="inlineStr">
        <is>
          <t>History of the SDA Church</t>
        </is>
      </c>
      <c r="E608" t="inlineStr">
        <is>
          <t>CHIS570</t>
        </is>
      </c>
    </row>
    <row r="609">
      <c r="A609" t="inlineStr">
        <is>
          <t>CHIS</t>
        </is>
      </c>
      <c r="B609" t="n">
        <v>571</v>
      </c>
      <c r="C609" t="inlineStr">
        <is>
          <t>Life &amp; Writings of E. G. White</t>
        </is>
      </c>
      <c r="E609" t="inlineStr">
        <is>
          <t>CHIS571</t>
        </is>
      </c>
    </row>
    <row r="610">
      <c r="A610" t="inlineStr">
        <is>
          <t>NTST</t>
        </is>
      </c>
      <c r="B610" t="n">
        <v>668</v>
      </c>
      <c r="C610" t="inlineStr">
        <is>
          <t>New Testament Ethics</t>
        </is>
      </c>
      <c r="D610" t="inlineStr">
        <is>
          <t>New Testament Ethics</t>
        </is>
      </c>
      <c r="E610" t="inlineStr">
        <is>
          <t>NTST668</t>
        </is>
      </c>
    </row>
    <row r="611">
      <c r="A611" t="inlineStr">
        <is>
          <t>THST</t>
        </is>
      </c>
      <c r="B611" t="n">
        <v>885</v>
      </c>
      <c r="C611" t="inlineStr">
        <is>
          <t>Top:</t>
        </is>
      </c>
      <c r="D611" t="inlineStr">
        <is>
          <t>Top: Great Cont, Cov. Law, Sab</t>
        </is>
      </c>
      <c r="E611" t="inlineStr">
        <is>
          <t>THST885</t>
        </is>
      </c>
    </row>
    <row r="612">
      <c r="A612" t="inlineStr">
        <is>
          <t>NTST</t>
        </is>
      </c>
      <c r="B612" t="n">
        <v>885</v>
      </c>
      <c r="C612" t="inlineStr">
        <is>
          <t>Topics in</t>
        </is>
      </c>
      <c r="D612" t="inlineStr">
        <is>
          <t>Top: Holy Sprt in the New Test</t>
        </is>
      </c>
      <c r="E612" t="inlineStr">
        <is>
          <t>NTST885</t>
        </is>
      </c>
    </row>
    <row r="613">
      <c r="A613" t="inlineStr">
        <is>
          <t>NTST</t>
        </is>
      </c>
      <c r="B613" t="n">
        <v>885</v>
      </c>
      <c r="C613" t="inlineStr">
        <is>
          <t>Topics in</t>
        </is>
      </c>
      <c r="D613" t="inlineStr">
        <is>
          <t>Top:Grt Ctrvsy, Cvnt, Law&amp; Sab</t>
        </is>
      </c>
      <c r="E613" t="inlineStr">
        <is>
          <t>NTST885</t>
        </is>
      </c>
    </row>
    <row r="614">
      <c r="A614" t="inlineStr">
        <is>
          <t>NTST</t>
        </is>
      </c>
      <c r="B614" t="n">
        <v>885</v>
      </c>
      <c r="C614" t="inlineStr">
        <is>
          <t>Topics in</t>
        </is>
      </c>
      <c r="D614" t="inlineStr">
        <is>
          <t>Topics in: Greco-Roman World</t>
        </is>
      </c>
      <c r="E614" t="inlineStr">
        <is>
          <t>NTST885</t>
        </is>
      </c>
    </row>
    <row r="615">
      <c r="A615" t="inlineStr">
        <is>
          <t>NTST</t>
        </is>
      </c>
      <c r="B615" t="n">
        <v>885</v>
      </c>
      <c r="C615" t="inlineStr">
        <is>
          <t>Topics in</t>
        </is>
      </c>
      <c r="D615" t="inlineStr">
        <is>
          <t>Top:NT Textl Crtsm&amp; Canon Form</t>
        </is>
      </c>
      <c r="E615" t="inlineStr">
        <is>
          <t>NTST885</t>
        </is>
      </c>
    </row>
    <row r="616">
      <c r="A616" t="inlineStr">
        <is>
          <t>NTST</t>
        </is>
      </c>
      <c r="B616" t="n">
        <v>885</v>
      </c>
      <c r="C616" t="inlineStr">
        <is>
          <t>Topics in</t>
        </is>
      </c>
      <c r="D616" t="inlineStr">
        <is>
          <t>Top:Theo of Pauline Writings</t>
        </is>
      </c>
      <c r="E616" t="inlineStr">
        <is>
          <t>NTST885</t>
        </is>
      </c>
    </row>
    <row r="617">
      <c r="A617" t="inlineStr">
        <is>
          <t>PATH</t>
        </is>
      </c>
      <c r="B617" t="n">
        <v>588</v>
      </c>
      <c r="C617" t="inlineStr">
        <is>
          <t>Seminary Chorus</t>
        </is>
      </c>
      <c r="E617" t="inlineStr">
        <is>
          <t>PATH588</t>
        </is>
      </c>
    </row>
    <row r="618">
      <c r="A618" t="inlineStr">
        <is>
          <t>OTST</t>
        </is>
      </c>
      <c r="B618" t="n">
        <v>885</v>
      </c>
      <c r="C618" t="inlineStr">
        <is>
          <t>Topics in:</t>
        </is>
      </c>
      <c r="D618" t="inlineStr">
        <is>
          <t>Topics in: Ugaritic</t>
        </is>
      </c>
      <c r="E618" t="inlineStr">
        <is>
          <t>OTST885</t>
        </is>
      </c>
    </row>
    <row r="619">
      <c r="A619" t="inlineStr">
        <is>
          <t>OTST</t>
        </is>
      </c>
      <c r="B619" t="n">
        <v>885</v>
      </c>
      <c r="C619" t="inlineStr">
        <is>
          <t>Topics in:</t>
        </is>
      </c>
      <c r="D619" t="inlineStr">
        <is>
          <t>Top: Hebrew III</t>
        </is>
      </c>
      <c r="E619" t="inlineStr">
        <is>
          <t>OTST885</t>
        </is>
      </c>
    </row>
    <row r="620">
      <c r="A620" t="inlineStr">
        <is>
          <t>MSSN</t>
        </is>
      </c>
      <c r="B620" t="n">
        <v>885</v>
      </c>
      <c r="C620" t="inlineStr">
        <is>
          <t>Topics in:</t>
        </is>
      </c>
      <c r="D620" t="inlineStr">
        <is>
          <t>Top: Interc Theology &amp; Mission</t>
        </is>
      </c>
      <c r="E620" t="inlineStr">
        <is>
          <t>MSSN885</t>
        </is>
      </c>
    </row>
    <row r="621">
      <c r="A621" t="inlineStr">
        <is>
          <t>THST</t>
        </is>
      </c>
      <c r="B621" t="n">
        <v>940</v>
      </c>
      <c r="C621" t="inlineStr">
        <is>
          <t>Sem in Systematic Theology:</t>
        </is>
      </c>
      <c r="D621" t="inlineStr">
        <is>
          <t>Sem: Sabbth as Dctrne &amp; Blesng</t>
        </is>
      </c>
      <c r="E621" t="inlineStr">
        <is>
          <t>THST940</t>
        </is>
      </c>
    </row>
    <row r="622">
      <c r="A622" t="inlineStr">
        <is>
          <t>THST</t>
        </is>
      </c>
      <c r="B622" t="n">
        <v>634</v>
      </c>
      <c r="C622" t="inlineStr">
        <is>
          <t>Christian Social Ethics</t>
        </is>
      </c>
      <c r="D622" t="inlineStr">
        <is>
          <t>Christian Social Ethics</t>
        </is>
      </c>
      <c r="E622" t="inlineStr">
        <is>
          <t>THST634</t>
        </is>
      </c>
    </row>
    <row r="623">
      <c r="A623" t="inlineStr">
        <is>
          <t>CHIS</t>
        </is>
      </c>
      <c r="B623" t="n">
        <v>940</v>
      </c>
      <c r="C623" t="inlineStr">
        <is>
          <t>Seminar in Church History:</t>
        </is>
      </c>
      <c r="D623" t="inlineStr">
        <is>
          <t>Sem in CHIS: Historiography</t>
        </is>
      </c>
      <c r="E623" t="inlineStr">
        <is>
          <t>CHIS940</t>
        </is>
      </c>
    </row>
    <row r="624">
      <c r="A624" t="inlineStr">
        <is>
          <t>PATH</t>
        </is>
      </c>
      <c r="B624" t="n">
        <v>602</v>
      </c>
      <c r="C624" t="inlineStr">
        <is>
          <t>Hist of Christian Worship Mus</t>
        </is>
      </c>
      <c r="E624" t="inlineStr">
        <is>
          <t>PATH602</t>
        </is>
      </c>
    </row>
    <row r="625">
      <c r="A625" t="inlineStr">
        <is>
          <t>PATH</t>
        </is>
      </c>
      <c r="B625" t="n">
        <v>782</v>
      </c>
      <c r="C625" t="inlineStr">
        <is>
          <t>Gender and Leadership</t>
        </is>
      </c>
      <c r="E625" t="inlineStr">
        <is>
          <t>PATH782</t>
        </is>
      </c>
    </row>
    <row r="626">
      <c r="A626" t="inlineStr">
        <is>
          <t>DSLE</t>
        </is>
      </c>
      <c r="B626" t="n">
        <v>656</v>
      </c>
      <c r="C626" t="inlineStr">
        <is>
          <t>Counseling Youth &amp; Young Adult</t>
        </is>
      </c>
      <c r="E626" t="inlineStr">
        <is>
          <t>DSLE656</t>
        </is>
      </c>
    </row>
    <row r="627">
      <c r="A627" t="inlineStr">
        <is>
          <t>MSSN</t>
        </is>
      </c>
      <c r="B627" t="n">
        <v>695</v>
      </c>
      <c r="C627" t="inlineStr">
        <is>
          <t>Topics:</t>
        </is>
      </c>
      <c r="D627" t="inlineStr">
        <is>
          <t>Top:Intrcultral Theol&amp; Mission</t>
        </is>
      </c>
      <c r="E627" t="inlineStr">
        <is>
          <t>MSSN695</t>
        </is>
      </c>
    </row>
    <row r="628">
      <c r="A628" t="inlineStr">
        <is>
          <t>DSLE</t>
        </is>
      </c>
      <c r="B628" t="n">
        <v>615</v>
      </c>
      <c r="C628" t="inlineStr">
        <is>
          <t>Collaboratv Min:Schl,Chrch,Com</t>
        </is>
      </c>
      <c r="D628" t="inlineStr">
        <is>
          <t>Collaboratv Min:Schl,Chrch,Com</t>
        </is>
      </c>
      <c r="E628" t="inlineStr">
        <is>
          <t>DSLE615</t>
        </is>
      </c>
    </row>
    <row r="629">
      <c r="A629" t="inlineStr">
        <is>
          <t>PATH</t>
        </is>
      </c>
      <c r="B629" t="n">
        <v>526</v>
      </c>
      <c r="C629" t="inlineStr">
        <is>
          <t>Conflict Management</t>
        </is>
      </c>
      <c r="D629" t="inlineStr">
        <is>
          <t>Conflict Management</t>
        </is>
      </c>
      <c r="E629" t="inlineStr">
        <is>
          <t>PATH526</t>
        </is>
      </c>
    </row>
    <row r="630">
      <c r="A630" t="inlineStr">
        <is>
          <t>GSEM</t>
        </is>
      </c>
      <c r="B630" t="n">
        <v>588</v>
      </c>
      <c r="C630" t="inlineStr">
        <is>
          <t>In-Ministry Continuation</t>
        </is>
      </c>
      <c r="E630" t="inlineStr">
        <is>
          <t>GSEM588</t>
        </is>
      </c>
    </row>
    <row r="631">
      <c r="A631" t="inlineStr">
        <is>
          <t>THST</t>
        </is>
      </c>
      <c r="B631" t="n">
        <v>964</v>
      </c>
      <c r="C631" t="inlineStr">
        <is>
          <t>Sem in Historical Theology:</t>
        </is>
      </c>
      <c r="D631" t="inlineStr">
        <is>
          <t>Sem Hist Theo: Justification</t>
        </is>
      </c>
      <c r="E631" t="inlineStr">
        <is>
          <t>THST964</t>
        </is>
      </c>
    </row>
    <row r="632">
      <c r="A632" t="inlineStr">
        <is>
          <t>PATH</t>
        </is>
      </c>
      <c r="B632" t="n">
        <v>601</v>
      </c>
      <c r="C632" t="inlineStr">
        <is>
          <t>Preach. Biblical Prophecies</t>
        </is>
      </c>
      <c r="E632" t="inlineStr">
        <is>
          <t>PATH601</t>
        </is>
      </c>
    </row>
    <row r="633">
      <c r="A633" t="inlineStr">
        <is>
          <t>OTST</t>
        </is>
      </c>
      <c r="B633" t="n">
        <v>940</v>
      </c>
      <c r="C633" t="inlineStr">
        <is>
          <t>Sem Adv OT Exegesis</t>
        </is>
      </c>
      <c r="D633" t="inlineStr">
        <is>
          <t>SemAdv OT Exeg: Minor Prophets</t>
        </is>
      </c>
      <c r="E633" t="inlineStr">
        <is>
          <t>OTST940</t>
        </is>
      </c>
    </row>
    <row r="634">
      <c r="A634" t="inlineStr">
        <is>
          <t>PATH</t>
        </is>
      </c>
      <c r="B634" t="n">
        <v>557</v>
      </c>
      <c r="C634" t="inlineStr">
        <is>
          <t>Pract Clinl Past Educ:</t>
        </is>
      </c>
      <c r="D634" t="inlineStr">
        <is>
          <t>Practicum Clin Pastoral Educ</t>
        </is>
      </c>
      <c r="E634" t="inlineStr">
        <is>
          <t>PATH557</t>
        </is>
      </c>
    </row>
    <row r="635">
      <c r="A635" t="inlineStr">
        <is>
          <t>PATH</t>
        </is>
      </c>
      <c r="B635" t="n">
        <v>523</v>
      </c>
      <c r="C635" t="inlineStr">
        <is>
          <t>Worship:Word &amp; Music</t>
        </is>
      </c>
      <c r="D635" t="inlineStr">
        <is>
          <t>Worship:Word &amp; Music</t>
        </is>
      </c>
      <c r="E635" t="inlineStr">
        <is>
          <t>PATH523</t>
        </is>
      </c>
    </row>
    <row r="636">
      <c r="A636" t="inlineStr">
        <is>
          <t>DSLE</t>
        </is>
      </c>
      <c r="B636" t="n">
        <v>850</v>
      </c>
      <c r="C636" t="inlineStr">
        <is>
          <t>Theologicl Found Christian Tch</t>
        </is>
      </c>
      <c r="E636" t="inlineStr">
        <is>
          <t>DSLE850</t>
        </is>
      </c>
    </row>
    <row r="637">
      <c r="A637" t="inlineStr">
        <is>
          <t>PATH</t>
        </is>
      </c>
      <c r="B637" t="n">
        <v>762</v>
      </c>
      <c r="C637" t="inlineStr">
        <is>
          <t>Challenge 2nd&amp;3rd Generations</t>
        </is>
      </c>
      <c r="E637" t="inlineStr">
        <is>
          <t>PATH762</t>
        </is>
      </c>
    </row>
    <row r="638">
      <c r="A638" t="inlineStr">
        <is>
          <t>OTST</t>
        </is>
      </c>
      <c r="B638" t="n">
        <v>885</v>
      </c>
      <c r="C638" t="inlineStr">
        <is>
          <t>Topics in:</t>
        </is>
      </c>
      <c r="D638" t="inlineStr">
        <is>
          <t>Top:Readings in the Septuagint</t>
        </is>
      </c>
      <c r="E638" t="inlineStr">
        <is>
          <t>OTST885</t>
        </is>
      </c>
    </row>
    <row r="639">
      <c r="A639" t="inlineStr">
        <is>
          <t>DSLE</t>
        </is>
      </c>
      <c r="B639" t="n">
        <v>659</v>
      </c>
      <c r="C639" t="inlineStr">
        <is>
          <t>Human Sexuality</t>
        </is>
      </c>
      <c r="E639" t="inlineStr">
        <is>
          <t>DSLE659</t>
        </is>
      </c>
    </row>
    <row r="640">
      <c r="A640" t="inlineStr">
        <is>
          <t>DSLE</t>
        </is>
      </c>
      <c r="B640" t="n">
        <v>748</v>
      </c>
      <c r="C640" t="inlineStr">
        <is>
          <t>Family Dynamics and Sexuality</t>
        </is>
      </c>
      <c r="E640" t="inlineStr">
        <is>
          <t>DSLE748</t>
        </is>
      </c>
    </row>
    <row r="641">
      <c r="A641" t="inlineStr">
        <is>
          <t>PATH</t>
        </is>
      </c>
      <c r="B641" t="n">
        <v>555</v>
      </c>
      <c r="C641" t="inlineStr">
        <is>
          <t>Pastoral Counseling</t>
        </is>
      </c>
      <c r="D641" t="inlineStr">
        <is>
          <t>Pastoral Counseling</t>
        </is>
      </c>
      <c r="E641" t="inlineStr">
        <is>
          <t>PATH555</t>
        </is>
      </c>
    </row>
    <row r="642">
      <c r="A642" t="inlineStr">
        <is>
          <t>DSLE</t>
        </is>
      </c>
      <c r="B642" t="n">
        <v>615</v>
      </c>
      <c r="C642" t="inlineStr">
        <is>
          <t>Collaboratv Min:Schl,Chrch,Com</t>
        </is>
      </c>
      <c r="E642" t="inlineStr">
        <is>
          <t>DSLE615</t>
        </is>
      </c>
    </row>
    <row r="643">
      <c r="A643" t="inlineStr">
        <is>
          <t>DSLE</t>
        </is>
      </c>
      <c r="B643" t="n">
        <v>541</v>
      </c>
      <c r="C643" t="inlineStr">
        <is>
          <t>Fndtns of Biblicl Spirituality</t>
        </is>
      </c>
      <c r="D643" t="inlineStr">
        <is>
          <t>Fndtns of Biblicl Spirituality</t>
        </is>
      </c>
      <c r="E643" t="inlineStr">
        <is>
          <t>DSLE541</t>
        </is>
      </c>
    </row>
    <row r="644">
      <c r="A644" t="inlineStr">
        <is>
          <t>PATH</t>
        </is>
      </c>
      <c r="B644" t="n">
        <v>505</v>
      </c>
      <c r="C644" t="inlineStr">
        <is>
          <t>Biblical Preaching</t>
        </is>
      </c>
      <c r="E644" t="inlineStr">
        <is>
          <t>PATH505</t>
        </is>
      </c>
    </row>
    <row r="645">
      <c r="A645" t="inlineStr">
        <is>
          <t>PATH</t>
        </is>
      </c>
      <c r="B645" t="n">
        <v>552</v>
      </c>
      <c r="C645" t="inlineStr">
        <is>
          <t>Foundatns of Pastoral Ministry</t>
        </is>
      </c>
      <c r="D645" t="inlineStr">
        <is>
          <t>Foundatns of Pastoral Ministry</t>
        </is>
      </c>
      <c r="E645" t="inlineStr">
        <is>
          <t>PATH552</t>
        </is>
      </c>
    </row>
    <row r="646">
      <c r="A646" t="inlineStr">
        <is>
          <t>CHMN</t>
        </is>
      </c>
      <c r="B646" t="n">
        <v>712</v>
      </c>
      <c r="C646" t="inlineStr">
        <is>
          <t>Transformational Leadership</t>
        </is>
      </c>
      <c r="E646" t="inlineStr">
        <is>
          <t>CHMN712</t>
        </is>
      </c>
    </row>
    <row r="647">
      <c r="A647" t="inlineStr">
        <is>
          <t>THST</t>
        </is>
      </c>
      <c r="B647" t="n">
        <v>885</v>
      </c>
      <c r="C647" t="inlineStr">
        <is>
          <t>Top:</t>
        </is>
      </c>
      <c r="D647" t="inlineStr">
        <is>
          <t>Top:Rom Catholic Life&amp; Thought</t>
        </is>
      </c>
      <c r="E647" t="inlineStr">
        <is>
          <t>THST885</t>
        </is>
      </c>
    </row>
    <row r="648">
      <c r="A648" t="inlineStr">
        <is>
          <t>PATH</t>
        </is>
      </c>
      <c r="B648" t="n">
        <v>553</v>
      </c>
      <c r="C648" t="inlineStr">
        <is>
          <t>The Church &amp; Social Issues</t>
        </is>
      </c>
      <c r="E648" t="inlineStr">
        <is>
          <t>PATH553</t>
        </is>
      </c>
    </row>
    <row r="649">
      <c r="A649" t="inlineStr">
        <is>
          <t>GSEM</t>
        </is>
      </c>
      <c r="B649" t="n">
        <v>505</v>
      </c>
      <c r="C649" t="inlineStr">
        <is>
          <t>Colloquium:</t>
        </is>
      </c>
      <c r="D649" t="inlineStr">
        <is>
          <t>Coll:Adventsm: Bib Soc Justice</t>
        </is>
      </c>
      <c r="E649" t="inlineStr">
        <is>
          <t>GSEM505</t>
        </is>
      </c>
    </row>
    <row r="650">
      <c r="A650" t="inlineStr">
        <is>
          <t>PATH</t>
        </is>
      </c>
      <c r="B650" t="n">
        <v>549</v>
      </c>
      <c r="C650" t="inlineStr">
        <is>
          <t>Phil &amp; Ethics in Chaplaincy</t>
        </is>
      </c>
      <c r="D650" t="inlineStr">
        <is>
          <t>Phil &amp; Ethics in Chaplaincy</t>
        </is>
      </c>
      <c r="E650" t="inlineStr">
        <is>
          <t>PATH549</t>
        </is>
      </c>
    </row>
    <row r="651">
      <c r="A651" t="inlineStr">
        <is>
          <t>OTST</t>
        </is>
      </c>
      <c r="B651" t="n">
        <v>660</v>
      </c>
      <c r="C651" t="inlineStr">
        <is>
          <t>Readings in the Septuagint</t>
        </is>
      </c>
      <c r="E651" t="inlineStr">
        <is>
          <t>OTST660</t>
        </is>
      </c>
    </row>
    <row r="652">
      <c r="A652" t="inlineStr">
        <is>
          <t>PATH</t>
        </is>
      </c>
      <c r="B652" t="n">
        <v>507</v>
      </c>
      <c r="C652" t="inlineStr">
        <is>
          <t>Intro to Chaplaincy Min</t>
        </is>
      </c>
      <c r="E652" t="inlineStr">
        <is>
          <t>PATH507</t>
        </is>
      </c>
    </row>
    <row r="653">
      <c r="A653" t="inlineStr">
        <is>
          <t>PATH</t>
        </is>
      </c>
      <c r="B653" t="n">
        <v>761</v>
      </c>
      <c r="C653" t="inlineStr">
        <is>
          <t>Wholistic Healthcare Ministry</t>
        </is>
      </c>
      <c r="E653" t="inlineStr">
        <is>
          <t>PATH761</t>
        </is>
      </c>
    </row>
    <row r="654">
      <c r="A654" t="inlineStr">
        <is>
          <t>PATH</t>
        </is>
      </c>
      <c r="B654" t="n">
        <v>787</v>
      </c>
      <c r="C654" t="inlineStr">
        <is>
          <t>Theory&amp;Rsrch in Chaplaincy</t>
        </is>
      </c>
      <c r="E654" t="inlineStr">
        <is>
          <t>PATH787</t>
        </is>
      </c>
    </row>
    <row r="655">
      <c r="A655" t="inlineStr">
        <is>
          <t>GSEM</t>
        </is>
      </c>
      <c r="B655" t="n">
        <v>505</v>
      </c>
      <c r="C655" t="inlineStr">
        <is>
          <t>Colloquium:</t>
        </is>
      </c>
      <c r="D655" t="inlineStr">
        <is>
          <t>Coll: Pre-Advent Judgement</t>
        </is>
      </c>
      <c r="E655" t="inlineStr">
        <is>
          <t>GSEM505</t>
        </is>
      </c>
    </row>
    <row r="656">
      <c r="A656" t="inlineStr">
        <is>
          <t>DSLE</t>
        </is>
      </c>
      <c r="B656" t="n">
        <v>503</v>
      </c>
      <c r="C656" t="inlineStr">
        <is>
          <t>Marriage, Fam&amp;Interprsnl Reltn</t>
        </is>
      </c>
      <c r="D656" t="inlineStr">
        <is>
          <t>Marriage, Fam&amp;Interprsnl Reltn</t>
        </is>
      </c>
      <c r="E656" t="inlineStr">
        <is>
          <t>DSLE503</t>
        </is>
      </c>
    </row>
    <row r="657">
      <c r="A657" t="inlineStr">
        <is>
          <t>DSLE</t>
        </is>
      </c>
      <c r="B657" t="n">
        <v>679</v>
      </c>
      <c r="C657" t="inlineStr">
        <is>
          <t>Parenting Educ &amp; Guidance</t>
        </is>
      </c>
      <c r="E657" t="inlineStr">
        <is>
          <t>DSLE679</t>
        </is>
      </c>
    </row>
    <row r="658">
      <c r="A658" t="inlineStr">
        <is>
          <t>GSEM</t>
        </is>
      </c>
      <c r="B658" t="n">
        <v>505</v>
      </c>
      <c r="C658" t="inlineStr">
        <is>
          <t>Colloquium:</t>
        </is>
      </c>
      <c r="D658" t="inlineStr">
        <is>
          <t>Coll:Sexl Integr for Pastors</t>
        </is>
      </c>
      <c r="E658" t="inlineStr">
        <is>
          <t>GSEM505</t>
        </is>
      </c>
    </row>
    <row r="659">
      <c r="A659" t="inlineStr">
        <is>
          <t>GSEM</t>
        </is>
      </c>
      <c r="B659" t="n">
        <v>505</v>
      </c>
      <c r="C659" t="inlineStr">
        <is>
          <t>Colloquium:</t>
        </is>
      </c>
      <c r="D659" t="inlineStr">
        <is>
          <t>Coll:Destigmtzing Mentl Health</t>
        </is>
      </c>
      <c r="E659" t="inlineStr">
        <is>
          <t>GSEM505</t>
        </is>
      </c>
    </row>
    <row r="660">
      <c r="A660" t="inlineStr">
        <is>
          <t>MSSN</t>
        </is>
      </c>
      <c r="B660" t="n">
        <v>805</v>
      </c>
      <c r="C660" t="inlineStr">
        <is>
          <t>Current Issues in Mission</t>
        </is>
      </c>
      <c r="E660" t="inlineStr">
        <is>
          <t>MSSN805</t>
        </is>
      </c>
    </row>
    <row r="661">
      <c r="A661" t="inlineStr">
        <is>
          <t>MSSN</t>
        </is>
      </c>
      <c r="B661" t="n">
        <v>870</v>
      </c>
      <c r="C661" t="inlineStr">
        <is>
          <t>Disciplshp&amp;Worldvw Transfrmatn</t>
        </is>
      </c>
      <c r="E661" t="inlineStr">
        <is>
          <t>MSSN870</t>
        </is>
      </c>
    </row>
    <row r="662">
      <c r="A662" t="inlineStr">
        <is>
          <t>MSSN</t>
        </is>
      </c>
      <c r="B662" t="n">
        <v>835</v>
      </c>
      <c r="C662" t="inlineStr">
        <is>
          <t>Urban Context Mission/Ministry</t>
        </is>
      </c>
      <c r="E662" t="inlineStr">
        <is>
          <t>MSSN835</t>
        </is>
      </c>
    </row>
    <row r="663">
      <c r="A663" t="inlineStr">
        <is>
          <t>NTST</t>
        </is>
      </c>
      <c r="B663" t="n">
        <v>885</v>
      </c>
      <c r="C663" t="inlineStr">
        <is>
          <t>Topics in</t>
        </is>
      </c>
      <c r="D663" t="inlineStr">
        <is>
          <t>Topics in Matthew</t>
        </is>
      </c>
      <c r="E663" t="inlineStr">
        <is>
          <t>NTST885</t>
        </is>
      </c>
    </row>
    <row r="664">
      <c r="A664" t="inlineStr">
        <is>
          <t>NTST</t>
        </is>
      </c>
      <c r="B664" t="n">
        <v>885</v>
      </c>
      <c r="C664" t="inlineStr">
        <is>
          <t>Topics in</t>
        </is>
      </c>
      <c r="D664" t="inlineStr">
        <is>
          <t>Topics in Holy Spirit in NT</t>
        </is>
      </c>
      <c r="E664" t="inlineStr">
        <is>
          <t>NTST885</t>
        </is>
      </c>
    </row>
    <row r="665">
      <c r="A665" t="inlineStr">
        <is>
          <t>CHIS</t>
        </is>
      </c>
      <c r="B665" t="n">
        <v>944</v>
      </c>
      <c r="C665" t="inlineStr">
        <is>
          <t>Seminar in Adventist Studies:</t>
        </is>
      </c>
      <c r="D665" t="inlineStr">
        <is>
          <t>SemAdvSt:History of the Trinty</t>
        </is>
      </c>
      <c r="E665" t="inlineStr">
        <is>
          <t>CHIS944</t>
        </is>
      </c>
    </row>
    <row r="666">
      <c r="A666" t="inlineStr">
        <is>
          <t>MSSN</t>
        </is>
      </c>
      <c r="B666" t="n">
        <v>806</v>
      </c>
      <c r="C666" t="inlineStr">
        <is>
          <t>Bib Theo&amp;Spiritl Found Mssn</t>
        </is>
      </c>
      <c r="E666" t="inlineStr">
        <is>
          <t>MSSN806</t>
        </is>
      </c>
    </row>
    <row r="667">
      <c r="A667" t="inlineStr">
        <is>
          <t>MSSN</t>
        </is>
      </c>
      <c r="B667" t="n">
        <v>840</v>
      </c>
      <c r="C667" t="inlineStr">
        <is>
          <t>Research Methods in Miss&amp;Min</t>
        </is>
      </c>
      <c r="E667" t="inlineStr">
        <is>
          <t>MSSN840</t>
        </is>
      </c>
    </row>
    <row r="668">
      <c r="A668" t="inlineStr">
        <is>
          <t>MSSN</t>
        </is>
      </c>
      <c r="B668" t="n">
        <v>837</v>
      </c>
      <c r="C668" t="inlineStr">
        <is>
          <t>History of Mission</t>
        </is>
      </c>
      <c r="E668" t="inlineStr">
        <is>
          <t>MSSN837</t>
        </is>
      </c>
    </row>
    <row r="669">
      <c r="A669" t="inlineStr">
        <is>
          <t>PATH</t>
        </is>
      </c>
      <c r="B669" t="n">
        <v>557</v>
      </c>
      <c r="C669" t="inlineStr">
        <is>
          <t>Pract Clinl Past Educ:</t>
        </is>
      </c>
      <c r="E669" t="inlineStr">
        <is>
          <t>PATH557</t>
        </is>
      </c>
    </row>
    <row r="670">
      <c r="A670" t="inlineStr">
        <is>
          <t>CHIS</t>
        </is>
      </c>
      <c r="B670" t="n">
        <v>685</v>
      </c>
      <c r="C670" t="inlineStr">
        <is>
          <t>Studies in Church History</t>
        </is>
      </c>
      <c r="D670" t="inlineStr">
        <is>
          <t>StChHist:Linguist Theologians</t>
        </is>
      </c>
      <c r="E670" t="inlineStr">
        <is>
          <t>CHIS685</t>
        </is>
      </c>
    </row>
    <row r="671">
      <c r="A671" t="inlineStr">
        <is>
          <t>OTST</t>
        </is>
      </c>
      <c r="B671" t="n">
        <v>854</v>
      </c>
      <c r="C671" t="inlineStr">
        <is>
          <t>Biblical Aramaic</t>
        </is>
      </c>
      <c r="E671" t="inlineStr">
        <is>
          <t>OTST854</t>
        </is>
      </c>
    </row>
    <row r="672">
      <c r="A672" t="inlineStr">
        <is>
          <t>NTST</t>
        </is>
      </c>
      <c r="B672" t="n">
        <v>885</v>
      </c>
      <c r="C672" t="inlineStr">
        <is>
          <t>Topics in</t>
        </is>
      </c>
      <c r="D672" t="inlineStr">
        <is>
          <t>Top:NT Text. Crit. &amp;Canon Form</t>
        </is>
      </c>
      <c r="E672" t="inlineStr">
        <is>
          <t>NTST885</t>
        </is>
      </c>
    </row>
    <row r="673">
      <c r="A673" t="inlineStr">
        <is>
          <t>DSLE</t>
        </is>
      </c>
      <c r="B673" t="n">
        <v>606</v>
      </c>
      <c r="C673" t="inlineStr">
        <is>
          <t>Philosphcl Foundtns for Prof</t>
        </is>
      </c>
      <c r="E673" t="inlineStr">
        <is>
          <t>DSLE606</t>
        </is>
      </c>
    </row>
    <row r="674">
      <c r="A674" t="inlineStr">
        <is>
          <t>NTST</t>
        </is>
      </c>
      <c r="B674" t="n">
        <v>885</v>
      </c>
      <c r="C674" t="inlineStr">
        <is>
          <t>Topics in</t>
        </is>
      </c>
      <c r="D674" t="inlineStr">
        <is>
          <t>Topics in Galatians</t>
        </is>
      </c>
      <c r="E674" t="inlineStr">
        <is>
          <t>NTST885</t>
        </is>
      </c>
    </row>
    <row r="675">
      <c r="A675" t="inlineStr">
        <is>
          <t>NTST</t>
        </is>
      </c>
      <c r="B675" t="n">
        <v>885</v>
      </c>
      <c r="C675" t="inlineStr">
        <is>
          <t>Topics in</t>
        </is>
      </c>
      <c r="D675" t="inlineStr">
        <is>
          <t>Topics in NT Ethics</t>
        </is>
      </c>
      <c r="E675" t="inlineStr">
        <is>
          <t>NTST885</t>
        </is>
      </c>
    </row>
    <row r="676">
      <c r="A676" t="inlineStr">
        <is>
          <t>NTST</t>
        </is>
      </c>
      <c r="B676" t="n">
        <v>885</v>
      </c>
      <c r="C676" t="inlineStr">
        <is>
          <t>Topics in</t>
        </is>
      </c>
      <c r="D676" t="inlineStr">
        <is>
          <t>Topics in Greco-Roman World</t>
        </is>
      </c>
      <c r="E676" t="inlineStr">
        <is>
          <t>NTST885</t>
        </is>
      </c>
    </row>
    <row r="677">
      <c r="A677" t="inlineStr">
        <is>
          <t>PATH</t>
        </is>
      </c>
      <c r="B677" t="n">
        <v>643</v>
      </c>
      <c r="C677" t="inlineStr">
        <is>
          <t>Trauma&amp;Adv Crisis Intervention</t>
        </is>
      </c>
      <c r="E677" t="inlineStr">
        <is>
          <t>PATH643</t>
        </is>
      </c>
    </row>
    <row r="678">
      <c r="A678" t="inlineStr">
        <is>
          <t>DSLE</t>
        </is>
      </c>
      <c r="B678" t="n">
        <v>608</v>
      </c>
      <c r="C678" t="inlineStr">
        <is>
          <t>Yth&amp;Yng Adlt in Contmp Culture</t>
        </is>
      </c>
      <c r="E678" t="inlineStr">
        <is>
          <t>DSLE608</t>
        </is>
      </c>
    </row>
    <row r="679">
      <c r="A679" t="inlineStr">
        <is>
          <t>NTST</t>
        </is>
      </c>
      <c r="B679" t="n">
        <v>655</v>
      </c>
      <c r="C679" t="inlineStr">
        <is>
          <t>Adv Studies Gospels:</t>
        </is>
      </c>
      <c r="D679" t="inlineStr">
        <is>
          <t>Adv Studies Gospels: Matthew</t>
        </is>
      </c>
      <c r="E679" t="inlineStr">
        <is>
          <t>NTST655</t>
        </is>
      </c>
    </row>
    <row r="680">
      <c r="A680" t="inlineStr">
        <is>
          <t>MSSN</t>
        </is>
      </c>
      <c r="B680" t="n">
        <v>835</v>
      </c>
      <c r="C680" t="inlineStr">
        <is>
          <t>Urban Context Mission/Ministry</t>
        </is>
      </c>
      <c r="D680" t="inlineStr">
        <is>
          <t>Urban Context Mission/Ministry</t>
        </is>
      </c>
      <c r="E680" t="inlineStr">
        <is>
          <t>MSSN835</t>
        </is>
      </c>
    </row>
    <row r="681">
      <c r="A681" t="inlineStr">
        <is>
          <t>GSEM</t>
        </is>
      </c>
      <c r="B681" t="n">
        <v>505</v>
      </c>
      <c r="C681" t="inlineStr">
        <is>
          <t>Colloquium:</t>
        </is>
      </c>
      <c r="D681" t="inlineStr">
        <is>
          <t>Coll:Climate Chng &amp; SDA Resp</t>
        </is>
      </c>
      <c r="E681" t="inlineStr">
        <is>
          <t>GSEM505</t>
        </is>
      </c>
    </row>
    <row r="682">
      <c r="A682" t="inlineStr">
        <is>
          <t>THST</t>
        </is>
      </c>
      <c r="B682" t="n">
        <v>656</v>
      </c>
      <c r="C682" t="inlineStr">
        <is>
          <t>Sem in Historical Theology:</t>
        </is>
      </c>
      <c r="D682" t="inlineStr">
        <is>
          <t>Sem His Theo: Theo of EGW</t>
        </is>
      </c>
      <c r="E682" t="inlineStr">
        <is>
          <t>THST656</t>
        </is>
      </c>
    </row>
    <row r="683">
      <c r="A683" t="inlineStr">
        <is>
          <t>THST</t>
        </is>
      </c>
      <c r="B683" t="n">
        <v>885</v>
      </c>
      <c r="C683" t="inlineStr">
        <is>
          <t>Top:</t>
        </is>
      </c>
      <c r="D683" t="inlineStr">
        <is>
          <t>Top: Doctrine of Salvation</t>
        </is>
      </c>
      <c r="E683" t="inlineStr">
        <is>
          <t>THST885</t>
        </is>
      </c>
    </row>
    <row r="684">
      <c r="A684" t="inlineStr">
        <is>
          <t>CHIS</t>
        </is>
      </c>
      <c r="B684" t="n">
        <v>685</v>
      </c>
      <c r="C684" t="inlineStr">
        <is>
          <t>Studies in Church History</t>
        </is>
      </c>
      <c r="D684" t="inlineStr">
        <is>
          <t>StChHist:Histry of the Trinity</t>
        </is>
      </c>
      <c r="E684" t="inlineStr">
        <is>
          <t>CHIS685</t>
        </is>
      </c>
    </row>
    <row r="685">
      <c r="A685" t="inlineStr">
        <is>
          <t>DSLE</t>
        </is>
      </c>
      <c r="B685" t="n">
        <v>669</v>
      </c>
      <c r="C685" t="inlineStr">
        <is>
          <t>Reaching the Secular Mind</t>
        </is>
      </c>
      <c r="E685" t="inlineStr">
        <is>
          <t>DSLE669</t>
        </is>
      </c>
    </row>
    <row r="686">
      <c r="A686" t="inlineStr">
        <is>
          <t>GSEM</t>
        </is>
      </c>
      <c r="B686" t="n">
        <v>505</v>
      </c>
      <c r="C686" t="inlineStr">
        <is>
          <t>Colloquium:</t>
        </is>
      </c>
      <c r="D686" t="inlineStr">
        <is>
          <t>Coll: Innovative Y&amp;YA Evang</t>
        </is>
      </c>
      <c r="E686" t="inlineStr">
        <is>
          <t>GSEM505</t>
        </is>
      </c>
    </row>
    <row r="687">
      <c r="A687" t="inlineStr">
        <is>
          <t>THST</t>
        </is>
      </c>
      <c r="B687" t="n">
        <v>885</v>
      </c>
      <c r="C687" t="inlineStr">
        <is>
          <t>Top:</t>
        </is>
      </c>
      <c r="D687" t="inlineStr">
        <is>
          <t>Top: Revelation, Inspirat&amp;Herm</t>
        </is>
      </c>
      <c r="E687" t="inlineStr">
        <is>
          <t>THST885</t>
        </is>
      </c>
    </row>
    <row r="688">
      <c r="A688" t="inlineStr">
        <is>
          <t>PATH</t>
        </is>
      </c>
      <c r="B688" t="n">
        <v>552</v>
      </c>
      <c r="C688" t="inlineStr">
        <is>
          <t>Foundatns of Pastoral Ministry</t>
        </is>
      </c>
      <c r="E688" t="inlineStr">
        <is>
          <t>PATH552</t>
        </is>
      </c>
    </row>
    <row r="689">
      <c r="A689" t="inlineStr">
        <is>
          <t>MSSN</t>
        </is>
      </c>
      <c r="B689" t="n">
        <v>885</v>
      </c>
      <c r="C689" t="inlineStr">
        <is>
          <t>Topics in:</t>
        </is>
      </c>
      <c r="D689" t="inlineStr">
        <is>
          <t>Topics in:Healing&amp; Deliverance</t>
        </is>
      </c>
      <c r="E689" t="inlineStr">
        <is>
          <t>MSSN885</t>
        </is>
      </c>
    </row>
    <row r="690">
      <c r="A690" t="inlineStr">
        <is>
          <t>OTST</t>
        </is>
      </c>
      <c r="B690" t="n">
        <v>686</v>
      </c>
      <c r="C690" t="inlineStr">
        <is>
          <t>Major Prophets:</t>
        </is>
      </c>
      <c r="D690" t="inlineStr">
        <is>
          <t>Major Prophets:Jeremiah</t>
        </is>
      </c>
      <c r="E690" t="inlineStr">
        <is>
          <t>OTST686</t>
        </is>
      </c>
    </row>
    <row r="691">
      <c r="A691" t="inlineStr">
        <is>
          <t>NTST</t>
        </is>
      </c>
      <c r="B691" t="n">
        <v>658</v>
      </c>
      <c r="C691" t="inlineStr">
        <is>
          <t>Adv Studies Pauline Wrtg:</t>
        </is>
      </c>
      <c r="D691" t="inlineStr">
        <is>
          <t>Adv St Pauline Wrtg: Galatians</t>
        </is>
      </c>
      <c r="E691" t="inlineStr">
        <is>
          <t>NTST658</t>
        </is>
      </c>
    </row>
    <row r="692">
      <c r="A692" t="inlineStr">
        <is>
          <t>OTST</t>
        </is>
      </c>
      <c r="B692" t="n">
        <v>940</v>
      </c>
      <c r="C692" t="inlineStr">
        <is>
          <t>Sem Adv OT Exegesis</t>
        </is>
      </c>
      <c r="D692" t="inlineStr">
        <is>
          <t>Sem Adv OT Exegesis:Pentateuch</t>
        </is>
      </c>
      <c r="E692" t="inlineStr">
        <is>
          <t>OTST940</t>
        </is>
      </c>
    </row>
    <row r="693">
      <c r="A693" t="inlineStr">
        <is>
          <t>MSSN</t>
        </is>
      </c>
      <c r="B693" t="n">
        <v>695</v>
      </c>
      <c r="C693" t="inlineStr">
        <is>
          <t>Topics:</t>
        </is>
      </c>
      <c r="D693" t="inlineStr">
        <is>
          <t>Top:Healing &amp; Deliverance</t>
        </is>
      </c>
      <c r="E693" t="inlineStr">
        <is>
          <t>MSSN695</t>
        </is>
      </c>
    </row>
    <row r="694">
      <c r="A694" t="inlineStr">
        <is>
          <t>DSLE</t>
        </is>
      </c>
      <c r="B694" t="n">
        <v>709</v>
      </c>
      <c r="C694" t="inlineStr">
        <is>
          <t>Cnstrcts of Corp Min Discpl</t>
        </is>
      </c>
      <c r="E694" t="inlineStr">
        <is>
          <t>DSLE709</t>
        </is>
      </c>
    </row>
    <row r="695">
      <c r="A695" t="inlineStr">
        <is>
          <t>OTST</t>
        </is>
      </c>
      <c r="B695" t="n">
        <v>546</v>
      </c>
      <c r="C695" t="inlineStr">
        <is>
          <t>Studies in Daniel (Engl)</t>
        </is>
      </c>
      <c r="D695" t="inlineStr">
        <is>
          <t>Studies in Daniel (Esp)</t>
        </is>
      </c>
      <c r="E695" t="inlineStr">
        <is>
          <t>OTST546</t>
        </is>
      </c>
    </row>
    <row r="696">
      <c r="A696" t="inlineStr">
        <is>
          <t>GSEM</t>
        </is>
      </c>
      <c r="B696" t="n">
        <v>685</v>
      </c>
      <c r="C696" t="inlineStr">
        <is>
          <t>Gen Sem Top:</t>
        </is>
      </c>
      <c r="D696" t="inlineStr">
        <is>
          <t>Gen Sem Top:Bibcl Hermeneutics</t>
        </is>
      </c>
      <c r="E696" t="inlineStr">
        <is>
          <t>GSEM685</t>
        </is>
      </c>
    </row>
    <row r="697">
      <c r="A697" t="inlineStr">
        <is>
          <t>PATH</t>
        </is>
      </c>
      <c r="B697" t="n">
        <v>783</v>
      </c>
      <c r="C697" t="inlineStr">
        <is>
          <t>Hear&amp;Respond God Thrgh Life</t>
        </is>
      </c>
      <c r="E697" t="inlineStr">
        <is>
          <t>PATH783</t>
        </is>
      </c>
    </row>
    <row r="698">
      <c r="A698" t="inlineStr">
        <is>
          <t>CHIS</t>
        </is>
      </c>
      <c r="B698" t="n">
        <v>940</v>
      </c>
      <c r="C698" t="inlineStr">
        <is>
          <t>Seminar in Church History:</t>
        </is>
      </c>
      <c r="D698" t="inlineStr">
        <is>
          <t>SemChHist:Linguist Theologians</t>
        </is>
      </c>
      <c r="E698" t="inlineStr">
        <is>
          <t>CHIS940</t>
        </is>
      </c>
    </row>
    <row r="699">
      <c r="A699" t="inlineStr">
        <is>
          <t>OTST</t>
        </is>
      </c>
      <c r="B699" t="n">
        <v>885</v>
      </c>
      <c r="C699" t="inlineStr">
        <is>
          <t>Topics in:</t>
        </is>
      </c>
      <c r="D699" t="inlineStr">
        <is>
          <t>Top:Linguistics for Theolgians</t>
        </is>
      </c>
      <c r="E699" t="inlineStr">
        <is>
          <t>OTST885</t>
        </is>
      </c>
    </row>
    <row r="700">
      <c r="A700" t="inlineStr">
        <is>
          <t>CHIS</t>
        </is>
      </c>
      <c r="B700" t="n">
        <v>880</v>
      </c>
      <c r="C700" t="inlineStr">
        <is>
          <t>Topics in Church History:</t>
        </is>
      </c>
      <c r="D700" t="inlineStr">
        <is>
          <t>Top in Chrch Hist:Early Church</t>
        </is>
      </c>
      <c r="E700" t="inlineStr">
        <is>
          <t>CHIS880</t>
        </is>
      </c>
    </row>
    <row r="701">
      <c r="A701" t="inlineStr">
        <is>
          <t>CHIS</t>
        </is>
      </c>
      <c r="B701" t="n">
        <v>885</v>
      </c>
      <c r="C701" t="inlineStr">
        <is>
          <t>Topics in</t>
        </is>
      </c>
      <c r="D701" t="inlineStr">
        <is>
          <t>Topics: Dev of SDA Theology</t>
        </is>
      </c>
      <c r="E701" t="inlineStr">
        <is>
          <t>CHIS885</t>
        </is>
      </c>
    </row>
    <row r="702">
      <c r="A702" t="inlineStr">
        <is>
          <t>OTST</t>
        </is>
      </c>
      <c r="B702" t="n">
        <v>885</v>
      </c>
      <c r="C702" t="inlineStr">
        <is>
          <t>Topics in:</t>
        </is>
      </c>
      <c r="D702" t="inlineStr">
        <is>
          <t>Topics in: Bblical Hebrew III</t>
        </is>
      </c>
      <c r="E702" t="inlineStr">
        <is>
          <t>OTST885</t>
        </is>
      </c>
    </row>
    <row r="703">
      <c r="A703" t="inlineStr">
        <is>
          <t>THST</t>
        </is>
      </c>
      <c r="B703" t="n">
        <v>809</v>
      </c>
      <c r="C703" t="inlineStr">
        <is>
          <t>Theology of E. G. White</t>
        </is>
      </c>
      <c r="E703" t="inlineStr">
        <is>
          <t>THST809</t>
        </is>
      </c>
    </row>
    <row r="704">
      <c r="A704" t="inlineStr">
        <is>
          <t>DSLE</t>
        </is>
      </c>
      <c r="B704" t="n">
        <v>677</v>
      </c>
      <c r="C704" t="inlineStr">
        <is>
          <t>Ministry to Older Adults</t>
        </is>
      </c>
      <c r="E704" t="inlineStr">
        <is>
          <t>DSLE677</t>
        </is>
      </c>
    </row>
    <row r="705">
      <c r="A705" t="inlineStr">
        <is>
          <t>OTST</t>
        </is>
      </c>
      <c r="B705" t="n">
        <v>885</v>
      </c>
      <c r="C705" t="inlineStr">
        <is>
          <t>Topics in:</t>
        </is>
      </c>
      <c r="D705" t="inlineStr">
        <is>
          <t>Topics in: OT Exegesis</t>
        </is>
      </c>
      <c r="E705" t="inlineStr">
        <is>
          <t>OTST885</t>
        </is>
      </c>
    </row>
    <row r="706">
      <c r="A706" t="inlineStr">
        <is>
          <t>NTST</t>
        </is>
      </c>
      <c r="B706" t="n">
        <v>885</v>
      </c>
      <c r="C706" t="inlineStr">
        <is>
          <t>Topics in</t>
        </is>
      </c>
      <c r="D706" t="inlineStr">
        <is>
          <t>Topics in Judaism and the NT</t>
        </is>
      </c>
      <c r="E706" t="inlineStr">
        <is>
          <t>NTST885</t>
        </is>
      </c>
    </row>
    <row r="707">
      <c r="A707" t="inlineStr">
        <is>
          <t>OTST</t>
        </is>
      </c>
      <c r="B707" t="n">
        <v>612</v>
      </c>
      <c r="C707" t="inlineStr">
        <is>
          <t>Ancient Near Eastern Lang</t>
        </is>
      </c>
      <c r="E707" t="inlineStr">
        <is>
          <t>OTST612</t>
        </is>
      </c>
    </row>
    <row r="708">
      <c r="A708" t="inlineStr">
        <is>
          <t>DSLE</t>
        </is>
      </c>
      <c r="B708" t="n">
        <v>655</v>
      </c>
      <c r="C708" t="inlineStr">
        <is>
          <t>Families in Society</t>
        </is>
      </c>
      <c r="E708" t="inlineStr">
        <is>
          <t>DSLE655</t>
        </is>
      </c>
    </row>
    <row r="709">
      <c r="A709" t="inlineStr">
        <is>
          <t>PATH</t>
        </is>
      </c>
      <c r="B709" t="n">
        <v>627</v>
      </c>
      <c r="C709" t="inlineStr">
        <is>
          <t>Black Preaching</t>
        </is>
      </c>
      <c r="E709" t="inlineStr">
        <is>
          <t>PATH627</t>
        </is>
      </c>
    </row>
    <row r="710">
      <c r="A710" t="inlineStr">
        <is>
          <t>PATH</t>
        </is>
      </c>
      <c r="B710" t="n">
        <v>516</v>
      </c>
      <c r="C710" t="inlineStr">
        <is>
          <t>Death &amp; Grief Contemp Society</t>
        </is>
      </c>
      <c r="E710" t="inlineStr">
        <is>
          <t>PATH516</t>
        </is>
      </c>
    </row>
    <row r="711">
      <c r="A711" t="inlineStr">
        <is>
          <t>OTST</t>
        </is>
      </c>
      <c r="B711" t="n">
        <v>885</v>
      </c>
      <c r="C711" t="inlineStr">
        <is>
          <t>Topics in:</t>
        </is>
      </c>
      <c r="D711" t="inlineStr">
        <is>
          <t>Topics in: Akkadian</t>
        </is>
      </c>
      <c r="E711" t="inlineStr">
        <is>
          <t>OTST885</t>
        </is>
      </c>
    </row>
    <row r="712">
      <c r="A712" t="inlineStr">
        <is>
          <t>THST</t>
        </is>
      </c>
      <c r="B712" t="n">
        <v>885</v>
      </c>
      <c r="C712" t="inlineStr">
        <is>
          <t>Top:</t>
        </is>
      </c>
      <c r="D712" t="inlineStr">
        <is>
          <t>Top: Principles&amp;Methods of The</t>
        </is>
      </c>
      <c r="E712" t="inlineStr">
        <is>
          <t>THST885</t>
        </is>
      </c>
    </row>
    <row r="713">
      <c r="A713" t="inlineStr">
        <is>
          <t>DSLE</t>
        </is>
      </c>
      <c r="B713" t="n">
        <v>749</v>
      </c>
      <c r="C713" t="inlineStr">
        <is>
          <t>Family as Center for Dscplshp</t>
        </is>
      </c>
      <c r="E713" t="inlineStr">
        <is>
          <t>DSLE749</t>
        </is>
      </c>
    </row>
    <row r="714">
      <c r="A714" t="inlineStr">
        <is>
          <t>PATH</t>
        </is>
      </c>
      <c r="B714" t="n">
        <v>557</v>
      </c>
      <c r="C714" t="inlineStr">
        <is>
          <t>Pract Clinl Past Educ:</t>
        </is>
      </c>
      <c r="D714" t="inlineStr">
        <is>
          <t>Pract Clinl Past Educ:Clinical</t>
        </is>
      </c>
      <c r="E714" t="inlineStr">
        <is>
          <t>PATH557</t>
        </is>
      </c>
    </row>
    <row r="715">
      <c r="A715" t="inlineStr">
        <is>
          <t>PATH</t>
        </is>
      </c>
      <c r="B715" t="n">
        <v>774</v>
      </c>
      <c r="C715" t="inlineStr">
        <is>
          <t>The Church in the City</t>
        </is>
      </c>
      <c r="E715" t="inlineStr">
        <is>
          <t>PATH774</t>
        </is>
      </c>
    </row>
    <row r="716">
      <c r="A716" t="inlineStr">
        <is>
          <t>PATH</t>
        </is>
      </c>
      <c r="B716" t="n">
        <v>778</v>
      </c>
      <c r="C716" t="inlineStr">
        <is>
          <t>Ch Growth&amp;Discipleshp Urban Ch</t>
        </is>
      </c>
      <c r="E716" t="inlineStr">
        <is>
          <t>PATH778</t>
        </is>
      </c>
    </row>
    <row r="717">
      <c r="A717" t="inlineStr">
        <is>
          <t>PATH</t>
        </is>
      </c>
      <c r="B717" t="n">
        <v>744</v>
      </c>
      <c r="C717" t="inlineStr">
        <is>
          <t>A History of Preaching</t>
        </is>
      </c>
      <c r="E717" t="inlineStr">
        <is>
          <t>PATH744</t>
        </is>
      </c>
    </row>
    <row r="718">
      <c r="A718" t="inlineStr">
        <is>
          <t>GSEM</t>
        </is>
      </c>
      <c r="B718" t="n">
        <v>785</v>
      </c>
      <c r="C718" t="inlineStr">
        <is>
          <t>DMin Professional Portfolio</t>
        </is>
      </c>
      <c r="E718" t="inlineStr">
        <is>
          <t>GSEM785</t>
        </is>
      </c>
    </row>
    <row r="719">
      <c r="A719" t="inlineStr">
        <is>
          <t>PATH</t>
        </is>
      </c>
      <c r="B719" t="n">
        <v>739</v>
      </c>
      <c r="C719" t="inlineStr">
        <is>
          <t>Adv Clin Pastoral Eductn</t>
        </is>
      </c>
      <c r="E719" t="inlineStr">
        <is>
          <t>PATH739</t>
        </is>
      </c>
    </row>
    <row r="720">
      <c r="A720" t="inlineStr">
        <is>
          <t>DSLE</t>
        </is>
      </c>
      <c r="B720" t="n">
        <v>870</v>
      </c>
      <c r="C720" t="inlineStr">
        <is>
          <t>Adv Studies:</t>
        </is>
      </c>
      <c r="D720" t="inlineStr">
        <is>
          <t>Adv Studies:Collab Ministries</t>
        </is>
      </c>
      <c r="E720" t="inlineStr">
        <is>
          <t>DSLE870</t>
        </is>
      </c>
    </row>
    <row r="721">
      <c r="A721" t="inlineStr">
        <is>
          <t>CHIS</t>
        </is>
      </c>
      <c r="B721" t="n">
        <v>880</v>
      </c>
      <c r="C721" t="inlineStr">
        <is>
          <t>Topics in Church History:</t>
        </is>
      </c>
      <c r="D721" t="inlineStr">
        <is>
          <t>Top Church Hist: Martin Luther</t>
        </is>
      </c>
      <c r="E721" t="inlineStr">
        <is>
          <t>CHIS880</t>
        </is>
      </c>
    </row>
    <row r="722">
      <c r="A722" t="inlineStr">
        <is>
          <t>MSSN</t>
        </is>
      </c>
      <c r="B722" t="n">
        <v>834</v>
      </c>
      <c r="C722" t="inlineStr">
        <is>
          <t>Mission Strategy &amp; Leadership</t>
        </is>
      </c>
      <c r="E722" t="inlineStr">
        <is>
          <t>MSSN834</t>
        </is>
      </c>
    </row>
    <row r="723">
      <c r="A723" t="inlineStr">
        <is>
          <t>OTST</t>
        </is>
      </c>
      <c r="B723" t="n">
        <v>810</v>
      </c>
      <c r="C723" t="inlineStr">
        <is>
          <t>Near Eastern Archaeology</t>
        </is>
      </c>
      <c r="E723" t="inlineStr">
        <is>
          <t>OTST810</t>
        </is>
      </c>
    </row>
    <row r="724">
      <c r="A724" t="inlineStr">
        <is>
          <t>DSLE</t>
        </is>
      </c>
      <c r="B724" t="n">
        <v>652</v>
      </c>
      <c r="C724" t="inlineStr">
        <is>
          <t>Personal &amp; Fam Finance</t>
        </is>
      </c>
      <c r="E724" t="inlineStr">
        <is>
          <t>DSLE652</t>
        </is>
      </c>
    </row>
    <row r="725">
      <c r="A725" t="inlineStr">
        <is>
          <t>PATH</t>
        </is>
      </c>
      <c r="B725" t="n">
        <v>562</v>
      </c>
      <c r="C725" t="inlineStr">
        <is>
          <t>Field Evangelism</t>
        </is>
      </c>
      <c r="E725" t="inlineStr">
        <is>
          <t>PATH562</t>
        </is>
      </c>
    </row>
    <row r="726">
      <c r="A726" t="inlineStr">
        <is>
          <t>PATH</t>
        </is>
      </c>
      <c r="B726" t="n">
        <v>554</v>
      </c>
      <c r="C726" t="inlineStr">
        <is>
          <t>CPE</t>
        </is>
      </c>
      <c r="D726" t="inlineStr">
        <is>
          <t>CPE: Clinical</t>
        </is>
      </c>
      <c r="E726" t="inlineStr">
        <is>
          <t>PATH554</t>
        </is>
      </c>
    </row>
    <row r="727">
      <c r="A727" t="inlineStr">
        <is>
          <t>NTST</t>
        </is>
      </c>
      <c r="B727" t="n">
        <v>808</v>
      </c>
      <c r="C727" t="inlineStr">
        <is>
          <t>Adv Greek Grammar &amp; Syntax</t>
        </is>
      </c>
      <c r="E727" t="inlineStr">
        <is>
          <t>NTST808</t>
        </is>
      </c>
    </row>
    <row r="728">
      <c r="A728" t="inlineStr">
        <is>
          <t>NTST</t>
        </is>
      </c>
      <c r="B728" t="n">
        <v>885</v>
      </c>
      <c r="C728" t="inlineStr">
        <is>
          <t>Topics in</t>
        </is>
      </c>
      <c r="D728" t="inlineStr">
        <is>
          <t>Topics in Textual Criticism</t>
        </is>
      </c>
      <c r="E728" t="inlineStr">
        <is>
          <t>NTST885</t>
        </is>
      </c>
    </row>
    <row r="729">
      <c r="A729" t="inlineStr">
        <is>
          <t>THST</t>
        </is>
      </c>
      <c r="B729" t="n">
        <v>885</v>
      </c>
      <c r="C729" t="inlineStr">
        <is>
          <t>Top:</t>
        </is>
      </c>
      <c r="D729" t="inlineStr">
        <is>
          <t>Top: Roman Catholic Thought</t>
        </is>
      </c>
      <c r="E729" t="inlineStr">
        <is>
          <t>THST885</t>
        </is>
      </c>
    </row>
    <row r="730">
      <c r="A730" t="inlineStr">
        <is>
          <t>THST</t>
        </is>
      </c>
      <c r="B730" t="n">
        <v>940</v>
      </c>
      <c r="C730" t="inlineStr">
        <is>
          <t>Sem in Systematic Theology:</t>
        </is>
      </c>
      <c r="D730" t="inlineStr">
        <is>
          <t>Sem Rev&amp;Insp: Narrative Theo</t>
        </is>
      </c>
      <c r="E730" t="inlineStr">
        <is>
          <t>THST940</t>
        </is>
      </c>
    </row>
    <row r="731">
      <c r="A731" t="inlineStr">
        <is>
          <t>DSLE</t>
        </is>
      </c>
      <c r="B731" t="n">
        <v>607</v>
      </c>
      <c r="C731" t="inlineStr">
        <is>
          <t>Intergenerational Ministry</t>
        </is>
      </c>
      <c r="E731" t="inlineStr">
        <is>
          <t>DSLE607</t>
        </is>
      </c>
    </row>
    <row r="732">
      <c r="A732" t="inlineStr">
        <is>
          <t>OTST</t>
        </is>
      </c>
      <c r="B732" t="n">
        <v>940</v>
      </c>
      <c r="C732" t="inlineStr">
        <is>
          <t>Sem Adv OT Exegesis</t>
        </is>
      </c>
      <c r="D732" t="inlineStr">
        <is>
          <t>SemAdv OT Exeg: Proverbs</t>
        </is>
      </c>
      <c r="E732" t="inlineStr">
        <is>
          <t>OTST940</t>
        </is>
      </c>
    </row>
    <row r="733">
      <c r="A733" t="inlineStr">
        <is>
          <t>MSSN</t>
        </is>
      </c>
      <c r="B733" t="n">
        <v>625</v>
      </c>
      <c r="C733" t="inlineStr">
        <is>
          <t>CreatngCollctvImpctProjctMngm</t>
        </is>
      </c>
      <c r="E733" t="inlineStr">
        <is>
          <t>MSSN625</t>
        </is>
      </c>
    </row>
    <row r="734">
      <c r="A734" t="inlineStr">
        <is>
          <t>OTST</t>
        </is>
      </c>
      <c r="B734" t="n">
        <v>940</v>
      </c>
      <c r="C734" t="inlineStr">
        <is>
          <t>Sem Adv OT Exegesis</t>
        </is>
      </c>
      <c r="D734" t="inlineStr">
        <is>
          <t>Sem Adv OT Exeg:Major Prophets</t>
        </is>
      </c>
      <c r="E734" t="inlineStr">
        <is>
          <t>OTST940</t>
        </is>
      </c>
    </row>
    <row r="735">
      <c r="A735" t="inlineStr">
        <is>
          <t>PATH</t>
        </is>
      </c>
      <c r="B735" t="n">
        <v>603</v>
      </c>
      <c r="C735" t="inlineStr">
        <is>
          <t>Evangelistic Preaching</t>
        </is>
      </c>
      <c r="E735" t="inlineStr">
        <is>
          <t>PATH603</t>
        </is>
      </c>
    </row>
    <row r="736">
      <c r="A736" t="inlineStr">
        <is>
          <t>PATH</t>
        </is>
      </c>
      <c r="B736" t="n">
        <v>554</v>
      </c>
      <c r="C736" t="inlineStr">
        <is>
          <t>CPE</t>
        </is>
      </c>
      <c r="D736" t="inlineStr">
        <is>
          <t>CPE: Urban</t>
        </is>
      </c>
      <c r="E736" t="inlineStr">
        <is>
          <t>PATH554</t>
        </is>
      </c>
    </row>
    <row r="737">
      <c r="A737" t="inlineStr">
        <is>
          <t>DSLE</t>
        </is>
      </c>
      <c r="B737" t="n">
        <v>564</v>
      </c>
      <c r="C737" t="inlineStr">
        <is>
          <t>Discipling Young Adults</t>
        </is>
      </c>
      <c r="E737" t="inlineStr">
        <is>
          <t>DSLE564</t>
        </is>
      </c>
    </row>
    <row r="738">
      <c r="A738" t="inlineStr">
        <is>
          <t>DSLE</t>
        </is>
      </c>
      <c r="B738" t="n">
        <v>930</v>
      </c>
      <c r="C738" t="inlineStr">
        <is>
          <t>Seminar:</t>
        </is>
      </c>
      <c r="D738" t="inlineStr">
        <is>
          <t>Sem: Reaching the Secular Mind</t>
        </is>
      </c>
      <c r="E738" t="inlineStr">
        <is>
          <t>DSLE930</t>
        </is>
      </c>
    </row>
    <row r="739">
      <c r="A739" t="inlineStr">
        <is>
          <t>GSEM</t>
        </is>
      </c>
      <c r="B739" t="n">
        <v>810</v>
      </c>
      <c r="C739" t="inlineStr">
        <is>
          <t>PhD-ThD Colloquium</t>
        </is>
      </c>
      <c r="D739" t="inlineStr">
        <is>
          <t>PhD-ThD Colloquium</t>
        </is>
      </c>
      <c r="E739" t="inlineStr">
        <is>
          <t>GSEM810</t>
        </is>
      </c>
    </row>
    <row r="740">
      <c r="A740" t="inlineStr">
        <is>
          <t>PATH</t>
        </is>
      </c>
      <c r="B740" t="n">
        <v>632</v>
      </c>
      <c r="C740" t="inlineStr">
        <is>
          <t>Contextualized Preaching:</t>
        </is>
      </c>
      <c r="D740" t="inlineStr">
        <is>
          <t>Contextualized Preaching:Youth</t>
        </is>
      </c>
      <c r="E740" t="inlineStr">
        <is>
          <t>PATH632</t>
        </is>
      </c>
    </row>
    <row r="741">
      <c r="A741" t="inlineStr">
        <is>
          <t>THST</t>
        </is>
      </c>
      <c r="B741" t="n">
        <v>885</v>
      </c>
      <c r="C741" t="inlineStr">
        <is>
          <t>Top:</t>
        </is>
      </c>
      <c r="D741" t="inlineStr">
        <is>
          <t>Top:Doctrin of the Holy Spirit</t>
        </is>
      </c>
      <c r="E741" t="inlineStr">
        <is>
          <t>THST885</t>
        </is>
      </c>
    </row>
    <row r="742">
      <c r="A742" t="inlineStr">
        <is>
          <t>THST</t>
        </is>
      </c>
      <c r="B742" t="n">
        <v>649</v>
      </c>
      <c r="C742" t="inlineStr">
        <is>
          <t>Sem in Theological Issues:</t>
        </is>
      </c>
      <c r="D742" t="inlineStr">
        <is>
          <t>Sem Thel Iss: Narrative Theo</t>
        </is>
      </c>
      <c r="E742" t="inlineStr">
        <is>
          <t>THST649</t>
        </is>
      </c>
    </row>
    <row r="743">
      <c r="A743" t="inlineStr">
        <is>
          <t>NTST</t>
        </is>
      </c>
      <c r="B743" t="n">
        <v>885</v>
      </c>
      <c r="C743" t="inlineStr">
        <is>
          <t>Topics in</t>
        </is>
      </c>
      <c r="D743" t="inlineStr">
        <is>
          <t>Top: Gr Con, Cov, Law&amp; Sabbath</t>
        </is>
      </c>
      <c r="E743" t="inlineStr">
        <is>
          <t>NTST885</t>
        </is>
      </c>
    </row>
    <row r="744">
      <c r="A744" t="inlineStr">
        <is>
          <t>NTST</t>
        </is>
      </c>
      <c r="B744" t="n">
        <v>885</v>
      </c>
      <c r="C744" t="inlineStr">
        <is>
          <t>Topics in</t>
        </is>
      </c>
      <c r="D744" t="inlineStr">
        <is>
          <t>Top:Judaism &amp;the New Testament</t>
        </is>
      </c>
      <c r="E744" t="inlineStr">
        <is>
          <t>NTST885</t>
        </is>
      </c>
    </row>
    <row r="745">
      <c r="A745" t="inlineStr">
        <is>
          <t>CHIS</t>
        </is>
      </c>
      <c r="B745" t="n">
        <v>640</v>
      </c>
      <c r="C745" t="inlineStr">
        <is>
          <t>Reformation:</t>
        </is>
      </c>
      <c r="D745" t="inlineStr">
        <is>
          <t>Reformation: Martin Luther</t>
        </is>
      </c>
      <c r="E745" t="inlineStr">
        <is>
          <t>CHIS640</t>
        </is>
      </c>
    </row>
    <row r="746">
      <c r="A746" t="inlineStr">
        <is>
          <t>GSEM</t>
        </is>
      </c>
      <c r="B746" t="n">
        <v>505</v>
      </c>
      <c r="C746" t="inlineStr">
        <is>
          <t>Colloquium:</t>
        </is>
      </c>
      <c r="D746" t="inlineStr">
        <is>
          <t>Coll:Getting Publishd/Staying</t>
        </is>
      </c>
      <c r="E746" t="inlineStr">
        <is>
          <t>GSEM505</t>
        </is>
      </c>
    </row>
    <row r="747">
      <c r="A747" t="inlineStr">
        <is>
          <t>MSSN</t>
        </is>
      </c>
      <c r="B747" t="n">
        <v>632</v>
      </c>
      <c r="C747" t="inlineStr">
        <is>
          <t>Diversity,Cult.,Intel,Leadrshp</t>
        </is>
      </c>
      <c r="E747" t="inlineStr">
        <is>
          <t>MSSN632</t>
        </is>
      </c>
    </row>
    <row r="748">
      <c r="A748" t="inlineStr">
        <is>
          <t>GSEM</t>
        </is>
      </c>
      <c r="B748" t="n">
        <v>505</v>
      </c>
      <c r="C748" t="inlineStr">
        <is>
          <t>Colloquium:</t>
        </is>
      </c>
      <c r="D748" t="inlineStr">
        <is>
          <t>Coll: Creation Care &amp; SDAs</t>
        </is>
      </c>
      <c r="E748" t="inlineStr">
        <is>
          <t>GSEM505</t>
        </is>
      </c>
    </row>
    <row r="749">
      <c r="A749" t="inlineStr">
        <is>
          <t>PATH</t>
        </is>
      </c>
      <c r="B749" t="n">
        <v>567</v>
      </c>
      <c r="C749" t="inlineStr">
        <is>
          <t>Health&amp;Lifestyle Transformatn</t>
        </is>
      </c>
      <c r="E749" t="inlineStr">
        <is>
          <t>PATH567</t>
        </is>
      </c>
    </row>
    <row r="750">
      <c r="A750" t="inlineStr">
        <is>
          <t>PATH</t>
        </is>
      </c>
      <c r="B750" t="n">
        <v>654</v>
      </c>
      <c r="C750" t="inlineStr">
        <is>
          <t>Hist &amp; Theo Adventist Worshp</t>
        </is>
      </c>
      <c r="E750" t="inlineStr">
        <is>
          <t>PATH654</t>
        </is>
      </c>
    </row>
    <row r="751">
      <c r="A751" t="inlineStr">
        <is>
          <t>GSEM</t>
        </is>
      </c>
      <c r="B751" t="n">
        <v>505</v>
      </c>
      <c r="C751" t="inlineStr">
        <is>
          <t>Colloquium:</t>
        </is>
      </c>
      <c r="D751" t="inlineStr">
        <is>
          <t>Coll: Master Guide Toolbox</t>
        </is>
      </c>
      <c r="E751" t="inlineStr">
        <is>
          <t>GSEM505</t>
        </is>
      </c>
    </row>
    <row r="752">
      <c r="A752" t="inlineStr">
        <is>
          <t>PATH</t>
        </is>
      </c>
      <c r="B752" t="n">
        <v>536</v>
      </c>
      <c r="C752" t="inlineStr">
        <is>
          <t>Personal Evangelistic Ministry</t>
        </is>
      </c>
      <c r="E752" t="inlineStr">
        <is>
          <t>PATH536</t>
        </is>
      </c>
    </row>
    <row r="753">
      <c r="A753" t="inlineStr">
        <is>
          <t>CHIS</t>
        </is>
      </c>
      <c r="B753" t="n">
        <v>880</v>
      </c>
      <c r="C753" t="inlineStr">
        <is>
          <t>Topics in Church History:</t>
        </is>
      </c>
      <c r="D753" t="inlineStr">
        <is>
          <t>Top CHIS: Hist of Sab&amp;Sun</t>
        </is>
      </c>
      <c r="E753" t="inlineStr">
        <is>
          <t>CHIS880</t>
        </is>
      </c>
    </row>
    <row r="754">
      <c r="A754" t="inlineStr">
        <is>
          <t>PATH</t>
        </is>
      </c>
      <c r="B754" t="n">
        <v>748</v>
      </c>
      <c r="C754" t="inlineStr">
        <is>
          <t>Preach Literary Forms of Bible</t>
        </is>
      </c>
      <c r="E754" t="inlineStr">
        <is>
          <t>PATH748</t>
        </is>
      </c>
    </row>
    <row r="755">
      <c r="A755" t="inlineStr">
        <is>
          <t>PATH</t>
        </is>
      </c>
      <c r="B755" t="n">
        <v>609</v>
      </c>
      <c r="C755" t="inlineStr">
        <is>
          <t>Media Ministry</t>
        </is>
      </c>
      <c r="E755" t="inlineStr">
        <is>
          <t>PATH609</t>
        </is>
      </c>
    </row>
    <row r="756">
      <c r="A756" t="inlineStr">
        <is>
          <t>PATH</t>
        </is>
      </c>
      <c r="B756" t="n">
        <v>710</v>
      </c>
      <c r="C756" t="inlineStr">
        <is>
          <t>Issues in Discipleship</t>
        </is>
      </c>
      <c r="E756" t="inlineStr">
        <is>
          <t>PATH710</t>
        </is>
      </c>
    </row>
    <row r="757">
      <c r="A757" t="inlineStr">
        <is>
          <t>GSEM</t>
        </is>
      </c>
      <c r="B757" t="n">
        <v>505</v>
      </c>
      <c r="C757" t="inlineStr">
        <is>
          <t>Colloquium:</t>
        </is>
      </c>
      <c r="D757" t="inlineStr">
        <is>
          <t>Coll:Pride&amp;Humlty for Rel Ldrs</t>
        </is>
      </c>
      <c r="E757" t="inlineStr">
        <is>
          <t>GSEM505</t>
        </is>
      </c>
    </row>
    <row r="758">
      <c r="A758" t="inlineStr">
        <is>
          <t>THST</t>
        </is>
      </c>
      <c r="B758" t="n">
        <v>885</v>
      </c>
      <c r="C758" t="inlineStr">
        <is>
          <t>Top:</t>
        </is>
      </c>
      <c r="D758" t="inlineStr">
        <is>
          <t>Top: Doctrine of Christ</t>
        </is>
      </c>
      <c r="E758" t="inlineStr">
        <is>
          <t>THST885</t>
        </is>
      </c>
    </row>
    <row r="759">
      <c r="A759" t="inlineStr">
        <is>
          <t>NTST</t>
        </is>
      </c>
      <c r="B759" t="n">
        <v>885</v>
      </c>
      <c r="C759" t="inlineStr">
        <is>
          <t>Topics in</t>
        </is>
      </c>
      <c r="D759" t="inlineStr">
        <is>
          <t>Top:AdvSt Paulne Wrt:Galatians</t>
        </is>
      </c>
      <c r="E759" t="inlineStr">
        <is>
          <t>NTST885</t>
        </is>
      </c>
    </row>
    <row r="760">
      <c r="A760" t="inlineStr">
        <is>
          <t>CHIS</t>
        </is>
      </c>
      <c r="B760" t="n">
        <v>684</v>
      </c>
      <c r="C760" t="inlineStr">
        <is>
          <t>Sem Hist of Sabbath &amp; Sunday</t>
        </is>
      </c>
      <c r="E760" t="inlineStr">
        <is>
          <t>CHIS684</t>
        </is>
      </c>
    </row>
    <row r="761">
      <c r="A761" t="inlineStr">
        <is>
          <t>CHIS</t>
        </is>
      </c>
      <c r="B761" t="n">
        <v>685</v>
      </c>
      <c r="C761" t="inlineStr">
        <is>
          <t>Studies in Church History</t>
        </is>
      </c>
      <c r="D761" t="inlineStr">
        <is>
          <t>St CHIS:Hist&amp; Theo Adv Worship</t>
        </is>
      </c>
      <c r="E761" t="inlineStr">
        <is>
          <t>CHIS685</t>
        </is>
      </c>
    </row>
    <row r="762">
      <c r="A762" t="inlineStr">
        <is>
          <t>CHIS</t>
        </is>
      </c>
      <c r="B762" t="n">
        <v>695</v>
      </c>
      <c r="C762" t="inlineStr">
        <is>
          <t>Topics in Church History:</t>
        </is>
      </c>
      <c r="D762" t="inlineStr">
        <is>
          <t>Top in CH:Hist of Sab&amp;Sunday</t>
        </is>
      </c>
      <c r="E762" t="inlineStr">
        <is>
          <t>CHIS695</t>
        </is>
      </c>
    </row>
    <row r="763">
      <c r="A763" t="inlineStr">
        <is>
          <t>THST</t>
        </is>
      </c>
      <c r="B763" t="n">
        <v>885</v>
      </c>
      <c r="C763" t="inlineStr">
        <is>
          <t>Top:</t>
        </is>
      </c>
      <c r="D763" t="inlineStr">
        <is>
          <t>Top: Hist of Philosophy</t>
        </is>
      </c>
      <c r="E763" t="inlineStr">
        <is>
          <t>THST885</t>
        </is>
      </c>
    </row>
    <row r="764">
      <c r="A764" t="inlineStr">
        <is>
          <t>ANEA</t>
        </is>
      </c>
      <c r="B764" t="n">
        <v>815</v>
      </c>
      <c r="C764" t="inlineStr">
        <is>
          <t>Adv Archaeology of NT Period</t>
        </is>
      </c>
      <c r="E764" t="inlineStr">
        <is>
          <t>ANEA815</t>
        </is>
      </c>
    </row>
    <row r="765">
      <c r="A765" t="inlineStr">
        <is>
          <t>MSSN</t>
        </is>
      </c>
      <c r="B765" t="n">
        <v>655</v>
      </c>
      <c r="C765" t="inlineStr">
        <is>
          <t>ICISF Certification for Crisis</t>
        </is>
      </c>
      <c r="E765" t="inlineStr">
        <is>
          <t>MSSN655</t>
        </is>
      </c>
    </row>
    <row r="766">
      <c r="A766" t="inlineStr">
        <is>
          <t>MSSN</t>
        </is>
      </c>
      <c r="B766" t="n">
        <v>695</v>
      </c>
      <c r="C766" t="inlineStr">
        <is>
          <t>Topics:</t>
        </is>
      </c>
      <c r="D766" t="inlineStr">
        <is>
          <t>Top:Witness inSecular Society</t>
        </is>
      </c>
      <c r="E766" t="inlineStr">
        <is>
          <t>MSSN695</t>
        </is>
      </c>
    </row>
    <row r="767">
      <c r="A767" t="inlineStr">
        <is>
          <t>MSSN</t>
        </is>
      </c>
      <c r="B767" t="n">
        <v>880</v>
      </c>
      <c r="C767" t="inlineStr">
        <is>
          <t>Mission Education &amp; Training</t>
        </is>
      </c>
      <c r="E767" t="inlineStr">
        <is>
          <t>MSSN880</t>
        </is>
      </c>
    </row>
    <row r="768">
      <c r="A768" t="inlineStr">
        <is>
          <t>MSSN</t>
        </is>
      </c>
      <c r="B768" t="n">
        <v>820</v>
      </c>
      <c r="C768" t="inlineStr">
        <is>
          <t>The Church &amp; Social Issues</t>
        </is>
      </c>
      <c r="E768" t="inlineStr">
        <is>
          <t>MSSN820</t>
        </is>
      </c>
    </row>
    <row r="769">
      <c r="A769" t="inlineStr">
        <is>
          <t>MSSN</t>
        </is>
      </c>
      <c r="B769" t="n">
        <v>829</v>
      </c>
      <c r="C769" t="inlineStr">
        <is>
          <t>Sem in Other Religions</t>
        </is>
      </c>
      <c r="E769" t="inlineStr">
        <is>
          <t>MSSN829</t>
        </is>
      </c>
    </row>
    <row r="770">
      <c r="A770" t="inlineStr">
        <is>
          <t>MSSN</t>
        </is>
      </c>
      <c r="B770" t="n">
        <v>838</v>
      </c>
      <c r="C770" t="inlineStr">
        <is>
          <t>Mission &amp; the Social Sciences</t>
        </is>
      </c>
      <c r="E770" t="inlineStr">
        <is>
          <t>MSSN838</t>
        </is>
      </c>
    </row>
    <row r="771">
      <c r="A771" t="inlineStr">
        <is>
          <t>PATH</t>
        </is>
      </c>
      <c r="B771" t="n">
        <v>549</v>
      </c>
      <c r="C771" t="inlineStr">
        <is>
          <t>Phil &amp; Ethics in Chaplaincy</t>
        </is>
      </c>
      <c r="E771" t="inlineStr">
        <is>
          <t>PATH549</t>
        </is>
      </c>
    </row>
    <row r="772">
      <c r="A772" t="inlineStr">
        <is>
          <t>DSLE</t>
        </is>
      </c>
      <c r="B772" t="n">
        <v>830</v>
      </c>
      <c r="C772" t="inlineStr">
        <is>
          <t>Adv Fostering Spiritual Growth</t>
        </is>
      </c>
      <c r="E772" t="inlineStr">
        <is>
          <t>DSLE830</t>
        </is>
      </c>
    </row>
    <row r="773">
      <c r="A773" t="inlineStr">
        <is>
          <t>PATH</t>
        </is>
      </c>
      <c r="B773" t="n">
        <v>781</v>
      </c>
      <c r="C773" t="inlineStr">
        <is>
          <t>Advanced Admin Practices</t>
        </is>
      </c>
      <c r="E773" t="inlineStr">
        <is>
          <t>PATH781</t>
        </is>
      </c>
    </row>
    <row r="774">
      <c r="A774" t="inlineStr">
        <is>
          <t>PATH</t>
        </is>
      </c>
      <c r="B774" t="n">
        <v>632</v>
      </c>
      <c r="C774" t="inlineStr">
        <is>
          <t>Contextualized Preaching:</t>
        </is>
      </c>
      <c r="D774" t="inlineStr">
        <is>
          <t>Cont Preach:Youth&amp; Young Adult</t>
        </is>
      </c>
      <c r="E774" t="inlineStr">
        <is>
          <t>PATH632</t>
        </is>
      </c>
    </row>
    <row r="775">
      <c r="A775" t="inlineStr">
        <is>
          <t>MSSN</t>
        </is>
      </c>
      <c r="B775" t="n">
        <v>810</v>
      </c>
      <c r="C775" t="inlineStr">
        <is>
          <t>Sem:</t>
        </is>
      </c>
      <c r="D775" t="inlineStr">
        <is>
          <t>Top:</t>
        </is>
      </c>
      <c r="E775" t="inlineStr">
        <is>
          <t>MSSN810</t>
        </is>
      </c>
    </row>
    <row r="776">
      <c r="A776" t="inlineStr">
        <is>
          <t>PATH</t>
        </is>
      </c>
      <c r="B776" t="n">
        <v>554</v>
      </c>
      <c r="C776" t="inlineStr">
        <is>
          <t>CPE</t>
        </is>
      </c>
      <c r="E776" t="inlineStr">
        <is>
          <t>PATH554</t>
        </is>
      </c>
    </row>
    <row r="777">
      <c r="A777" t="inlineStr">
        <is>
          <t>NTST</t>
        </is>
      </c>
      <c r="B777" t="n">
        <v>885</v>
      </c>
      <c r="C777" t="inlineStr">
        <is>
          <t>Topics in</t>
        </is>
      </c>
      <c r="D777" t="inlineStr">
        <is>
          <t>Topics in NT Archaeology</t>
        </is>
      </c>
      <c r="E777" t="inlineStr">
        <is>
          <t>NTST885</t>
        </is>
      </c>
    </row>
    <row r="778">
      <c r="A778" t="inlineStr">
        <is>
          <t>CHIS</t>
        </is>
      </c>
      <c r="B778" t="n">
        <v>880</v>
      </c>
      <c r="C778" t="inlineStr">
        <is>
          <t>Topics in Church History:</t>
        </is>
      </c>
      <c r="D778" t="inlineStr">
        <is>
          <t>Top in Chrch Hist:Rlgn in Amer</t>
        </is>
      </c>
      <c r="E778" t="inlineStr">
        <is>
          <t>CHIS880</t>
        </is>
      </c>
    </row>
    <row r="779">
      <c r="A779" t="inlineStr">
        <is>
          <t>OTST</t>
        </is>
      </c>
      <c r="B779" t="n">
        <v>615</v>
      </c>
      <c r="C779" t="inlineStr">
        <is>
          <t>Sem Arch &amp; Hist of Antiquity</t>
        </is>
      </c>
      <c r="E779" t="inlineStr">
        <is>
          <t>OTST615</t>
        </is>
      </c>
    </row>
    <row r="780">
      <c r="A780" t="inlineStr">
        <is>
          <t>OTST</t>
        </is>
      </c>
      <c r="B780" t="n">
        <v>885</v>
      </c>
      <c r="C780" t="inlineStr">
        <is>
          <t>Topics in:</t>
        </is>
      </c>
      <c r="D780" t="inlineStr">
        <is>
          <t>Top: Dead Sea Scrolls</t>
        </is>
      </c>
      <c r="E780" t="inlineStr">
        <is>
          <t>OTST885</t>
        </is>
      </c>
    </row>
    <row r="781">
      <c r="A781" t="inlineStr">
        <is>
          <t>CHIS</t>
        </is>
      </c>
      <c r="B781" t="n">
        <v>885</v>
      </c>
      <c r="C781" t="inlineStr">
        <is>
          <t>Topics in</t>
        </is>
      </c>
      <c r="D781" t="inlineStr">
        <is>
          <t>Top:Iss in Ellen G White Stdis</t>
        </is>
      </c>
      <c r="E781" t="inlineStr">
        <is>
          <t>CHIS885</t>
        </is>
      </c>
    </row>
    <row r="782">
      <c r="A782" t="inlineStr">
        <is>
          <t>OTST</t>
        </is>
      </c>
      <c r="B782" t="n">
        <v>885</v>
      </c>
      <c r="C782" t="inlineStr">
        <is>
          <t>Topics in:</t>
        </is>
      </c>
      <c r="D782" t="inlineStr">
        <is>
          <t>Topics in: Biblical Hebrew III</t>
        </is>
      </c>
      <c r="E782" t="inlineStr">
        <is>
          <t>OTST885</t>
        </is>
      </c>
    </row>
    <row r="783">
      <c r="A783" t="inlineStr">
        <is>
          <t>THST</t>
        </is>
      </c>
      <c r="B783" t="n">
        <v>885</v>
      </c>
      <c r="C783" t="inlineStr">
        <is>
          <t>Top:</t>
        </is>
      </c>
      <c r="D783" t="inlineStr">
        <is>
          <t>Top:Doctrine of Church</t>
        </is>
      </c>
      <c r="E783" t="inlineStr">
        <is>
          <t>THST885</t>
        </is>
      </c>
    </row>
    <row r="784">
      <c r="A784" t="inlineStr">
        <is>
          <t>CHIS</t>
        </is>
      </c>
      <c r="B784" t="n">
        <v>885</v>
      </c>
      <c r="C784" t="inlineStr">
        <is>
          <t>Topics in</t>
        </is>
      </c>
      <c r="D784" t="inlineStr">
        <is>
          <t>Topics in Dev of SDA Theology</t>
        </is>
      </c>
      <c r="E784" t="inlineStr">
        <is>
          <t>CHIS885</t>
        </is>
      </c>
    </row>
    <row r="785">
      <c r="A785" t="inlineStr">
        <is>
          <t>OTST</t>
        </is>
      </c>
      <c r="B785" t="n">
        <v>885</v>
      </c>
      <c r="C785" t="inlineStr">
        <is>
          <t>Topics in:</t>
        </is>
      </c>
      <c r="D785" t="inlineStr">
        <is>
          <t>Topics in: Great Controvery</t>
        </is>
      </c>
      <c r="E785" t="inlineStr">
        <is>
          <t>OTST885</t>
        </is>
      </c>
    </row>
    <row r="786">
      <c r="A786" t="inlineStr">
        <is>
          <t>CHIS</t>
        </is>
      </c>
      <c r="B786" t="n">
        <v>885</v>
      </c>
      <c r="C786" t="inlineStr">
        <is>
          <t>Topics in</t>
        </is>
      </c>
      <c r="D786" t="inlineStr">
        <is>
          <t>Topics Grt Cont, Cov, Law, Sab</t>
        </is>
      </c>
      <c r="E786" t="inlineStr">
        <is>
          <t>CHIS885</t>
        </is>
      </c>
    </row>
    <row r="787">
      <c r="A787" t="inlineStr">
        <is>
          <t>OTST</t>
        </is>
      </c>
      <c r="B787" t="n">
        <v>604</v>
      </c>
      <c r="C787" t="inlineStr">
        <is>
          <t>Hist of the Ancient Near East</t>
        </is>
      </c>
      <c r="D787" t="inlineStr">
        <is>
          <t>Hist of Ancnt Near East :Egypt</t>
        </is>
      </c>
      <c r="E787" t="inlineStr">
        <is>
          <t>OTST604</t>
        </is>
      </c>
    </row>
    <row r="788">
      <c r="A788" t="inlineStr">
        <is>
          <t>THST</t>
        </is>
      </c>
      <c r="B788" t="n">
        <v>885</v>
      </c>
      <c r="C788" t="inlineStr">
        <is>
          <t>Top:</t>
        </is>
      </c>
      <c r="D788" t="inlineStr">
        <is>
          <t>Top: Contemporary Theo</t>
        </is>
      </c>
      <c r="E788" t="inlineStr">
        <is>
          <t>THST885</t>
        </is>
      </c>
    </row>
    <row r="789">
      <c r="A789" t="inlineStr">
        <is>
          <t>DSLE</t>
        </is>
      </c>
      <c r="B789" t="n">
        <v>678</v>
      </c>
      <c r="C789" t="inlineStr">
        <is>
          <t>Spiritual Nurture of Children</t>
        </is>
      </c>
      <c r="E789" t="inlineStr">
        <is>
          <t>DSLE678</t>
        </is>
      </c>
    </row>
    <row r="790">
      <c r="A790" t="inlineStr">
        <is>
          <t>OTST</t>
        </is>
      </c>
      <c r="B790" t="n">
        <v>686</v>
      </c>
      <c r="C790" t="inlineStr">
        <is>
          <t>Major Prophets:</t>
        </is>
      </c>
      <c r="D790" t="inlineStr">
        <is>
          <t>Major Prophets: Isaiah</t>
        </is>
      </c>
      <c r="E790" t="inlineStr">
        <is>
          <t>OTST686</t>
        </is>
      </c>
    </row>
    <row r="791">
      <c r="A791" t="inlineStr">
        <is>
          <t>OTST</t>
        </is>
      </c>
      <c r="B791" t="n">
        <v>940</v>
      </c>
      <c r="C791" t="inlineStr">
        <is>
          <t>Sem Adv OT Exegesis</t>
        </is>
      </c>
      <c r="D791" t="inlineStr">
        <is>
          <t>Sem Adv OT Exeg:  Pentateuch</t>
        </is>
      </c>
      <c r="E791" t="inlineStr">
        <is>
          <t>OTST940</t>
        </is>
      </c>
    </row>
    <row r="792">
      <c r="A792" t="inlineStr">
        <is>
          <t>ANEA</t>
        </is>
      </c>
      <c r="B792" t="n">
        <v>625</v>
      </c>
      <c r="C792" t="inlineStr">
        <is>
          <t>NT Archaeology</t>
        </is>
      </c>
      <c r="E792" t="inlineStr">
        <is>
          <t>ANEA625</t>
        </is>
      </c>
    </row>
    <row r="793">
      <c r="A793" t="inlineStr">
        <is>
          <t>THST</t>
        </is>
      </c>
      <c r="B793" t="n">
        <v>885</v>
      </c>
      <c r="C793" t="inlineStr">
        <is>
          <t>Top:</t>
        </is>
      </c>
      <c r="D793" t="inlineStr">
        <is>
          <t>Top: Modern Christian Theology</t>
        </is>
      </c>
      <c r="E793" t="inlineStr">
        <is>
          <t>THST885</t>
        </is>
      </c>
    </row>
    <row r="794">
      <c r="A794" t="inlineStr">
        <is>
          <t>THST</t>
        </is>
      </c>
      <c r="B794" t="n">
        <v>885</v>
      </c>
      <c r="C794" t="inlineStr">
        <is>
          <t>Top:</t>
        </is>
      </c>
      <c r="D794" t="inlineStr">
        <is>
          <t>Top: Theological Ethics</t>
        </is>
      </c>
      <c r="E794" t="inlineStr">
        <is>
          <t>THST885</t>
        </is>
      </c>
    </row>
    <row r="795">
      <c r="A795" t="inlineStr">
        <is>
          <t>ANEA</t>
        </is>
      </c>
      <c r="B795" t="n">
        <v>885</v>
      </c>
      <c r="C795" t="inlineStr">
        <is>
          <t>Topics In:</t>
        </is>
      </c>
      <c r="D795" t="inlineStr">
        <is>
          <t>Top:Hist Ancnt Near East:Egypt</t>
        </is>
      </c>
      <c r="E795" t="inlineStr">
        <is>
          <t>ANEA885</t>
        </is>
      </c>
    </row>
    <row r="796">
      <c r="A796" t="inlineStr">
        <is>
          <t>ANEA</t>
        </is>
      </c>
      <c r="B796" t="n">
        <v>885</v>
      </c>
      <c r="C796" t="inlineStr">
        <is>
          <t>Topics In:</t>
        </is>
      </c>
      <c r="D796" t="inlineStr">
        <is>
          <t>Top in Dead Sea Scrolls</t>
        </is>
      </c>
      <c r="E796" t="inlineStr">
        <is>
          <t>ANEA885</t>
        </is>
      </c>
    </row>
    <row r="797">
      <c r="A797" t="inlineStr">
        <is>
          <t>PATH</t>
        </is>
      </c>
      <c r="B797" t="n">
        <v>633</v>
      </c>
      <c r="C797" t="inlineStr">
        <is>
          <t>Prchg OT/NT for Max Impact</t>
        </is>
      </c>
      <c r="E797" t="inlineStr">
        <is>
          <t>PATH633</t>
        </is>
      </c>
    </row>
    <row r="798">
      <c r="A798" t="inlineStr">
        <is>
          <t>MSSN</t>
        </is>
      </c>
      <c r="B798" t="n">
        <v>667</v>
      </c>
      <c r="C798" t="inlineStr">
        <is>
          <t>Urban Ministry Project</t>
        </is>
      </c>
      <c r="E798" t="inlineStr">
        <is>
          <t>MSSN667</t>
        </is>
      </c>
    </row>
    <row r="799">
      <c r="A799" t="inlineStr">
        <is>
          <t>GSEM</t>
        </is>
      </c>
      <c r="B799" t="n">
        <v>790</v>
      </c>
      <c r="C799" t="inlineStr">
        <is>
          <t>DMin Prof Dissertation Sem</t>
        </is>
      </c>
      <c r="D799" t="inlineStr">
        <is>
          <t>DMin Prof Dissertn Sem (Span)</t>
        </is>
      </c>
      <c r="E799" t="inlineStr">
        <is>
          <t>GSEM790</t>
        </is>
      </c>
    </row>
    <row r="800">
      <c r="A800" t="inlineStr">
        <is>
          <t>OTST</t>
        </is>
      </c>
      <c r="B800" t="n">
        <v>885</v>
      </c>
      <c r="C800" t="inlineStr">
        <is>
          <t>Topics in:</t>
        </is>
      </c>
      <c r="D800" t="inlineStr">
        <is>
          <t>Top:Hist of Ancnt Near E-Egypt</t>
        </is>
      </c>
      <c r="E800" t="inlineStr">
        <is>
          <t>OTST885</t>
        </is>
      </c>
    </row>
    <row r="801">
      <c r="A801" t="inlineStr">
        <is>
          <t>ANEA</t>
        </is>
      </c>
      <c r="B801" t="n">
        <v>604</v>
      </c>
      <c r="C801" t="inlineStr">
        <is>
          <t>Hist of the Ancient Near East</t>
        </is>
      </c>
      <c r="D801" t="inlineStr">
        <is>
          <t>Hist of Ancnt Near East :Egypt</t>
        </is>
      </c>
      <c r="E801" t="inlineStr">
        <is>
          <t>ANEA604</t>
        </is>
      </c>
    </row>
    <row r="802">
      <c r="A802" t="inlineStr">
        <is>
          <t>GSEM</t>
        </is>
      </c>
      <c r="B802" t="n">
        <v>505</v>
      </c>
      <c r="C802" t="inlineStr">
        <is>
          <t>Colloquium:</t>
        </is>
      </c>
      <c r="D802" t="inlineStr">
        <is>
          <t>Coll:Healing from Abuse inChrc</t>
        </is>
      </c>
      <c r="E802" t="inlineStr">
        <is>
          <t>GSEM505</t>
        </is>
      </c>
    </row>
    <row r="803">
      <c r="A803" t="inlineStr">
        <is>
          <t>GSEM</t>
        </is>
      </c>
      <c r="B803" t="n">
        <v>505</v>
      </c>
      <c r="C803" t="inlineStr">
        <is>
          <t>Colloquium:</t>
        </is>
      </c>
      <c r="D803" t="inlineStr">
        <is>
          <t>Coll: Faith in Film</t>
        </is>
      </c>
      <c r="E803" t="inlineStr">
        <is>
          <t>GSEM505</t>
        </is>
      </c>
    </row>
    <row r="804">
      <c r="A804" t="inlineStr">
        <is>
          <t>DSLE</t>
        </is>
      </c>
      <c r="B804" t="n">
        <v>636</v>
      </c>
      <c r="C804" t="inlineStr">
        <is>
          <t>Discipling Youth</t>
        </is>
      </c>
      <c r="E804" t="inlineStr">
        <is>
          <t>DSLE636</t>
        </is>
      </c>
    </row>
    <row r="805">
      <c r="A805" t="inlineStr">
        <is>
          <t>PATH</t>
        </is>
      </c>
      <c r="B805" t="n">
        <v>632</v>
      </c>
      <c r="C805" t="inlineStr">
        <is>
          <t>Contextualized Preaching:</t>
        </is>
      </c>
      <c r="D805" t="inlineStr">
        <is>
          <t>Cont Preach:Multi-Ethnc/Racial</t>
        </is>
      </c>
      <c r="E805" t="inlineStr">
        <is>
          <t>PATH632</t>
        </is>
      </c>
    </row>
    <row r="806">
      <c r="A806" t="inlineStr">
        <is>
          <t>GSEM</t>
        </is>
      </c>
      <c r="B806" t="n">
        <v>505</v>
      </c>
      <c r="C806" t="inlineStr">
        <is>
          <t>Colloquium:</t>
        </is>
      </c>
      <c r="D806" t="inlineStr">
        <is>
          <t>Coll:Writing Wisely-Princ Acad</t>
        </is>
      </c>
      <c r="E806" t="inlineStr">
        <is>
          <t>GSEM505</t>
        </is>
      </c>
    </row>
    <row r="807">
      <c r="A807" t="inlineStr">
        <is>
          <t>OTST</t>
        </is>
      </c>
      <c r="B807" t="n">
        <v>940</v>
      </c>
      <c r="C807" t="inlineStr">
        <is>
          <t>Sem Adv OT Exegesis</t>
        </is>
      </c>
      <c r="D807" t="inlineStr">
        <is>
          <t>SemAdv OT Exeg: Pentateuch</t>
        </is>
      </c>
      <c r="E807" t="inlineStr">
        <is>
          <t>OTST940</t>
        </is>
      </c>
    </row>
    <row r="808">
      <c r="A808" t="inlineStr">
        <is>
          <t>CHIS</t>
        </is>
      </c>
      <c r="B808" t="n">
        <v>685</v>
      </c>
      <c r="C808" t="inlineStr">
        <is>
          <t>Studies in Church History</t>
        </is>
      </c>
      <c r="D808" t="inlineStr">
        <is>
          <t>Top: Hist of Cntemp Pr &amp; Wrshp</t>
        </is>
      </c>
      <c r="E808" t="inlineStr">
        <is>
          <t>CHIS685</t>
        </is>
      </c>
    </row>
    <row r="809">
      <c r="A809" t="inlineStr">
        <is>
          <t>GSEM</t>
        </is>
      </c>
      <c r="B809" t="n">
        <v>505</v>
      </c>
      <c r="C809" t="inlineStr">
        <is>
          <t>Colloquium:</t>
        </is>
      </c>
      <c r="D809" t="inlineStr">
        <is>
          <t>Coll:ElMinchin Creative Y Evan</t>
        </is>
      </c>
      <c r="E809" t="inlineStr">
        <is>
          <t>GSEM505</t>
        </is>
      </c>
    </row>
    <row r="810">
      <c r="A810" t="inlineStr">
        <is>
          <t>THST</t>
        </is>
      </c>
      <c r="B810" t="n">
        <v>885</v>
      </c>
      <c r="C810" t="inlineStr">
        <is>
          <t>Top:</t>
        </is>
      </c>
      <c r="D810" t="inlineStr">
        <is>
          <t>Top: Doctrine of God</t>
        </is>
      </c>
      <c r="E810" t="inlineStr">
        <is>
          <t>THST885</t>
        </is>
      </c>
    </row>
    <row r="811">
      <c r="A811" t="inlineStr">
        <is>
          <t>CHIS</t>
        </is>
      </c>
      <c r="B811" t="n">
        <v>940</v>
      </c>
      <c r="C811" t="inlineStr">
        <is>
          <t>Seminar in Church History:</t>
        </is>
      </c>
      <c r="D811" t="inlineStr">
        <is>
          <t>Sem EGW &amp; Lts/Mss Annotation</t>
        </is>
      </c>
      <c r="E811" t="inlineStr">
        <is>
          <t>CHIS940</t>
        </is>
      </c>
    </row>
    <row r="812">
      <c r="A812" t="inlineStr">
        <is>
          <t>DSLE</t>
        </is>
      </c>
      <c r="B812" t="n">
        <v>950</v>
      </c>
      <c r="C812" t="inlineStr">
        <is>
          <t>Synth in Discipleship Life Ed</t>
        </is>
      </c>
      <c r="E812" t="inlineStr">
        <is>
          <t>DSLE950</t>
        </is>
      </c>
    </row>
    <row r="813">
      <c r="A813" t="inlineStr">
        <is>
          <t>OTST</t>
        </is>
      </c>
      <c r="B813" t="n">
        <v>820</v>
      </c>
      <c r="C813" t="inlineStr">
        <is>
          <t>Textural Criticism</t>
        </is>
      </c>
      <c r="E813" t="inlineStr">
        <is>
          <t>OTST820</t>
        </is>
      </c>
    </row>
    <row r="814">
      <c r="A814" t="inlineStr">
        <is>
          <t>CHIS</t>
        </is>
      </c>
      <c r="B814" t="n">
        <v>880</v>
      </c>
      <c r="C814" t="inlineStr">
        <is>
          <t>Topics in Church History:</t>
        </is>
      </c>
      <c r="D814" t="inlineStr">
        <is>
          <t>Top: Hist of Cont Praise &amp;Wrsh</t>
        </is>
      </c>
      <c r="E814" t="inlineStr">
        <is>
          <t>CHIS880</t>
        </is>
      </c>
    </row>
    <row r="815">
      <c r="A815" t="inlineStr">
        <is>
          <t>PATH</t>
        </is>
      </c>
      <c r="B815" t="n">
        <v>632</v>
      </c>
      <c r="C815" t="inlineStr">
        <is>
          <t>Contextualized Preaching:</t>
        </is>
      </c>
      <c r="D815" t="inlineStr">
        <is>
          <t>Cntxtlzd Prchng: Multi Eth Rac</t>
        </is>
      </c>
      <c r="E815" t="inlineStr">
        <is>
          <t>PATH632</t>
        </is>
      </c>
    </row>
    <row r="816">
      <c r="A816" t="inlineStr">
        <is>
          <t>CHIS</t>
        </is>
      </c>
      <c r="B816" t="n">
        <v>685</v>
      </c>
      <c r="C816" t="inlineStr">
        <is>
          <t>Studies in Church History</t>
        </is>
      </c>
      <c r="D816" t="inlineStr">
        <is>
          <t>St EGW &amp; Lts/Mss Annotation</t>
        </is>
      </c>
      <c r="E816" t="inlineStr">
        <is>
          <t>CHIS685</t>
        </is>
      </c>
    </row>
    <row r="817">
      <c r="A817" t="inlineStr">
        <is>
          <t>OTST</t>
        </is>
      </c>
      <c r="B817" t="n">
        <v>686</v>
      </c>
      <c r="C817" t="inlineStr">
        <is>
          <t>Major Prophets:</t>
        </is>
      </c>
      <c r="D817" t="inlineStr">
        <is>
          <t>Major Prophets: Exegesis</t>
        </is>
      </c>
      <c r="E817" t="inlineStr">
        <is>
          <t>OTST686</t>
        </is>
      </c>
    </row>
    <row r="818">
      <c r="A818" t="inlineStr">
        <is>
          <t>DSLE</t>
        </is>
      </c>
      <c r="B818" t="n">
        <v>626</v>
      </c>
      <c r="C818" t="inlineStr">
        <is>
          <t>Discipling At-Risk Youth</t>
        </is>
      </c>
      <c r="E818" t="inlineStr">
        <is>
          <t>DSLE626</t>
        </is>
      </c>
    </row>
    <row r="819">
      <c r="A819" t="inlineStr">
        <is>
          <t>GSEM</t>
        </is>
      </c>
      <c r="B819" t="n">
        <v>505</v>
      </c>
      <c r="C819" t="inlineStr">
        <is>
          <t>Colloquium:</t>
        </is>
      </c>
      <c r="D819" t="inlineStr">
        <is>
          <t>Coll:150th Annivers. Mssn Conf</t>
        </is>
      </c>
      <c r="E819" t="inlineStr">
        <is>
          <t>GSEM505</t>
        </is>
      </c>
    </row>
    <row r="820">
      <c r="A820" t="inlineStr">
        <is>
          <t>GSEM</t>
        </is>
      </c>
      <c r="B820" t="n">
        <v>505</v>
      </c>
      <c r="C820" t="inlineStr">
        <is>
          <t>Colloquium:</t>
        </is>
      </c>
      <c r="D820" t="inlineStr">
        <is>
          <t>Coll: Effective Soc. Media Min</t>
        </is>
      </c>
      <c r="E820" t="inlineStr">
        <is>
          <t>GSEM505</t>
        </is>
      </c>
    </row>
    <row r="821">
      <c r="A821" t="inlineStr">
        <is>
          <t>CHIS</t>
        </is>
      </c>
      <c r="B821" t="n">
        <v>685</v>
      </c>
      <c r="C821" t="inlineStr">
        <is>
          <t>Studies in Church History</t>
        </is>
      </c>
      <c r="D821" t="inlineStr">
        <is>
          <t>Top: Hst of Ctmp Prs &amp; Wrshp</t>
        </is>
      </c>
      <c r="E821" t="inlineStr">
        <is>
          <t>CHIS685</t>
        </is>
      </c>
    </row>
    <row r="822">
      <c r="A822" t="inlineStr">
        <is>
          <t>CHIS</t>
        </is>
      </c>
      <c r="B822" t="n">
        <v>828</v>
      </c>
      <c r="C822" t="inlineStr">
        <is>
          <t>Rdgs in Ecclesiastical Latin</t>
        </is>
      </c>
      <c r="E822" t="inlineStr">
        <is>
          <t>CHIS828</t>
        </is>
      </c>
    </row>
    <row r="823">
      <c r="A823" t="inlineStr">
        <is>
          <t>GSEM</t>
        </is>
      </c>
      <c r="B823" t="n">
        <v>505</v>
      </c>
      <c r="C823" t="inlineStr">
        <is>
          <t>Colloquium:</t>
        </is>
      </c>
      <c r="D823" t="inlineStr">
        <is>
          <t>Coll: Securing Your Calling</t>
        </is>
      </c>
      <c r="E823" t="inlineStr">
        <is>
          <t>GSEM505</t>
        </is>
      </c>
    </row>
    <row r="824">
      <c r="A824" t="inlineStr">
        <is>
          <t>GSEM</t>
        </is>
      </c>
      <c r="B824" t="n">
        <v>505</v>
      </c>
      <c r="C824" t="inlineStr">
        <is>
          <t>Colloquium:</t>
        </is>
      </c>
      <c r="D824" t="inlineStr">
        <is>
          <t>Coll: Mentoring for Church Rev</t>
        </is>
      </c>
      <c r="E824" t="inlineStr">
        <is>
          <t>GSEM505</t>
        </is>
      </c>
    </row>
    <row r="825">
      <c r="A825" t="inlineStr">
        <is>
          <t>PATH</t>
        </is>
      </c>
      <c r="B825" t="n">
        <v>743</v>
      </c>
      <c r="C825" t="inlineStr">
        <is>
          <t>Prophetic Preach in Worship</t>
        </is>
      </c>
      <c r="E825" t="inlineStr">
        <is>
          <t>PATH743</t>
        </is>
      </c>
    </row>
    <row r="826">
      <c r="A826" t="inlineStr">
        <is>
          <t>OTST</t>
        </is>
      </c>
      <c r="B826" t="n">
        <v>940</v>
      </c>
      <c r="C826" t="inlineStr">
        <is>
          <t>Sem Adv OT Exegesis</t>
        </is>
      </c>
      <c r="D826" t="inlineStr">
        <is>
          <t>Psalms/Wisdom Literature</t>
        </is>
      </c>
      <c r="E826" t="inlineStr">
        <is>
          <t>OTST940</t>
        </is>
      </c>
    </row>
    <row r="827">
      <c r="A827" t="inlineStr">
        <is>
          <t>NTST</t>
        </is>
      </c>
      <c r="B827" t="n">
        <v>885</v>
      </c>
      <c r="C827" t="inlineStr">
        <is>
          <t>Topics in</t>
        </is>
      </c>
      <c r="D827" t="inlineStr">
        <is>
          <t>Top:AdvSt Paulne Wrt:Romans</t>
        </is>
      </c>
      <c r="E827" t="inlineStr">
        <is>
          <t>NTST885</t>
        </is>
      </c>
    </row>
    <row r="828">
      <c r="A828" t="inlineStr">
        <is>
          <t>NTST</t>
        </is>
      </c>
      <c r="B828" t="n">
        <v>885</v>
      </c>
      <c r="C828" t="inlineStr">
        <is>
          <t>Topics in</t>
        </is>
      </c>
      <c r="D828" t="inlineStr">
        <is>
          <t>Topics in Romans</t>
        </is>
      </c>
      <c r="E828" t="inlineStr">
        <is>
          <t>NTST885</t>
        </is>
      </c>
    </row>
    <row r="829">
      <c r="A829" t="inlineStr">
        <is>
          <t>THST</t>
        </is>
      </c>
      <c r="B829" t="n">
        <v>885</v>
      </c>
      <c r="C829" t="inlineStr">
        <is>
          <t>Top:</t>
        </is>
      </c>
      <c r="D829" t="inlineStr">
        <is>
          <t>Top: Modern Philosophy</t>
        </is>
      </c>
      <c r="E829" t="inlineStr">
        <is>
          <t>THST885</t>
        </is>
      </c>
    </row>
    <row r="830">
      <c r="A830" t="inlineStr">
        <is>
          <t>CHIS</t>
        </is>
      </c>
      <c r="B830" t="n">
        <v>885</v>
      </c>
      <c r="C830" t="inlineStr">
        <is>
          <t>Topics in</t>
        </is>
      </c>
      <c r="D830" t="inlineStr">
        <is>
          <t>Top:</t>
        </is>
      </c>
      <c r="E830" t="inlineStr">
        <is>
          <t>CHIS885</t>
        </is>
      </c>
    </row>
    <row r="831">
      <c r="A831" t="inlineStr">
        <is>
          <t>THST</t>
        </is>
      </c>
      <c r="B831" t="n">
        <v>695</v>
      </c>
      <c r="C831" t="inlineStr">
        <is>
          <t>Top:</t>
        </is>
      </c>
      <c r="D831" t="inlineStr">
        <is>
          <t>Topics: Modern Philosophy</t>
        </is>
      </c>
      <c r="E831" t="inlineStr">
        <is>
          <t>THST695</t>
        </is>
      </c>
    </row>
    <row r="832">
      <c r="A832" t="inlineStr">
        <is>
          <t>OTST</t>
        </is>
      </c>
      <c r="B832" t="n">
        <v>668</v>
      </c>
      <c r="C832" t="inlineStr">
        <is>
          <t>Psalms/Wisdom Lit (Hebrew)</t>
        </is>
      </c>
      <c r="D832" t="inlineStr">
        <is>
          <t>Psalms/Wisdom Lit</t>
        </is>
      </c>
      <c r="E832" t="inlineStr">
        <is>
          <t>OTST668</t>
        </is>
      </c>
    </row>
    <row r="833">
      <c r="A833" t="inlineStr">
        <is>
          <t>GSEM</t>
        </is>
      </c>
      <c r="B833" t="n">
        <v>990</v>
      </c>
      <c r="C833" t="inlineStr">
        <is>
          <t>Postdoctoral Seminar</t>
        </is>
      </c>
      <c r="E833" t="inlineStr">
        <is>
          <t>GSEM990</t>
        </is>
      </c>
    </row>
    <row r="834">
      <c r="A834" t="inlineStr">
        <is>
          <t>MSSN</t>
        </is>
      </c>
      <c r="B834" t="n">
        <v>695</v>
      </c>
      <c r="C834" t="inlineStr">
        <is>
          <t>Topics:</t>
        </is>
      </c>
      <c r="D834" t="inlineStr">
        <is>
          <t>Top:Healing&amp;Deliverance in Mss</t>
        </is>
      </c>
      <c r="E834" t="inlineStr">
        <is>
          <t>MSSN695</t>
        </is>
      </c>
    </row>
    <row r="835">
      <c r="A835" t="inlineStr">
        <is>
          <t>NTST</t>
        </is>
      </c>
      <c r="B835" t="n">
        <v>658</v>
      </c>
      <c r="C835" t="inlineStr">
        <is>
          <t>Adv Studies Pauline Wrtg:</t>
        </is>
      </c>
      <c r="D835" t="inlineStr">
        <is>
          <t>Adv St Pauline Wrtg: Romans</t>
        </is>
      </c>
      <c r="E835" t="inlineStr">
        <is>
          <t>NTST658</t>
        </is>
      </c>
    </row>
    <row r="836">
      <c r="A836" t="inlineStr">
        <is>
          <t>CHIS</t>
        </is>
      </c>
      <c r="B836" t="n">
        <v>880</v>
      </c>
      <c r="C836" t="inlineStr">
        <is>
          <t>Topics in Church History:</t>
        </is>
      </c>
      <c r="D836" t="inlineStr">
        <is>
          <t>Top CHIS: Early Chch to AD 604</t>
        </is>
      </c>
      <c r="E836" t="inlineStr">
        <is>
          <t>CHIS880</t>
        </is>
      </c>
    </row>
    <row r="837">
      <c r="A837" t="inlineStr">
        <is>
          <t>ANEA</t>
        </is>
      </c>
      <c r="B837" t="n">
        <v>612</v>
      </c>
      <c r="C837" t="inlineStr">
        <is>
          <t>Ancient Near Eastern Lang</t>
        </is>
      </c>
      <c r="D837" t="inlineStr">
        <is>
          <t>ANE Lang: Akkadian</t>
        </is>
      </c>
      <c r="E837" t="inlineStr">
        <is>
          <t>ANEA612</t>
        </is>
      </c>
    </row>
    <row r="838">
      <c r="A838" t="inlineStr">
        <is>
          <t>DSLE</t>
        </is>
      </c>
      <c r="B838" t="n">
        <v>860</v>
      </c>
      <c r="C838" t="inlineStr">
        <is>
          <t>Teaching Religion in College</t>
        </is>
      </c>
      <c r="E838" t="inlineStr">
        <is>
          <t>DSLE860</t>
        </is>
      </c>
    </row>
    <row r="839">
      <c r="A839" t="inlineStr">
        <is>
          <t>CHIS</t>
        </is>
      </c>
      <c r="B839" t="n">
        <v>685</v>
      </c>
      <c r="C839" t="inlineStr">
        <is>
          <t>Studies in Church History</t>
        </is>
      </c>
      <c r="D839" t="inlineStr">
        <is>
          <t>Stdis n CHIS:Chrstn Wrshp Mus</t>
        </is>
      </c>
      <c r="E839" t="inlineStr">
        <is>
          <t>CHIS685</t>
        </is>
      </c>
    </row>
    <row r="840">
      <c r="A840" t="inlineStr">
        <is>
          <t>CHIS</t>
        </is>
      </c>
      <c r="B840" t="n">
        <v>814</v>
      </c>
      <c r="C840" t="inlineStr">
        <is>
          <t>Hist. Res. &amp; Historiography</t>
        </is>
      </c>
      <c r="E840" t="inlineStr">
        <is>
          <t>CHIS814</t>
        </is>
      </c>
    </row>
    <row r="841">
      <c r="A841" t="inlineStr">
        <is>
          <t>OTST</t>
        </is>
      </c>
      <c r="B841" t="n">
        <v>885</v>
      </c>
      <c r="C841" t="inlineStr">
        <is>
          <t>Topics in:</t>
        </is>
      </c>
      <c r="D841" t="inlineStr">
        <is>
          <t>Top:Hist of ANE Msptmia</t>
        </is>
      </c>
      <c r="E841" t="inlineStr">
        <is>
          <t>OTST885</t>
        </is>
      </c>
    </row>
    <row r="842">
      <c r="A842" t="inlineStr">
        <is>
          <t>NTST</t>
        </is>
      </c>
      <c r="B842" t="n">
        <v>885</v>
      </c>
      <c r="C842" t="inlineStr">
        <is>
          <t>Topics in</t>
        </is>
      </c>
      <c r="D842" t="inlineStr">
        <is>
          <t>Topics in:Judaism and the NT</t>
        </is>
      </c>
      <c r="E842" t="inlineStr">
        <is>
          <t>NTST885</t>
        </is>
      </c>
    </row>
    <row r="843">
      <c r="A843" t="inlineStr">
        <is>
          <t>THST</t>
        </is>
      </c>
      <c r="B843" t="n">
        <v>885</v>
      </c>
      <c r="C843" t="inlineStr">
        <is>
          <t>Top:</t>
        </is>
      </c>
      <c r="D843" t="inlineStr">
        <is>
          <t>Top: Ethics and the Good Life</t>
        </is>
      </c>
      <c r="E843" t="inlineStr">
        <is>
          <t>THST885</t>
        </is>
      </c>
    </row>
    <row r="844">
      <c r="A844" t="inlineStr">
        <is>
          <t>OTST</t>
        </is>
      </c>
      <c r="B844" t="n">
        <v>940</v>
      </c>
      <c r="C844" t="inlineStr">
        <is>
          <t>Sem Adv OT Exegesis</t>
        </is>
      </c>
      <c r="D844" t="inlineStr">
        <is>
          <t>Sem n Adv Arch &amp; Hst f Antqty</t>
        </is>
      </c>
      <c r="E844" t="inlineStr">
        <is>
          <t>OTST940</t>
        </is>
      </c>
    </row>
    <row r="845">
      <c r="A845" t="inlineStr">
        <is>
          <t>CHIS</t>
        </is>
      </c>
      <c r="B845" t="n">
        <v>685</v>
      </c>
      <c r="C845" t="inlineStr">
        <is>
          <t>Studies in Church History</t>
        </is>
      </c>
      <c r="D845" t="inlineStr">
        <is>
          <t>Sem Hist of Inter of Gen</t>
        </is>
      </c>
      <c r="E845" t="inlineStr">
        <is>
          <t>CHIS685</t>
        </is>
      </c>
    </row>
    <row r="846">
      <c r="A846" t="inlineStr">
        <is>
          <t>OTST</t>
        </is>
      </c>
      <c r="B846" t="n">
        <v>940</v>
      </c>
      <c r="C846" t="inlineStr">
        <is>
          <t>Sem Adv OT Exegesis</t>
        </is>
      </c>
      <c r="D846" t="inlineStr">
        <is>
          <t>Sem in Adv Hst of ANE: Msptmia</t>
        </is>
      </c>
      <c r="E846" t="inlineStr">
        <is>
          <t>OTST940</t>
        </is>
      </c>
    </row>
    <row r="847">
      <c r="A847" t="inlineStr">
        <is>
          <t>ANEA</t>
        </is>
      </c>
      <c r="B847" t="n">
        <v>604</v>
      </c>
      <c r="C847" t="inlineStr">
        <is>
          <t>Hist of the Ancient Near East</t>
        </is>
      </c>
      <c r="D847" t="inlineStr">
        <is>
          <t>Hist of ANE: Mesopotamia</t>
        </is>
      </c>
      <c r="E847" t="inlineStr">
        <is>
          <t>ANEA604</t>
        </is>
      </c>
    </row>
    <row r="848">
      <c r="A848" t="inlineStr">
        <is>
          <t>NTST</t>
        </is>
      </c>
      <c r="B848" t="n">
        <v>885</v>
      </c>
      <c r="C848" t="inlineStr">
        <is>
          <t>Topics in</t>
        </is>
      </c>
      <c r="D848" t="inlineStr">
        <is>
          <t>Topics in:Revelation</t>
        </is>
      </c>
      <c r="E848" t="inlineStr">
        <is>
          <t>NTST885</t>
        </is>
      </c>
    </row>
    <row r="849">
      <c r="A849" t="inlineStr">
        <is>
          <t>MSSN</t>
        </is>
      </c>
      <c r="B849" t="n">
        <v>695</v>
      </c>
      <c r="C849" t="inlineStr">
        <is>
          <t>Topics:</t>
        </is>
      </c>
      <c r="D849" t="inlineStr">
        <is>
          <t>Top: Intercultural Theology</t>
        </is>
      </c>
      <c r="E849" t="inlineStr">
        <is>
          <t>MSSN695</t>
        </is>
      </c>
    </row>
    <row r="850">
      <c r="A850" t="inlineStr">
        <is>
          <t>ANEA</t>
        </is>
      </c>
      <c r="B850" t="n">
        <v>885</v>
      </c>
      <c r="C850" t="inlineStr">
        <is>
          <t>Topics In:</t>
        </is>
      </c>
      <c r="D850" t="inlineStr">
        <is>
          <t>Top: Hist of ANE:  Mesopotamia</t>
        </is>
      </c>
      <c r="E850" t="inlineStr">
        <is>
          <t>ANEA885</t>
        </is>
      </c>
    </row>
    <row r="851">
      <c r="A851" t="inlineStr">
        <is>
          <t>OTST</t>
        </is>
      </c>
      <c r="B851" t="n">
        <v>612</v>
      </c>
      <c r="C851" t="inlineStr">
        <is>
          <t>Ancient Near Eastern Lang</t>
        </is>
      </c>
      <c r="D851" t="inlineStr">
        <is>
          <t>ANE Lang: Top Akkadian</t>
        </is>
      </c>
      <c r="E851" t="inlineStr">
        <is>
          <t>OTST612</t>
        </is>
      </c>
    </row>
    <row r="852">
      <c r="A852" t="inlineStr">
        <is>
          <t>THST</t>
        </is>
      </c>
      <c r="B852" t="n">
        <v>885</v>
      </c>
      <c r="C852" t="inlineStr">
        <is>
          <t>Top:</t>
        </is>
      </c>
      <c r="D852" t="inlineStr">
        <is>
          <t>Top: Hist&amp;Theo of Ecumenism</t>
        </is>
      </c>
      <c r="E852" t="inlineStr">
        <is>
          <t>THST885</t>
        </is>
      </c>
    </row>
    <row r="853">
      <c r="A853" t="inlineStr">
        <is>
          <t>DSLE</t>
        </is>
      </c>
      <c r="B853" t="n">
        <v>658</v>
      </c>
      <c r="C853" t="inlineStr">
        <is>
          <t>Internal Dynamics of Families</t>
        </is>
      </c>
      <c r="E853" t="inlineStr">
        <is>
          <t>DSLE658</t>
        </is>
      </c>
    </row>
    <row r="854">
      <c r="A854" t="inlineStr">
        <is>
          <t>OTST</t>
        </is>
      </c>
      <c r="B854" t="n">
        <v>885</v>
      </c>
      <c r="C854" t="inlineStr">
        <is>
          <t>Topics in:</t>
        </is>
      </c>
      <c r="D854" t="inlineStr">
        <is>
          <t>Topics in:Biblical Aramaic</t>
        </is>
      </c>
      <c r="E854" t="inlineStr">
        <is>
          <t>OTST885</t>
        </is>
      </c>
    </row>
    <row r="855">
      <c r="A855" t="inlineStr">
        <is>
          <t>CHIS</t>
        </is>
      </c>
      <c r="B855" t="n">
        <v>940</v>
      </c>
      <c r="C855" t="inlineStr">
        <is>
          <t>Seminar in Church History:</t>
        </is>
      </c>
      <c r="D855" t="inlineStr">
        <is>
          <t>Sem Hist of Inter of Gen</t>
        </is>
      </c>
      <c r="E855" t="inlineStr">
        <is>
          <t>CHIS940</t>
        </is>
      </c>
    </row>
    <row r="856">
      <c r="A856" t="inlineStr">
        <is>
          <t>OTST</t>
        </is>
      </c>
      <c r="B856" t="n">
        <v>890</v>
      </c>
      <c r="C856" t="inlineStr">
        <is>
          <t>Directed Rdg in Old Testmt</t>
        </is>
      </c>
      <c r="D856" t="inlineStr">
        <is>
          <t>Directed Rdg in OT: Akkadian</t>
        </is>
      </c>
      <c r="E856" t="inlineStr">
        <is>
          <t>OTST890</t>
        </is>
      </c>
    </row>
    <row r="857">
      <c r="A857" t="inlineStr">
        <is>
          <t>GSEM</t>
        </is>
      </c>
      <c r="B857" t="n">
        <v>505</v>
      </c>
      <c r="C857" t="inlineStr">
        <is>
          <t>Colloquium:</t>
        </is>
      </c>
      <c r="D857" t="inlineStr">
        <is>
          <t>Coll:Comm Engag Past. Min</t>
        </is>
      </c>
      <c r="E857" t="inlineStr">
        <is>
          <t>GSEM505</t>
        </is>
      </c>
    </row>
    <row r="858">
      <c r="A858" t="inlineStr">
        <is>
          <t>PATH</t>
        </is>
      </c>
      <c r="B858" t="n">
        <v>613</v>
      </c>
      <c r="C858" t="inlineStr">
        <is>
          <t>Coaching for Mission</t>
        </is>
      </c>
      <c r="E858" t="inlineStr">
        <is>
          <t>PATH613</t>
        </is>
      </c>
    </row>
    <row r="859">
      <c r="A859" t="inlineStr">
        <is>
          <t>GSEM</t>
        </is>
      </c>
      <c r="B859" t="n">
        <v>505</v>
      </c>
      <c r="C859" t="inlineStr">
        <is>
          <t>Colloquium:</t>
        </is>
      </c>
      <c r="D859" t="inlineStr">
        <is>
          <t>Coll: Finances for Pastors</t>
        </is>
      </c>
      <c r="E859" t="inlineStr">
        <is>
          <t>GSEM505</t>
        </is>
      </c>
    </row>
    <row r="860">
      <c r="A860" t="inlineStr">
        <is>
          <t>GSEM</t>
        </is>
      </c>
      <c r="B860" t="n">
        <v>505</v>
      </c>
      <c r="C860" t="inlineStr">
        <is>
          <t>Colloquium:</t>
        </is>
      </c>
      <c r="D860" t="inlineStr">
        <is>
          <t>Coll: D3 Re-Imagining Disc.Mak</t>
        </is>
      </c>
      <c r="E860" t="inlineStr">
        <is>
          <t>GSEM505</t>
        </is>
      </c>
    </row>
    <row r="861">
      <c r="A861" t="inlineStr">
        <is>
          <t>DSLE</t>
        </is>
      </c>
      <c r="B861" t="n">
        <v>950</v>
      </c>
      <c r="C861" t="inlineStr">
        <is>
          <t>Synth in Discipleship Life Ed</t>
        </is>
      </c>
      <c r="D861" t="inlineStr">
        <is>
          <t>Synthesis in DSLE</t>
        </is>
      </c>
      <c r="E861" t="inlineStr">
        <is>
          <t>DSLE950</t>
        </is>
      </c>
    </row>
    <row r="862">
      <c r="A862" t="inlineStr">
        <is>
          <t>DSLE</t>
        </is>
      </c>
      <c r="B862" t="n">
        <v>605</v>
      </c>
      <c r="C862" t="inlineStr">
        <is>
          <t>Foundations in DSLE</t>
        </is>
      </c>
      <c r="E862" t="inlineStr">
        <is>
          <t>DSLE605</t>
        </is>
      </c>
    </row>
    <row r="863">
      <c r="A863" t="inlineStr">
        <is>
          <t>GSEM</t>
        </is>
      </c>
      <c r="B863" t="n">
        <v>505</v>
      </c>
      <c r="C863" t="inlineStr">
        <is>
          <t>Colloquium:</t>
        </is>
      </c>
      <c r="D863" t="inlineStr">
        <is>
          <t>Coll:</t>
        </is>
      </c>
      <c r="E863" t="inlineStr">
        <is>
          <t>GSEM505</t>
        </is>
      </c>
    </row>
    <row r="864">
      <c r="A864" t="inlineStr">
        <is>
          <t>NTST</t>
        </is>
      </c>
      <c r="B864" t="n">
        <v>679</v>
      </c>
      <c r="C864" t="inlineStr">
        <is>
          <t>Sem in NT Theology &amp; Ethics</t>
        </is>
      </c>
      <c r="E864" t="inlineStr">
        <is>
          <t>NTST679</t>
        </is>
      </c>
    </row>
    <row r="865">
      <c r="A865" t="inlineStr">
        <is>
          <t>OTST</t>
        </is>
      </c>
      <c r="B865" t="n">
        <v>604</v>
      </c>
      <c r="C865" t="inlineStr">
        <is>
          <t>Hist of the Ancient Near East</t>
        </is>
      </c>
      <c r="D865" t="inlineStr">
        <is>
          <t>Hist of the ANE Mesopotamia</t>
        </is>
      </c>
      <c r="E865" t="inlineStr">
        <is>
          <t>OTST604</t>
        </is>
      </c>
    </row>
    <row r="866">
      <c r="A866" t="inlineStr">
        <is>
          <t>THST</t>
        </is>
      </c>
      <c r="B866" t="n">
        <v>885</v>
      </c>
      <c r="C866" t="inlineStr">
        <is>
          <t>Top:</t>
        </is>
      </c>
      <c r="D866" t="inlineStr">
        <is>
          <t>Top:Roman Cath Life &amp; Thought</t>
        </is>
      </c>
      <c r="E866" t="inlineStr">
        <is>
          <t>THST885</t>
        </is>
      </c>
    </row>
    <row r="867">
      <c r="A867" t="inlineStr">
        <is>
          <t>THST</t>
        </is>
      </c>
      <c r="B867" t="n">
        <v>885</v>
      </c>
      <c r="C867" t="inlineStr">
        <is>
          <t>Top:</t>
        </is>
      </c>
      <c r="D867" t="inlineStr">
        <is>
          <t>Top: Doctrine of the Church</t>
        </is>
      </c>
      <c r="E867" t="inlineStr">
        <is>
          <t>THST885</t>
        </is>
      </c>
    </row>
    <row r="868">
      <c r="A868" t="inlineStr">
        <is>
          <t>NTST</t>
        </is>
      </c>
      <c r="B868" t="n">
        <v>885</v>
      </c>
      <c r="C868" t="inlineStr">
        <is>
          <t>Topics in</t>
        </is>
      </c>
      <c r="D868" t="inlineStr">
        <is>
          <t>Topics in Adv Stud in Matthew</t>
        </is>
      </c>
      <c r="E868" t="inlineStr">
        <is>
          <t>NTST885</t>
        </is>
      </c>
    </row>
    <row r="869">
      <c r="A869" t="inlineStr">
        <is>
          <t>MSSN</t>
        </is>
      </c>
      <c r="B869" t="n">
        <v>885</v>
      </c>
      <c r="C869" t="inlineStr">
        <is>
          <t>Topics in:</t>
        </is>
      </c>
      <c r="D869" t="inlineStr">
        <is>
          <t>Topics in Diversity, Cultures</t>
        </is>
      </c>
      <c r="E869" t="inlineStr">
        <is>
          <t>MSSN885</t>
        </is>
      </c>
    </row>
    <row r="870">
      <c r="A870" t="inlineStr">
        <is>
          <t>DSLE</t>
        </is>
      </c>
      <c r="B870" t="n">
        <v>664</v>
      </c>
      <c r="C870" t="inlineStr">
        <is>
          <t>Advanced Campus Ministry</t>
        </is>
      </c>
      <c r="E870" t="inlineStr">
        <is>
          <t>DSLE664</t>
        </is>
      </c>
    </row>
    <row r="871">
      <c r="A871" t="inlineStr">
        <is>
          <t>CHIS</t>
        </is>
      </c>
      <c r="B871" t="n">
        <v>685</v>
      </c>
      <c r="C871" t="inlineStr">
        <is>
          <t>Studies in Church History</t>
        </is>
      </c>
      <c r="D871" t="inlineStr">
        <is>
          <t>Sem in Church Hist:</t>
        </is>
      </c>
      <c r="E871" t="inlineStr">
        <is>
          <t>CHIS685</t>
        </is>
      </c>
    </row>
    <row r="872">
      <c r="A872" t="inlineStr">
        <is>
          <t>GSEM</t>
        </is>
      </c>
      <c r="B872" t="n">
        <v>505</v>
      </c>
      <c r="C872" t="inlineStr">
        <is>
          <t>Colloquium:</t>
        </is>
      </c>
      <c r="D872" t="inlineStr">
        <is>
          <t>Coll: Writing Wisely</t>
        </is>
      </c>
      <c r="E872" t="inlineStr">
        <is>
          <t>GSEM505</t>
        </is>
      </c>
    </row>
    <row r="873">
      <c r="A873" t="inlineStr">
        <is>
          <t>PATH</t>
        </is>
      </c>
      <c r="B873" t="n">
        <v>554</v>
      </c>
      <c r="C873" t="inlineStr">
        <is>
          <t>CPE</t>
        </is>
      </c>
      <c r="D873" t="inlineStr">
        <is>
          <t>CPE: Campus</t>
        </is>
      </c>
      <c r="E873" t="inlineStr">
        <is>
          <t>PATH554</t>
        </is>
      </c>
    </row>
    <row r="874">
      <c r="A874" t="inlineStr">
        <is>
          <t>THST</t>
        </is>
      </c>
      <c r="B874" t="n">
        <v>682</v>
      </c>
      <c r="C874" t="inlineStr">
        <is>
          <t>Modern Philosophy</t>
        </is>
      </c>
      <c r="E874" t="inlineStr">
        <is>
          <t>THST682</t>
        </is>
      </c>
    </row>
    <row r="875">
      <c r="A875" t="inlineStr">
        <is>
          <t>CHIS</t>
        </is>
      </c>
      <c r="B875" t="n">
        <v>682</v>
      </c>
      <c r="C875" t="inlineStr">
        <is>
          <t>Seminar in Church History</t>
        </is>
      </c>
      <c r="D875" t="inlineStr">
        <is>
          <t>Sem:Armi-Wesley&amp;Adventist Sote</t>
        </is>
      </c>
      <c r="E875" t="inlineStr">
        <is>
          <t>CHIS682</t>
        </is>
      </c>
    </row>
    <row r="876">
      <c r="A876" t="inlineStr">
        <is>
          <t>CHIS</t>
        </is>
      </c>
      <c r="B876" t="n">
        <v>940</v>
      </c>
      <c r="C876" t="inlineStr">
        <is>
          <t>Seminar in Church History:</t>
        </is>
      </c>
      <c r="D876" t="inlineStr">
        <is>
          <t>Sem:Armi-Wesley&amp;Adventist Sote</t>
        </is>
      </c>
      <c r="E876" t="inlineStr">
        <is>
          <t>CHIS940</t>
        </is>
      </c>
    </row>
    <row r="877">
      <c r="A877" t="inlineStr">
        <is>
          <t>THST</t>
        </is>
      </c>
      <c r="B877" t="n">
        <v>964</v>
      </c>
      <c r="C877" t="inlineStr">
        <is>
          <t>Sem in Historical Theology:</t>
        </is>
      </c>
      <c r="D877" t="inlineStr">
        <is>
          <t>Sem:Armi-Wesley&amp;Adventist Sote</t>
        </is>
      </c>
      <c r="E877" t="inlineStr">
        <is>
          <t>THST964</t>
        </is>
      </c>
    </row>
    <row r="878">
      <c r="A878" t="inlineStr">
        <is>
          <t>PATH</t>
        </is>
      </c>
      <c r="B878" t="n">
        <v>590</v>
      </c>
      <c r="C878" t="inlineStr">
        <is>
          <t>Ministry of Music</t>
        </is>
      </c>
      <c r="E878" t="inlineStr">
        <is>
          <t>PATH590</t>
        </is>
      </c>
    </row>
    <row r="879">
      <c r="A879" t="inlineStr">
        <is>
          <t>OTST</t>
        </is>
      </c>
      <c r="B879" t="n">
        <v>675</v>
      </c>
      <c r="C879" t="inlineStr">
        <is>
          <t>Minor Prophets</t>
        </is>
      </c>
      <c r="D879" t="inlineStr">
        <is>
          <t>Minor Prophets Exegesis</t>
        </is>
      </c>
      <c r="E879" t="inlineStr">
        <is>
          <t>OTST675</t>
        </is>
      </c>
    </row>
    <row r="880">
      <c r="A880" t="inlineStr">
        <is>
          <t>OTST</t>
        </is>
      </c>
      <c r="B880" t="n">
        <v>666</v>
      </c>
      <c r="C880" t="inlineStr">
        <is>
          <t>Historical Books (Hebrew)</t>
        </is>
      </c>
      <c r="E880" t="inlineStr">
        <is>
          <t>OTST666</t>
        </is>
      </c>
    </row>
    <row r="881">
      <c r="A881" t="inlineStr">
        <is>
          <t>DSLE</t>
        </is>
      </c>
      <c r="B881" t="n">
        <v>680</v>
      </c>
      <c r="C881" t="inlineStr">
        <is>
          <t>Field Practicum:________</t>
        </is>
      </c>
      <c r="E881" t="inlineStr">
        <is>
          <t>DSLE680</t>
        </is>
      </c>
    </row>
    <row r="882">
      <c r="A882" t="inlineStr">
        <is>
          <t>DSLE</t>
        </is>
      </c>
      <c r="B882" t="n">
        <v>878</v>
      </c>
      <c r="C882" t="inlineStr">
        <is>
          <t>Adv Scholarly &amp; Prof Dev</t>
        </is>
      </c>
      <c r="E882" t="inlineStr">
        <is>
          <t>DSLE878</t>
        </is>
      </c>
    </row>
    <row r="883">
      <c r="A883" t="inlineStr">
        <is>
          <t>GSEM</t>
        </is>
      </c>
      <c r="B883" t="n">
        <v>698</v>
      </c>
      <c r="C883" t="inlineStr">
        <is>
          <t>Master of Divinity Thesis</t>
        </is>
      </c>
      <c r="E883" t="inlineStr">
        <is>
          <t>GSEM698</t>
        </is>
      </c>
    </row>
    <row r="884">
      <c r="A884" t="inlineStr">
        <is>
          <t>THST</t>
        </is>
      </c>
      <c r="B884" t="n">
        <v>695</v>
      </c>
      <c r="C884" t="inlineStr">
        <is>
          <t>Top:</t>
        </is>
      </c>
      <c r="E884" t="inlineStr">
        <is>
          <t>THST695</t>
        </is>
      </c>
    </row>
    <row r="885">
      <c r="A885" t="inlineStr">
        <is>
          <t>THST</t>
        </is>
      </c>
      <c r="B885" t="n">
        <v>895</v>
      </c>
      <c r="C885" t="inlineStr">
        <is>
          <t>Directed Rdg Historical Theo</t>
        </is>
      </c>
      <c r="E885" t="inlineStr">
        <is>
          <t>THST895</t>
        </is>
      </c>
    </row>
    <row r="886">
      <c r="A886" t="inlineStr">
        <is>
          <t>THST</t>
        </is>
      </c>
      <c r="B886" t="n">
        <v>896</v>
      </c>
      <c r="C886" t="inlineStr">
        <is>
          <t>Directed Rdg Christian Ethics</t>
        </is>
      </c>
      <c r="E886" t="inlineStr">
        <is>
          <t>THST896</t>
        </is>
      </c>
    </row>
    <row r="887">
      <c r="A887" t="inlineStr">
        <is>
          <t>CHMN</t>
        </is>
      </c>
      <c r="B887" t="n">
        <v>690</v>
      </c>
      <c r="C887" t="inlineStr">
        <is>
          <t>Ind Stdy:</t>
        </is>
      </c>
      <c r="E887" t="inlineStr">
        <is>
          <t>CHMN690</t>
        </is>
      </c>
    </row>
    <row r="888">
      <c r="A888" t="inlineStr">
        <is>
          <t>CHMN</t>
        </is>
      </c>
      <c r="B888" t="n">
        <v>890</v>
      </c>
      <c r="C888" t="inlineStr">
        <is>
          <t>Directed Rdgs in Church Min</t>
        </is>
      </c>
      <c r="E888" t="inlineStr">
        <is>
          <t>CHMN890</t>
        </is>
      </c>
    </row>
    <row r="889">
      <c r="A889" t="inlineStr">
        <is>
          <t>CHIS</t>
        </is>
      </c>
      <c r="B889" t="n">
        <v>690</v>
      </c>
      <c r="C889" t="inlineStr">
        <is>
          <t>Ind St:</t>
        </is>
      </c>
      <c r="E889" t="inlineStr">
        <is>
          <t>CHIS690</t>
        </is>
      </c>
    </row>
    <row r="890">
      <c r="A890" t="inlineStr">
        <is>
          <t>CHMN</t>
        </is>
      </c>
      <c r="B890" t="n">
        <v>660</v>
      </c>
      <c r="C890" t="inlineStr">
        <is>
          <t>Field Practicum</t>
        </is>
      </c>
      <c r="E890" t="inlineStr">
        <is>
          <t>CHMN660</t>
        </is>
      </c>
    </row>
    <row r="891">
      <c r="A891" t="inlineStr">
        <is>
          <t>CHIS</t>
        </is>
      </c>
      <c r="B891" t="n">
        <v>890</v>
      </c>
      <c r="C891" t="inlineStr">
        <is>
          <t>Directed Rdg in Church History</t>
        </is>
      </c>
      <c r="E891" t="inlineStr">
        <is>
          <t>CHIS890</t>
        </is>
      </c>
    </row>
    <row r="892">
      <c r="A892" t="inlineStr">
        <is>
          <t>CHIS</t>
        </is>
      </c>
      <c r="B892" t="n">
        <v>895</v>
      </c>
      <c r="C892" t="inlineStr">
        <is>
          <t>Directed Rdg Adventist Studies</t>
        </is>
      </c>
      <c r="E892" t="inlineStr">
        <is>
          <t>CHIS895</t>
        </is>
      </c>
    </row>
    <row r="893">
      <c r="A893" t="inlineStr">
        <is>
          <t>THST</t>
        </is>
      </c>
      <c r="B893" t="n">
        <v>690</v>
      </c>
      <c r="C893" t="inlineStr">
        <is>
          <t>Ind St:</t>
        </is>
      </c>
      <c r="E893" t="inlineStr">
        <is>
          <t>THST690</t>
        </is>
      </c>
    </row>
    <row r="894">
      <c r="A894" t="inlineStr">
        <is>
          <t>DSRE</t>
        </is>
      </c>
      <c r="B894" t="n">
        <v>690</v>
      </c>
      <c r="C894" t="inlineStr">
        <is>
          <t>Ind St:</t>
        </is>
      </c>
      <c r="E894" t="inlineStr">
        <is>
          <t>DSRE690</t>
        </is>
      </c>
    </row>
    <row r="895">
      <c r="A895" t="inlineStr">
        <is>
          <t>OTST</t>
        </is>
      </c>
      <c r="B895" t="n">
        <v>545</v>
      </c>
      <c r="C895" t="inlineStr">
        <is>
          <t>Daniel</t>
        </is>
      </c>
      <c r="E895" t="inlineStr">
        <is>
          <t>OTST545</t>
        </is>
      </c>
    </row>
    <row r="896">
      <c r="A896" t="inlineStr">
        <is>
          <t>NTST</t>
        </is>
      </c>
      <c r="B896" t="n">
        <v>690</v>
      </c>
      <c r="C896" t="inlineStr">
        <is>
          <t>Ind St:</t>
        </is>
      </c>
      <c r="E896" t="inlineStr">
        <is>
          <t>NTST690</t>
        </is>
      </c>
    </row>
    <row r="897">
      <c r="A897" t="inlineStr">
        <is>
          <t>NTST</t>
        </is>
      </c>
      <c r="B897" t="n">
        <v>890</v>
      </c>
      <c r="C897" t="inlineStr">
        <is>
          <t>Directed Rdg in New Testament</t>
        </is>
      </c>
      <c r="E897" t="inlineStr">
        <is>
          <t>NTST890</t>
        </is>
      </c>
    </row>
    <row r="898">
      <c r="A898" t="inlineStr">
        <is>
          <t>DSRE</t>
        </is>
      </c>
      <c r="B898" t="n">
        <v>680</v>
      </c>
      <c r="C898" t="inlineStr">
        <is>
          <t>Field Practicum:________</t>
        </is>
      </c>
      <c r="E898" t="inlineStr">
        <is>
          <t>DSRE680</t>
        </is>
      </c>
    </row>
    <row r="899">
      <c r="A899" t="inlineStr">
        <is>
          <t>THST</t>
        </is>
      </c>
      <c r="B899" t="n">
        <v>890</v>
      </c>
      <c r="C899" t="inlineStr">
        <is>
          <t>DirRdg Syst Theo:</t>
        </is>
      </c>
      <c r="E899" t="inlineStr">
        <is>
          <t>THST890</t>
        </is>
      </c>
    </row>
    <row r="900">
      <c r="A900" t="inlineStr">
        <is>
          <t>OTST</t>
        </is>
      </c>
      <c r="B900" t="n">
        <v>690</v>
      </c>
      <c r="C900" t="inlineStr">
        <is>
          <t>Ind St:</t>
        </is>
      </c>
      <c r="E900" t="inlineStr">
        <is>
          <t>OTST690</t>
        </is>
      </c>
    </row>
    <row r="901">
      <c r="A901" t="inlineStr">
        <is>
          <t>OTST</t>
        </is>
      </c>
      <c r="B901" t="n">
        <v>890</v>
      </c>
      <c r="C901" t="inlineStr">
        <is>
          <t>Directed Rdg in Old Testmt</t>
        </is>
      </c>
      <c r="E901" t="inlineStr">
        <is>
          <t>OTST890</t>
        </is>
      </c>
    </row>
    <row r="902">
      <c r="A902" t="inlineStr">
        <is>
          <t>NTST</t>
        </is>
      </c>
      <c r="B902" t="n">
        <v>550</v>
      </c>
      <c r="C902" t="inlineStr">
        <is>
          <t>Exegesis of the English NT:</t>
        </is>
      </c>
      <c r="D902" t="inlineStr">
        <is>
          <t>Exegesis of Eng NT:Revelation</t>
        </is>
      </c>
      <c r="E902" t="inlineStr">
        <is>
          <t>NTST550</t>
        </is>
      </c>
    </row>
    <row r="903">
      <c r="A903" t="inlineStr">
        <is>
          <t>DSRE</t>
        </is>
      </c>
      <c r="B903" t="n">
        <v>870</v>
      </c>
      <c r="C903" t="inlineStr">
        <is>
          <t>Adv Studies:</t>
        </is>
      </c>
      <c r="E903" t="inlineStr">
        <is>
          <t>DSRE870</t>
        </is>
      </c>
    </row>
    <row r="904">
      <c r="A904" t="inlineStr">
        <is>
          <t>ANEA</t>
        </is>
      </c>
      <c r="B904" t="n">
        <v>690</v>
      </c>
      <c r="C904" t="inlineStr">
        <is>
          <t>Independent Study</t>
        </is>
      </c>
      <c r="E904" t="inlineStr">
        <is>
          <t>ANEA690</t>
        </is>
      </c>
    </row>
    <row r="905">
      <c r="A905" t="inlineStr">
        <is>
          <t>ANEA</t>
        </is>
      </c>
      <c r="B905" t="n">
        <v>890</v>
      </c>
      <c r="C905" t="inlineStr">
        <is>
          <t>Directed Rdg in Hist&amp;Arch St</t>
        </is>
      </c>
      <c r="E905" t="inlineStr">
        <is>
          <t>ANEA890</t>
        </is>
      </c>
    </row>
    <row r="906">
      <c r="A906" t="inlineStr">
        <is>
          <t>ANEA</t>
        </is>
      </c>
      <c r="B906" t="n">
        <v>695</v>
      </c>
      <c r="C906" t="inlineStr">
        <is>
          <t>Directed Studies</t>
        </is>
      </c>
      <c r="E906" t="inlineStr">
        <is>
          <t>ANEA695</t>
        </is>
      </c>
    </row>
    <row r="907">
      <c r="A907" t="inlineStr">
        <is>
          <t>GSEM</t>
        </is>
      </c>
      <c r="B907" t="n">
        <v>700</v>
      </c>
      <c r="C907" t="inlineStr">
        <is>
          <t>DMin Program Orientation</t>
        </is>
      </c>
      <c r="E907" t="inlineStr">
        <is>
          <t>GSEM700</t>
        </is>
      </c>
    </row>
    <row r="908">
      <c r="A908" t="inlineStr">
        <is>
          <t>THST</t>
        </is>
      </c>
      <c r="B908" t="n">
        <v>695</v>
      </c>
      <c r="C908" t="inlineStr">
        <is>
          <t>Top:</t>
        </is>
      </c>
      <c r="D908" t="inlineStr">
        <is>
          <t>Topics:Sanctuary Doctrine</t>
        </is>
      </c>
      <c r="E908" t="inlineStr">
        <is>
          <t>THST695</t>
        </is>
      </c>
    </row>
    <row r="909">
      <c r="A909" t="inlineStr">
        <is>
          <t>MSSN</t>
        </is>
      </c>
      <c r="B909" t="n">
        <v>690</v>
      </c>
      <c r="C909" t="inlineStr">
        <is>
          <t>Ind St:</t>
        </is>
      </c>
      <c r="E909" t="inlineStr">
        <is>
          <t>MSSN690</t>
        </is>
      </c>
    </row>
    <row r="910">
      <c r="A910" t="inlineStr">
        <is>
          <t>DSRE</t>
        </is>
      </c>
      <c r="B910" t="n">
        <v>995</v>
      </c>
      <c r="C910" t="inlineStr">
        <is>
          <t>Doctoral Dissertation</t>
        </is>
      </c>
      <c r="E910" t="inlineStr">
        <is>
          <t>DSRE995</t>
        </is>
      </c>
    </row>
    <row r="911">
      <c r="A911" t="inlineStr">
        <is>
          <t>DSRE</t>
        </is>
      </c>
      <c r="B911" t="n">
        <v>660</v>
      </c>
      <c r="C911" t="inlineStr">
        <is>
          <t>Field Practicum:MAYYAM</t>
        </is>
      </c>
      <c r="E911" t="inlineStr">
        <is>
          <t>DSRE660</t>
        </is>
      </c>
    </row>
    <row r="912">
      <c r="A912" t="inlineStr">
        <is>
          <t>CHIS</t>
        </is>
      </c>
      <c r="B912" t="n">
        <v>940</v>
      </c>
      <c r="C912" t="inlineStr">
        <is>
          <t>Seminar in Church History:</t>
        </is>
      </c>
      <c r="D912" t="inlineStr">
        <is>
          <t>Sem:Hist Resrch&amp;Historiography</t>
        </is>
      </c>
      <c r="E912" t="inlineStr">
        <is>
          <t>CHIS940</t>
        </is>
      </c>
    </row>
    <row r="913">
      <c r="A913" t="inlineStr">
        <is>
          <t>DSRE</t>
        </is>
      </c>
      <c r="B913" t="n">
        <v>878</v>
      </c>
      <c r="C913" t="inlineStr">
        <is>
          <t>Adv Scholarly &amp; Prof Dev</t>
        </is>
      </c>
      <c r="E913" t="inlineStr">
        <is>
          <t>DSRE878</t>
        </is>
      </c>
    </row>
    <row r="914">
      <c r="A914" t="inlineStr">
        <is>
          <t>DSRE</t>
        </is>
      </c>
      <c r="B914" t="n">
        <v>680</v>
      </c>
      <c r="C914" t="inlineStr">
        <is>
          <t>Field Practicum:________</t>
        </is>
      </c>
      <c r="D914" t="inlineStr">
        <is>
          <t>Field Practicum:Leadership</t>
        </is>
      </c>
      <c r="E914" t="inlineStr">
        <is>
          <t>DSRE680</t>
        </is>
      </c>
    </row>
    <row r="915">
      <c r="A915" t="inlineStr">
        <is>
          <t>MSSN</t>
        </is>
      </c>
      <c r="B915" t="n">
        <v>828</v>
      </c>
      <c r="C915" t="inlineStr">
        <is>
          <t>Sem Social Sciences&amp;Mission</t>
        </is>
      </c>
      <c r="E915" t="inlineStr">
        <is>
          <t>MSSN828</t>
        </is>
      </c>
    </row>
    <row r="916">
      <c r="A916" t="inlineStr">
        <is>
          <t>GSEM</t>
        </is>
      </c>
      <c r="B916" t="n">
        <v>880</v>
      </c>
      <c r="C916" t="inlineStr">
        <is>
          <t>Prep for Comprehensive Exams</t>
        </is>
      </c>
      <c r="E916" t="inlineStr">
        <is>
          <t>GSEM880</t>
        </is>
      </c>
    </row>
    <row r="917">
      <c r="A917" t="inlineStr">
        <is>
          <t>CHMN</t>
        </is>
      </c>
      <c r="B917" t="n">
        <v>669</v>
      </c>
      <c r="C917" t="inlineStr">
        <is>
          <t>Adv Holistic Small Groups</t>
        </is>
      </c>
      <c r="E917" t="inlineStr">
        <is>
          <t>CHMN669</t>
        </is>
      </c>
    </row>
    <row r="918">
      <c r="A918" t="inlineStr">
        <is>
          <t>THST</t>
        </is>
      </c>
      <c r="B918" t="n">
        <v>935</v>
      </c>
      <c r="C918" t="inlineStr">
        <is>
          <t>Sem Philosophical Theology:</t>
        </is>
      </c>
      <c r="E918" t="inlineStr">
        <is>
          <t>THST935</t>
        </is>
      </c>
    </row>
    <row r="919">
      <c r="A919" t="inlineStr">
        <is>
          <t>NTST</t>
        </is>
      </c>
      <c r="B919" t="n">
        <v>550</v>
      </c>
      <c r="C919" t="inlineStr">
        <is>
          <t>Exegesis of the English NT:</t>
        </is>
      </c>
      <c r="D919" t="inlineStr">
        <is>
          <t>Exegsis Eng NT:Pauline Writing</t>
        </is>
      </c>
      <c r="E919" t="inlineStr">
        <is>
          <t>NTST550</t>
        </is>
      </c>
    </row>
    <row r="920">
      <c r="A920" t="inlineStr">
        <is>
          <t>OTST</t>
        </is>
      </c>
      <c r="B920" t="n">
        <v>570</v>
      </c>
      <c r="C920" t="inlineStr">
        <is>
          <t>Readings in the OT (English)</t>
        </is>
      </c>
      <c r="D920" t="inlineStr">
        <is>
          <t>Readings in the OT:Daniel</t>
        </is>
      </c>
      <c r="E920" t="inlineStr">
        <is>
          <t>OTST570</t>
        </is>
      </c>
    </row>
    <row r="921">
      <c r="A921" t="inlineStr">
        <is>
          <t>NTST</t>
        </is>
      </c>
      <c r="B921" t="n">
        <v>940</v>
      </c>
      <c r="C921" t="inlineStr">
        <is>
          <t>Sem in NT Exegesis &amp; Hermn:</t>
        </is>
      </c>
      <c r="D921" t="inlineStr">
        <is>
          <t>Sem Exgsis/Herm:Nartiv Anlysis</t>
        </is>
      </c>
      <c r="E921" t="inlineStr">
        <is>
          <t>NTST940</t>
        </is>
      </c>
    </row>
    <row r="922">
      <c r="A922" t="inlineStr">
        <is>
          <t>DSRE</t>
        </is>
      </c>
      <c r="B922" t="n">
        <v>620</v>
      </c>
      <c r="C922" t="inlineStr">
        <is>
          <t>Scholarly and Professional Dev</t>
        </is>
      </c>
      <c r="E922" t="inlineStr">
        <is>
          <t>DSRE620</t>
        </is>
      </c>
    </row>
    <row r="923">
      <c r="A923" t="inlineStr">
        <is>
          <t>DSRE</t>
        </is>
      </c>
      <c r="B923" t="n">
        <v>885</v>
      </c>
      <c r="C923" t="inlineStr">
        <is>
          <t>Field Practicum:</t>
        </is>
      </c>
      <c r="E923" t="inlineStr">
        <is>
          <t>DSRE885</t>
        </is>
      </c>
    </row>
    <row r="924">
      <c r="A924" t="inlineStr">
        <is>
          <t>CHMN</t>
        </is>
      </c>
      <c r="B924" t="n">
        <v>659</v>
      </c>
      <c r="C924" t="inlineStr">
        <is>
          <t>Practicum Past Care&amp;Counseling</t>
        </is>
      </c>
      <c r="E924" t="inlineStr">
        <is>
          <t>CHMN659</t>
        </is>
      </c>
    </row>
    <row r="925">
      <c r="A925" t="inlineStr">
        <is>
          <t>CHMN</t>
        </is>
      </c>
      <c r="B925" t="n">
        <v>560</v>
      </c>
      <c r="C925" t="inlineStr">
        <is>
          <t>Adv Ministerial Development</t>
        </is>
      </c>
      <c r="E925" t="inlineStr">
        <is>
          <t>CHMN560</t>
        </is>
      </c>
    </row>
    <row r="926">
      <c r="A926" t="inlineStr">
        <is>
          <t>CHMN</t>
        </is>
      </c>
      <c r="B926" t="n">
        <v>767</v>
      </c>
      <c r="C926" t="inlineStr">
        <is>
          <t>Formatn Evangelistic Strategy</t>
        </is>
      </c>
      <c r="E926" t="inlineStr">
        <is>
          <t>CHMN767</t>
        </is>
      </c>
    </row>
    <row r="927">
      <c r="A927" t="inlineStr">
        <is>
          <t>CHMN</t>
        </is>
      </c>
      <c r="B927" t="n">
        <v>641</v>
      </c>
      <c r="C927" t="inlineStr">
        <is>
          <t>Practicum Military Chaplaincy</t>
        </is>
      </c>
      <c r="E927" t="inlineStr">
        <is>
          <t>CHMN641</t>
        </is>
      </c>
    </row>
    <row r="928">
      <c r="A928" t="inlineStr">
        <is>
          <t>DSRE</t>
        </is>
      </c>
      <c r="B928" t="n">
        <v>880</v>
      </c>
      <c r="C928" t="inlineStr">
        <is>
          <t>PhD (Rel Education) Prog Cont</t>
        </is>
      </c>
      <c r="E928" t="inlineStr">
        <is>
          <t>DSRE880</t>
        </is>
      </c>
    </row>
    <row r="929">
      <c r="A929" t="inlineStr">
        <is>
          <t>CHMN</t>
        </is>
      </c>
      <c r="B929" t="n">
        <v>890</v>
      </c>
      <c r="C929" t="inlineStr">
        <is>
          <t>Directed Rdgs in Church Min</t>
        </is>
      </c>
      <c r="D929" t="inlineStr">
        <is>
          <t>Directed Rdgs Church in Min</t>
        </is>
      </c>
      <c r="E929" t="inlineStr">
        <is>
          <t>CHMN890</t>
        </is>
      </c>
    </row>
    <row r="930">
      <c r="A930" t="inlineStr">
        <is>
          <t>MSSN</t>
        </is>
      </c>
      <c r="B930" t="n">
        <v>890</v>
      </c>
      <c r="C930" t="inlineStr">
        <is>
          <t>Directed Rdgs Mission Studies</t>
        </is>
      </c>
      <c r="E930" t="inlineStr">
        <is>
          <t>MSSN890</t>
        </is>
      </c>
    </row>
    <row r="931">
      <c r="A931" t="inlineStr">
        <is>
          <t>MSSN</t>
        </is>
      </c>
      <c r="B931" t="n">
        <v>695</v>
      </c>
      <c r="C931" t="inlineStr">
        <is>
          <t>Topics:</t>
        </is>
      </c>
      <c r="E931" t="inlineStr">
        <is>
          <t>MSSN695</t>
        </is>
      </c>
    </row>
    <row r="932">
      <c r="A932" t="inlineStr">
        <is>
          <t>NTST</t>
        </is>
      </c>
      <c r="B932" t="n">
        <v>525</v>
      </c>
      <c r="C932" t="inlineStr">
        <is>
          <t>Revelation</t>
        </is>
      </c>
      <c r="E932" t="inlineStr">
        <is>
          <t>NTST525</t>
        </is>
      </c>
    </row>
    <row r="933">
      <c r="A933" t="inlineStr">
        <is>
          <t>GSEM</t>
        </is>
      </c>
      <c r="B933" t="n">
        <v>797</v>
      </c>
      <c r="C933" t="inlineStr">
        <is>
          <t>Ind St:</t>
        </is>
      </c>
      <c r="D933" t="inlineStr">
        <is>
          <t>Ind:Spiritual &amp; Theo Found Min</t>
        </is>
      </c>
      <c r="E933" t="inlineStr">
        <is>
          <t>GSEM797</t>
        </is>
      </c>
    </row>
    <row r="934">
      <c r="A934" t="inlineStr">
        <is>
          <t>GSEM</t>
        </is>
      </c>
      <c r="B934" t="n">
        <v>648</v>
      </c>
      <c r="C934" t="inlineStr">
        <is>
          <t>Workshop</t>
        </is>
      </c>
      <c r="D934" t="inlineStr">
        <is>
          <t>Wrkshp:Word &amp; Music</t>
        </is>
      </c>
      <c r="E934" t="inlineStr">
        <is>
          <t>GSEM648</t>
        </is>
      </c>
    </row>
    <row r="935">
      <c r="A935" t="inlineStr">
        <is>
          <t>GSEM</t>
        </is>
      </c>
      <c r="B935" t="n">
        <v>898</v>
      </c>
      <c r="C935" t="inlineStr">
        <is>
          <t>Postdoctoral Research Project</t>
        </is>
      </c>
      <c r="E935" t="inlineStr">
        <is>
          <t>GSEM898</t>
        </is>
      </c>
    </row>
    <row r="936">
      <c r="A936" t="inlineStr">
        <is>
          <t>GSEM</t>
        </is>
      </c>
      <c r="B936" t="n">
        <v>797</v>
      </c>
      <c r="C936" t="inlineStr">
        <is>
          <t>Ind St:</t>
        </is>
      </c>
      <c r="D936" t="inlineStr">
        <is>
          <t>Ind:DMin Project Seminar</t>
        </is>
      </c>
      <c r="E936" t="inlineStr">
        <is>
          <t>GSEM797</t>
        </is>
      </c>
    </row>
    <row r="937">
      <c r="A937" t="inlineStr">
        <is>
          <t>GSEM</t>
        </is>
      </c>
      <c r="B937" t="n">
        <v>797</v>
      </c>
      <c r="C937" t="inlineStr">
        <is>
          <t>Ind St:</t>
        </is>
      </c>
      <c r="D937" t="inlineStr">
        <is>
          <t>Ind Study:DMin Project Seminar</t>
        </is>
      </c>
      <c r="E937" t="inlineStr">
        <is>
          <t>GSEM797</t>
        </is>
      </c>
    </row>
    <row r="938">
      <c r="A938" t="inlineStr">
        <is>
          <t>OTST</t>
        </is>
      </c>
      <c r="B938" t="n">
        <v>515</v>
      </c>
      <c r="C938" t="inlineStr">
        <is>
          <t>Int Mid East Lang, Culture&amp;Hst</t>
        </is>
      </c>
      <c r="E938" t="inlineStr">
        <is>
          <t>OTST515</t>
        </is>
      </c>
    </row>
    <row r="939">
      <c r="A939" t="inlineStr">
        <is>
          <t>GSEM</t>
        </is>
      </c>
      <c r="B939" t="n">
        <v>789</v>
      </c>
      <c r="C939" t="inlineStr">
        <is>
          <t>DMin Program Continuation</t>
        </is>
      </c>
      <c r="E939" t="inlineStr">
        <is>
          <t>GSEM789</t>
        </is>
      </c>
    </row>
    <row r="940">
      <c r="A940" t="inlineStr">
        <is>
          <t>ANEA</t>
        </is>
      </c>
      <c r="B940" t="n">
        <v>830</v>
      </c>
      <c r="C940" t="inlineStr">
        <is>
          <t>Adv Arch Field Work</t>
        </is>
      </c>
      <c r="E940" t="inlineStr">
        <is>
          <t>ANEA830</t>
        </is>
      </c>
    </row>
    <row r="941">
      <c r="A941" t="inlineStr">
        <is>
          <t>CHMN</t>
        </is>
      </c>
      <c r="B941" t="n">
        <v>586</v>
      </c>
      <c r="C941" t="inlineStr">
        <is>
          <t>Spec Approaches to Evan:</t>
        </is>
      </c>
      <c r="D941" t="inlineStr">
        <is>
          <t>Sp App to Evan:Naturl Ch Dev</t>
        </is>
      </c>
      <c r="E941" t="inlineStr">
        <is>
          <t>CHMN586</t>
        </is>
      </c>
    </row>
    <row r="942">
      <c r="A942" t="inlineStr">
        <is>
          <t>CHMN</t>
        </is>
      </c>
      <c r="B942" t="n">
        <v>586</v>
      </c>
      <c r="C942" t="inlineStr">
        <is>
          <t>Spec Approaches to Evan:</t>
        </is>
      </c>
      <c r="D942" t="inlineStr">
        <is>
          <t>Sp App to Evan:Bi-Voctnl Ch Pl</t>
        </is>
      </c>
      <c r="E942" t="inlineStr">
        <is>
          <t>CHMN586</t>
        </is>
      </c>
    </row>
    <row r="943">
      <c r="A943" t="inlineStr">
        <is>
          <t>CHMN</t>
        </is>
      </c>
      <c r="B943" t="n">
        <v>774</v>
      </c>
      <c r="C943" t="inlineStr">
        <is>
          <t>The Church in the City</t>
        </is>
      </c>
      <c r="E943" t="inlineStr">
        <is>
          <t>CHMN774</t>
        </is>
      </c>
    </row>
    <row r="944">
      <c r="A944" t="inlineStr">
        <is>
          <t>MSSN</t>
        </is>
      </c>
      <c r="B944" t="n">
        <v>727</v>
      </c>
      <c r="C944" t="inlineStr">
        <is>
          <t>History &amp; Strategy of Mission</t>
        </is>
      </c>
      <c r="E944" t="inlineStr">
        <is>
          <t>MSSN727</t>
        </is>
      </c>
    </row>
    <row r="945">
      <c r="A945" t="inlineStr">
        <is>
          <t>GSEM</t>
        </is>
      </c>
      <c r="B945" t="n">
        <v>648</v>
      </c>
      <c r="C945" t="inlineStr">
        <is>
          <t>Workshop</t>
        </is>
      </c>
      <c r="D945" t="inlineStr">
        <is>
          <t>Wkshp:NAD Ministerial Conventn</t>
        </is>
      </c>
      <c r="E945" t="inlineStr">
        <is>
          <t>GSEM648</t>
        </is>
      </c>
    </row>
    <row r="946">
      <c r="A946" t="inlineStr">
        <is>
          <t>CHMN</t>
        </is>
      </c>
      <c r="B946" t="n">
        <v>575</v>
      </c>
      <c r="C946" t="inlineStr">
        <is>
          <t>Principles of Stewardship</t>
        </is>
      </c>
      <c r="E946" t="inlineStr">
        <is>
          <t>CHMN575</t>
        </is>
      </c>
    </row>
    <row r="947">
      <c r="A947" t="inlineStr">
        <is>
          <t>GSEM</t>
        </is>
      </c>
      <c r="B947" t="n">
        <v>648</v>
      </c>
      <c r="C947" t="inlineStr">
        <is>
          <t>Workshop</t>
        </is>
      </c>
      <c r="D947" t="inlineStr">
        <is>
          <t>Workshop:Advanced SEEDS</t>
        </is>
      </c>
      <c r="E947" t="inlineStr">
        <is>
          <t>GSEM648</t>
        </is>
      </c>
    </row>
    <row r="948">
      <c r="A948" t="inlineStr">
        <is>
          <t>GSEM</t>
        </is>
      </c>
      <c r="B948" t="n">
        <v>648</v>
      </c>
      <c r="C948" t="inlineStr">
        <is>
          <t>Workshop</t>
        </is>
      </c>
      <c r="D948" t="inlineStr">
        <is>
          <t>Workshop:SEEDS</t>
        </is>
      </c>
      <c r="E948" t="inlineStr">
        <is>
          <t>GSEM648</t>
        </is>
      </c>
    </row>
    <row r="949">
      <c r="A949" t="inlineStr">
        <is>
          <t>DSRE</t>
        </is>
      </c>
      <c r="B949" t="n">
        <v>707</v>
      </c>
      <c r="C949" t="inlineStr">
        <is>
          <t>Pers Pract Dis&amp;Bibl Spirtualty</t>
        </is>
      </c>
      <c r="E949" t="inlineStr">
        <is>
          <t>DSRE707</t>
        </is>
      </c>
    </row>
    <row r="950">
      <c r="A950" t="inlineStr">
        <is>
          <t>ANEA</t>
        </is>
      </c>
      <c r="B950" t="n">
        <v>630</v>
      </c>
      <c r="C950" t="inlineStr">
        <is>
          <t>Archaeological Field Work</t>
        </is>
      </c>
      <c r="E950" t="inlineStr">
        <is>
          <t>ANEA630</t>
        </is>
      </c>
    </row>
    <row r="951">
      <c r="A951" t="inlineStr">
        <is>
          <t>NTST</t>
        </is>
      </c>
      <c r="B951" t="n">
        <v>695</v>
      </c>
      <c r="C951" t="inlineStr">
        <is>
          <t>Top in NT Backgrounds</t>
        </is>
      </c>
      <c r="D951" t="inlineStr">
        <is>
          <t>Top:Greco-Roman Religions</t>
        </is>
      </c>
      <c r="E951" t="inlineStr">
        <is>
          <t>NTST695</t>
        </is>
      </c>
    </row>
    <row r="952">
      <c r="A952" t="inlineStr">
        <is>
          <t>DSRE</t>
        </is>
      </c>
      <c r="B952" t="n">
        <v>664</v>
      </c>
      <c r="C952" t="inlineStr">
        <is>
          <t>Advanced Campus Ministry</t>
        </is>
      </c>
      <c r="E952" t="inlineStr">
        <is>
          <t>DSRE664</t>
        </is>
      </c>
    </row>
    <row r="953">
      <c r="A953" t="inlineStr">
        <is>
          <t>GSEM</t>
        </is>
      </c>
      <c r="B953" t="n">
        <v>678</v>
      </c>
      <c r="C953" t="inlineStr">
        <is>
          <t>Church History Study Tour</t>
        </is>
      </c>
      <c r="E953" t="inlineStr">
        <is>
          <t>GSEM678</t>
        </is>
      </c>
    </row>
    <row r="954">
      <c r="A954" t="inlineStr">
        <is>
          <t>CHIS</t>
        </is>
      </c>
      <c r="B954" t="n">
        <v>690</v>
      </c>
      <c r="C954" t="inlineStr">
        <is>
          <t>Ind St:</t>
        </is>
      </c>
      <c r="D954" t="inlineStr">
        <is>
          <t>Ind St:Stdies in Chrch History</t>
        </is>
      </c>
      <c r="E954" t="inlineStr">
        <is>
          <t>CHIS690</t>
        </is>
      </c>
    </row>
    <row r="955">
      <c r="A955" t="inlineStr">
        <is>
          <t>CHIS</t>
        </is>
      </c>
      <c r="B955" t="n">
        <v>690</v>
      </c>
      <c r="C955" t="inlineStr">
        <is>
          <t>Ind St:</t>
        </is>
      </c>
      <c r="D955" t="inlineStr">
        <is>
          <t>Ind St:Church Hist Study Tour</t>
        </is>
      </c>
      <c r="E955" t="inlineStr">
        <is>
          <t>CHIS690</t>
        </is>
      </c>
    </row>
    <row r="956">
      <c r="A956" t="inlineStr">
        <is>
          <t>CHMN</t>
        </is>
      </c>
      <c r="B956" t="n">
        <v>586</v>
      </c>
      <c r="C956" t="inlineStr">
        <is>
          <t>Spec Approaches to Evan:</t>
        </is>
      </c>
      <c r="E956" t="inlineStr">
        <is>
          <t>CHMN586</t>
        </is>
      </c>
    </row>
    <row r="957">
      <c r="A957" t="inlineStr">
        <is>
          <t>OTST</t>
        </is>
      </c>
      <c r="B957" t="n">
        <v>695</v>
      </c>
      <c r="C957" t="inlineStr">
        <is>
          <t>Dir St:</t>
        </is>
      </c>
      <c r="E957" t="inlineStr">
        <is>
          <t>OTST695</t>
        </is>
      </c>
    </row>
    <row r="958">
      <c r="A958" t="inlineStr">
        <is>
          <t>CHMN</t>
        </is>
      </c>
      <c r="B958" t="n">
        <v>540</v>
      </c>
      <c r="C958" t="inlineStr">
        <is>
          <t>Church &amp; Urban Community</t>
        </is>
      </c>
      <c r="E958" t="inlineStr">
        <is>
          <t>CHMN540</t>
        </is>
      </c>
    </row>
    <row r="959">
      <c r="A959" t="inlineStr">
        <is>
          <t>CHIS</t>
        </is>
      </c>
      <c r="B959" t="n">
        <v>690</v>
      </c>
      <c r="C959" t="inlineStr">
        <is>
          <t>Ind St:</t>
        </is>
      </c>
      <c r="D959" t="inlineStr">
        <is>
          <t>Ind St:Adventist Heritage</t>
        </is>
      </c>
      <c r="E959" t="inlineStr">
        <is>
          <t>CHIS690</t>
        </is>
      </c>
    </row>
    <row r="960">
      <c r="A960" t="inlineStr">
        <is>
          <t>MSSN</t>
        </is>
      </c>
      <c r="B960" t="n">
        <v>706</v>
      </c>
      <c r="C960" t="inlineStr">
        <is>
          <t>Bibl, Theo&amp;Sprtl Fndtn of Miss</t>
        </is>
      </c>
      <c r="E960" t="inlineStr">
        <is>
          <t>MSSN706</t>
        </is>
      </c>
    </row>
    <row r="961">
      <c r="A961" t="inlineStr">
        <is>
          <t>OTST</t>
        </is>
      </c>
      <c r="B961" t="n">
        <v>556</v>
      </c>
      <c r="C961" t="inlineStr">
        <is>
          <t>Studies in Prophets (Engl)</t>
        </is>
      </c>
      <c r="D961" t="inlineStr">
        <is>
          <t>Rdngs Proph(Engl):Esther</t>
        </is>
      </c>
      <c r="E961" t="inlineStr">
        <is>
          <t>OTST556</t>
        </is>
      </c>
    </row>
    <row r="962">
      <c r="A962" t="inlineStr">
        <is>
          <t>CHMN</t>
        </is>
      </c>
      <c r="B962" t="n">
        <v>638</v>
      </c>
      <c r="C962" t="inlineStr">
        <is>
          <t>Seminar in Leadership</t>
        </is>
      </c>
      <c r="E962" t="inlineStr">
        <is>
          <t>CHMN638</t>
        </is>
      </c>
    </row>
    <row r="963">
      <c r="A963" t="inlineStr">
        <is>
          <t>GSEM</t>
        </is>
      </c>
      <c r="B963" t="n">
        <v>797</v>
      </c>
      <c r="C963" t="inlineStr">
        <is>
          <t>Ind St:</t>
        </is>
      </c>
      <c r="D963" t="inlineStr">
        <is>
          <t>Ind St:DMin Project Seminar</t>
        </is>
      </c>
      <c r="E963" t="inlineStr">
        <is>
          <t>GSEM797</t>
        </is>
      </c>
    </row>
    <row r="964">
      <c r="A964" t="inlineStr">
        <is>
          <t>CHMN</t>
        </is>
      </c>
      <c r="B964" t="n">
        <v>743</v>
      </c>
      <c r="C964" t="inlineStr">
        <is>
          <t>Prophetic Preach in Worship</t>
        </is>
      </c>
      <c r="E964" t="inlineStr">
        <is>
          <t>CHMN743</t>
        </is>
      </c>
    </row>
    <row r="965">
      <c r="A965" t="inlineStr">
        <is>
          <t>GSEM</t>
        </is>
      </c>
      <c r="B965" t="n">
        <v>648</v>
      </c>
      <c r="C965" t="inlineStr">
        <is>
          <t>Workshop</t>
        </is>
      </c>
      <c r="D965" t="inlineStr">
        <is>
          <t>Wrkshp:Prep for Mission Servic</t>
        </is>
      </c>
      <c r="E965" t="inlineStr">
        <is>
          <t>GSEM648</t>
        </is>
      </c>
    </row>
    <row r="966">
      <c r="A966" t="inlineStr">
        <is>
          <t>OTST</t>
        </is>
      </c>
      <c r="B966" t="n">
        <v>570</v>
      </c>
      <c r="C966" t="inlineStr">
        <is>
          <t>Readings in the OT (English)</t>
        </is>
      </c>
      <c r="D966" t="inlineStr">
        <is>
          <t>Readings Engl OT:Prophets</t>
        </is>
      </c>
      <c r="E966" t="inlineStr">
        <is>
          <t>OTST570</t>
        </is>
      </c>
    </row>
    <row r="967">
      <c r="A967" t="inlineStr">
        <is>
          <t>NTST</t>
        </is>
      </c>
      <c r="B967" t="n">
        <v>678</v>
      </c>
      <c r="C967" t="inlineStr">
        <is>
          <t>Sem in Greek Exegesis</t>
        </is>
      </c>
      <c r="D967" t="inlineStr">
        <is>
          <t>Sem in Greek Exeg:1-2 Peter</t>
        </is>
      </c>
      <c r="E967" t="inlineStr">
        <is>
          <t>NTST678</t>
        </is>
      </c>
    </row>
    <row r="968">
      <c r="A968" t="inlineStr">
        <is>
          <t>CHIS</t>
        </is>
      </c>
      <c r="B968" t="n">
        <v>690</v>
      </c>
      <c r="C968" t="inlineStr">
        <is>
          <t>Ind St:</t>
        </is>
      </c>
      <c r="D968" t="inlineStr">
        <is>
          <t>Ind:Great Contrvrsy Chr Hist</t>
        </is>
      </c>
      <c r="E968" t="inlineStr">
        <is>
          <t>CHIS690</t>
        </is>
      </c>
    </row>
    <row r="969">
      <c r="A969" t="inlineStr">
        <is>
          <t>DSRE</t>
        </is>
      </c>
      <c r="B969" t="n">
        <v>887</v>
      </c>
      <c r="C969" t="inlineStr">
        <is>
          <t>Applied Research</t>
        </is>
      </c>
      <c r="E969" t="inlineStr">
        <is>
          <t>DSRE887</t>
        </is>
      </c>
    </row>
    <row r="970">
      <c r="A970" t="inlineStr">
        <is>
          <t>DSRE</t>
        </is>
      </c>
      <c r="B970" t="n">
        <v>765</v>
      </c>
      <c r="C970" t="inlineStr">
        <is>
          <t>Adv Youth&amp;Young Adult Min</t>
        </is>
      </c>
      <c r="E970" t="inlineStr">
        <is>
          <t>DSRE765</t>
        </is>
      </c>
    </row>
    <row r="971">
      <c r="A971" t="inlineStr">
        <is>
          <t>NTST</t>
        </is>
      </c>
      <c r="B971" t="n">
        <v>567</v>
      </c>
      <c r="C971" t="inlineStr">
        <is>
          <t>Theo of the English NT:</t>
        </is>
      </c>
      <c r="D971" t="inlineStr">
        <is>
          <t>Theo of Eng NT:Ecclesiology</t>
        </is>
      </c>
      <c r="E971" t="inlineStr">
        <is>
          <t>NTST567</t>
        </is>
      </c>
    </row>
    <row r="972">
      <c r="A972" t="inlineStr">
        <is>
          <t>GSEM</t>
        </is>
      </c>
      <c r="B972" t="n">
        <v>797</v>
      </c>
      <c r="C972" t="inlineStr">
        <is>
          <t>Ind St:</t>
        </is>
      </c>
      <c r="D972" t="inlineStr">
        <is>
          <t>IndSt:Formatnn Evangelst Strat</t>
        </is>
      </c>
      <c r="E972" t="inlineStr">
        <is>
          <t>GSEM797</t>
        </is>
      </c>
    </row>
    <row r="973">
      <c r="A973" t="inlineStr">
        <is>
          <t>OTST</t>
        </is>
      </c>
      <c r="B973" t="n">
        <v>570</v>
      </c>
      <c r="C973" t="inlineStr">
        <is>
          <t>Readings in the OT (English)</t>
        </is>
      </c>
      <c r="D973" t="inlineStr">
        <is>
          <t>Rdngs in the OT (Engl):Daniel</t>
        </is>
      </c>
      <c r="E973" t="inlineStr">
        <is>
          <t>OTST570</t>
        </is>
      </c>
    </row>
    <row r="974">
      <c r="A974" t="inlineStr">
        <is>
          <t>MSSN</t>
        </is>
      </c>
      <c r="B974" t="n">
        <v>660</v>
      </c>
      <c r="C974" t="inlineStr">
        <is>
          <t>Witn People Another Rlg:</t>
        </is>
      </c>
      <c r="D974" t="inlineStr">
        <is>
          <t>Witn Ppl Other Rlg:Pstmdrn &amp; S</t>
        </is>
      </c>
      <c r="E974" t="inlineStr">
        <is>
          <t>MSSN660</t>
        </is>
      </c>
    </row>
    <row r="975">
      <c r="A975" t="inlineStr">
        <is>
          <t>GSEM</t>
        </is>
      </c>
      <c r="B975" t="n">
        <v>670</v>
      </c>
      <c r="C975" t="inlineStr">
        <is>
          <t>Guided Study Tour Bible Lands</t>
        </is>
      </c>
      <c r="E975" t="inlineStr">
        <is>
          <t>GSEM670</t>
        </is>
      </c>
    </row>
    <row r="976">
      <c r="A976" t="inlineStr">
        <is>
          <t>GSEM</t>
        </is>
      </c>
      <c r="B976" t="n">
        <v>797</v>
      </c>
      <c r="C976" t="inlineStr">
        <is>
          <t>Ind St:</t>
        </is>
      </c>
      <c r="E976" t="inlineStr">
        <is>
          <t>GSEM797</t>
        </is>
      </c>
    </row>
    <row r="977">
      <c r="A977" t="inlineStr">
        <is>
          <t>GSEM</t>
        </is>
      </c>
      <c r="B977" t="n">
        <v>797</v>
      </c>
      <c r="C977" t="inlineStr">
        <is>
          <t>Ind St:</t>
        </is>
      </c>
      <c r="D977" t="inlineStr">
        <is>
          <t>IndSt:Internal Dynamics Family</t>
        </is>
      </c>
      <c r="E977" t="inlineStr">
        <is>
          <t>GSEM797</t>
        </is>
      </c>
    </row>
    <row r="978">
      <c r="A978" t="inlineStr">
        <is>
          <t>CHIS</t>
        </is>
      </c>
      <c r="B978" t="n">
        <v>690</v>
      </c>
      <c r="C978" t="inlineStr">
        <is>
          <t>Ind St:</t>
        </is>
      </c>
      <c r="D978" t="inlineStr">
        <is>
          <t>Ind St:CHIS Study Tour</t>
        </is>
      </c>
      <c r="E978" t="inlineStr">
        <is>
          <t>CHIS690</t>
        </is>
      </c>
    </row>
    <row r="979">
      <c r="A979" t="inlineStr">
        <is>
          <t>CHIS</t>
        </is>
      </c>
      <c r="B979" t="n">
        <v>690</v>
      </c>
      <c r="C979" t="inlineStr">
        <is>
          <t>Ind St:</t>
        </is>
      </c>
      <c r="D979" t="inlineStr">
        <is>
          <t>Ind St:</t>
        </is>
      </c>
      <c r="E979" t="inlineStr">
        <is>
          <t>CHIS690</t>
        </is>
      </c>
    </row>
    <row r="980">
      <c r="A980" t="inlineStr">
        <is>
          <t>CHIS</t>
        </is>
      </c>
      <c r="B980" t="n">
        <v>695</v>
      </c>
      <c r="C980" t="inlineStr">
        <is>
          <t>Topics in Church History:</t>
        </is>
      </c>
      <c r="D980" t="inlineStr">
        <is>
          <t>Topics in Church History:</t>
        </is>
      </c>
      <c r="E980" t="inlineStr">
        <is>
          <t>CHIS695</t>
        </is>
      </c>
    </row>
    <row r="981">
      <c r="A981" t="inlineStr">
        <is>
          <t>CHIS</t>
        </is>
      </c>
      <c r="B981" t="n">
        <v>890</v>
      </c>
      <c r="C981" t="inlineStr">
        <is>
          <t>Directed Rdg in Church History</t>
        </is>
      </c>
      <c r="D981" t="inlineStr">
        <is>
          <t>Directed Rdg in Church History</t>
        </is>
      </c>
      <c r="E981" t="inlineStr">
        <is>
          <t>CHIS890</t>
        </is>
      </c>
    </row>
    <row r="982">
      <c r="A982" t="inlineStr">
        <is>
          <t>CHIS</t>
        </is>
      </c>
      <c r="B982" t="n">
        <v>895</v>
      </c>
      <c r="C982" t="inlineStr">
        <is>
          <t>Directed Rdg Adventist Studies</t>
        </is>
      </c>
      <c r="D982" t="inlineStr">
        <is>
          <t>Directed Rdg Adventist Studies</t>
        </is>
      </c>
      <c r="E982" t="inlineStr">
        <is>
          <t>CHIS895</t>
        </is>
      </c>
    </row>
    <row r="983">
      <c r="A983" t="inlineStr">
        <is>
          <t>CHMN</t>
        </is>
      </c>
      <c r="B983" t="n">
        <v>660</v>
      </c>
      <c r="C983" t="inlineStr">
        <is>
          <t>Field Practicum</t>
        </is>
      </c>
      <c r="D983" t="inlineStr">
        <is>
          <t>Field Practicum</t>
        </is>
      </c>
      <c r="E983" t="inlineStr">
        <is>
          <t>CHMN660</t>
        </is>
      </c>
    </row>
    <row r="984">
      <c r="A984" t="inlineStr">
        <is>
          <t>DSRE</t>
        </is>
      </c>
      <c r="B984" t="n">
        <v>620</v>
      </c>
      <c r="C984" t="inlineStr">
        <is>
          <t>Scholarly and Professional Dev</t>
        </is>
      </c>
      <c r="D984" t="inlineStr">
        <is>
          <t>Scholarly and Professional Dev</t>
        </is>
      </c>
      <c r="E984" t="inlineStr">
        <is>
          <t>DSRE620</t>
        </is>
      </c>
    </row>
    <row r="985">
      <c r="A985" t="inlineStr">
        <is>
          <t>DSRE</t>
        </is>
      </c>
      <c r="B985" t="n">
        <v>878</v>
      </c>
      <c r="C985" t="inlineStr">
        <is>
          <t>Adv Scholarly &amp; Prof Dev</t>
        </is>
      </c>
      <c r="D985" t="inlineStr">
        <is>
          <t>Adv Scholarly &amp; Prof Dev</t>
        </is>
      </c>
      <c r="E985" t="inlineStr">
        <is>
          <t>DSRE878</t>
        </is>
      </c>
    </row>
    <row r="986">
      <c r="A986" t="inlineStr">
        <is>
          <t>DSRE</t>
        </is>
      </c>
      <c r="B986" t="n">
        <v>885</v>
      </c>
      <c r="C986" t="inlineStr">
        <is>
          <t>Field Practicum:</t>
        </is>
      </c>
      <c r="D986" t="inlineStr">
        <is>
          <t>Field Practicum:</t>
        </is>
      </c>
      <c r="E986" t="inlineStr">
        <is>
          <t>DSRE885</t>
        </is>
      </c>
    </row>
    <row r="987">
      <c r="A987" t="inlineStr">
        <is>
          <t>NTST</t>
        </is>
      </c>
      <c r="B987" t="n">
        <v>690</v>
      </c>
      <c r="C987" t="inlineStr">
        <is>
          <t>Ind St:</t>
        </is>
      </c>
      <c r="D987" t="inlineStr">
        <is>
          <t>Ind St:</t>
        </is>
      </c>
      <c r="E987" t="inlineStr">
        <is>
          <t>NTST690</t>
        </is>
      </c>
    </row>
    <row r="988">
      <c r="A988" t="inlineStr">
        <is>
          <t>NTST</t>
        </is>
      </c>
      <c r="B988" t="n">
        <v>890</v>
      </c>
      <c r="C988" t="inlineStr">
        <is>
          <t>Directed Rdg in New Testament</t>
        </is>
      </c>
      <c r="D988" t="inlineStr">
        <is>
          <t>Directed Rdg in New Testament</t>
        </is>
      </c>
      <c r="E988" t="inlineStr">
        <is>
          <t>NTST890</t>
        </is>
      </c>
    </row>
    <row r="989">
      <c r="A989" t="inlineStr">
        <is>
          <t>OTST</t>
        </is>
      </c>
      <c r="B989" t="n">
        <v>570</v>
      </c>
      <c r="C989" t="inlineStr">
        <is>
          <t>Readings in the OT (English)</t>
        </is>
      </c>
      <c r="D989" t="inlineStr">
        <is>
          <t>Readings in the OT (English)</t>
        </is>
      </c>
      <c r="E989" t="inlineStr">
        <is>
          <t>OTST570</t>
        </is>
      </c>
    </row>
    <row r="990">
      <c r="A990" t="inlineStr">
        <is>
          <t>GSEM</t>
        </is>
      </c>
      <c r="B990" t="n">
        <v>797</v>
      </c>
      <c r="C990" t="inlineStr">
        <is>
          <t>Ind St:</t>
        </is>
      </c>
      <c r="D990" t="inlineStr">
        <is>
          <t>Ind St:Church Growth/Disc Urba</t>
        </is>
      </c>
      <c r="E990" t="inlineStr">
        <is>
          <t>GSEM797</t>
        </is>
      </c>
    </row>
    <row r="991">
      <c r="A991" t="inlineStr">
        <is>
          <t>DSRE</t>
        </is>
      </c>
      <c r="B991" t="n">
        <v>708</v>
      </c>
      <c r="C991" t="inlineStr">
        <is>
          <t>Mentoring&amp;Coaching Discipleshp</t>
        </is>
      </c>
      <c r="E991" t="inlineStr">
        <is>
          <t>DSRE708</t>
        </is>
      </c>
    </row>
    <row r="992">
      <c r="A992" t="inlineStr">
        <is>
          <t>OTST</t>
        </is>
      </c>
      <c r="B992" t="n">
        <v>890</v>
      </c>
      <c r="C992" t="inlineStr">
        <is>
          <t>Directed Rdg in Old Testmt</t>
        </is>
      </c>
      <c r="D992" t="inlineStr">
        <is>
          <t>Drctd Rdg Old Tstmnt Stds</t>
        </is>
      </c>
      <c r="E992" t="inlineStr">
        <is>
          <t>OTST890</t>
        </is>
      </c>
    </row>
    <row r="993">
      <c r="A993" t="inlineStr">
        <is>
          <t>ANEA</t>
        </is>
      </c>
      <c r="B993" t="n">
        <v>690</v>
      </c>
      <c r="C993" t="inlineStr">
        <is>
          <t>Independent Study</t>
        </is>
      </c>
      <c r="D993" t="inlineStr">
        <is>
          <t>Independent Study</t>
        </is>
      </c>
      <c r="E993" t="inlineStr">
        <is>
          <t>ANEA690</t>
        </is>
      </c>
    </row>
    <row r="994">
      <c r="A994" t="inlineStr">
        <is>
          <t>ANEA</t>
        </is>
      </c>
      <c r="B994" t="n">
        <v>890</v>
      </c>
      <c r="C994" t="inlineStr">
        <is>
          <t>Directed Rdg in Hist&amp;Arch St</t>
        </is>
      </c>
      <c r="D994" t="inlineStr">
        <is>
          <t>Directed Rdg in Hist&amp;Arch St</t>
        </is>
      </c>
      <c r="E994" t="inlineStr">
        <is>
          <t>ANEA890</t>
        </is>
      </c>
    </row>
    <row r="995">
      <c r="A995" t="inlineStr">
        <is>
          <t>CHMN</t>
        </is>
      </c>
      <c r="B995" t="n">
        <v>690</v>
      </c>
      <c r="C995" t="inlineStr">
        <is>
          <t>Ind Stdy:</t>
        </is>
      </c>
      <c r="D995" t="inlineStr">
        <is>
          <t>Independent Study</t>
        </is>
      </c>
      <c r="E995" t="inlineStr">
        <is>
          <t>CHMN690</t>
        </is>
      </c>
    </row>
    <row r="996">
      <c r="A996" t="inlineStr">
        <is>
          <t>CHMN</t>
        </is>
      </c>
      <c r="B996" t="n">
        <v>890</v>
      </c>
      <c r="C996" t="inlineStr">
        <is>
          <t>Directed Rdgs in Church Min</t>
        </is>
      </c>
      <c r="D996" t="inlineStr">
        <is>
          <t>Directed Rdgs in Church Min</t>
        </is>
      </c>
      <c r="E996" t="inlineStr">
        <is>
          <t>CHMN890</t>
        </is>
      </c>
    </row>
    <row r="997">
      <c r="A997" t="inlineStr">
        <is>
          <t>DSRE</t>
        </is>
      </c>
      <c r="B997" t="n">
        <v>690</v>
      </c>
      <c r="C997" t="inlineStr">
        <is>
          <t>Ind St:</t>
        </is>
      </c>
      <c r="D997" t="inlineStr">
        <is>
          <t>Ind St:</t>
        </is>
      </c>
      <c r="E997" t="inlineStr">
        <is>
          <t>DSRE690</t>
        </is>
      </c>
    </row>
    <row r="998">
      <c r="A998" t="inlineStr">
        <is>
          <t>DSRE</t>
        </is>
      </c>
      <c r="B998" t="n">
        <v>887</v>
      </c>
      <c r="C998" t="inlineStr">
        <is>
          <t>Applied Research</t>
        </is>
      </c>
      <c r="D998" t="inlineStr">
        <is>
          <t>Applied Research</t>
        </is>
      </c>
      <c r="E998" t="inlineStr">
        <is>
          <t>DSRE887</t>
        </is>
      </c>
    </row>
    <row r="999">
      <c r="A999" t="inlineStr">
        <is>
          <t>OTST</t>
        </is>
      </c>
      <c r="B999" t="n">
        <v>690</v>
      </c>
      <c r="C999" t="inlineStr">
        <is>
          <t>Ind St:</t>
        </is>
      </c>
      <c r="D999" t="inlineStr">
        <is>
          <t>Ind St:</t>
        </is>
      </c>
      <c r="E999" t="inlineStr">
        <is>
          <t>OTST690</t>
        </is>
      </c>
    </row>
    <row r="1000">
      <c r="A1000" t="inlineStr">
        <is>
          <t>CHIS</t>
        </is>
      </c>
      <c r="B1000" t="n">
        <v>940</v>
      </c>
      <c r="C1000" t="inlineStr">
        <is>
          <t>Seminar in Church History:</t>
        </is>
      </c>
      <c r="D1000" t="inlineStr">
        <is>
          <t>Seminar</t>
        </is>
      </c>
      <c r="E1000" t="inlineStr">
        <is>
          <t>CHIS940</t>
        </is>
      </c>
    </row>
    <row r="1001">
      <c r="A1001" t="inlineStr">
        <is>
          <t>DSRE</t>
        </is>
      </c>
      <c r="B1001" t="n">
        <v>870</v>
      </c>
      <c r="C1001" t="inlineStr">
        <is>
          <t>Adv Studies:</t>
        </is>
      </c>
      <c r="D1001" t="inlineStr">
        <is>
          <t>Adv Studies:</t>
        </is>
      </c>
      <c r="E1001" t="inlineStr">
        <is>
          <t>DSRE870</t>
        </is>
      </c>
    </row>
    <row r="1002">
      <c r="A1002" t="inlineStr">
        <is>
          <t>DSRE</t>
        </is>
      </c>
      <c r="B1002" t="n">
        <v>880</v>
      </c>
      <c r="C1002" t="inlineStr">
        <is>
          <t>PhD (Rel Education) Prog Cont</t>
        </is>
      </c>
      <c r="D1002" t="inlineStr">
        <is>
          <t>PhD (Rel Education) Prog Cont</t>
        </is>
      </c>
      <c r="E1002" t="inlineStr">
        <is>
          <t>DSRE880</t>
        </is>
      </c>
    </row>
    <row r="1003">
      <c r="A1003" t="inlineStr">
        <is>
          <t>CHMN</t>
        </is>
      </c>
      <c r="B1003" t="n">
        <v>747</v>
      </c>
      <c r="C1003" t="inlineStr">
        <is>
          <t>Christian Leadership</t>
        </is>
      </c>
      <c r="E1003" t="inlineStr">
        <is>
          <t>CHMN747</t>
        </is>
      </c>
    </row>
    <row r="1004">
      <c r="A1004" t="inlineStr">
        <is>
          <t>DSRE</t>
        </is>
      </c>
      <c r="B1004" t="n">
        <v>676</v>
      </c>
      <c r="C1004" t="inlineStr">
        <is>
          <t>Top:</t>
        </is>
      </c>
      <c r="E1004" t="inlineStr">
        <is>
          <t>DSRE676</t>
        </is>
      </c>
    </row>
    <row r="1005">
      <c r="A1005" t="inlineStr">
        <is>
          <t>DSRE</t>
        </is>
      </c>
      <c r="B1005" t="n">
        <v>676</v>
      </c>
      <c r="C1005" t="inlineStr">
        <is>
          <t>Top:</t>
        </is>
      </c>
      <c r="D1005" t="inlineStr">
        <is>
          <t>Top:Philosophcal Found.</t>
        </is>
      </c>
      <c r="E1005" t="inlineStr">
        <is>
          <t>DSRE676</t>
        </is>
      </c>
    </row>
    <row r="1006">
      <c r="A1006" t="inlineStr">
        <is>
          <t>NTST</t>
        </is>
      </c>
      <c r="B1006" t="n">
        <v>535</v>
      </c>
      <c r="C1006" t="inlineStr">
        <is>
          <t>Studies in Pauline Writings</t>
        </is>
      </c>
      <c r="D1006" t="inlineStr">
        <is>
          <t>Rdngs int the Pauline Writings</t>
        </is>
      </c>
      <c r="E1006" t="inlineStr">
        <is>
          <t>NTST535</t>
        </is>
      </c>
    </row>
    <row r="1007">
      <c r="A1007" t="inlineStr">
        <is>
          <t>NTST</t>
        </is>
      </c>
      <c r="B1007" t="n">
        <v>525</v>
      </c>
      <c r="C1007" t="inlineStr">
        <is>
          <t>Revelation</t>
        </is>
      </c>
      <c r="D1007" t="inlineStr">
        <is>
          <t>Revelation</t>
        </is>
      </c>
      <c r="E1007" t="inlineStr">
        <is>
          <t>NTST525</t>
        </is>
      </c>
    </row>
    <row r="1008">
      <c r="A1008" t="inlineStr">
        <is>
          <t>OTST</t>
        </is>
      </c>
      <c r="B1008" t="n">
        <v>545</v>
      </c>
      <c r="C1008" t="inlineStr">
        <is>
          <t>Daniel</t>
        </is>
      </c>
      <c r="D1008" t="inlineStr">
        <is>
          <t>Daniel</t>
        </is>
      </c>
      <c r="E1008" t="inlineStr">
        <is>
          <t>OTST545</t>
        </is>
      </c>
    </row>
    <row r="1009">
      <c r="A1009" t="inlineStr">
        <is>
          <t>GSEM</t>
        </is>
      </c>
      <c r="B1009" t="n">
        <v>648</v>
      </c>
      <c r="C1009" t="inlineStr">
        <is>
          <t>Workshop</t>
        </is>
      </c>
      <c r="D1009" t="inlineStr">
        <is>
          <t>Workshop:Worship Word &amp; Music</t>
        </is>
      </c>
      <c r="E1009" t="inlineStr">
        <is>
          <t>GSEM648</t>
        </is>
      </c>
    </row>
    <row r="1010">
      <c r="A1010" t="inlineStr">
        <is>
          <t>DSRE</t>
        </is>
      </c>
      <c r="B1010" t="n">
        <v>619</v>
      </c>
      <c r="C1010" t="inlineStr">
        <is>
          <t>Relg Experience in Adolescence</t>
        </is>
      </c>
      <c r="E1010" t="inlineStr">
        <is>
          <t>DSRE619</t>
        </is>
      </c>
    </row>
    <row r="1011">
      <c r="A1011" t="inlineStr">
        <is>
          <t>CHMN</t>
        </is>
      </c>
      <c r="B1011" t="n">
        <v>786</v>
      </c>
      <c r="C1011" t="inlineStr">
        <is>
          <t>Clinical Issues in Care&amp;Counsl</t>
        </is>
      </c>
      <c r="E1011" t="inlineStr">
        <is>
          <t>CHMN786</t>
        </is>
      </c>
    </row>
    <row r="1012">
      <c r="A1012" t="inlineStr">
        <is>
          <t>GSEM</t>
        </is>
      </c>
      <c r="B1012" t="n">
        <v>797</v>
      </c>
      <c r="C1012" t="inlineStr">
        <is>
          <t>Ind St:</t>
        </is>
      </c>
      <c r="D1012" t="inlineStr">
        <is>
          <t>Ind St:Spir&amp;Theo Found Ministr</t>
        </is>
      </c>
      <c r="E1012" t="inlineStr">
        <is>
          <t>GSEM797</t>
        </is>
      </c>
    </row>
    <row r="1013">
      <c r="A1013" t="inlineStr">
        <is>
          <t>NTST</t>
        </is>
      </c>
      <c r="B1013" t="n">
        <v>690</v>
      </c>
      <c r="C1013" t="inlineStr">
        <is>
          <t>Ind St:</t>
        </is>
      </c>
      <c r="D1013" t="inlineStr">
        <is>
          <t>Ind St:Pauline Writings</t>
        </is>
      </c>
      <c r="E1013" t="inlineStr">
        <is>
          <t>NTST690</t>
        </is>
      </c>
    </row>
    <row r="1014">
      <c r="A1014" t="inlineStr">
        <is>
          <t>MSSN</t>
        </is>
      </c>
      <c r="B1014" t="n">
        <v>828</v>
      </c>
      <c r="C1014" t="inlineStr">
        <is>
          <t>Sem Social Sciences&amp;Mission</t>
        </is>
      </c>
      <c r="D1014" t="inlineStr">
        <is>
          <t>Sem Social Sciences&amp;Mission</t>
        </is>
      </c>
      <c r="E1014" t="inlineStr">
        <is>
          <t>MSSN828</t>
        </is>
      </c>
    </row>
    <row r="1015">
      <c r="A1015" t="inlineStr">
        <is>
          <t>CHMN</t>
        </is>
      </c>
      <c r="B1015" t="n">
        <v>704</v>
      </c>
      <c r="C1015" t="inlineStr">
        <is>
          <t>Mssn Church in West Culture</t>
        </is>
      </c>
      <c r="E1015" t="inlineStr">
        <is>
          <t>CHMN704</t>
        </is>
      </c>
    </row>
    <row r="1016">
      <c r="A1016" t="inlineStr">
        <is>
          <t>CHIS</t>
        </is>
      </c>
      <c r="B1016" t="n">
        <v>690</v>
      </c>
      <c r="C1016" t="inlineStr">
        <is>
          <t>Ind St:</t>
        </is>
      </c>
      <c r="D1016" t="inlineStr">
        <is>
          <t>Ind St:Church History Tour</t>
        </is>
      </c>
      <c r="E1016" t="inlineStr">
        <is>
          <t>CHIS690</t>
        </is>
      </c>
    </row>
    <row r="1017">
      <c r="A1017" t="inlineStr">
        <is>
          <t>CHMN</t>
        </is>
      </c>
      <c r="B1017" t="n">
        <v>560</v>
      </c>
      <c r="C1017" t="inlineStr">
        <is>
          <t>Adv Ministerial Development</t>
        </is>
      </c>
      <c r="D1017" t="inlineStr">
        <is>
          <t>Theological Field Education</t>
        </is>
      </c>
      <c r="E1017" t="inlineStr">
        <is>
          <t>CHMN560</t>
        </is>
      </c>
    </row>
    <row r="1018">
      <c r="A1018" t="inlineStr">
        <is>
          <t>GSEM</t>
        </is>
      </c>
      <c r="B1018" t="n">
        <v>648</v>
      </c>
      <c r="C1018" t="inlineStr">
        <is>
          <t>Workshop</t>
        </is>
      </c>
      <c r="D1018" t="inlineStr">
        <is>
          <t>Workshop: Advanced SEEDS</t>
        </is>
      </c>
      <c r="E1018" t="inlineStr">
        <is>
          <t>GSEM648</t>
        </is>
      </c>
    </row>
    <row r="1019">
      <c r="A1019" t="inlineStr">
        <is>
          <t>OTST</t>
        </is>
      </c>
      <c r="B1019" t="n">
        <v>659</v>
      </c>
      <c r="C1019" t="inlineStr">
        <is>
          <t>Studies Old Testament Issues</t>
        </is>
      </c>
      <c r="E1019" t="inlineStr">
        <is>
          <t>OTST659</t>
        </is>
      </c>
    </row>
    <row r="1020">
      <c r="A1020" t="inlineStr">
        <is>
          <t>MSSN</t>
        </is>
      </c>
      <c r="B1020" t="n">
        <v>728</v>
      </c>
      <c r="C1020" t="inlineStr">
        <is>
          <t>Mission &amp; the Social Sciences</t>
        </is>
      </c>
      <c r="E1020" t="inlineStr">
        <is>
          <t>MSSN728</t>
        </is>
      </c>
    </row>
    <row r="1021">
      <c r="A1021" t="inlineStr">
        <is>
          <t>MSSN</t>
        </is>
      </c>
      <c r="B1021" t="n">
        <v>795</v>
      </c>
      <c r="C1021" t="inlineStr">
        <is>
          <t>Top:</t>
        </is>
      </c>
      <c r="D1021" t="inlineStr">
        <is>
          <t>Top:World Religions (Emphasis)</t>
        </is>
      </c>
      <c r="E1021" t="inlineStr">
        <is>
          <t>MSSN795</t>
        </is>
      </c>
    </row>
    <row r="1022">
      <c r="A1022" t="inlineStr">
        <is>
          <t>ANEA</t>
        </is>
      </c>
      <c r="B1022" t="n">
        <v>613</v>
      </c>
      <c r="C1022" t="inlineStr">
        <is>
          <t>Paleo-Christian Archaeology</t>
        </is>
      </c>
      <c r="E1022" t="inlineStr">
        <is>
          <t>ANEA613</t>
        </is>
      </c>
    </row>
    <row r="1023">
      <c r="A1023" t="inlineStr">
        <is>
          <t>MSSN</t>
        </is>
      </c>
      <c r="B1023" t="n">
        <v>525</v>
      </c>
      <c r="C1023" t="inlineStr">
        <is>
          <t>Mission to the World</t>
        </is>
      </c>
      <c r="E1023" t="inlineStr">
        <is>
          <t>MSSN525</t>
        </is>
      </c>
    </row>
    <row r="1024">
      <c r="A1024" t="inlineStr">
        <is>
          <t>GSEM</t>
        </is>
      </c>
      <c r="B1024" t="n">
        <v>797</v>
      </c>
      <c r="C1024" t="inlineStr">
        <is>
          <t>Ind St:</t>
        </is>
      </c>
      <c r="D1024" t="inlineStr">
        <is>
          <t>Ind St:Sprtl Theo Fndatns Min</t>
        </is>
      </c>
      <c r="E1024" t="inlineStr">
        <is>
          <t>GSEM797</t>
        </is>
      </c>
    </row>
    <row r="1025">
      <c r="A1025" t="inlineStr">
        <is>
          <t>DSRE</t>
        </is>
      </c>
      <c r="B1025" t="n">
        <v>680</v>
      </c>
      <c r="C1025" t="inlineStr">
        <is>
          <t>Field Practicum:________</t>
        </is>
      </c>
      <c r="D1025" t="inlineStr">
        <is>
          <t>Field Practicum: Leadership</t>
        </is>
      </c>
      <c r="E1025" t="inlineStr">
        <is>
          <t>DSRE680</t>
        </is>
      </c>
    </row>
    <row r="1026">
      <c r="A1026" t="inlineStr">
        <is>
          <t>GSEM</t>
        </is>
      </c>
      <c r="B1026" t="n">
        <v>648</v>
      </c>
      <c r="C1026" t="inlineStr">
        <is>
          <t>Workshop</t>
        </is>
      </c>
      <c r="D1026" t="inlineStr">
        <is>
          <t>Workshop: SEEDS</t>
        </is>
      </c>
      <c r="E1026" t="inlineStr">
        <is>
          <t>GSEM648</t>
        </is>
      </c>
    </row>
    <row r="1027">
      <c r="A1027" t="inlineStr">
        <is>
          <t>DSRE</t>
        </is>
      </c>
      <c r="B1027" t="n">
        <v>748</v>
      </c>
      <c r="C1027" t="inlineStr">
        <is>
          <t>Family Dynamics and Sexuality</t>
        </is>
      </c>
      <c r="E1027" t="inlineStr">
        <is>
          <t>DSRE748</t>
        </is>
      </c>
    </row>
    <row r="1028">
      <c r="A1028" t="inlineStr">
        <is>
          <t>OTST</t>
        </is>
      </c>
      <c r="B1028" t="n">
        <v>570</v>
      </c>
      <c r="C1028" t="inlineStr">
        <is>
          <t>Readings in the OT (English)</t>
        </is>
      </c>
      <c r="D1028" t="inlineStr">
        <is>
          <t>Readings in the Eng OT:Daniel</t>
        </is>
      </c>
      <c r="E1028" t="inlineStr">
        <is>
          <t>OTST570</t>
        </is>
      </c>
    </row>
    <row r="1029">
      <c r="A1029" t="inlineStr">
        <is>
          <t>DSRE</t>
        </is>
      </c>
      <c r="B1029" t="n">
        <v>546</v>
      </c>
      <c r="C1029" t="inlineStr">
        <is>
          <t>Marriage &amp; Family</t>
        </is>
      </c>
      <c r="E1029" t="inlineStr">
        <is>
          <t>DSRE546</t>
        </is>
      </c>
    </row>
    <row r="1030">
      <c r="A1030" t="inlineStr">
        <is>
          <t>DSRE</t>
        </is>
      </c>
      <c r="B1030" t="n">
        <v>995</v>
      </c>
      <c r="C1030" t="inlineStr">
        <is>
          <t>Doctoral Dissertation</t>
        </is>
      </c>
      <c r="D1030" t="inlineStr">
        <is>
          <t>Doctoral Dissertation</t>
        </is>
      </c>
      <c r="E1030" t="inlineStr">
        <is>
          <t>DSRE995</t>
        </is>
      </c>
    </row>
    <row r="1031">
      <c r="A1031" t="inlineStr">
        <is>
          <t>CHIS</t>
        </is>
      </c>
      <c r="B1031" t="n">
        <v>600</v>
      </c>
      <c r="C1031" t="inlineStr">
        <is>
          <t>The Early Church to AD 604</t>
        </is>
      </c>
      <c r="D1031" t="inlineStr">
        <is>
          <t>The Early Church to AD 604</t>
        </is>
      </c>
      <c r="E1031" t="inlineStr">
        <is>
          <t>CHIS600</t>
        </is>
      </c>
    </row>
    <row r="1032">
      <c r="A1032" t="inlineStr">
        <is>
          <t>CHMN</t>
        </is>
      </c>
      <c r="B1032" t="n">
        <v>630</v>
      </c>
      <c r="C1032" t="inlineStr">
        <is>
          <t>Leadership Development</t>
        </is>
      </c>
      <c r="E1032" t="inlineStr">
        <is>
          <t>CHMN630</t>
        </is>
      </c>
    </row>
    <row r="1033">
      <c r="A1033" t="inlineStr">
        <is>
          <t>CHMN</t>
        </is>
      </c>
      <c r="B1033" t="n">
        <v>548</v>
      </c>
      <c r="C1033" t="inlineStr">
        <is>
          <t>Relg &amp; the Black Experience</t>
        </is>
      </c>
      <c r="E1033" t="inlineStr">
        <is>
          <t>CHMN548</t>
        </is>
      </c>
    </row>
    <row r="1034">
      <c r="A1034" t="inlineStr">
        <is>
          <t>GSEM</t>
        </is>
      </c>
      <c r="B1034" t="n">
        <v>648</v>
      </c>
      <c r="C1034" t="inlineStr">
        <is>
          <t>Workshop</t>
        </is>
      </c>
      <c r="D1034" t="inlineStr">
        <is>
          <t>Wrkshp:Preparation for Mission</t>
        </is>
      </c>
      <c r="E1034" t="inlineStr">
        <is>
          <t>GSEM648</t>
        </is>
      </c>
    </row>
    <row r="1035">
      <c r="A1035" t="inlineStr">
        <is>
          <t>THST</t>
        </is>
      </c>
      <c r="B1035" t="n">
        <v>695</v>
      </c>
      <c r="C1035" t="inlineStr">
        <is>
          <t>Top:</t>
        </is>
      </c>
      <c r="D1035" t="inlineStr">
        <is>
          <t>Top:Theology of E.G. White</t>
        </is>
      </c>
      <c r="E1035" t="inlineStr">
        <is>
          <t>THST695</t>
        </is>
      </c>
    </row>
    <row r="1036">
      <c r="A1036" t="inlineStr">
        <is>
          <t>MSSN</t>
        </is>
      </c>
      <c r="B1036" t="n">
        <v>826</v>
      </c>
      <c r="C1036" t="inlineStr">
        <is>
          <t>Sem Theology of Mission</t>
        </is>
      </c>
      <c r="D1036" t="inlineStr">
        <is>
          <t>Sem Theology of Mission</t>
        </is>
      </c>
      <c r="E1036" t="inlineStr">
        <is>
          <t>MSSN826</t>
        </is>
      </c>
    </row>
    <row r="1037">
      <c r="A1037" t="inlineStr">
        <is>
          <t>CHMN</t>
        </is>
      </c>
      <c r="B1037" t="n">
        <v>640</v>
      </c>
      <c r="C1037" t="inlineStr">
        <is>
          <t>Sem in Pastoral Counseling</t>
        </is>
      </c>
      <c r="E1037" t="inlineStr">
        <is>
          <t>CHMN640</t>
        </is>
      </c>
    </row>
    <row r="1038">
      <c r="A1038" t="inlineStr">
        <is>
          <t>THST</t>
        </is>
      </c>
      <c r="B1038" t="n">
        <v>690</v>
      </c>
      <c r="C1038" t="inlineStr">
        <is>
          <t>Ind St:</t>
        </is>
      </c>
      <c r="D1038" t="inlineStr">
        <is>
          <t>Ind St:Christian Ethics</t>
        </is>
      </c>
      <c r="E1038" t="inlineStr">
        <is>
          <t>THST690</t>
        </is>
      </c>
    </row>
    <row r="1039">
      <c r="A1039" t="inlineStr">
        <is>
          <t>DSRE</t>
        </is>
      </c>
      <c r="B1039" t="n">
        <v>626</v>
      </c>
      <c r="C1039" t="inlineStr">
        <is>
          <t>Ministry to At-Risk Youth</t>
        </is>
      </c>
      <c r="D1039" t="inlineStr">
        <is>
          <t>Ministry to At-Risk Youth</t>
        </is>
      </c>
      <c r="E1039" t="inlineStr">
        <is>
          <t>DSRE626</t>
        </is>
      </c>
    </row>
    <row r="1040">
      <c r="A1040" t="inlineStr">
        <is>
          <t>THST</t>
        </is>
      </c>
      <c r="B1040" t="n">
        <v>649</v>
      </c>
      <c r="C1040" t="inlineStr">
        <is>
          <t>Sem in Theological Issues:</t>
        </is>
      </c>
      <c r="D1040" t="inlineStr">
        <is>
          <t>Seminar in Theological Issues</t>
        </is>
      </c>
      <c r="E1040" t="inlineStr">
        <is>
          <t>THST649</t>
        </is>
      </c>
    </row>
    <row r="1041">
      <c r="A1041" t="inlineStr">
        <is>
          <t>CHMN</t>
        </is>
      </c>
      <c r="B1041" t="n">
        <v>585</v>
      </c>
      <c r="C1041" t="inlineStr">
        <is>
          <t>Cross-Cultural Communication</t>
        </is>
      </c>
      <c r="E1041" t="inlineStr">
        <is>
          <t>CHMN585</t>
        </is>
      </c>
    </row>
    <row r="1042">
      <c r="A1042" t="inlineStr">
        <is>
          <t>THST</t>
        </is>
      </c>
      <c r="B1042" t="n">
        <v>940</v>
      </c>
      <c r="C1042" t="inlineStr">
        <is>
          <t>Sem in Systematic Theology:</t>
        </is>
      </c>
      <c r="D1042" t="inlineStr">
        <is>
          <t>Sem in Systematic Theology</t>
        </is>
      </c>
      <c r="E1042" t="inlineStr">
        <is>
          <t>THST940</t>
        </is>
      </c>
    </row>
    <row r="1043">
      <c r="A1043" t="inlineStr">
        <is>
          <t>NTST</t>
        </is>
      </c>
      <c r="B1043" t="n">
        <v>678</v>
      </c>
      <c r="C1043" t="inlineStr">
        <is>
          <t>Sem in Greek Exegesis</t>
        </is>
      </c>
      <c r="D1043" t="inlineStr">
        <is>
          <t>Semr Gr Exe:Narrative Analysis</t>
        </is>
      </c>
      <c r="E1043" t="inlineStr">
        <is>
          <t>NTST678</t>
        </is>
      </c>
    </row>
    <row r="1044">
      <c r="A1044" t="inlineStr">
        <is>
          <t>CHMN</t>
        </is>
      </c>
      <c r="B1044" t="n">
        <v>539</v>
      </c>
      <c r="C1044" t="inlineStr">
        <is>
          <t>Church Grwth&amp; Equipping Pastor</t>
        </is>
      </c>
      <c r="D1044" t="inlineStr">
        <is>
          <t>Church Grwth&amp; Equipping Pastor</t>
        </is>
      </c>
      <c r="E1044" t="inlineStr">
        <is>
          <t>CHMN539</t>
        </is>
      </c>
    </row>
    <row r="1045">
      <c r="A1045" t="inlineStr">
        <is>
          <t>THST</t>
        </is>
      </c>
      <c r="B1045" t="n">
        <v>667</v>
      </c>
      <c r="C1045" t="inlineStr">
        <is>
          <t>Postmodernism &amp; the Church</t>
        </is>
      </c>
      <c r="E1045" t="inlineStr">
        <is>
          <t>THST667</t>
        </is>
      </c>
    </row>
    <row r="1046">
      <c r="A1046" t="inlineStr">
        <is>
          <t>DSRE</t>
        </is>
      </c>
      <c r="B1046" t="n">
        <v>660</v>
      </c>
      <c r="C1046" t="inlineStr">
        <is>
          <t>Field Practicum:MAYYAM</t>
        </is>
      </c>
      <c r="D1046" t="inlineStr">
        <is>
          <t>Field Practicum:MAYYAM</t>
        </is>
      </c>
      <c r="E1046" t="inlineStr">
        <is>
          <t>DSRE660</t>
        </is>
      </c>
    </row>
    <row r="1047">
      <c r="A1047" t="inlineStr">
        <is>
          <t>CHMN</t>
        </is>
      </c>
      <c r="B1047" t="n">
        <v>566</v>
      </c>
      <c r="C1047" t="inlineStr">
        <is>
          <t>Mobilizing Laity Minstry Evang</t>
        </is>
      </c>
      <c r="D1047" t="inlineStr">
        <is>
          <t>Mobilizing Laity Minstry Evang</t>
        </is>
      </c>
      <c r="E1047" t="inlineStr">
        <is>
          <t>CHMN566</t>
        </is>
      </c>
    </row>
    <row r="1048">
      <c r="A1048" t="inlineStr">
        <is>
          <t>MSSN</t>
        </is>
      </c>
      <c r="B1048" t="n">
        <v>695</v>
      </c>
      <c r="C1048" t="inlineStr">
        <is>
          <t>Topics:</t>
        </is>
      </c>
      <c r="D1048" t="inlineStr">
        <is>
          <t>Topics:Theology of Culture</t>
        </is>
      </c>
      <c r="E1048" t="inlineStr">
        <is>
          <t>MSSN695</t>
        </is>
      </c>
    </row>
    <row r="1049">
      <c r="A1049" t="inlineStr">
        <is>
          <t>NTST</t>
        </is>
      </c>
      <c r="B1049" t="n">
        <v>567</v>
      </c>
      <c r="C1049" t="inlineStr">
        <is>
          <t>Theo of the English NT:</t>
        </is>
      </c>
      <c r="D1049" t="inlineStr">
        <is>
          <t>Theo Engl NT:Eccesiology</t>
        </is>
      </c>
      <c r="E1049" t="inlineStr">
        <is>
          <t>NTST567</t>
        </is>
      </c>
    </row>
    <row r="1050">
      <c r="A1050" t="inlineStr">
        <is>
          <t>GSEM</t>
        </is>
      </c>
      <c r="B1050" t="n">
        <v>675</v>
      </c>
      <c r="C1050" t="inlineStr">
        <is>
          <t>Study Tour:</t>
        </is>
      </c>
      <c r="E1050" t="inlineStr">
        <is>
          <t>GSEM675</t>
        </is>
      </c>
    </row>
    <row r="1051">
      <c r="A1051" t="inlineStr">
        <is>
          <t>NTST</t>
        </is>
      </c>
      <c r="B1051" t="n">
        <v>567</v>
      </c>
      <c r="C1051" t="inlineStr">
        <is>
          <t>Theo of the English NT:</t>
        </is>
      </c>
      <c r="D1051" t="inlineStr">
        <is>
          <t>TheoEngNT:Imm &amp; Delay Parousia</t>
        </is>
      </c>
      <c r="E1051" t="inlineStr">
        <is>
          <t>NTST567</t>
        </is>
      </c>
    </row>
    <row r="1052">
      <c r="A1052" t="inlineStr">
        <is>
          <t>CHMN</t>
        </is>
      </c>
      <c r="B1052" t="n">
        <v>586</v>
      </c>
      <c r="C1052" t="inlineStr">
        <is>
          <t>Spec Approaches to Evan:</t>
        </is>
      </c>
      <c r="D1052" t="inlineStr">
        <is>
          <t>Spec Approach to Evan:Coaching</t>
        </is>
      </c>
      <c r="E1052" t="inlineStr">
        <is>
          <t>CHMN586</t>
        </is>
      </c>
    </row>
    <row r="1053">
      <c r="A1053" t="inlineStr">
        <is>
          <t>CHMN</t>
        </is>
      </c>
      <c r="B1053" t="n">
        <v>669</v>
      </c>
      <c r="C1053" t="inlineStr">
        <is>
          <t>Adv Holistic Small Groups</t>
        </is>
      </c>
      <c r="D1053" t="inlineStr">
        <is>
          <t>Adv Holistic Small Groups</t>
        </is>
      </c>
      <c r="E1053" t="inlineStr">
        <is>
          <t>CHMN669</t>
        </is>
      </c>
    </row>
    <row r="1054">
      <c r="A1054" t="inlineStr">
        <is>
          <t>THST</t>
        </is>
      </c>
      <c r="B1054" t="n">
        <v>964</v>
      </c>
      <c r="C1054" t="inlineStr">
        <is>
          <t>Sem in Historical Theology:</t>
        </is>
      </c>
      <c r="D1054" t="inlineStr">
        <is>
          <t>Sem Hist Theo:Auth. in Church</t>
        </is>
      </c>
      <c r="E1054" t="inlineStr">
        <is>
          <t>THST964</t>
        </is>
      </c>
    </row>
    <row r="1055">
      <c r="A1055" t="inlineStr">
        <is>
          <t>NTST</t>
        </is>
      </c>
      <c r="B1055" t="n">
        <v>515</v>
      </c>
      <c r="C1055" t="inlineStr">
        <is>
          <t>New Testament Backgrounds</t>
        </is>
      </c>
      <c r="D1055" t="inlineStr">
        <is>
          <t>New Testament Backgrounds</t>
        </is>
      </c>
      <c r="E1055" t="inlineStr">
        <is>
          <t>NTST515</t>
        </is>
      </c>
    </row>
    <row r="1056">
      <c r="A1056" t="inlineStr">
        <is>
          <t>THST</t>
        </is>
      </c>
      <c r="B1056" t="n">
        <v>639</v>
      </c>
      <c r="C1056" t="inlineStr">
        <is>
          <t>Doctrine of the Holy Spirit</t>
        </is>
      </c>
      <c r="D1056" t="inlineStr">
        <is>
          <t>Doctrine of the Holy Spirit</t>
        </is>
      </c>
      <c r="E1056" t="inlineStr">
        <is>
          <t>THST639</t>
        </is>
      </c>
    </row>
    <row r="1057">
      <c r="A1057" t="inlineStr">
        <is>
          <t>NTST</t>
        </is>
      </c>
      <c r="B1057" t="n">
        <v>940</v>
      </c>
      <c r="C1057" t="inlineStr">
        <is>
          <t>Sem in NT Exegesis &amp; Hermn:</t>
        </is>
      </c>
      <c r="D1057" t="inlineStr">
        <is>
          <t>SemExe/Hrm:ErlyJwshChristns&amp;NT</t>
        </is>
      </c>
      <c r="E1057" t="inlineStr">
        <is>
          <t>NTST940</t>
        </is>
      </c>
    </row>
    <row r="1058">
      <c r="A1058" t="inlineStr">
        <is>
          <t>NTST</t>
        </is>
      </c>
      <c r="B1058" t="n">
        <v>945</v>
      </c>
      <c r="C1058" t="inlineStr">
        <is>
          <t>Sem in Biblical Theology</t>
        </is>
      </c>
      <c r="D1058" t="inlineStr">
        <is>
          <t>Sem in Biblical Theology</t>
        </is>
      </c>
      <c r="E1058" t="inlineStr">
        <is>
          <t>NTST945</t>
        </is>
      </c>
    </row>
    <row r="1059">
      <c r="A1059" t="inlineStr">
        <is>
          <t>NTST</t>
        </is>
      </c>
      <c r="B1059" t="n">
        <v>509</v>
      </c>
      <c r="C1059" t="inlineStr">
        <is>
          <t>Intro Exeg&amp;Theo 3:Pauline Writ</t>
        </is>
      </c>
      <c r="D1059" t="inlineStr">
        <is>
          <t>Intro Exeg&amp;Theo 3:Pauline Writ</t>
        </is>
      </c>
      <c r="E1059" t="inlineStr">
        <is>
          <t>NTST509</t>
        </is>
      </c>
    </row>
    <row r="1060">
      <c r="A1060" t="inlineStr">
        <is>
          <t>NTST</t>
        </is>
      </c>
      <c r="B1060" t="n">
        <v>543</v>
      </c>
      <c r="C1060" t="inlineStr">
        <is>
          <t>Intro Exeg&amp;Theo2:Acts&amp;Epistles</t>
        </is>
      </c>
      <c r="D1060" t="inlineStr">
        <is>
          <t>Intro Exeg&amp;Theo2:Acts&amp;Epistles</t>
        </is>
      </c>
      <c r="E1060" t="inlineStr">
        <is>
          <t>NTST543</t>
        </is>
      </c>
    </row>
    <row r="1061">
      <c r="A1061" t="inlineStr">
        <is>
          <t>MSSN</t>
        </is>
      </c>
      <c r="B1061" t="n">
        <v>695</v>
      </c>
      <c r="C1061" t="inlineStr">
        <is>
          <t>Topics:</t>
        </is>
      </c>
      <c r="D1061" t="inlineStr">
        <is>
          <t>Topics: Mission Studies</t>
        </is>
      </c>
      <c r="E1061" t="inlineStr">
        <is>
          <t>MSSN695</t>
        </is>
      </c>
    </row>
    <row r="1062">
      <c r="A1062" t="inlineStr">
        <is>
          <t>MSSN</t>
        </is>
      </c>
      <c r="B1062" t="n">
        <v>695</v>
      </c>
      <c r="C1062" t="inlineStr">
        <is>
          <t>Topics:</t>
        </is>
      </c>
      <c r="D1062" t="inlineStr">
        <is>
          <t>Topics:Strategies in Mission</t>
        </is>
      </c>
      <c r="E1062" t="inlineStr">
        <is>
          <t>MSSN695</t>
        </is>
      </c>
    </row>
    <row r="1063">
      <c r="A1063" t="inlineStr">
        <is>
          <t>NTST</t>
        </is>
      </c>
      <c r="B1063" t="n">
        <v>920</v>
      </c>
      <c r="C1063" t="inlineStr">
        <is>
          <t>Sem in NT Backgrnds</t>
        </is>
      </c>
      <c r="D1063" t="inlineStr">
        <is>
          <t>Seminar in New Test Bckgrnds</t>
        </is>
      </c>
      <c r="E1063" t="inlineStr">
        <is>
          <t>NTST920</t>
        </is>
      </c>
    </row>
    <row r="1064">
      <c r="A1064" t="inlineStr">
        <is>
          <t>MSSN</t>
        </is>
      </c>
      <c r="B1064" t="n">
        <v>830</v>
      </c>
      <c r="C1064" t="inlineStr">
        <is>
          <t>Sem Strategies&amp;Dev in Mission</t>
        </is>
      </c>
      <c r="E1064" t="inlineStr">
        <is>
          <t>MSSN830</t>
        </is>
      </c>
    </row>
    <row r="1065">
      <c r="A1065" t="inlineStr">
        <is>
          <t>GSEM</t>
        </is>
      </c>
      <c r="B1065" t="n">
        <v>648</v>
      </c>
      <c r="C1065" t="inlineStr">
        <is>
          <t>Workshop</t>
        </is>
      </c>
      <c r="D1065" t="inlineStr">
        <is>
          <t>Workshop:Hlth Mnstry Chng Wrld</t>
        </is>
      </c>
      <c r="E1065" t="inlineStr">
        <is>
          <t>GSEM648</t>
        </is>
      </c>
    </row>
    <row r="1066">
      <c r="A1066" t="inlineStr">
        <is>
          <t>DSRE</t>
        </is>
      </c>
      <c r="B1066" t="n">
        <v>680</v>
      </c>
      <c r="C1066" t="inlineStr">
        <is>
          <t>Field Practicum:________</t>
        </is>
      </c>
      <c r="D1066" t="inlineStr">
        <is>
          <t>Field Practicum:Religious Ed</t>
        </is>
      </c>
      <c r="E1066" t="inlineStr">
        <is>
          <t>DSRE680</t>
        </is>
      </c>
    </row>
    <row r="1067">
      <c r="A1067" t="inlineStr">
        <is>
          <t>MSSN</t>
        </is>
      </c>
      <c r="B1067" t="n">
        <v>690</v>
      </c>
      <c r="C1067" t="inlineStr">
        <is>
          <t>Ind St:</t>
        </is>
      </c>
      <c r="D1067" t="inlineStr">
        <is>
          <t>Ind St:</t>
        </is>
      </c>
      <c r="E1067" t="inlineStr">
        <is>
          <t>MSSN690</t>
        </is>
      </c>
    </row>
    <row r="1068">
      <c r="A1068" t="inlineStr">
        <is>
          <t>MSSN</t>
        </is>
      </c>
      <c r="B1068" t="n">
        <v>890</v>
      </c>
      <c r="C1068" t="inlineStr">
        <is>
          <t>Directed Rdgs Mission Studies</t>
        </is>
      </c>
      <c r="D1068" t="inlineStr">
        <is>
          <t>Directed Rdgs Mission Studies</t>
        </is>
      </c>
      <c r="E1068" t="inlineStr">
        <is>
          <t>MSSN890</t>
        </is>
      </c>
    </row>
    <row r="1069">
      <c r="A1069" t="inlineStr">
        <is>
          <t>THST</t>
        </is>
      </c>
      <c r="B1069" t="n">
        <v>690</v>
      </c>
      <c r="C1069" t="inlineStr">
        <is>
          <t>Ind St:</t>
        </is>
      </c>
      <c r="D1069" t="inlineStr">
        <is>
          <t>Ind St:</t>
        </is>
      </c>
      <c r="E1069" t="inlineStr">
        <is>
          <t>THST690</t>
        </is>
      </c>
    </row>
    <row r="1070">
      <c r="A1070" t="inlineStr">
        <is>
          <t>MSSN</t>
        </is>
      </c>
      <c r="B1070" t="n">
        <v>695</v>
      </c>
      <c r="C1070" t="inlineStr">
        <is>
          <t>Topics:</t>
        </is>
      </c>
      <c r="D1070" t="inlineStr">
        <is>
          <t>Topics:Incarnational Mssn Thlg</t>
        </is>
      </c>
      <c r="E1070" t="inlineStr">
        <is>
          <t>MSSN695</t>
        </is>
      </c>
    </row>
    <row r="1071">
      <c r="A1071" t="inlineStr">
        <is>
          <t>MSSN</t>
        </is>
      </c>
      <c r="B1071" t="n">
        <v>695</v>
      </c>
      <c r="C1071" t="inlineStr">
        <is>
          <t>Topics:</t>
        </is>
      </c>
      <c r="D1071" t="inlineStr">
        <is>
          <t>Topics: Missionary Kids</t>
        </is>
      </c>
      <c r="E1071" t="inlineStr">
        <is>
          <t>MSSN695</t>
        </is>
      </c>
    </row>
    <row r="1072">
      <c r="A1072" t="inlineStr">
        <is>
          <t>MSSN</t>
        </is>
      </c>
      <c r="B1072" t="n">
        <v>690</v>
      </c>
      <c r="C1072" t="inlineStr">
        <is>
          <t>Ind St:</t>
        </is>
      </c>
      <c r="D1072" t="inlineStr">
        <is>
          <t>Ind St: Missionary Kids</t>
        </is>
      </c>
      <c r="E1072" t="inlineStr">
        <is>
          <t>MSSN690</t>
        </is>
      </c>
    </row>
    <row r="1073">
      <c r="A1073" t="inlineStr">
        <is>
          <t>MSSN</t>
        </is>
      </c>
      <c r="B1073" t="n">
        <v>690</v>
      </c>
      <c r="C1073" t="inlineStr">
        <is>
          <t>Ind St:</t>
        </is>
      </c>
      <c r="D1073" t="inlineStr">
        <is>
          <t>Ind St:Theology of Mission</t>
        </is>
      </c>
      <c r="E1073" t="inlineStr">
        <is>
          <t>MSSN690</t>
        </is>
      </c>
    </row>
    <row r="1074">
      <c r="A1074" t="inlineStr">
        <is>
          <t>GSEM</t>
        </is>
      </c>
      <c r="B1074" t="n">
        <v>797</v>
      </c>
      <c r="C1074" t="inlineStr">
        <is>
          <t>Ind St:</t>
        </is>
      </c>
      <c r="D1074" t="inlineStr">
        <is>
          <t>Ind St:The Changing Church</t>
        </is>
      </c>
      <c r="E1074" t="inlineStr">
        <is>
          <t>GSEM797</t>
        </is>
      </c>
    </row>
    <row r="1075">
      <c r="A1075" t="inlineStr">
        <is>
          <t>DSRE</t>
        </is>
      </c>
      <c r="B1075" t="n">
        <v>721</v>
      </c>
      <c r="C1075" t="inlineStr">
        <is>
          <t>Persp on Yth Min Ldrshp Strat</t>
        </is>
      </c>
      <c r="E1075" t="inlineStr">
        <is>
          <t>DSRE721</t>
        </is>
      </c>
    </row>
    <row r="1076">
      <c r="A1076" t="inlineStr">
        <is>
          <t>GSEM</t>
        </is>
      </c>
      <c r="B1076" t="n">
        <v>648</v>
      </c>
      <c r="C1076" t="inlineStr">
        <is>
          <t>Workshop</t>
        </is>
      </c>
      <c r="D1076" t="inlineStr">
        <is>
          <t>Workshop:Prep for Missions</t>
        </is>
      </c>
      <c r="E1076" t="inlineStr">
        <is>
          <t>GSEM648</t>
        </is>
      </c>
    </row>
    <row r="1077">
      <c r="A1077" t="inlineStr">
        <is>
          <t>NTST</t>
        </is>
      </c>
      <c r="B1077" t="n">
        <v>678</v>
      </c>
      <c r="C1077" t="inlineStr">
        <is>
          <t>Sem in Greek Exegesis</t>
        </is>
      </c>
      <c r="D1077" t="inlineStr">
        <is>
          <t>SemGrExe:Erly Jwsh Christns&amp;NT</t>
        </is>
      </c>
      <c r="E1077" t="inlineStr">
        <is>
          <t>NTST678</t>
        </is>
      </c>
    </row>
    <row r="1078">
      <c r="A1078" t="inlineStr">
        <is>
          <t>NTST</t>
        </is>
      </c>
      <c r="B1078" t="n">
        <v>695</v>
      </c>
      <c r="C1078" t="inlineStr">
        <is>
          <t>Top in NT Backgrounds</t>
        </is>
      </c>
      <c r="D1078" t="inlineStr">
        <is>
          <t>Top:Jesus &amp; Recent Arch Disc</t>
        </is>
      </c>
      <c r="E1078" t="inlineStr">
        <is>
          <t>NTST695</t>
        </is>
      </c>
    </row>
    <row r="1079">
      <c r="A1079" t="inlineStr">
        <is>
          <t>NTST</t>
        </is>
      </c>
      <c r="B1079" t="n">
        <v>634</v>
      </c>
      <c r="C1079" t="inlineStr">
        <is>
          <t>Theology of Pauline Epistles</t>
        </is>
      </c>
      <c r="D1079" t="inlineStr">
        <is>
          <t>Theology of Pauline Epistles</t>
        </is>
      </c>
      <c r="E1079" t="inlineStr">
        <is>
          <t>NTST634</t>
        </is>
      </c>
    </row>
    <row r="1080">
      <c r="A1080" t="inlineStr">
        <is>
          <t>CHMN</t>
        </is>
      </c>
      <c r="B1080" t="n">
        <v>648</v>
      </c>
      <c r="C1080" t="inlineStr">
        <is>
          <t>Chaplain as Leader</t>
        </is>
      </c>
      <c r="E1080" t="inlineStr">
        <is>
          <t>CHMN648</t>
        </is>
      </c>
    </row>
    <row r="1081">
      <c r="A1081" t="inlineStr">
        <is>
          <t>CHIS</t>
        </is>
      </c>
      <c r="B1081" t="n">
        <v>690</v>
      </c>
      <c r="C1081" t="inlineStr">
        <is>
          <t>Ind St:</t>
        </is>
      </c>
      <c r="D1081" t="inlineStr">
        <is>
          <t>Ind St:Hist of Adventist Theo</t>
        </is>
      </c>
      <c r="E1081" t="inlineStr">
        <is>
          <t>CHIS690</t>
        </is>
      </c>
    </row>
    <row r="1082">
      <c r="A1082" t="inlineStr">
        <is>
          <t>OTST</t>
        </is>
      </c>
      <c r="B1082" t="n">
        <v>640</v>
      </c>
      <c r="C1082" t="inlineStr">
        <is>
          <t>Old Testament&amp;Its Translation</t>
        </is>
      </c>
      <c r="E1082" t="inlineStr">
        <is>
          <t>OTST640</t>
        </is>
      </c>
    </row>
    <row r="1083">
      <c r="A1083" t="inlineStr">
        <is>
          <t>GSEM</t>
        </is>
      </c>
      <c r="B1083" t="n">
        <v>539</v>
      </c>
      <c r="C1083" t="inlineStr">
        <is>
          <t>Issu in Origins</t>
        </is>
      </c>
      <c r="D1083" t="inlineStr">
        <is>
          <t>Issues in Origins</t>
        </is>
      </c>
      <c r="E1083" t="inlineStr">
        <is>
          <t>GSEM539</t>
        </is>
      </c>
    </row>
    <row r="1084">
      <c r="A1084" t="inlineStr">
        <is>
          <t>MSSN</t>
        </is>
      </c>
      <c r="B1084" t="n">
        <v>770</v>
      </c>
      <c r="C1084" t="inlineStr">
        <is>
          <t>Discplshp &amp; Wrldvw Transfrmtn</t>
        </is>
      </c>
      <c r="E1084" t="inlineStr">
        <is>
          <t>MSSN770</t>
        </is>
      </c>
    </row>
    <row r="1085">
      <c r="A1085" t="inlineStr">
        <is>
          <t>MSSN</t>
        </is>
      </c>
      <c r="B1085" t="n">
        <v>795</v>
      </c>
      <c r="C1085" t="inlineStr">
        <is>
          <t>Top:</t>
        </is>
      </c>
      <c r="D1085" t="inlineStr">
        <is>
          <t>Top: Mission Research</t>
        </is>
      </c>
      <c r="E1085" t="inlineStr">
        <is>
          <t>MSSN795</t>
        </is>
      </c>
    </row>
    <row r="1086">
      <c r="A1086" t="inlineStr">
        <is>
          <t>CHMN</t>
        </is>
      </c>
      <c r="B1086" t="n">
        <v>641</v>
      </c>
      <c r="C1086" t="inlineStr">
        <is>
          <t>Practicum Military Chaplaincy</t>
        </is>
      </c>
      <c r="D1086" t="inlineStr">
        <is>
          <t>Practicum Miltary Chaplaincy</t>
        </is>
      </c>
      <c r="E1086" t="inlineStr">
        <is>
          <t>CHMN641</t>
        </is>
      </c>
    </row>
    <row r="1087">
      <c r="A1087" t="inlineStr">
        <is>
          <t>MSSN</t>
        </is>
      </c>
      <c r="B1087" t="n">
        <v>795</v>
      </c>
      <c r="C1087" t="inlineStr">
        <is>
          <t>Top:</t>
        </is>
      </c>
      <c r="D1087" t="inlineStr">
        <is>
          <t>Top: Urban Mission</t>
        </is>
      </c>
      <c r="E1087" t="inlineStr">
        <is>
          <t>MSSN795</t>
        </is>
      </c>
    </row>
    <row r="1088">
      <c r="A1088" t="inlineStr">
        <is>
          <t>CHMN</t>
        </is>
      </c>
      <c r="B1088" t="n">
        <v>586</v>
      </c>
      <c r="C1088" t="inlineStr">
        <is>
          <t>Spec Approaches to Evan:</t>
        </is>
      </c>
      <c r="D1088" t="inlineStr">
        <is>
          <t>Spec Apps to Evan:Nat Chrch Dv</t>
        </is>
      </c>
      <c r="E1088" t="inlineStr">
        <is>
          <t>CHMN586</t>
        </is>
      </c>
    </row>
    <row r="1089">
      <c r="A1089" t="inlineStr">
        <is>
          <t>DSRE</t>
        </is>
      </c>
      <c r="B1089" t="n">
        <v>870</v>
      </c>
      <c r="C1089" t="inlineStr">
        <is>
          <t>Adv Studies:</t>
        </is>
      </c>
      <c r="D1089" t="inlineStr">
        <is>
          <t>Adv Stud:Qualitative Research</t>
        </is>
      </c>
      <c r="E1089" t="inlineStr">
        <is>
          <t>DSRE870</t>
        </is>
      </c>
    </row>
    <row r="1090">
      <c r="A1090" t="inlineStr">
        <is>
          <t>CHMN</t>
        </is>
      </c>
      <c r="B1090" t="n">
        <v>586</v>
      </c>
      <c r="C1090" t="inlineStr">
        <is>
          <t>Spec Approaches to Evan:</t>
        </is>
      </c>
      <c r="D1090" t="inlineStr">
        <is>
          <t>Spec Approaches Evan:Coaching</t>
        </is>
      </c>
      <c r="E1090" t="inlineStr">
        <is>
          <t>CHMN586</t>
        </is>
      </c>
    </row>
    <row r="1091">
      <c r="A1091" t="inlineStr">
        <is>
          <t>GSEM</t>
        </is>
      </c>
      <c r="B1091" t="n">
        <v>511</v>
      </c>
      <c r="C1091" t="inlineStr">
        <is>
          <t>Daniel &amp; Revelation</t>
        </is>
      </c>
      <c r="D1091" t="inlineStr">
        <is>
          <t>Daniel &amp; Revelation</t>
        </is>
      </c>
      <c r="E1091" t="inlineStr">
        <is>
          <t>GSEM511</t>
        </is>
      </c>
    </row>
    <row r="1092">
      <c r="A1092" t="inlineStr">
        <is>
          <t>CHMN</t>
        </is>
      </c>
      <c r="B1092" t="n">
        <v>885</v>
      </c>
      <c r="C1092" t="inlineStr">
        <is>
          <t>Topics in:</t>
        </is>
      </c>
      <c r="D1092" t="inlineStr">
        <is>
          <t>Topics in Leadership</t>
        </is>
      </c>
      <c r="E1092" t="inlineStr">
        <is>
          <t>CHMN885</t>
        </is>
      </c>
    </row>
    <row r="1093">
      <c r="A1093" t="inlineStr">
        <is>
          <t>MSSN</t>
        </is>
      </c>
      <c r="B1093" t="n">
        <v>695</v>
      </c>
      <c r="C1093" t="inlineStr">
        <is>
          <t>Topics:</t>
        </is>
      </c>
      <c r="D1093" t="inlineStr">
        <is>
          <t>Topics:Social Sciences&amp;Mission</t>
        </is>
      </c>
      <c r="E1093" t="inlineStr">
        <is>
          <t>MSSN695</t>
        </is>
      </c>
    </row>
    <row r="1094">
      <c r="A1094" t="inlineStr">
        <is>
          <t>MSSN</t>
        </is>
      </c>
      <c r="B1094" t="n">
        <v>827</v>
      </c>
      <c r="C1094" t="inlineStr">
        <is>
          <t>Sem History of Mission</t>
        </is>
      </c>
      <c r="D1094" t="inlineStr">
        <is>
          <t>Sem History of Mission</t>
        </is>
      </c>
      <c r="E1094" t="inlineStr">
        <is>
          <t>MSSN827</t>
        </is>
      </c>
    </row>
    <row r="1095">
      <c r="A1095" t="inlineStr">
        <is>
          <t>CHMN</t>
        </is>
      </c>
      <c r="B1095" t="n">
        <v>557</v>
      </c>
      <c r="C1095" t="inlineStr">
        <is>
          <t>Practicum Clin Pastoral Educ</t>
        </is>
      </c>
      <c r="D1095" t="inlineStr">
        <is>
          <t>Practicum Clin Pastoral Educ</t>
        </is>
      </c>
      <c r="E1095" t="inlineStr">
        <is>
          <t>CHMN557</t>
        </is>
      </c>
    </row>
    <row r="1096">
      <c r="A1096" t="inlineStr">
        <is>
          <t>GSEM</t>
        </is>
      </c>
      <c r="B1096" t="n">
        <v>797</v>
      </c>
      <c r="C1096" t="inlineStr">
        <is>
          <t>Ind St:</t>
        </is>
      </c>
      <c r="D1096" t="inlineStr">
        <is>
          <t>Ind:Spiritl/Theo Found for Min</t>
        </is>
      </c>
      <c r="E1096" t="inlineStr">
        <is>
          <t>GSEM797</t>
        </is>
      </c>
    </row>
    <row r="1097">
      <c r="A1097" t="inlineStr">
        <is>
          <t>CHIS</t>
        </is>
      </c>
      <c r="B1097" t="n">
        <v>690</v>
      </c>
      <c r="C1097" t="inlineStr">
        <is>
          <t>Ind St:</t>
        </is>
      </c>
      <c r="D1097" t="inlineStr">
        <is>
          <t>Ind St:StudiesInChurchHistory</t>
        </is>
      </c>
      <c r="E1097" t="inlineStr">
        <is>
          <t>CHIS690</t>
        </is>
      </c>
    </row>
    <row r="1098">
      <c r="A1098" t="inlineStr">
        <is>
          <t>MSSN</t>
        </is>
      </c>
      <c r="B1098" t="n">
        <v>695</v>
      </c>
      <c r="C1098" t="inlineStr">
        <is>
          <t>Topics:</t>
        </is>
      </c>
      <c r="D1098" t="inlineStr">
        <is>
          <t>Topics:Urban Contexts for Mssn</t>
        </is>
      </c>
      <c r="E1098" t="inlineStr">
        <is>
          <t>MSSN695</t>
        </is>
      </c>
    </row>
    <row r="1099">
      <c r="A1099" t="inlineStr">
        <is>
          <t>MSSN</t>
        </is>
      </c>
      <c r="B1099" t="n">
        <v>829</v>
      </c>
      <c r="C1099" t="inlineStr">
        <is>
          <t>Sem in Other Religions</t>
        </is>
      </c>
      <c r="D1099" t="inlineStr">
        <is>
          <t>Sem in Other Religions</t>
        </is>
      </c>
      <c r="E1099" t="inlineStr">
        <is>
          <t>MSSN829</t>
        </is>
      </c>
    </row>
    <row r="1100">
      <c r="A1100" t="inlineStr">
        <is>
          <t>GSEM</t>
        </is>
      </c>
      <c r="B1100" t="n">
        <v>648</v>
      </c>
      <c r="C1100" t="inlineStr">
        <is>
          <t>Workshop</t>
        </is>
      </c>
      <c r="D1100" t="inlineStr">
        <is>
          <t>Wrkshp:HealthMngmntChngngWrld</t>
        </is>
      </c>
      <c r="E1100" t="inlineStr">
        <is>
          <t>GSEM648</t>
        </is>
      </c>
    </row>
    <row r="1101">
      <c r="A1101" t="inlineStr">
        <is>
          <t>CHIS</t>
        </is>
      </c>
      <c r="B1101" t="n">
        <v>880</v>
      </c>
      <c r="C1101" t="inlineStr">
        <is>
          <t>Topics in Church History:</t>
        </is>
      </c>
      <c r="E1101" t="inlineStr">
        <is>
          <t>CHIS880</t>
        </is>
      </c>
    </row>
    <row r="1102">
      <c r="A1102" t="inlineStr">
        <is>
          <t>CHIS</t>
        </is>
      </c>
      <c r="B1102" t="n">
        <v>885</v>
      </c>
      <c r="C1102" t="inlineStr">
        <is>
          <t>Topics in</t>
        </is>
      </c>
      <c r="D1102" t="inlineStr">
        <is>
          <t>Topics in Adventist Studies</t>
        </is>
      </c>
      <c r="E1102" t="inlineStr">
        <is>
          <t>CHIS885</t>
        </is>
      </c>
    </row>
    <row r="1103">
      <c r="A1103" t="inlineStr">
        <is>
          <t>CHIS</t>
        </is>
      </c>
      <c r="B1103" t="n">
        <v>891</v>
      </c>
      <c r="C1103" t="inlineStr">
        <is>
          <t>Ind St:</t>
        </is>
      </c>
      <c r="D1103" t="inlineStr">
        <is>
          <t>Ind St:Church History</t>
        </is>
      </c>
      <c r="E1103" t="inlineStr">
        <is>
          <t>CHIS891</t>
        </is>
      </c>
    </row>
    <row r="1104">
      <c r="A1104" t="inlineStr">
        <is>
          <t>CHIS</t>
        </is>
      </c>
      <c r="B1104" t="n">
        <v>892</v>
      </c>
      <c r="C1104" t="inlineStr">
        <is>
          <t>Ind St:</t>
        </is>
      </c>
      <c r="D1104" t="inlineStr">
        <is>
          <t>Indpndnt Study:Advntst History</t>
        </is>
      </c>
      <c r="E1104" t="inlineStr">
        <is>
          <t>CHIS892</t>
        </is>
      </c>
    </row>
    <row r="1105">
      <c r="A1105" t="inlineStr">
        <is>
          <t>CHIS</t>
        </is>
      </c>
      <c r="B1105" t="n">
        <v>974</v>
      </c>
      <c r="C1105" t="inlineStr">
        <is>
          <t>Sem Development SDA Doctrines</t>
        </is>
      </c>
      <c r="E1105" t="inlineStr">
        <is>
          <t>CHIS974</t>
        </is>
      </c>
    </row>
    <row r="1106">
      <c r="A1106" t="inlineStr">
        <is>
          <t>CHMN</t>
        </is>
      </c>
      <c r="B1106" t="n">
        <v>897</v>
      </c>
      <c r="C1106" t="inlineStr">
        <is>
          <t>Ind St:</t>
        </is>
      </c>
      <c r="E1106" t="inlineStr">
        <is>
          <t>CHMN897</t>
        </is>
      </c>
    </row>
    <row r="1107">
      <c r="A1107" t="inlineStr">
        <is>
          <t>CHMN</t>
        </is>
      </c>
      <c r="B1107" t="n">
        <v>905</v>
      </c>
      <c r="C1107" t="inlineStr">
        <is>
          <t>Seminar Theory &amp; Praxis</t>
        </is>
      </c>
      <c r="E1107" t="inlineStr">
        <is>
          <t>CHMN905</t>
        </is>
      </c>
    </row>
    <row r="1108">
      <c r="A1108" t="inlineStr">
        <is>
          <t>CHMN</t>
        </is>
      </c>
      <c r="B1108" t="n">
        <v>940</v>
      </c>
      <c r="C1108" t="inlineStr">
        <is>
          <t>Sem:</t>
        </is>
      </c>
      <c r="E1108" t="inlineStr">
        <is>
          <t>CHMN940</t>
        </is>
      </c>
    </row>
    <row r="1109">
      <c r="A1109" t="inlineStr">
        <is>
          <t>CHIS</t>
        </is>
      </c>
      <c r="B1109" t="n">
        <v>944</v>
      </c>
      <c r="C1109" t="inlineStr">
        <is>
          <t>Seminar in Adventist Studies:</t>
        </is>
      </c>
      <c r="E1109" t="inlineStr">
        <is>
          <t>CHIS944</t>
        </is>
      </c>
    </row>
    <row r="1110">
      <c r="A1110" t="inlineStr">
        <is>
          <t>DSRE</t>
        </is>
      </c>
      <c r="B1110" t="n">
        <v>676</v>
      </c>
      <c r="C1110" t="inlineStr">
        <is>
          <t>Top:</t>
        </is>
      </c>
      <c r="D1110" t="inlineStr">
        <is>
          <t>Top:Yth&amp;YngAdult Marriage&amp;Fam</t>
        </is>
      </c>
      <c r="E1110" t="inlineStr">
        <is>
          <t>DSRE676</t>
        </is>
      </c>
    </row>
    <row r="1111">
      <c r="A1111" t="inlineStr">
        <is>
          <t>NTST</t>
        </is>
      </c>
      <c r="B1111" t="n">
        <v>897</v>
      </c>
      <c r="C1111" t="inlineStr">
        <is>
          <t>Ind. Study:</t>
        </is>
      </c>
      <c r="D1111" t="inlineStr">
        <is>
          <t>Ind. Study:Nrrtv Thry&amp;Anlyss</t>
        </is>
      </c>
      <c r="E1111" t="inlineStr">
        <is>
          <t>NTST897</t>
        </is>
      </c>
    </row>
    <row r="1112">
      <c r="A1112" t="inlineStr">
        <is>
          <t>NTST</t>
        </is>
      </c>
      <c r="B1112" t="n">
        <v>636</v>
      </c>
      <c r="C1112" t="inlineStr">
        <is>
          <t>Jerusalem in the Time of Jesus</t>
        </is>
      </c>
      <c r="E1112" t="inlineStr">
        <is>
          <t>NTST636</t>
        </is>
      </c>
    </row>
    <row r="1113">
      <c r="A1113" t="inlineStr">
        <is>
          <t>NTST</t>
        </is>
      </c>
      <c r="B1113" t="n">
        <v>667</v>
      </c>
      <c r="C1113" t="inlineStr">
        <is>
          <t>Top in New Testmnt Theo:</t>
        </is>
      </c>
      <c r="E1113" t="inlineStr">
        <is>
          <t>NTST667</t>
        </is>
      </c>
    </row>
    <row r="1114">
      <c r="A1114" t="inlineStr">
        <is>
          <t>THST</t>
        </is>
      </c>
      <c r="B1114" t="n">
        <v>890</v>
      </c>
      <c r="C1114" t="inlineStr">
        <is>
          <t>Directed Rdg in Systmtic Theo</t>
        </is>
      </c>
      <c r="E1114" t="inlineStr">
        <is>
          <t>THST890</t>
        </is>
      </c>
    </row>
    <row r="1115">
      <c r="A1115" t="inlineStr">
        <is>
          <t>CHMN</t>
        </is>
      </c>
      <c r="B1115" t="n">
        <v>586</v>
      </c>
      <c r="C1115" t="inlineStr">
        <is>
          <t>Spec Approaches to Evan:</t>
        </is>
      </c>
      <c r="D1115" t="inlineStr">
        <is>
          <t>Spec Appr to Evan:Natur.Ch.Dev</t>
        </is>
      </c>
      <c r="E1115" t="inlineStr">
        <is>
          <t>CHMN586</t>
        </is>
      </c>
    </row>
    <row r="1116">
      <c r="A1116" t="inlineStr">
        <is>
          <t>NTST</t>
        </is>
      </c>
      <c r="B1116" t="n">
        <v>665</v>
      </c>
      <c r="C1116" t="inlineStr">
        <is>
          <t>Coptic</t>
        </is>
      </c>
      <c r="E1116" t="inlineStr">
        <is>
          <t>NTST665</t>
        </is>
      </c>
    </row>
    <row r="1117">
      <c r="A1117" t="inlineStr">
        <is>
          <t>THST</t>
        </is>
      </c>
      <c r="B1117" t="n">
        <v>890</v>
      </c>
      <c r="C1117" t="inlineStr">
        <is>
          <t>Directed Rdg in Systmtic Theo</t>
        </is>
      </c>
      <c r="D1117" t="inlineStr">
        <is>
          <t>Directed Rdg in Systmtic Theo</t>
        </is>
      </c>
      <c r="E1117" t="inlineStr">
        <is>
          <t>THST890</t>
        </is>
      </c>
    </row>
    <row r="1118">
      <c r="A1118" t="inlineStr">
        <is>
          <t>THST</t>
        </is>
      </c>
      <c r="B1118" t="n">
        <v>895</v>
      </c>
      <c r="C1118" t="inlineStr">
        <is>
          <t>Directed Rdg Historical Theo</t>
        </is>
      </c>
      <c r="D1118" t="inlineStr">
        <is>
          <t>Directed Rdg Historical Theo</t>
        </is>
      </c>
      <c r="E1118" t="inlineStr">
        <is>
          <t>THST895</t>
        </is>
      </c>
    </row>
    <row r="1119">
      <c r="A1119" t="inlineStr">
        <is>
          <t>DSRE</t>
        </is>
      </c>
      <c r="B1119" t="n">
        <v>870</v>
      </c>
      <c r="C1119" t="inlineStr">
        <is>
          <t>Adv Studies:</t>
        </is>
      </c>
      <c r="D1119" t="inlineStr">
        <is>
          <t>Adv Stds:Teaching Rlgn College</t>
        </is>
      </c>
      <c r="E1119" t="inlineStr">
        <is>
          <t>DSRE870</t>
        </is>
      </c>
    </row>
    <row r="1120">
      <c r="A1120" t="inlineStr">
        <is>
          <t>DSRE</t>
        </is>
      </c>
      <c r="B1120" t="n">
        <v>870</v>
      </c>
      <c r="C1120" t="inlineStr">
        <is>
          <t>Adv Studies:</t>
        </is>
      </c>
      <c r="D1120" t="inlineStr">
        <is>
          <t>Adv Stds:Spiritual Formation</t>
        </is>
      </c>
      <c r="E1120" t="inlineStr">
        <is>
          <t>DSRE870</t>
        </is>
      </c>
    </row>
    <row r="1121">
      <c r="A1121" t="inlineStr">
        <is>
          <t>OTST</t>
        </is>
      </c>
      <c r="B1121" t="n">
        <v>546</v>
      </c>
      <c r="C1121" t="inlineStr">
        <is>
          <t>Studies in Daniel (Engl)</t>
        </is>
      </c>
      <c r="D1121" t="inlineStr">
        <is>
          <t>Readings in Daniel (Engl)</t>
        </is>
      </c>
      <c r="E1121" t="inlineStr">
        <is>
          <t>OTST546</t>
        </is>
      </c>
    </row>
    <row r="1122">
      <c r="A1122" t="inlineStr">
        <is>
          <t>MSSN</t>
        </is>
      </c>
      <c r="B1122" t="n">
        <v>885</v>
      </c>
      <c r="C1122" t="inlineStr">
        <is>
          <t>Topics in:</t>
        </is>
      </c>
      <c r="D1122" t="inlineStr">
        <is>
          <t>Topics in:Witness Sec/Post Peo</t>
        </is>
      </c>
      <c r="E1122" t="inlineStr">
        <is>
          <t>MSSN885</t>
        </is>
      </c>
    </row>
    <row r="1123">
      <c r="A1123" t="inlineStr">
        <is>
          <t>MSSN</t>
        </is>
      </c>
      <c r="B1123" t="n">
        <v>897</v>
      </c>
      <c r="C1123" t="inlineStr">
        <is>
          <t>Ind St:</t>
        </is>
      </c>
      <c r="D1123" t="inlineStr">
        <is>
          <t>Ind St:Social Sciences&amp;Mission</t>
        </is>
      </c>
      <c r="E1123" t="inlineStr">
        <is>
          <t>MSSN897</t>
        </is>
      </c>
    </row>
    <row r="1124">
      <c r="A1124" t="inlineStr">
        <is>
          <t>MSSN</t>
        </is>
      </c>
      <c r="B1124" t="n">
        <v>897</v>
      </c>
      <c r="C1124" t="inlineStr">
        <is>
          <t>Ind St:</t>
        </is>
      </c>
      <c r="D1124" t="inlineStr">
        <is>
          <t>Ind St:Church &amp; Social Issues</t>
        </is>
      </c>
      <c r="E1124" t="inlineStr">
        <is>
          <t>MSSN897</t>
        </is>
      </c>
    </row>
    <row r="1125">
      <c r="A1125" t="inlineStr">
        <is>
          <t>MSSN</t>
        </is>
      </c>
      <c r="B1125" t="n">
        <v>690</v>
      </c>
      <c r="C1125" t="inlineStr">
        <is>
          <t>Ind St:</t>
        </is>
      </c>
      <c r="D1125" t="inlineStr">
        <is>
          <t>Ind St:Wtnss Pstmdrn&amp;Secular</t>
        </is>
      </c>
      <c r="E1125" t="inlineStr">
        <is>
          <t>MSSN690</t>
        </is>
      </c>
    </row>
    <row r="1126">
      <c r="A1126" t="inlineStr">
        <is>
          <t>CHIS</t>
        </is>
      </c>
      <c r="B1126" t="n">
        <v>695</v>
      </c>
      <c r="C1126" t="inlineStr">
        <is>
          <t>Topics in Church History:</t>
        </is>
      </c>
      <c r="D1126" t="inlineStr">
        <is>
          <t>StdsChrchHstry:ChrstnsJews500C</t>
        </is>
      </c>
      <c r="E1126" t="inlineStr">
        <is>
          <t>CHIS695</t>
        </is>
      </c>
    </row>
    <row r="1127">
      <c r="A1127" t="inlineStr">
        <is>
          <t>MSSN</t>
        </is>
      </c>
      <c r="B1127" t="n">
        <v>695</v>
      </c>
      <c r="C1127" t="inlineStr">
        <is>
          <t>Topics:</t>
        </is>
      </c>
      <c r="D1127" t="inlineStr">
        <is>
          <t>Topics:Witnss Seclr&amp;Pstmdrn Pp</t>
        </is>
      </c>
      <c r="E1127" t="inlineStr">
        <is>
          <t>MSSN695</t>
        </is>
      </c>
    </row>
    <row r="1128">
      <c r="A1128" t="inlineStr">
        <is>
          <t>NTST</t>
        </is>
      </c>
      <c r="B1128" t="n">
        <v>897</v>
      </c>
      <c r="C1128" t="inlineStr">
        <is>
          <t>Ind. Study:</t>
        </is>
      </c>
      <c r="E1128" t="inlineStr">
        <is>
          <t>NTST897</t>
        </is>
      </c>
    </row>
    <row r="1129">
      <c r="A1129" t="inlineStr">
        <is>
          <t>MSSN</t>
        </is>
      </c>
      <c r="B1129" t="n">
        <v>690</v>
      </c>
      <c r="C1129" t="inlineStr">
        <is>
          <t>Ind St:</t>
        </is>
      </c>
      <c r="D1129" t="inlineStr">
        <is>
          <t>Ind St:Chrstn Wtnss&amp;Wrld Rlgns</t>
        </is>
      </c>
      <c r="E1129" t="inlineStr">
        <is>
          <t>MSSN690</t>
        </is>
      </c>
    </row>
    <row r="1130">
      <c r="A1130" t="inlineStr">
        <is>
          <t>THST</t>
        </is>
      </c>
      <c r="B1130" t="n">
        <v>885</v>
      </c>
      <c r="C1130" t="inlineStr">
        <is>
          <t>Top:</t>
        </is>
      </c>
      <c r="D1130" t="inlineStr">
        <is>
          <t>Top:Works of Christ</t>
        </is>
      </c>
      <c r="E1130" t="inlineStr">
        <is>
          <t>THST885</t>
        </is>
      </c>
    </row>
    <row r="1131">
      <c r="A1131" t="inlineStr">
        <is>
          <t>DSRE</t>
        </is>
      </c>
      <c r="B1131" t="n">
        <v>680</v>
      </c>
      <c r="C1131" t="inlineStr">
        <is>
          <t>Field Practicum:________</t>
        </is>
      </c>
      <c r="D1131" t="inlineStr">
        <is>
          <t>Field Practicum:________</t>
        </is>
      </c>
      <c r="E1131" t="inlineStr">
        <is>
          <t>DSRE680</t>
        </is>
      </c>
    </row>
    <row r="1132">
      <c r="A1132" t="inlineStr">
        <is>
          <t>NTST</t>
        </is>
      </c>
      <c r="B1132" t="n">
        <v>645</v>
      </c>
      <c r="C1132" t="inlineStr">
        <is>
          <t>Hebrews</t>
        </is>
      </c>
      <c r="D1132" t="inlineStr">
        <is>
          <t>Hebrews</t>
        </is>
      </c>
      <c r="E1132" t="inlineStr">
        <is>
          <t>NTST645</t>
        </is>
      </c>
    </row>
    <row r="1133">
      <c r="A1133" t="inlineStr">
        <is>
          <t>CHMN</t>
        </is>
      </c>
      <c r="B1133" t="n">
        <v>568</v>
      </c>
      <c r="C1133" t="inlineStr">
        <is>
          <t>Learning Professional Expernce</t>
        </is>
      </c>
      <c r="E1133" t="inlineStr">
        <is>
          <t>CHMN568</t>
        </is>
      </c>
    </row>
    <row r="1134">
      <c r="A1134" t="inlineStr">
        <is>
          <t>THST</t>
        </is>
      </c>
      <c r="B1134" t="n">
        <v>896</v>
      </c>
      <c r="C1134" t="inlineStr">
        <is>
          <t>Directed Rdg Christian Ethics</t>
        </is>
      </c>
      <c r="D1134" t="inlineStr">
        <is>
          <t>Philosophy,Theology, &amp; Ethics</t>
        </is>
      </c>
      <c r="E1134" t="inlineStr">
        <is>
          <t>THST896</t>
        </is>
      </c>
    </row>
    <row r="1135">
      <c r="A1135" t="inlineStr">
        <is>
          <t>CHMN</t>
        </is>
      </c>
      <c r="B1135" t="n">
        <v>639</v>
      </c>
      <c r="C1135" t="inlineStr">
        <is>
          <t>Seminar in Evangelism</t>
        </is>
      </c>
      <c r="E1135" t="inlineStr">
        <is>
          <t>CHMN639</t>
        </is>
      </c>
    </row>
    <row r="1136">
      <c r="A1136" t="inlineStr">
        <is>
          <t>MSSN</t>
        </is>
      </c>
      <c r="B1136" t="n">
        <v>810</v>
      </c>
      <c r="C1136" t="inlineStr">
        <is>
          <t>Sem:</t>
        </is>
      </c>
      <c r="D1136" t="inlineStr">
        <is>
          <t>Sem:Mssn Strtgy &amp; Ldrshp</t>
        </is>
      </c>
      <c r="E1136" t="inlineStr">
        <is>
          <t>MSSN810</t>
        </is>
      </c>
    </row>
    <row r="1137">
      <c r="A1137" t="inlineStr">
        <is>
          <t>MSSN</t>
        </is>
      </c>
      <c r="B1137" t="n">
        <v>885</v>
      </c>
      <c r="C1137" t="inlineStr">
        <is>
          <t>Topics in:</t>
        </is>
      </c>
      <c r="D1137" t="inlineStr">
        <is>
          <t>Topics in:Mission Ed &amp; Train</t>
        </is>
      </c>
      <c r="E1137" t="inlineStr">
        <is>
          <t>MSSN885</t>
        </is>
      </c>
    </row>
    <row r="1138">
      <c r="A1138" t="inlineStr">
        <is>
          <t>NTST</t>
        </is>
      </c>
      <c r="B1138" t="n">
        <v>539</v>
      </c>
      <c r="C1138" t="inlineStr">
        <is>
          <t>Readings in Revelation</t>
        </is>
      </c>
      <c r="D1138" t="inlineStr">
        <is>
          <t>Readings in Revelation</t>
        </is>
      </c>
      <c r="E1138" t="inlineStr">
        <is>
          <t>NTST539</t>
        </is>
      </c>
    </row>
    <row r="1139">
      <c r="A1139" t="inlineStr">
        <is>
          <t>DSRE</t>
        </is>
      </c>
      <c r="B1139" t="n">
        <v>690</v>
      </c>
      <c r="C1139" t="inlineStr">
        <is>
          <t>Ind St:</t>
        </is>
      </c>
      <c r="D1139" t="inlineStr">
        <is>
          <t>Ind St:Cntmp Iss Rel Ed&amp; Disc</t>
        </is>
      </c>
      <c r="E1139" t="inlineStr">
        <is>
          <t>DSRE690</t>
        </is>
      </c>
    </row>
    <row r="1140">
      <c r="A1140" t="inlineStr">
        <is>
          <t>NTST</t>
        </is>
      </c>
      <c r="B1140" t="n">
        <v>897</v>
      </c>
      <c r="C1140" t="inlineStr">
        <is>
          <t>Ind. Study:</t>
        </is>
      </c>
      <c r="D1140" t="inlineStr">
        <is>
          <t>Ind. Study: Matthew</t>
        </is>
      </c>
      <c r="E1140" t="inlineStr">
        <is>
          <t>NTST897</t>
        </is>
      </c>
    </row>
    <row r="1141">
      <c r="A1141" t="inlineStr">
        <is>
          <t>THST</t>
        </is>
      </c>
      <c r="B1141" t="n">
        <v>897</v>
      </c>
      <c r="C1141" t="inlineStr">
        <is>
          <t>Ind St:</t>
        </is>
      </c>
      <c r="D1141" t="inlineStr">
        <is>
          <t>Ind St:Bblcl &amp; Theo Hrmntcs</t>
        </is>
      </c>
      <c r="E1141" t="inlineStr">
        <is>
          <t>THST897</t>
        </is>
      </c>
    </row>
    <row r="1142">
      <c r="A1142" t="inlineStr">
        <is>
          <t>MSSN</t>
        </is>
      </c>
      <c r="B1142" t="n">
        <v>780</v>
      </c>
      <c r="C1142" t="inlineStr">
        <is>
          <t>Mission Education &amp; Training</t>
        </is>
      </c>
      <c r="E1142" t="inlineStr">
        <is>
          <t>MSSN780</t>
        </is>
      </c>
    </row>
    <row r="1143">
      <c r="A1143" t="inlineStr">
        <is>
          <t>MSSN</t>
        </is>
      </c>
      <c r="B1143" t="n">
        <v>810</v>
      </c>
      <c r="C1143" t="inlineStr">
        <is>
          <t>Sem:</t>
        </is>
      </c>
      <c r="D1143" t="inlineStr">
        <is>
          <t>Sem:Mission Leadership</t>
        </is>
      </c>
      <c r="E1143" t="inlineStr">
        <is>
          <t>MSSN810</t>
        </is>
      </c>
    </row>
    <row r="1144">
      <c r="A1144" t="inlineStr">
        <is>
          <t>MSSN</t>
        </is>
      </c>
      <c r="B1144" t="n">
        <v>810</v>
      </c>
      <c r="C1144" t="inlineStr">
        <is>
          <t>Sem:</t>
        </is>
      </c>
      <c r="D1144" t="inlineStr">
        <is>
          <t>Sem: Church &amp; Social Issues</t>
        </is>
      </c>
      <c r="E1144" t="inlineStr">
        <is>
          <t>MSSN810</t>
        </is>
      </c>
    </row>
    <row r="1145">
      <c r="A1145" t="inlineStr">
        <is>
          <t>NTST</t>
        </is>
      </c>
      <c r="B1145" t="n">
        <v>890</v>
      </c>
      <c r="C1145" t="inlineStr">
        <is>
          <t>Directed Rdg in New Testament</t>
        </is>
      </c>
      <c r="D1145" t="inlineStr">
        <is>
          <t>Dir Rdg NT:Judiasm &amp; the NT</t>
        </is>
      </c>
      <c r="E1145" t="inlineStr">
        <is>
          <t>NTST890</t>
        </is>
      </c>
    </row>
    <row r="1146">
      <c r="A1146" t="inlineStr">
        <is>
          <t>DSRE</t>
        </is>
      </c>
      <c r="B1146" t="n">
        <v>664</v>
      </c>
      <c r="C1146" t="inlineStr">
        <is>
          <t>Advanced Campus Ministry</t>
        </is>
      </c>
      <c r="D1146" t="inlineStr">
        <is>
          <t>Advanced Campus Ministry</t>
        </is>
      </c>
      <c r="E1146" t="inlineStr">
        <is>
          <t>DSRE664</t>
        </is>
      </c>
    </row>
    <row r="1147">
      <c r="A1147" t="inlineStr">
        <is>
          <t>MSSN</t>
        </is>
      </c>
      <c r="B1147" t="n">
        <v>690</v>
      </c>
      <c r="C1147" t="inlineStr">
        <is>
          <t>Ind St:</t>
        </is>
      </c>
      <c r="D1147" t="inlineStr">
        <is>
          <t>Ind St:Chrstn Wtnss &amp; Wrld Rlg</t>
        </is>
      </c>
      <c r="E1147" t="inlineStr">
        <is>
          <t>MSSN690</t>
        </is>
      </c>
    </row>
    <row r="1148">
      <c r="A1148" t="inlineStr">
        <is>
          <t>DSRE</t>
        </is>
      </c>
      <c r="B1148" t="n">
        <v>690</v>
      </c>
      <c r="C1148" t="inlineStr">
        <is>
          <t>Ind St:</t>
        </is>
      </c>
      <c r="D1148" t="inlineStr">
        <is>
          <t>Ind St:Fnd of Bblcl Sprtlty</t>
        </is>
      </c>
      <c r="E1148" t="inlineStr">
        <is>
          <t>DSRE690</t>
        </is>
      </c>
    </row>
    <row r="1149">
      <c r="A1149" t="inlineStr">
        <is>
          <t>DSRE</t>
        </is>
      </c>
      <c r="B1149" t="n">
        <v>690</v>
      </c>
      <c r="C1149" t="inlineStr">
        <is>
          <t>Ind St:</t>
        </is>
      </c>
      <c r="D1149" t="inlineStr">
        <is>
          <t>Ind St:Tchng for Discipleship</t>
        </is>
      </c>
      <c r="E1149" t="inlineStr">
        <is>
          <t>DSRE690</t>
        </is>
      </c>
    </row>
    <row r="1150">
      <c r="A1150" t="inlineStr">
        <is>
          <t>CHIS</t>
        </is>
      </c>
      <c r="B1150" t="n">
        <v>690</v>
      </c>
      <c r="C1150" t="inlineStr">
        <is>
          <t>Ind St:</t>
        </is>
      </c>
      <c r="D1150" t="inlineStr">
        <is>
          <t>Ind St:Hx of SDA Theology</t>
        </is>
      </c>
      <c r="E1150" t="inlineStr">
        <is>
          <t>CHIS690</t>
        </is>
      </c>
    </row>
    <row r="1151">
      <c r="A1151" t="inlineStr">
        <is>
          <t>CHIS</t>
        </is>
      </c>
      <c r="B1151" t="n">
        <v>690</v>
      </c>
      <c r="C1151" t="inlineStr">
        <is>
          <t>Ind St:</t>
        </is>
      </c>
      <c r="D1151" t="inlineStr">
        <is>
          <t>Ind St:Hstry of Sabbath&amp;Sunday</t>
        </is>
      </c>
      <c r="E1151" t="inlineStr">
        <is>
          <t>CHIS690</t>
        </is>
      </c>
    </row>
    <row r="1152">
      <c r="A1152" t="inlineStr">
        <is>
          <t>DSRE</t>
        </is>
      </c>
      <c r="B1152" t="n">
        <v>676</v>
      </c>
      <c r="C1152" t="inlineStr">
        <is>
          <t>Top:</t>
        </is>
      </c>
      <c r="D1152" t="inlineStr">
        <is>
          <t>Top:Philosophical Fnd Prof</t>
        </is>
      </c>
      <c r="E1152" t="inlineStr">
        <is>
          <t>DSRE676</t>
        </is>
      </c>
    </row>
    <row r="1153">
      <c r="A1153" t="inlineStr">
        <is>
          <t>NTST</t>
        </is>
      </c>
      <c r="B1153" t="n">
        <v>890</v>
      </c>
      <c r="C1153" t="inlineStr">
        <is>
          <t>Directed Rdg in New Testament</t>
        </is>
      </c>
      <c r="D1153" t="inlineStr">
        <is>
          <t>Dir Rdg in NT:Hermeneutics</t>
        </is>
      </c>
      <c r="E1153" t="inlineStr">
        <is>
          <t>NTST890</t>
        </is>
      </c>
    </row>
    <row r="1154">
      <c r="A1154" t="inlineStr">
        <is>
          <t>DSRE</t>
        </is>
      </c>
      <c r="B1154" t="n">
        <v>690</v>
      </c>
      <c r="C1154" t="inlineStr">
        <is>
          <t>Ind St:</t>
        </is>
      </c>
      <c r="D1154" t="inlineStr">
        <is>
          <t>Ind St: Counseling YYA</t>
        </is>
      </c>
      <c r="E1154" t="inlineStr">
        <is>
          <t>DSRE690</t>
        </is>
      </c>
    </row>
    <row r="1155">
      <c r="A1155" t="inlineStr">
        <is>
          <t>DSRE</t>
        </is>
      </c>
      <c r="B1155" t="n">
        <v>676</v>
      </c>
      <c r="C1155" t="inlineStr">
        <is>
          <t>Top:</t>
        </is>
      </c>
      <c r="D1155" t="inlineStr">
        <is>
          <t>Top:Marriage Fam&amp;Intrpsnl Rel</t>
        </is>
      </c>
      <c r="E1155" t="inlineStr">
        <is>
          <t>DSRE676</t>
        </is>
      </c>
    </row>
    <row r="1156">
      <c r="A1156" t="inlineStr">
        <is>
          <t>DSRE</t>
        </is>
      </c>
      <c r="B1156" t="n">
        <v>870</v>
      </c>
      <c r="C1156" t="inlineStr">
        <is>
          <t>Adv Studies:</t>
        </is>
      </c>
      <c r="D1156" t="inlineStr">
        <is>
          <t>Adv Studies: Synthesis</t>
        </is>
      </c>
      <c r="E1156" t="inlineStr">
        <is>
          <t>DSRE870</t>
        </is>
      </c>
    </row>
    <row r="1157">
      <c r="A1157" t="inlineStr">
        <is>
          <t>CHMN</t>
        </is>
      </c>
      <c r="B1157" t="n">
        <v>562</v>
      </c>
      <c r="C1157" t="inlineStr">
        <is>
          <t>Field Evangelism</t>
        </is>
      </c>
      <c r="D1157" t="inlineStr">
        <is>
          <t>Field Evangelism</t>
        </is>
      </c>
      <c r="E1157" t="inlineStr">
        <is>
          <t>CHMN562</t>
        </is>
      </c>
    </row>
    <row r="1158">
      <c r="A1158" t="inlineStr">
        <is>
          <t>CHMN</t>
        </is>
      </c>
      <c r="B1158" t="n">
        <v>586</v>
      </c>
      <c r="C1158" t="inlineStr">
        <is>
          <t>Spec Approaches to Evan:</t>
        </is>
      </c>
      <c r="D1158" t="inlineStr">
        <is>
          <t>Apprches Evan:Chrch Pant Conf</t>
        </is>
      </c>
      <c r="E1158" t="inlineStr">
        <is>
          <t>CHMN586</t>
        </is>
      </c>
    </row>
    <row r="1159">
      <c r="A1159" t="inlineStr">
        <is>
          <t>CHIS</t>
        </is>
      </c>
      <c r="B1159" t="n">
        <v>690</v>
      </c>
      <c r="C1159" t="inlineStr">
        <is>
          <t>Ind St:</t>
        </is>
      </c>
      <c r="D1159" t="inlineStr">
        <is>
          <t>Ind St:Studies in Church Hist</t>
        </is>
      </c>
      <c r="E1159" t="inlineStr">
        <is>
          <t>CHIS690</t>
        </is>
      </c>
    </row>
    <row r="1160">
      <c r="A1160" t="inlineStr">
        <is>
          <t>CHIS</t>
        </is>
      </c>
      <c r="B1160" t="n">
        <v>690</v>
      </c>
      <c r="C1160" t="inlineStr">
        <is>
          <t>Ind St:</t>
        </is>
      </c>
      <c r="D1160" t="inlineStr">
        <is>
          <t>Ind St:History of SDA Theology</t>
        </is>
      </c>
      <c r="E1160" t="inlineStr">
        <is>
          <t>CHIS690</t>
        </is>
      </c>
    </row>
    <row r="1161">
      <c r="A1161" t="inlineStr">
        <is>
          <t>OTST</t>
        </is>
      </c>
      <c r="B1161" t="n">
        <v>690</v>
      </c>
      <c r="C1161" t="inlineStr">
        <is>
          <t>Ind St:</t>
        </is>
      </c>
      <c r="D1161" t="inlineStr">
        <is>
          <t>Ind St: Jewish Life &amp; Thought</t>
        </is>
      </c>
      <c r="E1161" t="inlineStr">
        <is>
          <t>OTST690</t>
        </is>
      </c>
    </row>
    <row r="1162">
      <c r="A1162" t="inlineStr">
        <is>
          <t>CHIS</t>
        </is>
      </c>
      <c r="B1162" t="n">
        <v>690</v>
      </c>
      <c r="C1162" t="inlineStr">
        <is>
          <t>Ind St:</t>
        </is>
      </c>
      <c r="D1162" t="inlineStr">
        <is>
          <t>Ind St: Church History</t>
        </is>
      </c>
      <c r="E1162" t="inlineStr">
        <is>
          <t>CHIS690</t>
        </is>
      </c>
    </row>
    <row r="1163">
      <c r="A1163" t="inlineStr">
        <is>
          <t>CHIS</t>
        </is>
      </c>
      <c r="B1163" t="n">
        <v>892</v>
      </c>
      <c r="C1163" t="inlineStr">
        <is>
          <t>Independent Study:</t>
        </is>
      </c>
      <c r="E1163" t="inlineStr">
        <is>
          <t>CHIS892</t>
        </is>
      </c>
    </row>
    <row r="1164">
      <c r="A1164" t="inlineStr">
        <is>
          <t>MSSN</t>
        </is>
      </c>
      <c r="B1164" t="n">
        <v>885</v>
      </c>
      <c r="C1164" t="inlineStr">
        <is>
          <t>Topics in:</t>
        </is>
      </c>
      <c r="D1164" t="inlineStr">
        <is>
          <t>Topics in: Witness to Muslims</t>
        </is>
      </c>
      <c r="E1164" t="inlineStr">
        <is>
          <t>MSSN885</t>
        </is>
      </c>
    </row>
    <row r="1165">
      <c r="A1165" t="inlineStr">
        <is>
          <t>DSRE</t>
        </is>
      </c>
      <c r="B1165" t="n">
        <v>676</v>
      </c>
      <c r="C1165" t="inlineStr">
        <is>
          <t>Top:</t>
        </is>
      </c>
      <c r="D1165" t="inlineStr">
        <is>
          <t>Top:Contemp Topics in Rel Ed</t>
        </is>
      </c>
      <c r="E1165" t="inlineStr">
        <is>
          <t>DSRE676</t>
        </is>
      </c>
    </row>
    <row r="1166">
      <c r="A1166" t="inlineStr">
        <is>
          <t>DSRE</t>
        </is>
      </c>
      <c r="B1166" t="n">
        <v>870</v>
      </c>
      <c r="C1166" t="inlineStr">
        <is>
          <t>Adv Studies:</t>
        </is>
      </c>
      <c r="D1166" t="inlineStr">
        <is>
          <t>Adv Studies:SpiritualFormation</t>
        </is>
      </c>
      <c r="E1166" t="inlineStr">
        <is>
          <t>DSRE870</t>
        </is>
      </c>
    </row>
    <row r="1167">
      <c r="A1167" t="inlineStr">
        <is>
          <t>OTST</t>
        </is>
      </c>
      <c r="B1167" t="n">
        <v>885</v>
      </c>
      <c r="C1167" t="inlineStr">
        <is>
          <t>Topics in:</t>
        </is>
      </c>
      <c r="D1167" t="inlineStr">
        <is>
          <t>Top: Daniel</t>
        </is>
      </c>
      <c r="E1167" t="inlineStr">
        <is>
          <t>OTST885</t>
        </is>
      </c>
    </row>
    <row r="1168">
      <c r="A1168" t="inlineStr">
        <is>
          <t>THST</t>
        </is>
      </c>
      <c r="B1168" t="n">
        <v>659</v>
      </c>
      <c r="C1168" t="inlineStr">
        <is>
          <t>Sem Phil Theology&amp;Ethics:</t>
        </is>
      </c>
      <c r="D1168" t="inlineStr">
        <is>
          <t>Sem Theo&amp;Ethics:Postmod Ethics</t>
        </is>
      </c>
      <c r="E1168" t="inlineStr">
        <is>
          <t>THST659</t>
        </is>
      </c>
    </row>
    <row r="1169">
      <c r="A1169" t="inlineStr">
        <is>
          <t>CHMN</t>
        </is>
      </c>
      <c r="B1169" t="n">
        <v>617</v>
      </c>
      <c r="C1169" t="inlineStr">
        <is>
          <t>Field Evangelism: Y &amp; YA Min</t>
        </is>
      </c>
      <c r="E1169" t="inlineStr">
        <is>
          <t>CHMN617</t>
        </is>
      </c>
    </row>
    <row r="1170">
      <c r="A1170" t="inlineStr">
        <is>
          <t>GSEM</t>
        </is>
      </c>
      <c r="B1170" t="n">
        <v>505</v>
      </c>
      <c r="C1170" t="inlineStr">
        <is>
          <t>Colloquium:</t>
        </is>
      </c>
      <c r="D1170" t="inlineStr">
        <is>
          <t>Cllqm:Urbn &amp; Mssn &amp; Mnstry Cng</t>
        </is>
      </c>
      <c r="E1170" t="inlineStr">
        <is>
          <t>GSEM505</t>
        </is>
      </c>
    </row>
    <row r="1171">
      <c r="A1171" t="inlineStr">
        <is>
          <t>DSRE</t>
        </is>
      </c>
      <c r="B1171" t="n">
        <v>870</v>
      </c>
      <c r="C1171" t="inlineStr">
        <is>
          <t>Adv Studies:</t>
        </is>
      </c>
      <c r="D1171" t="inlineStr">
        <is>
          <t>Adv Studies:Collaborative Min</t>
        </is>
      </c>
      <c r="E1171" t="inlineStr">
        <is>
          <t>DSRE870</t>
        </is>
      </c>
    </row>
    <row r="1172">
      <c r="A1172" t="inlineStr">
        <is>
          <t>NTST</t>
        </is>
      </c>
      <c r="B1172" t="n">
        <v>890</v>
      </c>
      <c r="C1172" t="inlineStr">
        <is>
          <t>Directed Rdg in New Testament</t>
        </is>
      </c>
      <c r="D1172" t="inlineStr">
        <is>
          <t>Directed Rdg in NT:</t>
        </is>
      </c>
      <c r="E1172" t="inlineStr">
        <is>
          <t>NTST890</t>
        </is>
      </c>
    </row>
    <row r="1173">
      <c r="A1173" t="inlineStr">
        <is>
          <t>THST</t>
        </is>
      </c>
      <c r="B1173" t="n">
        <v>966</v>
      </c>
      <c r="C1173" t="inlineStr">
        <is>
          <t>Seminar in Ethics:</t>
        </is>
      </c>
      <c r="D1173" t="inlineStr">
        <is>
          <t>Sem Ethics:Postmodern Ethics</t>
        </is>
      </c>
      <c r="E1173" t="inlineStr">
        <is>
          <t>THST966</t>
        </is>
      </c>
    </row>
    <row r="1174">
      <c r="A1174" t="inlineStr">
        <is>
          <t>MSSN</t>
        </is>
      </c>
      <c r="B1174" t="n">
        <v>690</v>
      </c>
      <c r="C1174" t="inlineStr">
        <is>
          <t>Ind St:</t>
        </is>
      </c>
      <c r="D1174" t="inlineStr">
        <is>
          <t>Ind St:CrssCulturalComm&amp;Missin</t>
        </is>
      </c>
      <c r="E1174" t="inlineStr">
        <is>
          <t>MSSN690</t>
        </is>
      </c>
    </row>
    <row r="1175">
      <c r="A1175" t="inlineStr">
        <is>
          <t>GSEM</t>
        </is>
      </c>
      <c r="B1175" t="n">
        <v>505</v>
      </c>
      <c r="C1175" t="inlineStr">
        <is>
          <t>Colloquium:</t>
        </is>
      </c>
      <c r="D1175" t="inlineStr">
        <is>
          <t>Cllqm:Dmn Effct-Empwrng Chldrn</t>
        </is>
      </c>
      <c r="E1175" t="inlineStr">
        <is>
          <t>GSEM505</t>
        </is>
      </c>
    </row>
    <row r="1176">
      <c r="A1176" t="inlineStr">
        <is>
          <t>GSEM</t>
        </is>
      </c>
      <c r="B1176" t="n">
        <v>505</v>
      </c>
      <c r="C1176" t="inlineStr">
        <is>
          <t>Colloquium:</t>
        </is>
      </c>
      <c r="D1176" t="inlineStr">
        <is>
          <t>Cllqum:Yth Mnstry:Dscplng Ldrs</t>
        </is>
      </c>
      <c r="E1176" t="inlineStr">
        <is>
          <t>GSEM505</t>
        </is>
      </c>
    </row>
    <row r="1177">
      <c r="A1177" t="inlineStr">
        <is>
          <t>GSEM</t>
        </is>
      </c>
      <c r="B1177" t="n">
        <v>505</v>
      </c>
      <c r="C1177" t="inlineStr">
        <is>
          <t>Colloquium:</t>
        </is>
      </c>
      <c r="D1177" t="inlineStr">
        <is>
          <t>Coll:Dmn Effct-Empwrng Chldrn</t>
        </is>
      </c>
      <c r="E1177" t="inlineStr">
        <is>
          <t>GSEM505</t>
        </is>
      </c>
    </row>
    <row r="1178">
      <c r="A1178" t="inlineStr">
        <is>
          <t>MSSN</t>
        </is>
      </c>
      <c r="B1178" t="n">
        <v>690</v>
      </c>
      <c r="C1178" t="inlineStr">
        <is>
          <t>Ind St:</t>
        </is>
      </c>
      <c r="D1178" t="inlineStr">
        <is>
          <t xml:space="preserve"> Idp Stdy:Mssn Cltrl&amp;RlgsCntxt</t>
        </is>
      </c>
      <c r="E1178" t="inlineStr">
        <is>
          <t>MSSN690</t>
        </is>
      </c>
    </row>
    <row r="1179">
      <c r="A1179" t="inlineStr">
        <is>
          <t>NTST</t>
        </is>
      </c>
      <c r="B1179" t="n">
        <v>897</v>
      </c>
      <c r="C1179" t="inlineStr">
        <is>
          <t>Ind. Study:</t>
        </is>
      </c>
      <c r="D1179" t="inlineStr">
        <is>
          <t>Ind Stdy:Moral Exmplrty in Rev</t>
        </is>
      </c>
      <c r="E1179" t="inlineStr">
        <is>
          <t>NTST897</t>
        </is>
      </c>
    </row>
    <row r="1180">
      <c r="A1180" t="inlineStr">
        <is>
          <t>NTST</t>
        </is>
      </c>
      <c r="B1180" t="n">
        <v>897</v>
      </c>
      <c r="C1180" t="inlineStr">
        <is>
          <t>Ind. Study:</t>
        </is>
      </c>
      <c r="D1180" t="inlineStr">
        <is>
          <t>Ind. Study: Advanced Greek</t>
        </is>
      </c>
      <c r="E1180" t="inlineStr">
        <is>
          <t>NTST897</t>
        </is>
      </c>
    </row>
    <row r="1181">
      <c r="A1181" t="inlineStr">
        <is>
          <t>GSEM</t>
        </is>
      </c>
      <c r="B1181" t="n">
        <v>505</v>
      </c>
      <c r="C1181" t="inlineStr">
        <is>
          <t>Colloquium:</t>
        </is>
      </c>
      <c r="D1181" t="inlineStr">
        <is>
          <t>Colloq:Transforming Worldview</t>
        </is>
      </c>
      <c r="E1181" t="inlineStr">
        <is>
          <t>GSEM505</t>
        </is>
      </c>
    </row>
    <row r="1182">
      <c r="A1182" t="inlineStr">
        <is>
          <t>CHIS</t>
        </is>
      </c>
      <c r="B1182" t="n">
        <v>690</v>
      </c>
      <c r="C1182" t="inlineStr">
        <is>
          <t>Ind St:</t>
        </is>
      </c>
      <c r="D1182" t="inlineStr">
        <is>
          <t>Ind St:Dvlpmnt SDA Theology</t>
        </is>
      </c>
      <c r="E1182" t="inlineStr">
        <is>
          <t>CHIS690</t>
        </is>
      </c>
    </row>
    <row r="1183">
      <c r="A1183" t="inlineStr">
        <is>
          <t>OTST</t>
        </is>
      </c>
      <c r="B1183" t="n">
        <v>885</v>
      </c>
      <c r="C1183" t="inlineStr">
        <is>
          <t>Topics in:</t>
        </is>
      </c>
      <c r="D1183" t="inlineStr">
        <is>
          <t>Topics in : Biblical Narrative</t>
        </is>
      </c>
      <c r="E1183" t="inlineStr">
        <is>
          <t>OTST885</t>
        </is>
      </c>
    </row>
    <row r="1184">
      <c r="A1184" t="inlineStr">
        <is>
          <t>OTST</t>
        </is>
      </c>
      <c r="B1184" t="n">
        <v>556</v>
      </c>
      <c r="C1184" t="inlineStr">
        <is>
          <t>Readings in Prophets (Engl)</t>
        </is>
      </c>
      <c r="D1184" t="inlineStr">
        <is>
          <t>Readings in Prophets (Engl)</t>
        </is>
      </c>
      <c r="E1184" t="inlineStr">
        <is>
          <t>OTST556</t>
        </is>
      </c>
    </row>
    <row r="1185">
      <c r="A1185" t="inlineStr">
        <is>
          <t>THST</t>
        </is>
      </c>
      <c r="B1185" t="n">
        <v>940</v>
      </c>
      <c r="C1185" t="inlineStr">
        <is>
          <t>Sem in Systematic Theology:</t>
        </is>
      </c>
      <c r="D1185" t="inlineStr">
        <is>
          <t>Sem SysTheo:Biblical Narrative</t>
        </is>
      </c>
      <c r="E1185" t="inlineStr">
        <is>
          <t>THST940</t>
        </is>
      </c>
    </row>
    <row r="1186">
      <c r="A1186" t="inlineStr">
        <is>
          <t>GSEM</t>
        </is>
      </c>
      <c r="B1186" t="n">
        <v>648</v>
      </c>
      <c r="C1186" t="inlineStr">
        <is>
          <t>Workshop</t>
        </is>
      </c>
      <c r="D1186" t="inlineStr">
        <is>
          <t>Wrkshp:AUMusic&amp;Wrshp Cnfrnc</t>
        </is>
      </c>
      <c r="E1186" t="inlineStr">
        <is>
          <t>GSEM648</t>
        </is>
      </c>
    </row>
    <row r="1187">
      <c r="A1187" t="inlineStr">
        <is>
          <t>CHMN</t>
        </is>
      </c>
      <c r="B1187" t="n">
        <v>890</v>
      </c>
      <c r="C1187" t="inlineStr">
        <is>
          <t>Directed Rdgs in Church Min</t>
        </is>
      </c>
      <c r="D1187" t="inlineStr">
        <is>
          <t>Directed Readings</t>
        </is>
      </c>
      <c r="E1187" t="inlineStr">
        <is>
          <t>CHMN890</t>
        </is>
      </c>
    </row>
    <row r="1188">
      <c r="A1188" t="inlineStr">
        <is>
          <t>THST</t>
        </is>
      </c>
      <c r="B1188" t="n">
        <v>695</v>
      </c>
      <c r="C1188" t="inlineStr">
        <is>
          <t>Top:</t>
        </is>
      </c>
      <c r="D1188" t="inlineStr">
        <is>
          <t>Top:Christology</t>
        </is>
      </c>
      <c r="E1188" t="inlineStr">
        <is>
          <t>THST695</t>
        </is>
      </c>
    </row>
    <row r="1189">
      <c r="A1189" t="inlineStr">
        <is>
          <t>OTST</t>
        </is>
      </c>
      <c r="B1189" t="n">
        <v>890</v>
      </c>
      <c r="C1189" t="inlineStr">
        <is>
          <t>Directed Rdg in Old Testmt</t>
        </is>
      </c>
      <c r="D1189" t="inlineStr">
        <is>
          <t>Directed Rdg in OT: Aramaic</t>
        </is>
      </c>
      <c r="E1189" t="inlineStr">
        <is>
          <t>OTST890</t>
        </is>
      </c>
    </row>
    <row r="1190">
      <c r="A1190" t="inlineStr">
        <is>
          <t>MSSN</t>
        </is>
      </c>
      <c r="B1190" t="n">
        <v>690</v>
      </c>
      <c r="C1190" t="inlineStr">
        <is>
          <t>Ind St:</t>
        </is>
      </c>
      <c r="D1190" t="inlineStr">
        <is>
          <t>Ind St: Mission &amp; Other Relgns</t>
        </is>
      </c>
      <c r="E1190" t="inlineStr">
        <is>
          <t>MSSN690</t>
        </is>
      </c>
    </row>
    <row r="1191">
      <c r="A1191" t="inlineStr">
        <is>
          <t>MSSN</t>
        </is>
      </c>
      <c r="B1191" t="n">
        <v>690</v>
      </c>
      <c r="C1191" t="inlineStr">
        <is>
          <t>Ind St:</t>
        </is>
      </c>
      <c r="D1191" t="inlineStr">
        <is>
          <t>Ind St:Strat for World Mission</t>
        </is>
      </c>
      <c r="E1191" t="inlineStr">
        <is>
          <t>MSSN690</t>
        </is>
      </c>
    </row>
    <row r="1192">
      <c r="A1192" t="inlineStr">
        <is>
          <t>MSSN</t>
        </is>
      </c>
      <c r="B1192" t="n">
        <v>897</v>
      </c>
      <c r="C1192" t="inlineStr">
        <is>
          <t>Ind St:</t>
        </is>
      </c>
      <c r="D1192" t="inlineStr">
        <is>
          <t>Ind St: Mission Field Research</t>
        </is>
      </c>
      <c r="E1192" t="inlineStr">
        <is>
          <t>MSSN897</t>
        </is>
      </c>
    </row>
    <row r="1193">
      <c r="A1193" t="inlineStr">
        <is>
          <t>THST</t>
        </is>
      </c>
      <c r="B1193" t="n">
        <v>897</v>
      </c>
      <c r="C1193" t="inlineStr">
        <is>
          <t>Ind St:</t>
        </is>
      </c>
      <c r="E1193" t="inlineStr">
        <is>
          <t>THST897</t>
        </is>
      </c>
    </row>
    <row r="1194">
      <c r="A1194" t="inlineStr">
        <is>
          <t>MSSN</t>
        </is>
      </c>
      <c r="B1194" t="n">
        <v>690</v>
      </c>
      <c r="C1194" t="inlineStr">
        <is>
          <t>Ind St:</t>
        </is>
      </c>
      <c r="D1194" t="inlineStr">
        <is>
          <t>Ind St:Strtgs for Wrld Mission</t>
        </is>
      </c>
      <c r="E1194" t="inlineStr">
        <is>
          <t>MSSN690</t>
        </is>
      </c>
    </row>
    <row r="1195">
      <c r="A1195" t="inlineStr">
        <is>
          <t>THST</t>
        </is>
      </c>
      <c r="B1195" t="n">
        <v>897</v>
      </c>
      <c r="C1195" t="inlineStr">
        <is>
          <t>Ind St:</t>
        </is>
      </c>
      <c r="D1195" t="inlineStr">
        <is>
          <t>Ind St:Theology &amp; Peace Build</t>
        </is>
      </c>
      <c r="E1195" t="inlineStr">
        <is>
          <t>THST897</t>
        </is>
      </c>
    </row>
    <row r="1196">
      <c r="A1196" t="inlineStr">
        <is>
          <t>OTST</t>
        </is>
      </c>
      <c r="B1196" t="n">
        <v>895</v>
      </c>
      <c r="C1196" t="inlineStr">
        <is>
          <t>Independent Study:</t>
        </is>
      </c>
      <c r="E1196" t="inlineStr">
        <is>
          <t>OTST895</t>
        </is>
      </c>
    </row>
    <row r="1197">
      <c r="A1197" t="inlineStr">
        <is>
          <t>NTST</t>
        </is>
      </c>
      <c r="B1197" t="n">
        <v>536</v>
      </c>
      <c r="C1197" t="inlineStr">
        <is>
          <t>Readings in the Gospels</t>
        </is>
      </c>
      <c r="D1197" t="inlineStr">
        <is>
          <t>Readings in the Gospels</t>
        </is>
      </c>
      <c r="E1197" t="inlineStr">
        <is>
          <t>NTST536</t>
        </is>
      </c>
    </row>
    <row r="1198">
      <c r="A1198" t="inlineStr">
        <is>
          <t>MSSN</t>
        </is>
      </c>
      <c r="B1198" t="n">
        <v>885</v>
      </c>
      <c r="C1198" t="inlineStr">
        <is>
          <t>Topics in:</t>
        </is>
      </c>
      <c r="D1198" t="inlineStr">
        <is>
          <t>Topics in:Strtgs of World Mssn</t>
        </is>
      </c>
      <c r="E1198" t="inlineStr">
        <is>
          <t>MSSN885</t>
        </is>
      </c>
    </row>
    <row r="1199">
      <c r="A1199" t="inlineStr">
        <is>
          <t>THST</t>
        </is>
      </c>
      <c r="B1199" t="n">
        <v>649</v>
      </c>
      <c r="C1199" t="inlineStr">
        <is>
          <t>Sem in Theological Issues:</t>
        </is>
      </c>
      <c r="D1199" t="inlineStr">
        <is>
          <t>SemTheoIss:Biblical Narratives</t>
        </is>
      </c>
      <c r="E1199" t="inlineStr">
        <is>
          <t>THST649</t>
        </is>
      </c>
    </row>
    <row r="1200">
      <c r="A1200" t="inlineStr">
        <is>
          <t>CHMN</t>
        </is>
      </c>
      <c r="B1200" t="n">
        <v>773</v>
      </c>
      <c r="C1200" t="inlineStr">
        <is>
          <t>Health Care Leadership</t>
        </is>
      </c>
      <c r="E1200" t="inlineStr">
        <is>
          <t>CHMN773</t>
        </is>
      </c>
    </row>
    <row r="1201">
      <c r="A1201" t="inlineStr">
        <is>
          <t>DSRE</t>
        </is>
      </c>
      <c r="B1201" t="n">
        <v>870</v>
      </c>
      <c r="C1201" t="inlineStr">
        <is>
          <t>Adv Studies:</t>
        </is>
      </c>
      <c r="D1201" t="inlineStr">
        <is>
          <t>Adv St:Narrative Curriculum</t>
        </is>
      </c>
      <c r="E1201" t="inlineStr">
        <is>
          <t>DSRE870</t>
        </is>
      </c>
    </row>
    <row r="1202">
      <c r="A1202" t="inlineStr">
        <is>
          <t>THST</t>
        </is>
      </c>
      <c r="B1202" t="n">
        <v>897</v>
      </c>
      <c r="C1202" t="inlineStr">
        <is>
          <t>Ind St:</t>
        </is>
      </c>
      <c r="D1202" t="inlineStr">
        <is>
          <t>Ind St: Issues in Origins</t>
        </is>
      </c>
      <c r="E1202" t="inlineStr">
        <is>
          <t>THST897</t>
        </is>
      </c>
    </row>
    <row r="1203">
      <c r="A1203" t="inlineStr">
        <is>
          <t>OTST</t>
        </is>
      </c>
      <c r="B1203" t="n">
        <v>690</v>
      </c>
      <c r="C1203" t="inlineStr">
        <is>
          <t>Ind St:</t>
        </is>
      </c>
      <c r="D1203" t="inlineStr">
        <is>
          <t>Ind St: Hebrew II</t>
        </is>
      </c>
      <c r="E1203" t="inlineStr">
        <is>
          <t>OTST690</t>
        </is>
      </c>
    </row>
    <row r="1204">
      <c r="A1204" t="inlineStr">
        <is>
          <t>NTST</t>
        </is>
      </c>
      <c r="B1204" t="n">
        <v>885</v>
      </c>
      <c r="C1204" t="inlineStr">
        <is>
          <t>Topics in</t>
        </is>
      </c>
      <c r="D1204" t="inlineStr">
        <is>
          <t>Top: Eschatology</t>
        </is>
      </c>
      <c r="E1204" t="inlineStr">
        <is>
          <t>NTST885</t>
        </is>
      </c>
    </row>
    <row r="1205">
      <c r="A1205" t="inlineStr">
        <is>
          <t>MSSN</t>
        </is>
      </c>
      <c r="B1205" t="n">
        <v>695</v>
      </c>
      <c r="C1205" t="inlineStr">
        <is>
          <t>Topics:</t>
        </is>
      </c>
      <c r="D1205" t="inlineStr">
        <is>
          <t>Topics:Urban Context</t>
        </is>
      </c>
      <c r="E1205" t="inlineStr">
        <is>
          <t>MSSN695</t>
        </is>
      </c>
    </row>
    <row r="1206">
      <c r="A1206" t="inlineStr">
        <is>
          <t>CHMN</t>
        </is>
      </c>
      <c r="B1206" t="n">
        <v>517</v>
      </c>
      <c r="C1206" t="inlineStr">
        <is>
          <t>Topics in Ministry</t>
        </is>
      </c>
      <c r="D1206" t="inlineStr">
        <is>
          <t>Tpcs Mnstry:ChrchGrwth&amp;EqpPstr</t>
        </is>
      </c>
      <c r="E1206" t="inlineStr">
        <is>
          <t>CHMN517</t>
        </is>
      </c>
    </row>
    <row r="1207">
      <c r="A1207" t="inlineStr">
        <is>
          <t>CHMN</t>
        </is>
      </c>
      <c r="B1207" t="n">
        <v>752</v>
      </c>
      <c r="C1207" t="inlineStr">
        <is>
          <t>Discipling Congregational Ldrs</t>
        </is>
      </c>
      <c r="E1207" t="inlineStr">
        <is>
          <t>CHMN752</t>
        </is>
      </c>
    </row>
    <row r="1208">
      <c r="A1208" t="inlineStr">
        <is>
          <t>CHMN</t>
        </is>
      </c>
      <c r="B1208" t="n">
        <v>690</v>
      </c>
      <c r="C1208" t="inlineStr">
        <is>
          <t>Ind Stdy:</t>
        </is>
      </c>
      <c r="D1208" t="inlineStr">
        <is>
          <t>Ind Stdy:</t>
        </is>
      </c>
      <c r="E1208" t="inlineStr">
        <is>
          <t>CHMN690</t>
        </is>
      </c>
    </row>
    <row r="1209">
      <c r="A1209" t="inlineStr">
        <is>
          <t>NTST</t>
        </is>
      </c>
      <c r="B1209" t="n">
        <v>897</v>
      </c>
      <c r="C1209" t="inlineStr">
        <is>
          <t>Ind. Study:</t>
        </is>
      </c>
      <c r="D1209" t="inlineStr">
        <is>
          <t>Ind. Study:</t>
        </is>
      </c>
      <c r="E1209" t="inlineStr">
        <is>
          <t>NTST897</t>
        </is>
      </c>
    </row>
    <row r="1210">
      <c r="A1210" t="inlineStr">
        <is>
          <t>MSSN</t>
        </is>
      </c>
      <c r="B1210" t="n">
        <v>810</v>
      </c>
      <c r="C1210" t="inlineStr">
        <is>
          <t>Sem:</t>
        </is>
      </c>
      <c r="D1210" t="inlineStr">
        <is>
          <t>Sem: World Religions</t>
        </is>
      </c>
      <c r="E1210" t="inlineStr">
        <is>
          <t>MSSN810</t>
        </is>
      </c>
    </row>
    <row r="1211">
      <c r="A1211" t="inlineStr">
        <is>
          <t>GSEM</t>
        </is>
      </c>
      <c r="B1211" t="n">
        <v>505</v>
      </c>
      <c r="C1211" t="inlineStr">
        <is>
          <t>Colloquium:</t>
        </is>
      </c>
      <c r="D1211" t="inlineStr">
        <is>
          <t>Colloq:AU Rise Up Against Abus</t>
        </is>
      </c>
      <c r="E1211" t="inlineStr">
        <is>
          <t>GSEM505</t>
        </is>
      </c>
    </row>
    <row r="1212">
      <c r="A1212" t="inlineStr">
        <is>
          <t>GSEM</t>
        </is>
      </c>
      <c r="B1212" t="n">
        <v>505</v>
      </c>
      <c r="C1212" t="inlineStr">
        <is>
          <t>Colloquium:</t>
        </is>
      </c>
      <c r="D1212" t="inlineStr">
        <is>
          <t>Coloq:Mental Health&amp;Depression</t>
        </is>
      </c>
      <c r="E1212" t="inlineStr">
        <is>
          <t>GSEM505</t>
        </is>
      </c>
    </row>
    <row r="1213">
      <c r="A1213" t="inlineStr">
        <is>
          <t>MSSN</t>
        </is>
      </c>
      <c r="B1213" t="n">
        <v>690</v>
      </c>
      <c r="C1213" t="inlineStr">
        <is>
          <t>Ind St:</t>
        </is>
      </c>
      <c r="D1213" t="inlineStr">
        <is>
          <t>Ind St:Crstn Rspns Human Needs</t>
        </is>
      </c>
      <c r="E1213" t="inlineStr">
        <is>
          <t>MSSN690</t>
        </is>
      </c>
    </row>
    <row r="1214">
      <c r="A1214" t="inlineStr">
        <is>
          <t>GSEM</t>
        </is>
      </c>
      <c r="B1214" t="n">
        <v>505</v>
      </c>
      <c r="C1214" t="inlineStr">
        <is>
          <t>Colloquium:</t>
        </is>
      </c>
      <c r="D1214" t="inlineStr">
        <is>
          <t>Colloquium:Urban Miss&amp;Min</t>
        </is>
      </c>
      <c r="E1214" t="inlineStr">
        <is>
          <t>GSEM505</t>
        </is>
      </c>
    </row>
    <row r="1215">
      <c r="A1215" t="inlineStr">
        <is>
          <t>NTST</t>
        </is>
      </c>
      <c r="B1215" t="n">
        <v>552</v>
      </c>
      <c r="C1215" t="inlineStr">
        <is>
          <t>Intermediate Greek</t>
        </is>
      </c>
      <c r="D1215" t="inlineStr">
        <is>
          <t>Intermediate Greek</t>
        </is>
      </c>
      <c r="E1215" t="inlineStr">
        <is>
          <t>NTST552</t>
        </is>
      </c>
    </row>
    <row r="1216">
      <c r="A1216" t="inlineStr">
        <is>
          <t>THST</t>
        </is>
      </c>
      <c r="B1216" t="n">
        <v>623</v>
      </c>
      <c r="C1216" t="inlineStr">
        <is>
          <t>Contemp Adventst Theolgcl Iss</t>
        </is>
      </c>
      <c r="D1216" t="inlineStr">
        <is>
          <t>Contemp Adventst Theolgcl Iss</t>
        </is>
      </c>
      <c r="E1216" t="inlineStr">
        <is>
          <t>THST623</t>
        </is>
      </c>
    </row>
    <row r="1217">
      <c r="A1217" t="inlineStr">
        <is>
          <t>OTST</t>
        </is>
      </c>
      <c r="B1217" t="n">
        <v>510</v>
      </c>
      <c r="C1217" t="inlineStr">
        <is>
          <t>Archaeology and the Bible</t>
        </is>
      </c>
      <c r="D1217" t="inlineStr">
        <is>
          <t>Archaeology and the Bible</t>
        </is>
      </c>
      <c r="E1217" t="inlineStr">
        <is>
          <t>OTST510</t>
        </is>
      </c>
    </row>
    <row r="1218">
      <c r="A1218" t="inlineStr">
        <is>
          <t>GSEM</t>
        </is>
      </c>
      <c r="B1218" t="n">
        <v>588</v>
      </c>
      <c r="C1218" t="inlineStr">
        <is>
          <t>In-Ministry Continuation</t>
        </is>
      </c>
      <c r="D1218" t="inlineStr">
        <is>
          <t>In-Ministry Continuation</t>
        </is>
      </c>
      <c r="E1218" t="inlineStr">
        <is>
          <t>GSEM588</t>
        </is>
      </c>
    </row>
    <row r="1219">
      <c r="A1219" t="inlineStr">
        <is>
          <t>DSRE</t>
        </is>
      </c>
      <c r="B1219" t="n">
        <v>680</v>
      </c>
      <c r="C1219" t="inlineStr">
        <is>
          <t>Field Practicum:________</t>
        </is>
      </c>
      <c r="D1219" t="inlineStr">
        <is>
          <t>Field Pract: Religious Educatn</t>
        </is>
      </c>
      <c r="E1219" t="inlineStr">
        <is>
          <t>DSRE680</t>
        </is>
      </c>
    </row>
    <row r="1220">
      <c r="A1220" t="inlineStr">
        <is>
          <t>THST</t>
        </is>
      </c>
      <c r="B1220" t="n">
        <v>627</v>
      </c>
      <c r="C1220" t="inlineStr">
        <is>
          <t>Roman Catholic Life &amp; Thought</t>
        </is>
      </c>
      <c r="D1220" t="inlineStr">
        <is>
          <t>Roman Catholic Life &amp; Thought</t>
        </is>
      </c>
      <c r="E1220" t="inlineStr">
        <is>
          <t>THST627</t>
        </is>
      </c>
    </row>
    <row r="1221">
      <c r="A1221" t="inlineStr">
        <is>
          <t>OTST</t>
        </is>
      </c>
      <c r="B1221" t="n">
        <v>627</v>
      </c>
      <c r="C1221" t="inlineStr">
        <is>
          <t>Jewish Life &amp; Thought</t>
        </is>
      </c>
      <c r="D1221" t="inlineStr">
        <is>
          <t>Jewish Life &amp; Thought</t>
        </is>
      </c>
      <c r="E1221" t="inlineStr">
        <is>
          <t>OTST627</t>
        </is>
      </c>
    </row>
    <row r="1222">
      <c r="A1222" t="inlineStr">
        <is>
          <t>CHIS</t>
        </is>
      </c>
      <c r="B1222" t="n">
        <v>690</v>
      </c>
      <c r="C1222" t="inlineStr">
        <is>
          <t>Ind St:</t>
        </is>
      </c>
      <c r="D1222" t="inlineStr">
        <is>
          <t>Ind St:Church History Study</t>
        </is>
      </c>
      <c r="E1222" t="inlineStr">
        <is>
          <t>CHIS690</t>
        </is>
      </c>
    </row>
    <row r="1223">
      <c r="A1223" t="inlineStr">
        <is>
          <t>CHIS</t>
        </is>
      </c>
      <c r="B1223" t="n">
        <v>690</v>
      </c>
      <c r="C1223" t="inlineStr">
        <is>
          <t>Ind St:</t>
        </is>
      </c>
      <c r="D1223" t="inlineStr">
        <is>
          <t>Ind St:History SDA Development</t>
        </is>
      </c>
      <c r="E1223" t="inlineStr">
        <is>
          <t>CHIS690</t>
        </is>
      </c>
    </row>
    <row r="1224">
      <c r="A1224" t="inlineStr">
        <is>
          <t>CHIS</t>
        </is>
      </c>
      <c r="B1224" t="n">
        <v>690</v>
      </c>
      <c r="C1224" t="inlineStr">
        <is>
          <t>Ind St:</t>
        </is>
      </c>
      <c r="D1224" t="inlineStr">
        <is>
          <t>Ind St:Stud in Church History</t>
        </is>
      </c>
      <c r="E1224" t="inlineStr">
        <is>
          <t>CHIS690</t>
        </is>
      </c>
    </row>
    <row r="1225">
      <c r="A1225" t="inlineStr">
        <is>
          <t>MSSN</t>
        </is>
      </c>
      <c r="B1225" t="n">
        <v>810</v>
      </c>
      <c r="C1225" t="inlineStr">
        <is>
          <t>Sem:</t>
        </is>
      </c>
      <c r="D1225" t="inlineStr">
        <is>
          <t>Sem: Other Religions</t>
        </is>
      </c>
      <c r="E1225" t="inlineStr">
        <is>
          <t>MSSN810</t>
        </is>
      </c>
    </row>
    <row r="1226">
      <c r="A1226" t="inlineStr">
        <is>
          <t>GSEM</t>
        </is>
      </c>
      <c r="B1226" t="n">
        <v>505</v>
      </c>
      <c r="C1226" t="inlineStr">
        <is>
          <t>Colloquium:</t>
        </is>
      </c>
      <c r="D1226" t="inlineStr">
        <is>
          <t>Colloquium:NAD End it Now Conf</t>
        </is>
      </c>
      <c r="E1226" t="inlineStr">
        <is>
          <t>GSEM505</t>
        </is>
      </c>
    </row>
    <row r="1227">
      <c r="A1227" t="inlineStr">
        <is>
          <t>CHIS</t>
        </is>
      </c>
      <c r="B1227" t="n">
        <v>690</v>
      </c>
      <c r="C1227" t="inlineStr">
        <is>
          <t>Ind St:</t>
        </is>
      </c>
      <c r="D1227" t="inlineStr">
        <is>
          <t>Ind St: Adventist Heritage</t>
        </is>
      </c>
      <c r="E1227" t="inlineStr">
        <is>
          <t>CHIS690</t>
        </is>
      </c>
    </row>
    <row r="1228">
      <c r="A1228" t="inlineStr">
        <is>
          <t>MSSN</t>
        </is>
      </c>
      <c r="B1228" t="n">
        <v>899</v>
      </c>
      <c r="C1228" t="inlineStr">
        <is>
          <t>DMiss Dissertation</t>
        </is>
      </c>
      <c r="E1228" t="inlineStr">
        <is>
          <t>MSSN899</t>
        </is>
      </c>
    </row>
    <row r="1229">
      <c r="A1229" t="inlineStr">
        <is>
          <t>MSSN</t>
        </is>
      </c>
      <c r="B1229" t="n">
        <v>695</v>
      </c>
      <c r="C1229" t="inlineStr">
        <is>
          <t>Topics:</t>
        </is>
      </c>
      <c r="D1229" t="inlineStr">
        <is>
          <t>Top:Mission Cultur&amp;Rel Context</t>
        </is>
      </c>
      <c r="E1229" t="inlineStr">
        <is>
          <t>MSSN695</t>
        </is>
      </c>
    </row>
    <row r="1230">
      <c r="A1230" t="inlineStr">
        <is>
          <t>CHMN</t>
        </is>
      </c>
      <c r="B1230" t="n">
        <v>556</v>
      </c>
      <c r="C1230" t="inlineStr">
        <is>
          <t>Prof Development Practicum</t>
        </is>
      </c>
      <c r="E1230" t="inlineStr">
        <is>
          <t>CHMN556</t>
        </is>
      </c>
    </row>
    <row r="1231">
      <c r="A1231" t="inlineStr">
        <is>
          <t>GSEM</t>
        </is>
      </c>
      <c r="B1231" t="n">
        <v>648</v>
      </c>
      <c r="C1231" t="inlineStr">
        <is>
          <t>Workshop</t>
        </is>
      </c>
      <c r="D1231" t="inlineStr">
        <is>
          <t>Workshop:Coaching</t>
        </is>
      </c>
      <c r="E1231" t="inlineStr">
        <is>
          <t>GSEM648</t>
        </is>
      </c>
    </row>
    <row r="1232">
      <c r="A1232" t="inlineStr">
        <is>
          <t>GSEM</t>
        </is>
      </c>
      <c r="B1232" t="n">
        <v>505</v>
      </c>
      <c r="C1232" t="inlineStr">
        <is>
          <t>Colloquium:</t>
        </is>
      </c>
      <c r="D1232" t="inlineStr">
        <is>
          <t>Colloquium:Master Guide</t>
        </is>
      </c>
      <c r="E1232" t="inlineStr">
        <is>
          <t>GSEM505</t>
        </is>
      </c>
    </row>
    <row r="1233">
      <c r="A1233" t="inlineStr">
        <is>
          <t>DSRE</t>
        </is>
      </c>
      <c r="B1233" t="n">
        <v>870</v>
      </c>
      <c r="C1233" t="inlineStr">
        <is>
          <t>Adv Studies:</t>
        </is>
      </c>
      <c r="D1233" t="inlineStr">
        <is>
          <t>Adv Stds:Thlgcal Fndtns Chrstn</t>
        </is>
      </c>
      <c r="E1233" t="inlineStr">
        <is>
          <t>DSRE870</t>
        </is>
      </c>
    </row>
    <row r="1234">
      <c r="A1234" t="inlineStr">
        <is>
          <t>DSRE</t>
        </is>
      </c>
      <c r="B1234" t="n">
        <v>616</v>
      </c>
      <c r="C1234" t="inlineStr">
        <is>
          <t>CollabMin: Part in Disc&amp;Mssn</t>
        </is>
      </c>
      <c r="E1234" t="inlineStr">
        <is>
          <t>DSRE616</t>
        </is>
      </c>
    </row>
    <row r="1235">
      <c r="A1235" t="inlineStr">
        <is>
          <t>DSRE</t>
        </is>
      </c>
      <c r="B1235" t="n">
        <v>690</v>
      </c>
      <c r="C1235" t="inlineStr">
        <is>
          <t>Ind St:</t>
        </is>
      </c>
      <c r="D1235" t="inlineStr">
        <is>
          <t>Ind St:Y&amp;YA Cntmprry Cltr</t>
        </is>
      </c>
      <c r="E1235" t="inlineStr">
        <is>
          <t>DSRE690</t>
        </is>
      </c>
    </row>
    <row r="1236">
      <c r="A1236" t="inlineStr">
        <is>
          <t>DSRE</t>
        </is>
      </c>
      <c r="B1236" t="n">
        <v>690</v>
      </c>
      <c r="C1236" t="inlineStr">
        <is>
          <t>Ind St:</t>
        </is>
      </c>
      <c r="D1236" t="inlineStr">
        <is>
          <t>Ind St:Mnstry to At Risk Youth</t>
        </is>
      </c>
      <c r="E1236" t="inlineStr">
        <is>
          <t>DSRE690</t>
        </is>
      </c>
    </row>
    <row r="1237">
      <c r="A1237" t="inlineStr">
        <is>
          <t>DSRE</t>
        </is>
      </c>
      <c r="B1237" t="n">
        <v>885</v>
      </c>
      <c r="C1237" t="inlineStr">
        <is>
          <t>Field Practicum:</t>
        </is>
      </c>
      <c r="D1237" t="inlineStr">
        <is>
          <t>Field Practicum: Religious Ed</t>
        </is>
      </c>
      <c r="E1237" t="inlineStr">
        <is>
          <t>DSRE885</t>
        </is>
      </c>
    </row>
    <row r="1238">
      <c r="A1238" t="inlineStr">
        <is>
          <t>THST</t>
        </is>
      </c>
      <c r="B1238" t="n">
        <v>885</v>
      </c>
      <c r="C1238" t="inlineStr">
        <is>
          <t>Top:</t>
        </is>
      </c>
      <c r="D1238" t="inlineStr">
        <is>
          <t>Top: Contemporary Theology</t>
        </is>
      </c>
      <c r="E1238" t="inlineStr">
        <is>
          <t>THST885</t>
        </is>
      </c>
    </row>
    <row r="1239">
      <c r="A1239" t="inlineStr">
        <is>
          <t>GSEM</t>
        </is>
      </c>
      <c r="B1239" t="n">
        <v>505</v>
      </c>
      <c r="C1239" t="inlineStr">
        <is>
          <t>Colloquium:</t>
        </is>
      </c>
      <c r="D1239" t="inlineStr">
        <is>
          <t>Colloquim:Advntst Lrnng Cmmnts</t>
        </is>
      </c>
      <c r="E1239" t="inlineStr">
        <is>
          <t>GSEM505</t>
        </is>
      </c>
    </row>
    <row r="1240">
      <c r="A1240" t="inlineStr">
        <is>
          <t>THST</t>
        </is>
      </c>
      <c r="B1240" t="n">
        <v>885</v>
      </c>
      <c r="C1240" t="inlineStr">
        <is>
          <t>Top:</t>
        </is>
      </c>
      <c r="D1240" t="inlineStr">
        <is>
          <t>Top: History of Philosophy</t>
        </is>
      </c>
      <c r="E1240" t="inlineStr">
        <is>
          <t>THST885</t>
        </is>
      </c>
    </row>
    <row r="1241">
      <c r="A1241" t="inlineStr">
        <is>
          <t>DSRE</t>
        </is>
      </c>
      <c r="B1241" t="n">
        <v>870</v>
      </c>
      <c r="C1241" t="inlineStr">
        <is>
          <t>Adv Studies:</t>
        </is>
      </c>
      <c r="D1241" t="inlineStr">
        <is>
          <t>Adv Stds:Ethical Lead&amp;Org Intg</t>
        </is>
      </c>
      <c r="E1241" t="inlineStr">
        <is>
          <t>DSRE870</t>
        </is>
      </c>
    </row>
    <row r="1242">
      <c r="A1242" t="inlineStr">
        <is>
          <t>DSRE</t>
        </is>
      </c>
      <c r="B1242" t="n">
        <v>870</v>
      </c>
      <c r="C1242" t="inlineStr">
        <is>
          <t>Adv Studies:</t>
        </is>
      </c>
      <c r="D1242" t="inlineStr">
        <is>
          <t>Adv Stds:Dssrttn Ltrtr Review</t>
        </is>
      </c>
      <c r="E1242" t="inlineStr">
        <is>
          <t>DSRE870</t>
        </is>
      </c>
    </row>
    <row r="1243">
      <c r="A1243" t="inlineStr">
        <is>
          <t>MSSN</t>
        </is>
      </c>
      <c r="B1243" t="n">
        <v>897</v>
      </c>
      <c r="C1243" t="inlineStr">
        <is>
          <t>Ind St:</t>
        </is>
      </c>
      <c r="D1243" t="inlineStr">
        <is>
          <t>Ind St: History of Mission</t>
        </is>
      </c>
      <c r="E1243" t="inlineStr">
        <is>
          <t>MSSN897</t>
        </is>
      </c>
    </row>
    <row r="1244">
      <c r="A1244" t="inlineStr">
        <is>
          <t>CHMN</t>
        </is>
      </c>
      <c r="B1244" t="n">
        <v>632</v>
      </c>
      <c r="C1244" t="inlineStr">
        <is>
          <t>Contextualized Preaching</t>
        </is>
      </c>
      <c r="D1244" t="inlineStr">
        <is>
          <t>Contextualized Prchng: Spanish</t>
        </is>
      </c>
      <c r="E1244" t="inlineStr">
        <is>
          <t>CHMN632</t>
        </is>
      </c>
    </row>
    <row r="1245">
      <c r="A1245" t="inlineStr">
        <is>
          <t>THST</t>
        </is>
      </c>
      <c r="B1245" t="n">
        <v>940</v>
      </c>
      <c r="C1245" t="inlineStr">
        <is>
          <t>Sem in Systematic Theology:</t>
        </is>
      </c>
      <c r="D1245" t="inlineStr">
        <is>
          <t>Sem in Systematic Theology:</t>
        </is>
      </c>
      <c r="E1245" t="inlineStr">
        <is>
          <t>THST940</t>
        </is>
      </c>
    </row>
    <row r="1246">
      <c r="A1246" t="inlineStr">
        <is>
          <t>NTST</t>
        </is>
      </c>
      <c r="B1246" t="n">
        <v>885</v>
      </c>
      <c r="C1246" t="inlineStr">
        <is>
          <t>Topics in</t>
        </is>
      </c>
      <c r="D1246" t="inlineStr">
        <is>
          <t>Top:Rdgs in the Septuagint</t>
        </is>
      </c>
      <c r="E1246" t="inlineStr">
        <is>
          <t>NTST885</t>
        </is>
      </c>
    </row>
    <row r="1247">
      <c r="A1247" t="inlineStr">
        <is>
          <t>DSRE</t>
        </is>
      </c>
      <c r="B1247" t="n">
        <v>690</v>
      </c>
      <c r="C1247" t="inlineStr">
        <is>
          <t>Ind St:</t>
        </is>
      </c>
      <c r="D1247" t="inlineStr">
        <is>
          <t>Ind St: Biblical Spirituality</t>
        </is>
      </c>
      <c r="E1247" t="inlineStr">
        <is>
          <t>DSRE690</t>
        </is>
      </c>
    </row>
    <row r="1248">
      <c r="A1248" t="inlineStr">
        <is>
          <t>DSRE</t>
        </is>
      </c>
      <c r="B1248" t="n">
        <v>870</v>
      </c>
      <c r="C1248" t="inlineStr">
        <is>
          <t>Adv Studies:</t>
        </is>
      </c>
      <c r="D1248" t="inlineStr">
        <is>
          <t>Adv Studies:DscplshpAdvntEduc</t>
        </is>
      </c>
      <c r="E1248" t="inlineStr">
        <is>
          <t>DSRE870</t>
        </is>
      </c>
    </row>
    <row r="1249">
      <c r="A1249" t="inlineStr">
        <is>
          <t>OTST</t>
        </is>
      </c>
      <c r="B1249" t="n">
        <v>566</v>
      </c>
      <c r="C1249" t="inlineStr">
        <is>
          <t>Stud in the Pentateuch (Engl)</t>
        </is>
      </c>
      <c r="D1249" t="inlineStr">
        <is>
          <t>Stud in the Pentateuch (Engl)</t>
        </is>
      </c>
      <c r="E1249" t="inlineStr">
        <is>
          <t>OTST566</t>
        </is>
      </c>
    </row>
    <row r="1250">
      <c r="A1250" t="inlineStr">
        <is>
          <t>MSSN</t>
        </is>
      </c>
      <c r="B1250" t="n">
        <v>690</v>
      </c>
      <c r="C1250" t="inlineStr">
        <is>
          <t>Ind St:</t>
        </is>
      </c>
      <c r="D1250" t="inlineStr">
        <is>
          <t>Ind St:Chrstn Rspnss Hmn Needs</t>
        </is>
      </c>
      <c r="E1250" t="inlineStr">
        <is>
          <t>MSSN690</t>
        </is>
      </c>
    </row>
    <row r="1251">
      <c r="A1251" t="inlineStr">
        <is>
          <t>GSEM</t>
        </is>
      </c>
      <c r="B1251" t="n">
        <v>678</v>
      </c>
      <c r="C1251" t="inlineStr">
        <is>
          <t>Church History Study Tour</t>
        </is>
      </c>
      <c r="D1251" t="inlineStr">
        <is>
          <t>Church History Study Tour</t>
        </is>
      </c>
      <c r="E1251" t="inlineStr">
        <is>
          <t>GSEM678</t>
        </is>
      </c>
    </row>
    <row r="1252">
      <c r="A1252" t="inlineStr">
        <is>
          <t>THST</t>
        </is>
      </c>
      <c r="B1252" t="n">
        <v>649</v>
      </c>
      <c r="C1252" t="inlineStr">
        <is>
          <t>Sem in Theological Issues:</t>
        </is>
      </c>
      <c r="D1252" t="inlineStr">
        <is>
          <t>Sem in Theological Issues:</t>
        </is>
      </c>
      <c r="E1252" t="inlineStr">
        <is>
          <t>THST649</t>
        </is>
      </c>
    </row>
    <row r="1253">
      <c r="A1253" t="inlineStr">
        <is>
          <t>CHIS</t>
        </is>
      </c>
      <c r="B1253" t="n">
        <v>940</v>
      </c>
      <c r="C1253" t="inlineStr">
        <is>
          <t>Seminar in Church History:</t>
        </is>
      </c>
      <c r="D1253" t="inlineStr">
        <is>
          <t>StChHist:Linguist Theologians</t>
        </is>
      </c>
      <c r="E1253" t="inlineStr">
        <is>
          <t>CHIS940</t>
        </is>
      </c>
    </row>
    <row r="1254">
      <c r="A1254" t="inlineStr">
        <is>
          <t>GSEM</t>
        </is>
      </c>
      <c r="B1254" t="n">
        <v>505</v>
      </c>
      <c r="C1254" t="inlineStr">
        <is>
          <t>Colloquium:</t>
        </is>
      </c>
      <c r="D1254" t="inlineStr">
        <is>
          <t>Colloquium:End It Now</t>
        </is>
      </c>
      <c r="E1254" t="inlineStr">
        <is>
          <t>GSEM505</t>
        </is>
      </c>
    </row>
    <row r="1255">
      <c r="A1255" t="inlineStr">
        <is>
          <t>MSSN</t>
        </is>
      </c>
      <c r="B1255" t="n">
        <v>690</v>
      </c>
      <c r="C1255" t="inlineStr">
        <is>
          <t>Ind St:</t>
        </is>
      </c>
      <c r="D1255" t="inlineStr">
        <is>
          <t>Ind St:Prep Cross-cult Workers</t>
        </is>
      </c>
      <c r="E1255" t="inlineStr">
        <is>
          <t>MSSN690</t>
        </is>
      </c>
    </row>
    <row r="1256">
      <c r="A1256" t="inlineStr">
        <is>
          <t>OTST</t>
        </is>
      </c>
      <c r="B1256" t="n">
        <v>690</v>
      </c>
      <c r="C1256" t="inlineStr">
        <is>
          <t>Ind St:</t>
        </is>
      </c>
      <c r="D1256" t="inlineStr">
        <is>
          <t>Ind St: Minor Prophets</t>
        </is>
      </c>
      <c r="E1256" t="inlineStr">
        <is>
          <t>OTST690</t>
        </is>
      </c>
    </row>
    <row r="1257">
      <c r="A1257" t="inlineStr">
        <is>
          <t>MSSN</t>
        </is>
      </c>
      <c r="B1257" t="n">
        <v>897</v>
      </c>
      <c r="C1257" t="inlineStr">
        <is>
          <t>Ind St:</t>
        </is>
      </c>
      <c r="D1257" t="inlineStr">
        <is>
          <t>Ind St:Field Rsrch for Mission</t>
        </is>
      </c>
      <c r="E1257" t="inlineStr">
        <is>
          <t>MSSN897</t>
        </is>
      </c>
    </row>
    <row r="1258">
      <c r="A1258" t="inlineStr">
        <is>
          <t>GSEM</t>
        </is>
      </c>
      <c r="B1258" t="n">
        <v>505</v>
      </c>
      <c r="C1258" t="inlineStr">
        <is>
          <t>Colloquium:</t>
        </is>
      </c>
      <c r="D1258" t="inlineStr">
        <is>
          <t>Coll:Deal Biblicly w/Demonzatn</t>
        </is>
      </c>
      <c r="E1258" t="inlineStr">
        <is>
          <t>GSEM505</t>
        </is>
      </c>
    </row>
    <row r="1259">
      <c r="A1259" t="inlineStr">
        <is>
          <t>CHMN</t>
        </is>
      </c>
      <c r="B1259" t="n">
        <v>541</v>
      </c>
      <c r="C1259" t="inlineStr">
        <is>
          <t>Church Growth</t>
        </is>
      </c>
      <c r="E1259" t="inlineStr">
        <is>
          <t>CHMN541</t>
        </is>
      </c>
    </row>
    <row r="1260">
      <c r="A1260" t="inlineStr">
        <is>
          <t>CHIS</t>
        </is>
      </c>
      <c r="B1260" t="n">
        <v>690</v>
      </c>
      <c r="C1260" t="inlineStr">
        <is>
          <t>Ind St:</t>
        </is>
      </c>
      <c r="D1260" t="inlineStr">
        <is>
          <t>Ind St:Advntst Stds Research</t>
        </is>
      </c>
      <c r="E1260" t="inlineStr">
        <is>
          <t>CHIS690</t>
        </is>
      </c>
    </row>
    <row r="1261">
      <c r="A1261" t="inlineStr">
        <is>
          <t>GSEM</t>
        </is>
      </c>
      <c r="B1261" t="n">
        <v>505</v>
      </c>
      <c r="C1261" t="inlineStr">
        <is>
          <t>Colloquium:</t>
        </is>
      </c>
      <c r="D1261" t="inlineStr">
        <is>
          <t>Colloquium:Jesus &amp; Politics</t>
        </is>
      </c>
      <c r="E1261" t="inlineStr">
        <is>
          <t>GSEM505</t>
        </is>
      </c>
    </row>
    <row r="1262">
      <c r="A1262" t="inlineStr">
        <is>
          <t>CHMN</t>
        </is>
      </c>
      <c r="B1262" t="n">
        <v>567</v>
      </c>
      <c r="C1262" t="inlineStr">
        <is>
          <t>Health&amp;Lifestyle Transformatn</t>
        </is>
      </c>
      <c r="D1262" t="inlineStr">
        <is>
          <t>Health&amp;Lifestyle Transformatn</t>
        </is>
      </c>
      <c r="E1262" t="inlineStr">
        <is>
          <t>CHMN567</t>
        </is>
      </c>
    </row>
    <row r="1263">
      <c r="A1263" t="inlineStr">
        <is>
          <t>GSEM</t>
        </is>
      </c>
      <c r="B1263" t="n">
        <v>501</v>
      </c>
      <c r="C1263" t="inlineStr">
        <is>
          <t>New Student Orientation</t>
        </is>
      </c>
      <c r="E1263" t="inlineStr">
        <is>
          <t>GSEM501</t>
        </is>
      </c>
    </row>
    <row r="1264">
      <c r="A1264" t="inlineStr">
        <is>
          <t>THST</t>
        </is>
      </c>
      <c r="B1264" t="n">
        <v>897</v>
      </c>
      <c r="C1264" t="inlineStr">
        <is>
          <t>Ind St:</t>
        </is>
      </c>
      <c r="D1264" t="inlineStr">
        <is>
          <t>Ind St:Scnctuary Typology</t>
        </is>
      </c>
      <c r="E1264" t="inlineStr">
        <is>
          <t>THST897</t>
        </is>
      </c>
    </row>
    <row r="1265">
      <c r="A1265" t="inlineStr">
        <is>
          <t>THST</t>
        </is>
      </c>
      <c r="B1265" t="n">
        <v>897</v>
      </c>
      <c r="C1265" t="inlineStr">
        <is>
          <t>Ind St:</t>
        </is>
      </c>
      <c r="D1265" t="inlineStr">
        <is>
          <t>Ind St:Black Theodicy</t>
        </is>
      </c>
      <c r="E1265" t="inlineStr">
        <is>
          <t>THST897</t>
        </is>
      </c>
    </row>
    <row r="1266">
      <c r="A1266" t="inlineStr">
        <is>
          <t>THST</t>
        </is>
      </c>
      <c r="B1266" t="n">
        <v>622</v>
      </c>
      <c r="C1266" t="inlineStr">
        <is>
          <t>Found of Philosophical Ethics</t>
        </is>
      </c>
      <c r="E1266" t="inlineStr">
        <is>
          <t>THST622</t>
        </is>
      </c>
    </row>
    <row r="1267">
      <c r="A1267" t="inlineStr">
        <is>
          <t>DSRE</t>
        </is>
      </c>
      <c r="B1267" t="n">
        <v>543</v>
      </c>
      <c r="C1267" t="inlineStr">
        <is>
          <t>Assmnt Treatmt Victim Violence</t>
        </is>
      </c>
      <c r="E1267" t="inlineStr">
        <is>
          <t>DSRE543</t>
        </is>
      </c>
    </row>
    <row r="1268">
      <c r="A1268" t="inlineStr">
        <is>
          <t>CHMN</t>
        </is>
      </c>
      <c r="B1268" t="n">
        <v>641</v>
      </c>
      <c r="C1268" t="inlineStr">
        <is>
          <t>Practicum Military Chaplaincy</t>
        </is>
      </c>
      <c r="D1268" t="inlineStr">
        <is>
          <t>Practicum Military Chaplaincy</t>
        </is>
      </c>
      <c r="E1268" t="inlineStr">
        <is>
          <t>CHMN641</t>
        </is>
      </c>
    </row>
    <row r="1269">
      <c r="A1269" t="inlineStr">
        <is>
          <t>GSEM</t>
        </is>
      </c>
      <c r="B1269" t="n">
        <v>505</v>
      </c>
      <c r="C1269" t="inlineStr">
        <is>
          <t>Colloquium:</t>
        </is>
      </c>
      <c r="D1269" t="inlineStr">
        <is>
          <t>Coll:Club Ministries Evangelsm</t>
        </is>
      </c>
      <c r="E1269" t="inlineStr">
        <is>
          <t>GSEM505</t>
        </is>
      </c>
    </row>
    <row r="1270">
      <c r="A1270" t="inlineStr">
        <is>
          <t>OTST</t>
        </is>
      </c>
      <c r="B1270" t="n">
        <v>546</v>
      </c>
      <c r="C1270" t="inlineStr">
        <is>
          <t>Studies in Daniel (Engl)</t>
        </is>
      </c>
      <c r="D1270" t="inlineStr">
        <is>
          <t>Studies in Daniel (Engl)</t>
        </is>
      </c>
      <c r="E1270" t="inlineStr">
        <is>
          <t>OTST546</t>
        </is>
      </c>
    </row>
    <row r="1271">
      <c r="A1271" t="inlineStr">
        <is>
          <t>DSRE</t>
        </is>
      </c>
      <c r="B1271" t="n">
        <v>870</v>
      </c>
      <c r="C1271" t="inlineStr">
        <is>
          <t>Adv Studies:</t>
        </is>
      </c>
      <c r="D1271" t="inlineStr">
        <is>
          <t>Adv Stds:ChrstnFormtn&amp;Dscplshp</t>
        </is>
      </c>
      <c r="E1271" t="inlineStr">
        <is>
          <t>DSRE870</t>
        </is>
      </c>
    </row>
    <row r="1272">
      <c r="A1272" t="inlineStr">
        <is>
          <t>OTST</t>
        </is>
      </c>
      <c r="B1272" t="n">
        <v>885</v>
      </c>
      <c r="C1272" t="inlineStr">
        <is>
          <t>Topics in:</t>
        </is>
      </c>
      <c r="D1272" t="inlineStr">
        <is>
          <t>Top: Theology of the OT</t>
        </is>
      </c>
      <c r="E1272" t="inlineStr">
        <is>
          <t>OTST885</t>
        </is>
      </c>
    </row>
    <row r="1273">
      <c r="A1273" t="inlineStr">
        <is>
          <t>DSRE</t>
        </is>
      </c>
      <c r="B1273" t="n">
        <v>870</v>
      </c>
      <c r="C1273" t="inlineStr">
        <is>
          <t>Adv Studies:</t>
        </is>
      </c>
      <c r="D1273" t="inlineStr">
        <is>
          <t>Adv Studies:Synthesis Rel Ed</t>
        </is>
      </c>
      <c r="E1273" t="inlineStr">
        <is>
          <t>DSRE870</t>
        </is>
      </c>
    </row>
    <row r="1274">
      <c r="A1274" t="inlineStr">
        <is>
          <t>CHIS</t>
        </is>
      </c>
      <c r="B1274" t="n">
        <v>690</v>
      </c>
      <c r="C1274" t="inlineStr">
        <is>
          <t>Ind St:</t>
        </is>
      </c>
      <c r="D1274" t="inlineStr">
        <is>
          <t>Ind St: Research Methods</t>
        </is>
      </c>
      <c r="E1274" t="inlineStr">
        <is>
          <t>CHIS690</t>
        </is>
      </c>
    </row>
    <row r="1275">
      <c r="A1275" t="inlineStr">
        <is>
          <t>OTST</t>
        </is>
      </c>
      <c r="B1275" t="n">
        <v>556</v>
      </c>
      <c r="C1275" t="inlineStr">
        <is>
          <t>Readings in Prophets (Engl)</t>
        </is>
      </c>
      <c r="D1275" t="inlineStr">
        <is>
          <t>Studies in Prophets (Engl)</t>
        </is>
      </c>
      <c r="E1275" t="inlineStr">
        <is>
          <t>OTST556</t>
        </is>
      </c>
    </row>
    <row r="1276">
      <c r="A1276" t="inlineStr">
        <is>
          <t>MSSN</t>
        </is>
      </c>
      <c r="B1276" t="n">
        <v>690</v>
      </c>
      <c r="C1276" t="inlineStr">
        <is>
          <t>Ind St:</t>
        </is>
      </c>
      <c r="D1276" t="inlineStr">
        <is>
          <t>Ind St:Relief Dvlpmnt&amp;Holistic</t>
        </is>
      </c>
      <c r="E1276" t="inlineStr">
        <is>
          <t>MSSN690</t>
        </is>
      </c>
    </row>
    <row r="1277">
      <c r="A1277" t="inlineStr">
        <is>
          <t>DSRE</t>
        </is>
      </c>
      <c r="B1277" t="n">
        <v>676</v>
      </c>
      <c r="C1277" t="inlineStr">
        <is>
          <t>Top:</t>
        </is>
      </c>
      <c r="D1277" t="inlineStr">
        <is>
          <t>Top:ChrstnFormation&amp;Discplship</t>
        </is>
      </c>
      <c r="E1277" t="inlineStr">
        <is>
          <t>DSRE676</t>
        </is>
      </c>
    </row>
    <row r="1278">
      <c r="A1278" t="inlineStr">
        <is>
          <t>OTST</t>
        </is>
      </c>
      <c r="B1278" t="n">
        <v>690</v>
      </c>
      <c r="C1278" t="inlineStr">
        <is>
          <t>Ind St:</t>
        </is>
      </c>
      <c r="D1278" t="inlineStr">
        <is>
          <t>Ind St: Pentateuch</t>
        </is>
      </c>
      <c r="E1278" t="inlineStr">
        <is>
          <t>OTST690</t>
        </is>
      </c>
    </row>
    <row r="1279">
      <c r="A1279" t="inlineStr">
        <is>
          <t>CHMN</t>
        </is>
      </c>
      <c r="B1279" t="n">
        <v>541</v>
      </c>
      <c r="C1279" t="inlineStr">
        <is>
          <t>Church Growth</t>
        </is>
      </c>
      <c r="D1279" t="inlineStr">
        <is>
          <t>Church Growth</t>
        </is>
      </c>
      <c r="E1279" t="inlineStr">
        <is>
          <t>CHMN541</t>
        </is>
      </c>
    </row>
    <row r="1280">
      <c r="A1280" t="inlineStr">
        <is>
          <t>DSRE</t>
        </is>
      </c>
      <c r="B1280" t="n">
        <v>616</v>
      </c>
      <c r="C1280" t="inlineStr">
        <is>
          <t>CollabMin: Part in Disc&amp;Mssn</t>
        </is>
      </c>
      <c r="D1280" t="inlineStr">
        <is>
          <t>CollabMin: Part in Disc&amp;Mssn</t>
        </is>
      </c>
      <c r="E1280" t="inlineStr">
        <is>
          <t>DSRE616</t>
        </is>
      </c>
    </row>
    <row r="1281">
      <c r="A1281" t="inlineStr">
        <is>
          <t>CHIS</t>
        </is>
      </c>
      <c r="B1281" t="n">
        <v>628</v>
      </c>
      <c r="C1281" t="inlineStr">
        <is>
          <t>Historcl Resrch&amp;Historiography</t>
        </is>
      </c>
      <c r="D1281" t="inlineStr">
        <is>
          <t>Historcl Resrch&amp;Historiography</t>
        </is>
      </c>
      <c r="E1281" t="inlineStr">
        <is>
          <t>CHIS628</t>
        </is>
      </c>
    </row>
    <row r="1282">
      <c r="A1282" t="inlineStr">
        <is>
          <t>CHMN</t>
        </is>
      </c>
      <c r="B1282" t="n">
        <v>601</v>
      </c>
      <c r="C1282" t="inlineStr">
        <is>
          <t>Preach. Biblical Prophecies</t>
        </is>
      </c>
      <c r="E1282" t="inlineStr">
        <is>
          <t>CHMN601</t>
        </is>
      </c>
    </row>
    <row r="1283">
      <c r="A1283" t="inlineStr">
        <is>
          <t>DSRE</t>
        </is>
      </c>
      <c r="B1283" t="n">
        <v>605</v>
      </c>
      <c r="C1283" t="inlineStr">
        <is>
          <t>Foundations in Religious Educ</t>
        </is>
      </c>
      <c r="D1283" t="inlineStr">
        <is>
          <t>Topics in Rel Ed &amp; Discipline</t>
        </is>
      </c>
      <c r="E1283" t="inlineStr">
        <is>
          <t>DSRE605</t>
        </is>
      </c>
    </row>
    <row r="1284">
      <c r="A1284" t="inlineStr">
        <is>
          <t>THST</t>
        </is>
      </c>
      <c r="B1284" t="n">
        <v>649</v>
      </c>
      <c r="C1284" t="inlineStr">
        <is>
          <t>Sem in Theological Issues:</t>
        </is>
      </c>
      <c r="D1284" t="inlineStr">
        <is>
          <t>Sem in Systematic Theology</t>
        </is>
      </c>
      <c r="E1284" t="inlineStr">
        <is>
          <t>THST649</t>
        </is>
      </c>
    </row>
    <row r="1285">
      <c r="A1285" t="inlineStr">
        <is>
          <t>NTST</t>
        </is>
      </c>
      <c r="B1285" t="n">
        <v>536</v>
      </c>
      <c r="C1285" t="inlineStr">
        <is>
          <t>Studies in the Gospels</t>
        </is>
      </c>
      <c r="D1285" t="inlineStr">
        <is>
          <t>Studies in the Gospels</t>
        </is>
      </c>
      <c r="E1285" t="inlineStr">
        <is>
          <t>NTST536</t>
        </is>
      </c>
    </row>
    <row r="1286">
      <c r="A1286" t="inlineStr">
        <is>
          <t>MSSN</t>
        </is>
      </c>
      <c r="B1286" t="n">
        <v>885</v>
      </c>
      <c r="C1286" t="inlineStr">
        <is>
          <t>Topics in:</t>
        </is>
      </c>
      <c r="D1286" t="inlineStr">
        <is>
          <t>Top:Cross-Cultural Leadership</t>
        </is>
      </c>
      <c r="E1286" t="inlineStr">
        <is>
          <t>MSSN885</t>
        </is>
      </c>
    </row>
    <row r="1287">
      <c r="A1287" t="inlineStr">
        <is>
          <t>DSRE</t>
        </is>
      </c>
      <c r="B1287" t="n">
        <v>870</v>
      </c>
      <c r="C1287" t="inlineStr">
        <is>
          <t>Adv Studies:</t>
        </is>
      </c>
      <c r="D1287" t="inlineStr">
        <is>
          <t>Adv Studies: Applied Research</t>
        </is>
      </c>
      <c r="E1287" t="inlineStr">
        <is>
          <t>DSRE870</t>
        </is>
      </c>
    </row>
    <row r="1288">
      <c r="A1288" t="inlineStr">
        <is>
          <t>DSRE</t>
        </is>
      </c>
      <c r="B1288" t="n">
        <v>870</v>
      </c>
      <c r="C1288" t="inlineStr">
        <is>
          <t>Adv Studies:</t>
        </is>
      </c>
      <c r="D1288" t="inlineStr">
        <is>
          <t>Adv Stud: Dissert Lit Review</t>
        </is>
      </c>
      <c r="E1288" t="inlineStr">
        <is>
          <t>DSRE870</t>
        </is>
      </c>
    </row>
    <row r="1289">
      <c r="A1289" t="inlineStr">
        <is>
          <t>CHIS</t>
        </is>
      </c>
      <c r="B1289" t="n">
        <v>574</v>
      </c>
      <c r="C1289" t="inlineStr">
        <is>
          <t>Hist of Seventh-day Adv Theo</t>
        </is>
      </c>
      <c r="D1289" t="inlineStr">
        <is>
          <t>Hist of Seventh-day Adv Theo</t>
        </is>
      </c>
      <c r="E1289" t="inlineStr">
        <is>
          <t>CHIS574</t>
        </is>
      </c>
    </row>
    <row r="1290">
      <c r="A1290" t="inlineStr">
        <is>
          <t>THST</t>
        </is>
      </c>
      <c r="B1290" t="n">
        <v>649</v>
      </c>
      <c r="C1290" t="inlineStr">
        <is>
          <t>Sem in Theological Issues:</t>
        </is>
      </c>
      <c r="D1290" t="inlineStr">
        <is>
          <t>Sem Rev&amp;Insp: Narrative Theo</t>
        </is>
      </c>
      <c r="E1290" t="inlineStr">
        <is>
          <t>THST649</t>
        </is>
      </c>
    </row>
    <row r="1291">
      <c r="A1291" t="inlineStr">
        <is>
          <t>OTST</t>
        </is>
      </c>
      <c r="B1291" t="n">
        <v>556</v>
      </c>
      <c r="C1291" t="inlineStr">
        <is>
          <t>Studies in Prophets (Engl)</t>
        </is>
      </c>
      <c r="D1291" t="inlineStr">
        <is>
          <t>Studies in Prophets (Engl)</t>
        </is>
      </c>
      <c r="E1291" t="inlineStr">
        <is>
          <t>OTST556</t>
        </is>
      </c>
    </row>
    <row r="1292">
      <c r="A1292" t="inlineStr">
        <is>
          <t>THST</t>
        </is>
      </c>
      <c r="B1292" t="n">
        <v>940</v>
      </c>
      <c r="C1292" t="inlineStr">
        <is>
          <t>Sem in Systematic Theology:</t>
        </is>
      </c>
      <c r="D1292" t="inlineStr">
        <is>
          <t>Sem Sys Theo:Ling for Theolog</t>
        </is>
      </c>
      <c r="E1292" t="inlineStr">
        <is>
          <t>THST940</t>
        </is>
      </c>
    </row>
    <row r="1293">
      <c r="A1293" t="inlineStr">
        <is>
          <t>THST</t>
        </is>
      </c>
      <c r="B1293" t="n">
        <v>940</v>
      </c>
      <c r="C1293" t="inlineStr">
        <is>
          <t>Sem in Systematic Theology:</t>
        </is>
      </c>
      <c r="D1293" t="inlineStr">
        <is>
          <t>Sem Sys Theo: Christ-cent Meth</t>
        </is>
      </c>
      <c r="E1293" t="inlineStr">
        <is>
          <t>THST940</t>
        </is>
      </c>
    </row>
    <row r="1294">
      <c r="A1294" t="inlineStr">
        <is>
          <t>DSRE</t>
        </is>
      </c>
      <c r="B1294" t="n">
        <v>870</v>
      </c>
      <c r="C1294" t="inlineStr">
        <is>
          <t>Adv Studies:</t>
        </is>
      </c>
      <c r="D1294" t="inlineStr">
        <is>
          <t>AdvStudies:Biblical Counseling</t>
        </is>
      </c>
      <c r="E1294" t="inlineStr">
        <is>
          <t>DSRE870</t>
        </is>
      </c>
    </row>
    <row r="1295">
      <c r="A1295" t="inlineStr">
        <is>
          <t>CHMN</t>
        </is>
      </c>
      <c r="B1295" t="n">
        <v>632</v>
      </c>
      <c r="C1295" t="inlineStr">
        <is>
          <t>Contextualized Preaching</t>
        </is>
      </c>
      <c r="D1295" t="inlineStr">
        <is>
          <t>Contextualized Preach: Youth</t>
        </is>
      </c>
      <c r="E1295" t="inlineStr">
        <is>
          <t>CHMN632</t>
        </is>
      </c>
    </row>
    <row r="1296">
      <c r="A1296" t="inlineStr">
        <is>
          <t>DSRE</t>
        </is>
      </c>
      <c r="B1296" t="n">
        <v>870</v>
      </c>
      <c r="C1296" t="inlineStr">
        <is>
          <t>Adv Studies:</t>
        </is>
      </c>
      <c r="D1296" t="inlineStr">
        <is>
          <t>AdvSt:Teach for Disc Life Span</t>
        </is>
      </c>
      <c r="E1296" t="inlineStr">
        <is>
          <t>DSRE870</t>
        </is>
      </c>
    </row>
    <row r="1297">
      <c r="A1297" t="inlineStr">
        <is>
          <t>CHMN</t>
        </is>
      </c>
      <c r="B1297" t="n">
        <v>690</v>
      </c>
      <c r="C1297" t="inlineStr">
        <is>
          <t>Ind Stdy:</t>
        </is>
      </c>
      <c r="D1297" t="inlineStr">
        <is>
          <t>Ind St: Intro to Chaplaincy</t>
        </is>
      </c>
      <c r="E1297" t="inlineStr">
        <is>
          <t>CHMN690</t>
        </is>
      </c>
    </row>
    <row r="1298">
      <c r="A1298" t="inlineStr">
        <is>
          <t>DSRE</t>
        </is>
      </c>
      <c r="B1298" t="n">
        <v>690</v>
      </c>
      <c r="C1298" t="inlineStr">
        <is>
          <t>Ind St:</t>
        </is>
      </c>
      <c r="D1298" t="inlineStr">
        <is>
          <t>Ind St:Teaching for Disciplesh</t>
        </is>
      </c>
      <c r="E1298" t="inlineStr">
        <is>
          <t>DSRE690</t>
        </is>
      </c>
    </row>
    <row r="1299">
      <c r="A1299" t="inlineStr">
        <is>
          <t>GSEM</t>
        </is>
      </c>
      <c r="B1299" t="n">
        <v>520</v>
      </c>
      <c r="C1299" t="inlineStr">
        <is>
          <t>Methods in Biblical &amp; Theo Res</t>
        </is>
      </c>
      <c r="D1299" t="inlineStr">
        <is>
          <t>Methods in Biblical &amp; Theo Res</t>
        </is>
      </c>
      <c r="E1299" t="inlineStr">
        <is>
          <t>GSEM520</t>
        </is>
      </c>
    </row>
    <row r="1300">
      <c r="A1300" t="inlineStr">
        <is>
          <t>DSRE</t>
        </is>
      </c>
      <c r="B1300" t="n">
        <v>994</v>
      </c>
      <c r="C1300" t="inlineStr">
        <is>
          <t>Dissertation:Literature Review</t>
        </is>
      </c>
      <c r="E1300" t="inlineStr">
        <is>
          <t>DSRE994</t>
        </is>
      </c>
    </row>
    <row r="1301">
      <c r="A1301" t="inlineStr">
        <is>
          <t>CHMN</t>
        </is>
      </c>
      <c r="B1301" t="n">
        <v>690</v>
      </c>
      <c r="C1301" t="inlineStr">
        <is>
          <t>Ind Stdy:</t>
        </is>
      </c>
      <c r="D1301" t="inlineStr">
        <is>
          <t>Ind Stdy:Hlth &amp; Lfstyle Transf</t>
        </is>
      </c>
      <c r="E1301" t="inlineStr">
        <is>
          <t>CHMN690</t>
        </is>
      </c>
    </row>
    <row r="1302">
      <c r="A1302" t="inlineStr">
        <is>
          <t>ANEA</t>
        </is>
      </c>
      <c r="B1302" t="n">
        <v>895</v>
      </c>
      <c r="C1302" t="inlineStr">
        <is>
          <t>Ind St:</t>
        </is>
      </c>
      <c r="E1302" t="inlineStr">
        <is>
          <t>ANEA895</t>
        </is>
      </c>
    </row>
    <row r="1303">
      <c r="A1303" t="inlineStr">
        <is>
          <t>THST</t>
        </is>
      </c>
      <c r="B1303" t="n">
        <v>611</v>
      </c>
      <c r="C1303" t="inlineStr">
        <is>
          <t>Rev, Insp &amp; Hermeneutics</t>
        </is>
      </c>
      <c r="D1303" t="inlineStr">
        <is>
          <t>Revelation, Inspiratn&amp;Herm</t>
        </is>
      </c>
      <c r="E1303" t="inlineStr">
        <is>
          <t>THST611</t>
        </is>
      </c>
    </row>
    <row r="1304">
      <c r="A1304" t="inlineStr">
        <is>
          <t>DSRE</t>
        </is>
      </c>
      <c r="B1304" t="n">
        <v>690</v>
      </c>
      <c r="C1304" t="inlineStr">
        <is>
          <t>Ind St:</t>
        </is>
      </c>
      <c r="D1304" t="inlineStr">
        <is>
          <t>Ind St:TeachingforDiscipleship</t>
        </is>
      </c>
      <c r="E1304" t="inlineStr">
        <is>
          <t>DSRE690</t>
        </is>
      </c>
    </row>
    <row r="1305">
      <c r="A1305" t="inlineStr">
        <is>
          <t>GSEM</t>
        </is>
      </c>
      <c r="B1305" t="n">
        <v>898</v>
      </c>
      <c r="C1305" t="inlineStr">
        <is>
          <t>Postdoctoral Research Project</t>
        </is>
      </c>
      <c r="D1305" t="inlineStr">
        <is>
          <t>Postdoctoral Research Project</t>
        </is>
      </c>
      <c r="E1305" t="inlineStr">
        <is>
          <t>GSEM898</t>
        </is>
      </c>
    </row>
    <row r="1306">
      <c r="A1306" t="inlineStr">
        <is>
          <t>GSEM</t>
        </is>
      </c>
      <c r="B1306" t="n">
        <v>990</v>
      </c>
      <c r="C1306" t="inlineStr">
        <is>
          <t>Postdoctoral Seminar</t>
        </is>
      </c>
      <c r="D1306" t="inlineStr">
        <is>
          <t>Postdoctoral Seminar</t>
        </is>
      </c>
      <c r="E1306" t="inlineStr">
        <is>
          <t>GSEM990</t>
        </is>
      </c>
    </row>
    <row r="1307">
      <c r="A1307" t="inlineStr">
        <is>
          <t>CHIS</t>
        </is>
      </c>
      <c r="B1307" t="n">
        <v>892</v>
      </c>
      <c r="C1307" t="inlineStr">
        <is>
          <t>IndSty in Adv St:</t>
        </is>
      </c>
      <c r="E1307" t="inlineStr">
        <is>
          <t>CHIS892</t>
        </is>
      </c>
    </row>
    <row r="1308">
      <c r="A1308" t="inlineStr">
        <is>
          <t>CHMN</t>
        </is>
      </c>
      <c r="B1308" t="n">
        <v>602</v>
      </c>
      <c r="C1308" t="inlineStr">
        <is>
          <t>Hist of Christian Worship Mus</t>
        </is>
      </c>
      <c r="E1308" t="inlineStr">
        <is>
          <t>CHMN602</t>
        </is>
      </c>
    </row>
    <row r="1309">
      <c r="A1309" t="inlineStr">
        <is>
          <t>CHMN</t>
        </is>
      </c>
      <c r="B1309" t="n">
        <v>690</v>
      </c>
      <c r="C1309" t="inlineStr">
        <is>
          <t>Ind Stdy:</t>
        </is>
      </c>
      <c r="D1309" t="inlineStr">
        <is>
          <t>Ind Stdy: Coaching for Mission</t>
        </is>
      </c>
      <c r="E1309" t="inlineStr">
        <is>
          <t>CHMN690</t>
        </is>
      </c>
    </row>
    <row r="1310">
      <c r="A1310" t="inlineStr">
        <is>
          <t>CHMN</t>
        </is>
      </c>
      <c r="B1310" t="n">
        <v>613</v>
      </c>
      <c r="C1310" t="inlineStr">
        <is>
          <t>Coaching for Mission</t>
        </is>
      </c>
      <c r="E1310" t="inlineStr">
        <is>
          <t>CHMN613</t>
        </is>
      </c>
    </row>
    <row r="1311">
      <c r="A1311" t="inlineStr">
        <is>
          <t>MSSN</t>
        </is>
      </c>
      <c r="B1311" t="n">
        <v>899</v>
      </c>
      <c r="C1311" t="inlineStr">
        <is>
          <t>DIS Dissertation</t>
        </is>
      </c>
      <c r="E1311" t="inlineStr">
        <is>
          <t>MSSN899</t>
        </is>
      </c>
    </row>
    <row r="1312">
      <c r="A1312" t="inlineStr">
        <is>
          <t>GSEM</t>
        </is>
      </c>
      <c r="B1312" t="n">
        <v>505</v>
      </c>
      <c r="C1312" t="inlineStr">
        <is>
          <t>Colloquium:</t>
        </is>
      </c>
      <c r="D1312" t="inlineStr">
        <is>
          <t>Coll:Pathfinder Lead Train</t>
        </is>
      </c>
      <c r="E1312" t="inlineStr">
        <is>
          <t>GSEM505</t>
        </is>
      </c>
    </row>
    <row r="1313">
      <c r="A1313" t="inlineStr">
        <is>
          <t>GSEM</t>
        </is>
      </c>
      <c r="B1313" t="n">
        <v>695</v>
      </c>
      <c r="C1313" t="inlineStr">
        <is>
          <t>Research Project</t>
        </is>
      </c>
      <c r="D1313" t="inlineStr">
        <is>
          <t>Research Project</t>
        </is>
      </c>
      <c r="E1313" t="inlineStr">
        <is>
          <t>GSEM695</t>
        </is>
      </c>
    </row>
    <row r="1314">
      <c r="A1314" t="inlineStr">
        <is>
          <t>GSEM</t>
        </is>
      </c>
      <c r="B1314" t="n">
        <v>505</v>
      </c>
      <c r="C1314" t="inlineStr">
        <is>
          <t>Colloquium:</t>
        </is>
      </c>
      <c r="D1314" t="inlineStr">
        <is>
          <t>Coll: Pathf Minist for Pastors</t>
        </is>
      </c>
      <c r="E1314" t="inlineStr">
        <is>
          <t>GSEM505</t>
        </is>
      </c>
    </row>
    <row r="1315">
      <c r="A1315" t="inlineStr">
        <is>
          <t>GSEM</t>
        </is>
      </c>
      <c r="B1315" t="n">
        <v>505</v>
      </c>
      <c r="C1315" t="inlineStr">
        <is>
          <t>Colloquium:</t>
        </is>
      </c>
      <c r="D1315" t="inlineStr">
        <is>
          <t>Coll:ACS:Post-Disaster Sup Rec</t>
        </is>
      </c>
      <c r="E1315" t="inlineStr">
        <is>
          <t>GSEM505</t>
        </is>
      </c>
    </row>
    <row r="1316">
      <c r="A1316" t="inlineStr">
        <is>
          <t>DSRE</t>
        </is>
      </c>
      <c r="B1316" t="n">
        <v>690</v>
      </c>
      <c r="C1316" t="inlineStr">
        <is>
          <t>Ind St:</t>
        </is>
      </c>
      <c r="D1316" t="inlineStr">
        <is>
          <t>Ind St: Youth Ministry</t>
        </is>
      </c>
      <c r="E1316" t="inlineStr">
        <is>
          <t>DSRE690</t>
        </is>
      </c>
    </row>
    <row r="1317">
      <c r="A1317" t="inlineStr">
        <is>
          <t>CHMN</t>
        </is>
      </c>
      <c r="B1317" t="n">
        <v>603</v>
      </c>
      <c r="C1317" t="inlineStr">
        <is>
          <t>Evangelistic Preaching</t>
        </is>
      </c>
      <c r="E1317" t="inlineStr">
        <is>
          <t>CHMN603</t>
        </is>
      </c>
    </row>
    <row r="1318">
      <c r="A1318" t="inlineStr">
        <is>
          <t>GSEM</t>
        </is>
      </c>
      <c r="B1318" t="n">
        <v>505</v>
      </c>
      <c r="C1318" t="inlineStr">
        <is>
          <t>Colloquium:</t>
        </is>
      </c>
      <c r="D1318" t="inlineStr">
        <is>
          <t>Coll: Adv Learning Community</t>
        </is>
      </c>
      <c r="E1318" t="inlineStr">
        <is>
          <t>GSEM505</t>
        </is>
      </c>
    </row>
    <row r="1319">
      <c r="A1319" t="inlineStr">
        <is>
          <t>NTST</t>
        </is>
      </c>
      <c r="B1319" t="n">
        <v>695</v>
      </c>
      <c r="C1319" t="inlineStr">
        <is>
          <t>Top in NT Backgrounds</t>
        </is>
      </c>
      <c r="D1319" t="inlineStr">
        <is>
          <t>Top:Theology of New Testament</t>
        </is>
      </c>
      <c r="E1319" t="inlineStr">
        <is>
          <t>NTST695</t>
        </is>
      </c>
    </row>
    <row r="1320">
      <c r="A1320" t="inlineStr">
        <is>
          <t>PATH</t>
        </is>
      </c>
      <c r="B1320" t="n">
        <v>541</v>
      </c>
      <c r="C1320" t="inlineStr">
        <is>
          <t>Church Growth</t>
        </is>
      </c>
      <c r="D1320" t="inlineStr">
        <is>
          <t>Church Growth</t>
        </is>
      </c>
      <c r="E1320" t="inlineStr">
        <is>
          <t>PATH541</t>
        </is>
      </c>
    </row>
    <row r="1321">
      <c r="A1321" t="inlineStr">
        <is>
          <t>PATH</t>
        </is>
      </c>
      <c r="B1321" t="n">
        <v>690</v>
      </c>
      <c r="C1321" t="inlineStr">
        <is>
          <t>Ind Stdy:</t>
        </is>
      </c>
      <c r="D1321" t="inlineStr">
        <is>
          <t>Ind Stdy:</t>
        </is>
      </c>
      <c r="E1321" t="inlineStr">
        <is>
          <t>PATH690</t>
        </is>
      </c>
    </row>
    <row r="1322">
      <c r="A1322" t="inlineStr">
        <is>
          <t>PATH</t>
        </is>
      </c>
      <c r="B1322" t="n">
        <v>890</v>
      </c>
      <c r="C1322" t="inlineStr">
        <is>
          <t>Directed Rdgs in Church Min</t>
        </is>
      </c>
      <c r="D1322" t="inlineStr">
        <is>
          <t>Directed Rdgs in Church Min</t>
        </is>
      </c>
      <c r="E1322" t="inlineStr">
        <is>
          <t>PATH890</t>
        </is>
      </c>
    </row>
    <row r="1323">
      <c r="A1323" t="inlineStr">
        <is>
          <t>MSSN</t>
        </is>
      </c>
      <c r="B1323" t="n">
        <v>899</v>
      </c>
      <c r="C1323" t="inlineStr">
        <is>
          <t>DIS Dissertation</t>
        </is>
      </c>
      <c r="D1323" t="inlineStr">
        <is>
          <t>DMiss Dissertation</t>
        </is>
      </c>
      <c r="E1323" t="inlineStr">
        <is>
          <t>MSSN899</t>
        </is>
      </c>
    </row>
    <row r="1324">
      <c r="A1324" t="inlineStr">
        <is>
          <t>DSLE</t>
        </is>
      </c>
      <c r="B1324" t="n">
        <v>690</v>
      </c>
      <c r="C1324" t="inlineStr">
        <is>
          <t>Ind St:</t>
        </is>
      </c>
      <c r="D1324" t="inlineStr">
        <is>
          <t>Ind St: Mitry to At-Risk Youth</t>
        </is>
      </c>
      <c r="E1324" t="inlineStr">
        <is>
          <t>DSLE690</t>
        </is>
      </c>
    </row>
    <row r="1325">
      <c r="A1325" t="inlineStr">
        <is>
          <t>PATH</t>
        </is>
      </c>
      <c r="B1325" t="n">
        <v>890</v>
      </c>
      <c r="C1325" t="inlineStr">
        <is>
          <t>Directed Rdgs in Church Min</t>
        </is>
      </c>
      <c r="E1325" t="inlineStr">
        <is>
          <t>PATH890</t>
        </is>
      </c>
    </row>
    <row r="1326">
      <c r="A1326" t="inlineStr">
        <is>
          <t>GSEM</t>
        </is>
      </c>
      <c r="B1326" t="n">
        <v>505</v>
      </c>
      <c r="C1326" t="inlineStr">
        <is>
          <t>Colloquium:</t>
        </is>
      </c>
      <c r="D1326" t="inlineStr">
        <is>
          <t>Coll: Rsrch Lib &amp; Writ Sklls</t>
        </is>
      </c>
      <c r="E1326" t="inlineStr">
        <is>
          <t>GSEM505</t>
        </is>
      </c>
    </row>
    <row r="1327">
      <c r="A1327" t="inlineStr">
        <is>
          <t>PATH</t>
        </is>
      </c>
      <c r="B1327" t="n">
        <v>660</v>
      </c>
      <c r="C1327" t="inlineStr">
        <is>
          <t>Field Practicum:</t>
        </is>
      </c>
      <c r="E1327" t="inlineStr">
        <is>
          <t>PATH660</t>
        </is>
      </c>
    </row>
    <row r="1328">
      <c r="A1328" t="inlineStr">
        <is>
          <t>PATH</t>
        </is>
      </c>
      <c r="B1328" t="n">
        <v>641</v>
      </c>
      <c r="C1328" t="inlineStr">
        <is>
          <t>Practicum Military Chaplaincy</t>
        </is>
      </c>
      <c r="E1328" t="inlineStr">
        <is>
          <t>PATH641</t>
        </is>
      </c>
    </row>
    <row r="1329">
      <c r="A1329" t="inlineStr">
        <is>
          <t>PATH</t>
        </is>
      </c>
      <c r="B1329" t="n">
        <v>556</v>
      </c>
      <c r="C1329" t="inlineStr">
        <is>
          <t>Prof Development Practicum</t>
        </is>
      </c>
      <c r="E1329" t="inlineStr">
        <is>
          <t>PATH556</t>
        </is>
      </c>
    </row>
    <row r="1330">
      <c r="A1330" t="inlineStr">
        <is>
          <t>GSEM</t>
        </is>
      </c>
      <c r="B1330" t="n">
        <v>505</v>
      </c>
      <c r="C1330" t="inlineStr">
        <is>
          <t>Colloquium:</t>
        </is>
      </c>
      <c r="D1330" t="inlineStr">
        <is>
          <t>Colloquium: Intro to Trauma</t>
        </is>
      </c>
      <c r="E1330" t="inlineStr">
        <is>
          <t>GSEM505</t>
        </is>
      </c>
    </row>
    <row r="1331">
      <c r="A1331" t="inlineStr">
        <is>
          <t>GSEM</t>
        </is>
      </c>
      <c r="B1331" t="n">
        <v>505</v>
      </c>
      <c r="C1331" t="inlineStr">
        <is>
          <t>Colloquium:</t>
        </is>
      </c>
      <c r="D1331" t="inlineStr">
        <is>
          <t>Coll: Ellen White Issues Symp</t>
        </is>
      </c>
      <c r="E1331" t="inlineStr">
        <is>
          <t>GSEM505</t>
        </is>
      </c>
    </row>
    <row r="1332">
      <c r="A1332" t="inlineStr">
        <is>
          <t>NTST</t>
        </is>
      </c>
      <c r="B1332" t="n">
        <v>655</v>
      </c>
      <c r="C1332" t="inlineStr">
        <is>
          <t>Adv Studies Gospels:</t>
        </is>
      </c>
      <c r="D1332" t="inlineStr">
        <is>
          <t>Adv Studies Gospels:John</t>
        </is>
      </c>
      <c r="E1332" t="inlineStr">
        <is>
          <t>NTST655</t>
        </is>
      </c>
    </row>
    <row r="1333">
      <c r="A1333" t="inlineStr">
        <is>
          <t>GSEM</t>
        </is>
      </c>
      <c r="B1333" t="n">
        <v>505</v>
      </c>
      <c r="C1333" t="inlineStr">
        <is>
          <t>Colloquium:</t>
        </is>
      </c>
      <c r="D1333" t="inlineStr">
        <is>
          <t>Coll: Pathfinder Lead Training</t>
        </is>
      </c>
      <c r="E1333" t="inlineStr">
        <is>
          <t>GSEM505</t>
        </is>
      </c>
    </row>
    <row r="1334">
      <c r="A1334" t="inlineStr">
        <is>
          <t>GSEM</t>
        </is>
      </c>
      <c r="B1334" t="n">
        <v>697</v>
      </c>
      <c r="C1334" t="inlineStr">
        <is>
          <t>Thesis for MA Degree</t>
        </is>
      </c>
      <c r="D1334" t="inlineStr">
        <is>
          <t>MA Thesis</t>
        </is>
      </c>
      <c r="E1334" t="inlineStr">
        <is>
          <t>GSEM697</t>
        </is>
      </c>
    </row>
    <row r="1335">
      <c r="A1335" t="inlineStr">
        <is>
          <t>OTST</t>
        </is>
      </c>
      <c r="B1335" t="n">
        <v>690</v>
      </c>
      <c r="C1335" t="inlineStr">
        <is>
          <t>Ind St:</t>
        </is>
      </c>
      <c r="D1335" t="inlineStr">
        <is>
          <t>Ind St: Daniel &amp; Revelation</t>
        </is>
      </c>
      <c r="E1335" t="inlineStr">
        <is>
          <t>OTST690</t>
        </is>
      </c>
    </row>
    <row r="1336">
      <c r="A1336" t="inlineStr">
        <is>
          <t>CHMN</t>
        </is>
      </c>
      <c r="B1336" t="n">
        <v>885</v>
      </c>
      <c r="C1336" t="inlineStr">
        <is>
          <t>Topics in:</t>
        </is>
      </c>
      <c r="D1336" t="inlineStr">
        <is>
          <t>Top:Dscpl Mak &amp; Evang 21st Cnt</t>
        </is>
      </c>
      <c r="E1336" t="inlineStr">
        <is>
          <t>CHMN885</t>
        </is>
      </c>
    </row>
    <row r="1337">
      <c r="A1337" t="inlineStr">
        <is>
          <t>DSRE</t>
        </is>
      </c>
      <c r="B1337" t="n">
        <v>605</v>
      </c>
      <c r="C1337" t="inlineStr">
        <is>
          <t>Foundations in Religious Educ</t>
        </is>
      </c>
      <c r="D1337" t="inlineStr">
        <is>
          <t>Foundations in Religious Educ</t>
        </is>
      </c>
      <c r="E1337" t="inlineStr">
        <is>
          <t>DSRE605</t>
        </is>
      </c>
    </row>
    <row r="1338">
      <c r="A1338" t="inlineStr">
        <is>
          <t>MSSN</t>
        </is>
      </c>
      <c r="B1338" t="n">
        <v>885</v>
      </c>
      <c r="C1338" t="inlineStr">
        <is>
          <t>Topics in:</t>
        </is>
      </c>
      <c r="D1338" t="inlineStr">
        <is>
          <t>Top:Urb Ctxts for Mssn&amp; Mintry</t>
        </is>
      </c>
      <c r="E1338" t="inlineStr">
        <is>
          <t>MSSN885</t>
        </is>
      </c>
    </row>
    <row r="1339">
      <c r="A1339" t="inlineStr">
        <is>
          <t>DSRE</t>
        </is>
      </c>
      <c r="B1339" t="n">
        <v>680</v>
      </c>
      <c r="C1339" t="inlineStr">
        <is>
          <t>Field Practicum:________</t>
        </is>
      </c>
      <c r="D1339" t="inlineStr">
        <is>
          <t>Field Practicum:Religious Educ</t>
        </is>
      </c>
      <c r="E1339" t="inlineStr">
        <is>
          <t>DSRE680</t>
        </is>
      </c>
    </row>
    <row r="1340">
      <c r="A1340" t="inlineStr">
        <is>
          <t>MSSN</t>
        </is>
      </c>
      <c r="B1340" t="n">
        <v>885</v>
      </c>
      <c r="C1340" t="inlineStr">
        <is>
          <t>Topics in:</t>
        </is>
      </c>
      <c r="D1340" t="inlineStr">
        <is>
          <t>Top:Rsrch Design&amp; Diss Propsal</t>
        </is>
      </c>
      <c r="E1340" t="inlineStr">
        <is>
          <t>MSSN885</t>
        </is>
      </c>
    </row>
    <row r="1341">
      <c r="A1341" t="inlineStr">
        <is>
          <t>GSEM</t>
        </is>
      </c>
      <c r="B1341" t="n">
        <v>688</v>
      </c>
      <c r="C1341" t="inlineStr">
        <is>
          <t>Master's Degree Contin</t>
        </is>
      </c>
      <c r="D1341" t="inlineStr">
        <is>
          <t>Master's Degree Contin</t>
        </is>
      </c>
      <c r="E1341" t="inlineStr">
        <is>
          <t>GSEM688</t>
        </is>
      </c>
    </row>
    <row r="1342">
      <c r="A1342" t="inlineStr">
        <is>
          <t>MSSN</t>
        </is>
      </c>
      <c r="B1342" t="n">
        <v>885</v>
      </c>
      <c r="C1342" t="inlineStr">
        <is>
          <t>Topics in:</t>
        </is>
      </c>
      <c r="D1342" t="inlineStr">
        <is>
          <t>Top:Theology of Mission</t>
        </is>
      </c>
      <c r="E1342" t="inlineStr">
        <is>
          <t>MSSN885</t>
        </is>
      </c>
    </row>
    <row r="1343">
      <c r="A1343" t="inlineStr">
        <is>
          <t>MSSN</t>
        </is>
      </c>
      <c r="B1343" t="n">
        <v>885</v>
      </c>
      <c r="C1343" t="inlineStr">
        <is>
          <t>Topics in:</t>
        </is>
      </c>
      <c r="D1343" t="inlineStr">
        <is>
          <t>Top: Dscplshp&amp; Wrldview Transf</t>
        </is>
      </c>
      <c r="E1343" t="inlineStr">
        <is>
          <t>MSSN885</t>
        </is>
      </c>
    </row>
    <row r="1344">
      <c r="A1344" t="inlineStr">
        <is>
          <t>NTST</t>
        </is>
      </c>
      <c r="B1344" t="n">
        <v>539</v>
      </c>
      <c r="C1344" t="inlineStr">
        <is>
          <t>Readings in Revelation</t>
        </is>
      </c>
      <c r="D1344" t="inlineStr">
        <is>
          <t>Studies in Revelation</t>
        </is>
      </c>
      <c r="E1344" t="inlineStr">
        <is>
          <t>NTST539</t>
        </is>
      </c>
    </row>
    <row r="1345">
      <c r="A1345" t="inlineStr">
        <is>
          <t>THST</t>
        </is>
      </c>
      <c r="B1345" t="n">
        <v>690</v>
      </c>
      <c r="C1345" t="inlineStr">
        <is>
          <t>Ind St:</t>
        </is>
      </c>
      <c r="D1345" t="inlineStr">
        <is>
          <t>Ind St: Doctrine of Christ</t>
        </is>
      </c>
      <c r="E1345" t="inlineStr">
        <is>
          <t>THST690</t>
        </is>
      </c>
    </row>
    <row r="1346">
      <c r="A1346" t="inlineStr">
        <is>
          <t>CHIS</t>
        </is>
      </c>
      <c r="B1346" t="n">
        <v>690</v>
      </c>
      <c r="C1346" t="inlineStr">
        <is>
          <t>Ind St:</t>
        </is>
      </c>
      <c r="D1346" t="inlineStr">
        <is>
          <t>Ind St:Millerite&amp; Sab Adv Hist</t>
        </is>
      </c>
      <c r="E1346" t="inlineStr">
        <is>
          <t>CHIS690</t>
        </is>
      </c>
    </row>
    <row r="1347">
      <c r="A1347" t="inlineStr">
        <is>
          <t>THST</t>
        </is>
      </c>
      <c r="B1347" t="n">
        <v>885</v>
      </c>
      <c r="C1347" t="inlineStr">
        <is>
          <t>Top:</t>
        </is>
      </c>
      <c r="E1347" t="inlineStr">
        <is>
          <t>THST885</t>
        </is>
      </c>
    </row>
    <row r="1348">
      <c r="A1348" t="inlineStr">
        <is>
          <t>MSSN</t>
        </is>
      </c>
      <c r="B1348" t="n">
        <v>630</v>
      </c>
      <c r="C1348" t="inlineStr">
        <is>
          <t>Cross-Cultural Ldshp Developmt</t>
        </is>
      </c>
      <c r="E1348" t="inlineStr">
        <is>
          <t>MSSN630</t>
        </is>
      </c>
    </row>
    <row r="1349">
      <c r="A1349" t="inlineStr">
        <is>
          <t>CHIS</t>
        </is>
      </c>
      <c r="B1349" t="n">
        <v>690</v>
      </c>
      <c r="C1349" t="inlineStr">
        <is>
          <t>Ind St:</t>
        </is>
      </c>
      <c r="D1349" t="inlineStr">
        <is>
          <t>Ind St: Early Church</t>
        </is>
      </c>
      <c r="E1349" t="inlineStr">
        <is>
          <t>CHIS690</t>
        </is>
      </c>
    </row>
    <row r="1350">
      <c r="A1350" t="inlineStr">
        <is>
          <t>OTST</t>
        </is>
      </c>
      <c r="B1350" t="n">
        <v>500</v>
      </c>
      <c r="C1350" t="inlineStr">
        <is>
          <t>Survey of the Old Testament</t>
        </is>
      </c>
      <c r="D1350" t="inlineStr">
        <is>
          <t>Survey of the Old Testament</t>
        </is>
      </c>
      <c r="E1350" t="inlineStr">
        <is>
          <t>OTST500</t>
        </is>
      </c>
    </row>
    <row r="1351">
      <c r="A1351" t="inlineStr">
        <is>
          <t>DSRE</t>
        </is>
      </c>
      <c r="B1351" t="n">
        <v>690</v>
      </c>
      <c r="C1351" t="inlineStr">
        <is>
          <t>Ind St:</t>
        </is>
      </c>
      <c r="D1351" t="inlineStr">
        <is>
          <t>Ind St:Min Youth &amp; Young Adult</t>
        </is>
      </c>
      <c r="E1351" t="inlineStr">
        <is>
          <t>DSRE690</t>
        </is>
      </c>
    </row>
    <row r="1352">
      <c r="A1352" t="inlineStr">
        <is>
          <t>CHMN</t>
        </is>
      </c>
      <c r="B1352" t="n">
        <v>690</v>
      </c>
      <c r="C1352" t="inlineStr">
        <is>
          <t>Ind Stdy:</t>
        </is>
      </c>
      <c r="D1352" t="inlineStr">
        <is>
          <t>Ind St:Personal Evangelism</t>
        </is>
      </c>
      <c r="E1352" t="inlineStr">
        <is>
          <t>CHMN690</t>
        </is>
      </c>
    </row>
    <row r="1353">
      <c r="A1353" t="inlineStr">
        <is>
          <t>GSEM</t>
        </is>
      </c>
      <c r="B1353" t="n">
        <v>505</v>
      </c>
      <c r="C1353" t="inlineStr">
        <is>
          <t>Colloquium:</t>
        </is>
      </c>
      <c r="D1353" t="inlineStr">
        <is>
          <t>Coll:Forgivness:Reaching Peace</t>
        </is>
      </c>
      <c r="E1353" t="inlineStr">
        <is>
          <t>GSEM505</t>
        </is>
      </c>
    </row>
    <row r="1354">
      <c r="A1354" t="inlineStr">
        <is>
          <t>NTST</t>
        </is>
      </c>
      <c r="B1354" t="n">
        <v>635</v>
      </c>
      <c r="C1354" t="inlineStr">
        <is>
          <t>Intertestamental Literature</t>
        </is>
      </c>
      <c r="E1354" t="inlineStr">
        <is>
          <t>NTST635</t>
        </is>
      </c>
    </row>
    <row r="1355">
      <c r="A1355" t="inlineStr">
        <is>
          <t>NTST</t>
        </is>
      </c>
      <c r="B1355" t="n">
        <v>658</v>
      </c>
      <c r="C1355" t="inlineStr">
        <is>
          <t>Adv Studies Pauline Wrtg:</t>
        </is>
      </c>
      <c r="D1355" t="inlineStr">
        <is>
          <t>AdvStud PaulWrtg:Pastoral Epis</t>
        </is>
      </c>
      <c r="E1355" t="inlineStr">
        <is>
          <t>NTST658</t>
        </is>
      </c>
    </row>
    <row r="1356">
      <c r="A1356" t="inlineStr">
        <is>
          <t>CHIS</t>
        </is>
      </c>
      <c r="B1356" t="n">
        <v>690</v>
      </c>
      <c r="C1356" t="inlineStr">
        <is>
          <t>Ind St:</t>
        </is>
      </c>
      <c r="D1356" t="inlineStr">
        <is>
          <t>Ind St: Dev of SDA Theology</t>
        </is>
      </c>
      <c r="E1356" t="inlineStr">
        <is>
          <t>CHIS690</t>
        </is>
      </c>
    </row>
    <row r="1357">
      <c r="A1357" t="inlineStr">
        <is>
          <t>OTST</t>
        </is>
      </c>
      <c r="B1357" t="n">
        <v>686</v>
      </c>
      <c r="C1357" t="inlineStr">
        <is>
          <t>Major Prophets:</t>
        </is>
      </c>
      <c r="D1357" t="inlineStr">
        <is>
          <t>Major Prophets:</t>
        </is>
      </c>
      <c r="E1357" t="inlineStr">
        <is>
          <t>OTST686</t>
        </is>
      </c>
    </row>
    <row r="1358">
      <c r="A1358" t="inlineStr">
        <is>
          <t>NTST</t>
        </is>
      </c>
      <c r="B1358" t="n">
        <v>885</v>
      </c>
      <c r="C1358" t="inlineStr">
        <is>
          <t>Topics in</t>
        </is>
      </c>
      <c r="D1358" t="inlineStr">
        <is>
          <t>Top:Adv Greek Grammr&amp; Sintax</t>
        </is>
      </c>
      <c r="E1358" t="inlineStr">
        <is>
          <t>NTST885</t>
        </is>
      </c>
    </row>
    <row r="1359">
      <c r="A1359" t="inlineStr">
        <is>
          <t>NTST</t>
        </is>
      </c>
      <c r="B1359" t="n">
        <v>885</v>
      </c>
      <c r="C1359" t="inlineStr">
        <is>
          <t>Topics in</t>
        </is>
      </c>
      <c r="D1359" t="inlineStr">
        <is>
          <t>Topics in John</t>
        </is>
      </c>
      <c r="E1359" t="inlineStr">
        <is>
          <t>NTST885</t>
        </is>
      </c>
    </row>
    <row r="1360">
      <c r="A1360" t="inlineStr">
        <is>
          <t>NTST</t>
        </is>
      </c>
      <c r="B1360" t="n">
        <v>885</v>
      </c>
      <c r="C1360" t="inlineStr">
        <is>
          <t>Topics in</t>
        </is>
      </c>
      <c r="D1360" t="inlineStr">
        <is>
          <t>Topics in Pastoral Epistles</t>
        </is>
      </c>
      <c r="E1360" t="inlineStr">
        <is>
          <t>NTST885</t>
        </is>
      </c>
    </row>
    <row r="1361">
      <c r="A1361" t="inlineStr">
        <is>
          <t>OTST</t>
        </is>
      </c>
      <c r="B1361" t="n">
        <v>890</v>
      </c>
      <c r="C1361" t="inlineStr">
        <is>
          <t>Directed Rdg in Old Testmt</t>
        </is>
      </c>
      <c r="D1361" t="inlineStr">
        <is>
          <t>Dir Rdg in OT: Biblcl Typology</t>
        </is>
      </c>
      <c r="E1361" t="inlineStr">
        <is>
          <t>OTST890</t>
        </is>
      </c>
    </row>
    <row r="1362">
      <c r="A1362" t="inlineStr">
        <is>
          <t>OTST</t>
        </is>
      </c>
      <c r="B1362" t="n">
        <v>890</v>
      </c>
      <c r="C1362" t="inlineStr">
        <is>
          <t>Directed Rdg in Old Testmt</t>
        </is>
      </c>
      <c r="D1362" t="inlineStr">
        <is>
          <t>DirRdg in OT:Innr Bib Int&amp;Herm</t>
        </is>
      </c>
      <c r="E1362" t="inlineStr">
        <is>
          <t>OTST890</t>
        </is>
      </c>
    </row>
    <row r="1363">
      <c r="A1363" t="inlineStr">
        <is>
          <t>MSSN</t>
        </is>
      </c>
      <c r="B1363" t="n">
        <v>897</v>
      </c>
      <c r="C1363" t="inlineStr">
        <is>
          <t>Ind St:</t>
        </is>
      </c>
      <c r="D1363" t="inlineStr">
        <is>
          <t>Ind St: Contextual Theology</t>
        </is>
      </c>
      <c r="E1363" t="inlineStr">
        <is>
          <t>MSSN897</t>
        </is>
      </c>
    </row>
    <row r="1364">
      <c r="A1364" t="inlineStr">
        <is>
          <t>DSLE</t>
        </is>
      </c>
      <c r="B1364" t="n">
        <v>680</v>
      </c>
      <c r="C1364" t="inlineStr">
        <is>
          <t>Field Practicum:</t>
        </is>
      </c>
      <c r="D1364" t="inlineStr">
        <is>
          <t>Field Practicum:Religious Educ</t>
        </is>
      </c>
      <c r="E1364" t="inlineStr">
        <is>
          <t>DSLE680</t>
        </is>
      </c>
    </row>
    <row r="1365">
      <c r="A1365" t="inlineStr">
        <is>
          <t>OTST</t>
        </is>
      </c>
      <c r="B1365" t="n">
        <v>895</v>
      </c>
      <c r="C1365" t="inlineStr">
        <is>
          <t>Independent Study:</t>
        </is>
      </c>
      <c r="D1365" t="inlineStr">
        <is>
          <t>IndStdy:Bib&amp; Theo Hermeneutics</t>
        </is>
      </c>
      <c r="E1365" t="inlineStr">
        <is>
          <t>OTST895</t>
        </is>
      </c>
    </row>
    <row r="1366">
      <c r="A1366" t="inlineStr">
        <is>
          <t>DSLE</t>
        </is>
      </c>
      <c r="B1366" t="n">
        <v>660</v>
      </c>
      <c r="C1366" t="inlineStr">
        <is>
          <t>Field Practicum: MAYYAM</t>
        </is>
      </c>
      <c r="D1366" t="inlineStr">
        <is>
          <t>Field Practicum:MAYYAM</t>
        </is>
      </c>
      <c r="E1366" t="inlineStr">
        <is>
          <t>DSLE660</t>
        </is>
      </c>
    </row>
    <row r="1367">
      <c r="A1367" t="inlineStr">
        <is>
          <t>MSSN</t>
        </is>
      </c>
      <c r="B1367" t="n">
        <v>885</v>
      </c>
      <c r="C1367" t="inlineStr">
        <is>
          <t>Topics in:</t>
        </is>
      </c>
      <c r="D1367" t="inlineStr">
        <is>
          <t>Topcs in:Mission to the Cities</t>
        </is>
      </c>
      <c r="E1367" t="inlineStr">
        <is>
          <t>MSSN885</t>
        </is>
      </c>
    </row>
    <row r="1368">
      <c r="A1368" t="inlineStr">
        <is>
          <t>PATH</t>
        </is>
      </c>
      <c r="B1368" t="n">
        <v>539</v>
      </c>
      <c r="C1368" t="inlineStr">
        <is>
          <t>Church Grwth&amp; Equipping Leader</t>
        </is>
      </c>
      <c r="D1368" t="inlineStr">
        <is>
          <t>Church Grwth&amp; Equipping Pastor</t>
        </is>
      </c>
      <c r="E1368" t="inlineStr">
        <is>
          <t>PATH539</t>
        </is>
      </c>
    </row>
    <row r="1369">
      <c r="A1369" t="inlineStr">
        <is>
          <t>MSSN</t>
        </is>
      </c>
      <c r="B1369" t="n">
        <v>695</v>
      </c>
      <c r="C1369" t="inlineStr">
        <is>
          <t>Topics:</t>
        </is>
      </c>
      <c r="D1369" t="inlineStr">
        <is>
          <t>Topics: Mission to the Cities</t>
        </is>
      </c>
      <c r="E1369" t="inlineStr">
        <is>
          <t>MSSN695</t>
        </is>
      </c>
    </row>
    <row r="1370">
      <c r="A1370" t="inlineStr">
        <is>
          <t>NTST</t>
        </is>
      </c>
      <c r="B1370" t="n">
        <v>885</v>
      </c>
      <c r="C1370" t="inlineStr">
        <is>
          <t>Topics in</t>
        </is>
      </c>
      <c r="D1370" t="inlineStr">
        <is>
          <t>Top:Readings in the Septuagint</t>
        </is>
      </c>
      <c r="E1370" t="inlineStr">
        <is>
          <t>NTST885</t>
        </is>
      </c>
    </row>
    <row r="1371">
      <c r="A1371" t="inlineStr">
        <is>
          <t>DSLE</t>
        </is>
      </c>
      <c r="B1371" t="n">
        <v>626</v>
      </c>
      <c r="C1371" t="inlineStr">
        <is>
          <t>Ministry to At-Risk Youth</t>
        </is>
      </c>
      <c r="D1371" t="inlineStr">
        <is>
          <t>Ministry to At-Risk Youth</t>
        </is>
      </c>
      <c r="E1371" t="inlineStr">
        <is>
          <t>DSLE626</t>
        </is>
      </c>
    </row>
    <row r="1372">
      <c r="A1372" t="inlineStr">
        <is>
          <t>DSLE</t>
        </is>
      </c>
      <c r="B1372" t="n">
        <v>605</v>
      </c>
      <c r="C1372" t="inlineStr">
        <is>
          <t>Foundations in DSLE</t>
        </is>
      </c>
      <c r="D1372" t="inlineStr">
        <is>
          <t>Fndtns in Religious Education</t>
        </is>
      </c>
      <c r="E1372" t="inlineStr">
        <is>
          <t>DSLE605</t>
        </is>
      </c>
    </row>
    <row r="1373">
      <c r="A1373" t="inlineStr">
        <is>
          <t>THST</t>
        </is>
      </c>
      <c r="B1373" t="n">
        <v>885</v>
      </c>
      <c r="C1373" t="inlineStr">
        <is>
          <t>Top:</t>
        </is>
      </c>
      <c r="D1373" t="inlineStr">
        <is>
          <t>Top: Human Nature &amp; Destiny</t>
        </is>
      </c>
      <c r="E1373" t="inlineStr">
        <is>
          <t>THST885</t>
        </is>
      </c>
    </row>
    <row r="1374">
      <c r="A1374" t="inlineStr">
        <is>
          <t>NTST</t>
        </is>
      </c>
      <c r="B1374" t="n">
        <v>885</v>
      </c>
      <c r="C1374" t="inlineStr">
        <is>
          <t>Topics in</t>
        </is>
      </c>
      <c r="D1374" t="inlineStr">
        <is>
          <t>Top: New Testament Archaeology</t>
        </is>
      </c>
      <c r="E1374" t="inlineStr">
        <is>
          <t>NTST885</t>
        </is>
      </c>
    </row>
    <row r="1375">
      <c r="A1375" t="inlineStr">
        <is>
          <t>PATH</t>
        </is>
      </c>
      <c r="B1375" t="n">
        <v>632</v>
      </c>
      <c r="C1375" t="inlineStr">
        <is>
          <t>Contextualized Preaching:</t>
        </is>
      </c>
      <c r="E1375" t="inlineStr">
        <is>
          <t>PATH632</t>
        </is>
      </c>
    </row>
    <row r="1376">
      <c r="A1376" t="inlineStr">
        <is>
          <t>DSLE</t>
        </is>
      </c>
      <c r="B1376" t="n">
        <v>616</v>
      </c>
      <c r="C1376" t="inlineStr">
        <is>
          <t>CollabMin: Part in Disc&amp;Mssn</t>
        </is>
      </c>
      <c r="D1376" t="inlineStr">
        <is>
          <t>CollabMin: Part in Disc&amp;Mssn</t>
        </is>
      </c>
      <c r="E1376" t="inlineStr">
        <is>
          <t>DSLE616</t>
        </is>
      </c>
    </row>
    <row r="1377">
      <c r="A1377" t="inlineStr">
        <is>
          <t>NTST</t>
        </is>
      </c>
      <c r="B1377" t="n">
        <v>690</v>
      </c>
      <c r="C1377" t="inlineStr">
        <is>
          <t>Ind St:</t>
        </is>
      </c>
      <c r="D1377" t="inlineStr">
        <is>
          <t>Ind St: NT Exegesis</t>
        </is>
      </c>
      <c r="E1377" t="inlineStr">
        <is>
          <t>NTST690</t>
        </is>
      </c>
    </row>
    <row r="1378">
      <c r="A1378" t="inlineStr">
        <is>
          <t>NTST</t>
        </is>
      </c>
      <c r="B1378" t="n">
        <v>690</v>
      </c>
      <c r="C1378" t="inlineStr">
        <is>
          <t>Ind St:</t>
        </is>
      </c>
      <c r="D1378" t="inlineStr">
        <is>
          <t>Ind St:NT Backgrounds</t>
        </is>
      </c>
      <c r="E1378" t="inlineStr">
        <is>
          <t>NTST690</t>
        </is>
      </c>
    </row>
    <row r="1379">
      <c r="A1379" t="inlineStr">
        <is>
          <t>NTST</t>
        </is>
      </c>
      <c r="B1379" t="n">
        <v>897</v>
      </c>
      <c r="C1379" t="inlineStr">
        <is>
          <t>Ind. Study:</t>
        </is>
      </c>
      <c r="D1379" t="inlineStr">
        <is>
          <t>Ind. Study: NT Exegesis</t>
        </is>
      </c>
      <c r="E1379" t="inlineStr">
        <is>
          <t>NTST897</t>
        </is>
      </c>
    </row>
    <row r="1380">
      <c r="A1380" t="inlineStr">
        <is>
          <t>THST</t>
        </is>
      </c>
      <c r="B1380" t="n">
        <v>896</v>
      </c>
      <c r="C1380" t="inlineStr">
        <is>
          <t>Directed Rdg Christian Ethics</t>
        </is>
      </c>
      <c r="D1380" t="inlineStr">
        <is>
          <t>Dir Rdg Phil, Theo, &amp; Ethics</t>
        </is>
      </c>
      <c r="E1380" t="inlineStr">
        <is>
          <t>THST896</t>
        </is>
      </c>
    </row>
    <row r="1381">
      <c r="A1381" t="inlineStr">
        <is>
          <t>DSLE</t>
        </is>
      </c>
      <c r="B1381" t="n">
        <v>636</v>
      </c>
      <c r="C1381" t="inlineStr">
        <is>
          <t>Seminar in Youth Ministry</t>
        </is>
      </c>
      <c r="E1381" t="inlineStr">
        <is>
          <t>DSLE636</t>
        </is>
      </c>
    </row>
    <row r="1382">
      <c r="A1382" t="inlineStr">
        <is>
          <t>THST</t>
        </is>
      </c>
      <c r="B1382" t="n">
        <v>690</v>
      </c>
      <c r="C1382" t="inlineStr">
        <is>
          <t>Ind St:</t>
        </is>
      </c>
      <c r="D1382" t="inlineStr">
        <is>
          <t>Ind St: Princ of Christ Ethics</t>
        </is>
      </c>
      <c r="E1382" t="inlineStr">
        <is>
          <t>THST690</t>
        </is>
      </c>
    </row>
    <row r="1383">
      <c r="A1383" t="inlineStr">
        <is>
          <t>NTST</t>
        </is>
      </c>
      <c r="B1383" t="n">
        <v>690</v>
      </c>
      <c r="C1383" t="inlineStr">
        <is>
          <t>Ind St:</t>
        </is>
      </c>
      <c r="D1383" t="inlineStr">
        <is>
          <t>Ind St: Hebrews</t>
        </is>
      </c>
      <c r="E1383" t="inlineStr">
        <is>
          <t>NTST690</t>
        </is>
      </c>
    </row>
    <row r="1384">
      <c r="A1384" t="inlineStr">
        <is>
          <t>PATH</t>
        </is>
      </c>
      <c r="B1384" t="n">
        <v>526</v>
      </c>
      <c r="C1384" t="inlineStr">
        <is>
          <t>Conflict Management</t>
        </is>
      </c>
      <c r="E1384" t="inlineStr">
        <is>
          <t>PATH526</t>
        </is>
      </c>
    </row>
    <row r="1385">
      <c r="A1385" t="inlineStr">
        <is>
          <t>DSLE</t>
        </is>
      </c>
      <c r="B1385" t="n">
        <v>690</v>
      </c>
      <c r="C1385" t="inlineStr">
        <is>
          <t>Ind St:</t>
        </is>
      </c>
      <c r="D1385" t="inlineStr">
        <is>
          <t>Ind St:Stud in Disc&amp;Lfspn Educ</t>
        </is>
      </c>
      <c r="E1385" t="inlineStr">
        <is>
          <t>DSLE690</t>
        </is>
      </c>
    </row>
    <row r="1386">
      <c r="A1386" t="inlineStr">
        <is>
          <t>GSEM</t>
        </is>
      </c>
      <c r="B1386" t="n">
        <v>797</v>
      </c>
      <c r="C1386" t="inlineStr">
        <is>
          <t>Ind St:</t>
        </is>
      </c>
      <c r="D1386" t="inlineStr">
        <is>
          <t>Ind St:DMin Dissert Project</t>
        </is>
      </c>
      <c r="E1386" t="inlineStr">
        <is>
          <t>GSEM797</t>
        </is>
      </c>
    </row>
    <row r="1387">
      <c r="A1387" t="inlineStr">
        <is>
          <t>GSEM</t>
        </is>
      </c>
      <c r="B1387" t="n">
        <v>797</v>
      </c>
      <c r="C1387" t="inlineStr">
        <is>
          <t>Ind St:</t>
        </is>
      </c>
      <c r="D1387" t="inlineStr">
        <is>
          <t>Ind St:Spiritual &amp; Theol Found</t>
        </is>
      </c>
      <c r="E1387" t="inlineStr">
        <is>
          <t>GSEM797</t>
        </is>
      </c>
    </row>
    <row r="1388">
      <c r="A1388" t="inlineStr">
        <is>
          <t>DSLE</t>
        </is>
      </c>
      <c r="B1388" t="n">
        <v>690</v>
      </c>
      <c r="C1388" t="inlineStr">
        <is>
          <t>Ind St:</t>
        </is>
      </c>
      <c r="D1388" t="inlineStr">
        <is>
          <t>Ind St:Rchng the Secular Mind</t>
        </is>
      </c>
      <c r="E1388" t="inlineStr">
        <is>
          <t>DSLE690</t>
        </is>
      </c>
    </row>
    <row r="1389">
      <c r="A1389" t="inlineStr">
        <is>
          <t>GSEM</t>
        </is>
      </c>
      <c r="B1389" t="n">
        <v>797</v>
      </c>
      <c r="C1389" t="inlineStr">
        <is>
          <t>Ind St:</t>
        </is>
      </c>
      <c r="D1389" t="inlineStr">
        <is>
          <t>Ind St:Effective Strategic Grw</t>
        </is>
      </c>
      <c r="E1389" t="inlineStr">
        <is>
          <t>GSEM797</t>
        </is>
      </c>
    </row>
    <row r="1390">
      <c r="A1390" t="inlineStr">
        <is>
          <t>THST</t>
        </is>
      </c>
      <c r="B1390" t="n">
        <v>885</v>
      </c>
      <c r="C1390" t="inlineStr">
        <is>
          <t>Top:</t>
        </is>
      </c>
      <c r="D1390" t="inlineStr">
        <is>
          <t>Top:Modern Christian Theology</t>
        </is>
      </c>
      <c r="E1390" t="inlineStr">
        <is>
          <t>THST885</t>
        </is>
      </c>
    </row>
    <row r="1391">
      <c r="A1391" t="inlineStr">
        <is>
          <t>OTST</t>
        </is>
      </c>
      <c r="B1391" t="n">
        <v>690</v>
      </c>
      <c r="C1391" t="inlineStr">
        <is>
          <t>Ind St:</t>
        </is>
      </c>
      <c r="D1391" t="inlineStr">
        <is>
          <t>Ind St: Studies in OT Exegesis</t>
        </is>
      </c>
      <c r="E1391" t="inlineStr">
        <is>
          <t>OTST690</t>
        </is>
      </c>
    </row>
    <row r="1392">
      <c r="A1392" t="inlineStr">
        <is>
          <t>DSLE</t>
        </is>
      </c>
      <c r="B1392" t="n">
        <v>620</v>
      </c>
      <c r="C1392" t="inlineStr">
        <is>
          <t>Scholarly and Professional Dev</t>
        </is>
      </c>
      <c r="E1392" t="inlineStr">
        <is>
          <t>DSLE620</t>
        </is>
      </c>
    </row>
    <row r="1393">
      <c r="A1393" t="inlineStr">
        <is>
          <t>THST</t>
        </is>
      </c>
      <c r="B1393" t="n">
        <v>897</v>
      </c>
      <c r="C1393" t="inlineStr">
        <is>
          <t>Ind St:</t>
        </is>
      </c>
      <c r="D1393" t="inlineStr">
        <is>
          <t>Ind St:Contemporary Theology</t>
        </is>
      </c>
      <c r="E1393" t="inlineStr">
        <is>
          <t>THST897</t>
        </is>
      </c>
    </row>
    <row r="1394">
      <c r="A1394" t="inlineStr">
        <is>
          <t>THST</t>
        </is>
      </c>
      <c r="B1394" t="n">
        <v>897</v>
      </c>
      <c r="C1394" t="inlineStr">
        <is>
          <t>Ind St:</t>
        </is>
      </c>
      <c r="D1394" t="inlineStr">
        <is>
          <t>Ind St:Ethics and Theology</t>
        </is>
      </c>
      <c r="E1394" t="inlineStr">
        <is>
          <t>THST897</t>
        </is>
      </c>
    </row>
    <row r="1395">
      <c r="A1395" t="inlineStr">
        <is>
          <t>PATH</t>
        </is>
      </c>
      <c r="B1395" t="n">
        <v>690</v>
      </c>
      <c r="C1395" t="inlineStr">
        <is>
          <t>Ind Stdy:</t>
        </is>
      </c>
      <c r="E1395" t="inlineStr">
        <is>
          <t>PATH690</t>
        </is>
      </c>
    </row>
    <row r="1396">
      <c r="A1396" t="inlineStr">
        <is>
          <t>THST</t>
        </is>
      </c>
      <c r="B1396" t="n">
        <v>885</v>
      </c>
      <c r="C1396" t="inlineStr">
        <is>
          <t>Top:</t>
        </is>
      </c>
      <c r="D1396" t="inlineStr">
        <is>
          <t>Top:Revelation, Inspiratn&amp;Herm</t>
        </is>
      </c>
      <c r="E1396" t="inlineStr">
        <is>
          <t>THST885</t>
        </is>
      </c>
    </row>
    <row r="1397">
      <c r="A1397" t="inlineStr">
        <is>
          <t>MSSN</t>
        </is>
      </c>
      <c r="B1397" t="n">
        <v>885</v>
      </c>
      <c r="C1397" t="inlineStr">
        <is>
          <t>Topics in:</t>
        </is>
      </c>
      <c r="D1397" t="inlineStr">
        <is>
          <t>Top: Witnessing to Muslims</t>
        </is>
      </c>
      <c r="E1397" t="inlineStr">
        <is>
          <t>MSSN885</t>
        </is>
      </c>
    </row>
    <row r="1398">
      <c r="A1398" t="inlineStr">
        <is>
          <t>GSEM</t>
        </is>
      </c>
      <c r="B1398" t="n">
        <v>505</v>
      </c>
      <c r="C1398" t="inlineStr">
        <is>
          <t>Colloquium:</t>
        </is>
      </c>
      <c r="D1398" t="inlineStr">
        <is>
          <t>Coll:Min&amp;Apolgtcs in Seclr Age</t>
        </is>
      </c>
      <c r="E1398" t="inlineStr">
        <is>
          <t>GSEM505</t>
        </is>
      </c>
    </row>
    <row r="1399">
      <c r="A1399" t="inlineStr">
        <is>
          <t>PATH</t>
        </is>
      </c>
      <c r="B1399" t="n">
        <v>709</v>
      </c>
      <c r="C1399" t="inlineStr">
        <is>
          <t>The Changing Church</t>
        </is>
      </c>
      <c r="E1399" t="inlineStr">
        <is>
          <t>PATH709</t>
        </is>
      </c>
    </row>
    <row r="1400">
      <c r="A1400" t="inlineStr">
        <is>
          <t>PATH</t>
        </is>
      </c>
      <c r="B1400" t="n">
        <v>604</v>
      </c>
      <c r="C1400" t="inlineStr">
        <is>
          <t>Mobilizing for Evang Min</t>
        </is>
      </c>
      <c r="D1400" t="inlineStr">
        <is>
          <t>Mobilizing for Evang Min</t>
        </is>
      </c>
      <c r="E1400" t="inlineStr">
        <is>
          <t>PATH604</t>
        </is>
      </c>
    </row>
    <row r="1401">
      <c r="A1401" t="inlineStr">
        <is>
          <t>PATH</t>
        </is>
      </c>
      <c r="B1401" t="n">
        <v>560</v>
      </c>
      <c r="C1401" t="inlineStr">
        <is>
          <t>Adv Ministerial Development</t>
        </is>
      </c>
      <c r="E1401" t="inlineStr">
        <is>
          <t>PATH560</t>
        </is>
      </c>
    </row>
    <row r="1402">
      <c r="A1402" t="inlineStr">
        <is>
          <t>OTST</t>
        </is>
      </c>
      <c r="B1402" t="n">
        <v>895</v>
      </c>
      <c r="C1402" t="inlineStr">
        <is>
          <t>Independent Study:</t>
        </is>
      </c>
      <c r="D1402" t="inlineStr">
        <is>
          <t>Independent Study:</t>
        </is>
      </c>
      <c r="E1402" t="inlineStr">
        <is>
          <t>OTST895</t>
        </is>
      </c>
    </row>
    <row r="1403">
      <c r="A1403" t="inlineStr">
        <is>
          <t>DSLE</t>
        </is>
      </c>
      <c r="B1403" t="n">
        <v>690</v>
      </c>
      <c r="C1403" t="inlineStr">
        <is>
          <t>Ind St:</t>
        </is>
      </c>
      <c r="D1403" t="inlineStr">
        <is>
          <t>IndSt:Int Dynmcs of the Family</t>
        </is>
      </c>
      <c r="E1403" t="inlineStr">
        <is>
          <t>DSLE690</t>
        </is>
      </c>
    </row>
    <row r="1404">
      <c r="A1404" t="inlineStr">
        <is>
          <t>GSEM</t>
        </is>
      </c>
      <c r="B1404" t="n">
        <v>505</v>
      </c>
      <c r="C1404" t="inlineStr">
        <is>
          <t>Colloquium:</t>
        </is>
      </c>
      <c r="D1404" t="inlineStr">
        <is>
          <t>Coll:NAD EndItNow Smt on Abuse</t>
        </is>
      </c>
      <c r="E1404" t="inlineStr">
        <is>
          <t>GSEM505</t>
        </is>
      </c>
    </row>
    <row r="1405">
      <c r="A1405" t="inlineStr">
        <is>
          <t>CHIS</t>
        </is>
      </c>
      <c r="B1405" t="n">
        <v>690</v>
      </c>
      <c r="C1405" t="inlineStr">
        <is>
          <t>Ind St:</t>
        </is>
      </c>
      <c r="D1405" t="inlineStr">
        <is>
          <t>Ind St:Early Christian Lit</t>
        </is>
      </c>
      <c r="E1405" t="inlineStr">
        <is>
          <t>CHIS690</t>
        </is>
      </c>
    </row>
    <row r="1406">
      <c r="A1406" t="inlineStr">
        <is>
          <t>CHIS</t>
        </is>
      </c>
      <c r="B1406" t="n">
        <v>891</v>
      </c>
      <c r="C1406" t="inlineStr">
        <is>
          <t>Ind St:</t>
        </is>
      </c>
      <c r="D1406" t="inlineStr">
        <is>
          <t>Ind St:Early Christian Literat</t>
        </is>
      </c>
      <c r="E1406" t="inlineStr">
        <is>
          <t>CHIS891</t>
        </is>
      </c>
    </row>
    <row r="1407">
      <c r="A1407" t="inlineStr">
        <is>
          <t>NTST</t>
        </is>
      </c>
      <c r="B1407" t="n">
        <v>897</v>
      </c>
      <c r="C1407" t="inlineStr">
        <is>
          <t>Ind. Study:</t>
        </is>
      </c>
      <c r="D1407" t="inlineStr">
        <is>
          <t>Ind St: NT Backgrounds</t>
        </is>
      </c>
      <c r="E1407" t="inlineStr">
        <is>
          <t>NTST897</t>
        </is>
      </c>
    </row>
    <row r="1408">
      <c r="A1408" t="inlineStr">
        <is>
          <t>DSLE</t>
        </is>
      </c>
      <c r="B1408" t="n">
        <v>616</v>
      </c>
      <c r="C1408" t="inlineStr">
        <is>
          <t>CollabMin: Part in Disc&amp;Mssn</t>
        </is>
      </c>
      <c r="E1408" t="inlineStr">
        <is>
          <t>DSLE616</t>
        </is>
      </c>
    </row>
    <row r="1409">
      <c r="A1409" t="inlineStr">
        <is>
          <t>CHIS</t>
        </is>
      </c>
      <c r="B1409" t="n">
        <v>690</v>
      </c>
      <c r="C1409" t="inlineStr">
        <is>
          <t>Ind St:</t>
        </is>
      </c>
      <c r="D1409" t="inlineStr">
        <is>
          <t>Ind St: CHIS to 1500</t>
        </is>
      </c>
      <c r="E1409" t="inlineStr">
        <is>
          <t>CHIS690</t>
        </is>
      </c>
    </row>
    <row r="1410">
      <c r="A1410" t="inlineStr">
        <is>
          <t>CHIS</t>
        </is>
      </c>
      <c r="B1410" t="n">
        <v>891</v>
      </c>
      <c r="C1410" t="inlineStr">
        <is>
          <t>Ind St:</t>
        </is>
      </c>
      <c r="D1410" t="inlineStr">
        <is>
          <t>IndSt:Early Church Backgrounds</t>
        </is>
      </c>
      <c r="E1410" t="inlineStr">
        <is>
          <t>CHIS891</t>
        </is>
      </c>
    </row>
    <row r="1411">
      <c r="A1411" t="inlineStr">
        <is>
          <t>DSLE</t>
        </is>
      </c>
      <c r="B1411" t="n">
        <v>994</v>
      </c>
      <c r="C1411" t="inlineStr">
        <is>
          <t>Dissertation:Literature Review</t>
        </is>
      </c>
      <c r="E1411" t="inlineStr">
        <is>
          <t>DSLE994</t>
        </is>
      </c>
    </row>
    <row r="1412">
      <c r="A1412" t="inlineStr">
        <is>
          <t>OTST</t>
        </is>
      </c>
      <c r="B1412" t="n">
        <v>895</v>
      </c>
      <c r="C1412" t="inlineStr">
        <is>
          <t>Independent Study:</t>
        </is>
      </c>
      <c r="D1412" t="inlineStr">
        <is>
          <t>Independent Study: Text-Fabric</t>
        </is>
      </c>
      <c r="E1412" t="inlineStr">
        <is>
          <t>OTST895</t>
        </is>
      </c>
    </row>
    <row r="1413">
      <c r="A1413" t="inlineStr">
        <is>
          <t>THST</t>
        </is>
      </c>
      <c r="B1413" t="n">
        <v>940</v>
      </c>
      <c r="C1413" t="inlineStr">
        <is>
          <t>Sem in Systematic Theology:</t>
        </is>
      </c>
      <c r="D1413" t="inlineStr">
        <is>
          <t>Sem Syst Theo: Sabb Doctr&amp;Bles</t>
        </is>
      </c>
      <c r="E1413" t="inlineStr">
        <is>
          <t>THST940</t>
        </is>
      </c>
    </row>
    <row r="1414">
      <c r="A1414" t="inlineStr">
        <is>
          <t>NTST</t>
        </is>
      </c>
      <c r="B1414" t="n">
        <v>885</v>
      </c>
      <c r="C1414" t="inlineStr">
        <is>
          <t>Topics in</t>
        </is>
      </c>
      <c r="D1414" t="inlineStr">
        <is>
          <t>Tops in Grt Cont, Cvnt, Lw&amp;Sab</t>
        </is>
      </c>
      <c r="E1414" t="inlineStr">
        <is>
          <t>NTST885</t>
        </is>
      </c>
    </row>
    <row r="1415">
      <c r="A1415" t="inlineStr">
        <is>
          <t>NTST</t>
        </is>
      </c>
      <c r="B1415" t="n">
        <v>690</v>
      </c>
      <c r="C1415" t="inlineStr">
        <is>
          <t>Ind St:</t>
        </is>
      </c>
      <c r="D1415" t="inlineStr">
        <is>
          <t>Ind St: Eschatology</t>
        </is>
      </c>
      <c r="E1415" t="inlineStr">
        <is>
          <t>NTST690</t>
        </is>
      </c>
    </row>
    <row r="1416">
      <c r="A1416" t="inlineStr">
        <is>
          <t>MSSN</t>
        </is>
      </c>
      <c r="B1416" t="n">
        <v>897</v>
      </c>
      <c r="C1416" t="inlineStr">
        <is>
          <t>Ind St:</t>
        </is>
      </c>
      <c r="D1416" t="inlineStr">
        <is>
          <t>Ind St:  Mission</t>
        </is>
      </c>
      <c r="E1416" t="inlineStr">
        <is>
          <t>MSSN897</t>
        </is>
      </c>
    </row>
    <row r="1417">
      <c r="A1417" t="inlineStr">
        <is>
          <t>NTST</t>
        </is>
      </c>
      <c r="B1417" t="n">
        <v>690</v>
      </c>
      <c r="C1417" t="inlineStr">
        <is>
          <t>Ind St:</t>
        </is>
      </c>
      <c r="D1417" t="inlineStr">
        <is>
          <t>Ind St: NT Backgrounds</t>
        </is>
      </c>
      <c r="E1417" t="inlineStr">
        <is>
          <t>NTST690</t>
        </is>
      </c>
    </row>
    <row r="1418">
      <c r="A1418" t="inlineStr">
        <is>
          <t>DSLE</t>
        </is>
      </c>
      <c r="B1418" t="n">
        <v>660</v>
      </c>
      <c r="C1418" t="inlineStr">
        <is>
          <t>Field Practicum: MAYYAM</t>
        </is>
      </c>
      <c r="E1418" t="inlineStr">
        <is>
          <t>DSLE660</t>
        </is>
      </c>
    </row>
    <row r="1419">
      <c r="A1419" t="inlineStr">
        <is>
          <t>THST</t>
        </is>
      </c>
      <c r="B1419" t="n">
        <v>897</v>
      </c>
      <c r="C1419" t="inlineStr">
        <is>
          <t>Ind St:</t>
        </is>
      </c>
      <c r="D1419" t="inlineStr">
        <is>
          <t>IndSt: AI's Influence on Theol</t>
        </is>
      </c>
      <c r="E1419" t="inlineStr">
        <is>
          <t>THST897</t>
        </is>
      </c>
    </row>
    <row r="1420">
      <c r="A1420" t="inlineStr">
        <is>
          <t>CHIS</t>
        </is>
      </c>
      <c r="B1420" t="n">
        <v>695</v>
      </c>
      <c r="C1420" t="inlineStr">
        <is>
          <t>Topics in Church History:</t>
        </is>
      </c>
      <c r="D1420" t="inlineStr">
        <is>
          <t>Top in Chrch Hist:Early Church</t>
        </is>
      </c>
      <c r="E1420" t="inlineStr">
        <is>
          <t>CHIS695</t>
        </is>
      </c>
    </row>
    <row r="1421">
      <c r="A1421" t="inlineStr">
        <is>
          <t>PATH</t>
        </is>
      </c>
      <c r="B1421" t="n">
        <v>690</v>
      </c>
      <c r="C1421" t="inlineStr">
        <is>
          <t>Ind Stdy:</t>
        </is>
      </c>
      <c r="D1421" t="inlineStr">
        <is>
          <t>IndSdy:Contextualized Preachng</t>
        </is>
      </c>
      <c r="E1421" t="inlineStr">
        <is>
          <t>PATH690</t>
        </is>
      </c>
    </row>
    <row r="1422">
      <c r="A1422" t="inlineStr">
        <is>
          <t>NTST</t>
        </is>
      </c>
      <c r="B1422" t="n">
        <v>690</v>
      </c>
      <c r="C1422" t="inlineStr">
        <is>
          <t>Ind St:</t>
        </is>
      </c>
      <c r="D1422" t="inlineStr">
        <is>
          <t>Ind St: Grt Con, Cov, Law, Sab</t>
        </is>
      </c>
      <c r="E1422" t="inlineStr">
        <is>
          <t>NTST690</t>
        </is>
      </c>
    </row>
    <row r="1423">
      <c r="A1423" t="inlineStr">
        <is>
          <t>CHIS</t>
        </is>
      </c>
      <c r="B1423" t="n">
        <v>892</v>
      </c>
      <c r="C1423" t="inlineStr">
        <is>
          <t>IndSty in Adv St:</t>
        </is>
      </c>
      <c r="D1423" t="inlineStr">
        <is>
          <t>IndSty:Armin&amp;Wesleyn Hist&amp;Theo</t>
        </is>
      </c>
      <c r="E1423" t="inlineStr">
        <is>
          <t>CHIS892</t>
        </is>
      </c>
    </row>
    <row r="1424">
      <c r="A1424" t="inlineStr">
        <is>
          <t>DSLE</t>
        </is>
      </c>
      <c r="B1424" t="n">
        <v>690</v>
      </c>
      <c r="C1424" t="inlineStr">
        <is>
          <t>Ind St:</t>
        </is>
      </c>
      <c r="D1424" t="inlineStr">
        <is>
          <t>Ind St: Sem in Youth Ministry</t>
        </is>
      </c>
      <c r="E1424" t="inlineStr">
        <is>
          <t>DSLE690</t>
        </is>
      </c>
    </row>
    <row r="1425">
      <c r="A1425" t="inlineStr">
        <is>
          <t>MSSN</t>
        </is>
      </c>
      <c r="B1425" t="n">
        <v>897</v>
      </c>
      <c r="C1425" t="inlineStr">
        <is>
          <t>Ind St:</t>
        </is>
      </c>
      <c r="D1425" t="inlineStr">
        <is>
          <t>IndSt: Hist of Missn Melanesia</t>
        </is>
      </c>
      <c r="E1425" t="inlineStr">
        <is>
          <t>MSSN897</t>
        </is>
      </c>
    </row>
    <row r="1426">
      <c r="A1426" t="inlineStr">
        <is>
          <t>DSLE</t>
        </is>
      </c>
      <c r="B1426" t="n">
        <v>885</v>
      </c>
      <c r="C1426" t="inlineStr">
        <is>
          <t>Field Practicum:</t>
        </is>
      </c>
      <c r="D1426" t="inlineStr">
        <is>
          <t>FldPract:Best Pract Disc Lifsp</t>
        </is>
      </c>
      <c r="E1426" t="inlineStr">
        <is>
          <t>DSLE885</t>
        </is>
      </c>
    </row>
    <row r="1427">
      <c r="A1427" t="inlineStr">
        <is>
          <t>DSLE</t>
        </is>
      </c>
      <c r="B1427" t="n">
        <v>887</v>
      </c>
      <c r="C1427" t="inlineStr">
        <is>
          <t>Applied Research</t>
        </is>
      </c>
      <c r="E1427" t="inlineStr">
        <is>
          <t>DSLE887</t>
        </is>
      </c>
    </row>
    <row r="1428">
      <c r="A1428" t="inlineStr">
        <is>
          <t>DSLE</t>
        </is>
      </c>
      <c r="B1428" t="n">
        <v>564</v>
      </c>
      <c r="C1428" t="inlineStr">
        <is>
          <t>Adv Yth&amp;Yng Adlt Min Ldrshp</t>
        </is>
      </c>
      <c r="E1428" t="inlineStr">
        <is>
          <t>DSLE564</t>
        </is>
      </c>
    </row>
    <row r="1429">
      <c r="A1429" t="inlineStr">
        <is>
          <t>MSSN</t>
        </is>
      </c>
      <c r="B1429" t="n">
        <v>685</v>
      </c>
      <c r="C1429" t="inlineStr">
        <is>
          <t>Strategies World Mission</t>
        </is>
      </c>
      <c r="D1429" t="inlineStr">
        <is>
          <t>Strategies for World Mission</t>
        </is>
      </c>
      <c r="E1429" t="inlineStr">
        <is>
          <t>MSSN685</t>
        </is>
      </c>
    </row>
    <row r="1430">
      <c r="A1430" t="inlineStr">
        <is>
          <t>OTST</t>
        </is>
      </c>
      <c r="B1430" t="n">
        <v>690</v>
      </c>
      <c r="C1430" t="inlineStr">
        <is>
          <t>Ind St:</t>
        </is>
      </c>
      <c r="D1430" t="inlineStr">
        <is>
          <t>IndSt:Doctrine ofthe Sanctuary</t>
        </is>
      </c>
      <c r="E1430" t="inlineStr">
        <is>
          <t>OTST690</t>
        </is>
      </c>
    </row>
    <row r="1431">
      <c r="A1431" t="inlineStr">
        <is>
          <t>THST</t>
        </is>
      </c>
      <c r="B1431" t="n">
        <v>890</v>
      </c>
      <c r="C1431" t="inlineStr">
        <is>
          <t>Directed Rdg in Systmtic Theo</t>
        </is>
      </c>
      <c r="D1431" t="inlineStr">
        <is>
          <t>DirRdg inSystTheo:Doctr of God</t>
        </is>
      </c>
      <c r="E1431" t="inlineStr">
        <is>
          <t>THST890</t>
        </is>
      </c>
    </row>
    <row r="1432">
      <c r="A1432" t="inlineStr">
        <is>
          <t>THST</t>
        </is>
      </c>
      <c r="B1432" t="n">
        <v>940</v>
      </c>
      <c r="C1432" t="inlineStr">
        <is>
          <t>Sem in Systematic Theology:</t>
        </is>
      </c>
      <c r="D1432" t="inlineStr">
        <is>
          <t>Sem Syst Theo: Faith, Reason&amp;M</t>
        </is>
      </c>
      <c r="E1432" t="inlineStr">
        <is>
          <t>THST940</t>
        </is>
      </c>
    </row>
    <row r="1433">
      <c r="A1433" t="inlineStr">
        <is>
          <t>THST</t>
        </is>
      </c>
      <c r="B1433" t="n">
        <v>890</v>
      </c>
      <c r="C1433" t="inlineStr">
        <is>
          <t>Directed Rdg in Systmtic Theo</t>
        </is>
      </c>
      <c r="D1433" t="inlineStr">
        <is>
          <t>DirRdg inSystTheo:Theodocy</t>
        </is>
      </c>
      <c r="E1433" t="inlineStr">
        <is>
          <t>THST890</t>
        </is>
      </c>
    </row>
    <row r="1434">
      <c r="A1434" t="inlineStr">
        <is>
          <t>ANEA</t>
        </is>
      </c>
      <c r="B1434" t="n">
        <v>690</v>
      </c>
      <c r="C1434" t="inlineStr">
        <is>
          <t>Independent Study</t>
        </is>
      </c>
      <c r="D1434" t="inlineStr">
        <is>
          <t>Ind Study: Ancient Pottery</t>
        </is>
      </c>
      <c r="E1434" t="inlineStr">
        <is>
          <t>ANEA690</t>
        </is>
      </c>
    </row>
    <row r="1435">
      <c r="A1435" t="inlineStr">
        <is>
          <t>OTST</t>
        </is>
      </c>
      <c r="B1435" t="n">
        <v>690</v>
      </c>
      <c r="C1435" t="inlineStr">
        <is>
          <t>Ind St:</t>
        </is>
      </c>
      <c r="D1435" t="inlineStr">
        <is>
          <t>Ind St: Daniel</t>
        </is>
      </c>
      <c r="E1435" t="inlineStr">
        <is>
          <t>OTST690</t>
        </is>
      </c>
    </row>
    <row r="1436">
      <c r="A1436" t="inlineStr">
        <is>
          <t>DSLE</t>
        </is>
      </c>
      <c r="B1436" t="n">
        <v>995</v>
      </c>
      <c r="C1436" t="inlineStr">
        <is>
          <t>Doctoral Dissertation</t>
        </is>
      </c>
      <c r="E1436" t="inlineStr">
        <is>
          <t>DSLE995</t>
        </is>
      </c>
    </row>
    <row r="1437">
      <c r="A1437" t="inlineStr">
        <is>
          <t>PATH</t>
        </is>
      </c>
      <c r="B1437" t="n">
        <v>690</v>
      </c>
      <c r="C1437" t="inlineStr">
        <is>
          <t>Ind Stdy:</t>
        </is>
      </c>
      <c r="D1437" t="inlineStr">
        <is>
          <t>IndStdy:Field Evang Preaching</t>
        </is>
      </c>
      <c r="E1437" t="inlineStr">
        <is>
          <t>PATH690</t>
        </is>
      </c>
    </row>
    <row r="1438">
      <c r="A1438" t="inlineStr">
        <is>
          <t>THST</t>
        </is>
      </c>
      <c r="B1438" t="n">
        <v>649</v>
      </c>
      <c r="C1438" t="inlineStr">
        <is>
          <t>Sem in Theological Issues:</t>
        </is>
      </c>
      <c r="D1438" t="inlineStr">
        <is>
          <t>Sem Syst Theo: Sabb Doctr&amp;Bles</t>
        </is>
      </c>
      <c r="E1438" t="inlineStr">
        <is>
          <t>THST649</t>
        </is>
      </c>
    </row>
    <row r="1439">
      <c r="A1439" t="inlineStr">
        <is>
          <t>MSSN</t>
        </is>
      </c>
      <c r="B1439" t="n">
        <v>695</v>
      </c>
      <c r="C1439" t="inlineStr">
        <is>
          <t>Topics:</t>
        </is>
      </c>
      <c r="D1439" t="inlineStr">
        <is>
          <t>Top: Witnessing to Muslims</t>
        </is>
      </c>
      <c r="E1439" t="inlineStr">
        <is>
          <t>MSSN695</t>
        </is>
      </c>
    </row>
    <row r="1440">
      <c r="A1440" t="inlineStr">
        <is>
          <t>DSLE</t>
        </is>
      </c>
      <c r="B1440" t="n">
        <v>620</v>
      </c>
      <c r="C1440" t="inlineStr">
        <is>
          <t>Scholarly and Professional Dev</t>
        </is>
      </c>
      <c r="D1440" t="inlineStr">
        <is>
          <t>Scholarly and Professional Dev</t>
        </is>
      </c>
      <c r="E1440" t="inlineStr">
        <is>
          <t>DSLE620</t>
        </is>
      </c>
    </row>
    <row r="1441">
      <c r="A1441" t="inlineStr">
        <is>
          <t>DSLE</t>
        </is>
      </c>
      <c r="B1441" t="n">
        <v>680</v>
      </c>
      <c r="C1441" t="inlineStr">
        <is>
          <t>Field Practicum:</t>
        </is>
      </c>
      <c r="D1441" t="inlineStr">
        <is>
          <t>Field Practicum:________</t>
        </is>
      </c>
      <c r="E1441" t="inlineStr">
        <is>
          <t>DSLE680</t>
        </is>
      </c>
    </row>
    <row r="1442">
      <c r="A1442" t="inlineStr">
        <is>
          <t>DSLE</t>
        </is>
      </c>
      <c r="B1442" t="n">
        <v>878</v>
      </c>
      <c r="C1442" t="inlineStr">
        <is>
          <t>Adv Scholarly &amp; Prof Dev</t>
        </is>
      </c>
      <c r="D1442" t="inlineStr">
        <is>
          <t>Adv Scholarly &amp; Prof Dev</t>
        </is>
      </c>
      <c r="E1442" t="inlineStr">
        <is>
          <t>DSLE878</t>
        </is>
      </c>
    </row>
    <row r="1443">
      <c r="A1443" t="inlineStr">
        <is>
          <t>DSLE</t>
        </is>
      </c>
      <c r="B1443" t="n">
        <v>880</v>
      </c>
      <c r="C1443" t="inlineStr">
        <is>
          <t>PhD (DSLE) Prog Cont</t>
        </is>
      </c>
      <c r="D1443" t="inlineStr">
        <is>
          <t>PhD (Rel Education) Prog Cont</t>
        </is>
      </c>
      <c r="E1443" t="inlineStr">
        <is>
          <t>DSLE880</t>
        </is>
      </c>
    </row>
    <row r="1444">
      <c r="A1444" t="inlineStr">
        <is>
          <t>DSLE</t>
        </is>
      </c>
      <c r="B1444" t="n">
        <v>885</v>
      </c>
      <c r="C1444" t="inlineStr">
        <is>
          <t>Field Practicum:</t>
        </is>
      </c>
      <c r="D1444" t="inlineStr">
        <is>
          <t>Field Practicum:</t>
        </is>
      </c>
      <c r="E1444" t="inlineStr">
        <is>
          <t>DSLE885</t>
        </is>
      </c>
    </row>
    <row r="1445">
      <c r="A1445" t="inlineStr">
        <is>
          <t>DSLE</t>
        </is>
      </c>
      <c r="B1445" t="n">
        <v>887</v>
      </c>
      <c r="C1445" t="inlineStr">
        <is>
          <t>Applied Research</t>
        </is>
      </c>
      <c r="D1445" t="inlineStr">
        <is>
          <t>Applied Research</t>
        </is>
      </c>
      <c r="E1445" t="inlineStr">
        <is>
          <t>DSLE887</t>
        </is>
      </c>
    </row>
    <row r="1446">
      <c r="A1446" t="inlineStr">
        <is>
          <t>MSSN</t>
        </is>
      </c>
      <c r="B1446" t="n">
        <v>690</v>
      </c>
      <c r="C1446" t="inlineStr">
        <is>
          <t>Ind St:</t>
        </is>
      </c>
      <c r="D1446" t="inlineStr">
        <is>
          <t>Ind St: Witnessing to Muslims</t>
        </is>
      </c>
      <c r="E1446" t="inlineStr">
        <is>
          <t>MSSN690</t>
        </is>
      </c>
    </row>
    <row r="1447">
      <c r="A1447" t="inlineStr">
        <is>
          <t>DSLE</t>
        </is>
      </c>
      <c r="B1447" t="n">
        <v>870</v>
      </c>
      <c r="C1447" t="inlineStr">
        <is>
          <t>Adv Studies:</t>
        </is>
      </c>
      <c r="E1447" t="inlineStr">
        <is>
          <t>DSLE870</t>
        </is>
      </c>
    </row>
    <row r="1448">
      <c r="A1448" t="inlineStr">
        <is>
          <t>NTST</t>
        </is>
      </c>
      <c r="B1448" t="n">
        <v>690</v>
      </c>
      <c r="C1448" t="inlineStr">
        <is>
          <t>Ind St:</t>
        </is>
      </c>
      <c r="D1448" t="inlineStr">
        <is>
          <t>Ind St: Revelation</t>
        </is>
      </c>
      <c r="E1448" t="inlineStr">
        <is>
          <t>NTST690</t>
        </is>
      </c>
    </row>
    <row r="1449">
      <c r="A1449" t="inlineStr">
        <is>
          <t>PATH</t>
        </is>
      </c>
      <c r="B1449" t="n">
        <v>690</v>
      </c>
      <c r="C1449" t="inlineStr">
        <is>
          <t>Ind Stdy:</t>
        </is>
      </c>
      <c r="D1449" t="inlineStr">
        <is>
          <t>Ind Stdy: Field Evangelism</t>
        </is>
      </c>
      <c r="E1449" t="inlineStr">
        <is>
          <t>PATH690</t>
        </is>
      </c>
    </row>
    <row r="1450">
      <c r="A1450" t="inlineStr">
        <is>
          <t>GSEM</t>
        </is>
      </c>
      <c r="B1450" t="n">
        <v>680</v>
      </c>
      <c r="C1450" t="inlineStr">
        <is>
          <t>Masters Comprehensive Exam</t>
        </is>
      </c>
      <c r="D1450" t="inlineStr">
        <is>
          <t>Masters Comprehensive Exam</t>
        </is>
      </c>
      <c r="E1450" t="inlineStr">
        <is>
          <t>GSEM680</t>
        </is>
      </c>
    </row>
    <row r="1451">
      <c r="A1451" t="inlineStr">
        <is>
          <t>DSLE</t>
        </is>
      </c>
      <c r="B1451" t="n">
        <v>880</v>
      </c>
      <c r="C1451" t="inlineStr">
        <is>
          <t>PhD (DSLE) Prog Cont</t>
        </is>
      </c>
      <c r="D1451" t="inlineStr">
        <is>
          <t>PhD (DSLE) Prog Cont</t>
        </is>
      </c>
      <c r="E1451" t="inlineStr">
        <is>
          <t>DSLE880</t>
        </is>
      </c>
    </row>
    <row r="1452">
      <c r="A1452" t="inlineStr">
        <is>
          <t>DSLE</t>
        </is>
      </c>
      <c r="B1452" t="n">
        <v>994</v>
      </c>
      <c r="C1452" t="inlineStr">
        <is>
          <t>Dissertation:Literature Review</t>
        </is>
      </c>
      <c r="D1452" t="inlineStr">
        <is>
          <t>Dissertation:Literature Review</t>
        </is>
      </c>
      <c r="E1452" t="inlineStr">
        <is>
          <t>DSLE994</t>
        </is>
      </c>
    </row>
    <row r="1453">
      <c r="A1453" t="inlineStr">
        <is>
          <t>DSLE</t>
        </is>
      </c>
      <c r="B1453" t="n">
        <v>699</v>
      </c>
      <c r="C1453" t="inlineStr">
        <is>
          <t>Thesis</t>
        </is>
      </c>
      <c r="E1453" t="inlineStr">
        <is>
          <t>DSLE699</t>
        </is>
      </c>
    </row>
    <row r="1454">
      <c r="A1454" t="inlineStr">
        <is>
          <t>NTST</t>
        </is>
      </c>
      <c r="B1454" t="n">
        <v>690</v>
      </c>
      <c r="C1454" t="inlineStr">
        <is>
          <t>Ind St:</t>
        </is>
      </c>
      <c r="D1454" t="inlineStr">
        <is>
          <t>Ind Study:NT Backgrounds</t>
        </is>
      </c>
      <c r="E1454" t="inlineStr">
        <is>
          <t>NTST690</t>
        </is>
      </c>
    </row>
    <row r="1455">
      <c r="A1455" t="inlineStr">
        <is>
          <t>NTST</t>
        </is>
      </c>
      <c r="B1455" t="n">
        <v>690</v>
      </c>
      <c r="C1455" t="inlineStr">
        <is>
          <t>Ind St:</t>
        </is>
      </c>
      <c r="D1455" t="inlineStr">
        <is>
          <t>Ind Study: NT Exegesis</t>
        </is>
      </c>
      <c r="E1455" t="inlineStr">
        <is>
          <t>NTST690</t>
        </is>
      </c>
    </row>
    <row r="1456">
      <c r="A1456" t="inlineStr">
        <is>
          <t>PATH</t>
        </is>
      </c>
      <c r="B1456" t="n">
        <v>690</v>
      </c>
      <c r="C1456" t="inlineStr">
        <is>
          <t>Ind Stdy:</t>
        </is>
      </c>
      <c r="D1456" t="inlineStr">
        <is>
          <t>Ind Stdy: Church Growth</t>
        </is>
      </c>
      <c r="E1456" t="inlineStr">
        <is>
          <t>PATH690</t>
        </is>
      </c>
    </row>
    <row r="1457">
      <c r="A1457" t="inlineStr">
        <is>
          <t>DSLE</t>
        </is>
      </c>
      <c r="B1457" t="n">
        <v>681</v>
      </c>
      <c r="C1457" t="inlineStr">
        <is>
          <t>Field Practicum: Academic</t>
        </is>
      </c>
      <c r="E1457" t="inlineStr">
        <is>
          <t>DSLE681</t>
        </is>
      </c>
    </row>
    <row r="1458">
      <c r="A1458" t="inlineStr">
        <is>
          <t>GSEM</t>
        </is>
      </c>
      <c r="B1458" t="n">
        <v>505</v>
      </c>
      <c r="C1458" t="inlineStr">
        <is>
          <t>Colloquium:</t>
        </is>
      </c>
      <c r="D1458" t="inlineStr">
        <is>
          <t>Coll: Rsrch, Lib &amp; Writ. Sklls</t>
        </is>
      </c>
      <c r="E1458" t="inlineStr">
        <is>
          <t>GSEM505</t>
        </is>
      </c>
    </row>
    <row r="1459">
      <c r="A1459" t="inlineStr">
        <is>
          <t>DSLE</t>
        </is>
      </c>
      <c r="B1459" t="n">
        <v>690</v>
      </c>
      <c r="C1459" t="inlineStr">
        <is>
          <t>Ind St:</t>
        </is>
      </c>
      <c r="D1459" t="inlineStr">
        <is>
          <t>Ind St:Fnd of Bblcl Sprtlty</t>
        </is>
      </c>
      <c r="E1459" t="inlineStr">
        <is>
          <t>DSLE690</t>
        </is>
      </c>
    </row>
    <row r="1460">
      <c r="A1460" t="inlineStr">
        <is>
          <t>DSLE</t>
        </is>
      </c>
      <c r="B1460" t="n">
        <v>635</v>
      </c>
      <c r="C1460" t="inlineStr">
        <is>
          <t>Christian Persp on Prof Ethics</t>
        </is>
      </c>
      <c r="E1460" t="inlineStr">
        <is>
          <t>DSLE635</t>
        </is>
      </c>
    </row>
    <row r="1461">
      <c r="A1461" t="inlineStr">
        <is>
          <t>CHIS</t>
        </is>
      </c>
      <c r="B1461" t="n">
        <v>892</v>
      </c>
      <c r="C1461" t="inlineStr">
        <is>
          <t>IndSty in Adv St:</t>
        </is>
      </c>
      <c r="D1461" t="inlineStr">
        <is>
          <t>IndSty:Hist of Prophtc Interpr</t>
        </is>
      </c>
      <c r="E1461" t="inlineStr">
        <is>
          <t>CHIS892</t>
        </is>
      </c>
    </row>
    <row r="1462">
      <c r="A1462" t="inlineStr">
        <is>
          <t>DSLE</t>
        </is>
      </c>
      <c r="B1462" t="n">
        <v>690</v>
      </c>
      <c r="C1462" t="inlineStr">
        <is>
          <t>Ind St:</t>
        </is>
      </c>
      <c r="D1462" t="inlineStr">
        <is>
          <t>IndSt:Found of Bibcl Counselng</t>
        </is>
      </c>
      <c r="E1462" t="inlineStr">
        <is>
          <t>DSLE690</t>
        </is>
      </c>
    </row>
    <row r="1463">
      <c r="A1463" t="inlineStr">
        <is>
          <t>THST</t>
        </is>
      </c>
      <c r="B1463" t="n">
        <v>649</v>
      </c>
      <c r="C1463" t="inlineStr">
        <is>
          <t>Sem in Theological Issues:</t>
        </is>
      </c>
      <c r="D1463" t="inlineStr">
        <is>
          <t>Sem Syst Theo: Faith, Reason&amp;M</t>
        </is>
      </c>
      <c r="E1463" t="inlineStr">
        <is>
          <t>THST649</t>
        </is>
      </c>
    </row>
    <row r="1464">
      <c r="A1464" t="inlineStr">
        <is>
          <t>GSEM</t>
        </is>
      </c>
      <c r="B1464" t="n">
        <v>797</v>
      </c>
      <c r="C1464" t="inlineStr">
        <is>
          <t>Ind St:</t>
        </is>
      </c>
      <c r="D1464" t="inlineStr">
        <is>
          <t>IndSt:Advntst Ledrshp Comptncy</t>
        </is>
      </c>
      <c r="E1464" t="inlineStr">
        <is>
          <t>GSEM797</t>
        </is>
      </c>
    </row>
    <row r="1465">
      <c r="A1465" t="inlineStr">
        <is>
          <t>PATH</t>
        </is>
      </c>
      <c r="B1465" t="n">
        <v>660</v>
      </c>
      <c r="C1465" t="inlineStr">
        <is>
          <t>Field Practicum:</t>
        </is>
      </c>
      <c r="D1465" t="inlineStr">
        <is>
          <t>Fld Pract:Disaster Resp Train</t>
        </is>
      </c>
      <c r="E1465" t="inlineStr">
        <is>
          <t>PATH660</t>
        </is>
      </c>
    </row>
    <row r="1466">
      <c r="A1466" t="inlineStr">
        <is>
          <t>THST</t>
        </is>
      </c>
      <c r="B1466" t="n">
        <v>897</v>
      </c>
      <c r="C1466" t="inlineStr">
        <is>
          <t>Ind St:</t>
        </is>
      </c>
      <c r="D1466" t="inlineStr">
        <is>
          <t>Ind St: Dissertation Proposal</t>
        </is>
      </c>
      <c r="E1466" t="inlineStr">
        <is>
          <t>THST897</t>
        </is>
      </c>
    </row>
    <row r="1467">
      <c r="A1467" t="inlineStr">
        <is>
          <t>CHIS</t>
        </is>
      </c>
      <c r="B1467" t="n">
        <v>885</v>
      </c>
      <c r="C1467" t="inlineStr">
        <is>
          <t>Topics in</t>
        </is>
      </c>
      <c r="D1467" t="inlineStr">
        <is>
          <t>Topics in Adventist History</t>
        </is>
      </c>
      <c r="E1467" t="inlineStr">
        <is>
          <t>CHIS885</t>
        </is>
      </c>
    </row>
    <row r="1468">
      <c r="A1468" t="inlineStr">
        <is>
          <t>PATH</t>
        </is>
      </c>
      <c r="B1468" t="n">
        <v>690</v>
      </c>
      <c r="C1468" t="inlineStr">
        <is>
          <t>Ind Stdy:</t>
        </is>
      </c>
      <c r="D1468" t="inlineStr">
        <is>
          <t>IndSdy:Prechng Biblcl Prophecy</t>
        </is>
      </c>
      <c r="E1468" t="inlineStr">
        <is>
          <t>PATH690</t>
        </is>
      </c>
    </row>
    <row r="1469">
      <c r="A1469" t="inlineStr">
        <is>
          <t>CHIS</t>
        </is>
      </c>
      <c r="B1469" t="n">
        <v>690</v>
      </c>
      <c r="C1469" t="inlineStr">
        <is>
          <t>Ind St:</t>
        </is>
      </c>
      <c r="D1469" t="inlineStr">
        <is>
          <t>St: History of SDA Theo</t>
        </is>
      </c>
      <c r="E1469" t="inlineStr">
        <is>
          <t>CHIS690</t>
        </is>
      </c>
    </row>
    <row r="1470">
      <c r="A1470" t="inlineStr">
        <is>
          <t>CHIS</t>
        </is>
      </c>
      <c r="B1470" t="n">
        <v>690</v>
      </c>
      <c r="C1470" t="inlineStr">
        <is>
          <t>Ind St:</t>
        </is>
      </c>
      <c r="D1470" t="inlineStr">
        <is>
          <t>IndSt:Millrite&amp;Early SabAd Hst</t>
        </is>
      </c>
      <c r="E1470" t="inlineStr">
        <is>
          <t>CHIS690</t>
        </is>
      </c>
    </row>
    <row r="1471">
      <c r="A1471" t="inlineStr">
        <is>
          <t>CHIS</t>
        </is>
      </c>
      <c r="B1471" t="n">
        <v>690</v>
      </c>
      <c r="C1471" t="inlineStr">
        <is>
          <t>Ind St:</t>
        </is>
      </c>
      <c r="D1471" t="inlineStr">
        <is>
          <t>Ind St: Humanity of Christ</t>
        </is>
      </c>
      <c r="E1471" t="inlineStr">
        <is>
          <t>CHIS690</t>
        </is>
      </c>
    </row>
    <row r="1472">
      <c r="A1472" t="inlineStr">
        <is>
          <t>MSSN</t>
        </is>
      </c>
      <c r="B1472" t="n">
        <v>897</v>
      </c>
      <c r="C1472" t="inlineStr">
        <is>
          <t>Ind St:</t>
        </is>
      </c>
      <c r="D1472" t="inlineStr">
        <is>
          <t>Ind St:Diss.Pro.Prep.Mission</t>
        </is>
      </c>
      <c r="E1472" t="inlineStr">
        <is>
          <t>MSSN897</t>
        </is>
      </c>
    </row>
    <row r="1473">
      <c r="A1473" t="inlineStr">
        <is>
          <t>DSLE</t>
        </is>
      </c>
      <c r="B1473" t="n">
        <v>626</v>
      </c>
      <c r="C1473" t="inlineStr">
        <is>
          <t>Ministry to At-Risk Youth</t>
        </is>
      </c>
      <c r="E1473" t="inlineStr">
        <is>
          <t>DSLE626</t>
        </is>
      </c>
    </row>
    <row r="1474">
      <c r="A1474" t="inlineStr">
        <is>
          <t>THST</t>
        </is>
      </c>
      <c r="B1474" t="n">
        <v>690</v>
      </c>
      <c r="C1474" t="inlineStr">
        <is>
          <t>Ind St:</t>
        </is>
      </c>
      <c r="D1474" t="inlineStr">
        <is>
          <t>Ind St: Und Christ'n World</t>
        </is>
      </c>
      <c r="E1474" t="inlineStr">
        <is>
          <t>THST690</t>
        </is>
      </c>
    </row>
    <row r="1475">
      <c r="A1475" t="inlineStr">
        <is>
          <t>THST</t>
        </is>
      </c>
      <c r="B1475" t="n">
        <v>690</v>
      </c>
      <c r="C1475" t="inlineStr">
        <is>
          <t>Ind St:</t>
        </is>
      </c>
      <c r="D1475" t="inlineStr">
        <is>
          <t>IndSt:Great Cont Cov Law Sabbh</t>
        </is>
      </c>
      <c r="E1475" t="inlineStr">
        <is>
          <t>THST690</t>
        </is>
      </c>
    </row>
    <row r="1476">
      <c r="A1476" t="inlineStr">
        <is>
          <t>GSEM</t>
        </is>
      </c>
      <c r="B1476" t="n">
        <v>648</v>
      </c>
      <c r="C1476" t="inlineStr">
        <is>
          <t>Workshop</t>
        </is>
      </c>
      <c r="D1476" t="inlineStr">
        <is>
          <t>Wrksp:2022 Ministrl Convention</t>
        </is>
      </c>
      <c r="E1476" t="inlineStr">
        <is>
          <t>GSEM648</t>
        </is>
      </c>
    </row>
    <row r="1477">
      <c r="A1477" t="inlineStr">
        <is>
          <t>NTST</t>
        </is>
      </c>
      <c r="B1477" t="n">
        <v>690</v>
      </c>
      <c r="C1477" t="inlineStr">
        <is>
          <t>Ind St:</t>
        </is>
      </c>
      <c r="D1477" t="inlineStr">
        <is>
          <t>IndSt:Sffrng, Death&amp; Resurrctn</t>
        </is>
      </c>
      <c r="E1477" t="inlineStr">
        <is>
          <t>NTST690</t>
        </is>
      </c>
    </row>
    <row r="1478">
      <c r="A1478" t="inlineStr">
        <is>
          <t>CHIS</t>
        </is>
      </c>
      <c r="B1478" t="n">
        <v>690</v>
      </c>
      <c r="C1478" t="inlineStr">
        <is>
          <t>Ind St:</t>
        </is>
      </c>
      <c r="D1478" t="inlineStr">
        <is>
          <t>Ind St: Hist Cov, Law, Sab</t>
        </is>
      </c>
      <c r="E1478" t="inlineStr">
        <is>
          <t>CHIS690</t>
        </is>
      </c>
    </row>
    <row r="1479">
      <c r="A1479" t="inlineStr">
        <is>
          <t>DSLE</t>
        </is>
      </c>
      <c r="B1479" t="n">
        <v>661</v>
      </c>
      <c r="C1479" t="inlineStr">
        <is>
          <t>Wholistic Health &amp; Aging</t>
        </is>
      </c>
      <c r="E1479" t="inlineStr">
        <is>
          <t>DSLE661</t>
        </is>
      </c>
    </row>
    <row r="1480">
      <c r="A1480" t="inlineStr">
        <is>
          <t>GSEM</t>
        </is>
      </c>
      <c r="B1480" t="n">
        <v>505</v>
      </c>
      <c r="C1480" t="inlineStr">
        <is>
          <t>Colloquium:</t>
        </is>
      </c>
      <c r="D1480" t="inlineStr">
        <is>
          <t>Coll:Bibl Resp to Demonization</t>
        </is>
      </c>
      <c r="E1480" t="inlineStr">
        <is>
          <t>GSEM505</t>
        </is>
      </c>
    </row>
    <row r="1481">
      <c r="A1481" t="inlineStr">
        <is>
          <t>DSLE</t>
        </is>
      </c>
      <c r="B1481" t="n">
        <v>885</v>
      </c>
      <c r="C1481" t="inlineStr">
        <is>
          <t>Field Practicum:</t>
        </is>
      </c>
      <c r="E1481" t="inlineStr">
        <is>
          <t>DSLE885</t>
        </is>
      </c>
    </row>
    <row r="1482">
      <c r="A1482" t="inlineStr">
        <is>
          <t>DSLE</t>
        </is>
      </c>
      <c r="B1482" t="n">
        <v>680</v>
      </c>
      <c r="C1482" t="inlineStr">
        <is>
          <t>Field Practicum:</t>
        </is>
      </c>
      <c r="D1482" t="inlineStr">
        <is>
          <t>Field Practicum:MA RELED</t>
        </is>
      </c>
      <c r="E1482" t="inlineStr">
        <is>
          <t>DSLE680</t>
        </is>
      </c>
    </row>
    <row r="1483">
      <c r="A1483" t="inlineStr">
        <is>
          <t>ANEA</t>
        </is>
      </c>
      <c r="B1483" t="n">
        <v>895</v>
      </c>
      <c r="C1483" t="inlineStr">
        <is>
          <t>Ind St:</t>
        </is>
      </c>
      <c r="D1483" t="inlineStr">
        <is>
          <t>Ind St:Adv Biblical Archeology</t>
        </is>
      </c>
      <c r="E1483" t="inlineStr">
        <is>
          <t>ANEA895</t>
        </is>
      </c>
    </row>
    <row r="1484">
      <c r="A1484" t="inlineStr">
        <is>
          <t>DSLE</t>
        </is>
      </c>
      <c r="B1484" t="n">
        <v>690</v>
      </c>
      <c r="C1484" t="inlineStr">
        <is>
          <t>Ind St:</t>
        </is>
      </c>
      <c r="D1484" t="inlineStr">
        <is>
          <t>IndSt:Marriage,Fam&amp;Intrprs Rel</t>
        </is>
      </c>
      <c r="E1484" t="inlineStr">
        <is>
          <t>DSLE690</t>
        </is>
      </c>
    </row>
    <row r="1485">
      <c r="A1485" t="inlineStr">
        <is>
          <t>GSEM</t>
        </is>
      </c>
      <c r="B1485" t="n">
        <v>505</v>
      </c>
      <c r="C1485" t="inlineStr">
        <is>
          <t>Colloquium:</t>
        </is>
      </c>
      <c r="D1485" t="inlineStr">
        <is>
          <t>Coll:Life in the Blender</t>
        </is>
      </c>
      <c r="E1485" t="inlineStr">
        <is>
          <t>GSEM505</t>
        </is>
      </c>
    </row>
    <row r="1486">
      <c r="A1486" t="inlineStr">
        <is>
          <t>OTST</t>
        </is>
      </c>
      <c r="B1486" t="n">
        <v>690</v>
      </c>
      <c r="C1486" t="inlineStr">
        <is>
          <t>Ind St:</t>
        </is>
      </c>
      <c r="D1486" t="inlineStr">
        <is>
          <t>IndSt:Doctrin of the Sanctuary</t>
        </is>
      </c>
      <c r="E1486" t="inlineStr">
        <is>
          <t>OTST690</t>
        </is>
      </c>
    </row>
    <row r="1487">
      <c r="A1487" t="inlineStr">
        <is>
          <t>OTST</t>
        </is>
      </c>
      <c r="B1487" t="n">
        <v>895</v>
      </c>
      <c r="C1487" t="inlineStr">
        <is>
          <t>Independent Study:</t>
        </is>
      </c>
      <c r="D1487" t="inlineStr">
        <is>
          <t>Ind Stdy:Topics in Emotions</t>
        </is>
      </c>
      <c r="E1487" t="inlineStr">
        <is>
          <t>OTST895</t>
        </is>
      </c>
    </row>
    <row r="1488">
      <c r="A1488" t="inlineStr">
        <is>
          <t>THST</t>
        </is>
      </c>
      <c r="B1488" t="n">
        <v>885</v>
      </c>
      <c r="C1488" t="inlineStr">
        <is>
          <t>Top:</t>
        </is>
      </c>
      <c r="D1488" t="inlineStr">
        <is>
          <t>Top: Modern Christian Theo</t>
        </is>
      </c>
      <c r="E1488" t="inlineStr">
        <is>
          <t>THST885</t>
        </is>
      </c>
    </row>
    <row r="1489">
      <c r="A1489" t="inlineStr">
        <is>
          <t>THST</t>
        </is>
      </c>
      <c r="B1489" t="n">
        <v>964</v>
      </c>
      <c r="C1489" t="inlineStr">
        <is>
          <t>Sem in Historical Theology:</t>
        </is>
      </c>
      <c r="D1489" t="inlineStr">
        <is>
          <t>Sem. Hist Moral Phil&amp;Nat Theo</t>
        </is>
      </c>
      <c r="E1489" t="inlineStr">
        <is>
          <t>THST964</t>
        </is>
      </c>
    </row>
    <row r="1490">
      <c r="A1490" t="inlineStr">
        <is>
          <t>CHIS</t>
        </is>
      </c>
      <c r="B1490" t="n">
        <v>940</v>
      </c>
      <c r="C1490" t="inlineStr">
        <is>
          <t>Seminar in Church History:</t>
        </is>
      </c>
      <c r="D1490" t="inlineStr">
        <is>
          <t>Sem. Hist Moral Phil&amp;Nat Theo</t>
        </is>
      </c>
      <c r="E1490" t="inlineStr">
        <is>
          <t>CHIS940</t>
        </is>
      </c>
    </row>
    <row r="1491">
      <c r="A1491" t="inlineStr">
        <is>
          <t>NTST</t>
        </is>
      </c>
      <c r="B1491" t="n">
        <v>885</v>
      </c>
      <c r="C1491" t="inlineStr">
        <is>
          <t>Topics in</t>
        </is>
      </c>
      <c r="D1491" t="inlineStr">
        <is>
          <t>Top: Social World of the NT</t>
        </is>
      </c>
      <c r="E1491" t="inlineStr">
        <is>
          <t>NTST885</t>
        </is>
      </c>
    </row>
    <row r="1492">
      <c r="A1492" t="inlineStr">
        <is>
          <t>DSLE</t>
        </is>
      </c>
      <c r="B1492" t="n">
        <v>690</v>
      </c>
      <c r="C1492" t="inlineStr">
        <is>
          <t>Ind St:</t>
        </is>
      </c>
      <c r="D1492" t="inlineStr">
        <is>
          <t>Ind St: Leadership</t>
        </is>
      </c>
      <c r="E1492" t="inlineStr">
        <is>
          <t>DSLE690</t>
        </is>
      </c>
    </row>
    <row r="1493">
      <c r="A1493" t="inlineStr">
        <is>
          <t>DSLE</t>
        </is>
      </c>
      <c r="B1493" t="n">
        <v>890</v>
      </c>
      <c r="C1493" t="inlineStr">
        <is>
          <t>Directed Reading:</t>
        </is>
      </c>
      <c r="D1493" t="inlineStr">
        <is>
          <t>DirRd:Synt in Discpl &amp;Lfspn Ed</t>
        </is>
      </c>
      <c r="E1493" t="inlineStr">
        <is>
          <t>DSLE890</t>
        </is>
      </c>
    </row>
    <row r="1494">
      <c r="A1494" t="inlineStr">
        <is>
          <t>DSLE</t>
        </is>
      </c>
      <c r="B1494" t="n">
        <v>870</v>
      </c>
      <c r="C1494" t="inlineStr">
        <is>
          <t>Adv Studies:</t>
        </is>
      </c>
      <c r="D1494" t="inlineStr">
        <is>
          <t>AdvSt:Min toYouth &amp;Young Adult</t>
        </is>
      </c>
      <c r="E1494" t="inlineStr">
        <is>
          <t>DSLE870</t>
        </is>
      </c>
    </row>
    <row r="1495">
      <c r="A1495" t="inlineStr">
        <is>
          <t>DSLE</t>
        </is>
      </c>
      <c r="B1495" t="n">
        <v>690</v>
      </c>
      <c r="C1495" t="inlineStr">
        <is>
          <t>Ind St:</t>
        </is>
      </c>
      <c r="D1495" t="inlineStr">
        <is>
          <t>IndSt:Int Dynamics of Families</t>
        </is>
      </c>
      <c r="E1495" t="inlineStr">
        <is>
          <t>DSLE690</t>
        </is>
      </c>
    </row>
    <row r="1496">
      <c r="A1496" t="inlineStr">
        <is>
          <t>GSEM</t>
        </is>
      </c>
      <c r="B1496" t="n">
        <v>505</v>
      </c>
      <c r="C1496" t="inlineStr">
        <is>
          <t>Colloquium:</t>
        </is>
      </c>
      <c r="D1496" t="inlineStr">
        <is>
          <t>Coll: Journey to Wholeness</t>
        </is>
      </c>
      <c r="E1496" t="inlineStr">
        <is>
          <t>GSEM505</t>
        </is>
      </c>
    </row>
    <row r="1497">
      <c r="A1497" t="inlineStr">
        <is>
          <t>DSLE</t>
        </is>
      </c>
      <c r="B1497" t="n">
        <v>995</v>
      </c>
      <c r="C1497" t="inlineStr">
        <is>
          <t>Doctoral Dissertation</t>
        </is>
      </c>
      <c r="D1497" t="inlineStr">
        <is>
          <t>Doctoral Dissertation</t>
        </is>
      </c>
      <c r="E1497" t="inlineStr">
        <is>
          <t>DSLE995</t>
        </is>
      </c>
    </row>
    <row r="1498">
      <c r="A1498" t="inlineStr">
        <is>
          <t>DSLE</t>
        </is>
      </c>
      <c r="B1498" t="n">
        <v>690</v>
      </c>
      <c r="C1498" t="inlineStr">
        <is>
          <t>Ind St:</t>
        </is>
      </c>
      <c r="D1498" t="inlineStr">
        <is>
          <t>Ind St: Older Adult Ministry</t>
        </is>
      </c>
      <c r="E1498" t="inlineStr">
        <is>
          <t>DSLE690</t>
        </is>
      </c>
    </row>
    <row r="1499">
      <c r="A1499" t="inlineStr">
        <is>
          <t>PATH</t>
        </is>
      </c>
      <c r="B1499" t="n">
        <v>643</v>
      </c>
      <c r="C1499" t="inlineStr">
        <is>
          <t>Trauma&amp;Adv Crisis Intervention</t>
        </is>
      </c>
      <c r="D1499" t="inlineStr">
        <is>
          <t>Trauma&amp;Adv Crisis Intervention</t>
        </is>
      </c>
      <c r="E1499" t="inlineStr">
        <is>
          <t>PATH643</t>
        </is>
      </c>
    </row>
    <row r="1500">
      <c r="A1500" t="inlineStr">
        <is>
          <t>CHIS</t>
        </is>
      </c>
      <c r="B1500" t="n">
        <v>682</v>
      </c>
      <c r="C1500" t="inlineStr">
        <is>
          <t>Seminar in Church History</t>
        </is>
      </c>
      <c r="D1500" t="inlineStr">
        <is>
          <t>Sem. Hist Moral Phil&amp;Nat Theo</t>
        </is>
      </c>
      <c r="E1500" t="inlineStr">
        <is>
          <t>CHIS682</t>
        </is>
      </c>
    </row>
    <row r="1501">
      <c r="A1501" t="inlineStr">
        <is>
          <t>THST</t>
        </is>
      </c>
      <c r="B1501" t="n">
        <v>690</v>
      </c>
      <c r="C1501" t="inlineStr">
        <is>
          <t>Ind St:</t>
        </is>
      </c>
      <c r="D1501" t="inlineStr">
        <is>
          <t>IndSt:Doctrn of theHoly Spirit</t>
        </is>
      </c>
      <c r="E1501" t="inlineStr">
        <is>
          <t>THST690</t>
        </is>
      </c>
    </row>
    <row r="1502">
      <c r="A1502" t="inlineStr">
        <is>
          <t>DSLE</t>
        </is>
      </c>
      <c r="B1502" t="n">
        <v>675</v>
      </c>
      <c r="C1502" t="inlineStr">
        <is>
          <t>Ministry to Children</t>
        </is>
      </c>
      <c r="E1502" t="inlineStr">
        <is>
          <t>DSLE675</t>
        </is>
      </c>
    </row>
    <row r="1503">
      <c r="A1503" t="inlineStr">
        <is>
          <t>OTST</t>
        </is>
      </c>
      <c r="B1503" t="n">
        <v>890</v>
      </c>
      <c r="C1503" t="inlineStr">
        <is>
          <t>Directed Rdg in Old Testmt</t>
        </is>
      </c>
      <c r="D1503" t="inlineStr">
        <is>
          <t>Dir Rdg: Emotns in Minor Proph</t>
        </is>
      </c>
      <c r="E1503" t="inlineStr">
        <is>
          <t>OTST890</t>
        </is>
      </c>
    </row>
    <row r="1504">
      <c r="A1504" t="inlineStr">
        <is>
          <t>OTST</t>
        </is>
      </c>
      <c r="B1504" t="n">
        <v>895</v>
      </c>
      <c r="C1504" t="inlineStr">
        <is>
          <t>Independent Study:</t>
        </is>
      </c>
      <c r="D1504" t="inlineStr">
        <is>
          <t>Indep Study: Septuagint</t>
        </is>
      </c>
      <c r="E1504" t="inlineStr">
        <is>
          <t>OTST895</t>
        </is>
      </c>
    </row>
    <row r="1505">
      <c r="A1505" t="inlineStr">
        <is>
          <t>OTST</t>
        </is>
      </c>
      <c r="B1505" t="n">
        <v>895</v>
      </c>
      <c r="C1505" t="inlineStr">
        <is>
          <t>Independent Study:</t>
        </is>
      </c>
      <c r="D1505" t="inlineStr">
        <is>
          <t>Ind Sty:Dissertn Proposal Prep</t>
        </is>
      </c>
      <c r="E1505" t="inlineStr">
        <is>
          <t>OTST895</t>
        </is>
      </c>
    </row>
    <row r="1506">
      <c r="A1506" t="inlineStr">
        <is>
          <t>CHIS</t>
        </is>
      </c>
      <c r="B1506" t="n">
        <v>673</v>
      </c>
      <c r="C1506" t="inlineStr">
        <is>
          <t>Development of SDA Lifestyle</t>
        </is>
      </c>
      <c r="E1506" t="inlineStr">
        <is>
          <t>CHIS673</t>
        </is>
      </c>
    </row>
    <row r="1507">
      <c r="A1507" t="inlineStr">
        <is>
          <t>CHIS</t>
        </is>
      </c>
      <c r="B1507" t="n">
        <v>690</v>
      </c>
      <c r="C1507" t="inlineStr">
        <is>
          <t>Ind St:</t>
        </is>
      </c>
      <c r="D1507" t="inlineStr">
        <is>
          <t>Ind St: His of GGCLS</t>
        </is>
      </c>
      <c r="E1507" t="inlineStr">
        <is>
          <t>CHIS690</t>
        </is>
      </c>
    </row>
    <row r="1508">
      <c r="A1508" t="inlineStr">
        <is>
          <t>MSSN</t>
        </is>
      </c>
      <c r="B1508" t="n">
        <v>888</v>
      </c>
      <c r="C1508" t="inlineStr">
        <is>
          <t>DIS Dissertation Continuation</t>
        </is>
      </c>
      <c r="D1508" t="inlineStr">
        <is>
          <t>DMiss Dissertatn Continuation</t>
        </is>
      </c>
      <c r="E1508" t="inlineStr">
        <is>
          <t>MSSN888</t>
        </is>
      </c>
    </row>
    <row r="1509">
      <c r="A1509" t="inlineStr">
        <is>
          <t>OTST</t>
        </is>
      </c>
      <c r="B1509" t="n">
        <v>890</v>
      </c>
      <c r="C1509" t="inlineStr">
        <is>
          <t>Directed Rdg in Old Testmt</t>
        </is>
      </c>
      <c r="D1509" t="inlineStr">
        <is>
          <t>Dir Rdg:Justice of God&amp; Pnshmt</t>
        </is>
      </c>
      <c r="E1509" t="inlineStr">
        <is>
          <t>OTST890</t>
        </is>
      </c>
    </row>
    <row r="1510">
      <c r="A1510" t="inlineStr">
        <is>
          <t>THST</t>
        </is>
      </c>
      <c r="B1510" t="n">
        <v>690</v>
      </c>
      <c r="C1510" t="inlineStr">
        <is>
          <t>Ind St:</t>
        </is>
      </c>
      <c r="D1510" t="inlineStr">
        <is>
          <t>Ind St: Christian Ethics</t>
        </is>
      </c>
      <c r="E1510" t="inlineStr">
        <is>
          <t>THST690</t>
        </is>
      </c>
    </row>
    <row r="1511">
      <c r="A1511" t="inlineStr">
        <is>
          <t>THST</t>
        </is>
      </c>
      <c r="B1511" t="n">
        <v>896</v>
      </c>
      <c r="C1511" t="inlineStr">
        <is>
          <t>Directed Rdg Christian Ethics</t>
        </is>
      </c>
      <c r="D1511" t="inlineStr">
        <is>
          <t>DirRdg Chr Ethics:Histrcl Theo</t>
        </is>
      </c>
      <c r="E1511" t="inlineStr">
        <is>
          <t>THST896</t>
        </is>
      </c>
    </row>
    <row r="1512">
      <c r="A1512" t="inlineStr">
        <is>
          <t>PATH</t>
        </is>
      </c>
      <c r="B1512" t="n">
        <v>557</v>
      </c>
      <c r="C1512" t="inlineStr">
        <is>
          <t>Pract Clinl Past Educ:</t>
        </is>
      </c>
      <c r="D1512" t="inlineStr">
        <is>
          <t>Pract:CPE</t>
        </is>
      </c>
      <c r="E1512" t="inlineStr">
        <is>
          <t>PATH557</t>
        </is>
      </c>
    </row>
    <row r="1513">
      <c r="A1513" t="inlineStr">
        <is>
          <t>OTST</t>
        </is>
      </c>
      <c r="B1513" t="n">
        <v>885</v>
      </c>
      <c r="C1513" t="inlineStr">
        <is>
          <t>Topics in:</t>
        </is>
      </c>
      <c r="D1513" t="inlineStr">
        <is>
          <t>Topics in:Narrative Theology</t>
        </is>
      </c>
      <c r="E1513" t="inlineStr">
        <is>
          <t>OTST885</t>
        </is>
      </c>
    </row>
    <row r="1514">
      <c r="A1514" t="inlineStr">
        <is>
          <t>OTST</t>
        </is>
      </c>
      <c r="B1514" t="n">
        <v>885</v>
      </c>
      <c r="C1514" t="inlineStr">
        <is>
          <t>Topics in:</t>
        </is>
      </c>
      <c r="D1514" t="inlineStr">
        <is>
          <t>Topics in: OT Theology</t>
        </is>
      </c>
      <c r="E1514" t="inlineStr">
        <is>
          <t>OTST885</t>
        </is>
      </c>
    </row>
    <row r="1515">
      <c r="A1515" t="inlineStr">
        <is>
          <t>THST</t>
        </is>
      </c>
      <c r="B1515" t="n">
        <v>890</v>
      </c>
      <c r="C1515" t="inlineStr">
        <is>
          <t>DirRdg Syst Theo:</t>
        </is>
      </c>
      <c r="D1515" t="inlineStr">
        <is>
          <t>Dir Readings:</t>
        </is>
      </c>
      <c r="E1515" t="inlineStr">
        <is>
          <t>THST890</t>
        </is>
      </c>
    </row>
    <row r="1516">
      <c r="A1516" t="inlineStr">
        <is>
          <t>CHIS</t>
        </is>
      </c>
      <c r="B1516" t="n">
        <v>891</v>
      </c>
      <c r="C1516" t="inlineStr">
        <is>
          <t>Ind St:</t>
        </is>
      </c>
      <c r="E1516" t="inlineStr">
        <is>
          <t>CHIS891</t>
        </is>
      </c>
    </row>
    <row r="1517">
      <c r="A1517" t="inlineStr">
        <is>
          <t>MSSN</t>
        </is>
      </c>
      <c r="B1517" t="n">
        <v>810</v>
      </c>
      <c r="C1517" t="inlineStr">
        <is>
          <t>Sem:</t>
        </is>
      </c>
      <c r="D1517" t="inlineStr">
        <is>
          <t>Sem:Missi to Postmodems&amp;Secula</t>
        </is>
      </c>
      <c r="E1517" t="inlineStr">
        <is>
          <t>MSSN810</t>
        </is>
      </c>
    </row>
    <row r="1518">
      <c r="A1518" t="inlineStr">
        <is>
          <t>MSSN</t>
        </is>
      </c>
      <c r="B1518" t="n">
        <v>885</v>
      </c>
      <c r="C1518" t="inlineStr">
        <is>
          <t>Topics in:</t>
        </is>
      </c>
      <c r="D1518" t="inlineStr">
        <is>
          <t>Top:Cross-Cultl Ldshp Developm</t>
        </is>
      </c>
      <c r="E1518" t="inlineStr">
        <is>
          <t>MSSN885</t>
        </is>
      </c>
    </row>
    <row r="1519">
      <c r="A1519" t="inlineStr">
        <is>
          <t>MSSN</t>
        </is>
      </c>
      <c r="B1519" t="n">
        <v>695</v>
      </c>
      <c r="C1519" t="inlineStr">
        <is>
          <t>Topics:</t>
        </is>
      </c>
      <c r="D1519" t="inlineStr">
        <is>
          <t>Top:Creating Collective Impact</t>
        </is>
      </c>
      <c r="E1519" t="inlineStr">
        <is>
          <t>MSSN695</t>
        </is>
      </c>
    </row>
    <row r="1520">
      <c r="A1520" t="inlineStr">
        <is>
          <t>MSSN</t>
        </is>
      </c>
      <c r="B1520" t="n">
        <v>695</v>
      </c>
      <c r="C1520" t="inlineStr">
        <is>
          <t>Topics:</t>
        </is>
      </c>
      <c r="D1520" t="inlineStr">
        <is>
          <t>Top:CreatngCo Impact&amp;ProjMgmnt</t>
        </is>
      </c>
      <c r="E1520" t="inlineStr">
        <is>
          <t>MSSN695</t>
        </is>
      </c>
    </row>
    <row r="1521">
      <c r="A1521" t="inlineStr">
        <is>
          <t>DSLE</t>
        </is>
      </c>
      <c r="B1521" t="n">
        <v>690</v>
      </c>
      <c r="C1521" t="inlineStr">
        <is>
          <t>Ind St:</t>
        </is>
      </c>
      <c r="E1521" t="inlineStr">
        <is>
          <t>DSLE690</t>
        </is>
      </c>
    </row>
    <row r="1522">
      <c r="A1522" t="inlineStr">
        <is>
          <t>DSLE</t>
        </is>
      </c>
      <c r="B1522" t="n">
        <v>690</v>
      </c>
      <c r="C1522" t="inlineStr">
        <is>
          <t>Ind St:</t>
        </is>
      </c>
      <c r="D1522" t="inlineStr">
        <is>
          <t>IndSt:Intrgenerational Minstry</t>
        </is>
      </c>
      <c r="E1522" t="inlineStr">
        <is>
          <t>DSLE690</t>
        </is>
      </c>
    </row>
    <row r="1523">
      <c r="A1523" t="inlineStr">
        <is>
          <t>DSLE</t>
        </is>
      </c>
      <c r="B1523" t="n">
        <v>690</v>
      </c>
      <c r="C1523" t="inlineStr">
        <is>
          <t>Ind St:</t>
        </is>
      </c>
      <c r="D1523" t="inlineStr">
        <is>
          <t>IndSt:Fnd of Bblcl Spirtuality</t>
        </is>
      </c>
      <c r="E1523" t="inlineStr">
        <is>
          <t>DSLE690</t>
        </is>
      </c>
    </row>
    <row r="1524">
      <c r="A1524" t="inlineStr">
        <is>
          <t>DSLE</t>
        </is>
      </c>
      <c r="B1524" t="n">
        <v>685</v>
      </c>
      <c r="C1524" t="inlineStr">
        <is>
          <t>Cultural Concerns</t>
        </is>
      </c>
      <c r="E1524" t="inlineStr">
        <is>
          <t>DSLE685</t>
        </is>
      </c>
    </row>
    <row r="1525">
      <c r="A1525" t="inlineStr">
        <is>
          <t>DSLE</t>
        </is>
      </c>
      <c r="B1525" t="n">
        <v>870</v>
      </c>
      <c r="C1525" t="inlineStr">
        <is>
          <t>Adv Studies:</t>
        </is>
      </c>
      <c r="D1525" t="inlineStr">
        <is>
          <t>Adv St:Reachng the Seculr Mind</t>
        </is>
      </c>
      <c r="E1525" t="inlineStr">
        <is>
          <t>DSLE870</t>
        </is>
      </c>
    </row>
    <row r="1526">
      <c r="A1526" t="inlineStr">
        <is>
          <t>CHIS</t>
        </is>
      </c>
      <c r="B1526" t="n">
        <v>696</v>
      </c>
      <c r="C1526" t="inlineStr">
        <is>
          <t>Top in Advnt St _____</t>
        </is>
      </c>
      <c r="D1526" t="inlineStr">
        <is>
          <t>Topics AdvSt: Archival Researc</t>
        </is>
      </c>
      <c r="E1526" t="inlineStr">
        <is>
          <t>CHIS696</t>
        </is>
      </c>
    </row>
    <row r="1527">
      <c r="A1527" t="inlineStr">
        <is>
          <t>CHIS</t>
        </is>
      </c>
      <c r="B1527" t="n">
        <v>690</v>
      </c>
      <c r="C1527" t="inlineStr">
        <is>
          <t>Ind St:</t>
        </is>
      </c>
      <c r="D1527" t="inlineStr">
        <is>
          <t>IndSt:Devlpmnt of SDA Theology</t>
        </is>
      </c>
      <c r="E1527" t="inlineStr">
        <is>
          <t>CHIS690</t>
        </is>
      </c>
    </row>
    <row r="1528">
      <c r="A1528" t="inlineStr">
        <is>
          <t>DSLE</t>
        </is>
      </c>
      <c r="B1528" t="n">
        <v>546</v>
      </c>
      <c r="C1528" t="inlineStr">
        <is>
          <t>Marriage &amp; Family</t>
        </is>
      </c>
      <c r="E1528" t="inlineStr">
        <is>
          <t>DSLE546</t>
        </is>
      </c>
    </row>
    <row r="1529">
      <c r="A1529" t="inlineStr">
        <is>
          <t>CHIS</t>
        </is>
      </c>
      <c r="B1529" t="n">
        <v>672</v>
      </c>
      <c r="C1529" t="inlineStr">
        <is>
          <t>Tch Adv Hist &amp; Life/Write EGW</t>
        </is>
      </c>
      <c r="D1529" t="inlineStr">
        <is>
          <t>Sem Adv St:Tchng Adv Hist&amp; EGW</t>
        </is>
      </c>
      <c r="E1529" t="inlineStr">
        <is>
          <t>CHIS672</t>
        </is>
      </c>
    </row>
    <row r="1530">
      <c r="A1530" t="inlineStr">
        <is>
          <t>GSEM</t>
        </is>
      </c>
      <c r="B1530" t="n">
        <v>505</v>
      </c>
      <c r="C1530" t="inlineStr">
        <is>
          <t>Colloquium:</t>
        </is>
      </c>
      <c r="D1530" t="inlineStr">
        <is>
          <t>Coll:Trauma, Healng&amp; Divin Lov</t>
        </is>
      </c>
      <c r="E1530" t="inlineStr">
        <is>
          <t>GSEM505</t>
        </is>
      </c>
    </row>
    <row r="1531">
      <c r="A1531" t="inlineStr">
        <is>
          <t>MSSN</t>
        </is>
      </c>
      <c r="B1531" t="n">
        <v>897</v>
      </c>
      <c r="C1531" t="inlineStr">
        <is>
          <t>Ind St:</t>
        </is>
      </c>
      <c r="D1531" t="inlineStr">
        <is>
          <t>InSt:IntrcultrlThelgy&amp;DigtlSpa</t>
        </is>
      </c>
      <c r="E1531" t="inlineStr">
        <is>
          <t>MSSN897</t>
        </is>
      </c>
    </row>
    <row r="1532">
      <c r="A1532" t="inlineStr">
        <is>
          <t>NTST</t>
        </is>
      </c>
      <c r="B1532" t="n">
        <v>897</v>
      </c>
      <c r="C1532" t="inlineStr">
        <is>
          <t>Ind. Study:</t>
        </is>
      </c>
      <c r="D1532" t="inlineStr">
        <is>
          <t>IndSdy:Dscp in Synoptic Gospls</t>
        </is>
      </c>
      <c r="E1532" t="inlineStr">
        <is>
          <t>NTST897</t>
        </is>
      </c>
    </row>
    <row r="1533">
      <c r="A1533" t="inlineStr">
        <is>
          <t>OTST</t>
        </is>
      </c>
      <c r="B1533" t="n">
        <v>895</v>
      </c>
      <c r="C1533" t="inlineStr">
        <is>
          <t>Independent Study:</t>
        </is>
      </c>
      <c r="D1533" t="inlineStr">
        <is>
          <t>Ind Sty: OT Backgrounds</t>
        </is>
      </c>
      <c r="E1533" t="inlineStr">
        <is>
          <t>OTST895</t>
        </is>
      </c>
    </row>
    <row r="1534">
      <c r="A1534" t="inlineStr">
        <is>
          <t>OTST</t>
        </is>
      </c>
      <c r="B1534" t="n">
        <v>895</v>
      </c>
      <c r="C1534" t="inlineStr">
        <is>
          <t>Independent Study:</t>
        </is>
      </c>
      <c r="D1534" t="inlineStr">
        <is>
          <t>Ind Sty: OT Archaeology</t>
        </is>
      </c>
      <c r="E1534" t="inlineStr">
        <is>
          <t>OTST895</t>
        </is>
      </c>
    </row>
    <row r="1535">
      <c r="A1535" t="inlineStr">
        <is>
          <t>NTST</t>
        </is>
      </c>
      <c r="B1535" t="n">
        <v>885</v>
      </c>
      <c r="C1535" t="inlineStr">
        <is>
          <t>Topics in</t>
        </is>
      </c>
      <c r="D1535" t="inlineStr">
        <is>
          <t>Top: Disc in Synoptic Gospels</t>
        </is>
      </c>
      <c r="E1535" t="inlineStr">
        <is>
          <t>NTST885</t>
        </is>
      </c>
    </row>
    <row r="1536">
      <c r="A1536" t="inlineStr">
        <is>
          <t>MSSN</t>
        </is>
      </c>
      <c r="B1536" t="n">
        <v>890</v>
      </c>
      <c r="C1536" t="inlineStr">
        <is>
          <t>Directed Rdgs Mission Studies</t>
        </is>
      </c>
      <c r="D1536" t="inlineStr">
        <is>
          <t>Dir Rdg Mssn Stu: Digital Comm</t>
        </is>
      </c>
      <c r="E1536" t="inlineStr">
        <is>
          <t>MSSN890</t>
        </is>
      </c>
    </row>
    <row r="1537">
      <c r="A1537" t="inlineStr">
        <is>
          <t>MSSN</t>
        </is>
      </c>
      <c r="B1537" t="n">
        <v>890</v>
      </c>
      <c r="C1537" t="inlineStr">
        <is>
          <t>Directed Rdgs Mission Studies</t>
        </is>
      </c>
      <c r="D1537" t="inlineStr">
        <is>
          <t>DirRdg MssnStu:Digital Dscplsp</t>
        </is>
      </c>
      <c r="E1537" t="inlineStr">
        <is>
          <t>MSSN890</t>
        </is>
      </c>
    </row>
    <row r="1538">
      <c r="A1538" t="inlineStr">
        <is>
          <t>OTST</t>
        </is>
      </c>
      <c r="B1538" t="n">
        <v>895</v>
      </c>
      <c r="C1538" t="inlineStr">
        <is>
          <t>Independent Study:</t>
        </is>
      </c>
      <c r="D1538" t="inlineStr">
        <is>
          <t>IndSty:Exeg in Book of Ezekiel</t>
        </is>
      </c>
      <c r="E1538" t="inlineStr">
        <is>
          <t>OTST895</t>
        </is>
      </c>
    </row>
    <row r="1539">
      <c r="A1539" t="inlineStr">
        <is>
          <t>CHIS</t>
        </is>
      </c>
      <c r="B1539" t="n">
        <v>892</v>
      </c>
      <c r="C1539" t="inlineStr">
        <is>
          <t>IndSty in Adv St:</t>
        </is>
      </c>
      <c r="D1539" t="inlineStr">
        <is>
          <t>IndSt: Dev of SDA Theo</t>
        </is>
      </c>
      <c r="E1539" t="inlineStr">
        <is>
          <t>CHIS892</t>
        </is>
      </c>
    </row>
    <row r="1540">
      <c r="A1540" t="inlineStr">
        <is>
          <t>MSSN</t>
        </is>
      </c>
      <c r="B1540" t="n">
        <v>695</v>
      </c>
      <c r="C1540" t="inlineStr">
        <is>
          <t>Topics:</t>
        </is>
      </c>
      <c r="D1540" t="inlineStr">
        <is>
          <t>Top: The Bible &amp; Human Needs</t>
        </is>
      </c>
      <c r="E1540" t="inlineStr">
        <is>
          <t>MSSN695</t>
        </is>
      </c>
    </row>
    <row r="1541">
      <c r="A1541" t="inlineStr">
        <is>
          <t>CHIS</t>
        </is>
      </c>
      <c r="B1541" t="n">
        <v>892</v>
      </c>
      <c r="C1541" t="inlineStr">
        <is>
          <t>IndSty in Adv St:</t>
        </is>
      </c>
      <c r="D1541" t="inlineStr">
        <is>
          <t>IndSt:Ellen White’s Life&amp;Wrtng</t>
        </is>
      </c>
      <c r="E1541" t="inlineStr">
        <is>
          <t>CHIS892</t>
        </is>
      </c>
    </row>
    <row r="1542">
      <c r="A1542" t="inlineStr">
        <is>
          <t>OTST</t>
        </is>
      </c>
      <c r="B1542" t="n">
        <v>895</v>
      </c>
      <c r="C1542" t="inlineStr">
        <is>
          <t>Independent Study:</t>
        </is>
      </c>
      <c r="D1542" t="inlineStr">
        <is>
          <t>IndStdy:Old Testament Exegesis</t>
        </is>
      </c>
      <c r="E1542" t="inlineStr">
        <is>
          <t>OTST895</t>
        </is>
      </c>
    </row>
    <row r="1543">
      <c r="A1543" t="inlineStr">
        <is>
          <t>CHIS</t>
        </is>
      </c>
      <c r="B1543" t="n">
        <v>685</v>
      </c>
      <c r="C1543" t="inlineStr">
        <is>
          <t>Studies in Church History</t>
        </is>
      </c>
      <c r="D1543" t="inlineStr">
        <is>
          <t>StChHist: Hist Cont Prse&amp;Wrsp</t>
        </is>
      </c>
      <c r="E1543" t="inlineStr">
        <is>
          <t>CHIS685</t>
        </is>
      </c>
    </row>
    <row r="1544">
      <c r="A1544" t="inlineStr">
        <is>
          <t>OTST</t>
        </is>
      </c>
      <c r="B1544" t="n">
        <v>890</v>
      </c>
      <c r="C1544" t="inlineStr">
        <is>
          <t>Directed Rdg in Old Testmt</t>
        </is>
      </c>
      <c r="D1544" t="inlineStr">
        <is>
          <t>DirRdg in Old Testament: Humor</t>
        </is>
      </c>
      <c r="E1544" t="inlineStr">
        <is>
          <t>OTST890</t>
        </is>
      </c>
    </row>
    <row r="1545">
      <c r="A1545" t="inlineStr">
        <is>
          <t>OTST</t>
        </is>
      </c>
      <c r="B1545" t="n">
        <v>890</v>
      </c>
      <c r="C1545" t="inlineStr">
        <is>
          <t>Directed Rdg in Old Testmt</t>
        </is>
      </c>
      <c r="D1545" t="inlineStr">
        <is>
          <t>Dir Rdg in OT:Typ, Esch&amp; Sanct</t>
        </is>
      </c>
      <c r="E1545" t="inlineStr">
        <is>
          <t>OTST890</t>
        </is>
      </c>
    </row>
    <row r="1546">
      <c r="A1546" t="inlineStr">
        <is>
          <t>THST</t>
        </is>
      </c>
      <c r="B1546" t="n">
        <v>940</v>
      </c>
      <c r="C1546" t="inlineStr">
        <is>
          <t>Sem in Systematic Theology:</t>
        </is>
      </c>
      <c r="D1546" t="inlineStr">
        <is>
          <t>Sem: Theological Exegesis</t>
        </is>
      </c>
      <c r="E1546" t="inlineStr">
        <is>
          <t>THST940</t>
        </is>
      </c>
    </row>
    <row r="1547">
      <c r="A1547" t="inlineStr">
        <is>
          <t>THST</t>
        </is>
      </c>
      <c r="B1547" t="n">
        <v>649</v>
      </c>
      <c r="C1547" t="inlineStr">
        <is>
          <t>Sem in Theological Issues:</t>
        </is>
      </c>
      <c r="D1547" t="inlineStr">
        <is>
          <t>Sem: Theological Exegesis</t>
        </is>
      </c>
      <c r="E1547" t="inlineStr">
        <is>
          <t>THST649</t>
        </is>
      </c>
    </row>
    <row r="1548">
      <c r="A1548" t="inlineStr">
        <is>
          <t>CHIS</t>
        </is>
      </c>
      <c r="B1548" t="n">
        <v>880</v>
      </c>
      <c r="C1548" t="inlineStr">
        <is>
          <t>Topics in Church History:</t>
        </is>
      </c>
      <c r="D1548" t="inlineStr">
        <is>
          <t>CHIS: Hist Cont Prse&amp;Wrsp</t>
        </is>
      </c>
      <c r="E1548" t="inlineStr">
        <is>
          <t>CHIS880</t>
        </is>
      </c>
    </row>
    <row r="1549">
      <c r="A1549" t="inlineStr">
        <is>
          <t>NTST</t>
        </is>
      </c>
      <c r="B1549" t="n">
        <v>897</v>
      </c>
      <c r="C1549" t="inlineStr">
        <is>
          <t>Ind. Study:</t>
        </is>
      </c>
      <c r="D1549" t="inlineStr">
        <is>
          <t>IndSt:New Testmnt and Rhetoric</t>
        </is>
      </c>
      <c r="E1549" t="inlineStr">
        <is>
          <t>NTST897</t>
        </is>
      </c>
    </row>
    <row r="1550">
      <c r="A1550" t="inlineStr">
        <is>
          <t>OTST</t>
        </is>
      </c>
      <c r="B1550" t="n">
        <v>895</v>
      </c>
      <c r="C1550" t="inlineStr">
        <is>
          <t>Independent Study:</t>
        </is>
      </c>
      <c r="D1550" t="inlineStr">
        <is>
          <t>IndStdy: Bible Translation</t>
        </is>
      </c>
      <c r="E1550" t="inlineStr">
        <is>
          <t>OTST895</t>
        </is>
      </c>
    </row>
    <row r="1551">
      <c r="A1551" t="inlineStr">
        <is>
          <t>NTST</t>
        </is>
      </c>
      <c r="B1551" t="n">
        <v>897</v>
      </c>
      <c r="C1551" t="inlineStr">
        <is>
          <t>Ind. Study:</t>
        </is>
      </c>
      <c r="D1551" t="inlineStr">
        <is>
          <t>IndSt:Disc in Synoptic Gospels</t>
        </is>
      </c>
      <c r="E1551" t="inlineStr">
        <is>
          <t>NTST897</t>
        </is>
      </c>
    </row>
    <row r="1552">
      <c r="A1552" t="inlineStr">
        <is>
          <t>NTST</t>
        </is>
      </c>
      <c r="B1552" t="n">
        <v>897</v>
      </c>
      <c r="C1552" t="inlineStr">
        <is>
          <t>Ind. Study:</t>
        </is>
      </c>
      <c r="D1552" t="inlineStr">
        <is>
          <t>Ind Stdy:Gospel of Matthew</t>
        </is>
      </c>
      <c r="E1552" t="inlineStr">
        <is>
          <t>NTST897</t>
        </is>
      </c>
    </row>
    <row r="1553">
      <c r="A1553" t="inlineStr">
        <is>
          <t>NTST</t>
        </is>
      </c>
      <c r="B1553" t="n">
        <v>897</v>
      </c>
      <c r="C1553" t="inlineStr">
        <is>
          <t>Ind. Study:</t>
        </is>
      </c>
      <c r="D1553" t="inlineStr">
        <is>
          <t>Ind Stdy:Restoration of Israel</t>
        </is>
      </c>
      <c r="E1553" t="inlineStr">
        <is>
          <t>NTST897</t>
        </is>
      </c>
    </row>
    <row r="1554">
      <c r="A1554" t="inlineStr">
        <is>
          <t>PATH</t>
        </is>
      </c>
      <c r="B1554" t="n">
        <v>543</v>
      </c>
      <c r="C1554" t="inlineStr">
        <is>
          <t>Christn Lead in a Chnging Wrld</t>
        </is>
      </c>
      <c r="D1554" t="inlineStr">
        <is>
          <t>Christn Lead in a Chnging Wrld</t>
        </is>
      </c>
      <c r="E1554" t="inlineStr">
        <is>
          <t>PATH543</t>
        </is>
      </c>
    </row>
    <row r="1555">
      <c r="A1555" t="inlineStr">
        <is>
          <t>ANEA</t>
        </is>
      </c>
      <c r="B1555" t="n">
        <v>890</v>
      </c>
      <c r="C1555" t="inlineStr">
        <is>
          <t>Directed Rdg in Hist&amp;Arch St</t>
        </is>
      </c>
      <c r="D1555" t="inlineStr">
        <is>
          <t>Dir Rdg:</t>
        </is>
      </c>
      <c r="E1555" t="inlineStr">
        <is>
          <t>ANEA890</t>
        </is>
      </c>
    </row>
    <row r="1556">
      <c r="A1556" t="inlineStr">
        <is>
          <t>CHIS</t>
        </is>
      </c>
      <c r="B1556" t="n">
        <v>690</v>
      </c>
      <c r="C1556" t="inlineStr">
        <is>
          <t>Ind St:</t>
        </is>
      </c>
      <c r="D1556" t="inlineStr">
        <is>
          <t>Ind St: Dev of SDA Theo</t>
        </is>
      </c>
      <c r="E1556" t="inlineStr">
        <is>
          <t>CHIS690</t>
        </is>
      </c>
    </row>
    <row r="1557">
      <c r="A1557" t="inlineStr">
        <is>
          <t>GSEM</t>
        </is>
      </c>
      <c r="B1557" t="n">
        <v>505</v>
      </c>
      <c r="C1557" t="inlineStr">
        <is>
          <t>Colloquium:</t>
        </is>
      </c>
      <c r="D1557" t="inlineStr">
        <is>
          <t>Coll:Theistic Evol&amp; the Bible</t>
        </is>
      </c>
      <c r="E1557" t="inlineStr">
        <is>
          <t>GSEM505</t>
        </is>
      </c>
    </row>
    <row r="1558">
      <c r="A1558" t="inlineStr">
        <is>
          <t>OTST</t>
        </is>
      </c>
      <c r="B1558" t="n">
        <v>690</v>
      </c>
      <c r="C1558" t="inlineStr">
        <is>
          <t>Ind St:</t>
        </is>
      </c>
      <c r="D1558" t="inlineStr">
        <is>
          <t>Ind St: Theo of the OT</t>
        </is>
      </c>
      <c r="E1558" t="inlineStr">
        <is>
          <t>OTST690</t>
        </is>
      </c>
    </row>
    <row r="1559">
      <c r="A1559" t="inlineStr">
        <is>
          <t>OTST</t>
        </is>
      </c>
      <c r="B1559" t="n">
        <v>630</v>
      </c>
      <c r="C1559" t="inlineStr">
        <is>
          <t>Archaeological Field Work</t>
        </is>
      </c>
      <c r="E1559" t="inlineStr">
        <is>
          <t>OTST630</t>
        </is>
      </c>
    </row>
    <row r="1560">
      <c r="A1560" t="inlineStr">
        <is>
          <t>MSSN</t>
        </is>
      </c>
      <c r="B1560" t="n">
        <v>690</v>
      </c>
      <c r="C1560" t="inlineStr">
        <is>
          <t>Ind St:</t>
        </is>
      </c>
      <c r="D1560" t="inlineStr">
        <is>
          <t>IndSt:Topics in Wrld Religions</t>
        </is>
      </c>
      <c r="E1560" t="inlineStr">
        <is>
          <t>MSSN690</t>
        </is>
      </c>
    </row>
    <row r="1561">
      <c r="A1561" t="inlineStr">
        <is>
          <t>MSSN</t>
        </is>
      </c>
      <c r="B1561" t="n">
        <v>885</v>
      </c>
      <c r="C1561" t="inlineStr">
        <is>
          <t>Topics in:</t>
        </is>
      </c>
      <c r="D1561" t="inlineStr">
        <is>
          <t>Top: The Bible &amp; Human Needs</t>
        </is>
      </c>
      <c r="E1561" t="inlineStr">
        <is>
          <t>MSSN885</t>
        </is>
      </c>
    </row>
    <row r="1562">
      <c r="A1562" t="inlineStr">
        <is>
          <t>MSSN</t>
        </is>
      </c>
      <c r="B1562" t="n">
        <v>885</v>
      </c>
      <c r="C1562" t="inlineStr">
        <is>
          <t>Topics in:</t>
        </is>
      </c>
      <c r="D1562" t="inlineStr">
        <is>
          <t>Top:ResearchDesigninMission</t>
        </is>
      </c>
      <c r="E1562" t="inlineStr">
        <is>
          <t>MSSN885</t>
        </is>
      </c>
    </row>
    <row r="1563">
      <c r="A1563" t="inlineStr">
        <is>
          <t>MSSN</t>
        </is>
      </c>
      <c r="B1563" t="n">
        <v>885</v>
      </c>
      <c r="C1563" t="inlineStr">
        <is>
          <t>Topics in:</t>
        </is>
      </c>
      <c r="D1563" t="inlineStr">
        <is>
          <t>Top:Bib Theo&amp;Spiritl Mission</t>
        </is>
      </c>
      <c r="E1563" t="inlineStr">
        <is>
          <t>MSSN885</t>
        </is>
      </c>
    </row>
    <row r="1564">
      <c r="A1564" t="inlineStr">
        <is>
          <t>DSLE</t>
        </is>
      </c>
      <c r="B1564" t="n">
        <v>870</v>
      </c>
      <c r="C1564" t="inlineStr">
        <is>
          <t>Adv Studies:</t>
        </is>
      </c>
      <c r="D1564" t="inlineStr">
        <is>
          <t>AdvStu:Bbcl&amp; Theo Hermeneutics</t>
        </is>
      </c>
      <c r="E1564" t="inlineStr">
        <is>
          <t>DSLE870</t>
        </is>
      </c>
    </row>
    <row r="1565">
      <c r="A1565" t="inlineStr">
        <is>
          <t>CHIS</t>
        </is>
      </c>
      <c r="B1565" t="n">
        <v>880</v>
      </c>
      <c r="C1565" t="inlineStr">
        <is>
          <t>Topics in Church History:</t>
        </is>
      </c>
      <c r="D1565" t="inlineStr">
        <is>
          <t>Topics CHIS: Church Middle Age</t>
        </is>
      </c>
      <c r="E1565" t="inlineStr">
        <is>
          <t>CHIS880</t>
        </is>
      </c>
    </row>
    <row r="1566">
      <c r="A1566" t="inlineStr">
        <is>
          <t>CHIS</t>
        </is>
      </c>
      <c r="B1566" t="n">
        <v>880</v>
      </c>
      <c r="C1566" t="inlineStr">
        <is>
          <t>Topics in Church History:</t>
        </is>
      </c>
      <c r="D1566" t="inlineStr">
        <is>
          <t>Top:Hist&amp;Spirt Blk/Wh Adv Wrsp</t>
        </is>
      </c>
      <c r="E1566" t="inlineStr">
        <is>
          <t>CHIS880</t>
        </is>
      </c>
    </row>
    <row r="1567">
      <c r="A1567" t="inlineStr">
        <is>
          <t>CHIS</t>
        </is>
      </c>
      <c r="B1567" t="n">
        <v>944</v>
      </c>
      <c r="C1567" t="inlineStr">
        <is>
          <t>Seminar in Adventist Studies:</t>
        </is>
      </c>
      <c r="D1567" t="inlineStr">
        <is>
          <t>Sem AdvSt: Theo of EGW</t>
        </is>
      </c>
      <c r="E1567" t="inlineStr">
        <is>
          <t>CHIS944</t>
        </is>
      </c>
    </row>
    <row r="1568">
      <c r="A1568" t="inlineStr">
        <is>
          <t>CHIS</t>
        </is>
      </c>
      <c r="B1568" t="n">
        <v>685</v>
      </c>
      <c r="C1568" t="inlineStr">
        <is>
          <t>Studies in Church History</t>
        </is>
      </c>
      <c r="D1568" t="inlineStr">
        <is>
          <t>St in CHIS: EGW &amp; Advent Rsrch</t>
        </is>
      </c>
      <c r="E1568" t="inlineStr">
        <is>
          <t>CHIS685</t>
        </is>
      </c>
    </row>
    <row r="1569">
      <c r="A1569" t="inlineStr">
        <is>
          <t>CHIS</t>
        </is>
      </c>
      <c r="B1569" t="n">
        <v>885</v>
      </c>
      <c r="C1569" t="inlineStr">
        <is>
          <t>Topics in</t>
        </is>
      </c>
      <c r="D1569" t="inlineStr">
        <is>
          <t>Top AdvSt: EGW &amp; Advent Rsrch</t>
        </is>
      </c>
      <c r="E1569" t="inlineStr">
        <is>
          <t>CHIS885</t>
        </is>
      </c>
    </row>
    <row r="1570">
      <c r="A1570" t="inlineStr">
        <is>
          <t>CHIS</t>
        </is>
      </c>
      <c r="B1570" t="n">
        <v>885</v>
      </c>
      <c r="C1570" t="inlineStr">
        <is>
          <t>Topics in</t>
        </is>
      </c>
      <c r="D1570" t="inlineStr">
        <is>
          <t>Top AdvSt: Fund of Arch Practc</t>
        </is>
      </c>
      <c r="E1570" t="inlineStr">
        <is>
          <t>CHIS885</t>
        </is>
      </c>
    </row>
    <row r="1571">
      <c r="A1571" t="inlineStr">
        <is>
          <t>CHIS</t>
        </is>
      </c>
      <c r="B1571" t="n">
        <v>885</v>
      </c>
      <c r="C1571" t="inlineStr">
        <is>
          <t>Topics in</t>
        </is>
      </c>
      <c r="D1571" t="inlineStr">
        <is>
          <t>Topics in 1st Gen Adv Pioneers</t>
        </is>
      </c>
      <c r="E1571" t="inlineStr">
        <is>
          <t>CHIS885</t>
        </is>
      </c>
    </row>
    <row r="1572">
      <c r="A1572" t="inlineStr">
        <is>
          <t>CHIS</t>
        </is>
      </c>
      <c r="B1572" t="n">
        <v>695</v>
      </c>
      <c r="C1572" t="inlineStr">
        <is>
          <t>Topics in Church History:</t>
        </is>
      </c>
      <c r="D1572" t="inlineStr">
        <is>
          <t>Top in CHIS:Archival Mgmt</t>
        </is>
      </c>
      <c r="E1572" t="inlineStr">
        <is>
          <t>CHIS695</t>
        </is>
      </c>
    </row>
    <row r="1573">
      <c r="A1573" t="inlineStr">
        <is>
          <t>CHIS</t>
        </is>
      </c>
      <c r="B1573" t="n">
        <v>880</v>
      </c>
      <c r="C1573" t="inlineStr">
        <is>
          <t>Topics in Church History:</t>
        </is>
      </c>
      <c r="D1573" t="inlineStr">
        <is>
          <t>Top:Hist of GC, Cov, Law&amp;Sabb</t>
        </is>
      </c>
      <c r="E1573" t="inlineStr">
        <is>
          <t>CHIS880</t>
        </is>
      </c>
    </row>
    <row r="1574">
      <c r="A1574" t="inlineStr">
        <is>
          <t>CHIS</t>
        </is>
      </c>
      <c r="B1574" t="n">
        <v>645</v>
      </c>
      <c r="C1574" t="inlineStr">
        <is>
          <t>Seminar in Adventist Studies</t>
        </is>
      </c>
      <c r="D1574" t="inlineStr">
        <is>
          <t>Sem AdvSt: Theo of EGW</t>
        </is>
      </c>
      <c r="E1574" t="inlineStr">
        <is>
          <t>CHIS645</t>
        </is>
      </c>
    </row>
    <row r="1575">
      <c r="A1575" t="inlineStr">
        <is>
          <t>CHIS</t>
        </is>
      </c>
      <c r="B1575" t="n">
        <v>645</v>
      </c>
      <c r="C1575" t="inlineStr">
        <is>
          <t>Seminar in Adventist Studies</t>
        </is>
      </c>
      <c r="D1575" t="inlineStr">
        <is>
          <t>Sem Adv St: Theology of EGW</t>
        </is>
      </c>
      <c r="E1575" t="inlineStr">
        <is>
          <t>CHIS645</t>
        </is>
      </c>
    </row>
    <row r="1576">
      <c r="A1576" t="inlineStr">
        <is>
          <t>CHIS</t>
        </is>
      </c>
      <c r="B1576" t="n">
        <v>685</v>
      </c>
      <c r="C1576" t="inlineStr">
        <is>
          <t>Studies in Church History</t>
        </is>
      </c>
      <c r="D1576" t="inlineStr">
        <is>
          <t>St CHIS: EGW &amp; Adv Research</t>
        </is>
      </c>
      <c r="E1576" t="inlineStr">
        <is>
          <t>CHIS685</t>
        </is>
      </c>
    </row>
    <row r="1577">
      <c r="A1577" t="inlineStr">
        <is>
          <t>THST</t>
        </is>
      </c>
      <c r="B1577" t="n">
        <v>690</v>
      </c>
      <c r="C1577" t="inlineStr">
        <is>
          <t>Ind St:</t>
        </is>
      </c>
      <c r="D1577" t="inlineStr">
        <is>
          <t>Ind St: Gr Cont, Cov, Law, Sab</t>
        </is>
      </c>
      <c r="E1577" t="inlineStr">
        <is>
          <t>THST690</t>
        </is>
      </c>
    </row>
    <row r="1578">
      <c r="A1578" t="inlineStr">
        <is>
          <t>THST</t>
        </is>
      </c>
      <c r="B1578" t="n">
        <v>690</v>
      </c>
      <c r="C1578" t="inlineStr">
        <is>
          <t>Ind St:</t>
        </is>
      </c>
      <c r="D1578" t="inlineStr">
        <is>
          <t>Ind St:Ethics&amp;the Good Life</t>
        </is>
      </c>
      <c r="E1578" t="inlineStr">
        <is>
          <t>THST690</t>
        </is>
      </c>
    </row>
    <row r="1579">
      <c r="A1579" t="inlineStr">
        <is>
          <t>THST</t>
        </is>
      </c>
      <c r="B1579" t="n">
        <v>885</v>
      </c>
      <c r="C1579" t="inlineStr">
        <is>
          <t>Top:</t>
        </is>
      </c>
      <c r="D1579" t="inlineStr">
        <is>
          <t>Top: Hum Nature&amp;Destiny</t>
        </is>
      </c>
      <c r="E1579" t="inlineStr">
        <is>
          <t>THST885</t>
        </is>
      </c>
    </row>
    <row r="1580">
      <c r="A1580" t="inlineStr">
        <is>
          <t>THST</t>
        </is>
      </c>
      <c r="B1580" t="n">
        <v>897</v>
      </c>
      <c r="C1580" t="inlineStr">
        <is>
          <t>Ind St:</t>
        </is>
      </c>
      <c r="D1580" t="inlineStr">
        <is>
          <t>IndSt:Conv Pattern Chrstn Theo</t>
        </is>
      </c>
      <c r="E1580" t="inlineStr">
        <is>
          <t>THST897</t>
        </is>
      </c>
    </row>
    <row r="1581">
      <c r="A1581" t="inlineStr">
        <is>
          <t>THST</t>
        </is>
      </c>
      <c r="B1581" t="n">
        <v>690</v>
      </c>
      <c r="C1581" t="inlineStr">
        <is>
          <t>Ind St:</t>
        </is>
      </c>
      <c r="D1581" t="inlineStr">
        <is>
          <t>IndSt:</t>
        </is>
      </c>
      <c r="E1581" t="inlineStr">
        <is>
          <t>THST690</t>
        </is>
      </c>
    </row>
    <row r="1582">
      <c r="A1582" t="inlineStr">
        <is>
          <t>MSSN</t>
        </is>
      </c>
      <c r="B1582" t="n">
        <v>732</v>
      </c>
      <c r="C1582" t="inlineStr">
        <is>
          <t>Cultural &amp; Relg Analysis II</t>
        </is>
      </c>
      <c r="E1582" t="inlineStr">
        <is>
          <t>MSSN732</t>
        </is>
      </c>
    </row>
    <row r="1583">
      <c r="A1583" t="inlineStr">
        <is>
          <t>MSSN</t>
        </is>
      </c>
      <c r="B1583" t="n">
        <v>742</v>
      </c>
      <c r="C1583" t="inlineStr">
        <is>
          <t>Strategy Development II</t>
        </is>
      </c>
      <c r="E1583" t="inlineStr">
        <is>
          <t>MSSN742</t>
        </is>
      </c>
    </row>
    <row r="1584">
      <c r="A1584" t="inlineStr">
        <is>
          <t>GSEM</t>
        </is>
      </c>
      <c r="B1584" t="n">
        <v>797</v>
      </c>
      <c r="C1584" t="inlineStr">
        <is>
          <t>Ind St:</t>
        </is>
      </c>
      <c r="D1584" t="inlineStr">
        <is>
          <t>Ind St:GSEM706 Sp&amp;Theo Foundts</t>
        </is>
      </c>
      <c r="E1584" t="inlineStr">
        <is>
          <t>GSEM797</t>
        </is>
      </c>
    </row>
    <row r="1585">
      <c r="A1585" t="inlineStr">
        <is>
          <t>MSSN</t>
        </is>
      </c>
      <c r="B1585" t="n">
        <v>810</v>
      </c>
      <c r="C1585" t="inlineStr">
        <is>
          <t>Sem:</t>
        </is>
      </c>
      <c r="D1585" t="inlineStr">
        <is>
          <t>Sem:Discipl&amp;WorldvTransfrmatn</t>
        </is>
      </c>
      <c r="E1585" t="inlineStr">
        <is>
          <t>MSSN810</t>
        </is>
      </c>
    </row>
    <row r="1586">
      <c r="A1586" t="inlineStr">
        <is>
          <t>GSEM</t>
        </is>
      </c>
      <c r="B1586" t="n">
        <v>505</v>
      </c>
      <c r="C1586" t="inlineStr">
        <is>
          <t>Colloquium:</t>
        </is>
      </c>
      <c r="D1586" t="inlineStr">
        <is>
          <t>Coll:Families&amp; Emotionl Health</t>
        </is>
      </c>
      <c r="E1586" t="inlineStr">
        <is>
          <t>GSEM505</t>
        </is>
      </c>
    </row>
    <row r="1587">
      <c r="A1587" t="inlineStr">
        <is>
          <t>GSEM</t>
        </is>
      </c>
      <c r="B1587" t="n">
        <v>797</v>
      </c>
      <c r="C1587" t="inlineStr">
        <is>
          <t>Ind St:</t>
        </is>
      </c>
      <c r="D1587" t="inlineStr">
        <is>
          <t>IndSt:DSRE708 Ment&amp;Coach Dscpl</t>
        </is>
      </c>
      <c r="E1587" t="inlineStr">
        <is>
          <t>GSEM797</t>
        </is>
      </c>
    </row>
    <row r="1588">
      <c r="A1588" t="inlineStr">
        <is>
          <t>PATH</t>
        </is>
      </c>
      <c r="B1588" t="n">
        <v>897</v>
      </c>
      <c r="C1588" t="inlineStr">
        <is>
          <t>Ind St:</t>
        </is>
      </c>
      <c r="E1588" t="inlineStr">
        <is>
          <t>PATH897</t>
        </is>
      </c>
    </row>
    <row r="1589">
      <c r="A1589" t="inlineStr">
        <is>
          <t>OTST</t>
        </is>
      </c>
      <c r="B1589" t="n">
        <v>940</v>
      </c>
      <c r="C1589" t="inlineStr">
        <is>
          <t>Sem Adv OT Exegesis</t>
        </is>
      </c>
      <c r="D1589" t="inlineStr">
        <is>
          <t>SemAdvOTExeg:Psalms/Wisdom Lt</t>
        </is>
      </c>
      <c r="E1589" t="inlineStr">
        <is>
          <t>OTST940</t>
        </is>
      </c>
    </row>
    <row r="1590">
      <c r="A1590" t="inlineStr">
        <is>
          <t>PATH</t>
        </is>
      </c>
      <c r="B1590" t="n">
        <v>505</v>
      </c>
      <c r="C1590" t="inlineStr">
        <is>
          <t>Biblical Preaching</t>
        </is>
      </c>
      <c r="D1590" t="inlineStr">
        <is>
          <t>Biblical Preaching</t>
        </is>
      </c>
      <c r="E1590" t="inlineStr">
        <is>
          <t>PATH505</t>
        </is>
      </c>
    </row>
    <row r="1591">
      <c r="A1591" t="inlineStr">
        <is>
          <t>NTST</t>
        </is>
      </c>
      <c r="B1591" t="n">
        <v>695</v>
      </c>
      <c r="C1591" t="inlineStr">
        <is>
          <t>Top in NT Backgrounds</t>
        </is>
      </c>
      <c r="D1591" t="inlineStr">
        <is>
          <t>Top: Josephus</t>
        </is>
      </c>
      <c r="E1591" t="inlineStr">
        <is>
          <t>NTST695</t>
        </is>
      </c>
    </row>
    <row r="1592">
      <c r="A1592" t="inlineStr">
        <is>
          <t>NTST</t>
        </is>
      </c>
      <c r="B1592" t="n">
        <v>695</v>
      </c>
      <c r="C1592" t="inlineStr">
        <is>
          <t>Top in NT Backgrounds</t>
        </is>
      </c>
      <c r="D1592" t="inlineStr">
        <is>
          <t>Top in NT Backgrounds:Josephus</t>
        </is>
      </c>
      <c r="E1592" t="inlineStr">
        <is>
          <t>NTST695</t>
        </is>
      </c>
    </row>
    <row r="1593">
      <c r="A1593" t="inlineStr">
        <is>
          <t>GSEM</t>
        </is>
      </c>
      <c r="B1593" t="n">
        <v>505</v>
      </c>
      <c r="C1593" t="inlineStr">
        <is>
          <t>Colloquium:</t>
        </is>
      </c>
      <c r="D1593" t="inlineStr">
        <is>
          <t>Coll: NAD Summit on Abuse</t>
        </is>
      </c>
      <c r="E1593" t="inlineStr">
        <is>
          <t>GSEM505</t>
        </is>
      </c>
    </row>
    <row r="1594">
      <c r="A1594" t="inlineStr">
        <is>
          <t>OTST</t>
        </is>
      </c>
      <c r="B1594" t="n">
        <v>890</v>
      </c>
      <c r="C1594" t="inlineStr">
        <is>
          <t>Directed Rdg in Old Testmt</t>
        </is>
      </c>
      <c r="D1594" t="inlineStr">
        <is>
          <t>DirRg:Ancnt Israelite Sacrifcs</t>
        </is>
      </c>
      <c r="E1594" t="inlineStr">
        <is>
          <t>OTST890</t>
        </is>
      </c>
    </row>
    <row r="1595">
      <c r="A1595" t="inlineStr">
        <is>
          <t>OTST</t>
        </is>
      </c>
      <c r="B1595" t="n">
        <v>895</v>
      </c>
      <c r="C1595" t="inlineStr">
        <is>
          <t>Independent Study:</t>
        </is>
      </c>
      <c r="D1595" t="inlineStr">
        <is>
          <t>IndSt:Sacrif Trms in Leviticus</t>
        </is>
      </c>
      <c r="E1595" t="inlineStr">
        <is>
          <t>OTST895</t>
        </is>
      </c>
    </row>
    <row r="1596">
      <c r="A1596" t="inlineStr">
        <is>
          <t>MSSN</t>
        </is>
      </c>
      <c r="B1596" t="n">
        <v>890</v>
      </c>
      <c r="C1596" t="inlineStr">
        <is>
          <t>Directed Rdgs Mission Studies</t>
        </is>
      </c>
      <c r="D1596" t="inlineStr">
        <is>
          <t>Directed Rdgs:Chrstian Mission</t>
        </is>
      </c>
      <c r="E1596" t="inlineStr">
        <is>
          <t>MSSN890</t>
        </is>
      </c>
    </row>
    <row r="1597">
      <c r="A1597" t="inlineStr">
        <is>
          <t>THST</t>
        </is>
      </c>
      <c r="B1597" t="n">
        <v>895</v>
      </c>
      <c r="C1597" t="inlineStr">
        <is>
          <t>Directed Rdg Historical Theo</t>
        </is>
      </c>
      <c r="D1597" t="inlineStr">
        <is>
          <t>Dir Rdg in Christian Thought</t>
        </is>
      </c>
      <c r="E1597" t="inlineStr">
        <is>
          <t>THST895</t>
        </is>
      </c>
    </row>
    <row r="1598">
      <c r="A1598" t="inlineStr">
        <is>
          <t>NTST</t>
        </is>
      </c>
      <c r="B1598" t="n">
        <v>897</v>
      </c>
      <c r="C1598" t="inlineStr">
        <is>
          <t>Ind. Study:</t>
        </is>
      </c>
      <c r="D1598" t="inlineStr">
        <is>
          <t>Ind. Study: Paul &amp; Jerusalem</t>
        </is>
      </c>
      <c r="E1598" t="inlineStr">
        <is>
          <t>NTST897</t>
        </is>
      </c>
    </row>
    <row r="1599">
      <c r="A1599" t="inlineStr">
        <is>
          <t>THST</t>
        </is>
      </c>
      <c r="B1599" t="n">
        <v>885</v>
      </c>
      <c r="C1599" t="inlineStr">
        <is>
          <t>Top:</t>
        </is>
      </c>
      <c r="D1599" t="inlineStr">
        <is>
          <t>Top: Christianity Mid East</t>
        </is>
      </c>
      <c r="E1599" t="inlineStr">
        <is>
          <t>THST885</t>
        </is>
      </c>
    </row>
    <row r="1600">
      <c r="A1600" t="inlineStr">
        <is>
          <t>NTST</t>
        </is>
      </c>
      <c r="B1600" t="n">
        <v>890</v>
      </c>
      <c r="C1600" t="inlineStr">
        <is>
          <t>Directed Rdg in New Testament</t>
        </is>
      </c>
      <c r="D1600" t="inlineStr">
        <is>
          <t>Dir Rdg in NT: Paul &amp; Judaism</t>
        </is>
      </c>
      <c r="E1600" t="inlineStr">
        <is>
          <t>NTST890</t>
        </is>
      </c>
    </row>
    <row r="1601">
      <c r="A1601" t="inlineStr">
        <is>
          <t>THST</t>
        </is>
      </c>
      <c r="B1601" t="n">
        <v>897</v>
      </c>
      <c r="C1601" t="inlineStr">
        <is>
          <t>Ind St:</t>
        </is>
      </c>
      <c r="D1601" t="inlineStr">
        <is>
          <t>IndSt: Catholic Sacrament Theo</t>
        </is>
      </c>
      <c r="E1601" t="inlineStr">
        <is>
          <t>THST897</t>
        </is>
      </c>
    </row>
    <row r="1602">
      <c r="A1602" t="inlineStr">
        <is>
          <t>THST</t>
        </is>
      </c>
      <c r="B1602" t="n">
        <v>897</v>
      </c>
      <c r="C1602" t="inlineStr">
        <is>
          <t>Ind St:</t>
        </is>
      </c>
      <c r="D1602" t="inlineStr">
        <is>
          <t>IndSt: Knowledge &amp; Ignorance</t>
        </is>
      </c>
      <c r="E1602" t="inlineStr">
        <is>
          <t>THST897</t>
        </is>
      </c>
    </row>
    <row r="1603">
      <c r="A1603" t="inlineStr">
        <is>
          <t>NTST</t>
        </is>
      </c>
      <c r="B1603" t="n">
        <v>690</v>
      </c>
      <c r="C1603" t="inlineStr">
        <is>
          <t>Ind St:</t>
        </is>
      </c>
      <c r="D1603" t="inlineStr">
        <is>
          <t>Ind St: Theo of Hebrews</t>
        </is>
      </c>
      <c r="E1603" t="inlineStr">
        <is>
          <t>NTST690</t>
        </is>
      </c>
    </row>
    <row r="1604">
      <c r="A1604" t="inlineStr">
        <is>
          <t>GSEM</t>
        </is>
      </c>
      <c r="B1604" t="n">
        <v>505</v>
      </c>
      <c r="C1604" t="inlineStr">
        <is>
          <t>Colloquium:</t>
        </is>
      </c>
      <c r="D1604" t="inlineStr">
        <is>
          <t>Coll:Ellen White Issues Sympm</t>
        </is>
      </c>
      <c r="E1604" t="inlineStr">
        <is>
          <t>GSEM505</t>
        </is>
      </c>
    </row>
    <row r="1605">
      <c r="A1605" t="inlineStr">
        <is>
          <t>CHIS</t>
        </is>
      </c>
      <c r="B1605" t="n">
        <v>895</v>
      </c>
      <c r="C1605" t="inlineStr">
        <is>
          <t>Directed Rdg Adventist Studies</t>
        </is>
      </c>
      <c r="D1605" t="inlineStr">
        <is>
          <t>DirRdg: Dev of SDA Theology</t>
        </is>
      </c>
      <c r="E1605" t="inlineStr">
        <is>
          <t>CHIS895</t>
        </is>
      </c>
    </row>
    <row r="1606">
      <c r="A1606" t="inlineStr">
        <is>
          <t>THST</t>
        </is>
      </c>
      <c r="B1606" t="n">
        <v>695</v>
      </c>
      <c r="C1606" t="inlineStr">
        <is>
          <t>Top:</t>
        </is>
      </c>
      <c r="D1606" t="inlineStr">
        <is>
          <t>Top:Christianity Mid East</t>
        </is>
      </c>
      <c r="E1606" t="inlineStr">
        <is>
          <t>THST695</t>
        </is>
      </c>
    </row>
    <row r="1607">
      <c r="A1607" t="inlineStr">
        <is>
          <t>CHIS</t>
        </is>
      </c>
      <c r="B1607" t="n">
        <v>891</v>
      </c>
      <c r="C1607" t="inlineStr">
        <is>
          <t>Ind St:</t>
        </is>
      </c>
      <c r="D1607" t="inlineStr">
        <is>
          <t>Ind St: Remnant Theology</t>
        </is>
      </c>
      <c r="E1607" t="inlineStr">
        <is>
          <t>CHIS891</t>
        </is>
      </c>
    </row>
    <row r="1608">
      <c r="A1608" t="inlineStr">
        <is>
          <t>CHIS</t>
        </is>
      </c>
      <c r="B1608" t="n">
        <v>892</v>
      </c>
      <c r="C1608" t="inlineStr">
        <is>
          <t>IndSty in Adv St:</t>
        </is>
      </c>
      <c r="D1608" t="inlineStr">
        <is>
          <t>IndSty inAdv St:Diss Prop Prep</t>
        </is>
      </c>
      <c r="E1608" t="inlineStr">
        <is>
          <t>CHIS892</t>
        </is>
      </c>
    </row>
    <row r="1609">
      <c r="A1609" t="inlineStr">
        <is>
          <t>CHIS</t>
        </is>
      </c>
      <c r="B1609" t="n">
        <v>895</v>
      </c>
      <c r="C1609" t="inlineStr">
        <is>
          <t>Directed Rdg Adventist Studies</t>
        </is>
      </c>
      <c r="D1609" t="inlineStr">
        <is>
          <t>DirRdg: Dev of SDA Doctrines</t>
        </is>
      </c>
      <c r="E1609" t="inlineStr">
        <is>
          <t>CHIS895</t>
        </is>
      </c>
    </row>
    <row r="1610">
      <c r="A1610" t="inlineStr">
        <is>
          <t>CHIS</t>
        </is>
      </c>
      <c r="B1610" t="n">
        <v>890</v>
      </c>
      <c r="C1610" t="inlineStr">
        <is>
          <t>Directed Rdg in Church History</t>
        </is>
      </c>
      <c r="D1610" t="inlineStr">
        <is>
          <t>DirRdg: Amer Religious History</t>
        </is>
      </c>
      <c r="E1610" t="inlineStr">
        <is>
          <t>CHIS890</t>
        </is>
      </c>
    </row>
    <row r="1611">
      <c r="A1611" t="inlineStr">
        <is>
          <t>CHIS</t>
        </is>
      </c>
      <c r="B1611" t="n">
        <v>690</v>
      </c>
      <c r="C1611" t="inlineStr">
        <is>
          <t>Ind St:</t>
        </is>
      </c>
      <c r="D1611" t="inlineStr">
        <is>
          <t>Ind St: Trinity in Adventism</t>
        </is>
      </c>
      <c r="E1611" t="inlineStr">
        <is>
          <t>CHIS690</t>
        </is>
      </c>
    </row>
    <row r="1612">
      <c r="A1612" t="inlineStr">
        <is>
          <t>CHIS</t>
        </is>
      </c>
      <c r="B1612" t="n">
        <v>890</v>
      </c>
      <c r="C1612" t="inlineStr">
        <is>
          <t>Directed Rdg in Church History</t>
        </is>
      </c>
      <c r="D1612" t="inlineStr">
        <is>
          <t>DirRdg: Luther and the Jews</t>
        </is>
      </c>
      <c r="E1612" t="inlineStr">
        <is>
          <t>CHIS890</t>
        </is>
      </c>
    </row>
    <row r="1613">
      <c r="A1613" t="inlineStr">
        <is>
          <t>CHIS</t>
        </is>
      </c>
      <c r="B1613" t="n">
        <v>891</v>
      </c>
      <c r="C1613" t="inlineStr">
        <is>
          <t>Ind St:</t>
        </is>
      </c>
      <c r="D1613" t="inlineStr">
        <is>
          <t>IndSt: Conspiracy Theories</t>
        </is>
      </c>
      <c r="E1613" t="inlineStr">
        <is>
          <t>CHIS891</t>
        </is>
      </c>
    </row>
    <row r="1614">
      <c r="A1614" t="inlineStr">
        <is>
          <t>CHIS</t>
        </is>
      </c>
      <c r="B1614" t="n">
        <v>890</v>
      </c>
      <c r="C1614" t="inlineStr">
        <is>
          <t>Directed Rdg in Church History</t>
        </is>
      </c>
      <c r="D1614" t="inlineStr">
        <is>
          <t>DirRdg Arch Early Baptisteries</t>
        </is>
      </c>
      <c r="E1614" t="inlineStr">
        <is>
          <t>CHIS890</t>
        </is>
      </c>
    </row>
    <row r="1615">
      <c r="A1615" t="inlineStr">
        <is>
          <t>CHIS</t>
        </is>
      </c>
      <c r="B1615" t="n">
        <v>890</v>
      </c>
      <c r="C1615" t="inlineStr">
        <is>
          <t>Directed Rdg in Church History</t>
        </is>
      </c>
      <c r="D1615" t="inlineStr">
        <is>
          <t>DirRdg Early Chrch Sacrdotalsm</t>
        </is>
      </c>
      <c r="E1615" t="inlineStr">
        <is>
          <t>CHIS890</t>
        </is>
      </c>
    </row>
    <row r="1616">
      <c r="A1616" t="inlineStr">
        <is>
          <t>OTST</t>
        </is>
      </c>
      <c r="B1616" t="n">
        <v>546</v>
      </c>
      <c r="C1616" t="inlineStr">
        <is>
          <t>Studies in Daniel (Engl)</t>
        </is>
      </c>
      <c r="D1616" t="inlineStr">
        <is>
          <t>Studies in Daniel</t>
        </is>
      </c>
      <c r="E1616" t="inlineStr">
        <is>
          <t>OTST546</t>
        </is>
      </c>
    </row>
    <row r="1617">
      <c r="A1617" t="inlineStr">
        <is>
          <t>CHIS</t>
        </is>
      </c>
      <c r="B1617" t="n">
        <v>682</v>
      </c>
      <c r="C1617" t="inlineStr">
        <is>
          <t>Seminar in Church History</t>
        </is>
      </c>
      <c r="D1617" t="inlineStr">
        <is>
          <t>Sem:Sotrlgy of Arminius&amp;Wesley</t>
        </is>
      </c>
      <c r="E1617" t="inlineStr">
        <is>
          <t>CHIS682</t>
        </is>
      </c>
    </row>
    <row r="1618">
      <c r="A1618" t="inlineStr">
        <is>
          <t>CHIS</t>
        </is>
      </c>
      <c r="B1618" t="n">
        <v>891</v>
      </c>
      <c r="C1618" t="inlineStr">
        <is>
          <t>Ind St:</t>
        </is>
      </c>
      <c r="D1618" t="inlineStr">
        <is>
          <t>Ind St: American Prophets</t>
        </is>
      </c>
      <c r="E1618" t="inlineStr">
        <is>
          <t>CHIS891</t>
        </is>
      </c>
    </row>
    <row r="1619">
      <c r="A1619" t="inlineStr">
        <is>
          <t>CHIS</t>
        </is>
      </c>
      <c r="B1619" t="n">
        <v>940</v>
      </c>
      <c r="C1619" t="inlineStr">
        <is>
          <t>Seminar in Church History:</t>
        </is>
      </c>
      <c r="D1619" t="inlineStr">
        <is>
          <t>Sem: Soter of Arminius&amp;Wesley</t>
        </is>
      </c>
      <c r="E1619" t="inlineStr">
        <is>
          <t>CHIS940</t>
        </is>
      </c>
    </row>
    <row r="1620">
      <c r="A1620" t="inlineStr">
        <is>
          <t>MSSN</t>
        </is>
      </c>
      <c r="B1620" t="n">
        <v>645</v>
      </c>
      <c r="C1620" t="inlineStr">
        <is>
          <t>Ministry Among Immigrants</t>
        </is>
      </c>
      <c r="D1620" t="inlineStr">
        <is>
          <t>Ministry among Immigrants</t>
        </is>
      </c>
      <c r="E1620" t="inlineStr">
        <is>
          <t>MSSN645</t>
        </is>
      </c>
    </row>
    <row r="1621">
      <c r="A1621" t="inlineStr">
        <is>
          <t>THST</t>
        </is>
      </c>
      <c r="B1621" t="n">
        <v>656</v>
      </c>
      <c r="C1621" t="inlineStr">
        <is>
          <t>Sem in Historical Theology:</t>
        </is>
      </c>
      <c r="D1621" t="inlineStr">
        <is>
          <t>SemHisTheo:Lead inEarly Church</t>
        </is>
      </c>
      <c r="E1621" t="inlineStr">
        <is>
          <t>THST656</t>
        </is>
      </c>
    </row>
    <row r="1622">
      <c r="A1622" t="inlineStr">
        <is>
          <t>THST</t>
        </is>
      </c>
      <c r="B1622" t="n">
        <v>885</v>
      </c>
      <c r="C1622" t="inlineStr">
        <is>
          <t>Top:</t>
        </is>
      </c>
      <c r="D1622" t="inlineStr">
        <is>
          <t>Top: Rev, Insp, &amp; Hermeneutics</t>
        </is>
      </c>
      <c r="E1622" t="inlineStr">
        <is>
          <t>THST885</t>
        </is>
      </c>
    </row>
    <row r="1623">
      <c r="A1623" t="inlineStr">
        <is>
          <t>THST</t>
        </is>
      </c>
      <c r="B1623" t="n">
        <v>897</v>
      </c>
      <c r="C1623" t="inlineStr">
        <is>
          <t>Ind St:</t>
        </is>
      </c>
      <c r="D1623" t="inlineStr">
        <is>
          <t>Ind St: Doctrine of Christ</t>
        </is>
      </c>
      <c r="E1623" t="inlineStr">
        <is>
          <t>THST897</t>
        </is>
      </c>
    </row>
    <row r="1624">
      <c r="A1624" t="inlineStr">
        <is>
          <t>CHIS</t>
        </is>
      </c>
      <c r="B1624" t="n">
        <v>890</v>
      </c>
      <c r="C1624" t="inlineStr">
        <is>
          <t>Directed Rdg in Church History</t>
        </is>
      </c>
      <c r="D1624" t="inlineStr">
        <is>
          <t>DirRdg Early Ch Historiagraphy</t>
        </is>
      </c>
      <c r="E1624" t="inlineStr">
        <is>
          <t>CHIS890</t>
        </is>
      </c>
    </row>
    <row r="1625">
      <c r="A1625" t="inlineStr">
        <is>
          <t>NTST</t>
        </is>
      </c>
      <c r="B1625" t="n">
        <v>679</v>
      </c>
      <c r="C1625" t="inlineStr">
        <is>
          <t>Sem in NT Theology &amp; Ethics</t>
        </is>
      </c>
      <c r="D1625" t="inlineStr">
        <is>
          <t>Sem In NT Theo:Theo of Hebrews</t>
        </is>
      </c>
      <c r="E1625" t="inlineStr">
        <is>
          <t>NTST679</t>
        </is>
      </c>
    </row>
    <row r="1626">
      <c r="A1626" t="inlineStr">
        <is>
          <t>NTST</t>
        </is>
      </c>
      <c r="B1626" t="n">
        <v>897</v>
      </c>
      <c r="C1626" t="inlineStr">
        <is>
          <t>Ind. Study:</t>
        </is>
      </c>
      <c r="D1626" t="inlineStr">
        <is>
          <t>Ind St:Hebrews - Text Analysis</t>
        </is>
      </c>
      <c r="E1626" t="inlineStr">
        <is>
          <t>NTST897</t>
        </is>
      </c>
    </row>
    <row r="1627">
      <c r="A1627" t="inlineStr">
        <is>
          <t>OTST</t>
        </is>
      </c>
      <c r="B1627" t="n">
        <v>895</v>
      </c>
      <c r="C1627" t="inlineStr">
        <is>
          <t>Independent Study:</t>
        </is>
      </c>
      <c r="D1627" t="inlineStr">
        <is>
          <t>Ind St: Adv OT Exegesis-Theodi</t>
        </is>
      </c>
      <c r="E1627" t="inlineStr">
        <is>
          <t>OTST895</t>
        </is>
      </c>
    </row>
    <row r="1628">
      <c r="A1628" t="inlineStr">
        <is>
          <t>OTST</t>
        </is>
      </c>
      <c r="B1628" t="n">
        <v>666</v>
      </c>
      <c r="C1628" t="inlineStr">
        <is>
          <t>Historical Books (Hebrew)</t>
        </is>
      </c>
      <c r="D1628" t="inlineStr">
        <is>
          <t>Historical Books</t>
        </is>
      </c>
      <c r="E1628" t="inlineStr">
        <is>
          <t>OTST666</t>
        </is>
      </c>
    </row>
    <row r="1629">
      <c r="A1629" t="inlineStr">
        <is>
          <t>ANEA</t>
        </is>
      </c>
      <c r="B1629" t="n">
        <v>814</v>
      </c>
      <c r="C1629" t="inlineStr">
        <is>
          <t>Adv Archaeology of Palestine</t>
        </is>
      </c>
      <c r="E1629" t="inlineStr">
        <is>
          <t>ANEA814</t>
        </is>
      </c>
    </row>
    <row r="1630">
      <c r="A1630" t="inlineStr">
        <is>
          <t>THST</t>
        </is>
      </c>
      <c r="B1630" t="n">
        <v>690</v>
      </c>
      <c r="C1630" t="inlineStr">
        <is>
          <t>Ind St:</t>
        </is>
      </c>
      <c r="D1630" t="inlineStr">
        <is>
          <t>Ind St: Christian Theo II</t>
        </is>
      </c>
      <c r="E1630" t="inlineStr">
        <is>
          <t>THST690</t>
        </is>
      </c>
    </row>
    <row r="1631">
      <c r="A1631" t="inlineStr">
        <is>
          <t>THST</t>
        </is>
      </c>
      <c r="B1631" t="n">
        <v>896</v>
      </c>
      <c r="C1631" t="inlineStr">
        <is>
          <t>Directed Rdg Christian Ethics</t>
        </is>
      </c>
      <c r="D1631" t="inlineStr">
        <is>
          <t>Dir Rdg Ch Eth: Christn Ethics</t>
        </is>
      </c>
      <c r="E1631" t="inlineStr">
        <is>
          <t>THST896</t>
        </is>
      </c>
    </row>
    <row r="1632">
      <c r="A1632" t="inlineStr">
        <is>
          <t>CHIS</t>
        </is>
      </c>
      <c r="B1632" t="n">
        <v>885</v>
      </c>
      <c r="C1632" t="inlineStr">
        <is>
          <t>Topics in</t>
        </is>
      </c>
      <c r="D1632" t="inlineStr">
        <is>
          <t>Top in: Adventist Studies</t>
        </is>
      </c>
      <c r="E1632" t="inlineStr">
        <is>
          <t>CHIS885</t>
        </is>
      </c>
    </row>
    <row r="1633">
      <c r="A1633" t="inlineStr">
        <is>
          <t>DSLE</t>
        </is>
      </c>
      <c r="B1633" t="n">
        <v>690</v>
      </c>
      <c r="C1633" t="inlineStr">
        <is>
          <t>Ind St:</t>
        </is>
      </c>
      <c r="D1633" t="inlineStr">
        <is>
          <t>Ind St:Fdns of Bibl Spirituaty</t>
        </is>
      </c>
      <c r="E1633" t="inlineStr">
        <is>
          <t>DSLE690</t>
        </is>
      </c>
    </row>
    <row r="1634">
      <c r="A1634" t="inlineStr">
        <is>
          <t>CHIS</t>
        </is>
      </c>
      <c r="B1634" t="n">
        <v>690</v>
      </c>
      <c r="C1634" t="inlineStr">
        <is>
          <t>Ind St:</t>
        </is>
      </c>
      <c r="D1634" t="inlineStr">
        <is>
          <t>IndSt:</t>
        </is>
      </c>
      <c r="E1634" t="inlineStr">
        <is>
          <t>CHIS690</t>
        </is>
      </c>
    </row>
    <row r="1635">
      <c r="A1635" t="inlineStr">
        <is>
          <t>CHIS</t>
        </is>
      </c>
      <c r="B1635" t="n">
        <v>892</v>
      </c>
      <c r="C1635" t="inlineStr">
        <is>
          <t>IndSty in Adv St:</t>
        </is>
      </c>
      <c r="D1635" t="inlineStr">
        <is>
          <t>IndSt:</t>
        </is>
      </c>
      <c r="E1635" t="inlineStr">
        <is>
          <t>CHIS892</t>
        </is>
      </c>
    </row>
    <row r="1636">
      <c r="A1636" t="inlineStr">
        <is>
          <t>MSSN</t>
        </is>
      </c>
      <c r="B1636" t="n">
        <v>890</v>
      </c>
      <c r="C1636" t="inlineStr">
        <is>
          <t>Directed Rdgs Mission Studies</t>
        </is>
      </c>
      <c r="D1636" t="inlineStr">
        <is>
          <t>Dir Rdg Mssn Stu:</t>
        </is>
      </c>
      <c r="E1636" t="inlineStr">
        <is>
          <t>MSSN890</t>
        </is>
      </c>
    </row>
    <row r="1637">
      <c r="A1637" t="inlineStr">
        <is>
          <t>MSSN</t>
        </is>
      </c>
      <c r="B1637" t="n">
        <v>890</v>
      </c>
      <c r="C1637" t="inlineStr">
        <is>
          <t>Directed Rdgs Mission Studies</t>
        </is>
      </c>
      <c r="D1637" t="inlineStr">
        <is>
          <t>DirRdg MssnStu:</t>
        </is>
      </c>
      <c r="E1637" t="inlineStr">
        <is>
          <t>MSSN890</t>
        </is>
      </c>
    </row>
    <row r="1638">
      <c r="A1638" t="inlineStr">
        <is>
          <t>DSLE</t>
        </is>
      </c>
      <c r="B1638" t="n">
        <v>670</v>
      </c>
      <c r="C1638" t="inlineStr">
        <is>
          <t>Reaching Out</t>
        </is>
      </c>
      <c r="E1638" t="inlineStr">
        <is>
          <t>DSLE670</t>
        </is>
      </c>
    </row>
    <row r="1639">
      <c r="A1639" t="inlineStr">
        <is>
          <t>THST</t>
        </is>
      </c>
      <c r="B1639" t="n">
        <v>964</v>
      </c>
      <c r="C1639" t="inlineStr">
        <is>
          <t>Sem in Historical Theology:</t>
        </is>
      </c>
      <c r="D1639" t="inlineStr">
        <is>
          <t>SemHisTheo:Lead inEarly Church</t>
        </is>
      </c>
      <c r="E1639" t="inlineStr">
        <is>
          <t>THST964</t>
        </is>
      </c>
    </row>
    <row r="1640">
      <c r="A1640" t="inlineStr">
        <is>
          <t>MSSN</t>
        </is>
      </c>
      <c r="B1640" t="n">
        <v>695</v>
      </c>
      <c r="C1640" t="inlineStr">
        <is>
          <t>Topics:</t>
        </is>
      </c>
      <c r="D1640" t="inlineStr">
        <is>
          <t>Top:</t>
        </is>
      </c>
      <c r="E1640" t="inlineStr">
        <is>
          <t>MSSN695</t>
        </is>
      </c>
    </row>
    <row r="1641">
      <c r="A1641" t="inlineStr">
        <is>
          <t>THST</t>
        </is>
      </c>
      <c r="B1641" t="n">
        <v>690</v>
      </c>
      <c r="C1641" t="inlineStr">
        <is>
          <t>Ind St:</t>
        </is>
      </c>
      <c r="D1641" t="inlineStr">
        <is>
          <t>Ind St: Christian Theology 2</t>
        </is>
      </c>
      <c r="E1641" t="inlineStr">
        <is>
          <t>THST690</t>
        </is>
      </c>
    </row>
    <row r="1642">
      <c r="A1642" t="inlineStr">
        <is>
          <t>CHIS</t>
        </is>
      </c>
      <c r="B1642" t="n">
        <v>645</v>
      </c>
      <c r="C1642" t="inlineStr">
        <is>
          <t>Seminar in Adventist Studies</t>
        </is>
      </c>
      <c r="E1642" t="inlineStr">
        <is>
          <t>CHIS645</t>
        </is>
      </c>
    </row>
    <row r="1643">
      <c r="A1643" t="inlineStr">
        <is>
          <t>GSEM</t>
        </is>
      </c>
      <c r="B1643" t="n">
        <v>505</v>
      </c>
      <c r="C1643" t="inlineStr">
        <is>
          <t>Colloquium:</t>
        </is>
      </c>
      <c r="D1643" t="inlineStr">
        <is>
          <t>Colloquium: Church Security</t>
        </is>
      </c>
      <c r="E1643" t="inlineStr">
        <is>
          <t>GSEM505</t>
        </is>
      </c>
    </row>
    <row r="1644">
      <c r="A1644" t="inlineStr">
        <is>
          <t>NTST</t>
        </is>
      </c>
      <c r="B1644" t="n">
        <v>897</v>
      </c>
      <c r="C1644" t="inlineStr">
        <is>
          <t>Ind. Study:</t>
        </is>
      </c>
      <c r="D1644" t="inlineStr">
        <is>
          <t>IndSt:</t>
        </is>
      </c>
      <c r="E1644" t="inlineStr">
        <is>
          <t>NTST897</t>
        </is>
      </c>
    </row>
    <row r="1645">
      <c r="A1645" t="inlineStr">
        <is>
          <t>GSEM</t>
        </is>
      </c>
      <c r="B1645" t="n">
        <v>797</v>
      </c>
      <c r="C1645" t="inlineStr">
        <is>
          <t>Ind St:</t>
        </is>
      </c>
      <c r="D1645" t="inlineStr">
        <is>
          <t>Ind St:Church Grwth&amp;Discip Urb</t>
        </is>
      </c>
      <c r="E1645" t="inlineStr">
        <is>
          <t>GSEM797</t>
        </is>
      </c>
    </row>
    <row r="1646">
      <c r="A1646" t="inlineStr">
        <is>
          <t>THST</t>
        </is>
      </c>
      <c r="B1646" t="n">
        <v>690</v>
      </c>
      <c r="C1646" t="inlineStr">
        <is>
          <t>Ind St:</t>
        </is>
      </c>
      <c r="D1646" t="inlineStr">
        <is>
          <t>Ind Study: Doctrine of God</t>
        </is>
      </c>
      <c r="E1646" t="inlineStr">
        <is>
          <t>THST690</t>
        </is>
      </c>
    </row>
    <row r="1647">
      <c r="A1647" t="inlineStr">
        <is>
          <t>CHIS</t>
        </is>
      </c>
      <c r="B1647" t="n">
        <v>940</v>
      </c>
      <c r="C1647" t="inlineStr">
        <is>
          <t>Seminar in Church History:</t>
        </is>
      </c>
      <c r="D1647" t="inlineStr">
        <is>
          <t>Sem: Hist of Interpret. Gen1&amp;2</t>
        </is>
      </c>
      <c r="E1647" t="inlineStr">
        <is>
          <t>CHIS940</t>
        </is>
      </c>
    </row>
    <row r="1648">
      <c r="A1648" t="inlineStr">
        <is>
          <t>PATH</t>
        </is>
      </c>
      <c r="B1648" t="n">
        <v>690</v>
      </c>
      <c r="C1648" t="inlineStr">
        <is>
          <t>Ind Stdy:</t>
        </is>
      </c>
      <c r="D1648" t="inlineStr">
        <is>
          <t>Ind St: Studies in Church Hist</t>
        </is>
      </c>
      <c r="E1648" t="inlineStr">
        <is>
          <t>PATH690</t>
        </is>
      </c>
    </row>
    <row r="1649">
      <c r="A1649" t="inlineStr">
        <is>
          <t>OTST</t>
        </is>
      </c>
      <c r="B1649" t="n">
        <v>634</v>
      </c>
      <c r="C1649" t="inlineStr">
        <is>
          <t>Intertestamental Literature</t>
        </is>
      </c>
      <c r="D1649" t="inlineStr">
        <is>
          <t>Top:Intertestamntal Literature</t>
        </is>
      </c>
      <c r="E1649" t="inlineStr">
        <is>
          <t>OTST634</t>
        </is>
      </c>
    </row>
    <row r="1650">
      <c r="A1650" t="inlineStr">
        <is>
          <t>OTST</t>
        </is>
      </c>
      <c r="B1650" t="n">
        <v>660</v>
      </c>
      <c r="C1650" t="inlineStr">
        <is>
          <t>Readings in the Septuagint</t>
        </is>
      </c>
      <c r="D1650" t="inlineStr">
        <is>
          <t>Top:Intertestamntal Literature</t>
        </is>
      </c>
      <c r="E1650" t="inlineStr">
        <is>
          <t>OTST660</t>
        </is>
      </c>
    </row>
    <row r="1651">
      <c r="A1651" t="inlineStr">
        <is>
          <t>OTST</t>
        </is>
      </c>
      <c r="B1651" t="n">
        <v>885</v>
      </c>
      <c r="C1651" t="inlineStr">
        <is>
          <t>Topics in:</t>
        </is>
      </c>
      <c r="D1651" t="inlineStr">
        <is>
          <t>Top: Intertestamental Literatu</t>
        </is>
      </c>
      <c r="E1651" t="inlineStr">
        <is>
          <t>OTST885</t>
        </is>
      </c>
    </row>
    <row r="1652">
      <c r="A1652" t="inlineStr">
        <is>
          <t>DSLE</t>
        </is>
      </c>
      <c r="B1652" t="n">
        <v>676</v>
      </c>
      <c r="C1652" t="inlineStr">
        <is>
          <t>Top:</t>
        </is>
      </c>
      <c r="D1652" t="inlineStr">
        <is>
          <t>Top:Chrstn Persp on Prof Ethcs</t>
        </is>
      </c>
      <c r="E1652" t="inlineStr">
        <is>
          <t>DSLE676</t>
        </is>
      </c>
    </row>
    <row r="1653">
      <c r="A1653" t="inlineStr">
        <is>
          <t>CHIS</t>
        </is>
      </c>
      <c r="B1653" t="n">
        <v>690</v>
      </c>
      <c r="C1653" t="inlineStr">
        <is>
          <t>Ind St:</t>
        </is>
      </c>
      <c r="D1653" t="inlineStr">
        <is>
          <t>Ind St: Issues in EGW Studies</t>
        </is>
      </c>
      <c r="E1653" t="inlineStr">
        <is>
          <t>CHIS690</t>
        </is>
      </c>
    </row>
    <row r="1654">
      <c r="A1654" t="inlineStr">
        <is>
          <t>CHIS</t>
        </is>
      </c>
      <c r="B1654" t="n">
        <v>690</v>
      </c>
      <c r="C1654" t="inlineStr">
        <is>
          <t>Ind St:</t>
        </is>
      </c>
      <c r="D1654" t="inlineStr">
        <is>
          <t>Ind St: Religion in America</t>
        </is>
      </c>
      <c r="E1654" t="inlineStr">
        <is>
          <t>CHIS690</t>
        </is>
      </c>
    </row>
    <row r="1655">
      <c r="A1655" t="inlineStr">
        <is>
          <t>CHIS</t>
        </is>
      </c>
      <c r="B1655" t="n">
        <v>890</v>
      </c>
      <c r="C1655" t="inlineStr">
        <is>
          <t>Directed Rdg in Church History</t>
        </is>
      </c>
      <c r="D1655" t="inlineStr">
        <is>
          <t>DirRdCHIS: Readings in Early C</t>
        </is>
      </c>
      <c r="E1655" t="inlineStr">
        <is>
          <t>CHIS890</t>
        </is>
      </c>
    </row>
    <row r="1656">
      <c r="A1656" t="inlineStr">
        <is>
          <t>CHIS</t>
        </is>
      </c>
      <c r="B1656" t="n">
        <v>885</v>
      </c>
      <c r="C1656" t="inlineStr">
        <is>
          <t>Topics in</t>
        </is>
      </c>
      <c r="D1656" t="inlineStr">
        <is>
          <t>Top: Theological Ethics</t>
        </is>
      </c>
      <c r="E1656" t="inlineStr">
        <is>
          <t>CHIS885</t>
        </is>
      </c>
    </row>
    <row r="1657">
      <c r="A1657" t="inlineStr">
        <is>
          <t>CHIS</t>
        </is>
      </c>
      <c r="B1657" t="n">
        <v>891</v>
      </c>
      <c r="C1657" t="inlineStr">
        <is>
          <t>Ind St:</t>
        </is>
      </c>
      <c r="D1657" t="inlineStr">
        <is>
          <t>IndSt:Soteriology Arminius&amp;Wes</t>
        </is>
      </c>
      <c r="E1657" t="inlineStr">
        <is>
          <t>CHIS891</t>
        </is>
      </c>
    </row>
    <row r="1658">
      <c r="A1658" t="inlineStr">
        <is>
          <t>CHIS</t>
        </is>
      </c>
      <c r="B1658" t="n">
        <v>895</v>
      </c>
      <c r="C1658" t="inlineStr">
        <is>
          <t>Directed Rdg Adventist Studies</t>
        </is>
      </c>
      <c r="D1658" t="inlineStr">
        <is>
          <t>DirRd: Dev SDA Theo&amp; Lifestyle</t>
        </is>
      </c>
      <c r="E1658" t="inlineStr">
        <is>
          <t>CHIS895</t>
        </is>
      </c>
    </row>
    <row r="1659">
      <c r="A1659" t="inlineStr">
        <is>
          <t>CHIS</t>
        </is>
      </c>
      <c r="B1659" t="n">
        <v>891</v>
      </c>
      <c r="C1659" t="inlineStr">
        <is>
          <t>Ind St:</t>
        </is>
      </c>
      <c r="D1659" t="inlineStr">
        <is>
          <t>IndSt: Dissertation Proposal</t>
        </is>
      </c>
      <c r="E1659" t="inlineStr">
        <is>
          <t>CHIS891</t>
        </is>
      </c>
    </row>
    <row r="1660">
      <c r="A1660" t="inlineStr">
        <is>
          <t>THST</t>
        </is>
      </c>
      <c r="B1660" t="n">
        <v>897</v>
      </c>
      <c r="C1660" t="inlineStr">
        <is>
          <t>Ind St:</t>
        </is>
      </c>
      <c r="D1660" t="inlineStr">
        <is>
          <t>Ind St Dissertation Proposal</t>
        </is>
      </c>
      <c r="E1660" t="inlineStr">
        <is>
          <t>THST897</t>
        </is>
      </c>
    </row>
    <row r="1661">
      <c r="A1661" t="inlineStr">
        <is>
          <t>OTST</t>
        </is>
      </c>
      <c r="B1661" t="n">
        <v>885</v>
      </c>
      <c r="C1661" t="inlineStr">
        <is>
          <t>Topics in:</t>
        </is>
      </c>
      <c r="D1661" t="inlineStr">
        <is>
          <t>Top:Theophany in the Psalms</t>
        </is>
      </c>
      <c r="E1661" t="inlineStr">
        <is>
          <t>OTST885</t>
        </is>
      </c>
    </row>
    <row r="1662">
      <c r="A1662" t="inlineStr">
        <is>
          <t>CHIS</t>
        </is>
      </c>
      <c r="B1662" t="n">
        <v>890</v>
      </c>
      <c r="C1662" t="inlineStr">
        <is>
          <t>Directed Rdg in Church History</t>
        </is>
      </c>
      <c r="D1662" t="inlineStr">
        <is>
          <t>DirRd: Protest&amp;Arminian Theo</t>
        </is>
      </c>
      <c r="E1662" t="inlineStr">
        <is>
          <t>CHIS890</t>
        </is>
      </c>
    </row>
    <row r="1663">
      <c r="A1663" t="inlineStr">
        <is>
          <t>THST</t>
        </is>
      </c>
      <c r="B1663" t="n">
        <v>897</v>
      </c>
      <c r="C1663" t="inlineStr">
        <is>
          <t>Ind St:</t>
        </is>
      </c>
      <c r="D1663" t="inlineStr">
        <is>
          <t>Ind St: Theodicy</t>
        </is>
      </c>
      <c r="E1663" t="inlineStr">
        <is>
          <t>THST897</t>
        </is>
      </c>
    </row>
    <row r="1664">
      <c r="A1664" t="inlineStr">
        <is>
          <t>ANEA</t>
        </is>
      </c>
      <c r="B1664" t="n">
        <v>890</v>
      </c>
      <c r="C1664" t="inlineStr">
        <is>
          <t>Directed Rdg in Hist&amp;Arch St</t>
        </is>
      </c>
      <c r="D1664" t="inlineStr">
        <is>
          <t>DirRd:Hist&amp; Archeology Studies</t>
        </is>
      </c>
      <c r="E1664" t="inlineStr">
        <is>
          <t>ANEA890</t>
        </is>
      </c>
    </row>
    <row r="1665">
      <c r="A1665" t="inlineStr">
        <is>
          <t>OTST</t>
        </is>
      </c>
      <c r="B1665" t="n">
        <v>890</v>
      </c>
      <c r="C1665" t="inlineStr">
        <is>
          <t>Directed Rdg in Old Testmt</t>
        </is>
      </c>
      <c r="D1665" t="inlineStr">
        <is>
          <t>DirRd in OT Theophany in Psalm</t>
        </is>
      </c>
      <c r="E1665" t="inlineStr">
        <is>
          <t>OTST890</t>
        </is>
      </c>
    </row>
    <row r="1666">
      <c r="A1666" t="inlineStr">
        <is>
          <t>THST</t>
        </is>
      </c>
      <c r="B1666" t="n">
        <v>897</v>
      </c>
      <c r="C1666" t="inlineStr">
        <is>
          <t>Ind St:</t>
        </is>
      </c>
      <c r="D1666" t="inlineStr">
        <is>
          <t>Ind St Laodicean Msg &amp; 1888</t>
        </is>
      </c>
      <c r="E1666" t="inlineStr">
        <is>
          <t>THST897</t>
        </is>
      </c>
    </row>
    <row r="1667">
      <c r="A1667" t="inlineStr">
        <is>
          <t>CHIS</t>
        </is>
      </c>
      <c r="B1667" t="n">
        <v>891</v>
      </c>
      <c r="C1667" t="inlineStr">
        <is>
          <t>Ind St:</t>
        </is>
      </c>
      <c r="D1667" t="inlineStr">
        <is>
          <t>Ind St: Religion in America</t>
        </is>
      </c>
      <c r="E1667" t="inlineStr">
        <is>
          <t>CHIS891</t>
        </is>
      </c>
    </row>
    <row r="1668">
      <c r="A1668" t="inlineStr">
        <is>
          <t>OTST</t>
        </is>
      </c>
      <c r="B1668" t="n">
        <v>690</v>
      </c>
      <c r="C1668" t="inlineStr">
        <is>
          <t>Ind St:</t>
        </is>
      </c>
      <c r="D1668" t="inlineStr">
        <is>
          <t>Ind St: Biblical Hebrew III</t>
        </is>
      </c>
      <c r="E1668" t="inlineStr">
        <is>
          <t>OTST690</t>
        </is>
      </c>
    </row>
    <row r="1669">
      <c r="A1669" t="inlineStr">
        <is>
          <t>CHIS</t>
        </is>
      </c>
      <c r="B1669" t="n">
        <v>890</v>
      </c>
      <c r="C1669" t="inlineStr">
        <is>
          <t>Directed Rdg in Church History</t>
        </is>
      </c>
      <c r="D1669" t="inlineStr">
        <is>
          <t>DirRdCHIS: Oberman on Med &amp; Re</t>
        </is>
      </c>
      <c r="E1669" t="inlineStr">
        <is>
          <t>CHIS890</t>
        </is>
      </c>
    </row>
    <row r="1670">
      <c r="A1670" t="inlineStr">
        <is>
          <t>CHIS</t>
        </is>
      </c>
      <c r="B1670" t="n">
        <v>892</v>
      </c>
      <c r="C1670" t="inlineStr">
        <is>
          <t>IndSty in Adv St:</t>
        </is>
      </c>
      <c r="D1670" t="inlineStr">
        <is>
          <t>Ind St Laodicean Msg &amp; 1888</t>
        </is>
      </c>
      <c r="E1670" t="inlineStr">
        <is>
          <t>CHIS892</t>
        </is>
      </c>
    </row>
    <row r="1671">
      <c r="A1671" t="inlineStr">
        <is>
          <t>MSSN</t>
        </is>
      </c>
      <c r="B1671" t="n">
        <v>690</v>
      </c>
      <c r="C1671" t="inlineStr">
        <is>
          <t>Ind St:</t>
        </is>
      </c>
      <c r="D1671" t="inlineStr">
        <is>
          <t>IndSt: Chr. Witness &amp; World Re</t>
        </is>
      </c>
      <c r="E1671" t="inlineStr">
        <is>
          <t>MSSN690</t>
        </is>
      </c>
    </row>
    <row r="1672">
      <c r="A1672" t="inlineStr">
        <is>
          <t>CHIS</t>
        </is>
      </c>
      <c r="B1672" t="n">
        <v>892</v>
      </c>
      <c r="C1672" t="inlineStr">
        <is>
          <t>IndSty in Adv St:</t>
        </is>
      </c>
      <c r="D1672" t="inlineStr">
        <is>
          <t>St in Adv St: Soteriologies</t>
        </is>
      </c>
      <c r="E1672" t="inlineStr">
        <is>
          <t>CHIS892</t>
        </is>
      </c>
    </row>
    <row r="1673">
      <c r="A1673" t="inlineStr">
        <is>
          <t>NTST</t>
        </is>
      </c>
      <c r="B1673" t="n">
        <v>890</v>
      </c>
      <c r="C1673" t="inlineStr">
        <is>
          <t>Directed Rdg in New Testament</t>
        </is>
      </c>
      <c r="D1673" t="inlineStr">
        <is>
          <t>DirRdg NT:Theo Pauline Epistls</t>
        </is>
      </c>
      <c r="E1673" t="inlineStr">
        <is>
          <t>NTST890</t>
        </is>
      </c>
    </row>
    <row r="1674">
      <c r="A1674" t="inlineStr">
        <is>
          <t>THST</t>
        </is>
      </c>
      <c r="B1674" t="n">
        <v>897</v>
      </c>
      <c r="C1674" t="inlineStr">
        <is>
          <t>Ind St:</t>
        </is>
      </c>
      <c r="D1674" t="inlineStr">
        <is>
          <t>Ind St Systematic Theo</t>
        </is>
      </c>
      <c r="E1674" t="inlineStr">
        <is>
          <t>THST897</t>
        </is>
      </c>
    </row>
    <row r="1675">
      <c r="A1675" t="inlineStr">
        <is>
          <t>OTST</t>
        </is>
      </c>
      <c r="B1675" t="n">
        <v>890</v>
      </c>
      <c r="C1675" t="inlineStr">
        <is>
          <t>Directed Rdg in Old Testmt</t>
        </is>
      </c>
      <c r="D1675" t="inlineStr">
        <is>
          <t>DirRdg in OT History &amp; Archae</t>
        </is>
      </c>
      <c r="E1675" t="inlineStr">
        <is>
          <t>OTST890</t>
        </is>
      </c>
    </row>
    <row r="1676">
      <c r="A1676" t="inlineStr">
        <is>
          <t>CHIS</t>
        </is>
      </c>
      <c r="B1676" t="n">
        <v>891</v>
      </c>
      <c r="C1676" t="inlineStr">
        <is>
          <t>Ind St:</t>
        </is>
      </c>
      <c r="D1676" t="inlineStr">
        <is>
          <t>Ind St: Reception of Monogenes</t>
        </is>
      </c>
      <c r="E1676" t="inlineStr">
        <is>
          <t>CHIS891</t>
        </is>
      </c>
    </row>
    <row r="1677">
      <c r="A1677" t="inlineStr">
        <is>
          <t>OTST</t>
        </is>
      </c>
      <c r="B1677" t="n">
        <v>890</v>
      </c>
      <c r="C1677" t="inlineStr">
        <is>
          <t>Directed Rdg in Old Testmt</t>
        </is>
      </c>
      <c r="D1677" t="inlineStr">
        <is>
          <t>Dir Rdg in OT:</t>
        </is>
      </c>
      <c r="E1677" t="inlineStr">
        <is>
          <t>OTST890</t>
        </is>
      </c>
    </row>
    <row r="1678">
      <c r="A1678" t="inlineStr">
        <is>
          <t>OTST</t>
        </is>
      </c>
      <c r="B1678" t="n">
        <v>890</v>
      </c>
      <c r="C1678" t="inlineStr">
        <is>
          <t>Directed Rdg in Old Testmt</t>
        </is>
      </c>
      <c r="D1678" t="inlineStr">
        <is>
          <t>Dir Rdg in OT:Arch&amp; Theo of OT</t>
        </is>
      </c>
      <c r="E1678" t="inlineStr">
        <is>
          <t>OTST890</t>
        </is>
      </c>
    </row>
    <row r="1679">
      <c r="A1679" t="inlineStr">
        <is>
          <t>THST</t>
        </is>
      </c>
      <c r="B1679" t="n">
        <v>897</v>
      </c>
      <c r="C1679" t="inlineStr">
        <is>
          <t>Ind St:</t>
        </is>
      </c>
      <c r="D1679" t="inlineStr">
        <is>
          <t>Ind St: Postmodernism</t>
        </is>
      </c>
      <c r="E1679" t="inlineStr">
        <is>
          <t>THST897</t>
        </is>
      </c>
    </row>
    <row r="1680">
      <c r="A1680" t="inlineStr">
        <is>
          <t>MSSN</t>
        </is>
      </c>
      <c r="B1680" t="n">
        <v>890</v>
      </c>
      <c r="C1680" t="inlineStr">
        <is>
          <t>Directed Rdgs Mission Studies</t>
        </is>
      </c>
      <c r="D1680" t="inlineStr">
        <is>
          <t>DirRdg:Theo Mssnl Hermeneutics</t>
        </is>
      </c>
      <c r="E1680" t="inlineStr">
        <is>
          <t>MSSN890</t>
        </is>
      </c>
    </row>
    <row r="1681">
      <c r="A1681" t="inlineStr">
        <is>
          <t>OTST</t>
        </is>
      </c>
      <c r="B1681" t="n">
        <v>604</v>
      </c>
      <c r="C1681" t="inlineStr">
        <is>
          <t>Hist of the Ancient Near East</t>
        </is>
      </c>
      <c r="E1681" t="inlineStr">
        <is>
          <t>OTST604</t>
        </is>
      </c>
    </row>
    <row r="1682">
      <c r="A1682" t="inlineStr">
        <is>
          <t>THST</t>
        </is>
      </c>
      <c r="B1682" t="n">
        <v>690</v>
      </c>
      <c r="C1682" t="inlineStr">
        <is>
          <t>Ind St:</t>
        </is>
      </c>
      <c r="D1682" t="inlineStr">
        <is>
          <t>IndSt:Revltn Insprtn Hermnutic</t>
        </is>
      </c>
      <c r="E1682" t="inlineStr">
        <is>
          <t>THST690</t>
        </is>
      </c>
    </row>
    <row r="1683">
      <c r="A1683" t="inlineStr">
        <is>
          <t>DSLE</t>
        </is>
      </c>
      <c r="B1683" t="n">
        <v>880</v>
      </c>
      <c r="C1683" t="inlineStr">
        <is>
          <t>PhD (DSLE) Prog Cont</t>
        </is>
      </c>
      <c r="E1683" t="inlineStr">
        <is>
          <t>DSLE880</t>
        </is>
      </c>
    </row>
    <row r="1684">
      <c r="A1684" t="inlineStr">
        <is>
          <t>MSSN</t>
        </is>
      </c>
      <c r="B1684" t="n">
        <v>644</v>
      </c>
      <c r="C1684" t="inlineStr">
        <is>
          <t>Ministry of Reconciliation</t>
        </is>
      </c>
      <c r="E1684" t="inlineStr">
        <is>
          <t>MSSN644</t>
        </is>
      </c>
    </row>
    <row r="1685">
      <c r="A1685" t="inlineStr">
        <is>
          <t>CHIS</t>
        </is>
      </c>
      <c r="B1685" t="n">
        <v>690</v>
      </c>
      <c r="C1685" t="inlineStr">
        <is>
          <t>Ind St:</t>
        </is>
      </c>
      <c r="D1685" t="inlineStr">
        <is>
          <t>Ind St: Dev. of SDA Theo</t>
        </is>
      </c>
      <c r="E1685" t="inlineStr">
        <is>
          <t>CHIS690</t>
        </is>
      </c>
    </row>
    <row r="1686">
      <c r="A1686" t="inlineStr">
        <is>
          <t>PATH</t>
        </is>
      </c>
      <c r="B1686" t="n">
        <v>690</v>
      </c>
      <c r="C1686" t="inlineStr">
        <is>
          <t>Ind Stdy:</t>
        </is>
      </c>
      <c r="D1686" t="inlineStr">
        <is>
          <t>Ind Stdy:Personal Evang Mnstry</t>
        </is>
      </c>
      <c r="E1686" t="inlineStr">
        <is>
          <t>PATH690</t>
        </is>
      </c>
    </row>
    <row r="1687">
      <c r="A1687" t="inlineStr">
        <is>
          <t>GSEM</t>
        </is>
      </c>
      <c r="B1687" t="n">
        <v>505</v>
      </c>
      <c r="C1687" t="inlineStr">
        <is>
          <t>Colloquium:</t>
        </is>
      </c>
      <c r="D1687" t="inlineStr">
        <is>
          <t>Coll:  NAD Summit on Abuse</t>
        </is>
      </c>
      <c r="E1687" t="inlineStr">
        <is>
          <t>GSEM505</t>
        </is>
      </c>
    </row>
    <row r="1688">
      <c r="A1688" t="inlineStr">
        <is>
          <t>GSEM</t>
        </is>
      </c>
      <c r="B1688" t="n">
        <v>505</v>
      </c>
      <c r="C1688" t="inlineStr">
        <is>
          <t>Colloquium:</t>
        </is>
      </c>
      <c r="D1688" t="inlineStr">
        <is>
          <t>Coll: Church Security</t>
        </is>
      </c>
      <c r="E1688" t="inlineStr">
        <is>
          <t>GSEM505</t>
        </is>
      </c>
    </row>
    <row r="1689">
      <c r="A1689" t="inlineStr">
        <is>
          <t>THST</t>
        </is>
      </c>
      <c r="B1689" t="n">
        <v>940</v>
      </c>
      <c r="C1689" t="inlineStr">
        <is>
          <t>Sem in Systematic Theology:</t>
        </is>
      </c>
      <c r="D1689" t="inlineStr">
        <is>
          <t>Sem:Creator Creation Interactn</t>
        </is>
      </c>
      <c r="E1689" t="inlineStr">
        <is>
          <t>THST940</t>
        </is>
      </c>
    </row>
    <row r="1690">
      <c r="A1690" t="inlineStr">
        <is>
          <t>GSEM</t>
        </is>
      </c>
      <c r="B1690" t="n">
        <v>505</v>
      </c>
      <c r="C1690" t="inlineStr">
        <is>
          <t>Colloquium:</t>
        </is>
      </c>
      <c r="D1690" t="inlineStr">
        <is>
          <t>Colloquium: PELC Conference</t>
        </is>
      </c>
      <c r="E1690" t="inlineStr">
        <is>
          <t>GSEM505</t>
        </is>
      </c>
    </row>
    <row r="1691">
      <c r="A1691" t="inlineStr">
        <is>
          <t>CHIS</t>
        </is>
      </c>
      <c r="B1691" t="n">
        <v>892</v>
      </c>
      <c r="C1691" t="inlineStr">
        <is>
          <t>IndSty in Adv St:</t>
        </is>
      </c>
      <c r="D1691" t="inlineStr">
        <is>
          <t>IndSt:EGW Sabb Theology</t>
        </is>
      </c>
      <c r="E1691" t="inlineStr">
        <is>
          <t>CHIS892</t>
        </is>
      </c>
    </row>
    <row r="1692">
      <c r="A1692" t="inlineStr">
        <is>
          <t>CHIS</t>
        </is>
      </c>
      <c r="B1692" t="n">
        <v>892</v>
      </c>
      <c r="C1692" t="inlineStr">
        <is>
          <t>IndSty in Adv St:</t>
        </is>
      </c>
      <c r="D1692" t="inlineStr">
        <is>
          <t>IndSty:Diss Proposal</t>
        </is>
      </c>
      <c r="E1692" t="inlineStr">
        <is>
          <t>CHIS892</t>
        </is>
      </c>
    </row>
    <row r="1693">
      <c r="A1693" t="inlineStr">
        <is>
          <t>PATH</t>
        </is>
      </c>
      <c r="B1693" t="n">
        <v>690</v>
      </c>
      <c r="C1693" t="inlineStr">
        <is>
          <t>Ind Stdy:</t>
        </is>
      </c>
      <c r="D1693" t="inlineStr">
        <is>
          <t>Ind Stdy:Princ of Hermeneutcs</t>
        </is>
      </c>
      <c r="E1693" t="inlineStr">
        <is>
          <t>PATH690</t>
        </is>
      </c>
    </row>
    <row r="1694">
      <c r="A1694" t="inlineStr">
        <is>
          <t>PATH</t>
        </is>
      </c>
      <c r="B1694" t="n">
        <v>690</v>
      </c>
      <c r="C1694" t="inlineStr">
        <is>
          <t>Ind Stdy:</t>
        </is>
      </c>
      <c r="D1694" t="inlineStr">
        <is>
          <t>Ind Stdy:Survy of the Pentatch</t>
        </is>
      </c>
      <c r="E1694" t="inlineStr">
        <is>
          <t>PATH690</t>
        </is>
      </c>
    </row>
    <row r="1695">
      <c r="A1695" t="inlineStr">
        <is>
          <t>PATH</t>
        </is>
      </c>
      <c r="B1695" t="n">
        <v>690</v>
      </c>
      <c r="C1695" t="inlineStr">
        <is>
          <t>Ind Stdy:</t>
        </is>
      </c>
      <c r="D1695" t="inlineStr">
        <is>
          <t>Ind Stdy:Meth of OT Exegesisd</t>
        </is>
      </c>
      <c r="E1695" t="inlineStr">
        <is>
          <t>PATH690</t>
        </is>
      </c>
    </row>
    <row r="1696">
      <c r="A1696" t="inlineStr">
        <is>
          <t>THST</t>
        </is>
      </c>
      <c r="B1696" t="n">
        <v>690</v>
      </c>
      <c r="C1696" t="inlineStr">
        <is>
          <t>Ind St:</t>
        </is>
      </c>
      <c r="D1696" t="inlineStr">
        <is>
          <t>Ind St:Rev Insp Herm</t>
        </is>
      </c>
      <c r="E1696" t="inlineStr">
        <is>
          <t>THST690</t>
        </is>
      </c>
    </row>
    <row r="1697">
      <c r="A1697" t="inlineStr">
        <is>
          <t>OTST</t>
        </is>
      </c>
      <c r="B1697" t="n">
        <v>690</v>
      </c>
      <c r="C1697" t="inlineStr">
        <is>
          <t>Ind St:</t>
        </is>
      </c>
      <c r="D1697" t="inlineStr">
        <is>
          <t>Ind St:Srvy of the Pentateuch</t>
        </is>
      </c>
      <c r="E1697" t="inlineStr">
        <is>
          <t>OTST690</t>
        </is>
      </c>
    </row>
    <row r="1698">
      <c r="A1698" t="inlineStr">
        <is>
          <t>OTST</t>
        </is>
      </c>
      <c r="B1698" t="n">
        <v>690</v>
      </c>
      <c r="C1698" t="inlineStr">
        <is>
          <t>Ind St:</t>
        </is>
      </c>
      <c r="D1698" t="inlineStr">
        <is>
          <t>Ind St:Prin of Hermeneutics</t>
        </is>
      </c>
      <c r="E1698" t="inlineStr">
        <is>
          <t>OTST690</t>
        </is>
      </c>
    </row>
    <row r="1699">
      <c r="A1699" t="inlineStr">
        <is>
          <t>OTST</t>
        </is>
      </c>
      <c r="B1699" t="n">
        <v>690</v>
      </c>
      <c r="C1699" t="inlineStr">
        <is>
          <t>Ind St:</t>
        </is>
      </c>
      <c r="D1699" t="inlineStr">
        <is>
          <t>Ind St:Meth of OT Exegesis</t>
        </is>
      </c>
      <c r="E1699" t="inlineStr">
        <is>
          <t>OTST690</t>
        </is>
      </c>
    </row>
    <row r="1700">
      <c r="A1700" t="inlineStr">
        <is>
          <t>CHIS</t>
        </is>
      </c>
      <c r="B1700" t="n">
        <v>891</v>
      </c>
      <c r="C1700" t="inlineStr">
        <is>
          <t>Ind St:</t>
        </is>
      </c>
      <c r="D1700" t="inlineStr">
        <is>
          <t>Ind St</t>
        </is>
      </c>
      <c r="E1700" t="inlineStr">
        <is>
          <t>CHIS891</t>
        </is>
      </c>
    </row>
    <row r="1701">
      <c r="A1701" t="inlineStr">
        <is>
          <t>DSLE</t>
        </is>
      </c>
      <c r="B1701" t="n">
        <v>681</v>
      </c>
      <c r="C1701" t="inlineStr">
        <is>
          <t>Field Practicum: Academic</t>
        </is>
      </c>
      <c r="D1701" t="inlineStr">
        <is>
          <t>Field Practicum:Fam Life Ed</t>
        </is>
      </c>
      <c r="E1701" t="inlineStr">
        <is>
          <t>DSLE681</t>
        </is>
      </c>
    </row>
    <row r="1702">
      <c r="A1702" t="inlineStr">
        <is>
          <t>CHIS</t>
        </is>
      </c>
      <c r="B1702" t="n">
        <v>891</v>
      </c>
      <c r="C1702" t="inlineStr">
        <is>
          <t>Ind St:</t>
        </is>
      </c>
      <c r="D1702" t="inlineStr">
        <is>
          <t>IndSt:Monogenes Acnt Greek Lit</t>
        </is>
      </c>
      <c r="E1702" t="inlineStr">
        <is>
          <t>CHIS891</t>
        </is>
      </c>
    </row>
    <row r="1703">
      <c r="A1703" t="inlineStr">
        <is>
          <t>NTST</t>
        </is>
      </c>
      <c r="B1703" t="n">
        <v>690</v>
      </c>
      <c r="C1703" t="inlineStr">
        <is>
          <t>Ind St:</t>
        </is>
      </c>
      <c r="D1703" t="inlineStr">
        <is>
          <t>Ind St:NT Theology &amp; Ethics</t>
        </is>
      </c>
      <c r="E1703" t="inlineStr">
        <is>
          <t>NTST690</t>
        </is>
      </c>
    </row>
    <row r="1704">
      <c r="A1704" t="inlineStr">
        <is>
          <t>OTST</t>
        </is>
      </c>
      <c r="B1704" t="n">
        <v>890</v>
      </c>
      <c r="C1704" t="inlineStr">
        <is>
          <t>Directed Rdg in Old Testmt</t>
        </is>
      </c>
      <c r="D1704" t="inlineStr">
        <is>
          <t>Dir Rdg in the OT-Thdcy in OT</t>
        </is>
      </c>
      <c r="E1704" t="inlineStr">
        <is>
          <t>OTST890</t>
        </is>
      </c>
    </row>
    <row r="1705">
      <c r="A1705" t="inlineStr">
        <is>
          <t>THST</t>
        </is>
      </c>
      <c r="B1705" t="n">
        <v>690</v>
      </c>
      <c r="C1705" t="inlineStr">
        <is>
          <t>Ind St:</t>
        </is>
      </c>
      <c r="D1705" t="inlineStr">
        <is>
          <t>Ind St:Grt Contrv, Cov La, Sab</t>
        </is>
      </c>
      <c r="E1705" t="inlineStr">
        <is>
          <t>THST690</t>
        </is>
      </c>
    </row>
    <row r="1706">
      <c r="A1706" t="inlineStr">
        <is>
          <t>OTST</t>
        </is>
      </c>
      <c r="B1706" t="n">
        <v>895</v>
      </c>
      <c r="C1706" t="inlineStr">
        <is>
          <t>Independent Study:</t>
        </is>
      </c>
      <c r="D1706" t="inlineStr">
        <is>
          <t>Ind Stdy:OT Exegesis</t>
        </is>
      </c>
      <c r="E1706" t="inlineStr">
        <is>
          <t>OTST895</t>
        </is>
      </c>
    </row>
    <row r="1707">
      <c r="A1707" t="inlineStr">
        <is>
          <t>THST</t>
        </is>
      </c>
      <c r="B1707" t="n">
        <v>896</v>
      </c>
      <c r="C1707" t="inlineStr">
        <is>
          <t>Directed Rdg Christian Ethics</t>
        </is>
      </c>
      <c r="D1707" t="inlineStr">
        <is>
          <t>DrRdgChEth: Epist&amp;Ethics</t>
        </is>
      </c>
      <c r="E1707" t="inlineStr">
        <is>
          <t>THST896</t>
        </is>
      </c>
    </row>
    <row r="1708">
      <c r="A1708" t="inlineStr">
        <is>
          <t>ANEA</t>
        </is>
      </c>
      <c r="B1708" t="n">
        <v>890</v>
      </c>
      <c r="C1708" t="inlineStr">
        <is>
          <t>Directed Rdg in Hist&amp;Arch St</t>
        </is>
      </c>
      <c r="D1708" t="inlineStr">
        <is>
          <t>Dir Rdgs n the OT Histry &amp; Arc</t>
        </is>
      </c>
      <c r="E1708" t="inlineStr">
        <is>
          <t>ANEA890</t>
        </is>
      </c>
    </row>
    <row r="1709">
      <c r="A1709" t="inlineStr">
        <is>
          <t>ANEA</t>
        </is>
      </c>
      <c r="B1709" t="n">
        <v>890</v>
      </c>
      <c r="C1709" t="inlineStr">
        <is>
          <t>Directed Rdg in Hist&amp;Arch St</t>
        </is>
      </c>
      <c r="D1709" t="inlineStr">
        <is>
          <t>Dir Rdgs in the OT- History &amp;</t>
        </is>
      </c>
      <c r="E1709" t="inlineStr">
        <is>
          <t>ANEA890</t>
        </is>
      </c>
    </row>
    <row r="1710">
      <c r="A1710" t="inlineStr">
        <is>
          <t>CHIS</t>
        </is>
      </c>
      <c r="B1710" t="n">
        <v>892</v>
      </c>
      <c r="C1710" t="inlineStr">
        <is>
          <t>IndSty in Adv St:</t>
        </is>
      </c>
      <c r="D1710" t="inlineStr">
        <is>
          <t>Ind St: Begotteness in Adv</t>
        </is>
      </c>
      <c r="E1710" t="inlineStr">
        <is>
          <t>CHIS892</t>
        </is>
      </c>
    </row>
    <row r="1711">
      <c r="A1711" t="inlineStr">
        <is>
          <t>THST</t>
        </is>
      </c>
      <c r="B1711" t="n">
        <v>896</v>
      </c>
      <c r="C1711" t="inlineStr">
        <is>
          <t>Directed Rdg Christian Ethics</t>
        </is>
      </c>
      <c r="D1711" t="inlineStr">
        <is>
          <t>DrRdgChEth:Theo, Phil, Ethics</t>
        </is>
      </c>
      <c r="E1711" t="inlineStr">
        <is>
          <t>THST896</t>
        </is>
      </c>
    </row>
    <row r="1712">
      <c r="A1712" t="inlineStr">
        <is>
          <t>PATH</t>
        </is>
      </c>
      <c r="B1712" t="n">
        <v>690</v>
      </c>
      <c r="C1712" t="inlineStr">
        <is>
          <t>Ind Stdy:</t>
        </is>
      </c>
      <c r="D1712" t="inlineStr">
        <is>
          <t>Ind St: Prch Biblical Prophecy</t>
        </is>
      </c>
      <c r="E1712" t="inlineStr">
        <is>
          <t>PATH690</t>
        </is>
      </c>
    </row>
    <row r="1713">
      <c r="A1713" t="inlineStr">
        <is>
          <t>OTST</t>
        </is>
      </c>
      <c r="B1713" t="n">
        <v>890</v>
      </c>
      <c r="C1713" t="inlineStr">
        <is>
          <t>Directed Rdg in Old Testmt</t>
        </is>
      </c>
      <c r="D1713" t="inlineStr">
        <is>
          <t>Dir Rdgs:Txtl Trdtns f Gn 3</t>
        </is>
      </c>
      <c r="E1713" t="inlineStr">
        <is>
          <t>OTST890</t>
        </is>
      </c>
    </row>
    <row r="1714">
      <c r="A1714" t="inlineStr">
        <is>
          <t>PATH</t>
        </is>
      </c>
      <c r="B1714" t="n">
        <v>690</v>
      </c>
      <c r="C1714" t="inlineStr">
        <is>
          <t>Ind Stdy:</t>
        </is>
      </c>
      <c r="D1714" t="inlineStr">
        <is>
          <t>Ind Stdy: Death &amp; Grief</t>
        </is>
      </c>
      <c r="E1714" t="inlineStr">
        <is>
          <t>PATH690</t>
        </is>
      </c>
    </row>
    <row r="1715">
      <c r="A1715" t="inlineStr">
        <is>
          <t>MSSN</t>
        </is>
      </c>
      <c r="B1715" t="n">
        <v>690</v>
      </c>
      <c r="C1715" t="inlineStr">
        <is>
          <t>Ind St:</t>
        </is>
      </c>
      <c r="D1715" t="inlineStr">
        <is>
          <t>Ind St:Cross Cult Lead Dev</t>
        </is>
      </c>
      <c r="E1715" t="inlineStr">
        <is>
          <t>MSSN690</t>
        </is>
      </c>
    </row>
    <row r="1716">
      <c r="A1716" t="inlineStr">
        <is>
          <t>NTST</t>
        </is>
      </c>
      <c r="B1716" t="n">
        <v>690</v>
      </c>
      <c r="C1716" t="inlineStr">
        <is>
          <t>Ind St:</t>
        </is>
      </c>
      <c r="D1716" t="inlineStr">
        <is>
          <t>Ind St:Advncd Stds n the Gspls</t>
        </is>
      </c>
      <c r="E1716" t="inlineStr">
        <is>
          <t>NTST690</t>
        </is>
      </c>
    </row>
    <row r="1717">
      <c r="A1717" t="inlineStr">
        <is>
          <t>MSSN</t>
        </is>
      </c>
      <c r="B1717" t="n">
        <v>695</v>
      </c>
      <c r="C1717" t="inlineStr">
        <is>
          <t>Topics:</t>
        </is>
      </c>
      <c r="D1717" t="inlineStr">
        <is>
          <t>Intcultral Min &amp; Mission</t>
        </is>
      </c>
      <c r="E1717" t="inlineStr">
        <is>
          <t>MSSN695</t>
        </is>
      </c>
    </row>
    <row r="1718">
      <c r="A1718" t="inlineStr">
        <is>
          <t>OTST</t>
        </is>
      </c>
      <c r="B1718" t="n">
        <v>890</v>
      </c>
      <c r="C1718" t="inlineStr">
        <is>
          <t>Directed Rdg in Old Testmt</t>
        </is>
      </c>
      <c r="D1718" t="inlineStr">
        <is>
          <t>Dir Rdgs in OT Archlgy &amp; Thlgy</t>
        </is>
      </c>
      <c r="E1718" t="inlineStr">
        <is>
          <t>OTST890</t>
        </is>
      </c>
    </row>
    <row r="1719">
      <c r="A1719" t="inlineStr">
        <is>
          <t>THST</t>
        </is>
      </c>
      <c r="B1719" t="n">
        <v>649</v>
      </c>
      <c r="C1719" t="inlineStr">
        <is>
          <t>Sem in Theological Issues:</t>
        </is>
      </c>
      <c r="D1719" t="inlineStr">
        <is>
          <t>Sem:Creator Creation Interactn</t>
        </is>
      </c>
      <c r="E1719" t="inlineStr">
        <is>
          <t>THST649</t>
        </is>
      </c>
    </row>
    <row r="1720">
      <c r="A1720" t="inlineStr">
        <is>
          <t>GSEM</t>
        </is>
      </c>
      <c r="B1720" t="n">
        <v>505</v>
      </c>
      <c r="C1720" t="inlineStr">
        <is>
          <t>Colloquium:</t>
        </is>
      </c>
      <c r="D1720" t="inlineStr">
        <is>
          <t>Coll:Securing Your Calling</t>
        </is>
      </c>
      <c r="E1720" t="inlineStr">
        <is>
          <t>GSEM505</t>
        </is>
      </c>
    </row>
    <row r="1721">
      <c r="A1721" t="inlineStr">
        <is>
          <t>CHIS</t>
        </is>
      </c>
      <c r="B1721" t="n">
        <v>685</v>
      </c>
      <c r="C1721" t="inlineStr">
        <is>
          <t>Studies in Church History</t>
        </is>
      </c>
      <c r="D1721" t="inlineStr">
        <is>
          <t>Top: EGW &amp; Adv Research</t>
        </is>
      </c>
      <c r="E1721" t="inlineStr">
        <is>
          <t>CHIS685</t>
        </is>
      </c>
    </row>
    <row r="1722">
      <c r="A1722" t="inlineStr">
        <is>
          <t>GSEM</t>
        </is>
      </c>
      <c r="B1722" t="n">
        <v>505</v>
      </c>
      <c r="C1722" t="inlineStr">
        <is>
          <t>Colloquium:</t>
        </is>
      </c>
      <c r="D1722" t="inlineStr">
        <is>
          <t>Coll: Ellen White Issues Sympm</t>
        </is>
      </c>
      <c r="E1722" t="inlineStr">
        <is>
          <t>GSEM505</t>
        </is>
      </c>
    </row>
    <row r="1723">
      <c r="A1723" t="inlineStr">
        <is>
          <t>GSEM</t>
        </is>
      </c>
      <c r="B1723" t="n">
        <v>797</v>
      </c>
      <c r="C1723" t="inlineStr">
        <is>
          <t>Ind St:</t>
        </is>
      </c>
      <c r="D1723" t="inlineStr">
        <is>
          <t>Ind St:DMin Dssn</t>
        </is>
      </c>
      <c r="E1723" t="inlineStr">
        <is>
          <t>GSEM797</t>
        </is>
      </c>
    </row>
    <row r="1724">
      <c r="A1724" t="inlineStr">
        <is>
          <t>MSSN</t>
        </is>
      </c>
      <c r="B1724" t="n">
        <v>584</v>
      </c>
      <c r="C1724" t="inlineStr">
        <is>
          <t>Prep for Cross-Cultrl Workers</t>
        </is>
      </c>
      <c r="E1724" t="inlineStr">
        <is>
          <t>MSSN584</t>
        </is>
      </c>
    </row>
    <row r="1725">
      <c r="A1725" t="inlineStr">
        <is>
          <t>GSEM</t>
        </is>
      </c>
      <c r="B1725" t="n">
        <v>648</v>
      </c>
      <c r="C1725" t="inlineStr">
        <is>
          <t>Workshop</t>
        </is>
      </c>
      <c r="D1725" t="inlineStr">
        <is>
          <t>Workshop:Prep Mssn Srvc</t>
        </is>
      </c>
      <c r="E1725" t="inlineStr">
        <is>
          <t>GSEM648</t>
        </is>
      </c>
    </row>
    <row r="1726">
      <c r="A1726" t="inlineStr">
        <is>
          <t>GSEM</t>
        </is>
      </c>
      <c r="B1726" t="n">
        <v>648</v>
      </c>
      <c r="C1726" t="inlineStr">
        <is>
          <t>Workshop</t>
        </is>
      </c>
      <c r="D1726" t="inlineStr">
        <is>
          <t>Workshop: Prep Mssn Srvc</t>
        </is>
      </c>
      <c r="E1726" t="inlineStr">
        <is>
          <t>GSEM648</t>
        </is>
      </c>
    </row>
    <row r="1727">
      <c r="A1727" t="inlineStr">
        <is>
          <t>MSSN</t>
        </is>
      </c>
      <c r="B1727" t="n">
        <v>890</v>
      </c>
      <c r="C1727" t="inlineStr">
        <is>
          <t>Directed Rdgs Mission Studies</t>
        </is>
      </c>
      <c r="D1727" t="inlineStr">
        <is>
          <t>Directed Rdgs</t>
        </is>
      </c>
      <c r="E1727" t="inlineStr">
        <is>
          <t>MSSN890</t>
        </is>
      </c>
    </row>
    <row r="1728">
      <c r="A1728" t="inlineStr">
        <is>
          <t>CHIS</t>
        </is>
      </c>
      <c r="B1728" t="n">
        <v>892</v>
      </c>
      <c r="C1728" t="inlineStr">
        <is>
          <t>Ind St:</t>
        </is>
      </c>
      <c r="E1728" t="inlineStr">
        <is>
          <t>CHIS892</t>
        </is>
      </c>
    </row>
    <row r="1729">
      <c r="A1729" t="inlineStr">
        <is>
          <t>CHIS</t>
        </is>
      </c>
      <c r="B1729" t="n">
        <v>892</v>
      </c>
      <c r="C1729" t="inlineStr">
        <is>
          <t>Ind St:</t>
        </is>
      </c>
      <c r="D1729" t="inlineStr">
        <is>
          <t>IndSt:</t>
        </is>
      </c>
      <c r="E1729" t="inlineStr">
        <is>
          <t>CHIS892</t>
        </is>
      </c>
    </row>
    <row r="1730">
      <c r="A1730" t="inlineStr">
        <is>
          <t>CHIS</t>
        </is>
      </c>
      <c r="B1730" t="n">
        <v>890</v>
      </c>
      <c r="C1730" t="inlineStr">
        <is>
          <t>Directed Rdg in Church History</t>
        </is>
      </c>
      <c r="D1730" t="inlineStr">
        <is>
          <t>DirRdg:</t>
        </is>
      </c>
      <c r="E1730" t="inlineStr">
        <is>
          <t>CHIS890</t>
        </is>
      </c>
    </row>
    <row r="1731">
      <c r="A1731" t="inlineStr">
        <is>
          <t>CHIS</t>
        </is>
      </c>
      <c r="B1731" t="n">
        <v>891</v>
      </c>
      <c r="C1731" t="inlineStr">
        <is>
          <t>Ind St:</t>
        </is>
      </c>
      <c r="D1731" t="inlineStr">
        <is>
          <t>IndSt:</t>
        </is>
      </c>
      <c r="E1731" t="inlineStr">
        <is>
          <t>CHIS891</t>
        </is>
      </c>
    </row>
    <row r="1732">
      <c r="A1732" t="inlineStr">
        <is>
          <t>CHIS</t>
        </is>
      </c>
      <c r="B1732" t="n">
        <v>895</v>
      </c>
      <c r="C1732" t="inlineStr">
        <is>
          <t>Directed Rdg Adventist Studies</t>
        </is>
      </c>
      <c r="D1732" t="inlineStr">
        <is>
          <t>DirRdg:</t>
        </is>
      </c>
      <c r="E1732" t="inlineStr">
        <is>
          <t>CHIS895</t>
        </is>
      </c>
    </row>
    <row r="1733">
      <c r="A1733" t="inlineStr">
        <is>
          <t>CHIS</t>
        </is>
      </c>
      <c r="B1733" t="n">
        <v>891</v>
      </c>
      <c r="C1733" t="inlineStr">
        <is>
          <t>Ind St:</t>
        </is>
      </c>
      <c r="D1733" t="inlineStr">
        <is>
          <t>IndSt:Apoclypt Wrtngs Early Ch</t>
        </is>
      </c>
      <c r="E1733" t="inlineStr">
        <is>
          <t>CHIS891</t>
        </is>
      </c>
    </row>
    <row r="1734">
      <c r="A1734" t="inlineStr">
        <is>
          <t>MSSN</t>
        </is>
      </c>
      <c r="B1734" t="n">
        <v>695</v>
      </c>
      <c r="C1734" t="inlineStr">
        <is>
          <t>Topics:</t>
        </is>
      </c>
      <c r="D1734" t="inlineStr">
        <is>
          <t>Top: ICISF Certif for Crisis</t>
        </is>
      </c>
      <c r="E1734" t="inlineStr">
        <is>
          <t>MSSN695</t>
        </is>
      </c>
    </row>
    <row r="1735">
      <c r="A1735" t="inlineStr">
        <is>
          <t>CHIS</t>
        </is>
      </c>
      <c r="B1735" t="n">
        <v>880</v>
      </c>
      <c r="C1735" t="inlineStr">
        <is>
          <t>Topics in Church History:</t>
        </is>
      </c>
      <c r="D1735" t="inlineStr">
        <is>
          <t>TopicsCHIS: Protest Theo Herit</t>
        </is>
      </c>
      <c r="E1735" t="inlineStr">
        <is>
          <t>CHIS880</t>
        </is>
      </c>
    </row>
    <row r="1736">
      <c r="A1736" t="inlineStr">
        <is>
          <t>NTST</t>
        </is>
      </c>
      <c r="B1736" t="n">
        <v>690</v>
      </c>
      <c r="C1736" t="inlineStr">
        <is>
          <t>Ind St:</t>
        </is>
      </c>
      <c r="D1736" t="inlineStr">
        <is>
          <t>Ind St: Greco Roman World</t>
        </is>
      </c>
      <c r="E1736" t="inlineStr">
        <is>
          <t>NTST690</t>
        </is>
      </c>
    </row>
    <row r="1737">
      <c r="A1737" t="inlineStr">
        <is>
          <t>CHIS</t>
        </is>
      </c>
      <c r="B1737" t="n">
        <v>892</v>
      </c>
      <c r="C1737" t="inlineStr">
        <is>
          <t>Ind St:</t>
        </is>
      </c>
      <c r="D1737" t="inlineStr">
        <is>
          <t>Ind St Laodicean Msg &amp; 1888</t>
        </is>
      </c>
      <c r="E1737" t="inlineStr">
        <is>
          <t>CHIS892</t>
        </is>
      </c>
    </row>
    <row r="1738">
      <c r="A1738" t="inlineStr">
        <is>
          <t>NTST</t>
        </is>
      </c>
      <c r="B1738" t="n">
        <v>890</v>
      </c>
      <c r="C1738" t="inlineStr">
        <is>
          <t>Directed Rdg in New Testament</t>
        </is>
      </c>
      <c r="D1738" t="inlineStr">
        <is>
          <t>DirRdg NT</t>
        </is>
      </c>
      <c r="E1738" t="inlineStr">
        <is>
          <t>NTST890</t>
        </is>
      </c>
    </row>
    <row r="1739">
      <c r="A1739" t="inlineStr">
        <is>
          <t>THST</t>
        </is>
      </c>
      <c r="B1739" t="n">
        <v>885</v>
      </c>
      <c r="C1739" t="inlineStr">
        <is>
          <t>Top:</t>
        </is>
      </c>
      <c r="D1739" t="inlineStr">
        <is>
          <t>Top:Protest Theologic Heritage</t>
        </is>
      </c>
      <c r="E1739" t="inlineStr">
        <is>
          <t>THST885</t>
        </is>
      </c>
    </row>
    <row r="1740">
      <c r="A1740" t="inlineStr">
        <is>
          <t>OTST</t>
        </is>
      </c>
      <c r="B1740" t="n">
        <v>885</v>
      </c>
      <c r="C1740" t="inlineStr">
        <is>
          <t>Topics in:</t>
        </is>
      </c>
      <c r="D1740" t="inlineStr">
        <is>
          <t>Top: Hist of ANE: Mesopotamia</t>
        </is>
      </c>
      <c r="E1740" t="inlineStr">
        <is>
          <t>OTST885</t>
        </is>
      </c>
    </row>
    <row r="1741">
      <c r="A1741" t="inlineStr">
        <is>
          <t>OTST</t>
        </is>
      </c>
      <c r="B1741" t="n">
        <v>890</v>
      </c>
      <c r="C1741" t="inlineStr">
        <is>
          <t>Directed Rdg in Old Testmt</t>
        </is>
      </c>
      <c r="D1741" t="inlineStr">
        <is>
          <t>DirRdg in OT</t>
        </is>
      </c>
      <c r="E1741" t="inlineStr">
        <is>
          <t>OTST890</t>
        </is>
      </c>
    </row>
    <row r="1742">
      <c r="A1742" t="inlineStr">
        <is>
          <t>DSLE</t>
        </is>
      </c>
      <c r="B1742" t="n">
        <v>690</v>
      </c>
      <c r="C1742" t="inlineStr">
        <is>
          <t>Ind St:</t>
        </is>
      </c>
      <c r="D1742" t="inlineStr">
        <is>
          <t>Ind St:Sprtl Nurtr f Chldrn</t>
        </is>
      </c>
      <c r="E1742" t="inlineStr">
        <is>
          <t>DSLE690</t>
        </is>
      </c>
    </row>
    <row r="1743">
      <c r="A1743" t="inlineStr">
        <is>
          <t>CHIS</t>
        </is>
      </c>
      <c r="B1743" t="n">
        <v>880</v>
      </c>
      <c r="C1743" t="inlineStr">
        <is>
          <t>Topics in Church History:</t>
        </is>
      </c>
      <c r="D1743" t="inlineStr">
        <is>
          <t>Topics CHIS: Martin Luther</t>
        </is>
      </c>
      <c r="E1743" t="inlineStr">
        <is>
          <t>CHIS880</t>
        </is>
      </c>
    </row>
    <row r="1744">
      <c r="A1744" t="inlineStr">
        <is>
          <t>CHIS</t>
        </is>
      </c>
      <c r="B1744" t="n">
        <v>880</v>
      </c>
      <c r="C1744" t="inlineStr">
        <is>
          <t>Topics in Church History:</t>
        </is>
      </c>
      <c r="D1744" t="inlineStr">
        <is>
          <t>Top in CHIS: Reform Theology</t>
        </is>
      </c>
      <c r="E1744" t="inlineStr">
        <is>
          <t>CHIS880</t>
        </is>
      </c>
    </row>
    <row r="1745">
      <c r="A1745" t="inlineStr">
        <is>
          <t>THST</t>
        </is>
      </c>
      <c r="B1745" t="n">
        <v>897</v>
      </c>
      <c r="C1745" t="inlineStr">
        <is>
          <t>Ind St:</t>
        </is>
      </c>
      <c r="D1745" t="inlineStr">
        <is>
          <t>Ind St:Reform Philosoph &amp; Theo</t>
        </is>
      </c>
      <c r="E1745" t="inlineStr">
        <is>
          <t>THST897</t>
        </is>
      </c>
    </row>
    <row r="1746">
      <c r="A1746" t="inlineStr">
        <is>
          <t>NTST</t>
        </is>
      </c>
      <c r="B1746" t="n">
        <v>690</v>
      </c>
      <c r="C1746" t="inlineStr">
        <is>
          <t>Ind St:</t>
        </is>
      </c>
      <c r="D1746" t="inlineStr">
        <is>
          <t>Ind St: Holy Spirit in the NT</t>
        </is>
      </c>
      <c r="E1746" t="inlineStr">
        <is>
          <t>NTST690</t>
        </is>
      </c>
    </row>
    <row r="1747">
      <c r="A1747" t="inlineStr">
        <is>
          <t>CHIS</t>
        </is>
      </c>
      <c r="B1747" t="n">
        <v>640</v>
      </c>
      <c r="C1747" t="inlineStr">
        <is>
          <t>Reformation:</t>
        </is>
      </c>
      <c r="D1747" t="inlineStr">
        <is>
          <t>Reformation:Reform Theology</t>
        </is>
      </c>
      <c r="E1747" t="inlineStr">
        <is>
          <t>CHIS640</t>
        </is>
      </c>
    </row>
    <row r="1748">
      <c r="A1748" t="inlineStr">
        <is>
          <t>OTST</t>
        </is>
      </c>
      <c r="B1748" t="n">
        <v>664</v>
      </c>
      <c r="C1748" t="inlineStr">
        <is>
          <t>Pentateuch (Hebrew)</t>
        </is>
      </c>
      <c r="D1748" t="inlineStr">
        <is>
          <t>Pentateuch</t>
        </is>
      </c>
      <c r="E1748" t="inlineStr">
        <is>
          <t>OTST664</t>
        </is>
      </c>
    </row>
    <row r="1749">
      <c r="A1749" t="inlineStr">
        <is>
          <t>CHIS</t>
        </is>
      </c>
      <c r="B1749" t="n">
        <v>690</v>
      </c>
      <c r="C1749" t="inlineStr">
        <is>
          <t>Ind St:</t>
        </is>
      </c>
      <c r="D1749" t="inlineStr">
        <is>
          <t>Ind St: Dev. of SDA Theology</t>
        </is>
      </c>
      <c r="E1749" t="inlineStr">
        <is>
          <t>CHIS690</t>
        </is>
      </c>
    </row>
    <row r="1750">
      <c r="A1750" t="inlineStr">
        <is>
          <t>DSLE</t>
        </is>
      </c>
      <c r="B1750" t="n">
        <v>607</v>
      </c>
      <c r="C1750" t="inlineStr">
        <is>
          <t>Intergenerational Ministry</t>
        </is>
      </c>
      <c r="D1750" t="inlineStr">
        <is>
          <t>IndepStud:Intergenerationl Min</t>
        </is>
      </c>
      <c r="E1750" t="inlineStr">
        <is>
          <t>DSLE607</t>
        </is>
      </c>
    </row>
    <row r="1751">
      <c r="A1751" t="inlineStr">
        <is>
          <t>DSLE</t>
        </is>
      </c>
      <c r="B1751" t="n">
        <v>656</v>
      </c>
      <c r="C1751" t="inlineStr">
        <is>
          <t>Counseling Youth &amp; Young Adult</t>
        </is>
      </c>
      <c r="D1751" t="inlineStr">
        <is>
          <t>Ind St:Counseling Youth &amp; Y Ad</t>
        </is>
      </c>
      <c r="E1751" t="inlineStr">
        <is>
          <t>DSLE656</t>
        </is>
      </c>
    </row>
    <row r="1752">
      <c r="A1752" t="inlineStr">
        <is>
          <t>MSSN</t>
        </is>
      </c>
      <c r="B1752" t="n">
        <v>695</v>
      </c>
      <c r="C1752" t="inlineStr">
        <is>
          <t>Topics:</t>
        </is>
      </c>
      <c r="D1752" t="inlineStr">
        <is>
          <t>Top:Buddhism Culture &amp; Society</t>
        </is>
      </c>
      <c r="E1752" t="inlineStr">
        <is>
          <t>MSSN695</t>
        </is>
      </c>
    </row>
    <row r="1753">
      <c r="A1753" t="inlineStr">
        <is>
          <t>CHIS</t>
        </is>
      </c>
      <c r="B1753" t="n">
        <v>690</v>
      </c>
      <c r="C1753" t="inlineStr">
        <is>
          <t>Ind St:</t>
        </is>
      </c>
      <c r="D1753" t="inlineStr">
        <is>
          <t>Ind St:Devlmnt of SDA Theology</t>
        </is>
      </c>
      <c r="E1753" t="inlineStr">
        <is>
          <t>CHIS690</t>
        </is>
      </c>
    </row>
    <row r="1754">
      <c r="A1754" t="inlineStr">
        <is>
          <t>OTST</t>
        </is>
      </c>
      <c r="B1754" t="n">
        <v>690</v>
      </c>
      <c r="C1754" t="inlineStr">
        <is>
          <t>Ind St:</t>
        </is>
      </c>
      <c r="D1754" t="inlineStr">
        <is>
          <t>Ind St: Historical Books</t>
        </is>
      </c>
      <c r="E1754" t="inlineStr">
        <is>
          <t>OTST690</t>
        </is>
      </c>
    </row>
    <row r="1755">
      <c r="A1755" t="inlineStr">
        <is>
          <t>CHIS</t>
        </is>
      </c>
      <c r="B1755" t="n">
        <v>640</v>
      </c>
      <c r="C1755" t="inlineStr">
        <is>
          <t>Reformation:</t>
        </is>
      </c>
      <c r="D1755" t="inlineStr">
        <is>
          <t>Reform-Martin Luther</t>
        </is>
      </c>
      <c r="E1755" t="inlineStr">
        <is>
          <t>CHIS640</t>
        </is>
      </c>
    </row>
    <row r="1756">
      <c r="A1756" t="inlineStr">
        <is>
          <t>CHIS</t>
        </is>
      </c>
      <c r="B1756" t="n">
        <v>890</v>
      </c>
      <c r="C1756" t="inlineStr">
        <is>
          <t>Directed Rdg in Church History</t>
        </is>
      </c>
      <c r="D1756" t="inlineStr">
        <is>
          <t>Dir Rdg:</t>
        </is>
      </c>
      <c r="E1756" t="inlineStr">
        <is>
          <t>CHIS890</t>
        </is>
      </c>
    </row>
    <row r="1757">
      <c r="A1757" t="inlineStr">
        <is>
          <t>CHIS</t>
        </is>
      </c>
      <c r="B1757" t="n">
        <v>895</v>
      </c>
      <c r="C1757" t="inlineStr">
        <is>
          <t>Directed Rdg Adventist Studies</t>
        </is>
      </c>
      <c r="D1757" t="inlineStr">
        <is>
          <t>Dir Rdg:</t>
        </is>
      </c>
      <c r="E1757" t="inlineStr">
        <is>
          <t>CHIS895</t>
        </is>
      </c>
    </row>
    <row r="1758">
      <c r="A1758" t="inlineStr">
        <is>
          <t>MSSN</t>
        </is>
      </c>
      <c r="B1758" t="n">
        <v>690</v>
      </c>
      <c r="C1758" t="inlineStr">
        <is>
          <t>Ind St:</t>
        </is>
      </c>
      <c r="D1758" t="inlineStr">
        <is>
          <t>IndSt:</t>
        </is>
      </c>
      <c r="E1758" t="inlineStr">
        <is>
          <t>MSSN690</t>
        </is>
      </c>
    </row>
    <row r="1759">
      <c r="A1759" t="inlineStr">
        <is>
          <t>ANEA</t>
        </is>
      </c>
      <c r="B1759" t="n">
        <v>604</v>
      </c>
      <c r="C1759" t="inlineStr">
        <is>
          <t>Hist of the Ancient Near East</t>
        </is>
      </c>
      <c r="D1759" t="inlineStr">
        <is>
          <t>Hist of the ANE Mesopotamia</t>
        </is>
      </c>
      <c r="E1759" t="inlineStr">
        <is>
          <t>ANEA604</t>
        </is>
      </c>
    </row>
    <row r="1760">
      <c r="A1760" t="inlineStr">
        <is>
          <t>PATH</t>
        </is>
      </c>
      <c r="B1760" t="n">
        <v>690</v>
      </c>
      <c r="C1760" t="inlineStr">
        <is>
          <t>Ind Stdy:</t>
        </is>
      </c>
      <c r="D1760" t="inlineStr">
        <is>
          <t>Ind St:</t>
        </is>
      </c>
      <c r="E1760" t="inlineStr">
        <is>
          <t>PATH690</t>
        </is>
      </c>
    </row>
    <row r="1761">
      <c r="A1761" t="inlineStr">
        <is>
          <t>MSSN</t>
        </is>
      </c>
      <c r="B1761" t="n">
        <v>897</v>
      </c>
      <c r="C1761" t="inlineStr">
        <is>
          <t>Ind St:</t>
        </is>
      </c>
      <c r="D1761" t="inlineStr">
        <is>
          <t>Ind St: Urban Context MSSN</t>
        </is>
      </c>
      <c r="E1761" t="inlineStr">
        <is>
          <t>MSSN897</t>
        </is>
      </c>
    </row>
    <row r="1762">
      <c r="A1762" t="inlineStr">
        <is>
          <t>CHIS</t>
        </is>
      </c>
      <c r="B1762" t="n">
        <v>690</v>
      </c>
      <c r="C1762" t="inlineStr">
        <is>
          <t>Ind St:</t>
        </is>
      </c>
      <c r="D1762" t="inlineStr">
        <is>
          <t>Ind St: Early Church to AD 604</t>
        </is>
      </c>
      <c r="E1762" t="inlineStr">
        <is>
          <t>CHIS690</t>
        </is>
      </c>
    </row>
    <row r="1763">
      <c r="A1763" t="inlineStr">
        <is>
          <t>NTST</t>
        </is>
      </c>
      <c r="B1763" t="n">
        <v>646</v>
      </c>
      <c r="C1763" t="inlineStr">
        <is>
          <t>Top NT Exegesis:</t>
        </is>
      </c>
      <c r="E1763" t="inlineStr">
        <is>
          <t>NTST646</t>
        </is>
      </c>
    </row>
    <row r="1764">
      <c r="A1764" t="inlineStr">
        <is>
          <t>NTST</t>
        </is>
      </c>
      <c r="B1764" t="n">
        <v>885</v>
      </c>
      <c r="C1764" t="inlineStr">
        <is>
          <t>Topics in</t>
        </is>
      </c>
      <c r="D1764" t="inlineStr">
        <is>
          <t>Topics in: Hebrews</t>
        </is>
      </c>
      <c r="E1764" t="inlineStr">
        <is>
          <t>NTST885</t>
        </is>
      </c>
    </row>
    <row r="1765">
      <c r="A1765" t="inlineStr">
        <is>
          <t>PATH</t>
        </is>
      </c>
      <c r="B1765" t="n">
        <v>690</v>
      </c>
      <c r="C1765" t="inlineStr">
        <is>
          <t>Ind Stdy:</t>
        </is>
      </c>
      <c r="D1765" t="inlineStr">
        <is>
          <t>Ind St: Worship: Word &amp; Music</t>
        </is>
      </c>
      <c r="E1765" t="inlineStr">
        <is>
          <t>PATH690</t>
        </is>
      </c>
    </row>
    <row r="1766">
      <c r="A1766" t="inlineStr">
        <is>
          <t>MSSN</t>
        </is>
      </c>
      <c r="B1766" t="n">
        <v>890</v>
      </c>
      <c r="C1766" t="inlineStr">
        <is>
          <t>Directed Rdgs Mission Studies</t>
        </is>
      </c>
      <c r="D1766" t="inlineStr">
        <is>
          <t>DirRdg:</t>
        </is>
      </c>
      <c r="E1766" t="inlineStr">
        <is>
          <t>MSSN890</t>
        </is>
      </c>
    </row>
    <row r="1767">
      <c r="A1767" t="inlineStr">
        <is>
          <t>OTST</t>
        </is>
      </c>
      <c r="B1767" t="n">
        <v>690</v>
      </c>
      <c r="C1767" t="inlineStr">
        <is>
          <t>Ind St:</t>
        </is>
      </c>
      <c r="D1767" t="inlineStr">
        <is>
          <t>Ind St:Textual Criticism</t>
        </is>
      </c>
      <c r="E1767" t="inlineStr">
        <is>
          <t>OTST690</t>
        </is>
      </c>
    </row>
    <row r="1768">
      <c r="A1768" t="inlineStr">
        <is>
          <t>CHIS</t>
        </is>
      </c>
      <c r="B1768" t="n">
        <v>880</v>
      </c>
      <c r="C1768" t="inlineStr">
        <is>
          <t>Topics in Church History:</t>
        </is>
      </c>
      <c r="D1768" t="inlineStr">
        <is>
          <t>Top:Histography</t>
        </is>
      </c>
      <c r="E1768" t="inlineStr">
        <is>
          <t>CHIS880</t>
        </is>
      </c>
    </row>
    <row r="1769">
      <c r="A1769" t="inlineStr">
        <is>
          <t>OTST</t>
        </is>
      </c>
      <c r="B1769" t="n">
        <v>566</v>
      </c>
      <c r="C1769" t="inlineStr">
        <is>
          <t>Stud in the Pentateuch (Engl)</t>
        </is>
      </c>
      <c r="D1769" t="inlineStr">
        <is>
          <t>Stud in the Pentateuch</t>
        </is>
      </c>
      <c r="E1769" t="inlineStr">
        <is>
          <t>OTST566</t>
        </is>
      </c>
    </row>
    <row r="1770">
      <c r="A1770" t="inlineStr">
        <is>
          <t>CHIS</t>
        </is>
      </c>
      <c r="B1770" t="n">
        <v>895</v>
      </c>
      <c r="C1770" t="inlineStr">
        <is>
          <t>Directed Rdg Adventist Studies</t>
        </is>
      </c>
      <c r="D1770" t="inlineStr">
        <is>
          <t>DirRdg:Gen SDA Hst in Cntxt</t>
        </is>
      </c>
      <c r="E1770" t="inlineStr">
        <is>
          <t>CHIS895</t>
        </is>
      </c>
    </row>
    <row r="1771">
      <c r="A1771" t="inlineStr">
        <is>
          <t>DSLE</t>
        </is>
      </c>
      <c r="B1771" t="n">
        <v>690</v>
      </c>
      <c r="C1771" t="inlineStr">
        <is>
          <t>Ind St:</t>
        </is>
      </c>
      <c r="D1771" t="inlineStr">
        <is>
          <t>Ind St: Intergenerational Mini</t>
        </is>
      </c>
      <c r="E1771" t="inlineStr">
        <is>
          <t>DSLE690</t>
        </is>
      </c>
    </row>
    <row r="1772">
      <c r="A1772" t="inlineStr">
        <is>
          <t>CHIS</t>
        </is>
      </c>
      <c r="B1772" t="n">
        <v>690</v>
      </c>
      <c r="C1772" t="inlineStr">
        <is>
          <t>Ind St:</t>
        </is>
      </c>
      <c r="D1772" t="inlineStr">
        <is>
          <t>Ind St:Erly Christn Theolgns</t>
        </is>
      </c>
      <c r="E1772" t="inlineStr">
        <is>
          <t>CHIS690</t>
        </is>
      </c>
    </row>
    <row r="1773">
      <c r="A1773" t="inlineStr">
        <is>
          <t>OTST</t>
        </is>
      </c>
      <c r="B1773" t="n">
        <v>885</v>
      </c>
      <c r="C1773" t="inlineStr">
        <is>
          <t>Topics in:</t>
        </is>
      </c>
      <c r="D1773" t="inlineStr">
        <is>
          <t>Topics in:Biblical Hebrew III</t>
        </is>
      </c>
      <c r="E1773" t="inlineStr">
        <is>
          <t>OTST885</t>
        </is>
      </c>
    </row>
    <row r="1774">
      <c r="A1774" t="inlineStr">
        <is>
          <t>THST</t>
        </is>
      </c>
      <c r="B1774" t="n">
        <v>896</v>
      </c>
      <c r="C1774" t="inlineStr">
        <is>
          <t>Directed Rdg Christian Ethics</t>
        </is>
      </c>
      <c r="D1774" t="inlineStr">
        <is>
          <t>DirRdg: Phil, Theo, Ethics</t>
        </is>
      </c>
      <c r="E1774" t="inlineStr">
        <is>
          <t>THST896</t>
        </is>
      </c>
    </row>
    <row r="1775">
      <c r="A1775" t="inlineStr">
        <is>
          <t>THST</t>
        </is>
      </c>
      <c r="B1775" t="n">
        <v>890</v>
      </c>
      <c r="C1775" t="inlineStr">
        <is>
          <t>DirRdg Syst Theo:</t>
        </is>
      </c>
      <c r="D1775" t="inlineStr">
        <is>
          <t>DirRdgSyst Theo:Philsph Theol</t>
        </is>
      </c>
      <c r="E1775" t="inlineStr">
        <is>
          <t>THST890</t>
        </is>
      </c>
    </row>
    <row r="1776">
      <c r="A1776" t="inlineStr">
        <is>
          <t>DSLE</t>
        </is>
      </c>
      <c r="B1776" t="n">
        <v>890</v>
      </c>
      <c r="C1776" t="inlineStr">
        <is>
          <t>Directed Reading:</t>
        </is>
      </c>
      <c r="E1776" t="inlineStr">
        <is>
          <t>DSLE890</t>
        </is>
      </c>
    </row>
    <row r="1777">
      <c r="A1777" t="inlineStr">
        <is>
          <t>DSLE</t>
        </is>
      </c>
      <c r="B1777" t="n">
        <v>930</v>
      </c>
      <c r="C1777" t="inlineStr">
        <is>
          <t>Seminar:</t>
        </is>
      </c>
      <c r="E1777" t="inlineStr">
        <is>
          <t>DSLE930</t>
        </is>
      </c>
    </row>
    <row r="1778">
      <c r="A1778" t="inlineStr">
        <is>
          <t>OTST</t>
        </is>
      </c>
      <c r="B1778" t="n">
        <v>890</v>
      </c>
      <c r="C1778" t="inlineStr">
        <is>
          <t>Directed Rdg in Old Testmt</t>
        </is>
      </c>
      <c r="D1778" t="inlineStr">
        <is>
          <t>Directed Rdg in Septuagint</t>
        </is>
      </c>
      <c r="E1778" t="inlineStr">
        <is>
          <t>OTST890</t>
        </is>
      </c>
    </row>
    <row r="1779">
      <c r="A1779" t="inlineStr">
        <is>
          <t>OTST</t>
        </is>
      </c>
      <c r="B1779" t="n">
        <v>940</v>
      </c>
      <c r="C1779" t="inlineStr">
        <is>
          <t>Sem Adv OT Exegesis</t>
        </is>
      </c>
      <c r="D1779" t="inlineStr">
        <is>
          <t>Sem Adv OT Exeg: Pentateuch</t>
        </is>
      </c>
      <c r="E1779" t="inlineStr">
        <is>
          <t>OTST940</t>
        </is>
      </c>
    </row>
    <row r="1780">
      <c r="A1780" t="inlineStr">
        <is>
          <t>OTST</t>
        </is>
      </c>
      <c r="B1780" t="n">
        <v>940</v>
      </c>
      <c r="C1780" t="inlineStr">
        <is>
          <t>Sem Adv OT Exegesis</t>
        </is>
      </c>
      <c r="D1780" t="inlineStr">
        <is>
          <t>Sem in Adv His f ANE: Msptmia</t>
        </is>
      </c>
      <c r="E1780" t="inlineStr">
        <is>
          <t>OTST940</t>
        </is>
      </c>
    </row>
    <row r="1781">
      <c r="A1781" t="inlineStr">
        <is>
          <t>THST</t>
        </is>
      </c>
      <c r="B1781" t="n">
        <v>896</v>
      </c>
      <c r="C1781" t="inlineStr">
        <is>
          <t>Directed Rdg Christian Ethics</t>
        </is>
      </c>
      <c r="D1781" t="inlineStr">
        <is>
          <t>DirRdg: Phil, Theology &amp; Ethic</t>
        </is>
      </c>
      <c r="E1781" t="inlineStr">
        <is>
          <t>THST896</t>
        </is>
      </c>
    </row>
    <row r="1782">
      <c r="A1782" t="inlineStr">
        <is>
          <t>DSLE</t>
        </is>
      </c>
      <c r="B1782" t="n">
        <v>690</v>
      </c>
      <c r="C1782" t="inlineStr">
        <is>
          <t>Ind St:</t>
        </is>
      </c>
      <c r="D1782" t="inlineStr">
        <is>
          <t>Ind St:Min to Yth &amp; Yng Adlt</t>
        </is>
      </c>
      <c r="E1782" t="inlineStr">
        <is>
          <t>DSLE690</t>
        </is>
      </c>
    </row>
    <row r="1783">
      <c r="A1783" t="inlineStr">
        <is>
          <t>DSLE</t>
        </is>
      </c>
      <c r="B1783" t="n">
        <v>662</v>
      </c>
      <c r="C1783" t="inlineStr">
        <is>
          <t>Field Practicum: Professional</t>
        </is>
      </c>
      <c r="E1783" t="inlineStr">
        <is>
          <t>DSLE662</t>
        </is>
      </c>
    </row>
    <row r="1784">
      <c r="A1784" t="inlineStr">
        <is>
          <t>OTST</t>
        </is>
      </c>
      <c r="B1784" t="n">
        <v>690</v>
      </c>
      <c r="C1784" t="inlineStr">
        <is>
          <t>Ind St:</t>
        </is>
      </c>
      <c r="D1784" t="inlineStr">
        <is>
          <t>Ind St: OT Exegesis</t>
        </is>
      </c>
      <c r="E1784" t="inlineStr">
        <is>
          <t>OTST690</t>
        </is>
      </c>
    </row>
    <row r="1785">
      <c r="A1785" t="inlineStr">
        <is>
          <t>OTST</t>
        </is>
      </c>
      <c r="B1785" t="n">
        <v>890</v>
      </c>
      <c r="C1785" t="inlineStr">
        <is>
          <t>Directed Rdg in Old Testmt</t>
        </is>
      </c>
      <c r="D1785" t="inlineStr">
        <is>
          <t>Ind. St:  Studies in OT Exeges</t>
        </is>
      </c>
      <c r="E1785" t="inlineStr">
        <is>
          <t>OTST890</t>
        </is>
      </c>
    </row>
    <row r="1786">
      <c r="A1786" t="inlineStr">
        <is>
          <t>OTST</t>
        </is>
      </c>
      <c r="B1786" t="n">
        <v>885</v>
      </c>
      <c r="C1786" t="inlineStr">
        <is>
          <t>Topics in:</t>
        </is>
      </c>
      <c r="D1786" t="inlineStr">
        <is>
          <t>Topics in:Reaings in Septuagnt</t>
        </is>
      </c>
      <c r="E1786" t="inlineStr">
        <is>
          <t>OTST885</t>
        </is>
      </c>
    </row>
    <row r="1787">
      <c r="A1787" t="inlineStr">
        <is>
          <t>ANEA</t>
        </is>
      </c>
      <c r="B1787" t="n">
        <v>690</v>
      </c>
      <c r="C1787" t="inlineStr">
        <is>
          <t>Independent Study</t>
        </is>
      </c>
      <c r="D1787" t="inlineStr">
        <is>
          <t>Ind St: ANE Lang - Akkadian</t>
        </is>
      </c>
      <c r="E1787" t="inlineStr">
        <is>
          <t>ANEA690</t>
        </is>
      </c>
    </row>
    <row r="1788">
      <c r="A1788" t="inlineStr">
        <is>
          <t>CHIS</t>
        </is>
      </c>
      <c r="B1788" t="n">
        <v>690</v>
      </c>
      <c r="C1788" t="inlineStr">
        <is>
          <t>Ind St:</t>
        </is>
      </c>
      <c r="D1788" t="inlineStr">
        <is>
          <t>Ind St:Dev of SDA Theology</t>
        </is>
      </c>
      <c r="E1788" t="inlineStr">
        <is>
          <t>CHIS690</t>
        </is>
      </c>
    </row>
    <row r="1789">
      <c r="A1789" t="inlineStr">
        <is>
          <t>MSSN</t>
        </is>
      </c>
      <c r="B1789" t="n">
        <v>695</v>
      </c>
      <c r="C1789" t="inlineStr">
        <is>
          <t>Topics:</t>
        </is>
      </c>
      <c r="D1789" t="inlineStr">
        <is>
          <t>Top:Mssn in Cultural &amp; religs</t>
        </is>
      </c>
      <c r="E1789" t="inlineStr">
        <is>
          <t>MSSN695</t>
        </is>
      </c>
    </row>
    <row r="1790">
      <c r="A1790" t="inlineStr">
        <is>
          <t>MSSN</t>
        </is>
      </c>
      <c r="B1790" t="n">
        <v>690</v>
      </c>
      <c r="C1790" t="inlineStr">
        <is>
          <t>Ind St:</t>
        </is>
      </c>
      <c r="D1790" t="inlineStr">
        <is>
          <t>Ind St:Mssn in Cult &amp; rel Cntx</t>
        </is>
      </c>
      <c r="E1790" t="inlineStr">
        <is>
          <t>MSSN690</t>
        </is>
      </c>
    </row>
    <row r="1791">
      <c r="A1791" t="inlineStr">
        <is>
          <t>NTST</t>
        </is>
      </c>
      <c r="B1791" t="n">
        <v>690</v>
      </c>
      <c r="C1791" t="inlineStr">
        <is>
          <t>Ind St:</t>
        </is>
      </c>
      <c r="D1791" t="inlineStr">
        <is>
          <t>Ind St:Sem in NT Theo &amp; Ethics</t>
        </is>
      </c>
      <c r="E1791" t="inlineStr">
        <is>
          <t>NTST690</t>
        </is>
      </c>
    </row>
    <row r="1792">
      <c r="A1792" t="inlineStr">
        <is>
          <t>NTST</t>
        </is>
      </c>
      <c r="B1792" t="n">
        <v>885</v>
      </c>
      <c r="C1792" t="inlineStr">
        <is>
          <t>Topics in</t>
        </is>
      </c>
      <c r="D1792" t="inlineStr">
        <is>
          <t>Topics in: NT Theol &amp; Ethics</t>
        </is>
      </c>
      <c r="E1792" t="inlineStr">
        <is>
          <t>NTST885</t>
        </is>
      </c>
    </row>
    <row r="1793">
      <c r="A1793" t="inlineStr">
        <is>
          <t>NTST</t>
        </is>
      </c>
      <c r="B1793" t="n">
        <v>885</v>
      </c>
      <c r="C1793" t="inlineStr">
        <is>
          <t>Topics in</t>
        </is>
      </c>
      <c r="D1793" t="inlineStr">
        <is>
          <t>Topics in:NT Theolgy &amp; Ethics</t>
        </is>
      </c>
      <c r="E1793" t="inlineStr">
        <is>
          <t>NTST885</t>
        </is>
      </c>
    </row>
    <row r="1794">
      <c r="A1794" t="inlineStr">
        <is>
          <t>MSSN</t>
        </is>
      </c>
      <c r="B1794" t="n">
        <v>885</v>
      </c>
      <c r="C1794" t="inlineStr">
        <is>
          <t>Topics in:</t>
        </is>
      </c>
      <c r="D1794" t="inlineStr">
        <is>
          <t>Topics in:Mission Studies</t>
        </is>
      </c>
      <c r="E1794" t="inlineStr">
        <is>
          <t>MSSN885</t>
        </is>
      </c>
    </row>
    <row r="1795">
      <c r="A1795" t="inlineStr">
        <is>
          <t>GSEM</t>
        </is>
      </c>
      <c r="B1795" t="n">
        <v>505</v>
      </c>
      <c r="C1795" t="inlineStr">
        <is>
          <t>Colloquium:</t>
        </is>
      </c>
      <c r="D1795" t="inlineStr">
        <is>
          <t>Coll:Thrive: Mntl Health Campu</t>
        </is>
      </c>
      <c r="E1795" t="inlineStr">
        <is>
          <t>GSEM505</t>
        </is>
      </c>
    </row>
    <row r="1796">
      <c r="A1796" t="inlineStr">
        <is>
          <t>GSEM</t>
        </is>
      </c>
      <c r="B1796" t="n">
        <v>796</v>
      </c>
      <c r="C1796" t="inlineStr">
        <is>
          <t>DMin Prof Dissertation</t>
        </is>
      </c>
      <c r="D1796" t="inlineStr">
        <is>
          <t>DMin Prof Dissertation (Ch 1)</t>
        </is>
      </c>
      <c r="E1796" t="inlineStr">
        <is>
          <t>GSEM796</t>
        </is>
      </c>
    </row>
    <row r="1797">
      <c r="A1797" t="inlineStr">
        <is>
          <t>CHIS</t>
        </is>
      </c>
      <c r="B1797" t="n">
        <v>574</v>
      </c>
      <c r="C1797" t="inlineStr">
        <is>
          <t>Hist of SDA Theology</t>
        </is>
      </c>
      <c r="D1797" t="inlineStr">
        <is>
          <t>History of SDA Theology</t>
        </is>
      </c>
      <c r="E1797" t="inlineStr">
        <is>
          <t>CHIS574</t>
        </is>
      </c>
    </row>
    <row r="1798">
      <c r="A1798" t="inlineStr">
        <is>
          <t>THST</t>
        </is>
      </c>
      <c r="B1798" t="n">
        <v>690</v>
      </c>
      <c r="C1798" t="inlineStr">
        <is>
          <t>Ind St:</t>
        </is>
      </c>
      <c r="D1798" t="inlineStr">
        <is>
          <t>Ind St: Grt Cont, Cov Law, Sab</t>
        </is>
      </c>
      <c r="E1798" t="inlineStr">
        <is>
          <t>THST690</t>
        </is>
      </c>
    </row>
    <row r="1799">
      <c r="A1799" t="inlineStr">
        <is>
          <t>PATH</t>
        </is>
      </c>
      <c r="B1799" t="n">
        <v>732</v>
      </c>
      <c r="C1799" t="inlineStr">
        <is>
          <t>Media Development</t>
        </is>
      </c>
      <c r="D1799" t="inlineStr">
        <is>
          <t>Media Dev &amp; Eqpng Lcal Ldrs</t>
        </is>
      </c>
      <c r="E1799" t="inlineStr">
        <is>
          <t>PATH732</t>
        </is>
      </c>
    </row>
    <row r="1800">
      <c r="A1800" t="inlineStr">
        <is>
          <t>GSEM</t>
        </is>
      </c>
      <c r="B1800" t="n">
        <v>690</v>
      </c>
      <c r="C1800" t="inlineStr">
        <is>
          <t>Ind St:</t>
        </is>
      </c>
      <c r="D1800" t="inlineStr">
        <is>
          <t>IndSt:Grt Cnt, Cov Law, Sbbth</t>
        </is>
      </c>
      <c r="E1800" t="inlineStr">
        <is>
          <t>GSEM690</t>
        </is>
      </c>
    </row>
    <row r="1801">
      <c r="A1801" t="inlineStr">
        <is>
          <t>DSLE</t>
        </is>
      </c>
      <c r="B1801" t="n">
        <v>690</v>
      </c>
      <c r="C1801" t="inlineStr">
        <is>
          <t>Ind St:</t>
        </is>
      </c>
      <c r="D1801" t="inlineStr">
        <is>
          <t>Ind St: Fdns of Bibl Spir</t>
        </is>
      </c>
      <c r="E1801" t="inlineStr">
        <is>
          <t>DSLE690</t>
        </is>
      </c>
    </row>
    <row r="1802">
      <c r="A1802" t="inlineStr">
        <is>
          <t>GSEM</t>
        </is>
      </c>
      <c r="B1802" t="n">
        <v>796</v>
      </c>
      <c r="C1802" t="inlineStr">
        <is>
          <t>DMin Prof Dissertation</t>
        </is>
      </c>
      <c r="D1802" t="inlineStr">
        <is>
          <t>DMin Prof Dissertation (Ch 4)</t>
        </is>
      </c>
      <c r="E1802" t="inlineStr">
        <is>
          <t>GSEM796</t>
        </is>
      </c>
    </row>
    <row r="1803">
      <c r="A1803" t="inlineStr">
        <is>
          <t>GSEM</t>
        </is>
      </c>
      <c r="B1803" t="n">
        <v>505</v>
      </c>
      <c r="C1803" t="inlineStr">
        <is>
          <t>Colloquium:</t>
        </is>
      </c>
      <c r="D1803" t="inlineStr">
        <is>
          <t>Coll: Master Guide Tolbox</t>
        </is>
      </c>
      <c r="E1803" t="inlineStr">
        <is>
          <t>GSEM505</t>
        </is>
      </c>
    </row>
    <row r="1804">
      <c r="A1804" t="inlineStr">
        <is>
          <t>NTST</t>
        </is>
      </c>
      <c r="B1804" t="n">
        <v>690</v>
      </c>
      <c r="C1804" t="inlineStr">
        <is>
          <t>Ind St:</t>
        </is>
      </c>
      <c r="D1804" t="inlineStr">
        <is>
          <t>Ind St:Grt Contr Cov Law, Sabb</t>
        </is>
      </c>
      <c r="E1804" t="inlineStr">
        <is>
          <t>NTST690</t>
        </is>
      </c>
    </row>
    <row r="1805">
      <c r="A1805" t="inlineStr">
        <is>
          <t>CHIS</t>
        </is>
      </c>
      <c r="B1805" t="n">
        <v>892</v>
      </c>
      <c r="C1805" t="inlineStr">
        <is>
          <t>Ind St:</t>
        </is>
      </c>
      <c r="D1805" t="inlineStr">
        <is>
          <t>IndSty:</t>
        </is>
      </c>
      <c r="E1805" t="inlineStr">
        <is>
          <t>CHIS892</t>
        </is>
      </c>
    </row>
    <row r="1806">
      <c r="A1806" t="inlineStr">
        <is>
          <t>THST</t>
        </is>
      </c>
      <c r="B1806" t="n">
        <v>896</v>
      </c>
      <c r="C1806" t="inlineStr">
        <is>
          <t>Directed Rdg Christian Ethics</t>
        </is>
      </c>
      <c r="D1806" t="inlineStr">
        <is>
          <t>DrRdgChEth:</t>
        </is>
      </c>
      <c r="E1806" t="inlineStr">
        <is>
          <t>THST896</t>
        </is>
      </c>
    </row>
    <row r="1807">
      <c r="A1807" t="inlineStr">
        <is>
          <t>OTST</t>
        </is>
      </c>
      <c r="B1807" t="n">
        <v>890</v>
      </c>
      <c r="C1807" t="inlineStr">
        <is>
          <t>Directed Rdg in Old Testmt</t>
        </is>
      </c>
      <c r="D1807" t="inlineStr">
        <is>
          <t>Dir Rdgs</t>
        </is>
      </c>
      <c r="E1807" t="inlineStr">
        <is>
          <t>OTST890</t>
        </is>
      </c>
    </row>
    <row r="1808">
      <c r="A1808" t="inlineStr">
        <is>
          <t>OTST</t>
        </is>
      </c>
      <c r="B1808" t="n">
        <v>890</v>
      </c>
      <c r="C1808" t="inlineStr">
        <is>
          <t>Directed Rdg in Old Testmt</t>
        </is>
      </c>
      <c r="D1808" t="inlineStr">
        <is>
          <t>Dir Rdg</t>
        </is>
      </c>
      <c r="E1808" t="inlineStr">
        <is>
          <t>OTST890</t>
        </is>
      </c>
    </row>
    <row r="1809">
      <c r="A1809" t="inlineStr">
        <is>
          <t>OTST</t>
        </is>
      </c>
      <c r="B1809" t="n">
        <v>890</v>
      </c>
      <c r="C1809" t="inlineStr">
        <is>
          <t>Directed Rdg in Old Testmt</t>
        </is>
      </c>
      <c r="D1809" t="inlineStr">
        <is>
          <t>Dir Rdg in the OT</t>
        </is>
      </c>
      <c r="E1809" t="inlineStr">
        <is>
          <t>OTST890</t>
        </is>
      </c>
    </row>
    <row r="1810">
      <c r="A1810" t="inlineStr">
        <is>
          <t>MSSN</t>
        </is>
      </c>
      <c r="B1810" t="n">
        <v>897</v>
      </c>
      <c r="C1810" t="inlineStr">
        <is>
          <t>Ind St:</t>
        </is>
      </c>
      <c r="D1810" t="inlineStr">
        <is>
          <t>IndSt:Relationship to Muslims</t>
        </is>
      </c>
      <c r="E1810" t="inlineStr">
        <is>
          <t>MSSN897</t>
        </is>
      </c>
    </row>
    <row r="1811">
      <c r="A1811" t="inlineStr">
        <is>
          <t>MSSN</t>
        </is>
      </c>
      <c r="B1811" t="n">
        <v>695</v>
      </c>
      <c r="C1811" t="inlineStr">
        <is>
          <t>Topics:</t>
        </is>
      </c>
      <c r="D1811" t="inlineStr">
        <is>
          <t>Topics in Intectual Theology</t>
        </is>
      </c>
      <c r="E1811" t="inlineStr">
        <is>
          <t>MSSN695</t>
        </is>
      </c>
    </row>
    <row r="1812">
      <c r="A1812" t="inlineStr">
        <is>
          <t>MSSN</t>
        </is>
      </c>
      <c r="B1812" t="n">
        <v>810</v>
      </c>
      <c r="C1812" t="inlineStr">
        <is>
          <t>Sem:</t>
        </is>
      </c>
      <c r="D1812" t="inlineStr">
        <is>
          <t>Topics: Sem Inter Cultural The</t>
        </is>
      </c>
      <c r="E1812" t="inlineStr">
        <is>
          <t>MSSN810</t>
        </is>
      </c>
    </row>
    <row r="1813">
      <c r="A1813" t="inlineStr">
        <is>
          <t>CHIS</t>
        </is>
      </c>
      <c r="B1813" t="n">
        <v>685</v>
      </c>
      <c r="C1813" t="inlineStr">
        <is>
          <t>Studies in Church History</t>
        </is>
      </c>
      <c r="D1813" t="inlineStr">
        <is>
          <t>Sem EGW &amp; Adv Research</t>
        </is>
      </c>
      <c r="E1813" t="inlineStr">
        <is>
          <t>CHIS685</t>
        </is>
      </c>
    </row>
    <row r="1814">
      <c r="A1814" t="inlineStr">
        <is>
          <t>CHIS</t>
        </is>
      </c>
      <c r="B1814" t="n">
        <v>891</v>
      </c>
      <c r="C1814" t="inlineStr">
        <is>
          <t>Ind St:</t>
        </is>
      </c>
      <c r="D1814" t="inlineStr">
        <is>
          <t>Ind St Hist &amp; Theo of Sabbath</t>
        </is>
      </c>
      <c r="E1814" t="inlineStr">
        <is>
          <t>CHIS891</t>
        </is>
      </c>
    </row>
    <row r="1815">
      <c r="A1815" t="inlineStr">
        <is>
          <t>MSSN</t>
        </is>
      </c>
      <c r="B1815" t="n">
        <v>690</v>
      </c>
      <c r="C1815" t="inlineStr">
        <is>
          <t>Ind St:</t>
        </is>
      </c>
      <c r="D1815" t="inlineStr">
        <is>
          <t>IndSt MssninCultural&amp; ReligsCo</t>
        </is>
      </c>
      <c r="E1815" t="inlineStr">
        <is>
          <t>MSSN690</t>
        </is>
      </c>
    </row>
    <row r="1816">
      <c r="A1816" t="inlineStr">
        <is>
          <t>GSEM</t>
        </is>
      </c>
      <c r="B1816" t="n">
        <v>796</v>
      </c>
      <c r="C1816" t="inlineStr">
        <is>
          <t>DMin Prof Dissertation</t>
        </is>
      </c>
      <c r="D1816" t="inlineStr">
        <is>
          <t>DMin Prof Dissertation (Cha 2</t>
        </is>
      </c>
      <c r="E1816" t="inlineStr">
        <is>
          <t>GSEM796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2026-03-26T12:15:53Z</dcterms:created>
  <dcterms:modified xmlns:dcterms="http://purl.org/dc/terms/" xmlns:xsi="http://www.w3.org/2001/XMLSchema-instance" xsi:type="dcterms:W3CDTF">2026-05-08T14:03:24Z</dcterms:modified>
  <cp:lastModifiedBy>Oliver Glanz</cp:lastModifiedBy>
</cp:coreProperties>
</file>